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42355AF-4FF6-412B-A2CE-B1AFA8EE2867}" xr6:coauthVersionLast="47" xr6:coauthVersionMax="47" xr10:uidLastSave="{00000000-0000-0000-0000-000000000000}"/>
  <bookViews>
    <workbookView xWindow="1950" yWindow="1950" windowWidth="28800" windowHeight="15345" firstSheet="31" activeTab="34" xr2:uid="{D37248E2-1193-4B5E-BE4F-D7532AB14CA0}"/>
  </bookViews>
  <sheets>
    <sheet name="Overview" sheetId="40" r:id="rId1"/>
    <sheet name="Results" sheetId="41" r:id="rId2"/>
    <sheet name="Input - Site" sheetId="61" r:id="rId3"/>
    <sheet name="Input - Fuel" sheetId="63" r:id="rId4"/>
    <sheet name="Input - Fertiliser" sheetId="62" r:id="rId5"/>
    <sheet name="Input - Common farm inputs" sheetId="13" r:id="rId6"/>
    <sheet name="Input - Processing inputs" sheetId="59" r:id="rId7"/>
    <sheet name="Input - Crop pasture farm input" sheetId="58" r:id="rId8"/>
    <sheet name="Input - Hort farm Inputs" sheetId="57" r:id="rId9"/>
    <sheet name="Input - Livestock farm Inputs" sheetId="55" r:id="rId10"/>
    <sheet name="Input - Aquaculture inputs" sheetId="56" r:id="rId11"/>
    <sheet name="Input - Beef cattle purchases" sheetId="48" r:id="rId12"/>
    <sheet name="Input - Dairy cattle purchases" sheetId="52" r:id="rId13"/>
    <sheet name="Input - Pig purchases" sheetId="53" r:id="rId14"/>
    <sheet name="Input - Poultry purchases" sheetId="54" r:id="rId15"/>
    <sheet name="Input - Freight" sheetId="39" r:id="rId16"/>
    <sheet name="Input - Solid waste" sheetId="64" r:id="rId17"/>
    <sheet name="Input - Manure sent off-site" sheetId="50" r:id="rId18"/>
    <sheet name="Input - Electricity" sheetId="65" r:id="rId19"/>
    <sheet name="15 Scope 3" sheetId="19" r:id="rId20"/>
    <sheet name="10.1.1-2 Solid waste treatment" sheetId="68" r:id="rId21"/>
    <sheet name="Calcs - Manure sent off-site" sheetId="34" r:id="rId22"/>
    <sheet name="8.1.1.1-2 Transport fuel" sheetId="66" r:id="rId23"/>
    <sheet name="8.2.1.1-2 Stationary fuel" sheetId="67" r:id="rId24"/>
    <sheet name="Constants - Scope 3" sheetId="20" r:id="rId25"/>
    <sheet name="Constants - Solid Waste" sheetId="70" r:id="rId26"/>
    <sheet name="Constants - Fuel" sheetId="69" r:id="rId27"/>
    <sheet name="Constants - Poultry" sheetId="76" r:id="rId28"/>
    <sheet name="Constants - Swine" sheetId="75" r:id="rId29"/>
    <sheet name="Constants - Dairy" sheetId="74" r:id="rId30"/>
    <sheet name="Constants - Pasture Beef" sheetId="73" r:id="rId31"/>
    <sheet name="Constants - Common Livestock" sheetId="77" r:id="rId32"/>
    <sheet name="Constants - Fertiliser" sheetId="71" r:id="rId33"/>
    <sheet name="Constants - Electricity" sheetId="72" r:id="rId34"/>
    <sheet name="Constants - Common" sheetId="78" r:id="rId35"/>
  </sheets>
  <externalReferences>
    <externalReference r:id="rId36"/>
  </externalReference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IFERROR('Constants - Common'!CommonLivestock_InputFunctions.LivestockMovement_TotalLiveweightAddedDuringMonth(_xlpm.Month, _xlpm.LivestockClass) / 'Constants - Common'!CommonLivestock_InputFunctions.LivestockMovement_HeadAddedDuringMonth(_xlpm.Month, _xlpm.LivestockClass), 0))</definedName>
    <definedName name="CommonLivestock_InputFunctions.LivestockMovement_GetMovementLiveweightGain" localSheetId="3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3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'Constants - Common'!CommonLivestock_InputFunctions.LivestockMovement_HeadAddedDuringMonth(_xlpm.Month, _xlpm.LivestockClass) - 'Constants - Common'!CommonLivestock_InputFunctions.LivestockMovement_HeadLostDuringMonth(_xlpm.Month, _xlpm.LivestockClass))</definedName>
    <definedName name="CommonLivestock_InputFunctions.LivestockMovement_HeadLostDuringMonth" localSheetId="3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'Constants - Common'!CommonLivestock_InputFunctions.LivestockMovement_HeadLostDuringMonth(_xlpm.Month,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IFERROR('Constants - Common'!CommonLivestock_InputFunctions.LivestockMovement_GetMovementLiveweightGain(_xlpm.LivestockClass,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'Constants - Common'!CommonLivestock_InputFunctions.LivestockMovement_HeadAddedDuringMonth(_xlpm.Month,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3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3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'Constants - Common'!CommonLivestock_InputFunctions.LivestockMovement_TotalLiveweightGrownDuringMonth(_xlpm.Month,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Misc_NylonNetting">'Input - Hort farm Inputs'!$E$5</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9" i="73" l="1"/>
  <c r="D8" i="73"/>
  <c r="G9" i="74"/>
  <c r="G8" i="74"/>
  <c r="G46" i="76"/>
  <c r="G45" i="76"/>
  <c r="J88" i="34"/>
  <c r="I68" i="34"/>
  <c r="I50" i="34"/>
  <c r="I49" i="34"/>
  <c r="J15" i="34"/>
  <c r="J14" i="34"/>
  <c r="O576" i="19"/>
  <c r="G576" i="19"/>
  <c r="E33" i="61"/>
  <c r="E32" i="61"/>
  <c r="E31" i="61"/>
  <c r="E30" i="61"/>
  <c r="E259" i="78" a="1"/>
  <c r="E259" i="78" s="1"/>
  <c r="D259" i="78" a="1"/>
  <c r="D259" i="78" s="1"/>
  <c r="E258" i="78" a="1"/>
  <c r="E258" i="78" s="1"/>
  <c r="D258" i="78" a="1"/>
  <c r="D258" i="78" s="1"/>
  <c r="D256" i="78" a="1"/>
  <c r="D256" i="78" s="1"/>
  <c r="D255" i="78" a="1"/>
  <c r="D255" i="78" s="1"/>
  <c r="D254" i="78" a="1"/>
  <c r="D254" i="78" s="1"/>
  <c r="D253" i="78" a="1"/>
  <c r="D253" i="78" s="1"/>
  <c r="S250" i="78" a="1"/>
  <c r="S250" i="78" s="1"/>
  <c r="R250" i="78" a="1"/>
  <c r="R250" i="78" s="1"/>
  <c r="Q250" i="78" a="1"/>
  <c r="Q250" i="78" s="1"/>
  <c r="P250" i="78" a="1"/>
  <c r="P250" i="78" s="1"/>
  <c r="O250" i="78" a="1"/>
  <c r="O250" i="78" s="1"/>
  <c r="N250" i="78" a="1"/>
  <c r="N250" i="78" s="1"/>
  <c r="M250" i="78" a="1"/>
  <c r="M250" i="78" s="1"/>
  <c r="L250" i="78" a="1"/>
  <c r="L250" i="78" s="1"/>
  <c r="K250" i="78" a="1"/>
  <c r="K250" i="78" s="1"/>
  <c r="J250" i="78" a="1"/>
  <c r="J250" i="78" s="1"/>
  <c r="I250" i="78" a="1"/>
  <c r="I250" i="78" s="1"/>
  <c r="H250" i="78" a="1"/>
  <c r="H250" i="78" s="1"/>
  <c r="G250" i="78" a="1"/>
  <c r="G250" i="78" s="1"/>
  <c r="F250" i="78" a="1"/>
  <c r="F250" i="78" s="1"/>
  <c r="E250" i="78" a="1"/>
  <c r="E250" i="78" s="1"/>
  <c r="D250" i="78" a="1"/>
  <c r="D250" i="78" s="1"/>
  <c r="S249" i="78" a="1"/>
  <c r="S249" i="78" s="1"/>
  <c r="R249" i="78" a="1"/>
  <c r="R249" i="78" s="1"/>
  <c r="Q249" i="78" a="1"/>
  <c r="Q249" i="78" s="1"/>
  <c r="P249" i="78" a="1"/>
  <c r="P249" i="78" s="1"/>
  <c r="O249" i="78" a="1"/>
  <c r="O249" i="78" s="1"/>
  <c r="N249" i="78" a="1"/>
  <c r="N249" i="78" s="1"/>
  <c r="M249" i="78" a="1"/>
  <c r="M249" i="78" s="1"/>
  <c r="L249" i="78" a="1"/>
  <c r="L249" i="78" s="1"/>
  <c r="K249" i="78" a="1"/>
  <c r="K249" i="78" s="1"/>
  <c r="J249" i="78" a="1"/>
  <c r="J249" i="78" s="1"/>
  <c r="I249" i="78" a="1"/>
  <c r="I249" i="78" s="1"/>
  <c r="H249" i="78" a="1"/>
  <c r="H249" i="78" s="1"/>
  <c r="G249" i="78" a="1"/>
  <c r="G249" i="78" s="1"/>
  <c r="F249" i="78" a="1"/>
  <c r="F249" i="78" s="1"/>
  <c r="E249" i="78" a="1"/>
  <c r="E249" i="78" s="1"/>
  <c r="D249" i="78" a="1"/>
  <c r="D249" i="78" s="1"/>
  <c r="S248" i="78" a="1"/>
  <c r="S248" i="78" s="1"/>
  <c r="R248" i="78" a="1"/>
  <c r="R248" i="78" s="1"/>
  <c r="Q248" i="78" a="1"/>
  <c r="Q248" i="78" s="1"/>
  <c r="P248" i="78" a="1"/>
  <c r="P248" i="78" s="1"/>
  <c r="O248" i="78" a="1"/>
  <c r="O248" i="78" s="1"/>
  <c r="N248" i="78" a="1"/>
  <c r="N248" i="78" s="1"/>
  <c r="M248" i="78" a="1"/>
  <c r="M248" i="78" s="1"/>
  <c r="L248" i="78" a="1"/>
  <c r="L248" i="78" s="1"/>
  <c r="K248" i="78" a="1"/>
  <c r="K248" i="78" s="1"/>
  <c r="J248" i="78" a="1"/>
  <c r="J248" i="78" s="1"/>
  <c r="I248" i="78" a="1"/>
  <c r="I248" i="78" s="1"/>
  <c r="H248" i="78" a="1"/>
  <c r="H248" i="78" s="1"/>
  <c r="G248" i="78" a="1"/>
  <c r="G248" i="78" s="1"/>
  <c r="F248" i="78" a="1"/>
  <c r="F248" i="78" s="1"/>
  <c r="E248" i="78" a="1"/>
  <c r="E248" i="78" s="1"/>
  <c r="D248" i="78" a="1"/>
  <c r="D248" i="78" s="1"/>
  <c r="S247" i="78" a="1"/>
  <c r="S247" i="78" s="1"/>
  <c r="R247" i="78" a="1"/>
  <c r="R247" i="78" s="1"/>
  <c r="Q247" i="78" a="1"/>
  <c r="Q247" i="78" s="1"/>
  <c r="P247" i="78" a="1"/>
  <c r="P247" i="78" s="1"/>
  <c r="O247" i="78" a="1"/>
  <c r="O247" i="78" s="1"/>
  <c r="N247" i="78" a="1"/>
  <c r="N247" i="78" s="1"/>
  <c r="M247" i="78" a="1"/>
  <c r="M247" i="78" s="1"/>
  <c r="L247" i="78" a="1"/>
  <c r="L247" i="78" s="1"/>
  <c r="K247" i="78" a="1"/>
  <c r="K247" i="78" s="1"/>
  <c r="J247" i="78" a="1"/>
  <c r="J247" i="78" s="1"/>
  <c r="I247" i="78" a="1"/>
  <c r="I247" i="78" s="1"/>
  <c r="H247" i="78" a="1"/>
  <c r="H247" i="78" s="1"/>
  <c r="G247" i="78" a="1"/>
  <c r="G247" i="78" s="1"/>
  <c r="F247" i="78" a="1"/>
  <c r="F247" i="78" s="1"/>
  <c r="E247" i="78" a="1"/>
  <c r="E247" i="78" s="1"/>
  <c r="D247" i="78" a="1"/>
  <c r="D247" i="78" s="1"/>
  <c r="S246" i="78" a="1"/>
  <c r="S246" i="78" s="1"/>
  <c r="R246" i="78" a="1"/>
  <c r="R246" i="78" s="1"/>
  <c r="Q246" i="78" a="1"/>
  <c r="Q246" i="78" s="1"/>
  <c r="P246" i="78" a="1"/>
  <c r="P246" i="78" s="1"/>
  <c r="O246" i="78" a="1"/>
  <c r="O246" i="78" s="1"/>
  <c r="N246" i="78" a="1"/>
  <c r="N246" i="78" s="1"/>
  <c r="M246" i="78" a="1"/>
  <c r="M246" i="78" s="1"/>
  <c r="L246" i="78" a="1"/>
  <c r="L246" i="78" s="1"/>
  <c r="K246" i="78" a="1"/>
  <c r="K246" i="78" s="1"/>
  <c r="J246" i="78" a="1"/>
  <c r="J246" i="78" s="1"/>
  <c r="I246" i="78" a="1"/>
  <c r="I246" i="78" s="1"/>
  <c r="H246" i="78" a="1"/>
  <c r="H246" i="78" s="1"/>
  <c r="G246" i="78" a="1"/>
  <c r="G246" i="78" s="1"/>
  <c r="F246" i="78" a="1"/>
  <c r="F246" i="78" s="1"/>
  <c r="E246" i="78" a="1"/>
  <c r="E246" i="78" s="1"/>
  <c r="D246" i="78" a="1"/>
  <c r="D246" i="78" s="1"/>
  <c r="S245" i="78" a="1"/>
  <c r="S245" i="78" s="1"/>
  <c r="R245" i="78" a="1"/>
  <c r="R245" i="78" s="1"/>
  <c r="Q245" i="78" a="1"/>
  <c r="Q245" i="78" s="1"/>
  <c r="P245" i="78" a="1"/>
  <c r="P245" i="78" s="1"/>
  <c r="O245" i="78" a="1"/>
  <c r="O245" i="78" s="1"/>
  <c r="N245" i="78" a="1"/>
  <c r="N245" i="78" s="1"/>
  <c r="M245" i="78" a="1"/>
  <c r="M245" i="78" s="1"/>
  <c r="L245" i="78" a="1"/>
  <c r="L245" i="78" s="1"/>
  <c r="K245" i="78" a="1"/>
  <c r="K245" i="78" s="1"/>
  <c r="J245" i="78" a="1"/>
  <c r="J245" i="78" s="1"/>
  <c r="I245" i="78" a="1"/>
  <c r="I245" i="78" s="1"/>
  <c r="H245" i="78" a="1"/>
  <c r="H245" i="78" s="1"/>
  <c r="G245" i="78" a="1"/>
  <c r="G245" i="78" s="1"/>
  <c r="F245" i="78" a="1"/>
  <c r="F245" i="78" s="1"/>
  <c r="E245" i="78" a="1"/>
  <c r="E245" i="78" s="1"/>
  <c r="D245" i="78" a="1"/>
  <c r="D245" i="78" s="1"/>
  <c r="S244" i="78" a="1"/>
  <c r="S244" i="78" s="1"/>
  <c r="R244" i="78" a="1"/>
  <c r="R244" i="78" s="1"/>
  <c r="Q244" i="78" a="1"/>
  <c r="Q244" i="78" s="1"/>
  <c r="P244" i="78" a="1"/>
  <c r="P244" i="78" s="1"/>
  <c r="O244" i="78" a="1"/>
  <c r="O244" i="78" s="1"/>
  <c r="N244" i="78" a="1"/>
  <c r="N244" i="78" s="1"/>
  <c r="M244" i="78" a="1"/>
  <c r="M244" i="78" s="1"/>
  <c r="L244" i="78" a="1"/>
  <c r="L244" i="78" s="1"/>
  <c r="K244" i="78" a="1"/>
  <c r="K244" i="78" s="1"/>
  <c r="J244" i="78" a="1"/>
  <c r="J244" i="78" s="1"/>
  <c r="I244" i="78" a="1"/>
  <c r="I244" i="78" s="1"/>
  <c r="H244" i="78" a="1"/>
  <c r="H244" i="78" s="1"/>
  <c r="G244" i="78" a="1"/>
  <c r="G244" i="78" s="1"/>
  <c r="F244" i="78" a="1"/>
  <c r="F244" i="78" s="1"/>
  <c r="E244" i="78" a="1"/>
  <c r="E244" i="78" s="1"/>
  <c r="D244" i="78" a="1"/>
  <c r="D244" i="78" s="1"/>
  <c r="S243" i="78" a="1"/>
  <c r="S243" i="78" s="1"/>
  <c r="R243" i="78" a="1"/>
  <c r="R243" i="78" s="1"/>
  <c r="Q243" i="78" a="1"/>
  <c r="Q243" i="78" s="1"/>
  <c r="P243" i="78" a="1"/>
  <c r="P243" i="78" s="1"/>
  <c r="O243" i="78" a="1"/>
  <c r="O243" i="78" s="1"/>
  <c r="N243" i="78" a="1"/>
  <c r="N243" i="78" s="1"/>
  <c r="M243" i="78" a="1"/>
  <c r="M243" i="78" s="1"/>
  <c r="L243" i="78" a="1"/>
  <c r="L243" i="78" s="1"/>
  <c r="K243" i="78" a="1"/>
  <c r="K243" i="78" s="1"/>
  <c r="J243" i="78" a="1"/>
  <c r="J243" i="78" s="1"/>
  <c r="I243" i="78" a="1"/>
  <c r="I243" i="78" s="1"/>
  <c r="H243" i="78" a="1"/>
  <c r="H243" i="78" s="1"/>
  <c r="G243" i="78" a="1"/>
  <c r="G243" i="78" s="1"/>
  <c r="F243" i="78" a="1"/>
  <c r="F243" i="78" s="1"/>
  <c r="E243" i="78" a="1"/>
  <c r="E243" i="78" s="1"/>
  <c r="D243" i="78" a="1"/>
  <c r="D243" i="78" s="1"/>
  <c r="S242" i="78" a="1"/>
  <c r="S242" i="78" s="1"/>
  <c r="R242" i="78" a="1"/>
  <c r="R242" i="78" s="1"/>
  <c r="Q242" i="78" a="1"/>
  <c r="Q242" i="78" s="1"/>
  <c r="P242" i="78" a="1"/>
  <c r="P242" i="78" s="1"/>
  <c r="O242" i="78" a="1"/>
  <c r="O242" i="78" s="1"/>
  <c r="N242" i="78" a="1"/>
  <c r="N242" i="78" s="1"/>
  <c r="M242" i="78" a="1"/>
  <c r="M242" i="78" s="1"/>
  <c r="L242" i="78" a="1"/>
  <c r="L242" i="78" s="1"/>
  <c r="K242" i="78" a="1"/>
  <c r="K242" i="78" s="1"/>
  <c r="J242" i="78" a="1"/>
  <c r="J242" i="78" s="1"/>
  <c r="I242" i="78" a="1"/>
  <c r="I242" i="78" s="1"/>
  <c r="H242" i="78" a="1"/>
  <c r="H242" i="78" s="1"/>
  <c r="G242" i="78" a="1"/>
  <c r="G242" i="78" s="1"/>
  <c r="F242" i="78" a="1"/>
  <c r="F242" i="78" s="1"/>
  <c r="E242" i="78" a="1"/>
  <c r="E242" i="78" s="1"/>
  <c r="D242" i="78" a="1"/>
  <c r="D242" i="78" s="1"/>
  <c r="S241" i="78" a="1"/>
  <c r="S241" i="78" s="1"/>
  <c r="R241" i="78" a="1"/>
  <c r="R241" i="78" s="1"/>
  <c r="Q241" i="78" a="1"/>
  <c r="Q241" i="78" s="1"/>
  <c r="P241" i="78" a="1"/>
  <c r="P241" i="78" s="1"/>
  <c r="O241" i="78" a="1"/>
  <c r="O241" i="78" s="1"/>
  <c r="N241" i="78" a="1"/>
  <c r="N241" i="78" s="1"/>
  <c r="M241" i="78" a="1"/>
  <c r="M241" i="78" s="1"/>
  <c r="L241" i="78" a="1"/>
  <c r="L241" i="78" s="1"/>
  <c r="K241" i="78" a="1"/>
  <c r="K241" i="78" s="1"/>
  <c r="J241" i="78" a="1"/>
  <c r="J241" i="78" s="1"/>
  <c r="I241" i="78" a="1"/>
  <c r="I241" i="78" s="1"/>
  <c r="H241" i="78" a="1"/>
  <c r="H241" i="78" s="1"/>
  <c r="G241" i="78" a="1"/>
  <c r="G241" i="78" s="1"/>
  <c r="F241" i="78" a="1"/>
  <c r="F241" i="78" s="1"/>
  <c r="E241" i="78" a="1"/>
  <c r="E241" i="78" s="1"/>
  <c r="D241" i="78" a="1"/>
  <c r="D241" i="78" s="1"/>
  <c r="S240" i="78" a="1"/>
  <c r="S240" i="78" s="1"/>
  <c r="R240" i="78" a="1"/>
  <c r="R240" i="78" s="1"/>
  <c r="Q240" i="78" a="1"/>
  <c r="Q240" i="78" s="1"/>
  <c r="P240" i="78" a="1"/>
  <c r="P240" i="78" s="1"/>
  <c r="O240" i="78" a="1"/>
  <c r="O240" i="78" s="1"/>
  <c r="N240" i="78" a="1"/>
  <c r="N240" i="78" s="1"/>
  <c r="M240" i="78" a="1"/>
  <c r="M240" i="78" s="1"/>
  <c r="L240" i="78" a="1"/>
  <c r="L240" i="78" s="1"/>
  <c r="K240" i="78" a="1"/>
  <c r="K240" i="78" s="1"/>
  <c r="J240" i="78" a="1"/>
  <c r="J240" i="78" s="1"/>
  <c r="I240" i="78" a="1"/>
  <c r="I240" i="78" s="1"/>
  <c r="H240" i="78" a="1"/>
  <c r="H240" i="78" s="1"/>
  <c r="G240" i="78" a="1"/>
  <c r="G240" i="78" s="1"/>
  <c r="F240" i="78" a="1"/>
  <c r="F240" i="78" s="1"/>
  <c r="E240" i="78" a="1"/>
  <c r="E240" i="78" s="1"/>
  <c r="D240" i="78" a="1"/>
  <c r="D240" i="78" s="1"/>
  <c r="S239" i="78" a="1"/>
  <c r="S239" i="78" s="1"/>
  <c r="R239" i="78" a="1"/>
  <c r="R239" i="78" s="1"/>
  <c r="Q239" i="78" a="1"/>
  <c r="Q239" i="78" s="1"/>
  <c r="P239" i="78" a="1"/>
  <c r="P239" i="78" s="1"/>
  <c r="O239" i="78" a="1"/>
  <c r="O239" i="78" s="1"/>
  <c r="N239" i="78" a="1"/>
  <c r="N239" i="78" s="1"/>
  <c r="M239" i="78" a="1"/>
  <c r="M239" i="78" s="1"/>
  <c r="L239" i="78" a="1"/>
  <c r="L239" i="78" s="1"/>
  <c r="K239" i="78" a="1"/>
  <c r="K239" i="78" s="1"/>
  <c r="J239" i="78" a="1"/>
  <c r="J239" i="78" s="1"/>
  <c r="I239" i="78" a="1"/>
  <c r="I239" i="78" s="1"/>
  <c r="H239" i="78" a="1"/>
  <c r="H239" i="78" s="1"/>
  <c r="G239" i="78" a="1"/>
  <c r="G239" i="78" s="1"/>
  <c r="F239" i="78" a="1"/>
  <c r="F239" i="78" s="1"/>
  <c r="E239" i="78" a="1"/>
  <c r="E239" i="78" s="1"/>
  <c r="D239" i="78" a="1"/>
  <c r="D239" i="78" s="1"/>
  <c r="S238" i="78" a="1"/>
  <c r="S238" i="78" s="1"/>
  <c r="R238" i="78" a="1"/>
  <c r="R238" i="78" s="1"/>
  <c r="Q238" i="78" a="1"/>
  <c r="Q238" i="78" s="1"/>
  <c r="P238" i="78" a="1"/>
  <c r="P238" i="78" s="1"/>
  <c r="O238" i="78" a="1"/>
  <c r="O238" i="78" s="1"/>
  <c r="N238" i="78" a="1"/>
  <c r="N238" i="78" s="1"/>
  <c r="M238" i="78" a="1"/>
  <c r="M238" i="78" s="1"/>
  <c r="L238" i="78" a="1"/>
  <c r="L238" i="78" s="1"/>
  <c r="K238" i="78" a="1"/>
  <c r="K238" i="78" s="1"/>
  <c r="J238" i="78" a="1"/>
  <c r="J238" i="78" s="1"/>
  <c r="I238" i="78" a="1"/>
  <c r="I238" i="78" s="1"/>
  <c r="H238" i="78" a="1"/>
  <c r="H238" i="78" s="1"/>
  <c r="G238" i="78" a="1"/>
  <c r="G238" i="78" s="1"/>
  <c r="F238" i="78" a="1"/>
  <c r="F238" i="78" s="1"/>
  <c r="E238" i="78" a="1"/>
  <c r="E238" i="78" s="1"/>
  <c r="D238" i="78" a="1"/>
  <c r="D238" i="78" s="1"/>
  <c r="S237" i="78" a="1"/>
  <c r="S237" i="78" s="1"/>
  <c r="R237" i="78" a="1"/>
  <c r="R237" i="78" s="1"/>
  <c r="Q237" i="78" a="1"/>
  <c r="Q237" i="78" s="1"/>
  <c r="P237" i="78" a="1"/>
  <c r="P237" i="78" s="1"/>
  <c r="O237" i="78" a="1"/>
  <c r="O237" i="78" s="1"/>
  <c r="N237" i="78" a="1"/>
  <c r="N237" i="78" s="1"/>
  <c r="M237" i="78" a="1"/>
  <c r="M237" i="78" s="1"/>
  <c r="L237" i="78" a="1"/>
  <c r="L237" i="78" s="1"/>
  <c r="K237" i="78" a="1"/>
  <c r="K237" i="78" s="1"/>
  <c r="J237" i="78" a="1"/>
  <c r="J237" i="78" s="1"/>
  <c r="I237" i="78" a="1"/>
  <c r="I237" i="78" s="1"/>
  <c r="H237" i="78" a="1"/>
  <c r="H237" i="78" s="1"/>
  <c r="G237" i="78" a="1"/>
  <c r="G237" i="78" s="1"/>
  <c r="F237" i="78" a="1"/>
  <c r="F237" i="78" s="1"/>
  <c r="E237" i="78" a="1"/>
  <c r="E237" i="78" s="1"/>
  <c r="D237" i="78" a="1"/>
  <c r="D237" i="78" s="1"/>
  <c r="S236" i="78" a="1"/>
  <c r="S236" i="78" s="1"/>
  <c r="R236" i="78" a="1"/>
  <c r="R236" i="78" s="1"/>
  <c r="Q236" i="78" a="1"/>
  <c r="Q236" i="78" s="1"/>
  <c r="P236" i="78" a="1"/>
  <c r="P236" i="78" s="1"/>
  <c r="O236" i="78" a="1"/>
  <c r="O236" i="78" s="1"/>
  <c r="N236" i="78" a="1"/>
  <c r="N236" i="78" s="1"/>
  <c r="M236" i="78" a="1"/>
  <c r="M236" i="78" s="1"/>
  <c r="L236" i="78" a="1"/>
  <c r="L236" i="78" s="1"/>
  <c r="K236" i="78" a="1"/>
  <c r="K236" i="78" s="1"/>
  <c r="J236" i="78" a="1"/>
  <c r="J236" i="78" s="1"/>
  <c r="I236" i="78" a="1"/>
  <c r="I236" i="78" s="1"/>
  <c r="H236" i="78" a="1"/>
  <c r="H236" i="78" s="1"/>
  <c r="G236" i="78" a="1"/>
  <c r="G236" i="78" s="1"/>
  <c r="F236" i="78" a="1"/>
  <c r="F236" i="78" s="1"/>
  <c r="E236" i="78" a="1"/>
  <c r="E236" i="78" s="1"/>
  <c r="D236" i="78" a="1"/>
  <c r="D236" i="78" s="1"/>
  <c r="S235" i="78" a="1"/>
  <c r="S235" i="78" s="1"/>
  <c r="R235" i="78" a="1"/>
  <c r="R235" i="78" s="1"/>
  <c r="Q235" i="78" a="1"/>
  <c r="Q235" i="78" s="1"/>
  <c r="P235" i="78" a="1"/>
  <c r="P235" i="78" s="1"/>
  <c r="O235" i="78" a="1"/>
  <c r="O235" i="78" s="1"/>
  <c r="N235" i="78" a="1"/>
  <c r="N235" i="78" s="1"/>
  <c r="M235" i="78" a="1"/>
  <c r="M235" i="78" s="1"/>
  <c r="L235" i="78" a="1"/>
  <c r="L235" i="78" s="1"/>
  <c r="K235" i="78" a="1"/>
  <c r="K235" i="78" s="1"/>
  <c r="J235" i="78" a="1"/>
  <c r="J235" i="78" s="1"/>
  <c r="I235" i="78" a="1"/>
  <c r="I235" i="78" s="1"/>
  <c r="H235" i="78" a="1"/>
  <c r="H235" i="78" s="1"/>
  <c r="G235" i="78" a="1"/>
  <c r="G235" i="78" s="1"/>
  <c r="F235" i="78" a="1"/>
  <c r="F235" i="78" s="1"/>
  <c r="E235" i="78" a="1"/>
  <c r="E235" i="78" s="1"/>
  <c r="D235" i="78" a="1"/>
  <c r="D235" i="78" s="1"/>
  <c r="S234" i="78" a="1"/>
  <c r="S234" i="78" s="1"/>
  <c r="R234" i="78" a="1"/>
  <c r="R234" i="78" s="1"/>
  <c r="Q234" i="78" a="1"/>
  <c r="Q234" i="78" s="1"/>
  <c r="P234" i="78" a="1"/>
  <c r="P234" i="78" s="1"/>
  <c r="O234" i="78" a="1"/>
  <c r="O234" i="78" s="1"/>
  <c r="N234" i="78" a="1"/>
  <c r="N234" i="78" s="1"/>
  <c r="M234" i="78" a="1"/>
  <c r="M234" i="78" s="1"/>
  <c r="L234" i="78" a="1"/>
  <c r="L234" i="78" s="1"/>
  <c r="K234" i="78" a="1"/>
  <c r="K234" i="78" s="1"/>
  <c r="J234" i="78" a="1"/>
  <c r="J234" i="78" s="1"/>
  <c r="I234" i="78" a="1"/>
  <c r="I234" i="78" s="1"/>
  <c r="H234" i="78" a="1"/>
  <c r="H234" i="78" s="1"/>
  <c r="G234" i="78" a="1"/>
  <c r="G234" i="78" s="1"/>
  <c r="F234" i="78" a="1"/>
  <c r="F234" i="78" s="1"/>
  <c r="E234" i="78" a="1"/>
  <c r="E234" i="78" s="1"/>
  <c r="D234" i="78" a="1"/>
  <c r="D234" i="78" s="1"/>
  <c r="S233" i="78" a="1"/>
  <c r="S233" i="78" s="1"/>
  <c r="R233" i="78" a="1"/>
  <c r="R233" i="78" s="1"/>
  <c r="Q233" i="78" a="1"/>
  <c r="Q233" i="78" s="1"/>
  <c r="P233" i="78" a="1"/>
  <c r="P233" i="78" s="1"/>
  <c r="O233" i="78" a="1"/>
  <c r="O233" i="78" s="1"/>
  <c r="N233" i="78" a="1"/>
  <c r="N233" i="78" s="1"/>
  <c r="M233" i="78" a="1"/>
  <c r="M233" i="78" s="1"/>
  <c r="L233" i="78" a="1"/>
  <c r="L233" i="78" s="1"/>
  <c r="K233" i="78" a="1"/>
  <c r="K233" i="78" s="1"/>
  <c r="J233" i="78" a="1"/>
  <c r="J233" i="78" s="1"/>
  <c r="I233" i="78" a="1"/>
  <c r="I233" i="78" s="1"/>
  <c r="H233" i="78" a="1"/>
  <c r="H233" i="78" s="1"/>
  <c r="G233" i="78" a="1"/>
  <c r="G233" i="78" s="1"/>
  <c r="F233" i="78" a="1"/>
  <c r="F233" i="78" s="1"/>
  <c r="E233" i="78" a="1"/>
  <c r="E233" i="78" s="1"/>
  <c r="D233" i="78" a="1"/>
  <c r="D233" i="78" s="1"/>
  <c r="S232" i="78" a="1"/>
  <c r="S232" i="78" s="1"/>
  <c r="R232" i="78" a="1"/>
  <c r="R232" i="78" s="1"/>
  <c r="Q232" i="78" a="1"/>
  <c r="Q232" i="78" s="1"/>
  <c r="P232" i="78" a="1"/>
  <c r="P232" i="78" s="1"/>
  <c r="O232" i="78" a="1"/>
  <c r="O232" i="78" s="1"/>
  <c r="N232" i="78" a="1"/>
  <c r="N232" i="78" s="1"/>
  <c r="M232" i="78" a="1"/>
  <c r="M232" i="78" s="1"/>
  <c r="L232" i="78" a="1"/>
  <c r="L232" i="78" s="1"/>
  <c r="K232" i="78" a="1"/>
  <c r="K232" i="78" s="1"/>
  <c r="J232" i="78" a="1"/>
  <c r="J232" i="78" s="1"/>
  <c r="I232" i="78" a="1"/>
  <c r="I232" i="78" s="1"/>
  <c r="H232" i="78" a="1"/>
  <c r="H232" i="78" s="1"/>
  <c r="G232" i="78" a="1"/>
  <c r="G232" i="78" s="1"/>
  <c r="F232" i="78" a="1"/>
  <c r="F232" i="78" s="1"/>
  <c r="E232" i="78" a="1"/>
  <c r="E232" i="78" s="1"/>
  <c r="D232" i="78" a="1"/>
  <c r="D232" i="78" s="1"/>
  <c r="D229" i="78" a="1"/>
  <c r="D229" i="78" s="1"/>
  <c r="D228" i="78" a="1"/>
  <c r="D228" i="78" s="1"/>
  <c r="D227" i="78" a="1"/>
  <c r="D227" i="78" s="1"/>
  <c r="E224" i="78" a="1"/>
  <c r="E224" i="78" s="1"/>
  <c r="D224" i="78" a="1"/>
  <c r="D224" i="78" s="1"/>
  <c r="E223" i="78" a="1"/>
  <c r="E223" i="78" s="1"/>
  <c r="D223" i="78" a="1"/>
  <c r="D223" i="78" s="1"/>
  <c r="E222" i="78" a="1"/>
  <c r="E222" i="78" s="1"/>
  <c r="D222" i="78" a="1"/>
  <c r="D222" i="78" s="1"/>
  <c r="E221" i="78" a="1"/>
  <c r="E221" i="78" s="1"/>
  <c r="D221" i="78" a="1"/>
  <c r="D221" i="78" s="1"/>
  <c r="E220" i="78" a="1"/>
  <c r="E220" i="78" s="1"/>
  <c r="D220" i="78" a="1"/>
  <c r="D220" i="78" s="1"/>
  <c r="E219" i="78" a="1"/>
  <c r="E219" i="78" s="1"/>
  <c r="D219" i="78" a="1"/>
  <c r="D219" i="78" s="1"/>
  <c r="E218" i="78" a="1"/>
  <c r="E218" i="78" s="1"/>
  <c r="D218" i="78" a="1"/>
  <c r="D218" i="78" s="1"/>
  <c r="E217" i="78" a="1"/>
  <c r="E217" i="78" s="1"/>
  <c r="D217" i="78" a="1"/>
  <c r="D217" i="78" s="1"/>
  <c r="E216" i="78" a="1"/>
  <c r="E216" i="78" s="1"/>
  <c r="D216" i="78" a="1"/>
  <c r="D216" i="78" s="1"/>
  <c r="E215" i="78" a="1"/>
  <c r="E215" i="78" s="1"/>
  <c r="D215" i="78" a="1"/>
  <c r="D215" i="78" s="1"/>
  <c r="E214" i="78" a="1"/>
  <c r="E214" i="78" s="1"/>
  <c r="D214" i="78" a="1"/>
  <c r="D214" i="78" s="1"/>
  <c r="E213" i="78" a="1"/>
  <c r="E213" i="78" s="1"/>
  <c r="D213" i="78" a="1"/>
  <c r="D213" i="78" s="1"/>
  <c r="D211" i="78" a="1"/>
  <c r="D211" i="78" s="1"/>
  <c r="E208" i="78" a="1"/>
  <c r="E208" i="78" s="1"/>
  <c r="D208" i="78" a="1"/>
  <c r="D208" i="78" s="1"/>
  <c r="E207" i="78" a="1"/>
  <c r="E207" i="78" s="1"/>
  <c r="D207" i="78" a="1"/>
  <c r="D207" i="78" s="1"/>
  <c r="D205" i="78" a="1"/>
  <c r="D205" i="78" s="1"/>
  <c r="D204" i="78" a="1"/>
  <c r="D204" i="78" s="1"/>
  <c r="D203" i="78" a="1"/>
  <c r="D203" i="78" s="1"/>
  <c r="D202" i="78" a="1"/>
  <c r="D202" i="78" s="1"/>
  <c r="H199" i="78" a="1"/>
  <c r="H199" i="78" s="1"/>
  <c r="G199" i="78" a="1"/>
  <c r="G199" i="78" s="1"/>
  <c r="F199" i="78" a="1"/>
  <c r="F199" i="78" s="1"/>
  <c r="E199" i="78" a="1"/>
  <c r="E199" i="78" s="1"/>
  <c r="D199" i="78" a="1"/>
  <c r="D199" i="78" s="1"/>
  <c r="H198" i="78" a="1"/>
  <c r="H198" i="78" s="1"/>
  <c r="G198" i="78" a="1"/>
  <c r="G198" i="78" s="1"/>
  <c r="F198" i="78" a="1"/>
  <c r="F198" i="78" s="1"/>
  <c r="E198" i="78" a="1"/>
  <c r="E198" i="78" s="1"/>
  <c r="D198" i="78" a="1"/>
  <c r="D198" i="78" s="1"/>
  <c r="H197" i="78" a="1"/>
  <c r="H197" i="78" s="1"/>
  <c r="G197" i="78" a="1"/>
  <c r="G197" i="78" s="1"/>
  <c r="F197" i="78" a="1"/>
  <c r="F197" i="78" s="1"/>
  <c r="E197" i="78" a="1"/>
  <c r="E197" i="78" s="1"/>
  <c r="D197" i="78" a="1"/>
  <c r="D197" i="78" s="1"/>
  <c r="H196" i="78" a="1"/>
  <c r="H196" i="78" s="1"/>
  <c r="G196" i="78" a="1"/>
  <c r="G196" i="78" s="1"/>
  <c r="F196" i="78" a="1"/>
  <c r="F196" i="78" s="1"/>
  <c r="E196" i="78" a="1"/>
  <c r="E196" i="78" s="1"/>
  <c r="D196" i="78" a="1"/>
  <c r="D196" i="78" s="1"/>
  <c r="H195" i="78" a="1"/>
  <c r="H195" i="78" s="1"/>
  <c r="G195" i="78" a="1"/>
  <c r="G195" i="78" s="1"/>
  <c r="F195" i="78" a="1"/>
  <c r="F195" i="78" s="1"/>
  <c r="E195" i="78" a="1"/>
  <c r="E195" i="78" s="1"/>
  <c r="D195" i="78" a="1"/>
  <c r="D195" i="78" s="1"/>
  <c r="H194" i="78" a="1"/>
  <c r="H194" i="78" s="1"/>
  <c r="G194" i="78" a="1"/>
  <c r="G194" i="78" s="1"/>
  <c r="F194" i="78" a="1"/>
  <c r="F194" i="78" s="1"/>
  <c r="E194" i="78" a="1"/>
  <c r="E194" i="78" s="1"/>
  <c r="D194" i="78" a="1"/>
  <c r="D194" i="78" s="1"/>
  <c r="H193" i="78" a="1"/>
  <c r="H193" i="78" s="1"/>
  <c r="G193" i="78" a="1"/>
  <c r="G193" i="78" s="1"/>
  <c r="F193" i="78" a="1"/>
  <c r="F193" i="78" s="1"/>
  <c r="E193" i="78" a="1"/>
  <c r="E193" i="78" s="1"/>
  <c r="D193" i="78" a="1"/>
  <c r="D193" i="78" s="1"/>
  <c r="H192" i="78" a="1"/>
  <c r="H192" i="78" s="1"/>
  <c r="G192" i="78" a="1"/>
  <c r="G192" i="78" s="1"/>
  <c r="F192" i="78" a="1"/>
  <c r="F192" i="78" s="1"/>
  <c r="E192" i="78" a="1"/>
  <c r="E192" i="78" s="1"/>
  <c r="D192" i="78" a="1"/>
  <c r="D192" i="78" s="1"/>
  <c r="H191" i="78" a="1"/>
  <c r="H191" i="78" s="1"/>
  <c r="G191" i="78" a="1"/>
  <c r="G191" i="78" s="1"/>
  <c r="F191" i="78" a="1"/>
  <c r="F191" i="78" s="1"/>
  <c r="E191" i="78" a="1"/>
  <c r="E191" i="78" s="1"/>
  <c r="D191" i="78" a="1"/>
  <c r="D191" i="78" s="1"/>
  <c r="H190" i="78" a="1"/>
  <c r="H190" i="78" s="1"/>
  <c r="G190" i="78" a="1"/>
  <c r="G190" i="78" s="1"/>
  <c r="F190" i="78" a="1"/>
  <c r="F190" i="78" s="1"/>
  <c r="E190" i="78" a="1"/>
  <c r="E190" i="78" s="1"/>
  <c r="D190" i="78" a="1"/>
  <c r="D190" i="78" s="1"/>
  <c r="H189" i="78" a="1"/>
  <c r="H189" i="78" s="1"/>
  <c r="G189" i="78" a="1"/>
  <c r="G189" i="78" s="1"/>
  <c r="F189" i="78" a="1"/>
  <c r="F189" i="78" s="1"/>
  <c r="E189" i="78" a="1"/>
  <c r="E189" i="78" s="1"/>
  <c r="D189" i="78" a="1"/>
  <c r="D189" i="78" s="1"/>
  <c r="H188" i="78" a="1"/>
  <c r="H188" i="78" s="1"/>
  <c r="G188" i="78" a="1"/>
  <c r="G188" i="78" s="1"/>
  <c r="F188" i="78" a="1"/>
  <c r="F188" i="78" s="1"/>
  <c r="E188" i="78" a="1"/>
  <c r="E188" i="78" s="1"/>
  <c r="D188" i="78" a="1"/>
  <c r="D188" i="78" s="1"/>
  <c r="H187" i="78" a="1"/>
  <c r="H187" i="78" s="1"/>
  <c r="G187" i="78" a="1"/>
  <c r="G187" i="78" s="1"/>
  <c r="F187" i="78" a="1"/>
  <c r="F187" i="78" s="1"/>
  <c r="E187" i="78" a="1"/>
  <c r="E187" i="78" s="1"/>
  <c r="D187" i="78" a="1"/>
  <c r="D187" i="78" s="1"/>
  <c r="D181" i="78" a="1"/>
  <c r="D181" i="78" s="1"/>
  <c r="D180" i="78" a="1"/>
  <c r="D180" i="78" s="1"/>
  <c r="D179" i="78" a="1"/>
  <c r="D179" i="78" s="1"/>
  <c r="D178" i="78" a="1"/>
  <c r="D178" i="78" s="1"/>
  <c r="E175" i="78" a="1"/>
  <c r="E175" i="78" s="1"/>
  <c r="D175" i="78"/>
  <c r="D175" i="78" a="1"/>
  <c r="D174" i="78" a="1"/>
  <c r="D174" i="78" s="1"/>
  <c r="D173" i="78" a="1"/>
  <c r="D173" i="78" s="1"/>
  <c r="D170" i="78" a="1"/>
  <c r="D170" i="78" s="1"/>
  <c r="D169" i="78" a="1"/>
  <c r="D169" i="78" s="1"/>
  <c r="D168" i="78" a="1"/>
  <c r="D168" i="78" s="1"/>
  <c r="D167" i="78" a="1"/>
  <c r="D167" i="78" s="1"/>
  <c r="D164" i="78" a="1"/>
  <c r="D164" i="78" s="1"/>
  <c r="D163" i="78" a="1"/>
  <c r="D163" i="78" s="1"/>
  <c r="D162" i="78" a="1"/>
  <c r="D162" i="78" s="1"/>
  <c r="D161" i="78" a="1"/>
  <c r="D161" i="78" s="1"/>
  <c r="E158" i="78" a="1"/>
  <c r="E158" i="78" s="1"/>
  <c r="D158" i="78" a="1"/>
  <c r="D158" i="78" s="1"/>
  <c r="E157" i="78" a="1"/>
  <c r="E157" i="78" s="1"/>
  <c r="D157" i="78" a="1"/>
  <c r="D157" i="78" s="1"/>
  <c r="E156" i="78" a="1"/>
  <c r="E156" i="78" s="1"/>
  <c r="D156" i="78" a="1"/>
  <c r="D156" i="78" s="1"/>
  <c r="E155" i="78" a="1"/>
  <c r="E155" i="78" s="1"/>
  <c r="D155" i="78" a="1"/>
  <c r="D155" i="78" s="1"/>
  <c r="E154" i="78" a="1"/>
  <c r="E154" i="78" s="1"/>
  <c r="D154" i="78" a="1"/>
  <c r="D154" i="78" s="1"/>
  <c r="D151" i="78" a="1"/>
  <c r="D151" i="78" s="1"/>
  <c r="D150" i="78" a="1"/>
  <c r="D150" i="78" s="1"/>
  <c r="E147" i="78" a="1"/>
  <c r="E147" i="78" s="1"/>
  <c r="D147" i="78" a="1"/>
  <c r="D147" i="78" s="1"/>
  <c r="E146" i="78" a="1"/>
  <c r="E146" i="78" s="1"/>
  <c r="D146" i="78" a="1"/>
  <c r="D146" i="78" s="1"/>
  <c r="E145" i="78" a="1"/>
  <c r="E145" i="78" s="1"/>
  <c r="D145" i="78" a="1"/>
  <c r="D145" i="78" s="1"/>
  <c r="E144" i="78" a="1"/>
  <c r="E144" i="78" s="1"/>
  <c r="D144" i="78" a="1"/>
  <c r="D144" i="78" s="1"/>
  <c r="E143" i="78" a="1"/>
  <c r="E143" i="78" s="1"/>
  <c r="D143" i="78" a="1"/>
  <c r="D143" i="78" s="1"/>
  <c r="D141" i="78" a="1"/>
  <c r="D141" i="78" s="1"/>
  <c r="D140" i="78" a="1"/>
  <c r="D140" i="78" s="1"/>
  <c r="D139" i="78" a="1"/>
  <c r="D139" i="78" s="1"/>
  <c r="E136" i="78" a="1"/>
  <c r="E136" i="78" s="1"/>
  <c r="D136" i="78" a="1"/>
  <c r="D136" i="78" s="1"/>
  <c r="E135" i="78" a="1"/>
  <c r="E135" i="78" s="1"/>
  <c r="D135" i="78" a="1"/>
  <c r="D135" i="78" s="1"/>
  <c r="D133" i="78" a="1"/>
  <c r="D133" i="78" s="1"/>
  <c r="D132" i="78" a="1"/>
  <c r="D132" i="78" s="1"/>
  <c r="E129" i="78" a="1"/>
  <c r="E129" i="78" s="1"/>
  <c r="D129" i="78" a="1"/>
  <c r="D129" i="78" s="1"/>
  <c r="E128" i="78" a="1"/>
  <c r="E128" i="78" s="1"/>
  <c r="D128" i="78" a="1"/>
  <c r="D128" i="78" s="1"/>
  <c r="D125" i="78" a="1"/>
  <c r="D125" i="78" s="1"/>
  <c r="D124" i="78" a="1"/>
  <c r="D124" i="78" s="1"/>
  <c r="G121" i="78" a="1"/>
  <c r="G121" i="78" s="1"/>
  <c r="F121" i="78" a="1"/>
  <c r="F121" i="78" s="1"/>
  <c r="E121" i="78" a="1"/>
  <c r="E121" i="78" s="1"/>
  <c r="D121" i="78" a="1"/>
  <c r="D121" i="78" s="1"/>
  <c r="G120" i="78" a="1"/>
  <c r="G120" i="78" s="1"/>
  <c r="F120" i="78" a="1"/>
  <c r="F120" i="78" s="1"/>
  <c r="E120" i="78" a="1"/>
  <c r="E120" i="78" s="1"/>
  <c r="D120" i="78" a="1"/>
  <c r="D120" i="78" s="1"/>
  <c r="D117" i="78" a="1"/>
  <c r="D117" i="78" s="1"/>
  <c r="D116" i="78" a="1"/>
  <c r="D116" i="78" s="1"/>
  <c r="D115" i="78"/>
  <c r="D115" i="78" a="1"/>
  <c r="G112" i="78" a="1"/>
  <c r="G112" i="78" s="1"/>
  <c r="F112" i="78" a="1"/>
  <c r="F112" i="78" s="1"/>
  <c r="E112" i="78" a="1"/>
  <c r="E112" i="78" s="1"/>
  <c r="D112" i="78" a="1"/>
  <c r="D112" i="78" s="1"/>
  <c r="G111" i="78" a="1"/>
  <c r="G111" i="78" s="1"/>
  <c r="F111" i="78" a="1"/>
  <c r="F111" i="78" s="1"/>
  <c r="E111" i="78" a="1"/>
  <c r="E111" i="78" s="1"/>
  <c r="D111" i="78" a="1"/>
  <c r="D111" i="78" s="1"/>
  <c r="G110" i="78" a="1"/>
  <c r="G110" i="78" s="1"/>
  <c r="F110" i="78" a="1"/>
  <c r="F110" i="78" s="1"/>
  <c r="E110" i="78" a="1"/>
  <c r="E110" i="78" s="1"/>
  <c r="D110" i="78" a="1"/>
  <c r="D110" i="78" s="1"/>
  <c r="D107" i="78" a="1"/>
  <c r="D107" i="78" s="1"/>
  <c r="D106" i="78" a="1"/>
  <c r="D106" i="78" s="1"/>
  <c r="D105" i="78" a="1"/>
  <c r="D105" i="78" s="1"/>
  <c r="D99" i="78" a="1"/>
  <c r="D99" i="78" s="1"/>
  <c r="S97" i="78" a="1"/>
  <c r="S97" i="78" s="1"/>
  <c r="R97" i="78" a="1"/>
  <c r="R97" i="78" s="1"/>
  <c r="Q97" i="78" a="1"/>
  <c r="Q97" i="78" s="1"/>
  <c r="P97" i="78" a="1"/>
  <c r="P97" i="78" s="1"/>
  <c r="O97" i="78" a="1"/>
  <c r="O97" i="78" s="1"/>
  <c r="N97" i="78" a="1"/>
  <c r="N97" i="78" s="1"/>
  <c r="M97" i="78" a="1"/>
  <c r="M97" i="78" s="1"/>
  <c r="L97" i="78" a="1"/>
  <c r="L97" i="78" s="1"/>
  <c r="K97" i="78" a="1"/>
  <c r="K97" i="78" s="1"/>
  <c r="J97" i="78" a="1"/>
  <c r="J97" i="78" s="1"/>
  <c r="I97" i="78" a="1"/>
  <c r="I97" i="78" s="1"/>
  <c r="H97" i="78" a="1"/>
  <c r="H97" i="78" s="1"/>
  <c r="G97" i="78" a="1"/>
  <c r="G97" i="78" s="1"/>
  <c r="F97" i="78" a="1"/>
  <c r="F97" i="78" s="1"/>
  <c r="E97" i="78" a="1"/>
  <c r="E97" i="78" s="1"/>
  <c r="D97" i="78" a="1"/>
  <c r="D97" i="78" s="1"/>
  <c r="S96" i="78" a="1"/>
  <c r="S96" i="78" s="1"/>
  <c r="R96" i="78" a="1"/>
  <c r="R96" i="78" s="1"/>
  <c r="Q96" i="78" a="1"/>
  <c r="Q96" i="78" s="1"/>
  <c r="P96" i="78" a="1"/>
  <c r="P96" i="78" s="1"/>
  <c r="O96" i="78" a="1"/>
  <c r="O96" i="78" s="1"/>
  <c r="N96" i="78" a="1"/>
  <c r="N96" i="78" s="1"/>
  <c r="M96" i="78" a="1"/>
  <c r="M96" i="78" s="1"/>
  <c r="L96" i="78" a="1"/>
  <c r="L96" i="78" s="1"/>
  <c r="K96" i="78" a="1"/>
  <c r="K96" i="78" s="1"/>
  <c r="J96" i="78" a="1"/>
  <c r="J96" i="78" s="1"/>
  <c r="I96" i="78" a="1"/>
  <c r="I96" i="78" s="1"/>
  <c r="H96" i="78" a="1"/>
  <c r="H96" i="78" s="1"/>
  <c r="G96" i="78" a="1"/>
  <c r="G96" i="78" s="1"/>
  <c r="F96" i="78" a="1"/>
  <c r="F96" i="78" s="1"/>
  <c r="E96" i="78" a="1"/>
  <c r="E96" i="78" s="1"/>
  <c r="D96" i="78" a="1"/>
  <c r="D96" i="78" s="1"/>
  <c r="S95" i="78" a="1"/>
  <c r="S95" i="78" s="1"/>
  <c r="R95" i="78" a="1"/>
  <c r="R95" i="78" s="1"/>
  <c r="Q95" i="78" a="1"/>
  <c r="Q95" i="78" s="1"/>
  <c r="P95" i="78" a="1"/>
  <c r="P95" i="78" s="1"/>
  <c r="O95" i="78" a="1"/>
  <c r="O95" i="78" s="1"/>
  <c r="N95" i="78" a="1"/>
  <c r="N95" i="78" s="1"/>
  <c r="M95" i="78" a="1"/>
  <c r="M95" i="78" s="1"/>
  <c r="L95" i="78" a="1"/>
  <c r="L95" i="78" s="1"/>
  <c r="K95" i="78" a="1"/>
  <c r="K95" i="78" s="1"/>
  <c r="J95" i="78" a="1"/>
  <c r="J95" i="78" s="1"/>
  <c r="I95" i="78" a="1"/>
  <c r="I95" i="78" s="1"/>
  <c r="H95" i="78" a="1"/>
  <c r="H95" i="78" s="1"/>
  <c r="G95" i="78" a="1"/>
  <c r="G95" i="78" s="1"/>
  <c r="F95" i="78" a="1"/>
  <c r="F95" i="78" s="1"/>
  <c r="E95" i="78" a="1"/>
  <c r="E95" i="78" s="1"/>
  <c r="D95" i="78" a="1"/>
  <c r="D95" i="78" s="1"/>
  <c r="S94" i="78" a="1"/>
  <c r="S94" i="78" s="1"/>
  <c r="R94" i="78" a="1"/>
  <c r="R94" i="78" s="1"/>
  <c r="Q94" i="78" a="1"/>
  <c r="Q94" i="78" s="1"/>
  <c r="P94" i="78" a="1"/>
  <c r="P94" i="78" s="1"/>
  <c r="O94" i="78" a="1"/>
  <c r="O94" i="78" s="1"/>
  <c r="N94" i="78" a="1"/>
  <c r="N94" i="78" s="1"/>
  <c r="M94" i="78" a="1"/>
  <c r="M94" i="78" s="1"/>
  <c r="L94" i="78" a="1"/>
  <c r="L94" i="78" s="1"/>
  <c r="K94" i="78" a="1"/>
  <c r="K94" i="78" s="1"/>
  <c r="J94" i="78" a="1"/>
  <c r="J94" i="78" s="1"/>
  <c r="I94" i="78" a="1"/>
  <c r="I94" i="78" s="1"/>
  <c r="H94" i="78" a="1"/>
  <c r="H94" i="78" s="1"/>
  <c r="G94" i="78" a="1"/>
  <c r="G94" i="78" s="1"/>
  <c r="F94" i="78" a="1"/>
  <c r="F94" i="78" s="1"/>
  <c r="E94" i="78" a="1"/>
  <c r="E94" i="78" s="1"/>
  <c r="D94" i="78" a="1"/>
  <c r="D94" i="78" s="1"/>
  <c r="S93" i="78" a="1"/>
  <c r="S93" i="78" s="1"/>
  <c r="R93" i="78" a="1"/>
  <c r="R93" i="78" s="1"/>
  <c r="Q93" i="78" a="1"/>
  <c r="Q93" i="78" s="1"/>
  <c r="P93" i="78" a="1"/>
  <c r="P93" i="78" s="1"/>
  <c r="O93" i="78" a="1"/>
  <c r="O93" i="78" s="1"/>
  <c r="N93" i="78" a="1"/>
  <c r="N93" i="78" s="1"/>
  <c r="M93" i="78" a="1"/>
  <c r="M93" i="78" s="1"/>
  <c r="L93" i="78" a="1"/>
  <c r="L93" i="78" s="1"/>
  <c r="K93" i="78" a="1"/>
  <c r="K93" i="78" s="1"/>
  <c r="J93" i="78" a="1"/>
  <c r="J93" i="78" s="1"/>
  <c r="I93" i="78" a="1"/>
  <c r="I93" i="78" s="1"/>
  <c r="H93" i="78" a="1"/>
  <c r="H93" i="78" s="1"/>
  <c r="G93" i="78" a="1"/>
  <c r="G93" i="78" s="1"/>
  <c r="F93" i="78" a="1"/>
  <c r="F93" i="78" s="1"/>
  <c r="E93" i="78" a="1"/>
  <c r="E93" i="78" s="1"/>
  <c r="D93" i="78" a="1"/>
  <c r="D93" i="78" s="1"/>
  <c r="S92" i="78" a="1"/>
  <c r="S92" i="78" s="1"/>
  <c r="R92" i="78" a="1"/>
  <c r="R92" i="78" s="1"/>
  <c r="Q92" i="78" a="1"/>
  <c r="Q92" i="78" s="1"/>
  <c r="P92" i="78" a="1"/>
  <c r="P92" i="78" s="1"/>
  <c r="O92" i="78" a="1"/>
  <c r="O92" i="78" s="1"/>
  <c r="N92" i="78" a="1"/>
  <c r="N92" i="78" s="1"/>
  <c r="M92" i="78" a="1"/>
  <c r="M92" i="78" s="1"/>
  <c r="L92" i="78" a="1"/>
  <c r="L92" i="78" s="1"/>
  <c r="K92" i="78" a="1"/>
  <c r="K92" i="78" s="1"/>
  <c r="J92" i="78" a="1"/>
  <c r="J92" i="78" s="1"/>
  <c r="I92" i="78" a="1"/>
  <c r="I92" i="78" s="1"/>
  <c r="H92" i="78" a="1"/>
  <c r="H92" i="78" s="1"/>
  <c r="G92" i="78" a="1"/>
  <c r="G92" i="78" s="1"/>
  <c r="F92" i="78" a="1"/>
  <c r="F92" i="78" s="1"/>
  <c r="E92" i="78" a="1"/>
  <c r="E92" i="78" s="1"/>
  <c r="D92" i="78" a="1"/>
  <c r="D92" i="78" s="1"/>
  <c r="S91" i="78" a="1"/>
  <c r="S91" i="78" s="1"/>
  <c r="R91" i="78" a="1"/>
  <c r="R91" i="78" s="1"/>
  <c r="Q91" i="78" a="1"/>
  <c r="Q91" i="78" s="1"/>
  <c r="P91" i="78" a="1"/>
  <c r="P91" i="78" s="1"/>
  <c r="O91" i="78" a="1"/>
  <c r="O91" i="78" s="1"/>
  <c r="N91" i="78" a="1"/>
  <c r="N91" i="78" s="1"/>
  <c r="M91" i="78" a="1"/>
  <c r="M91" i="78" s="1"/>
  <c r="L91" i="78" a="1"/>
  <c r="L91" i="78" s="1"/>
  <c r="K91" i="78" a="1"/>
  <c r="K91" i="78" s="1"/>
  <c r="J91" i="78" a="1"/>
  <c r="J91" i="78" s="1"/>
  <c r="I91" i="78" a="1"/>
  <c r="I91" i="78" s="1"/>
  <c r="H91" i="78" a="1"/>
  <c r="H91" i="78" s="1"/>
  <c r="G91" i="78" a="1"/>
  <c r="G91" i="78" s="1"/>
  <c r="F91" i="78" a="1"/>
  <c r="F91" i="78" s="1"/>
  <c r="E91" i="78" a="1"/>
  <c r="E91" i="78" s="1"/>
  <c r="D91" i="78" a="1"/>
  <c r="D91" i="78" s="1"/>
  <c r="S90" i="78" a="1"/>
  <c r="S90" i="78" s="1"/>
  <c r="R90" i="78" a="1"/>
  <c r="R90" i="78" s="1"/>
  <c r="Q90" i="78" a="1"/>
  <c r="Q90" i="78" s="1"/>
  <c r="P90" i="78" a="1"/>
  <c r="P90" i="78" s="1"/>
  <c r="O90" i="78" a="1"/>
  <c r="O90" i="78" s="1"/>
  <c r="N90" i="78" a="1"/>
  <c r="N90" i="78" s="1"/>
  <c r="M90" i="78" a="1"/>
  <c r="M90" i="78" s="1"/>
  <c r="L90" i="78" a="1"/>
  <c r="L90" i="78" s="1"/>
  <c r="K90" i="78" a="1"/>
  <c r="K90" i="78" s="1"/>
  <c r="J90" i="78" a="1"/>
  <c r="J90" i="78" s="1"/>
  <c r="I90" i="78" a="1"/>
  <c r="I90" i="78" s="1"/>
  <c r="H90" i="78" a="1"/>
  <c r="H90" i="78" s="1"/>
  <c r="G90" i="78" a="1"/>
  <c r="G90" i="78" s="1"/>
  <c r="F90" i="78" a="1"/>
  <c r="F90" i="78" s="1"/>
  <c r="E90" i="78" a="1"/>
  <c r="E90" i="78" s="1"/>
  <c r="D90" i="78" a="1"/>
  <c r="D90" i="78" s="1"/>
  <c r="D83" i="78" a="1"/>
  <c r="D83" i="78" s="1"/>
  <c r="D82" i="78" a="1"/>
  <c r="D82" i="78" s="1"/>
  <c r="D81" i="78" a="1"/>
  <c r="D81" i="78" s="1"/>
  <c r="E77" i="78" a="1"/>
  <c r="E77" i="78" s="1"/>
  <c r="D77" i="78" a="1"/>
  <c r="D77" i="78" s="1"/>
  <c r="E76" i="78" a="1"/>
  <c r="E76" i="78" s="1"/>
  <c r="D76" i="78" a="1"/>
  <c r="D76" i="78" s="1"/>
  <c r="E75" i="78" a="1"/>
  <c r="E75" i="78" s="1"/>
  <c r="D75" i="78" a="1"/>
  <c r="D75" i="78" s="1"/>
  <c r="E74" i="78" a="1"/>
  <c r="E74" i="78" s="1"/>
  <c r="D74" i="78" a="1"/>
  <c r="D74" i="78" s="1"/>
  <c r="E73" i="78" a="1"/>
  <c r="E73" i="78" s="1"/>
  <c r="D73" i="78" a="1"/>
  <c r="D73" i="78" s="1"/>
  <c r="E72" i="78" a="1"/>
  <c r="E72" i="78" s="1"/>
  <c r="D72" i="78" a="1"/>
  <c r="D72" i="78" s="1"/>
  <c r="E71" i="78" a="1"/>
  <c r="E71" i="78" s="1"/>
  <c r="D71" i="78" a="1"/>
  <c r="D71" i="78" s="1"/>
  <c r="E70" i="78" a="1"/>
  <c r="E70" i="78" s="1"/>
  <c r="D70" i="78" a="1"/>
  <c r="D70" i="78" s="1"/>
  <c r="E69" i="78" a="1"/>
  <c r="E69" i="78" s="1"/>
  <c r="D69" i="78" a="1"/>
  <c r="D69" i="78" s="1"/>
  <c r="E68" i="78" a="1"/>
  <c r="E68" i="78" s="1"/>
  <c r="D68" i="78" a="1"/>
  <c r="D68" i="78" s="1"/>
  <c r="E67" i="78" a="1"/>
  <c r="E67" i="78" s="1"/>
  <c r="D67" i="78" a="1"/>
  <c r="D67" i="78" s="1"/>
  <c r="E66" i="78" a="1"/>
  <c r="E66" i="78" s="1"/>
  <c r="D66" i="78" a="1"/>
  <c r="D66" i="78" s="1"/>
  <c r="E65" i="78" a="1"/>
  <c r="E65" i="78" s="1"/>
  <c r="D65" i="78" a="1"/>
  <c r="D65" i="78" s="1"/>
  <c r="E64" i="78" a="1"/>
  <c r="E64" i="78" s="1"/>
  <c r="D64" i="78" a="1"/>
  <c r="D64" i="78" s="1"/>
  <c r="D59" i="78" a="1"/>
  <c r="D59" i="78" s="1"/>
  <c r="D58" i="78" a="1"/>
  <c r="D58" i="78" s="1"/>
  <c r="D57" i="78" a="1"/>
  <c r="D57" i="78" s="1"/>
  <c r="G54" i="78" a="1"/>
  <c r="G54" i="78" s="1"/>
  <c r="F54" i="78" a="1"/>
  <c r="F54" i="78" s="1"/>
  <c r="E54" i="78" a="1"/>
  <c r="E54" i="78" s="1"/>
  <c r="D54" i="78" a="1"/>
  <c r="D54" i="78" s="1"/>
  <c r="G53" i="78" a="1"/>
  <c r="G53" i="78" s="1"/>
  <c r="F53" i="78" a="1"/>
  <c r="F53" i="78" s="1"/>
  <c r="E53" i="78" a="1"/>
  <c r="E53" i="78" s="1"/>
  <c r="D53" i="78" a="1"/>
  <c r="D53" i="78" s="1"/>
  <c r="G52" i="78" a="1"/>
  <c r="G52" i="78" s="1"/>
  <c r="F52" i="78" a="1"/>
  <c r="F52" i="78" s="1"/>
  <c r="E52" i="78" a="1"/>
  <c r="E52" i="78" s="1"/>
  <c r="D52" i="78" a="1"/>
  <c r="D52" i="78" s="1"/>
  <c r="G51" i="78" a="1"/>
  <c r="G51" i="78" s="1"/>
  <c r="F51" i="78" a="1"/>
  <c r="F51" i="78" s="1"/>
  <c r="E51" i="78" a="1"/>
  <c r="E51" i="78" s="1"/>
  <c r="D51" i="78" a="1"/>
  <c r="D51" i="78" s="1"/>
  <c r="G50" i="78" a="1"/>
  <c r="G50" i="78" s="1"/>
  <c r="F50" i="78" a="1"/>
  <c r="F50" i="78" s="1"/>
  <c r="E50" i="78" a="1"/>
  <c r="E50" i="78" s="1"/>
  <c r="D50" i="78" a="1"/>
  <c r="D50" i="78" s="1"/>
  <c r="G49" i="78" a="1"/>
  <c r="G49" i="78" s="1"/>
  <c r="F49" i="78" a="1"/>
  <c r="F49" i="78" s="1"/>
  <c r="E49" i="78" a="1"/>
  <c r="E49" i="78" s="1"/>
  <c r="D49" i="78" a="1"/>
  <c r="D49" i="78" s="1"/>
  <c r="G48" i="78" a="1"/>
  <c r="G48" i="78" s="1"/>
  <c r="F48" i="78" a="1"/>
  <c r="F48" i="78" s="1"/>
  <c r="E48" i="78" a="1"/>
  <c r="E48" i="78" s="1"/>
  <c r="D48" i="78" a="1"/>
  <c r="D48" i="78" s="1"/>
  <c r="D46" i="78" a="1"/>
  <c r="D46" i="78" s="1"/>
  <c r="D45" i="78" a="1"/>
  <c r="D45" i="78" s="1"/>
  <c r="E43" i="78" a="1"/>
  <c r="E43" i="78" s="1"/>
  <c r="D43" i="78" a="1"/>
  <c r="D43" i="78" s="1"/>
  <c r="E42" i="78" a="1"/>
  <c r="E42" i="78" s="1"/>
  <c r="D42" i="78" a="1"/>
  <c r="D42" i="78" s="1"/>
  <c r="E41" i="78" a="1"/>
  <c r="E41" i="78" s="1"/>
  <c r="D41" i="78" a="1"/>
  <c r="D41" i="78" s="1"/>
  <c r="E40" i="78" a="1"/>
  <c r="E40" i="78" s="1"/>
  <c r="D40" i="78" a="1"/>
  <c r="D40" i="78" s="1"/>
  <c r="E39" i="78" a="1"/>
  <c r="E39" i="78" s="1"/>
  <c r="D39" i="78" a="1"/>
  <c r="D39" i="78" s="1"/>
  <c r="E38" i="78" a="1"/>
  <c r="E38" i="78" s="1"/>
  <c r="D38" i="78" a="1"/>
  <c r="D38" i="78" s="1"/>
  <c r="E37" i="78" a="1"/>
  <c r="E37" i="78" s="1"/>
  <c r="D37" i="78" a="1"/>
  <c r="D37" i="78" s="1"/>
  <c r="D35" i="78" a="1"/>
  <c r="D35" i="78" s="1"/>
  <c r="D34" i="78"/>
  <c r="D34" i="78" a="1"/>
  <c r="D30" i="78" a="1"/>
  <c r="D30" i="78" s="1"/>
  <c r="D29" i="78" a="1"/>
  <c r="D29" i="78" s="1"/>
  <c r="D28" i="78" a="1"/>
  <c r="D28" i="78" s="1"/>
  <c r="D27" i="78" a="1"/>
  <c r="D27" i="78" s="1"/>
  <c r="D26" i="78" a="1"/>
  <c r="D26" i="78" s="1"/>
  <c r="D25" i="78" a="1"/>
  <c r="D25" i="78" s="1"/>
  <c r="D24" i="78" a="1"/>
  <c r="D24" i="78" s="1"/>
  <c r="D23" i="78" a="1"/>
  <c r="D23" i="78" s="1"/>
  <c r="D22" i="78" a="1"/>
  <c r="D22" i="78" s="1"/>
  <c r="D21" i="78" a="1"/>
  <c r="D21" i="78" s="1"/>
  <c r="D19" i="78" a="1"/>
  <c r="D19" i="78" s="1"/>
  <c r="D18" i="78" a="1"/>
  <c r="D18" i="78" s="1"/>
  <c r="F14" i="78" a="1"/>
  <c r="F14" i="78" s="1"/>
  <c r="E14" i="78" a="1"/>
  <c r="E14" i="78" s="1"/>
  <c r="D14" i="78" a="1"/>
  <c r="D14" i="78" s="1"/>
  <c r="F13" i="78" a="1"/>
  <c r="F13" i="78" s="1"/>
  <c r="E13" i="78" a="1"/>
  <c r="E13" i="78" s="1"/>
  <c r="D13" i="78" a="1"/>
  <c r="D13" i="78" s="1"/>
  <c r="F12" i="78" a="1"/>
  <c r="F12" i="78" s="1"/>
  <c r="E12" i="78" a="1"/>
  <c r="E12" i="78" s="1"/>
  <c r="D12" i="78" a="1"/>
  <c r="D12" i="78" s="1"/>
  <c r="F11" i="78" a="1"/>
  <c r="F11" i="78" s="1"/>
  <c r="E11" i="78" a="1"/>
  <c r="E11" i="78" s="1"/>
  <c r="D11" i="78" a="1"/>
  <c r="D11" i="78" s="1"/>
  <c r="F10" i="78" a="1"/>
  <c r="F10" i="78" s="1"/>
  <c r="E10" i="78" a="1"/>
  <c r="E10" i="78" s="1"/>
  <c r="D10" i="78" a="1"/>
  <c r="D10" i="78" s="1"/>
  <c r="F9" i="78" a="1"/>
  <c r="F9" i="78" s="1"/>
  <c r="E9" i="78" a="1"/>
  <c r="E9" i="78" s="1"/>
  <c r="D9" i="78" a="1"/>
  <c r="D9" i="78" s="1"/>
  <c r="F8" i="78" a="1"/>
  <c r="F8" i="78" s="1"/>
  <c r="E8" i="78" a="1"/>
  <c r="E8" i="78" s="1"/>
  <c r="D8" i="78" a="1"/>
  <c r="D8" i="78" s="1"/>
  <c r="A8" i="78"/>
  <c r="F7" i="78" a="1"/>
  <c r="F7" i="78" s="1"/>
  <c r="E7" i="78" a="1"/>
  <c r="E7" i="78" s="1"/>
  <c r="D7" i="78" a="1"/>
  <c r="D7" i="78" s="1"/>
  <c r="A7" i="78"/>
  <c r="D5" i="78" a="1"/>
  <c r="D5" i="78" s="1"/>
  <c r="A3" i="78"/>
  <c r="A46" i="72"/>
  <c r="A45" i="72"/>
  <c r="A44" i="72"/>
  <c r="A43" i="72"/>
  <c r="A42" i="72"/>
  <c r="A41" i="72"/>
  <c r="A40" i="72"/>
  <c r="A39" i="72"/>
  <c r="A38" i="72"/>
  <c r="A37" i="72"/>
  <c r="A36" i="72"/>
  <c r="A32" i="72"/>
  <c r="A31" i="72"/>
  <c r="A30" i="72"/>
  <c r="A29" i="72"/>
  <c r="A28" i="72"/>
  <c r="A24" i="72"/>
  <c r="A23" i="72"/>
  <c r="A22" i="72"/>
  <c r="A21" i="72"/>
  <c r="A20" i="72"/>
  <c r="A19" i="72"/>
  <c r="A18" i="72"/>
  <c r="A17" i="72"/>
  <c r="A16" i="72"/>
  <c r="A15" i="72"/>
  <c r="A14" i="72"/>
  <c r="A13" i="72"/>
  <c r="A12" i="72"/>
  <c r="A11" i="72"/>
  <c r="A10" i="72"/>
  <c r="A9" i="72"/>
  <c r="A8" i="72"/>
  <c r="A4" i="72"/>
  <c r="A3" i="72"/>
  <c r="A46" i="71"/>
  <c r="A45" i="71"/>
  <c r="A44" i="71"/>
  <c r="A43" i="71"/>
  <c r="A42" i="71"/>
  <c r="A41" i="71"/>
  <c r="A40" i="71"/>
  <c r="A39" i="71"/>
  <c r="A38" i="71"/>
  <c r="A37" i="71"/>
  <c r="A36" i="71"/>
  <c r="A32" i="71"/>
  <c r="A31" i="71"/>
  <c r="A30" i="71"/>
  <c r="A29" i="71"/>
  <c r="A28" i="71"/>
  <c r="A24" i="71"/>
  <c r="A23" i="71"/>
  <c r="A22" i="71"/>
  <c r="A21" i="71"/>
  <c r="A20" i="71"/>
  <c r="A19" i="71"/>
  <c r="A18" i="71"/>
  <c r="A17" i="71"/>
  <c r="A16" i="71"/>
  <c r="A15" i="71"/>
  <c r="A14" i="71"/>
  <c r="A13" i="71"/>
  <c r="A12" i="71"/>
  <c r="A11" i="71"/>
  <c r="A10" i="71"/>
  <c r="A9" i="71"/>
  <c r="A8" i="71"/>
  <c r="A4" i="71"/>
  <c r="A3" i="71"/>
  <c r="A46" i="77"/>
  <c r="A45" i="77"/>
  <c r="A44" i="77"/>
  <c r="A43" i="77"/>
  <c r="A42" i="77"/>
  <c r="A41" i="77"/>
  <c r="A40" i="77"/>
  <c r="A39" i="77"/>
  <c r="A38" i="77"/>
  <c r="A37" i="77"/>
  <c r="A36" i="77"/>
  <c r="A32" i="77"/>
  <c r="A31" i="77"/>
  <c r="A30" i="77"/>
  <c r="A29" i="77"/>
  <c r="A28" i="77"/>
  <c r="A24" i="77"/>
  <c r="A23" i="77"/>
  <c r="A22" i="77"/>
  <c r="A21" i="77"/>
  <c r="A20" i="77"/>
  <c r="A19" i="77"/>
  <c r="A18" i="77"/>
  <c r="A17" i="77"/>
  <c r="A16" i="77"/>
  <c r="A15" i="77"/>
  <c r="A14" i="77"/>
  <c r="A13" i="77"/>
  <c r="A12" i="77"/>
  <c r="A11" i="77"/>
  <c r="A10" i="77"/>
  <c r="A9" i="77"/>
  <c r="A8" i="77"/>
  <c r="A4" i="77"/>
  <c r="A3" i="77"/>
  <c r="A46" i="73"/>
  <c r="A45" i="73"/>
  <c r="A44" i="73"/>
  <c r="A43" i="73"/>
  <c r="A42" i="73"/>
  <c r="A41" i="73"/>
  <c r="A40" i="73"/>
  <c r="A39" i="73"/>
  <c r="A38" i="73"/>
  <c r="A37" i="73"/>
  <c r="A36" i="73"/>
  <c r="A32" i="73"/>
  <c r="A31" i="73"/>
  <c r="A30" i="73"/>
  <c r="A29" i="73"/>
  <c r="A28" i="73"/>
  <c r="A24" i="73"/>
  <c r="A23" i="73"/>
  <c r="A22" i="73"/>
  <c r="A21" i="73"/>
  <c r="A20" i="73"/>
  <c r="A19" i="73"/>
  <c r="A18" i="73"/>
  <c r="A17" i="73"/>
  <c r="A16" i="73"/>
  <c r="A15" i="73"/>
  <c r="A14" i="73"/>
  <c r="A13" i="73"/>
  <c r="A12" i="73"/>
  <c r="A11" i="73"/>
  <c r="A10" i="73"/>
  <c r="A9" i="73"/>
  <c r="A8" i="73"/>
  <c r="A4" i="73"/>
  <c r="A3" i="73"/>
  <c r="A46" i="74"/>
  <c r="A45" i="74"/>
  <c r="A44" i="74"/>
  <c r="A43" i="74"/>
  <c r="A42" i="74"/>
  <c r="A41" i="74"/>
  <c r="A40" i="74"/>
  <c r="A39" i="74"/>
  <c r="A38" i="74"/>
  <c r="A37" i="74"/>
  <c r="A36" i="74"/>
  <c r="A32" i="74"/>
  <c r="A31" i="74"/>
  <c r="A30" i="74"/>
  <c r="A29" i="74"/>
  <c r="A28" i="74"/>
  <c r="A24" i="74"/>
  <c r="A23" i="74"/>
  <c r="A22" i="74"/>
  <c r="A21" i="74"/>
  <c r="A20" i="74"/>
  <c r="A19" i="74"/>
  <c r="A18" i="74"/>
  <c r="A17" i="74"/>
  <c r="A16" i="74"/>
  <c r="A15" i="74"/>
  <c r="A14" i="74"/>
  <c r="A13" i="74"/>
  <c r="A12" i="74"/>
  <c r="A11" i="74"/>
  <c r="A10" i="74"/>
  <c r="A9" i="74"/>
  <c r="A8" i="74"/>
  <c r="A4" i="74"/>
  <c r="A3" i="74"/>
  <c r="A46" i="75"/>
  <c r="A45" i="75"/>
  <c r="A44" i="75"/>
  <c r="A43" i="75"/>
  <c r="A42" i="75"/>
  <c r="A41" i="75"/>
  <c r="A40" i="75"/>
  <c r="A39" i="75"/>
  <c r="A38" i="75"/>
  <c r="A37" i="75"/>
  <c r="A36" i="75"/>
  <c r="A32" i="75"/>
  <c r="A31" i="75"/>
  <c r="A30" i="75"/>
  <c r="A29" i="75"/>
  <c r="A28" i="75"/>
  <c r="A24" i="75"/>
  <c r="A23" i="75"/>
  <c r="A22" i="75"/>
  <c r="A21" i="75"/>
  <c r="A20" i="75"/>
  <c r="A19" i="75"/>
  <c r="A18" i="75"/>
  <c r="A17" i="75"/>
  <c r="A16" i="75"/>
  <c r="A15" i="75"/>
  <c r="A14" i="75"/>
  <c r="A13" i="75"/>
  <c r="A12" i="75"/>
  <c r="A11" i="75"/>
  <c r="A10" i="75"/>
  <c r="A9" i="75"/>
  <c r="A8" i="75"/>
  <c r="A4" i="75"/>
  <c r="A3" i="75"/>
  <c r="A46" i="76"/>
  <c r="A45" i="76"/>
  <c r="A44" i="76"/>
  <c r="A43" i="76"/>
  <c r="A42" i="76"/>
  <c r="A41" i="76"/>
  <c r="A40" i="76"/>
  <c r="A39" i="76"/>
  <c r="A38" i="76"/>
  <c r="A37" i="76"/>
  <c r="A36" i="76"/>
  <c r="A32" i="76"/>
  <c r="A31" i="76"/>
  <c r="A30" i="76"/>
  <c r="A29" i="76"/>
  <c r="A28" i="76"/>
  <c r="A24" i="76"/>
  <c r="A23" i="76"/>
  <c r="A22" i="76"/>
  <c r="A21" i="76"/>
  <c r="A20" i="76"/>
  <c r="A19" i="76"/>
  <c r="A18" i="76"/>
  <c r="A17" i="76"/>
  <c r="A16" i="76"/>
  <c r="A15" i="76"/>
  <c r="A14" i="76"/>
  <c r="A13" i="76"/>
  <c r="A12" i="76"/>
  <c r="A11" i="76"/>
  <c r="A10" i="76"/>
  <c r="A9" i="76"/>
  <c r="A8" i="76"/>
  <c r="A4" i="76"/>
  <c r="A3" i="76"/>
  <c r="A46" i="69"/>
  <c r="A45" i="69"/>
  <c r="A44" i="69"/>
  <c r="A43" i="69"/>
  <c r="A42" i="69"/>
  <c r="A41" i="69"/>
  <c r="A40" i="69"/>
  <c r="A39" i="69"/>
  <c r="A38" i="69"/>
  <c r="A37" i="69"/>
  <c r="A36" i="69"/>
  <c r="A32" i="69"/>
  <c r="A31" i="69"/>
  <c r="A30" i="69"/>
  <c r="A29" i="69"/>
  <c r="A28" i="69"/>
  <c r="A24" i="69"/>
  <c r="A23" i="69"/>
  <c r="A22" i="69"/>
  <c r="A21" i="69"/>
  <c r="A20" i="69"/>
  <c r="A19" i="69"/>
  <c r="A18" i="69"/>
  <c r="A17" i="69"/>
  <c r="A16" i="69"/>
  <c r="A15" i="69"/>
  <c r="A14" i="69"/>
  <c r="A13" i="69"/>
  <c r="A12" i="69"/>
  <c r="A11" i="69"/>
  <c r="A10" i="69"/>
  <c r="A9" i="69"/>
  <c r="A8" i="69"/>
  <c r="A4" i="69"/>
  <c r="A3" i="69"/>
  <c r="A46" i="70"/>
  <c r="A45" i="70"/>
  <c r="A44" i="70"/>
  <c r="A43" i="70"/>
  <c r="A42" i="70"/>
  <c r="A41" i="70"/>
  <c r="A40" i="70"/>
  <c r="A39" i="70"/>
  <c r="A38" i="70"/>
  <c r="A37" i="70"/>
  <c r="A36" i="70"/>
  <c r="A32" i="70"/>
  <c r="A31" i="70"/>
  <c r="A30" i="70"/>
  <c r="A29" i="70"/>
  <c r="A28" i="70"/>
  <c r="A24" i="70"/>
  <c r="A23" i="70"/>
  <c r="A22" i="70"/>
  <c r="A21" i="70"/>
  <c r="A20" i="70"/>
  <c r="A19" i="70"/>
  <c r="A18" i="70"/>
  <c r="A17" i="70"/>
  <c r="A16" i="70"/>
  <c r="A15" i="70"/>
  <c r="A14" i="70"/>
  <c r="A13" i="70"/>
  <c r="A12" i="70"/>
  <c r="A11" i="70"/>
  <c r="A10" i="70"/>
  <c r="A9" i="70"/>
  <c r="A8" i="70"/>
  <c r="A4" i="70"/>
  <c r="A3" i="70"/>
  <c r="A46" i="20"/>
  <c r="A45" i="20"/>
  <c r="A44" i="20"/>
  <c r="A43" i="20"/>
  <c r="A42" i="20"/>
  <c r="A41" i="20"/>
  <c r="A40" i="20"/>
  <c r="A39" i="20"/>
  <c r="A38" i="20"/>
  <c r="A37" i="20"/>
  <c r="A36" i="20"/>
  <c r="A32" i="20"/>
  <c r="A31" i="20"/>
  <c r="A30" i="20"/>
  <c r="A29" i="20"/>
  <c r="A28" i="20"/>
  <c r="A24" i="20"/>
  <c r="A23" i="20"/>
  <c r="A22" i="20"/>
  <c r="A21" i="20"/>
  <c r="A20" i="20"/>
  <c r="A19" i="20"/>
  <c r="A18" i="20"/>
  <c r="A17" i="20"/>
  <c r="A16" i="20"/>
  <c r="A15" i="20"/>
  <c r="A14" i="20"/>
  <c r="A13" i="20"/>
  <c r="A12" i="20"/>
  <c r="A11" i="20"/>
  <c r="A10" i="20"/>
  <c r="A9" i="20"/>
  <c r="A8" i="20"/>
  <c r="A4" i="20"/>
  <c r="A3" i="20"/>
  <c r="A46" i="67"/>
  <c r="A45" i="67"/>
  <c r="A44" i="67"/>
  <c r="A43" i="67"/>
  <c r="A42" i="67"/>
  <c r="A41" i="67"/>
  <c r="A40" i="67"/>
  <c r="A39" i="67"/>
  <c r="A38" i="67"/>
  <c r="A37" i="67"/>
  <c r="A36" i="67"/>
  <c r="A32" i="67"/>
  <c r="A31" i="67"/>
  <c r="A30" i="67"/>
  <c r="A29" i="67"/>
  <c r="A28" i="67"/>
  <c r="A24" i="67"/>
  <c r="A23" i="67"/>
  <c r="A22" i="67"/>
  <c r="A21" i="67"/>
  <c r="A20" i="67"/>
  <c r="A19" i="67"/>
  <c r="A18" i="67"/>
  <c r="A17" i="67"/>
  <c r="A16" i="67"/>
  <c r="A15" i="67"/>
  <c r="A14" i="67"/>
  <c r="A13" i="67"/>
  <c r="A12" i="67"/>
  <c r="A11" i="67"/>
  <c r="A10" i="67"/>
  <c r="A9" i="67"/>
  <c r="A8" i="67"/>
  <c r="A4" i="67"/>
  <c r="A3" i="67"/>
  <c r="A46" i="66"/>
  <c r="A45" i="66"/>
  <c r="A44" i="66"/>
  <c r="A43" i="66"/>
  <c r="A42" i="66"/>
  <c r="A41" i="66"/>
  <c r="A40" i="66"/>
  <c r="A39" i="66"/>
  <c r="A38" i="66"/>
  <c r="A37" i="66"/>
  <c r="A36" i="66"/>
  <c r="A32" i="66"/>
  <c r="A31" i="66"/>
  <c r="A30" i="66"/>
  <c r="A29" i="66"/>
  <c r="A28" i="66"/>
  <c r="A24" i="66"/>
  <c r="A23" i="66"/>
  <c r="A22" i="66"/>
  <c r="A21" i="66"/>
  <c r="A20" i="66"/>
  <c r="A19" i="66"/>
  <c r="A18" i="66"/>
  <c r="A17" i="66"/>
  <c r="A16" i="66"/>
  <c r="A15" i="66"/>
  <c r="A14" i="66"/>
  <c r="A13" i="66"/>
  <c r="A12" i="66"/>
  <c r="A11" i="66"/>
  <c r="A10" i="66"/>
  <c r="A9" i="66"/>
  <c r="A8" i="66"/>
  <c r="A4" i="66"/>
  <c r="A3" i="66"/>
  <c r="A46" i="34"/>
  <c r="A45" i="34"/>
  <c r="A44" i="34"/>
  <c r="A43" i="34"/>
  <c r="A42" i="34"/>
  <c r="A41" i="34"/>
  <c r="A40" i="34"/>
  <c r="A39" i="34"/>
  <c r="A38" i="34"/>
  <c r="A37" i="34"/>
  <c r="A36" i="34"/>
  <c r="A32" i="34"/>
  <c r="A31" i="34"/>
  <c r="A30" i="34"/>
  <c r="A29" i="34"/>
  <c r="A28" i="34"/>
  <c r="A24" i="34"/>
  <c r="A23" i="34"/>
  <c r="A22" i="34"/>
  <c r="A21" i="34"/>
  <c r="A20" i="34"/>
  <c r="A19" i="34"/>
  <c r="A18" i="34"/>
  <c r="A17" i="34"/>
  <c r="A16" i="34"/>
  <c r="A15" i="34"/>
  <c r="A14" i="34"/>
  <c r="A13" i="34"/>
  <c r="A12" i="34"/>
  <c r="A11" i="34"/>
  <c r="A10" i="34"/>
  <c r="A9" i="34"/>
  <c r="A8" i="34"/>
  <c r="A4" i="34"/>
  <c r="A3" i="34"/>
  <c r="A46" i="68"/>
  <c r="A45" i="68"/>
  <c r="A44" i="68"/>
  <c r="A43" i="68"/>
  <c r="A42" i="68"/>
  <c r="A41" i="68"/>
  <c r="A40" i="68"/>
  <c r="A39" i="68"/>
  <c r="A38" i="68"/>
  <c r="A37" i="68"/>
  <c r="A36" i="68"/>
  <c r="A32" i="68"/>
  <c r="A31" i="68"/>
  <c r="A30" i="68"/>
  <c r="A29" i="68"/>
  <c r="A28" i="68"/>
  <c r="A24" i="68"/>
  <c r="A23" i="68"/>
  <c r="A22" i="68"/>
  <c r="A21" i="68"/>
  <c r="A20" i="68"/>
  <c r="A19" i="68"/>
  <c r="A18" i="68"/>
  <c r="A17" i="68"/>
  <c r="A16" i="68"/>
  <c r="A15" i="68"/>
  <c r="A14" i="68"/>
  <c r="A13" i="68"/>
  <c r="A12" i="68"/>
  <c r="A11" i="68"/>
  <c r="A10" i="68"/>
  <c r="A9" i="68"/>
  <c r="A8" i="68"/>
  <c r="A4" i="68"/>
  <c r="A3" i="68"/>
  <c r="A46" i="19"/>
  <c r="A45" i="19"/>
  <c r="A44" i="19"/>
  <c r="A43" i="19"/>
  <c r="A42" i="19"/>
  <c r="A41" i="19"/>
  <c r="A40" i="19"/>
  <c r="A39" i="19"/>
  <c r="A38" i="19"/>
  <c r="A37" i="19"/>
  <c r="A36" i="19"/>
  <c r="A32" i="19"/>
  <c r="A31" i="19"/>
  <c r="A30" i="19"/>
  <c r="A29" i="19"/>
  <c r="A28" i="19"/>
  <c r="A24" i="19"/>
  <c r="A23" i="19"/>
  <c r="A22" i="19"/>
  <c r="A21" i="19"/>
  <c r="A20" i="19"/>
  <c r="A19" i="19"/>
  <c r="A18" i="19"/>
  <c r="A17" i="19"/>
  <c r="A16" i="19"/>
  <c r="A15" i="19"/>
  <c r="A14" i="19"/>
  <c r="A13" i="19"/>
  <c r="A12" i="19"/>
  <c r="A11" i="19"/>
  <c r="A10" i="19"/>
  <c r="A9" i="19"/>
  <c r="A8" i="19"/>
  <c r="A4" i="19"/>
  <c r="A3" i="19"/>
  <c r="A46" i="65"/>
  <c r="A45" i="65"/>
  <c r="A44" i="65"/>
  <c r="A43" i="65"/>
  <c r="A42" i="65"/>
  <c r="A41" i="65"/>
  <c r="A40" i="65"/>
  <c r="A39" i="65"/>
  <c r="A38" i="65"/>
  <c r="A37" i="65"/>
  <c r="A36" i="65"/>
  <c r="A32" i="65"/>
  <c r="A31" i="65"/>
  <c r="A30" i="65"/>
  <c r="A29" i="65"/>
  <c r="A28" i="65"/>
  <c r="A24" i="65"/>
  <c r="A23" i="65"/>
  <c r="A22" i="65"/>
  <c r="A21" i="65"/>
  <c r="A20" i="65"/>
  <c r="A19" i="65"/>
  <c r="A18" i="65"/>
  <c r="A17" i="65"/>
  <c r="A16" i="65"/>
  <c r="A15" i="65"/>
  <c r="A14" i="65"/>
  <c r="A13" i="65"/>
  <c r="A12" i="65"/>
  <c r="A11" i="65"/>
  <c r="A10" i="65"/>
  <c r="A9" i="65"/>
  <c r="A8" i="65"/>
  <c r="A4" i="65"/>
  <c r="A3" i="65"/>
  <c r="A46" i="50"/>
  <c r="A45" i="50"/>
  <c r="A44" i="50"/>
  <c r="A43" i="50"/>
  <c r="A42" i="50"/>
  <c r="A41" i="50"/>
  <c r="A40" i="50"/>
  <c r="A39" i="50"/>
  <c r="A38" i="50"/>
  <c r="A37" i="50"/>
  <c r="A36" i="50"/>
  <c r="A32" i="50"/>
  <c r="A31" i="50"/>
  <c r="A30" i="50"/>
  <c r="A29" i="50"/>
  <c r="A28" i="50"/>
  <c r="A24" i="50"/>
  <c r="A23" i="50"/>
  <c r="A22" i="50"/>
  <c r="A21" i="50"/>
  <c r="A20" i="50"/>
  <c r="A19" i="50"/>
  <c r="A18" i="50"/>
  <c r="A17" i="50"/>
  <c r="A16" i="50"/>
  <c r="A15" i="50"/>
  <c r="A14" i="50"/>
  <c r="A13" i="50"/>
  <c r="A12" i="50"/>
  <c r="A11" i="50"/>
  <c r="A10" i="50"/>
  <c r="A9" i="50"/>
  <c r="A8" i="50"/>
  <c r="A4" i="50"/>
  <c r="A3" i="50"/>
  <c r="A46" i="64"/>
  <c r="A45" i="64"/>
  <c r="A44" i="64"/>
  <c r="A43" i="64"/>
  <c r="A42" i="64"/>
  <c r="A41" i="64"/>
  <c r="A40" i="64"/>
  <c r="A39" i="64"/>
  <c r="A38" i="64"/>
  <c r="A37" i="64"/>
  <c r="A36" i="64"/>
  <c r="A32" i="64"/>
  <c r="A31" i="64"/>
  <c r="A30" i="64"/>
  <c r="A29" i="64"/>
  <c r="A28" i="64"/>
  <c r="A24" i="64"/>
  <c r="A23" i="64"/>
  <c r="A22" i="64"/>
  <c r="A21" i="64"/>
  <c r="A20" i="64"/>
  <c r="A19" i="64"/>
  <c r="A18" i="64"/>
  <c r="A17" i="64"/>
  <c r="A16" i="64"/>
  <c r="A15" i="64"/>
  <c r="A14" i="64"/>
  <c r="A13" i="64"/>
  <c r="A12" i="64"/>
  <c r="A11" i="64"/>
  <c r="A10" i="64"/>
  <c r="A9" i="64"/>
  <c r="A8" i="64"/>
  <c r="A4" i="64"/>
  <c r="A3" i="64"/>
  <c r="A46" i="39"/>
  <c r="A45" i="39"/>
  <c r="A44" i="39"/>
  <c r="A43" i="39"/>
  <c r="A42" i="39"/>
  <c r="A41" i="39"/>
  <c r="A40" i="39"/>
  <c r="A39" i="39"/>
  <c r="A38" i="39"/>
  <c r="A37" i="39"/>
  <c r="A36" i="39"/>
  <c r="A32" i="39"/>
  <c r="A31" i="39"/>
  <c r="A30" i="39"/>
  <c r="A29" i="39"/>
  <c r="A28" i="39"/>
  <c r="A24" i="39"/>
  <c r="A23" i="39"/>
  <c r="A22" i="39"/>
  <c r="A21" i="39"/>
  <c r="A20" i="39"/>
  <c r="A19" i="39"/>
  <c r="A18" i="39"/>
  <c r="A17" i="39"/>
  <c r="A16" i="39"/>
  <c r="A15" i="39"/>
  <c r="A14" i="39"/>
  <c r="A13" i="39"/>
  <c r="A12" i="39"/>
  <c r="A11" i="39"/>
  <c r="A10" i="39"/>
  <c r="A9" i="39"/>
  <c r="A8" i="39"/>
  <c r="A4" i="39"/>
  <c r="A3" i="39"/>
  <c r="A46" i="54"/>
  <c r="A45" i="54"/>
  <c r="A44" i="54"/>
  <c r="A43" i="54"/>
  <c r="A42" i="54"/>
  <c r="A41" i="54"/>
  <c r="A40" i="54"/>
  <c r="A39" i="54"/>
  <c r="A38" i="54"/>
  <c r="A37" i="54"/>
  <c r="A36" i="54"/>
  <c r="A32" i="54"/>
  <c r="A31" i="54"/>
  <c r="A30" i="54"/>
  <c r="A29" i="54"/>
  <c r="A28" i="54"/>
  <c r="A24" i="54"/>
  <c r="A23" i="54"/>
  <c r="A22" i="54"/>
  <c r="A21" i="54"/>
  <c r="A20" i="54"/>
  <c r="A19" i="54"/>
  <c r="A18" i="54"/>
  <c r="A17" i="54"/>
  <c r="A16" i="54"/>
  <c r="A15" i="54"/>
  <c r="A14" i="54"/>
  <c r="A13" i="54"/>
  <c r="A12" i="54"/>
  <c r="A11" i="54"/>
  <c r="A10" i="54"/>
  <c r="A9" i="54"/>
  <c r="A8" i="54"/>
  <c r="A4" i="54"/>
  <c r="A3" i="54"/>
  <c r="A46" i="53"/>
  <c r="A45" i="53"/>
  <c r="A44" i="53"/>
  <c r="A43" i="53"/>
  <c r="A42" i="53"/>
  <c r="A41" i="53"/>
  <c r="A40" i="53"/>
  <c r="A39" i="53"/>
  <c r="A38" i="53"/>
  <c r="A37" i="53"/>
  <c r="A36" i="53"/>
  <c r="A32" i="53"/>
  <c r="A31" i="53"/>
  <c r="A30" i="53"/>
  <c r="A29" i="53"/>
  <c r="A28" i="53"/>
  <c r="A24" i="53"/>
  <c r="A23" i="53"/>
  <c r="A22" i="53"/>
  <c r="A21" i="53"/>
  <c r="A20" i="53"/>
  <c r="A19" i="53"/>
  <c r="A18" i="53"/>
  <c r="A17" i="53"/>
  <c r="A16" i="53"/>
  <c r="A15" i="53"/>
  <c r="A14" i="53"/>
  <c r="A13" i="53"/>
  <c r="A12" i="53"/>
  <c r="A11" i="53"/>
  <c r="A10" i="53"/>
  <c r="A9" i="53"/>
  <c r="A8" i="53"/>
  <c r="A4" i="53"/>
  <c r="A3" i="53"/>
  <c r="A46" i="52"/>
  <c r="A45" i="52"/>
  <c r="A44" i="52"/>
  <c r="A43" i="52"/>
  <c r="A42" i="52"/>
  <c r="A41" i="52"/>
  <c r="A40" i="52"/>
  <c r="A39" i="52"/>
  <c r="A38" i="52"/>
  <c r="A37" i="52"/>
  <c r="A36" i="52"/>
  <c r="A32" i="52"/>
  <c r="A31" i="52"/>
  <c r="A30" i="52"/>
  <c r="A29" i="52"/>
  <c r="A28" i="52"/>
  <c r="A24" i="52"/>
  <c r="A23" i="52"/>
  <c r="A22" i="52"/>
  <c r="A21" i="52"/>
  <c r="A20" i="52"/>
  <c r="A19" i="52"/>
  <c r="A18" i="52"/>
  <c r="A17" i="52"/>
  <c r="A16" i="52"/>
  <c r="A15" i="52"/>
  <c r="A14" i="52"/>
  <c r="A13" i="52"/>
  <c r="A12" i="52"/>
  <c r="A11" i="52"/>
  <c r="A10" i="52"/>
  <c r="A9" i="52"/>
  <c r="A8" i="52"/>
  <c r="A4" i="52"/>
  <c r="A3" i="52"/>
  <c r="A46" i="48"/>
  <c r="A45" i="48"/>
  <c r="A44" i="48"/>
  <c r="A43" i="48"/>
  <c r="A42" i="48"/>
  <c r="A41" i="48"/>
  <c r="A40" i="48"/>
  <c r="A39" i="48"/>
  <c r="A38" i="48"/>
  <c r="A37" i="48"/>
  <c r="A36" i="48"/>
  <c r="A32" i="48"/>
  <c r="A31" i="48"/>
  <c r="A30" i="48"/>
  <c r="A29" i="48"/>
  <c r="A28" i="48"/>
  <c r="A24" i="48"/>
  <c r="A23" i="48"/>
  <c r="A22" i="48"/>
  <c r="A21" i="48"/>
  <c r="A20" i="48"/>
  <c r="A19" i="48"/>
  <c r="A18" i="48"/>
  <c r="A17" i="48"/>
  <c r="A16" i="48"/>
  <c r="A15" i="48"/>
  <c r="A14" i="48"/>
  <c r="A13" i="48"/>
  <c r="A12" i="48"/>
  <c r="A11" i="48"/>
  <c r="A10" i="48"/>
  <c r="A9" i="48"/>
  <c r="A8" i="48"/>
  <c r="A4" i="48"/>
  <c r="A3" i="48"/>
  <c r="A46" i="56"/>
  <c r="A45" i="56"/>
  <c r="A44" i="56"/>
  <c r="A43" i="56"/>
  <c r="A42" i="56"/>
  <c r="A41" i="56"/>
  <c r="A40" i="56"/>
  <c r="A39" i="56"/>
  <c r="A38" i="56"/>
  <c r="A37" i="56"/>
  <c r="A36" i="56"/>
  <c r="A32" i="56"/>
  <c r="A31" i="56"/>
  <c r="A30" i="56"/>
  <c r="A29" i="56"/>
  <c r="A28" i="56"/>
  <c r="A24" i="56"/>
  <c r="A23" i="56"/>
  <c r="A22" i="56"/>
  <c r="A21" i="56"/>
  <c r="A20" i="56"/>
  <c r="A19" i="56"/>
  <c r="A18" i="56"/>
  <c r="A17" i="56"/>
  <c r="A16" i="56"/>
  <c r="A15" i="56"/>
  <c r="A14" i="56"/>
  <c r="A13" i="56"/>
  <c r="A12" i="56"/>
  <c r="A11" i="56"/>
  <c r="A10" i="56"/>
  <c r="A9" i="56"/>
  <c r="A8" i="56"/>
  <c r="A4" i="56"/>
  <c r="A3" i="56"/>
  <c r="A46" i="55"/>
  <c r="A45" i="55"/>
  <c r="A44" i="55"/>
  <c r="A43" i="55"/>
  <c r="A42" i="55"/>
  <c r="A41" i="55"/>
  <c r="A40" i="55"/>
  <c r="A39" i="55"/>
  <c r="A38" i="55"/>
  <c r="A37" i="55"/>
  <c r="A36" i="55"/>
  <c r="A32" i="55"/>
  <c r="A31" i="55"/>
  <c r="A30" i="55"/>
  <c r="A29" i="55"/>
  <c r="A28" i="55"/>
  <c r="A24" i="55"/>
  <c r="A23" i="55"/>
  <c r="A22" i="55"/>
  <c r="A21" i="55"/>
  <c r="A20" i="55"/>
  <c r="A19" i="55"/>
  <c r="A18" i="55"/>
  <c r="A17" i="55"/>
  <c r="A16" i="55"/>
  <c r="A15" i="55"/>
  <c r="A14" i="55"/>
  <c r="A13" i="55"/>
  <c r="A12" i="55"/>
  <c r="A11" i="55"/>
  <c r="A10" i="55"/>
  <c r="A9" i="55"/>
  <c r="A8" i="55"/>
  <c r="A4" i="55"/>
  <c r="A3" i="55"/>
  <c r="A46" i="57"/>
  <c r="A45" i="57"/>
  <c r="A44" i="57"/>
  <c r="A43" i="57"/>
  <c r="A42" i="57"/>
  <c r="A41" i="57"/>
  <c r="A40" i="57"/>
  <c r="A39" i="57"/>
  <c r="A38" i="57"/>
  <c r="A37" i="57"/>
  <c r="A36" i="57"/>
  <c r="A32" i="57"/>
  <c r="A31" i="57"/>
  <c r="A30" i="57"/>
  <c r="A29" i="57"/>
  <c r="A28" i="57"/>
  <c r="A24" i="57"/>
  <c r="A23" i="57"/>
  <c r="A22" i="57"/>
  <c r="A21" i="57"/>
  <c r="A20" i="57"/>
  <c r="A19" i="57"/>
  <c r="A18" i="57"/>
  <c r="A17" i="57"/>
  <c r="A16" i="57"/>
  <c r="A15" i="57"/>
  <c r="A14" i="57"/>
  <c r="A13" i="57"/>
  <c r="A12" i="57"/>
  <c r="A11" i="57"/>
  <c r="A10" i="57"/>
  <c r="A9" i="57"/>
  <c r="A8" i="57"/>
  <c r="A4" i="57"/>
  <c r="A3" i="57"/>
  <c r="A46" i="58"/>
  <c r="A45" i="58"/>
  <c r="A44" i="58"/>
  <c r="A43" i="58"/>
  <c r="A42" i="58"/>
  <c r="A41" i="58"/>
  <c r="A40" i="58"/>
  <c r="A39" i="58"/>
  <c r="A38" i="58"/>
  <c r="A37" i="58"/>
  <c r="A36" i="58"/>
  <c r="A32" i="58"/>
  <c r="A31" i="58"/>
  <c r="A30" i="58"/>
  <c r="A29" i="58"/>
  <c r="A28" i="58"/>
  <c r="A24" i="58"/>
  <c r="A23" i="58"/>
  <c r="A22" i="58"/>
  <c r="A21" i="58"/>
  <c r="A20" i="58"/>
  <c r="A19" i="58"/>
  <c r="A18" i="58"/>
  <c r="A17" i="58"/>
  <c r="A16" i="58"/>
  <c r="A15" i="58"/>
  <c r="A14" i="58"/>
  <c r="A13" i="58"/>
  <c r="A12" i="58"/>
  <c r="A11" i="58"/>
  <c r="A10" i="58"/>
  <c r="A9" i="58"/>
  <c r="A8" i="58"/>
  <c r="A4" i="58"/>
  <c r="A3" i="58"/>
  <c r="A46" i="59"/>
  <c r="A45" i="59"/>
  <c r="A44" i="59"/>
  <c r="A43" i="59"/>
  <c r="A42" i="59"/>
  <c r="A41" i="59"/>
  <c r="A40" i="59"/>
  <c r="A39" i="59"/>
  <c r="A38" i="59"/>
  <c r="A37" i="59"/>
  <c r="A36" i="59"/>
  <c r="A32" i="59"/>
  <c r="A31" i="59"/>
  <c r="A30" i="59"/>
  <c r="A29" i="59"/>
  <c r="A28" i="59"/>
  <c r="A24" i="59"/>
  <c r="A23" i="59"/>
  <c r="A22" i="59"/>
  <c r="A21" i="59"/>
  <c r="A20" i="59"/>
  <c r="A19" i="59"/>
  <c r="A18" i="59"/>
  <c r="A17" i="59"/>
  <c r="A16" i="59"/>
  <c r="A15" i="59"/>
  <c r="A14" i="59"/>
  <c r="A13" i="59"/>
  <c r="A12" i="59"/>
  <c r="A11" i="59"/>
  <c r="A10" i="59"/>
  <c r="A9" i="59"/>
  <c r="A8" i="59"/>
  <c r="A4" i="59"/>
  <c r="A3" i="59"/>
  <c r="A46" i="13"/>
  <c r="A45" i="13"/>
  <c r="A44" i="13"/>
  <c r="A43" i="13"/>
  <c r="A42" i="13"/>
  <c r="A41" i="13"/>
  <c r="A40" i="13"/>
  <c r="A39" i="13"/>
  <c r="A38" i="13"/>
  <c r="A37" i="13"/>
  <c r="A36" i="13"/>
  <c r="A32" i="13"/>
  <c r="A31" i="13"/>
  <c r="A30" i="13"/>
  <c r="A29" i="13"/>
  <c r="A28" i="13"/>
  <c r="A24" i="13"/>
  <c r="A23" i="13"/>
  <c r="A22" i="13"/>
  <c r="A21" i="13"/>
  <c r="A20" i="13"/>
  <c r="A19" i="13"/>
  <c r="A18" i="13"/>
  <c r="A17" i="13"/>
  <c r="A16" i="13"/>
  <c r="A15" i="13"/>
  <c r="A14" i="13"/>
  <c r="A13" i="13"/>
  <c r="A12" i="13"/>
  <c r="A11" i="13"/>
  <c r="A10" i="13"/>
  <c r="A9" i="13"/>
  <c r="A8" i="13"/>
  <c r="A4" i="13"/>
  <c r="A3" i="13"/>
  <c r="A46" i="62"/>
  <c r="A45" i="62"/>
  <c r="A44" i="62"/>
  <c r="A43" i="62"/>
  <c r="A42" i="62"/>
  <c r="A41" i="62"/>
  <c r="A40" i="62"/>
  <c r="A39" i="62"/>
  <c r="A38" i="62"/>
  <c r="A37" i="62"/>
  <c r="A36" i="62"/>
  <c r="A32" i="62"/>
  <c r="A31" i="62"/>
  <c r="A30" i="62"/>
  <c r="A29" i="62"/>
  <c r="A28" i="62"/>
  <c r="A24" i="62"/>
  <c r="A23" i="62"/>
  <c r="A22" i="62"/>
  <c r="A21" i="62"/>
  <c r="A20" i="62"/>
  <c r="A19" i="62"/>
  <c r="A18" i="62"/>
  <c r="A17" i="62"/>
  <c r="A16" i="62"/>
  <c r="A15" i="62"/>
  <c r="A14" i="62"/>
  <c r="A13" i="62"/>
  <c r="A12" i="62"/>
  <c r="A11" i="62"/>
  <c r="A10" i="62"/>
  <c r="A9" i="62"/>
  <c r="A8" i="62"/>
  <c r="A4" i="62"/>
  <c r="A3" i="62"/>
  <c r="A46" i="63"/>
  <c r="A45" i="63"/>
  <c r="A44" i="63"/>
  <c r="A43" i="63"/>
  <c r="A42" i="63"/>
  <c r="A41" i="63"/>
  <c r="A40" i="63"/>
  <c r="A39" i="63"/>
  <c r="A38" i="63"/>
  <c r="A37" i="63"/>
  <c r="A36" i="63"/>
  <c r="A32" i="63"/>
  <c r="A31" i="63"/>
  <c r="A30" i="63"/>
  <c r="A29" i="63"/>
  <c r="A28" i="63"/>
  <c r="A24" i="63"/>
  <c r="A23" i="63"/>
  <c r="A22" i="63"/>
  <c r="A21" i="63"/>
  <c r="A20" i="63"/>
  <c r="A19" i="63"/>
  <c r="A18" i="63"/>
  <c r="A17" i="63"/>
  <c r="A16" i="63"/>
  <c r="A15" i="63"/>
  <c r="A14" i="63"/>
  <c r="A13" i="63"/>
  <c r="A12" i="63"/>
  <c r="A11" i="63"/>
  <c r="A10" i="63"/>
  <c r="A9" i="63"/>
  <c r="A8" i="63"/>
  <c r="A4" i="63"/>
  <c r="A3" i="63"/>
  <c r="A46" i="61"/>
  <c r="A45" i="61"/>
  <c r="A44" i="61"/>
  <c r="A43" i="61"/>
  <c r="A42" i="61"/>
  <c r="A41" i="61"/>
  <c r="A40" i="61"/>
  <c r="A39" i="61"/>
  <c r="A38" i="61"/>
  <c r="A37" i="61"/>
  <c r="A36" i="61"/>
  <c r="A32" i="61"/>
  <c r="A31" i="61"/>
  <c r="A30" i="61"/>
  <c r="A29" i="61"/>
  <c r="A28" i="61"/>
  <c r="A24" i="61"/>
  <c r="A23" i="61"/>
  <c r="A22" i="61"/>
  <c r="A21" i="61"/>
  <c r="A20" i="61"/>
  <c r="A19" i="61"/>
  <c r="A18" i="61"/>
  <c r="A17" i="61"/>
  <c r="A16" i="61"/>
  <c r="A15" i="61"/>
  <c r="A14" i="61"/>
  <c r="A13" i="61"/>
  <c r="A12" i="61"/>
  <c r="A11" i="61"/>
  <c r="A10" i="61"/>
  <c r="A9" i="61"/>
  <c r="A8" i="61"/>
  <c r="A4" i="61"/>
  <c r="A3" i="61"/>
  <c r="A46" i="41"/>
  <c r="A45" i="41"/>
  <c r="A44" i="41"/>
  <c r="A43" i="41"/>
  <c r="A42" i="41"/>
  <c r="A41" i="41"/>
  <c r="A40" i="41"/>
  <c r="A39" i="41"/>
  <c r="A38" i="41"/>
  <c r="A37" i="41"/>
  <c r="A36" i="41"/>
  <c r="A32" i="41"/>
  <c r="A31" i="41"/>
  <c r="A30" i="41"/>
  <c r="A29" i="41"/>
  <c r="A28" i="41"/>
  <c r="A24" i="41"/>
  <c r="A23" i="41"/>
  <c r="A22" i="41"/>
  <c r="A21" i="41"/>
  <c r="A20" i="41"/>
  <c r="A19" i="41"/>
  <c r="A18" i="41"/>
  <c r="A17" i="41"/>
  <c r="A16" i="41"/>
  <c r="A15" i="41"/>
  <c r="A14" i="41"/>
  <c r="A13" i="41"/>
  <c r="A12" i="41"/>
  <c r="A11" i="41"/>
  <c r="A10" i="41"/>
  <c r="A9" i="41"/>
  <c r="A8" i="41"/>
  <c r="A4" i="41"/>
  <c r="A3" i="41"/>
  <c r="A46" i="40"/>
  <c r="A45" i="40"/>
  <c r="A44" i="40"/>
  <c r="A43" i="40"/>
  <c r="A42" i="40"/>
  <c r="A41" i="40"/>
  <c r="A40" i="40"/>
  <c r="A39" i="40"/>
  <c r="A38" i="40"/>
  <c r="A37" i="40"/>
  <c r="A36" i="40"/>
  <c r="A32" i="40"/>
  <c r="A31" i="40"/>
  <c r="A30" i="40"/>
  <c r="A29" i="40"/>
  <c r="A28" i="40"/>
  <c r="A24" i="40"/>
  <c r="A23" i="40"/>
  <c r="A22" i="40"/>
  <c r="A21" i="40"/>
  <c r="A20" i="40"/>
  <c r="A19" i="40"/>
  <c r="A18" i="40"/>
  <c r="A17" i="40"/>
  <c r="A16" i="40"/>
  <c r="A15" i="40"/>
  <c r="A14" i="40"/>
  <c r="A13" i="40"/>
  <c r="A12" i="40"/>
  <c r="A11" i="40"/>
  <c r="A10" i="40"/>
  <c r="A9" i="40"/>
  <c r="A8" i="40"/>
  <c r="A4" i="40"/>
  <c r="A3" i="40"/>
  <c r="D32" i="67"/>
  <c r="D25" i="67"/>
  <c r="F39" i="66"/>
  <c r="D37" i="66"/>
  <c r="D34" i="66"/>
  <c r="D33" i="66"/>
  <c r="D25" i="66"/>
  <c r="J21" i="63" a="1"/>
  <c r="J21" i="63" s="1"/>
  <c r="G21" i="63" a="1"/>
  <c r="G21" i="63" s="1"/>
  <c r="J20" i="63" a="1"/>
  <c r="J20" i="63" s="1"/>
  <c r="G20" i="63" a="1"/>
  <c r="G20" i="63" s="1"/>
  <c r="J19" i="63" a="1"/>
  <c r="J19" i="63" s="1"/>
  <c r="G19" i="63" a="1"/>
  <c r="G19" i="63" s="1"/>
  <c r="J18" i="63" a="1"/>
  <c r="J18" i="63" s="1"/>
  <c r="G18" i="63" a="1"/>
  <c r="G18" i="63" s="1"/>
  <c r="J17" i="63" a="1"/>
  <c r="J17" i="63" s="1"/>
  <c r="G17" i="63" a="1"/>
  <c r="G17" i="63" s="1"/>
  <c r="D305" i="19" a="1"/>
  <c r="D305" i="19" s="1"/>
  <c r="AD237" i="19" a="1"/>
  <c r="AD237" i="19" s="1"/>
  <c r="AC237" i="19" a="1"/>
  <c r="AC237" i="19" s="1"/>
  <c r="Z237" i="19" a="1"/>
  <c r="Z237" i="19" s="1"/>
  <c r="Y237" i="19" a="1"/>
  <c r="Y237" i="19" s="1"/>
  <c r="V237" i="19" a="1"/>
  <c r="V237" i="19" s="1"/>
  <c r="U237" i="19" a="1"/>
  <c r="U237" i="19" s="1"/>
  <c r="R237" i="19" a="1"/>
  <c r="R237" i="19" s="1"/>
  <c r="Q237" i="19" a="1"/>
  <c r="Q237" i="19" s="1"/>
  <c r="P237" i="19" a="1"/>
  <c r="P237" i="19" s="1"/>
  <c r="O237" i="19" a="1"/>
  <c r="O237" i="19" s="1"/>
  <c r="D237" i="19" a="1"/>
  <c r="D237" i="19" s="1"/>
  <c r="D221" i="19" a="1"/>
  <c r="D221" i="19" s="1"/>
  <c r="H16" i="52" a="1"/>
  <c r="H16" i="52" s="1"/>
  <c r="H15" i="52" a="1"/>
  <c r="H15" i="52" s="1"/>
  <c r="H14" i="52" a="1"/>
  <c r="H14" i="52" s="1"/>
  <c r="H13" i="52" a="1"/>
  <c r="H13" i="52" s="1"/>
  <c r="H12" i="52" a="1"/>
  <c r="H12" i="52" s="1"/>
  <c r="H11" i="52" a="1"/>
  <c r="H11" i="52" s="1"/>
  <c r="H10" i="52" a="1"/>
  <c r="H10" i="52" s="1"/>
  <c r="J16" i="48" a="1"/>
  <c r="J16" i="48" s="1"/>
  <c r="J15" i="48" a="1"/>
  <c r="J15" i="48" s="1"/>
  <c r="J14" i="48" a="1"/>
  <c r="J14" i="48" s="1"/>
  <c r="J13" i="48" a="1"/>
  <c r="J13" i="48" s="1"/>
  <c r="J12" i="48" a="1"/>
  <c r="J12" i="48" s="1"/>
  <c r="J11" i="48" a="1"/>
  <c r="J11" i="48" s="1"/>
  <c r="J10" i="48" a="1"/>
  <c r="J10" i="48" s="1"/>
  <c r="J9" i="48" a="1"/>
  <c r="J9" i="48" s="1"/>
  <c r="E65" i="77" a="1"/>
  <c r="E65" i="77" s="1"/>
  <c r="D65" i="77" a="1"/>
  <c r="D65" i="77" s="1"/>
  <c r="D63" i="77" a="1"/>
  <c r="D63" i="77" s="1"/>
  <c r="D62" i="77" a="1"/>
  <c r="D62" i="77" s="1"/>
  <c r="E60" i="77" a="1"/>
  <c r="E60" i="77" s="1"/>
  <c r="D60" i="77" a="1"/>
  <c r="D60" i="77" s="1"/>
  <c r="D58" i="77" a="1"/>
  <c r="D58" i="77" s="1"/>
  <c r="D57" i="77" a="1"/>
  <c r="D57" i="77" s="1"/>
  <c r="E55" i="77" a="1"/>
  <c r="E55" i="77" s="1"/>
  <c r="D55" i="77" a="1"/>
  <c r="D55" i="77" s="1"/>
  <c r="D53" i="77" a="1"/>
  <c r="D53" i="77" s="1"/>
  <c r="D52" i="77" a="1"/>
  <c r="D52" i="77" s="1"/>
  <c r="E50" i="77" a="1"/>
  <c r="E50" i="77" s="1"/>
  <c r="D50" i="77" a="1"/>
  <c r="D50" i="77" s="1"/>
  <c r="E49" i="77" a="1"/>
  <c r="E49" i="77" s="1"/>
  <c r="D49" i="77" a="1"/>
  <c r="D49" i="77" s="1"/>
  <c r="E48" i="77" a="1"/>
  <c r="E48" i="77" s="1"/>
  <c r="D48" i="77" a="1"/>
  <c r="D48" i="77" s="1"/>
  <c r="E47" i="77" a="1"/>
  <c r="E47" i="77" s="1"/>
  <c r="D47" i="77" a="1"/>
  <c r="D47" i="77" s="1"/>
  <c r="E46" i="77" a="1"/>
  <c r="E46" i="77" s="1"/>
  <c r="D46" i="77" a="1"/>
  <c r="D46" i="77" s="1"/>
  <c r="E45" i="77" a="1"/>
  <c r="E45" i="77" s="1"/>
  <c r="D45" i="77" a="1"/>
  <c r="D45" i="77" s="1"/>
  <c r="E44" i="77" a="1"/>
  <c r="E44" i="77" s="1"/>
  <c r="D44" i="77" a="1"/>
  <c r="D44" i="77" s="1"/>
  <c r="D42" i="77" a="1"/>
  <c r="D42" i="77" s="1"/>
  <c r="D41" i="77" a="1"/>
  <c r="D41" i="77" s="1"/>
  <c r="E39" i="77" a="1"/>
  <c r="E39" i="77" s="1"/>
  <c r="D39" i="77" a="1"/>
  <c r="D39" i="77" s="1"/>
  <c r="E38" i="77" a="1"/>
  <c r="E38" i="77" s="1"/>
  <c r="D38" i="77" a="1"/>
  <c r="D38" i="77" s="1"/>
  <c r="E37" i="77" a="1"/>
  <c r="E37" i="77" s="1"/>
  <c r="D37" i="77" a="1"/>
  <c r="D37" i="77" s="1"/>
  <c r="E36" i="77" a="1"/>
  <c r="E36" i="77" s="1"/>
  <c r="D36" i="77" a="1"/>
  <c r="D36" i="77" s="1"/>
  <c r="E35" i="77" a="1"/>
  <c r="E35" i="77" s="1"/>
  <c r="D35" i="77" a="1"/>
  <c r="D35" i="77" s="1"/>
  <c r="E34" i="77" a="1"/>
  <c r="E34" i="77" s="1"/>
  <c r="D34" i="77" a="1"/>
  <c r="D34" i="77" s="1"/>
  <c r="E33" i="77" a="1"/>
  <c r="E33" i="77" s="1"/>
  <c r="D33" i="77" a="1"/>
  <c r="D33" i="77" s="1"/>
  <c r="E32" i="77" a="1"/>
  <c r="E32" i="77" s="1"/>
  <c r="D32" i="77" a="1"/>
  <c r="D32" i="77" s="1"/>
  <c r="D30" i="77" a="1"/>
  <c r="D30" i="77" s="1"/>
  <c r="D29" i="77" a="1"/>
  <c r="D29" i="77" s="1"/>
  <c r="F27" i="77" a="1"/>
  <c r="F27" i="77" s="1"/>
  <c r="E27" i="77" a="1"/>
  <c r="E27" i="77" s="1"/>
  <c r="D27" i="77" a="1"/>
  <c r="D27" i="77" s="1"/>
  <c r="F26" i="77" a="1"/>
  <c r="F26" i="77" s="1"/>
  <c r="E26" i="77" a="1"/>
  <c r="E26" i="77" s="1"/>
  <c r="D26" i="77" a="1"/>
  <c r="D26" i="77" s="1"/>
  <c r="F25" i="77" a="1"/>
  <c r="F25" i="77" s="1"/>
  <c r="E25" i="77" a="1"/>
  <c r="E25" i="77" s="1"/>
  <c r="D25" i="77" a="1"/>
  <c r="D25" i="77" s="1"/>
  <c r="F24" i="77" a="1"/>
  <c r="F24" i="77" s="1"/>
  <c r="E24" i="77" a="1"/>
  <c r="E24" i="77" s="1"/>
  <c r="D24" i="77" a="1"/>
  <c r="D24" i="77" s="1"/>
  <c r="F23" i="77" a="1"/>
  <c r="F23" i="77" s="1"/>
  <c r="E23" i="77" a="1"/>
  <c r="E23" i="77" s="1"/>
  <c r="D23" i="77" a="1"/>
  <c r="D23" i="77" s="1"/>
  <c r="F22" i="77" a="1"/>
  <c r="F22" i="77" s="1"/>
  <c r="E22" i="77" a="1"/>
  <c r="E22" i="77" s="1"/>
  <c r="D22" i="77" a="1"/>
  <c r="D22" i="77" s="1"/>
  <c r="F21" i="77" a="1"/>
  <c r="F21" i="77" s="1"/>
  <c r="E21" i="77" a="1"/>
  <c r="E21" i="77" s="1"/>
  <c r="D21" i="77" a="1"/>
  <c r="D21" i="77" s="1"/>
  <c r="F20" i="77" a="1"/>
  <c r="F20" i="77" s="1"/>
  <c r="E20" i="77" a="1"/>
  <c r="E20" i="77" s="1"/>
  <c r="D20" i="77" a="1"/>
  <c r="D20" i="77" s="1"/>
  <c r="F19" i="77" a="1"/>
  <c r="F19" i="77" s="1"/>
  <c r="E19" i="77" a="1"/>
  <c r="E19" i="77" s="1"/>
  <c r="D19" i="77" a="1"/>
  <c r="D19" i="77" s="1"/>
  <c r="F18" i="77" a="1"/>
  <c r="F18" i="77" s="1"/>
  <c r="E18" i="77" a="1"/>
  <c r="E18" i="77" s="1"/>
  <c r="D18" i="77" a="1"/>
  <c r="D18" i="77" s="1"/>
  <c r="F17" i="77" a="1"/>
  <c r="F17" i="77" s="1"/>
  <c r="E17" i="77" a="1"/>
  <c r="E17" i="77" s="1"/>
  <c r="D17" i="77" a="1"/>
  <c r="D17" i="77" s="1"/>
  <c r="F16" i="77" a="1"/>
  <c r="F16" i="77" s="1"/>
  <c r="E16" i="77" a="1"/>
  <c r="E16" i="77" s="1"/>
  <c r="D16" i="77" a="1"/>
  <c r="D16" i="77" s="1"/>
  <c r="F15" i="77" a="1"/>
  <c r="F15" i="77" s="1"/>
  <c r="E11" i="74" s="1"/>
  <c r="E15" i="77" a="1"/>
  <c r="E15" i="77" s="1"/>
  <c r="D11" i="74" s="1"/>
  <c r="D15" i="77" a="1"/>
  <c r="D15" i="77" s="1"/>
  <c r="F14" i="77" a="1"/>
  <c r="F14" i="77" s="1"/>
  <c r="E10" i="74" s="1"/>
  <c r="E14" i="77" a="1"/>
  <c r="E14" i="77" s="1"/>
  <c r="D10" i="74" s="1"/>
  <c r="D14" i="77" a="1"/>
  <c r="D14" i="77" s="1"/>
  <c r="F13" i="77" a="1"/>
  <c r="F13" i="77" s="1"/>
  <c r="E9" i="74" s="1"/>
  <c r="E13" i="77" a="1"/>
  <c r="E13" i="77" s="1"/>
  <c r="D9" i="74" s="1"/>
  <c r="D13" i="77" a="1"/>
  <c r="D13" i="77" s="1"/>
  <c r="F12" i="77" a="1"/>
  <c r="F12" i="77" s="1"/>
  <c r="E12" i="77" a="1"/>
  <c r="E12" i="77" s="1"/>
  <c r="D12" i="77" a="1"/>
  <c r="D12" i="77" s="1"/>
  <c r="F11" i="77" a="1"/>
  <c r="F11" i="77" s="1"/>
  <c r="E11" i="77" a="1"/>
  <c r="E11" i="77" s="1"/>
  <c r="D11" i="77" a="1"/>
  <c r="D11" i="77" s="1"/>
  <c r="F10" i="77" a="1"/>
  <c r="F10" i="77" s="1"/>
  <c r="E8" i="74" s="1"/>
  <c r="E10" i="77" a="1"/>
  <c r="E10" i="77" s="1"/>
  <c r="D8" i="74" s="1"/>
  <c r="D10" i="77" a="1"/>
  <c r="D10" i="77" s="1"/>
  <c r="D8" i="77" a="1"/>
  <c r="D8" i="77" s="1"/>
  <c r="D7" i="77" a="1"/>
  <c r="D7" i="77" s="1"/>
  <c r="D6" i="77" a="1"/>
  <c r="D6" i="77" s="1"/>
  <c r="E123" i="76" a="1"/>
  <c r="E123" i="76" s="1"/>
  <c r="D123" i="76" a="1"/>
  <c r="D123" i="76" s="1"/>
  <c r="E122" i="76" a="1"/>
  <c r="E122" i="76" s="1"/>
  <c r="D122" i="76" a="1"/>
  <c r="D122" i="76" s="1"/>
  <c r="E121" i="76" a="1"/>
  <c r="E121" i="76" s="1"/>
  <c r="D121" i="76" a="1"/>
  <c r="D121" i="76" s="1"/>
  <c r="E120" i="76" a="1"/>
  <c r="E120" i="76" s="1"/>
  <c r="D120" i="76" a="1"/>
  <c r="D120" i="76" s="1"/>
  <c r="D118" i="76" a="1"/>
  <c r="D118" i="76" s="1"/>
  <c r="D117" i="76" a="1"/>
  <c r="D117" i="76" s="1"/>
  <c r="F115" i="76" a="1"/>
  <c r="F115" i="76" s="1"/>
  <c r="E115" i="76" a="1"/>
  <c r="E115" i="76" s="1"/>
  <c r="D115" i="76" a="1"/>
  <c r="D115" i="76" s="1"/>
  <c r="D114" i="76" a="1"/>
  <c r="D114" i="76" s="1"/>
  <c r="D113" i="76" a="1"/>
  <c r="D113" i="76" s="1"/>
  <c r="D112" i="76" a="1"/>
  <c r="D112" i="76" s="1"/>
  <c r="E110" i="76" a="1"/>
  <c r="E110" i="76" s="1"/>
  <c r="D110" i="76" a="1"/>
  <c r="D110" i="76" s="1"/>
  <c r="D109" i="76" a="1"/>
  <c r="D109" i="76" s="1"/>
  <c r="D108" i="76" a="1"/>
  <c r="D108" i="76" s="1"/>
  <c r="F105" i="76" a="1"/>
  <c r="F105" i="76" s="1"/>
  <c r="E105" i="76" a="1"/>
  <c r="E105" i="76" s="1"/>
  <c r="D105" i="76" a="1"/>
  <c r="D105" i="76" s="1"/>
  <c r="F104" i="76" a="1"/>
  <c r="F104" i="76" s="1"/>
  <c r="E104" i="76" a="1"/>
  <c r="E104" i="76" s="1"/>
  <c r="D104" i="76" a="1"/>
  <c r="D104" i="76" s="1"/>
  <c r="F103" i="76" a="1"/>
  <c r="F103" i="76" s="1"/>
  <c r="E103" i="76" a="1"/>
  <c r="E103" i="76" s="1"/>
  <c r="D103" i="76" a="1"/>
  <c r="D103" i="76" s="1"/>
  <c r="F102" i="76" a="1"/>
  <c r="F102" i="76" s="1"/>
  <c r="E102" i="76" a="1"/>
  <c r="E102" i="76" s="1"/>
  <c r="D102" i="76" a="1"/>
  <c r="D102" i="76" s="1"/>
  <c r="F101" i="76" a="1"/>
  <c r="F101" i="76" s="1"/>
  <c r="E101" i="76" a="1"/>
  <c r="E101" i="76" s="1"/>
  <c r="D101" i="76" a="1"/>
  <c r="D101" i="76" s="1"/>
  <c r="F100" i="76" a="1"/>
  <c r="F100" i="76" s="1"/>
  <c r="E100" i="76" a="1"/>
  <c r="E100" i="76" s="1"/>
  <c r="D100" i="76" a="1"/>
  <c r="D100" i="76" s="1"/>
  <c r="F99" i="76" a="1"/>
  <c r="F99" i="76" s="1"/>
  <c r="E99" i="76" a="1"/>
  <c r="E99" i="76" s="1"/>
  <c r="D99" i="76" a="1"/>
  <c r="D99" i="76" s="1"/>
  <c r="F98" i="76" a="1"/>
  <c r="F98" i="76" s="1"/>
  <c r="E98" i="76" a="1"/>
  <c r="E98" i="76" s="1"/>
  <c r="D98" i="76" a="1"/>
  <c r="D98" i="76" s="1"/>
  <c r="D96" i="76" a="1"/>
  <c r="D96" i="76" s="1"/>
  <c r="D95" i="76" a="1"/>
  <c r="D95" i="76" s="1"/>
  <c r="D94" i="76" a="1"/>
  <c r="D94" i="76" s="1"/>
  <c r="F91" i="76" a="1"/>
  <c r="F91" i="76" s="1"/>
  <c r="E91" i="76" a="1"/>
  <c r="E91" i="76" s="1"/>
  <c r="D91" i="76" a="1"/>
  <c r="D91" i="76" s="1"/>
  <c r="F90" i="76" a="1"/>
  <c r="F90" i="76" s="1"/>
  <c r="E90" i="76" a="1"/>
  <c r="E90" i="76" s="1"/>
  <c r="D90" i="76" a="1"/>
  <c r="D90" i="76" s="1"/>
  <c r="F89" i="76" a="1"/>
  <c r="F89" i="76" s="1"/>
  <c r="E89" i="76" a="1"/>
  <c r="E89" i="76" s="1"/>
  <c r="D89" i="76" a="1"/>
  <c r="D89" i="76" s="1"/>
  <c r="F88" i="76" a="1"/>
  <c r="F88" i="76" s="1"/>
  <c r="E88" i="76" a="1"/>
  <c r="E88" i="76" s="1"/>
  <c r="D88" i="76" a="1"/>
  <c r="D88" i="76" s="1"/>
  <c r="F87" i="76" a="1"/>
  <c r="F87" i="76" s="1"/>
  <c r="E87" i="76" a="1"/>
  <c r="E87" i="76" s="1"/>
  <c r="D87" i="76" a="1"/>
  <c r="D87" i="76" s="1"/>
  <c r="F86" i="76" a="1"/>
  <c r="F86" i="76" s="1"/>
  <c r="E86" i="76" a="1"/>
  <c r="E86" i="76" s="1"/>
  <c r="D86" i="76" a="1"/>
  <c r="D86" i="76" s="1"/>
  <c r="F85" i="76" a="1"/>
  <c r="F85" i="76" s="1"/>
  <c r="E85" i="76" a="1"/>
  <c r="E85" i="76" s="1"/>
  <c r="D85" i="76" a="1"/>
  <c r="D85" i="76" s="1"/>
  <c r="D83" i="76" a="1"/>
  <c r="D83" i="76" s="1"/>
  <c r="D82" i="76" a="1"/>
  <c r="D82" i="76" s="1"/>
  <c r="D81" i="76" a="1"/>
  <c r="D81" i="76" s="1"/>
  <c r="F78" i="76" a="1"/>
  <c r="F78" i="76" s="1"/>
  <c r="E78" i="76" a="1"/>
  <c r="E78" i="76" s="1"/>
  <c r="D78" i="76" a="1"/>
  <c r="D78" i="76" s="1"/>
  <c r="F77" i="76" a="1"/>
  <c r="F77" i="76" s="1"/>
  <c r="E77" i="76" a="1"/>
  <c r="E77" i="76" s="1"/>
  <c r="D77" i="76" a="1"/>
  <c r="D77" i="76" s="1"/>
  <c r="F76" i="76" a="1"/>
  <c r="F76" i="76" s="1"/>
  <c r="E76" i="76" a="1"/>
  <c r="E76" i="76" s="1"/>
  <c r="D76" i="76" a="1"/>
  <c r="D76" i="76" s="1"/>
  <c r="D74" i="76" a="1"/>
  <c r="D74" i="76" s="1"/>
  <c r="D73" i="76" a="1"/>
  <c r="D73" i="76" s="1"/>
  <c r="D72" i="76" a="1"/>
  <c r="D72" i="76" s="1"/>
  <c r="N68" i="76" a="1"/>
  <c r="N68" i="76" s="1"/>
  <c r="M68" i="76" a="1"/>
  <c r="M68" i="76" s="1"/>
  <c r="L68" i="76" a="1"/>
  <c r="L68" i="76" s="1"/>
  <c r="K68" i="76" a="1"/>
  <c r="K68" i="76" s="1"/>
  <c r="J68" i="76" a="1"/>
  <c r="J68" i="76" s="1"/>
  <c r="I68" i="76" a="1"/>
  <c r="I68" i="76" s="1"/>
  <c r="H68" i="76" a="1"/>
  <c r="H68" i="76" s="1"/>
  <c r="G68" i="76" a="1"/>
  <c r="G68" i="76" s="1"/>
  <c r="F68" i="76" a="1"/>
  <c r="F68" i="76" s="1"/>
  <c r="E68" i="76" a="1"/>
  <c r="E68" i="76" s="1"/>
  <c r="D68" i="76" a="1"/>
  <c r="D68" i="76" s="1"/>
  <c r="N67" i="76" a="1"/>
  <c r="N67" i="76" s="1"/>
  <c r="M67" i="76" a="1"/>
  <c r="M67" i="76" s="1"/>
  <c r="L67" i="76" a="1"/>
  <c r="L67" i="76" s="1"/>
  <c r="K67" i="76" a="1"/>
  <c r="K67" i="76" s="1"/>
  <c r="J67" i="76" a="1"/>
  <c r="J67" i="76" s="1"/>
  <c r="I67" i="76" a="1"/>
  <c r="I67" i="76" s="1"/>
  <c r="H67" i="76" a="1"/>
  <c r="H67" i="76" s="1"/>
  <c r="G67" i="76" a="1"/>
  <c r="G67" i="76" s="1"/>
  <c r="F67" i="76" a="1"/>
  <c r="F67" i="76" s="1"/>
  <c r="E67" i="76" a="1"/>
  <c r="E67" i="76" s="1"/>
  <c r="D67" i="76" a="1"/>
  <c r="D67" i="76" s="1"/>
  <c r="N66" i="76" a="1"/>
  <c r="N66" i="76" s="1"/>
  <c r="M66" i="76" a="1"/>
  <c r="M66" i="76" s="1"/>
  <c r="L66" i="76" a="1"/>
  <c r="L66" i="76" s="1"/>
  <c r="K66" i="76" a="1"/>
  <c r="K66" i="76" s="1"/>
  <c r="J66" i="76" a="1"/>
  <c r="J66" i="76" s="1"/>
  <c r="I66" i="76" a="1"/>
  <c r="I66" i="76" s="1"/>
  <c r="H66" i="76" a="1"/>
  <c r="H66" i="76" s="1"/>
  <c r="G66" i="76" a="1"/>
  <c r="G66" i="76" s="1"/>
  <c r="F66" i="76" a="1"/>
  <c r="F66" i="76" s="1"/>
  <c r="E66" i="76" a="1"/>
  <c r="E66" i="76" s="1"/>
  <c r="D66" i="76" a="1"/>
  <c r="D66" i="76" s="1"/>
  <c r="N65" i="76" a="1"/>
  <c r="N65" i="76" s="1"/>
  <c r="M65" i="76" a="1"/>
  <c r="M65" i="76" s="1"/>
  <c r="L65" i="76" a="1"/>
  <c r="L65" i="76" s="1"/>
  <c r="K65" i="76" a="1"/>
  <c r="K65" i="76" s="1"/>
  <c r="J65" i="76" a="1"/>
  <c r="J65" i="76" s="1"/>
  <c r="I65" i="76" a="1"/>
  <c r="I65" i="76" s="1"/>
  <c r="H65" i="76" a="1"/>
  <c r="H65" i="76" s="1"/>
  <c r="G65" i="76" a="1"/>
  <c r="G65" i="76" s="1"/>
  <c r="F65" i="76" a="1"/>
  <c r="F65" i="76" s="1"/>
  <c r="E65" i="76" a="1"/>
  <c r="E65" i="76" s="1"/>
  <c r="D65" i="76" a="1"/>
  <c r="D65" i="76" s="1"/>
  <c r="N64" i="76" a="1"/>
  <c r="N64" i="76" s="1"/>
  <c r="M64" i="76" a="1"/>
  <c r="M64" i="76" s="1"/>
  <c r="L64" i="76" a="1"/>
  <c r="L64" i="76" s="1"/>
  <c r="K64" i="76" a="1"/>
  <c r="K64" i="76" s="1"/>
  <c r="J64" i="76" a="1"/>
  <c r="J64" i="76" s="1"/>
  <c r="I64" i="76" a="1"/>
  <c r="I64" i="76" s="1"/>
  <c r="H64" i="76" a="1"/>
  <c r="H64" i="76" s="1"/>
  <c r="G64" i="76" a="1"/>
  <c r="G64" i="76" s="1"/>
  <c r="F64" i="76" a="1"/>
  <c r="F64" i="76" s="1"/>
  <c r="E64" i="76" a="1"/>
  <c r="E64" i="76" s="1"/>
  <c r="D64" i="76" a="1"/>
  <c r="D64" i="76" s="1"/>
  <c r="N63" i="76" a="1"/>
  <c r="N63" i="76" s="1"/>
  <c r="M63" i="76" a="1"/>
  <c r="M63" i="76" s="1"/>
  <c r="L63" i="76" a="1"/>
  <c r="L63" i="76" s="1"/>
  <c r="K63" i="76" a="1"/>
  <c r="K63" i="76" s="1"/>
  <c r="J63" i="76" a="1"/>
  <c r="J63" i="76" s="1"/>
  <c r="I63" i="76" a="1"/>
  <c r="I63" i="76" s="1"/>
  <c r="H63" i="76" a="1"/>
  <c r="H63" i="76" s="1"/>
  <c r="G63" i="76" a="1"/>
  <c r="G63" i="76" s="1"/>
  <c r="F63" i="76" a="1"/>
  <c r="F63" i="76" s="1"/>
  <c r="E63" i="76" a="1"/>
  <c r="E63" i="76" s="1"/>
  <c r="D63" i="76" a="1"/>
  <c r="D63" i="76" s="1"/>
  <c r="N62" i="76" a="1"/>
  <c r="N62" i="76" s="1"/>
  <c r="M62" i="76" a="1"/>
  <c r="M62" i="76" s="1"/>
  <c r="L62" i="76" a="1"/>
  <c r="L62" i="76" s="1"/>
  <c r="K62" i="76" a="1"/>
  <c r="K62" i="76" s="1"/>
  <c r="J62" i="76" a="1"/>
  <c r="J62" i="76" s="1"/>
  <c r="I62" i="76" a="1"/>
  <c r="I62" i="76" s="1"/>
  <c r="H62" i="76" a="1"/>
  <c r="H62" i="76" s="1"/>
  <c r="G62" i="76" a="1"/>
  <c r="G62" i="76" s="1"/>
  <c r="F62" i="76" a="1"/>
  <c r="F62" i="76" s="1"/>
  <c r="E62" i="76" a="1"/>
  <c r="E62" i="76" s="1"/>
  <c r="D62" i="76" a="1"/>
  <c r="D62" i="76" s="1"/>
  <c r="N61" i="76" a="1"/>
  <c r="N61" i="76" s="1"/>
  <c r="M61" i="76" a="1"/>
  <c r="M61" i="76" s="1"/>
  <c r="L61" i="76" a="1"/>
  <c r="L61" i="76" s="1"/>
  <c r="K61" i="76" a="1"/>
  <c r="K61" i="76" s="1"/>
  <c r="J61" i="76" a="1"/>
  <c r="J61" i="76" s="1"/>
  <c r="I61" i="76" a="1"/>
  <c r="I61" i="76" s="1"/>
  <c r="H61" i="76" a="1"/>
  <c r="H61" i="76" s="1"/>
  <c r="G61" i="76" a="1"/>
  <c r="G61" i="76" s="1"/>
  <c r="F61" i="76" a="1"/>
  <c r="F61" i="76" s="1"/>
  <c r="E61" i="76" a="1"/>
  <c r="E61" i="76" s="1"/>
  <c r="D61" i="76" a="1"/>
  <c r="D61" i="76" s="1"/>
  <c r="N60" i="76" a="1"/>
  <c r="N60" i="76" s="1"/>
  <c r="M60" i="76" a="1"/>
  <c r="M60" i="76" s="1"/>
  <c r="L60" i="76" a="1"/>
  <c r="L60" i="76" s="1"/>
  <c r="K60" i="76" a="1"/>
  <c r="K60" i="76" s="1"/>
  <c r="J60" i="76" a="1"/>
  <c r="J60" i="76" s="1"/>
  <c r="I60" i="76" a="1"/>
  <c r="I60" i="76" s="1"/>
  <c r="H60" i="76" a="1"/>
  <c r="H60" i="76" s="1"/>
  <c r="G60" i="76" a="1"/>
  <c r="G60" i="76" s="1"/>
  <c r="F60" i="76" a="1"/>
  <c r="F60" i="76" s="1"/>
  <c r="E60" i="76" a="1"/>
  <c r="E60" i="76" s="1"/>
  <c r="D60" i="76" a="1"/>
  <c r="D60" i="76" s="1"/>
  <c r="D53" i="76" a="1"/>
  <c r="D53" i="76" s="1"/>
  <c r="D52" i="76" a="1"/>
  <c r="D52" i="76" s="1"/>
  <c r="D51" i="76" a="1"/>
  <c r="D51" i="76" s="1"/>
  <c r="D47" i="76" a="1"/>
  <c r="D47" i="76" s="1"/>
  <c r="D46" i="76" a="1"/>
  <c r="D46" i="76" s="1"/>
  <c r="D45" i="76" a="1"/>
  <c r="D45" i="76" s="1"/>
  <c r="E21" i="76" a="1"/>
  <c r="E21" i="76" s="1"/>
  <c r="D21" i="76" a="1"/>
  <c r="D21" i="76" s="1"/>
  <c r="E20" i="76" a="1"/>
  <c r="E20" i="76" s="1"/>
  <c r="D20" i="76" a="1"/>
  <c r="D20" i="76" s="1"/>
  <c r="D18" i="76" a="1"/>
  <c r="D18" i="76" s="1"/>
  <c r="D17" i="76" a="1"/>
  <c r="D17" i="76" s="1"/>
  <c r="H13" i="76" a="1"/>
  <c r="H13" i="76" s="1"/>
  <c r="G13" i="76" a="1"/>
  <c r="G13" i="76" s="1"/>
  <c r="F13" i="76" a="1"/>
  <c r="F13" i="76" s="1"/>
  <c r="E13" i="76" a="1"/>
  <c r="E13" i="76" s="1"/>
  <c r="D13" i="76" a="1"/>
  <c r="D13" i="76" s="1"/>
  <c r="H12" i="76" a="1"/>
  <c r="H12" i="76" s="1"/>
  <c r="G12" i="76" a="1"/>
  <c r="G12" i="76" s="1"/>
  <c r="F12" i="76" a="1"/>
  <c r="F12" i="76" s="1"/>
  <c r="E12" i="76" a="1"/>
  <c r="E12" i="76" s="1"/>
  <c r="D12" i="76" a="1"/>
  <c r="D12" i="76" s="1"/>
  <c r="H11" i="76" a="1"/>
  <c r="H11" i="76" s="1"/>
  <c r="G11" i="76" a="1"/>
  <c r="G11" i="76" s="1"/>
  <c r="F11" i="76" a="1"/>
  <c r="F11" i="76" s="1"/>
  <c r="E11" i="76" a="1"/>
  <c r="E11" i="76" s="1"/>
  <c r="D11" i="76" a="1"/>
  <c r="D11" i="76" s="1"/>
  <c r="H10" i="76" a="1"/>
  <c r="H10" i="76" s="1"/>
  <c r="G10" i="76" a="1"/>
  <c r="G10" i="76" s="1"/>
  <c r="F10" i="76" a="1"/>
  <c r="F10" i="76" s="1"/>
  <c r="E10" i="76" a="1"/>
  <c r="E10" i="76" s="1"/>
  <c r="D10" i="76" a="1"/>
  <c r="D10" i="76" s="1"/>
  <c r="H9" i="76" a="1"/>
  <c r="H9" i="76" s="1"/>
  <c r="G9" i="76" a="1"/>
  <c r="G9" i="76" s="1"/>
  <c r="F9" i="76" a="1"/>
  <c r="F9" i="76" s="1"/>
  <c r="E9" i="76" a="1"/>
  <c r="E9" i="76" s="1"/>
  <c r="D9" i="76" a="1"/>
  <c r="D9" i="76" s="1"/>
  <c r="D6" i="76" a="1"/>
  <c r="D6" i="76" s="1"/>
  <c r="D5" i="76" a="1"/>
  <c r="D5" i="76" s="1"/>
  <c r="E132" i="75" a="1"/>
  <c r="E132" i="75" s="1"/>
  <c r="D132" i="75" a="1"/>
  <c r="D132" i="75" s="1"/>
  <c r="E131" i="75" a="1"/>
  <c r="E131" i="75" s="1"/>
  <c r="D131" i="75" a="1"/>
  <c r="D131" i="75" s="1"/>
  <c r="E130" i="75" a="1"/>
  <c r="E130" i="75" s="1"/>
  <c r="D130" i="75" a="1"/>
  <c r="D130" i="75" s="1"/>
  <c r="E129" i="75" a="1"/>
  <c r="E129" i="75" s="1"/>
  <c r="D129" i="75" a="1"/>
  <c r="D129" i="75" s="1"/>
  <c r="E128" i="75" a="1"/>
  <c r="E128" i="75" s="1"/>
  <c r="D128" i="75" a="1"/>
  <c r="D128" i="75" s="1"/>
  <c r="D126" i="75" a="1"/>
  <c r="D126" i="75" s="1"/>
  <c r="D125" i="75" a="1"/>
  <c r="D125" i="75" s="1"/>
  <c r="F122" i="75" a="1"/>
  <c r="F122" i="75" s="1"/>
  <c r="E122" i="75" a="1"/>
  <c r="E122" i="75" s="1"/>
  <c r="D122" i="75" a="1"/>
  <c r="D122" i="75" s="1"/>
  <c r="D121" i="75" a="1"/>
  <c r="D121" i="75" s="1"/>
  <c r="D120" i="75" a="1"/>
  <c r="D120" i="75" s="1"/>
  <c r="F117" i="75" a="1"/>
  <c r="F117" i="75" s="1"/>
  <c r="E117" i="75" a="1"/>
  <c r="E117" i="75" s="1"/>
  <c r="D117" i="75" a="1"/>
  <c r="D117" i="75" s="1"/>
  <c r="F116" i="75" a="1"/>
  <c r="F116" i="75" s="1"/>
  <c r="E116" i="75" a="1"/>
  <c r="E116" i="75" s="1"/>
  <c r="D116" i="75" a="1"/>
  <c r="D116" i="75" s="1"/>
  <c r="F115" i="75" a="1"/>
  <c r="F115" i="75" s="1"/>
  <c r="E115" i="75" a="1"/>
  <c r="E115" i="75" s="1"/>
  <c r="D115" i="75" a="1"/>
  <c r="D115" i="75" s="1"/>
  <c r="F114" i="75" a="1"/>
  <c r="F114" i="75" s="1"/>
  <c r="E114" i="75" a="1"/>
  <c r="E114" i="75" s="1"/>
  <c r="D114" i="75" a="1"/>
  <c r="D114" i="75" s="1"/>
  <c r="F113" i="75" a="1"/>
  <c r="F113" i="75" s="1"/>
  <c r="E113" i="75" a="1"/>
  <c r="E113" i="75" s="1"/>
  <c r="D113" i="75" a="1"/>
  <c r="D113" i="75" s="1"/>
  <c r="F112" i="75" a="1"/>
  <c r="F112" i="75" s="1"/>
  <c r="E112" i="75" a="1"/>
  <c r="E112" i="75" s="1"/>
  <c r="D112" i="75" a="1"/>
  <c r="D112" i="75" s="1"/>
  <c r="D110" i="75" a="1"/>
  <c r="D110" i="75" s="1"/>
  <c r="D109" i="75" a="1"/>
  <c r="D109" i="75" s="1"/>
  <c r="D108" i="75" a="1"/>
  <c r="D108" i="75" s="1"/>
  <c r="F105" i="75" a="1"/>
  <c r="F105" i="75" s="1"/>
  <c r="E105" i="75" a="1"/>
  <c r="E105" i="75" s="1"/>
  <c r="D105" i="75" a="1"/>
  <c r="D105" i="75" s="1"/>
  <c r="F104" i="75" a="1"/>
  <c r="F104" i="75" s="1"/>
  <c r="E104" i="75" a="1"/>
  <c r="E104" i="75" s="1"/>
  <c r="D104" i="75" a="1"/>
  <c r="D104" i="75" s="1"/>
  <c r="F103" i="75" a="1"/>
  <c r="F103" i="75" s="1"/>
  <c r="E103" i="75" a="1"/>
  <c r="E103" i="75" s="1"/>
  <c r="D103" i="75" a="1"/>
  <c r="D103" i="75" s="1"/>
  <c r="F102" i="75" a="1"/>
  <c r="F102" i="75" s="1"/>
  <c r="E102" i="75" a="1"/>
  <c r="E102" i="75" s="1"/>
  <c r="D102" i="75" a="1"/>
  <c r="D102" i="75" s="1"/>
  <c r="F101" i="75" a="1"/>
  <c r="F101" i="75" s="1"/>
  <c r="E101" i="75" a="1"/>
  <c r="E101" i="75" s="1"/>
  <c r="D101" i="75" a="1"/>
  <c r="D101" i="75" s="1"/>
  <c r="F100" i="75" a="1"/>
  <c r="F100" i="75" s="1"/>
  <c r="E100" i="75" a="1"/>
  <c r="E100" i="75" s="1"/>
  <c r="D100" i="75" a="1"/>
  <c r="D100" i="75" s="1"/>
  <c r="D98" i="75" a="1"/>
  <c r="D98" i="75" s="1"/>
  <c r="D97" i="75" a="1"/>
  <c r="D97" i="75" s="1"/>
  <c r="D96" i="75" a="1"/>
  <c r="D96" i="75" s="1"/>
  <c r="G93" i="75" a="1"/>
  <c r="G93" i="75" s="1"/>
  <c r="F93" i="75" a="1"/>
  <c r="F93" i="75" s="1"/>
  <c r="E93" i="75" a="1"/>
  <c r="E93" i="75" s="1"/>
  <c r="D93" i="75" a="1"/>
  <c r="D93" i="75" s="1"/>
  <c r="G92" i="75" a="1"/>
  <c r="G92" i="75" s="1"/>
  <c r="F92" i="75" a="1"/>
  <c r="F92" i="75" s="1"/>
  <c r="E92" i="75" a="1"/>
  <c r="E92" i="75" s="1"/>
  <c r="D92" i="75" a="1"/>
  <c r="D92" i="75" s="1"/>
  <c r="G91" i="75" a="1"/>
  <c r="G91" i="75" s="1"/>
  <c r="F91" i="75" a="1"/>
  <c r="F91" i="75" s="1"/>
  <c r="E91" i="75" a="1"/>
  <c r="E91" i="75" s="1"/>
  <c r="D91" i="75" a="1"/>
  <c r="D91" i="75" s="1"/>
  <c r="G90" i="75" a="1"/>
  <c r="G90" i="75" s="1"/>
  <c r="F90" i="75" a="1"/>
  <c r="F90" i="75" s="1"/>
  <c r="E90" i="75" a="1"/>
  <c r="E90" i="75" s="1"/>
  <c r="D90" i="75" a="1"/>
  <c r="D90" i="75" s="1"/>
  <c r="D87" i="75" a="1"/>
  <c r="D87" i="75" s="1"/>
  <c r="D86" i="75" a="1"/>
  <c r="D86" i="75" s="1"/>
  <c r="D85" i="75" a="1"/>
  <c r="D85" i="75" s="1"/>
  <c r="E82" i="75" a="1"/>
  <c r="E82" i="75" s="1"/>
  <c r="D82" i="75" a="1"/>
  <c r="D82" i="75" s="1"/>
  <c r="E81" i="75" a="1"/>
  <c r="E81" i="75" s="1"/>
  <c r="D81" i="75" a="1"/>
  <c r="D81" i="75" s="1"/>
  <c r="E80" i="75" a="1"/>
  <c r="E80" i="75" s="1"/>
  <c r="D80" i="75" a="1"/>
  <c r="D80" i="75" s="1"/>
  <c r="E79" i="75" a="1"/>
  <c r="E79" i="75" s="1"/>
  <c r="D79" i="75" a="1"/>
  <c r="D79" i="75" s="1"/>
  <c r="D76" i="75" a="1"/>
  <c r="D76" i="75" s="1"/>
  <c r="D75" i="75" a="1"/>
  <c r="D75" i="75" s="1"/>
  <c r="D74" i="75" a="1"/>
  <c r="D74" i="75" s="1"/>
  <c r="E71" i="75" a="1"/>
  <c r="E71" i="75" s="1"/>
  <c r="D71" i="75" a="1"/>
  <c r="D71" i="75" s="1"/>
  <c r="E70" i="75" a="1"/>
  <c r="E70" i="75" s="1"/>
  <c r="D70" i="75" a="1"/>
  <c r="D70" i="75" s="1"/>
  <c r="E69" i="75" a="1"/>
  <c r="E69" i="75" s="1"/>
  <c r="D69" i="75" a="1"/>
  <c r="D69" i="75" s="1"/>
  <c r="E68" i="75" a="1"/>
  <c r="E68" i="75" s="1"/>
  <c r="D68" i="75" a="1"/>
  <c r="D68" i="75" s="1"/>
  <c r="D65" i="75" a="1"/>
  <c r="D65" i="75" s="1"/>
  <c r="D64" i="75" a="1"/>
  <c r="D64" i="75" s="1"/>
  <c r="D63" i="75" a="1"/>
  <c r="D63" i="75" s="1"/>
  <c r="G56" i="75" a="1"/>
  <c r="G56" i="75" s="1"/>
  <c r="G55" i="75" a="1"/>
  <c r="G55" i="75" s="1"/>
  <c r="G54" i="75" a="1"/>
  <c r="G54" i="75" s="1"/>
  <c r="M35" i="75" a="1"/>
  <c r="M35" i="75" s="1"/>
  <c r="L35" i="75" a="1"/>
  <c r="L35" i="75" s="1"/>
  <c r="K35" i="75" a="1"/>
  <c r="K35" i="75" s="1"/>
  <c r="J35" i="75" a="1"/>
  <c r="J35" i="75" s="1"/>
  <c r="I35" i="75" a="1"/>
  <c r="I35" i="75" s="1"/>
  <c r="H35" i="75" a="1"/>
  <c r="H35" i="75" s="1"/>
  <c r="G35" i="75" a="1"/>
  <c r="G35" i="75" s="1"/>
  <c r="F35" i="75" a="1"/>
  <c r="F35" i="75" s="1"/>
  <c r="E35" i="75" a="1"/>
  <c r="E35" i="75" s="1"/>
  <c r="D35" i="75" a="1"/>
  <c r="D35" i="75" s="1"/>
  <c r="M34" i="75" a="1"/>
  <c r="M34" i="75" s="1"/>
  <c r="L34" i="75" a="1"/>
  <c r="L34" i="75" s="1"/>
  <c r="K34" i="75" a="1"/>
  <c r="K34" i="75" s="1"/>
  <c r="J34" i="75" a="1"/>
  <c r="J34" i="75" s="1"/>
  <c r="I34" i="75" a="1"/>
  <c r="I34" i="75" s="1"/>
  <c r="H34" i="75" a="1"/>
  <c r="H34" i="75" s="1"/>
  <c r="G34" i="75" a="1"/>
  <c r="G34" i="75" s="1"/>
  <c r="F34" i="75" a="1"/>
  <c r="F34" i="75" s="1"/>
  <c r="E34" i="75" a="1"/>
  <c r="E34" i="75" s="1"/>
  <c r="D34" i="75" a="1"/>
  <c r="D34" i="75" s="1"/>
  <c r="M33" i="75" a="1"/>
  <c r="M33" i="75" s="1"/>
  <c r="L33" i="75" a="1"/>
  <c r="L33" i="75" s="1"/>
  <c r="K33" i="75" a="1"/>
  <c r="K33" i="75" s="1"/>
  <c r="J33" i="75" a="1"/>
  <c r="J33" i="75" s="1"/>
  <c r="I33" i="75" a="1"/>
  <c r="I33" i="75" s="1"/>
  <c r="H33" i="75" a="1"/>
  <c r="H33" i="75" s="1"/>
  <c r="G33" i="75" a="1"/>
  <c r="G33" i="75" s="1"/>
  <c r="F33" i="75" a="1"/>
  <c r="F33" i="75" s="1"/>
  <c r="E33" i="75" a="1"/>
  <c r="E33" i="75" s="1"/>
  <c r="D33" i="75" a="1"/>
  <c r="D33" i="75" s="1"/>
  <c r="M32" i="75" a="1"/>
  <c r="M32" i="75" s="1"/>
  <c r="L32" i="75" a="1"/>
  <c r="L32" i="75" s="1"/>
  <c r="K32" i="75" a="1"/>
  <c r="K32" i="75" s="1"/>
  <c r="J32" i="75" a="1"/>
  <c r="J32" i="75" s="1"/>
  <c r="I32" i="75" a="1"/>
  <c r="I32" i="75" s="1"/>
  <c r="H32" i="75" a="1"/>
  <c r="H32" i="75" s="1"/>
  <c r="G32" i="75" a="1"/>
  <c r="G32" i="75" s="1"/>
  <c r="F32" i="75" a="1"/>
  <c r="F32" i="75" s="1"/>
  <c r="E32" i="75" a="1"/>
  <c r="E32" i="75" s="1"/>
  <c r="D32" i="75" a="1"/>
  <c r="D32" i="75" s="1"/>
  <c r="M31" i="75" a="1"/>
  <c r="M31" i="75" s="1"/>
  <c r="L31" i="75" a="1"/>
  <c r="L31" i="75" s="1"/>
  <c r="K31" i="75" a="1"/>
  <c r="K31" i="75" s="1"/>
  <c r="J31" i="75" a="1"/>
  <c r="J31" i="75" s="1"/>
  <c r="I31" i="75" a="1"/>
  <c r="I31" i="75" s="1"/>
  <c r="H31" i="75" a="1"/>
  <c r="H31" i="75" s="1"/>
  <c r="G31" i="75" a="1"/>
  <c r="G31" i="75" s="1"/>
  <c r="F31" i="75" a="1"/>
  <c r="F31" i="75" s="1"/>
  <c r="E31" i="75" a="1"/>
  <c r="E31" i="75" s="1"/>
  <c r="D31" i="75" a="1"/>
  <c r="D31" i="75" s="1"/>
  <c r="M30" i="75" a="1"/>
  <c r="M30" i="75" s="1"/>
  <c r="L30" i="75" a="1"/>
  <c r="L30" i="75" s="1"/>
  <c r="K30" i="75" a="1"/>
  <c r="K30" i="75" s="1"/>
  <c r="J30" i="75" a="1"/>
  <c r="J30" i="75" s="1"/>
  <c r="I30" i="75" a="1"/>
  <c r="I30" i="75" s="1"/>
  <c r="H30" i="75" a="1"/>
  <c r="H30" i="75" s="1"/>
  <c r="G30" i="75" a="1"/>
  <c r="G30" i="75" s="1"/>
  <c r="F30" i="75" a="1"/>
  <c r="F30" i="75" s="1"/>
  <c r="E30" i="75" a="1"/>
  <c r="E30" i="75" s="1"/>
  <c r="D30" i="75" a="1"/>
  <c r="D30" i="75" s="1"/>
  <c r="M29" i="75" a="1"/>
  <c r="M29" i="75" s="1"/>
  <c r="L29" i="75" a="1"/>
  <c r="L29" i="75" s="1"/>
  <c r="K29" i="75" a="1"/>
  <c r="K29" i="75" s="1"/>
  <c r="J29" i="75" a="1"/>
  <c r="J29" i="75" s="1"/>
  <c r="I29" i="75" a="1"/>
  <c r="I29" i="75" s="1"/>
  <c r="H29" i="75" a="1"/>
  <c r="H29" i="75" s="1"/>
  <c r="G29" i="75" a="1"/>
  <c r="G29" i="75" s="1"/>
  <c r="F29" i="75" a="1"/>
  <c r="F29" i="75" s="1"/>
  <c r="E29" i="75" a="1"/>
  <c r="E29" i="75" s="1"/>
  <c r="D29" i="75" a="1"/>
  <c r="D29" i="75" s="1"/>
  <c r="D26" i="75" a="1"/>
  <c r="D26" i="75" s="1"/>
  <c r="D25" i="75" a="1"/>
  <c r="D25" i="75" s="1"/>
  <c r="D24" i="75" a="1"/>
  <c r="D24" i="75" s="1"/>
  <c r="F21" i="75" a="1"/>
  <c r="F21" i="75" s="1"/>
  <c r="E21" i="75" a="1"/>
  <c r="E21" i="75" s="1"/>
  <c r="D21" i="75" a="1"/>
  <c r="D21" i="75" s="1"/>
  <c r="D20" i="75" a="1"/>
  <c r="D20" i="75" s="1"/>
  <c r="D19" i="75" a="1"/>
  <c r="D19" i="75" s="1"/>
  <c r="F17" i="75" a="1"/>
  <c r="F17" i="75" s="1"/>
  <c r="E17" i="75" a="1"/>
  <c r="E17" i="75" s="1"/>
  <c r="D17" i="75" a="1"/>
  <c r="D17" i="75" s="1"/>
  <c r="D16" i="75" a="1"/>
  <c r="D16" i="75" s="1"/>
  <c r="D15" i="75" a="1"/>
  <c r="D15" i="75" s="1"/>
  <c r="D14" i="75" a="1"/>
  <c r="D14" i="75" s="1"/>
  <c r="D233" i="74" a="1"/>
  <c r="D233" i="74" s="1"/>
  <c r="D232" i="74" a="1"/>
  <c r="D232" i="74" s="1"/>
  <c r="D231" i="74" a="1"/>
  <c r="D231" i="74" s="1"/>
  <c r="D230" i="74" a="1"/>
  <c r="D230" i="74" s="1"/>
  <c r="D229" i="74" a="1"/>
  <c r="D229" i="74" s="1"/>
  <c r="D227" i="74" a="1"/>
  <c r="D227" i="74" s="1"/>
  <c r="D226" i="74" a="1"/>
  <c r="D226" i="74" s="1"/>
  <c r="D225" i="74" a="1"/>
  <c r="D225" i="74" s="1"/>
  <c r="D224" i="74" a="1"/>
  <c r="D224" i="74" s="1"/>
  <c r="D223" i="74" a="1"/>
  <c r="D223" i="74" s="1"/>
  <c r="D221" i="74" a="1"/>
  <c r="D221" i="74" s="1"/>
  <c r="D220" i="74" a="1"/>
  <c r="D220" i="74" s="1"/>
  <c r="D219" i="74" a="1"/>
  <c r="D219" i="74" s="1"/>
  <c r="D218" i="74" a="1"/>
  <c r="D218" i="74" s="1"/>
  <c r="D217" i="74" a="1"/>
  <c r="D217" i="74" s="1"/>
  <c r="D215" i="74" a="1"/>
  <c r="D215" i="74" s="1"/>
  <c r="A215" i="74"/>
  <c r="D214" i="74" a="1"/>
  <c r="D214" i="74" s="1"/>
  <c r="D213" i="74" a="1"/>
  <c r="D213" i="74" s="1"/>
  <c r="D212" i="74" a="1"/>
  <c r="D212" i="74" s="1"/>
  <c r="D211" i="74" a="1"/>
  <c r="D211" i="74" s="1"/>
  <c r="D209" i="74" a="1"/>
  <c r="D209" i="74" s="1"/>
  <c r="D208" i="74" a="1"/>
  <c r="D208" i="74" s="1"/>
  <c r="D207" i="74" a="1"/>
  <c r="D207" i="74" s="1"/>
  <c r="D206" i="74" a="1"/>
  <c r="D206" i="74" s="1"/>
  <c r="D205" i="74" a="1"/>
  <c r="D205" i="74" s="1"/>
  <c r="D202" i="74" a="1"/>
  <c r="D202" i="74" s="1"/>
  <c r="D201" i="74" a="1"/>
  <c r="D201" i="74" s="1"/>
  <c r="D200" i="74" a="1"/>
  <c r="D200" i="74" s="1"/>
  <c r="D199" i="74" a="1"/>
  <c r="D199" i="74" s="1"/>
  <c r="D198" i="74" a="1"/>
  <c r="D198" i="74" s="1"/>
  <c r="D195" i="74" a="1"/>
  <c r="D195" i="74" s="1"/>
  <c r="D194" i="74" a="1"/>
  <c r="D194" i="74" s="1"/>
  <c r="D193" i="74" a="1"/>
  <c r="D193" i="74" s="1"/>
  <c r="D192" i="74" a="1"/>
  <c r="D192" i="74" s="1"/>
  <c r="D191" i="74" a="1"/>
  <c r="D191" i="74" s="1"/>
  <c r="D188" i="74" a="1"/>
  <c r="D188" i="74" s="1"/>
  <c r="D187" i="74" a="1"/>
  <c r="D187" i="74" s="1"/>
  <c r="D186" i="74" a="1"/>
  <c r="D186" i="74" s="1"/>
  <c r="D185" i="74" a="1"/>
  <c r="D185" i="74" s="1"/>
  <c r="D184" i="74" a="1"/>
  <c r="D184" i="74" s="1"/>
  <c r="D181" i="74" a="1"/>
  <c r="D181" i="74" s="1"/>
  <c r="D180" i="74" a="1"/>
  <c r="D180" i="74" s="1"/>
  <c r="D179" i="74" a="1"/>
  <c r="D179" i="74" s="1"/>
  <c r="D178" i="74" a="1"/>
  <c r="D178" i="74" s="1"/>
  <c r="D177" i="74" a="1"/>
  <c r="D177" i="74" s="1"/>
  <c r="D174" i="74" a="1"/>
  <c r="D174" i="74" s="1"/>
  <c r="A174" i="74"/>
  <c r="D173" i="74" a="1"/>
  <c r="D173" i="74" s="1"/>
  <c r="D172" i="74" a="1"/>
  <c r="D172" i="74" s="1"/>
  <c r="D171" i="74" a="1"/>
  <c r="D171" i="74" s="1"/>
  <c r="D170" i="74" a="1"/>
  <c r="D170" i="74" s="1"/>
  <c r="D167" i="74" a="1"/>
  <c r="D167" i="74" s="1"/>
  <c r="D166" i="74" a="1"/>
  <c r="D166" i="74" s="1"/>
  <c r="D165" i="74" a="1"/>
  <c r="D165" i="74" s="1"/>
  <c r="D164" i="74" a="1"/>
  <c r="D164" i="74" s="1"/>
  <c r="D163" i="74" a="1"/>
  <c r="D163" i="74" s="1"/>
  <c r="D160" i="74" a="1"/>
  <c r="D160" i="74" s="1"/>
  <c r="D159" i="74" a="1"/>
  <c r="D159" i="74" s="1"/>
  <c r="D158" i="74" a="1"/>
  <c r="D158" i="74" s="1"/>
  <c r="D157" i="74" a="1"/>
  <c r="D157" i="74" s="1"/>
  <c r="D156" i="74" a="1"/>
  <c r="D156" i="74" s="1"/>
  <c r="D153" i="74" a="1"/>
  <c r="D153" i="74" s="1"/>
  <c r="D152" i="74" a="1"/>
  <c r="D152" i="74" s="1"/>
  <c r="D151" i="74" a="1"/>
  <c r="D151" i="74" s="1"/>
  <c r="D150" i="74" a="1"/>
  <c r="D150" i="74" s="1"/>
  <c r="D149" i="74" a="1"/>
  <c r="D149" i="74" s="1"/>
  <c r="F146" i="74" a="1"/>
  <c r="F146" i="74" s="1"/>
  <c r="E146" i="74" a="1"/>
  <c r="E146" i="74" s="1"/>
  <c r="D146" i="74" a="1"/>
  <c r="D146" i="74" s="1"/>
  <c r="F145" i="74" a="1"/>
  <c r="F145" i="74" s="1"/>
  <c r="E145" i="74" a="1"/>
  <c r="E145" i="74" s="1"/>
  <c r="D145" i="74" a="1"/>
  <c r="D145" i="74" s="1"/>
  <c r="F144" i="74" a="1"/>
  <c r="F144" i="74" s="1"/>
  <c r="E144" i="74" a="1"/>
  <c r="E144" i="74" s="1"/>
  <c r="D144" i="74" a="1"/>
  <c r="D144" i="74" s="1"/>
  <c r="F143" i="74" a="1"/>
  <c r="F143" i="74" s="1"/>
  <c r="E143" i="74" a="1"/>
  <c r="E143" i="74" s="1"/>
  <c r="D143" i="74" a="1"/>
  <c r="D143" i="74" s="1"/>
  <c r="F142" i="74" a="1"/>
  <c r="F142" i="74" s="1"/>
  <c r="E142" i="74" a="1"/>
  <c r="E142" i="74" s="1"/>
  <c r="D142" i="74" a="1"/>
  <c r="D142" i="74" s="1"/>
  <c r="D140" i="74" a="1"/>
  <c r="D140" i="74" s="1"/>
  <c r="D139" i="74" a="1"/>
  <c r="D139" i="74" s="1"/>
  <c r="D138" i="74" a="1"/>
  <c r="D138" i="74" s="1"/>
  <c r="D137" i="74" a="1"/>
  <c r="D137" i="74" s="1"/>
  <c r="D136" i="74" a="1"/>
  <c r="D136" i="74" s="1"/>
  <c r="F133" i="74" a="1"/>
  <c r="F133" i="74" s="1"/>
  <c r="E133" i="74" a="1"/>
  <c r="E133" i="74" s="1"/>
  <c r="D133" i="74" a="1"/>
  <c r="D133" i="74" s="1"/>
  <c r="F132" i="74" a="1"/>
  <c r="F132" i="74" s="1"/>
  <c r="E132" i="74" a="1"/>
  <c r="E132" i="74" s="1"/>
  <c r="D132" i="74" a="1"/>
  <c r="D132" i="74" s="1"/>
  <c r="F131" i="74" a="1"/>
  <c r="F131" i="74" s="1"/>
  <c r="E131" i="74" a="1"/>
  <c r="E131" i="74" s="1"/>
  <c r="D131" i="74" a="1"/>
  <c r="D131" i="74" s="1"/>
  <c r="F130" i="74" a="1"/>
  <c r="F130" i="74" s="1"/>
  <c r="E130" i="74" a="1"/>
  <c r="E130" i="74" s="1"/>
  <c r="D130" i="74" a="1"/>
  <c r="D130" i="74" s="1"/>
  <c r="F129" i="74" a="1"/>
  <c r="F129" i="74" s="1"/>
  <c r="E129" i="74" a="1"/>
  <c r="E129" i="74" s="1"/>
  <c r="D129" i="74" a="1"/>
  <c r="D129" i="74" s="1"/>
  <c r="D127" i="74" a="1"/>
  <c r="D127" i="74" s="1"/>
  <c r="D126" i="74" a="1"/>
  <c r="D126" i="74" s="1"/>
  <c r="D125" i="74" a="1"/>
  <c r="D125" i="74" s="1"/>
  <c r="D124" i="74" a="1"/>
  <c r="D124" i="74" s="1"/>
  <c r="D123" i="74" a="1"/>
  <c r="D123" i="74" s="1"/>
  <c r="G120" i="74" a="1"/>
  <c r="G120" i="74" s="1"/>
  <c r="F120" i="74" a="1"/>
  <c r="F120" i="74" s="1"/>
  <c r="E120" i="74" a="1"/>
  <c r="E120" i="74" s="1"/>
  <c r="D120" i="74" a="1"/>
  <c r="D120" i="74" s="1"/>
  <c r="G119" i="74" a="1"/>
  <c r="G119" i="74" s="1"/>
  <c r="F119" i="74" a="1"/>
  <c r="F119" i="74" s="1"/>
  <c r="E119" i="74" a="1"/>
  <c r="E119" i="74" s="1"/>
  <c r="D119" i="74" a="1"/>
  <c r="D119" i="74" s="1"/>
  <c r="G118" i="74" a="1"/>
  <c r="G118" i="74" s="1"/>
  <c r="F118" i="74" a="1"/>
  <c r="F118" i="74" s="1"/>
  <c r="E118" i="74" a="1"/>
  <c r="E118" i="74" s="1"/>
  <c r="D118" i="74" a="1"/>
  <c r="D118" i="74" s="1"/>
  <c r="G117" i="74" a="1"/>
  <c r="G117" i="74" s="1"/>
  <c r="F117" i="74" a="1"/>
  <c r="F117" i="74" s="1"/>
  <c r="E117" i="74" a="1"/>
  <c r="E117" i="74" s="1"/>
  <c r="D117" i="74" a="1"/>
  <c r="D117" i="74" s="1"/>
  <c r="D115" i="74" a="1"/>
  <c r="D115" i="74" s="1"/>
  <c r="D114" i="74" a="1"/>
  <c r="D114" i="74" s="1"/>
  <c r="D113" i="74" a="1"/>
  <c r="D113" i="74" s="1"/>
  <c r="D112" i="74" a="1"/>
  <c r="D112" i="74" s="1"/>
  <c r="E109" i="74" a="1"/>
  <c r="E109" i="74" s="1"/>
  <c r="D109" i="74" a="1"/>
  <c r="D109" i="74" s="1"/>
  <c r="E108" i="74" a="1"/>
  <c r="E108" i="74" s="1"/>
  <c r="D108" i="74" a="1"/>
  <c r="D108" i="74" s="1"/>
  <c r="D106" i="74" a="1"/>
  <c r="D106" i="74" s="1"/>
  <c r="D105" i="74" a="1"/>
  <c r="D105" i="74" s="1"/>
  <c r="D104" i="74" a="1"/>
  <c r="D104" i="74" s="1"/>
  <c r="D103" i="74" a="1"/>
  <c r="D103" i="74" s="1"/>
  <c r="E100" i="74" a="1"/>
  <c r="E100" i="74" s="1"/>
  <c r="D100" i="74" a="1"/>
  <c r="D100" i="74" s="1"/>
  <c r="E99" i="74" a="1"/>
  <c r="E99" i="74" s="1"/>
  <c r="D99" i="74" a="1"/>
  <c r="D99" i="74" s="1"/>
  <c r="D97" i="74" a="1"/>
  <c r="D97" i="74" s="1"/>
  <c r="D96" i="74" a="1"/>
  <c r="D96" i="74" s="1"/>
  <c r="D95" i="74" a="1"/>
  <c r="D95" i="74" s="1"/>
  <c r="D94" i="74" a="1"/>
  <c r="D94" i="74" s="1"/>
  <c r="G91" i="74" a="1"/>
  <c r="G91" i="74" s="1"/>
  <c r="F91" i="74" a="1"/>
  <c r="F91" i="74" s="1"/>
  <c r="E91" i="74" a="1"/>
  <c r="E91" i="74" s="1"/>
  <c r="D91" i="74" a="1"/>
  <c r="D91" i="74" s="1"/>
  <c r="G90" i="74" a="1"/>
  <c r="G90" i="74" s="1"/>
  <c r="F90" i="74" a="1"/>
  <c r="F90" i="74" s="1"/>
  <c r="E90" i="74" a="1"/>
  <c r="E90" i="74" s="1"/>
  <c r="D90" i="74" a="1"/>
  <c r="D90" i="74" s="1"/>
  <c r="G89" i="74" a="1"/>
  <c r="G89" i="74" s="1"/>
  <c r="F89" i="74" a="1"/>
  <c r="F89" i="74" s="1"/>
  <c r="E89" i="74" a="1"/>
  <c r="E89" i="74" s="1"/>
  <c r="D89" i="74" a="1"/>
  <c r="D89" i="74" s="1"/>
  <c r="G88" i="74" a="1"/>
  <c r="G88" i="74" s="1"/>
  <c r="F88" i="74" a="1"/>
  <c r="F88" i="74" s="1"/>
  <c r="E88" i="74" a="1"/>
  <c r="E88" i="74" s="1"/>
  <c r="D88" i="74" a="1"/>
  <c r="D88" i="74" s="1"/>
  <c r="G87" i="74" a="1"/>
  <c r="G87" i="74" s="1"/>
  <c r="F87" i="74" a="1"/>
  <c r="F87" i="74" s="1"/>
  <c r="E87" i="74" a="1"/>
  <c r="E87" i="74" s="1"/>
  <c r="D87" i="74" a="1"/>
  <c r="D87" i="74" s="1"/>
  <c r="D85" i="74" a="1"/>
  <c r="D85" i="74" s="1"/>
  <c r="D84" i="74" a="1"/>
  <c r="D84" i="74" s="1"/>
  <c r="D83" i="74" a="1"/>
  <c r="D83" i="74" s="1"/>
  <c r="D82" i="74" a="1"/>
  <c r="D82" i="74" s="1"/>
  <c r="D81" i="74" a="1"/>
  <c r="D81" i="74" s="1"/>
  <c r="M78" i="74" a="1"/>
  <c r="M78" i="74" s="1"/>
  <c r="L78" i="74" a="1"/>
  <c r="L78" i="74" s="1"/>
  <c r="K78" i="74" a="1"/>
  <c r="K78" i="74" s="1"/>
  <c r="J78" i="74" a="1"/>
  <c r="J78" i="74" s="1"/>
  <c r="I78" i="74" a="1"/>
  <c r="I78" i="74" s="1"/>
  <c r="H78" i="74" a="1"/>
  <c r="H78" i="74" s="1"/>
  <c r="G78" i="74" a="1"/>
  <c r="G78" i="74" s="1"/>
  <c r="F78" i="74" a="1"/>
  <c r="F78" i="74" s="1"/>
  <c r="E78" i="74" a="1"/>
  <c r="E78" i="74" s="1"/>
  <c r="D78" i="74" a="1"/>
  <c r="D78" i="74" s="1"/>
  <c r="M77" i="74" a="1"/>
  <c r="M77" i="74" s="1"/>
  <c r="L77" i="74" a="1"/>
  <c r="L77" i="74" s="1"/>
  <c r="K77" i="74" a="1"/>
  <c r="K77" i="74" s="1"/>
  <c r="J77" i="74" a="1"/>
  <c r="J77" i="74" s="1"/>
  <c r="I77" i="74" a="1"/>
  <c r="I77" i="74" s="1"/>
  <c r="H77" i="74" a="1"/>
  <c r="H77" i="74" s="1"/>
  <c r="G77" i="74" a="1"/>
  <c r="G77" i="74" s="1"/>
  <c r="F77" i="74" a="1"/>
  <c r="F77" i="74" s="1"/>
  <c r="E77" i="74" a="1"/>
  <c r="E77" i="74" s="1"/>
  <c r="D77" i="74" a="1"/>
  <c r="D77" i="74" s="1"/>
  <c r="M76" i="74" a="1"/>
  <c r="M76" i="74" s="1"/>
  <c r="L76" i="74" a="1"/>
  <c r="L76" i="74" s="1"/>
  <c r="K76" i="74" a="1"/>
  <c r="K76" i="74" s="1"/>
  <c r="J76" i="74" a="1"/>
  <c r="J76" i="74" s="1"/>
  <c r="I76" i="74" a="1"/>
  <c r="I76" i="74" s="1"/>
  <c r="H76" i="74" a="1"/>
  <c r="H76" i="74" s="1"/>
  <c r="G76" i="74" a="1"/>
  <c r="G76" i="74" s="1"/>
  <c r="F76" i="74" a="1"/>
  <c r="F76" i="74" s="1"/>
  <c r="E76" i="74" a="1"/>
  <c r="E76" i="74" s="1"/>
  <c r="D76" i="74" a="1"/>
  <c r="D76" i="74" s="1"/>
  <c r="M75" i="74" a="1"/>
  <c r="M75" i="74" s="1"/>
  <c r="L75" i="74" a="1"/>
  <c r="L75" i="74" s="1"/>
  <c r="K75" i="74" a="1"/>
  <c r="K75" i="74" s="1"/>
  <c r="J75" i="74" a="1"/>
  <c r="J75" i="74" s="1"/>
  <c r="I75" i="74" a="1"/>
  <c r="I75" i="74" s="1"/>
  <c r="H75" i="74" a="1"/>
  <c r="H75" i="74" s="1"/>
  <c r="G75" i="74" a="1"/>
  <c r="G75" i="74" s="1"/>
  <c r="F75" i="74" a="1"/>
  <c r="F75" i="74" s="1"/>
  <c r="E75" i="74" a="1"/>
  <c r="E75" i="74" s="1"/>
  <c r="D75" i="74" a="1"/>
  <c r="D75" i="74" s="1"/>
  <c r="M74" i="74" a="1"/>
  <c r="M74" i="74" s="1"/>
  <c r="L74" i="74" a="1"/>
  <c r="L74" i="74" s="1"/>
  <c r="K74" i="74" a="1"/>
  <c r="K74" i="74" s="1"/>
  <c r="J74" i="74" a="1"/>
  <c r="J74" i="74" s="1"/>
  <c r="I74" i="74" a="1"/>
  <c r="I74" i="74" s="1"/>
  <c r="H74" i="74" a="1"/>
  <c r="H74" i="74" s="1"/>
  <c r="G74" i="74" a="1"/>
  <c r="G74" i="74" s="1"/>
  <c r="F74" i="74" a="1"/>
  <c r="F74" i="74" s="1"/>
  <c r="E74" i="74" a="1"/>
  <c r="E74" i="74" s="1"/>
  <c r="D74" i="74" a="1"/>
  <c r="D74" i="74" s="1"/>
  <c r="M73" i="74" a="1"/>
  <c r="M73" i="74" s="1"/>
  <c r="L73" i="74" a="1"/>
  <c r="L73" i="74" s="1"/>
  <c r="K73" i="74" a="1"/>
  <c r="K73" i="74" s="1"/>
  <c r="J73" i="74" a="1"/>
  <c r="J73" i="74" s="1"/>
  <c r="I73" i="74" a="1"/>
  <c r="I73" i="74" s="1"/>
  <c r="H73" i="74" a="1"/>
  <c r="H73" i="74" s="1"/>
  <c r="G73" i="74" a="1"/>
  <c r="G73" i="74" s="1"/>
  <c r="F73" i="74" a="1"/>
  <c r="F73" i="74" s="1"/>
  <c r="E73" i="74" a="1"/>
  <c r="E73" i="74" s="1"/>
  <c r="D73" i="74" a="1"/>
  <c r="D73" i="74" s="1"/>
  <c r="D71" i="74" a="1"/>
  <c r="D71" i="74" s="1"/>
  <c r="D70" i="74" a="1"/>
  <c r="D70" i="74" s="1"/>
  <c r="D69" i="74" a="1"/>
  <c r="D69" i="74" s="1"/>
  <c r="D68" i="74" a="1"/>
  <c r="D68" i="74" s="1"/>
  <c r="D67" i="74" a="1"/>
  <c r="D67" i="74" s="1"/>
  <c r="G64" i="74" a="1"/>
  <c r="G64" i="74" s="1"/>
  <c r="F64" i="74" a="1"/>
  <c r="F64" i="74" s="1"/>
  <c r="E64" i="74" a="1"/>
  <c r="E64" i="74" s="1"/>
  <c r="D64" i="74" a="1"/>
  <c r="D64" i="74" s="1"/>
  <c r="G63" i="74" a="1"/>
  <c r="G63" i="74" s="1"/>
  <c r="F63" i="74" a="1"/>
  <c r="F63" i="74" s="1"/>
  <c r="E63" i="74" a="1"/>
  <c r="E63" i="74" s="1"/>
  <c r="D63" i="74" a="1"/>
  <c r="D63" i="74" s="1"/>
  <c r="D61" i="74" a="1"/>
  <c r="D61" i="74" s="1"/>
  <c r="D60" i="74" a="1"/>
  <c r="D60" i="74" s="1"/>
  <c r="D59" i="74" a="1"/>
  <c r="D59" i="74" s="1"/>
  <c r="D58" i="74" a="1"/>
  <c r="D58" i="74" s="1"/>
  <c r="H55" i="74" a="1"/>
  <c r="H55" i="74" s="1"/>
  <c r="G55" i="74" a="1"/>
  <c r="G55" i="74" s="1"/>
  <c r="F55" i="74" a="1"/>
  <c r="F55" i="74" s="1"/>
  <c r="E55" i="74" a="1"/>
  <c r="E55" i="74" s="1"/>
  <c r="D55" i="74" a="1"/>
  <c r="D55" i="74" s="1"/>
  <c r="D53" i="74" a="1"/>
  <c r="D53" i="74" s="1"/>
  <c r="D52" i="74" a="1"/>
  <c r="D52" i="74" s="1"/>
  <c r="D51" i="74" a="1"/>
  <c r="D51" i="74" s="1"/>
  <c r="D50" i="74" a="1"/>
  <c r="D50" i="74" s="1"/>
  <c r="H47" i="74" a="1"/>
  <c r="H47" i="74" s="1"/>
  <c r="G47" i="74" a="1"/>
  <c r="G47" i="74" s="1"/>
  <c r="F47" i="74" a="1"/>
  <c r="F47" i="74" s="1"/>
  <c r="E47" i="74" a="1"/>
  <c r="E47" i="74" s="1"/>
  <c r="D47" i="74" a="1"/>
  <c r="D47" i="74" s="1"/>
  <c r="D45" i="74" a="1"/>
  <c r="D45" i="74" s="1"/>
  <c r="D44" i="74" a="1"/>
  <c r="D44" i="74" s="1"/>
  <c r="D43" i="74" a="1"/>
  <c r="D43" i="74" s="1"/>
  <c r="D42" i="74" a="1"/>
  <c r="D42" i="74" s="1"/>
  <c r="F39" i="74" a="1"/>
  <c r="F39" i="74" s="1"/>
  <c r="E39" i="74" a="1"/>
  <c r="E39" i="74" s="1"/>
  <c r="D39" i="74" a="1"/>
  <c r="D39" i="74" s="1"/>
  <c r="D37" i="74" a="1"/>
  <c r="D37" i="74" s="1"/>
  <c r="D36" i="74" a="1"/>
  <c r="D36" i="74" s="1"/>
  <c r="D35" i="74" a="1"/>
  <c r="D35" i="74" s="1"/>
  <c r="D34" i="74" a="1"/>
  <c r="D34" i="74" s="1"/>
  <c r="G31" i="74" a="1"/>
  <c r="G31" i="74" s="1"/>
  <c r="F31" i="74" a="1"/>
  <c r="F31" i="74" s="1"/>
  <c r="E31" i="74" a="1"/>
  <c r="E31" i="74" s="1"/>
  <c r="D31" i="74" a="1"/>
  <c r="D31" i="74" s="1"/>
  <c r="G30" i="74" a="1"/>
  <c r="G30" i="74" s="1"/>
  <c r="F30" i="74" a="1"/>
  <c r="F30" i="74" s="1"/>
  <c r="E30" i="74" a="1"/>
  <c r="E30" i="74" s="1"/>
  <c r="D30" i="74" a="1"/>
  <c r="D30" i="74" s="1"/>
  <c r="G29" i="74" a="1"/>
  <c r="G29" i="74" s="1"/>
  <c r="F29" i="74" a="1"/>
  <c r="F29" i="74" s="1"/>
  <c r="E29" i="74" a="1"/>
  <c r="E29" i="74" s="1"/>
  <c r="D29" i="74" a="1"/>
  <c r="D29" i="74" s="1"/>
  <c r="G28" i="74" a="1"/>
  <c r="G28" i="74" s="1"/>
  <c r="F28" i="74" a="1"/>
  <c r="F28" i="74" s="1"/>
  <c r="E28" i="74" a="1"/>
  <c r="E28" i="74" s="1"/>
  <c r="D28" i="74" a="1"/>
  <c r="D28" i="74" s="1"/>
  <c r="G27" i="74" a="1"/>
  <c r="G27" i="74" s="1"/>
  <c r="F27" i="74" a="1"/>
  <c r="F27" i="74" s="1"/>
  <c r="E27" i="74" a="1"/>
  <c r="E27" i="74" s="1"/>
  <c r="D27" i="74" a="1"/>
  <c r="D27" i="74" s="1"/>
  <c r="G26" i="74" a="1"/>
  <c r="G26" i="74" s="1"/>
  <c r="F26" i="74" a="1"/>
  <c r="F26" i="74" s="1"/>
  <c r="E26" i="74" a="1"/>
  <c r="E26" i="74" s="1"/>
  <c r="D26" i="74" a="1"/>
  <c r="D26" i="74" s="1"/>
  <c r="G25" i="74" a="1"/>
  <c r="G25" i="74" s="1"/>
  <c r="F25" i="74" a="1"/>
  <c r="F25" i="74" s="1"/>
  <c r="E25" i="74" a="1"/>
  <c r="E25" i="74" s="1"/>
  <c r="D25" i="74" a="1"/>
  <c r="D25" i="74" s="1"/>
  <c r="G24" i="74" a="1"/>
  <c r="G24" i="74" s="1"/>
  <c r="F24" i="74" a="1"/>
  <c r="F24" i="74" s="1"/>
  <c r="E24" i="74" a="1"/>
  <c r="E24" i="74" s="1"/>
  <c r="D24" i="74" a="1"/>
  <c r="D24" i="74" s="1"/>
  <c r="G23" i="74" a="1"/>
  <c r="G23" i="74" s="1"/>
  <c r="F23" i="74" a="1"/>
  <c r="F23" i="74" s="1"/>
  <c r="E23" i="74" a="1"/>
  <c r="E23" i="74" s="1"/>
  <c r="D23" i="74" a="1"/>
  <c r="D23" i="74" s="1"/>
  <c r="G22" i="74" a="1"/>
  <c r="G22" i="74" s="1"/>
  <c r="F22" i="74" a="1"/>
  <c r="F22" i="74" s="1"/>
  <c r="E22" i="74" a="1"/>
  <c r="E22" i="74" s="1"/>
  <c r="D22" i="74" a="1"/>
  <c r="D22" i="74" s="1"/>
  <c r="D20" i="74" a="1"/>
  <c r="D20" i="74" s="1"/>
  <c r="D19" i="74" a="1"/>
  <c r="D19" i="74" s="1"/>
  <c r="D18" i="74" a="1"/>
  <c r="D18" i="74" s="1"/>
  <c r="D17" i="74" a="1"/>
  <c r="D17" i="74" s="1"/>
  <c r="D16" i="74" a="1"/>
  <c r="D16" i="74" s="1"/>
  <c r="I483" i="73" a="1"/>
  <c r="I483" i="73" s="1"/>
  <c r="H483" i="73" a="1"/>
  <c r="H483" i="73" s="1"/>
  <c r="G483" i="73" a="1"/>
  <c r="G483" i="73" s="1"/>
  <c r="F483" i="73" a="1"/>
  <c r="F483" i="73" s="1"/>
  <c r="E483" i="73" a="1"/>
  <c r="E483" i="73" s="1"/>
  <c r="D483" i="73" a="1"/>
  <c r="D483" i="73" s="1"/>
  <c r="I482" i="73" a="1"/>
  <c r="I482" i="73" s="1"/>
  <c r="H482" i="73" a="1"/>
  <c r="H482" i="73" s="1"/>
  <c r="G482" i="73" a="1"/>
  <c r="G482" i="73" s="1"/>
  <c r="F482" i="73" a="1"/>
  <c r="F482" i="73" s="1"/>
  <c r="E482" i="73" a="1"/>
  <c r="E482" i="73" s="1"/>
  <c r="D482" i="73" a="1"/>
  <c r="D482" i="73" s="1"/>
  <c r="I481" i="73" a="1"/>
  <c r="I481" i="73" s="1"/>
  <c r="H481" i="73" a="1"/>
  <c r="H481" i="73" s="1"/>
  <c r="G481" i="73" a="1"/>
  <c r="G481" i="73" s="1"/>
  <c r="F481" i="73" a="1"/>
  <c r="F481" i="73" s="1"/>
  <c r="E481" i="73" a="1"/>
  <c r="E481" i="73" s="1"/>
  <c r="D481" i="73" a="1"/>
  <c r="D481" i="73" s="1"/>
  <c r="I480" i="73" a="1"/>
  <c r="I480" i="73" s="1"/>
  <c r="H480" i="73" a="1"/>
  <c r="H480" i="73" s="1"/>
  <c r="G480" i="73" a="1"/>
  <c r="G480" i="73" s="1"/>
  <c r="F480" i="73" a="1"/>
  <c r="F480" i="73" s="1"/>
  <c r="E480" i="73" a="1"/>
  <c r="E480" i="73" s="1"/>
  <c r="D480" i="73" a="1"/>
  <c r="D480" i="73" s="1"/>
  <c r="I479" i="73" a="1"/>
  <c r="I479" i="73" s="1"/>
  <c r="H479" i="73" a="1"/>
  <c r="H479" i="73" s="1"/>
  <c r="G479" i="73" a="1"/>
  <c r="G479" i="73" s="1"/>
  <c r="F479" i="73" a="1"/>
  <c r="F479" i="73" s="1"/>
  <c r="E479" i="73" a="1"/>
  <c r="E479" i="73" s="1"/>
  <c r="D479" i="73" a="1"/>
  <c r="D479" i="73" s="1"/>
  <c r="I478" i="73" a="1"/>
  <c r="I478" i="73" s="1"/>
  <c r="H478" i="73" a="1"/>
  <c r="H478" i="73" s="1"/>
  <c r="G478" i="73" a="1"/>
  <c r="G478" i="73" s="1"/>
  <c r="F478" i="73" a="1"/>
  <c r="F478" i="73" s="1"/>
  <c r="E478" i="73" a="1"/>
  <c r="E478" i="73" s="1"/>
  <c r="D478" i="73" a="1"/>
  <c r="D478" i="73" s="1"/>
  <c r="I477" i="73" a="1"/>
  <c r="I477" i="73" s="1"/>
  <c r="H477" i="73" a="1"/>
  <c r="H477" i="73" s="1"/>
  <c r="G477" i="73" a="1"/>
  <c r="G477" i="73" s="1"/>
  <c r="F477" i="73" a="1"/>
  <c r="F477" i="73" s="1"/>
  <c r="E477" i="73" a="1"/>
  <c r="E477" i="73" s="1"/>
  <c r="D477" i="73" a="1"/>
  <c r="D477" i="73" s="1"/>
  <c r="I476" i="73" a="1"/>
  <c r="I476" i="73" s="1"/>
  <c r="H476" i="73" a="1"/>
  <c r="H476" i="73" s="1"/>
  <c r="G476" i="73" a="1"/>
  <c r="G476" i="73" s="1"/>
  <c r="F476" i="73" a="1"/>
  <c r="F476" i="73" s="1"/>
  <c r="E476" i="73" a="1"/>
  <c r="E476" i="73" s="1"/>
  <c r="D476" i="73" a="1"/>
  <c r="D476" i="73" s="1"/>
  <c r="I475" i="73" a="1"/>
  <c r="I475" i="73" s="1"/>
  <c r="H475" i="73" a="1"/>
  <c r="H475" i="73" s="1"/>
  <c r="G475" i="73" a="1"/>
  <c r="G475" i="73" s="1"/>
  <c r="F475" i="73" a="1"/>
  <c r="F475" i="73" s="1"/>
  <c r="E475" i="73" a="1"/>
  <c r="E475" i="73" s="1"/>
  <c r="D475" i="73" a="1"/>
  <c r="D475" i="73" s="1"/>
  <c r="I474" i="73" a="1"/>
  <c r="I474" i="73" s="1"/>
  <c r="H474" i="73" a="1"/>
  <c r="H474" i="73" s="1"/>
  <c r="G474" i="73" a="1"/>
  <c r="G474" i="73" s="1"/>
  <c r="F474" i="73" a="1"/>
  <c r="F474" i="73" s="1"/>
  <c r="E474" i="73" a="1"/>
  <c r="E474" i="73" s="1"/>
  <c r="D474" i="73" a="1"/>
  <c r="D474" i="73" s="1"/>
  <c r="I473" i="73" a="1"/>
  <c r="I473" i="73" s="1"/>
  <c r="H473" i="73" a="1"/>
  <c r="H473" i="73" s="1"/>
  <c r="G473" i="73" a="1"/>
  <c r="G473" i="73" s="1"/>
  <c r="F473" i="73" a="1"/>
  <c r="F473" i="73" s="1"/>
  <c r="E473" i="73" a="1"/>
  <c r="E473" i="73" s="1"/>
  <c r="D473" i="73" a="1"/>
  <c r="D473" i="73" s="1"/>
  <c r="I472" i="73" a="1"/>
  <c r="I472" i="73" s="1"/>
  <c r="H472" i="73" a="1"/>
  <c r="H472" i="73" s="1"/>
  <c r="G472" i="73" a="1"/>
  <c r="G472" i="73" s="1"/>
  <c r="F472" i="73" a="1"/>
  <c r="F472" i="73" s="1"/>
  <c r="E472" i="73" a="1"/>
  <c r="E472" i="73" s="1"/>
  <c r="D472" i="73" a="1"/>
  <c r="D472" i="73" s="1"/>
  <c r="I471" i="73" a="1"/>
  <c r="I471" i="73" s="1"/>
  <c r="H471" i="73" a="1"/>
  <c r="H471" i="73" s="1"/>
  <c r="G471" i="73" a="1"/>
  <c r="G471" i="73" s="1"/>
  <c r="F471" i="73" a="1"/>
  <c r="F471" i="73" s="1"/>
  <c r="E471" i="73" a="1"/>
  <c r="E471" i="73" s="1"/>
  <c r="D471" i="73" a="1"/>
  <c r="D471" i="73" s="1"/>
  <c r="I470" i="73" a="1"/>
  <c r="I470" i="73" s="1"/>
  <c r="H470" i="73" a="1"/>
  <c r="H470" i="73" s="1"/>
  <c r="G470" i="73" a="1"/>
  <c r="G470" i="73" s="1"/>
  <c r="F470" i="73" a="1"/>
  <c r="F470" i="73" s="1"/>
  <c r="E470" i="73" a="1"/>
  <c r="E470" i="73" s="1"/>
  <c r="D470" i="73" a="1"/>
  <c r="D470" i="73" s="1"/>
  <c r="I469" i="73" a="1"/>
  <c r="I469" i="73" s="1"/>
  <c r="H469" i="73" a="1"/>
  <c r="H469" i="73" s="1"/>
  <c r="G469" i="73" a="1"/>
  <c r="G469" i="73" s="1"/>
  <c r="F469" i="73" a="1"/>
  <c r="F469" i="73" s="1"/>
  <c r="E469" i="73" a="1"/>
  <c r="E469" i="73" s="1"/>
  <c r="D469" i="73" a="1"/>
  <c r="D469" i="73" s="1"/>
  <c r="I468" i="73" a="1"/>
  <c r="I468" i="73" s="1"/>
  <c r="H468" i="73" a="1"/>
  <c r="H468" i="73" s="1"/>
  <c r="G468" i="73" a="1"/>
  <c r="G468" i="73" s="1"/>
  <c r="F468" i="73" a="1"/>
  <c r="F468" i="73" s="1"/>
  <c r="E468" i="73" a="1"/>
  <c r="E468" i="73" s="1"/>
  <c r="D468" i="73" a="1"/>
  <c r="D468" i="73" s="1"/>
  <c r="I467" i="73" a="1"/>
  <c r="I467" i="73" s="1"/>
  <c r="H467" i="73" a="1"/>
  <c r="H467" i="73" s="1"/>
  <c r="G467" i="73" a="1"/>
  <c r="G467" i="73" s="1"/>
  <c r="F467" i="73" a="1"/>
  <c r="F467" i="73" s="1"/>
  <c r="E467" i="73" a="1"/>
  <c r="E467" i="73" s="1"/>
  <c r="D467" i="73" a="1"/>
  <c r="D467" i="73" s="1"/>
  <c r="I466" i="73" a="1"/>
  <c r="I466" i="73" s="1"/>
  <c r="H466" i="73" a="1"/>
  <c r="H466" i="73" s="1"/>
  <c r="G466" i="73" a="1"/>
  <c r="G466" i="73" s="1"/>
  <c r="F466" i="73" a="1"/>
  <c r="F466" i="73" s="1"/>
  <c r="E466" i="73" a="1"/>
  <c r="E466" i="73" s="1"/>
  <c r="D466" i="73" a="1"/>
  <c r="D466" i="73" s="1"/>
  <c r="I465" i="73" a="1"/>
  <c r="I465" i="73" s="1"/>
  <c r="H465" i="73" a="1"/>
  <c r="H465" i="73" s="1"/>
  <c r="G465" i="73" a="1"/>
  <c r="G465" i="73" s="1"/>
  <c r="F465" i="73" a="1"/>
  <c r="F465" i="73" s="1"/>
  <c r="E465" i="73" a="1"/>
  <c r="E465" i="73" s="1"/>
  <c r="D465" i="73" a="1"/>
  <c r="D465" i="73" s="1"/>
  <c r="I464" i="73" a="1"/>
  <c r="I464" i="73" s="1"/>
  <c r="H464" i="73" a="1"/>
  <c r="H464" i="73" s="1"/>
  <c r="G464" i="73" a="1"/>
  <c r="G464" i="73" s="1"/>
  <c r="F464" i="73" a="1"/>
  <c r="F464" i="73" s="1"/>
  <c r="E464" i="73" a="1"/>
  <c r="E464" i="73" s="1"/>
  <c r="D464" i="73" a="1"/>
  <c r="D464" i="73" s="1"/>
  <c r="I463" i="73" a="1"/>
  <c r="I463" i="73" s="1"/>
  <c r="H463" i="73" a="1"/>
  <c r="H463" i="73" s="1"/>
  <c r="G463" i="73" a="1"/>
  <c r="G463" i="73" s="1"/>
  <c r="F463" i="73" a="1"/>
  <c r="F463" i="73" s="1"/>
  <c r="E463" i="73" a="1"/>
  <c r="E463" i="73" s="1"/>
  <c r="D463" i="73" a="1"/>
  <c r="D463" i="73" s="1"/>
  <c r="I462" i="73" a="1"/>
  <c r="I462" i="73" s="1"/>
  <c r="H462" i="73" a="1"/>
  <c r="H462" i="73" s="1"/>
  <c r="G462" i="73" a="1"/>
  <c r="G462" i="73" s="1"/>
  <c r="F462" i="73" a="1"/>
  <c r="F462" i="73" s="1"/>
  <c r="E462" i="73" a="1"/>
  <c r="E462" i="73" s="1"/>
  <c r="D462" i="73" a="1"/>
  <c r="D462" i="73" s="1"/>
  <c r="I461" i="73" a="1"/>
  <c r="I461" i="73" s="1"/>
  <c r="H461" i="73" a="1"/>
  <c r="H461" i="73" s="1"/>
  <c r="G461" i="73" a="1"/>
  <c r="G461" i="73" s="1"/>
  <c r="F461" i="73" a="1"/>
  <c r="F461" i="73" s="1"/>
  <c r="E461" i="73" a="1"/>
  <c r="E461" i="73" s="1"/>
  <c r="D461" i="73" a="1"/>
  <c r="D461" i="73" s="1"/>
  <c r="I460" i="73" a="1"/>
  <c r="I460" i="73" s="1"/>
  <c r="H460" i="73" a="1"/>
  <c r="H460" i="73" s="1"/>
  <c r="G460" i="73" a="1"/>
  <c r="G460" i="73" s="1"/>
  <c r="F460" i="73" a="1"/>
  <c r="F460" i="73" s="1"/>
  <c r="E460" i="73" a="1"/>
  <c r="E460" i="73" s="1"/>
  <c r="D460" i="73" a="1"/>
  <c r="D460" i="73" s="1"/>
  <c r="I459" i="73" a="1"/>
  <c r="I459" i="73" s="1"/>
  <c r="H459" i="73" a="1"/>
  <c r="H459" i="73" s="1"/>
  <c r="G459" i="73" a="1"/>
  <c r="G459" i="73" s="1"/>
  <c r="F459" i="73" a="1"/>
  <c r="F459" i="73" s="1"/>
  <c r="E459" i="73" a="1"/>
  <c r="E459" i="73" s="1"/>
  <c r="D459" i="73" a="1"/>
  <c r="D459" i="73" s="1"/>
  <c r="I458" i="73" a="1"/>
  <c r="I458" i="73" s="1"/>
  <c r="H458" i="73" a="1"/>
  <c r="H458" i="73" s="1"/>
  <c r="G458" i="73" a="1"/>
  <c r="G458" i="73" s="1"/>
  <c r="F458" i="73" a="1"/>
  <c r="F458" i="73" s="1"/>
  <c r="E458" i="73" a="1"/>
  <c r="E458" i="73" s="1"/>
  <c r="D458" i="73" a="1"/>
  <c r="D458" i="73" s="1"/>
  <c r="I457" i="73" a="1"/>
  <c r="I457" i="73" s="1"/>
  <c r="H457" i="73" a="1"/>
  <c r="H457" i="73" s="1"/>
  <c r="G457" i="73" a="1"/>
  <c r="G457" i="73" s="1"/>
  <c r="F457" i="73" a="1"/>
  <c r="F457" i="73" s="1"/>
  <c r="E457" i="73" a="1"/>
  <c r="E457" i="73" s="1"/>
  <c r="D457" i="73" a="1"/>
  <c r="D457" i="73" s="1"/>
  <c r="I456" i="73" a="1"/>
  <c r="I456" i="73" s="1"/>
  <c r="H456" i="73" a="1"/>
  <c r="H456" i="73" s="1"/>
  <c r="G456" i="73" a="1"/>
  <c r="G456" i="73" s="1"/>
  <c r="F456" i="73" a="1"/>
  <c r="F456" i="73" s="1"/>
  <c r="E456" i="73" a="1"/>
  <c r="E456" i="73" s="1"/>
  <c r="D456" i="73" a="1"/>
  <c r="D456" i="73" s="1"/>
  <c r="I455" i="73" a="1"/>
  <c r="I455" i="73" s="1"/>
  <c r="H455" i="73" a="1"/>
  <c r="H455" i="73" s="1"/>
  <c r="G455" i="73" a="1"/>
  <c r="G455" i="73" s="1"/>
  <c r="F455" i="73" a="1"/>
  <c r="F455" i="73" s="1"/>
  <c r="E455" i="73" a="1"/>
  <c r="E455" i="73" s="1"/>
  <c r="D455" i="73" a="1"/>
  <c r="D455" i="73" s="1"/>
  <c r="I454" i="73" a="1"/>
  <c r="I454" i="73" s="1"/>
  <c r="H454" i="73" a="1"/>
  <c r="H454" i="73" s="1"/>
  <c r="G454" i="73" a="1"/>
  <c r="G454" i="73" s="1"/>
  <c r="F454" i="73" a="1"/>
  <c r="F454" i="73" s="1"/>
  <c r="E454" i="73" a="1"/>
  <c r="E454" i="73" s="1"/>
  <c r="D454" i="73" a="1"/>
  <c r="D454" i="73" s="1"/>
  <c r="I453" i="73" a="1"/>
  <c r="I453" i="73" s="1"/>
  <c r="H453" i="73" a="1"/>
  <c r="H453" i="73" s="1"/>
  <c r="G453" i="73" a="1"/>
  <c r="G453" i="73" s="1"/>
  <c r="F453" i="73" a="1"/>
  <c r="F453" i="73" s="1"/>
  <c r="E453" i="73" a="1"/>
  <c r="E453" i="73" s="1"/>
  <c r="D453" i="73" a="1"/>
  <c r="D453" i="73" s="1"/>
  <c r="I452" i="73" a="1"/>
  <c r="I452" i="73" s="1"/>
  <c r="H452" i="73" a="1"/>
  <c r="H452" i="73" s="1"/>
  <c r="G452" i="73" a="1"/>
  <c r="G452" i="73" s="1"/>
  <c r="F452" i="73" a="1"/>
  <c r="F452" i="73" s="1"/>
  <c r="E452" i="73" a="1"/>
  <c r="E452" i="73" s="1"/>
  <c r="D452" i="73" a="1"/>
  <c r="D452" i="73" s="1"/>
  <c r="I451" i="73" a="1"/>
  <c r="I451" i="73" s="1"/>
  <c r="H451" i="73" a="1"/>
  <c r="H451" i="73" s="1"/>
  <c r="G451" i="73" a="1"/>
  <c r="G451" i="73" s="1"/>
  <c r="F451" i="73" a="1"/>
  <c r="F451" i="73" s="1"/>
  <c r="E451" i="73" a="1"/>
  <c r="E451" i="73" s="1"/>
  <c r="D451" i="73" a="1"/>
  <c r="D451" i="73" s="1"/>
  <c r="I450" i="73" a="1"/>
  <c r="I450" i="73" s="1"/>
  <c r="H450" i="73" a="1"/>
  <c r="H450" i="73" s="1"/>
  <c r="G450" i="73" a="1"/>
  <c r="G450" i="73" s="1"/>
  <c r="F450" i="73" a="1"/>
  <c r="F450" i="73" s="1"/>
  <c r="E450" i="73" a="1"/>
  <c r="E450" i="73" s="1"/>
  <c r="D450" i="73" a="1"/>
  <c r="D450" i="73" s="1"/>
  <c r="I449" i="73" a="1"/>
  <c r="I449" i="73" s="1"/>
  <c r="H449" i="73" a="1"/>
  <c r="H449" i="73" s="1"/>
  <c r="G449" i="73" a="1"/>
  <c r="G449" i="73" s="1"/>
  <c r="F449" i="73" a="1"/>
  <c r="F449" i="73" s="1"/>
  <c r="E449" i="73" a="1"/>
  <c r="E449" i="73" s="1"/>
  <c r="D449" i="73" a="1"/>
  <c r="D449" i="73" s="1"/>
  <c r="I448" i="73" a="1"/>
  <c r="I448" i="73" s="1"/>
  <c r="H448" i="73" a="1"/>
  <c r="H448" i="73" s="1"/>
  <c r="G448" i="73" a="1"/>
  <c r="G448" i="73" s="1"/>
  <c r="F448" i="73" a="1"/>
  <c r="F448" i="73" s="1"/>
  <c r="E448" i="73" a="1"/>
  <c r="E448" i="73" s="1"/>
  <c r="D448" i="73" a="1"/>
  <c r="D448" i="73" s="1"/>
  <c r="I447" i="73" a="1"/>
  <c r="I447" i="73" s="1"/>
  <c r="H447" i="73" a="1"/>
  <c r="H447" i="73" s="1"/>
  <c r="G447" i="73" a="1"/>
  <c r="G447" i="73" s="1"/>
  <c r="F447" i="73" a="1"/>
  <c r="F447" i="73" s="1"/>
  <c r="E447" i="73" a="1"/>
  <c r="E447" i="73" s="1"/>
  <c r="D447" i="73" a="1"/>
  <c r="D447" i="73" s="1"/>
  <c r="I446" i="73" a="1"/>
  <c r="I446" i="73" s="1"/>
  <c r="H446" i="73" a="1"/>
  <c r="H446" i="73" s="1"/>
  <c r="G446" i="73" a="1"/>
  <c r="G446" i="73" s="1"/>
  <c r="F446" i="73" a="1"/>
  <c r="F446" i="73" s="1"/>
  <c r="E446" i="73" a="1"/>
  <c r="E446" i="73" s="1"/>
  <c r="D446" i="73" a="1"/>
  <c r="D446" i="73" s="1"/>
  <c r="I445" i="73" a="1"/>
  <c r="I445" i="73" s="1"/>
  <c r="H445" i="73" a="1"/>
  <c r="H445" i="73" s="1"/>
  <c r="G445" i="73" a="1"/>
  <c r="G445" i="73" s="1"/>
  <c r="F445" i="73" a="1"/>
  <c r="F445" i="73" s="1"/>
  <c r="E445" i="73" a="1"/>
  <c r="E445" i="73" s="1"/>
  <c r="D445" i="73" a="1"/>
  <c r="D445" i="73" s="1"/>
  <c r="I444" i="73" a="1"/>
  <c r="I444" i="73" s="1"/>
  <c r="H444" i="73" a="1"/>
  <c r="H444" i="73" s="1"/>
  <c r="G444" i="73" a="1"/>
  <c r="G444" i="73" s="1"/>
  <c r="F444" i="73" a="1"/>
  <c r="F444" i="73" s="1"/>
  <c r="E444" i="73" a="1"/>
  <c r="E444" i="73" s="1"/>
  <c r="D444" i="73" a="1"/>
  <c r="D444" i="73" s="1"/>
  <c r="I443" i="73" a="1"/>
  <c r="I443" i="73" s="1"/>
  <c r="H443" i="73" a="1"/>
  <c r="H443" i="73" s="1"/>
  <c r="G443" i="73" a="1"/>
  <c r="G443" i="73" s="1"/>
  <c r="F443" i="73" a="1"/>
  <c r="F443" i="73" s="1"/>
  <c r="E443" i="73" a="1"/>
  <c r="E443" i="73" s="1"/>
  <c r="D443" i="73" a="1"/>
  <c r="D443" i="73" s="1"/>
  <c r="D440" i="73" a="1"/>
  <c r="D440" i="73" s="1"/>
  <c r="D439" i="73" a="1"/>
  <c r="D439" i="73" s="1"/>
  <c r="D438" i="73" a="1"/>
  <c r="D438" i="73" s="1"/>
  <c r="D437" i="73" a="1"/>
  <c r="D437" i="73" s="1"/>
  <c r="D436" i="73" a="1"/>
  <c r="D436" i="73" s="1"/>
  <c r="D434" i="73" a="1"/>
  <c r="D434" i="73" s="1"/>
  <c r="D433" i="73" a="1"/>
  <c r="D433" i="73" s="1"/>
  <c r="D432" i="73" a="1"/>
  <c r="D432" i="73" s="1"/>
  <c r="D431" i="73" a="1"/>
  <c r="D431" i="73" s="1"/>
  <c r="D430" i="73" a="1"/>
  <c r="D430" i="73" s="1"/>
  <c r="D428" i="73" a="1"/>
  <c r="D428" i="73" s="1"/>
  <c r="D427" i="73" a="1"/>
  <c r="D427" i="73" s="1"/>
  <c r="D426" i="73" a="1"/>
  <c r="D426" i="73" s="1"/>
  <c r="D425" i="73" a="1"/>
  <c r="D425" i="73" s="1"/>
  <c r="D424" i="73" a="1"/>
  <c r="D424" i="73" s="1"/>
  <c r="D422" i="73" a="1"/>
  <c r="D422" i="73" s="1"/>
  <c r="D421" i="73" a="1"/>
  <c r="D421" i="73" s="1"/>
  <c r="D420" i="73" a="1"/>
  <c r="D420" i="73" s="1"/>
  <c r="D419" i="73" a="1"/>
  <c r="D419" i="73" s="1"/>
  <c r="D418" i="73" a="1"/>
  <c r="D418" i="73" s="1"/>
  <c r="G415" i="73" a="1"/>
  <c r="G415" i="73" s="1"/>
  <c r="F415" i="73" a="1"/>
  <c r="F415" i="73" s="1"/>
  <c r="E415" i="73" a="1"/>
  <c r="E415" i="73" s="1"/>
  <c r="D415" i="73" a="1"/>
  <c r="D415" i="73" s="1"/>
  <c r="G414" i="73" a="1"/>
  <c r="G414" i="73" s="1"/>
  <c r="F414" i="73" a="1"/>
  <c r="F414" i="73" s="1"/>
  <c r="E414" i="73" a="1"/>
  <c r="E414" i="73" s="1"/>
  <c r="D414" i="73" a="1"/>
  <c r="D414" i="73" s="1"/>
  <c r="G413" i="73" a="1"/>
  <c r="G413" i="73" s="1"/>
  <c r="F413" i="73" a="1"/>
  <c r="F413" i="73" s="1"/>
  <c r="E413" i="73" a="1"/>
  <c r="E413" i="73" s="1"/>
  <c r="D413" i="73" a="1"/>
  <c r="D413" i="73" s="1"/>
  <c r="G412" i="73" a="1"/>
  <c r="G412" i="73" s="1"/>
  <c r="F412" i="73" a="1"/>
  <c r="F412" i="73" s="1"/>
  <c r="E412" i="73" a="1"/>
  <c r="E412" i="73" s="1"/>
  <c r="D412" i="73" a="1"/>
  <c r="D412" i="73" s="1"/>
  <c r="G411" i="73" a="1"/>
  <c r="G411" i="73" s="1"/>
  <c r="F411" i="73" a="1"/>
  <c r="F411" i="73" s="1"/>
  <c r="E411" i="73" a="1"/>
  <c r="E411" i="73" s="1"/>
  <c r="D411" i="73" a="1"/>
  <c r="D411" i="73" s="1"/>
  <c r="G410" i="73" a="1"/>
  <c r="G410" i="73" s="1"/>
  <c r="F410" i="73" a="1"/>
  <c r="F410" i="73" s="1"/>
  <c r="E410" i="73" a="1"/>
  <c r="E410" i="73" s="1"/>
  <c r="D410" i="73" a="1"/>
  <c r="D410" i="73" s="1"/>
  <c r="G409" i="73" a="1"/>
  <c r="G409" i="73" s="1"/>
  <c r="F409" i="73" a="1"/>
  <c r="F409" i="73" s="1"/>
  <c r="E409" i="73" a="1"/>
  <c r="E409" i="73" s="1"/>
  <c r="D409" i="73" a="1"/>
  <c r="D409" i="73" s="1"/>
  <c r="G408" i="73" a="1"/>
  <c r="G408" i="73" s="1"/>
  <c r="F408" i="73" a="1"/>
  <c r="F408" i="73" s="1"/>
  <c r="E408" i="73" a="1"/>
  <c r="E408" i="73" s="1"/>
  <c r="D408" i="73" a="1"/>
  <c r="D408" i="73" s="1"/>
  <c r="G407" i="73" a="1"/>
  <c r="G407" i="73" s="1"/>
  <c r="F407" i="73" a="1"/>
  <c r="F407" i="73" s="1"/>
  <c r="E407" i="73" a="1"/>
  <c r="E407" i="73" s="1"/>
  <c r="D407" i="73" a="1"/>
  <c r="D407" i="73" s="1"/>
  <c r="G406" i="73" a="1"/>
  <c r="G406" i="73" s="1"/>
  <c r="F406" i="73" a="1"/>
  <c r="F406" i="73" s="1"/>
  <c r="E406" i="73" a="1"/>
  <c r="E406" i="73" s="1"/>
  <c r="D406" i="73" a="1"/>
  <c r="D406" i="73" s="1"/>
  <c r="G405" i="73" a="1"/>
  <c r="G405" i="73" s="1"/>
  <c r="F405" i="73" a="1"/>
  <c r="F405" i="73" s="1"/>
  <c r="E405" i="73" a="1"/>
  <c r="E405" i="73" s="1"/>
  <c r="D405" i="73" a="1"/>
  <c r="D405" i="73" s="1"/>
  <c r="G404" i="73" a="1"/>
  <c r="G404" i="73" s="1"/>
  <c r="F404" i="73" a="1"/>
  <c r="F404" i="73" s="1"/>
  <c r="E404" i="73" a="1"/>
  <c r="E404" i="73" s="1"/>
  <c r="D404" i="73" a="1"/>
  <c r="D404" i="73" s="1"/>
  <c r="G403" i="73" a="1"/>
  <c r="G403" i="73" s="1"/>
  <c r="F403" i="73" a="1"/>
  <c r="F403" i="73" s="1"/>
  <c r="E403" i="73" a="1"/>
  <c r="E403" i="73" s="1"/>
  <c r="D403" i="73" a="1"/>
  <c r="D403" i="73" s="1"/>
  <c r="G402" i="73" a="1"/>
  <c r="G402" i="73" s="1"/>
  <c r="F402" i="73" a="1"/>
  <c r="F402" i="73" s="1"/>
  <c r="E402" i="73" a="1"/>
  <c r="E402" i="73" s="1"/>
  <c r="D402" i="73" a="1"/>
  <c r="D402" i="73" s="1"/>
  <c r="G401" i="73" a="1"/>
  <c r="G401" i="73" s="1"/>
  <c r="F401" i="73" a="1"/>
  <c r="F401" i="73" s="1"/>
  <c r="E401" i="73" a="1"/>
  <c r="E401" i="73" s="1"/>
  <c r="D401" i="73" a="1"/>
  <c r="D401" i="73" s="1"/>
  <c r="D399" i="73" a="1"/>
  <c r="D399" i="73" s="1"/>
  <c r="D398" i="73" a="1"/>
  <c r="D398" i="73" s="1"/>
  <c r="D397" i="73" a="1"/>
  <c r="D397" i="73" s="1"/>
  <c r="D396" i="73" a="1"/>
  <c r="D396" i="73" s="1"/>
  <c r="D395" i="73" a="1"/>
  <c r="D395" i="73" s="1"/>
  <c r="G392" i="73" a="1"/>
  <c r="G392" i="73" s="1"/>
  <c r="F392" i="73" a="1"/>
  <c r="F392" i="73" s="1"/>
  <c r="E392" i="73" a="1"/>
  <c r="E392" i="73" s="1"/>
  <c r="D392" i="73" a="1"/>
  <c r="D392" i="73" s="1"/>
  <c r="G391" i="73" a="1"/>
  <c r="G391" i="73" s="1"/>
  <c r="F391" i="73" a="1"/>
  <c r="F391" i="73" s="1"/>
  <c r="E391" i="73" a="1"/>
  <c r="E391" i="73" s="1"/>
  <c r="D391" i="73" a="1"/>
  <c r="D391" i="73" s="1"/>
  <c r="G390" i="73" a="1"/>
  <c r="G390" i="73" s="1"/>
  <c r="F390" i="73" a="1"/>
  <c r="F390" i="73" s="1"/>
  <c r="E390" i="73" a="1"/>
  <c r="E390" i="73" s="1"/>
  <c r="D390" i="73" a="1"/>
  <c r="D390" i="73" s="1"/>
  <c r="G389" i="73" a="1"/>
  <c r="G389" i="73" s="1"/>
  <c r="F389" i="73" a="1"/>
  <c r="F389" i="73" s="1"/>
  <c r="E389" i="73" a="1"/>
  <c r="E389" i="73" s="1"/>
  <c r="D389" i="73" a="1"/>
  <c r="D389" i="73" s="1"/>
  <c r="G388" i="73" a="1"/>
  <c r="G388" i="73" s="1"/>
  <c r="F388" i="73" a="1"/>
  <c r="F388" i="73" s="1"/>
  <c r="E388" i="73" a="1"/>
  <c r="E388" i="73" s="1"/>
  <c r="D388" i="73" a="1"/>
  <c r="D388" i="73" s="1"/>
  <c r="G387" i="73" a="1"/>
  <c r="G387" i="73" s="1"/>
  <c r="F387" i="73" a="1"/>
  <c r="F387" i="73" s="1"/>
  <c r="E387" i="73" a="1"/>
  <c r="E387" i="73" s="1"/>
  <c r="D387" i="73" a="1"/>
  <c r="D387" i="73" s="1"/>
  <c r="G386" i="73" a="1"/>
  <c r="G386" i="73" s="1"/>
  <c r="F386" i="73" a="1"/>
  <c r="F386" i="73" s="1"/>
  <c r="E386" i="73" a="1"/>
  <c r="E386" i="73" s="1"/>
  <c r="D386" i="73" a="1"/>
  <c r="D386" i="73" s="1"/>
  <c r="G385" i="73" a="1"/>
  <c r="G385" i="73" s="1"/>
  <c r="F385" i="73" a="1"/>
  <c r="F385" i="73" s="1"/>
  <c r="E385" i="73" a="1"/>
  <c r="E385" i="73" s="1"/>
  <c r="D385" i="73" a="1"/>
  <c r="D385" i="73" s="1"/>
  <c r="G384" i="73" a="1"/>
  <c r="G384" i="73" s="1"/>
  <c r="F384" i="73" a="1"/>
  <c r="F384" i="73" s="1"/>
  <c r="E384" i="73" a="1"/>
  <c r="E384" i="73" s="1"/>
  <c r="D384" i="73" a="1"/>
  <c r="D384" i="73" s="1"/>
  <c r="G383" i="73" a="1"/>
  <c r="G383" i="73" s="1"/>
  <c r="F383" i="73" a="1"/>
  <c r="F383" i="73" s="1"/>
  <c r="E383" i="73" a="1"/>
  <c r="E383" i="73" s="1"/>
  <c r="D383" i="73" a="1"/>
  <c r="D383" i="73" s="1"/>
  <c r="G382" i="73" a="1"/>
  <c r="G382" i="73" s="1"/>
  <c r="F382" i="73" a="1"/>
  <c r="F382" i="73" s="1"/>
  <c r="E382" i="73" a="1"/>
  <c r="E382" i="73" s="1"/>
  <c r="D382" i="73" a="1"/>
  <c r="D382" i="73" s="1"/>
  <c r="G381" i="73" a="1"/>
  <c r="G381" i="73" s="1"/>
  <c r="F381" i="73" a="1"/>
  <c r="F381" i="73" s="1"/>
  <c r="E381" i="73" a="1"/>
  <c r="E381" i="73" s="1"/>
  <c r="D381" i="73" a="1"/>
  <c r="D381" i="73" s="1"/>
  <c r="G380" i="73" a="1"/>
  <c r="G380" i="73" s="1"/>
  <c r="F380" i="73" a="1"/>
  <c r="F380" i="73" s="1"/>
  <c r="E380" i="73" a="1"/>
  <c r="E380" i="73" s="1"/>
  <c r="D380" i="73" a="1"/>
  <c r="D380" i="73" s="1"/>
  <c r="G379" i="73" a="1"/>
  <c r="G379" i="73" s="1"/>
  <c r="F379" i="73" a="1"/>
  <c r="F379" i="73" s="1"/>
  <c r="E379" i="73" a="1"/>
  <c r="E379" i="73" s="1"/>
  <c r="D379" i="73" a="1"/>
  <c r="D379" i="73" s="1"/>
  <c r="G378" i="73" a="1"/>
  <c r="G378" i="73" s="1"/>
  <c r="F378" i="73" a="1"/>
  <c r="F378" i="73" s="1"/>
  <c r="E378" i="73" a="1"/>
  <c r="E378" i="73" s="1"/>
  <c r="D378" i="73" a="1"/>
  <c r="D378" i="73" s="1"/>
  <c r="D376" i="73" a="1"/>
  <c r="D376" i="73" s="1"/>
  <c r="D375" i="73" a="1"/>
  <c r="D375" i="73" s="1"/>
  <c r="D374" i="73" a="1"/>
  <c r="D374" i="73" s="1"/>
  <c r="D373" i="73" a="1"/>
  <c r="D373" i="73" s="1"/>
  <c r="D372" i="73" a="1"/>
  <c r="D372" i="73" s="1"/>
  <c r="L358" i="73" a="1"/>
  <c r="L358" i="73" s="1"/>
  <c r="O369" i="73" s="1"/>
  <c r="K358" i="73" a="1"/>
  <c r="K358" i="73" s="1"/>
  <c r="J358" i="73" a="1"/>
  <c r="J358" i="73" s="1"/>
  <c r="K369" i="73" s="1"/>
  <c r="I358" i="73" a="1"/>
  <c r="I358" i="73" s="1"/>
  <c r="I369" i="73" s="1"/>
  <c r="H358" i="73" a="1"/>
  <c r="H358" i="73" s="1"/>
  <c r="H369" i="73" s="1"/>
  <c r="G358" i="73" a="1"/>
  <c r="G358" i="73" s="1"/>
  <c r="G369" i="73" s="1"/>
  <c r="F358" i="73" a="1"/>
  <c r="F358" i="73" s="1"/>
  <c r="F369" i="73" s="1"/>
  <c r="E358" i="73" a="1"/>
  <c r="E358" i="73" s="1"/>
  <c r="E369" i="73" s="1"/>
  <c r="D358" i="73" a="1"/>
  <c r="D358" i="73" s="1"/>
  <c r="D369" i="73" s="1"/>
  <c r="L357" i="73" a="1"/>
  <c r="L357" i="73" s="1"/>
  <c r="O368" i="73" s="1"/>
  <c r="K357" i="73" a="1"/>
  <c r="K357" i="73" s="1"/>
  <c r="M368" i="73" s="1"/>
  <c r="J357" i="73" a="1"/>
  <c r="J357" i="73" s="1"/>
  <c r="K368" i="73" s="1"/>
  <c r="I357" i="73" a="1"/>
  <c r="I357" i="73" s="1"/>
  <c r="J368" i="73" s="1"/>
  <c r="H357" i="73" a="1"/>
  <c r="H357" i="73" s="1"/>
  <c r="H368" i="73" s="1"/>
  <c r="G357" i="73" a="1"/>
  <c r="G357" i="73" s="1"/>
  <c r="G368" i="73" s="1"/>
  <c r="F357" i="73" a="1"/>
  <c r="F357" i="73" s="1"/>
  <c r="F368" i="73" s="1"/>
  <c r="E357" i="73" a="1"/>
  <c r="E357" i="73" s="1"/>
  <c r="E368" i="73" s="1"/>
  <c r="D357" i="73" a="1"/>
  <c r="D357" i="73" s="1"/>
  <c r="D368" i="73" s="1"/>
  <c r="L356" i="73" a="1"/>
  <c r="L356" i="73" s="1"/>
  <c r="O367" i="73" s="1"/>
  <c r="K356" i="73" a="1"/>
  <c r="K356" i="73" s="1"/>
  <c r="M367" i="73" s="1"/>
  <c r="J356" i="73" a="1"/>
  <c r="J356" i="73" s="1"/>
  <c r="K367" i="73" s="1"/>
  <c r="I356" i="73" a="1"/>
  <c r="I356" i="73" s="1"/>
  <c r="J367" i="73" s="1"/>
  <c r="H356" i="73" a="1"/>
  <c r="H356" i="73" s="1"/>
  <c r="H367" i="73" s="1"/>
  <c r="G356" i="73" a="1"/>
  <c r="G356" i="73" s="1"/>
  <c r="G367" i="73" s="1"/>
  <c r="F356" i="73" a="1"/>
  <c r="F356" i="73" s="1"/>
  <c r="F367" i="73" s="1"/>
  <c r="E356" i="73" a="1"/>
  <c r="E356" i="73" s="1"/>
  <c r="E367" i="73" s="1"/>
  <c r="D356" i="73" a="1"/>
  <c r="D356" i="73" s="1"/>
  <c r="D367" i="73" s="1"/>
  <c r="L355" i="73" a="1"/>
  <c r="L355" i="73" s="1"/>
  <c r="O366" i="73" s="1"/>
  <c r="K355" i="73" a="1"/>
  <c r="K355" i="73" s="1"/>
  <c r="J355" i="73" a="1"/>
  <c r="J355" i="73" s="1"/>
  <c r="K366" i="73" s="1"/>
  <c r="I355" i="73" a="1"/>
  <c r="I355" i="73" s="1"/>
  <c r="I366" i="73" s="1"/>
  <c r="H355" i="73" a="1"/>
  <c r="H355" i="73" s="1"/>
  <c r="H366" i="73" s="1"/>
  <c r="G355" i="73" a="1"/>
  <c r="G355" i="73" s="1"/>
  <c r="G366" i="73" s="1"/>
  <c r="F355" i="73" a="1"/>
  <c r="F355" i="73" s="1"/>
  <c r="F366" i="73" s="1"/>
  <c r="E355" i="73" a="1"/>
  <c r="E355" i="73" s="1"/>
  <c r="E366" i="73" s="1"/>
  <c r="D355" i="73" a="1"/>
  <c r="D355" i="73" s="1"/>
  <c r="D366" i="73" s="1"/>
  <c r="L354" i="73" a="1"/>
  <c r="L354" i="73" s="1"/>
  <c r="O365" i="73" s="1"/>
  <c r="K354" i="73" a="1"/>
  <c r="K354" i="73" s="1"/>
  <c r="J354" i="73" a="1"/>
  <c r="J354" i="73" s="1"/>
  <c r="K365" i="73" s="1"/>
  <c r="I354" i="73" a="1"/>
  <c r="I354" i="73" s="1"/>
  <c r="J365" i="73" s="1"/>
  <c r="H354" i="73" a="1"/>
  <c r="H354" i="73" s="1"/>
  <c r="H365" i="73" s="1"/>
  <c r="G354" i="73" a="1"/>
  <c r="G354" i="73" s="1"/>
  <c r="G365" i="73" s="1"/>
  <c r="F354" i="73" a="1"/>
  <c r="F354" i="73" s="1"/>
  <c r="F365" i="73" s="1"/>
  <c r="E354" i="73" a="1"/>
  <c r="E354" i="73" s="1"/>
  <c r="E365" i="73" s="1"/>
  <c r="D354" i="73" a="1"/>
  <c r="D354" i="73" s="1"/>
  <c r="D365" i="73" s="1"/>
  <c r="L353" i="73" a="1"/>
  <c r="L353" i="73" s="1"/>
  <c r="O364" i="73" s="1"/>
  <c r="K353" i="73" a="1"/>
  <c r="K353" i="73" s="1"/>
  <c r="M364" i="73" s="1"/>
  <c r="J353" i="73" a="1"/>
  <c r="J353" i="73" s="1"/>
  <c r="K364" i="73" s="1"/>
  <c r="I353" i="73" a="1"/>
  <c r="I353" i="73" s="1"/>
  <c r="I364" i="73" s="1"/>
  <c r="H353" i="73" a="1"/>
  <c r="H353" i="73" s="1"/>
  <c r="H364" i="73" s="1"/>
  <c r="G353" i="73" a="1"/>
  <c r="G353" i="73" s="1"/>
  <c r="G364" i="73" s="1"/>
  <c r="F353" i="73" a="1"/>
  <c r="F353" i="73" s="1"/>
  <c r="F364" i="73" s="1"/>
  <c r="E353" i="73" a="1"/>
  <c r="E353" i="73" s="1"/>
  <c r="E364" i="73" s="1"/>
  <c r="D353" i="73" a="1"/>
  <c r="D353" i="73" s="1"/>
  <c r="D364" i="73" s="1"/>
  <c r="L352" i="73" a="1"/>
  <c r="L352" i="73" s="1"/>
  <c r="O363" i="73" s="1"/>
  <c r="K352" i="73" a="1"/>
  <c r="K352" i="73" s="1"/>
  <c r="N363" i="73" s="1"/>
  <c r="J352" i="73" a="1"/>
  <c r="J352" i="73" s="1"/>
  <c r="K363" i="73" s="1"/>
  <c r="I352" i="73" a="1"/>
  <c r="I352" i="73" s="1"/>
  <c r="I363" i="73" s="1"/>
  <c r="H352" i="73" a="1"/>
  <c r="H352" i="73" s="1"/>
  <c r="H363" i="73" s="1"/>
  <c r="G352" i="73" a="1"/>
  <c r="G352" i="73" s="1"/>
  <c r="G363" i="73" s="1"/>
  <c r="F352" i="73" a="1"/>
  <c r="F352" i="73" s="1"/>
  <c r="F363" i="73" s="1"/>
  <c r="E352" i="73" a="1"/>
  <c r="E352" i="73" s="1"/>
  <c r="E363" i="73" s="1"/>
  <c r="D352" i="73" a="1"/>
  <c r="D352" i="73" s="1"/>
  <c r="D363" i="73" s="1"/>
  <c r="L351" i="73" a="1"/>
  <c r="L351" i="73" s="1"/>
  <c r="O362" i="73" s="1"/>
  <c r="K351" i="73" a="1"/>
  <c r="K351" i="73" s="1"/>
  <c r="J351" i="73" a="1"/>
  <c r="J351" i="73" s="1"/>
  <c r="K362" i="73" s="1"/>
  <c r="I351" i="73" a="1"/>
  <c r="I351" i="73" s="1"/>
  <c r="I362" i="73" s="1"/>
  <c r="H351" i="73" a="1"/>
  <c r="H351" i="73" s="1"/>
  <c r="H362" i="73" s="1"/>
  <c r="G351" i="73" a="1"/>
  <c r="G351" i="73" s="1"/>
  <c r="G362" i="73" s="1"/>
  <c r="F351" i="73" a="1"/>
  <c r="F351" i="73" s="1"/>
  <c r="F362" i="73" s="1"/>
  <c r="E351" i="73" a="1"/>
  <c r="E351" i="73" s="1"/>
  <c r="E362" i="73" s="1"/>
  <c r="D351" i="73" a="1"/>
  <c r="D351" i="73" s="1"/>
  <c r="D362" i="73" s="1"/>
  <c r="D349" i="73" a="1"/>
  <c r="D349" i="73" s="1"/>
  <c r="D348" i="73" a="1"/>
  <c r="D348" i="73" s="1"/>
  <c r="D347" i="73" a="1"/>
  <c r="D347" i="73" s="1"/>
  <c r="D346" i="73" a="1"/>
  <c r="D346" i="73" s="1"/>
  <c r="D345" i="73" a="1"/>
  <c r="D345" i="73" s="1"/>
  <c r="G342" i="73" a="1"/>
  <c r="G342" i="73" s="1"/>
  <c r="F342" i="73" a="1"/>
  <c r="F342" i="73" s="1"/>
  <c r="E342" i="73" a="1"/>
  <c r="E342" i="73" s="1"/>
  <c r="D342" i="73" a="1"/>
  <c r="D342" i="73" s="1"/>
  <c r="G341" i="73" a="1"/>
  <c r="G341" i="73" s="1"/>
  <c r="L338" i="73" s="1"/>
  <c r="F341" i="73" a="1"/>
  <c r="F341" i="73" s="1"/>
  <c r="K338" i="73" s="1"/>
  <c r="E341" i="73" a="1"/>
  <c r="E341" i="73" s="1"/>
  <c r="D341" i="73" a="1"/>
  <c r="D341" i="73" s="1"/>
  <c r="I338" i="73" s="1"/>
  <c r="G340" i="73" a="1"/>
  <c r="G340" i="73" s="1"/>
  <c r="L337" i="73" s="1"/>
  <c r="F340" i="73" a="1"/>
  <c r="F340" i="73" s="1"/>
  <c r="K337" i="73" s="1"/>
  <c r="E340" i="73" a="1"/>
  <c r="E340" i="73" s="1"/>
  <c r="D340" i="73" a="1"/>
  <c r="D340" i="73" s="1"/>
  <c r="I337" i="73" s="1"/>
  <c r="G339" i="73" a="1"/>
  <c r="G339" i="73" s="1"/>
  <c r="F339" i="73" a="1"/>
  <c r="F339" i="73" s="1"/>
  <c r="E339" i="73" a="1"/>
  <c r="E339" i="73" s="1"/>
  <c r="D339" i="73" a="1"/>
  <c r="D339" i="73" s="1"/>
  <c r="G338" i="73" a="1"/>
  <c r="G338" i="73" s="1"/>
  <c r="F338" i="73" a="1"/>
  <c r="F338" i="73" s="1"/>
  <c r="E338" i="73" a="1"/>
  <c r="E338" i="73" s="1"/>
  <c r="D338" i="73" a="1"/>
  <c r="D338" i="73" s="1"/>
  <c r="G337" i="73" a="1"/>
  <c r="G337" i="73" s="1"/>
  <c r="F337" i="73" a="1"/>
  <c r="F337" i="73" s="1"/>
  <c r="E337" i="73" a="1"/>
  <c r="E337" i="73" s="1"/>
  <c r="D337" i="73" a="1"/>
  <c r="D337" i="73" s="1"/>
  <c r="G336" i="73" a="1"/>
  <c r="G336" i="73" s="1"/>
  <c r="L336" i="73" s="1"/>
  <c r="F336" i="73" a="1"/>
  <c r="F336" i="73" s="1"/>
  <c r="K336" i="73" s="1"/>
  <c r="E336" i="73" a="1"/>
  <c r="E336" i="73" s="1"/>
  <c r="D336" i="73" a="1"/>
  <c r="D336" i="73" s="1"/>
  <c r="I336" i="73" s="1"/>
  <c r="G335" i="73" a="1"/>
  <c r="G335" i="73" s="1"/>
  <c r="L335" i="73" s="1"/>
  <c r="F335" i="73" a="1"/>
  <c r="F335" i="73" s="1"/>
  <c r="K335" i="73" s="1"/>
  <c r="E335" i="73" a="1"/>
  <c r="E335" i="73" s="1"/>
  <c r="D335" i="73" a="1"/>
  <c r="D335" i="73" s="1"/>
  <c r="I335" i="73" s="1"/>
  <c r="D333" i="73" a="1"/>
  <c r="D333" i="73" s="1"/>
  <c r="D332" i="73" a="1"/>
  <c r="D332" i="73" s="1"/>
  <c r="D331" i="73" a="1"/>
  <c r="D331" i="73" s="1"/>
  <c r="I328" i="73" a="1"/>
  <c r="I328" i="73" s="1"/>
  <c r="H328" i="73" a="1"/>
  <c r="H328" i="73" s="1"/>
  <c r="G328" i="73" a="1"/>
  <c r="G328" i="73" s="1"/>
  <c r="F328" i="73" a="1"/>
  <c r="F328" i="73" s="1"/>
  <c r="E328" i="73" a="1"/>
  <c r="E328" i="73" s="1"/>
  <c r="D328" i="73" a="1"/>
  <c r="D328" i="73" s="1"/>
  <c r="I327" i="73" a="1"/>
  <c r="I327" i="73" s="1"/>
  <c r="H327" i="73" a="1"/>
  <c r="H327" i="73" s="1"/>
  <c r="G327" i="73" a="1"/>
  <c r="G327" i="73" s="1"/>
  <c r="F327" i="73" a="1"/>
  <c r="F327" i="73" s="1"/>
  <c r="E327" i="73" a="1"/>
  <c r="E327" i="73" s="1"/>
  <c r="D327" i="73" a="1"/>
  <c r="D327" i="73" s="1"/>
  <c r="I326" i="73" a="1"/>
  <c r="I326" i="73" s="1"/>
  <c r="H326" i="73" a="1"/>
  <c r="H326" i="73" s="1"/>
  <c r="G326" i="73" a="1"/>
  <c r="G326" i="73" s="1"/>
  <c r="F326" i="73" a="1"/>
  <c r="F326" i="73" s="1"/>
  <c r="E326" i="73" a="1"/>
  <c r="E326" i="73" s="1"/>
  <c r="D326" i="73" a="1"/>
  <c r="D326" i="73" s="1"/>
  <c r="I325" i="73" a="1"/>
  <c r="I325" i="73" s="1"/>
  <c r="H325" i="73" a="1"/>
  <c r="H325" i="73" s="1"/>
  <c r="G325" i="73" a="1"/>
  <c r="G325" i="73" s="1"/>
  <c r="F325" i="73" a="1"/>
  <c r="F325" i="73" s="1"/>
  <c r="E325" i="73" a="1"/>
  <c r="E325" i="73" s="1"/>
  <c r="D325" i="73" a="1"/>
  <c r="D325" i="73" s="1"/>
  <c r="I324" i="73" a="1"/>
  <c r="I324" i="73" s="1"/>
  <c r="H324" i="73" a="1"/>
  <c r="H324" i="73" s="1"/>
  <c r="G324" i="73" a="1"/>
  <c r="G324" i="73" s="1"/>
  <c r="F324" i="73" a="1"/>
  <c r="F324" i="73" s="1"/>
  <c r="E324" i="73" a="1"/>
  <c r="E324" i="73" s="1"/>
  <c r="D324" i="73" a="1"/>
  <c r="D324" i="73" s="1"/>
  <c r="I323" i="73" a="1"/>
  <c r="I323" i="73" s="1"/>
  <c r="H323" i="73" a="1"/>
  <c r="H323" i="73" s="1"/>
  <c r="G323" i="73" a="1"/>
  <c r="G323" i="73" s="1"/>
  <c r="F323" i="73" a="1"/>
  <c r="F323" i="73" s="1"/>
  <c r="E323" i="73" a="1"/>
  <c r="E323" i="73" s="1"/>
  <c r="D323" i="73" a="1"/>
  <c r="D323" i="73" s="1"/>
  <c r="I322" i="73" a="1"/>
  <c r="I322" i="73" s="1"/>
  <c r="H322" i="73" a="1"/>
  <c r="H322" i="73" s="1"/>
  <c r="G322" i="73" a="1"/>
  <c r="G322" i="73" s="1"/>
  <c r="F322" i="73" a="1"/>
  <c r="F322" i="73" s="1"/>
  <c r="E322" i="73" a="1"/>
  <c r="E322" i="73" s="1"/>
  <c r="D322" i="73" a="1"/>
  <c r="D322" i="73" s="1"/>
  <c r="I321" i="73" a="1"/>
  <c r="I321" i="73" s="1"/>
  <c r="H321" i="73" a="1"/>
  <c r="H321" i="73" s="1"/>
  <c r="G321" i="73" a="1"/>
  <c r="G321" i="73" s="1"/>
  <c r="F321" i="73" a="1"/>
  <c r="F321" i="73" s="1"/>
  <c r="E321" i="73" a="1"/>
  <c r="E321" i="73" s="1"/>
  <c r="D321" i="73" a="1"/>
  <c r="D321" i="73" s="1"/>
  <c r="I320" i="73" a="1"/>
  <c r="I320" i="73" s="1"/>
  <c r="H320" i="73" a="1"/>
  <c r="H320" i="73" s="1"/>
  <c r="G320" i="73" a="1"/>
  <c r="G320" i="73" s="1"/>
  <c r="F320" i="73" a="1"/>
  <c r="F320" i="73" s="1"/>
  <c r="E320" i="73" a="1"/>
  <c r="E320" i="73" s="1"/>
  <c r="D320" i="73" a="1"/>
  <c r="D320" i="73" s="1"/>
  <c r="I319" i="73" a="1"/>
  <c r="I319" i="73" s="1"/>
  <c r="H319" i="73" a="1"/>
  <c r="H319" i="73" s="1"/>
  <c r="G319" i="73" a="1"/>
  <c r="G319" i="73" s="1"/>
  <c r="F319" i="73" a="1"/>
  <c r="F319" i="73" s="1"/>
  <c r="E319" i="73" a="1"/>
  <c r="E319" i="73" s="1"/>
  <c r="D319" i="73" a="1"/>
  <c r="D319" i="73" s="1"/>
  <c r="I318" i="73" a="1"/>
  <c r="I318" i="73" s="1"/>
  <c r="H318" i="73" a="1"/>
  <c r="H318" i="73" s="1"/>
  <c r="G318" i="73" a="1"/>
  <c r="G318" i="73" s="1"/>
  <c r="F318" i="73" a="1"/>
  <c r="F318" i="73" s="1"/>
  <c r="E318" i="73" a="1"/>
  <c r="E318" i="73" s="1"/>
  <c r="D318" i="73" a="1"/>
  <c r="D318" i="73" s="1"/>
  <c r="I317" i="73" a="1"/>
  <c r="I317" i="73" s="1"/>
  <c r="H317" i="73" a="1"/>
  <c r="H317" i="73" s="1"/>
  <c r="G317" i="73" a="1"/>
  <c r="G317" i="73" s="1"/>
  <c r="F317" i="73" a="1"/>
  <c r="F317" i="73" s="1"/>
  <c r="E317" i="73" a="1"/>
  <c r="E317" i="73" s="1"/>
  <c r="D317" i="73" a="1"/>
  <c r="D317" i="73" s="1"/>
  <c r="I316" i="73" a="1"/>
  <c r="I316" i="73" s="1"/>
  <c r="H316" i="73" a="1"/>
  <c r="H316" i="73" s="1"/>
  <c r="G316" i="73" a="1"/>
  <c r="G316" i="73" s="1"/>
  <c r="F316" i="73" a="1"/>
  <c r="F316" i="73" s="1"/>
  <c r="E316" i="73" a="1"/>
  <c r="E316" i="73" s="1"/>
  <c r="D316" i="73" a="1"/>
  <c r="D316" i="73" s="1"/>
  <c r="I315" i="73" a="1"/>
  <c r="I315" i="73" s="1"/>
  <c r="H315" i="73" a="1"/>
  <c r="H315" i="73" s="1"/>
  <c r="G315" i="73" a="1"/>
  <c r="G315" i="73" s="1"/>
  <c r="F315" i="73" a="1"/>
  <c r="F315" i="73" s="1"/>
  <c r="E315" i="73" a="1"/>
  <c r="E315" i="73" s="1"/>
  <c r="D315" i="73" a="1"/>
  <c r="D315" i="73" s="1"/>
  <c r="I314" i="73" a="1"/>
  <c r="I314" i="73" s="1"/>
  <c r="H314" i="73" a="1"/>
  <c r="H314" i="73" s="1"/>
  <c r="G314" i="73" a="1"/>
  <c r="G314" i="73" s="1"/>
  <c r="F314" i="73" a="1"/>
  <c r="F314" i="73" s="1"/>
  <c r="E314" i="73" a="1"/>
  <c r="E314" i="73" s="1"/>
  <c r="D314" i="73" a="1"/>
  <c r="D314" i="73" s="1"/>
  <c r="D312" i="73" a="1"/>
  <c r="D312" i="73" s="1"/>
  <c r="D311" i="73" a="1"/>
  <c r="D311" i="73" s="1"/>
  <c r="D310" i="73" a="1"/>
  <c r="D310" i="73" s="1"/>
  <c r="D309" i="73" a="1"/>
  <c r="D309" i="73" s="1"/>
  <c r="D308" i="73" a="1"/>
  <c r="D308" i="73" s="1"/>
  <c r="I305" i="73" a="1"/>
  <c r="I305" i="73" s="1"/>
  <c r="H305" i="73" a="1"/>
  <c r="H305" i="73" s="1"/>
  <c r="G305" i="73" a="1"/>
  <c r="G305" i="73" s="1"/>
  <c r="F305" i="73" a="1"/>
  <c r="F305" i="73" s="1"/>
  <c r="E305" i="73" a="1"/>
  <c r="E305" i="73" s="1"/>
  <c r="D305" i="73" a="1"/>
  <c r="D305" i="73" s="1"/>
  <c r="I304" i="73" a="1"/>
  <c r="I304" i="73" s="1"/>
  <c r="H304" i="73" a="1"/>
  <c r="H304" i="73" s="1"/>
  <c r="G304" i="73" a="1"/>
  <c r="G304" i="73" s="1"/>
  <c r="F304" i="73" a="1"/>
  <c r="F304" i="73" s="1"/>
  <c r="E304" i="73" a="1"/>
  <c r="E304" i="73" s="1"/>
  <c r="D304" i="73" a="1"/>
  <c r="D304" i="73" s="1"/>
  <c r="I303" i="73" a="1"/>
  <c r="I303" i="73" s="1"/>
  <c r="H303" i="73" a="1"/>
  <c r="H303" i="73" s="1"/>
  <c r="G303" i="73" a="1"/>
  <c r="G303" i="73" s="1"/>
  <c r="F303" i="73" a="1"/>
  <c r="F303" i="73" s="1"/>
  <c r="E303" i="73" a="1"/>
  <c r="E303" i="73" s="1"/>
  <c r="D303" i="73" a="1"/>
  <c r="D303" i="73" s="1"/>
  <c r="I302" i="73" a="1"/>
  <c r="I302" i="73" s="1"/>
  <c r="H302" i="73" a="1"/>
  <c r="H302" i="73" s="1"/>
  <c r="G302" i="73" a="1"/>
  <c r="G302" i="73" s="1"/>
  <c r="F302" i="73" a="1"/>
  <c r="F302" i="73" s="1"/>
  <c r="E302" i="73" a="1"/>
  <c r="E302" i="73" s="1"/>
  <c r="D302" i="73" a="1"/>
  <c r="D302" i="73" s="1"/>
  <c r="I301" i="73" a="1"/>
  <c r="I301" i="73" s="1"/>
  <c r="H301" i="73" a="1"/>
  <c r="H301" i="73" s="1"/>
  <c r="G301" i="73" a="1"/>
  <c r="G301" i="73" s="1"/>
  <c r="F301" i="73" a="1"/>
  <c r="F301" i="73" s="1"/>
  <c r="E301" i="73" a="1"/>
  <c r="E301" i="73" s="1"/>
  <c r="D301" i="73" a="1"/>
  <c r="D301" i="73" s="1"/>
  <c r="I300" i="73" a="1"/>
  <c r="I300" i="73" s="1"/>
  <c r="H300" i="73" a="1"/>
  <c r="H300" i="73" s="1"/>
  <c r="G300" i="73" a="1"/>
  <c r="G300" i="73" s="1"/>
  <c r="F300" i="73" a="1"/>
  <c r="F300" i="73" s="1"/>
  <c r="E300" i="73" a="1"/>
  <c r="E300" i="73" s="1"/>
  <c r="D300" i="73" a="1"/>
  <c r="D300" i="73" s="1"/>
  <c r="I299" i="73" a="1"/>
  <c r="I299" i="73" s="1"/>
  <c r="H299" i="73" a="1"/>
  <c r="H299" i="73" s="1"/>
  <c r="G299" i="73" a="1"/>
  <c r="G299" i="73" s="1"/>
  <c r="F299" i="73" a="1"/>
  <c r="F299" i="73" s="1"/>
  <c r="E299" i="73" a="1"/>
  <c r="E299" i="73" s="1"/>
  <c r="D299" i="73" a="1"/>
  <c r="D299" i="73" s="1"/>
  <c r="I298" i="73" a="1"/>
  <c r="I298" i="73" s="1"/>
  <c r="H298" i="73" a="1"/>
  <c r="H298" i="73" s="1"/>
  <c r="G298" i="73" a="1"/>
  <c r="G298" i="73" s="1"/>
  <c r="F298" i="73" a="1"/>
  <c r="F298" i="73" s="1"/>
  <c r="E298" i="73" a="1"/>
  <c r="E298" i="73" s="1"/>
  <c r="D298" i="73" a="1"/>
  <c r="D298" i="73" s="1"/>
  <c r="I297" i="73" a="1"/>
  <c r="I297" i="73" s="1"/>
  <c r="H297" i="73" a="1"/>
  <c r="H297" i="73" s="1"/>
  <c r="G297" i="73" a="1"/>
  <c r="G297" i="73" s="1"/>
  <c r="F297" i="73" a="1"/>
  <c r="F297" i="73" s="1"/>
  <c r="E297" i="73" a="1"/>
  <c r="E297" i="73" s="1"/>
  <c r="D297" i="73" a="1"/>
  <c r="D297" i="73" s="1"/>
  <c r="I296" i="73" a="1"/>
  <c r="I296" i="73" s="1"/>
  <c r="H296" i="73" a="1"/>
  <c r="H296" i="73" s="1"/>
  <c r="G296" i="73" a="1"/>
  <c r="G296" i="73" s="1"/>
  <c r="F296" i="73" a="1"/>
  <c r="F296" i="73" s="1"/>
  <c r="E296" i="73" a="1"/>
  <c r="E296" i="73" s="1"/>
  <c r="D296" i="73" a="1"/>
  <c r="D296" i="73" s="1"/>
  <c r="I295" i="73" a="1"/>
  <c r="I295" i="73" s="1"/>
  <c r="H295" i="73" a="1"/>
  <c r="H295" i="73" s="1"/>
  <c r="G295" i="73" a="1"/>
  <c r="G295" i="73" s="1"/>
  <c r="F295" i="73" a="1"/>
  <c r="F295" i="73" s="1"/>
  <c r="E295" i="73" a="1"/>
  <c r="E295" i="73" s="1"/>
  <c r="D295" i="73" a="1"/>
  <c r="D295" i="73" s="1"/>
  <c r="I294" i="73" a="1"/>
  <c r="I294" i="73" s="1"/>
  <c r="H294" i="73" a="1"/>
  <c r="H294" i="73" s="1"/>
  <c r="G294" i="73" a="1"/>
  <c r="G294" i="73" s="1"/>
  <c r="F294" i="73" a="1"/>
  <c r="F294" i="73" s="1"/>
  <c r="E294" i="73" a="1"/>
  <c r="E294" i="73" s="1"/>
  <c r="D294" i="73" a="1"/>
  <c r="D294" i="73" s="1"/>
  <c r="I293" i="73" a="1"/>
  <c r="I293" i="73" s="1"/>
  <c r="H293" i="73" a="1"/>
  <c r="H293" i="73" s="1"/>
  <c r="G293" i="73" a="1"/>
  <c r="G293" i="73" s="1"/>
  <c r="F293" i="73" a="1"/>
  <c r="F293" i="73" s="1"/>
  <c r="E293" i="73" a="1"/>
  <c r="E293" i="73" s="1"/>
  <c r="D293" i="73" a="1"/>
  <c r="D293" i="73" s="1"/>
  <c r="I292" i="73" a="1"/>
  <c r="I292" i="73" s="1"/>
  <c r="H292" i="73" a="1"/>
  <c r="H292" i="73" s="1"/>
  <c r="G292" i="73" a="1"/>
  <c r="G292" i="73" s="1"/>
  <c r="F292" i="73" a="1"/>
  <c r="F292" i="73" s="1"/>
  <c r="E292" i="73" a="1"/>
  <c r="E292" i="73" s="1"/>
  <c r="D292" i="73" a="1"/>
  <c r="D292" i="73" s="1"/>
  <c r="I291" i="73" a="1"/>
  <c r="I291" i="73" s="1"/>
  <c r="H291" i="73" a="1"/>
  <c r="H291" i="73" s="1"/>
  <c r="G291" i="73" a="1"/>
  <c r="G291" i="73" s="1"/>
  <c r="F291" i="73" a="1"/>
  <c r="F291" i="73" s="1"/>
  <c r="E291" i="73" a="1"/>
  <c r="E291" i="73" s="1"/>
  <c r="D291" i="73" a="1"/>
  <c r="D291" i="73" s="1"/>
  <c r="D289" i="73" a="1"/>
  <c r="D289" i="73" s="1"/>
  <c r="D288" i="73" a="1"/>
  <c r="D288" i="73" s="1"/>
  <c r="D287" i="73" a="1"/>
  <c r="D287" i="73" s="1"/>
  <c r="D286" i="73" a="1"/>
  <c r="D286" i="73" s="1"/>
  <c r="D285" i="73" a="1"/>
  <c r="D285" i="73" s="1"/>
  <c r="P217" i="73" a="1"/>
  <c r="P217" i="73" s="1"/>
  <c r="P282" i="73" s="1"/>
  <c r="O217" i="73" a="1"/>
  <c r="O217" i="73" s="1"/>
  <c r="O282" i="73" s="1"/>
  <c r="N217" i="73" a="1"/>
  <c r="N217" i="73" s="1"/>
  <c r="N282" i="73" s="1"/>
  <c r="M217" i="73" a="1"/>
  <c r="M217" i="73" s="1"/>
  <c r="M282" i="73" s="1"/>
  <c r="L217" i="73" a="1"/>
  <c r="L217" i="73" s="1"/>
  <c r="L282" i="73" s="1"/>
  <c r="K217" i="73" a="1"/>
  <c r="K217" i="73" s="1"/>
  <c r="K282" i="73" s="1"/>
  <c r="J217" i="73" a="1"/>
  <c r="J217" i="73" s="1"/>
  <c r="J282" i="73" s="1"/>
  <c r="I217" i="73" a="1"/>
  <c r="I217" i="73" s="1"/>
  <c r="I282" i="73" s="1"/>
  <c r="H217" i="73" a="1"/>
  <c r="H217" i="73" s="1"/>
  <c r="H282" i="73" s="1"/>
  <c r="G217" i="73" a="1"/>
  <c r="G217" i="73" s="1"/>
  <c r="G282" i="73" s="1"/>
  <c r="F217" i="73" a="1"/>
  <c r="F217" i="73" s="1"/>
  <c r="F282" i="73" s="1"/>
  <c r="E217" i="73" a="1"/>
  <c r="E217" i="73" s="1"/>
  <c r="E282" i="73" s="1"/>
  <c r="D217" i="73" a="1"/>
  <c r="D217" i="73" s="1"/>
  <c r="P216" i="73" a="1"/>
  <c r="P216" i="73" s="1"/>
  <c r="P281" i="73" s="1"/>
  <c r="O216" i="73" a="1"/>
  <c r="O216" i="73" s="1"/>
  <c r="O281" i="73" s="1"/>
  <c r="N216" i="73" a="1"/>
  <c r="N216" i="73" s="1"/>
  <c r="N281" i="73" s="1"/>
  <c r="M216" i="73" a="1"/>
  <c r="M216" i="73" s="1"/>
  <c r="M281" i="73" s="1"/>
  <c r="L216" i="73" a="1"/>
  <c r="L216" i="73" s="1"/>
  <c r="L281" i="73" s="1"/>
  <c r="K216" i="73" a="1"/>
  <c r="K216" i="73" s="1"/>
  <c r="K281" i="73" s="1"/>
  <c r="J216" i="73" a="1"/>
  <c r="J216" i="73" s="1"/>
  <c r="J281" i="73" s="1"/>
  <c r="I216" i="73" a="1"/>
  <c r="I216" i="73" s="1"/>
  <c r="I281" i="73" s="1"/>
  <c r="H216" i="73" a="1"/>
  <c r="H216" i="73" s="1"/>
  <c r="H281" i="73" s="1"/>
  <c r="G216" i="73" a="1"/>
  <c r="G216" i="73" s="1"/>
  <c r="G281" i="73" s="1"/>
  <c r="F216" i="73" a="1"/>
  <c r="F216" i="73" s="1"/>
  <c r="F281" i="73" s="1"/>
  <c r="E216" i="73" a="1"/>
  <c r="E216" i="73" s="1"/>
  <c r="E281" i="73" s="1"/>
  <c r="D216" i="73" a="1"/>
  <c r="D216" i="73" s="1"/>
  <c r="P215" i="73" a="1"/>
  <c r="P215" i="73" s="1"/>
  <c r="P280" i="73" s="1"/>
  <c r="O215" i="73" a="1"/>
  <c r="O215" i="73" s="1"/>
  <c r="O280" i="73" s="1"/>
  <c r="N215" i="73" a="1"/>
  <c r="N215" i="73" s="1"/>
  <c r="N280" i="73" s="1"/>
  <c r="M215" i="73" a="1"/>
  <c r="M215" i="73" s="1"/>
  <c r="M280" i="73" s="1"/>
  <c r="L215" i="73" a="1"/>
  <c r="L215" i="73" s="1"/>
  <c r="L280" i="73" s="1"/>
  <c r="K215" i="73" a="1"/>
  <c r="K215" i="73" s="1"/>
  <c r="K280" i="73" s="1"/>
  <c r="J215" i="73" a="1"/>
  <c r="J215" i="73" s="1"/>
  <c r="J280" i="73" s="1"/>
  <c r="I215" i="73" a="1"/>
  <c r="I215" i="73" s="1"/>
  <c r="I280" i="73" s="1"/>
  <c r="H215" i="73" a="1"/>
  <c r="H215" i="73" s="1"/>
  <c r="H280" i="73" s="1"/>
  <c r="G215" i="73" a="1"/>
  <c r="G215" i="73" s="1"/>
  <c r="G280" i="73" s="1"/>
  <c r="F215" i="73" a="1"/>
  <c r="F215" i="73" s="1"/>
  <c r="F280" i="73" s="1"/>
  <c r="E215" i="73" a="1"/>
  <c r="E215" i="73" s="1"/>
  <c r="E280" i="73" s="1"/>
  <c r="D215" i="73" a="1"/>
  <c r="D215" i="73" s="1"/>
  <c r="P214" i="73" a="1"/>
  <c r="P214" i="73" s="1"/>
  <c r="P279" i="73" s="1"/>
  <c r="O214" i="73" a="1"/>
  <c r="O214" i="73" s="1"/>
  <c r="O279" i="73" s="1"/>
  <c r="N214" i="73" a="1"/>
  <c r="N214" i="73" s="1"/>
  <c r="N279" i="73" s="1"/>
  <c r="M214" i="73" a="1"/>
  <c r="M214" i="73" s="1"/>
  <c r="M279" i="73" s="1"/>
  <c r="L214" i="73" a="1"/>
  <c r="L214" i="73" s="1"/>
  <c r="L279" i="73" s="1"/>
  <c r="K214" i="73" a="1"/>
  <c r="K214" i="73" s="1"/>
  <c r="K279" i="73" s="1"/>
  <c r="J214" i="73" a="1"/>
  <c r="J214" i="73" s="1"/>
  <c r="J279" i="73" s="1"/>
  <c r="I214" i="73" a="1"/>
  <c r="I214" i="73" s="1"/>
  <c r="I279" i="73" s="1"/>
  <c r="H214" i="73" a="1"/>
  <c r="H214" i="73" s="1"/>
  <c r="H279" i="73" s="1"/>
  <c r="G214" i="73" a="1"/>
  <c r="G214" i="73" s="1"/>
  <c r="G279" i="73" s="1"/>
  <c r="F214" i="73" a="1"/>
  <c r="F214" i="73" s="1"/>
  <c r="F279" i="73" s="1"/>
  <c r="E214" i="73" a="1"/>
  <c r="E214" i="73" s="1"/>
  <c r="E279" i="73" s="1"/>
  <c r="D214" i="73" a="1"/>
  <c r="D214" i="73" s="1"/>
  <c r="P213" i="73" a="1"/>
  <c r="P213" i="73" s="1"/>
  <c r="P278" i="73" s="1"/>
  <c r="O213" i="73" a="1"/>
  <c r="O213" i="73" s="1"/>
  <c r="O278" i="73" s="1"/>
  <c r="N213" i="73" a="1"/>
  <c r="N213" i="73" s="1"/>
  <c r="N278" i="73" s="1"/>
  <c r="M213" i="73" a="1"/>
  <c r="M213" i="73" s="1"/>
  <c r="M278" i="73" s="1"/>
  <c r="L213" i="73" a="1"/>
  <c r="L213" i="73" s="1"/>
  <c r="L278" i="73" s="1"/>
  <c r="K213" i="73" a="1"/>
  <c r="K213" i="73" s="1"/>
  <c r="K278" i="73" s="1"/>
  <c r="J213" i="73" a="1"/>
  <c r="J213" i="73" s="1"/>
  <c r="J278" i="73" s="1"/>
  <c r="I213" i="73" a="1"/>
  <c r="I213" i="73" s="1"/>
  <c r="I278" i="73" s="1"/>
  <c r="H213" i="73" a="1"/>
  <c r="H213" i="73" s="1"/>
  <c r="H278" i="73" s="1"/>
  <c r="G213" i="73" a="1"/>
  <c r="G213" i="73" s="1"/>
  <c r="G278" i="73" s="1"/>
  <c r="F213" i="73" a="1"/>
  <c r="F213" i="73" s="1"/>
  <c r="F278" i="73" s="1"/>
  <c r="E213" i="73" a="1"/>
  <c r="E213" i="73" s="1"/>
  <c r="E278" i="73" s="1"/>
  <c r="D213" i="73" a="1"/>
  <c r="D213" i="73" s="1"/>
  <c r="P212" i="73" a="1"/>
  <c r="P212" i="73" s="1"/>
  <c r="P277" i="73" s="1"/>
  <c r="O212" i="73" a="1"/>
  <c r="O212" i="73" s="1"/>
  <c r="O277" i="73" s="1"/>
  <c r="N212" i="73" a="1"/>
  <c r="N212" i="73" s="1"/>
  <c r="N277" i="73" s="1"/>
  <c r="M212" i="73" a="1"/>
  <c r="M212" i="73" s="1"/>
  <c r="M277" i="73" s="1"/>
  <c r="L212" i="73" a="1"/>
  <c r="L212" i="73" s="1"/>
  <c r="L277" i="73" s="1"/>
  <c r="K212" i="73" a="1"/>
  <c r="K212" i="73" s="1"/>
  <c r="K277" i="73" s="1"/>
  <c r="J212" i="73" a="1"/>
  <c r="J212" i="73" s="1"/>
  <c r="J277" i="73" s="1"/>
  <c r="I212" i="73" a="1"/>
  <c r="I212" i="73" s="1"/>
  <c r="I277" i="73" s="1"/>
  <c r="H212" i="73" a="1"/>
  <c r="H212" i="73" s="1"/>
  <c r="H277" i="73" s="1"/>
  <c r="G212" i="73" a="1"/>
  <c r="G212" i="73" s="1"/>
  <c r="G277" i="73" s="1"/>
  <c r="F212" i="73" a="1"/>
  <c r="F212" i="73" s="1"/>
  <c r="F277" i="73" s="1"/>
  <c r="E212" i="73" a="1"/>
  <c r="E212" i="73" s="1"/>
  <c r="E277" i="73" s="1"/>
  <c r="D212" i="73" a="1"/>
  <c r="D212" i="73" s="1"/>
  <c r="P211" i="73" a="1"/>
  <c r="P211" i="73" s="1"/>
  <c r="P276" i="73" s="1"/>
  <c r="O211" i="73" a="1"/>
  <c r="O211" i="73" s="1"/>
  <c r="O276" i="73" s="1"/>
  <c r="N211" i="73" a="1"/>
  <c r="N211" i="73" s="1"/>
  <c r="N276" i="73" s="1"/>
  <c r="M211" i="73" a="1"/>
  <c r="M211" i="73" s="1"/>
  <c r="M276" i="73" s="1"/>
  <c r="L211" i="73" a="1"/>
  <c r="L211" i="73" s="1"/>
  <c r="L276" i="73" s="1"/>
  <c r="K211" i="73" a="1"/>
  <c r="K211" i="73" s="1"/>
  <c r="K276" i="73" s="1"/>
  <c r="J211" i="73" a="1"/>
  <c r="J211" i="73" s="1"/>
  <c r="J276" i="73" s="1"/>
  <c r="I211" i="73" a="1"/>
  <c r="I211" i="73" s="1"/>
  <c r="I276" i="73" s="1"/>
  <c r="H211" i="73" a="1"/>
  <c r="H211" i="73" s="1"/>
  <c r="H276" i="73" s="1"/>
  <c r="G211" i="73" a="1"/>
  <c r="G211" i="73" s="1"/>
  <c r="G276" i="73" s="1"/>
  <c r="F211" i="73" a="1"/>
  <c r="F211" i="73" s="1"/>
  <c r="F276" i="73" s="1"/>
  <c r="E211" i="73" a="1"/>
  <c r="E211" i="73" s="1"/>
  <c r="E276" i="73" s="1"/>
  <c r="D211" i="73" a="1"/>
  <c r="D211" i="73" s="1"/>
  <c r="P210" i="73" a="1"/>
  <c r="P210" i="73" s="1"/>
  <c r="P275" i="73" s="1"/>
  <c r="O210" i="73" a="1"/>
  <c r="O210" i="73" s="1"/>
  <c r="O275" i="73" s="1"/>
  <c r="N210" i="73" a="1"/>
  <c r="N210" i="73" s="1"/>
  <c r="N275" i="73" s="1"/>
  <c r="M210" i="73" a="1"/>
  <c r="M210" i="73" s="1"/>
  <c r="M275" i="73" s="1"/>
  <c r="L210" i="73" a="1"/>
  <c r="L210" i="73" s="1"/>
  <c r="L275" i="73" s="1"/>
  <c r="K210" i="73" a="1"/>
  <c r="K210" i="73" s="1"/>
  <c r="K275" i="73" s="1"/>
  <c r="J210" i="73" a="1"/>
  <c r="J210" i="73" s="1"/>
  <c r="J275" i="73" s="1"/>
  <c r="I210" i="73" a="1"/>
  <c r="I210" i="73" s="1"/>
  <c r="I275" i="73" s="1"/>
  <c r="H210" i="73" a="1"/>
  <c r="H210" i="73" s="1"/>
  <c r="H275" i="73" s="1"/>
  <c r="G210" i="73" a="1"/>
  <c r="G210" i="73" s="1"/>
  <c r="G275" i="73" s="1"/>
  <c r="F210" i="73" a="1"/>
  <c r="F210" i="73" s="1"/>
  <c r="F275" i="73" s="1"/>
  <c r="E210" i="73" a="1"/>
  <c r="E210" i="73" s="1"/>
  <c r="E275" i="73" s="1"/>
  <c r="D210" i="73" a="1"/>
  <c r="D210" i="73" s="1"/>
  <c r="P209" i="73" a="1"/>
  <c r="P209" i="73" s="1"/>
  <c r="P274" i="73" s="1"/>
  <c r="O209" i="73" a="1"/>
  <c r="O209" i="73" s="1"/>
  <c r="O274" i="73" s="1"/>
  <c r="N209" i="73" a="1"/>
  <c r="N209" i="73" s="1"/>
  <c r="N274" i="73" s="1"/>
  <c r="M209" i="73" a="1"/>
  <c r="M209" i="73" s="1"/>
  <c r="M274" i="73" s="1"/>
  <c r="L209" i="73" a="1"/>
  <c r="L209" i="73" s="1"/>
  <c r="L274" i="73" s="1"/>
  <c r="K209" i="73" a="1"/>
  <c r="K209" i="73" s="1"/>
  <c r="K274" i="73" s="1"/>
  <c r="J209" i="73" a="1"/>
  <c r="J209" i="73" s="1"/>
  <c r="J274" i="73" s="1"/>
  <c r="I209" i="73" a="1"/>
  <c r="I209" i="73" s="1"/>
  <c r="I274" i="73" s="1"/>
  <c r="H209" i="73" a="1"/>
  <c r="H209" i="73" s="1"/>
  <c r="H274" i="73" s="1"/>
  <c r="G209" i="73" a="1"/>
  <c r="G209" i="73" s="1"/>
  <c r="G274" i="73" s="1"/>
  <c r="F209" i="73" a="1"/>
  <c r="F209" i="73" s="1"/>
  <c r="F274" i="73" s="1"/>
  <c r="E209" i="73" a="1"/>
  <c r="E209" i="73" s="1"/>
  <c r="E274" i="73" s="1"/>
  <c r="D209" i="73" a="1"/>
  <c r="D209" i="73" s="1"/>
  <c r="P208" i="73" a="1"/>
  <c r="P208" i="73" s="1"/>
  <c r="P273" i="73" s="1"/>
  <c r="O208" i="73" a="1"/>
  <c r="O208" i="73" s="1"/>
  <c r="O273" i="73" s="1"/>
  <c r="N208" i="73" a="1"/>
  <c r="N208" i="73" s="1"/>
  <c r="N273" i="73" s="1"/>
  <c r="M208" i="73" a="1"/>
  <c r="M208" i="73" s="1"/>
  <c r="M273" i="73" s="1"/>
  <c r="L208" i="73" a="1"/>
  <c r="L208" i="73" s="1"/>
  <c r="L273" i="73" s="1"/>
  <c r="K208" i="73" a="1"/>
  <c r="K208" i="73" s="1"/>
  <c r="K273" i="73" s="1"/>
  <c r="J208" i="73" a="1"/>
  <c r="J208" i="73" s="1"/>
  <c r="J273" i="73" s="1"/>
  <c r="I208" i="73" a="1"/>
  <c r="I208" i="73" s="1"/>
  <c r="I273" i="73" s="1"/>
  <c r="H208" i="73" a="1"/>
  <c r="H208" i="73" s="1"/>
  <c r="H273" i="73" s="1"/>
  <c r="G208" i="73" a="1"/>
  <c r="G208" i="73" s="1"/>
  <c r="G273" i="73" s="1"/>
  <c r="F208" i="73" a="1"/>
  <c r="F208" i="73" s="1"/>
  <c r="F273" i="73" s="1"/>
  <c r="E208" i="73" a="1"/>
  <c r="E208" i="73" s="1"/>
  <c r="E273" i="73" s="1"/>
  <c r="D208" i="73" a="1"/>
  <c r="D208" i="73" s="1"/>
  <c r="P207" i="73" a="1"/>
  <c r="P207" i="73" s="1"/>
  <c r="P272" i="73" s="1"/>
  <c r="O207" i="73" a="1"/>
  <c r="O207" i="73" s="1"/>
  <c r="O272" i="73" s="1"/>
  <c r="N207" i="73" a="1"/>
  <c r="N207" i="73" s="1"/>
  <c r="N272" i="73" s="1"/>
  <c r="M207" i="73" a="1"/>
  <c r="M207" i="73" s="1"/>
  <c r="M272" i="73" s="1"/>
  <c r="L207" i="73" a="1"/>
  <c r="L207" i="73" s="1"/>
  <c r="L272" i="73" s="1"/>
  <c r="K207" i="73" a="1"/>
  <c r="K207" i="73" s="1"/>
  <c r="K272" i="73" s="1"/>
  <c r="J207" i="73" a="1"/>
  <c r="J207" i="73" s="1"/>
  <c r="J272" i="73" s="1"/>
  <c r="I207" i="73" a="1"/>
  <c r="I207" i="73" s="1"/>
  <c r="I272" i="73" s="1"/>
  <c r="H207" i="73" a="1"/>
  <c r="H207" i="73" s="1"/>
  <c r="H272" i="73" s="1"/>
  <c r="G207" i="73" a="1"/>
  <c r="G207" i="73" s="1"/>
  <c r="G272" i="73" s="1"/>
  <c r="F207" i="73" a="1"/>
  <c r="F207" i="73" s="1"/>
  <c r="F272" i="73" s="1"/>
  <c r="E207" i="73" a="1"/>
  <c r="E207" i="73" s="1"/>
  <c r="E272" i="73" s="1"/>
  <c r="D207" i="73" a="1"/>
  <c r="D207" i="73" s="1"/>
  <c r="P206" i="73" a="1"/>
  <c r="P206" i="73" s="1"/>
  <c r="P271" i="73" s="1"/>
  <c r="O206" i="73" a="1"/>
  <c r="O206" i="73" s="1"/>
  <c r="O271" i="73" s="1"/>
  <c r="N206" i="73" a="1"/>
  <c r="N206" i="73" s="1"/>
  <c r="N271" i="73" s="1"/>
  <c r="M206" i="73" a="1"/>
  <c r="M206" i="73" s="1"/>
  <c r="M271" i="73" s="1"/>
  <c r="L206" i="73" a="1"/>
  <c r="L206" i="73" s="1"/>
  <c r="L271" i="73" s="1"/>
  <c r="K206" i="73" a="1"/>
  <c r="K206" i="73" s="1"/>
  <c r="K271" i="73" s="1"/>
  <c r="J206" i="73" a="1"/>
  <c r="J206" i="73" s="1"/>
  <c r="J271" i="73" s="1"/>
  <c r="I206" i="73" a="1"/>
  <c r="I206" i="73" s="1"/>
  <c r="I271" i="73" s="1"/>
  <c r="H206" i="73" a="1"/>
  <c r="H206" i="73" s="1"/>
  <c r="H271" i="73" s="1"/>
  <c r="G206" i="73" a="1"/>
  <c r="G206" i="73" s="1"/>
  <c r="G271" i="73" s="1"/>
  <c r="F206" i="73" a="1"/>
  <c r="F206" i="73" s="1"/>
  <c r="F271" i="73" s="1"/>
  <c r="E206" i="73" a="1"/>
  <c r="E206" i="73" s="1"/>
  <c r="E271" i="73" s="1"/>
  <c r="D206" i="73" a="1"/>
  <c r="D206" i="73" s="1"/>
  <c r="P205" i="73" a="1"/>
  <c r="P205" i="73" s="1"/>
  <c r="P270" i="73" s="1"/>
  <c r="O205" i="73" a="1"/>
  <c r="O205" i="73" s="1"/>
  <c r="O270" i="73" s="1"/>
  <c r="N205" i="73" a="1"/>
  <c r="N205" i="73" s="1"/>
  <c r="N270" i="73" s="1"/>
  <c r="M205" i="73" a="1"/>
  <c r="M205" i="73" s="1"/>
  <c r="M270" i="73" s="1"/>
  <c r="L205" i="73" a="1"/>
  <c r="L205" i="73" s="1"/>
  <c r="L270" i="73" s="1"/>
  <c r="K205" i="73" a="1"/>
  <c r="K205" i="73" s="1"/>
  <c r="K270" i="73" s="1"/>
  <c r="J205" i="73" a="1"/>
  <c r="J205" i="73" s="1"/>
  <c r="J270" i="73" s="1"/>
  <c r="I205" i="73" a="1"/>
  <c r="I205" i="73" s="1"/>
  <c r="I270" i="73" s="1"/>
  <c r="H205" i="73" a="1"/>
  <c r="H205" i="73" s="1"/>
  <c r="H270" i="73" s="1"/>
  <c r="G205" i="73" a="1"/>
  <c r="G205" i="73" s="1"/>
  <c r="G270" i="73" s="1"/>
  <c r="F205" i="73" a="1"/>
  <c r="F205" i="73" s="1"/>
  <c r="F270" i="73" s="1"/>
  <c r="E205" i="73" a="1"/>
  <c r="E205" i="73" s="1"/>
  <c r="E270" i="73" s="1"/>
  <c r="D205" i="73" a="1"/>
  <c r="D205" i="73" s="1"/>
  <c r="P204" i="73" a="1"/>
  <c r="P204" i="73" s="1"/>
  <c r="P269" i="73" s="1"/>
  <c r="O204" i="73" a="1"/>
  <c r="O204" i="73" s="1"/>
  <c r="O269" i="73" s="1"/>
  <c r="N204" i="73" a="1"/>
  <c r="N204" i="73" s="1"/>
  <c r="N269" i="73" s="1"/>
  <c r="M204" i="73" a="1"/>
  <c r="M204" i="73" s="1"/>
  <c r="M269" i="73" s="1"/>
  <c r="L204" i="73" a="1"/>
  <c r="L204" i="73" s="1"/>
  <c r="L269" i="73" s="1"/>
  <c r="K204" i="73" a="1"/>
  <c r="K204" i="73" s="1"/>
  <c r="K269" i="73" s="1"/>
  <c r="J204" i="73" a="1"/>
  <c r="J204" i="73" s="1"/>
  <c r="J269" i="73" s="1"/>
  <c r="I204" i="73" a="1"/>
  <c r="I204" i="73" s="1"/>
  <c r="I269" i="73" s="1"/>
  <c r="H204" i="73" a="1"/>
  <c r="H204" i="73" s="1"/>
  <c r="H269" i="73" s="1"/>
  <c r="G204" i="73" a="1"/>
  <c r="G204" i="73" s="1"/>
  <c r="G269" i="73" s="1"/>
  <c r="F204" i="73" a="1"/>
  <c r="F204" i="73" s="1"/>
  <c r="F269" i="73" s="1"/>
  <c r="E204" i="73" a="1"/>
  <c r="E204" i="73" s="1"/>
  <c r="E269" i="73" s="1"/>
  <c r="D204" i="73" a="1"/>
  <c r="D204" i="73" s="1"/>
  <c r="P203" i="73" a="1"/>
  <c r="P203" i="73" s="1"/>
  <c r="P268" i="73" s="1"/>
  <c r="O203" i="73" a="1"/>
  <c r="O203" i="73" s="1"/>
  <c r="O268" i="73" s="1"/>
  <c r="N203" i="73" a="1"/>
  <c r="N203" i="73" s="1"/>
  <c r="N268" i="73" s="1"/>
  <c r="M203" i="73" a="1"/>
  <c r="M203" i="73" s="1"/>
  <c r="M268" i="73" s="1"/>
  <c r="L203" i="73" a="1"/>
  <c r="L203" i="73" s="1"/>
  <c r="L268" i="73" s="1"/>
  <c r="K203" i="73" a="1"/>
  <c r="K203" i="73" s="1"/>
  <c r="K268" i="73" s="1"/>
  <c r="J203" i="73" a="1"/>
  <c r="J203" i="73" s="1"/>
  <c r="J268" i="73" s="1"/>
  <c r="I203" i="73" a="1"/>
  <c r="I203" i="73" s="1"/>
  <c r="I268" i="73" s="1"/>
  <c r="H203" i="73" a="1"/>
  <c r="H203" i="73" s="1"/>
  <c r="H268" i="73" s="1"/>
  <c r="G203" i="73" a="1"/>
  <c r="G203" i="73" s="1"/>
  <c r="G268" i="73" s="1"/>
  <c r="F203" i="73" a="1"/>
  <c r="F203" i="73" s="1"/>
  <c r="F268" i="73" s="1"/>
  <c r="E203" i="73" a="1"/>
  <c r="E203" i="73" s="1"/>
  <c r="E268" i="73" s="1"/>
  <c r="D203" i="73" a="1"/>
  <c r="D203" i="73" s="1"/>
  <c r="P202" i="73" a="1"/>
  <c r="P202" i="73" s="1"/>
  <c r="P267" i="73" s="1"/>
  <c r="O202" i="73" a="1"/>
  <c r="O202" i="73" s="1"/>
  <c r="O267" i="73" s="1"/>
  <c r="N202" i="73" a="1"/>
  <c r="N202" i="73" s="1"/>
  <c r="N267" i="73" s="1"/>
  <c r="M202" i="73" a="1"/>
  <c r="M202" i="73" s="1"/>
  <c r="M267" i="73" s="1"/>
  <c r="L202" i="73" a="1"/>
  <c r="L202" i="73" s="1"/>
  <c r="L267" i="73" s="1"/>
  <c r="K202" i="73" a="1"/>
  <c r="K202" i="73" s="1"/>
  <c r="K267" i="73" s="1"/>
  <c r="J202" i="73" a="1"/>
  <c r="J202" i="73" s="1"/>
  <c r="J267" i="73" s="1"/>
  <c r="I202" i="73" a="1"/>
  <c r="I202" i="73" s="1"/>
  <c r="I267" i="73" s="1"/>
  <c r="H202" i="73" a="1"/>
  <c r="H202" i="73" s="1"/>
  <c r="H267" i="73" s="1"/>
  <c r="G202" i="73" a="1"/>
  <c r="G202" i="73" s="1"/>
  <c r="G267" i="73" s="1"/>
  <c r="F202" i="73" a="1"/>
  <c r="F202" i="73" s="1"/>
  <c r="F267" i="73" s="1"/>
  <c r="E202" i="73" a="1"/>
  <c r="E202" i="73" s="1"/>
  <c r="E267" i="73" s="1"/>
  <c r="D202" i="73" a="1"/>
  <c r="D202" i="73" s="1"/>
  <c r="P201" i="73" a="1"/>
  <c r="P201" i="73" s="1"/>
  <c r="P266" i="73" s="1"/>
  <c r="O201" i="73" a="1"/>
  <c r="O201" i="73" s="1"/>
  <c r="O266" i="73" s="1"/>
  <c r="N201" i="73" a="1"/>
  <c r="N201" i="73" s="1"/>
  <c r="N266" i="73" s="1"/>
  <c r="M201" i="73" a="1"/>
  <c r="M201" i="73" s="1"/>
  <c r="M266" i="73" s="1"/>
  <c r="L201" i="73" a="1"/>
  <c r="L201" i="73" s="1"/>
  <c r="L266" i="73" s="1"/>
  <c r="K201" i="73" a="1"/>
  <c r="K201" i="73" s="1"/>
  <c r="K266" i="73" s="1"/>
  <c r="J201" i="73" a="1"/>
  <c r="J201" i="73" s="1"/>
  <c r="J266" i="73" s="1"/>
  <c r="I201" i="73" a="1"/>
  <c r="I201" i="73" s="1"/>
  <c r="I266" i="73" s="1"/>
  <c r="H201" i="73" a="1"/>
  <c r="H201" i="73" s="1"/>
  <c r="H266" i="73" s="1"/>
  <c r="G201" i="73" a="1"/>
  <c r="G201" i="73" s="1"/>
  <c r="G266" i="73" s="1"/>
  <c r="F201" i="73" a="1"/>
  <c r="F201" i="73" s="1"/>
  <c r="F266" i="73" s="1"/>
  <c r="E201" i="73" a="1"/>
  <c r="E201" i="73" s="1"/>
  <c r="E266" i="73" s="1"/>
  <c r="D201" i="73" a="1"/>
  <c r="D201" i="73" s="1"/>
  <c r="P200" i="73" a="1"/>
  <c r="P200" i="73" s="1"/>
  <c r="P265" i="73" s="1"/>
  <c r="O200" i="73" a="1"/>
  <c r="O200" i="73" s="1"/>
  <c r="O265" i="73" s="1"/>
  <c r="N200" i="73" a="1"/>
  <c r="N200" i="73" s="1"/>
  <c r="N265" i="73" s="1"/>
  <c r="M200" i="73" a="1"/>
  <c r="M200" i="73" s="1"/>
  <c r="M265" i="73" s="1"/>
  <c r="L200" i="73" a="1"/>
  <c r="L200" i="73" s="1"/>
  <c r="L265" i="73" s="1"/>
  <c r="K200" i="73" a="1"/>
  <c r="K200" i="73" s="1"/>
  <c r="K265" i="73" s="1"/>
  <c r="J200" i="73" a="1"/>
  <c r="J200" i="73" s="1"/>
  <c r="J265" i="73" s="1"/>
  <c r="I200" i="73" a="1"/>
  <c r="I200" i="73" s="1"/>
  <c r="I265" i="73" s="1"/>
  <c r="H200" i="73" a="1"/>
  <c r="H200" i="73" s="1"/>
  <c r="H265" i="73" s="1"/>
  <c r="G200" i="73" a="1"/>
  <c r="G200" i="73" s="1"/>
  <c r="G265" i="73" s="1"/>
  <c r="F200" i="73" a="1"/>
  <c r="F200" i="73" s="1"/>
  <c r="F265" i="73" s="1"/>
  <c r="E200" i="73" a="1"/>
  <c r="E200" i="73" s="1"/>
  <c r="E265" i="73" s="1"/>
  <c r="D200" i="73" a="1"/>
  <c r="D200" i="73" s="1"/>
  <c r="P199" i="73" a="1"/>
  <c r="P199" i="73" s="1"/>
  <c r="P264" i="73" s="1"/>
  <c r="O199" i="73" a="1"/>
  <c r="O199" i="73" s="1"/>
  <c r="O264" i="73" s="1"/>
  <c r="N199" i="73" a="1"/>
  <c r="N199" i="73" s="1"/>
  <c r="N264" i="73" s="1"/>
  <c r="M199" i="73" a="1"/>
  <c r="M199" i="73" s="1"/>
  <c r="M264" i="73" s="1"/>
  <c r="L199" i="73" a="1"/>
  <c r="L199" i="73" s="1"/>
  <c r="L264" i="73" s="1"/>
  <c r="K199" i="73" a="1"/>
  <c r="K199" i="73" s="1"/>
  <c r="K264" i="73" s="1"/>
  <c r="J199" i="73" a="1"/>
  <c r="J199" i="73" s="1"/>
  <c r="J264" i="73" s="1"/>
  <c r="I199" i="73" a="1"/>
  <c r="I199" i="73" s="1"/>
  <c r="I264" i="73" s="1"/>
  <c r="H199" i="73" a="1"/>
  <c r="H199" i="73" s="1"/>
  <c r="H264" i="73" s="1"/>
  <c r="G199" i="73" a="1"/>
  <c r="G199" i="73" s="1"/>
  <c r="G264" i="73" s="1"/>
  <c r="F199" i="73" a="1"/>
  <c r="F199" i="73" s="1"/>
  <c r="F264" i="73" s="1"/>
  <c r="E199" i="73" a="1"/>
  <c r="E199" i="73" s="1"/>
  <c r="E264" i="73" s="1"/>
  <c r="D199" i="73" a="1"/>
  <c r="D199" i="73" s="1"/>
  <c r="P198" i="73" a="1"/>
  <c r="P198" i="73" s="1"/>
  <c r="P263" i="73" s="1"/>
  <c r="O198" i="73" a="1"/>
  <c r="O198" i="73" s="1"/>
  <c r="O263" i="73" s="1"/>
  <c r="N198" i="73" a="1"/>
  <c r="N198" i="73" s="1"/>
  <c r="N263" i="73" s="1"/>
  <c r="M198" i="73" a="1"/>
  <c r="M198" i="73" s="1"/>
  <c r="M263" i="73" s="1"/>
  <c r="L198" i="73" a="1"/>
  <c r="L198" i="73" s="1"/>
  <c r="L263" i="73" s="1"/>
  <c r="K198" i="73" a="1"/>
  <c r="K198" i="73" s="1"/>
  <c r="K263" i="73" s="1"/>
  <c r="J198" i="73" a="1"/>
  <c r="J198" i="73" s="1"/>
  <c r="J263" i="73" s="1"/>
  <c r="I198" i="73" a="1"/>
  <c r="I198" i="73" s="1"/>
  <c r="I263" i="73" s="1"/>
  <c r="H198" i="73" a="1"/>
  <c r="H198" i="73" s="1"/>
  <c r="H263" i="73" s="1"/>
  <c r="G198" i="73" a="1"/>
  <c r="G198" i="73" s="1"/>
  <c r="G263" i="73" s="1"/>
  <c r="F198" i="73" a="1"/>
  <c r="F198" i="73" s="1"/>
  <c r="F263" i="73" s="1"/>
  <c r="E198" i="73" a="1"/>
  <c r="E198" i="73" s="1"/>
  <c r="E263" i="73" s="1"/>
  <c r="D198" i="73" a="1"/>
  <c r="D198" i="73" s="1"/>
  <c r="P197" i="73" a="1"/>
  <c r="P197" i="73" s="1"/>
  <c r="P262" i="73" s="1"/>
  <c r="O197" i="73" a="1"/>
  <c r="O197" i="73" s="1"/>
  <c r="O262" i="73" s="1"/>
  <c r="N197" i="73" a="1"/>
  <c r="N197" i="73" s="1"/>
  <c r="N262" i="73" s="1"/>
  <c r="M197" i="73" a="1"/>
  <c r="M197" i="73" s="1"/>
  <c r="M262" i="73" s="1"/>
  <c r="L197" i="73" a="1"/>
  <c r="L197" i="73" s="1"/>
  <c r="L262" i="73" s="1"/>
  <c r="K197" i="73" a="1"/>
  <c r="K197" i="73" s="1"/>
  <c r="K262" i="73" s="1"/>
  <c r="J197" i="73" a="1"/>
  <c r="J197" i="73" s="1"/>
  <c r="J262" i="73" s="1"/>
  <c r="I197" i="73" a="1"/>
  <c r="I197" i="73" s="1"/>
  <c r="I262" i="73" s="1"/>
  <c r="H197" i="73" a="1"/>
  <c r="H197" i="73" s="1"/>
  <c r="H262" i="73" s="1"/>
  <c r="G197" i="73" a="1"/>
  <c r="G197" i="73" s="1"/>
  <c r="G262" i="73" s="1"/>
  <c r="F197" i="73" a="1"/>
  <c r="F197" i="73" s="1"/>
  <c r="F262" i="73" s="1"/>
  <c r="E197" i="73" a="1"/>
  <c r="E197" i="73" s="1"/>
  <c r="E262" i="73" s="1"/>
  <c r="D197" i="73" a="1"/>
  <c r="D197" i="73" s="1"/>
  <c r="P196" i="73" a="1"/>
  <c r="P196" i="73" s="1"/>
  <c r="P261" i="73" s="1"/>
  <c r="O196" i="73" a="1"/>
  <c r="O196" i="73" s="1"/>
  <c r="O261" i="73" s="1"/>
  <c r="N196" i="73" a="1"/>
  <c r="N196" i="73" s="1"/>
  <c r="N261" i="73" s="1"/>
  <c r="M196" i="73" a="1"/>
  <c r="M196" i="73" s="1"/>
  <c r="M261" i="73" s="1"/>
  <c r="L196" i="73" a="1"/>
  <c r="L196" i="73" s="1"/>
  <c r="L261" i="73" s="1"/>
  <c r="K196" i="73" a="1"/>
  <c r="K196" i="73" s="1"/>
  <c r="K261" i="73" s="1"/>
  <c r="J196" i="73" a="1"/>
  <c r="J196" i="73" s="1"/>
  <c r="J261" i="73" s="1"/>
  <c r="I196" i="73" a="1"/>
  <c r="I196" i="73" s="1"/>
  <c r="I261" i="73" s="1"/>
  <c r="H196" i="73" a="1"/>
  <c r="H196" i="73" s="1"/>
  <c r="H261" i="73" s="1"/>
  <c r="G196" i="73" a="1"/>
  <c r="G196" i="73" s="1"/>
  <c r="G261" i="73" s="1"/>
  <c r="F196" i="73" a="1"/>
  <c r="F196" i="73" s="1"/>
  <c r="F261" i="73" s="1"/>
  <c r="E196" i="73" a="1"/>
  <c r="E196" i="73" s="1"/>
  <c r="E261" i="73" s="1"/>
  <c r="D196" i="73" a="1"/>
  <c r="D196" i="73" s="1"/>
  <c r="P195" i="73" a="1"/>
  <c r="P195" i="73" s="1"/>
  <c r="P260" i="73" s="1"/>
  <c r="O195" i="73" a="1"/>
  <c r="O195" i="73" s="1"/>
  <c r="O260" i="73" s="1"/>
  <c r="N195" i="73" a="1"/>
  <c r="N195" i="73" s="1"/>
  <c r="N260" i="73" s="1"/>
  <c r="M195" i="73" a="1"/>
  <c r="M195" i="73" s="1"/>
  <c r="M260" i="73" s="1"/>
  <c r="L195" i="73" a="1"/>
  <c r="L195" i="73" s="1"/>
  <c r="L260" i="73" s="1"/>
  <c r="K195" i="73" a="1"/>
  <c r="K195" i="73" s="1"/>
  <c r="K260" i="73" s="1"/>
  <c r="J195" i="73" a="1"/>
  <c r="J195" i="73" s="1"/>
  <c r="J260" i="73" s="1"/>
  <c r="I195" i="73" a="1"/>
  <c r="I195" i="73" s="1"/>
  <c r="I260" i="73" s="1"/>
  <c r="H195" i="73" a="1"/>
  <c r="H195" i="73" s="1"/>
  <c r="H260" i="73" s="1"/>
  <c r="G195" i="73" a="1"/>
  <c r="G195" i="73" s="1"/>
  <c r="G260" i="73" s="1"/>
  <c r="F195" i="73" a="1"/>
  <c r="F195" i="73" s="1"/>
  <c r="F260" i="73" s="1"/>
  <c r="E195" i="73" a="1"/>
  <c r="E195" i="73" s="1"/>
  <c r="E260" i="73" s="1"/>
  <c r="D195" i="73" a="1"/>
  <c r="D195" i="73" s="1"/>
  <c r="P194" i="73" a="1"/>
  <c r="P194" i="73" s="1"/>
  <c r="P259" i="73" s="1"/>
  <c r="O194" i="73" a="1"/>
  <c r="O194" i="73" s="1"/>
  <c r="O259" i="73" s="1"/>
  <c r="N194" i="73" a="1"/>
  <c r="N194" i="73" s="1"/>
  <c r="N259" i="73" s="1"/>
  <c r="M194" i="73" a="1"/>
  <c r="M194" i="73" s="1"/>
  <c r="M259" i="73" s="1"/>
  <c r="L194" i="73" a="1"/>
  <c r="L194" i="73" s="1"/>
  <c r="L259" i="73" s="1"/>
  <c r="K194" i="73" a="1"/>
  <c r="K194" i="73" s="1"/>
  <c r="K259" i="73" s="1"/>
  <c r="J194" i="73" a="1"/>
  <c r="J194" i="73" s="1"/>
  <c r="J259" i="73" s="1"/>
  <c r="I194" i="73" a="1"/>
  <c r="I194" i="73" s="1"/>
  <c r="I259" i="73" s="1"/>
  <c r="H194" i="73" a="1"/>
  <c r="H194" i="73" s="1"/>
  <c r="H259" i="73" s="1"/>
  <c r="G194" i="73" a="1"/>
  <c r="G194" i="73" s="1"/>
  <c r="G259" i="73" s="1"/>
  <c r="F194" i="73" a="1"/>
  <c r="F194" i="73" s="1"/>
  <c r="F259" i="73" s="1"/>
  <c r="E194" i="73" a="1"/>
  <c r="E194" i="73" s="1"/>
  <c r="E259" i="73" s="1"/>
  <c r="D194" i="73" a="1"/>
  <c r="D194" i="73" s="1"/>
  <c r="P193" i="73" a="1"/>
  <c r="P193" i="73" s="1"/>
  <c r="P258" i="73" s="1"/>
  <c r="O193" i="73" a="1"/>
  <c r="O193" i="73" s="1"/>
  <c r="O258" i="73" s="1"/>
  <c r="N193" i="73" a="1"/>
  <c r="N193" i="73" s="1"/>
  <c r="N258" i="73" s="1"/>
  <c r="M193" i="73" a="1"/>
  <c r="M193" i="73" s="1"/>
  <c r="M258" i="73" s="1"/>
  <c r="L193" i="73" a="1"/>
  <c r="L193" i="73" s="1"/>
  <c r="L258" i="73" s="1"/>
  <c r="K193" i="73" a="1"/>
  <c r="K193" i="73" s="1"/>
  <c r="K258" i="73" s="1"/>
  <c r="J193" i="73" a="1"/>
  <c r="J193" i="73" s="1"/>
  <c r="J258" i="73" s="1"/>
  <c r="I193" i="73" a="1"/>
  <c r="I193" i="73" s="1"/>
  <c r="I258" i="73" s="1"/>
  <c r="H193" i="73" a="1"/>
  <c r="H193" i="73" s="1"/>
  <c r="H258" i="73" s="1"/>
  <c r="G193" i="73" a="1"/>
  <c r="G193" i="73" s="1"/>
  <c r="G258" i="73" s="1"/>
  <c r="F193" i="73" a="1"/>
  <c r="F193" i="73" s="1"/>
  <c r="F258" i="73" s="1"/>
  <c r="E193" i="73" a="1"/>
  <c r="E193" i="73" s="1"/>
  <c r="E258" i="73" s="1"/>
  <c r="D193" i="73" a="1"/>
  <c r="D193" i="73" s="1"/>
  <c r="P192" i="73" a="1"/>
  <c r="P192" i="73" s="1"/>
  <c r="P257" i="73" s="1"/>
  <c r="O192" i="73" a="1"/>
  <c r="O192" i="73" s="1"/>
  <c r="O257" i="73" s="1"/>
  <c r="N192" i="73" a="1"/>
  <c r="N192" i="73" s="1"/>
  <c r="N257" i="73" s="1"/>
  <c r="M192" i="73" a="1"/>
  <c r="M192" i="73" s="1"/>
  <c r="M257" i="73" s="1"/>
  <c r="L192" i="73" a="1"/>
  <c r="L192" i="73" s="1"/>
  <c r="L257" i="73" s="1"/>
  <c r="K192" i="73" a="1"/>
  <c r="K192" i="73" s="1"/>
  <c r="K257" i="73" s="1"/>
  <c r="J192" i="73" a="1"/>
  <c r="J192" i="73" s="1"/>
  <c r="J257" i="73" s="1"/>
  <c r="I192" i="73" a="1"/>
  <c r="I192" i="73" s="1"/>
  <c r="I257" i="73" s="1"/>
  <c r="H192" i="73" a="1"/>
  <c r="H192" i="73" s="1"/>
  <c r="H257" i="73" s="1"/>
  <c r="G192" i="73" a="1"/>
  <c r="G192" i="73" s="1"/>
  <c r="G257" i="73" s="1"/>
  <c r="F192" i="73" a="1"/>
  <c r="F192" i="73" s="1"/>
  <c r="F257" i="73" s="1"/>
  <c r="E192" i="73" a="1"/>
  <c r="E192" i="73" s="1"/>
  <c r="E257" i="73" s="1"/>
  <c r="D192" i="73" a="1"/>
  <c r="D192" i="73" s="1"/>
  <c r="P191" i="73" a="1"/>
  <c r="P191" i="73" s="1"/>
  <c r="P256" i="73" s="1"/>
  <c r="O191" i="73" a="1"/>
  <c r="O191" i="73" s="1"/>
  <c r="O256" i="73" s="1"/>
  <c r="N191" i="73" a="1"/>
  <c r="N191" i="73" s="1"/>
  <c r="N256" i="73" s="1"/>
  <c r="M191" i="73" a="1"/>
  <c r="M191" i="73" s="1"/>
  <c r="M256" i="73" s="1"/>
  <c r="L191" i="73" a="1"/>
  <c r="L191" i="73" s="1"/>
  <c r="L256" i="73" s="1"/>
  <c r="K191" i="73" a="1"/>
  <c r="K191" i="73" s="1"/>
  <c r="K256" i="73" s="1"/>
  <c r="J191" i="73" a="1"/>
  <c r="J191" i="73" s="1"/>
  <c r="J256" i="73" s="1"/>
  <c r="I191" i="73" a="1"/>
  <c r="I191" i="73" s="1"/>
  <c r="I256" i="73" s="1"/>
  <c r="H191" i="73" a="1"/>
  <c r="H191" i="73" s="1"/>
  <c r="H256" i="73" s="1"/>
  <c r="G191" i="73" a="1"/>
  <c r="G191" i="73" s="1"/>
  <c r="G256" i="73" s="1"/>
  <c r="F191" i="73" a="1"/>
  <c r="F191" i="73" s="1"/>
  <c r="F256" i="73" s="1"/>
  <c r="E191" i="73" a="1"/>
  <c r="E191" i="73" s="1"/>
  <c r="E256" i="73" s="1"/>
  <c r="D191" i="73" a="1"/>
  <c r="D191" i="73" s="1"/>
  <c r="P190" i="73" a="1"/>
  <c r="P190" i="73" s="1"/>
  <c r="P255" i="73" s="1"/>
  <c r="O190" i="73" a="1"/>
  <c r="O190" i="73" s="1"/>
  <c r="O255" i="73" s="1"/>
  <c r="N190" i="73" a="1"/>
  <c r="N190" i="73" s="1"/>
  <c r="N255" i="73" s="1"/>
  <c r="M190" i="73" a="1"/>
  <c r="M190" i="73" s="1"/>
  <c r="M255" i="73" s="1"/>
  <c r="L190" i="73" a="1"/>
  <c r="L190" i="73" s="1"/>
  <c r="L255" i="73" s="1"/>
  <c r="K190" i="73" a="1"/>
  <c r="K190" i="73" s="1"/>
  <c r="K255" i="73" s="1"/>
  <c r="J190" i="73" a="1"/>
  <c r="J190" i="73" s="1"/>
  <c r="J255" i="73" s="1"/>
  <c r="I190" i="73" a="1"/>
  <c r="I190" i="73" s="1"/>
  <c r="I255" i="73" s="1"/>
  <c r="H190" i="73" a="1"/>
  <c r="H190" i="73" s="1"/>
  <c r="H255" i="73" s="1"/>
  <c r="G190" i="73" a="1"/>
  <c r="G190" i="73" s="1"/>
  <c r="G255" i="73" s="1"/>
  <c r="F190" i="73" a="1"/>
  <c r="F190" i="73" s="1"/>
  <c r="F255" i="73" s="1"/>
  <c r="E190" i="73" a="1"/>
  <c r="E190" i="73" s="1"/>
  <c r="E255" i="73" s="1"/>
  <c r="D190" i="73" a="1"/>
  <c r="D190" i="73" s="1"/>
  <c r="D188" i="73" a="1"/>
  <c r="D188" i="73" s="1"/>
  <c r="D187" i="73" a="1"/>
  <c r="D187" i="73" s="1"/>
  <c r="D186" i="73" a="1"/>
  <c r="D186" i="73" s="1"/>
  <c r="D185" i="73" a="1"/>
  <c r="D185" i="73" s="1"/>
  <c r="M182" i="73" a="1"/>
  <c r="M182" i="73" s="1"/>
  <c r="L182" i="73" a="1"/>
  <c r="L182" i="73" s="1"/>
  <c r="M254" i="73" s="1"/>
  <c r="K182" i="73" a="1"/>
  <c r="K182" i="73" s="1"/>
  <c r="J182" i="73" a="1"/>
  <c r="J182" i="73" s="1"/>
  <c r="J254" i="73" s="1"/>
  <c r="I182" i="73" a="1"/>
  <c r="I182" i="73" s="1"/>
  <c r="I254" i="73" s="1"/>
  <c r="H182" i="73" a="1"/>
  <c r="H182" i="73" s="1"/>
  <c r="H254" i="73" s="1"/>
  <c r="G182" i="73" a="1"/>
  <c r="G182" i="73" s="1"/>
  <c r="G254" i="73" s="1"/>
  <c r="F182" i="73" a="1"/>
  <c r="F182" i="73" s="1"/>
  <c r="F254" i="73" s="1"/>
  <c r="E182" i="73" a="1"/>
  <c r="E182" i="73" s="1"/>
  <c r="E254" i="73" s="1"/>
  <c r="D182" i="73" a="1"/>
  <c r="D182" i="73" s="1"/>
  <c r="M181" i="73" a="1"/>
  <c r="M181" i="73" s="1"/>
  <c r="L181" i="73" a="1"/>
  <c r="L181" i="73" s="1"/>
  <c r="M253" i="73" s="1"/>
  <c r="K181" i="73" a="1"/>
  <c r="K181" i="73" s="1"/>
  <c r="J181" i="73" a="1"/>
  <c r="J181" i="73" s="1"/>
  <c r="J253" i="73" s="1"/>
  <c r="I181" i="73" a="1"/>
  <c r="I181" i="73" s="1"/>
  <c r="I253" i="73" s="1"/>
  <c r="H181" i="73" a="1"/>
  <c r="H181" i="73" s="1"/>
  <c r="H253" i="73" s="1"/>
  <c r="G181" i="73" a="1"/>
  <c r="G181" i="73" s="1"/>
  <c r="G253" i="73" s="1"/>
  <c r="F181" i="73" a="1"/>
  <c r="F181" i="73" s="1"/>
  <c r="F253" i="73" s="1"/>
  <c r="E181" i="73" a="1"/>
  <c r="E181" i="73" s="1"/>
  <c r="E253" i="73" s="1"/>
  <c r="D181" i="73" a="1"/>
  <c r="D181" i="73" s="1"/>
  <c r="M180" i="73" a="1"/>
  <c r="M180" i="73" s="1"/>
  <c r="L180" i="73" a="1"/>
  <c r="L180" i="73" s="1"/>
  <c r="M252" i="73" s="1"/>
  <c r="K180" i="73" a="1"/>
  <c r="K180" i="73" s="1"/>
  <c r="J180" i="73" a="1"/>
  <c r="J180" i="73" s="1"/>
  <c r="J252" i="73" s="1"/>
  <c r="I180" i="73" a="1"/>
  <c r="I180" i="73" s="1"/>
  <c r="I252" i="73" s="1"/>
  <c r="H180" i="73" a="1"/>
  <c r="H180" i="73" s="1"/>
  <c r="H252" i="73" s="1"/>
  <c r="G180" i="73" a="1"/>
  <c r="G180" i="73" s="1"/>
  <c r="G252" i="73" s="1"/>
  <c r="F180" i="73" a="1"/>
  <c r="F180" i="73" s="1"/>
  <c r="F252" i="73" s="1"/>
  <c r="E180" i="73" a="1"/>
  <c r="E180" i="73" s="1"/>
  <c r="E252" i="73" s="1"/>
  <c r="D180" i="73" a="1"/>
  <c r="D180" i="73" s="1"/>
  <c r="M179" i="73" a="1"/>
  <c r="M179" i="73" s="1"/>
  <c r="L179" i="73" a="1"/>
  <c r="L179" i="73" s="1"/>
  <c r="M251" i="73" s="1"/>
  <c r="K179" i="73" a="1"/>
  <c r="K179" i="73" s="1"/>
  <c r="J179" i="73" a="1"/>
  <c r="J179" i="73" s="1"/>
  <c r="J251" i="73" s="1"/>
  <c r="I179" i="73" a="1"/>
  <c r="I179" i="73" s="1"/>
  <c r="I251" i="73" s="1"/>
  <c r="H179" i="73" a="1"/>
  <c r="H179" i="73" s="1"/>
  <c r="H251" i="73" s="1"/>
  <c r="G179" i="73" a="1"/>
  <c r="G179" i="73" s="1"/>
  <c r="G251" i="73" s="1"/>
  <c r="F179" i="73" a="1"/>
  <c r="F179" i="73" s="1"/>
  <c r="F251" i="73" s="1"/>
  <c r="E179" i="73" a="1"/>
  <c r="E179" i="73" s="1"/>
  <c r="E251" i="73" s="1"/>
  <c r="D179" i="73" a="1"/>
  <c r="D179" i="73" s="1"/>
  <c r="M178" i="73" a="1"/>
  <c r="M178" i="73" s="1"/>
  <c r="L178" i="73" a="1"/>
  <c r="L178" i="73" s="1"/>
  <c r="M250" i="73" s="1"/>
  <c r="K178" i="73" a="1"/>
  <c r="K178" i="73" s="1"/>
  <c r="J178" i="73" a="1"/>
  <c r="J178" i="73" s="1"/>
  <c r="J250" i="73" s="1"/>
  <c r="I178" i="73" a="1"/>
  <c r="I178" i="73" s="1"/>
  <c r="I250" i="73" s="1"/>
  <c r="H178" i="73" a="1"/>
  <c r="H178" i="73" s="1"/>
  <c r="H250" i="73" s="1"/>
  <c r="G178" i="73" a="1"/>
  <c r="G178" i="73" s="1"/>
  <c r="G250" i="73" s="1"/>
  <c r="F178" i="73" a="1"/>
  <c r="F178" i="73" s="1"/>
  <c r="F250" i="73" s="1"/>
  <c r="E178" i="73" a="1"/>
  <c r="E178" i="73" s="1"/>
  <c r="E250" i="73" s="1"/>
  <c r="D178" i="73" a="1"/>
  <c r="D178" i="73" s="1"/>
  <c r="M177" i="73" a="1"/>
  <c r="M177" i="73" s="1"/>
  <c r="L177" i="73" a="1"/>
  <c r="L177" i="73" s="1"/>
  <c r="M249" i="73" s="1"/>
  <c r="K177" i="73" a="1"/>
  <c r="K177" i="73" s="1"/>
  <c r="J177" i="73" a="1"/>
  <c r="J177" i="73" s="1"/>
  <c r="J249" i="73" s="1"/>
  <c r="I177" i="73" a="1"/>
  <c r="I177" i="73" s="1"/>
  <c r="I249" i="73" s="1"/>
  <c r="H177" i="73" a="1"/>
  <c r="H177" i="73" s="1"/>
  <c r="H249" i="73" s="1"/>
  <c r="G177" i="73" a="1"/>
  <c r="G177" i="73" s="1"/>
  <c r="G249" i="73" s="1"/>
  <c r="F177" i="73" a="1"/>
  <c r="F177" i="73" s="1"/>
  <c r="F249" i="73" s="1"/>
  <c r="E177" i="73" a="1"/>
  <c r="E177" i="73" s="1"/>
  <c r="E249" i="73" s="1"/>
  <c r="D177" i="73" a="1"/>
  <c r="D177" i="73" s="1"/>
  <c r="M176" i="73" a="1"/>
  <c r="M176" i="73" s="1"/>
  <c r="L176" i="73" a="1"/>
  <c r="L176" i="73" s="1"/>
  <c r="M248" i="73" s="1"/>
  <c r="K176" i="73" a="1"/>
  <c r="K176" i="73" s="1"/>
  <c r="J176" i="73" a="1"/>
  <c r="J176" i="73" s="1"/>
  <c r="J248" i="73" s="1"/>
  <c r="I176" i="73" a="1"/>
  <c r="I176" i="73" s="1"/>
  <c r="I248" i="73" s="1"/>
  <c r="H176" i="73" a="1"/>
  <c r="H176" i="73" s="1"/>
  <c r="H248" i="73" s="1"/>
  <c r="G176" i="73" a="1"/>
  <c r="G176" i="73" s="1"/>
  <c r="G248" i="73" s="1"/>
  <c r="F176" i="73" a="1"/>
  <c r="F176" i="73" s="1"/>
  <c r="F248" i="73" s="1"/>
  <c r="E176" i="73" a="1"/>
  <c r="E176" i="73" s="1"/>
  <c r="E248" i="73" s="1"/>
  <c r="D176" i="73" a="1"/>
  <c r="D176" i="73" s="1"/>
  <c r="M175" i="73" a="1"/>
  <c r="M175" i="73" s="1"/>
  <c r="L175" i="73" a="1"/>
  <c r="L175" i="73" s="1"/>
  <c r="M247" i="73" s="1"/>
  <c r="K175" i="73" a="1"/>
  <c r="K175" i="73" s="1"/>
  <c r="J175" i="73" a="1"/>
  <c r="J175" i="73" s="1"/>
  <c r="J247" i="73" s="1"/>
  <c r="I175" i="73" a="1"/>
  <c r="I175" i="73" s="1"/>
  <c r="I247" i="73" s="1"/>
  <c r="H175" i="73" a="1"/>
  <c r="H175" i="73" s="1"/>
  <c r="H247" i="73" s="1"/>
  <c r="G175" i="73" a="1"/>
  <c r="G175" i="73" s="1"/>
  <c r="G247" i="73" s="1"/>
  <c r="F175" i="73" a="1"/>
  <c r="F175" i="73" s="1"/>
  <c r="F247" i="73" s="1"/>
  <c r="E175" i="73" a="1"/>
  <c r="E175" i="73" s="1"/>
  <c r="E247" i="73" s="1"/>
  <c r="D175" i="73" a="1"/>
  <c r="D175" i="73" s="1"/>
  <c r="M174" i="73" a="1"/>
  <c r="M174" i="73" s="1"/>
  <c r="L174" i="73" a="1"/>
  <c r="L174" i="73" s="1"/>
  <c r="M246" i="73" s="1"/>
  <c r="K174" i="73" a="1"/>
  <c r="K174" i="73" s="1"/>
  <c r="J174" i="73" a="1"/>
  <c r="J174" i="73" s="1"/>
  <c r="J246" i="73" s="1"/>
  <c r="I174" i="73" a="1"/>
  <c r="I174" i="73" s="1"/>
  <c r="I246" i="73" s="1"/>
  <c r="H174" i="73" a="1"/>
  <c r="H174" i="73" s="1"/>
  <c r="H246" i="73" s="1"/>
  <c r="G174" i="73" a="1"/>
  <c r="G174" i="73" s="1"/>
  <c r="G246" i="73" s="1"/>
  <c r="F174" i="73" a="1"/>
  <c r="F174" i="73" s="1"/>
  <c r="F246" i="73" s="1"/>
  <c r="E174" i="73" a="1"/>
  <c r="E174" i="73" s="1"/>
  <c r="E246" i="73" s="1"/>
  <c r="D174" i="73" a="1"/>
  <c r="D174" i="73" s="1"/>
  <c r="M173" i="73" a="1"/>
  <c r="M173" i="73" s="1"/>
  <c r="L173" i="73" a="1"/>
  <c r="L173" i="73" s="1"/>
  <c r="M245" i="73" s="1"/>
  <c r="K173" i="73" a="1"/>
  <c r="K173" i="73" s="1"/>
  <c r="J173" i="73" a="1"/>
  <c r="J173" i="73" s="1"/>
  <c r="J245" i="73" s="1"/>
  <c r="I173" i="73" a="1"/>
  <c r="I173" i="73" s="1"/>
  <c r="I245" i="73" s="1"/>
  <c r="H173" i="73" a="1"/>
  <c r="H173" i="73" s="1"/>
  <c r="H245" i="73" s="1"/>
  <c r="G173" i="73" a="1"/>
  <c r="G173" i="73" s="1"/>
  <c r="G245" i="73" s="1"/>
  <c r="F173" i="73" a="1"/>
  <c r="F173" i="73" s="1"/>
  <c r="F245" i="73" s="1"/>
  <c r="E173" i="73" a="1"/>
  <c r="E173" i="73" s="1"/>
  <c r="E245" i="73" s="1"/>
  <c r="D173" i="73" a="1"/>
  <c r="D173" i="73" s="1"/>
  <c r="M172" i="73" a="1"/>
  <c r="M172" i="73" s="1"/>
  <c r="L172" i="73" a="1"/>
  <c r="L172" i="73" s="1"/>
  <c r="M244" i="73" s="1"/>
  <c r="K172" i="73" a="1"/>
  <c r="K172" i="73" s="1"/>
  <c r="J172" i="73" a="1"/>
  <c r="J172" i="73" s="1"/>
  <c r="J244" i="73" s="1"/>
  <c r="I172" i="73" a="1"/>
  <c r="I172" i="73" s="1"/>
  <c r="I244" i="73" s="1"/>
  <c r="H172" i="73" a="1"/>
  <c r="H172" i="73" s="1"/>
  <c r="H244" i="73" s="1"/>
  <c r="G172" i="73" a="1"/>
  <c r="G172" i="73" s="1"/>
  <c r="G244" i="73" s="1"/>
  <c r="F172" i="73" a="1"/>
  <c r="F172" i="73" s="1"/>
  <c r="F244" i="73" s="1"/>
  <c r="E172" i="73" a="1"/>
  <c r="E172" i="73" s="1"/>
  <c r="E244" i="73" s="1"/>
  <c r="D172" i="73" a="1"/>
  <c r="D172" i="73" s="1"/>
  <c r="M171" i="73" a="1"/>
  <c r="M171" i="73" s="1"/>
  <c r="L171" i="73" a="1"/>
  <c r="L171" i="73" s="1"/>
  <c r="M243" i="73" s="1"/>
  <c r="K171" i="73" a="1"/>
  <c r="K171" i="73" s="1"/>
  <c r="J171" i="73" a="1"/>
  <c r="J171" i="73" s="1"/>
  <c r="J243" i="73" s="1"/>
  <c r="I171" i="73" a="1"/>
  <c r="I171" i="73" s="1"/>
  <c r="I243" i="73" s="1"/>
  <c r="H171" i="73" a="1"/>
  <c r="H171" i="73" s="1"/>
  <c r="H243" i="73" s="1"/>
  <c r="G171" i="73" a="1"/>
  <c r="G171" i="73" s="1"/>
  <c r="G243" i="73" s="1"/>
  <c r="F171" i="73" a="1"/>
  <c r="F171" i="73" s="1"/>
  <c r="F243" i="73" s="1"/>
  <c r="E171" i="73" a="1"/>
  <c r="E171" i="73" s="1"/>
  <c r="E243" i="73" s="1"/>
  <c r="D171" i="73" a="1"/>
  <c r="D171" i="73" s="1"/>
  <c r="M170" i="73" a="1"/>
  <c r="M170" i="73" s="1"/>
  <c r="L170" i="73" a="1"/>
  <c r="L170" i="73" s="1"/>
  <c r="M242" i="73" s="1"/>
  <c r="K170" i="73" a="1"/>
  <c r="K170" i="73" s="1"/>
  <c r="J170" i="73" a="1"/>
  <c r="J170" i="73" s="1"/>
  <c r="J242" i="73" s="1"/>
  <c r="I170" i="73" a="1"/>
  <c r="I170" i="73" s="1"/>
  <c r="I242" i="73" s="1"/>
  <c r="H170" i="73" a="1"/>
  <c r="H170" i="73" s="1"/>
  <c r="H242" i="73" s="1"/>
  <c r="G170" i="73" a="1"/>
  <c r="G170" i="73" s="1"/>
  <c r="G242" i="73" s="1"/>
  <c r="F170" i="73" a="1"/>
  <c r="F170" i="73" s="1"/>
  <c r="F242" i="73" s="1"/>
  <c r="E170" i="73" a="1"/>
  <c r="E170" i="73" s="1"/>
  <c r="D170" i="73" a="1"/>
  <c r="D170" i="73" s="1"/>
  <c r="M169" i="73" a="1"/>
  <c r="M169" i="73" s="1"/>
  <c r="L169" i="73" a="1"/>
  <c r="L169" i="73" s="1"/>
  <c r="M241" i="73" s="1"/>
  <c r="K169" i="73" a="1"/>
  <c r="K169" i="73" s="1"/>
  <c r="J169" i="73" a="1"/>
  <c r="J169" i="73" s="1"/>
  <c r="J241" i="73" s="1"/>
  <c r="I169" i="73" a="1"/>
  <c r="I169" i="73" s="1"/>
  <c r="I241" i="73" s="1"/>
  <c r="H169" i="73" a="1"/>
  <c r="H169" i="73" s="1"/>
  <c r="H241" i="73" s="1"/>
  <c r="G169" i="73" a="1"/>
  <c r="G169" i="73" s="1"/>
  <c r="G241" i="73" s="1"/>
  <c r="F169" i="73" a="1"/>
  <c r="F169" i="73" s="1"/>
  <c r="F241" i="73" s="1"/>
  <c r="E169" i="73" a="1"/>
  <c r="E169" i="73" s="1"/>
  <c r="D169" i="73" a="1"/>
  <c r="D169" i="73" s="1"/>
  <c r="M168" i="73" a="1"/>
  <c r="M168" i="73" s="1"/>
  <c r="L168" i="73" a="1"/>
  <c r="L168" i="73" s="1"/>
  <c r="M240" i="73" s="1"/>
  <c r="K168" i="73" a="1"/>
  <c r="K168" i="73" s="1"/>
  <c r="J168" i="73" a="1"/>
  <c r="J168" i="73" s="1"/>
  <c r="J240" i="73" s="1"/>
  <c r="I168" i="73" a="1"/>
  <c r="I168" i="73" s="1"/>
  <c r="I240" i="73" s="1"/>
  <c r="H168" i="73" a="1"/>
  <c r="H168" i="73" s="1"/>
  <c r="H240" i="73" s="1"/>
  <c r="G168" i="73" a="1"/>
  <c r="G168" i="73" s="1"/>
  <c r="G240" i="73" s="1"/>
  <c r="F168" i="73" a="1"/>
  <c r="F168" i="73" s="1"/>
  <c r="F240" i="73" s="1"/>
  <c r="E168" i="73" a="1"/>
  <c r="E168" i="73" s="1"/>
  <c r="D168" i="73" a="1"/>
  <c r="D168" i="73" s="1"/>
  <c r="M167" i="73" a="1"/>
  <c r="M167" i="73" s="1"/>
  <c r="L167" i="73" a="1"/>
  <c r="L167" i="73" s="1"/>
  <c r="M239" i="73" s="1"/>
  <c r="K167" i="73" a="1"/>
  <c r="K167" i="73" s="1"/>
  <c r="J167" i="73" a="1"/>
  <c r="J167" i="73" s="1"/>
  <c r="J239" i="73" s="1"/>
  <c r="I167" i="73" a="1"/>
  <c r="I167" i="73" s="1"/>
  <c r="I239" i="73" s="1"/>
  <c r="H167" i="73" a="1"/>
  <c r="H167" i="73" s="1"/>
  <c r="H239" i="73" s="1"/>
  <c r="G167" i="73" a="1"/>
  <c r="G167" i="73" s="1"/>
  <c r="G239" i="73" s="1"/>
  <c r="F167" i="73" a="1"/>
  <c r="F167" i="73" s="1"/>
  <c r="F239" i="73" s="1"/>
  <c r="E167" i="73" a="1"/>
  <c r="E167" i="73" s="1"/>
  <c r="D167" i="73" a="1"/>
  <c r="D167" i="73" s="1"/>
  <c r="M166" i="73" a="1"/>
  <c r="M166" i="73" s="1"/>
  <c r="L166" i="73" a="1"/>
  <c r="L166" i="73" s="1"/>
  <c r="M238" i="73" s="1"/>
  <c r="K166" i="73" a="1"/>
  <c r="K166" i="73" s="1"/>
  <c r="J166" i="73" a="1"/>
  <c r="J166" i="73" s="1"/>
  <c r="J238" i="73" s="1"/>
  <c r="I166" i="73" a="1"/>
  <c r="I166" i="73" s="1"/>
  <c r="I238" i="73" s="1"/>
  <c r="H166" i="73" a="1"/>
  <c r="H166" i="73" s="1"/>
  <c r="H238" i="73" s="1"/>
  <c r="G166" i="73" a="1"/>
  <c r="G166" i="73" s="1"/>
  <c r="G238" i="73" s="1"/>
  <c r="F166" i="73" a="1"/>
  <c r="F166" i="73" s="1"/>
  <c r="F238" i="73" s="1"/>
  <c r="E166" i="73" a="1"/>
  <c r="E166" i="73" s="1"/>
  <c r="D166" i="73" a="1"/>
  <c r="D166" i="73" s="1"/>
  <c r="M165" i="73" a="1"/>
  <c r="M165" i="73" s="1"/>
  <c r="L165" i="73" a="1"/>
  <c r="L165" i="73" s="1"/>
  <c r="M237" i="73" s="1"/>
  <c r="K165" i="73" a="1"/>
  <c r="K165" i="73" s="1"/>
  <c r="J165" i="73" a="1"/>
  <c r="J165" i="73" s="1"/>
  <c r="J237" i="73" s="1"/>
  <c r="I165" i="73" a="1"/>
  <c r="I165" i="73" s="1"/>
  <c r="I237" i="73" s="1"/>
  <c r="H165" i="73" a="1"/>
  <c r="H165" i="73" s="1"/>
  <c r="H237" i="73" s="1"/>
  <c r="G165" i="73" a="1"/>
  <c r="G165" i="73" s="1"/>
  <c r="G237" i="73" s="1"/>
  <c r="F165" i="73" a="1"/>
  <c r="F165" i="73" s="1"/>
  <c r="F237" i="73" s="1"/>
  <c r="E165" i="73" a="1"/>
  <c r="E165" i="73" s="1"/>
  <c r="D165" i="73" a="1"/>
  <c r="D165" i="73" s="1"/>
  <c r="M164" i="73" a="1"/>
  <c r="M164" i="73" s="1"/>
  <c r="L164" i="73" a="1"/>
  <c r="L164" i="73" s="1"/>
  <c r="M236" i="73" s="1"/>
  <c r="K164" i="73" a="1"/>
  <c r="K164" i="73" s="1"/>
  <c r="J164" i="73" a="1"/>
  <c r="J164" i="73" s="1"/>
  <c r="J236" i="73" s="1"/>
  <c r="I164" i="73" a="1"/>
  <c r="I164" i="73" s="1"/>
  <c r="I236" i="73" s="1"/>
  <c r="H164" i="73" a="1"/>
  <c r="H164" i="73" s="1"/>
  <c r="H236" i="73" s="1"/>
  <c r="G164" i="73" a="1"/>
  <c r="G164" i="73" s="1"/>
  <c r="G236" i="73" s="1"/>
  <c r="F164" i="73" a="1"/>
  <c r="F164" i="73" s="1"/>
  <c r="F236" i="73" s="1"/>
  <c r="E164" i="73" a="1"/>
  <c r="E164" i="73" s="1"/>
  <c r="D164" i="73" a="1"/>
  <c r="D164" i="73" s="1"/>
  <c r="M163" i="73" a="1"/>
  <c r="M163" i="73" s="1"/>
  <c r="L163" i="73" a="1"/>
  <c r="L163" i="73" s="1"/>
  <c r="M235" i="73" s="1"/>
  <c r="K163" i="73" a="1"/>
  <c r="K163" i="73" s="1"/>
  <c r="J163" i="73" a="1"/>
  <c r="J163" i="73" s="1"/>
  <c r="J235" i="73" s="1"/>
  <c r="I163" i="73" a="1"/>
  <c r="I163" i="73" s="1"/>
  <c r="I235" i="73" s="1"/>
  <c r="H163" i="73" a="1"/>
  <c r="H163" i="73" s="1"/>
  <c r="H235" i="73" s="1"/>
  <c r="G163" i="73" a="1"/>
  <c r="G163" i="73" s="1"/>
  <c r="G235" i="73" s="1"/>
  <c r="F163" i="73" a="1"/>
  <c r="F163" i="73" s="1"/>
  <c r="F235" i="73" s="1"/>
  <c r="E163" i="73" a="1"/>
  <c r="E163" i="73" s="1"/>
  <c r="D163" i="73" a="1"/>
  <c r="D163" i="73" s="1"/>
  <c r="M162" i="73" a="1"/>
  <c r="M162" i="73" s="1"/>
  <c r="L162" i="73" a="1"/>
  <c r="L162" i="73" s="1"/>
  <c r="M234" i="73" s="1"/>
  <c r="K162" i="73" a="1"/>
  <c r="K162" i="73" s="1"/>
  <c r="J162" i="73" a="1"/>
  <c r="J162" i="73" s="1"/>
  <c r="J234" i="73" s="1"/>
  <c r="I162" i="73" a="1"/>
  <c r="I162" i="73" s="1"/>
  <c r="I234" i="73" s="1"/>
  <c r="H162" i="73" a="1"/>
  <c r="H162" i="73" s="1"/>
  <c r="H234" i="73" s="1"/>
  <c r="G162" i="73" a="1"/>
  <c r="G162" i="73" s="1"/>
  <c r="G234" i="73" s="1"/>
  <c r="F162" i="73" a="1"/>
  <c r="F162" i="73" s="1"/>
  <c r="F234" i="73" s="1"/>
  <c r="E162" i="73" a="1"/>
  <c r="E162" i="73" s="1"/>
  <c r="D162" i="73" a="1"/>
  <c r="D162" i="73" s="1"/>
  <c r="M161" i="73" a="1"/>
  <c r="M161" i="73" s="1"/>
  <c r="L161" i="73" a="1"/>
  <c r="L161" i="73" s="1"/>
  <c r="M233" i="73" s="1"/>
  <c r="K161" i="73" a="1"/>
  <c r="K161" i="73" s="1"/>
  <c r="J161" i="73" a="1"/>
  <c r="J161" i="73" s="1"/>
  <c r="J233" i="73" s="1"/>
  <c r="I161" i="73" a="1"/>
  <c r="I161" i="73" s="1"/>
  <c r="I233" i="73" s="1"/>
  <c r="H161" i="73" a="1"/>
  <c r="H161" i="73" s="1"/>
  <c r="H233" i="73" s="1"/>
  <c r="G161" i="73" a="1"/>
  <c r="G161" i="73" s="1"/>
  <c r="G233" i="73" s="1"/>
  <c r="F161" i="73" a="1"/>
  <c r="F161" i="73" s="1"/>
  <c r="F233" i="73" s="1"/>
  <c r="E161" i="73" a="1"/>
  <c r="E161" i="73" s="1"/>
  <c r="D161" i="73" a="1"/>
  <c r="D161" i="73" s="1"/>
  <c r="M160" i="73" a="1"/>
  <c r="M160" i="73" s="1"/>
  <c r="L160" i="73" a="1"/>
  <c r="L160" i="73" s="1"/>
  <c r="M232" i="73" s="1"/>
  <c r="K160" i="73" a="1"/>
  <c r="K160" i="73" s="1"/>
  <c r="J160" i="73" a="1"/>
  <c r="J160" i="73" s="1"/>
  <c r="J232" i="73" s="1"/>
  <c r="I160" i="73" a="1"/>
  <c r="I160" i="73" s="1"/>
  <c r="I232" i="73" s="1"/>
  <c r="H160" i="73" a="1"/>
  <c r="H160" i="73" s="1"/>
  <c r="H232" i="73" s="1"/>
  <c r="G160" i="73" a="1"/>
  <c r="G160" i="73" s="1"/>
  <c r="G232" i="73" s="1"/>
  <c r="F160" i="73" a="1"/>
  <c r="F160" i="73" s="1"/>
  <c r="F232" i="73" s="1"/>
  <c r="E160" i="73" a="1"/>
  <c r="E160" i="73" s="1"/>
  <c r="D160" i="73" a="1"/>
  <c r="D160" i="73" s="1"/>
  <c r="M159" i="73" a="1"/>
  <c r="M159" i="73" s="1"/>
  <c r="L159" i="73" a="1"/>
  <c r="L159" i="73" s="1"/>
  <c r="M231" i="73" s="1"/>
  <c r="K159" i="73" a="1"/>
  <c r="K159" i="73" s="1"/>
  <c r="J159" i="73" a="1"/>
  <c r="J159" i="73" s="1"/>
  <c r="J231" i="73" s="1"/>
  <c r="I159" i="73" a="1"/>
  <c r="I159" i="73" s="1"/>
  <c r="I231" i="73" s="1"/>
  <c r="H159" i="73" a="1"/>
  <c r="H159" i="73" s="1"/>
  <c r="H231" i="73" s="1"/>
  <c r="G159" i="73" a="1"/>
  <c r="G159" i="73" s="1"/>
  <c r="G231" i="73" s="1"/>
  <c r="F159" i="73" a="1"/>
  <c r="F159" i="73" s="1"/>
  <c r="F231" i="73" s="1"/>
  <c r="E159" i="73" a="1"/>
  <c r="E159" i="73" s="1"/>
  <c r="D159" i="73" a="1"/>
  <c r="D159" i="73" s="1"/>
  <c r="M158" i="73" a="1"/>
  <c r="M158" i="73" s="1"/>
  <c r="L158" i="73" a="1"/>
  <c r="L158" i="73" s="1"/>
  <c r="K158" i="73" a="1"/>
  <c r="K158" i="73" s="1"/>
  <c r="J158" i="73" a="1"/>
  <c r="J158" i="73" s="1"/>
  <c r="I158" i="73" a="1"/>
  <c r="I158" i="73" s="1"/>
  <c r="H158" i="73" a="1"/>
  <c r="H158" i="73" s="1"/>
  <c r="G158" i="73" a="1"/>
  <c r="G158" i="73" s="1"/>
  <c r="F158" i="73" a="1"/>
  <c r="F158" i="73" s="1"/>
  <c r="E158" i="73" a="1"/>
  <c r="E158" i="73" s="1"/>
  <c r="D158" i="73" a="1"/>
  <c r="D158" i="73" s="1"/>
  <c r="M157" i="73" a="1"/>
  <c r="M157" i="73" s="1"/>
  <c r="L157" i="73" a="1"/>
  <c r="L157" i="73" s="1"/>
  <c r="K157" i="73" a="1"/>
  <c r="K157" i="73" s="1"/>
  <c r="J157" i="73" a="1"/>
  <c r="J157" i="73" s="1"/>
  <c r="I157" i="73" a="1"/>
  <c r="I157" i="73" s="1"/>
  <c r="H157" i="73" a="1"/>
  <c r="H157" i="73" s="1"/>
  <c r="G157" i="73" a="1"/>
  <c r="G157" i="73" s="1"/>
  <c r="F157" i="73" a="1"/>
  <c r="F157" i="73" s="1"/>
  <c r="E157" i="73" a="1"/>
  <c r="E157" i="73" s="1"/>
  <c r="D157" i="73" a="1"/>
  <c r="D157" i="73" s="1"/>
  <c r="M156" i="73" a="1"/>
  <c r="M156" i="73" s="1"/>
  <c r="L156" i="73" a="1"/>
  <c r="L156" i="73" s="1"/>
  <c r="K156" i="73" a="1"/>
  <c r="K156" i="73" s="1"/>
  <c r="J156" i="73" a="1"/>
  <c r="J156" i="73" s="1"/>
  <c r="I156" i="73" a="1"/>
  <c r="I156" i="73" s="1"/>
  <c r="H156" i="73" a="1"/>
  <c r="H156" i="73" s="1"/>
  <c r="G156" i="73" a="1"/>
  <c r="G156" i="73" s="1"/>
  <c r="F156" i="73" a="1"/>
  <c r="F156" i="73" s="1"/>
  <c r="E156" i="73" a="1"/>
  <c r="E156" i="73" s="1"/>
  <c r="D156" i="73" a="1"/>
  <c r="D156" i="73" s="1"/>
  <c r="M155" i="73" a="1"/>
  <c r="M155" i="73" s="1"/>
  <c r="L155" i="73" a="1"/>
  <c r="L155" i="73" s="1"/>
  <c r="K155" i="73" a="1"/>
  <c r="K155" i="73" s="1"/>
  <c r="J155" i="73" a="1"/>
  <c r="J155" i="73" s="1"/>
  <c r="I155" i="73" a="1"/>
  <c r="I155" i="73" s="1"/>
  <c r="H155" i="73" a="1"/>
  <c r="H155" i="73" s="1"/>
  <c r="G155" i="73" a="1"/>
  <c r="G155" i="73" s="1"/>
  <c r="F155" i="73" a="1"/>
  <c r="F155" i="73" s="1"/>
  <c r="E155" i="73" a="1"/>
  <c r="E155" i="73" s="1"/>
  <c r="D155" i="73" a="1"/>
  <c r="D155" i="73" s="1"/>
  <c r="D153" i="73" a="1"/>
  <c r="D153" i="73" s="1"/>
  <c r="D152" i="73" a="1"/>
  <c r="D152" i="73" s="1"/>
  <c r="D151" i="73" a="1"/>
  <c r="D151" i="73" s="1"/>
  <c r="D150" i="73" a="1"/>
  <c r="D150" i="73" s="1"/>
  <c r="P81" i="73" a="1"/>
  <c r="P81" i="73" s="1"/>
  <c r="P145" i="73" s="1"/>
  <c r="O81" i="73" a="1"/>
  <c r="O81" i="73" s="1"/>
  <c r="O145" i="73" s="1"/>
  <c r="N81" i="73" a="1"/>
  <c r="N81" i="73" s="1"/>
  <c r="N145" i="73" s="1"/>
  <c r="M81" i="73" a="1"/>
  <c r="M81" i="73" s="1"/>
  <c r="M145" i="73" s="1"/>
  <c r="L81" i="73" a="1"/>
  <c r="L81" i="73" s="1"/>
  <c r="L145" i="73" s="1"/>
  <c r="K81" i="73" a="1"/>
  <c r="K81" i="73" s="1"/>
  <c r="K145" i="73" s="1"/>
  <c r="J81" i="73" a="1"/>
  <c r="J81" i="73" s="1"/>
  <c r="J145" i="73" s="1"/>
  <c r="I81" i="73" a="1"/>
  <c r="I81" i="73" s="1"/>
  <c r="I145" i="73" s="1"/>
  <c r="H81" i="73" a="1"/>
  <c r="H81" i="73" s="1"/>
  <c r="H145" i="73" s="1"/>
  <c r="G81" i="73" a="1"/>
  <c r="G81" i="73" s="1"/>
  <c r="G145" i="73" s="1"/>
  <c r="F81" i="73" a="1"/>
  <c r="F81" i="73" s="1"/>
  <c r="F145" i="73" s="1"/>
  <c r="F149" i="73" s="1"/>
  <c r="E81" i="73" a="1"/>
  <c r="E81" i="73" s="1"/>
  <c r="E145" i="73" s="1"/>
  <c r="D81" i="73" a="1"/>
  <c r="D81" i="73" s="1"/>
  <c r="P80" i="73" a="1"/>
  <c r="P80" i="73" s="1"/>
  <c r="P144" i="73" s="1"/>
  <c r="O80" i="73" a="1"/>
  <c r="O80" i="73" s="1"/>
  <c r="O144" i="73" s="1"/>
  <c r="N80" i="73" a="1"/>
  <c r="N80" i="73" s="1"/>
  <c r="N144" i="73" s="1"/>
  <c r="M80" i="73" a="1"/>
  <c r="M80" i="73" s="1"/>
  <c r="M144" i="73" s="1"/>
  <c r="L80" i="73" a="1"/>
  <c r="L80" i="73" s="1"/>
  <c r="L144" i="73" s="1"/>
  <c r="K80" i="73" a="1"/>
  <c r="K80" i="73" s="1"/>
  <c r="K144" i="73" s="1"/>
  <c r="J80" i="73" a="1"/>
  <c r="J80" i="73" s="1"/>
  <c r="J144" i="73" s="1"/>
  <c r="I80" i="73" a="1"/>
  <c r="I80" i="73" s="1"/>
  <c r="I144" i="73" s="1"/>
  <c r="H80" i="73" a="1"/>
  <c r="H80" i="73" s="1"/>
  <c r="H144" i="73" s="1"/>
  <c r="G80" i="73" a="1"/>
  <c r="G80" i="73" s="1"/>
  <c r="G144" i="73" s="1"/>
  <c r="F80" i="73" a="1"/>
  <c r="F80" i="73" s="1"/>
  <c r="F144" i="73" s="1"/>
  <c r="F148" i="73" s="1"/>
  <c r="E80" i="73" a="1"/>
  <c r="E80" i="73" s="1"/>
  <c r="E144" i="73" s="1"/>
  <c r="D80" i="73" a="1"/>
  <c r="D80" i="73" s="1"/>
  <c r="P79" i="73" a="1"/>
  <c r="P79" i="73" s="1"/>
  <c r="P143" i="73" s="1"/>
  <c r="O79" i="73" a="1"/>
  <c r="O79" i="73" s="1"/>
  <c r="O143" i="73" s="1"/>
  <c r="N79" i="73" a="1"/>
  <c r="N79" i="73" s="1"/>
  <c r="N143" i="73" s="1"/>
  <c r="M79" i="73" a="1"/>
  <c r="M79" i="73" s="1"/>
  <c r="M143" i="73" s="1"/>
  <c r="L79" i="73" a="1"/>
  <c r="L79" i="73" s="1"/>
  <c r="L143" i="73" s="1"/>
  <c r="K79" i="73" a="1"/>
  <c r="K79" i="73" s="1"/>
  <c r="K143" i="73" s="1"/>
  <c r="J79" i="73" a="1"/>
  <c r="J79" i="73" s="1"/>
  <c r="J143" i="73" s="1"/>
  <c r="I79" i="73" a="1"/>
  <c r="I79" i="73" s="1"/>
  <c r="I143" i="73" s="1"/>
  <c r="H79" i="73" a="1"/>
  <c r="H79" i="73" s="1"/>
  <c r="H143" i="73" s="1"/>
  <c r="G79" i="73" a="1"/>
  <c r="G79" i="73" s="1"/>
  <c r="G143" i="73" s="1"/>
  <c r="F79" i="73" a="1"/>
  <c r="F79" i="73" s="1"/>
  <c r="F143" i="73" s="1"/>
  <c r="F147" i="73" s="1"/>
  <c r="E79" i="73" a="1"/>
  <c r="E79" i="73" s="1"/>
  <c r="E143" i="73" s="1"/>
  <c r="D79" i="73" a="1"/>
  <c r="D79" i="73" s="1"/>
  <c r="P78" i="73" a="1"/>
  <c r="P78" i="73" s="1"/>
  <c r="P142" i="73" s="1"/>
  <c r="O78" i="73" a="1"/>
  <c r="O78" i="73" s="1"/>
  <c r="O142" i="73" s="1"/>
  <c r="N78" i="73" a="1"/>
  <c r="N78" i="73" s="1"/>
  <c r="N142" i="73" s="1"/>
  <c r="M78" i="73" a="1"/>
  <c r="M78" i="73" s="1"/>
  <c r="M142" i="73" s="1"/>
  <c r="L78" i="73" a="1"/>
  <c r="L78" i="73" s="1"/>
  <c r="L142" i="73" s="1"/>
  <c r="K78" i="73" a="1"/>
  <c r="K78" i="73" s="1"/>
  <c r="K142" i="73" s="1"/>
  <c r="J78" i="73" a="1"/>
  <c r="J78" i="73" s="1"/>
  <c r="J142" i="73" s="1"/>
  <c r="I78" i="73" a="1"/>
  <c r="I78" i="73" s="1"/>
  <c r="I142" i="73" s="1"/>
  <c r="H78" i="73" a="1"/>
  <c r="H78" i="73" s="1"/>
  <c r="H142" i="73" s="1"/>
  <c r="G78" i="73" a="1"/>
  <c r="G78" i="73" s="1"/>
  <c r="G142" i="73" s="1"/>
  <c r="F78" i="73" a="1"/>
  <c r="F78" i="73" s="1"/>
  <c r="F142" i="73" s="1"/>
  <c r="F146" i="73" s="1"/>
  <c r="E78" i="73" a="1"/>
  <c r="E78" i="73" s="1"/>
  <c r="E142" i="73" s="1"/>
  <c r="D78" i="73" a="1"/>
  <c r="D78" i="73" s="1"/>
  <c r="P77" i="73" a="1"/>
  <c r="P77" i="73" s="1"/>
  <c r="P141" i="73" s="1"/>
  <c r="O77" i="73" a="1"/>
  <c r="O77" i="73" s="1"/>
  <c r="O141" i="73" s="1"/>
  <c r="N77" i="73" a="1"/>
  <c r="N77" i="73" s="1"/>
  <c r="N141" i="73" s="1"/>
  <c r="M77" i="73" a="1"/>
  <c r="M77" i="73" s="1"/>
  <c r="M141" i="73" s="1"/>
  <c r="L77" i="73" a="1"/>
  <c r="L77" i="73" s="1"/>
  <c r="L141" i="73" s="1"/>
  <c r="K77" i="73" a="1"/>
  <c r="K77" i="73" s="1"/>
  <c r="K141" i="73" s="1"/>
  <c r="J77" i="73" a="1"/>
  <c r="J77" i="73" s="1"/>
  <c r="J141" i="73" s="1"/>
  <c r="I77" i="73" a="1"/>
  <c r="I77" i="73" s="1"/>
  <c r="I141" i="73" s="1"/>
  <c r="H77" i="73" a="1"/>
  <c r="H77" i="73" s="1"/>
  <c r="H141" i="73" s="1"/>
  <c r="G77" i="73" a="1"/>
  <c r="G77" i="73" s="1"/>
  <c r="G141" i="73" s="1"/>
  <c r="F77" i="73" a="1"/>
  <c r="F77" i="73" s="1"/>
  <c r="F141" i="73" s="1"/>
  <c r="E77" i="73" a="1"/>
  <c r="E77" i="73" s="1"/>
  <c r="E141" i="73" s="1"/>
  <c r="D77" i="73" a="1"/>
  <c r="D77" i="73" s="1"/>
  <c r="P76" i="73" a="1"/>
  <c r="P76" i="73" s="1"/>
  <c r="P140" i="73" s="1"/>
  <c r="O76" i="73" a="1"/>
  <c r="O76" i="73" s="1"/>
  <c r="O140" i="73" s="1"/>
  <c r="N76" i="73" a="1"/>
  <c r="N76" i="73" s="1"/>
  <c r="N140" i="73" s="1"/>
  <c r="M76" i="73" a="1"/>
  <c r="M76" i="73" s="1"/>
  <c r="M140" i="73" s="1"/>
  <c r="L76" i="73" a="1"/>
  <c r="L76" i="73" s="1"/>
  <c r="L140" i="73" s="1"/>
  <c r="K76" i="73" a="1"/>
  <c r="K76" i="73" s="1"/>
  <c r="K140" i="73" s="1"/>
  <c r="J76" i="73" a="1"/>
  <c r="J76" i="73" s="1"/>
  <c r="J140" i="73" s="1"/>
  <c r="I76" i="73" a="1"/>
  <c r="I76" i="73" s="1"/>
  <c r="I140" i="73" s="1"/>
  <c r="H76" i="73" a="1"/>
  <c r="H76" i="73" s="1"/>
  <c r="H140" i="73" s="1"/>
  <c r="G76" i="73" a="1"/>
  <c r="G76" i="73" s="1"/>
  <c r="G140" i="73" s="1"/>
  <c r="F76" i="73" a="1"/>
  <c r="F76" i="73" s="1"/>
  <c r="F140" i="73" s="1"/>
  <c r="E76" i="73" a="1"/>
  <c r="E76" i="73" s="1"/>
  <c r="E140" i="73" s="1"/>
  <c r="D76" i="73" a="1"/>
  <c r="D76" i="73" s="1"/>
  <c r="P75" i="73" a="1"/>
  <c r="P75" i="73" s="1"/>
  <c r="P139" i="73" s="1"/>
  <c r="O75" i="73" a="1"/>
  <c r="O75" i="73" s="1"/>
  <c r="O139" i="73" s="1"/>
  <c r="N75" i="73" a="1"/>
  <c r="N75" i="73" s="1"/>
  <c r="N139" i="73" s="1"/>
  <c r="M75" i="73" a="1"/>
  <c r="M75" i="73" s="1"/>
  <c r="M139" i="73" s="1"/>
  <c r="L75" i="73" a="1"/>
  <c r="L75" i="73" s="1"/>
  <c r="L139" i="73" s="1"/>
  <c r="K75" i="73" a="1"/>
  <c r="K75" i="73" s="1"/>
  <c r="K139" i="73" s="1"/>
  <c r="J75" i="73" a="1"/>
  <c r="J75" i="73" s="1"/>
  <c r="J139" i="73" s="1"/>
  <c r="I75" i="73" a="1"/>
  <c r="I75" i="73" s="1"/>
  <c r="I139" i="73" s="1"/>
  <c r="H75" i="73" a="1"/>
  <c r="H75" i="73" s="1"/>
  <c r="H139" i="73" s="1"/>
  <c r="G75" i="73" a="1"/>
  <c r="G75" i="73" s="1"/>
  <c r="G139" i="73" s="1"/>
  <c r="F75" i="73" a="1"/>
  <c r="F75" i="73" s="1"/>
  <c r="F139" i="73" s="1"/>
  <c r="E75" i="73" a="1"/>
  <c r="E75" i="73" s="1"/>
  <c r="E139" i="73" s="1"/>
  <c r="D75" i="73" a="1"/>
  <c r="D75" i="73" s="1"/>
  <c r="P74" i="73" a="1"/>
  <c r="P74" i="73" s="1"/>
  <c r="P138" i="73" s="1"/>
  <c r="O74" i="73" a="1"/>
  <c r="O74" i="73" s="1"/>
  <c r="O138" i="73" s="1"/>
  <c r="N74" i="73" a="1"/>
  <c r="N74" i="73" s="1"/>
  <c r="N138" i="73" s="1"/>
  <c r="M74" i="73" a="1"/>
  <c r="M74" i="73" s="1"/>
  <c r="M138" i="73" s="1"/>
  <c r="L74" i="73" a="1"/>
  <c r="L74" i="73" s="1"/>
  <c r="L138" i="73" s="1"/>
  <c r="K74" i="73" a="1"/>
  <c r="K74" i="73" s="1"/>
  <c r="K138" i="73" s="1"/>
  <c r="J74" i="73" a="1"/>
  <c r="J74" i="73" s="1"/>
  <c r="J138" i="73" s="1"/>
  <c r="I74" i="73" a="1"/>
  <c r="I74" i="73" s="1"/>
  <c r="I138" i="73" s="1"/>
  <c r="H74" i="73" a="1"/>
  <c r="H74" i="73" s="1"/>
  <c r="H138" i="73" s="1"/>
  <c r="G74" i="73" a="1"/>
  <c r="G74" i="73" s="1"/>
  <c r="G138" i="73" s="1"/>
  <c r="F74" i="73" a="1"/>
  <c r="F74" i="73" s="1"/>
  <c r="F138" i="73" s="1"/>
  <c r="E74" i="73" a="1"/>
  <c r="E74" i="73" s="1"/>
  <c r="E138" i="73" s="1"/>
  <c r="D74" i="73" a="1"/>
  <c r="D74" i="73" s="1"/>
  <c r="P73" i="73" a="1"/>
  <c r="P73" i="73" s="1"/>
  <c r="P137" i="73" s="1"/>
  <c r="O73" i="73" a="1"/>
  <c r="O73" i="73" s="1"/>
  <c r="O137" i="73" s="1"/>
  <c r="N73" i="73" a="1"/>
  <c r="N73" i="73" s="1"/>
  <c r="N137" i="73" s="1"/>
  <c r="M73" i="73" a="1"/>
  <c r="M73" i="73" s="1"/>
  <c r="M137" i="73" s="1"/>
  <c r="L73" i="73" a="1"/>
  <c r="L73" i="73" s="1"/>
  <c r="L137" i="73" s="1"/>
  <c r="K73" i="73" a="1"/>
  <c r="K73" i="73" s="1"/>
  <c r="K137" i="73" s="1"/>
  <c r="J73" i="73" a="1"/>
  <c r="J73" i="73" s="1"/>
  <c r="J137" i="73" s="1"/>
  <c r="I73" i="73" a="1"/>
  <c r="I73" i="73" s="1"/>
  <c r="I137" i="73" s="1"/>
  <c r="H73" i="73" a="1"/>
  <c r="H73" i="73" s="1"/>
  <c r="H137" i="73" s="1"/>
  <c r="G73" i="73" a="1"/>
  <c r="G73" i="73" s="1"/>
  <c r="G137" i="73" s="1"/>
  <c r="F73" i="73" a="1"/>
  <c r="F73" i="73" s="1"/>
  <c r="F137" i="73" s="1"/>
  <c r="E73" i="73" a="1"/>
  <c r="E73" i="73" s="1"/>
  <c r="E137" i="73" s="1"/>
  <c r="D73" i="73" a="1"/>
  <c r="D73" i="73" s="1"/>
  <c r="P72" i="73" a="1"/>
  <c r="P72" i="73" s="1"/>
  <c r="P136" i="73" s="1"/>
  <c r="O72" i="73" a="1"/>
  <c r="O72" i="73" s="1"/>
  <c r="O136" i="73" s="1"/>
  <c r="N72" i="73" a="1"/>
  <c r="N72" i="73" s="1"/>
  <c r="N136" i="73" s="1"/>
  <c r="M72" i="73" a="1"/>
  <c r="M72" i="73" s="1"/>
  <c r="M136" i="73" s="1"/>
  <c r="L72" i="73" a="1"/>
  <c r="L72" i="73" s="1"/>
  <c r="L136" i="73" s="1"/>
  <c r="K72" i="73" a="1"/>
  <c r="K72" i="73" s="1"/>
  <c r="K136" i="73" s="1"/>
  <c r="J72" i="73" a="1"/>
  <c r="J72" i="73" s="1"/>
  <c r="J136" i="73" s="1"/>
  <c r="I72" i="73" a="1"/>
  <c r="I72" i="73" s="1"/>
  <c r="I136" i="73" s="1"/>
  <c r="H72" i="73" a="1"/>
  <c r="H72" i="73" s="1"/>
  <c r="H136" i="73" s="1"/>
  <c r="G72" i="73" a="1"/>
  <c r="G72" i="73" s="1"/>
  <c r="G136" i="73" s="1"/>
  <c r="F72" i="73" a="1"/>
  <c r="F72" i="73" s="1"/>
  <c r="F136" i="73" s="1"/>
  <c r="E72" i="73" a="1"/>
  <c r="E72" i="73" s="1"/>
  <c r="E136" i="73" s="1"/>
  <c r="D72" i="73" a="1"/>
  <c r="D72" i="73" s="1"/>
  <c r="P71" i="73" a="1"/>
  <c r="P71" i="73" s="1"/>
  <c r="P135" i="73" s="1"/>
  <c r="O71" i="73" a="1"/>
  <c r="O71" i="73" s="1"/>
  <c r="O135" i="73" s="1"/>
  <c r="N71" i="73" a="1"/>
  <c r="N71" i="73" s="1"/>
  <c r="N135" i="73" s="1"/>
  <c r="M71" i="73" a="1"/>
  <c r="M71" i="73" s="1"/>
  <c r="M135" i="73" s="1"/>
  <c r="L71" i="73" a="1"/>
  <c r="L71" i="73" s="1"/>
  <c r="L135" i="73" s="1"/>
  <c r="K71" i="73" a="1"/>
  <c r="K71" i="73" s="1"/>
  <c r="K135" i="73" s="1"/>
  <c r="J71" i="73" a="1"/>
  <c r="J71" i="73" s="1"/>
  <c r="J135" i="73" s="1"/>
  <c r="I71" i="73" a="1"/>
  <c r="I71" i="73" s="1"/>
  <c r="I135" i="73" s="1"/>
  <c r="H71" i="73" a="1"/>
  <c r="H71" i="73" s="1"/>
  <c r="H135" i="73" s="1"/>
  <c r="G71" i="73" a="1"/>
  <c r="G71" i="73" s="1"/>
  <c r="G135" i="73" s="1"/>
  <c r="F71" i="73" a="1"/>
  <c r="F71" i="73" s="1"/>
  <c r="F135" i="73" s="1"/>
  <c r="E71" i="73" a="1"/>
  <c r="E71" i="73" s="1"/>
  <c r="E135" i="73" s="1"/>
  <c r="D71" i="73" a="1"/>
  <c r="D71" i="73" s="1"/>
  <c r="P70" i="73" a="1"/>
  <c r="P70" i="73" s="1"/>
  <c r="P134" i="73" s="1"/>
  <c r="O70" i="73" a="1"/>
  <c r="O70" i="73" s="1"/>
  <c r="O134" i="73" s="1"/>
  <c r="N70" i="73" a="1"/>
  <c r="N70" i="73" s="1"/>
  <c r="N134" i="73" s="1"/>
  <c r="M70" i="73" a="1"/>
  <c r="M70" i="73" s="1"/>
  <c r="M134" i="73" s="1"/>
  <c r="L70" i="73" a="1"/>
  <c r="L70" i="73" s="1"/>
  <c r="L134" i="73" s="1"/>
  <c r="K70" i="73" a="1"/>
  <c r="K70" i="73" s="1"/>
  <c r="K134" i="73" s="1"/>
  <c r="J70" i="73" a="1"/>
  <c r="J70" i="73" s="1"/>
  <c r="J134" i="73" s="1"/>
  <c r="I70" i="73" a="1"/>
  <c r="I70" i="73" s="1"/>
  <c r="I134" i="73" s="1"/>
  <c r="H70" i="73" a="1"/>
  <c r="H70" i="73" s="1"/>
  <c r="H134" i="73" s="1"/>
  <c r="G70" i="73" a="1"/>
  <c r="G70" i="73" s="1"/>
  <c r="G134" i="73" s="1"/>
  <c r="F70" i="73" a="1"/>
  <c r="F70" i="73" s="1"/>
  <c r="F134" i="73" s="1"/>
  <c r="E70" i="73" a="1"/>
  <c r="E70" i="73" s="1"/>
  <c r="E134" i="73" s="1"/>
  <c r="D70" i="73" a="1"/>
  <c r="D70" i="73" s="1"/>
  <c r="P69" i="73" a="1"/>
  <c r="P69" i="73" s="1"/>
  <c r="P133" i="73" s="1"/>
  <c r="O69" i="73" a="1"/>
  <c r="O69" i="73" s="1"/>
  <c r="O133" i="73" s="1"/>
  <c r="N69" i="73" a="1"/>
  <c r="N69" i="73" s="1"/>
  <c r="N133" i="73" s="1"/>
  <c r="M69" i="73" a="1"/>
  <c r="M69" i="73" s="1"/>
  <c r="M133" i="73" s="1"/>
  <c r="L69" i="73" a="1"/>
  <c r="L69" i="73" s="1"/>
  <c r="L133" i="73" s="1"/>
  <c r="K69" i="73" a="1"/>
  <c r="K69" i="73" s="1"/>
  <c r="K133" i="73" s="1"/>
  <c r="J69" i="73" a="1"/>
  <c r="J69" i="73" s="1"/>
  <c r="J133" i="73" s="1"/>
  <c r="I69" i="73" a="1"/>
  <c r="I69" i="73" s="1"/>
  <c r="I133" i="73" s="1"/>
  <c r="H69" i="73" a="1"/>
  <c r="H69" i="73" s="1"/>
  <c r="H133" i="73" s="1"/>
  <c r="G69" i="73" a="1"/>
  <c r="G69" i="73" s="1"/>
  <c r="G133" i="73" s="1"/>
  <c r="F69" i="73" a="1"/>
  <c r="F69" i="73" s="1"/>
  <c r="F133" i="73" s="1"/>
  <c r="E69" i="73" a="1"/>
  <c r="E69" i="73" s="1"/>
  <c r="E133" i="73" s="1"/>
  <c r="D69" i="73" a="1"/>
  <c r="D69" i="73" s="1"/>
  <c r="P68" i="73" a="1"/>
  <c r="P68" i="73" s="1"/>
  <c r="P132" i="73" s="1"/>
  <c r="O68" i="73" a="1"/>
  <c r="O68" i="73" s="1"/>
  <c r="O132" i="73" s="1"/>
  <c r="N68" i="73" a="1"/>
  <c r="N68" i="73" s="1"/>
  <c r="N132" i="73" s="1"/>
  <c r="M68" i="73" a="1"/>
  <c r="M68" i="73" s="1"/>
  <c r="M132" i="73" s="1"/>
  <c r="L68" i="73" a="1"/>
  <c r="L68" i="73" s="1"/>
  <c r="L132" i="73" s="1"/>
  <c r="K68" i="73" a="1"/>
  <c r="K68" i="73" s="1"/>
  <c r="K132" i="73" s="1"/>
  <c r="J68" i="73" a="1"/>
  <c r="J68" i="73" s="1"/>
  <c r="J132" i="73" s="1"/>
  <c r="I68" i="73" a="1"/>
  <c r="I68" i="73" s="1"/>
  <c r="I132" i="73" s="1"/>
  <c r="H68" i="73" a="1"/>
  <c r="H68" i="73" s="1"/>
  <c r="H132" i="73" s="1"/>
  <c r="G68" i="73" a="1"/>
  <c r="G68" i="73" s="1"/>
  <c r="G132" i="73" s="1"/>
  <c r="F68" i="73" a="1"/>
  <c r="F68" i="73" s="1"/>
  <c r="F132" i="73" s="1"/>
  <c r="E68" i="73" a="1"/>
  <c r="E68" i="73" s="1"/>
  <c r="E132" i="73" s="1"/>
  <c r="D68" i="73" a="1"/>
  <c r="D68" i="73" s="1"/>
  <c r="P67" i="73" a="1"/>
  <c r="P67" i="73" s="1"/>
  <c r="P131" i="73" s="1"/>
  <c r="O67" i="73" a="1"/>
  <c r="O67" i="73" s="1"/>
  <c r="O131" i="73" s="1"/>
  <c r="N67" i="73" a="1"/>
  <c r="N67" i="73" s="1"/>
  <c r="N131" i="73" s="1"/>
  <c r="M67" i="73" a="1"/>
  <c r="M67" i="73" s="1"/>
  <c r="M131" i="73" s="1"/>
  <c r="L67" i="73" a="1"/>
  <c r="L67" i="73" s="1"/>
  <c r="L131" i="73" s="1"/>
  <c r="K67" i="73" a="1"/>
  <c r="K67" i="73" s="1"/>
  <c r="K131" i="73" s="1"/>
  <c r="J67" i="73" a="1"/>
  <c r="J67" i="73" s="1"/>
  <c r="J131" i="73" s="1"/>
  <c r="I67" i="73" a="1"/>
  <c r="I67" i="73" s="1"/>
  <c r="I131" i="73" s="1"/>
  <c r="H67" i="73" a="1"/>
  <c r="H67" i="73" s="1"/>
  <c r="H131" i="73" s="1"/>
  <c r="G67" i="73" a="1"/>
  <c r="G67" i="73" s="1"/>
  <c r="G131" i="73" s="1"/>
  <c r="F67" i="73" a="1"/>
  <c r="F67" i="73" s="1"/>
  <c r="F131" i="73" s="1"/>
  <c r="E67" i="73" a="1"/>
  <c r="E67" i="73" s="1"/>
  <c r="E131" i="73" s="1"/>
  <c r="D67" i="73" a="1"/>
  <c r="D67" i="73" s="1"/>
  <c r="P66" i="73" a="1"/>
  <c r="P66" i="73" s="1"/>
  <c r="P130" i="73" s="1"/>
  <c r="O66" i="73" a="1"/>
  <c r="O66" i="73" s="1"/>
  <c r="O130" i="73" s="1"/>
  <c r="N66" i="73" a="1"/>
  <c r="N66" i="73" s="1"/>
  <c r="N130" i="73" s="1"/>
  <c r="M66" i="73" a="1"/>
  <c r="M66" i="73" s="1"/>
  <c r="M130" i="73" s="1"/>
  <c r="L66" i="73" a="1"/>
  <c r="L66" i="73" s="1"/>
  <c r="L130" i="73" s="1"/>
  <c r="K66" i="73" a="1"/>
  <c r="K66" i="73" s="1"/>
  <c r="K130" i="73" s="1"/>
  <c r="J66" i="73" a="1"/>
  <c r="J66" i="73" s="1"/>
  <c r="J130" i="73" s="1"/>
  <c r="I66" i="73" a="1"/>
  <c r="I66" i="73" s="1"/>
  <c r="I130" i="73" s="1"/>
  <c r="H66" i="73" a="1"/>
  <c r="H66" i="73" s="1"/>
  <c r="H130" i="73" s="1"/>
  <c r="G66" i="73" a="1"/>
  <c r="G66" i="73" s="1"/>
  <c r="G130" i="73" s="1"/>
  <c r="F66" i="73" a="1"/>
  <c r="F66" i="73" s="1"/>
  <c r="F130" i="73" s="1"/>
  <c r="E66" i="73" a="1"/>
  <c r="E66" i="73" s="1"/>
  <c r="E130" i="73" s="1"/>
  <c r="D66" i="73" a="1"/>
  <c r="D66" i="73" s="1"/>
  <c r="P65" i="73" a="1"/>
  <c r="P65" i="73" s="1"/>
  <c r="P129" i="73" s="1"/>
  <c r="O65" i="73" a="1"/>
  <c r="O65" i="73" s="1"/>
  <c r="O129" i="73" s="1"/>
  <c r="N65" i="73" a="1"/>
  <c r="N65" i="73" s="1"/>
  <c r="N129" i="73" s="1"/>
  <c r="M65" i="73" a="1"/>
  <c r="M65" i="73" s="1"/>
  <c r="M129" i="73" s="1"/>
  <c r="L65" i="73" a="1"/>
  <c r="L65" i="73" s="1"/>
  <c r="L129" i="73" s="1"/>
  <c r="K65" i="73" a="1"/>
  <c r="K65" i="73" s="1"/>
  <c r="K129" i="73" s="1"/>
  <c r="J65" i="73" a="1"/>
  <c r="J65" i="73" s="1"/>
  <c r="J129" i="73" s="1"/>
  <c r="I65" i="73" a="1"/>
  <c r="I65" i="73" s="1"/>
  <c r="I129" i="73" s="1"/>
  <c r="H65" i="73" a="1"/>
  <c r="H65" i="73" s="1"/>
  <c r="H129" i="73" s="1"/>
  <c r="G65" i="73" a="1"/>
  <c r="G65" i="73" s="1"/>
  <c r="G129" i="73" s="1"/>
  <c r="F65" i="73" a="1"/>
  <c r="F65" i="73" s="1"/>
  <c r="F129" i="73" s="1"/>
  <c r="E65" i="73" a="1"/>
  <c r="E65" i="73" s="1"/>
  <c r="E129" i="73" s="1"/>
  <c r="D65" i="73" a="1"/>
  <c r="D65" i="73" s="1"/>
  <c r="P64" i="73" a="1"/>
  <c r="P64" i="73" s="1"/>
  <c r="P128" i="73" s="1"/>
  <c r="O64" i="73" a="1"/>
  <c r="O64" i="73" s="1"/>
  <c r="O128" i="73" s="1"/>
  <c r="N64" i="73" a="1"/>
  <c r="N64" i="73" s="1"/>
  <c r="N128" i="73" s="1"/>
  <c r="M64" i="73" a="1"/>
  <c r="M64" i="73" s="1"/>
  <c r="M128" i="73" s="1"/>
  <c r="L64" i="73" a="1"/>
  <c r="L64" i="73" s="1"/>
  <c r="L128" i="73" s="1"/>
  <c r="K64" i="73" a="1"/>
  <c r="K64" i="73" s="1"/>
  <c r="K128" i="73" s="1"/>
  <c r="J64" i="73" a="1"/>
  <c r="J64" i="73" s="1"/>
  <c r="J128" i="73" s="1"/>
  <c r="I64" i="73" a="1"/>
  <c r="I64" i="73" s="1"/>
  <c r="I128" i="73" s="1"/>
  <c r="H64" i="73" a="1"/>
  <c r="H64" i="73" s="1"/>
  <c r="H128" i="73" s="1"/>
  <c r="G64" i="73" a="1"/>
  <c r="G64" i="73" s="1"/>
  <c r="G128" i="73" s="1"/>
  <c r="F64" i="73" a="1"/>
  <c r="F64" i="73" s="1"/>
  <c r="F128" i="73" s="1"/>
  <c r="E64" i="73" a="1"/>
  <c r="E64" i="73" s="1"/>
  <c r="E128" i="73" s="1"/>
  <c r="D64" i="73" a="1"/>
  <c r="D64" i="73" s="1"/>
  <c r="P63" i="73" a="1"/>
  <c r="P63" i="73" s="1"/>
  <c r="P127" i="73" s="1"/>
  <c r="O63" i="73" a="1"/>
  <c r="O63" i="73" s="1"/>
  <c r="O127" i="73" s="1"/>
  <c r="N63" i="73" a="1"/>
  <c r="N63" i="73" s="1"/>
  <c r="N127" i="73" s="1"/>
  <c r="M63" i="73" a="1"/>
  <c r="M63" i="73" s="1"/>
  <c r="M127" i="73" s="1"/>
  <c r="L63" i="73" a="1"/>
  <c r="L63" i="73" s="1"/>
  <c r="L127" i="73" s="1"/>
  <c r="K63" i="73" a="1"/>
  <c r="K63" i="73" s="1"/>
  <c r="K127" i="73" s="1"/>
  <c r="J63" i="73" a="1"/>
  <c r="J63" i="73" s="1"/>
  <c r="J127" i="73" s="1"/>
  <c r="I63" i="73" a="1"/>
  <c r="I63" i="73" s="1"/>
  <c r="I127" i="73" s="1"/>
  <c r="H63" i="73" a="1"/>
  <c r="H63" i="73" s="1"/>
  <c r="H127" i="73" s="1"/>
  <c r="G63" i="73" a="1"/>
  <c r="G63" i="73" s="1"/>
  <c r="G127" i="73" s="1"/>
  <c r="F63" i="73" a="1"/>
  <c r="F63" i="73" s="1"/>
  <c r="F127" i="73" s="1"/>
  <c r="E63" i="73" a="1"/>
  <c r="E63" i="73" s="1"/>
  <c r="E127" i="73" s="1"/>
  <c r="D63" i="73" a="1"/>
  <c r="D63" i="73" s="1"/>
  <c r="P62" i="73" a="1"/>
  <c r="P62" i="73" s="1"/>
  <c r="P126" i="73" s="1"/>
  <c r="O62" i="73" a="1"/>
  <c r="O62" i="73" s="1"/>
  <c r="O126" i="73" s="1"/>
  <c r="N62" i="73" a="1"/>
  <c r="N62" i="73" s="1"/>
  <c r="N126" i="73" s="1"/>
  <c r="M62" i="73" a="1"/>
  <c r="M62" i="73" s="1"/>
  <c r="M126" i="73" s="1"/>
  <c r="L62" i="73" a="1"/>
  <c r="L62" i="73" s="1"/>
  <c r="L126" i="73" s="1"/>
  <c r="K62" i="73" a="1"/>
  <c r="K62" i="73" s="1"/>
  <c r="K126" i="73" s="1"/>
  <c r="J62" i="73" a="1"/>
  <c r="J62" i="73" s="1"/>
  <c r="J126" i="73" s="1"/>
  <c r="I62" i="73" a="1"/>
  <c r="I62" i="73" s="1"/>
  <c r="I126" i="73" s="1"/>
  <c r="H62" i="73" a="1"/>
  <c r="H62" i="73" s="1"/>
  <c r="H126" i="73" s="1"/>
  <c r="G62" i="73" a="1"/>
  <c r="G62" i="73" s="1"/>
  <c r="G126" i="73" s="1"/>
  <c r="F62" i="73" a="1"/>
  <c r="F62" i="73" s="1"/>
  <c r="F126" i="73" s="1"/>
  <c r="E62" i="73" a="1"/>
  <c r="E62" i="73" s="1"/>
  <c r="E126" i="73" s="1"/>
  <c r="D62" i="73" a="1"/>
  <c r="D62" i="73" s="1"/>
  <c r="P61" i="73" a="1"/>
  <c r="P61" i="73" s="1"/>
  <c r="P125" i="73" s="1"/>
  <c r="O61" i="73" a="1"/>
  <c r="O61" i="73" s="1"/>
  <c r="O125" i="73" s="1"/>
  <c r="N61" i="73" a="1"/>
  <c r="N61" i="73" s="1"/>
  <c r="N125" i="73" s="1"/>
  <c r="M61" i="73" a="1"/>
  <c r="M61" i="73" s="1"/>
  <c r="M125" i="73" s="1"/>
  <c r="L61" i="73" a="1"/>
  <c r="L61" i="73" s="1"/>
  <c r="L125" i="73" s="1"/>
  <c r="K61" i="73" a="1"/>
  <c r="K61" i="73" s="1"/>
  <c r="K125" i="73" s="1"/>
  <c r="J61" i="73" a="1"/>
  <c r="J61" i="73" s="1"/>
  <c r="J125" i="73" s="1"/>
  <c r="I61" i="73" a="1"/>
  <c r="I61" i="73" s="1"/>
  <c r="I125" i="73" s="1"/>
  <c r="H61" i="73" a="1"/>
  <c r="H61" i="73" s="1"/>
  <c r="H125" i="73" s="1"/>
  <c r="G61" i="73" a="1"/>
  <c r="G61" i="73" s="1"/>
  <c r="G125" i="73" s="1"/>
  <c r="F61" i="73" a="1"/>
  <c r="F61" i="73" s="1"/>
  <c r="F125" i="73" s="1"/>
  <c r="E61" i="73" a="1"/>
  <c r="E61" i="73" s="1"/>
  <c r="E125" i="73" s="1"/>
  <c r="D61" i="73" a="1"/>
  <c r="D61" i="73" s="1"/>
  <c r="P60" i="73" a="1"/>
  <c r="P60" i="73" s="1"/>
  <c r="P124" i="73" s="1"/>
  <c r="O60" i="73" a="1"/>
  <c r="O60" i="73" s="1"/>
  <c r="O124" i="73" s="1"/>
  <c r="N60" i="73" a="1"/>
  <c r="N60" i="73" s="1"/>
  <c r="N124" i="73" s="1"/>
  <c r="M60" i="73" a="1"/>
  <c r="M60" i="73" s="1"/>
  <c r="M124" i="73" s="1"/>
  <c r="L60" i="73" a="1"/>
  <c r="L60" i="73" s="1"/>
  <c r="L124" i="73" s="1"/>
  <c r="K60" i="73" a="1"/>
  <c r="K60" i="73" s="1"/>
  <c r="K124" i="73" s="1"/>
  <c r="J60" i="73" a="1"/>
  <c r="J60" i="73" s="1"/>
  <c r="J124" i="73" s="1"/>
  <c r="I60" i="73" a="1"/>
  <c r="I60" i="73" s="1"/>
  <c r="I124" i="73" s="1"/>
  <c r="H60" i="73" a="1"/>
  <c r="H60" i="73" s="1"/>
  <c r="H124" i="73" s="1"/>
  <c r="G60" i="73" a="1"/>
  <c r="G60" i="73" s="1"/>
  <c r="G124" i="73" s="1"/>
  <c r="F60" i="73" a="1"/>
  <c r="F60" i="73" s="1"/>
  <c r="F124" i="73" s="1"/>
  <c r="E60" i="73" a="1"/>
  <c r="E60" i="73" s="1"/>
  <c r="E124" i="73" s="1"/>
  <c r="D60" i="73" a="1"/>
  <c r="D60" i="73" s="1"/>
  <c r="P59" i="73" a="1"/>
  <c r="P59" i="73" s="1"/>
  <c r="P123" i="73" s="1"/>
  <c r="O59" i="73" a="1"/>
  <c r="O59" i="73" s="1"/>
  <c r="O123" i="73" s="1"/>
  <c r="N59" i="73" a="1"/>
  <c r="N59" i="73" s="1"/>
  <c r="N123" i="73" s="1"/>
  <c r="M59" i="73" a="1"/>
  <c r="M59" i="73" s="1"/>
  <c r="M123" i="73" s="1"/>
  <c r="L59" i="73" a="1"/>
  <c r="L59" i="73" s="1"/>
  <c r="L123" i="73" s="1"/>
  <c r="K59" i="73" a="1"/>
  <c r="K59" i="73" s="1"/>
  <c r="K123" i="73" s="1"/>
  <c r="J59" i="73" a="1"/>
  <c r="J59" i="73" s="1"/>
  <c r="J123" i="73" s="1"/>
  <c r="I59" i="73" a="1"/>
  <c r="I59" i="73" s="1"/>
  <c r="I123" i="73" s="1"/>
  <c r="H59" i="73" a="1"/>
  <c r="H59" i="73" s="1"/>
  <c r="H123" i="73" s="1"/>
  <c r="G59" i="73" a="1"/>
  <c r="G59" i="73" s="1"/>
  <c r="G123" i="73" s="1"/>
  <c r="F59" i="73" a="1"/>
  <c r="F59" i="73" s="1"/>
  <c r="F123" i="73" s="1"/>
  <c r="E59" i="73" a="1"/>
  <c r="E59" i="73" s="1"/>
  <c r="E123" i="73" s="1"/>
  <c r="D59" i="73" a="1"/>
  <c r="D59" i="73" s="1"/>
  <c r="P58" i="73" a="1"/>
  <c r="P58" i="73" s="1"/>
  <c r="P122" i="73" s="1"/>
  <c r="O58" i="73" a="1"/>
  <c r="O58" i="73" s="1"/>
  <c r="O122" i="73" s="1"/>
  <c r="N58" i="73" a="1"/>
  <c r="N58" i="73" s="1"/>
  <c r="N122" i="73" s="1"/>
  <c r="M58" i="73" a="1"/>
  <c r="M58" i="73" s="1"/>
  <c r="M122" i="73" s="1"/>
  <c r="L58" i="73" a="1"/>
  <c r="L58" i="73" s="1"/>
  <c r="L122" i="73" s="1"/>
  <c r="K58" i="73" a="1"/>
  <c r="K58" i="73" s="1"/>
  <c r="K122" i="73" s="1"/>
  <c r="J58" i="73" a="1"/>
  <c r="J58" i="73" s="1"/>
  <c r="J122" i="73" s="1"/>
  <c r="I58" i="73" a="1"/>
  <c r="I58" i="73" s="1"/>
  <c r="I122" i="73" s="1"/>
  <c r="H58" i="73" a="1"/>
  <c r="H58" i="73" s="1"/>
  <c r="H122" i="73" s="1"/>
  <c r="G58" i="73" a="1"/>
  <c r="G58" i="73" s="1"/>
  <c r="G122" i="73" s="1"/>
  <c r="F58" i="73" a="1"/>
  <c r="F58" i="73" s="1"/>
  <c r="F122" i="73" s="1"/>
  <c r="E58" i="73" a="1"/>
  <c r="E58" i="73" s="1"/>
  <c r="E122" i="73" s="1"/>
  <c r="D58" i="73" a="1"/>
  <c r="D58" i="73" s="1"/>
  <c r="P57" i="73" a="1"/>
  <c r="P57" i="73" s="1"/>
  <c r="P121" i="73" s="1"/>
  <c r="O57" i="73" a="1"/>
  <c r="O57" i="73" s="1"/>
  <c r="O121" i="73" s="1"/>
  <c r="N57" i="73" a="1"/>
  <c r="N57" i="73" s="1"/>
  <c r="N121" i="73" s="1"/>
  <c r="M57" i="73" a="1"/>
  <c r="M57" i="73" s="1"/>
  <c r="M121" i="73" s="1"/>
  <c r="L57" i="73" a="1"/>
  <c r="L57" i="73" s="1"/>
  <c r="L121" i="73" s="1"/>
  <c r="K57" i="73" a="1"/>
  <c r="K57" i="73" s="1"/>
  <c r="K121" i="73" s="1"/>
  <c r="J57" i="73" a="1"/>
  <c r="J57" i="73" s="1"/>
  <c r="J121" i="73" s="1"/>
  <c r="I57" i="73" a="1"/>
  <c r="I57" i="73" s="1"/>
  <c r="I121" i="73" s="1"/>
  <c r="H57" i="73" a="1"/>
  <c r="H57" i="73" s="1"/>
  <c r="H121" i="73" s="1"/>
  <c r="G57" i="73" a="1"/>
  <c r="G57" i="73" s="1"/>
  <c r="G121" i="73" s="1"/>
  <c r="F57" i="73" a="1"/>
  <c r="F57" i="73" s="1"/>
  <c r="F121" i="73" s="1"/>
  <c r="E57" i="73" a="1"/>
  <c r="E57" i="73" s="1"/>
  <c r="E121" i="73" s="1"/>
  <c r="D57" i="73" a="1"/>
  <c r="D57" i="73" s="1"/>
  <c r="P56" i="73" a="1"/>
  <c r="P56" i="73" s="1"/>
  <c r="P120" i="73" s="1"/>
  <c r="O56" i="73" a="1"/>
  <c r="O56" i="73" s="1"/>
  <c r="O120" i="73" s="1"/>
  <c r="N56" i="73" a="1"/>
  <c r="N56" i="73" s="1"/>
  <c r="N120" i="73" s="1"/>
  <c r="M56" i="73" a="1"/>
  <c r="M56" i="73" s="1"/>
  <c r="M120" i="73" s="1"/>
  <c r="L56" i="73" a="1"/>
  <c r="L56" i="73" s="1"/>
  <c r="L120" i="73" s="1"/>
  <c r="K56" i="73" a="1"/>
  <c r="K56" i="73" s="1"/>
  <c r="K120" i="73" s="1"/>
  <c r="J56" i="73" a="1"/>
  <c r="J56" i="73" s="1"/>
  <c r="J120" i="73" s="1"/>
  <c r="I56" i="73" a="1"/>
  <c r="I56" i="73" s="1"/>
  <c r="I120" i="73" s="1"/>
  <c r="H56" i="73" a="1"/>
  <c r="H56" i="73" s="1"/>
  <c r="H120" i="73" s="1"/>
  <c r="G56" i="73" a="1"/>
  <c r="G56" i="73" s="1"/>
  <c r="G120" i="73" s="1"/>
  <c r="F56" i="73" a="1"/>
  <c r="F56" i="73" s="1"/>
  <c r="F120" i="73" s="1"/>
  <c r="E56" i="73" a="1"/>
  <c r="E56" i="73" s="1"/>
  <c r="E120" i="73" s="1"/>
  <c r="D56" i="73" a="1"/>
  <c r="D56" i="73" s="1"/>
  <c r="P55" i="73" a="1"/>
  <c r="P55" i="73" s="1"/>
  <c r="P119" i="73" s="1"/>
  <c r="O55" i="73" a="1"/>
  <c r="O55" i="73" s="1"/>
  <c r="O119" i="73" s="1"/>
  <c r="N55" i="73" a="1"/>
  <c r="N55" i="73" s="1"/>
  <c r="N119" i="73" s="1"/>
  <c r="M55" i="73" a="1"/>
  <c r="M55" i="73" s="1"/>
  <c r="M119" i="73" s="1"/>
  <c r="L55" i="73" a="1"/>
  <c r="L55" i="73" s="1"/>
  <c r="L119" i="73" s="1"/>
  <c r="K55" i="73" a="1"/>
  <c r="K55" i="73" s="1"/>
  <c r="K119" i="73" s="1"/>
  <c r="J55" i="73" a="1"/>
  <c r="J55" i="73" s="1"/>
  <c r="J119" i="73" s="1"/>
  <c r="I55" i="73" a="1"/>
  <c r="I55" i="73" s="1"/>
  <c r="I119" i="73" s="1"/>
  <c r="H55" i="73" a="1"/>
  <c r="H55" i="73" s="1"/>
  <c r="H119" i="73" s="1"/>
  <c r="G55" i="73" a="1"/>
  <c r="G55" i="73" s="1"/>
  <c r="G119" i="73" s="1"/>
  <c r="F55" i="73" a="1"/>
  <c r="F55" i="73" s="1"/>
  <c r="F119" i="73" s="1"/>
  <c r="E55" i="73" a="1"/>
  <c r="E55" i="73" s="1"/>
  <c r="E119" i="73" s="1"/>
  <c r="D55" i="73" a="1"/>
  <c r="D55" i="73" s="1"/>
  <c r="P54" i="73" a="1"/>
  <c r="P54" i="73" s="1"/>
  <c r="P118" i="73" s="1"/>
  <c r="O54" i="73" a="1"/>
  <c r="O54" i="73" s="1"/>
  <c r="O118" i="73" s="1"/>
  <c r="N54" i="73" a="1"/>
  <c r="N54" i="73" s="1"/>
  <c r="N118" i="73" s="1"/>
  <c r="M54" i="73" a="1"/>
  <c r="M54" i="73" s="1"/>
  <c r="M118" i="73" s="1"/>
  <c r="L54" i="73" a="1"/>
  <c r="L54" i="73" s="1"/>
  <c r="L118" i="73" s="1"/>
  <c r="K54" i="73" a="1"/>
  <c r="K54" i="73" s="1"/>
  <c r="K118" i="73" s="1"/>
  <c r="J54" i="73" a="1"/>
  <c r="J54" i="73" s="1"/>
  <c r="J118" i="73" s="1"/>
  <c r="I54" i="73" a="1"/>
  <c r="I54" i="73" s="1"/>
  <c r="I118" i="73" s="1"/>
  <c r="H54" i="73" a="1"/>
  <c r="H54" i="73" s="1"/>
  <c r="H118" i="73" s="1"/>
  <c r="G54" i="73" a="1"/>
  <c r="G54" i="73" s="1"/>
  <c r="G118" i="73" s="1"/>
  <c r="F54" i="73" a="1"/>
  <c r="F54" i="73" s="1"/>
  <c r="F118" i="73" s="1"/>
  <c r="E54" i="73" a="1"/>
  <c r="E54" i="73" s="1"/>
  <c r="E118" i="73" s="1"/>
  <c r="D54" i="73" a="1"/>
  <c r="D54" i="73" s="1"/>
  <c r="D52" i="73" a="1"/>
  <c r="D52" i="73" s="1"/>
  <c r="D51" i="73" a="1"/>
  <c r="D51" i="73" s="1"/>
  <c r="D50" i="73" a="1"/>
  <c r="D50" i="73" s="1"/>
  <c r="D49" i="73" a="1"/>
  <c r="D49" i="73" s="1"/>
  <c r="M46" i="73" a="1"/>
  <c r="M46" i="73" s="1"/>
  <c r="P117" i="73" s="1"/>
  <c r="L46" i="73" a="1"/>
  <c r="L46" i="73" s="1"/>
  <c r="M117" i="73" s="1"/>
  <c r="K46" i="73" a="1"/>
  <c r="K46" i="73" s="1"/>
  <c r="L117" i="73" s="1"/>
  <c r="J46" i="73" a="1"/>
  <c r="J46" i="73" s="1"/>
  <c r="J117" i="73" s="1"/>
  <c r="I46" i="73" a="1"/>
  <c r="I46" i="73" s="1"/>
  <c r="I117" i="73" s="1"/>
  <c r="H46" i="73" a="1"/>
  <c r="H46" i="73" s="1"/>
  <c r="H117" i="73" s="1"/>
  <c r="G46" i="73" a="1"/>
  <c r="G46" i="73" s="1"/>
  <c r="G117" i="73" s="1"/>
  <c r="F46" i="73" a="1"/>
  <c r="F46" i="73" s="1"/>
  <c r="F117" i="73" s="1"/>
  <c r="E46" i="73" a="1"/>
  <c r="E46" i="73" s="1"/>
  <c r="E117" i="73" s="1"/>
  <c r="D46" i="73" a="1"/>
  <c r="D46" i="73" s="1"/>
  <c r="M45" i="73" a="1"/>
  <c r="M45" i="73" s="1"/>
  <c r="L45" i="73" a="1"/>
  <c r="L45" i="73" s="1"/>
  <c r="M116" i="73" s="1"/>
  <c r="K45" i="73" a="1"/>
  <c r="K45" i="73" s="1"/>
  <c r="J45" i="73" a="1"/>
  <c r="J45" i="73" s="1"/>
  <c r="J116" i="73" s="1"/>
  <c r="I45" i="73" a="1"/>
  <c r="I45" i="73" s="1"/>
  <c r="I116" i="73" s="1"/>
  <c r="H45" i="73" a="1"/>
  <c r="H45" i="73" s="1"/>
  <c r="H116" i="73" s="1"/>
  <c r="G45" i="73" a="1"/>
  <c r="G45" i="73" s="1"/>
  <c r="G116" i="73" s="1"/>
  <c r="F45" i="73" a="1"/>
  <c r="F45" i="73" s="1"/>
  <c r="F116" i="73" s="1"/>
  <c r="E45" i="73" a="1"/>
  <c r="E45" i="73" s="1"/>
  <c r="E116" i="73" s="1"/>
  <c r="D45" i="73" a="1"/>
  <c r="D45" i="73" s="1"/>
  <c r="M44" i="73" a="1"/>
  <c r="M44" i="73" s="1"/>
  <c r="L44" i="73" a="1"/>
  <c r="L44" i="73" s="1"/>
  <c r="M115" i="73" s="1"/>
  <c r="K44" i="73" a="1"/>
  <c r="K44" i="73" s="1"/>
  <c r="J44" i="73" a="1"/>
  <c r="J44" i="73" s="1"/>
  <c r="J115" i="73" s="1"/>
  <c r="I44" i="73" a="1"/>
  <c r="I44" i="73" s="1"/>
  <c r="I115" i="73" s="1"/>
  <c r="H44" i="73" a="1"/>
  <c r="H44" i="73" s="1"/>
  <c r="H115" i="73" s="1"/>
  <c r="G44" i="73" a="1"/>
  <c r="G44" i="73" s="1"/>
  <c r="G115" i="73" s="1"/>
  <c r="F44" i="73" a="1"/>
  <c r="F44" i="73" s="1"/>
  <c r="F115" i="73" s="1"/>
  <c r="E44" i="73" a="1"/>
  <c r="E44" i="73" s="1"/>
  <c r="E115" i="73" s="1"/>
  <c r="D44" i="73" a="1"/>
  <c r="D44" i="73" s="1"/>
  <c r="M43" i="73" a="1"/>
  <c r="M43" i="73" s="1"/>
  <c r="N114" i="73" s="1"/>
  <c r="L43" i="73" a="1"/>
  <c r="L43" i="73" s="1"/>
  <c r="M114" i="73" s="1"/>
  <c r="K43" i="73" a="1"/>
  <c r="K43" i="73" s="1"/>
  <c r="J43" i="73" a="1"/>
  <c r="J43" i="73" s="1"/>
  <c r="J114" i="73" s="1"/>
  <c r="I43" i="73" a="1"/>
  <c r="I43" i="73" s="1"/>
  <c r="I114" i="73" s="1"/>
  <c r="H43" i="73" a="1"/>
  <c r="H43" i="73" s="1"/>
  <c r="H114" i="73" s="1"/>
  <c r="G43" i="73" a="1"/>
  <c r="G43" i="73" s="1"/>
  <c r="G114" i="73" s="1"/>
  <c r="F43" i="73" a="1"/>
  <c r="F43" i="73" s="1"/>
  <c r="F114" i="73" s="1"/>
  <c r="E43" i="73" a="1"/>
  <c r="E43" i="73" s="1"/>
  <c r="E114" i="73" s="1"/>
  <c r="D43" i="73" a="1"/>
  <c r="D43" i="73" s="1"/>
  <c r="M42" i="73" a="1"/>
  <c r="M42" i="73" s="1"/>
  <c r="P113" i="73" s="1"/>
  <c r="L42" i="73" a="1"/>
  <c r="L42" i="73" s="1"/>
  <c r="M113" i="73" s="1"/>
  <c r="K42" i="73" a="1"/>
  <c r="K42" i="73" s="1"/>
  <c r="J42" i="73" a="1"/>
  <c r="J42" i="73" s="1"/>
  <c r="J113" i="73" s="1"/>
  <c r="I42" i="73" a="1"/>
  <c r="I42" i="73" s="1"/>
  <c r="I113" i="73" s="1"/>
  <c r="H42" i="73" a="1"/>
  <c r="H42" i="73" s="1"/>
  <c r="H113" i="73" s="1"/>
  <c r="G42" i="73" a="1"/>
  <c r="G42" i="73" s="1"/>
  <c r="G113" i="73" s="1"/>
  <c r="F42" i="73" a="1"/>
  <c r="F42" i="73" s="1"/>
  <c r="F113" i="73" s="1"/>
  <c r="E42" i="73" a="1"/>
  <c r="E42" i="73" s="1"/>
  <c r="E113" i="73" s="1"/>
  <c r="D42" i="73" a="1"/>
  <c r="D42" i="73" s="1"/>
  <c r="M41" i="73" a="1"/>
  <c r="M41" i="73" s="1"/>
  <c r="L41" i="73" a="1"/>
  <c r="L41" i="73" s="1"/>
  <c r="M112" i="73" s="1"/>
  <c r="K41" i="73" a="1"/>
  <c r="K41" i="73" s="1"/>
  <c r="K112" i="73" s="1"/>
  <c r="J41" i="73" a="1"/>
  <c r="J41" i="73" s="1"/>
  <c r="J112" i="73" s="1"/>
  <c r="I41" i="73" a="1"/>
  <c r="I41" i="73" s="1"/>
  <c r="I112" i="73" s="1"/>
  <c r="H41" i="73" a="1"/>
  <c r="H41" i="73" s="1"/>
  <c r="H112" i="73" s="1"/>
  <c r="G41" i="73" a="1"/>
  <c r="G41" i="73" s="1"/>
  <c r="G112" i="73" s="1"/>
  <c r="F41" i="73" a="1"/>
  <c r="F41" i="73" s="1"/>
  <c r="F112" i="73" s="1"/>
  <c r="E41" i="73" a="1"/>
  <c r="E41" i="73" s="1"/>
  <c r="E112" i="73" s="1"/>
  <c r="D41" i="73" a="1"/>
  <c r="D41" i="73" s="1"/>
  <c r="M40" i="73" a="1"/>
  <c r="M40" i="73" s="1"/>
  <c r="L40" i="73" a="1"/>
  <c r="L40" i="73" s="1"/>
  <c r="M111" i="73" s="1"/>
  <c r="K40" i="73" a="1"/>
  <c r="K40" i="73" s="1"/>
  <c r="L111" i="73" s="1"/>
  <c r="J40" i="73" a="1"/>
  <c r="J40" i="73" s="1"/>
  <c r="J111" i="73" s="1"/>
  <c r="I40" i="73" a="1"/>
  <c r="I40" i="73" s="1"/>
  <c r="I111" i="73" s="1"/>
  <c r="H40" i="73" a="1"/>
  <c r="H40" i="73" s="1"/>
  <c r="H111" i="73" s="1"/>
  <c r="G40" i="73" a="1"/>
  <c r="G40" i="73" s="1"/>
  <c r="G111" i="73" s="1"/>
  <c r="F40" i="73" a="1"/>
  <c r="F40" i="73" s="1"/>
  <c r="F111" i="73" s="1"/>
  <c r="E40" i="73" a="1"/>
  <c r="E40" i="73" s="1"/>
  <c r="E111" i="73" s="1"/>
  <c r="D40" i="73" a="1"/>
  <c r="D40" i="73" s="1"/>
  <c r="M39" i="73" a="1"/>
  <c r="M39" i="73" s="1"/>
  <c r="P110" i="73" s="1"/>
  <c r="L39" i="73" a="1"/>
  <c r="L39" i="73" s="1"/>
  <c r="M110" i="73" s="1"/>
  <c r="K39" i="73" a="1"/>
  <c r="K39" i="73" s="1"/>
  <c r="J39" i="73" a="1"/>
  <c r="J39" i="73" s="1"/>
  <c r="J110" i="73" s="1"/>
  <c r="I39" i="73" a="1"/>
  <c r="I39" i="73" s="1"/>
  <c r="I110" i="73" s="1"/>
  <c r="H39" i="73" a="1"/>
  <c r="H39" i="73" s="1"/>
  <c r="H110" i="73" s="1"/>
  <c r="G39" i="73" a="1"/>
  <c r="G39" i="73" s="1"/>
  <c r="G110" i="73" s="1"/>
  <c r="F39" i="73" a="1"/>
  <c r="F39" i="73" s="1"/>
  <c r="F110" i="73" s="1"/>
  <c r="E39" i="73" a="1"/>
  <c r="E39" i="73" s="1"/>
  <c r="E110" i="73" s="1"/>
  <c r="D39" i="73" a="1"/>
  <c r="D39" i="73" s="1"/>
  <c r="M38" i="73" a="1"/>
  <c r="M38" i="73" s="1"/>
  <c r="L38" i="73" a="1"/>
  <c r="L38" i="73" s="1"/>
  <c r="M109" i="73" s="1"/>
  <c r="K38" i="73" a="1"/>
  <c r="K38" i="73" s="1"/>
  <c r="L109" i="73" s="1"/>
  <c r="J38" i="73" a="1"/>
  <c r="J38" i="73" s="1"/>
  <c r="J109" i="73" s="1"/>
  <c r="I38" i="73" a="1"/>
  <c r="I38" i="73" s="1"/>
  <c r="I109" i="73" s="1"/>
  <c r="H38" i="73" a="1"/>
  <c r="H38" i="73" s="1"/>
  <c r="H109" i="73" s="1"/>
  <c r="G38" i="73" a="1"/>
  <c r="G38" i="73" s="1"/>
  <c r="G109" i="73" s="1"/>
  <c r="F38" i="73" a="1"/>
  <c r="F38" i="73" s="1"/>
  <c r="F109" i="73" s="1"/>
  <c r="E38" i="73" a="1"/>
  <c r="E38" i="73" s="1"/>
  <c r="E109" i="73" s="1"/>
  <c r="D38" i="73" a="1"/>
  <c r="D38" i="73" s="1"/>
  <c r="M37" i="73" a="1"/>
  <c r="M37" i="73" s="1"/>
  <c r="L37" i="73" a="1"/>
  <c r="L37" i="73" s="1"/>
  <c r="M108" i="73" s="1"/>
  <c r="K37" i="73" a="1"/>
  <c r="K37" i="73" s="1"/>
  <c r="L108" i="73" s="1"/>
  <c r="J37" i="73" a="1"/>
  <c r="J37" i="73" s="1"/>
  <c r="J108" i="73" s="1"/>
  <c r="I37" i="73" a="1"/>
  <c r="I37" i="73" s="1"/>
  <c r="I108" i="73" s="1"/>
  <c r="H37" i="73" a="1"/>
  <c r="H37" i="73" s="1"/>
  <c r="H108" i="73" s="1"/>
  <c r="G37" i="73" a="1"/>
  <c r="G37" i="73" s="1"/>
  <c r="G108" i="73" s="1"/>
  <c r="F37" i="73" a="1"/>
  <c r="F37" i="73" s="1"/>
  <c r="F108" i="73" s="1"/>
  <c r="E37" i="73" a="1"/>
  <c r="E37" i="73" s="1"/>
  <c r="E108" i="73" s="1"/>
  <c r="D37" i="73" a="1"/>
  <c r="D37" i="73" s="1"/>
  <c r="M36" i="73" a="1"/>
  <c r="M36" i="73" s="1"/>
  <c r="N107" i="73" s="1"/>
  <c r="L36" i="73" a="1"/>
  <c r="L36" i="73" s="1"/>
  <c r="M107" i="73" s="1"/>
  <c r="K36" i="73" a="1"/>
  <c r="K36" i="73" s="1"/>
  <c r="J36" i="73" a="1"/>
  <c r="J36" i="73" s="1"/>
  <c r="J107" i="73" s="1"/>
  <c r="I36" i="73" a="1"/>
  <c r="I36" i="73" s="1"/>
  <c r="I107" i="73" s="1"/>
  <c r="H36" i="73" a="1"/>
  <c r="H36" i="73" s="1"/>
  <c r="H107" i="73" s="1"/>
  <c r="G36" i="73" a="1"/>
  <c r="G36" i="73" s="1"/>
  <c r="G107" i="73" s="1"/>
  <c r="F36" i="73" a="1"/>
  <c r="F36" i="73" s="1"/>
  <c r="F107" i="73" s="1"/>
  <c r="E36" i="73" a="1"/>
  <c r="E36" i="73" s="1"/>
  <c r="E107" i="73" s="1"/>
  <c r="D36" i="73" a="1"/>
  <c r="D36" i="73" s="1"/>
  <c r="M35" i="73" a="1"/>
  <c r="M35" i="73" s="1"/>
  <c r="L35" i="73" a="1"/>
  <c r="L35" i="73" s="1"/>
  <c r="M106" i="73" s="1"/>
  <c r="K35" i="73" a="1"/>
  <c r="K35" i="73" s="1"/>
  <c r="J35" i="73" a="1"/>
  <c r="J35" i="73" s="1"/>
  <c r="J106" i="73" s="1"/>
  <c r="I35" i="73" a="1"/>
  <c r="I35" i="73" s="1"/>
  <c r="I106" i="73" s="1"/>
  <c r="H35" i="73" a="1"/>
  <c r="H35" i="73" s="1"/>
  <c r="H106" i="73" s="1"/>
  <c r="G35" i="73" a="1"/>
  <c r="G35" i="73" s="1"/>
  <c r="G106" i="73" s="1"/>
  <c r="F35" i="73" a="1"/>
  <c r="F35" i="73" s="1"/>
  <c r="E35" i="73" a="1"/>
  <c r="E35" i="73" s="1"/>
  <c r="E106" i="73" s="1"/>
  <c r="D35" i="73" a="1"/>
  <c r="D35" i="73" s="1"/>
  <c r="M34" i="73" a="1"/>
  <c r="M34" i="73" s="1"/>
  <c r="L34" i="73" a="1"/>
  <c r="L34" i="73" s="1"/>
  <c r="M105" i="73" s="1"/>
  <c r="K34" i="73" a="1"/>
  <c r="K34" i="73" s="1"/>
  <c r="L105" i="73" s="1"/>
  <c r="J34" i="73" a="1"/>
  <c r="J34" i="73" s="1"/>
  <c r="J105" i="73" s="1"/>
  <c r="I34" i="73" a="1"/>
  <c r="I34" i="73" s="1"/>
  <c r="I105" i="73" s="1"/>
  <c r="H34" i="73" a="1"/>
  <c r="H34" i="73" s="1"/>
  <c r="H105" i="73" s="1"/>
  <c r="G34" i="73" a="1"/>
  <c r="G34" i="73" s="1"/>
  <c r="G105" i="73" s="1"/>
  <c r="F34" i="73" a="1"/>
  <c r="F34" i="73" s="1"/>
  <c r="E34" i="73" a="1"/>
  <c r="E34" i="73" s="1"/>
  <c r="D34" i="73" a="1"/>
  <c r="D34" i="73" s="1"/>
  <c r="M33" i="73" a="1"/>
  <c r="M33" i="73" s="1"/>
  <c r="P104" i="73" s="1"/>
  <c r="L33" i="73" a="1"/>
  <c r="L33" i="73" s="1"/>
  <c r="M104" i="73" s="1"/>
  <c r="K33" i="73" a="1"/>
  <c r="K33" i="73" s="1"/>
  <c r="J33" i="73" a="1"/>
  <c r="J33" i="73" s="1"/>
  <c r="J104" i="73" s="1"/>
  <c r="I33" i="73" a="1"/>
  <c r="I33" i="73" s="1"/>
  <c r="I104" i="73" s="1"/>
  <c r="H33" i="73" a="1"/>
  <c r="H33" i="73" s="1"/>
  <c r="H104" i="73" s="1"/>
  <c r="G33" i="73" a="1"/>
  <c r="G33" i="73" s="1"/>
  <c r="G104" i="73" s="1"/>
  <c r="F33" i="73" a="1"/>
  <c r="F33" i="73" s="1"/>
  <c r="E33" i="73" a="1"/>
  <c r="E33" i="73" s="1"/>
  <c r="D33" i="73" a="1"/>
  <c r="D33" i="73" s="1"/>
  <c r="M32" i="73" a="1"/>
  <c r="M32" i="73" s="1"/>
  <c r="L32" i="73" a="1"/>
  <c r="L32" i="73" s="1"/>
  <c r="M103" i="73" s="1"/>
  <c r="K32" i="73" a="1"/>
  <c r="K32" i="73" s="1"/>
  <c r="J32" i="73" a="1"/>
  <c r="J32" i="73" s="1"/>
  <c r="J103" i="73" s="1"/>
  <c r="I32" i="73" a="1"/>
  <c r="I32" i="73" s="1"/>
  <c r="I103" i="73" s="1"/>
  <c r="H32" i="73" a="1"/>
  <c r="H32" i="73" s="1"/>
  <c r="H103" i="73" s="1"/>
  <c r="G32" i="73" a="1"/>
  <c r="G32" i="73" s="1"/>
  <c r="G103" i="73" s="1"/>
  <c r="F32" i="73" a="1"/>
  <c r="F32" i="73" s="1"/>
  <c r="E32" i="73" a="1"/>
  <c r="E32" i="73" s="1"/>
  <c r="D32" i="73" a="1"/>
  <c r="D32" i="73" s="1"/>
  <c r="M31" i="73" a="1"/>
  <c r="M31" i="73" s="1"/>
  <c r="P102" i="73" s="1"/>
  <c r="L31" i="73" a="1"/>
  <c r="L31" i="73" s="1"/>
  <c r="M102" i="73" s="1"/>
  <c r="K31" i="73" a="1"/>
  <c r="K31" i="73" s="1"/>
  <c r="J31" i="73" a="1"/>
  <c r="J31" i="73" s="1"/>
  <c r="J102" i="73" s="1"/>
  <c r="I31" i="73" a="1"/>
  <c r="I31" i="73" s="1"/>
  <c r="I102" i="73" s="1"/>
  <c r="H31" i="73" a="1"/>
  <c r="H31" i="73" s="1"/>
  <c r="H102" i="73" s="1"/>
  <c r="G31" i="73" a="1"/>
  <c r="G31" i="73" s="1"/>
  <c r="G102" i="73" s="1"/>
  <c r="F31" i="73" a="1"/>
  <c r="F31" i="73" s="1"/>
  <c r="F98" i="73" s="1"/>
  <c r="E31" i="73" a="1"/>
  <c r="E31" i="73" s="1"/>
  <c r="D31" i="73" a="1"/>
  <c r="D31" i="73" s="1"/>
  <c r="M30" i="73" a="1"/>
  <c r="M30" i="73" s="1"/>
  <c r="P101" i="73" s="1"/>
  <c r="L30" i="73" a="1"/>
  <c r="L30" i="73" s="1"/>
  <c r="M101" i="73" s="1"/>
  <c r="K30" i="73" a="1"/>
  <c r="K30" i="73" s="1"/>
  <c r="J30" i="73" a="1"/>
  <c r="J30" i="73" s="1"/>
  <c r="J101" i="73" s="1"/>
  <c r="I30" i="73" a="1"/>
  <c r="I30" i="73" s="1"/>
  <c r="I101" i="73" s="1"/>
  <c r="H30" i="73" a="1"/>
  <c r="H30" i="73" s="1"/>
  <c r="H101" i="73" s="1"/>
  <c r="G30" i="73" a="1"/>
  <c r="G30" i="73" s="1"/>
  <c r="G101" i="73" s="1"/>
  <c r="F30" i="73" a="1"/>
  <c r="F30" i="73" s="1"/>
  <c r="E30" i="73" a="1"/>
  <c r="E30" i="73" s="1"/>
  <c r="D30" i="73" a="1"/>
  <c r="D30" i="73" s="1"/>
  <c r="M29" i="73" a="1"/>
  <c r="M29" i="73" s="1"/>
  <c r="L29" i="73" a="1"/>
  <c r="L29" i="73" s="1"/>
  <c r="M100" i="73" s="1"/>
  <c r="K29" i="73" a="1"/>
  <c r="K29" i="73" s="1"/>
  <c r="J29" i="73" a="1"/>
  <c r="J29" i="73" s="1"/>
  <c r="J100" i="73" s="1"/>
  <c r="I29" i="73" a="1"/>
  <c r="I29" i="73" s="1"/>
  <c r="I100" i="73" s="1"/>
  <c r="H29" i="73" a="1"/>
  <c r="H29" i="73" s="1"/>
  <c r="H100" i="73" s="1"/>
  <c r="G29" i="73" a="1"/>
  <c r="G29" i="73" s="1"/>
  <c r="G100" i="73" s="1"/>
  <c r="F29" i="73" a="1"/>
  <c r="F29" i="73" s="1"/>
  <c r="E29" i="73" a="1"/>
  <c r="E29" i="73" s="1"/>
  <c r="D29" i="73" a="1"/>
  <c r="D29" i="73" s="1"/>
  <c r="M28" i="73" a="1"/>
  <c r="M28" i="73" s="1"/>
  <c r="L28" i="73" a="1"/>
  <c r="L28" i="73" s="1"/>
  <c r="M99" i="73" s="1"/>
  <c r="K28" i="73" a="1"/>
  <c r="K28" i="73" s="1"/>
  <c r="J28" i="73" a="1"/>
  <c r="J28" i="73" s="1"/>
  <c r="J99" i="73" s="1"/>
  <c r="I28" i="73" a="1"/>
  <c r="I28" i="73" s="1"/>
  <c r="I99" i="73" s="1"/>
  <c r="H28" i="73" a="1"/>
  <c r="H28" i="73" s="1"/>
  <c r="H99" i="73" s="1"/>
  <c r="G28" i="73" a="1"/>
  <c r="G28" i="73" s="1"/>
  <c r="G99" i="73" s="1"/>
  <c r="F28" i="73" a="1"/>
  <c r="F28" i="73" s="1"/>
  <c r="E28" i="73" a="1"/>
  <c r="E28" i="73" s="1"/>
  <c r="D28" i="73" a="1"/>
  <c r="D28" i="73" s="1"/>
  <c r="M27" i="73" a="1"/>
  <c r="M27" i="73" s="1"/>
  <c r="P98" i="73" s="1"/>
  <c r="L27" i="73" a="1"/>
  <c r="L27" i="73" s="1"/>
  <c r="M98" i="73" s="1"/>
  <c r="K27" i="73" a="1"/>
  <c r="K27" i="73" s="1"/>
  <c r="K98" i="73" s="1"/>
  <c r="J27" i="73" a="1"/>
  <c r="J27" i="73" s="1"/>
  <c r="J98" i="73" s="1"/>
  <c r="I27" i="73" a="1"/>
  <c r="I27" i="73" s="1"/>
  <c r="I98" i="73" s="1"/>
  <c r="H27" i="73" a="1"/>
  <c r="H27" i="73" s="1"/>
  <c r="H98" i="73" s="1"/>
  <c r="G27" i="73" a="1"/>
  <c r="G27" i="73" s="1"/>
  <c r="G98" i="73" s="1"/>
  <c r="F27" i="73" a="1"/>
  <c r="F27" i="73" s="1"/>
  <c r="F94" i="73" s="1"/>
  <c r="E27" i="73" a="1"/>
  <c r="E27" i="73" s="1"/>
  <c r="D27" i="73" a="1"/>
  <c r="D27" i="73" s="1"/>
  <c r="M26" i="73" a="1"/>
  <c r="M26" i="73" s="1"/>
  <c r="L26" i="73" a="1"/>
  <c r="L26" i="73" s="1"/>
  <c r="M97" i="73" s="1"/>
  <c r="K26" i="73" a="1"/>
  <c r="K26" i="73" s="1"/>
  <c r="J26" i="73" a="1"/>
  <c r="J26" i="73" s="1"/>
  <c r="J97" i="73" s="1"/>
  <c r="I26" i="73" a="1"/>
  <c r="I26" i="73" s="1"/>
  <c r="I97" i="73" s="1"/>
  <c r="H26" i="73" a="1"/>
  <c r="H26" i="73" s="1"/>
  <c r="H97" i="73" s="1"/>
  <c r="G26" i="73" a="1"/>
  <c r="G26" i="73" s="1"/>
  <c r="G97" i="73" s="1"/>
  <c r="F26" i="73" a="1"/>
  <c r="F26" i="73" s="1"/>
  <c r="E26" i="73" a="1"/>
  <c r="E26" i="73" s="1"/>
  <c r="D26" i="73" a="1"/>
  <c r="D26" i="73" s="1"/>
  <c r="M25" i="73" a="1"/>
  <c r="M25" i="73" s="1"/>
  <c r="L25" i="73" a="1"/>
  <c r="L25" i="73" s="1"/>
  <c r="M96" i="73" s="1"/>
  <c r="K25" i="73" a="1"/>
  <c r="K25" i="73" s="1"/>
  <c r="J25" i="73" a="1"/>
  <c r="J25" i="73" s="1"/>
  <c r="J96" i="73" s="1"/>
  <c r="I25" i="73" a="1"/>
  <c r="I25" i="73" s="1"/>
  <c r="I96" i="73" s="1"/>
  <c r="H25" i="73" a="1"/>
  <c r="H25" i="73" s="1"/>
  <c r="H96" i="73" s="1"/>
  <c r="G25" i="73" a="1"/>
  <c r="G25" i="73" s="1"/>
  <c r="G96" i="73" s="1"/>
  <c r="F25" i="73" a="1"/>
  <c r="F25" i="73" s="1"/>
  <c r="E25" i="73" a="1"/>
  <c r="E25" i="73" s="1"/>
  <c r="D25" i="73" a="1"/>
  <c r="D25" i="73" s="1"/>
  <c r="M24" i="73" a="1"/>
  <c r="M24" i="73" s="1"/>
  <c r="P95" i="73" s="1"/>
  <c r="L24" i="73" a="1"/>
  <c r="L24" i="73" s="1"/>
  <c r="M95" i="73" s="1"/>
  <c r="K24" i="73" a="1"/>
  <c r="K24" i="73" s="1"/>
  <c r="J24" i="73" a="1"/>
  <c r="J24" i="73" s="1"/>
  <c r="J95" i="73" s="1"/>
  <c r="I24" i="73" a="1"/>
  <c r="I24" i="73" s="1"/>
  <c r="I95" i="73" s="1"/>
  <c r="H24" i="73" a="1"/>
  <c r="H24" i="73" s="1"/>
  <c r="H95" i="73" s="1"/>
  <c r="G24" i="73" a="1"/>
  <c r="G24" i="73" s="1"/>
  <c r="G95" i="73" s="1"/>
  <c r="F24" i="73" a="1"/>
  <c r="F24" i="73" s="1"/>
  <c r="E24" i="73" a="1"/>
  <c r="E24" i="73" s="1"/>
  <c r="D24" i="73" a="1"/>
  <c r="D24" i="73" s="1"/>
  <c r="M23" i="73" a="1"/>
  <c r="M23" i="73" s="1"/>
  <c r="L23" i="73" a="1"/>
  <c r="L23" i="73" s="1"/>
  <c r="M94" i="73" s="1"/>
  <c r="K23" i="73" a="1"/>
  <c r="K23" i="73" s="1"/>
  <c r="J23" i="73" a="1"/>
  <c r="J23" i="73" s="1"/>
  <c r="J94" i="73" s="1"/>
  <c r="I23" i="73" a="1"/>
  <c r="I23" i="73" s="1"/>
  <c r="I94" i="73" s="1"/>
  <c r="H23" i="73" a="1"/>
  <c r="H23" i="73" s="1"/>
  <c r="H94" i="73" s="1"/>
  <c r="G23" i="73" a="1"/>
  <c r="G23" i="73" s="1"/>
  <c r="G94" i="73" s="1"/>
  <c r="F23" i="73" a="1"/>
  <c r="F23" i="73" s="1"/>
  <c r="F90" i="73" s="1"/>
  <c r="E23" i="73" a="1"/>
  <c r="E23" i="73" s="1"/>
  <c r="D23" i="73" a="1"/>
  <c r="D23" i="73" s="1"/>
  <c r="M22" i="73" a="1"/>
  <c r="M22" i="73" s="1"/>
  <c r="P89" i="73" s="1"/>
  <c r="L22" i="73" a="1"/>
  <c r="L22" i="73" s="1"/>
  <c r="K22" i="73" a="1"/>
  <c r="K22" i="73" s="1"/>
  <c r="L89" i="73" s="1"/>
  <c r="J22" i="73" a="1"/>
  <c r="J22" i="73" s="1"/>
  <c r="I22" i="73" a="1"/>
  <c r="I22" i="73" s="1"/>
  <c r="H22" i="73" a="1"/>
  <c r="H22" i="73" s="1"/>
  <c r="G22" i="73" a="1"/>
  <c r="G22" i="73" s="1"/>
  <c r="F22" i="73" a="1"/>
  <c r="F22" i="73" s="1"/>
  <c r="E22" i="73" a="1"/>
  <c r="E22" i="73" s="1"/>
  <c r="D22" i="73" a="1"/>
  <c r="D22" i="73" s="1"/>
  <c r="M21" i="73" a="1"/>
  <c r="M21" i="73" s="1"/>
  <c r="L21" i="73" a="1"/>
  <c r="L21" i="73" s="1"/>
  <c r="K21" i="73" a="1"/>
  <c r="K21" i="73" s="1"/>
  <c r="J21" i="73" a="1"/>
  <c r="J21" i="73" s="1"/>
  <c r="J92" i="73" s="1"/>
  <c r="I21" i="73" a="1"/>
  <c r="I21" i="73" s="1"/>
  <c r="H21" i="73" a="1"/>
  <c r="H21" i="73" s="1"/>
  <c r="G21" i="73" a="1"/>
  <c r="G21" i="73" s="1"/>
  <c r="G92" i="73" s="1"/>
  <c r="F21" i="73" a="1"/>
  <c r="F21" i="73" s="1"/>
  <c r="E21" i="73" a="1"/>
  <c r="E21" i="73" s="1"/>
  <c r="D21" i="73" a="1"/>
  <c r="D21" i="73" s="1"/>
  <c r="M20" i="73" a="1"/>
  <c r="M20" i="73" s="1"/>
  <c r="P87" i="73" s="1"/>
  <c r="L20" i="73" a="1"/>
  <c r="L20" i="73" s="1"/>
  <c r="K20" i="73" a="1"/>
  <c r="K20" i="73" s="1"/>
  <c r="J20" i="73" a="1"/>
  <c r="J20" i="73" s="1"/>
  <c r="I20" i="73" a="1"/>
  <c r="I20" i="73" s="1"/>
  <c r="H20" i="73" a="1"/>
  <c r="H20" i="73" s="1"/>
  <c r="G20" i="73" a="1"/>
  <c r="G20" i="73" s="1"/>
  <c r="F20" i="73" a="1"/>
  <c r="F20" i="73" s="1"/>
  <c r="E20" i="73" a="1"/>
  <c r="E20" i="73" s="1"/>
  <c r="D20" i="73" a="1"/>
  <c r="D20" i="73" s="1"/>
  <c r="M19" i="73" a="1"/>
  <c r="M19" i="73" s="1"/>
  <c r="P90" i="73" s="1"/>
  <c r="L19" i="73" a="1"/>
  <c r="L19" i="73" s="1"/>
  <c r="K19" i="73" a="1"/>
  <c r="K19" i="73" s="1"/>
  <c r="J19" i="73" a="1"/>
  <c r="J19" i="73" s="1"/>
  <c r="J90" i="73" s="1"/>
  <c r="I19" i="73" a="1"/>
  <c r="I19" i="73" s="1"/>
  <c r="H19" i="73" a="1"/>
  <c r="H19" i="73" s="1"/>
  <c r="G19" i="73" a="1"/>
  <c r="G19" i="73" s="1"/>
  <c r="F19" i="73" a="1"/>
  <c r="F19" i="73" s="1"/>
  <c r="F86" i="73" s="1"/>
  <c r="E19" i="73" a="1"/>
  <c r="E19" i="73" s="1"/>
  <c r="D19" i="73" a="1"/>
  <c r="D19" i="73" s="1"/>
  <c r="D17" i="73" a="1"/>
  <c r="D17" i="73" s="1"/>
  <c r="D16" i="73" a="1"/>
  <c r="D16" i="73" s="1"/>
  <c r="D15" i="73" a="1"/>
  <c r="D15" i="73" s="1"/>
  <c r="D14" i="73" a="1"/>
  <c r="D14" i="73" s="1"/>
  <c r="H25" i="72" a="1"/>
  <c r="H25" i="72" s="1"/>
  <c r="G25" i="72" a="1"/>
  <c r="G25" i="72" s="1"/>
  <c r="I552" i="19" s="1" a="1"/>
  <c r="I552" i="19" s="1"/>
  <c r="F25" i="72" a="1"/>
  <c r="F25" i="72" s="1"/>
  <c r="E25" i="72" a="1"/>
  <c r="E25" i="72" s="1"/>
  <c r="D25" i="72" a="1"/>
  <c r="D25" i="72" s="1"/>
  <c r="D22" i="72" a="1"/>
  <c r="D22" i="72" s="1"/>
  <c r="D21" i="72" a="1"/>
  <c r="D21" i="72" s="1"/>
  <c r="F19" i="72" a="1"/>
  <c r="F19" i="72" s="1"/>
  <c r="E19" i="72" a="1"/>
  <c r="E19" i="72" s="1"/>
  <c r="D19" i="72" a="1"/>
  <c r="D19" i="72" s="1"/>
  <c r="F18" i="72" a="1"/>
  <c r="F18" i="72" s="1"/>
  <c r="E18" i="72" a="1"/>
  <c r="E18" i="72" s="1"/>
  <c r="D18" i="72" a="1"/>
  <c r="D18" i="72" s="1"/>
  <c r="F17" i="72" a="1"/>
  <c r="F17" i="72" s="1"/>
  <c r="E17" i="72" a="1"/>
  <c r="E17" i="72" s="1"/>
  <c r="D17" i="72" a="1"/>
  <c r="D17" i="72" s="1"/>
  <c r="F16" i="72" a="1"/>
  <c r="F16" i="72" s="1"/>
  <c r="E16" i="72" a="1"/>
  <c r="E16" i="72" s="1"/>
  <c r="D16" i="72" a="1"/>
  <c r="D16" i="72" s="1"/>
  <c r="F15" i="72" a="1"/>
  <c r="F15" i="72" s="1"/>
  <c r="E15" i="72" a="1"/>
  <c r="E15" i="72" s="1"/>
  <c r="D15" i="72" a="1"/>
  <c r="D15" i="72" s="1"/>
  <c r="F14" i="72" a="1"/>
  <c r="F14" i="72" s="1"/>
  <c r="E14" i="72" a="1"/>
  <c r="E14" i="72" s="1"/>
  <c r="D14" i="72" a="1"/>
  <c r="D14" i="72" s="1"/>
  <c r="F13" i="72" a="1"/>
  <c r="F13" i="72" s="1"/>
  <c r="E13" i="72" a="1"/>
  <c r="E13" i="72" s="1"/>
  <c r="D13" i="72" a="1"/>
  <c r="D13" i="72" s="1"/>
  <c r="F12" i="72" a="1"/>
  <c r="F12" i="72" s="1"/>
  <c r="E12" i="72" a="1"/>
  <c r="E12" i="72" s="1"/>
  <c r="D12" i="72" a="1"/>
  <c r="D12" i="72" s="1"/>
  <c r="F11" i="72" a="1"/>
  <c r="F11" i="72" s="1"/>
  <c r="E11" i="72" a="1"/>
  <c r="E11" i="72" s="1"/>
  <c r="D11" i="72" a="1"/>
  <c r="D11" i="72" s="1"/>
  <c r="F10" i="72" a="1"/>
  <c r="F10" i="72" s="1"/>
  <c r="E10" i="72" a="1"/>
  <c r="E10" i="72" s="1"/>
  <c r="D10" i="72" a="1"/>
  <c r="D10" i="72" s="1"/>
  <c r="D7" i="72" a="1"/>
  <c r="D7" i="72" s="1"/>
  <c r="D6" i="72" a="1"/>
  <c r="D6" i="72" s="1"/>
  <c r="D5" i="72" a="1"/>
  <c r="D5" i="72" s="1"/>
  <c r="AH223" i="71" a="1"/>
  <c r="AH223" i="71" s="1"/>
  <c r="AG223" i="71" a="1"/>
  <c r="AG223" i="71" s="1"/>
  <c r="AF223" i="71" a="1"/>
  <c r="AF223" i="71" s="1"/>
  <c r="AE223" i="71" a="1"/>
  <c r="AE223" i="71" s="1"/>
  <c r="AD223" i="71" a="1"/>
  <c r="AD223" i="71" s="1"/>
  <c r="AC223" i="71" a="1"/>
  <c r="AC223" i="71" s="1"/>
  <c r="AB223" i="71" a="1"/>
  <c r="AB223" i="71" s="1"/>
  <c r="AA223" i="71" a="1"/>
  <c r="AA223" i="71" s="1"/>
  <c r="Z223" i="71" a="1"/>
  <c r="Z223" i="71" s="1"/>
  <c r="Y223" i="71" a="1"/>
  <c r="Y223" i="71" s="1"/>
  <c r="X223" i="71" a="1"/>
  <c r="X223" i="71" s="1"/>
  <c r="W223" i="71" a="1"/>
  <c r="W223" i="71" s="1"/>
  <c r="V223" i="71" a="1"/>
  <c r="V223" i="71" s="1"/>
  <c r="U223" i="71" a="1"/>
  <c r="U223" i="71" s="1"/>
  <c r="T223" i="71" a="1"/>
  <c r="T223" i="71" s="1"/>
  <c r="S223" i="71" a="1"/>
  <c r="S223" i="71" s="1"/>
  <c r="R223" i="71" a="1"/>
  <c r="R223" i="71" s="1"/>
  <c r="Q223" i="71" a="1"/>
  <c r="Q223" i="71" s="1"/>
  <c r="P223" i="71" a="1"/>
  <c r="P223" i="71" s="1"/>
  <c r="O223" i="71" a="1"/>
  <c r="O223" i="71" s="1"/>
  <c r="N223" i="71" a="1"/>
  <c r="N223" i="71" s="1"/>
  <c r="M223" i="71" a="1"/>
  <c r="M223" i="71" s="1"/>
  <c r="L223" i="71" a="1"/>
  <c r="L223" i="71" s="1"/>
  <c r="K223" i="71" a="1"/>
  <c r="K223" i="71" s="1"/>
  <c r="J223" i="71" a="1"/>
  <c r="J223" i="71" s="1"/>
  <c r="I223" i="71" a="1"/>
  <c r="I223" i="71" s="1"/>
  <c r="H223" i="71" a="1"/>
  <c r="H223" i="71" s="1"/>
  <c r="G223" i="71" a="1"/>
  <c r="G223" i="71" s="1"/>
  <c r="F223" i="71" a="1"/>
  <c r="F223" i="71" s="1"/>
  <c r="E223" i="71" a="1"/>
  <c r="E223" i="71" s="1"/>
  <c r="D223" i="71" a="1"/>
  <c r="D223" i="71" s="1"/>
  <c r="AH222" i="71" a="1"/>
  <c r="AH222" i="71" s="1"/>
  <c r="AG222" i="71" a="1"/>
  <c r="AG222" i="71" s="1"/>
  <c r="AF222" i="71" a="1"/>
  <c r="AF222" i="71" s="1"/>
  <c r="AE222" i="71" a="1"/>
  <c r="AE222" i="71" s="1"/>
  <c r="AD222" i="71" a="1"/>
  <c r="AD222" i="71" s="1"/>
  <c r="AC222" i="71" a="1"/>
  <c r="AC222" i="71" s="1"/>
  <c r="AB222" i="71" a="1"/>
  <c r="AB222" i="71" s="1"/>
  <c r="AA222" i="71" a="1"/>
  <c r="AA222" i="71" s="1"/>
  <c r="Z222" i="71" a="1"/>
  <c r="Z222" i="71" s="1"/>
  <c r="Y222" i="71" a="1"/>
  <c r="Y222" i="71" s="1"/>
  <c r="X222" i="71" a="1"/>
  <c r="X222" i="71" s="1"/>
  <c r="W222" i="71" a="1"/>
  <c r="W222" i="71" s="1"/>
  <c r="V222" i="71" a="1"/>
  <c r="V222" i="71" s="1"/>
  <c r="U222" i="71" a="1"/>
  <c r="U222" i="71" s="1"/>
  <c r="T222" i="71" a="1"/>
  <c r="T222" i="71" s="1"/>
  <c r="S222" i="71" a="1"/>
  <c r="S222" i="71" s="1"/>
  <c r="R222" i="71" a="1"/>
  <c r="R222" i="71" s="1"/>
  <c r="Q222" i="71" a="1"/>
  <c r="Q222" i="71" s="1"/>
  <c r="P222" i="71" a="1"/>
  <c r="P222" i="71" s="1"/>
  <c r="O222" i="71" a="1"/>
  <c r="O222" i="71" s="1"/>
  <c r="N222" i="71" a="1"/>
  <c r="N222" i="71" s="1"/>
  <c r="M222" i="71" a="1"/>
  <c r="M222" i="71" s="1"/>
  <c r="L222" i="71" a="1"/>
  <c r="L222" i="71" s="1"/>
  <c r="K222" i="71" a="1"/>
  <c r="K222" i="71" s="1"/>
  <c r="J222" i="71" a="1"/>
  <c r="J222" i="71" s="1"/>
  <c r="I222" i="71" a="1"/>
  <c r="I222" i="71" s="1"/>
  <c r="H222" i="71" a="1"/>
  <c r="H222" i="71" s="1"/>
  <c r="G222" i="71" a="1"/>
  <c r="G222" i="71" s="1"/>
  <c r="F222" i="71" a="1"/>
  <c r="F222" i="71" s="1"/>
  <c r="E222" i="71" a="1"/>
  <c r="E222" i="71" s="1"/>
  <c r="D222" i="71" a="1"/>
  <c r="D222" i="71" s="1"/>
  <c r="AH221" i="71" a="1"/>
  <c r="AH221" i="71" s="1"/>
  <c r="AG221" i="71" a="1"/>
  <c r="AG221" i="71" s="1"/>
  <c r="AF221" i="71" a="1"/>
  <c r="AF221" i="71" s="1"/>
  <c r="AE221" i="71" a="1"/>
  <c r="AE221" i="71" s="1"/>
  <c r="AD221" i="71" a="1"/>
  <c r="AD221" i="71" s="1"/>
  <c r="AC221" i="71" a="1"/>
  <c r="AC221" i="71" s="1"/>
  <c r="AB221" i="71" a="1"/>
  <c r="AB221" i="71" s="1"/>
  <c r="AA221" i="71" a="1"/>
  <c r="AA221" i="71" s="1"/>
  <c r="Z221" i="71" a="1"/>
  <c r="Z221" i="71" s="1"/>
  <c r="Y221" i="71" a="1"/>
  <c r="Y221" i="71" s="1"/>
  <c r="X221" i="71" a="1"/>
  <c r="X221" i="71" s="1"/>
  <c r="W221" i="71" a="1"/>
  <c r="W221" i="71" s="1"/>
  <c r="V221" i="71" a="1"/>
  <c r="V221" i="71" s="1"/>
  <c r="U221" i="71" a="1"/>
  <c r="U221" i="71" s="1"/>
  <c r="T221" i="71" a="1"/>
  <c r="T221" i="71" s="1"/>
  <c r="S221" i="71" a="1"/>
  <c r="S221" i="71" s="1"/>
  <c r="R221" i="71" a="1"/>
  <c r="R221" i="71" s="1"/>
  <c r="Q221" i="71" a="1"/>
  <c r="Q221" i="71" s="1"/>
  <c r="P221" i="71" a="1"/>
  <c r="P221" i="71" s="1"/>
  <c r="O221" i="71" a="1"/>
  <c r="O221" i="71" s="1"/>
  <c r="N221" i="71" a="1"/>
  <c r="N221" i="71" s="1"/>
  <c r="M221" i="71" a="1"/>
  <c r="M221" i="71" s="1"/>
  <c r="L221" i="71" a="1"/>
  <c r="L221" i="71" s="1"/>
  <c r="K221" i="71" a="1"/>
  <c r="K221" i="71" s="1"/>
  <c r="J221" i="71" a="1"/>
  <c r="J221" i="71" s="1"/>
  <c r="I221" i="71" a="1"/>
  <c r="I221" i="71" s="1"/>
  <c r="H221" i="71" a="1"/>
  <c r="H221" i="71" s="1"/>
  <c r="G221" i="71" a="1"/>
  <c r="G221" i="71" s="1"/>
  <c r="F221" i="71" a="1"/>
  <c r="F221" i="71" s="1"/>
  <c r="E221" i="71" a="1"/>
  <c r="E221" i="71" s="1"/>
  <c r="D221" i="71" a="1"/>
  <c r="D221" i="71" s="1"/>
  <c r="AH220" i="71" a="1"/>
  <c r="AH220" i="71" s="1"/>
  <c r="AG220" i="71" a="1"/>
  <c r="AG220" i="71" s="1"/>
  <c r="AF220" i="71" a="1"/>
  <c r="AF220" i="71" s="1"/>
  <c r="AE220" i="71" a="1"/>
  <c r="AE220" i="71" s="1"/>
  <c r="AD220" i="71" a="1"/>
  <c r="AD220" i="71" s="1"/>
  <c r="AC220" i="71" a="1"/>
  <c r="AC220" i="71" s="1"/>
  <c r="AB220" i="71" a="1"/>
  <c r="AB220" i="71" s="1"/>
  <c r="AA220" i="71" a="1"/>
  <c r="AA220" i="71" s="1"/>
  <c r="Z220" i="71" a="1"/>
  <c r="Z220" i="71" s="1"/>
  <c r="Y220" i="71" a="1"/>
  <c r="Y220" i="71" s="1"/>
  <c r="X220" i="71" a="1"/>
  <c r="X220" i="71" s="1"/>
  <c r="W220" i="71" a="1"/>
  <c r="W220" i="71" s="1"/>
  <c r="V220" i="71" a="1"/>
  <c r="V220" i="71" s="1"/>
  <c r="U220" i="71" a="1"/>
  <c r="U220" i="71" s="1"/>
  <c r="T220" i="71" a="1"/>
  <c r="T220" i="71" s="1"/>
  <c r="S220" i="71" a="1"/>
  <c r="S220" i="71" s="1"/>
  <c r="R220" i="71" a="1"/>
  <c r="R220" i="71" s="1"/>
  <c r="Q220" i="71" a="1"/>
  <c r="Q220" i="71" s="1"/>
  <c r="P220" i="71" a="1"/>
  <c r="P220" i="71" s="1"/>
  <c r="O220" i="71" a="1"/>
  <c r="O220" i="71" s="1"/>
  <c r="N220" i="71" a="1"/>
  <c r="N220" i="71" s="1"/>
  <c r="M220" i="71" a="1"/>
  <c r="M220" i="71" s="1"/>
  <c r="L220" i="71" a="1"/>
  <c r="L220" i="71" s="1"/>
  <c r="K220" i="71" a="1"/>
  <c r="K220" i="71" s="1"/>
  <c r="J220" i="71" a="1"/>
  <c r="J220" i="71" s="1"/>
  <c r="I220" i="71" a="1"/>
  <c r="I220" i="71" s="1"/>
  <c r="H220" i="71" a="1"/>
  <c r="H220" i="71" s="1"/>
  <c r="G220" i="71" a="1"/>
  <c r="G220" i="71" s="1"/>
  <c r="F220" i="71" a="1"/>
  <c r="F220" i="71" s="1"/>
  <c r="E220" i="71" a="1"/>
  <c r="E220" i="71" s="1"/>
  <c r="D220" i="71" a="1"/>
  <c r="D220" i="71" s="1"/>
  <c r="AH219" i="71" a="1"/>
  <c r="AH219" i="71" s="1"/>
  <c r="AG219" i="71" a="1"/>
  <c r="AG219" i="71" s="1"/>
  <c r="AF219" i="71" a="1"/>
  <c r="AF219" i="71" s="1"/>
  <c r="AE219" i="71" a="1"/>
  <c r="AE219" i="71" s="1"/>
  <c r="AD219" i="71" a="1"/>
  <c r="AD219" i="71" s="1"/>
  <c r="AC219" i="71" a="1"/>
  <c r="AC219" i="71" s="1"/>
  <c r="AB219" i="71" a="1"/>
  <c r="AB219" i="71" s="1"/>
  <c r="AA219" i="71" a="1"/>
  <c r="AA219" i="71" s="1"/>
  <c r="Z219" i="71" a="1"/>
  <c r="Z219" i="71" s="1"/>
  <c r="Y219" i="71" a="1"/>
  <c r="Y219" i="71" s="1"/>
  <c r="X219" i="71" a="1"/>
  <c r="X219" i="71" s="1"/>
  <c r="W219" i="71" a="1"/>
  <c r="W219" i="71" s="1"/>
  <c r="V219" i="71" a="1"/>
  <c r="V219" i="71" s="1"/>
  <c r="U219" i="71" a="1"/>
  <c r="U219" i="71" s="1"/>
  <c r="T219" i="71" a="1"/>
  <c r="T219" i="71" s="1"/>
  <c r="S219" i="71" a="1"/>
  <c r="S219" i="71" s="1"/>
  <c r="R219" i="71" a="1"/>
  <c r="R219" i="71" s="1"/>
  <c r="Q219" i="71" a="1"/>
  <c r="Q219" i="71" s="1"/>
  <c r="P219" i="71" a="1"/>
  <c r="P219" i="71" s="1"/>
  <c r="O219" i="71" a="1"/>
  <c r="O219" i="71" s="1"/>
  <c r="N219" i="71" a="1"/>
  <c r="N219" i="71" s="1"/>
  <c r="M219" i="71" a="1"/>
  <c r="M219" i="71" s="1"/>
  <c r="L219" i="71" a="1"/>
  <c r="L219" i="71" s="1"/>
  <c r="K219" i="71" a="1"/>
  <c r="K219" i="71" s="1"/>
  <c r="J219" i="71" a="1"/>
  <c r="J219" i="71" s="1"/>
  <c r="I219" i="71" a="1"/>
  <c r="I219" i="71" s="1"/>
  <c r="H219" i="71" a="1"/>
  <c r="H219" i="71" s="1"/>
  <c r="G219" i="71" a="1"/>
  <c r="G219" i="71" s="1"/>
  <c r="F219" i="71" a="1"/>
  <c r="F219" i="71" s="1"/>
  <c r="E219" i="71" a="1"/>
  <c r="E219" i="71" s="1"/>
  <c r="D219" i="71" a="1"/>
  <c r="D219" i="71" s="1"/>
  <c r="AH218" i="71" a="1"/>
  <c r="AH218" i="71" s="1"/>
  <c r="AG218" i="71" a="1"/>
  <c r="AG218" i="71" s="1"/>
  <c r="AF218" i="71" a="1"/>
  <c r="AF218" i="71" s="1"/>
  <c r="AE218" i="71" a="1"/>
  <c r="AE218" i="71" s="1"/>
  <c r="AD218" i="71" a="1"/>
  <c r="AD218" i="71" s="1"/>
  <c r="AC218" i="71" a="1"/>
  <c r="AC218" i="71" s="1"/>
  <c r="AB218" i="71" a="1"/>
  <c r="AB218" i="71" s="1"/>
  <c r="AA218" i="71" a="1"/>
  <c r="AA218" i="71" s="1"/>
  <c r="Z218" i="71" a="1"/>
  <c r="Z218" i="71" s="1"/>
  <c r="Y218" i="71" a="1"/>
  <c r="Y218" i="71" s="1"/>
  <c r="X218" i="71" a="1"/>
  <c r="X218" i="71" s="1"/>
  <c r="W218" i="71" a="1"/>
  <c r="W218" i="71" s="1"/>
  <c r="V218" i="71" a="1"/>
  <c r="V218" i="71" s="1"/>
  <c r="U218" i="71" a="1"/>
  <c r="U218" i="71" s="1"/>
  <c r="T218" i="71" a="1"/>
  <c r="T218" i="71" s="1"/>
  <c r="S218" i="71" a="1"/>
  <c r="S218" i="71" s="1"/>
  <c r="R218" i="71" a="1"/>
  <c r="R218" i="71" s="1"/>
  <c r="Q218" i="71" a="1"/>
  <c r="Q218" i="71" s="1"/>
  <c r="P218" i="71" a="1"/>
  <c r="P218" i="71" s="1"/>
  <c r="O218" i="71" a="1"/>
  <c r="O218" i="71" s="1"/>
  <c r="N218" i="71" a="1"/>
  <c r="N218" i="71" s="1"/>
  <c r="M218" i="71" a="1"/>
  <c r="M218" i="71" s="1"/>
  <c r="L218" i="71" a="1"/>
  <c r="L218" i="71" s="1"/>
  <c r="K218" i="71" a="1"/>
  <c r="K218" i="71" s="1"/>
  <c r="J218" i="71" a="1"/>
  <c r="J218" i="71" s="1"/>
  <c r="I218" i="71" a="1"/>
  <c r="I218" i="71" s="1"/>
  <c r="H218" i="71" a="1"/>
  <c r="H218" i="71" s="1"/>
  <c r="G218" i="71" a="1"/>
  <c r="G218" i="71" s="1"/>
  <c r="F218" i="71" a="1"/>
  <c r="F218" i="71" s="1"/>
  <c r="E218" i="71" a="1"/>
  <c r="E218" i="71" s="1"/>
  <c r="D218" i="71" a="1"/>
  <c r="D218" i="71" s="1"/>
  <c r="AH217" i="71" a="1"/>
  <c r="AH217" i="71" s="1"/>
  <c r="AG217" i="71" a="1"/>
  <c r="AG217" i="71" s="1"/>
  <c r="AF217" i="71" a="1"/>
  <c r="AF217" i="71" s="1"/>
  <c r="AE217" i="71" a="1"/>
  <c r="AE217" i="71" s="1"/>
  <c r="AD217" i="71" a="1"/>
  <c r="AD217" i="71" s="1"/>
  <c r="AC217" i="71" a="1"/>
  <c r="AC217" i="71" s="1"/>
  <c r="AB217" i="71" a="1"/>
  <c r="AB217" i="71" s="1"/>
  <c r="AA217" i="71" a="1"/>
  <c r="AA217" i="71" s="1"/>
  <c r="Z217" i="71" a="1"/>
  <c r="Z217" i="71" s="1"/>
  <c r="Y217" i="71" a="1"/>
  <c r="Y217" i="71" s="1"/>
  <c r="X217" i="71" a="1"/>
  <c r="X217" i="71" s="1"/>
  <c r="W217" i="71" a="1"/>
  <c r="W217" i="71" s="1"/>
  <c r="V217" i="71" a="1"/>
  <c r="V217" i="71" s="1"/>
  <c r="U217" i="71" a="1"/>
  <c r="U217" i="71" s="1"/>
  <c r="T217" i="71" a="1"/>
  <c r="T217" i="71" s="1"/>
  <c r="S217" i="71" a="1"/>
  <c r="S217" i="71" s="1"/>
  <c r="R217" i="71" a="1"/>
  <c r="R217" i="71" s="1"/>
  <c r="Q217" i="71" a="1"/>
  <c r="Q217" i="71" s="1"/>
  <c r="P217" i="71" a="1"/>
  <c r="P217" i="71" s="1"/>
  <c r="O217" i="71" a="1"/>
  <c r="O217" i="71" s="1"/>
  <c r="N217" i="71" a="1"/>
  <c r="N217" i="71" s="1"/>
  <c r="M217" i="71" a="1"/>
  <c r="M217" i="71" s="1"/>
  <c r="L217" i="71" a="1"/>
  <c r="L217" i="71" s="1"/>
  <c r="K217" i="71" a="1"/>
  <c r="K217" i="71" s="1"/>
  <c r="J217" i="71" a="1"/>
  <c r="J217" i="71" s="1"/>
  <c r="I217" i="71" a="1"/>
  <c r="I217" i="71" s="1"/>
  <c r="H217" i="71" a="1"/>
  <c r="H217" i="71" s="1"/>
  <c r="G217" i="71" a="1"/>
  <c r="G217" i="71" s="1"/>
  <c r="F217" i="71" a="1"/>
  <c r="F217" i="71" s="1"/>
  <c r="E217" i="71" a="1"/>
  <c r="E217" i="71" s="1"/>
  <c r="D217" i="71" a="1"/>
  <c r="D217" i="71" s="1"/>
  <c r="AH216" i="71" a="1"/>
  <c r="AH216" i="71" s="1"/>
  <c r="AG216" i="71" a="1"/>
  <c r="AG216" i="71" s="1"/>
  <c r="AF216" i="71" a="1"/>
  <c r="AF216" i="71" s="1"/>
  <c r="AE216" i="71" a="1"/>
  <c r="AE216" i="71" s="1"/>
  <c r="AD216" i="71" a="1"/>
  <c r="AD216" i="71" s="1"/>
  <c r="AC216" i="71" a="1"/>
  <c r="AC216" i="71" s="1"/>
  <c r="AB216" i="71" a="1"/>
  <c r="AB216" i="71" s="1"/>
  <c r="AA216" i="71" a="1"/>
  <c r="AA216" i="71" s="1"/>
  <c r="Z216" i="71" a="1"/>
  <c r="Z216" i="71" s="1"/>
  <c r="Y216" i="71" a="1"/>
  <c r="Y216" i="71" s="1"/>
  <c r="X216" i="71" a="1"/>
  <c r="X216" i="71" s="1"/>
  <c r="W216" i="71" a="1"/>
  <c r="W216" i="71" s="1"/>
  <c r="V216" i="71" a="1"/>
  <c r="V216" i="71" s="1"/>
  <c r="U216" i="71" a="1"/>
  <c r="U216" i="71" s="1"/>
  <c r="T216" i="71" a="1"/>
  <c r="T216" i="71" s="1"/>
  <c r="S216" i="71" a="1"/>
  <c r="S216" i="71" s="1"/>
  <c r="R216" i="71" a="1"/>
  <c r="R216" i="71" s="1"/>
  <c r="Q216" i="71" a="1"/>
  <c r="Q216" i="71" s="1"/>
  <c r="P216" i="71" a="1"/>
  <c r="P216" i="71" s="1"/>
  <c r="O216" i="71" a="1"/>
  <c r="O216" i="71" s="1"/>
  <c r="N216" i="71" a="1"/>
  <c r="N216" i="71" s="1"/>
  <c r="M216" i="71" a="1"/>
  <c r="M216" i="71" s="1"/>
  <c r="L216" i="71" a="1"/>
  <c r="L216" i="71" s="1"/>
  <c r="K216" i="71" a="1"/>
  <c r="K216" i="71" s="1"/>
  <c r="J216" i="71" a="1"/>
  <c r="J216" i="71" s="1"/>
  <c r="I216" i="71" a="1"/>
  <c r="I216" i="71" s="1"/>
  <c r="H216" i="71" a="1"/>
  <c r="H216" i="71" s="1"/>
  <c r="G216" i="71" a="1"/>
  <c r="G216" i="71" s="1"/>
  <c r="F216" i="71" a="1"/>
  <c r="F216" i="71" s="1"/>
  <c r="E216" i="71" a="1"/>
  <c r="E216" i="71" s="1"/>
  <c r="D216" i="71" a="1"/>
  <c r="D216" i="71" s="1"/>
  <c r="AH215" i="71" a="1"/>
  <c r="AH215" i="71" s="1"/>
  <c r="AG215" i="71" a="1"/>
  <c r="AG215" i="71" s="1"/>
  <c r="AF215" i="71" a="1"/>
  <c r="AF215" i="71" s="1"/>
  <c r="AE215" i="71" a="1"/>
  <c r="AE215" i="71" s="1"/>
  <c r="AD215" i="71" a="1"/>
  <c r="AD215" i="71" s="1"/>
  <c r="AC215" i="71" a="1"/>
  <c r="AC215" i="71" s="1"/>
  <c r="AB215" i="71" a="1"/>
  <c r="AB215" i="71" s="1"/>
  <c r="AA215" i="71" a="1"/>
  <c r="AA215" i="71" s="1"/>
  <c r="Z215" i="71" a="1"/>
  <c r="Z215" i="71" s="1"/>
  <c r="Y215" i="71" a="1"/>
  <c r="Y215" i="71" s="1"/>
  <c r="X215" i="71" a="1"/>
  <c r="X215" i="71" s="1"/>
  <c r="W215" i="71" a="1"/>
  <c r="W215" i="71" s="1"/>
  <c r="V215" i="71" a="1"/>
  <c r="V215" i="71" s="1"/>
  <c r="U215" i="71" a="1"/>
  <c r="U215" i="71" s="1"/>
  <c r="T215" i="71" a="1"/>
  <c r="T215" i="71" s="1"/>
  <c r="S215" i="71" a="1"/>
  <c r="S215" i="71" s="1"/>
  <c r="R215" i="71" a="1"/>
  <c r="R215" i="71" s="1"/>
  <c r="Q215" i="71" a="1"/>
  <c r="Q215" i="71" s="1"/>
  <c r="P215" i="71" a="1"/>
  <c r="P215" i="71" s="1"/>
  <c r="O215" i="71" a="1"/>
  <c r="O215" i="71" s="1"/>
  <c r="N215" i="71" a="1"/>
  <c r="N215" i="71" s="1"/>
  <c r="M215" i="71" a="1"/>
  <c r="M215" i="71" s="1"/>
  <c r="L215" i="71" a="1"/>
  <c r="L215" i="71" s="1"/>
  <c r="K215" i="71" a="1"/>
  <c r="K215" i="71" s="1"/>
  <c r="J215" i="71" a="1"/>
  <c r="J215" i="71" s="1"/>
  <c r="I215" i="71" a="1"/>
  <c r="I215" i="71" s="1"/>
  <c r="H215" i="71" a="1"/>
  <c r="H215" i="71" s="1"/>
  <c r="G215" i="71" a="1"/>
  <c r="G215" i="71" s="1"/>
  <c r="F215" i="71" a="1"/>
  <c r="F215" i="71" s="1"/>
  <c r="E215" i="71" a="1"/>
  <c r="E215" i="71" s="1"/>
  <c r="D215" i="71" a="1"/>
  <c r="D215" i="71" s="1"/>
  <c r="AH214" i="71" a="1"/>
  <c r="AH214" i="71" s="1"/>
  <c r="AG214" i="71" a="1"/>
  <c r="AG214" i="71" s="1"/>
  <c r="AF214" i="71" a="1"/>
  <c r="AF214" i="71" s="1"/>
  <c r="AE214" i="71" a="1"/>
  <c r="AE214" i="71" s="1"/>
  <c r="AD214" i="71" a="1"/>
  <c r="AD214" i="71" s="1"/>
  <c r="AC214" i="71" a="1"/>
  <c r="AC214" i="71" s="1"/>
  <c r="AB214" i="71" a="1"/>
  <c r="AB214" i="71" s="1"/>
  <c r="AA214" i="71" a="1"/>
  <c r="AA214" i="71" s="1"/>
  <c r="Z214" i="71" a="1"/>
  <c r="Z214" i="71" s="1"/>
  <c r="Y214" i="71" a="1"/>
  <c r="Y214" i="71" s="1"/>
  <c r="X214" i="71" a="1"/>
  <c r="X214" i="71" s="1"/>
  <c r="W214" i="71" a="1"/>
  <c r="W214" i="71" s="1"/>
  <c r="V214" i="71" a="1"/>
  <c r="V214" i="71" s="1"/>
  <c r="U214" i="71" a="1"/>
  <c r="U214" i="71" s="1"/>
  <c r="T214" i="71" a="1"/>
  <c r="T214" i="71" s="1"/>
  <c r="S214" i="71" a="1"/>
  <c r="S214" i="71" s="1"/>
  <c r="R214" i="71" a="1"/>
  <c r="R214" i="71" s="1"/>
  <c r="Q214" i="71" a="1"/>
  <c r="Q214" i="71" s="1"/>
  <c r="P214" i="71" a="1"/>
  <c r="P214" i="71" s="1"/>
  <c r="O214" i="71" a="1"/>
  <c r="O214" i="71" s="1"/>
  <c r="N214" i="71" a="1"/>
  <c r="N214" i="71" s="1"/>
  <c r="M214" i="71" a="1"/>
  <c r="M214" i="71" s="1"/>
  <c r="L214" i="71" a="1"/>
  <c r="L214" i="71" s="1"/>
  <c r="K214" i="71" a="1"/>
  <c r="K214" i="71" s="1"/>
  <c r="J214" i="71" a="1"/>
  <c r="J214" i="71" s="1"/>
  <c r="I214" i="71" a="1"/>
  <c r="I214" i="71" s="1"/>
  <c r="H214" i="71" a="1"/>
  <c r="H214" i="71" s="1"/>
  <c r="G214" i="71" a="1"/>
  <c r="G214" i="71" s="1"/>
  <c r="F214" i="71" a="1"/>
  <c r="F214" i="71" s="1"/>
  <c r="E214" i="71" a="1"/>
  <c r="E214" i="71" s="1"/>
  <c r="D214" i="71" a="1"/>
  <c r="D214" i="71" s="1"/>
  <c r="AH213" i="71" a="1"/>
  <c r="AH213" i="71" s="1"/>
  <c r="AG213" i="71" a="1"/>
  <c r="AG213" i="71" s="1"/>
  <c r="AF213" i="71" a="1"/>
  <c r="AF213" i="71" s="1"/>
  <c r="AE213" i="71" a="1"/>
  <c r="AE213" i="71" s="1"/>
  <c r="AD213" i="71" a="1"/>
  <c r="AD213" i="71" s="1"/>
  <c r="AC213" i="71" a="1"/>
  <c r="AC213" i="71" s="1"/>
  <c r="AB213" i="71" a="1"/>
  <c r="AB213" i="71" s="1"/>
  <c r="AA213" i="71" a="1"/>
  <c r="AA213" i="71" s="1"/>
  <c r="Z213" i="71" a="1"/>
  <c r="Z213" i="71" s="1"/>
  <c r="Y213" i="71" a="1"/>
  <c r="Y213" i="71" s="1"/>
  <c r="X213" i="71" a="1"/>
  <c r="X213" i="71" s="1"/>
  <c r="W213" i="71" a="1"/>
  <c r="W213" i="71" s="1"/>
  <c r="V213" i="71" a="1"/>
  <c r="V213" i="71" s="1"/>
  <c r="U213" i="71" a="1"/>
  <c r="U213" i="71" s="1"/>
  <c r="T213" i="71" a="1"/>
  <c r="T213" i="71" s="1"/>
  <c r="S213" i="71" a="1"/>
  <c r="S213" i="71" s="1"/>
  <c r="R213" i="71" a="1"/>
  <c r="R213" i="71" s="1"/>
  <c r="Q213" i="71" a="1"/>
  <c r="Q213" i="71" s="1"/>
  <c r="P213" i="71" a="1"/>
  <c r="P213" i="71" s="1"/>
  <c r="O213" i="71" a="1"/>
  <c r="O213" i="71" s="1"/>
  <c r="N213" i="71" a="1"/>
  <c r="N213" i="71" s="1"/>
  <c r="M213" i="71" a="1"/>
  <c r="M213" i="71" s="1"/>
  <c r="L213" i="71" a="1"/>
  <c r="L213" i="71" s="1"/>
  <c r="K213" i="71" a="1"/>
  <c r="K213" i="71" s="1"/>
  <c r="J213" i="71" a="1"/>
  <c r="J213" i="71" s="1"/>
  <c r="I213" i="71" a="1"/>
  <c r="I213" i="71" s="1"/>
  <c r="H213" i="71" a="1"/>
  <c r="H213" i="71" s="1"/>
  <c r="G213" i="71" a="1"/>
  <c r="G213" i="71" s="1"/>
  <c r="F213" i="71" a="1"/>
  <c r="F213" i="71" s="1"/>
  <c r="E213" i="71" a="1"/>
  <c r="E213" i="71" s="1"/>
  <c r="D213" i="71" a="1"/>
  <c r="D213" i="71" s="1"/>
  <c r="AH212" i="71" a="1"/>
  <c r="AH212" i="71" s="1"/>
  <c r="AG212" i="71" a="1"/>
  <c r="AG212" i="71" s="1"/>
  <c r="AF212" i="71" a="1"/>
  <c r="AF212" i="71" s="1"/>
  <c r="AE212" i="71" a="1"/>
  <c r="AE212" i="71" s="1"/>
  <c r="AD212" i="71" a="1"/>
  <c r="AD212" i="71" s="1"/>
  <c r="AC212" i="71" a="1"/>
  <c r="AC212" i="71" s="1"/>
  <c r="AB212" i="71" a="1"/>
  <c r="AB212" i="71" s="1"/>
  <c r="AA212" i="71" a="1"/>
  <c r="AA212" i="71" s="1"/>
  <c r="Z212" i="71" a="1"/>
  <c r="Z212" i="71" s="1"/>
  <c r="Y212" i="71" a="1"/>
  <c r="Y212" i="71" s="1"/>
  <c r="X212" i="71" a="1"/>
  <c r="X212" i="71" s="1"/>
  <c r="W212" i="71" a="1"/>
  <c r="W212" i="71" s="1"/>
  <c r="V212" i="71" a="1"/>
  <c r="V212" i="71" s="1"/>
  <c r="U212" i="71" a="1"/>
  <c r="U212" i="71" s="1"/>
  <c r="T212" i="71" a="1"/>
  <c r="T212" i="71" s="1"/>
  <c r="S212" i="71" a="1"/>
  <c r="S212" i="71" s="1"/>
  <c r="R212" i="71" a="1"/>
  <c r="R212" i="71" s="1"/>
  <c r="Q212" i="71" a="1"/>
  <c r="Q212" i="71" s="1"/>
  <c r="P212" i="71" a="1"/>
  <c r="P212" i="71" s="1"/>
  <c r="O212" i="71" a="1"/>
  <c r="O212" i="71" s="1"/>
  <c r="N212" i="71" a="1"/>
  <c r="N212" i="71" s="1"/>
  <c r="M212" i="71" a="1"/>
  <c r="M212" i="71" s="1"/>
  <c r="L212" i="71" a="1"/>
  <c r="L212" i="71" s="1"/>
  <c r="K212" i="71" a="1"/>
  <c r="K212" i="71" s="1"/>
  <c r="J212" i="71" a="1"/>
  <c r="J212" i="71" s="1"/>
  <c r="I212" i="71" a="1"/>
  <c r="I212" i="71" s="1"/>
  <c r="H212" i="71" a="1"/>
  <c r="H212" i="71" s="1"/>
  <c r="G212" i="71" a="1"/>
  <c r="G212" i="71" s="1"/>
  <c r="F212" i="71" a="1"/>
  <c r="F212" i="71" s="1"/>
  <c r="E212" i="71" a="1"/>
  <c r="E212" i="71" s="1"/>
  <c r="D212" i="71" a="1"/>
  <c r="D212" i="71" s="1"/>
  <c r="AH211" i="71" a="1"/>
  <c r="AH211" i="71" s="1"/>
  <c r="AG211" i="71" a="1"/>
  <c r="AG211" i="71" s="1"/>
  <c r="AF211" i="71" a="1"/>
  <c r="AF211" i="71" s="1"/>
  <c r="AE211" i="71" a="1"/>
  <c r="AE211" i="71" s="1"/>
  <c r="AD211" i="71" a="1"/>
  <c r="AD211" i="71" s="1"/>
  <c r="AC211" i="71" a="1"/>
  <c r="AC211" i="71" s="1"/>
  <c r="AB211" i="71" a="1"/>
  <c r="AB211" i="71" s="1"/>
  <c r="AA211" i="71" a="1"/>
  <c r="AA211" i="71" s="1"/>
  <c r="Z211" i="71" a="1"/>
  <c r="Z211" i="71" s="1"/>
  <c r="Y211" i="71" a="1"/>
  <c r="Y211" i="71" s="1"/>
  <c r="X211" i="71" a="1"/>
  <c r="X211" i="71" s="1"/>
  <c r="W211" i="71" a="1"/>
  <c r="W211" i="71" s="1"/>
  <c r="V211" i="71" a="1"/>
  <c r="V211" i="71" s="1"/>
  <c r="U211" i="71" a="1"/>
  <c r="U211" i="71" s="1"/>
  <c r="T211" i="71" a="1"/>
  <c r="T211" i="71" s="1"/>
  <c r="S211" i="71" a="1"/>
  <c r="S211" i="71" s="1"/>
  <c r="R211" i="71" a="1"/>
  <c r="R211" i="71" s="1"/>
  <c r="Q211" i="71" a="1"/>
  <c r="Q211" i="71" s="1"/>
  <c r="P211" i="71" a="1"/>
  <c r="P211" i="71" s="1"/>
  <c r="O211" i="71" a="1"/>
  <c r="O211" i="71" s="1"/>
  <c r="N211" i="71" a="1"/>
  <c r="N211" i="71" s="1"/>
  <c r="M211" i="71" a="1"/>
  <c r="M211" i="71" s="1"/>
  <c r="L211" i="71" a="1"/>
  <c r="L211" i="71" s="1"/>
  <c r="K211" i="71" a="1"/>
  <c r="K211" i="71" s="1"/>
  <c r="J211" i="71" a="1"/>
  <c r="J211" i="71" s="1"/>
  <c r="I211" i="71" a="1"/>
  <c r="I211" i="71" s="1"/>
  <c r="H211" i="71" a="1"/>
  <c r="H211" i="71" s="1"/>
  <c r="G211" i="71" a="1"/>
  <c r="G211" i="71" s="1"/>
  <c r="F211" i="71" a="1"/>
  <c r="F211" i="71" s="1"/>
  <c r="E211" i="71" a="1"/>
  <c r="E211" i="71" s="1"/>
  <c r="D211" i="71" a="1"/>
  <c r="D211" i="71" s="1"/>
  <c r="AH210" i="71" a="1"/>
  <c r="AH210" i="71" s="1"/>
  <c r="AG210" i="71" a="1"/>
  <c r="AG210" i="71" s="1"/>
  <c r="AF210" i="71" a="1"/>
  <c r="AF210" i="71" s="1"/>
  <c r="AE210" i="71" a="1"/>
  <c r="AE210" i="71" s="1"/>
  <c r="AD210" i="71" a="1"/>
  <c r="AD210" i="71" s="1"/>
  <c r="AC210" i="71" a="1"/>
  <c r="AC210" i="71" s="1"/>
  <c r="AB210" i="71" a="1"/>
  <c r="AB210" i="71" s="1"/>
  <c r="AA210" i="71" a="1"/>
  <c r="AA210" i="71" s="1"/>
  <c r="Z210" i="71" a="1"/>
  <c r="Z210" i="71" s="1"/>
  <c r="Y210" i="71" a="1"/>
  <c r="Y210" i="71" s="1"/>
  <c r="X210" i="71" a="1"/>
  <c r="X210" i="71" s="1"/>
  <c r="W210" i="71" a="1"/>
  <c r="W210" i="71" s="1"/>
  <c r="V210" i="71" a="1"/>
  <c r="V210" i="71" s="1"/>
  <c r="U210" i="71" a="1"/>
  <c r="U210" i="71" s="1"/>
  <c r="T210" i="71" a="1"/>
  <c r="T210" i="71" s="1"/>
  <c r="S210" i="71" a="1"/>
  <c r="S210" i="71" s="1"/>
  <c r="R210" i="71" a="1"/>
  <c r="R210" i="71" s="1"/>
  <c r="Q210" i="71" a="1"/>
  <c r="Q210" i="71" s="1"/>
  <c r="P210" i="71" a="1"/>
  <c r="P210" i="71" s="1"/>
  <c r="O210" i="71" a="1"/>
  <c r="O210" i="71" s="1"/>
  <c r="N210" i="71" a="1"/>
  <c r="N210" i="71" s="1"/>
  <c r="M210" i="71" a="1"/>
  <c r="M210" i="71" s="1"/>
  <c r="L210" i="71" a="1"/>
  <c r="L210" i="71" s="1"/>
  <c r="K210" i="71" a="1"/>
  <c r="K210" i="71" s="1"/>
  <c r="J210" i="71" a="1"/>
  <c r="J210" i="71" s="1"/>
  <c r="I210" i="71" a="1"/>
  <c r="I210" i="71" s="1"/>
  <c r="H210" i="71" a="1"/>
  <c r="H210" i="71" s="1"/>
  <c r="G210" i="71" a="1"/>
  <c r="G210" i="71" s="1"/>
  <c r="F210" i="71" a="1"/>
  <c r="F210" i="71" s="1"/>
  <c r="E210" i="71" a="1"/>
  <c r="E210" i="71" s="1"/>
  <c r="D210" i="71" a="1"/>
  <c r="D210" i="71" s="1"/>
  <c r="AH209" i="71" a="1"/>
  <c r="AH209" i="71" s="1"/>
  <c r="AG209" i="71" a="1"/>
  <c r="AG209" i="71" s="1"/>
  <c r="AF209" i="71" a="1"/>
  <c r="AF209" i="71" s="1"/>
  <c r="AE209" i="71" a="1"/>
  <c r="AE209" i="71" s="1"/>
  <c r="AD209" i="71" a="1"/>
  <c r="AD209" i="71" s="1"/>
  <c r="AC209" i="71" a="1"/>
  <c r="AC209" i="71" s="1"/>
  <c r="AB209" i="71" a="1"/>
  <c r="AB209" i="71" s="1"/>
  <c r="AA209" i="71" a="1"/>
  <c r="AA209" i="71" s="1"/>
  <c r="Z209" i="71" a="1"/>
  <c r="Z209" i="71" s="1"/>
  <c r="Y209" i="71" a="1"/>
  <c r="Y209" i="71" s="1"/>
  <c r="X209" i="71" a="1"/>
  <c r="X209" i="71" s="1"/>
  <c r="W209" i="71" a="1"/>
  <c r="W209" i="71" s="1"/>
  <c r="V209" i="71" a="1"/>
  <c r="V209" i="71" s="1"/>
  <c r="U209" i="71" a="1"/>
  <c r="U209" i="71" s="1"/>
  <c r="T209" i="71" a="1"/>
  <c r="T209" i="71" s="1"/>
  <c r="S209" i="71" a="1"/>
  <c r="S209" i="71" s="1"/>
  <c r="R209" i="71" a="1"/>
  <c r="R209" i="71" s="1"/>
  <c r="Q209" i="71" a="1"/>
  <c r="Q209" i="71" s="1"/>
  <c r="P209" i="71" a="1"/>
  <c r="P209" i="71" s="1"/>
  <c r="O209" i="71" a="1"/>
  <c r="O209" i="71" s="1"/>
  <c r="N209" i="71" a="1"/>
  <c r="N209" i="71" s="1"/>
  <c r="M209" i="71" a="1"/>
  <c r="M209" i="71" s="1"/>
  <c r="L209" i="71" a="1"/>
  <c r="L209" i="71" s="1"/>
  <c r="K209" i="71" a="1"/>
  <c r="K209" i="71" s="1"/>
  <c r="J209" i="71" a="1"/>
  <c r="J209" i="71" s="1"/>
  <c r="I209" i="71" a="1"/>
  <c r="I209" i="71" s="1"/>
  <c r="H209" i="71" a="1"/>
  <c r="H209" i="71" s="1"/>
  <c r="G209" i="71" a="1"/>
  <c r="G209" i="71" s="1"/>
  <c r="F209" i="71" a="1"/>
  <c r="F209" i="71" s="1"/>
  <c r="E209" i="71" a="1"/>
  <c r="E209" i="71" s="1"/>
  <c r="D209" i="71" a="1"/>
  <c r="D209" i="71" s="1"/>
  <c r="AH208" i="71" a="1"/>
  <c r="AH208" i="71" s="1"/>
  <c r="AG208" i="71" a="1"/>
  <c r="AG208" i="71" s="1"/>
  <c r="AF208" i="71" a="1"/>
  <c r="AF208" i="71" s="1"/>
  <c r="AE208" i="71" a="1"/>
  <c r="AE208" i="71" s="1"/>
  <c r="AD208" i="71" a="1"/>
  <c r="AD208" i="71" s="1"/>
  <c r="AC208" i="71" a="1"/>
  <c r="AC208" i="71" s="1"/>
  <c r="AB208" i="71" a="1"/>
  <c r="AB208" i="71" s="1"/>
  <c r="AA208" i="71" a="1"/>
  <c r="AA208" i="71" s="1"/>
  <c r="Z208" i="71" a="1"/>
  <c r="Z208" i="71" s="1"/>
  <c r="Y208" i="71" a="1"/>
  <c r="Y208" i="71" s="1"/>
  <c r="X208" i="71" a="1"/>
  <c r="X208" i="71" s="1"/>
  <c r="W208" i="71" a="1"/>
  <c r="W208" i="71" s="1"/>
  <c r="V208" i="71" a="1"/>
  <c r="V208" i="71" s="1"/>
  <c r="U208" i="71" a="1"/>
  <c r="U208" i="71" s="1"/>
  <c r="T208" i="71" a="1"/>
  <c r="T208" i="71" s="1"/>
  <c r="S208" i="71" a="1"/>
  <c r="S208" i="71" s="1"/>
  <c r="R208" i="71" a="1"/>
  <c r="R208" i="71" s="1"/>
  <c r="Q208" i="71" a="1"/>
  <c r="Q208" i="71" s="1"/>
  <c r="P208" i="71" a="1"/>
  <c r="P208" i="71" s="1"/>
  <c r="O208" i="71" a="1"/>
  <c r="O208" i="71" s="1"/>
  <c r="N208" i="71" a="1"/>
  <c r="N208" i="71" s="1"/>
  <c r="M208" i="71" a="1"/>
  <c r="M208" i="71" s="1"/>
  <c r="L208" i="71" a="1"/>
  <c r="L208" i="71" s="1"/>
  <c r="K208" i="71" a="1"/>
  <c r="K208" i="71" s="1"/>
  <c r="J208" i="71" a="1"/>
  <c r="J208" i="71" s="1"/>
  <c r="I208" i="71" a="1"/>
  <c r="I208" i="71" s="1"/>
  <c r="H208" i="71" a="1"/>
  <c r="H208" i="71" s="1"/>
  <c r="G208" i="71" a="1"/>
  <c r="G208" i="71" s="1"/>
  <c r="F208" i="71" a="1"/>
  <c r="F208" i="71" s="1"/>
  <c r="E208" i="71" a="1"/>
  <c r="E208" i="71" s="1"/>
  <c r="D208" i="71" a="1"/>
  <c r="D208" i="71" s="1"/>
  <c r="AH207" i="71" a="1"/>
  <c r="AH207" i="71" s="1"/>
  <c r="AG207" i="71" a="1"/>
  <c r="AG207" i="71" s="1"/>
  <c r="AF207" i="71" a="1"/>
  <c r="AF207" i="71" s="1"/>
  <c r="AE207" i="71" a="1"/>
  <c r="AE207" i="71" s="1"/>
  <c r="AD207" i="71" a="1"/>
  <c r="AD207" i="71" s="1"/>
  <c r="AC207" i="71" a="1"/>
  <c r="AC207" i="71" s="1"/>
  <c r="AB207" i="71" a="1"/>
  <c r="AB207" i="71" s="1"/>
  <c r="AA207" i="71" a="1"/>
  <c r="AA207" i="71" s="1"/>
  <c r="Z207" i="71" a="1"/>
  <c r="Z207" i="71" s="1"/>
  <c r="Y207" i="71" a="1"/>
  <c r="Y207" i="71" s="1"/>
  <c r="X207" i="71" a="1"/>
  <c r="X207" i="71" s="1"/>
  <c r="W207" i="71" a="1"/>
  <c r="W207" i="71" s="1"/>
  <c r="V207" i="71" a="1"/>
  <c r="V207" i="71" s="1"/>
  <c r="U207" i="71" a="1"/>
  <c r="U207" i="71" s="1"/>
  <c r="T207" i="71" a="1"/>
  <c r="T207" i="71" s="1"/>
  <c r="S207" i="71" a="1"/>
  <c r="S207" i="71" s="1"/>
  <c r="R207" i="71" a="1"/>
  <c r="R207" i="71" s="1"/>
  <c r="Q207" i="71" a="1"/>
  <c r="Q207" i="71" s="1"/>
  <c r="P207" i="71" a="1"/>
  <c r="P207" i="71" s="1"/>
  <c r="O207" i="71" a="1"/>
  <c r="O207" i="71" s="1"/>
  <c r="N207" i="71" a="1"/>
  <c r="N207" i="71" s="1"/>
  <c r="M207" i="71" a="1"/>
  <c r="M207" i="71" s="1"/>
  <c r="L207" i="71" a="1"/>
  <c r="L207" i="71" s="1"/>
  <c r="K207" i="71" a="1"/>
  <c r="K207" i="71" s="1"/>
  <c r="J207" i="71" a="1"/>
  <c r="J207" i="71" s="1"/>
  <c r="I207" i="71" a="1"/>
  <c r="I207" i="71" s="1"/>
  <c r="H207" i="71" a="1"/>
  <c r="H207" i="71" s="1"/>
  <c r="G207" i="71" a="1"/>
  <c r="G207" i="71" s="1"/>
  <c r="F207" i="71" a="1"/>
  <c r="F207" i="71" s="1"/>
  <c r="E207" i="71" a="1"/>
  <c r="E207" i="71" s="1"/>
  <c r="D207" i="71" a="1"/>
  <c r="D207" i="71" s="1"/>
  <c r="AH206" i="71" a="1"/>
  <c r="AH206" i="71" s="1"/>
  <c r="AG206" i="71" a="1"/>
  <c r="AG206" i="71" s="1"/>
  <c r="AF206" i="71" a="1"/>
  <c r="AF206" i="71" s="1"/>
  <c r="AE206" i="71" a="1"/>
  <c r="AE206" i="71" s="1"/>
  <c r="AD206" i="71" a="1"/>
  <c r="AD206" i="71" s="1"/>
  <c r="AC206" i="71" a="1"/>
  <c r="AC206" i="71" s="1"/>
  <c r="AB206" i="71" a="1"/>
  <c r="AB206" i="71" s="1"/>
  <c r="AA206" i="71" a="1"/>
  <c r="AA206" i="71" s="1"/>
  <c r="Z206" i="71" a="1"/>
  <c r="Z206" i="71" s="1"/>
  <c r="Y206" i="71" a="1"/>
  <c r="Y206" i="71" s="1"/>
  <c r="X206" i="71" a="1"/>
  <c r="X206" i="71" s="1"/>
  <c r="W206" i="71" a="1"/>
  <c r="W206" i="71" s="1"/>
  <c r="V206" i="71" a="1"/>
  <c r="V206" i="71" s="1"/>
  <c r="U206" i="71" a="1"/>
  <c r="U206" i="71" s="1"/>
  <c r="T206" i="71" a="1"/>
  <c r="T206" i="71" s="1"/>
  <c r="S206" i="71" a="1"/>
  <c r="S206" i="71" s="1"/>
  <c r="R206" i="71" a="1"/>
  <c r="R206" i="71" s="1"/>
  <c r="Q206" i="71" a="1"/>
  <c r="Q206" i="71" s="1"/>
  <c r="P206" i="71" a="1"/>
  <c r="P206" i="71" s="1"/>
  <c r="O206" i="71" a="1"/>
  <c r="O206" i="71" s="1"/>
  <c r="N206" i="71" a="1"/>
  <c r="N206" i="71" s="1"/>
  <c r="M206" i="71" a="1"/>
  <c r="M206" i="71" s="1"/>
  <c r="L206" i="71" a="1"/>
  <c r="L206" i="71" s="1"/>
  <c r="K206" i="71" a="1"/>
  <c r="K206" i="71" s="1"/>
  <c r="J206" i="71" a="1"/>
  <c r="J206" i="71" s="1"/>
  <c r="I206" i="71" a="1"/>
  <c r="I206" i="71" s="1"/>
  <c r="H206" i="71" a="1"/>
  <c r="H206" i="71" s="1"/>
  <c r="G206" i="71" a="1"/>
  <c r="G206" i="71" s="1"/>
  <c r="F206" i="71" a="1"/>
  <c r="F206" i="71" s="1"/>
  <c r="E206" i="71" a="1"/>
  <c r="E206" i="71" s="1"/>
  <c r="D206" i="71" a="1"/>
  <c r="D206" i="71" s="1"/>
  <c r="AH205" i="71" a="1"/>
  <c r="AH205" i="71" s="1"/>
  <c r="AG205" i="71" a="1"/>
  <c r="AG205" i="71" s="1"/>
  <c r="AF205" i="71" a="1"/>
  <c r="AF205" i="71" s="1"/>
  <c r="AE205" i="71" a="1"/>
  <c r="AE205" i="71" s="1"/>
  <c r="AD205" i="71" a="1"/>
  <c r="AD205" i="71" s="1"/>
  <c r="AC205" i="71" a="1"/>
  <c r="AC205" i="71" s="1"/>
  <c r="AB205" i="71" a="1"/>
  <c r="AB205" i="71" s="1"/>
  <c r="AA205" i="71" a="1"/>
  <c r="AA205" i="71" s="1"/>
  <c r="Z205" i="71" a="1"/>
  <c r="Z205" i="71" s="1"/>
  <c r="Y205" i="71" a="1"/>
  <c r="Y205" i="71" s="1"/>
  <c r="X205" i="71" a="1"/>
  <c r="X205" i="71" s="1"/>
  <c r="W205" i="71" a="1"/>
  <c r="W205" i="71" s="1"/>
  <c r="V205" i="71" a="1"/>
  <c r="V205" i="71" s="1"/>
  <c r="U205" i="71" a="1"/>
  <c r="U205" i="71" s="1"/>
  <c r="T205" i="71" a="1"/>
  <c r="T205" i="71" s="1"/>
  <c r="S205" i="71" a="1"/>
  <c r="S205" i="71" s="1"/>
  <c r="R205" i="71" a="1"/>
  <c r="R205" i="71" s="1"/>
  <c r="Q205" i="71" a="1"/>
  <c r="Q205" i="71" s="1"/>
  <c r="P205" i="71" a="1"/>
  <c r="P205" i="71" s="1"/>
  <c r="O205" i="71" a="1"/>
  <c r="O205" i="71" s="1"/>
  <c r="N205" i="71" a="1"/>
  <c r="N205" i="71" s="1"/>
  <c r="M205" i="71" a="1"/>
  <c r="M205" i="71" s="1"/>
  <c r="L205" i="71" a="1"/>
  <c r="L205" i="71" s="1"/>
  <c r="K205" i="71" a="1"/>
  <c r="K205" i="71" s="1"/>
  <c r="J205" i="71" a="1"/>
  <c r="J205" i="71" s="1"/>
  <c r="I205" i="71" a="1"/>
  <c r="I205" i="71" s="1"/>
  <c r="H205" i="71" a="1"/>
  <c r="H205" i="71" s="1"/>
  <c r="G205" i="71" a="1"/>
  <c r="G205" i="71" s="1"/>
  <c r="F205" i="71" a="1"/>
  <c r="F205" i="71" s="1"/>
  <c r="E205" i="71" a="1"/>
  <c r="E205" i="71" s="1"/>
  <c r="D205" i="71" a="1"/>
  <c r="D205" i="71" s="1"/>
  <c r="AH204" i="71" a="1"/>
  <c r="AH204" i="71" s="1"/>
  <c r="AG204" i="71" a="1"/>
  <c r="AG204" i="71" s="1"/>
  <c r="AF204" i="71" a="1"/>
  <c r="AF204" i="71" s="1"/>
  <c r="AE204" i="71" a="1"/>
  <c r="AE204" i="71" s="1"/>
  <c r="AD204" i="71" a="1"/>
  <c r="AD204" i="71" s="1"/>
  <c r="AC204" i="71" a="1"/>
  <c r="AC204" i="71" s="1"/>
  <c r="AB204" i="71" a="1"/>
  <c r="AB204" i="71" s="1"/>
  <c r="AA204" i="71" a="1"/>
  <c r="AA204" i="71" s="1"/>
  <c r="Z204" i="71" a="1"/>
  <c r="Z204" i="71" s="1"/>
  <c r="Y204" i="71" a="1"/>
  <c r="Y204" i="71" s="1"/>
  <c r="X204" i="71" a="1"/>
  <c r="X204" i="71" s="1"/>
  <c r="W204" i="71" a="1"/>
  <c r="W204" i="71" s="1"/>
  <c r="V204" i="71" a="1"/>
  <c r="V204" i="71" s="1"/>
  <c r="U204" i="71" a="1"/>
  <c r="U204" i="71" s="1"/>
  <c r="T204" i="71" a="1"/>
  <c r="T204" i="71" s="1"/>
  <c r="S204" i="71" a="1"/>
  <c r="S204" i="71" s="1"/>
  <c r="R204" i="71" a="1"/>
  <c r="R204" i="71" s="1"/>
  <c r="Q204" i="71" a="1"/>
  <c r="Q204" i="71" s="1"/>
  <c r="P204" i="71" a="1"/>
  <c r="P204" i="71" s="1"/>
  <c r="O204" i="71" a="1"/>
  <c r="O204" i="71" s="1"/>
  <c r="N204" i="71" a="1"/>
  <c r="N204" i="71" s="1"/>
  <c r="M204" i="71" a="1"/>
  <c r="M204" i="71" s="1"/>
  <c r="L204" i="71" a="1"/>
  <c r="L204" i="71" s="1"/>
  <c r="K204" i="71" a="1"/>
  <c r="K204" i="71" s="1"/>
  <c r="J204" i="71" a="1"/>
  <c r="J204" i="71" s="1"/>
  <c r="I204" i="71" a="1"/>
  <c r="I204" i="71" s="1"/>
  <c r="H204" i="71" a="1"/>
  <c r="H204" i="71" s="1"/>
  <c r="G204" i="71" a="1"/>
  <c r="G204" i="71" s="1"/>
  <c r="F204" i="71" a="1"/>
  <c r="F204" i="71" s="1"/>
  <c r="E204" i="71" a="1"/>
  <c r="E204" i="71" s="1"/>
  <c r="D204" i="71" a="1"/>
  <c r="D204" i="71" s="1"/>
  <c r="AH203" i="71" a="1"/>
  <c r="AH203" i="71" s="1"/>
  <c r="AG203" i="71" a="1"/>
  <c r="AG203" i="71" s="1"/>
  <c r="AF203" i="71" a="1"/>
  <c r="AF203" i="71" s="1"/>
  <c r="AE203" i="71" a="1"/>
  <c r="AE203" i="71" s="1"/>
  <c r="AD203" i="71" a="1"/>
  <c r="AD203" i="71" s="1"/>
  <c r="AC203" i="71" a="1"/>
  <c r="AC203" i="71" s="1"/>
  <c r="AB203" i="71" a="1"/>
  <c r="AB203" i="71" s="1"/>
  <c r="AA203" i="71" a="1"/>
  <c r="AA203" i="71" s="1"/>
  <c r="Z203" i="71" a="1"/>
  <c r="Z203" i="71" s="1"/>
  <c r="Y203" i="71" a="1"/>
  <c r="Y203" i="71" s="1"/>
  <c r="X203" i="71" a="1"/>
  <c r="X203" i="71" s="1"/>
  <c r="W203" i="71" a="1"/>
  <c r="W203" i="71" s="1"/>
  <c r="V203" i="71" a="1"/>
  <c r="V203" i="71" s="1"/>
  <c r="U203" i="71" a="1"/>
  <c r="U203" i="71" s="1"/>
  <c r="T203" i="71" a="1"/>
  <c r="T203" i="71" s="1"/>
  <c r="S203" i="71" a="1"/>
  <c r="S203" i="71" s="1"/>
  <c r="R203" i="71" a="1"/>
  <c r="R203" i="71" s="1"/>
  <c r="Q203" i="71" a="1"/>
  <c r="Q203" i="71" s="1"/>
  <c r="P203" i="71" a="1"/>
  <c r="P203" i="71" s="1"/>
  <c r="O203" i="71" a="1"/>
  <c r="O203" i="71" s="1"/>
  <c r="N203" i="71" a="1"/>
  <c r="N203" i="71" s="1"/>
  <c r="M203" i="71" a="1"/>
  <c r="M203" i="71" s="1"/>
  <c r="L203" i="71" a="1"/>
  <c r="L203" i="71" s="1"/>
  <c r="K203" i="71" a="1"/>
  <c r="K203" i="71" s="1"/>
  <c r="J203" i="71" a="1"/>
  <c r="J203" i="71" s="1"/>
  <c r="I203" i="71" a="1"/>
  <c r="I203" i="71" s="1"/>
  <c r="H203" i="71" a="1"/>
  <c r="H203" i="71" s="1"/>
  <c r="G203" i="71" a="1"/>
  <c r="G203" i="71" s="1"/>
  <c r="F203" i="71" a="1"/>
  <c r="F203" i="71" s="1"/>
  <c r="E203" i="71" a="1"/>
  <c r="E203" i="71" s="1"/>
  <c r="D203" i="71" a="1"/>
  <c r="D203" i="71" s="1"/>
  <c r="AH202" i="71" a="1"/>
  <c r="AH202" i="71" s="1"/>
  <c r="AG202" i="71" a="1"/>
  <c r="AG202" i="71" s="1"/>
  <c r="AF202" i="71" a="1"/>
  <c r="AF202" i="71" s="1"/>
  <c r="AE202" i="71" a="1"/>
  <c r="AE202" i="71" s="1"/>
  <c r="AD202" i="71" a="1"/>
  <c r="AD202" i="71" s="1"/>
  <c r="AC202" i="71" a="1"/>
  <c r="AC202" i="71" s="1"/>
  <c r="AB202" i="71" a="1"/>
  <c r="AB202" i="71" s="1"/>
  <c r="AA202" i="71" a="1"/>
  <c r="AA202" i="71" s="1"/>
  <c r="Z202" i="71" a="1"/>
  <c r="Z202" i="71" s="1"/>
  <c r="Y202" i="71" a="1"/>
  <c r="Y202" i="71" s="1"/>
  <c r="X202" i="71" a="1"/>
  <c r="X202" i="71" s="1"/>
  <c r="W202" i="71" a="1"/>
  <c r="W202" i="71" s="1"/>
  <c r="V202" i="71" a="1"/>
  <c r="V202" i="71" s="1"/>
  <c r="U202" i="71" a="1"/>
  <c r="U202" i="71" s="1"/>
  <c r="T202" i="71" a="1"/>
  <c r="T202" i="71" s="1"/>
  <c r="S202" i="71" a="1"/>
  <c r="S202" i="71" s="1"/>
  <c r="R202" i="71" a="1"/>
  <c r="R202" i="71" s="1"/>
  <c r="Q202" i="71" a="1"/>
  <c r="Q202" i="71" s="1"/>
  <c r="P202" i="71" a="1"/>
  <c r="P202" i="71" s="1"/>
  <c r="O202" i="71" a="1"/>
  <c r="O202" i="71" s="1"/>
  <c r="N202" i="71" a="1"/>
  <c r="N202" i="71" s="1"/>
  <c r="M202" i="71" a="1"/>
  <c r="M202" i="71" s="1"/>
  <c r="L202" i="71" a="1"/>
  <c r="L202" i="71" s="1"/>
  <c r="K202" i="71" a="1"/>
  <c r="K202" i="71" s="1"/>
  <c r="J202" i="71" a="1"/>
  <c r="J202" i="71" s="1"/>
  <c r="I202" i="71" a="1"/>
  <c r="I202" i="71" s="1"/>
  <c r="H202" i="71" a="1"/>
  <c r="H202" i="71" s="1"/>
  <c r="G202" i="71" a="1"/>
  <c r="G202" i="71" s="1"/>
  <c r="F202" i="71" a="1"/>
  <c r="F202" i="71" s="1"/>
  <c r="E202" i="71" a="1"/>
  <c r="E202" i="71" s="1"/>
  <c r="D202" i="71" a="1"/>
  <c r="D202" i="71" s="1"/>
  <c r="AH201" i="71" a="1"/>
  <c r="AH201" i="71" s="1"/>
  <c r="AG201" i="71" a="1"/>
  <c r="AG201" i="71" s="1"/>
  <c r="AF201" i="71" a="1"/>
  <c r="AF201" i="71" s="1"/>
  <c r="AE201" i="71" a="1"/>
  <c r="AE201" i="71" s="1"/>
  <c r="AD201" i="71" a="1"/>
  <c r="AD201" i="71" s="1"/>
  <c r="AC201" i="71" a="1"/>
  <c r="AC201" i="71" s="1"/>
  <c r="AB201" i="71" a="1"/>
  <c r="AB201" i="71" s="1"/>
  <c r="AA201" i="71" a="1"/>
  <c r="AA201" i="71" s="1"/>
  <c r="Z201" i="71" a="1"/>
  <c r="Z201" i="71" s="1"/>
  <c r="Y201" i="71" a="1"/>
  <c r="Y201" i="71" s="1"/>
  <c r="X201" i="71" a="1"/>
  <c r="X201" i="71" s="1"/>
  <c r="W201" i="71" a="1"/>
  <c r="W201" i="71" s="1"/>
  <c r="V201" i="71" a="1"/>
  <c r="V201" i="71" s="1"/>
  <c r="U201" i="71" a="1"/>
  <c r="U201" i="71" s="1"/>
  <c r="T201" i="71" a="1"/>
  <c r="T201" i="71" s="1"/>
  <c r="S201" i="71" a="1"/>
  <c r="S201" i="71" s="1"/>
  <c r="R201" i="71" a="1"/>
  <c r="R201" i="71" s="1"/>
  <c r="Q201" i="71" a="1"/>
  <c r="Q201" i="71" s="1"/>
  <c r="P201" i="71" a="1"/>
  <c r="P201" i="71" s="1"/>
  <c r="O201" i="71" a="1"/>
  <c r="O201" i="71" s="1"/>
  <c r="N201" i="71" a="1"/>
  <c r="N201" i="71" s="1"/>
  <c r="M201" i="71" a="1"/>
  <c r="M201" i="71" s="1"/>
  <c r="L201" i="71" a="1"/>
  <c r="L201" i="71" s="1"/>
  <c r="K201" i="71" a="1"/>
  <c r="K201" i="71" s="1"/>
  <c r="J201" i="71" a="1"/>
  <c r="J201" i="71" s="1"/>
  <c r="I201" i="71" a="1"/>
  <c r="I201" i="71" s="1"/>
  <c r="H201" i="71" a="1"/>
  <c r="H201" i="71" s="1"/>
  <c r="G201" i="71" a="1"/>
  <c r="G201" i="71" s="1"/>
  <c r="F201" i="71" a="1"/>
  <c r="F201" i="71" s="1"/>
  <c r="E201" i="71" a="1"/>
  <c r="E201" i="71" s="1"/>
  <c r="D201" i="71" a="1"/>
  <c r="D201" i="71" s="1"/>
  <c r="AH200" i="71" a="1"/>
  <c r="AH200" i="71" s="1"/>
  <c r="AG200" i="71" a="1"/>
  <c r="AG200" i="71" s="1"/>
  <c r="AF200" i="71" a="1"/>
  <c r="AF200" i="71" s="1"/>
  <c r="AE200" i="71" a="1"/>
  <c r="AE200" i="71" s="1"/>
  <c r="AD200" i="71" a="1"/>
  <c r="AD200" i="71" s="1"/>
  <c r="AC200" i="71" a="1"/>
  <c r="AC200" i="71" s="1"/>
  <c r="AB200" i="71" a="1"/>
  <c r="AB200" i="71" s="1"/>
  <c r="AA200" i="71" a="1"/>
  <c r="AA200" i="71" s="1"/>
  <c r="Z200" i="71" a="1"/>
  <c r="Z200" i="71" s="1"/>
  <c r="Y200" i="71" a="1"/>
  <c r="Y200" i="71" s="1"/>
  <c r="X200" i="71" a="1"/>
  <c r="X200" i="71" s="1"/>
  <c r="W200" i="71" a="1"/>
  <c r="W200" i="71" s="1"/>
  <c r="V200" i="71" a="1"/>
  <c r="V200" i="71" s="1"/>
  <c r="U200" i="71" a="1"/>
  <c r="U200" i="71" s="1"/>
  <c r="T200" i="71" a="1"/>
  <c r="T200" i="71" s="1"/>
  <c r="S200" i="71" a="1"/>
  <c r="S200" i="71" s="1"/>
  <c r="R200" i="71" a="1"/>
  <c r="R200" i="71" s="1"/>
  <c r="Q200" i="71" a="1"/>
  <c r="Q200" i="71" s="1"/>
  <c r="P200" i="71" a="1"/>
  <c r="P200" i="71" s="1"/>
  <c r="O200" i="71" a="1"/>
  <c r="O200" i="71" s="1"/>
  <c r="N200" i="71" a="1"/>
  <c r="N200" i="71" s="1"/>
  <c r="M200" i="71" a="1"/>
  <c r="M200" i="71" s="1"/>
  <c r="L200" i="71" a="1"/>
  <c r="L200" i="71" s="1"/>
  <c r="K200" i="71" a="1"/>
  <c r="K200" i="71" s="1"/>
  <c r="J200" i="71" a="1"/>
  <c r="J200" i="71" s="1"/>
  <c r="I200" i="71" a="1"/>
  <c r="I200" i="71" s="1"/>
  <c r="H200" i="71" a="1"/>
  <c r="H200" i="71" s="1"/>
  <c r="G200" i="71" a="1"/>
  <c r="G200" i="71" s="1"/>
  <c r="F200" i="71" a="1"/>
  <c r="F200" i="71" s="1"/>
  <c r="E200" i="71" a="1"/>
  <c r="E200" i="71" s="1"/>
  <c r="D200" i="71" a="1"/>
  <c r="D200" i="71" s="1"/>
  <c r="AH199" i="71" a="1"/>
  <c r="AH199" i="71" s="1"/>
  <c r="AG199" i="71" a="1"/>
  <c r="AG199" i="71" s="1"/>
  <c r="AF199" i="71" a="1"/>
  <c r="AF199" i="71" s="1"/>
  <c r="AE199" i="71" a="1"/>
  <c r="AE199" i="71" s="1"/>
  <c r="AD199" i="71" a="1"/>
  <c r="AD199" i="71" s="1"/>
  <c r="AC199" i="71" a="1"/>
  <c r="AC199" i="71" s="1"/>
  <c r="AB199" i="71" a="1"/>
  <c r="AB199" i="71" s="1"/>
  <c r="AA199" i="71" a="1"/>
  <c r="AA199" i="71" s="1"/>
  <c r="Z199" i="71" a="1"/>
  <c r="Z199" i="71" s="1"/>
  <c r="Y199" i="71" a="1"/>
  <c r="Y199" i="71" s="1"/>
  <c r="X199" i="71" a="1"/>
  <c r="X199" i="71" s="1"/>
  <c r="W199" i="71" a="1"/>
  <c r="W199" i="71" s="1"/>
  <c r="V199" i="71" a="1"/>
  <c r="V199" i="71" s="1"/>
  <c r="U199" i="71" a="1"/>
  <c r="U199" i="71" s="1"/>
  <c r="T199" i="71" a="1"/>
  <c r="T199" i="71" s="1"/>
  <c r="S199" i="71" a="1"/>
  <c r="S199" i="71" s="1"/>
  <c r="R199" i="71" a="1"/>
  <c r="R199" i="71" s="1"/>
  <c r="Q199" i="71" a="1"/>
  <c r="Q199" i="71" s="1"/>
  <c r="P199" i="71" a="1"/>
  <c r="P199" i="71" s="1"/>
  <c r="O199" i="71" a="1"/>
  <c r="O199" i="71" s="1"/>
  <c r="N199" i="71" a="1"/>
  <c r="N199" i="71" s="1"/>
  <c r="M199" i="71" a="1"/>
  <c r="M199" i="71" s="1"/>
  <c r="L199" i="71" a="1"/>
  <c r="L199" i="71" s="1"/>
  <c r="K199" i="71" a="1"/>
  <c r="K199" i="71" s="1"/>
  <c r="J199" i="71" a="1"/>
  <c r="J199" i="71" s="1"/>
  <c r="I199" i="71" a="1"/>
  <c r="I199" i="71" s="1"/>
  <c r="H199" i="71" a="1"/>
  <c r="H199" i="71" s="1"/>
  <c r="G199" i="71" a="1"/>
  <c r="G199" i="71" s="1"/>
  <c r="F199" i="71" a="1"/>
  <c r="F199" i="71" s="1"/>
  <c r="E199" i="71" a="1"/>
  <c r="E199" i="71" s="1"/>
  <c r="D199" i="71" a="1"/>
  <c r="D199" i="71" s="1"/>
  <c r="AH198" i="71" a="1"/>
  <c r="AH198" i="71" s="1"/>
  <c r="AG198" i="71" a="1"/>
  <c r="AG198" i="71" s="1"/>
  <c r="AF198" i="71" a="1"/>
  <c r="AF198" i="71" s="1"/>
  <c r="AE198" i="71" a="1"/>
  <c r="AE198" i="71" s="1"/>
  <c r="AD198" i="71" a="1"/>
  <c r="AD198" i="71" s="1"/>
  <c r="AC198" i="71" a="1"/>
  <c r="AC198" i="71" s="1"/>
  <c r="AB198" i="71" a="1"/>
  <c r="AB198" i="71" s="1"/>
  <c r="AA198" i="71" a="1"/>
  <c r="AA198" i="71" s="1"/>
  <c r="Z198" i="71" a="1"/>
  <c r="Z198" i="71" s="1"/>
  <c r="Y198" i="71" a="1"/>
  <c r="Y198" i="71" s="1"/>
  <c r="X198" i="71" a="1"/>
  <c r="X198" i="71" s="1"/>
  <c r="W198" i="71" a="1"/>
  <c r="W198" i="71" s="1"/>
  <c r="V198" i="71" a="1"/>
  <c r="V198" i="71" s="1"/>
  <c r="U198" i="71" a="1"/>
  <c r="U198" i="71" s="1"/>
  <c r="T198" i="71" a="1"/>
  <c r="T198" i="71" s="1"/>
  <c r="S198" i="71" a="1"/>
  <c r="S198" i="71" s="1"/>
  <c r="R198" i="71" a="1"/>
  <c r="R198" i="71" s="1"/>
  <c r="Q198" i="71" a="1"/>
  <c r="Q198" i="71" s="1"/>
  <c r="P198" i="71" a="1"/>
  <c r="P198" i="71" s="1"/>
  <c r="O198" i="71" a="1"/>
  <c r="O198" i="71" s="1"/>
  <c r="N198" i="71" a="1"/>
  <c r="N198" i="71" s="1"/>
  <c r="M198" i="71" a="1"/>
  <c r="M198" i="71" s="1"/>
  <c r="L198" i="71" a="1"/>
  <c r="L198" i="71" s="1"/>
  <c r="K198" i="71" a="1"/>
  <c r="K198" i="71" s="1"/>
  <c r="J198" i="71" a="1"/>
  <c r="J198" i="71" s="1"/>
  <c r="I198" i="71" a="1"/>
  <c r="I198" i="71" s="1"/>
  <c r="H198" i="71" a="1"/>
  <c r="H198" i="71" s="1"/>
  <c r="G198" i="71" a="1"/>
  <c r="G198" i="71" s="1"/>
  <c r="F198" i="71" a="1"/>
  <c r="F198" i="71" s="1"/>
  <c r="E198" i="71" a="1"/>
  <c r="E198" i="71" s="1"/>
  <c r="D198" i="71" a="1"/>
  <c r="D198" i="71" s="1"/>
  <c r="AH197" i="71" a="1"/>
  <c r="AH197" i="71" s="1"/>
  <c r="AG197" i="71" a="1"/>
  <c r="AG197" i="71" s="1"/>
  <c r="AF197" i="71" a="1"/>
  <c r="AF197" i="71" s="1"/>
  <c r="AE197" i="71" a="1"/>
  <c r="AE197" i="71" s="1"/>
  <c r="AD197" i="71" a="1"/>
  <c r="AD197" i="71" s="1"/>
  <c r="AC197" i="71" a="1"/>
  <c r="AC197" i="71" s="1"/>
  <c r="AB197" i="71" a="1"/>
  <c r="AB197" i="71" s="1"/>
  <c r="AA197" i="71" a="1"/>
  <c r="AA197" i="71" s="1"/>
  <c r="Z197" i="71" a="1"/>
  <c r="Z197" i="71" s="1"/>
  <c r="Y197" i="71" a="1"/>
  <c r="Y197" i="71" s="1"/>
  <c r="X197" i="71" a="1"/>
  <c r="X197" i="71" s="1"/>
  <c r="W197" i="71" a="1"/>
  <c r="W197" i="71" s="1"/>
  <c r="V197" i="71" a="1"/>
  <c r="V197" i="71" s="1"/>
  <c r="U197" i="71" a="1"/>
  <c r="U197" i="71" s="1"/>
  <c r="T197" i="71" a="1"/>
  <c r="T197" i="71" s="1"/>
  <c r="S197" i="71" a="1"/>
  <c r="S197" i="71" s="1"/>
  <c r="R197" i="71" a="1"/>
  <c r="R197" i="71" s="1"/>
  <c r="Q197" i="71" a="1"/>
  <c r="Q197" i="71" s="1"/>
  <c r="P197" i="71" a="1"/>
  <c r="P197" i="71" s="1"/>
  <c r="O197" i="71" a="1"/>
  <c r="O197" i="71" s="1"/>
  <c r="N197" i="71" a="1"/>
  <c r="N197" i="71" s="1"/>
  <c r="M197" i="71" a="1"/>
  <c r="M197" i="71" s="1"/>
  <c r="L197" i="71" a="1"/>
  <c r="L197" i="71" s="1"/>
  <c r="K197" i="71" a="1"/>
  <c r="K197" i="71" s="1"/>
  <c r="J197" i="71" a="1"/>
  <c r="J197" i="71" s="1"/>
  <c r="I197" i="71" a="1"/>
  <c r="I197" i="71" s="1"/>
  <c r="H197" i="71" a="1"/>
  <c r="H197" i="71" s="1"/>
  <c r="G197" i="71" a="1"/>
  <c r="G197" i="71" s="1"/>
  <c r="F197" i="71" a="1"/>
  <c r="F197" i="71" s="1"/>
  <c r="E197" i="71" a="1"/>
  <c r="E197" i="71" s="1"/>
  <c r="D197" i="71" a="1"/>
  <c r="D197" i="71" s="1"/>
  <c r="AH196" i="71" a="1"/>
  <c r="AH196" i="71" s="1"/>
  <c r="AG196" i="71" a="1"/>
  <c r="AG196" i="71" s="1"/>
  <c r="AF196" i="71" a="1"/>
  <c r="AF196" i="71" s="1"/>
  <c r="AE196" i="71" a="1"/>
  <c r="AE196" i="71" s="1"/>
  <c r="AD196" i="71" a="1"/>
  <c r="AD196" i="71" s="1"/>
  <c r="AC196" i="71" a="1"/>
  <c r="AC196" i="71" s="1"/>
  <c r="AB196" i="71" a="1"/>
  <c r="AB196" i="71" s="1"/>
  <c r="AA196" i="71" a="1"/>
  <c r="AA196" i="71" s="1"/>
  <c r="Z196" i="71" a="1"/>
  <c r="Z196" i="71" s="1"/>
  <c r="Y196" i="71" a="1"/>
  <c r="Y196" i="71" s="1"/>
  <c r="X196" i="71" a="1"/>
  <c r="X196" i="71" s="1"/>
  <c r="W196" i="71" a="1"/>
  <c r="W196" i="71" s="1"/>
  <c r="V196" i="71" a="1"/>
  <c r="V196" i="71" s="1"/>
  <c r="U196" i="71" a="1"/>
  <c r="U196" i="71" s="1"/>
  <c r="T196" i="71" a="1"/>
  <c r="T196" i="71" s="1"/>
  <c r="S196" i="71" a="1"/>
  <c r="S196" i="71" s="1"/>
  <c r="R196" i="71" a="1"/>
  <c r="R196" i="71" s="1"/>
  <c r="Q196" i="71" a="1"/>
  <c r="Q196" i="71" s="1"/>
  <c r="P196" i="71" a="1"/>
  <c r="P196" i="71" s="1"/>
  <c r="O196" i="71" a="1"/>
  <c r="O196" i="71" s="1"/>
  <c r="N196" i="71" a="1"/>
  <c r="N196" i="71" s="1"/>
  <c r="M196" i="71" a="1"/>
  <c r="M196" i="71" s="1"/>
  <c r="L196" i="71" a="1"/>
  <c r="L196" i="71" s="1"/>
  <c r="K196" i="71" a="1"/>
  <c r="K196" i="71" s="1"/>
  <c r="J196" i="71" a="1"/>
  <c r="J196" i="71" s="1"/>
  <c r="I196" i="71" a="1"/>
  <c r="I196" i="71" s="1"/>
  <c r="H196" i="71" a="1"/>
  <c r="H196" i="71" s="1"/>
  <c r="G196" i="71" a="1"/>
  <c r="G196" i="71" s="1"/>
  <c r="F196" i="71" a="1"/>
  <c r="F196" i="71" s="1"/>
  <c r="E196" i="71" a="1"/>
  <c r="E196" i="71" s="1"/>
  <c r="D196" i="71" a="1"/>
  <c r="D196" i="71" s="1"/>
  <c r="AH195" i="71" a="1"/>
  <c r="AH195" i="71" s="1"/>
  <c r="AG195" i="71" a="1"/>
  <c r="AG195" i="71" s="1"/>
  <c r="AF195" i="71" a="1"/>
  <c r="AF195" i="71" s="1"/>
  <c r="AE195" i="71" a="1"/>
  <c r="AE195" i="71" s="1"/>
  <c r="AD195" i="71" a="1"/>
  <c r="AD195" i="71" s="1"/>
  <c r="AC195" i="71" a="1"/>
  <c r="AC195" i="71" s="1"/>
  <c r="AB195" i="71" a="1"/>
  <c r="AB195" i="71" s="1"/>
  <c r="AA195" i="71" a="1"/>
  <c r="AA195" i="71" s="1"/>
  <c r="Z195" i="71" a="1"/>
  <c r="Z195" i="71" s="1"/>
  <c r="Y195" i="71" a="1"/>
  <c r="Y195" i="71" s="1"/>
  <c r="X195" i="71" a="1"/>
  <c r="X195" i="71" s="1"/>
  <c r="W195" i="71" a="1"/>
  <c r="W195" i="71" s="1"/>
  <c r="V195" i="71" a="1"/>
  <c r="V195" i="71" s="1"/>
  <c r="U195" i="71" a="1"/>
  <c r="U195" i="71" s="1"/>
  <c r="T195" i="71" a="1"/>
  <c r="T195" i="71" s="1"/>
  <c r="S195" i="71" a="1"/>
  <c r="S195" i="71" s="1"/>
  <c r="R195" i="71" a="1"/>
  <c r="R195" i="71" s="1"/>
  <c r="Q195" i="71" a="1"/>
  <c r="Q195" i="71" s="1"/>
  <c r="P195" i="71" a="1"/>
  <c r="P195" i="71" s="1"/>
  <c r="O195" i="71" a="1"/>
  <c r="O195" i="71" s="1"/>
  <c r="N195" i="71" a="1"/>
  <c r="N195" i="71" s="1"/>
  <c r="M195" i="71" a="1"/>
  <c r="M195" i="71" s="1"/>
  <c r="L195" i="71" a="1"/>
  <c r="L195" i="71" s="1"/>
  <c r="K195" i="71" a="1"/>
  <c r="K195" i="71" s="1"/>
  <c r="J195" i="71" a="1"/>
  <c r="J195" i="71" s="1"/>
  <c r="I195" i="71" a="1"/>
  <c r="I195" i="71" s="1"/>
  <c r="H195" i="71" a="1"/>
  <c r="H195" i="71" s="1"/>
  <c r="G195" i="71" a="1"/>
  <c r="G195" i="71" s="1"/>
  <c r="F195" i="71" a="1"/>
  <c r="F195" i="71" s="1"/>
  <c r="E195" i="71" a="1"/>
  <c r="E195" i="71" s="1"/>
  <c r="D195" i="71" a="1"/>
  <c r="D195" i="71" s="1"/>
  <c r="AH194" i="71" a="1"/>
  <c r="AH194" i="71" s="1"/>
  <c r="AG194" i="71" a="1"/>
  <c r="AG194" i="71" s="1"/>
  <c r="AF194" i="71" a="1"/>
  <c r="AF194" i="71" s="1"/>
  <c r="AE194" i="71" a="1"/>
  <c r="AE194" i="71" s="1"/>
  <c r="AD194" i="71" a="1"/>
  <c r="AD194" i="71" s="1"/>
  <c r="AC194" i="71" a="1"/>
  <c r="AC194" i="71" s="1"/>
  <c r="AB194" i="71" a="1"/>
  <c r="AB194" i="71" s="1"/>
  <c r="AA194" i="71" a="1"/>
  <c r="AA194" i="71" s="1"/>
  <c r="Z194" i="71" a="1"/>
  <c r="Z194" i="71" s="1"/>
  <c r="Y194" i="71" a="1"/>
  <c r="Y194" i="71" s="1"/>
  <c r="X194" i="71" a="1"/>
  <c r="X194" i="71" s="1"/>
  <c r="W194" i="71" a="1"/>
  <c r="W194" i="71" s="1"/>
  <c r="V194" i="71" a="1"/>
  <c r="V194" i="71" s="1"/>
  <c r="U194" i="71" a="1"/>
  <c r="U194" i="71" s="1"/>
  <c r="T194" i="71" a="1"/>
  <c r="T194" i="71" s="1"/>
  <c r="S194" i="71" a="1"/>
  <c r="S194" i="71" s="1"/>
  <c r="R194" i="71" a="1"/>
  <c r="R194" i="71" s="1"/>
  <c r="Q194" i="71" a="1"/>
  <c r="Q194" i="71" s="1"/>
  <c r="P194" i="71" a="1"/>
  <c r="P194" i="71" s="1"/>
  <c r="O194" i="71" a="1"/>
  <c r="O194" i="71" s="1"/>
  <c r="N194" i="71" a="1"/>
  <c r="N194" i="71" s="1"/>
  <c r="M194" i="71" a="1"/>
  <c r="M194" i="71" s="1"/>
  <c r="L194" i="71" a="1"/>
  <c r="L194" i="71" s="1"/>
  <c r="K194" i="71" a="1"/>
  <c r="K194" i="71" s="1"/>
  <c r="J194" i="71" a="1"/>
  <c r="J194" i="71" s="1"/>
  <c r="I194" i="71" a="1"/>
  <c r="I194" i="71" s="1"/>
  <c r="H194" i="71" a="1"/>
  <c r="H194" i="71" s="1"/>
  <c r="G194" i="71" a="1"/>
  <c r="G194" i="71" s="1"/>
  <c r="F194" i="71" a="1"/>
  <c r="F194" i="71" s="1"/>
  <c r="E194" i="71" a="1"/>
  <c r="E194" i="71" s="1"/>
  <c r="D194" i="71" a="1"/>
  <c r="D194" i="71" s="1"/>
  <c r="AH193" i="71" a="1"/>
  <c r="AH193" i="71" s="1"/>
  <c r="AG193" i="71" a="1"/>
  <c r="AG193" i="71" s="1"/>
  <c r="AF193" i="71" a="1"/>
  <c r="AF193" i="71" s="1"/>
  <c r="AE193" i="71" a="1"/>
  <c r="AE193" i="71" s="1"/>
  <c r="AD193" i="71" a="1"/>
  <c r="AD193" i="71" s="1"/>
  <c r="AC193" i="71" a="1"/>
  <c r="AC193" i="71" s="1"/>
  <c r="AB193" i="71" a="1"/>
  <c r="AB193" i="71" s="1"/>
  <c r="AA193" i="71" a="1"/>
  <c r="AA193" i="71" s="1"/>
  <c r="Z193" i="71" a="1"/>
  <c r="Z193" i="71" s="1"/>
  <c r="Y193" i="71" a="1"/>
  <c r="Y193" i="71" s="1"/>
  <c r="X193" i="71" a="1"/>
  <c r="X193" i="71" s="1"/>
  <c r="W193" i="71" a="1"/>
  <c r="W193" i="71" s="1"/>
  <c r="V193" i="71" a="1"/>
  <c r="V193" i="71" s="1"/>
  <c r="U193" i="71" a="1"/>
  <c r="U193" i="71" s="1"/>
  <c r="T193" i="71" a="1"/>
  <c r="T193" i="71" s="1"/>
  <c r="S193" i="71" a="1"/>
  <c r="S193" i="71" s="1"/>
  <c r="R193" i="71" a="1"/>
  <c r="R193" i="71" s="1"/>
  <c r="Q193" i="71" a="1"/>
  <c r="Q193" i="71" s="1"/>
  <c r="P193" i="71" a="1"/>
  <c r="P193" i="71" s="1"/>
  <c r="O193" i="71" a="1"/>
  <c r="O193" i="71" s="1"/>
  <c r="N193" i="71" a="1"/>
  <c r="N193" i="71" s="1"/>
  <c r="M193" i="71" a="1"/>
  <c r="M193" i="71" s="1"/>
  <c r="L193" i="71" a="1"/>
  <c r="L193" i="71" s="1"/>
  <c r="K193" i="71" a="1"/>
  <c r="K193" i="71" s="1"/>
  <c r="J193" i="71" a="1"/>
  <c r="J193" i="71" s="1"/>
  <c r="I193" i="71" a="1"/>
  <c r="I193" i="71" s="1"/>
  <c r="H193" i="71" a="1"/>
  <c r="H193" i="71" s="1"/>
  <c r="G193" i="71" a="1"/>
  <c r="G193" i="71" s="1"/>
  <c r="F193" i="71" a="1"/>
  <c r="F193" i="71" s="1"/>
  <c r="E193" i="71" a="1"/>
  <c r="E193" i="71" s="1"/>
  <c r="D193" i="71" a="1"/>
  <c r="D193" i="71" s="1"/>
  <c r="AH192" i="71" a="1"/>
  <c r="AH192" i="71" s="1"/>
  <c r="AG192" i="71" a="1"/>
  <c r="AG192" i="71" s="1"/>
  <c r="AF192" i="71" a="1"/>
  <c r="AF192" i="71" s="1"/>
  <c r="AE192" i="71" a="1"/>
  <c r="AE192" i="71" s="1"/>
  <c r="AD192" i="71" a="1"/>
  <c r="AD192" i="71" s="1"/>
  <c r="AC192" i="71" a="1"/>
  <c r="AC192" i="71" s="1"/>
  <c r="AB192" i="71" a="1"/>
  <c r="AB192" i="71" s="1"/>
  <c r="AA192" i="71" a="1"/>
  <c r="AA192" i="71" s="1"/>
  <c r="Z192" i="71" a="1"/>
  <c r="Z192" i="71" s="1"/>
  <c r="Y192" i="71" a="1"/>
  <c r="Y192" i="71" s="1"/>
  <c r="X192" i="71" a="1"/>
  <c r="X192" i="71" s="1"/>
  <c r="W192" i="71" a="1"/>
  <c r="W192" i="71" s="1"/>
  <c r="V192" i="71" a="1"/>
  <c r="V192" i="71" s="1"/>
  <c r="U192" i="71" a="1"/>
  <c r="U192" i="71" s="1"/>
  <c r="T192" i="71" a="1"/>
  <c r="T192" i="71" s="1"/>
  <c r="S192" i="71" a="1"/>
  <c r="S192" i="71" s="1"/>
  <c r="R192" i="71" a="1"/>
  <c r="R192" i="71" s="1"/>
  <c r="Q192" i="71" a="1"/>
  <c r="Q192" i="71" s="1"/>
  <c r="P192" i="71" a="1"/>
  <c r="P192" i="71" s="1"/>
  <c r="O192" i="71" a="1"/>
  <c r="O192" i="71" s="1"/>
  <c r="N192" i="71" a="1"/>
  <c r="N192" i="71" s="1"/>
  <c r="M192" i="71" a="1"/>
  <c r="M192" i="71" s="1"/>
  <c r="L192" i="71" a="1"/>
  <c r="L192" i="71" s="1"/>
  <c r="K192" i="71" a="1"/>
  <c r="K192" i="71" s="1"/>
  <c r="J192" i="71" a="1"/>
  <c r="J192" i="71" s="1"/>
  <c r="I192" i="71" a="1"/>
  <c r="I192" i="71" s="1"/>
  <c r="H192" i="71" a="1"/>
  <c r="H192" i="71" s="1"/>
  <c r="G192" i="71" a="1"/>
  <c r="G192" i="71" s="1"/>
  <c r="F192" i="71" a="1"/>
  <c r="F192" i="71" s="1"/>
  <c r="E192" i="71" a="1"/>
  <c r="E192" i="71" s="1"/>
  <c r="D192" i="71" a="1"/>
  <c r="D192" i="71" s="1"/>
  <c r="AH191" i="71" a="1"/>
  <c r="AH191" i="71" s="1"/>
  <c r="AG191" i="71" a="1"/>
  <c r="AG191" i="71" s="1"/>
  <c r="AF191" i="71" a="1"/>
  <c r="AF191" i="71" s="1"/>
  <c r="AE191" i="71" a="1"/>
  <c r="AE191" i="71" s="1"/>
  <c r="AD191" i="71" a="1"/>
  <c r="AD191" i="71" s="1"/>
  <c r="AC191" i="71" a="1"/>
  <c r="AC191" i="71" s="1"/>
  <c r="AB191" i="71" a="1"/>
  <c r="AB191" i="71" s="1"/>
  <c r="AA191" i="71" a="1"/>
  <c r="AA191" i="71" s="1"/>
  <c r="Z191" i="71" a="1"/>
  <c r="Z191" i="71" s="1"/>
  <c r="Y191" i="71" a="1"/>
  <c r="Y191" i="71" s="1"/>
  <c r="X191" i="71" a="1"/>
  <c r="X191" i="71" s="1"/>
  <c r="W191" i="71" a="1"/>
  <c r="W191" i="71" s="1"/>
  <c r="V191" i="71" a="1"/>
  <c r="V191" i="71" s="1"/>
  <c r="U191" i="71" a="1"/>
  <c r="U191" i="71" s="1"/>
  <c r="T191" i="71" a="1"/>
  <c r="T191" i="71" s="1"/>
  <c r="S191" i="71" a="1"/>
  <c r="S191" i="71" s="1"/>
  <c r="R191" i="71" a="1"/>
  <c r="R191" i="71" s="1"/>
  <c r="Q191" i="71" a="1"/>
  <c r="Q191" i="71" s="1"/>
  <c r="P191" i="71" a="1"/>
  <c r="P191" i="71" s="1"/>
  <c r="O191" i="71" a="1"/>
  <c r="O191" i="71" s="1"/>
  <c r="N191" i="71" a="1"/>
  <c r="N191" i="71" s="1"/>
  <c r="M191" i="71" a="1"/>
  <c r="M191" i="71" s="1"/>
  <c r="L191" i="71" a="1"/>
  <c r="L191" i="71" s="1"/>
  <c r="K191" i="71" a="1"/>
  <c r="K191" i="71" s="1"/>
  <c r="J191" i="71" a="1"/>
  <c r="J191" i="71" s="1"/>
  <c r="I191" i="71" a="1"/>
  <c r="I191" i="71" s="1"/>
  <c r="H191" i="71" a="1"/>
  <c r="H191" i="71" s="1"/>
  <c r="G191" i="71" a="1"/>
  <c r="G191" i="71" s="1"/>
  <c r="F191" i="71" a="1"/>
  <c r="F191" i="71" s="1"/>
  <c r="E191" i="71" a="1"/>
  <c r="E191" i="71" s="1"/>
  <c r="D191" i="71" a="1"/>
  <c r="D191" i="71" s="1"/>
  <c r="AH190" i="71" a="1"/>
  <c r="AH190" i="71" s="1"/>
  <c r="AG190" i="71" a="1"/>
  <c r="AG190" i="71" s="1"/>
  <c r="AF190" i="71" a="1"/>
  <c r="AF190" i="71" s="1"/>
  <c r="AE190" i="71" a="1"/>
  <c r="AE190" i="71" s="1"/>
  <c r="AD190" i="71" a="1"/>
  <c r="AD190" i="71" s="1"/>
  <c r="AC190" i="71" a="1"/>
  <c r="AC190" i="71" s="1"/>
  <c r="AB190" i="71" a="1"/>
  <c r="AB190" i="71" s="1"/>
  <c r="AA190" i="71" a="1"/>
  <c r="AA190" i="71" s="1"/>
  <c r="Z190" i="71" a="1"/>
  <c r="Z190" i="71" s="1"/>
  <c r="Y190" i="71" a="1"/>
  <c r="Y190" i="71" s="1"/>
  <c r="X190" i="71" a="1"/>
  <c r="X190" i="71" s="1"/>
  <c r="W190" i="71" a="1"/>
  <c r="W190" i="71" s="1"/>
  <c r="V190" i="71" a="1"/>
  <c r="V190" i="71" s="1"/>
  <c r="U190" i="71" a="1"/>
  <c r="U190" i="71" s="1"/>
  <c r="T190" i="71" a="1"/>
  <c r="T190" i="71" s="1"/>
  <c r="S190" i="71" a="1"/>
  <c r="S190" i="71" s="1"/>
  <c r="R190" i="71" a="1"/>
  <c r="R190" i="71" s="1"/>
  <c r="Q190" i="71" a="1"/>
  <c r="Q190" i="71" s="1"/>
  <c r="P190" i="71" a="1"/>
  <c r="P190" i="71" s="1"/>
  <c r="O190" i="71" a="1"/>
  <c r="O190" i="71" s="1"/>
  <c r="N190" i="71" a="1"/>
  <c r="N190" i="71" s="1"/>
  <c r="M190" i="71" a="1"/>
  <c r="M190" i="71" s="1"/>
  <c r="L190" i="71" a="1"/>
  <c r="L190" i="71" s="1"/>
  <c r="K190" i="71" a="1"/>
  <c r="K190" i="71" s="1"/>
  <c r="J190" i="71" a="1"/>
  <c r="J190" i="71" s="1"/>
  <c r="I190" i="71" a="1"/>
  <c r="I190" i="71" s="1"/>
  <c r="H190" i="71" a="1"/>
  <c r="H190" i="71" s="1"/>
  <c r="G190" i="71" a="1"/>
  <c r="G190" i="71" s="1"/>
  <c r="F190" i="71" a="1"/>
  <c r="F190" i="71" s="1"/>
  <c r="E190" i="71" a="1"/>
  <c r="E190" i="71" s="1"/>
  <c r="D190" i="71" a="1"/>
  <c r="D190" i="71" s="1"/>
  <c r="AH189" i="71" a="1"/>
  <c r="AH189" i="71" s="1"/>
  <c r="AG189" i="71" a="1"/>
  <c r="AG189" i="71" s="1"/>
  <c r="AF189" i="71" a="1"/>
  <c r="AF189" i="71" s="1"/>
  <c r="AE189" i="71" a="1"/>
  <c r="AE189" i="71" s="1"/>
  <c r="AD189" i="71" a="1"/>
  <c r="AD189" i="71" s="1"/>
  <c r="AC189" i="71" a="1"/>
  <c r="AC189" i="71" s="1"/>
  <c r="AB189" i="71" a="1"/>
  <c r="AB189" i="71" s="1"/>
  <c r="AA189" i="71" a="1"/>
  <c r="AA189" i="71" s="1"/>
  <c r="Z189" i="71" a="1"/>
  <c r="Z189" i="71" s="1"/>
  <c r="Y189" i="71" a="1"/>
  <c r="Y189" i="71" s="1"/>
  <c r="X189" i="71" a="1"/>
  <c r="X189" i="71" s="1"/>
  <c r="W189" i="71" a="1"/>
  <c r="W189" i="71" s="1"/>
  <c r="V189" i="71" a="1"/>
  <c r="V189" i="71" s="1"/>
  <c r="U189" i="71" a="1"/>
  <c r="U189" i="71" s="1"/>
  <c r="T189" i="71" a="1"/>
  <c r="T189" i="71" s="1"/>
  <c r="S189" i="71" a="1"/>
  <c r="S189" i="71" s="1"/>
  <c r="R189" i="71" a="1"/>
  <c r="R189" i="71" s="1"/>
  <c r="Q189" i="71" a="1"/>
  <c r="Q189" i="71" s="1"/>
  <c r="P189" i="71" a="1"/>
  <c r="P189" i="71" s="1"/>
  <c r="O189" i="71" a="1"/>
  <c r="O189" i="71" s="1"/>
  <c r="N189" i="71" a="1"/>
  <c r="N189" i="71" s="1"/>
  <c r="M189" i="71" a="1"/>
  <c r="M189" i="71" s="1"/>
  <c r="L189" i="71" a="1"/>
  <c r="L189" i="71" s="1"/>
  <c r="K189" i="71" a="1"/>
  <c r="K189" i="71" s="1"/>
  <c r="J189" i="71" a="1"/>
  <c r="J189" i="71" s="1"/>
  <c r="I189" i="71" a="1"/>
  <c r="I189" i="71" s="1"/>
  <c r="H189" i="71" a="1"/>
  <c r="H189" i="71" s="1"/>
  <c r="G189" i="71" a="1"/>
  <c r="G189" i="71" s="1"/>
  <c r="F189" i="71" a="1"/>
  <c r="F189" i="71" s="1"/>
  <c r="E189" i="71" a="1"/>
  <c r="E189" i="71" s="1"/>
  <c r="D189" i="71" a="1"/>
  <c r="D189" i="71" s="1"/>
  <c r="AH188" i="71" a="1"/>
  <c r="AH188" i="71" s="1"/>
  <c r="AG188" i="71" a="1"/>
  <c r="AG188" i="71" s="1"/>
  <c r="AF188" i="71" a="1"/>
  <c r="AF188" i="71" s="1"/>
  <c r="AE188" i="71" a="1"/>
  <c r="AE188" i="71" s="1"/>
  <c r="AD188" i="71" a="1"/>
  <c r="AD188" i="71" s="1"/>
  <c r="AC188" i="71" a="1"/>
  <c r="AC188" i="71" s="1"/>
  <c r="AB188" i="71" a="1"/>
  <c r="AB188" i="71" s="1"/>
  <c r="AA188" i="71" a="1"/>
  <c r="AA188" i="71" s="1"/>
  <c r="Z188" i="71" a="1"/>
  <c r="Z188" i="71" s="1"/>
  <c r="Y188" i="71" a="1"/>
  <c r="Y188" i="71" s="1"/>
  <c r="X188" i="71" a="1"/>
  <c r="X188" i="71" s="1"/>
  <c r="W188" i="71" a="1"/>
  <c r="W188" i="71" s="1"/>
  <c r="V188" i="71" a="1"/>
  <c r="V188" i="71" s="1"/>
  <c r="U188" i="71" a="1"/>
  <c r="U188" i="71" s="1"/>
  <c r="T188" i="71" a="1"/>
  <c r="T188" i="71" s="1"/>
  <c r="S188" i="71" a="1"/>
  <c r="S188" i="71" s="1"/>
  <c r="R188" i="71" a="1"/>
  <c r="R188" i="71" s="1"/>
  <c r="Q188" i="71" a="1"/>
  <c r="Q188" i="71" s="1"/>
  <c r="P188" i="71" a="1"/>
  <c r="P188" i="71" s="1"/>
  <c r="O188" i="71" a="1"/>
  <c r="O188" i="71" s="1"/>
  <c r="N188" i="71" a="1"/>
  <c r="N188" i="71" s="1"/>
  <c r="M188" i="71" a="1"/>
  <c r="M188" i="71" s="1"/>
  <c r="L188" i="71" a="1"/>
  <c r="L188" i="71" s="1"/>
  <c r="K188" i="71" a="1"/>
  <c r="K188" i="71" s="1"/>
  <c r="J188" i="71" a="1"/>
  <c r="J188" i="71" s="1"/>
  <c r="I188" i="71" a="1"/>
  <c r="I188" i="71" s="1"/>
  <c r="H188" i="71" a="1"/>
  <c r="H188" i="71" s="1"/>
  <c r="G188" i="71" a="1"/>
  <c r="G188" i="71" s="1"/>
  <c r="F188" i="71" a="1"/>
  <c r="F188" i="71" s="1"/>
  <c r="E188" i="71" a="1"/>
  <c r="E188" i="71" s="1"/>
  <c r="D188" i="71" a="1"/>
  <c r="D188" i="71" s="1"/>
  <c r="AH187" i="71" a="1"/>
  <c r="AH187" i="71" s="1"/>
  <c r="AG187" i="71" a="1"/>
  <c r="AG187" i="71" s="1"/>
  <c r="AF187" i="71" a="1"/>
  <c r="AF187" i="71" s="1"/>
  <c r="AE187" i="71" a="1"/>
  <c r="AE187" i="71" s="1"/>
  <c r="AD187" i="71" a="1"/>
  <c r="AD187" i="71" s="1"/>
  <c r="AC187" i="71" a="1"/>
  <c r="AC187" i="71" s="1"/>
  <c r="AB187" i="71" a="1"/>
  <c r="AB187" i="71" s="1"/>
  <c r="AA187" i="71" a="1"/>
  <c r="AA187" i="71" s="1"/>
  <c r="Z187" i="71" a="1"/>
  <c r="Z187" i="71" s="1"/>
  <c r="Y187" i="71" a="1"/>
  <c r="Y187" i="71" s="1"/>
  <c r="X187" i="71" a="1"/>
  <c r="X187" i="71" s="1"/>
  <c r="W187" i="71" a="1"/>
  <c r="W187" i="71" s="1"/>
  <c r="V187" i="71" a="1"/>
  <c r="V187" i="71" s="1"/>
  <c r="U187" i="71" a="1"/>
  <c r="U187" i="71" s="1"/>
  <c r="T187" i="71" a="1"/>
  <c r="T187" i="71" s="1"/>
  <c r="S187" i="71" a="1"/>
  <c r="S187" i="71" s="1"/>
  <c r="R187" i="71" a="1"/>
  <c r="R187" i="71" s="1"/>
  <c r="Q187" i="71" a="1"/>
  <c r="Q187" i="71" s="1"/>
  <c r="P187" i="71" a="1"/>
  <c r="P187" i="71" s="1"/>
  <c r="O187" i="71" a="1"/>
  <c r="O187" i="71" s="1"/>
  <c r="N187" i="71" a="1"/>
  <c r="N187" i="71" s="1"/>
  <c r="M187" i="71" a="1"/>
  <c r="M187" i="71" s="1"/>
  <c r="L187" i="71" a="1"/>
  <c r="L187" i="71" s="1"/>
  <c r="K187" i="71" a="1"/>
  <c r="K187" i="71" s="1"/>
  <c r="J187" i="71" a="1"/>
  <c r="J187" i="71" s="1"/>
  <c r="I187" i="71" a="1"/>
  <c r="I187" i="71" s="1"/>
  <c r="H187" i="71" a="1"/>
  <c r="H187" i="71" s="1"/>
  <c r="G187" i="71" a="1"/>
  <c r="G187" i="71" s="1"/>
  <c r="F187" i="71" a="1"/>
  <c r="F187" i="71" s="1"/>
  <c r="E187" i="71" a="1"/>
  <c r="E187" i="71" s="1"/>
  <c r="D187" i="71" a="1"/>
  <c r="D187" i="71" s="1"/>
  <c r="AH186" i="71" a="1"/>
  <c r="AH186" i="71" s="1"/>
  <c r="AG186" i="71" a="1"/>
  <c r="AG186" i="71" s="1"/>
  <c r="AF186" i="71" a="1"/>
  <c r="AF186" i="71" s="1"/>
  <c r="AE186" i="71" a="1"/>
  <c r="AE186" i="71" s="1"/>
  <c r="AD186" i="71" a="1"/>
  <c r="AD186" i="71" s="1"/>
  <c r="AC186" i="71" a="1"/>
  <c r="AC186" i="71" s="1"/>
  <c r="AB186" i="71" a="1"/>
  <c r="AB186" i="71" s="1"/>
  <c r="AA186" i="71" a="1"/>
  <c r="AA186" i="71" s="1"/>
  <c r="Z186" i="71" a="1"/>
  <c r="Z186" i="71" s="1"/>
  <c r="Y186" i="71" a="1"/>
  <c r="Y186" i="71" s="1"/>
  <c r="X186" i="71" a="1"/>
  <c r="X186" i="71" s="1"/>
  <c r="W186" i="71" a="1"/>
  <c r="W186" i="71" s="1"/>
  <c r="V186" i="71" a="1"/>
  <c r="V186" i="71" s="1"/>
  <c r="U186" i="71" a="1"/>
  <c r="U186" i="71" s="1"/>
  <c r="T186" i="71" a="1"/>
  <c r="T186" i="71" s="1"/>
  <c r="S186" i="71" a="1"/>
  <c r="S186" i="71" s="1"/>
  <c r="R186" i="71" a="1"/>
  <c r="R186" i="71" s="1"/>
  <c r="Q186" i="71" a="1"/>
  <c r="Q186" i="71" s="1"/>
  <c r="P186" i="71" a="1"/>
  <c r="P186" i="71" s="1"/>
  <c r="O186" i="71" a="1"/>
  <c r="O186" i="71" s="1"/>
  <c r="N186" i="71" a="1"/>
  <c r="N186" i="71" s="1"/>
  <c r="M186" i="71" a="1"/>
  <c r="M186" i="71" s="1"/>
  <c r="L186" i="71" a="1"/>
  <c r="L186" i="71" s="1"/>
  <c r="K186" i="71" a="1"/>
  <c r="K186" i="71" s="1"/>
  <c r="J186" i="71" a="1"/>
  <c r="J186" i="71" s="1"/>
  <c r="I186" i="71" a="1"/>
  <c r="I186" i="71" s="1"/>
  <c r="H186" i="71" a="1"/>
  <c r="H186" i="71" s="1"/>
  <c r="G186" i="71" a="1"/>
  <c r="G186" i="71" s="1"/>
  <c r="F186" i="71" a="1"/>
  <c r="F186" i="71" s="1"/>
  <c r="E186" i="71" a="1"/>
  <c r="E186" i="71" s="1"/>
  <c r="D186" i="71" a="1"/>
  <c r="D186" i="71" s="1"/>
  <c r="AH185" i="71" a="1"/>
  <c r="AH185" i="71" s="1"/>
  <c r="AG185" i="71" a="1"/>
  <c r="AG185" i="71" s="1"/>
  <c r="AF185" i="71" a="1"/>
  <c r="AF185" i="71" s="1"/>
  <c r="AE185" i="71" a="1"/>
  <c r="AE185" i="71" s="1"/>
  <c r="AD185" i="71" a="1"/>
  <c r="AD185" i="71" s="1"/>
  <c r="AC185" i="71" a="1"/>
  <c r="AC185" i="71" s="1"/>
  <c r="AB185" i="71" a="1"/>
  <c r="AB185" i="71" s="1"/>
  <c r="AA185" i="71" a="1"/>
  <c r="AA185" i="71" s="1"/>
  <c r="Z185" i="71" a="1"/>
  <c r="Z185" i="71" s="1"/>
  <c r="Y185" i="71" a="1"/>
  <c r="Y185" i="71" s="1"/>
  <c r="X185" i="71" a="1"/>
  <c r="X185" i="71" s="1"/>
  <c r="W185" i="71" a="1"/>
  <c r="W185" i="71" s="1"/>
  <c r="V185" i="71" a="1"/>
  <c r="V185" i="71" s="1"/>
  <c r="U185" i="71" a="1"/>
  <c r="U185" i="71" s="1"/>
  <c r="T185" i="71" a="1"/>
  <c r="T185" i="71" s="1"/>
  <c r="S185" i="71" a="1"/>
  <c r="S185" i="71" s="1"/>
  <c r="R185" i="71" a="1"/>
  <c r="R185" i="71" s="1"/>
  <c r="Q185" i="71" a="1"/>
  <c r="Q185" i="71" s="1"/>
  <c r="P185" i="71" a="1"/>
  <c r="P185" i="71" s="1"/>
  <c r="O185" i="71" a="1"/>
  <c r="O185" i="71" s="1"/>
  <c r="N185" i="71" a="1"/>
  <c r="N185" i="71" s="1"/>
  <c r="M185" i="71" a="1"/>
  <c r="M185" i="71" s="1"/>
  <c r="L185" i="71" a="1"/>
  <c r="L185" i="71" s="1"/>
  <c r="K185" i="71" a="1"/>
  <c r="K185" i="71" s="1"/>
  <c r="J185" i="71" a="1"/>
  <c r="J185" i="71" s="1"/>
  <c r="I185" i="71" a="1"/>
  <c r="I185" i="71" s="1"/>
  <c r="H185" i="71" a="1"/>
  <c r="H185" i="71" s="1"/>
  <c r="G185" i="71" a="1"/>
  <c r="G185" i="71" s="1"/>
  <c r="F185" i="71" a="1"/>
  <c r="F185" i="71" s="1"/>
  <c r="E185" i="71" a="1"/>
  <c r="E185" i="71" s="1"/>
  <c r="D185" i="71" a="1"/>
  <c r="D185" i="71" s="1"/>
  <c r="AH184" i="71" a="1"/>
  <c r="AH184" i="71" s="1"/>
  <c r="AG184" i="71" a="1"/>
  <c r="AG184" i="71" s="1"/>
  <c r="AF184" i="71" a="1"/>
  <c r="AF184" i="71" s="1"/>
  <c r="AE184" i="71" a="1"/>
  <c r="AE184" i="71" s="1"/>
  <c r="AD184" i="71" a="1"/>
  <c r="AD184" i="71" s="1"/>
  <c r="AC184" i="71" a="1"/>
  <c r="AC184" i="71" s="1"/>
  <c r="AB184" i="71" a="1"/>
  <c r="AB184" i="71" s="1"/>
  <c r="AA184" i="71" a="1"/>
  <c r="AA184" i="71" s="1"/>
  <c r="Z184" i="71" a="1"/>
  <c r="Z184" i="71" s="1"/>
  <c r="Y184" i="71" a="1"/>
  <c r="Y184" i="71" s="1"/>
  <c r="X184" i="71" a="1"/>
  <c r="X184" i="71" s="1"/>
  <c r="W184" i="71" a="1"/>
  <c r="W184" i="71" s="1"/>
  <c r="V184" i="71" a="1"/>
  <c r="V184" i="71" s="1"/>
  <c r="U184" i="71" a="1"/>
  <c r="U184" i="71" s="1"/>
  <c r="T184" i="71" a="1"/>
  <c r="T184" i="71" s="1"/>
  <c r="S184" i="71" a="1"/>
  <c r="S184" i="71" s="1"/>
  <c r="R184" i="71" a="1"/>
  <c r="R184" i="71" s="1"/>
  <c r="Q184" i="71" a="1"/>
  <c r="Q184" i="71" s="1"/>
  <c r="P184" i="71" a="1"/>
  <c r="P184" i="71" s="1"/>
  <c r="O184" i="71" a="1"/>
  <c r="O184" i="71" s="1"/>
  <c r="N184" i="71" a="1"/>
  <c r="N184" i="71" s="1"/>
  <c r="M184" i="71" a="1"/>
  <c r="M184" i="71" s="1"/>
  <c r="L184" i="71" a="1"/>
  <c r="L184" i="71" s="1"/>
  <c r="K184" i="71" a="1"/>
  <c r="K184" i="71" s="1"/>
  <c r="J184" i="71" a="1"/>
  <c r="J184" i="71" s="1"/>
  <c r="I184" i="71" a="1"/>
  <c r="I184" i="71" s="1"/>
  <c r="H184" i="71" a="1"/>
  <c r="H184" i="71" s="1"/>
  <c r="G184" i="71" a="1"/>
  <c r="G184" i="71" s="1"/>
  <c r="F184" i="71" a="1"/>
  <c r="F184" i="71" s="1"/>
  <c r="E184" i="71" a="1"/>
  <c r="E184" i="71" s="1"/>
  <c r="D184" i="71" a="1"/>
  <c r="D184" i="71" s="1"/>
  <c r="AH183" i="71" a="1"/>
  <c r="AH183" i="71" s="1"/>
  <c r="AG183" i="71" a="1"/>
  <c r="AG183" i="71" s="1"/>
  <c r="AF183" i="71" a="1"/>
  <c r="AF183" i="71" s="1"/>
  <c r="AE183" i="71" a="1"/>
  <c r="AE183" i="71" s="1"/>
  <c r="AD183" i="71" a="1"/>
  <c r="AD183" i="71" s="1"/>
  <c r="AC183" i="71" a="1"/>
  <c r="AC183" i="71" s="1"/>
  <c r="AB183" i="71" a="1"/>
  <c r="AB183" i="71" s="1"/>
  <c r="AA183" i="71" a="1"/>
  <c r="AA183" i="71" s="1"/>
  <c r="Z183" i="71" a="1"/>
  <c r="Z183" i="71" s="1"/>
  <c r="Y183" i="71" a="1"/>
  <c r="Y183" i="71" s="1"/>
  <c r="X183" i="71" a="1"/>
  <c r="X183" i="71" s="1"/>
  <c r="W183" i="71" a="1"/>
  <c r="W183" i="71" s="1"/>
  <c r="V183" i="71" a="1"/>
  <c r="V183" i="71" s="1"/>
  <c r="U183" i="71" a="1"/>
  <c r="U183" i="71" s="1"/>
  <c r="T183" i="71" a="1"/>
  <c r="T183" i="71" s="1"/>
  <c r="S183" i="71" a="1"/>
  <c r="S183" i="71" s="1"/>
  <c r="R183" i="71" a="1"/>
  <c r="R183" i="71" s="1"/>
  <c r="Q183" i="71" a="1"/>
  <c r="Q183" i="71" s="1"/>
  <c r="P183" i="71" a="1"/>
  <c r="P183" i="71" s="1"/>
  <c r="O183" i="71" a="1"/>
  <c r="O183" i="71" s="1"/>
  <c r="N183" i="71" a="1"/>
  <c r="N183" i="71" s="1"/>
  <c r="M183" i="71" a="1"/>
  <c r="M183" i="71" s="1"/>
  <c r="L183" i="71" a="1"/>
  <c r="L183" i="71" s="1"/>
  <c r="K183" i="71" a="1"/>
  <c r="K183" i="71" s="1"/>
  <c r="J183" i="71" a="1"/>
  <c r="J183" i="71" s="1"/>
  <c r="I183" i="71" a="1"/>
  <c r="I183" i="71" s="1"/>
  <c r="H183" i="71" a="1"/>
  <c r="H183" i="71" s="1"/>
  <c r="G183" i="71" a="1"/>
  <c r="G183" i="71" s="1"/>
  <c r="F183" i="71" a="1"/>
  <c r="F183" i="71" s="1"/>
  <c r="E183" i="71" a="1"/>
  <c r="E183" i="71" s="1"/>
  <c r="D183" i="71" a="1"/>
  <c r="D183" i="71" s="1"/>
  <c r="AH182" i="71" a="1"/>
  <c r="AH182" i="71" s="1"/>
  <c r="AG182" i="71" a="1"/>
  <c r="AG182" i="71" s="1"/>
  <c r="AF182" i="71" a="1"/>
  <c r="AF182" i="71" s="1"/>
  <c r="AE182" i="71" a="1"/>
  <c r="AE182" i="71" s="1"/>
  <c r="AD182" i="71" a="1"/>
  <c r="AD182" i="71" s="1"/>
  <c r="AC182" i="71" a="1"/>
  <c r="AC182" i="71" s="1"/>
  <c r="AB182" i="71" a="1"/>
  <c r="AB182" i="71" s="1"/>
  <c r="AA182" i="71" a="1"/>
  <c r="AA182" i="71" s="1"/>
  <c r="Z182" i="71" a="1"/>
  <c r="Z182" i="71" s="1"/>
  <c r="Y182" i="71" a="1"/>
  <c r="Y182" i="71" s="1"/>
  <c r="X182" i="71" a="1"/>
  <c r="X182" i="71" s="1"/>
  <c r="W182" i="71" a="1"/>
  <c r="W182" i="71" s="1"/>
  <c r="V182" i="71" a="1"/>
  <c r="V182" i="71" s="1"/>
  <c r="U182" i="71" a="1"/>
  <c r="U182" i="71" s="1"/>
  <c r="T182" i="71" a="1"/>
  <c r="T182" i="71" s="1"/>
  <c r="S182" i="71" a="1"/>
  <c r="S182" i="71" s="1"/>
  <c r="R182" i="71" a="1"/>
  <c r="R182" i="71" s="1"/>
  <c r="Q182" i="71" a="1"/>
  <c r="Q182" i="71" s="1"/>
  <c r="P182" i="71" a="1"/>
  <c r="P182" i="71" s="1"/>
  <c r="O182" i="71" a="1"/>
  <c r="O182" i="71" s="1"/>
  <c r="N182" i="71" a="1"/>
  <c r="N182" i="71" s="1"/>
  <c r="M182" i="71" a="1"/>
  <c r="M182" i="71" s="1"/>
  <c r="L182" i="71" a="1"/>
  <c r="L182" i="71" s="1"/>
  <c r="K182" i="71" a="1"/>
  <c r="K182" i="71" s="1"/>
  <c r="J182" i="71" a="1"/>
  <c r="J182" i="71" s="1"/>
  <c r="I182" i="71" a="1"/>
  <c r="I182" i="71" s="1"/>
  <c r="H182" i="71" a="1"/>
  <c r="H182" i="71" s="1"/>
  <c r="G182" i="71" a="1"/>
  <c r="G182" i="71" s="1"/>
  <c r="F182" i="71" a="1"/>
  <c r="F182" i="71" s="1"/>
  <c r="E182" i="71" a="1"/>
  <c r="E182" i="71" s="1"/>
  <c r="D182" i="71" a="1"/>
  <c r="D182" i="71" s="1"/>
  <c r="AH181" i="71" a="1"/>
  <c r="AH181" i="71" s="1"/>
  <c r="AG181" i="71" a="1"/>
  <c r="AG181" i="71" s="1"/>
  <c r="AF181" i="71" a="1"/>
  <c r="AF181" i="71" s="1"/>
  <c r="AE181" i="71" a="1"/>
  <c r="AE181" i="71" s="1"/>
  <c r="AD181" i="71" a="1"/>
  <c r="AD181" i="71" s="1"/>
  <c r="AC181" i="71" a="1"/>
  <c r="AC181" i="71" s="1"/>
  <c r="AB181" i="71" a="1"/>
  <c r="AB181" i="71" s="1"/>
  <c r="AA181" i="71" a="1"/>
  <c r="AA181" i="71" s="1"/>
  <c r="Z181" i="71" a="1"/>
  <c r="Z181" i="71" s="1"/>
  <c r="Y181" i="71" a="1"/>
  <c r="Y181" i="71" s="1"/>
  <c r="X181" i="71" a="1"/>
  <c r="X181" i="71" s="1"/>
  <c r="W181" i="71" a="1"/>
  <c r="W181" i="71" s="1"/>
  <c r="V181" i="71" a="1"/>
  <c r="V181" i="71" s="1"/>
  <c r="U181" i="71" a="1"/>
  <c r="U181" i="71" s="1"/>
  <c r="T181" i="71" a="1"/>
  <c r="T181" i="71" s="1"/>
  <c r="S181" i="71" a="1"/>
  <c r="S181" i="71" s="1"/>
  <c r="R181" i="71" a="1"/>
  <c r="R181" i="71" s="1"/>
  <c r="Q181" i="71" a="1"/>
  <c r="Q181" i="71" s="1"/>
  <c r="P181" i="71" a="1"/>
  <c r="P181" i="71" s="1"/>
  <c r="O181" i="71" a="1"/>
  <c r="O181" i="71" s="1"/>
  <c r="N181" i="71" a="1"/>
  <c r="N181" i="71" s="1"/>
  <c r="M181" i="71" a="1"/>
  <c r="M181" i="71" s="1"/>
  <c r="L181" i="71" a="1"/>
  <c r="L181" i="71" s="1"/>
  <c r="K181" i="71" a="1"/>
  <c r="K181" i="71" s="1"/>
  <c r="J181" i="71" a="1"/>
  <c r="J181" i="71" s="1"/>
  <c r="I181" i="71" a="1"/>
  <c r="I181" i="71" s="1"/>
  <c r="H181" i="71" a="1"/>
  <c r="H181" i="71" s="1"/>
  <c r="G181" i="71" a="1"/>
  <c r="G181" i="71" s="1"/>
  <c r="F181" i="71" a="1"/>
  <c r="F181" i="71" s="1"/>
  <c r="E181" i="71" a="1"/>
  <c r="E181" i="71" s="1"/>
  <c r="D181" i="71" a="1"/>
  <c r="D181" i="71" s="1"/>
  <c r="AH180" i="71" a="1"/>
  <c r="AH180" i="71" s="1"/>
  <c r="AG180" i="71" a="1"/>
  <c r="AG180" i="71" s="1"/>
  <c r="AF180" i="71" a="1"/>
  <c r="AF180" i="71" s="1"/>
  <c r="AE180" i="71" a="1"/>
  <c r="AE180" i="71" s="1"/>
  <c r="AD180" i="71" a="1"/>
  <c r="AD180" i="71" s="1"/>
  <c r="AC180" i="71" a="1"/>
  <c r="AC180" i="71" s="1"/>
  <c r="AB180" i="71" a="1"/>
  <c r="AB180" i="71" s="1"/>
  <c r="AA180" i="71" a="1"/>
  <c r="AA180" i="71" s="1"/>
  <c r="Z180" i="71" a="1"/>
  <c r="Z180" i="71" s="1"/>
  <c r="Y180" i="71" a="1"/>
  <c r="Y180" i="71" s="1"/>
  <c r="X180" i="71" a="1"/>
  <c r="X180" i="71" s="1"/>
  <c r="W180" i="71" a="1"/>
  <c r="W180" i="71" s="1"/>
  <c r="V180" i="71" a="1"/>
  <c r="V180" i="71" s="1"/>
  <c r="U180" i="71" a="1"/>
  <c r="U180" i="71" s="1"/>
  <c r="T180" i="71" a="1"/>
  <c r="T180" i="71" s="1"/>
  <c r="S180" i="71" a="1"/>
  <c r="S180" i="71" s="1"/>
  <c r="R180" i="71" a="1"/>
  <c r="R180" i="71" s="1"/>
  <c r="Q180" i="71" a="1"/>
  <c r="Q180" i="71" s="1"/>
  <c r="P180" i="71" a="1"/>
  <c r="P180" i="71" s="1"/>
  <c r="O180" i="71" a="1"/>
  <c r="O180" i="71" s="1"/>
  <c r="N180" i="71" a="1"/>
  <c r="N180" i="71" s="1"/>
  <c r="M180" i="71" a="1"/>
  <c r="M180" i="71" s="1"/>
  <c r="L180" i="71" a="1"/>
  <c r="L180" i="71" s="1"/>
  <c r="K180" i="71" a="1"/>
  <c r="K180" i="71" s="1"/>
  <c r="J180" i="71" a="1"/>
  <c r="J180" i="71" s="1"/>
  <c r="I180" i="71" a="1"/>
  <c r="I180" i="71" s="1"/>
  <c r="H180" i="71" a="1"/>
  <c r="H180" i="71" s="1"/>
  <c r="G180" i="71" a="1"/>
  <c r="G180" i="71" s="1"/>
  <c r="F180" i="71" a="1"/>
  <c r="F180" i="71" s="1"/>
  <c r="E180" i="71" a="1"/>
  <c r="E180" i="71" s="1"/>
  <c r="D180" i="71" a="1"/>
  <c r="D180" i="71" s="1"/>
  <c r="AH179" i="71" a="1"/>
  <c r="AH179" i="71" s="1"/>
  <c r="AG179" i="71" a="1"/>
  <c r="AG179" i="71" s="1"/>
  <c r="AF179" i="71" a="1"/>
  <c r="AF179" i="71" s="1"/>
  <c r="AE179" i="71" a="1"/>
  <c r="AE179" i="71" s="1"/>
  <c r="AD179" i="71" a="1"/>
  <c r="AD179" i="71" s="1"/>
  <c r="AC179" i="71" a="1"/>
  <c r="AC179" i="71" s="1"/>
  <c r="AB179" i="71" a="1"/>
  <c r="AB179" i="71" s="1"/>
  <c r="AA179" i="71" a="1"/>
  <c r="AA179" i="71" s="1"/>
  <c r="Z179" i="71" a="1"/>
  <c r="Z179" i="71" s="1"/>
  <c r="Y179" i="71" a="1"/>
  <c r="Y179" i="71" s="1"/>
  <c r="X179" i="71" a="1"/>
  <c r="X179" i="71" s="1"/>
  <c r="W179" i="71" a="1"/>
  <c r="W179" i="71" s="1"/>
  <c r="V179" i="71" a="1"/>
  <c r="V179" i="71" s="1"/>
  <c r="U179" i="71" a="1"/>
  <c r="U179" i="71" s="1"/>
  <c r="T179" i="71" a="1"/>
  <c r="T179" i="71" s="1"/>
  <c r="S179" i="71" a="1"/>
  <c r="S179" i="71" s="1"/>
  <c r="R179" i="71" a="1"/>
  <c r="R179" i="71" s="1"/>
  <c r="Q179" i="71" a="1"/>
  <c r="Q179" i="71" s="1"/>
  <c r="P179" i="71" a="1"/>
  <c r="P179" i="71" s="1"/>
  <c r="O179" i="71" a="1"/>
  <c r="O179" i="71" s="1"/>
  <c r="N179" i="71" a="1"/>
  <c r="N179" i="71" s="1"/>
  <c r="M179" i="71" a="1"/>
  <c r="M179" i="71" s="1"/>
  <c r="L179" i="71" a="1"/>
  <c r="L179" i="71" s="1"/>
  <c r="K179" i="71" a="1"/>
  <c r="K179" i="71" s="1"/>
  <c r="J179" i="71" a="1"/>
  <c r="J179" i="71" s="1"/>
  <c r="I179" i="71" a="1"/>
  <c r="I179" i="71" s="1"/>
  <c r="H179" i="71" a="1"/>
  <c r="H179" i="71" s="1"/>
  <c r="G179" i="71" a="1"/>
  <c r="G179" i="71" s="1"/>
  <c r="F179" i="71" a="1"/>
  <c r="F179" i="71" s="1"/>
  <c r="E179" i="71" a="1"/>
  <c r="E179" i="71" s="1"/>
  <c r="D179" i="71" a="1"/>
  <c r="D179" i="71" s="1"/>
  <c r="AH178" i="71" a="1"/>
  <c r="AH178" i="71" s="1"/>
  <c r="AG178" i="71" a="1"/>
  <c r="AG178" i="71" s="1"/>
  <c r="AF178" i="71" a="1"/>
  <c r="AF178" i="71" s="1"/>
  <c r="AE178" i="71" a="1"/>
  <c r="AE178" i="71" s="1"/>
  <c r="AD178" i="71" a="1"/>
  <c r="AD178" i="71" s="1"/>
  <c r="AC178" i="71" a="1"/>
  <c r="AC178" i="71" s="1"/>
  <c r="AB178" i="71" a="1"/>
  <c r="AB178" i="71" s="1"/>
  <c r="AA178" i="71" a="1"/>
  <c r="AA178" i="71" s="1"/>
  <c r="Z178" i="71" a="1"/>
  <c r="Z178" i="71" s="1"/>
  <c r="Y178" i="71" a="1"/>
  <c r="Y178" i="71" s="1"/>
  <c r="X178" i="71" a="1"/>
  <c r="X178" i="71" s="1"/>
  <c r="W178" i="71" a="1"/>
  <c r="W178" i="71" s="1"/>
  <c r="V178" i="71" a="1"/>
  <c r="V178" i="71" s="1"/>
  <c r="U178" i="71" a="1"/>
  <c r="U178" i="71" s="1"/>
  <c r="T178" i="71" a="1"/>
  <c r="T178" i="71" s="1"/>
  <c r="S178" i="71" a="1"/>
  <c r="S178" i="71" s="1"/>
  <c r="R178" i="71" a="1"/>
  <c r="R178" i="71" s="1"/>
  <c r="Q178" i="71" a="1"/>
  <c r="Q178" i="71" s="1"/>
  <c r="P178" i="71" a="1"/>
  <c r="P178" i="71" s="1"/>
  <c r="O178" i="71" a="1"/>
  <c r="O178" i="71" s="1"/>
  <c r="N178" i="71" a="1"/>
  <c r="N178" i="71" s="1"/>
  <c r="M178" i="71" a="1"/>
  <c r="M178" i="71" s="1"/>
  <c r="L178" i="71" a="1"/>
  <c r="L178" i="71" s="1"/>
  <c r="K178" i="71" a="1"/>
  <c r="K178" i="71" s="1"/>
  <c r="J178" i="71" a="1"/>
  <c r="J178" i="71" s="1"/>
  <c r="I178" i="71" a="1"/>
  <c r="I178" i="71" s="1"/>
  <c r="H178" i="71" a="1"/>
  <c r="H178" i="71" s="1"/>
  <c r="G178" i="71" a="1"/>
  <c r="G178" i="71" s="1"/>
  <c r="F178" i="71" a="1"/>
  <c r="F178" i="71" s="1"/>
  <c r="E178" i="71" a="1"/>
  <c r="E178" i="71" s="1"/>
  <c r="D178" i="71" a="1"/>
  <c r="D178" i="71" s="1"/>
  <c r="AH177" i="71" a="1"/>
  <c r="AH177" i="71" s="1"/>
  <c r="AG177" i="71" a="1"/>
  <c r="AG177" i="71" s="1"/>
  <c r="AF177" i="71" a="1"/>
  <c r="AF177" i="71" s="1"/>
  <c r="AE177" i="71" a="1"/>
  <c r="AE177" i="71" s="1"/>
  <c r="AD177" i="71" a="1"/>
  <c r="AD177" i="71" s="1"/>
  <c r="AC177" i="71" a="1"/>
  <c r="AC177" i="71" s="1"/>
  <c r="AB177" i="71" a="1"/>
  <c r="AB177" i="71" s="1"/>
  <c r="AA177" i="71" a="1"/>
  <c r="AA177" i="71" s="1"/>
  <c r="Z177" i="71" a="1"/>
  <c r="Z177" i="71" s="1"/>
  <c r="Y177" i="71" a="1"/>
  <c r="Y177" i="71" s="1"/>
  <c r="X177" i="71" a="1"/>
  <c r="X177" i="71" s="1"/>
  <c r="W177" i="71" a="1"/>
  <c r="W177" i="71" s="1"/>
  <c r="V177" i="71" a="1"/>
  <c r="V177" i="71" s="1"/>
  <c r="U177" i="71" a="1"/>
  <c r="U177" i="71" s="1"/>
  <c r="T177" i="71" a="1"/>
  <c r="T177" i="71" s="1"/>
  <c r="S177" i="71" a="1"/>
  <c r="S177" i="71" s="1"/>
  <c r="R177" i="71" a="1"/>
  <c r="R177" i="71" s="1"/>
  <c r="Q177" i="71" a="1"/>
  <c r="Q177" i="71" s="1"/>
  <c r="P177" i="71" a="1"/>
  <c r="P177" i="71" s="1"/>
  <c r="O177" i="71" a="1"/>
  <c r="O177" i="71" s="1"/>
  <c r="N177" i="71" a="1"/>
  <c r="N177" i="71" s="1"/>
  <c r="M177" i="71" a="1"/>
  <c r="M177" i="71" s="1"/>
  <c r="L177" i="71" a="1"/>
  <c r="L177" i="71" s="1"/>
  <c r="K177" i="71" a="1"/>
  <c r="K177" i="71" s="1"/>
  <c r="J177" i="71" a="1"/>
  <c r="J177" i="71" s="1"/>
  <c r="I177" i="71" a="1"/>
  <c r="I177" i="71" s="1"/>
  <c r="H177" i="71" a="1"/>
  <c r="H177" i="71" s="1"/>
  <c r="G177" i="71" a="1"/>
  <c r="G177" i="71" s="1"/>
  <c r="F177" i="71" a="1"/>
  <c r="F177" i="71" s="1"/>
  <c r="E177" i="71" a="1"/>
  <c r="E177" i="71" s="1"/>
  <c r="D177" i="71" a="1"/>
  <c r="D177" i="71" s="1"/>
  <c r="AH176" i="71" a="1"/>
  <c r="AH176" i="71" s="1"/>
  <c r="AG176" i="71" a="1"/>
  <c r="AG176" i="71" s="1"/>
  <c r="AF176" i="71" a="1"/>
  <c r="AF176" i="71" s="1"/>
  <c r="AE176" i="71" a="1"/>
  <c r="AE176" i="71" s="1"/>
  <c r="AD176" i="71" a="1"/>
  <c r="AD176" i="71" s="1"/>
  <c r="AC176" i="71" a="1"/>
  <c r="AC176" i="71" s="1"/>
  <c r="AB176" i="71" a="1"/>
  <c r="AB176" i="71" s="1"/>
  <c r="AA176" i="71" a="1"/>
  <c r="AA176" i="71" s="1"/>
  <c r="Z176" i="71" a="1"/>
  <c r="Z176" i="71" s="1"/>
  <c r="Y176" i="71" a="1"/>
  <c r="Y176" i="71" s="1"/>
  <c r="X176" i="71" a="1"/>
  <c r="X176" i="71" s="1"/>
  <c r="W176" i="71" a="1"/>
  <c r="W176" i="71" s="1"/>
  <c r="V176" i="71" a="1"/>
  <c r="V176" i="71" s="1"/>
  <c r="U176" i="71" a="1"/>
  <c r="U176" i="71" s="1"/>
  <c r="T176" i="71" a="1"/>
  <c r="T176" i="71" s="1"/>
  <c r="S176" i="71" a="1"/>
  <c r="S176" i="71" s="1"/>
  <c r="R176" i="71" a="1"/>
  <c r="R176" i="71" s="1"/>
  <c r="Q176" i="71" a="1"/>
  <c r="Q176" i="71" s="1"/>
  <c r="P176" i="71" a="1"/>
  <c r="P176" i="71" s="1"/>
  <c r="O176" i="71" a="1"/>
  <c r="O176" i="71" s="1"/>
  <c r="N176" i="71" a="1"/>
  <c r="N176" i="71" s="1"/>
  <c r="M176" i="71" a="1"/>
  <c r="M176" i="71" s="1"/>
  <c r="L176" i="71" a="1"/>
  <c r="L176" i="71" s="1"/>
  <c r="K176" i="71" a="1"/>
  <c r="K176" i="71" s="1"/>
  <c r="J176" i="71" a="1"/>
  <c r="J176" i="71" s="1"/>
  <c r="I176" i="71" a="1"/>
  <c r="I176" i="71" s="1"/>
  <c r="H176" i="71" a="1"/>
  <c r="H176" i="71" s="1"/>
  <c r="G176" i="71" a="1"/>
  <c r="G176" i="71" s="1"/>
  <c r="F176" i="71" a="1"/>
  <c r="F176" i="71" s="1"/>
  <c r="E176" i="71" a="1"/>
  <c r="E176" i="71" s="1"/>
  <c r="D176" i="71" a="1"/>
  <c r="D176" i="71" s="1"/>
  <c r="AH175" i="71" a="1"/>
  <c r="AH175" i="71" s="1"/>
  <c r="AG175" i="71" a="1"/>
  <c r="AG175" i="71" s="1"/>
  <c r="AF175" i="71" a="1"/>
  <c r="AF175" i="71" s="1"/>
  <c r="AE175" i="71" a="1"/>
  <c r="AE175" i="71" s="1"/>
  <c r="AD175" i="71" a="1"/>
  <c r="AD175" i="71" s="1"/>
  <c r="AC175" i="71" a="1"/>
  <c r="AC175" i="71" s="1"/>
  <c r="AB175" i="71" a="1"/>
  <c r="AB175" i="71" s="1"/>
  <c r="AA175" i="71" a="1"/>
  <c r="AA175" i="71" s="1"/>
  <c r="Z175" i="71" a="1"/>
  <c r="Z175" i="71" s="1"/>
  <c r="Y175" i="71" a="1"/>
  <c r="Y175" i="71" s="1"/>
  <c r="X175" i="71" a="1"/>
  <c r="X175" i="71" s="1"/>
  <c r="W175" i="71" a="1"/>
  <c r="W175" i="71" s="1"/>
  <c r="V175" i="71" a="1"/>
  <c r="V175" i="71" s="1"/>
  <c r="U175" i="71" a="1"/>
  <c r="U175" i="71" s="1"/>
  <c r="T175" i="71" a="1"/>
  <c r="T175" i="71" s="1"/>
  <c r="S175" i="71" a="1"/>
  <c r="S175" i="71" s="1"/>
  <c r="R175" i="71" a="1"/>
  <c r="R175" i="71" s="1"/>
  <c r="Q175" i="71" a="1"/>
  <c r="Q175" i="71" s="1"/>
  <c r="P175" i="71" a="1"/>
  <c r="P175" i="71" s="1"/>
  <c r="O175" i="71" a="1"/>
  <c r="O175" i="71" s="1"/>
  <c r="N175" i="71" a="1"/>
  <c r="N175" i="71" s="1"/>
  <c r="M175" i="71" a="1"/>
  <c r="M175" i="71" s="1"/>
  <c r="L175" i="71" a="1"/>
  <c r="L175" i="71" s="1"/>
  <c r="K175" i="71" a="1"/>
  <c r="K175" i="71" s="1"/>
  <c r="J175" i="71" a="1"/>
  <c r="J175" i="71" s="1"/>
  <c r="I175" i="71" a="1"/>
  <c r="I175" i="71" s="1"/>
  <c r="H175" i="71" a="1"/>
  <c r="H175" i="71" s="1"/>
  <c r="G175" i="71" a="1"/>
  <c r="G175" i="71" s="1"/>
  <c r="F175" i="71" a="1"/>
  <c r="F175" i="71" s="1"/>
  <c r="E175" i="71" a="1"/>
  <c r="E175" i="71" s="1"/>
  <c r="D175" i="71" a="1"/>
  <c r="D175" i="71" s="1"/>
  <c r="AH174" i="71" a="1"/>
  <c r="AH174" i="71" s="1"/>
  <c r="AG174" i="71" a="1"/>
  <c r="AG174" i="71" s="1"/>
  <c r="AF174" i="71" a="1"/>
  <c r="AF174" i="71" s="1"/>
  <c r="AE174" i="71" a="1"/>
  <c r="AE174" i="71" s="1"/>
  <c r="AD174" i="71" a="1"/>
  <c r="AD174" i="71" s="1"/>
  <c r="AC174" i="71" a="1"/>
  <c r="AC174" i="71" s="1"/>
  <c r="AB174" i="71" a="1"/>
  <c r="AB174" i="71" s="1"/>
  <c r="AA174" i="71" a="1"/>
  <c r="AA174" i="71" s="1"/>
  <c r="Z174" i="71" a="1"/>
  <c r="Z174" i="71" s="1"/>
  <c r="Y174" i="71" a="1"/>
  <c r="Y174" i="71" s="1"/>
  <c r="X174" i="71" a="1"/>
  <c r="X174" i="71" s="1"/>
  <c r="W174" i="71" a="1"/>
  <c r="W174" i="71" s="1"/>
  <c r="V174" i="71" a="1"/>
  <c r="V174" i="71" s="1"/>
  <c r="U174" i="71" a="1"/>
  <c r="U174" i="71" s="1"/>
  <c r="T174" i="71" a="1"/>
  <c r="T174" i="71" s="1"/>
  <c r="S174" i="71" a="1"/>
  <c r="S174" i="71" s="1"/>
  <c r="R174" i="71" a="1"/>
  <c r="R174" i="71" s="1"/>
  <c r="Q174" i="71" a="1"/>
  <c r="Q174" i="71" s="1"/>
  <c r="P174" i="71" a="1"/>
  <c r="P174" i="71" s="1"/>
  <c r="O174" i="71" a="1"/>
  <c r="O174" i="71" s="1"/>
  <c r="N174" i="71" a="1"/>
  <c r="N174" i="71" s="1"/>
  <c r="M174" i="71" a="1"/>
  <c r="M174" i="71" s="1"/>
  <c r="L174" i="71" a="1"/>
  <c r="L174" i="71" s="1"/>
  <c r="K174" i="71" a="1"/>
  <c r="K174" i="71" s="1"/>
  <c r="J174" i="71" a="1"/>
  <c r="J174" i="71" s="1"/>
  <c r="I174" i="71" a="1"/>
  <c r="I174" i="71" s="1"/>
  <c r="H174" i="71" a="1"/>
  <c r="H174" i="71" s="1"/>
  <c r="G174" i="71" a="1"/>
  <c r="G174" i="71" s="1"/>
  <c r="F174" i="71" a="1"/>
  <c r="F174" i="71" s="1"/>
  <c r="E174" i="71" a="1"/>
  <c r="E174" i="71" s="1"/>
  <c r="D174" i="71" a="1"/>
  <c r="D174" i="71" s="1"/>
  <c r="AH173" i="71" a="1"/>
  <c r="AH173" i="71" s="1"/>
  <c r="AG173" i="71" a="1"/>
  <c r="AG173" i="71" s="1"/>
  <c r="AF173" i="71" a="1"/>
  <c r="AF173" i="71" s="1"/>
  <c r="AE173" i="71" a="1"/>
  <c r="AE173" i="71" s="1"/>
  <c r="AD173" i="71" a="1"/>
  <c r="AD173" i="71" s="1"/>
  <c r="AC173" i="71" a="1"/>
  <c r="AC173" i="71" s="1"/>
  <c r="AB173" i="71" a="1"/>
  <c r="AB173" i="71" s="1"/>
  <c r="AA173" i="71" a="1"/>
  <c r="AA173" i="71" s="1"/>
  <c r="Z173" i="71" a="1"/>
  <c r="Z173" i="71" s="1"/>
  <c r="Y173" i="71" a="1"/>
  <c r="Y173" i="71" s="1"/>
  <c r="X173" i="71" a="1"/>
  <c r="X173" i="71" s="1"/>
  <c r="W173" i="71" a="1"/>
  <c r="W173" i="71" s="1"/>
  <c r="V173" i="71" a="1"/>
  <c r="V173" i="71" s="1"/>
  <c r="U173" i="71" a="1"/>
  <c r="U173" i="71" s="1"/>
  <c r="T173" i="71" a="1"/>
  <c r="T173" i="71" s="1"/>
  <c r="S173" i="71" a="1"/>
  <c r="S173" i="71" s="1"/>
  <c r="R173" i="71" a="1"/>
  <c r="R173" i="71" s="1"/>
  <c r="Q173" i="71" a="1"/>
  <c r="Q173" i="71" s="1"/>
  <c r="P173" i="71" a="1"/>
  <c r="P173" i="71" s="1"/>
  <c r="O173" i="71" a="1"/>
  <c r="O173" i="71" s="1"/>
  <c r="N173" i="71" a="1"/>
  <c r="N173" i="71" s="1"/>
  <c r="M173" i="71" a="1"/>
  <c r="M173" i="71" s="1"/>
  <c r="L173" i="71" a="1"/>
  <c r="L173" i="71" s="1"/>
  <c r="K173" i="71" a="1"/>
  <c r="K173" i="71" s="1"/>
  <c r="J173" i="71" a="1"/>
  <c r="J173" i="71" s="1"/>
  <c r="I173" i="71" a="1"/>
  <c r="I173" i="71" s="1"/>
  <c r="H173" i="71" a="1"/>
  <c r="H173" i="71" s="1"/>
  <c r="G173" i="71" a="1"/>
  <c r="G173" i="71" s="1"/>
  <c r="F173" i="71" a="1"/>
  <c r="F173" i="71" s="1"/>
  <c r="E173" i="71" a="1"/>
  <c r="E173" i="71" s="1"/>
  <c r="D173" i="71" a="1"/>
  <c r="D173" i="71" s="1"/>
  <c r="AH172" i="71" a="1"/>
  <c r="AH172" i="71" s="1"/>
  <c r="AG172" i="71" a="1"/>
  <c r="AG172" i="71" s="1"/>
  <c r="AF172" i="71" a="1"/>
  <c r="AF172" i="71" s="1"/>
  <c r="AE172" i="71" a="1"/>
  <c r="AE172" i="71" s="1"/>
  <c r="AD172" i="71" a="1"/>
  <c r="AD172" i="71" s="1"/>
  <c r="AC172" i="71" a="1"/>
  <c r="AC172" i="71" s="1"/>
  <c r="AB172" i="71" a="1"/>
  <c r="AB172" i="71" s="1"/>
  <c r="AA172" i="71" a="1"/>
  <c r="AA172" i="71" s="1"/>
  <c r="Z172" i="71" a="1"/>
  <c r="Z172" i="71" s="1"/>
  <c r="Y172" i="71" a="1"/>
  <c r="Y172" i="71" s="1"/>
  <c r="X172" i="71" a="1"/>
  <c r="X172" i="71" s="1"/>
  <c r="W172" i="71" a="1"/>
  <c r="W172" i="71" s="1"/>
  <c r="V172" i="71" a="1"/>
  <c r="V172" i="71" s="1"/>
  <c r="U172" i="71" a="1"/>
  <c r="U172" i="71" s="1"/>
  <c r="T172" i="71" a="1"/>
  <c r="T172" i="71" s="1"/>
  <c r="S172" i="71" a="1"/>
  <c r="S172" i="71" s="1"/>
  <c r="R172" i="71" a="1"/>
  <c r="R172" i="71" s="1"/>
  <c r="Q172" i="71" a="1"/>
  <c r="Q172" i="71" s="1"/>
  <c r="P172" i="71" a="1"/>
  <c r="P172" i="71" s="1"/>
  <c r="O172" i="71" a="1"/>
  <c r="O172" i="71" s="1"/>
  <c r="N172" i="71" a="1"/>
  <c r="N172" i="71" s="1"/>
  <c r="M172" i="71" a="1"/>
  <c r="M172" i="71" s="1"/>
  <c r="L172" i="71" a="1"/>
  <c r="L172" i="71" s="1"/>
  <c r="K172" i="71" a="1"/>
  <c r="K172" i="71" s="1"/>
  <c r="J172" i="71" a="1"/>
  <c r="J172" i="71" s="1"/>
  <c r="I172" i="71" a="1"/>
  <c r="I172" i="71" s="1"/>
  <c r="H172" i="71" a="1"/>
  <c r="H172" i="71" s="1"/>
  <c r="G172" i="71" a="1"/>
  <c r="G172" i="71" s="1"/>
  <c r="F172" i="71" a="1"/>
  <c r="F172" i="71" s="1"/>
  <c r="E172" i="71" a="1"/>
  <c r="E172" i="71" s="1"/>
  <c r="D172" i="71" a="1"/>
  <c r="D172" i="71" s="1"/>
  <c r="AH171" i="71" a="1"/>
  <c r="AH171" i="71" s="1"/>
  <c r="AG171" i="71" a="1"/>
  <c r="AG171" i="71" s="1"/>
  <c r="AF171" i="71" a="1"/>
  <c r="AF171" i="71" s="1"/>
  <c r="AE171" i="71" a="1"/>
  <c r="AE171" i="71" s="1"/>
  <c r="AD171" i="71" a="1"/>
  <c r="AD171" i="71" s="1"/>
  <c r="AC171" i="71" a="1"/>
  <c r="AC171" i="71" s="1"/>
  <c r="AB171" i="71" a="1"/>
  <c r="AB171" i="71" s="1"/>
  <c r="AA171" i="71" a="1"/>
  <c r="AA171" i="71" s="1"/>
  <c r="Z171" i="71" a="1"/>
  <c r="Z171" i="71" s="1"/>
  <c r="Y171" i="71" a="1"/>
  <c r="Y171" i="71" s="1"/>
  <c r="X171" i="71" a="1"/>
  <c r="X171" i="71" s="1"/>
  <c r="W171" i="71" a="1"/>
  <c r="W171" i="71" s="1"/>
  <c r="V171" i="71" a="1"/>
  <c r="V171" i="71" s="1"/>
  <c r="U171" i="71" a="1"/>
  <c r="U171" i="71" s="1"/>
  <c r="T171" i="71" a="1"/>
  <c r="T171" i="71" s="1"/>
  <c r="S171" i="71" a="1"/>
  <c r="S171" i="71" s="1"/>
  <c r="R171" i="71" a="1"/>
  <c r="R171" i="71" s="1"/>
  <c r="Q171" i="71" a="1"/>
  <c r="Q171" i="71" s="1"/>
  <c r="P171" i="71" a="1"/>
  <c r="P171" i="71" s="1"/>
  <c r="O171" i="71" a="1"/>
  <c r="O171" i="71" s="1"/>
  <c r="N171" i="71" a="1"/>
  <c r="N171" i="71" s="1"/>
  <c r="M171" i="71" a="1"/>
  <c r="M171" i="71" s="1"/>
  <c r="L171" i="71" a="1"/>
  <c r="L171" i="71" s="1"/>
  <c r="K171" i="71" a="1"/>
  <c r="K171" i="71" s="1"/>
  <c r="J171" i="71" a="1"/>
  <c r="J171" i="71" s="1"/>
  <c r="I171" i="71" a="1"/>
  <c r="I171" i="71" s="1"/>
  <c r="H171" i="71" a="1"/>
  <c r="H171" i="71" s="1"/>
  <c r="G171" i="71" a="1"/>
  <c r="G171" i="71" s="1"/>
  <c r="F171" i="71" a="1"/>
  <c r="F171" i="71" s="1"/>
  <c r="E171" i="71" a="1"/>
  <c r="E171" i="71" s="1"/>
  <c r="D171" i="71" a="1"/>
  <c r="D171" i="71" s="1"/>
  <c r="AH170" i="71" a="1"/>
  <c r="AH170" i="71" s="1"/>
  <c r="AG170" i="71" a="1"/>
  <c r="AG170" i="71" s="1"/>
  <c r="AF170" i="71" a="1"/>
  <c r="AF170" i="71" s="1"/>
  <c r="AE170" i="71" a="1"/>
  <c r="AE170" i="71" s="1"/>
  <c r="AD170" i="71" a="1"/>
  <c r="AD170" i="71" s="1"/>
  <c r="AC170" i="71" a="1"/>
  <c r="AC170" i="71" s="1"/>
  <c r="AB170" i="71" a="1"/>
  <c r="AB170" i="71" s="1"/>
  <c r="AA170" i="71" a="1"/>
  <c r="AA170" i="71" s="1"/>
  <c r="Z170" i="71" a="1"/>
  <c r="Z170" i="71" s="1"/>
  <c r="Y170" i="71" a="1"/>
  <c r="Y170" i="71" s="1"/>
  <c r="X170" i="71" a="1"/>
  <c r="X170" i="71" s="1"/>
  <c r="W170" i="71" a="1"/>
  <c r="W170" i="71" s="1"/>
  <c r="V170" i="71" a="1"/>
  <c r="V170" i="71" s="1"/>
  <c r="U170" i="71" a="1"/>
  <c r="U170" i="71" s="1"/>
  <c r="T170" i="71" a="1"/>
  <c r="T170" i="71" s="1"/>
  <c r="S170" i="71" a="1"/>
  <c r="S170" i="71" s="1"/>
  <c r="R170" i="71" a="1"/>
  <c r="R170" i="71" s="1"/>
  <c r="Q170" i="71" a="1"/>
  <c r="Q170" i="71" s="1"/>
  <c r="P170" i="71" a="1"/>
  <c r="P170" i="71" s="1"/>
  <c r="O170" i="71" a="1"/>
  <c r="O170" i="71" s="1"/>
  <c r="N170" i="71" a="1"/>
  <c r="N170" i="71" s="1"/>
  <c r="M170" i="71" a="1"/>
  <c r="M170" i="71" s="1"/>
  <c r="L170" i="71" a="1"/>
  <c r="L170" i="71" s="1"/>
  <c r="K170" i="71" a="1"/>
  <c r="K170" i="71" s="1"/>
  <c r="J170" i="71" a="1"/>
  <c r="J170" i="71" s="1"/>
  <c r="I170" i="71" a="1"/>
  <c r="I170" i="71" s="1"/>
  <c r="H170" i="71" a="1"/>
  <c r="H170" i="71" s="1"/>
  <c r="G170" i="71" a="1"/>
  <c r="G170" i="71" s="1"/>
  <c r="F170" i="71" a="1"/>
  <c r="F170" i="71" s="1"/>
  <c r="E170" i="71" a="1"/>
  <c r="E170" i="71" s="1"/>
  <c r="D170" i="71" a="1"/>
  <c r="D170" i="71" s="1"/>
  <c r="AH169" i="71" a="1"/>
  <c r="AH169" i="71" s="1"/>
  <c r="AG169" i="71" a="1"/>
  <c r="AG169" i="71" s="1"/>
  <c r="AF169" i="71" a="1"/>
  <c r="AF169" i="71" s="1"/>
  <c r="AE169" i="71" a="1"/>
  <c r="AE169" i="71" s="1"/>
  <c r="AD169" i="71" a="1"/>
  <c r="AD169" i="71" s="1"/>
  <c r="AC169" i="71" a="1"/>
  <c r="AC169" i="71" s="1"/>
  <c r="AB169" i="71" a="1"/>
  <c r="AB169" i="71" s="1"/>
  <c r="AA169" i="71" a="1"/>
  <c r="AA169" i="71" s="1"/>
  <c r="Z169" i="71" a="1"/>
  <c r="Z169" i="71" s="1"/>
  <c r="Y169" i="71" a="1"/>
  <c r="Y169" i="71" s="1"/>
  <c r="X169" i="71" a="1"/>
  <c r="X169" i="71" s="1"/>
  <c r="W169" i="71" a="1"/>
  <c r="W169" i="71" s="1"/>
  <c r="V169" i="71" a="1"/>
  <c r="V169" i="71" s="1"/>
  <c r="U169" i="71" a="1"/>
  <c r="U169" i="71" s="1"/>
  <c r="T169" i="71" a="1"/>
  <c r="T169" i="71" s="1"/>
  <c r="S169" i="71" a="1"/>
  <c r="S169" i="71" s="1"/>
  <c r="R169" i="71" a="1"/>
  <c r="R169" i="71" s="1"/>
  <c r="Q169" i="71" a="1"/>
  <c r="Q169" i="71" s="1"/>
  <c r="P169" i="71" a="1"/>
  <c r="P169" i="71" s="1"/>
  <c r="O169" i="71" a="1"/>
  <c r="O169" i="71" s="1"/>
  <c r="N169" i="71" a="1"/>
  <c r="N169" i="71" s="1"/>
  <c r="M169" i="71" a="1"/>
  <c r="M169" i="71" s="1"/>
  <c r="L169" i="71" a="1"/>
  <c r="L169" i="71" s="1"/>
  <c r="K169" i="71" a="1"/>
  <c r="K169" i="71" s="1"/>
  <c r="J169" i="71" a="1"/>
  <c r="J169" i="71" s="1"/>
  <c r="I169" i="71" a="1"/>
  <c r="I169" i="71" s="1"/>
  <c r="H169" i="71" a="1"/>
  <c r="H169" i="71" s="1"/>
  <c r="G169" i="71" a="1"/>
  <c r="G169" i="71" s="1"/>
  <c r="F169" i="71" a="1"/>
  <c r="F169" i="71" s="1"/>
  <c r="E169" i="71" a="1"/>
  <c r="E169" i="71" s="1"/>
  <c r="D169" i="71" a="1"/>
  <c r="D169" i="71" s="1"/>
  <c r="AH168" i="71" a="1"/>
  <c r="AH168" i="71" s="1"/>
  <c r="AG168" i="71" a="1"/>
  <c r="AG168" i="71" s="1"/>
  <c r="AF168" i="71" a="1"/>
  <c r="AF168" i="71" s="1"/>
  <c r="AE168" i="71" a="1"/>
  <c r="AE168" i="71" s="1"/>
  <c r="AD168" i="71" a="1"/>
  <c r="AD168" i="71" s="1"/>
  <c r="AC168" i="71" a="1"/>
  <c r="AC168" i="71" s="1"/>
  <c r="AB168" i="71" a="1"/>
  <c r="AB168" i="71" s="1"/>
  <c r="AA168" i="71" a="1"/>
  <c r="AA168" i="71" s="1"/>
  <c r="Z168" i="71" a="1"/>
  <c r="Z168" i="71" s="1"/>
  <c r="Y168" i="71" a="1"/>
  <c r="Y168" i="71" s="1"/>
  <c r="X168" i="71" a="1"/>
  <c r="X168" i="71" s="1"/>
  <c r="W168" i="71" a="1"/>
  <c r="W168" i="71" s="1"/>
  <c r="V168" i="71" a="1"/>
  <c r="V168" i="71" s="1"/>
  <c r="U168" i="71" a="1"/>
  <c r="U168" i="71" s="1"/>
  <c r="T168" i="71" a="1"/>
  <c r="T168" i="71" s="1"/>
  <c r="S168" i="71" a="1"/>
  <c r="S168" i="71" s="1"/>
  <c r="R168" i="71" a="1"/>
  <c r="R168" i="71" s="1"/>
  <c r="Q168" i="71" a="1"/>
  <c r="Q168" i="71" s="1"/>
  <c r="P168" i="71" a="1"/>
  <c r="P168" i="71" s="1"/>
  <c r="O168" i="71" a="1"/>
  <c r="O168" i="71" s="1"/>
  <c r="N168" i="71" a="1"/>
  <c r="N168" i="71" s="1"/>
  <c r="M168" i="71" a="1"/>
  <c r="M168" i="71" s="1"/>
  <c r="L168" i="71" a="1"/>
  <c r="L168" i="71" s="1"/>
  <c r="K168" i="71" a="1"/>
  <c r="K168" i="71" s="1"/>
  <c r="J168" i="71" a="1"/>
  <c r="J168" i="71" s="1"/>
  <c r="I168" i="71" a="1"/>
  <c r="I168" i="71" s="1"/>
  <c r="H168" i="71" a="1"/>
  <c r="H168" i="71" s="1"/>
  <c r="G168" i="71" a="1"/>
  <c r="G168" i="71" s="1"/>
  <c r="F168" i="71" a="1"/>
  <c r="F168" i="71" s="1"/>
  <c r="E168" i="71" a="1"/>
  <c r="E168" i="71" s="1"/>
  <c r="D168" i="71" a="1"/>
  <c r="D168" i="71" s="1"/>
  <c r="AH167" i="71" a="1"/>
  <c r="AH167" i="71" s="1"/>
  <c r="AG167" i="71" a="1"/>
  <c r="AG167" i="71" s="1"/>
  <c r="AF167" i="71" a="1"/>
  <c r="AF167" i="71" s="1"/>
  <c r="AE167" i="71" a="1"/>
  <c r="AE167" i="71" s="1"/>
  <c r="AD167" i="71" a="1"/>
  <c r="AD167" i="71" s="1"/>
  <c r="AC167" i="71" a="1"/>
  <c r="AC167" i="71" s="1"/>
  <c r="AB167" i="71" a="1"/>
  <c r="AB167" i="71" s="1"/>
  <c r="AA167" i="71" a="1"/>
  <c r="AA167" i="71" s="1"/>
  <c r="Z167" i="71" a="1"/>
  <c r="Z167" i="71" s="1"/>
  <c r="Y167" i="71" a="1"/>
  <c r="Y167" i="71" s="1"/>
  <c r="X167" i="71" a="1"/>
  <c r="X167" i="71" s="1"/>
  <c r="W167" i="71" a="1"/>
  <c r="W167" i="71" s="1"/>
  <c r="V167" i="71" a="1"/>
  <c r="V167" i="71" s="1"/>
  <c r="U167" i="71" a="1"/>
  <c r="U167" i="71" s="1"/>
  <c r="T167" i="71" a="1"/>
  <c r="T167" i="71" s="1"/>
  <c r="S167" i="71" a="1"/>
  <c r="S167" i="71" s="1"/>
  <c r="R167" i="71" a="1"/>
  <c r="R167" i="71" s="1"/>
  <c r="Q167" i="71" a="1"/>
  <c r="Q167" i="71" s="1"/>
  <c r="P167" i="71" a="1"/>
  <c r="P167" i="71" s="1"/>
  <c r="O167" i="71" a="1"/>
  <c r="O167" i="71" s="1"/>
  <c r="N167" i="71" a="1"/>
  <c r="N167" i="71" s="1"/>
  <c r="M167" i="71" a="1"/>
  <c r="M167" i="71" s="1"/>
  <c r="L167" i="71" a="1"/>
  <c r="L167" i="71" s="1"/>
  <c r="K167" i="71" a="1"/>
  <c r="K167" i="71" s="1"/>
  <c r="J167" i="71" a="1"/>
  <c r="J167" i="71" s="1"/>
  <c r="I167" i="71" a="1"/>
  <c r="I167" i="71" s="1"/>
  <c r="H167" i="71" a="1"/>
  <c r="H167" i="71" s="1"/>
  <c r="G167" i="71" a="1"/>
  <c r="G167" i="71" s="1"/>
  <c r="F167" i="71" a="1"/>
  <c r="F167" i="71" s="1"/>
  <c r="E167" i="71" a="1"/>
  <c r="E167" i="71" s="1"/>
  <c r="D167" i="71" a="1"/>
  <c r="D167" i="71" s="1"/>
  <c r="AH166" i="71" a="1"/>
  <c r="AH166" i="71" s="1"/>
  <c r="AG166" i="71" a="1"/>
  <c r="AG166" i="71" s="1"/>
  <c r="AF166" i="71" a="1"/>
  <c r="AF166" i="71" s="1"/>
  <c r="AE166" i="71" a="1"/>
  <c r="AE166" i="71" s="1"/>
  <c r="AD166" i="71" a="1"/>
  <c r="AD166" i="71" s="1"/>
  <c r="AC166" i="71" a="1"/>
  <c r="AC166" i="71" s="1"/>
  <c r="AB166" i="71" a="1"/>
  <c r="AB166" i="71" s="1"/>
  <c r="AA166" i="71" a="1"/>
  <c r="AA166" i="71" s="1"/>
  <c r="Z166" i="71" a="1"/>
  <c r="Z166" i="71" s="1"/>
  <c r="Y166" i="71" a="1"/>
  <c r="Y166" i="71" s="1"/>
  <c r="X166" i="71" a="1"/>
  <c r="X166" i="71" s="1"/>
  <c r="W166" i="71" a="1"/>
  <c r="W166" i="71" s="1"/>
  <c r="V166" i="71" a="1"/>
  <c r="V166" i="71" s="1"/>
  <c r="U166" i="71" a="1"/>
  <c r="U166" i="71" s="1"/>
  <c r="T166" i="71" a="1"/>
  <c r="T166" i="71" s="1"/>
  <c r="S166" i="71" a="1"/>
  <c r="S166" i="71" s="1"/>
  <c r="R166" i="71" a="1"/>
  <c r="R166" i="71" s="1"/>
  <c r="Q166" i="71" a="1"/>
  <c r="Q166" i="71" s="1"/>
  <c r="P166" i="71" a="1"/>
  <c r="P166" i="71" s="1"/>
  <c r="O166" i="71" a="1"/>
  <c r="O166" i="71" s="1"/>
  <c r="N166" i="71" a="1"/>
  <c r="N166" i="71" s="1"/>
  <c r="M166" i="71" a="1"/>
  <c r="M166" i="71" s="1"/>
  <c r="L166" i="71" a="1"/>
  <c r="L166" i="71" s="1"/>
  <c r="K166" i="71" a="1"/>
  <c r="K166" i="71" s="1"/>
  <c r="J166" i="71" a="1"/>
  <c r="J166" i="71" s="1"/>
  <c r="I166" i="71" a="1"/>
  <c r="I166" i="71" s="1"/>
  <c r="H166" i="71" a="1"/>
  <c r="H166" i="71" s="1"/>
  <c r="G166" i="71" a="1"/>
  <c r="G166" i="71" s="1"/>
  <c r="F166" i="71" a="1"/>
  <c r="F166" i="71" s="1"/>
  <c r="E166" i="71" a="1"/>
  <c r="E166" i="71" s="1"/>
  <c r="D166" i="71" a="1"/>
  <c r="D166" i="71" s="1"/>
  <c r="AH165" i="71" a="1"/>
  <c r="AH165" i="71" s="1"/>
  <c r="AG165" i="71" a="1"/>
  <c r="AG165" i="71" s="1"/>
  <c r="AF165" i="71" a="1"/>
  <c r="AF165" i="71" s="1"/>
  <c r="AE165" i="71" a="1"/>
  <c r="AE165" i="71" s="1"/>
  <c r="AD165" i="71" a="1"/>
  <c r="AD165" i="71" s="1"/>
  <c r="AC165" i="71" a="1"/>
  <c r="AC165" i="71" s="1"/>
  <c r="AB165" i="71" a="1"/>
  <c r="AB165" i="71" s="1"/>
  <c r="AA165" i="71" a="1"/>
  <c r="AA165" i="71" s="1"/>
  <c r="Z165" i="71" a="1"/>
  <c r="Z165" i="71" s="1"/>
  <c r="Y165" i="71" a="1"/>
  <c r="Y165" i="71" s="1"/>
  <c r="X165" i="71" a="1"/>
  <c r="X165" i="71" s="1"/>
  <c r="W165" i="71" a="1"/>
  <c r="W165" i="71" s="1"/>
  <c r="V165" i="71" a="1"/>
  <c r="V165" i="71" s="1"/>
  <c r="U165" i="71" a="1"/>
  <c r="U165" i="71" s="1"/>
  <c r="T165" i="71" a="1"/>
  <c r="T165" i="71" s="1"/>
  <c r="S165" i="71" a="1"/>
  <c r="S165" i="71" s="1"/>
  <c r="R165" i="71" a="1"/>
  <c r="R165" i="71" s="1"/>
  <c r="Q165" i="71" a="1"/>
  <c r="Q165" i="71" s="1"/>
  <c r="P165" i="71" a="1"/>
  <c r="P165" i="71" s="1"/>
  <c r="O165" i="71" a="1"/>
  <c r="O165" i="71" s="1"/>
  <c r="N165" i="71" a="1"/>
  <c r="N165" i="71" s="1"/>
  <c r="M165" i="71" a="1"/>
  <c r="M165" i="71" s="1"/>
  <c r="L165" i="71" a="1"/>
  <c r="L165" i="71" s="1"/>
  <c r="K165" i="71" a="1"/>
  <c r="K165" i="71" s="1"/>
  <c r="J165" i="71" a="1"/>
  <c r="J165" i="71" s="1"/>
  <c r="I165" i="71" a="1"/>
  <c r="I165" i="71" s="1"/>
  <c r="H165" i="71" a="1"/>
  <c r="H165" i="71" s="1"/>
  <c r="G165" i="71" a="1"/>
  <c r="G165" i="71" s="1"/>
  <c r="F165" i="71" a="1"/>
  <c r="F165" i="71" s="1"/>
  <c r="E165" i="71" a="1"/>
  <c r="E165" i="71" s="1"/>
  <c r="D165" i="71" a="1"/>
  <c r="D165" i="71" s="1"/>
  <c r="AH164" i="71" a="1"/>
  <c r="AH164" i="71" s="1"/>
  <c r="AG164" i="71" a="1"/>
  <c r="AG164" i="71" s="1"/>
  <c r="AF164" i="71" a="1"/>
  <c r="AF164" i="71" s="1"/>
  <c r="AE164" i="71" a="1"/>
  <c r="AE164" i="71" s="1"/>
  <c r="AD164" i="71" a="1"/>
  <c r="AD164" i="71" s="1"/>
  <c r="AC164" i="71" a="1"/>
  <c r="AC164" i="71" s="1"/>
  <c r="AB164" i="71" a="1"/>
  <c r="AB164" i="71" s="1"/>
  <c r="AA164" i="71" a="1"/>
  <c r="AA164" i="71" s="1"/>
  <c r="Z164" i="71" a="1"/>
  <c r="Z164" i="71" s="1"/>
  <c r="Y164" i="71" a="1"/>
  <c r="Y164" i="71" s="1"/>
  <c r="X164" i="71" a="1"/>
  <c r="X164" i="71" s="1"/>
  <c r="W164" i="71" a="1"/>
  <c r="W164" i="71" s="1"/>
  <c r="V164" i="71" a="1"/>
  <c r="V164" i="71" s="1"/>
  <c r="U164" i="71" a="1"/>
  <c r="U164" i="71" s="1"/>
  <c r="T164" i="71" a="1"/>
  <c r="T164" i="71" s="1"/>
  <c r="S164" i="71" a="1"/>
  <c r="S164" i="71" s="1"/>
  <c r="R164" i="71" a="1"/>
  <c r="R164" i="71" s="1"/>
  <c r="Q164" i="71" a="1"/>
  <c r="Q164" i="71" s="1"/>
  <c r="P164" i="71" a="1"/>
  <c r="P164" i="71" s="1"/>
  <c r="O164" i="71" a="1"/>
  <c r="O164" i="71" s="1"/>
  <c r="N164" i="71" a="1"/>
  <c r="N164" i="71" s="1"/>
  <c r="M164" i="71" a="1"/>
  <c r="M164" i="71" s="1"/>
  <c r="L164" i="71" a="1"/>
  <c r="L164" i="71" s="1"/>
  <c r="K164" i="71" a="1"/>
  <c r="K164" i="71" s="1"/>
  <c r="J164" i="71" a="1"/>
  <c r="J164" i="71" s="1"/>
  <c r="I164" i="71" a="1"/>
  <c r="I164" i="71" s="1"/>
  <c r="H164" i="71" a="1"/>
  <c r="H164" i="71" s="1"/>
  <c r="G164" i="71" a="1"/>
  <c r="G164" i="71" s="1"/>
  <c r="F164" i="71" a="1"/>
  <c r="F164" i="71" s="1"/>
  <c r="E164" i="71" a="1"/>
  <c r="E164" i="71" s="1"/>
  <c r="D164" i="71" a="1"/>
  <c r="D164" i="71" s="1"/>
  <c r="AH163" i="71" a="1"/>
  <c r="AH163" i="71" s="1"/>
  <c r="AG163" i="71" a="1"/>
  <c r="AG163" i="71" s="1"/>
  <c r="AF163" i="71" a="1"/>
  <c r="AF163" i="71" s="1"/>
  <c r="AE163" i="71" a="1"/>
  <c r="AE163" i="71" s="1"/>
  <c r="AD163" i="71" a="1"/>
  <c r="AD163" i="71" s="1"/>
  <c r="AC163" i="71" a="1"/>
  <c r="AC163" i="71" s="1"/>
  <c r="AB163" i="71" a="1"/>
  <c r="AB163" i="71" s="1"/>
  <c r="AA163" i="71" a="1"/>
  <c r="AA163" i="71" s="1"/>
  <c r="Z163" i="71" a="1"/>
  <c r="Z163" i="71" s="1"/>
  <c r="Y163" i="71" a="1"/>
  <c r="Y163" i="71" s="1"/>
  <c r="X163" i="71" a="1"/>
  <c r="X163" i="71" s="1"/>
  <c r="W163" i="71" a="1"/>
  <c r="W163" i="71" s="1"/>
  <c r="V163" i="71" a="1"/>
  <c r="V163" i="71" s="1"/>
  <c r="U163" i="71" a="1"/>
  <c r="U163" i="71" s="1"/>
  <c r="T163" i="71" a="1"/>
  <c r="T163" i="71" s="1"/>
  <c r="S163" i="71" a="1"/>
  <c r="S163" i="71" s="1"/>
  <c r="R163" i="71" a="1"/>
  <c r="R163" i="71" s="1"/>
  <c r="Q163" i="71" a="1"/>
  <c r="Q163" i="71" s="1"/>
  <c r="P163" i="71" a="1"/>
  <c r="P163" i="71" s="1"/>
  <c r="O163" i="71" a="1"/>
  <c r="O163" i="71" s="1"/>
  <c r="N163" i="71" a="1"/>
  <c r="N163" i="71" s="1"/>
  <c r="M163" i="71" a="1"/>
  <c r="M163" i="71" s="1"/>
  <c r="L163" i="71" a="1"/>
  <c r="L163" i="71" s="1"/>
  <c r="K163" i="71" a="1"/>
  <c r="K163" i="71" s="1"/>
  <c r="J163" i="71" a="1"/>
  <c r="J163" i="71" s="1"/>
  <c r="I163" i="71" a="1"/>
  <c r="I163" i="71" s="1"/>
  <c r="H163" i="71" a="1"/>
  <c r="H163" i="71" s="1"/>
  <c r="G163" i="71" a="1"/>
  <c r="G163" i="71" s="1"/>
  <c r="F163" i="71" a="1"/>
  <c r="F163" i="71" s="1"/>
  <c r="E163" i="71" a="1"/>
  <c r="E163" i="71" s="1"/>
  <c r="D163" i="71" a="1"/>
  <c r="D163" i="71" s="1"/>
  <c r="AH162" i="71" a="1"/>
  <c r="AH162" i="71" s="1"/>
  <c r="AG162" i="71" a="1"/>
  <c r="AG162" i="71" s="1"/>
  <c r="AF162" i="71" a="1"/>
  <c r="AF162" i="71" s="1"/>
  <c r="AE162" i="71" a="1"/>
  <c r="AE162" i="71" s="1"/>
  <c r="AD162" i="71" a="1"/>
  <c r="AD162" i="71" s="1"/>
  <c r="AC162" i="71" a="1"/>
  <c r="AC162" i="71" s="1"/>
  <c r="AB162" i="71" a="1"/>
  <c r="AB162" i="71" s="1"/>
  <c r="AA162" i="71" a="1"/>
  <c r="AA162" i="71" s="1"/>
  <c r="Z162" i="71" a="1"/>
  <c r="Z162" i="71" s="1"/>
  <c r="Y162" i="71" a="1"/>
  <c r="Y162" i="71" s="1"/>
  <c r="X162" i="71" a="1"/>
  <c r="X162" i="71" s="1"/>
  <c r="W162" i="71" a="1"/>
  <c r="W162" i="71" s="1"/>
  <c r="V162" i="71" a="1"/>
  <c r="V162" i="71" s="1"/>
  <c r="U162" i="71" a="1"/>
  <c r="U162" i="71" s="1"/>
  <c r="T162" i="71" a="1"/>
  <c r="T162" i="71" s="1"/>
  <c r="S162" i="71" a="1"/>
  <c r="S162" i="71" s="1"/>
  <c r="R162" i="71" a="1"/>
  <c r="R162" i="71" s="1"/>
  <c r="Q162" i="71" a="1"/>
  <c r="Q162" i="71" s="1"/>
  <c r="P162" i="71" a="1"/>
  <c r="P162" i="71" s="1"/>
  <c r="O162" i="71" a="1"/>
  <c r="O162" i="71" s="1"/>
  <c r="N162" i="71" a="1"/>
  <c r="N162" i="71" s="1"/>
  <c r="M162" i="71" a="1"/>
  <c r="M162" i="71" s="1"/>
  <c r="L162" i="71" a="1"/>
  <c r="L162" i="71" s="1"/>
  <c r="K162" i="71" a="1"/>
  <c r="K162" i="71" s="1"/>
  <c r="J162" i="71" a="1"/>
  <c r="J162" i="71" s="1"/>
  <c r="I162" i="71" a="1"/>
  <c r="I162" i="71" s="1"/>
  <c r="H162" i="71" a="1"/>
  <c r="H162" i="71" s="1"/>
  <c r="G162" i="71" a="1"/>
  <c r="G162" i="71" s="1"/>
  <c r="F162" i="71" a="1"/>
  <c r="F162" i="71" s="1"/>
  <c r="E162" i="71" a="1"/>
  <c r="E162" i="71" s="1"/>
  <c r="D162" i="71" a="1"/>
  <c r="D162" i="71" s="1"/>
  <c r="AH161" i="71" a="1"/>
  <c r="AH161" i="71" s="1"/>
  <c r="AG161" i="71" a="1"/>
  <c r="AG161" i="71" s="1"/>
  <c r="AF161" i="71" a="1"/>
  <c r="AF161" i="71" s="1"/>
  <c r="AE161" i="71" a="1"/>
  <c r="AE161" i="71" s="1"/>
  <c r="AD161" i="71" a="1"/>
  <c r="AD161" i="71" s="1"/>
  <c r="AC161" i="71" a="1"/>
  <c r="AC161" i="71" s="1"/>
  <c r="AB161" i="71" a="1"/>
  <c r="AB161" i="71" s="1"/>
  <c r="AA161" i="71" a="1"/>
  <c r="AA161" i="71" s="1"/>
  <c r="Z161" i="71" a="1"/>
  <c r="Z161" i="71" s="1"/>
  <c r="Y161" i="71" a="1"/>
  <c r="Y161" i="71" s="1"/>
  <c r="X161" i="71" a="1"/>
  <c r="X161" i="71" s="1"/>
  <c r="W161" i="71" a="1"/>
  <c r="W161" i="71" s="1"/>
  <c r="V161" i="71" a="1"/>
  <c r="V161" i="71" s="1"/>
  <c r="U161" i="71" a="1"/>
  <c r="U161" i="71" s="1"/>
  <c r="T161" i="71" a="1"/>
  <c r="T161" i="71" s="1"/>
  <c r="S161" i="71" a="1"/>
  <c r="S161" i="71" s="1"/>
  <c r="R161" i="71" a="1"/>
  <c r="R161" i="71" s="1"/>
  <c r="Q161" i="71" a="1"/>
  <c r="Q161" i="71" s="1"/>
  <c r="P161" i="71" a="1"/>
  <c r="P161" i="71" s="1"/>
  <c r="O161" i="71" a="1"/>
  <c r="O161" i="71" s="1"/>
  <c r="N161" i="71" a="1"/>
  <c r="N161" i="71" s="1"/>
  <c r="M161" i="71" a="1"/>
  <c r="M161" i="71" s="1"/>
  <c r="L161" i="71" a="1"/>
  <c r="L161" i="71" s="1"/>
  <c r="K161" i="71" a="1"/>
  <c r="K161" i="71" s="1"/>
  <c r="J161" i="71" a="1"/>
  <c r="J161" i="71" s="1"/>
  <c r="I161" i="71" a="1"/>
  <c r="I161" i="71" s="1"/>
  <c r="H161" i="71" a="1"/>
  <c r="H161" i="71" s="1"/>
  <c r="G161" i="71" a="1"/>
  <c r="G161" i="71" s="1"/>
  <c r="F161" i="71" a="1"/>
  <c r="F161" i="71" s="1"/>
  <c r="E161" i="71" a="1"/>
  <c r="E161" i="71" s="1"/>
  <c r="D161" i="71" a="1"/>
  <c r="D161" i="71" s="1"/>
  <c r="AH160" i="71" a="1"/>
  <c r="AH160" i="71" s="1"/>
  <c r="AG160" i="71" a="1"/>
  <c r="AG160" i="71" s="1"/>
  <c r="AF160" i="71" a="1"/>
  <c r="AF160" i="71" s="1"/>
  <c r="AE160" i="71" a="1"/>
  <c r="AE160" i="71" s="1"/>
  <c r="AD160" i="71" a="1"/>
  <c r="AD160" i="71" s="1"/>
  <c r="AC160" i="71" a="1"/>
  <c r="AC160" i="71" s="1"/>
  <c r="AB160" i="71" a="1"/>
  <c r="AB160" i="71" s="1"/>
  <c r="AA160" i="71" a="1"/>
  <c r="AA160" i="71" s="1"/>
  <c r="Z160" i="71" a="1"/>
  <c r="Z160" i="71" s="1"/>
  <c r="Y160" i="71" a="1"/>
  <c r="Y160" i="71" s="1"/>
  <c r="X160" i="71" a="1"/>
  <c r="X160" i="71" s="1"/>
  <c r="W160" i="71" a="1"/>
  <c r="W160" i="71" s="1"/>
  <c r="V160" i="71" a="1"/>
  <c r="V160" i="71" s="1"/>
  <c r="U160" i="71" a="1"/>
  <c r="U160" i="71" s="1"/>
  <c r="T160" i="71" a="1"/>
  <c r="T160" i="71" s="1"/>
  <c r="S160" i="71" a="1"/>
  <c r="S160" i="71" s="1"/>
  <c r="R160" i="71" a="1"/>
  <c r="R160" i="71" s="1"/>
  <c r="Q160" i="71" a="1"/>
  <c r="Q160" i="71" s="1"/>
  <c r="P160" i="71" a="1"/>
  <c r="P160" i="71" s="1"/>
  <c r="O160" i="71" a="1"/>
  <c r="O160" i="71" s="1"/>
  <c r="N160" i="71" a="1"/>
  <c r="N160" i="71" s="1"/>
  <c r="M160" i="71" a="1"/>
  <c r="M160" i="71" s="1"/>
  <c r="L160" i="71" a="1"/>
  <c r="L160" i="71" s="1"/>
  <c r="K160" i="71" a="1"/>
  <c r="K160" i="71" s="1"/>
  <c r="J160" i="71" a="1"/>
  <c r="J160" i="71" s="1"/>
  <c r="I160" i="71" a="1"/>
  <c r="I160" i="71" s="1"/>
  <c r="H160" i="71" a="1"/>
  <c r="H160" i="71" s="1"/>
  <c r="G160" i="71" a="1"/>
  <c r="G160" i="71" s="1"/>
  <c r="F160" i="71" a="1"/>
  <c r="F160" i="71" s="1"/>
  <c r="E160" i="71" a="1"/>
  <c r="E160" i="71" s="1"/>
  <c r="D160" i="71" a="1"/>
  <c r="D160" i="71" s="1"/>
  <c r="AH159" i="71" a="1"/>
  <c r="AH159" i="71" s="1"/>
  <c r="AG159" i="71" a="1"/>
  <c r="AG159" i="71" s="1"/>
  <c r="AF159" i="71" a="1"/>
  <c r="AF159" i="71" s="1"/>
  <c r="AE159" i="71" a="1"/>
  <c r="AE159" i="71" s="1"/>
  <c r="AD159" i="71" a="1"/>
  <c r="AD159" i="71" s="1"/>
  <c r="AC159" i="71" a="1"/>
  <c r="AC159" i="71" s="1"/>
  <c r="AB159" i="71" a="1"/>
  <c r="AB159" i="71" s="1"/>
  <c r="AA159" i="71" a="1"/>
  <c r="AA159" i="71" s="1"/>
  <c r="Z159" i="71" a="1"/>
  <c r="Z159" i="71" s="1"/>
  <c r="Y159" i="71" a="1"/>
  <c r="Y159" i="71" s="1"/>
  <c r="X159" i="71" a="1"/>
  <c r="X159" i="71" s="1"/>
  <c r="W159" i="71" a="1"/>
  <c r="W159" i="71" s="1"/>
  <c r="V159" i="71" a="1"/>
  <c r="V159" i="71" s="1"/>
  <c r="U159" i="71" a="1"/>
  <c r="U159" i="71" s="1"/>
  <c r="T159" i="71" a="1"/>
  <c r="T159" i="71" s="1"/>
  <c r="S159" i="71" a="1"/>
  <c r="S159" i="71" s="1"/>
  <c r="R159" i="71" a="1"/>
  <c r="R159" i="71" s="1"/>
  <c r="Q159" i="71" a="1"/>
  <c r="Q159" i="71" s="1"/>
  <c r="P159" i="71" a="1"/>
  <c r="P159" i="71" s="1"/>
  <c r="O159" i="71" a="1"/>
  <c r="O159" i="71" s="1"/>
  <c r="N159" i="71" a="1"/>
  <c r="N159" i="71" s="1"/>
  <c r="M159" i="71" a="1"/>
  <c r="M159" i="71" s="1"/>
  <c r="L159" i="71" a="1"/>
  <c r="L159" i="71" s="1"/>
  <c r="K159" i="71" a="1"/>
  <c r="K159" i="71" s="1"/>
  <c r="J159" i="71" a="1"/>
  <c r="J159" i="71" s="1"/>
  <c r="I159" i="71" a="1"/>
  <c r="I159" i="71" s="1"/>
  <c r="H159" i="71" a="1"/>
  <c r="H159" i="71" s="1"/>
  <c r="G159" i="71" a="1"/>
  <c r="G159" i="71" s="1"/>
  <c r="F159" i="71" a="1"/>
  <c r="F159" i="71" s="1"/>
  <c r="E159" i="71" a="1"/>
  <c r="E159" i="71" s="1"/>
  <c r="D159" i="71" a="1"/>
  <c r="D159" i="71" s="1"/>
  <c r="AH158" i="71" a="1"/>
  <c r="AH158" i="71" s="1"/>
  <c r="AG158" i="71" a="1"/>
  <c r="AG158" i="71" s="1"/>
  <c r="AF158" i="71" a="1"/>
  <c r="AF158" i="71" s="1"/>
  <c r="AE158" i="71" a="1"/>
  <c r="AE158" i="71" s="1"/>
  <c r="AD158" i="71" a="1"/>
  <c r="AD158" i="71" s="1"/>
  <c r="AC158" i="71" a="1"/>
  <c r="AC158" i="71" s="1"/>
  <c r="AB158" i="71" a="1"/>
  <c r="AB158" i="71" s="1"/>
  <c r="AA158" i="71" a="1"/>
  <c r="AA158" i="71" s="1"/>
  <c r="Z158" i="71" a="1"/>
  <c r="Z158" i="71" s="1"/>
  <c r="Y158" i="71" a="1"/>
  <c r="Y158" i="71" s="1"/>
  <c r="X158" i="71" a="1"/>
  <c r="X158" i="71" s="1"/>
  <c r="W158" i="71" a="1"/>
  <c r="W158" i="71" s="1"/>
  <c r="V158" i="71" a="1"/>
  <c r="V158" i="71" s="1"/>
  <c r="U158" i="71" a="1"/>
  <c r="U158" i="71" s="1"/>
  <c r="T158" i="71" a="1"/>
  <c r="T158" i="71" s="1"/>
  <c r="S158" i="71" a="1"/>
  <c r="S158" i="71" s="1"/>
  <c r="R158" i="71" a="1"/>
  <c r="R158" i="71" s="1"/>
  <c r="Q158" i="71" a="1"/>
  <c r="Q158" i="71" s="1"/>
  <c r="P158" i="71" a="1"/>
  <c r="P158" i="71" s="1"/>
  <c r="O158" i="71" a="1"/>
  <c r="O158" i="71" s="1"/>
  <c r="N158" i="71" a="1"/>
  <c r="N158" i="71" s="1"/>
  <c r="M158" i="71" a="1"/>
  <c r="M158" i="71" s="1"/>
  <c r="L158" i="71" a="1"/>
  <c r="L158" i="71" s="1"/>
  <c r="K158" i="71" a="1"/>
  <c r="K158" i="71" s="1"/>
  <c r="J158" i="71" a="1"/>
  <c r="J158" i="71" s="1"/>
  <c r="I158" i="71" a="1"/>
  <c r="I158" i="71" s="1"/>
  <c r="H158" i="71" a="1"/>
  <c r="H158" i="71" s="1"/>
  <c r="G158" i="71" a="1"/>
  <c r="G158" i="71" s="1"/>
  <c r="F158" i="71" a="1"/>
  <c r="F158" i="71" s="1"/>
  <c r="E158" i="71" a="1"/>
  <c r="E158" i="71" s="1"/>
  <c r="D158" i="71" a="1"/>
  <c r="D158" i="71" s="1"/>
  <c r="AH157" i="71" a="1"/>
  <c r="AH157" i="71" s="1"/>
  <c r="AG157" i="71" a="1"/>
  <c r="AG157" i="71" s="1"/>
  <c r="AF157" i="71" a="1"/>
  <c r="AF157" i="71" s="1"/>
  <c r="AE157" i="71" a="1"/>
  <c r="AE157" i="71" s="1"/>
  <c r="AD157" i="71" a="1"/>
  <c r="AD157" i="71" s="1"/>
  <c r="AC157" i="71" a="1"/>
  <c r="AC157" i="71" s="1"/>
  <c r="AB157" i="71" a="1"/>
  <c r="AB157" i="71" s="1"/>
  <c r="AA157" i="71" a="1"/>
  <c r="AA157" i="71" s="1"/>
  <c r="Z157" i="71" a="1"/>
  <c r="Z157" i="71" s="1"/>
  <c r="Y157" i="71" a="1"/>
  <c r="Y157" i="71" s="1"/>
  <c r="X157" i="71" a="1"/>
  <c r="X157" i="71" s="1"/>
  <c r="W157" i="71" a="1"/>
  <c r="W157" i="71" s="1"/>
  <c r="V157" i="71" a="1"/>
  <c r="V157" i="71" s="1"/>
  <c r="U157" i="71" a="1"/>
  <c r="U157" i="71" s="1"/>
  <c r="T157" i="71" a="1"/>
  <c r="T157" i="71" s="1"/>
  <c r="S157" i="71" a="1"/>
  <c r="S157" i="71" s="1"/>
  <c r="R157" i="71" a="1"/>
  <c r="R157" i="71" s="1"/>
  <c r="Q157" i="71" a="1"/>
  <c r="Q157" i="71" s="1"/>
  <c r="P157" i="71" a="1"/>
  <c r="P157" i="71" s="1"/>
  <c r="O157" i="71" a="1"/>
  <c r="O157" i="71" s="1"/>
  <c r="N157" i="71" a="1"/>
  <c r="N157" i="71" s="1"/>
  <c r="M157" i="71" a="1"/>
  <c r="M157" i="71" s="1"/>
  <c r="L157" i="71" a="1"/>
  <c r="L157" i="71" s="1"/>
  <c r="K157" i="71" a="1"/>
  <c r="K157" i="71" s="1"/>
  <c r="J157" i="71" a="1"/>
  <c r="J157" i="71" s="1"/>
  <c r="I157" i="71" a="1"/>
  <c r="I157" i="71" s="1"/>
  <c r="H157" i="71" a="1"/>
  <c r="H157" i="71" s="1"/>
  <c r="G157" i="71" a="1"/>
  <c r="G157" i="71" s="1"/>
  <c r="F157" i="71" a="1"/>
  <c r="F157" i="71" s="1"/>
  <c r="E157" i="71" a="1"/>
  <c r="E157" i="71" s="1"/>
  <c r="D157" i="71" a="1"/>
  <c r="D157" i="71" s="1"/>
  <c r="AH156" i="71" a="1"/>
  <c r="AH156" i="71" s="1"/>
  <c r="AG156" i="71" a="1"/>
  <c r="AG156" i="71" s="1"/>
  <c r="AF156" i="71" a="1"/>
  <c r="AF156" i="71" s="1"/>
  <c r="AE156" i="71" a="1"/>
  <c r="AE156" i="71" s="1"/>
  <c r="AD156" i="71" a="1"/>
  <c r="AD156" i="71" s="1"/>
  <c r="AC156" i="71" a="1"/>
  <c r="AC156" i="71" s="1"/>
  <c r="AB156" i="71" a="1"/>
  <c r="AB156" i="71" s="1"/>
  <c r="AA156" i="71" a="1"/>
  <c r="AA156" i="71" s="1"/>
  <c r="Z156" i="71" a="1"/>
  <c r="Z156" i="71" s="1"/>
  <c r="Y156" i="71" a="1"/>
  <c r="Y156" i="71" s="1"/>
  <c r="X156" i="71" a="1"/>
  <c r="X156" i="71" s="1"/>
  <c r="W156" i="71" a="1"/>
  <c r="W156" i="71" s="1"/>
  <c r="V156" i="71" a="1"/>
  <c r="V156" i="71" s="1"/>
  <c r="U156" i="71" a="1"/>
  <c r="U156" i="71" s="1"/>
  <c r="T156" i="71" a="1"/>
  <c r="T156" i="71" s="1"/>
  <c r="S156" i="71" a="1"/>
  <c r="S156" i="71" s="1"/>
  <c r="R156" i="71" a="1"/>
  <c r="R156" i="71" s="1"/>
  <c r="Q156" i="71" a="1"/>
  <c r="Q156" i="71" s="1"/>
  <c r="P156" i="71" a="1"/>
  <c r="P156" i="71" s="1"/>
  <c r="O156" i="71" a="1"/>
  <c r="O156" i="71" s="1"/>
  <c r="N156" i="71" a="1"/>
  <c r="N156" i="71" s="1"/>
  <c r="M156" i="71" a="1"/>
  <c r="M156" i="71" s="1"/>
  <c r="L156" i="71" a="1"/>
  <c r="L156" i="71" s="1"/>
  <c r="K156" i="71" a="1"/>
  <c r="K156" i="71" s="1"/>
  <c r="J156" i="71" a="1"/>
  <c r="J156" i="71" s="1"/>
  <c r="I156" i="71" a="1"/>
  <c r="I156" i="71" s="1"/>
  <c r="H156" i="71" a="1"/>
  <c r="H156" i="71" s="1"/>
  <c r="G156" i="71" a="1"/>
  <c r="G156" i="71" s="1"/>
  <c r="F156" i="71" a="1"/>
  <c r="F156" i="71" s="1"/>
  <c r="E156" i="71" a="1"/>
  <c r="E156" i="71" s="1"/>
  <c r="D156" i="71" a="1"/>
  <c r="D156" i="71" s="1"/>
  <c r="AH155" i="71" a="1"/>
  <c r="AH155" i="71" s="1"/>
  <c r="AG155" i="71" a="1"/>
  <c r="AG155" i="71" s="1"/>
  <c r="AF155" i="71" a="1"/>
  <c r="AF155" i="71" s="1"/>
  <c r="AE155" i="71" a="1"/>
  <c r="AE155" i="71" s="1"/>
  <c r="AD155" i="71" a="1"/>
  <c r="AD155" i="71" s="1"/>
  <c r="AC155" i="71" a="1"/>
  <c r="AC155" i="71" s="1"/>
  <c r="AB155" i="71" a="1"/>
  <c r="AB155" i="71" s="1"/>
  <c r="AA155" i="71" a="1"/>
  <c r="AA155" i="71" s="1"/>
  <c r="Z155" i="71" a="1"/>
  <c r="Z155" i="71" s="1"/>
  <c r="Y155" i="71" a="1"/>
  <c r="Y155" i="71" s="1"/>
  <c r="X155" i="71" a="1"/>
  <c r="X155" i="71" s="1"/>
  <c r="W155" i="71" a="1"/>
  <c r="W155" i="71" s="1"/>
  <c r="V155" i="71" a="1"/>
  <c r="V155" i="71" s="1"/>
  <c r="U155" i="71" a="1"/>
  <c r="U155" i="71" s="1"/>
  <c r="T155" i="71" a="1"/>
  <c r="T155" i="71" s="1"/>
  <c r="S155" i="71" a="1"/>
  <c r="S155" i="71" s="1"/>
  <c r="R155" i="71" a="1"/>
  <c r="R155" i="71" s="1"/>
  <c r="Q155" i="71" a="1"/>
  <c r="Q155" i="71" s="1"/>
  <c r="P155" i="71" a="1"/>
  <c r="P155" i="71" s="1"/>
  <c r="O155" i="71" a="1"/>
  <c r="O155" i="71" s="1"/>
  <c r="N155" i="71" a="1"/>
  <c r="N155" i="71" s="1"/>
  <c r="M155" i="71" a="1"/>
  <c r="M155" i="71" s="1"/>
  <c r="L155" i="71" a="1"/>
  <c r="L155" i="71" s="1"/>
  <c r="K155" i="71" a="1"/>
  <c r="K155" i="71" s="1"/>
  <c r="J155" i="71" a="1"/>
  <c r="J155" i="71" s="1"/>
  <c r="I155" i="71" a="1"/>
  <c r="I155" i="71" s="1"/>
  <c r="H155" i="71" a="1"/>
  <c r="H155" i="71" s="1"/>
  <c r="G155" i="71" a="1"/>
  <c r="G155" i="71" s="1"/>
  <c r="F155" i="71" a="1"/>
  <c r="F155" i="71" s="1"/>
  <c r="E155" i="71" a="1"/>
  <c r="E155" i="71" s="1"/>
  <c r="D155" i="71" a="1"/>
  <c r="D155" i="71" s="1"/>
  <c r="AH154" i="71" a="1"/>
  <c r="AH154" i="71" s="1"/>
  <c r="AG154" i="71" a="1"/>
  <c r="AG154" i="71" s="1"/>
  <c r="AF154" i="71" a="1"/>
  <c r="AF154" i="71" s="1"/>
  <c r="AE154" i="71" a="1"/>
  <c r="AE154" i="71" s="1"/>
  <c r="AD154" i="71" a="1"/>
  <c r="AD154" i="71" s="1"/>
  <c r="AC154" i="71" a="1"/>
  <c r="AC154" i="71" s="1"/>
  <c r="AB154" i="71" a="1"/>
  <c r="AB154" i="71" s="1"/>
  <c r="AA154" i="71" a="1"/>
  <c r="AA154" i="71" s="1"/>
  <c r="Z154" i="71" a="1"/>
  <c r="Z154" i="71" s="1"/>
  <c r="Y154" i="71" a="1"/>
  <c r="Y154" i="71" s="1"/>
  <c r="X154" i="71" a="1"/>
  <c r="X154" i="71" s="1"/>
  <c r="W154" i="71" a="1"/>
  <c r="W154" i="71" s="1"/>
  <c r="V154" i="71" a="1"/>
  <c r="V154" i="71" s="1"/>
  <c r="U154" i="71" a="1"/>
  <c r="U154" i="71" s="1"/>
  <c r="T154" i="71" a="1"/>
  <c r="T154" i="71" s="1"/>
  <c r="S154" i="71" a="1"/>
  <c r="S154" i="71" s="1"/>
  <c r="R154" i="71" a="1"/>
  <c r="R154" i="71" s="1"/>
  <c r="Q154" i="71" a="1"/>
  <c r="Q154" i="71" s="1"/>
  <c r="P154" i="71" a="1"/>
  <c r="P154" i="71" s="1"/>
  <c r="O154" i="71" a="1"/>
  <c r="O154" i="71" s="1"/>
  <c r="N154" i="71" a="1"/>
  <c r="N154" i="71" s="1"/>
  <c r="M154" i="71" a="1"/>
  <c r="M154" i="71" s="1"/>
  <c r="L154" i="71" a="1"/>
  <c r="L154" i="71" s="1"/>
  <c r="K154" i="71" a="1"/>
  <c r="K154" i="71" s="1"/>
  <c r="J154" i="71" a="1"/>
  <c r="J154" i="71" s="1"/>
  <c r="I154" i="71" a="1"/>
  <c r="I154" i="71" s="1"/>
  <c r="H154" i="71" a="1"/>
  <c r="H154" i="71" s="1"/>
  <c r="G154" i="71" a="1"/>
  <c r="G154" i="71" s="1"/>
  <c r="F154" i="71" a="1"/>
  <c r="F154" i="71" s="1"/>
  <c r="E154" i="71" a="1"/>
  <c r="E154" i="71" s="1"/>
  <c r="D154" i="71" a="1"/>
  <c r="D154" i="71" s="1"/>
  <c r="AH153" i="71" a="1"/>
  <c r="AH153" i="71" s="1"/>
  <c r="AG153" i="71" a="1"/>
  <c r="AG153" i="71" s="1"/>
  <c r="AF153" i="71" a="1"/>
  <c r="AF153" i="71" s="1"/>
  <c r="AE153" i="71" a="1"/>
  <c r="AE153" i="71" s="1"/>
  <c r="AD153" i="71" a="1"/>
  <c r="AD153" i="71" s="1"/>
  <c r="AC153" i="71" a="1"/>
  <c r="AC153" i="71" s="1"/>
  <c r="AB153" i="71" a="1"/>
  <c r="AB153" i="71" s="1"/>
  <c r="AA153" i="71" a="1"/>
  <c r="AA153" i="71" s="1"/>
  <c r="Z153" i="71" a="1"/>
  <c r="Z153" i="71" s="1"/>
  <c r="Y153" i="71" a="1"/>
  <c r="Y153" i="71" s="1"/>
  <c r="X153" i="71" a="1"/>
  <c r="X153" i="71" s="1"/>
  <c r="W153" i="71" a="1"/>
  <c r="W153" i="71" s="1"/>
  <c r="V153" i="71" a="1"/>
  <c r="V153" i="71" s="1"/>
  <c r="U153" i="71" a="1"/>
  <c r="U153" i="71" s="1"/>
  <c r="T153" i="71" a="1"/>
  <c r="T153" i="71" s="1"/>
  <c r="S153" i="71" a="1"/>
  <c r="S153" i="71" s="1"/>
  <c r="R153" i="71" a="1"/>
  <c r="R153" i="71" s="1"/>
  <c r="Q153" i="71" a="1"/>
  <c r="Q153" i="71" s="1"/>
  <c r="P153" i="71" a="1"/>
  <c r="P153" i="71" s="1"/>
  <c r="O153" i="71" a="1"/>
  <c r="O153" i="71" s="1"/>
  <c r="N153" i="71" a="1"/>
  <c r="N153" i="71" s="1"/>
  <c r="M153" i="71" a="1"/>
  <c r="M153" i="71" s="1"/>
  <c r="L153" i="71" a="1"/>
  <c r="L153" i="71" s="1"/>
  <c r="K153" i="71" a="1"/>
  <c r="K153" i="71" s="1"/>
  <c r="J153" i="71" a="1"/>
  <c r="J153" i="71" s="1"/>
  <c r="I153" i="71" a="1"/>
  <c r="I153" i="71" s="1"/>
  <c r="H153" i="71" a="1"/>
  <c r="H153" i="71" s="1"/>
  <c r="G153" i="71" a="1"/>
  <c r="G153" i="71" s="1"/>
  <c r="F153" i="71" a="1"/>
  <c r="F153" i="71" s="1"/>
  <c r="E153" i="71" a="1"/>
  <c r="E153" i="71" s="1"/>
  <c r="D153" i="71" a="1"/>
  <c r="D153" i="71" s="1"/>
  <c r="AH152" i="71" a="1"/>
  <c r="AH152" i="71" s="1"/>
  <c r="AG152" i="71" a="1"/>
  <c r="AG152" i="71" s="1"/>
  <c r="AF152" i="71" a="1"/>
  <c r="AF152" i="71" s="1"/>
  <c r="AE152" i="71" a="1"/>
  <c r="AE152" i="71" s="1"/>
  <c r="AD152" i="71" a="1"/>
  <c r="AD152" i="71" s="1"/>
  <c r="AC152" i="71" a="1"/>
  <c r="AC152" i="71" s="1"/>
  <c r="AB152" i="71" a="1"/>
  <c r="AB152" i="71" s="1"/>
  <c r="AA152" i="71" a="1"/>
  <c r="AA152" i="71" s="1"/>
  <c r="Z152" i="71" a="1"/>
  <c r="Z152" i="71" s="1"/>
  <c r="Y152" i="71" a="1"/>
  <c r="Y152" i="71" s="1"/>
  <c r="X152" i="71" a="1"/>
  <c r="X152" i="71" s="1"/>
  <c r="W152" i="71" a="1"/>
  <c r="W152" i="71" s="1"/>
  <c r="V152" i="71" a="1"/>
  <c r="V152" i="71" s="1"/>
  <c r="U152" i="71" a="1"/>
  <c r="U152" i="71" s="1"/>
  <c r="T152" i="71" a="1"/>
  <c r="T152" i="71" s="1"/>
  <c r="S152" i="71" a="1"/>
  <c r="S152" i="71" s="1"/>
  <c r="R152" i="71" a="1"/>
  <c r="R152" i="71" s="1"/>
  <c r="Q152" i="71" a="1"/>
  <c r="Q152" i="71" s="1"/>
  <c r="P152" i="71" a="1"/>
  <c r="P152" i="71" s="1"/>
  <c r="O152" i="71" a="1"/>
  <c r="O152" i="71" s="1"/>
  <c r="N152" i="71" a="1"/>
  <c r="N152" i="71" s="1"/>
  <c r="M152" i="71" a="1"/>
  <c r="M152" i="71" s="1"/>
  <c r="L152" i="71" a="1"/>
  <c r="L152" i="71" s="1"/>
  <c r="K152" i="71" a="1"/>
  <c r="K152" i="71" s="1"/>
  <c r="J152" i="71" a="1"/>
  <c r="J152" i="71" s="1"/>
  <c r="I152" i="71" a="1"/>
  <c r="I152" i="71" s="1"/>
  <c r="H152" i="71" a="1"/>
  <c r="H152" i="71" s="1"/>
  <c r="G152" i="71" a="1"/>
  <c r="G152" i="71" s="1"/>
  <c r="F152" i="71" a="1"/>
  <c r="F152" i="71" s="1"/>
  <c r="E152" i="71" a="1"/>
  <c r="E152" i="71" s="1"/>
  <c r="D152" i="71" a="1"/>
  <c r="D152" i="71" s="1"/>
  <c r="AH151" i="71" a="1"/>
  <c r="AH151" i="71" s="1"/>
  <c r="AG151" i="71" a="1"/>
  <c r="AG151" i="71" s="1"/>
  <c r="AF151" i="71" a="1"/>
  <c r="AF151" i="71" s="1"/>
  <c r="AE151" i="71" a="1"/>
  <c r="AE151" i="71" s="1"/>
  <c r="AD151" i="71" a="1"/>
  <c r="AD151" i="71" s="1"/>
  <c r="AC151" i="71" a="1"/>
  <c r="AC151" i="71" s="1"/>
  <c r="AB151" i="71" a="1"/>
  <c r="AB151" i="71" s="1"/>
  <c r="AA151" i="71" a="1"/>
  <c r="AA151" i="71" s="1"/>
  <c r="Z151" i="71" a="1"/>
  <c r="Z151" i="71" s="1"/>
  <c r="Y151" i="71" a="1"/>
  <c r="Y151" i="71" s="1"/>
  <c r="X151" i="71" a="1"/>
  <c r="X151" i="71" s="1"/>
  <c r="W151" i="71" a="1"/>
  <c r="W151" i="71" s="1"/>
  <c r="V151" i="71" a="1"/>
  <c r="V151" i="71" s="1"/>
  <c r="U151" i="71" a="1"/>
  <c r="U151" i="71" s="1"/>
  <c r="T151" i="71" a="1"/>
  <c r="T151" i="71" s="1"/>
  <c r="S151" i="71" a="1"/>
  <c r="S151" i="71" s="1"/>
  <c r="R151" i="71" a="1"/>
  <c r="R151" i="71" s="1"/>
  <c r="Q151" i="71" a="1"/>
  <c r="Q151" i="71" s="1"/>
  <c r="P151" i="71" a="1"/>
  <c r="P151" i="71" s="1"/>
  <c r="O151" i="71" a="1"/>
  <c r="O151" i="71" s="1"/>
  <c r="N151" i="71" a="1"/>
  <c r="N151" i="71" s="1"/>
  <c r="M151" i="71" a="1"/>
  <c r="M151" i="71" s="1"/>
  <c r="L151" i="71" a="1"/>
  <c r="L151" i="71" s="1"/>
  <c r="K151" i="71" a="1"/>
  <c r="K151" i="71" s="1"/>
  <c r="J151" i="71" a="1"/>
  <c r="J151" i="71" s="1"/>
  <c r="I151" i="71" a="1"/>
  <c r="I151" i="71" s="1"/>
  <c r="H151" i="71" a="1"/>
  <c r="H151" i="71" s="1"/>
  <c r="G151" i="71" a="1"/>
  <c r="G151" i="71" s="1"/>
  <c r="F151" i="71" a="1"/>
  <c r="F151" i="71" s="1"/>
  <c r="E151" i="71" a="1"/>
  <c r="E151" i="71" s="1"/>
  <c r="D151" i="71" a="1"/>
  <c r="D151" i="71" s="1"/>
  <c r="AH150" i="71" a="1"/>
  <c r="AH150" i="71" s="1"/>
  <c r="AG150" i="71" a="1"/>
  <c r="AG150" i="71" s="1"/>
  <c r="AF150" i="71" a="1"/>
  <c r="AF150" i="71" s="1"/>
  <c r="AE150" i="71" a="1"/>
  <c r="AE150" i="71" s="1"/>
  <c r="AD150" i="71" a="1"/>
  <c r="AD150" i="71" s="1"/>
  <c r="AC150" i="71" a="1"/>
  <c r="AC150" i="71" s="1"/>
  <c r="AB150" i="71" a="1"/>
  <c r="AB150" i="71" s="1"/>
  <c r="AA150" i="71" a="1"/>
  <c r="AA150" i="71" s="1"/>
  <c r="Z150" i="71" a="1"/>
  <c r="Z150" i="71" s="1"/>
  <c r="Y150" i="71" a="1"/>
  <c r="Y150" i="71" s="1"/>
  <c r="X150" i="71" a="1"/>
  <c r="X150" i="71" s="1"/>
  <c r="W150" i="71" a="1"/>
  <c r="W150" i="71" s="1"/>
  <c r="V150" i="71" a="1"/>
  <c r="V150" i="71" s="1"/>
  <c r="U150" i="71" a="1"/>
  <c r="U150" i="71" s="1"/>
  <c r="T150" i="71" a="1"/>
  <c r="T150" i="71" s="1"/>
  <c r="S150" i="71" a="1"/>
  <c r="S150" i="71" s="1"/>
  <c r="R150" i="71" a="1"/>
  <c r="R150" i="71" s="1"/>
  <c r="Q150" i="71" a="1"/>
  <c r="Q150" i="71" s="1"/>
  <c r="P150" i="71" a="1"/>
  <c r="P150" i="71" s="1"/>
  <c r="O150" i="71" a="1"/>
  <c r="O150" i="71" s="1"/>
  <c r="N150" i="71" a="1"/>
  <c r="N150" i="71" s="1"/>
  <c r="M150" i="71" a="1"/>
  <c r="M150" i="71" s="1"/>
  <c r="L150" i="71" a="1"/>
  <c r="L150" i="71" s="1"/>
  <c r="K150" i="71" a="1"/>
  <c r="K150" i="71" s="1"/>
  <c r="J150" i="71" a="1"/>
  <c r="J150" i="71" s="1"/>
  <c r="I150" i="71" a="1"/>
  <c r="I150" i="71" s="1"/>
  <c r="H150" i="71" a="1"/>
  <c r="H150" i="71" s="1"/>
  <c r="G150" i="71" a="1"/>
  <c r="G150" i="71" s="1"/>
  <c r="F150" i="71" a="1"/>
  <c r="F150" i="71" s="1"/>
  <c r="E150" i="71" a="1"/>
  <c r="E150" i="71" s="1"/>
  <c r="D150" i="71" a="1"/>
  <c r="D150" i="71" s="1"/>
  <c r="AH149" i="71" a="1"/>
  <c r="AH149" i="71" s="1"/>
  <c r="AG149" i="71" a="1"/>
  <c r="AG149" i="71" s="1"/>
  <c r="AF149" i="71" a="1"/>
  <c r="AF149" i="71" s="1"/>
  <c r="AE149" i="71" a="1"/>
  <c r="AE149" i="71" s="1"/>
  <c r="AD149" i="71" a="1"/>
  <c r="AD149" i="71" s="1"/>
  <c r="AC149" i="71" a="1"/>
  <c r="AC149" i="71" s="1"/>
  <c r="AB149" i="71" a="1"/>
  <c r="AB149" i="71" s="1"/>
  <c r="AA149" i="71" a="1"/>
  <c r="AA149" i="71" s="1"/>
  <c r="Z149" i="71" a="1"/>
  <c r="Z149" i="71" s="1"/>
  <c r="Y149" i="71" a="1"/>
  <c r="Y149" i="71" s="1"/>
  <c r="X149" i="71" a="1"/>
  <c r="X149" i="71" s="1"/>
  <c r="W149" i="71" a="1"/>
  <c r="W149" i="71" s="1"/>
  <c r="V149" i="71" a="1"/>
  <c r="V149" i="71" s="1"/>
  <c r="U149" i="71" a="1"/>
  <c r="U149" i="71" s="1"/>
  <c r="T149" i="71" a="1"/>
  <c r="T149" i="71" s="1"/>
  <c r="S149" i="71" a="1"/>
  <c r="S149" i="71" s="1"/>
  <c r="R149" i="71" a="1"/>
  <c r="R149" i="71" s="1"/>
  <c r="Q149" i="71" a="1"/>
  <c r="Q149" i="71" s="1"/>
  <c r="P149" i="71" a="1"/>
  <c r="P149" i="71" s="1"/>
  <c r="O149" i="71" a="1"/>
  <c r="O149" i="71" s="1"/>
  <c r="N149" i="71" a="1"/>
  <c r="N149" i="71" s="1"/>
  <c r="M149" i="71" a="1"/>
  <c r="M149" i="71" s="1"/>
  <c r="L149" i="71" a="1"/>
  <c r="L149" i="71" s="1"/>
  <c r="K149" i="71" a="1"/>
  <c r="K149" i="71" s="1"/>
  <c r="J149" i="71" a="1"/>
  <c r="J149" i="71" s="1"/>
  <c r="I149" i="71" a="1"/>
  <c r="I149" i="71" s="1"/>
  <c r="H149" i="71" a="1"/>
  <c r="H149" i="71" s="1"/>
  <c r="G149" i="71" a="1"/>
  <c r="G149" i="71" s="1"/>
  <c r="F149" i="71" a="1"/>
  <c r="F149" i="71" s="1"/>
  <c r="E149" i="71" a="1"/>
  <c r="E149" i="71" s="1"/>
  <c r="D149" i="71" a="1"/>
  <c r="D149" i="71" s="1"/>
  <c r="AH148" i="71" a="1"/>
  <c r="AH148" i="71" s="1"/>
  <c r="AG148" i="71" a="1"/>
  <c r="AG148" i="71" s="1"/>
  <c r="AF148" i="71" a="1"/>
  <c r="AF148" i="71" s="1"/>
  <c r="AE148" i="71" a="1"/>
  <c r="AE148" i="71" s="1"/>
  <c r="AD148" i="71" a="1"/>
  <c r="AD148" i="71" s="1"/>
  <c r="AC148" i="71" a="1"/>
  <c r="AC148" i="71" s="1"/>
  <c r="AB148" i="71" a="1"/>
  <c r="AB148" i="71" s="1"/>
  <c r="AA148" i="71" a="1"/>
  <c r="AA148" i="71" s="1"/>
  <c r="Z148" i="71" a="1"/>
  <c r="Z148" i="71" s="1"/>
  <c r="Y148" i="71" a="1"/>
  <c r="Y148" i="71" s="1"/>
  <c r="X148" i="71" a="1"/>
  <c r="X148" i="71" s="1"/>
  <c r="W148" i="71" a="1"/>
  <c r="W148" i="71" s="1"/>
  <c r="V148" i="71" a="1"/>
  <c r="V148" i="71" s="1"/>
  <c r="U148" i="71" a="1"/>
  <c r="U148" i="71" s="1"/>
  <c r="T148" i="71" a="1"/>
  <c r="T148" i="71" s="1"/>
  <c r="S148" i="71" a="1"/>
  <c r="S148" i="71" s="1"/>
  <c r="R148" i="71" a="1"/>
  <c r="R148" i="71" s="1"/>
  <c r="Q148" i="71" a="1"/>
  <c r="Q148" i="71" s="1"/>
  <c r="P148" i="71" a="1"/>
  <c r="P148" i="71" s="1"/>
  <c r="O148" i="71" a="1"/>
  <c r="O148" i="71" s="1"/>
  <c r="N148" i="71" a="1"/>
  <c r="N148" i="71" s="1"/>
  <c r="M148" i="71" a="1"/>
  <c r="M148" i="71" s="1"/>
  <c r="L148" i="71" a="1"/>
  <c r="L148" i="71" s="1"/>
  <c r="K148" i="71" a="1"/>
  <c r="K148" i="71" s="1"/>
  <c r="J148" i="71" a="1"/>
  <c r="J148" i="71" s="1"/>
  <c r="I148" i="71" a="1"/>
  <c r="I148" i="71" s="1"/>
  <c r="H148" i="71" a="1"/>
  <c r="H148" i="71" s="1"/>
  <c r="G148" i="71" a="1"/>
  <c r="G148" i="71" s="1"/>
  <c r="F148" i="71" a="1"/>
  <c r="F148" i="71" s="1"/>
  <c r="E148" i="71" a="1"/>
  <c r="E148" i="71" s="1"/>
  <c r="D148" i="71" a="1"/>
  <c r="D148" i="71" s="1"/>
  <c r="AH147" i="71" a="1"/>
  <c r="AH147" i="71" s="1"/>
  <c r="AG147" i="71" a="1"/>
  <c r="AG147" i="71" s="1"/>
  <c r="AF147" i="71" a="1"/>
  <c r="AF147" i="71" s="1"/>
  <c r="AE147" i="71" a="1"/>
  <c r="AE147" i="71" s="1"/>
  <c r="AD147" i="71" a="1"/>
  <c r="AD147" i="71" s="1"/>
  <c r="AC147" i="71" a="1"/>
  <c r="AC147" i="71" s="1"/>
  <c r="AB147" i="71" a="1"/>
  <c r="AB147" i="71" s="1"/>
  <c r="AA147" i="71" a="1"/>
  <c r="AA147" i="71" s="1"/>
  <c r="Z147" i="71" a="1"/>
  <c r="Z147" i="71" s="1"/>
  <c r="Y147" i="71" a="1"/>
  <c r="Y147" i="71" s="1"/>
  <c r="X147" i="71" a="1"/>
  <c r="X147" i="71" s="1"/>
  <c r="W147" i="71" a="1"/>
  <c r="W147" i="71" s="1"/>
  <c r="V147" i="71" a="1"/>
  <c r="V147" i="71" s="1"/>
  <c r="U147" i="71" a="1"/>
  <c r="U147" i="71" s="1"/>
  <c r="T147" i="71" a="1"/>
  <c r="T147" i="71" s="1"/>
  <c r="S147" i="71" a="1"/>
  <c r="S147" i="71" s="1"/>
  <c r="R147" i="71" a="1"/>
  <c r="R147" i="71" s="1"/>
  <c r="Q147" i="71" a="1"/>
  <c r="Q147" i="71" s="1"/>
  <c r="P147" i="71" a="1"/>
  <c r="P147" i="71" s="1"/>
  <c r="O147" i="71" a="1"/>
  <c r="O147" i="71" s="1"/>
  <c r="N147" i="71" a="1"/>
  <c r="N147" i="71" s="1"/>
  <c r="M147" i="71" a="1"/>
  <c r="M147" i="71" s="1"/>
  <c r="L147" i="71" a="1"/>
  <c r="L147" i="71" s="1"/>
  <c r="K147" i="71" a="1"/>
  <c r="K147" i="71" s="1"/>
  <c r="J147" i="71" a="1"/>
  <c r="J147" i="71" s="1"/>
  <c r="I147" i="71" a="1"/>
  <c r="I147" i="71" s="1"/>
  <c r="H147" i="71" a="1"/>
  <c r="H147" i="71" s="1"/>
  <c r="G147" i="71" a="1"/>
  <c r="G147" i="71" s="1"/>
  <c r="F147" i="71" a="1"/>
  <c r="F147" i="71" s="1"/>
  <c r="E147" i="71" a="1"/>
  <c r="E147" i="71" s="1"/>
  <c r="D147" i="71" a="1"/>
  <c r="D147" i="71" s="1"/>
  <c r="AH146" i="71" a="1"/>
  <c r="AH146" i="71" s="1"/>
  <c r="AG146" i="71" a="1"/>
  <c r="AG146" i="71" s="1"/>
  <c r="AF146" i="71" a="1"/>
  <c r="AF146" i="71" s="1"/>
  <c r="AE146" i="71" a="1"/>
  <c r="AE146" i="71" s="1"/>
  <c r="AD146" i="71" a="1"/>
  <c r="AD146" i="71" s="1"/>
  <c r="AC146" i="71" a="1"/>
  <c r="AC146" i="71" s="1"/>
  <c r="AB146" i="71" a="1"/>
  <c r="AB146" i="71" s="1"/>
  <c r="AA146" i="71" a="1"/>
  <c r="AA146" i="71" s="1"/>
  <c r="Z146" i="71" a="1"/>
  <c r="Z146" i="71" s="1"/>
  <c r="Y146" i="71" a="1"/>
  <c r="Y146" i="71" s="1"/>
  <c r="X146" i="71" a="1"/>
  <c r="X146" i="71" s="1"/>
  <c r="W146" i="71" a="1"/>
  <c r="W146" i="71" s="1"/>
  <c r="V146" i="71" a="1"/>
  <c r="V146" i="71" s="1"/>
  <c r="U146" i="71" a="1"/>
  <c r="U146" i="71" s="1"/>
  <c r="T146" i="71" a="1"/>
  <c r="T146" i="71" s="1"/>
  <c r="S146" i="71" a="1"/>
  <c r="S146" i="71" s="1"/>
  <c r="R146" i="71" a="1"/>
  <c r="R146" i="71" s="1"/>
  <c r="Q146" i="71" a="1"/>
  <c r="Q146" i="71" s="1"/>
  <c r="P146" i="71" a="1"/>
  <c r="P146" i="71" s="1"/>
  <c r="O146" i="71" a="1"/>
  <c r="O146" i="71" s="1"/>
  <c r="N146" i="71" a="1"/>
  <c r="N146" i="71" s="1"/>
  <c r="M146" i="71" a="1"/>
  <c r="M146" i="71" s="1"/>
  <c r="L146" i="71" a="1"/>
  <c r="L146" i="71" s="1"/>
  <c r="K146" i="71" a="1"/>
  <c r="K146" i="71" s="1"/>
  <c r="J146" i="71" a="1"/>
  <c r="J146" i="71" s="1"/>
  <c r="I146" i="71" a="1"/>
  <c r="I146" i="71" s="1"/>
  <c r="H146" i="71" a="1"/>
  <c r="H146" i="71" s="1"/>
  <c r="G146" i="71" a="1"/>
  <c r="G146" i="71" s="1"/>
  <c r="F146" i="71" a="1"/>
  <c r="F146" i="71" s="1"/>
  <c r="E146" i="71" a="1"/>
  <c r="E146" i="71" s="1"/>
  <c r="D146" i="71" a="1"/>
  <c r="D146" i="71" s="1"/>
  <c r="AH145" i="71" a="1"/>
  <c r="AH145" i="71" s="1"/>
  <c r="AG145" i="71" a="1"/>
  <c r="AG145" i="71" s="1"/>
  <c r="AF145" i="71" a="1"/>
  <c r="AF145" i="71" s="1"/>
  <c r="AE145" i="71" a="1"/>
  <c r="AE145" i="71" s="1"/>
  <c r="AD145" i="71" a="1"/>
  <c r="AD145" i="71" s="1"/>
  <c r="AC145" i="71" a="1"/>
  <c r="AC145" i="71" s="1"/>
  <c r="AB145" i="71" a="1"/>
  <c r="AB145" i="71" s="1"/>
  <c r="AA145" i="71" a="1"/>
  <c r="AA145" i="71" s="1"/>
  <c r="Z145" i="71" a="1"/>
  <c r="Z145" i="71" s="1"/>
  <c r="Y145" i="71" a="1"/>
  <c r="Y145" i="71" s="1"/>
  <c r="X145" i="71" a="1"/>
  <c r="X145" i="71" s="1"/>
  <c r="W145" i="71" a="1"/>
  <c r="W145" i="71" s="1"/>
  <c r="V145" i="71" a="1"/>
  <c r="V145" i="71" s="1"/>
  <c r="U145" i="71" a="1"/>
  <c r="U145" i="71" s="1"/>
  <c r="T145" i="71" a="1"/>
  <c r="T145" i="71" s="1"/>
  <c r="S145" i="71" a="1"/>
  <c r="S145" i="71" s="1"/>
  <c r="R145" i="71" a="1"/>
  <c r="R145" i="71" s="1"/>
  <c r="Q145" i="71" a="1"/>
  <c r="Q145" i="71" s="1"/>
  <c r="P145" i="71" a="1"/>
  <c r="P145" i="71" s="1"/>
  <c r="O145" i="71" a="1"/>
  <c r="O145" i="71" s="1"/>
  <c r="N145" i="71" a="1"/>
  <c r="N145" i="71" s="1"/>
  <c r="M145" i="71" a="1"/>
  <c r="M145" i="71" s="1"/>
  <c r="L145" i="71" a="1"/>
  <c r="L145" i="71" s="1"/>
  <c r="K145" i="71" a="1"/>
  <c r="K145" i="71" s="1"/>
  <c r="J145" i="71" a="1"/>
  <c r="J145" i="71" s="1"/>
  <c r="I145" i="71" a="1"/>
  <c r="I145" i="71" s="1"/>
  <c r="H145" i="71" a="1"/>
  <c r="H145" i="71" s="1"/>
  <c r="G145" i="71" a="1"/>
  <c r="G145" i="71" s="1"/>
  <c r="F145" i="71" a="1"/>
  <c r="F145" i="71" s="1"/>
  <c r="E145" i="71" a="1"/>
  <c r="E145" i="71" s="1"/>
  <c r="D145" i="71" a="1"/>
  <c r="D145" i="71" s="1"/>
  <c r="AH144" i="71" a="1"/>
  <c r="AH144" i="71" s="1"/>
  <c r="AG144" i="71" a="1"/>
  <c r="AG144" i="71" s="1"/>
  <c r="AF144" i="71" a="1"/>
  <c r="AF144" i="71" s="1"/>
  <c r="AE144" i="71" a="1"/>
  <c r="AE144" i="71" s="1"/>
  <c r="AD144" i="71" a="1"/>
  <c r="AD144" i="71" s="1"/>
  <c r="AC144" i="71" a="1"/>
  <c r="AC144" i="71" s="1"/>
  <c r="AB144" i="71" a="1"/>
  <c r="AB144" i="71" s="1"/>
  <c r="AA144" i="71" a="1"/>
  <c r="AA144" i="71" s="1"/>
  <c r="Z144" i="71" a="1"/>
  <c r="Z144" i="71" s="1"/>
  <c r="Y144" i="71" a="1"/>
  <c r="Y144" i="71" s="1"/>
  <c r="X144" i="71" a="1"/>
  <c r="X144" i="71" s="1"/>
  <c r="W144" i="71" a="1"/>
  <c r="W144" i="71" s="1"/>
  <c r="V144" i="71" a="1"/>
  <c r="V144" i="71" s="1"/>
  <c r="U144" i="71" a="1"/>
  <c r="U144" i="71" s="1"/>
  <c r="T144" i="71" a="1"/>
  <c r="T144" i="71" s="1"/>
  <c r="S144" i="71" a="1"/>
  <c r="S144" i="71" s="1"/>
  <c r="R144" i="71" a="1"/>
  <c r="R144" i="71" s="1"/>
  <c r="Q144" i="71" a="1"/>
  <c r="Q144" i="71" s="1"/>
  <c r="P144" i="71" a="1"/>
  <c r="P144" i="71" s="1"/>
  <c r="O144" i="71" a="1"/>
  <c r="O144" i="71" s="1"/>
  <c r="N144" i="71" a="1"/>
  <c r="N144" i="71" s="1"/>
  <c r="M144" i="71" a="1"/>
  <c r="M144" i="71" s="1"/>
  <c r="L144" i="71" a="1"/>
  <c r="L144" i="71" s="1"/>
  <c r="K144" i="71" a="1"/>
  <c r="K144" i="71" s="1"/>
  <c r="J144" i="71" a="1"/>
  <c r="J144" i="71" s="1"/>
  <c r="I144" i="71" a="1"/>
  <c r="I144" i="71" s="1"/>
  <c r="H144" i="71" a="1"/>
  <c r="H144" i="71" s="1"/>
  <c r="G144" i="71" a="1"/>
  <c r="G144" i="71" s="1"/>
  <c r="F144" i="71" a="1"/>
  <c r="F144" i="71" s="1"/>
  <c r="E144" i="71" a="1"/>
  <c r="E144" i="71" s="1"/>
  <c r="D144" i="71" a="1"/>
  <c r="D144" i="71" s="1"/>
  <c r="AH143" i="71" a="1"/>
  <c r="AH143" i="71" s="1"/>
  <c r="AG143" i="71" a="1"/>
  <c r="AG143" i="71" s="1"/>
  <c r="AF143" i="71" a="1"/>
  <c r="AF143" i="71" s="1"/>
  <c r="AE143" i="71" a="1"/>
  <c r="AE143" i="71" s="1"/>
  <c r="AD143" i="71" a="1"/>
  <c r="AD143" i="71" s="1"/>
  <c r="AC143" i="71" a="1"/>
  <c r="AC143" i="71" s="1"/>
  <c r="AB143" i="71" a="1"/>
  <c r="AB143" i="71" s="1"/>
  <c r="AA143" i="71" a="1"/>
  <c r="AA143" i="71" s="1"/>
  <c r="Z143" i="71" a="1"/>
  <c r="Z143" i="71" s="1"/>
  <c r="Y143" i="71" a="1"/>
  <c r="Y143" i="71" s="1"/>
  <c r="X143" i="71" a="1"/>
  <c r="X143" i="71" s="1"/>
  <c r="W143" i="71" a="1"/>
  <c r="W143" i="71" s="1"/>
  <c r="V143" i="71" a="1"/>
  <c r="V143" i="71" s="1"/>
  <c r="U143" i="71" a="1"/>
  <c r="U143" i="71" s="1"/>
  <c r="T143" i="71" a="1"/>
  <c r="T143" i="71" s="1"/>
  <c r="S143" i="71" a="1"/>
  <c r="S143" i="71" s="1"/>
  <c r="R143" i="71" a="1"/>
  <c r="R143" i="71" s="1"/>
  <c r="Q143" i="71" a="1"/>
  <c r="Q143" i="71" s="1"/>
  <c r="P143" i="71" a="1"/>
  <c r="P143" i="71" s="1"/>
  <c r="O143" i="71" a="1"/>
  <c r="O143" i="71" s="1"/>
  <c r="N143" i="71" a="1"/>
  <c r="N143" i="71" s="1"/>
  <c r="M143" i="71" a="1"/>
  <c r="M143" i="71" s="1"/>
  <c r="L143" i="71" a="1"/>
  <c r="L143" i="71" s="1"/>
  <c r="K143" i="71" a="1"/>
  <c r="K143" i="71" s="1"/>
  <c r="J143" i="71" a="1"/>
  <c r="J143" i="71" s="1"/>
  <c r="I143" i="71" a="1"/>
  <c r="I143" i="71" s="1"/>
  <c r="H143" i="71" a="1"/>
  <c r="H143" i="71" s="1"/>
  <c r="G143" i="71" a="1"/>
  <c r="G143" i="71" s="1"/>
  <c r="F143" i="71" a="1"/>
  <c r="F143" i="71" s="1"/>
  <c r="E143" i="71" a="1"/>
  <c r="E143" i="71" s="1"/>
  <c r="D143" i="71" a="1"/>
  <c r="D143" i="71" s="1"/>
  <c r="AH142" i="71" a="1"/>
  <c r="AH142" i="71" s="1"/>
  <c r="AG142" i="71" a="1"/>
  <c r="AG142" i="71" s="1"/>
  <c r="AF142" i="71" a="1"/>
  <c r="AF142" i="71" s="1"/>
  <c r="AE142" i="71" a="1"/>
  <c r="AE142" i="71" s="1"/>
  <c r="AD142" i="71" a="1"/>
  <c r="AD142" i="71" s="1"/>
  <c r="AC142" i="71" a="1"/>
  <c r="AC142" i="71" s="1"/>
  <c r="AB142" i="71" a="1"/>
  <c r="AB142" i="71" s="1"/>
  <c r="AA142" i="71" a="1"/>
  <c r="AA142" i="71" s="1"/>
  <c r="Z142" i="71" a="1"/>
  <c r="Z142" i="71" s="1"/>
  <c r="Y142" i="71" a="1"/>
  <c r="Y142" i="71" s="1"/>
  <c r="X142" i="71" a="1"/>
  <c r="X142" i="71" s="1"/>
  <c r="W142" i="71" a="1"/>
  <c r="W142" i="71" s="1"/>
  <c r="V142" i="71" a="1"/>
  <c r="V142" i="71" s="1"/>
  <c r="U142" i="71" a="1"/>
  <c r="U142" i="71" s="1"/>
  <c r="T142" i="71" a="1"/>
  <c r="T142" i="71" s="1"/>
  <c r="S142" i="71" a="1"/>
  <c r="S142" i="71" s="1"/>
  <c r="R142" i="71" a="1"/>
  <c r="R142" i="71" s="1"/>
  <c r="Q142" i="71" a="1"/>
  <c r="Q142" i="71" s="1"/>
  <c r="P142" i="71" a="1"/>
  <c r="P142" i="71" s="1"/>
  <c r="O142" i="71" a="1"/>
  <c r="O142" i="71" s="1"/>
  <c r="N142" i="71" a="1"/>
  <c r="N142" i="71" s="1"/>
  <c r="M142" i="71" a="1"/>
  <c r="M142" i="71" s="1"/>
  <c r="L142" i="71" a="1"/>
  <c r="L142" i="71" s="1"/>
  <c r="K142" i="71" a="1"/>
  <c r="K142" i="71" s="1"/>
  <c r="J142" i="71" a="1"/>
  <c r="J142" i="71" s="1"/>
  <c r="I142" i="71" a="1"/>
  <c r="I142" i="71" s="1"/>
  <c r="H142" i="71" a="1"/>
  <c r="H142" i="71" s="1"/>
  <c r="G142" i="71" a="1"/>
  <c r="G142" i="71" s="1"/>
  <c r="F142" i="71" a="1"/>
  <c r="F142" i="71" s="1"/>
  <c r="E142" i="71" a="1"/>
  <c r="E142" i="71" s="1"/>
  <c r="D142" i="71" a="1"/>
  <c r="D142" i="71" s="1"/>
  <c r="AH141" i="71" a="1"/>
  <c r="AH141" i="71" s="1"/>
  <c r="AG141" i="71" a="1"/>
  <c r="AG141" i="71" s="1"/>
  <c r="AF141" i="71" a="1"/>
  <c r="AF141" i="71" s="1"/>
  <c r="AE141" i="71" a="1"/>
  <c r="AE141" i="71" s="1"/>
  <c r="AD141" i="71" a="1"/>
  <c r="AD141" i="71" s="1"/>
  <c r="AC141" i="71" a="1"/>
  <c r="AC141" i="71" s="1"/>
  <c r="AB141" i="71" a="1"/>
  <c r="AB141" i="71" s="1"/>
  <c r="AA141" i="71" a="1"/>
  <c r="AA141" i="71" s="1"/>
  <c r="Z141" i="71" a="1"/>
  <c r="Z141" i="71" s="1"/>
  <c r="Y141" i="71" a="1"/>
  <c r="Y141" i="71" s="1"/>
  <c r="X141" i="71" a="1"/>
  <c r="X141" i="71" s="1"/>
  <c r="W141" i="71" a="1"/>
  <c r="W141" i="71" s="1"/>
  <c r="V141" i="71" a="1"/>
  <c r="V141" i="71" s="1"/>
  <c r="U141" i="71" a="1"/>
  <c r="U141" i="71" s="1"/>
  <c r="T141" i="71" a="1"/>
  <c r="T141" i="71" s="1"/>
  <c r="S141" i="71" a="1"/>
  <c r="S141" i="71" s="1"/>
  <c r="R141" i="71" a="1"/>
  <c r="R141" i="71" s="1"/>
  <c r="Q141" i="71" a="1"/>
  <c r="Q141" i="71" s="1"/>
  <c r="P141" i="71" a="1"/>
  <c r="P141" i="71" s="1"/>
  <c r="O141" i="71" a="1"/>
  <c r="O141" i="71" s="1"/>
  <c r="N141" i="71" a="1"/>
  <c r="N141" i="71" s="1"/>
  <c r="M141" i="71" a="1"/>
  <c r="M141" i="71" s="1"/>
  <c r="L141" i="71" a="1"/>
  <c r="L141" i="71" s="1"/>
  <c r="K141" i="71" a="1"/>
  <c r="K141" i="71" s="1"/>
  <c r="J141" i="71" a="1"/>
  <c r="J141" i="71" s="1"/>
  <c r="I141" i="71" a="1"/>
  <c r="I141" i="71" s="1"/>
  <c r="H141" i="71" a="1"/>
  <c r="H141" i="71" s="1"/>
  <c r="G141" i="71" a="1"/>
  <c r="G141" i="71" s="1"/>
  <c r="F141" i="71" a="1"/>
  <c r="F141" i="71" s="1"/>
  <c r="E141" i="71" a="1"/>
  <c r="E141" i="71" s="1"/>
  <c r="D141" i="71" a="1"/>
  <c r="D141" i="71" s="1"/>
  <c r="AH140" i="71" a="1"/>
  <c r="AH140" i="71" s="1"/>
  <c r="AG140" i="71" a="1"/>
  <c r="AG140" i="71" s="1"/>
  <c r="AF140" i="71" a="1"/>
  <c r="AF140" i="71" s="1"/>
  <c r="AE140" i="71" a="1"/>
  <c r="AE140" i="71" s="1"/>
  <c r="AD140" i="71" a="1"/>
  <c r="AD140" i="71" s="1"/>
  <c r="AC140" i="71" a="1"/>
  <c r="AC140" i="71" s="1"/>
  <c r="AB140" i="71" a="1"/>
  <c r="AB140" i="71" s="1"/>
  <c r="AA140" i="71" a="1"/>
  <c r="AA140" i="71" s="1"/>
  <c r="Z140" i="71" a="1"/>
  <c r="Z140" i="71" s="1"/>
  <c r="Y140" i="71" a="1"/>
  <c r="Y140" i="71" s="1"/>
  <c r="X140" i="71" a="1"/>
  <c r="X140" i="71" s="1"/>
  <c r="W140" i="71" a="1"/>
  <c r="W140" i="71" s="1"/>
  <c r="V140" i="71" a="1"/>
  <c r="V140" i="71" s="1"/>
  <c r="U140" i="71" a="1"/>
  <c r="U140" i="71" s="1"/>
  <c r="T140" i="71" a="1"/>
  <c r="T140" i="71" s="1"/>
  <c r="S140" i="71" a="1"/>
  <c r="S140" i="71" s="1"/>
  <c r="R140" i="71" a="1"/>
  <c r="R140" i="71" s="1"/>
  <c r="Q140" i="71" a="1"/>
  <c r="Q140" i="71" s="1"/>
  <c r="P140" i="71" a="1"/>
  <c r="P140" i="71" s="1"/>
  <c r="O140" i="71" a="1"/>
  <c r="O140" i="71" s="1"/>
  <c r="N140" i="71" a="1"/>
  <c r="N140" i="71" s="1"/>
  <c r="M140" i="71" a="1"/>
  <c r="M140" i="71" s="1"/>
  <c r="L140" i="71" a="1"/>
  <c r="L140" i="71" s="1"/>
  <c r="K140" i="71" a="1"/>
  <c r="K140" i="71" s="1"/>
  <c r="J140" i="71" a="1"/>
  <c r="J140" i="71" s="1"/>
  <c r="I140" i="71" a="1"/>
  <c r="I140" i="71" s="1"/>
  <c r="H140" i="71" a="1"/>
  <c r="H140" i="71" s="1"/>
  <c r="G140" i="71" a="1"/>
  <c r="G140" i="71" s="1"/>
  <c r="F140" i="71" a="1"/>
  <c r="F140" i="71" s="1"/>
  <c r="E140" i="71" a="1"/>
  <c r="E140" i="71" s="1"/>
  <c r="D140" i="71" a="1"/>
  <c r="D140" i="71" s="1"/>
  <c r="AH139" i="71" a="1"/>
  <c r="AH139" i="71" s="1"/>
  <c r="AG139" i="71" a="1"/>
  <c r="AG139" i="71" s="1"/>
  <c r="AF139" i="71" a="1"/>
  <c r="AF139" i="71" s="1"/>
  <c r="AE139" i="71" a="1"/>
  <c r="AE139" i="71" s="1"/>
  <c r="AD139" i="71" a="1"/>
  <c r="AD139" i="71" s="1"/>
  <c r="AC139" i="71" a="1"/>
  <c r="AC139" i="71" s="1"/>
  <c r="AB139" i="71" a="1"/>
  <c r="AB139" i="71" s="1"/>
  <c r="AA139" i="71" a="1"/>
  <c r="AA139" i="71" s="1"/>
  <c r="Z139" i="71" a="1"/>
  <c r="Z139" i="71" s="1"/>
  <c r="Y139" i="71" a="1"/>
  <c r="Y139" i="71" s="1"/>
  <c r="X139" i="71" a="1"/>
  <c r="X139" i="71" s="1"/>
  <c r="W139" i="71" a="1"/>
  <c r="W139" i="71" s="1"/>
  <c r="V139" i="71" a="1"/>
  <c r="V139" i="71" s="1"/>
  <c r="U139" i="71" a="1"/>
  <c r="U139" i="71" s="1"/>
  <c r="T139" i="71" a="1"/>
  <c r="T139" i="71" s="1"/>
  <c r="S139" i="71" a="1"/>
  <c r="S139" i="71" s="1"/>
  <c r="R139" i="71" a="1"/>
  <c r="R139" i="71" s="1"/>
  <c r="Q139" i="71" a="1"/>
  <c r="Q139" i="71" s="1"/>
  <c r="P139" i="71" a="1"/>
  <c r="P139" i="71" s="1"/>
  <c r="O139" i="71" a="1"/>
  <c r="O139" i="71" s="1"/>
  <c r="N139" i="71" a="1"/>
  <c r="N139" i="71" s="1"/>
  <c r="M139" i="71" a="1"/>
  <c r="M139" i="71" s="1"/>
  <c r="L139" i="71" a="1"/>
  <c r="L139" i="71" s="1"/>
  <c r="K139" i="71" a="1"/>
  <c r="K139" i="71" s="1"/>
  <c r="J139" i="71" a="1"/>
  <c r="J139" i="71" s="1"/>
  <c r="I139" i="71" a="1"/>
  <c r="I139" i="71" s="1"/>
  <c r="H139" i="71" a="1"/>
  <c r="H139" i="71" s="1"/>
  <c r="G139" i="71" a="1"/>
  <c r="G139" i="71" s="1"/>
  <c r="F139" i="71" a="1"/>
  <c r="F139" i="71" s="1"/>
  <c r="E139" i="71" a="1"/>
  <c r="E139" i="71" s="1"/>
  <c r="D139" i="71" a="1"/>
  <c r="D139" i="71" s="1"/>
  <c r="AH138" i="71" a="1"/>
  <c r="AH138" i="71" s="1"/>
  <c r="AG138" i="71" a="1"/>
  <c r="AG138" i="71" s="1"/>
  <c r="AF138" i="71" a="1"/>
  <c r="AF138" i="71" s="1"/>
  <c r="AE138" i="71" a="1"/>
  <c r="AE138" i="71" s="1"/>
  <c r="AD138" i="71" a="1"/>
  <c r="AD138" i="71" s="1"/>
  <c r="AC138" i="71" a="1"/>
  <c r="AC138" i="71" s="1"/>
  <c r="AB138" i="71" a="1"/>
  <c r="AB138" i="71" s="1"/>
  <c r="AA138" i="71" a="1"/>
  <c r="AA138" i="71" s="1"/>
  <c r="Z138" i="71" a="1"/>
  <c r="Z138" i="71" s="1"/>
  <c r="Y138" i="71" a="1"/>
  <c r="Y138" i="71" s="1"/>
  <c r="X138" i="71" a="1"/>
  <c r="X138" i="71" s="1"/>
  <c r="W138" i="71" a="1"/>
  <c r="W138" i="71" s="1"/>
  <c r="V138" i="71" a="1"/>
  <c r="V138" i="71" s="1"/>
  <c r="U138" i="71" a="1"/>
  <c r="U138" i="71" s="1"/>
  <c r="T138" i="71" a="1"/>
  <c r="T138" i="71" s="1"/>
  <c r="S138" i="71" a="1"/>
  <c r="S138" i="71" s="1"/>
  <c r="R138" i="71" a="1"/>
  <c r="R138" i="71" s="1"/>
  <c r="Q138" i="71" a="1"/>
  <c r="Q138" i="71" s="1"/>
  <c r="P138" i="71" a="1"/>
  <c r="P138" i="71" s="1"/>
  <c r="O138" i="71" a="1"/>
  <c r="O138" i="71" s="1"/>
  <c r="N138" i="71" a="1"/>
  <c r="N138" i="71" s="1"/>
  <c r="M138" i="71" a="1"/>
  <c r="M138" i="71" s="1"/>
  <c r="L138" i="71" a="1"/>
  <c r="L138" i="71" s="1"/>
  <c r="K138" i="71" a="1"/>
  <c r="K138" i="71" s="1"/>
  <c r="J138" i="71" a="1"/>
  <c r="J138" i="71" s="1"/>
  <c r="I138" i="71" a="1"/>
  <c r="I138" i="71" s="1"/>
  <c r="H138" i="71" a="1"/>
  <c r="H138" i="71" s="1"/>
  <c r="G138" i="71" a="1"/>
  <c r="G138" i="71" s="1"/>
  <c r="F138" i="71" a="1"/>
  <c r="F138" i="71" s="1"/>
  <c r="E138" i="71" a="1"/>
  <c r="E138" i="71" s="1"/>
  <c r="D138" i="71" a="1"/>
  <c r="D138" i="71" s="1"/>
  <c r="AH137" i="71" a="1"/>
  <c r="AH137" i="71" s="1"/>
  <c r="AG137" i="71" a="1"/>
  <c r="AG137" i="71" s="1"/>
  <c r="AF137" i="71" a="1"/>
  <c r="AF137" i="71" s="1"/>
  <c r="AE137" i="71" a="1"/>
  <c r="AE137" i="71" s="1"/>
  <c r="AD137" i="71" a="1"/>
  <c r="AD137" i="71" s="1"/>
  <c r="AC137" i="71" a="1"/>
  <c r="AC137" i="71" s="1"/>
  <c r="AB137" i="71" a="1"/>
  <c r="AB137" i="71" s="1"/>
  <c r="AA137" i="71" a="1"/>
  <c r="AA137" i="71" s="1"/>
  <c r="Z137" i="71" a="1"/>
  <c r="Z137" i="71" s="1"/>
  <c r="Y137" i="71" a="1"/>
  <c r="Y137" i="71" s="1"/>
  <c r="X137" i="71" a="1"/>
  <c r="X137" i="71" s="1"/>
  <c r="W137" i="71" a="1"/>
  <c r="W137" i="71" s="1"/>
  <c r="V137" i="71" a="1"/>
  <c r="V137" i="71" s="1"/>
  <c r="U137" i="71" a="1"/>
  <c r="U137" i="71" s="1"/>
  <c r="T137" i="71" a="1"/>
  <c r="T137" i="71" s="1"/>
  <c r="S137" i="71" a="1"/>
  <c r="S137" i="71" s="1"/>
  <c r="R137" i="71" a="1"/>
  <c r="R137" i="71" s="1"/>
  <c r="Q137" i="71" a="1"/>
  <c r="Q137" i="71" s="1"/>
  <c r="P137" i="71" a="1"/>
  <c r="P137" i="71" s="1"/>
  <c r="O137" i="71" a="1"/>
  <c r="O137" i="71" s="1"/>
  <c r="N137" i="71" a="1"/>
  <c r="N137" i="71" s="1"/>
  <c r="M137" i="71" a="1"/>
  <c r="M137" i="71" s="1"/>
  <c r="L137" i="71" a="1"/>
  <c r="L137" i="71" s="1"/>
  <c r="K137" i="71" a="1"/>
  <c r="K137" i="71" s="1"/>
  <c r="J137" i="71" a="1"/>
  <c r="J137" i="71" s="1"/>
  <c r="I137" i="71" a="1"/>
  <c r="I137" i="71" s="1"/>
  <c r="H137" i="71" a="1"/>
  <c r="H137" i="71" s="1"/>
  <c r="G137" i="71" a="1"/>
  <c r="G137" i="71" s="1"/>
  <c r="F137" i="71" a="1"/>
  <c r="F137" i="71" s="1"/>
  <c r="E137" i="71" a="1"/>
  <c r="E137" i="71" s="1"/>
  <c r="D137" i="71" a="1"/>
  <c r="D137" i="71" s="1"/>
  <c r="AH136" i="71" a="1"/>
  <c r="AH136" i="71" s="1"/>
  <c r="AG136" i="71" a="1"/>
  <c r="AG136" i="71" s="1"/>
  <c r="AF136" i="71" a="1"/>
  <c r="AF136" i="71" s="1"/>
  <c r="AE136" i="71" a="1"/>
  <c r="AE136" i="71" s="1"/>
  <c r="AD136" i="71" a="1"/>
  <c r="AD136" i="71" s="1"/>
  <c r="AC136" i="71" a="1"/>
  <c r="AC136" i="71" s="1"/>
  <c r="AB136" i="71" a="1"/>
  <c r="AB136" i="71" s="1"/>
  <c r="AA136" i="71" a="1"/>
  <c r="AA136" i="71" s="1"/>
  <c r="Z136" i="71" a="1"/>
  <c r="Z136" i="71" s="1"/>
  <c r="Y136" i="71" a="1"/>
  <c r="Y136" i="71" s="1"/>
  <c r="X136" i="71" a="1"/>
  <c r="X136" i="71" s="1"/>
  <c r="W136" i="71" a="1"/>
  <c r="W136" i="71" s="1"/>
  <c r="V136" i="71" a="1"/>
  <c r="V136" i="71" s="1"/>
  <c r="U136" i="71" a="1"/>
  <c r="U136" i="71" s="1"/>
  <c r="T136" i="71" a="1"/>
  <c r="T136" i="71" s="1"/>
  <c r="S136" i="71" a="1"/>
  <c r="S136" i="71" s="1"/>
  <c r="R136" i="71" a="1"/>
  <c r="R136" i="71" s="1"/>
  <c r="Q136" i="71" a="1"/>
  <c r="Q136" i="71" s="1"/>
  <c r="P136" i="71" a="1"/>
  <c r="P136" i="71" s="1"/>
  <c r="O136" i="71" a="1"/>
  <c r="O136" i="71" s="1"/>
  <c r="N136" i="71" a="1"/>
  <c r="N136" i="71" s="1"/>
  <c r="M136" i="71" a="1"/>
  <c r="M136" i="71" s="1"/>
  <c r="L136" i="71" a="1"/>
  <c r="L136" i="71" s="1"/>
  <c r="K136" i="71" a="1"/>
  <c r="K136" i="71" s="1"/>
  <c r="J136" i="71" a="1"/>
  <c r="J136" i="71" s="1"/>
  <c r="I136" i="71" a="1"/>
  <c r="I136" i="71" s="1"/>
  <c r="H136" i="71" a="1"/>
  <c r="H136" i="71" s="1"/>
  <c r="G136" i="71" a="1"/>
  <c r="G136" i="71" s="1"/>
  <c r="F136" i="71" a="1"/>
  <c r="F136" i="71" s="1"/>
  <c r="E136" i="71" a="1"/>
  <c r="E136" i="71" s="1"/>
  <c r="D136" i="71" a="1"/>
  <c r="D136" i="71" s="1"/>
  <c r="AH135" i="71" a="1"/>
  <c r="AH135" i="71" s="1"/>
  <c r="AG135" i="71" a="1"/>
  <c r="AG135" i="71" s="1"/>
  <c r="AF135" i="71" a="1"/>
  <c r="AF135" i="71" s="1"/>
  <c r="AE135" i="71" a="1"/>
  <c r="AE135" i="71" s="1"/>
  <c r="AD135" i="71" a="1"/>
  <c r="AD135" i="71" s="1"/>
  <c r="AC135" i="71" a="1"/>
  <c r="AC135" i="71" s="1"/>
  <c r="AB135" i="71" a="1"/>
  <c r="AB135" i="71" s="1"/>
  <c r="AA135" i="71" a="1"/>
  <c r="AA135" i="71" s="1"/>
  <c r="Z135" i="71" a="1"/>
  <c r="Z135" i="71" s="1"/>
  <c r="Y135" i="71" a="1"/>
  <c r="Y135" i="71" s="1"/>
  <c r="X135" i="71" a="1"/>
  <c r="X135" i="71" s="1"/>
  <c r="W135" i="71" a="1"/>
  <c r="W135" i="71" s="1"/>
  <c r="V135" i="71" a="1"/>
  <c r="V135" i="71" s="1"/>
  <c r="U135" i="71" a="1"/>
  <c r="U135" i="71" s="1"/>
  <c r="T135" i="71" a="1"/>
  <c r="T135" i="71" s="1"/>
  <c r="S135" i="71" a="1"/>
  <c r="S135" i="71" s="1"/>
  <c r="R135" i="71" a="1"/>
  <c r="R135" i="71" s="1"/>
  <c r="Q135" i="71" a="1"/>
  <c r="Q135" i="71" s="1"/>
  <c r="P135" i="71" a="1"/>
  <c r="P135" i="71" s="1"/>
  <c r="O135" i="71" a="1"/>
  <c r="O135" i="71" s="1"/>
  <c r="N135" i="71" a="1"/>
  <c r="N135" i="71" s="1"/>
  <c r="M135" i="71" a="1"/>
  <c r="M135" i="71" s="1"/>
  <c r="L135" i="71" a="1"/>
  <c r="L135" i="71" s="1"/>
  <c r="K135" i="71" a="1"/>
  <c r="K135" i="71" s="1"/>
  <c r="J135" i="71" a="1"/>
  <c r="J135" i="71" s="1"/>
  <c r="I135" i="71" a="1"/>
  <c r="I135" i="71" s="1"/>
  <c r="H135" i="71" a="1"/>
  <c r="H135" i="71" s="1"/>
  <c r="G135" i="71" a="1"/>
  <c r="G135" i="71" s="1"/>
  <c r="F135" i="71" a="1"/>
  <c r="F135" i="71" s="1"/>
  <c r="E135" i="71" a="1"/>
  <c r="E135" i="71" s="1"/>
  <c r="D135" i="71" a="1"/>
  <c r="D135" i="71" s="1"/>
  <c r="AH134" i="71" a="1"/>
  <c r="AH134" i="71" s="1"/>
  <c r="AG134" i="71" a="1"/>
  <c r="AG134" i="71" s="1"/>
  <c r="AF134" i="71" a="1"/>
  <c r="AF134" i="71" s="1"/>
  <c r="AE134" i="71" a="1"/>
  <c r="AE134" i="71" s="1"/>
  <c r="AD134" i="71" a="1"/>
  <c r="AD134" i="71" s="1"/>
  <c r="AC134" i="71" a="1"/>
  <c r="AC134" i="71" s="1"/>
  <c r="AB134" i="71" a="1"/>
  <c r="AB134" i="71" s="1"/>
  <c r="AA134" i="71" a="1"/>
  <c r="AA134" i="71" s="1"/>
  <c r="Z134" i="71" a="1"/>
  <c r="Z134" i="71" s="1"/>
  <c r="Y134" i="71" a="1"/>
  <c r="Y134" i="71" s="1"/>
  <c r="X134" i="71" a="1"/>
  <c r="X134" i="71" s="1"/>
  <c r="W134" i="71" a="1"/>
  <c r="W134" i="71" s="1"/>
  <c r="V134" i="71" a="1"/>
  <c r="V134" i="71" s="1"/>
  <c r="U134" i="71" a="1"/>
  <c r="U134" i="71" s="1"/>
  <c r="T134" i="71" a="1"/>
  <c r="T134" i="71" s="1"/>
  <c r="S134" i="71" a="1"/>
  <c r="S134" i="71" s="1"/>
  <c r="R134" i="71" a="1"/>
  <c r="R134" i="71" s="1"/>
  <c r="Q134" i="71" a="1"/>
  <c r="Q134" i="71" s="1"/>
  <c r="P134" i="71" a="1"/>
  <c r="P134" i="71" s="1"/>
  <c r="O134" i="71" a="1"/>
  <c r="O134" i="71" s="1"/>
  <c r="N134" i="71" a="1"/>
  <c r="N134" i="71" s="1"/>
  <c r="M134" i="71" a="1"/>
  <c r="M134" i="71" s="1"/>
  <c r="L134" i="71" a="1"/>
  <c r="L134" i="71" s="1"/>
  <c r="K134" i="71" a="1"/>
  <c r="K134" i="71" s="1"/>
  <c r="J134" i="71" a="1"/>
  <c r="J134" i="71" s="1"/>
  <c r="I134" i="71" a="1"/>
  <c r="I134" i="71" s="1"/>
  <c r="H134" i="71" a="1"/>
  <c r="H134" i="71" s="1"/>
  <c r="G134" i="71" a="1"/>
  <c r="G134" i="71" s="1"/>
  <c r="F134" i="71" a="1"/>
  <c r="F134" i="71" s="1"/>
  <c r="E134" i="71" a="1"/>
  <c r="E134" i="71" s="1"/>
  <c r="D134" i="71" a="1"/>
  <c r="D134" i="71" s="1"/>
  <c r="AH133" i="71" a="1"/>
  <c r="AH133" i="71" s="1"/>
  <c r="AG133" i="71" a="1"/>
  <c r="AG133" i="71" s="1"/>
  <c r="AF133" i="71" a="1"/>
  <c r="AF133" i="71" s="1"/>
  <c r="AE133" i="71" a="1"/>
  <c r="AE133" i="71" s="1"/>
  <c r="AD133" i="71" a="1"/>
  <c r="AD133" i="71" s="1"/>
  <c r="AC133" i="71" a="1"/>
  <c r="AC133" i="71" s="1"/>
  <c r="AB133" i="71" a="1"/>
  <c r="AB133" i="71" s="1"/>
  <c r="AA133" i="71" a="1"/>
  <c r="AA133" i="71" s="1"/>
  <c r="Z133" i="71" a="1"/>
  <c r="Z133" i="71" s="1"/>
  <c r="Y133" i="71" a="1"/>
  <c r="Y133" i="71" s="1"/>
  <c r="X133" i="71" a="1"/>
  <c r="X133" i="71" s="1"/>
  <c r="W133" i="71" a="1"/>
  <c r="W133" i="71" s="1"/>
  <c r="V133" i="71" a="1"/>
  <c r="V133" i="71" s="1"/>
  <c r="U133" i="71" a="1"/>
  <c r="U133" i="71" s="1"/>
  <c r="T133" i="71" a="1"/>
  <c r="T133" i="71" s="1"/>
  <c r="S133" i="71" a="1"/>
  <c r="S133" i="71" s="1"/>
  <c r="R133" i="71" a="1"/>
  <c r="R133" i="71" s="1"/>
  <c r="Q133" i="71" a="1"/>
  <c r="Q133" i="71" s="1"/>
  <c r="P133" i="71" a="1"/>
  <c r="P133" i="71" s="1"/>
  <c r="O133" i="71" a="1"/>
  <c r="O133" i="71" s="1"/>
  <c r="N133" i="71" a="1"/>
  <c r="N133" i="71" s="1"/>
  <c r="M133" i="71" a="1"/>
  <c r="M133" i="71" s="1"/>
  <c r="L133" i="71" a="1"/>
  <c r="L133" i="71" s="1"/>
  <c r="K133" i="71" a="1"/>
  <c r="K133" i="71" s="1"/>
  <c r="J133" i="71" a="1"/>
  <c r="J133" i="71" s="1"/>
  <c r="I133" i="71" a="1"/>
  <c r="I133" i="71" s="1"/>
  <c r="H133" i="71" a="1"/>
  <c r="H133" i="71" s="1"/>
  <c r="G133" i="71" a="1"/>
  <c r="G133" i="71" s="1"/>
  <c r="F133" i="71" a="1"/>
  <c r="F133" i="71" s="1"/>
  <c r="E133" i="71" a="1"/>
  <c r="E133" i="71" s="1"/>
  <c r="D133" i="71" a="1"/>
  <c r="D133" i="71" s="1"/>
  <c r="AH132" i="71" a="1"/>
  <c r="AH132" i="71" s="1"/>
  <c r="AG132" i="71" a="1"/>
  <c r="AG132" i="71" s="1"/>
  <c r="AF132" i="71" a="1"/>
  <c r="AF132" i="71" s="1"/>
  <c r="AE132" i="71" a="1"/>
  <c r="AE132" i="71" s="1"/>
  <c r="AD132" i="71" a="1"/>
  <c r="AD132" i="71" s="1"/>
  <c r="AC132" i="71" a="1"/>
  <c r="AC132" i="71" s="1"/>
  <c r="AB132" i="71" a="1"/>
  <c r="AB132" i="71" s="1"/>
  <c r="AA132" i="71" a="1"/>
  <c r="AA132" i="71" s="1"/>
  <c r="Z132" i="71" a="1"/>
  <c r="Z132" i="71" s="1"/>
  <c r="Y132" i="71" a="1"/>
  <c r="Y132" i="71" s="1"/>
  <c r="X132" i="71" a="1"/>
  <c r="X132" i="71" s="1"/>
  <c r="W132" i="71" a="1"/>
  <c r="W132" i="71" s="1"/>
  <c r="V132" i="71" a="1"/>
  <c r="V132" i="71" s="1"/>
  <c r="U132" i="71" a="1"/>
  <c r="U132" i="71" s="1"/>
  <c r="T132" i="71" a="1"/>
  <c r="T132" i="71" s="1"/>
  <c r="S132" i="71" a="1"/>
  <c r="S132" i="71" s="1"/>
  <c r="R132" i="71" a="1"/>
  <c r="R132" i="71" s="1"/>
  <c r="Q132" i="71" a="1"/>
  <c r="Q132" i="71" s="1"/>
  <c r="P132" i="71" a="1"/>
  <c r="P132" i="71" s="1"/>
  <c r="O132" i="71" a="1"/>
  <c r="O132" i="71" s="1"/>
  <c r="N132" i="71" a="1"/>
  <c r="N132" i="71" s="1"/>
  <c r="M132" i="71" a="1"/>
  <c r="M132" i="71" s="1"/>
  <c r="L132" i="71" a="1"/>
  <c r="L132" i="71" s="1"/>
  <c r="K132" i="71" a="1"/>
  <c r="K132" i="71" s="1"/>
  <c r="J132" i="71" a="1"/>
  <c r="J132" i="71" s="1"/>
  <c r="I132" i="71" a="1"/>
  <c r="I132" i="71" s="1"/>
  <c r="H132" i="71" a="1"/>
  <c r="H132" i="71" s="1"/>
  <c r="G132" i="71" a="1"/>
  <c r="G132" i="71" s="1"/>
  <c r="F132" i="71" a="1"/>
  <c r="F132" i="71" s="1"/>
  <c r="E132" i="71" a="1"/>
  <c r="E132" i="71" s="1"/>
  <c r="D132" i="71" a="1"/>
  <c r="D132" i="71" s="1"/>
  <c r="AH131" i="71" a="1"/>
  <c r="AH131" i="71" s="1"/>
  <c r="AG131" i="71" a="1"/>
  <c r="AG131" i="71" s="1"/>
  <c r="AF131" i="71" a="1"/>
  <c r="AF131" i="71" s="1"/>
  <c r="AE131" i="71" a="1"/>
  <c r="AE131" i="71" s="1"/>
  <c r="AD131" i="71" a="1"/>
  <c r="AD131" i="71" s="1"/>
  <c r="AC131" i="71" a="1"/>
  <c r="AC131" i="71" s="1"/>
  <c r="AB131" i="71" a="1"/>
  <c r="AB131" i="71" s="1"/>
  <c r="AA131" i="71" a="1"/>
  <c r="AA131" i="71" s="1"/>
  <c r="Z131" i="71" a="1"/>
  <c r="Z131" i="71" s="1"/>
  <c r="Y131" i="71" a="1"/>
  <c r="Y131" i="71" s="1"/>
  <c r="X131" i="71" a="1"/>
  <c r="X131" i="71" s="1"/>
  <c r="W131" i="71" a="1"/>
  <c r="W131" i="71" s="1"/>
  <c r="V131" i="71" a="1"/>
  <c r="V131" i="71" s="1"/>
  <c r="U131" i="71" a="1"/>
  <c r="U131" i="71" s="1"/>
  <c r="T131" i="71" a="1"/>
  <c r="T131" i="71" s="1"/>
  <c r="S131" i="71" a="1"/>
  <c r="S131" i="71" s="1"/>
  <c r="R131" i="71" a="1"/>
  <c r="R131" i="71" s="1"/>
  <c r="Q131" i="71" a="1"/>
  <c r="Q131" i="71" s="1"/>
  <c r="P131" i="71" a="1"/>
  <c r="P131" i="71" s="1"/>
  <c r="O131" i="71" a="1"/>
  <c r="O131" i="71" s="1"/>
  <c r="N131" i="71" a="1"/>
  <c r="N131" i="71" s="1"/>
  <c r="M131" i="71" a="1"/>
  <c r="M131" i="71" s="1"/>
  <c r="L131" i="71" a="1"/>
  <c r="L131" i="71" s="1"/>
  <c r="K131" i="71" a="1"/>
  <c r="K131" i="71" s="1"/>
  <c r="J131" i="71" a="1"/>
  <c r="J131" i="71" s="1"/>
  <c r="I131" i="71" a="1"/>
  <c r="I131" i="71" s="1"/>
  <c r="H131" i="71" a="1"/>
  <c r="H131" i="71" s="1"/>
  <c r="G131" i="71" a="1"/>
  <c r="G131" i="71" s="1"/>
  <c r="F131" i="71" a="1"/>
  <c r="F131" i="71" s="1"/>
  <c r="E131" i="71" a="1"/>
  <c r="E131" i="71" s="1"/>
  <c r="D131" i="71" a="1"/>
  <c r="D131" i="71" s="1"/>
  <c r="AH130" i="71" a="1"/>
  <c r="AH130" i="71" s="1"/>
  <c r="AG130" i="71" a="1"/>
  <c r="AG130" i="71" s="1"/>
  <c r="AF130" i="71" a="1"/>
  <c r="AF130" i="71" s="1"/>
  <c r="AE130" i="71" a="1"/>
  <c r="AE130" i="71" s="1"/>
  <c r="AD130" i="71" a="1"/>
  <c r="AD130" i="71" s="1"/>
  <c r="AC130" i="71" a="1"/>
  <c r="AC130" i="71" s="1"/>
  <c r="AB130" i="71" a="1"/>
  <c r="AB130" i="71" s="1"/>
  <c r="AA130" i="71" a="1"/>
  <c r="AA130" i="71" s="1"/>
  <c r="Z130" i="71" a="1"/>
  <c r="Z130" i="71" s="1"/>
  <c r="Y130" i="71" a="1"/>
  <c r="Y130" i="71" s="1"/>
  <c r="X130" i="71" a="1"/>
  <c r="X130" i="71" s="1"/>
  <c r="W130" i="71" a="1"/>
  <c r="W130" i="71" s="1"/>
  <c r="V130" i="71" a="1"/>
  <c r="V130" i="71" s="1"/>
  <c r="U130" i="71" a="1"/>
  <c r="U130" i="71" s="1"/>
  <c r="T130" i="71" a="1"/>
  <c r="T130" i="71" s="1"/>
  <c r="S130" i="71" a="1"/>
  <c r="S130" i="71" s="1"/>
  <c r="R130" i="71" a="1"/>
  <c r="R130" i="71" s="1"/>
  <c r="Q130" i="71" a="1"/>
  <c r="Q130" i="71" s="1"/>
  <c r="P130" i="71" a="1"/>
  <c r="P130" i="71" s="1"/>
  <c r="O130" i="71" a="1"/>
  <c r="O130" i="71" s="1"/>
  <c r="N130" i="71" a="1"/>
  <c r="N130" i="71" s="1"/>
  <c r="M130" i="71" a="1"/>
  <c r="M130" i="71" s="1"/>
  <c r="L130" i="71" a="1"/>
  <c r="L130" i="71" s="1"/>
  <c r="K130" i="71" a="1"/>
  <c r="K130" i="71" s="1"/>
  <c r="J130" i="71" a="1"/>
  <c r="J130" i="71" s="1"/>
  <c r="I130" i="71" a="1"/>
  <c r="I130" i="71" s="1"/>
  <c r="H130" i="71" a="1"/>
  <c r="H130" i="71" s="1"/>
  <c r="G130" i="71" a="1"/>
  <c r="G130" i="71" s="1"/>
  <c r="F130" i="71" a="1"/>
  <c r="F130" i="71" s="1"/>
  <c r="E130" i="71" a="1"/>
  <c r="E130" i="71" s="1"/>
  <c r="D130" i="71" a="1"/>
  <c r="D130" i="71" s="1"/>
  <c r="AH129" i="71" a="1"/>
  <c r="AH129" i="71" s="1"/>
  <c r="AG129" i="71" a="1"/>
  <c r="AG129" i="71" s="1"/>
  <c r="AF129" i="71" a="1"/>
  <c r="AF129" i="71" s="1"/>
  <c r="AE129" i="71" a="1"/>
  <c r="AE129" i="71" s="1"/>
  <c r="AD129" i="71" a="1"/>
  <c r="AD129" i="71" s="1"/>
  <c r="AC129" i="71" a="1"/>
  <c r="AC129" i="71" s="1"/>
  <c r="AB129" i="71" a="1"/>
  <c r="AB129" i="71" s="1"/>
  <c r="AA129" i="71" a="1"/>
  <c r="AA129" i="71" s="1"/>
  <c r="Z129" i="71" a="1"/>
  <c r="Z129" i="71" s="1"/>
  <c r="Y129" i="71" a="1"/>
  <c r="Y129" i="71" s="1"/>
  <c r="X129" i="71" a="1"/>
  <c r="X129" i="71" s="1"/>
  <c r="W129" i="71" a="1"/>
  <c r="W129" i="71" s="1"/>
  <c r="V129" i="71" a="1"/>
  <c r="V129" i="71" s="1"/>
  <c r="U129" i="71" a="1"/>
  <c r="U129" i="71" s="1"/>
  <c r="T129" i="71" a="1"/>
  <c r="T129" i="71" s="1"/>
  <c r="S129" i="71" a="1"/>
  <c r="S129" i="71" s="1"/>
  <c r="R129" i="71" a="1"/>
  <c r="R129" i="71" s="1"/>
  <c r="Q129" i="71" a="1"/>
  <c r="Q129" i="71" s="1"/>
  <c r="P129" i="71" a="1"/>
  <c r="P129" i="71" s="1"/>
  <c r="O129" i="71" a="1"/>
  <c r="O129" i="71" s="1"/>
  <c r="N129" i="71" a="1"/>
  <c r="N129" i="71" s="1"/>
  <c r="M129" i="71" a="1"/>
  <c r="M129" i="71" s="1"/>
  <c r="L129" i="71" a="1"/>
  <c r="L129" i="71" s="1"/>
  <c r="K129" i="71" a="1"/>
  <c r="K129" i="71" s="1"/>
  <c r="J129" i="71" a="1"/>
  <c r="J129" i="71" s="1"/>
  <c r="I129" i="71" a="1"/>
  <c r="I129" i="71" s="1"/>
  <c r="H129" i="71" a="1"/>
  <c r="H129" i="71" s="1"/>
  <c r="G129" i="71" a="1"/>
  <c r="G129" i="71" s="1"/>
  <c r="F129" i="71" a="1"/>
  <c r="F129" i="71" s="1"/>
  <c r="E129" i="71" a="1"/>
  <c r="E129" i="71" s="1"/>
  <c r="D129" i="71" a="1"/>
  <c r="D129" i="71" s="1"/>
  <c r="AH128" i="71" a="1"/>
  <c r="AH128" i="71" s="1"/>
  <c r="AG128" i="71" a="1"/>
  <c r="AG128" i="71" s="1"/>
  <c r="AF128" i="71" a="1"/>
  <c r="AF128" i="71" s="1"/>
  <c r="AE128" i="71" a="1"/>
  <c r="AE128" i="71" s="1"/>
  <c r="AD128" i="71" a="1"/>
  <c r="AD128" i="71" s="1"/>
  <c r="AC128" i="71" a="1"/>
  <c r="AC128" i="71" s="1"/>
  <c r="AB128" i="71" a="1"/>
  <c r="AB128" i="71" s="1"/>
  <c r="AA128" i="71" a="1"/>
  <c r="AA128" i="71" s="1"/>
  <c r="Z128" i="71" a="1"/>
  <c r="Z128" i="71" s="1"/>
  <c r="Y128" i="71" a="1"/>
  <c r="Y128" i="71" s="1"/>
  <c r="X128" i="71" a="1"/>
  <c r="X128" i="71" s="1"/>
  <c r="W128" i="71" a="1"/>
  <c r="W128" i="71" s="1"/>
  <c r="V128" i="71" a="1"/>
  <c r="V128" i="71" s="1"/>
  <c r="U128" i="71" a="1"/>
  <c r="U128" i="71" s="1"/>
  <c r="T128" i="71" a="1"/>
  <c r="T128" i="71" s="1"/>
  <c r="S128" i="71" a="1"/>
  <c r="S128" i="71" s="1"/>
  <c r="R128" i="71" a="1"/>
  <c r="R128" i="71" s="1"/>
  <c r="Q128" i="71" a="1"/>
  <c r="Q128" i="71" s="1"/>
  <c r="P128" i="71" a="1"/>
  <c r="P128" i="71" s="1"/>
  <c r="O128" i="71" a="1"/>
  <c r="O128" i="71" s="1"/>
  <c r="N128" i="71" a="1"/>
  <c r="N128" i="71" s="1"/>
  <c r="M128" i="71" a="1"/>
  <c r="M128" i="71" s="1"/>
  <c r="L128" i="71" a="1"/>
  <c r="L128" i="71" s="1"/>
  <c r="K128" i="71" a="1"/>
  <c r="K128" i="71" s="1"/>
  <c r="J128" i="71" a="1"/>
  <c r="J128" i="71" s="1"/>
  <c r="I128" i="71" a="1"/>
  <c r="I128" i="71" s="1"/>
  <c r="H128" i="71" a="1"/>
  <c r="H128" i="71" s="1"/>
  <c r="G128" i="71" a="1"/>
  <c r="G128" i="71" s="1"/>
  <c r="F128" i="71" a="1"/>
  <c r="F128" i="71" s="1"/>
  <c r="E128" i="71" a="1"/>
  <c r="E128" i="71" s="1"/>
  <c r="D128" i="71" a="1"/>
  <c r="D128" i="71" s="1"/>
  <c r="AH127" i="71" a="1"/>
  <c r="AH127" i="71" s="1"/>
  <c r="AG127" i="71" a="1"/>
  <c r="AG127" i="71" s="1"/>
  <c r="AF127" i="71" a="1"/>
  <c r="AF127" i="71" s="1"/>
  <c r="AE127" i="71" a="1"/>
  <c r="AE127" i="71" s="1"/>
  <c r="AD127" i="71" a="1"/>
  <c r="AD127" i="71" s="1"/>
  <c r="AC127" i="71" a="1"/>
  <c r="AC127" i="71" s="1"/>
  <c r="AB127" i="71" a="1"/>
  <c r="AB127" i="71" s="1"/>
  <c r="AA127" i="71" a="1"/>
  <c r="AA127" i="71" s="1"/>
  <c r="Z127" i="71" a="1"/>
  <c r="Z127" i="71" s="1"/>
  <c r="Y127" i="71" a="1"/>
  <c r="Y127" i="71" s="1"/>
  <c r="X127" i="71" a="1"/>
  <c r="X127" i="71" s="1"/>
  <c r="W127" i="71" a="1"/>
  <c r="W127" i="71" s="1"/>
  <c r="V127" i="71" a="1"/>
  <c r="V127" i="71" s="1"/>
  <c r="U127" i="71" a="1"/>
  <c r="U127" i="71" s="1"/>
  <c r="T127" i="71" a="1"/>
  <c r="T127" i="71" s="1"/>
  <c r="S127" i="71" a="1"/>
  <c r="S127" i="71" s="1"/>
  <c r="R127" i="71" a="1"/>
  <c r="R127" i="71" s="1"/>
  <c r="Q127" i="71" a="1"/>
  <c r="Q127" i="71" s="1"/>
  <c r="P127" i="71" a="1"/>
  <c r="P127" i="71" s="1"/>
  <c r="O127" i="71" a="1"/>
  <c r="O127" i="71" s="1"/>
  <c r="N127" i="71" a="1"/>
  <c r="N127" i="71" s="1"/>
  <c r="M127" i="71" a="1"/>
  <c r="M127" i="71" s="1"/>
  <c r="L127" i="71" a="1"/>
  <c r="L127" i="71" s="1"/>
  <c r="K127" i="71" a="1"/>
  <c r="K127" i="71" s="1"/>
  <c r="J127" i="71" a="1"/>
  <c r="J127" i="71" s="1"/>
  <c r="I127" i="71" a="1"/>
  <c r="I127" i="71" s="1"/>
  <c r="H127" i="71" a="1"/>
  <c r="H127" i="71" s="1"/>
  <c r="G127" i="71" a="1"/>
  <c r="G127" i="71" s="1"/>
  <c r="F127" i="71" a="1"/>
  <c r="F127" i="71" s="1"/>
  <c r="E127" i="71" a="1"/>
  <c r="E127" i="71" s="1"/>
  <c r="D127" i="71" a="1"/>
  <c r="D127" i="71" s="1"/>
  <c r="AH126" i="71" a="1"/>
  <c r="AH126" i="71" s="1"/>
  <c r="AG126" i="71" a="1"/>
  <c r="AG126" i="71" s="1"/>
  <c r="AF126" i="71" a="1"/>
  <c r="AF126" i="71" s="1"/>
  <c r="AE126" i="71" a="1"/>
  <c r="AE126" i="71" s="1"/>
  <c r="AD126" i="71" a="1"/>
  <c r="AD126" i="71" s="1"/>
  <c r="AC126" i="71" a="1"/>
  <c r="AC126" i="71" s="1"/>
  <c r="AB126" i="71" a="1"/>
  <c r="AB126" i="71" s="1"/>
  <c r="AA126" i="71" a="1"/>
  <c r="AA126" i="71" s="1"/>
  <c r="Z126" i="71" a="1"/>
  <c r="Z126" i="71" s="1"/>
  <c r="Y126" i="71" a="1"/>
  <c r="Y126" i="71" s="1"/>
  <c r="X126" i="71" a="1"/>
  <c r="X126" i="71" s="1"/>
  <c r="W126" i="71" a="1"/>
  <c r="W126" i="71" s="1"/>
  <c r="V126" i="71" a="1"/>
  <c r="V126" i="71" s="1"/>
  <c r="U126" i="71" a="1"/>
  <c r="U126" i="71" s="1"/>
  <c r="T126" i="71" a="1"/>
  <c r="T126" i="71" s="1"/>
  <c r="S126" i="71" a="1"/>
  <c r="S126" i="71" s="1"/>
  <c r="R126" i="71" a="1"/>
  <c r="R126" i="71" s="1"/>
  <c r="Q126" i="71" a="1"/>
  <c r="Q126" i="71" s="1"/>
  <c r="P126" i="71" a="1"/>
  <c r="P126" i="71" s="1"/>
  <c r="O126" i="71" a="1"/>
  <c r="O126" i="71" s="1"/>
  <c r="N126" i="71" a="1"/>
  <c r="N126" i="71" s="1"/>
  <c r="M126" i="71" a="1"/>
  <c r="M126" i="71" s="1"/>
  <c r="L126" i="71" a="1"/>
  <c r="L126" i="71" s="1"/>
  <c r="K126" i="71" a="1"/>
  <c r="K126" i="71" s="1"/>
  <c r="J126" i="71" a="1"/>
  <c r="J126" i="71" s="1"/>
  <c r="I126" i="71" a="1"/>
  <c r="I126" i="71" s="1"/>
  <c r="H126" i="71" a="1"/>
  <c r="H126" i="71" s="1"/>
  <c r="G126" i="71" a="1"/>
  <c r="G126" i="71" s="1"/>
  <c r="F126" i="71" a="1"/>
  <c r="F126" i="71" s="1"/>
  <c r="E126" i="71" a="1"/>
  <c r="E126" i="71" s="1"/>
  <c r="D126" i="71" a="1"/>
  <c r="D126" i="71" s="1"/>
  <c r="AH125" i="71" a="1"/>
  <c r="AH125" i="71" s="1"/>
  <c r="AG125" i="71" a="1"/>
  <c r="AG125" i="71" s="1"/>
  <c r="AF125" i="71" a="1"/>
  <c r="AF125" i="71" s="1"/>
  <c r="AE125" i="71" a="1"/>
  <c r="AE125" i="71" s="1"/>
  <c r="AD125" i="71" a="1"/>
  <c r="AD125" i="71" s="1"/>
  <c r="AC125" i="71" a="1"/>
  <c r="AC125" i="71" s="1"/>
  <c r="AB125" i="71" a="1"/>
  <c r="AB125" i="71" s="1"/>
  <c r="AA125" i="71" a="1"/>
  <c r="AA125" i="71" s="1"/>
  <c r="Z125" i="71" a="1"/>
  <c r="Z125" i="71" s="1"/>
  <c r="Y125" i="71" a="1"/>
  <c r="Y125" i="71" s="1"/>
  <c r="X125" i="71" a="1"/>
  <c r="X125" i="71" s="1"/>
  <c r="W125" i="71" a="1"/>
  <c r="W125" i="71" s="1"/>
  <c r="V125" i="71" a="1"/>
  <c r="V125" i="71" s="1"/>
  <c r="U125" i="71" a="1"/>
  <c r="U125" i="71" s="1"/>
  <c r="T125" i="71" a="1"/>
  <c r="T125" i="71" s="1"/>
  <c r="S125" i="71" a="1"/>
  <c r="S125" i="71" s="1"/>
  <c r="R125" i="71" a="1"/>
  <c r="R125" i="71" s="1"/>
  <c r="Q125" i="71" a="1"/>
  <c r="Q125" i="71" s="1"/>
  <c r="P125" i="71" a="1"/>
  <c r="P125" i="71" s="1"/>
  <c r="O125" i="71" a="1"/>
  <c r="O125" i="71" s="1"/>
  <c r="N125" i="71" a="1"/>
  <c r="N125" i="71" s="1"/>
  <c r="M125" i="71" a="1"/>
  <c r="M125" i="71" s="1"/>
  <c r="L125" i="71" a="1"/>
  <c r="L125" i="71" s="1"/>
  <c r="K125" i="71" a="1"/>
  <c r="K125" i="71" s="1"/>
  <c r="J125" i="71" a="1"/>
  <c r="J125" i="71" s="1"/>
  <c r="I125" i="71" a="1"/>
  <c r="I125" i="71" s="1"/>
  <c r="H125" i="71" a="1"/>
  <c r="H125" i="71" s="1"/>
  <c r="G125" i="71" a="1"/>
  <c r="G125" i="71" s="1"/>
  <c r="F125" i="71" a="1"/>
  <c r="F125" i="71" s="1"/>
  <c r="E125" i="71" a="1"/>
  <c r="E125" i="71" s="1"/>
  <c r="D125" i="71" a="1"/>
  <c r="D125" i="71" s="1"/>
  <c r="AH124" i="71" a="1"/>
  <c r="AH124" i="71" s="1"/>
  <c r="AG124" i="71" a="1"/>
  <c r="AG124" i="71" s="1"/>
  <c r="AF124" i="71" a="1"/>
  <c r="AF124" i="71" s="1"/>
  <c r="AE124" i="71" a="1"/>
  <c r="AE124" i="71" s="1"/>
  <c r="AD124" i="71" a="1"/>
  <c r="AD124" i="71" s="1"/>
  <c r="AC124" i="71" a="1"/>
  <c r="AC124" i="71" s="1"/>
  <c r="AB124" i="71" a="1"/>
  <c r="AB124" i="71" s="1"/>
  <c r="AA124" i="71" a="1"/>
  <c r="AA124" i="71" s="1"/>
  <c r="Z124" i="71" a="1"/>
  <c r="Z124" i="71" s="1"/>
  <c r="Y124" i="71" a="1"/>
  <c r="Y124" i="71" s="1"/>
  <c r="X124" i="71" a="1"/>
  <c r="X124" i="71" s="1"/>
  <c r="W124" i="71" a="1"/>
  <c r="W124" i="71" s="1"/>
  <c r="V124" i="71" a="1"/>
  <c r="V124" i="71" s="1"/>
  <c r="U124" i="71" a="1"/>
  <c r="U124" i="71" s="1"/>
  <c r="T124" i="71" a="1"/>
  <c r="T124" i="71" s="1"/>
  <c r="S124" i="71" a="1"/>
  <c r="S124" i="71" s="1"/>
  <c r="R124" i="71" a="1"/>
  <c r="R124" i="71" s="1"/>
  <c r="Q124" i="71" a="1"/>
  <c r="Q124" i="71" s="1"/>
  <c r="P124" i="71" a="1"/>
  <c r="P124" i="71" s="1"/>
  <c r="O124" i="71" a="1"/>
  <c r="O124" i="71" s="1"/>
  <c r="N124" i="71" a="1"/>
  <c r="N124" i="71" s="1"/>
  <c r="M124" i="71" a="1"/>
  <c r="M124" i="71" s="1"/>
  <c r="L124" i="71" a="1"/>
  <c r="L124" i="71" s="1"/>
  <c r="K124" i="71" a="1"/>
  <c r="K124" i="71" s="1"/>
  <c r="J124" i="71" a="1"/>
  <c r="J124" i="71" s="1"/>
  <c r="I124" i="71" a="1"/>
  <c r="I124" i="71" s="1"/>
  <c r="H124" i="71" a="1"/>
  <c r="H124" i="71" s="1"/>
  <c r="G124" i="71" a="1"/>
  <c r="G124" i="71" s="1"/>
  <c r="F124" i="71" a="1"/>
  <c r="F124" i="71" s="1"/>
  <c r="E124" i="71" a="1"/>
  <c r="E124" i="71" s="1"/>
  <c r="D124" i="71" a="1"/>
  <c r="D124" i="71" s="1"/>
  <c r="AH123" i="71" a="1"/>
  <c r="AH123" i="71" s="1"/>
  <c r="AG123" i="71" a="1"/>
  <c r="AG123" i="71" s="1"/>
  <c r="AF123" i="71" a="1"/>
  <c r="AF123" i="71" s="1"/>
  <c r="AE123" i="71" a="1"/>
  <c r="AE123" i="71" s="1"/>
  <c r="AD123" i="71" a="1"/>
  <c r="AD123" i="71" s="1"/>
  <c r="AC123" i="71" a="1"/>
  <c r="AC123" i="71" s="1"/>
  <c r="AB123" i="71" a="1"/>
  <c r="AB123" i="71" s="1"/>
  <c r="AA123" i="71" a="1"/>
  <c r="AA123" i="71" s="1"/>
  <c r="Z123" i="71" a="1"/>
  <c r="Z123" i="71" s="1"/>
  <c r="Y123" i="71" a="1"/>
  <c r="Y123" i="71" s="1"/>
  <c r="X123" i="71" a="1"/>
  <c r="X123" i="71" s="1"/>
  <c r="W123" i="71" a="1"/>
  <c r="W123" i="71" s="1"/>
  <c r="V123" i="71" a="1"/>
  <c r="V123" i="71" s="1"/>
  <c r="U123" i="71" a="1"/>
  <c r="U123" i="71" s="1"/>
  <c r="T123" i="71" a="1"/>
  <c r="T123" i="71" s="1"/>
  <c r="S123" i="71" a="1"/>
  <c r="S123" i="71" s="1"/>
  <c r="R123" i="71" a="1"/>
  <c r="R123" i="71" s="1"/>
  <c r="Q123" i="71" a="1"/>
  <c r="Q123" i="71" s="1"/>
  <c r="P123" i="71" a="1"/>
  <c r="P123" i="71" s="1"/>
  <c r="O123" i="71" a="1"/>
  <c r="O123" i="71" s="1"/>
  <c r="N123" i="71" a="1"/>
  <c r="N123" i="71" s="1"/>
  <c r="M123" i="71" a="1"/>
  <c r="M123" i="71" s="1"/>
  <c r="L123" i="71" a="1"/>
  <c r="L123" i="71" s="1"/>
  <c r="K123" i="71" a="1"/>
  <c r="K123" i="71" s="1"/>
  <c r="J123" i="71" a="1"/>
  <c r="J123" i="71" s="1"/>
  <c r="I123" i="71" a="1"/>
  <c r="I123" i="71" s="1"/>
  <c r="H123" i="71" a="1"/>
  <c r="H123" i="71" s="1"/>
  <c r="G123" i="71" a="1"/>
  <c r="G123" i="71" s="1"/>
  <c r="F123" i="71" a="1"/>
  <c r="F123" i="71" s="1"/>
  <c r="E123" i="71" a="1"/>
  <c r="E123" i="71" s="1"/>
  <c r="D123" i="71" a="1"/>
  <c r="D123" i="71" s="1"/>
  <c r="AH122" i="71" a="1"/>
  <c r="AH122" i="71" s="1"/>
  <c r="AG122" i="71" a="1"/>
  <c r="AG122" i="71" s="1"/>
  <c r="AF122" i="71" a="1"/>
  <c r="AF122" i="71" s="1"/>
  <c r="AE122" i="71" a="1"/>
  <c r="AE122" i="71" s="1"/>
  <c r="AD122" i="71" a="1"/>
  <c r="AD122" i="71" s="1"/>
  <c r="AC122" i="71" a="1"/>
  <c r="AC122" i="71" s="1"/>
  <c r="AB122" i="71" a="1"/>
  <c r="AB122" i="71" s="1"/>
  <c r="AA122" i="71" a="1"/>
  <c r="AA122" i="71" s="1"/>
  <c r="Z122" i="71" a="1"/>
  <c r="Z122" i="71" s="1"/>
  <c r="Y122" i="71" a="1"/>
  <c r="Y122" i="71" s="1"/>
  <c r="X122" i="71" a="1"/>
  <c r="X122" i="71" s="1"/>
  <c r="W122" i="71" a="1"/>
  <c r="W122" i="71" s="1"/>
  <c r="V122" i="71" a="1"/>
  <c r="V122" i="71" s="1"/>
  <c r="U122" i="71" a="1"/>
  <c r="U122" i="71" s="1"/>
  <c r="T122" i="71" a="1"/>
  <c r="T122" i="71" s="1"/>
  <c r="S122" i="71" a="1"/>
  <c r="S122" i="71" s="1"/>
  <c r="R122" i="71" a="1"/>
  <c r="R122" i="71" s="1"/>
  <c r="Q122" i="71" a="1"/>
  <c r="Q122" i="71" s="1"/>
  <c r="P122" i="71" a="1"/>
  <c r="P122" i="71" s="1"/>
  <c r="O122" i="71" a="1"/>
  <c r="O122" i="71" s="1"/>
  <c r="N122" i="71" a="1"/>
  <c r="N122" i="71" s="1"/>
  <c r="M122" i="71" a="1"/>
  <c r="M122" i="71" s="1"/>
  <c r="L122" i="71" a="1"/>
  <c r="L122" i="71" s="1"/>
  <c r="K122" i="71" a="1"/>
  <c r="K122" i="71" s="1"/>
  <c r="J122" i="71" a="1"/>
  <c r="J122" i="71" s="1"/>
  <c r="I122" i="71" a="1"/>
  <c r="I122" i="71" s="1"/>
  <c r="H122" i="71" a="1"/>
  <c r="H122" i="71" s="1"/>
  <c r="G122" i="71" a="1"/>
  <c r="G122" i="71" s="1"/>
  <c r="F122" i="71" a="1"/>
  <c r="F122" i="71" s="1"/>
  <c r="E122" i="71" a="1"/>
  <c r="E122" i="71" s="1"/>
  <c r="D122" i="71" a="1"/>
  <c r="D122" i="71" s="1"/>
  <c r="AH121" i="71" a="1"/>
  <c r="AH121" i="71" s="1"/>
  <c r="AG121" i="71" a="1"/>
  <c r="AG121" i="71" s="1"/>
  <c r="AF121" i="71" a="1"/>
  <c r="AF121" i="71" s="1"/>
  <c r="AE121" i="71" a="1"/>
  <c r="AE121" i="71" s="1"/>
  <c r="AD121" i="71" a="1"/>
  <c r="AD121" i="71" s="1"/>
  <c r="AC121" i="71" a="1"/>
  <c r="AC121" i="71" s="1"/>
  <c r="AB121" i="71" a="1"/>
  <c r="AB121" i="71" s="1"/>
  <c r="AA121" i="71" a="1"/>
  <c r="AA121" i="71" s="1"/>
  <c r="Z121" i="71" a="1"/>
  <c r="Z121" i="71" s="1"/>
  <c r="Y121" i="71" a="1"/>
  <c r="Y121" i="71" s="1"/>
  <c r="X121" i="71" a="1"/>
  <c r="X121" i="71" s="1"/>
  <c r="W121" i="71" a="1"/>
  <c r="W121" i="71" s="1"/>
  <c r="V121" i="71" a="1"/>
  <c r="V121" i="71" s="1"/>
  <c r="U121" i="71" a="1"/>
  <c r="U121" i="71" s="1"/>
  <c r="T121" i="71" a="1"/>
  <c r="T121" i="71" s="1"/>
  <c r="S121" i="71" a="1"/>
  <c r="S121" i="71" s="1"/>
  <c r="R121" i="71" a="1"/>
  <c r="R121" i="71" s="1"/>
  <c r="Q121" i="71" a="1"/>
  <c r="Q121" i="71" s="1"/>
  <c r="P121" i="71" a="1"/>
  <c r="P121" i="71" s="1"/>
  <c r="O121" i="71" a="1"/>
  <c r="O121" i="71" s="1"/>
  <c r="N121" i="71" a="1"/>
  <c r="N121" i="71" s="1"/>
  <c r="M121" i="71" a="1"/>
  <c r="M121" i="71" s="1"/>
  <c r="L121" i="71" a="1"/>
  <c r="L121" i="71" s="1"/>
  <c r="K121" i="71" a="1"/>
  <c r="K121" i="71" s="1"/>
  <c r="J121" i="71" a="1"/>
  <c r="J121" i="71" s="1"/>
  <c r="I121" i="71" a="1"/>
  <c r="I121" i="71" s="1"/>
  <c r="H121" i="71" a="1"/>
  <c r="H121" i="71" s="1"/>
  <c r="G121" i="71" a="1"/>
  <c r="G121" i="71" s="1"/>
  <c r="F121" i="71" a="1"/>
  <c r="F121" i="71" s="1"/>
  <c r="E121" i="71" a="1"/>
  <c r="E121" i="71" s="1"/>
  <c r="D121" i="71" a="1"/>
  <c r="D121" i="71" s="1"/>
  <c r="AH120" i="71" a="1"/>
  <c r="AH120" i="71" s="1"/>
  <c r="AG120" i="71" a="1"/>
  <c r="AG120" i="71" s="1"/>
  <c r="AF120" i="71" a="1"/>
  <c r="AF120" i="71" s="1"/>
  <c r="AE120" i="71" a="1"/>
  <c r="AE120" i="71" s="1"/>
  <c r="AD120" i="71" a="1"/>
  <c r="AD120" i="71" s="1"/>
  <c r="AC120" i="71" a="1"/>
  <c r="AC120" i="71" s="1"/>
  <c r="AB120" i="71" a="1"/>
  <c r="AB120" i="71" s="1"/>
  <c r="AA120" i="71" a="1"/>
  <c r="AA120" i="71" s="1"/>
  <c r="Z120" i="71" a="1"/>
  <c r="Z120" i="71" s="1"/>
  <c r="Y120" i="71" a="1"/>
  <c r="Y120" i="71" s="1"/>
  <c r="X120" i="71" a="1"/>
  <c r="X120" i="71" s="1"/>
  <c r="W120" i="71" a="1"/>
  <c r="W120" i="71" s="1"/>
  <c r="V120" i="71" a="1"/>
  <c r="V120" i="71" s="1"/>
  <c r="U120" i="71" a="1"/>
  <c r="U120" i="71" s="1"/>
  <c r="T120" i="71" a="1"/>
  <c r="T120" i="71" s="1"/>
  <c r="S120" i="71" a="1"/>
  <c r="S120" i="71" s="1"/>
  <c r="R120" i="71" a="1"/>
  <c r="R120" i="71" s="1"/>
  <c r="Q120" i="71" a="1"/>
  <c r="Q120" i="71" s="1"/>
  <c r="P120" i="71" a="1"/>
  <c r="P120" i="71" s="1"/>
  <c r="O120" i="71" a="1"/>
  <c r="O120" i="71" s="1"/>
  <c r="N120" i="71" a="1"/>
  <c r="N120" i="71" s="1"/>
  <c r="M120" i="71" a="1"/>
  <c r="M120" i="71" s="1"/>
  <c r="L120" i="71" a="1"/>
  <c r="L120" i="71" s="1"/>
  <c r="K120" i="71" a="1"/>
  <c r="K120" i="71" s="1"/>
  <c r="J120" i="71" a="1"/>
  <c r="J120" i="71" s="1"/>
  <c r="I120" i="71" a="1"/>
  <c r="I120" i="71" s="1"/>
  <c r="H120" i="71" a="1"/>
  <c r="H120" i="71" s="1"/>
  <c r="G120" i="71" a="1"/>
  <c r="G120" i="71" s="1"/>
  <c r="F120" i="71" a="1"/>
  <c r="F120" i="71" s="1"/>
  <c r="E120" i="71" a="1"/>
  <c r="E120" i="71" s="1"/>
  <c r="D120" i="71" a="1"/>
  <c r="D120" i="71" s="1"/>
  <c r="AH119" i="71" a="1"/>
  <c r="AH119" i="71" s="1"/>
  <c r="AG119" i="71" a="1"/>
  <c r="AG119" i="71" s="1"/>
  <c r="AF119" i="71" a="1"/>
  <c r="AF119" i="71" s="1"/>
  <c r="AE119" i="71" a="1"/>
  <c r="AE119" i="71" s="1"/>
  <c r="AD119" i="71" a="1"/>
  <c r="AD119" i="71" s="1"/>
  <c r="AC119" i="71" a="1"/>
  <c r="AC119" i="71" s="1"/>
  <c r="AB119" i="71" a="1"/>
  <c r="AB119" i="71" s="1"/>
  <c r="AA119" i="71" a="1"/>
  <c r="AA119" i="71" s="1"/>
  <c r="Z119" i="71" a="1"/>
  <c r="Z119" i="71" s="1"/>
  <c r="Y119" i="71" a="1"/>
  <c r="Y119" i="71" s="1"/>
  <c r="X119" i="71" a="1"/>
  <c r="X119" i="71" s="1"/>
  <c r="W119" i="71" a="1"/>
  <c r="W119" i="71" s="1"/>
  <c r="V119" i="71" a="1"/>
  <c r="V119" i="71" s="1"/>
  <c r="U119" i="71" a="1"/>
  <c r="U119" i="71" s="1"/>
  <c r="T119" i="71" a="1"/>
  <c r="T119" i="71" s="1"/>
  <c r="S119" i="71" a="1"/>
  <c r="S119" i="71" s="1"/>
  <c r="R119" i="71" a="1"/>
  <c r="R119" i="71" s="1"/>
  <c r="Q119" i="71" a="1"/>
  <c r="Q119" i="71" s="1"/>
  <c r="P119" i="71" a="1"/>
  <c r="P119" i="71" s="1"/>
  <c r="O119" i="71" a="1"/>
  <c r="O119" i="71" s="1"/>
  <c r="N119" i="71" a="1"/>
  <c r="N119" i="71" s="1"/>
  <c r="M119" i="71" a="1"/>
  <c r="M119" i="71" s="1"/>
  <c r="L119" i="71" a="1"/>
  <c r="L119" i="71" s="1"/>
  <c r="K119" i="71" a="1"/>
  <c r="K119" i="71" s="1"/>
  <c r="J119" i="71" a="1"/>
  <c r="J119" i="71" s="1"/>
  <c r="I119" i="71" a="1"/>
  <c r="I119" i="71" s="1"/>
  <c r="H119" i="71" a="1"/>
  <c r="H119" i="71" s="1"/>
  <c r="G119" i="71" a="1"/>
  <c r="G119" i="71" s="1"/>
  <c r="F119" i="71" a="1"/>
  <c r="F119" i="71" s="1"/>
  <c r="E119" i="71" a="1"/>
  <c r="E119" i="71" s="1"/>
  <c r="D119" i="71" a="1"/>
  <c r="D119" i="71" s="1"/>
  <c r="AH118" i="71" a="1"/>
  <c r="AH118" i="71" s="1"/>
  <c r="AG118" i="71" a="1"/>
  <c r="AG118" i="71" s="1"/>
  <c r="AF118" i="71" a="1"/>
  <c r="AF118" i="71" s="1"/>
  <c r="AE118" i="71" a="1"/>
  <c r="AE118" i="71" s="1"/>
  <c r="AD118" i="71" a="1"/>
  <c r="AD118" i="71" s="1"/>
  <c r="AC118" i="71" a="1"/>
  <c r="AC118" i="71" s="1"/>
  <c r="AB118" i="71" a="1"/>
  <c r="AB118" i="71" s="1"/>
  <c r="AA118" i="71" a="1"/>
  <c r="AA118" i="71" s="1"/>
  <c r="Z118" i="71" a="1"/>
  <c r="Z118" i="71" s="1"/>
  <c r="Y118" i="71" a="1"/>
  <c r="Y118" i="71" s="1"/>
  <c r="X118" i="71" a="1"/>
  <c r="X118" i="71" s="1"/>
  <c r="W118" i="71" a="1"/>
  <c r="W118" i="71" s="1"/>
  <c r="V118" i="71" a="1"/>
  <c r="V118" i="71" s="1"/>
  <c r="U118" i="71" a="1"/>
  <c r="U118" i="71" s="1"/>
  <c r="T118" i="71" a="1"/>
  <c r="T118" i="71" s="1"/>
  <c r="S118" i="71" a="1"/>
  <c r="S118" i="71" s="1"/>
  <c r="R118" i="71" a="1"/>
  <c r="R118" i="71" s="1"/>
  <c r="Q118" i="71" a="1"/>
  <c r="Q118" i="71" s="1"/>
  <c r="P118" i="71" a="1"/>
  <c r="P118" i="71" s="1"/>
  <c r="O118" i="71" a="1"/>
  <c r="O118" i="71" s="1"/>
  <c r="N118" i="71" a="1"/>
  <c r="N118" i="71" s="1"/>
  <c r="M118" i="71" a="1"/>
  <c r="M118" i="71" s="1"/>
  <c r="L118" i="71" a="1"/>
  <c r="L118" i="71" s="1"/>
  <c r="K118" i="71" a="1"/>
  <c r="K118" i="71" s="1"/>
  <c r="J118" i="71" a="1"/>
  <c r="J118" i="71" s="1"/>
  <c r="I118" i="71" a="1"/>
  <c r="I118" i="71" s="1"/>
  <c r="H118" i="71" a="1"/>
  <c r="H118" i="71" s="1"/>
  <c r="G118" i="71" a="1"/>
  <c r="G118" i="71" s="1"/>
  <c r="F118" i="71" a="1"/>
  <c r="F118" i="71" s="1"/>
  <c r="E118" i="71" a="1"/>
  <c r="E118" i="71" s="1"/>
  <c r="D118" i="71" a="1"/>
  <c r="D118" i="71" s="1"/>
  <c r="AH117" i="71" a="1"/>
  <c r="AH117" i="71" s="1"/>
  <c r="AG117" i="71" a="1"/>
  <c r="AG117" i="71" s="1"/>
  <c r="AF117" i="71" a="1"/>
  <c r="AF117" i="71" s="1"/>
  <c r="AE117" i="71" a="1"/>
  <c r="AE117" i="71" s="1"/>
  <c r="AD117" i="71" a="1"/>
  <c r="AD117" i="71" s="1"/>
  <c r="AC117" i="71" a="1"/>
  <c r="AC117" i="71" s="1"/>
  <c r="AB117" i="71" a="1"/>
  <c r="AB117" i="71" s="1"/>
  <c r="AA117" i="71" a="1"/>
  <c r="AA117" i="71" s="1"/>
  <c r="Z117" i="71" a="1"/>
  <c r="Z117" i="71" s="1"/>
  <c r="Y117" i="71" a="1"/>
  <c r="Y117" i="71" s="1"/>
  <c r="X117" i="71" a="1"/>
  <c r="X117" i="71" s="1"/>
  <c r="W117" i="71" a="1"/>
  <c r="W117" i="71" s="1"/>
  <c r="V117" i="71" a="1"/>
  <c r="V117" i="71" s="1"/>
  <c r="U117" i="71" a="1"/>
  <c r="U117" i="71" s="1"/>
  <c r="T117" i="71" a="1"/>
  <c r="T117" i="71" s="1"/>
  <c r="S117" i="71" a="1"/>
  <c r="S117" i="71" s="1"/>
  <c r="R117" i="71" a="1"/>
  <c r="R117" i="71" s="1"/>
  <c r="Q117" i="71" a="1"/>
  <c r="Q117" i="71" s="1"/>
  <c r="P117" i="71" a="1"/>
  <c r="P117" i="71" s="1"/>
  <c r="O117" i="71" a="1"/>
  <c r="O117" i="71" s="1"/>
  <c r="N117" i="71" a="1"/>
  <c r="N117" i="71" s="1"/>
  <c r="M117" i="71" a="1"/>
  <c r="M117" i="71" s="1"/>
  <c r="L117" i="71" a="1"/>
  <c r="L117" i="71" s="1"/>
  <c r="K117" i="71" a="1"/>
  <c r="K117" i="71" s="1"/>
  <c r="J117" i="71" a="1"/>
  <c r="J117" i="71" s="1"/>
  <c r="I117" i="71" a="1"/>
  <c r="I117" i="71" s="1"/>
  <c r="H117" i="71" a="1"/>
  <c r="H117" i="71" s="1"/>
  <c r="G117" i="71" a="1"/>
  <c r="G117" i="71" s="1"/>
  <c r="F117" i="71" a="1"/>
  <c r="F117" i="71" s="1"/>
  <c r="E117" i="71" a="1"/>
  <c r="E117" i="71" s="1"/>
  <c r="D117" i="71" a="1"/>
  <c r="D117" i="71" s="1"/>
  <c r="AH116" i="71" a="1"/>
  <c r="AH116" i="71" s="1"/>
  <c r="AG116" i="71" a="1"/>
  <c r="AG116" i="71" s="1"/>
  <c r="AF116" i="71" a="1"/>
  <c r="AF116" i="71" s="1"/>
  <c r="AE116" i="71" a="1"/>
  <c r="AE116" i="71" s="1"/>
  <c r="AD116" i="71" a="1"/>
  <c r="AD116" i="71" s="1"/>
  <c r="AC116" i="71" a="1"/>
  <c r="AC116" i="71" s="1"/>
  <c r="AB116" i="71" a="1"/>
  <c r="AB116" i="71" s="1"/>
  <c r="AA116" i="71" a="1"/>
  <c r="AA116" i="71" s="1"/>
  <c r="Z116" i="71" a="1"/>
  <c r="Z116" i="71" s="1"/>
  <c r="Y116" i="71" a="1"/>
  <c r="Y116" i="71" s="1"/>
  <c r="X116" i="71" a="1"/>
  <c r="X116" i="71" s="1"/>
  <c r="W116" i="71" a="1"/>
  <c r="W116" i="71" s="1"/>
  <c r="V116" i="71" a="1"/>
  <c r="V116" i="71" s="1"/>
  <c r="U116" i="71" a="1"/>
  <c r="U116" i="71" s="1"/>
  <c r="T116" i="71" a="1"/>
  <c r="T116" i="71" s="1"/>
  <c r="S116" i="71" a="1"/>
  <c r="S116" i="71" s="1"/>
  <c r="R116" i="71" a="1"/>
  <c r="R116" i="71" s="1"/>
  <c r="Q116" i="71" a="1"/>
  <c r="Q116" i="71" s="1"/>
  <c r="P116" i="71" a="1"/>
  <c r="P116" i="71" s="1"/>
  <c r="O116" i="71" a="1"/>
  <c r="O116" i="71" s="1"/>
  <c r="N116" i="71" a="1"/>
  <c r="N116" i="71" s="1"/>
  <c r="M116" i="71" a="1"/>
  <c r="M116" i="71" s="1"/>
  <c r="L116" i="71" a="1"/>
  <c r="L116" i="71" s="1"/>
  <c r="K116" i="71" a="1"/>
  <c r="K116" i="71" s="1"/>
  <c r="J116" i="71" a="1"/>
  <c r="J116" i="71" s="1"/>
  <c r="I116" i="71" a="1"/>
  <c r="I116" i="71" s="1"/>
  <c r="H116" i="71" a="1"/>
  <c r="H116" i="71" s="1"/>
  <c r="G116" i="71" a="1"/>
  <c r="G116" i="71" s="1"/>
  <c r="F116" i="71" a="1"/>
  <c r="F116" i="71" s="1"/>
  <c r="E116" i="71" a="1"/>
  <c r="E116" i="71" s="1"/>
  <c r="D116" i="71" a="1"/>
  <c r="D116" i="71" s="1"/>
  <c r="AH115" i="71" a="1"/>
  <c r="AH115" i="71" s="1"/>
  <c r="AG115" i="71" a="1"/>
  <c r="AG115" i="71" s="1"/>
  <c r="AF115" i="71" a="1"/>
  <c r="AF115" i="71" s="1"/>
  <c r="AE115" i="71" a="1"/>
  <c r="AE115" i="71" s="1"/>
  <c r="AD115" i="71" a="1"/>
  <c r="AD115" i="71" s="1"/>
  <c r="AC115" i="71" a="1"/>
  <c r="AC115" i="71" s="1"/>
  <c r="AB115" i="71" a="1"/>
  <c r="AB115" i="71" s="1"/>
  <c r="AA115" i="71" a="1"/>
  <c r="AA115" i="71" s="1"/>
  <c r="Z115" i="71" a="1"/>
  <c r="Z115" i="71" s="1"/>
  <c r="Y115" i="71" a="1"/>
  <c r="Y115" i="71" s="1"/>
  <c r="X115" i="71" a="1"/>
  <c r="X115" i="71" s="1"/>
  <c r="W115" i="71" a="1"/>
  <c r="W115" i="71" s="1"/>
  <c r="V115" i="71" a="1"/>
  <c r="V115" i="71" s="1"/>
  <c r="U115" i="71" a="1"/>
  <c r="U115" i="71" s="1"/>
  <c r="T115" i="71" a="1"/>
  <c r="T115" i="71" s="1"/>
  <c r="S115" i="71" a="1"/>
  <c r="S115" i="71" s="1"/>
  <c r="R115" i="71" a="1"/>
  <c r="R115" i="71" s="1"/>
  <c r="Q115" i="71" a="1"/>
  <c r="Q115" i="71" s="1"/>
  <c r="P115" i="71" a="1"/>
  <c r="P115" i="71" s="1"/>
  <c r="O115" i="71" a="1"/>
  <c r="O115" i="71" s="1"/>
  <c r="N115" i="71" a="1"/>
  <c r="N115" i="71" s="1"/>
  <c r="M115" i="71" a="1"/>
  <c r="M115" i="71" s="1"/>
  <c r="L115" i="71" a="1"/>
  <c r="L115" i="71" s="1"/>
  <c r="K115" i="71" a="1"/>
  <c r="K115" i="71" s="1"/>
  <c r="J115" i="71" a="1"/>
  <c r="J115" i="71" s="1"/>
  <c r="I115" i="71" a="1"/>
  <c r="I115" i="71" s="1"/>
  <c r="H115" i="71" a="1"/>
  <c r="H115" i="71" s="1"/>
  <c r="G115" i="71" a="1"/>
  <c r="G115" i="71" s="1"/>
  <c r="F115" i="71" a="1"/>
  <c r="F115" i="71" s="1"/>
  <c r="E115" i="71" a="1"/>
  <c r="E115" i="71" s="1"/>
  <c r="D115" i="71" a="1"/>
  <c r="D115" i="71" s="1"/>
  <c r="AH114" i="71" a="1"/>
  <c r="AH114" i="71" s="1"/>
  <c r="AG114" i="71" a="1"/>
  <c r="AG114" i="71" s="1"/>
  <c r="AF114" i="71" a="1"/>
  <c r="AF114" i="71" s="1"/>
  <c r="AE114" i="71" a="1"/>
  <c r="AE114" i="71" s="1"/>
  <c r="AD114" i="71" a="1"/>
  <c r="AD114" i="71" s="1"/>
  <c r="AC114" i="71" a="1"/>
  <c r="AC114" i="71" s="1"/>
  <c r="AB114" i="71" a="1"/>
  <c r="AB114" i="71" s="1"/>
  <c r="AA114" i="71" a="1"/>
  <c r="AA114" i="71" s="1"/>
  <c r="Z114" i="71" a="1"/>
  <c r="Z114" i="71" s="1"/>
  <c r="Y114" i="71" a="1"/>
  <c r="Y114" i="71" s="1"/>
  <c r="X114" i="71" a="1"/>
  <c r="X114" i="71" s="1"/>
  <c r="W114" i="71" a="1"/>
  <c r="W114" i="71" s="1"/>
  <c r="V114" i="71" a="1"/>
  <c r="V114" i="71" s="1"/>
  <c r="U114" i="71" a="1"/>
  <c r="U114" i="71" s="1"/>
  <c r="T114" i="71" a="1"/>
  <c r="T114" i="71" s="1"/>
  <c r="S114" i="71" a="1"/>
  <c r="S114" i="71" s="1"/>
  <c r="R114" i="71" a="1"/>
  <c r="R114" i="71" s="1"/>
  <c r="Q114" i="71" a="1"/>
  <c r="Q114" i="71" s="1"/>
  <c r="P114" i="71" a="1"/>
  <c r="P114" i="71" s="1"/>
  <c r="O114" i="71" a="1"/>
  <c r="O114" i="71" s="1"/>
  <c r="N114" i="71" a="1"/>
  <c r="N114" i="71" s="1"/>
  <c r="M114" i="71" a="1"/>
  <c r="M114" i="71" s="1"/>
  <c r="L114" i="71" a="1"/>
  <c r="L114" i="71" s="1"/>
  <c r="K114" i="71" a="1"/>
  <c r="K114" i="71" s="1"/>
  <c r="J114" i="71" a="1"/>
  <c r="J114" i="71" s="1"/>
  <c r="I114" i="71" a="1"/>
  <c r="I114" i="71" s="1"/>
  <c r="H114" i="71" a="1"/>
  <c r="H114" i="71" s="1"/>
  <c r="G114" i="71" a="1"/>
  <c r="G114" i="71" s="1"/>
  <c r="F114" i="71" a="1"/>
  <c r="F114" i="71" s="1"/>
  <c r="E114" i="71" a="1"/>
  <c r="E114" i="71" s="1"/>
  <c r="D114" i="71" a="1"/>
  <c r="D114" i="71" s="1"/>
  <c r="AH113" i="71" a="1"/>
  <c r="AH113" i="71" s="1"/>
  <c r="AG113" i="71" a="1"/>
  <c r="AG113" i="71" s="1"/>
  <c r="AF113" i="71" a="1"/>
  <c r="AF113" i="71" s="1"/>
  <c r="AE113" i="71" a="1"/>
  <c r="AE113" i="71" s="1"/>
  <c r="AD113" i="71" a="1"/>
  <c r="AD113" i="71" s="1"/>
  <c r="AC113" i="71" a="1"/>
  <c r="AC113" i="71" s="1"/>
  <c r="AB113" i="71" a="1"/>
  <c r="AB113" i="71" s="1"/>
  <c r="AA113" i="71" a="1"/>
  <c r="AA113" i="71" s="1"/>
  <c r="Z113" i="71" a="1"/>
  <c r="Z113" i="71" s="1"/>
  <c r="Y113" i="71" a="1"/>
  <c r="Y113" i="71" s="1"/>
  <c r="X113" i="71" a="1"/>
  <c r="X113" i="71" s="1"/>
  <c r="W113" i="71" a="1"/>
  <c r="W113" i="71" s="1"/>
  <c r="V113" i="71" a="1"/>
  <c r="V113" i="71" s="1"/>
  <c r="U113" i="71" a="1"/>
  <c r="U113" i="71" s="1"/>
  <c r="T113" i="71" a="1"/>
  <c r="T113" i="71" s="1"/>
  <c r="S113" i="71" a="1"/>
  <c r="S113" i="71" s="1"/>
  <c r="R113" i="71" a="1"/>
  <c r="R113" i="71" s="1"/>
  <c r="Q113" i="71" a="1"/>
  <c r="Q113" i="71" s="1"/>
  <c r="P113" i="71" a="1"/>
  <c r="P113" i="71" s="1"/>
  <c r="O113" i="71" a="1"/>
  <c r="O113" i="71" s="1"/>
  <c r="N113" i="71" a="1"/>
  <c r="N113" i="71" s="1"/>
  <c r="M113" i="71" a="1"/>
  <c r="M113" i="71" s="1"/>
  <c r="L113" i="71" a="1"/>
  <c r="L113" i="71" s="1"/>
  <c r="K113" i="71" a="1"/>
  <c r="K113" i="71" s="1"/>
  <c r="J113" i="71" a="1"/>
  <c r="J113" i="71" s="1"/>
  <c r="I113" i="71" a="1"/>
  <c r="I113" i="71" s="1"/>
  <c r="H113" i="71" a="1"/>
  <c r="H113" i="71" s="1"/>
  <c r="G113" i="71" a="1"/>
  <c r="G113" i="71" s="1"/>
  <c r="F113" i="71" a="1"/>
  <c r="F113" i="71" s="1"/>
  <c r="E113" i="71" a="1"/>
  <c r="E113" i="71" s="1"/>
  <c r="D113" i="71" a="1"/>
  <c r="D113" i="71" s="1"/>
  <c r="AH112" i="71" a="1"/>
  <c r="AH112" i="71" s="1"/>
  <c r="AG112" i="71" a="1"/>
  <c r="AG112" i="71" s="1"/>
  <c r="AF112" i="71" a="1"/>
  <c r="AF112" i="71" s="1"/>
  <c r="AE112" i="71" a="1"/>
  <c r="AE112" i="71" s="1"/>
  <c r="AD112" i="71" a="1"/>
  <c r="AD112" i="71" s="1"/>
  <c r="AC112" i="71" a="1"/>
  <c r="AC112" i="71" s="1"/>
  <c r="AB112" i="71" a="1"/>
  <c r="AB112" i="71" s="1"/>
  <c r="AA112" i="71" a="1"/>
  <c r="AA112" i="71" s="1"/>
  <c r="Z112" i="71" a="1"/>
  <c r="Z112" i="71" s="1"/>
  <c r="Y112" i="71" a="1"/>
  <c r="Y112" i="71" s="1"/>
  <c r="X112" i="71" a="1"/>
  <c r="X112" i="71" s="1"/>
  <c r="W112" i="71" a="1"/>
  <c r="W112" i="71" s="1"/>
  <c r="V112" i="71" a="1"/>
  <c r="V112" i="71" s="1"/>
  <c r="U112" i="71" a="1"/>
  <c r="U112" i="71" s="1"/>
  <c r="T112" i="71" a="1"/>
  <c r="T112" i="71" s="1"/>
  <c r="S112" i="71" a="1"/>
  <c r="S112" i="71" s="1"/>
  <c r="R112" i="71" a="1"/>
  <c r="R112" i="71" s="1"/>
  <c r="Q112" i="71" a="1"/>
  <c r="Q112" i="71" s="1"/>
  <c r="P112" i="71" a="1"/>
  <c r="P112" i="71" s="1"/>
  <c r="O112" i="71" a="1"/>
  <c r="O112" i="71" s="1"/>
  <c r="N112" i="71" a="1"/>
  <c r="N112" i="71" s="1"/>
  <c r="M112" i="71" a="1"/>
  <c r="M112" i="71" s="1"/>
  <c r="L112" i="71" a="1"/>
  <c r="L112" i="71" s="1"/>
  <c r="K112" i="71" a="1"/>
  <c r="K112" i="71" s="1"/>
  <c r="J112" i="71" a="1"/>
  <c r="J112" i="71" s="1"/>
  <c r="I112" i="71" a="1"/>
  <c r="I112" i="71" s="1"/>
  <c r="H112" i="71" a="1"/>
  <c r="H112" i="71" s="1"/>
  <c r="G112" i="71" a="1"/>
  <c r="G112" i="71" s="1"/>
  <c r="F112" i="71" a="1"/>
  <c r="F112" i="71" s="1"/>
  <c r="E112" i="71" a="1"/>
  <c r="E112" i="71" s="1"/>
  <c r="D112" i="71" a="1"/>
  <c r="D112" i="71" s="1"/>
  <c r="AH111" i="71" a="1"/>
  <c r="AH111" i="71" s="1"/>
  <c r="AG111" i="71" a="1"/>
  <c r="AG111" i="71" s="1"/>
  <c r="AF111" i="71" a="1"/>
  <c r="AF111" i="71" s="1"/>
  <c r="AE111" i="71" a="1"/>
  <c r="AE111" i="71" s="1"/>
  <c r="AD111" i="71" a="1"/>
  <c r="AD111" i="71" s="1"/>
  <c r="AC111" i="71" a="1"/>
  <c r="AC111" i="71" s="1"/>
  <c r="AB111" i="71" a="1"/>
  <c r="AB111" i="71" s="1"/>
  <c r="AA111" i="71" a="1"/>
  <c r="AA111" i="71" s="1"/>
  <c r="Z111" i="71" a="1"/>
  <c r="Z111" i="71" s="1"/>
  <c r="Y111" i="71" a="1"/>
  <c r="Y111" i="71" s="1"/>
  <c r="X111" i="71" a="1"/>
  <c r="X111" i="71" s="1"/>
  <c r="W111" i="71" a="1"/>
  <c r="W111" i="71" s="1"/>
  <c r="V111" i="71" a="1"/>
  <c r="V111" i="71" s="1"/>
  <c r="U111" i="71" a="1"/>
  <c r="U111" i="71" s="1"/>
  <c r="T111" i="71" a="1"/>
  <c r="T111" i="71" s="1"/>
  <c r="S111" i="71" a="1"/>
  <c r="S111" i="71" s="1"/>
  <c r="R111" i="71" a="1"/>
  <c r="R111" i="71" s="1"/>
  <c r="Q111" i="71" a="1"/>
  <c r="Q111" i="71" s="1"/>
  <c r="P111" i="71" a="1"/>
  <c r="P111" i="71" s="1"/>
  <c r="O111" i="71" a="1"/>
  <c r="O111" i="71" s="1"/>
  <c r="N111" i="71" a="1"/>
  <c r="N111" i="71" s="1"/>
  <c r="M111" i="71" a="1"/>
  <c r="M111" i="71" s="1"/>
  <c r="L111" i="71" a="1"/>
  <c r="L111" i="71" s="1"/>
  <c r="K111" i="71" a="1"/>
  <c r="K111" i="71" s="1"/>
  <c r="J111" i="71" a="1"/>
  <c r="J111" i="71" s="1"/>
  <c r="I111" i="71" a="1"/>
  <c r="I111" i="71" s="1"/>
  <c r="H111" i="71" a="1"/>
  <c r="H111" i="71" s="1"/>
  <c r="G111" i="71" a="1"/>
  <c r="G111" i="71" s="1"/>
  <c r="F111" i="71" a="1"/>
  <c r="F111" i="71" s="1"/>
  <c r="E111" i="71" a="1"/>
  <c r="E111" i="71" s="1"/>
  <c r="D111" i="71" a="1"/>
  <c r="D111" i="71" s="1"/>
  <c r="AH110" i="71" a="1"/>
  <c r="AH110" i="71" s="1"/>
  <c r="AG110" i="71" a="1"/>
  <c r="AG110" i="71" s="1"/>
  <c r="AF110" i="71" a="1"/>
  <c r="AF110" i="71" s="1"/>
  <c r="AE110" i="71" a="1"/>
  <c r="AE110" i="71" s="1"/>
  <c r="AD110" i="71" a="1"/>
  <c r="AD110" i="71" s="1"/>
  <c r="AC110" i="71" a="1"/>
  <c r="AC110" i="71" s="1"/>
  <c r="AB110" i="71" a="1"/>
  <c r="AB110" i="71" s="1"/>
  <c r="AA110" i="71" a="1"/>
  <c r="AA110" i="71" s="1"/>
  <c r="Z110" i="71" a="1"/>
  <c r="Z110" i="71" s="1"/>
  <c r="Y110" i="71" a="1"/>
  <c r="Y110" i="71" s="1"/>
  <c r="X110" i="71" a="1"/>
  <c r="X110" i="71" s="1"/>
  <c r="W110" i="71" a="1"/>
  <c r="W110" i="71" s="1"/>
  <c r="V110" i="71" a="1"/>
  <c r="V110" i="71" s="1"/>
  <c r="U110" i="71" a="1"/>
  <c r="U110" i="71" s="1"/>
  <c r="T110" i="71" a="1"/>
  <c r="T110" i="71" s="1"/>
  <c r="S110" i="71" a="1"/>
  <c r="S110" i="71" s="1"/>
  <c r="R110" i="71" a="1"/>
  <c r="R110" i="71" s="1"/>
  <c r="Q110" i="71" a="1"/>
  <c r="Q110" i="71" s="1"/>
  <c r="P110" i="71" a="1"/>
  <c r="P110" i="71" s="1"/>
  <c r="O110" i="71" a="1"/>
  <c r="O110" i="71" s="1"/>
  <c r="N110" i="71" a="1"/>
  <c r="N110" i="71" s="1"/>
  <c r="M110" i="71" a="1"/>
  <c r="M110" i="71" s="1"/>
  <c r="L110" i="71" a="1"/>
  <c r="L110" i="71" s="1"/>
  <c r="K110" i="71" a="1"/>
  <c r="K110" i="71" s="1"/>
  <c r="J110" i="71" a="1"/>
  <c r="J110" i="71" s="1"/>
  <c r="I110" i="71" a="1"/>
  <c r="I110" i="71" s="1"/>
  <c r="H110" i="71" a="1"/>
  <c r="H110" i="71" s="1"/>
  <c r="G110" i="71" a="1"/>
  <c r="G110" i="71" s="1"/>
  <c r="F110" i="71" a="1"/>
  <c r="F110" i="71" s="1"/>
  <c r="E110" i="71" a="1"/>
  <c r="E110" i="71" s="1"/>
  <c r="D110" i="71" a="1"/>
  <c r="D110" i="71" s="1"/>
  <c r="AH109" i="71" a="1"/>
  <c r="AH109" i="71" s="1"/>
  <c r="AG109" i="71" a="1"/>
  <c r="AG109" i="71" s="1"/>
  <c r="AF109" i="71" a="1"/>
  <c r="AF109" i="71" s="1"/>
  <c r="AE109" i="71" a="1"/>
  <c r="AE109" i="71" s="1"/>
  <c r="AD109" i="71" a="1"/>
  <c r="AD109" i="71" s="1"/>
  <c r="AC109" i="71" a="1"/>
  <c r="AC109" i="71" s="1"/>
  <c r="AB109" i="71" a="1"/>
  <c r="AB109" i="71" s="1"/>
  <c r="AA109" i="71" a="1"/>
  <c r="AA109" i="71" s="1"/>
  <c r="Z109" i="71" a="1"/>
  <c r="Z109" i="71" s="1"/>
  <c r="Y109" i="71" a="1"/>
  <c r="Y109" i="71" s="1"/>
  <c r="X109" i="71" a="1"/>
  <c r="X109" i="71" s="1"/>
  <c r="W109" i="71" a="1"/>
  <c r="W109" i="71" s="1"/>
  <c r="V109" i="71" a="1"/>
  <c r="V109" i="71" s="1"/>
  <c r="U109" i="71" a="1"/>
  <c r="U109" i="71" s="1"/>
  <c r="T109" i="71" a="1"/>
  <c r="T109" i="71" s="1"/>
  <c r="S109" i="71" a="1"/>
  <c r="S109" i="71" s="1"/>
  <c r="R109" i="71" a="1"/>
  <c r="R109" i="71" s="1"/>
  <c r="Q109" i="71" a="1"/>
  <c r="Q109" i="71" s="1"/>
  <c r="P109" i="71" a="1"/>
  <c r="P109" i="71" s="1"/>
  <c r="O109" i="71" a="1"/>
  <c r="O109" i="71" s="1"/>
  <c r="N109" i="71" a="1"/>
  <c r="N109" i="71" s="1"/>
  <c r="M109" i="71" a="1"/>
  <c r="M109" i="71" s="1"/>
  <c r="L109" i="71" a="1"/>
  <c r="L109" i="71" s="1"/>
  <c r="K109" i="71" a="1"/>
  <c r="K109" i="71" s="1"/>
  <c r="J109" i="71" a="1"/>
  <c r="J109" i="71" s="1"/>
  <c r="I109" i="71" a="1"/>
  <c r="I109" i="71" s="1"/>
  <c r="H109" i="71" a="1"/>
  <c r="H109" i="71" s="1"/>
  <c r="G109" i="71" a="1"/>
  <c r="G109" i="71" s="1"/>
  <c r="F109" i="71" a="1"/>
  <c r="F109" i="71" s="1"/>
  <c r="E109" i="71" a="1"/>
  <c r="E109" i="71" s="1"/>
  <c r="D109" i="71" a="1"/>
  <c r="D109" i="71" s="1"/>
  <c r="AH108" i="71" a="1"/>
  <c r="AH108" i="71" s="1"/>
  <c r="AG108" i="71" a="1"/>
  <c r="AG108" i="71" s="1"/>
  <c r="AF108" i="71" a="1"/>
  <c r="AF108" i="71" s="1"/>
  <c r="AE108" i="71" a="1"/>
  <c r="AE108" i="71" s="1"/>
  <c r="AD108" i="71" a="1"/>
  <c r="AD108" i="71" s="1"/>
  <c r="AC108" i="71" a="1"/>
  <c r="AC108" i="71" s="1"/>
  <c r="AB108" i="71" a="1"/>
  <c r="AB108" i="71" s="1"/>
  <c r="AA108" i="71" a="1"/>
  <c r="AA108" i="71" s="1"/>
  <c r="Z108" i="71" a="1"/>
  <c r="Z108" i="71" s="1"/>
  <c r="Y108" i="71" a="1"/>
  <c r="Y108" i="71" s="1"/>
  <c r="X108" i="71" a="1"/>
  <c r="X108" i="71" s="1"/>
  <c r="W108" i="71" a="1"/>
  <c r="W108" i="71" s="1"/>
  <c r="V108" i="71" a="1"/>
  <c r="V108" i="71" s="1"/>
  <c r="U108" i="71" a="1"/>
  <c r="U108" i="71" s="1"/>
  <c r="T108" i="71" a="1"/>
  <c r="T108" i="71" s="1"/>
  <c r="S108" i="71" a="1"/>
  <c r="S108" i="71" s="1"/>
  <c r="R108" i="71" a="1"/>
  <c r="R108" i="71" s="1"/>
  <c r="Q108" i="71" a="1"/>
  <c r="Q108" i="71" s="1"/>
  <c r="P108" i="71" a="1"/>
  <c r="P108" i="71" s="1"/>
  <c r="O108" i="71" a="1"/>
  <c r="O108" i="71" s="1"/>
  <c r="N108" i="71" a="1"/>
  <c r="N108" i="71" s="1"/>
  <c r="M108" i="71" a="1"/>
  <c r="M108" i="71" s="1"/>
  <c r="L108" i="71" a="1"/>
  <c r="L108" i="71" s="1"/>
  <c r="K108" i="71" a="1"/>
  <c r="K108" i="71" s="1"/>
  <c r="J108" i="71" a="1"/>
  <c r="J108" i="71" s="1"/>
  <c r="I108" i="71" a="1"/>
  <c r="I108" i="71" s="1"/>
  <c r="H108" i="71" a="1"/>
  <c r="H108" i="71" s="1"/>
  <c r="G108" i="71" a="1"/>
  <c r="G108" i="71" s="1"/>
  <c r="F108" i="71" a="1"/>
  <c r="F108" i="71" s="1"/>
  <c r="E108" i="71" a="1"/>
  <c r="E108" i="71" s="1"/>
  <c r="D108" i="71" a="1"/>
  <c r="D108" i="71" s="1"/>
  <c r="AH107" i="71" a="1"/>
  <c r="AH107" i="71" s="1"/>
  <c r="AG107" i="71" a="1"/>
  <c r="AG107" i="71" s="1"/>
  <c r="AF107" i="71" a="1"/>
  <c r="AF107" i="71" s="1"/>
  <c r="AE107" i="71" a="1"/>
  <c r="AE107" i="71" s="1"/>
  <c r="AD107" i="71" a="1"/>
  <c r="AD107" i="71" s="1"/>
  <c r="AC107" i="71" a="1"/>
  <c r="AC107" i="71" s="1"/>
  <c r="AB107" i="71" a="1"/>
  <c r="AB107" i="71" s="1"/>
  <c r="AA107" i="71" a="1"/>
  <c r="AA107" i="71" s="1"/>
  <c r="Z107" i="71" a="1"/>
  <c r="Z107" i="71" s="1"/>
  <c r="Y107" i="71" a="1"/>
  <c r="Y107" i="71" s="1"/>
  <c r="X107" i="71" a="1"/>
  <c r="X107" i="71" s="1"/>
  <c r="W107" i="71" a="1"/>
  <c r="W107" i="71" s="1"/>
  <c r="V107" i="71" a="1"/>
  <c r="V107" i="71" s="1"/>
  <c r="U107" i="71" a="1"/>
  <c r="U107" i="71" s="1"/>
  <c r="T107" i="71" a="1"/>
  <c r="T107" i="71" s="1"/>
  <c r="S107" i="71" a="1"/>
  <c r="S107" i="71" s="1"/>
  <c r="R107" i="71" a="1"/>
  <c r="R107" i="71" s="1"/>
  <c r="Q107" i="71" a="1"/>
  <c r="Q107" i="71" s="1"/>
  <c r="P107" i="71" a="1"/>
  <c r="P107" i="71" s="1"/>
  <c r="O107" i="71" a="1"/>
  <c r="O107" i="71" s="1"/>
  <c r="N107" i="71" a="1"/>
  <c r="N107" i="71" s="1"/>
  <c r="M107" i="71" a="1"/>
  <c r="M107" i="71" s="1"/>
  <c r="L107" i="71" a="1"/>
  <c r="L107" i="71" s="1"/>
  <c r="K107" i="71" a="1"/>
  <c r="K107" i="71" s="1"/>
  <c r="J107" i="71" a="1"/>
  <c r="J107" i="71" s="1"/>
  <c r="I107" i="71" a="1"/>
  <c r="I107" i="71" s="1"/>
  <c r="H107" i="71" a="1"/>
  <c r="H107" i="71" s="1"/>
  <c r="G107" i="71" a="1"/>
  <c r="G107" i="71" s="1"/>
  <c r="F107" i="71" a="1"/>
  <c r="F107" i="71" s="1"/>
  <c r="E107" i="71" a="1"/>
  <c r="E107" i="71" s="1"/>
  <c r="D107" i="71" a="1"/>
  <c r="D107" i="71" s="1"/>
  <c r="AH106" i="71" a="1"/>
  <c r="AH106" i="71" s="1"/>
  <c r="AG106" i="71" a="1"/>
  <c r="AG106" i="71" s="1"/>
  <c r="AF106" i="71" a="1"/>
  <c r="AF106" i="71" s="1"/>
  <c r="AE106" i="71" a="1"/>
  <c r="AE106" i="71" s="1"/>
  <c r="AD106" i="71" a="1"/>
  <c r="AD106" i="71" s="1"/>
  <c r="AC106" i="71" a="1"/>
  <c r="AC106" i="71" s="1"/>
  <c r="AB106" i="71" a="1"/>
  <c r="AB106" i="71" s="1"/>
  <c r="AA106" i="71" a="1"/>
  <c r="AA106" i="71" s="1"/>
  <c r="Z106" i="71" a="1"/>
  <c r="Z106" i="71" s="1"/>
  <c r="Y106" i="71" a="1"/>
  <c r="Y106" i="71" s="1"/>
  <c r="X106" i="71" a="1"/>
  <c r="X106" i="71" s="1"/>
  <c r="W106" i="71" a="1"/>
  <c r="W106" i="71" s="1"/>
  <c r="V106" i="71" a="1"/>
  <c r="V106" i="71" s="1"/>
  <c r="U106" i="71" a="1"/>
  <c r="U106" i="71" s="1"/>
  <c r="T106" i="71" a="1"/>
  <c r="T106" i="71" s="1"/>
  <c r="S106" i="71" a="1"/>
  <c r="S106" i="71" s="1"/>
  <c r="R106" i="71" a="1"/>
  <c r="R106" i="71" s="1"/>
  <c r="Q106" i="71" a="1"/>
  <c r="Q106" i="71" s="1"/>
  <c r="P106" i="71" a="1"/>
  <c r="P106" i="71" s="1"/>
  <c r="O106" i="71" a="1"/>
  <c r="O106" i="71" s="1"/>
  <c r="N106" i="71" a="1"/>
  <c r="N106" i="71" s="1"/>
  <c r="M106" i="71" a="1"/>
  <c r="M106" i="71" s="1"/>
  <c r="L106" i="71" a="1"/>
  <c r="L106" i="71" s="1"/>
  <c r="K106" i="71" a="1"/>
  <c r="K106" i="71" s="1"/>
  <c r="J106" i="71" a="1"/>
  <c r="J106" i="71" s="1"/>
  <c r="I106" i="71" a="1"/>
  <c r="I106" i="71" s="1"/>
  <c r="H106" i="71" a="1"/>
  <c r="H106" i="71" s="1"/>
  <c r="G106" i="71" a="1"/>
  <c r="G106" i="71" s="1"/>
  <c r="F106" i="71" a="1"/>
  <c r="F106" i="71" s="1"/>
  <c r="E106" i="71" a="1"/>
  <c r="E106" i="71" s="1"/>
  <c r="D106" i="71" a="1"/>
  <c r="D106" i="71" s="1"/>
  <c r="AH105" i="71" a="1"/>
  <c r="AH105" i="71" s="1"/>
  <c r="AG105" i="71" a="1"/>
  <c r="AG105" i="71" s="1"/>
  <c r="AF105" i="71" a="1"/>
  <c r="AF105" i="71" s="1"/>
  <c r="AE105" i="71" a="1"/>
  <c r="AE105" i="71" s="1"/>
  <c r="AD105" i="71" a="1"/>
  <c r="AD105" i="71" s="1"/>
  <c r="AC105" i="71" a="1"/>
  <c r="AC105" i="71" s="1"/>
  <c r="AB105" i="71" a="1"/>
  <c r="AB105" i="71" s="1"/>
  <c r="AA105" i="71" a="1"/>
  <c r="AA105" i="71" s="1"/>
  <c r="Z105" i="71" a="1"/>
  <c r="Z105" i="71" s="1"/>
  <c r="Y105" i="71" a="1"/>
  <c r="Y105" i="71" s="1"/>
  <c r="X105" i="71" a="1"/>
  <c r="X105" i="71" s="1"/>
  <c r="W105" i="71" a="1"/>
  <c r="W105" i="71" s="1"/>
  <c r="V105" i="71" a="1"/>
  <c r="V105" i="71" s="1"/>
  <c r="U105" i="71" a="1"/>
  <c r="U105" i="71" s="1"/>
  <c r="T105" i="71" a="1"/>
  <c r="T105" i="71" s="1"/>
  <c r="S105" i="71" a="1"/>
  <c r="S105" i="71" s="1"/>
  <c r="R105" i="71" a="1"/>
  <c r="R105" i="71" s="1"/>
  <c r="Q105" i="71" a="1"/>
  <c r="Q105" i="71" s="1"/>
  <c r="P105" i="71" a="1"/>
  <c r="P105" i="71" s="1"/>
  <c r="O105" i="71" a="1"/>
  <c r="O105" i="71" s="1"/>
  <c r="N105" i="71" a="1"/>
  <c r="N105" i="71" s="1"/>
  <c r="M105" i="71" a="1"/>
  <c r="M105" i="71" s="1"/>
  <c r="L105" i="71" a="1"/>
  <c r="L105" i="71" s="1"/>
  <c r="K105" i="71" a="1"/>
  <c r="K105" i="71" s="1"/>
  <c r="J105" i="71" a="1"/>
  <c r="J105" i="71" s="1"/>
  <c r="I105" i="71" a="1"/>
  <c r="I105" i="71" s="1"/>
  <c r="H105" i="71" a="1"/>
  <c r="H105" i="71" s="1"/>
  <c r="G105" i="71" a="1"/>
  <c r="G105" i="71" s="1"/>
  <c r="F105" i="71" a="1"/>
  <c r="F105" i="71" s="1"/>
  <c r="E105" i="71" a="1"/>
  <c r="E105" i="71" s="1"/>
  <c r="D105" i="71" a="1"/>
  <c r="D105" i="71" s="1"/>
  <c r="AH104" i="71" a="1"/>
  <c r="AH104" i="71" s="1"/>
  <c r="AG104" i="71" a="1"/>
  <c r="AG104" i="71" s="1"/>
  <c r="AF104" i="71" a="1"/>
  <c r="AF104" i="71" s="1"/>
  <c r="AE104" i="71" a="1"/>
  <c r="AE104" i="71" s="1"/>
  <c r="AD104" i="71" a="1"/>
  <c r="AD104" i="71" s="1"/>
  <c r="AC104" i="71" a="1"/>
  <c r="AC104" i="71" s="1"/>
  <c r="AB104" i="71" a="1"/>
  <c r="AB104" i="71" s="1"/>
  <c r="AA104" i="71" a="1"/>
  <c r="AA104" i="71" s="1"/>
  <c r="Z104" i="71" a="1"/>
  <c r="Z104" i="71" s="1"/>
  <c r="Y104" i="71" a="1"/>
  <c r="Y104" i="71" s="1"/>
  <c r="X104" i="71" a="1"/>
  <c r="X104" i="71" s="1"/>
  <c r="W104" i="71" a="1"/>
  <c r="W104" i="71" s="1"/>
  <c r="V104" i="71" a="1"/>
  <c r="V104" i="71" s="1"/>
  <c r="U104" i="71" a="1"/>
  <c r="U104" i="71" s="1"/>
  <c r="T104" i="71" a="1"/>
  <c r="T104" i="71" s="1"/>
  <c r="S104" i="71" a="1"/>
  <c r="S104" i="71" s="1"/>
  <c r="R104" i="71" a="1"/>
  <c r="R104" i="71" s="1"/>
  <c r="Q104" i="71" a="1"/>
  <c r="Q104" i="71" s="1"/>
  <c r="P104" i="71" a="1"/>
  <c r="P104" i="71" s="1"/>
  <c r="O104" i="71" a="1"/>
  <c r="O104" i="71" s="1"/>
  <c r="N104" i="71" a="1"/>
  <c r="N104" i="71" s="1"/>
  <c r="M104" i="71" a="1"/>
  <c r="M104" i="71" s="1"/>
  <c r="L104" i="71" a="1"/>
  <c r="L104" i="71" s="1"/>
  <c r="K104" i="71" a="1"/>
  <c r="K104" i="71" s="1"/>
  <c r="J104" i="71" a="1"/>
  <c r="J104" i="71" s="1"/>
  <c r="I104" i="71" a="1"/>
  <c r="I104" i="71" s="1"/>
  <c r="H104" i="71" a="1"/>
  <c r="H104" i="71" s="1"/>
  <c r="G104" i="71" a="1"/>
  <c r="G104" i="71" s="1"/>
  <c r="F104" i="71" a="1"/>
  <c r="F104" i="71" s="1"/>
  <c r="E104" i="71" a="1"/>
  <c r="E104" i="71" s="1"/>
  <c r="D104" i="71" a="1"/>
  <c r="D104" i="71" s="1"/>
  <c r="AH103" i="71" a="1"/>
  <c r="AH103" i="71" s="1"/>
  <c r="AG103" i="71" a="1"/>
  <c r="AG103" i="71" s="1"/>
  <c r="AF103" i="71" a="1"/>
  <c r="AF103" i="71" s="1"/>
  <c r="AE103" i="71" a="1"/>
  <c r="AE103" i="71" s="1"/>
  <c r="AD103" i="71" a="1"/>
  <c r="AD103" i="71" s="1"/>
  <c r="AC103" i="71" a="1"/>
  <c r="AC103" i="71" s="1"/>
  <c r="AB103" i="71" a="1"/>
  <c r="AB103" i="71" s="1"/>
  <c r="AA103" i="71" a="1"/>
  <c r="AA103" i="71" s="1"/>
  <c r="Z103" i="71" a="1"/>
  <c r="Z103" i="71" s="1"/>
  <c r="Y103" i="71" a="1"/>
  <c r="Y103" i="71" s="1"/>
  <c r="X103" i="71" a="1"/>
  <c r="X103" i="71" s="1"/>
  <c r="W103" i="71" a="1"/>
  <c r="W103" i="71" s="1"/>
  <c r="V103" i="71" a="1"/>
  <c r="V103" i="71" s="1"/>
  <c r="U103" i="71" a="1"/>
  <c r="U103" i="71" s="1"/>
  <c r="T103" i="71" a="1"/>
  <c r="T103" i="71" s="1"/>
  <c r="S103" i="71" a="1"/>
  <c r="S103" i="71" s="1"/>
  <c r="R103" i="71" a="1"/>
  <c r="R103" i="71" s="1"/>
  <c r="Q103" i="71" a="1"/>
  <c r="Q103" i="71" s="1"/>
  <c r="P103" i="71" a="1"/>
  <c r="P103" i="71" s="1"/>
  <c r="O103" i="71" a="1"/>
  <c r="O103" i="71" s="1"/>
  <c r="N103" i="71" a="1"/>
  <c r="N103" i="71" s="1"/>
  <c r="M103" i="71" a="1"/>
  <c r="M103" i="71" s="1"/>
  <c r="L103" i="71" a="1"/>
  <c r="L103" i="71" s="1"/>
  <c r="K103" i="71" a="1"/>
  <c r="K103" i="71" s="1"/>
  <c r="J103" i="71" a="1"/>
  <c r="J103" i="71" s="1"/>
  <c r="I103" i="71" a="1"/>
  <c r="I103" i="71" s="1"/>
  <c r="H103" i="71" a="1"/>
  <c r="H103" i="71" s="1"/>
  <c r="G103" i="71" a="1"/>
  <c r="G103" i="71" s="1"/>
  <c r="F103" i="71" a="1"/>
  <c r="F103" i="71" s="1"/>
  <c r="E103" i="71" a="1"/>
  <c r="E103" i="71" s="1"/>
  <c r="D103" i="71" a="1"/>
  <c r="D103" i="71" s="1"/>
  <c r="AH102" i="71" a="1"/>
  <c r="AH102" i="71" s="1"/>
  <c r="AG102" i="71" a="1"/>
  <c r="AG102" i="71" s="1"/>
  <c r="AF102" i="71" a="1"/>
  <c r="AF102" i="71" s="1"/>
  <c r="AE102" i="71" a="1"/>
  <c r="AE102" i="71" s="1"/>
  <c r="AD102" i="71" a="1"/>
  <c r="AD102" i="71" s="1"/>
  <c r="AC102" i="71" a="1"/>
  <c r="AC102" i="71" s="1"/>
  <c r="AB102" i="71" a="1"/>
  <c r="AB102" i="71" s="1"/>
  <c r="AA102" i="71" a="1"/>
  <c r="AA102" i="71" s="1"/>
  <c r="Z102" i="71" a="1"/>
  <c r="Z102" i="71" s="1"/>
  <c r="Y102" i="71" a="1"/>
  <c r="Y102" i="71" s="1"/>
  <c r="X102" i="71" a="1"/>
  <c r="X102" i="71" s="1"/>
  <c r="W102" i="71" a="1"/>
  <c r="W102" i="71" s="1"/>
  <c r="V102" i="71" a="1"/>
  <c r="V102" i="71" s="1"/>
  <c r="U102" i="71" a="1"/>
  <c r="U102" i="71" s="1"/>
  <c r="T102" i="71" a="1"/>
  <c r="T102" i="71" s="1"/>
  <c r="S102" i="71" a="1"/>
  <c r="S102" i="71" s="1"/>
  <c r="R102" i="71" a="1"/>
  <c r="R102" i="71" s="1"/>
  <c r="Q102" i="71" a="1"/>
  <c r="Q102" i="71" s="1"/>
  <c r="P102" i="71" a="1"/>
  <c r="P102" i="71" s="1"/>
  <c r="O102" i="71" a="1"/>
  <c r="O102" i="71" s="1"/>
  <c r="N102" i="71" a="1"/>
  <c r="N102" i="71" s="1"/>
  <c r="M102" i="71" a="1"/>
  <c r="M102" i="71" s="1"/>
  <c r="L102" i="71" a="1"/>
  <c r="L102" i="71" s="1"/>
  <c r="K102" i="71" a="1"/>
  <c r="K102" i="71" s="1"/>
  <c r="J102" i="71" a="1"/>
  <c r="J102" i="71" s="1"/>
  <c r="I102" i="71" a="1"/>
  <c r="I102" i="71" s="1"/>
  <c r="H102" i="71" a="1"/>
  <c r="H102" i="71" s="1"/>
  <c r="G102" i="71" a="1"/>
  <c r="G102" i="71" s="1"/>
  <c r="F102" i="71" a="1"/>
  <c r="F102" i="71" s="1"/>
  <c r="E102" i="71" a="1"/>
  <c r="E102" i="71" s="1"/>
  <c r="D102" i="71" a="1"/>
  <c r="D102" i="71" s="1"/>
  <c r="AH101" i="71" a="1"/>
  <c r="AH101" i="71" s="1"/>
  <c r="AG101" i="71" a="1"/>
  <c r="AG101" i="71" s="1"/>
  <c r="AF101" i="71" a="1"/>
  <c r="AF101" i="71" s="1"/>
  <c r="AE101" i="71" a="1"/>
  <c r="AE101" i="71" s="1"/>
  <c r="AD101" i="71" a="1"/>
  <c r="AD101" i="71" s="1"/>
  <c r="AC101" i="71" a="1"/>
  <c r="AC101" i="71" s="1"/>
  <c r="AB101" i="71" a="1"/>
  <c r="AB101" i="71" s="1"/>
  <c r="AA101" i="71" a="1"/>
  <c r="AA101" i="71" s="1"/>
  <c r="Z101" i="71" a="1"/>
  <c r="Z101" i="71" s="1"/>
  <c r="Y101" i="71" a="1"/>
  <c r="Y101" i="71" s="1"/>
  <c r="X101" i="71" a="1"/>
  <c r="X101" i="71" s="1"/>
  <c r="W101" i="71" a="1"/>
  <c r="W101" i="71" s="1"/>
  <c r="V101" i="71" a="1"/>
  <c r="V101" i="71" s="1"/>
  <c r="U101" i="71" a="1"/>
  <c r="U101" i="71" s="1"/>
  <c r="T101" i="71" a="1"/>
  <c r="T101" i="71" s="1"/>
  <c r="S101" i="71" a="1"/>
  <c r="S101" i="71" s="1"/>
  <c r="R101" i="71" a="1"/>
  <c r="R101" i="71" s="1"/>
  <c r="Q101" i="71" a="1"/>
  <c r="Q101" i="71" s="1"/>
  <c r="P101" i="71" a="1"/>
  <c r="P101" i="71" s="1"/>
  <c r="O101" i="71" a="1"/>
  <c r="O101" i="71" s="1"/>
  <c r="N101" i="71" a="1"/>
  <c r="N101" i="71" s="1"/>
  <c r="M101" i="71" a="1"/>
  <c r="M101" i="71" s="1"/>
  <c r="L101" i="71" a="1"/>
  <c r="L101" i="71" s="1"/>
  <c r="K101" i="71" a="1"/>
  <c r="K101" i="71" s="1"/>
  <c r="J101" i="71" a="1"/>
  <c r="J101" i="71" s="1"/>
  <c r="I101" i="71" a="1"/>
  <c r="I101" i="71" s="1"/>
  <c r="H101" i="71" a="1"/>
  <c r="H101" i="71" s="1"/>
  <c r="G101" i="71" a="1"/>
  <c r="G101" i="71" s="1"/>
  <c r="F101" i="71" a="1"/>
  <c r="F101" i="71" s="1"/>
  <c r="E101" i="71" a="1"/>
  <c r="E101" i="71" s="1"/>
  <c r="D101" i="71" a="1"/>
  <c r="D101" i="71" s="1"/>
  <c r="AH100" i="71" a="1"/>
  <c r="AH100" i="71" s="1"/>
  <c r="AG100" i="71" a="1"/>
  <c r="AG100" i="71" s="1"/>
  <c r="AF100" i="71" a="1"/>
  <c r="AF100" i="71" s="1"/>
  <c r="AE100" i="71" a="1"/>
  <c r="AE100" i="71" s="1"/>
  <c r="AD100" i="71" a="1"/>
  <c r="AD100" i="71" s="1"/>
  <c r="AC100" i="71" a="1"/>
  <c r="AC100" i="71" s="1"/>
  <c r="AB100" i="71" a="1"/>
  <c r="AB100" i="71" s="1"/>
  <c r="AA100" i="71" a="1"/>
  <c r="AA100" i="71" s="1"/>
  <c r="Z100" i="71" a="1"/>
  <c r="Z100" i="71" s="1"/>
  <c r="Y100" i="71" a="1"/>
  <c r="Y100" i="71" s="1"/>
  <c r="X100" i="71" a="1"/>
  <c r="X100" i="71" s="1"/>
  <c r="W100" i="71" a="1"/>
  <c r="W100" i="71" s="1"/>
  <c r="V100" i="71" a="1"/>
  <c r="V100" i="71" s="1"/>
  <c r="U100" i="71" a="1"/>
  <c r="U100" i="71" s="1"/>
  <c r="T100" i="71" a="1"/>
  <c r="T100" i="71" s="1"/>
  <c r="S100" i="71" a="1"/>
  <c r="S100" i="71" s="1"/>
  <c r="R100" i="71" a="1"/>
  <c r="R100" i="71" s="1"/>
  <c r="Q100" i="71" a="1"/>
  <c r="Q100" i="71" s="1"/>
  <c r="P100" i="71" a="1"/>
  <c r="P100" i="71" s="1"/>
  <c r="O100" i="71" a="1"/>
  <c r="O100" i="71" s="1"/>
  <c r="N100" i="71" a="1"/>
  <c r="N100" i="71" s="1"/>
  <c r="M100" i="71" a="1"/>
  <c r="M100" i="71" s="1"/>
  <c r="L100" i="71" a="1"/>
  <c r="L100" i="71" s="1"/>
  <c r="K100" i="71" a="1"/>
  <c r="K100" i="71" s="1"/>
  <c r="J100" i="71" a="1"/>
  <c r="J100" i="71" s="1"/>
  <c r="I100" i="71" a="1"/>
  <c r="I100" i="71" s="1"/>
  <c r="H100" i="71" a="1"/>
  <c r="H100" i="71" s="1"/>
  <c r="G100" i="71" a="1"/>
  <c r="G100" i="71" s="1"/>
  <c r="F100" i="71" a="1"/>
  <c r="F100" i="71" s="1"/>
  <c r="E100" i="71" a="1"/>
  <c r="E100" i="71" s="1"/>
  <c r="D100" i="71" a="1"/>
  <c r="D100" i="71" s="1"/>
  <c r="AH99" i="71" a="1"/>
  <c r="AH99" i="71" s="1"/>
  <c r="AG99" i="71" a="1"/>
  <c r="AG99" i="71" s="1"/>
  <c r="AF99" i="71" a="1"/>
  <c r="AF99" i="71" s="1"/>
  <c r="AE99" i="71" a="1"/>
  <c r="AE99" i="71" s="1"/>
  <c r="AD99" i="71" a="1"/>
  <c r="AD99" i="71" s="1"/>
  <c r="AC99" i="71" a="1"/>
  <c r="AC99" i="71" s="1"/>
  <c r="AB99" i="71" a="1"/>
  <c r="AB99" i="71" s="1"/>
  <c r="AA99" i="71" a="1"/>
  <c r="AA99" i="71" s="1"/>
  <c r="Z99" i="71" a="1"/>
  <c r="Z99" i="71" s="1"/>
  <c r="Y99" i="71" a="1"/>
  <c r="Y99" i="71" s="1"/>
  <c r="X99" i="71" a="1"/>
  <c r="X99" i="71" s="1"/>
  <c r="W99" i="71" a="1"/>
  <c r="W99" i="71" s="1"/>
  <c r="V99" i="71" a="1"/>
  <c r="V99" i="71" s="1"/>
  <c r="U99" i="71" a="1"/>
  <c r="U99" i="71" s="1"/>
  <c r="T99" i="71" a="1"/>
  <c r="T99" i="71" s="1"/>
  <c r="S99" i="71" a="1"/>
  <c r="S99" i="71" s="1"/>
  <c r="R99" i="71" a="1"/>
  <c r="R99" i="71" s="1"/>
  <c r="Q99" i="71" a="1"/>
  <c r="Q99" i="71" s="1"/>
  <c r="P99" i="71" a="1"/>
  <c r="P99" i="71" s="1"/>
  <c r="O99" i="71" a="1"/>
  <c r="O99" i="71" s="1"/>
  <c r="N99" i="71" a="1"/>
  <c r="N99" i="71" s="1"/>
  <c r="M99" i="71" a="1"/>
  <c r="M99" i="71" s="1"/>
  <c r="L99" i="71" a="1"/>
  <c r="L99" i="71" s="1"/>
  <c r="K99" i="71" a="1"/>
  <c r="K99" i="71" s="1"/>
  <c r="J99" i="71" a="1"/>
  <c r="J99" i="71" s="1"/>
  <c r="I99" i="71" a="1"/>
  <c r="I99" i="71" s="1"/>
  <c r="H99" i="71" a="1"/>
  <c r="H99" i="71" s="1"/>
  <c r="G99" i="71" a="1"/>
  <c r="G99" i="71" s="1"/>
  <c r="F99" i="71" a="1"/>
  <c r="F99" i="71" s="1"/>
  <c r="E99" i="71" a="1"/>
  <c r="E99" i="71" s="1"/>
  <c r="D99" i="71" a="1"/>
  <c r="D99" i="71" s="1"/>
  <c r="AH98" i="71" a="1"/>
  <c r="AH98" i="71" s="1"/>
  <c r="AG98" i="71" a="1"/>
  <c r="AG98" i="71" s="1"/>
  <c r="AF98" i="71" a="1"/>
  <c r="AF98" i="71" s="1"/>
  <c r="AE98" i="71" a="1"/>
  <c r="AE98" i="71" s="1"/>
  <c r="AD98" i="71" a="1"/>
  <c r="AD98" i="71" s="1"/>
  <c r="AC98" i="71" a="1"/>
  <c r="AC98" i="71" s="1"/>
  <c r="AB98" i="71" a="1"/>
  <c r="AB98" i="71" s="1"/>
  <c r="AA98" i="71" a="1"/>
  <c r="AA98" i="71" s="1"/>
  <c r="Z98" i="71" a="1"/>
  <c r="Z98" i="71" s="1"/>
  <c r="Y98" i="71" a="1"/>
  <c r="Y98" i="71" s="1"/>
  <c r="X98" i="71" a="1"/>
  <c r="X98" i="71" s="1"/>
  <c r="W98" i="71" a="1"/>
  <c r="W98" i="71" s="1"/>
  <c r="V98" i="71" a="1"/>
  <c r="V98" i="71" s="1"/>
  <c r="U98" i="71" a="1"/>
  <c r="U98" i="71" s="1"/>
  <c r="T98" i="71" a="1"/>
  <c r="T98" i="71" s="1"/>
  <c r="S98" i="71" a="1"/>
  <c r="S98" i="71" s="1"/>
  <c r="R98" i="71" a="1"/>
  <c r="R98" i="71" s="1"/>
  <c r="Q98" i="71" a="1"/>
  <c r="Q98" i="71" s="1"/>
  <c r="P98" i="71" a="1"/>
  <c r="P98" i="71" s="1"/>
  <c r="O98" i="71" a="1"/>
  <c r="O98" i="71" s="1"/>
  <c r="N98" i="71" a="1"/>
  <c r="N98" i="71" s="1"/>
  <c r="M98" i="71" a="1"/>
  <c r="M98" i="71" s="1"/>
  <c r="L98" i="71" a="1"/>
  <c r="L98" i="71" s="1"/>
  <c r="K98" i="71" a="1"/>
  <c r="K98" i="71" s="1"/>
  <c r="J98" i="71" a="1"/>
  <c r="J98" i="71" s="1"/>
  <c r="I98" i="71" a="1"/>
  <c r="I98" i="71" s="1"/>
  <c r="H98" i="71" a="1"/>
  <c r="H98" i="71" s="1"/>
  <c r="G98" i="71" a="1"/>
  <c r="G98" i="71" s="1"/>
  <c r="F98" i="71" a="1"/>
  <c r="F98" i="71" s="1"/>
  <c r="E98" i="71" a="1"/>
  <c r="E98" i="71" s="1"/>
  <c r="D98" i="71" a="1"/>
  <c r="D98" i="71" s="1"/>
  <c r="AH97" i="71" a="1"/>
  <c r="AH97" i="71" s="1"/>
  <c r="AG97" i="71" a="1"/>
  <c r="AG97" i="71" s="1"/>
  <c r="AF97" i="71" a="1"/>
  <c r="AF97" i="71" s="1"/>
  <c r="AE97" i="71" a="1"/>
  <c r="AE97" i="71" s="1"/>
  <c r="AD97" i="71" a="1"/>
  <c r="AD97" i="71" s="1"/>
  <c r="AC97" i="71" a="1"/>
  <c r="AC97" i="71" s="1"/>
  <c r="AB97" i="71" a="1"/>
  <c r="AB97" i="71" s="1"/>
  <c r="AA97" i="71" a="1"/>
  <c r="AA97" i="71" s="1"/>
  <c r="Z97" i="71" a="1"/>
  <c r="Z97" i="71" s="1"/>
  <c r="Y97" i="71" a="1"/>
  <c r="Y97" i="71" s="1"/>
  <c r="X97" i="71" a="1"/>
  <c r="X97" i="71" s="1"/>
  <c r="W97" i="71" a="1"/>
  <c r="W97" i="71" s="1"/>
  <c r="V97" i="71" a="1"/>
  <c r="V97" i="71" s="1"/>
  <c r="U97" i="71" a="1"/>
  <c r="U97" i="71" s="1"/>
  <c r="T97" i="71" a="1"/>
  <c r="T97" i="71" s="1"/>
  <c r="S97" i="71" a="1"/>
  <c r="S97" i="71" s="1"/>
  <c r="R97" i="71" a="1"/>
  <c r="R97" i="71" s="1"/>
  <c r="Q97" i="71" a="1"/>
  <c r="Q97" i="71" s="1"/>
  <c r="P97" i="71" a="1"/>
  <c r="P97" i="71" s="1"/>
  <c r="O97" i="71" a="1"/>
  <c r="O97" i="71" s="1"/>
  <c r="N97" i="71" a="1"/>
  <c r="N97" i="71" s="1"/>
  <c r="M97" i="71" a="1"/>
  <c r="M97" i="71" s="1"/>
  <c r="L97" i="71" a="1"/>
  <c r="L97" i="71" s="1"/>
  <c r="K97" i="71" a="1"/>
  <c r="K97" i="71" s="1"/>
  <c r="J97" i="71" a="1"/>
  <c r="J97" i="71" s="1"/>
  <c r="I97" i="71" a="1"/>
  <c r="I97" i="71" s="1"/>
  <c r="H97" i="71" a="1"/>
  <c r="H97" i="71" s="1"/>
  <c r="G97" i="71" a="1"/>
  <c r="G97" i="71" s="1"/>
  <c r="F97" i="71" a="1"/>
  <c r="F97" i="71" s="1"/>
  <c r="E97" i="71" a="1"/>
  <c r="E97" i="71" s="1"/>
  <c r="D97" i="71" a="1"/>
  <c r="D97" i="71" s="1"/>
  <c r="AH96" i="71" a="1"/>
  <c r="AH96" i="71" s="1"/>
  <c r="AG96" i="71" a="1"/>
  <c r="AG96" i="71" s="1"/>
  <c r="AF96" i="71" a="1"/>
  <c r="AF96" i="71" s="1"/>
  <c r="AE96" i="71" a="1"/>
  <c r="AE96" i="71" s="1"/>
  <c r="AD96" i="71" a="1"/>
  <c r="AD96" i="71" s="1"/>
  <c r="AC96" i="71" a="1"/>
  <c r="AC96" i="71" s="1"/>
  <c r="AB96" i="71" a="1"/>
  <c r="AB96" i="71" s="1"/>
  <c r="AA96" i="71" a="1"/>
  <c r="AA96" i="71" s="1"/>
  <c r="Z96" i="71" a="1"/>
  <c r="Z96" i="71" s="1"/>
  <c r="Y96" i="71" a="1"/>
  <c r="Y96" i="71" s="1"/>
  <c r="X96" i="71" a="1"/>
  <c r="X96" i="71" s="1"/>
  <c r="W96" i="71" a="1"/>
  <c r="W96" i="71" s="1"/>
  <c r="V96" i="71" a="1"/>
  <c r="V96" i="71" s="1"/>
  <c r="U96" i="71" a="1"/>
  <c r="U96" i="71" s="1"/>
  <c r="T96" i="71" a="1"/>
  <c r="T96" i="71" s="1"/>
  <c r="S96" i="71" a="1"/>
  <c r="S96" i="71" s="1"/>
  <c r="R96" i="71" a="1"/>
  <c r="R96" i="71" s="1"/>
  <c r="Q96" i="71" a="1"/>
  <c r="Q96" i="71" s="1"/>
  <c r="P96" i="71" a="1"/>
  <c r="P96" i="71" s="1"/>
  <c r="O96" i="71" a="1"/>
  <c r="O96" i="71" s="1"/>
  <c r="N96" i="71" a="1"/>
  <c r="N96" i="71" s="1"/>
  <c r="M96" i="71" a="1"/>
  <c r="M96" i="71" s="1"/>
  <c r="L96" i="71" a="1"/>
  <c r="L96" i="71" s="1"/>
  <c r="K96" i="71" a="1"/>
  <c r="K96" i="71" s="1"/>
  <c r="J96" i="71" a="1"/>
  <c r="J96" i="71" s="1"/>
  <c r="I96" i="71" a="1"/>
  <c r="I96" i="71" s="1"/>
  <c r="H96" i="71" a="1"/>
  <c r="H96" i="71" s="1"/>
  <c r="G96" i="71" a="1"/>
  <c r="G96" i="71" s="1"/>
  <c r="F96" i="71" a="1"/>
  <c r="F96" i="71" s="1"/>
  <c r="E96" i="71" a="1"/>
  <c r="E96" i="71" s="1"/>
  <c r="D96" i="71" a="1"/>
  <c r="D96" i="71" s="1"/>
  <c r="AH95" i="71" a="1"/>
  <c r="AH95" i="71" s="1"/>
  <c r="AG95" i="71" a="1"/>
  <c r="AG95" i="71" s="1"/>
  <c r="AF95" i="71" a="1"/>
  <c r="AF95" i="71" s="1"/>
  <c r="AE95" i="71" a="1"/>
  <c r="AE95" i="71" s="1"/>
  <c r="AD95" i="71" a="1"/>
  <c r="AD95" i="71" s="1"/>
  <c r="AC95" i="71" a="1"/>
  <c r="AC95" i="71" s="1"/>
  <c r="AB95" i="71" a="1"/>
  <c r="AB95" i="71" s="1"/>
  <c r="AA95" i="71" a="1"/>
  <c r="AA95" i="71" s="1"/>
  <c r="Z95" i="71" a="1"/>
  <c r="Z95" i="71" s="1"/>
  <c r="Y95" i="71" a="1"/>
  <c r="Y95" i="71" s="1"/>
  <c r="X95" i="71" a="1"/>
  <c r="X95" i="71" s="1"/>
  <c r="W95" i="71" a="1"/>
  <c r="W95" i="71" s="1"/>
  <c r="V95" i="71" a="1"/>
  <c r="V95" i="71" s="1"/>
  <c r="U95" i="71" a="1"/>
  <c r="U95" i="71" s="1"/>
  <c r="T95" i="71" a="1"/>
  <c r="T95" i="71" s="1"/>
  <c r="S95" i="71" a="1"/>
  <c r="S95" i="71" s="1"/>
  <c r="R95" i="71" a="1"/>
  <c r="R95" i="71" s="1"/>
  <c r="Q95" i="71" a="1"/>
  <c r="Q95" i="71" s="1"/>
  <c r="P95" i="71" a="1"/>
  <c r="P95" i="71" s="1"/>
  <c r="O95" i="71" a="1"/>
  <c r="O95" i="71" s="1"/>
  <c r="N95" i="71" a="1"/>
  <c r="N95" i="71" s="1"/>
  <c r="M95" i="71" a="1"/>
  <c r="M95" i="71" s="1"/>
  <c r="L95" i="71" a="1"/>
  <c r="L95" i="71" s="1"/>
  <c r="K95" i="71" a="1"/>
  <c r="K95" i="71" s="1"/>
  <c r="J95" i="71" a="1"/>
  <c r="J95" i="71" s="1"/>
  <c r="I95" i="71" a="1"/>
  <c r="I95" i="71" s="1"/>
  <c r="H95" i="71" a="1"/>
  <c r="H95" i="71" s="1"/>
  <c r="G95" i="71" a="1"/>
  <c r="G95" i="71" s="1"/>
  <c r="F95" i="71" a="1"/>
  <c r="F95" i="71" s="1"/>
  <c r="E95" i="71" a="1"/>
  <c r="E95" i="71" s="1"/>
  <c r="D95" i="71" a="1"/>
  <c r="D95" i="71" s="1"/>
  <c r="AH94" i="71" a="1"/>
  <c r="AH94" i="71" s="1"/>
  <c r="AG94" i="71" a="1"/>
  <c r="AG94" i="71" s="1"/>
  <c r="AF94" i="71" a="1"/>
  <c r="AF94" i="71" s="1"/>
  <c r="AE94" i="71" a="1"/>
  <c r="AE94" i="71" s="1"/>
  <c r="AD94" i="71" a="1"/>
  <c r="AD94" i="71" s="1"/>
  <c r="AC94" i="71" a="1"/>
  <c r="AC94" i="71" s="1"/>
  <c r="AB94" i="71" a="1"/>
  <c r="AB94" i="71" s="1"/>
  <c r="AA94" i="71" a="1"/>
  <c r="AA94" i="71" s="1"/>
  <c r="Z94" i="71" a="1"/>
  <c r="Z94" i="71" s="1"/>
  <c r="Y94" i="71" a="1"/>
  <c r="Y94" i="71" s="1"/>
  <c r="X94" i="71" a="1"/>
  <c r="X94" i="71" s="1"/>
  <c r="W94" i="71" a="1"/>
  <c r="W94" i="71" s="1"/>
  <c r="V94" i="71" a="1"/>
  <c r="V94" i="71" s="1"/>
  <c r="U94" i="71" a="1"/>
  <c r="U94" i="71" s="1"/>
  <c r="T94" i="71" a="1"/>
  <c r="T94" i="71" s="1"/>
  <c r="S94" i="71" a="1"/>
  <c r="S94" i="71" s="1"/>
  <c r="R94" i="71" a="1"/>
  <c r="R94" i="71" s="1"/>
  <c r="Q94" i="71" a="1"/>
  <c r="Q94" i="71" s="1"/>
  <c r="P94" i="71" a="1"/>
  <c r="P94" i="71" s="1"/>
  <c r="O94" i="71" a="1"/>
  <c r="O94" i="71" s="1"/>
  <c r="N94" i="71" a="1"/>
  <c r="N94" i="71" s="1"/>
  <c r="M94" i="71" a="1"/>
  <c r="M94" i="71" s="1"/>
  <c r="L94" i="71" a="1"/>
  <c r="L94" i="71" s="1"/>
  <c r="K94" i="71" a="1"/>
  <c r="K94" i="71" s="1"/>
  <c r="J94" i="71" a="1"/>
  <c r="J94" i="71" s="1"/>
  <c r="I94" i="71" a="1"/>
  <c r="I94" i="71" s="1"/>
  <c r="H94" i="71" a="1"/>
  <c r="H94" i="71" s="1"/>
  <c r="G94" i="71" a="1"/>
  <c r="G94" i="71" s="1"/>
  <c r="F94" i="71" a="1"/>
  <c r="F94" i="71" s="1"/>
  <c r="E94" i="71" a="1"/>
  <c r="E94" i="71" s="1"/>
  <c r="D94" i="71" a="1"/>
  <c r="D94" i="71" s="1"/>
  <c r="AH93" i="71" a="1"/>
  <c r="AH93" i="71" s="1"/>
  <c r="AG93" i="71" a="1"/>
  <c r="AG93" i="71" s="1"/>
  <c r="AF93" i="71" a="1"/>
  <c r="AF93" i="71" s="1"/>
  <c r="AE93" i="71" a="1"/>
  <c r="AE93" i="71" s="1"/>
  <c r="AD93" i="71" a="1"/>
  <c r="AD93" i="71" s="1"/>
  <c r="AC93" i="71" a="1"/>
  <c r="AC93" i="71" s="1"/>
  <c r="AB93" i="71" a="1"/>
  <c r="AB93" i="71" s="1"/>
  <c r="AA93" i="71" a="1"/>
  <c r="AA93" i="71" s="1"/>
  <c r="Z93" i="71" a="1"/>
  <c r="Z93" i="71" s="1"/>
  <c r="Y93" i="71" a="1"/>
  <c r="Y93" i="71" s="1"/>
  <c r="X93" i="71" a="1"/>
  <c r="X93" i="71" s="1"/>
  <c r="W93" i="71" a="1"/>
  <c r="W93" i="71" s="1"/>
  <c r="V93" i="71" a="1"/>
  <c r="V93" i="71" s="1"/>
  <c r="U93" i="71" a="1"/>
  <c r="U93" i="71" s="1"/>
  <c r="T93" i="71" a="1"/>
  <c r="T93" i="71" s="1"/>
  <c r="S93" i="71" a="1"/>
  <c r="S93" i="71" s="1"/>
  <c r="R93" i="71" a="1"/>
  <c r="R93" i="71" s="1"/>
  <c r="Q93" i="71" a="1"/>
  <c r="Q93" i="71" s="1"/>
  <c r="P93" i="71" a="1"/>
  <c r="P93" i="71" s="1"/>
  <c r="O93" i="71" a="1"/>
  <c r="O93" i="71" s="1"/>
  <c r="N93" i="71" a="1"/>
  <c r="N93" i="71" s="1"/>
  <c r="M93" i="71" a="1"/>
  <c r="M93" i="71" s="1"/>
  <c r="L93" i="71" a="1"/>
  <c r="L93" i="71" s="1"/>
  <c r="K93" i="71" a="1"/>
  <c r="K93" i="71" s="1"/>
  <c r="J93" i="71" a="1"/>
  <c r="J93" i="71" s="1"/>
  <c r="I93" i="71" a="1"/>
  <c r="I93" i="71" s="1"/>
  <c r="H93" i="71" a="1"/>
  <c r="H93" i="71" s="1"/>
  <c r="G93" i="71" a="1"/>
  <c r="G93" i="71" s="1"/>
  <c r="F93" i="71" a="1"/>
  <c r="F93" i="71" s="1"/>
  <c r="E93" i="71" a="1"/>
  <c r="E93" i="71" s="1"/>
  <c r="D93" i="71" a="1"/>
  <c r="D93" i="71" s="1"/>
  <c r="AH92" i="71" a="1"/>
  <c r="AH92" i="71" s="1"/>
  <c r="AG92" i="71" a="1"/>
  <c r="AG92" i="71" s="1"/>
  <c r="AF92" i="71" a="1"/>
  <c r="AF92" i="71" s="1"/>
  <c r="AE92" i="71" a="1"/>
  <c r="AE92" i="71" s="1"/>
  <c r="AD92" i="71" a="1"/>
  <c r="AD92" i="71" s="1"/>
  <c r="AC92" i="71" a="1"/>
  <c r="AC92" i="71" s="1"/>
  <c r="AB92" i="71" a="1"/>
  <c r="AB92" i="71" s="1"/>
  <c r="AA92" i="71" a="1"/>
  <c r="AA92" i="71" s="1"/>
  <c r="Z92" i="71" a="1"/>
  <c r="Z92" i="71" s="1"/>
  <c r="Y92" i="71" a="1"/>
  <c r="Y92" i="71" s="1"/>
  <c r="X92" i="71" a="1"/>
  <c r="X92" i="71" s="1"/>
  <c r="W92" i="71" a="1"/>
  <c r="W92" i="71" s="1"/>
  <c r="V92" i="71" a="1"/>
  <c r="V92" i="71" s="1"/>
  <c r="U92" i="71" a="1"/>
  <c r="U92" i="71" s="1"/>
  <c r="T92" i="71" a="1"/>
  <c r="T92" i="71" s="1"/>
  <c r="S92" i="71" a="1"/>
  <c r="S92" i="71" s="1"/>
  <c r="R92" i="71" a="1"/>
  <c r="R92" i="71" s="1"/>
  <c r="Q92" i="71" a="1"/>
  <c r="Q92" i="71" s="1"/>
  <c r="P92" i="71" a="1"/>
  <c r="P92" i="71" s="1"/>
  <c r="O92" i="71" a="1"/>
  <c r="O92" i="71" s="1"/>
  <c r="N92" i="71" a="1"/>
  <c r="N92" i="71" s="1"/>
  <c r="M92" i="71" a="1"/>
  <c r="M92" i="71" s="1"/>
  <c r="L92" i="71" a="1"/>
  <c r="L92" i="71" s="1"/>
  <c r="K92" i="71" a="1"/>
  <c r="K92" i="71" s="1"/>
  <c r="J92" i="71" a="1"/>
  <c r="J92" i="71" s="1"/>
  <c r="I92" i="71" a="1"/>
  <c r="I92" i="71" s="1"/>
  <c r="H92" i="71" a="1"/>
  <c r="H92" i="71" s="1"/>
  <c r="G92" i="71" a="1"/>
  <c r="G92" i="71" s="1"/>
  <c r="F92" i="71" a="1"/>
  <c r="F92" i="71" s="1"/>
  <c r="E92" i="71" a="1"/>
  <c r="E92" i="71" s="1"/>
  <c r="D92" i="71" a="1"/>
  <c r="D92" i="71" s="1"/>
  <c r="AH91" i="71" a="1"/>
  <c r="AH91" i="71" s="1"/>
  <c r="AG91" i="71" a="1"/>
  <c r="AG91" i="71" s="1"/>
  <c r="AF91" i="71" a="1"/>
  <c r="AF91" i="71" s="1"/>
  <c r="AE91" i="71" a="1"/>
  <c r="AE91" i="71" s="1"/>
  <c r="AD91" i="71" a="1"/>
  <c r="AD91" i="71" s="1"/>
  <c r="AC91" i="71" a="1"/>
  <c r="AC91" i="71" s="1"/>
  <c r="AB91" i="71" a="1"/>
  <c r="AB91" i="71" s="1"/>
  <c r="AA91" i="71" a="1"/>
  <c r="AA91" i="71" s="1"/>
  <c r="Z91" i="71" a="1"/>
  <c r="Z91" i="71" s="1"/>
  <c r="Y91" i="71" a="1"/>
  <c r="Y91" i="71" s="1"/>
  <c r="X91" i="71" a="1"/>
  <c r="X91" i="71" s="1"/>
  <c r="W91" i="71" a="1"/>
  <c r="W91" i="71" s="1"/>
  <c r="V91" i="71" a="1"/>
  <c r="V91" i="71" s="1"/>
  <c r="U91" i="71" a="1"/>
  <c r="U91" i="71" s="1"/>
  <c r="T91" i="71" a="1"/>
  <c r="T91" i="71" s="1"/>
  <c r="S91" i="71" a="1"/>
  <c r="S91" i="71" s="1"/>
  <c r="R91" i="71" a="1"/>
  <c r="R91" i="71" s="1"/>
  <c r="Q91" i="71" a="1"/>
  <c r="Q91" i="71" s="1"/>
  <c r="P91" i="71" a="1"/>
  <c r="P91" i="71" s="1"/>
  <c r="O91" i="71" a="1"/>
  <c r="O91" i="71" s="1"/>
  <c r="N91" i="71" a="1"/>
  <c r="N91" i="71" s="1"/>
  <c r="M91" i="71" a="1"/>
  <c r="M91" i="71" s="1"/>
  <c r="L91" i="71" a="1"/>
  <c r="L91" i="71" s="1"/>
  <c r="K91" i="71" a="1"/>
  <c r="K91" i="71" s="1"/>
  <c r="J91" i="71" a="1"/>
  <c r="J91" i="71" s="1"/>
  <c r="I91" i="71" a="1"/>
  <c r="I91" i="71" s="1"/>
  <c r="H91" i="71" a="1"/>
  <c r="H91" i="71" s="1"/>
  <c r="G91" i="71" a="1"/>
  <c r="G91" i="71" s="1"/>
  <c r="F91" i="71" a="1"/>
  <c r="F91" i="71" s="1"/>
  <c r="E91" i="71" a="1"/>
  <c r="E91" i="71" s="1"/>
  <c r="D91" i="71" a="1"/>
  <c r="D91" i="71" s="1"/>
  <c r="AH90" i="71" a="1"/>
  <c r="AH90" i="71" s="1"/>
  <c r="AG90" i="71" a="1"/>
  <c r="AG90" i="71" s="1"/>
  <c r="AF90" i="71" a="1"/>
  <c r="AF90" i="71" s="1"/>
  <c r="AE90" i="71" a="1"/>
  <c r="AE90" i="71" s="1"/>
  <c r="AD90" i="71" a="1"/>
  <c r="AD90" i="71" s="1"/>
  <c r="AC90" i="71" a="1"/>
  <c r="AC90" i="71" s="1"/>
  <c r="AB90" i="71" a="1"/>
  <c r="AB90" i="71" s="1"/>
  <c r="AA90" i="71" a="1"/>
  <c r="AA90" i="71" s="1"/>
  <c r="Z90" i="71" a="1"/>
  <c r="Z90" i="71" s="1"/>
  <c r="Y90" i="71" a="1"/>
  <c r="Y90" i="71" s="1"/>
  <c r="X90" i="71" a="1"/>
  <c r="X90" i="71" s="1"/>
  <c r="W90" i="71" a="1"/>
  <c r="W90" i="71" s="1"/>
  <c r="V90" i="71" a="1"/>
  <c r="V90" i="71" s="1"/>
  <c r="U90" i="71" a="1"/>
  <c r="U90" i="71" s="1"/>
  <c r="T90" i="71" a="1"/>
  <c r="T90" i="71" s="1"/>
  <c r="S90" i="71" a="1"/>
  <c r="S90" i="71" s="1"/>
  <c r="R90" i="71" a="1"/>
  <c r="R90" i="71" s="1"/>
  <c r="Q90" i="71" a="1"/>
  <c r="Q90" i="71" s="1"/>
  <c r="P90" i="71" a="1"/>
  <c r="P90" i="71" s="1"/>
  <c r="O90" i="71" a="1"/>
  <c r="O90" i="71" s="1"/>
  <c r="N90" i="71" a="1"/>
  <c r="N90" i="71" s="1"/>
  <c r="M90" i="71" a="1"/>
  <c r="M90" i="71" s="1"/>
  <c r="L90" i="71" a="1"/>
  <c r="L90" i="71" s="1"/>
  <c r="K90" i="71" a="1"/>
  <c r="K90" i="71" s="1"/>
  <c r="J90" i="71" a="1"/>
  <c r="J90" i="71" s="1"/>
  <c r="I90" i="71" a="1"/>
  <c r="I90" i="71" s="1"/>
  <c r="H90" i="71" a="1"/>
  <c r="H90" i="71" s="1"/>
  <c r="G90" i="71" a="1"/>
  <c r="G90" i="71" s="1"/>
  <c r="F90" i="71" a="1"/>
  <c r="F90" i="71" s="1"/>
  <c r="E90" i="71" a="1"/>
  <c r="E90" i="71" s="1"/>
  <c r="D90" i="71" a="1"/>
  <c r="D90" i="71" s="1"/>
  <c r="F83" i="71" a="1"/>
  <c r="F83" i="71" s="1"/>
  <c r="E83" i="71" a="1"/>
  <c r="E83" i="71" s="1"/>
  <c r="D83" i="71" a="1"/>
  <c r="D83" i="71" s="1"/>
  <c r="D82" i="71" a="1"/>
  <c r="D82" i="71" s="1"/>
  <c r="D81" i="71" a="1"/>
  <c r="D81" i="71" s="1"/>
  <c r="F78" i="71" a="1"/>
  <c r="F78" i="71" s="1"/>
  <c r="E78" i="71" a="1"/>
  <c r="E78" i="71" s="1"/>
  <c r="D78" i="71" a="1"/>
  <c r="D78" i="71" s="1"/>
  <c r="D77" i="71" a="1"/>
  <c r="D77" i="71" s="1"/>
  <c r="D76" i="71" a="1"/>
  <c r="D76" i="71" s="1"/>
  <c r="F73" i="71" a="1"/>
  <c r="F73" i="71" s="1"/>
  <c r="E73" i="71" a="1"/>
  <c r="E73" i="71" s="1"/>
  <c r="D73" i="71" a="1"/>
  <c r="D73" i="71" s="1"/>
  <c r="D72" i="71" a="1"/>
  <c r="D72" i="71" s="1"/>
  <c r="D71" i="71" a="1"/>
  <c r="D71" i="71" s="1"/>
  <c r="F68" i="71" a="1"/>
  <c r="F68" i="71" s="1"/>
  <c r="E68" i="71" a="1"/>
  <c r="E68" i="71" s="1"/>
  <c r="D68" i="71" a="1"/>
  <c r="D68" i="71" s="1"/>
  <c r="F67" i="71" a="1"/>
  <c r="F67" i="71" s="1"/>
  <c r="E67" i="71" a="1"/>
  <c r="E67" i="71" s="1"/>
  <c r="D67" i="71" a="1"/>
  <c r="D67" i="71" s="1"/>
  <c r="F66" i="71" a="1"/>
  <c r="F66" i="71" s="1"/>
  <c r="E66" i="71" a="1"/>
  <c r="E66" i="71" s="1"/>
  <c r="D66" i="71" a="1"/>
  <c r="D66" i="71" s="1"/>
  <c r="D64" i="71" a="1"/>
  <c r="D64" i="71" s="1"/>
  <c r="D63" i="71" a="1"/>
  <c r="D63" i="71" s="1"/>
  <c r="F60" i="71" a="1"/>
  <c r="F60" i="71" s="1"/>
  <c r="E60" i="71" a="1"/>
  <c r="E60" i="71" s="1"/>
  <c r="D60" i="71" a="1"/>
  <c r="D60" i="71" s="1"/>
  <c r="D59" i="71" a="1"/>
  <c r="D59" i="71" s="1"/>
  <c r="D58" i="71" a="1"/>
  <c r="D58" i="71" s="1"/>
  <c r="E55" i="71" a="1"/>
  <c r="E55" i="71" s="1"/>
  <c r="D55" i="71" a="1"/>
  <c r="D55" i="71" s="1"/>
  <c r="E54" i="71" a="1"/>
  <c r="E54" i="71" s="1"/>
  <c r="D54" i="71" a="1"/>
  <c r="D54" i="71" s="1"/>
  <c r="E53" i="71" a="1"/>
  <c r="E53" i="71" s="1"/>
  <c r="D53" i="71" a="1"/>
  <c r="D53" i="71" s="1"/>
  <c r="E52" i="71" a="1"/>
  <c r="E52" i="71" s="1"/>
  <c r="D52" i="71" a="1"/>
  <c r="D52" i="71" s="1"/>
  <c r="E51" i="71" a="1"/>
  <c r="E51" i="71" s="1"/>
  <c r="D51" i="71" a="1"/>
  <c r="D51" i="71" s="1"/>
  <c r="D49" i="71" a="1"/>
  <c r="D49" i="71" s="1"/>
  <c r="D48" i="71" a="1"/>
  <c r="D48" i="71" s="1"/>
  <c r="I38" i="71" a="1"/>
  <c r="I38" i="71" s="1"/>
  <c r="H38" i="71" a="1"/>
  <c r="H38" i="71" s="1"/>
  <c r="G38" i="71" a="1"/>
  <c r="G38" i="71" s="1"/>
  <c r="F38" i="71" a="1"/>
  <c r="F38" i="71" s="1"/>
  <c r="E38" i="71" a="1"/>
  <c r="E38" i="71" s="1"/>
  <c r="D38" i="71" a="1"/>
  <c r="D38" i="71" s="1"/>
  <c r="G180" i="20" s="1"/>
  <c r="I37" i="71" a="1"/>
  <c r="I37" i="71" s="1"/>
  <c r="H37" i="71" a="1"/>
  <c r="H37" i="71" s="1"/>
  <c r="G37" i="71" a="1"/>
  <c r="G37" i="71" s="1"/>
  <c r="F37" i="71" a="1"/>
  <c r="F37" i="71" s="1"/>
  <c r="E37" i="71" a="1"/>
  <c r="E37" i="71" s="1"/>
  <c r="D37" i="71" a="1"/>
  <c r="D37" i="71" s="1"/>
  <c r="G177" i="20" s="1"/>
  <c r="I36" i="71" a="1"/>
  <c r="I36" i="71" s="1"/>
  <c r="H36" i="71" a="1"/>
  <c r="H36" i="71" s="1"/>
  <c r="G36" i="71" a="1"/>
  <c r="G36" i="71" s="1"/>
  <c r="F36" i="71" a="1"/>
  <c r="F36" i="71" s="1"/>
  <c r="E36" i="71" a="1"/>
  <c r="E36" i="71" s="1"/>
  <c r="D36" i="71" a="1"/>
  <c r="D36" i="71" s="1"/>
  <c r="G190" i="20" s="1"/>
  <c r="I35" i="71" a="1"/>
  <c r="I35" i="71" s="1"/>
  <c r="H35" i="71" a="1"/>
  <c r="H35" i="71" s="1"/>
  <c r="G35" i="71" a="1"/>
  <c r="G35" i="71" s="1"/>
  <c r="F35" i="71" a="1"/>
  <c r="F35" i="71" s="1"/>
  <c r="E35" i="71" a="1"/>
  <c r="E35" i="71" s="1"/>
  <c r="D35" i="71" a="1"/>
  <c r="D35" i="71" s="1"/>
  <c r="G182" i="20" s="1"/>
  <c r="I34" i="71" a="1"/>
  <c r="I34" i="71" s="1"/>
  <c r="H34" i="71" a="1"/>
  <c r="H34" i="71" s="1"/>
  <c r="G34" i="71" a="1"/>
  <c r="G34" i="71" s="1"/>
  <c r="F34" i="71" a="1"/>
  <c r="F34" i="71" s="1"/>
  <c r="E34" i="71" a="1"/>
  <c r="E34" i="71" s="1"/>
  <c r="D34" i="71" a="1"/>
  <c r="D34" i="71" s="1"/>
  <c r="G184" i="20" s="1"/>
  <c r="I33" i="71" a="1"/>
  <c r="I33" i="71" s="1"/>
  <c r="H33" i="71" a="1"/>
  <c r="H33" i="71" s="1"/>
  <c r="G33" i="71" a="1"/>
  <c r="G33" i="71" s="1"/>
  <c r="F33" i="71" a="1"/>
  <c r="F33" i="71" s="1"/>
  <c r="E33" i="71" a="1"/>
  <c r="E33" i="71" s="1"/>
  <c r="D33" i="71" a="1"/>
  <c r="D33" i="71" s="1"/>
  <c r="G198" i="20" s="1"/>
  <c r="I32" i="71" a="1"/>
  <c r="I32" i="71" s="1"/>
  <c r="H32" i="71" a="1"/>
  <c r="H32" i="71" s="1"/>
  <c r="G32" i="71" a="1"/>
  <c r="G32" i="71" s="1"/>
  <c r="F32" i="71" a="1"/>
  <c r="F32" i="71" s="1"/>
  <c r="E32" i="71" a="1"/>
  <c r="E32" i="71" s="1"/>
  <c r="D32" i="71" a="1"/>
  <c r="D32" i="71" s="1"/>
  <c r="G191" i="20" s="1"/>
  <c r="I31" i="71" a="1"/>
  <c r="I31" i="71" s="1"/>
  <c r="H31" i="71" a="1"/>
  <c r="H31" i="71" s="1"/>
  <c r="G31" i="71" a="1"/>
  <c r="G31" i="71" s="1"/>
  <c r="F31" i="71" a="1"/>
  <c r="F31" i="71" s="1"/>
  <c r="E31" i="71" a="1"/>
  <c r="E31" i="71" s="1"/>
  <c r="D31" i="71" a="1"/>
  <c r="D31" i="71" s="1"/>
  <c r="G189" i="20" s="1"/>
  <c r="I30" i="71" a="1"/>
  <c r="I30" i="71" s="1"/>
  <c r="H30" i="71" a="1"/>
  <c r="H30" i="71" s="1"/>
  <c r="G30" i="71" a="1"/>
  <c r="G30" i="71" s="1"/>
  <c r="F30" i="71" a="1"/>
  <c r="F30" i="71" s="1"/>
  <c r="E30" i="71" a="1"/>
  <c r="E30" i="71" s="1"/>
  <c r="D30" i="71" a="1"/>
  <c r="D30" i="71" s="1"/>
  <c r="G188" i="20" s="1"/>
  <c r="I29" i="71" a="1"/>
  <c r="I29" i="71" s="1"/>
  <c r="H29" i="71" a="1"/>
  <c r="H29" i="71" s="1"/>
  <c r="G29" i="71" a="1"/>
  <c r="G29" i="71" s="1"/>
  <c r="F29" i="71" a="1"/>
  <c r="F29" i="71" s="1"/>
  <c r="E29" i="71" a="1"/>
  <c r="E29" i="71" s="1"/>
  <c r="D29" i="71" a="1"/>
  <c r="D29" i="71" s="1"/>
  <c r="G186" i="20" s="1"/>
  <c r="R28" i="71" a="1"/>
  <c r="R28" i="71" s="1"/>
  <c r="Q28" i="71" a="1"/>
  <c r="Q28" i="71" s="1"/>
  <c r="L28" i="71" a="1"/>
  <c r="L28" i="71" s="1"/>
  <c r="K28" i="71" a="1"/>
  <c r="K28" i="71" s="1"/>
  <c r="I28" i="71" a="1"/>
  <c r="I28" i="71" s="1"/>
  <c r="H28" i="71" a="1"/>
  <c r="H28" i="71" s="1"/>
  <c r="G28" i="71" a="1"/>
  <c r="G28" i="71" s="1"/>
  <c r="F28" i="71" a="1"/>
  <c r="F28" i="71" s="1"/>
  <c r="E28" i="71" a="1"/>
  <c r="E28" i="71" s="1"/>
  <c r="D28" i="71" a="1"/>
  <c r="D28" i="71" s="1"/>
  <c r="G187" i="20" s="1"/>
  <c r="R27" i="71" a="1"/>
  <c r="R27" i="71" s="1"/>
  <c r="Q27" i="71" a="1"/>
  <c r="Q27" i="71" s="1"/>
  <c r="L27" i="71" a="1"/>
  <c r="L27" i="71" s="1"/>
  <c r="K27" i="71" a="1"/>
  <c r="K27" i="71" s="1"/>
  <c r="I27" i="71" a="1"/>
  <c r="I27" i="71" s="1"/>
  <c r="H27" i="71" a="1"/>
  <c r="H27" i="71" s="1"/>
  <c r="G27" i="71" a="1"/>
  <c r="G27" i="71" s="1"/>
  <c r="F27" i="71" a="1"/>
  <c r="F27" i="71" s="1"/>
  <c r="E27" i="71" a="1"/>
  <c r="E27" i="71" s="1"/>
  <c r="D27" i="71" a="1"/>
  <c r="D27" i="71" s="1"/>
  <c r="G185" i="20" s="1"/>
  <c r="R26" i="71" a="1"/>
  <c r="R26" i="71" s="1"/>
  <c r="Q26" i="71" a="1"/>
  <c r="Q26" i="71" s="1"/>
  <c r="L26" i="71" a="1"/>
  <c r="L26" i="71" s="1"/>
  <c r="K26" i="71" a="1"/>
  <c r="K26" i="71" s="1"/>
  <c r="I26" i="71" a="1"/>
  <c r="I26" i="71" s="1"/>
  <c r="H26" i="71" a="1"/>
  <c r="H26" i="71" s="1"/>
  <c r="G26" i="71" a="1"/>
  <c r="G26" i="71" s="1"/>
  <c r="F26" i="71" a="1"/>
  <c r="F26" i="71" s="1"/>
  <c r="E26" i="71" a="1"/>
  <c r="E26" i="71" s="1"/>
  <c r="D26" i="71" a="1"/>
  <c r="D26" i="71" s="1"/>
  <c r="G179" i="20" s="1"/>
  <c r="R25" i="71" a="1"/>
  <c r="R25" i="71" s="1"/>
  <c r="Q25" i="71" a="1"/>
  <c r="Q25" i="71" s="1"/>
  <c r="L25" i="71" a="1"/>
  <c r="L25" i="71" s="1"/>
  <c r="K25" i="71" a="1"/>
  <c r="K25" i="71" s="1"/>
  <c r="I25" i="71" a="1"/>
  <c r="I25" i="71" s="1"/>
  <c r="H25" i="71" a="1"/>
  <c r="H25" i="71" s="1"/>
  <c r="G25" i="71" a="1"/>
  <c r="G25" i="71" s="1"/>
  <c r="F25" i="71" a="1"/>
  <c r="F25" i="71" s="1"/>
  <c r="E25" i="71" a="1"/>
  <c r="E25" i="71" s="1"/>
  <c r="D25" i="71" a="1"/>
  <c r="D25" i="71" s="1"/>
  <c r="G178" i="20" s="1"/>
  <c r="R24" i="71" a="1"/>
  <c r="R24" i="71" s="1"/>
  <c r="Q24" i="71" a="1"/>
  <c r="Q24" i="71" s="1"/>
  <c r="L24" i="71" a="1"/>
  <c r="L24" i="71" s="1"/>
  <c r="K24" i="71" a="1"/>
  <c r="K24" i="71" s="1"/>
  <c r="I24" i="71" a="1"/>
  <c r="I24" i="71" s="1"/>
  <c r="H24" i="71" a="1"/>
  <c r="H24" i="71" s="1"/>
  <c r="G24" i="71" a="1"/>
  <c r="G24" i="71" s="1"/>
  <c r="F24" i="71" a="1"/>
  <c r="F24" i="71" s="1"/>
  <c r="E24" i="71" a="1"/>
  <c r="E24" i="71" s="1"/>
  <c r="D24" i="71" a="1"/>
  <c r="D24" i="71" s="1"/>
  <c r="G193" i="20" s="1"/>
  <c r="V23" i="71" a="1"/>
  <c r="V23" i="71" s="1"/>
  <c r="I177" i="20" s="1"/>
  <c r="R23" i="71" a="1"/>
  <c r="R23" i="71" s="1"/>
  <c r="Q23" i="71" a="1"/>
  <c r="Q23" i="71" s="1"/>
  <c r="L23" i="71" a="1"/>
  <c r="L23" i="71" s="1"/>
  <c r="K23" i="71" a="1"/>
  <c r="K23" i="71" s="1"/>
  <c r="I23" i="71" a="1"/>
  <c r="I23" i="71" s="1"/>
  <c r="H23" i="71" a="1"/>
  <c r="H23" i="71" s="1"/>
  <c r="G23" i="71" a="1"/>
  <c r="G23" i="71" s="1"/>
  <c r="F23" i="71" a="1"/>
  <c r="F23" i="71" s="1"/>
  <c r="E23" i="71" a="1"/>
  <c r="E23" i="71" s="1"/>
  <c r="D23" i="71" a="1"/>
  <c r="D23" i="71" s="1"/>
  <c r="G192" i="20" s="1"/>
  <c r="V22" i="71" a="1"/>
  <c r="V22" i="71" s="1"/>
  <c r="I176" i="20" s="1"/>
  <c r="R22" i="71" a="1"/>
  <c r="R22" i="71" s="1"/>
  <c r="Q22" i="71" a="1"/>
  <c r="Q22" i="71" s="1"/>
  <c r="L22" i="71" a="1"/>
  <c r="L22" i="71" s="1"/>
  <c r="K22" i="71" a="1"/>
  <c r="K22" i="71" s="1"/>
  <c r="I22" i="71" a="1"/>
  <c r="I22" i="71" s="1"/>
  <c r="H22" i="71" a="1"/>
  <c r="H22" i="71" s="1"/>
  <c r="G22" i="71" a="1"/>
  <c r="G22" i="71" s="1"/>
  <c r="F22" i="71" a="1"/>
  <c r="F22" i="71" s="1"/>
  <c r="E22" i="71" a="1"/>
  <c r="E22" i="71" s="1"/>
  <c r="D22" i="71" a="1"/>
  <c r="D22" i="71" s="1"/>
  <c r="G197" i="20" s="1"/>
  <c r="V21" i="71" a="1"/>
  <c r="V21" i="71" s="1"/>
  <c r="I175" i="20" s="1"/>
  <c r="R21" i="71" a="1"/>
  <c r="R21" i="71" s="1"/>
  <c r="Q21" i="71" a="1"/>
  <c r="Q21" i="71" s="1"/>
  <c r="L21" i="71" a="1"/>
  <c r="L21" i="71" s="1"/>
  <c r="K21" i="71" a="1"/>
  <c r="K21" i="71" s="1"/>
  <c r="I21" i="71" a="1"/>
  <c r="I21" i="71" s="1"/>
  <c r="H21" i="71" a="1"/>
  <c r="H21" i="71" s="1"/>
  <c r="G21" i="71" a="1"/>
  <c r="G21" i="71" s="1"/>
  <c r="F21" i="71" a="1"/>
  <c r="F21" i="71" s="1"/>
  <c r="E21" i="71" a="1"/>
  <c r="E21" i="71" s="1"/>
  <c r="D21" i="71" a="1"/>
  <c r="D21" i="71" s="1"/>
  <c r="G181" i="20" s="1"/>
  <c r="V20" i="71" a="1"/>
  <c r="V20" i="71" s="1"/>
  <c r="I174" i="20" s="1"/>
  <c r="R20" i="71" a="1"/>
  <c r="R20" i="71" s="1"/>
  <c r="Q20" i="71" a="1"/>
  <c r="Q20" i="71" s="1"/>
  <c r="L20" i="71" a="1"/>
  <c r="L20" i="71" s="1"/>
  <c r="K20" i="71" a="1"/>
  <c r="K20" i="71" s="1"/>
  <c r="I20" i="71" a="1"/>
  <c r="I20" i="71" s="1"/>
  <c r="H20" i="71" a="1"/>
  <c r="H20" i="71" s="1"/>
  <c r="G20" i="71" a="1"/>
  <c r="G20" i="71" s="1"/>
  <c r="F20" i="71" a="1"/>
  <c r="F20" i="71" s="1"/>
  <c r="E20" i="71" a="1"/>
  <c r="E20" i="71" s="1"/>
  <c r="D20" i="71" a="1"/>
  <c r="D20" i="71" s="1"/>
  <c r="V18" i="71" a="1"/>
  <c r="V18" i="71" s="1"/>
  <c r="Q18" i="71" a="1"/>
  <c r="Q18" i="71" s="1"/>
  <c r="K18" i="71" a="1"/>
  <c r="K18" i="71" s="1"/>
  <c r="V17" i="71" a="1"/>
  <c r="V17" i="71" s="1"/>
  <c r="Q17" i="71" a="1"/>
  <c r="Q17" i="71" s="1"/>
  <c r="K17" i="71" a="1"/>
  <c r="K17" i="71" s="1"/>
  <c r="D7" i="71" a="1"/>
  <c r="D7" i="71" s="1"/>
  <c r="D6" i="71" a="1"/>
  <c r="D6" i="71" s="1"/>
  <c r="D5" i="71" a="1"/>
  <c r="D5" i="71" s="1"/>
  <c r="E68" i="70" a="1"/>
  <c r="E68" i="70" s="1"/>
  <c r="D68" i="70" a="1"/>
  <c r="D68" i="70" s="1"/>
  <c r="E67" i="70" a="1"/>
  <c r="E67" i="70" s="1"/>
  <c r="D67" i="70" a="1"/>
  <c r="D67" i="70" s="1"/>
  <c r="E66" i="70" a="1"/>
  <c r="E66" i="70" s="1"/>
  <c r="D66" i="70" a="1"/>
  <c r="D66" i="70" s="1"/>
  <c r="E65" i="70" a="1"/>
  <c r="E65" i="70" s="1"/>
  <c r="D65" i="70" a="1"/>
  <c r="D65" i="70" s="1"/>
  <c r="E64" i="70" a="1"/>
  <c r="E64" i="70" s="1"/>
  <c r="D64" i="70" a="1"/>
  <c r="D64" i="70" s="1"/>
  <c r="E63" i="70" a="1"/>
  <c r="E63" i="70" s="1"/>
  <c r="D63" i="70" a="1"/>
  <c r="D63" i="70" s="1"/>
  <c r="E62" i="70" a="1"/>
  <c r="E62" i="70" s="1"/>
  <c r="D62" i="70" a="1"/>
  <c r="D62" i="70" s="1"/>
  <c r="E61" i="70" a="1"/>
  <c r="E61" i="70" s="1"/>
  <c r="D61" i="70" a="1"/>
  <c r="D61" i="70" s="1"/>
  <c r="E60" i="70" a="1"/>
  <c r="E60" i="70" s="1"/>
  <c r="D60" i="70" a="1"/>
  <c r="D60" i="70" s="1"/>
  <c r="E59" i="70" a="1"/>
  <c r="E59" i="70" s="1"/>
  <c r="D59" i="70" a="1"/>
  <c r="D59" i="70" s="1"/>
  <c r="E58" i="70" a="1"/>
  <c r="E58" i="70" s="1"/>
  <c r="D58" i="70" a="1"/>
  <c r="D58" i="70" s="1"/>
  <c r="D56" i="70" a="1"/>
  <c r="D56" i="70" s="1"/>
  <c r="D55" i="70" a="1"/>
  <c r="D55" i="70" s="1"/>
  <c r="D54" i="70" a="1"/>
  <c r="D54" i="70" s="1"/>
  <c r="D53" i="70" a="1"/>
  <c r="D53" i="70" s="1"/>
  <c r="D52" i="70" a="1"/>
  <c r="D52" i="70" s="1"/>
  <c r="G50" i="70" a="1"/>
  <c r="G50" i="70" s="1"/>
  <c r="F50" i="70" a="1"/>
  <c r="F50" i="70" s="1"/>
  <c r="E50" i="70" a="1"/>
  <c r="E50" i="70" s="1"/>
  <c r="O21" i="70" s="1"/>
  <c r="D50" i="70" a="1"/>
  <c r="D50" i="70" s="1"/>
  <c r="G49" i="70" a="1"/>
  <c r="G49" i="70" s="1"/>
  <c r="F49" i="70" a="1"/>
  <c r="F49" i="70" s="1"/>
  <c r="E49" i="70" a="1"/>
  <c r="E49" i="70" s="1"/>
  <c r="O20" i="70" s="1"/>
  <c r="D49" i="70" a="1"/>
  <c r="D49" i="70" s="1"/>
  <c r="G48" i="70" a="1"/>
  <c r="G48" i="70" s="1"/>
  <c r="F48" i="70" a="1"/>
  <c r="F48" i="70" s="1"/>
  <c r="E48" i="70" a="1"/>
  <c r="E48" i="70" s="1"/>
  <c r="O19" i="70" s="1"/>
  <c r="D48" i="70" a="1"/>
  <c r="D48" i="70" s="1"/>
  <c r="G47" i="70" a="1"/>
  <c r="G47" i="70" s="1"/>
  <c r="F47" i="70" a="1"/>
  <c r="F47" i="70" s="1"/>
  <c r="E47" i="70" a="1"/>
  <c r="E47" i="70" s="1"/>
  <c r="O18" i="70" s="1"/>
  <c r="D47" i="70" a="1"/>
  <c r="D47" i="70" s="1"/>
  <c r="G46" i="70" a="1"/>
  <c r="G46" i="70" s="1"/>
  <c r="F46" i="70" a="1"/>
  <c r="F46" i="70" s="1"/>
  <c r="E46" i="70" a="1"/>
  <c r="E46" i="70" s="1"/>
  <c r="O17" i="70" s="1"/>
  <c r="D46" i="70" a="1"/>
  <c r="D46" i="70" s="1"/>
  <c r="G45" i="70" a="1"/>
  <c r="G45" i="70" s="1"/>
  <c r="F45" i="70" a="1"/>
  <c r="F45" i="70" s="1"/>
  <c r="E45" i="70" a="1"/>
  <c r="E45" i="70" s="1"/>
  <c r="D45" i="70" a="1"/>
  <c r="D45" i="70" s="1"/>
  <c r="G44" i="70" a="1"/>
  <c r="G44" i="70" s="1"/>
  <c r="F44" i="70" a="1"/>
  <c r="F44" i="70" s="1"/>
  <c r="E44" i="70" a="1"/>
  <c r="E44" i="70" s="1"/>
  <c r="M21" i="70" s="1"/>
  <c r="D44" i="70" a="1"/>
  <c r="D44" i="70" s="1"/>
  <c r="G43" i="70" a="1"/>
  <c r="G43" i="70" s="1"/>
  <c r="F43" i="70" a="1"/>
  <c r="F43" i="70" s="1"/>
  <c r="E43" i="70" a="1"/>
  <c r="E43" i="70" s="1"/>
  <c r="M20" i="70" s="1"/>
  <c r="D43" i="70" a="1"/>
  <c r="D43" i="70" s="1"/>
  <c r="G42" i="70" a="1"/>
  <c r="G42" i="70" s="1"/>
  <c r="F42" i="70" a="1"/>
  <c r="F42" i="70" s="1"/>
  <c r="E42" i="70" a="1"/>
  <c r="E42" i="70" s="1"/>
  <c r="M19" i="70" s="1"/>
  <c r="D42" i="70" a="1"/>
  <c r="D42" i="70" s="1"/>
  <c r="G41" i="70" a="1"/>
  <c r="G41" i="70" s="1"/>
  <c r="F41" i="70" a="1"/>
  <c r="F41" i="70" s="1"/>
  <c r="E41" i="70" a="1"/>
  <c r="E41" i="70" s="1"/>
  <c r="M18" i="70" s="1"/>
  <c r="D41" i="70" a="1"/>
  <c r="D41" i="70" s="1"/>
  <c r="G40" i="70" a="1"/>
  <c r="G40" i="70" s="1"/>
  <c r="F40" i="70" a="1"/>
  <c r="F40" i="70" s="1"/>
  <c r="E40" i="70" a="1"/>
  <c r="E40" i="70" s="1"/>
  <c r="M17" i="70" s="1"/>
  <c r="D40" i="70" a="1"/>
  <c r="D40" i="70" s="1"/>
  <c r="G39" i="70" a="1"/>
  <c r="G39" i="70" s="1"/>
  <c r="F39" i="70" a="1"/>
  <c r="F39" i="70" s="1"/>
  <c r="E39" i="70" a="1"/>
  <c r="E39" i="70" s="1"/>
  <c r="D39" i="70" a="1"/>
  <c r="D39" i="70" s="1"/>
  <c r="G38" i="70" a="1"/>
  <c r="G38" i="70" s="1"/>
  <c r="F38" i="70" a="1"/>
  <c r="F38" i="70" s="1"/>
  <c r="E38" i="70" a="1"/>
  <c r="E38" i="70" s="1"/>
  <c r="K26" i="70" s="1"/>
  <c r="D38" i="70" a="1"/>
  <c r="D38" i="70" s="1"/>
  <c r="G37" i="70" a="1"/>
  <c r="G37" i="70" s="1"/>
  <c r="F37" i="70" a="1"/>
  <c r="F37" i="70" s="1"/>
  <c r="E37" i="70" a="1"/>
  <c r="E37" i="70" s="1"/>
  <c r="K25" i="70" s="1"/>
  <c r="D37" i="70" a="1"/>
  <c r="D37" i="70" s="1"/>
  <c r="G36" i="70" a="1"/>
  <c r="G36" i="70" s="1"/>
  <c r="F36" i="70" a="1"/>
  <c r="F36" i="70" s="1"/>
  <c r="E36" i="70" a="1"/>
  <c r="E36" i="70" s="1"/>
  <c r="K24" i="70" s="1"/>
  <c r="D36" i="70" a="1"/>
  <c r="D36" i="70" s="1"/>
  <c r="G35" i="70" a="1"/>
  <c r="G35" i="70" s="1"/>
  <c r="F35" i="70" a="1"/>
  <c r="F35" i="70" s="1"/>
  <c r="E35" i="70" a="1"/>
  <c r="E35" i="70" s="1"/>
  <c r="K23" i="70" s="1"/>
  <c r="D35" i="70" a="1"/>
  <c r="D35" i="70" s="1"/>
  <c r="G34" i="70" a="1"/>
  <c r="G34" i="70" s="1"/>
  <c r="F34" i="70" a="1"/>
  <c r="F34" i="70" s="1"/>
  <c r="E34" i="70" a="1"/>
  <c r="E34" i="70" s="1"/>
  <c r="K22" i="70" s="1"/>
  <c r="D34" i="70" a="1"/>
  <c r="D34" i="70" s="1"/>
  <c r="G33" i="70" a="1"/>
  <c r="G33" i="70" s="1"/>
  <c r="F33" i="70" a="1"/>
  <c r="F33" i="70" s="1"/>
  <c r="E33" i="70" a="1"/>
  <c r="E33" i="70" s="1"/>
  <c r="K21" i="70" s="1"/>
  <c r="D33" i="70" a="1"/>
  <c r="D33" i="70" s="1"/>
  <c r="G32" i="70" a="1"/>
  <c r="G32" i="70" s="1"/>
  <c r="F32" i="70" a="1"/>
  <c r="F32" i="70" s="1"/>
  <c r="E32" i="70" a="1"/>
  <c r="E32" i="70" s="1"/>
  <c r="K20" i="70" s="1"/>
  <c r="D32" i="70" a="1"/>
  <c r="D32" i="70" s="1"/>
  <c r="G31" i="70" a="1"/>
  <c r="G31" i="70" s="1"/>
  <c r="F31" i="70" a="1"/>
  <c r="F31" i="70" s="1"/>
  <c r="E31" i="70" a="1"/>
  <c r="E31" i="70" s="1"/>
  <c r="K19" i="70" s="1"/>
  <c r="D31" i="70" a="1"/>
  <c r="D31" i="70" s="1"/>
  <c r="G30" i="70" a="1"/>
  <c r="G30" i="70" s="1"/>
  <c r="F30" i="70" a="1"/>
  <c r="F30" i="70" s="1"/>
  <c r="E30" i="70" a="1"/>
  <c r="E30" i="70" s="1"/>
  <c r="K18" i="70" s="1"/>
  <c r="D30" i="70" a="1"/>
  <c r="D30" i="70" s="1"/>
  <c r="G29" i="70" a="1"/>
  <c r="G29" i="70" s="1"/>
  <c r="F29" i="70" a="1"/>
  <c r="F29" i="70" s="1"/>
  <c r="E29" i="70" a="1"/>
  <c r="E29" i="70" s="1"/>
  <c r="K17" i="70" s="1"/>
  <c r="D29" i="70" a="1"/>
  <c r="D29" i="70" s="1"/>
  <c r="G28" i="70" a="1"/>
  <c r="G28" i="70" s="1"/>
  <c r="F28" i="70" a="1"/>
  <c r="F28" i="70" s="1"/>
  <c r="E28" i="70" a="1"/>
  <c r="E28" i="70" s="1"/>
  <c r="D28" i="70" a="1"/>
  <c r="D28" i="70" s="1"/>
  <c r="G27" i="70" a="1"/>
  <c r="G27" i="70" s="1"/>
  <c r="F27" i="70" a="1"/>
  <c r="F27" i="70" s="1"/>
  <c r="E27" i="70" a="1"/>
  <c r="E27" i="70" s="1"/>
  <c r="I27" i="70" s="1"/>
  <c r="D27" i="70" a="1"/>
  <c r="D27" i="70" s="1"/>
  <c r="G26" i="70" a="1"/>
  <c r="G26" i="70" s="1"/>
  <c r="F26" i="70" a="1"/>
  <c r="F26" i="70" s="1"/>
  <c r="E26" i="70" a="1"/>
  <c r="E26" i="70" s="1"/>
  <c r="I26" i="70" s="1"/>
  <c r="D26" i="70" a="1"/>
  <c r="D26" i="70" s="1"/>
  <c r="G25" i="70" a="1"/>
  <c r="G25" i="70" s="1"/>
  <c r="F25" i="70" a="1"/>
  <c r="F25" i="70" s="1"/>
  <c r="E25" i="70" a="1"/>
  <c r="E25" i="70" s="1"/>
  <c r="I25" i="70" s="1"/>
  <c r="D25" i="70" a="1"/>
  <c r="D25" i="70" s="1"/>
  <c r="G24" i="70" a="1"/>
  <c r="G24" i="70" s="1"/>
  <c r="F24" i="70" a="1"/>
  <c r="F24" i="70" s="1"/>
  <c r="E24" i="70" a="1"/>
  <c r="E24" i="70" s="1"/>
  <c r="I24" i="70" s="1"/>
  <c r="D24" i="70" a="1"/>
  <c r="D24" i="70" s="1"/>
  <c r="G23" i="70" a="1"/>
  <c r="G23" i="70" s="1"/>
  <c r="F23" i="70" a="1"/>
  <c r="F23" i="70" s="1"/>
  <c r="E23" i="70" a="1"/>
  <c r="E23" i="70" s="1"/>
  <c r="I23" i="70" s="1"/>
  <c r="D23" i="70" a="1"/>
  <c r="D23" i="70" s="1"/>
  <c r="G22" i="70" a="1"/>
  <c r="G22" i="70" s="1"/>
  <c r="F22" i="70" a="1"/>
  <c r="F22" i="70" s="1"/>
  <c r="E22" i="70" a="1"/>
  <c r="E22" i="70" s="1"/>
  <c r="I22" i="70" s="1"/>
  <c r="D22" i="70" a="1"/>
  <c r="D22" i="70" s="1"/>
  <c r="G21" i="70" a="1"/>
  <c r="G21" i="70" s="1"/>
  <c r="F21" i="70" a="1"/>
  <c r="F21" i="70" s="1"/>
  <c r="E21" i="70" a="1"/>
  <c r="E21" i="70" s="1"/>
  <c r="I21" i="70" s="1"/>
  <c r="D21" i="70" a="1"/>
  <c r="D21" i="70" s="1"/>
  <c r="G20" i="70" a="1"/>
  <c r="G20" i="70" s="1"/>
  <c r="F20" i="70" a="1"/>
  <c r="F20" i="70" s="1"/>
  <c r="E20" i="70" a="1"/>
  <c r="E20" i="70" s="1"/>
  <c r="I20" i="70" s="1"/>
  <c r="D20" i="70" a="1"/>
  <c r="D20" i="70" s="1"/>
  <c r="G19" i="70" a="1"/>
  <c r="G19" i="70" s="1"/>
  <c r="F19" i="70" a="1"/>
  <c r="F19" i="70" s="1"/>
  <c r="E19" i="70" a="1"/>
  <c r="E19" i="70" s="1"/>
  <c r="I19" i="70" s="1"/>
  <c r="D19" i="70" a="1"/>
  <c r="D19" i="70" s="1"/>
  <c r="G18" i="70" a="1"/>
  <c r="G18" i="70" s="1"/>
  <c r="F18" i="70" a="1"/>
  <c r="F18" i="70" s="1"/>
  <c r="E18" i="70" a="1"/>
  <c r="E18" i="70" s="1"/>
  <c r="I18" i="70" s="1"/>
  <c r="D18" i="70" a="1"/>
  <c r="D18" i="70" s="1"/>
  <c r="G17" i="70" a="1"/>
  <c r="G17" i="70" s="1"/>
  <c r="F17" i="70" a="1"/>
  <c r="F17" i="70" s="1"/>
  <c r="E17" i="70" a="1"/>
  <c r="E17" i="70" s="1"/>
  <c r="I17" i="70" s="1"/>
  <c r="D17" i="70" a="1"/>
  <c r="D17" i="70" s="1"/>
  <c r="D15" i="70" a="1"/>
  <c r="D15" i="70" s="1"/>
  <c r="D14" i="70" a="1"/>
  <c r="D14" i="70" s="1"/>
  <c r="D7" i="70" a="1"/>
  <c r="D7" i="70" s="1"/>
  <c r="D6" i="70" a="1"/>
  <c r="D6" i="70" s="1"/>
  <c r="D5" i="70" a="1"/>
  <c r="D5" i="70" s="1"/>
  <c r="E139" i="69"/>
  <c r="F40" i="67" s="1"/>
  <c r="G138" i="69"/>
  <c r="F32" i="66" s="1"/>
  <c r="E138" i="69"/>
  <c r="F39" i="67" s="1"/>
  <c r="G137" i="69"/>
  <c r="F31" i="66" s="1"/>
  <c r="E137" i="69"/>
  <c r="F38" i="67" s="1"/>
  <c r="D137" i="69"/>
  <c r="F31" i="67" s="1"/>
  <c r="G136" i="69"/>
  <c r="F30" i="66" s="1"/>
  <c r="E136" i="69"/>
  <c r="F37" i="67" s="1"/>
  <c r="D136" i="69"/>
  <c r="F30" i="67" s="1"/>
  <c r="G135" i="69"/>
  <c r="F29" i="66" s="1"/>
  <c r="E135" i="69"/>
  <c r="F36" i="67" s="1"/>
  <c r="D135" i="69"/>
  <c r="F29" i="67" s="1"/>
  <c r="G134" i="69"/>
  <c r="F28" i="66" s="1"/>
  <c r="E134" i="69"/>
  <c r="F35" i="67" s="1"/>
  <c r="D134" i="69"/>
  <c r="F28" i="67" s="1"/>
  <c r="G133" i="69"/>
  <c r="F27" i="66" s="1"/>
  <c r="F133" i="69"/>
  <c r="F36" i="66" s="1"/>
  <c r="E133" i="69"/>
  <c r="F34" i="67" s="1"/>
  <c r="D133" i="69"/>
  <c r="F27" i="67" s="1"/>
  <c r="I132" i="69"/>
  <c r="F38" i="66" s="1"/>
  <c r="G132" i="69"/>
  <c r="F26" i="66" s="1"/>
  <c r="F132" i="69"/>
  <c r="F35" i="66" s="1"/>
  <c r="E132" i="69"/>
  <c r="F33" i="67" s="1"/>
  <c r="D132" i="69"/>
  <c r="F26" i="67" s="1"/>
  <c r="I131" i="69"/>
  <c r="F37" i="66" s="1"/>
  <c r="H131" i="69"/>
  <c r="F33" i="66" s="1"/>
  <c r="G131" i="69"/>
  <c r="F25" i="66" s="1"/>
  <c r="F131" i="69"/>
  <c r="F34" i="66" s="1"/>
  <c r="E131" i="69"/>
  <c r="F32" i="67" s="1"/>
  <c r="D131" i="69"/>
  <c r="F25" i="67" s="1"/>
  <c r="F120" i="69" a="1"/>
  <c r="F120" i="69" s="1"/>
  <c r="E120" i="69" a="1"/>
  <c r="E120" i="69" s="1"/>
  <c r="D120" i="69" a="1"/>
  <c r="D120" i="69" s="1"/>
  <c r="F119" i="69" a="1"/>
  <c r="F119" i="69" s="1"/>
  <c r="E119" i="69" a="1"/>
  <c r="E119" i="69" s="1"/>
  <c r="D119" i="69" a="1"/>
  <c r="D119" i="69" s="1"/>
  <c r="F118" i="69" a="1"/>
  <c r="F118" i="69" s="1"/>
  <c r="E118" i="69" a="1"/>
  <c r="E118" i="69" s="1"/>
  <c r="D118" i="69" a="1"/>
  <c r="D118" i="69" s="1"/>
  <c r="F117" i="69" a="1"/>
  <c r="F117" i="69" s="1"/>
  <c r="E117" i="69" a="1"/>
  <c r="E117" i="69" s="1"/>
  <c r="D117" i="69" a="1"/>
  <c r="D117" i="69" s="1"/>
  <c r="F116" i="69" a="1"/>
  <c r="F116" i="69" s="1"/>
  <c r="E116" i="69" a="1"/>
  <c r="E116" i="69" s="1"/>
  <c r="D116" i="69" a="1"/>
  <c r="D116" i="69" s="1"/>
  <c r="F115" i="69" a="1"/>
  <c r="F115" i="69" s="1"/>
  <c r="E115" i="69" a="1"/>
  <c r="E115" i="69" s="1"/>
  <c r="D115" i="69" a="1"/>
  <c r="D115" i="69" s="1"/>
  <c r="F114" i="69" a="1"/>
  <c r="F114" i="69" s="1"/>
  <c r="E114" i="69" a="1"/>
  <c r="E114" i="69" s="1"/>
  <c r="D114" i="69" a="1"/>
  <c r="D114" i="69" s="1"/>
  <c r="G113" i="69" a="1"/>
  <c r="G113" i="69" s="1"/>
  <c r="F113" i="69" a="1"/>
  <c r="F113" i="69" s="1"/>
  <c r="E113" i="69" a="1"/>
  <c r="E113" i="69" s="1"/>
  <c r="D113" i="69" a="1"/>
  <c r="D113" i="69" s="1"/>
  <c r="D110" i="69" a="1"/>
  <c r="D110" i="69" s="1"/>
  <c r="D109" i="69" a="1"/>
  <c r="D109" i="69" s="1"/>
  <c r="D108" i="69" a="1"/>
  <c r="D108" i="69" s="1"/>
  <c r="D107" i="69" a="1"/>
  <c r="D107" i="69" s="1"/>
  <c r="J104" i="69" a="1"/>
  <c r="J104" i="69" s="1"/>
  <c r="I104" i="69" a="1"/>
  <c r="I104" i="69" s="1"/>
  <c r="H104" i="69" a="1"/>
  <c r="H104" i="69" s="1"/>
  <c r="G104" i="69" a="1"/>
  <c r="G104" i="69" s="1"/>
  <c r="F104" i="69" a="1"/>
  <c r="F104" i="69" s="1"/>
  <c r="E104" i="69" a="1"/>
  <c r="E104" i="69" s="1"/>
  <c r="D104" i="69" a="1"/>
  <c r="D104" i="69" s="1"/>
  <c r="E40" i="67" s="1"/>
  <c r="J103" i="69" a="1"/>
  <c r="J103" i="69" s="1"/>
  <c r="I103" i="69" a="1"/>
  <c r="I103" i="69" s="1"/>
  <c r="H103" i="69" a="1"/>
  <c r="H103" i="69" s="1"/>
  <c r="G103" i="69" a="1"/>
  <c r="G103" i="69" s="1"/>
  <c r="F103" i="69" a="1"/>
  <c r="F103" i="69" s="1"/>
  <c r="E103" i="69" a="1"/>
  <c r="E103" i="69" s="1"/>
  <c r="D103" i="69" a="1"/>
  <c r="D103" i="69" s="1"/>
  <c r="E39" i="67" s="1"/>
  <c r="J102" i="69" a="1"/>
  <c r="J102" i="69" s="1"/>
  <c r="I102" i="69" a="1"/>
  <c r="I102" i="69" s="1"/>
  <c r="H102" i="69" a="1"/>
  <c r="H102" i="69" s="1"/>
  <c r="G102" i="69" a="1"/>
  <c r="G102" i="69" s="1"/>
  <c r="F102" i="69" a="1"/>
  <c r="F102" i="69" s="1"/>
  <c r="E102" i="69" a="1"/>
  <c r="E102" i="69" s="1"/>
  <c r="D102" i="69" a="1"/>
  <c r="D102" i="69" s="1"/>
  <c r="J101" i="69" a="1"/>
  <c r="J101" i="69" s="1"/>
  <c r="I101" i="69" a="1"/>
  <c r="I101" i="69" s="1"/>
  <c r="H101" i="69" a="1"/>
  <c r="H101" i="69" s="1"/>
  <c r="G101" i="69" a="1"/>
  <c r="G101" i="69" s="1"/>
  <c r="F101" i="69" a="1"/>
  <c r="F101" i="69" s="1"/>
  <c r="E101" i="69" a="1"/>
  <c r="E101" i="69" s="1"/>
  <c r="D101" i="69" a="1"/>
  <c r="D101" i="69" s="1"/>
  <c r="J100" i="69" a="1"/>
  <c r="J100" i="69" s="1"/>
  <c r="I100" i="69" a="1"/>
  <c r="I100" i="69" s="1"/>
  <c r="H100" i="69" a="1"/>
  <c r="H100" i="69" s="1"/>
  <c r="G100" i="69" a="1"/>
  <c r="G100" i="69" s="1"/>
  <c r="F100" i="69" a="1"/>
  <c r="F100" i="69" s="1"/>
  <c r="E100" i="69" a="1"/>
  <c r="E100" i="69" s="1"/>
  <c r="D100" i="69" a="1"/>
  <c r="D100" i="69" s="1"/>
  <c r="J99" i="69" a="1"/>
  <c r="J99" i="69" s="1"/>
  <c r="I99" i="69" a="1"/>
  <c r="I99" i="69" s="1"/>
  <c r="H99" i="69" a="1"/>
  <c r="H99" i="69" s="1"/>
  <c r="G99" i="69" a="1"/>
  <c r="G99" i="69" s="1"/>
  <c r="F99" i="69" a="1"/>
  <c r="F99" i="69" s="1"/>
  <c r="E99" i="69" a="1"/>
  <c r="E99" i="69" s="1"/>
  <c r="D99" i="69" a="1"/>
  <c r="D99" i="69" s="1"/>
  <c r="J98" i="69" a="1"/>
  <c r="J98" i="69" s="1"/>
  <c r="I98" i="69" a="1"/>
  <c r="I98" i="69" s="1"/>
  <c r="H98" i="69" a="1"/>
  <c r="H98" i="69" s="1"/>
  <c r="G98" i="69" a="1"/>
  <c r="G98" i="69" s="1"/>
  <c r="F98" i="69" a="1"/>
  <c r="F98" i="69" s="1"/>
  <c r="E98" i="69" a="1"/>
  <c r="E98" i="69" s="1"/>
  <c r="D98" i="69" a="1"/>
  <c r="D98" i="69" s="1"/>
  <c r="J97" i="69" a="1"/>
  <c r="J97" i="69" s="1"/>
  <c r="I97" i="69" a="1"/>
  <c r="I97" i="69" s="1"/>
  <c r="H97" i="69" a="1"/>
  <c r="H97" i="69" s="1"/>
  <c r="G97" i="69" a="1"/>
  <c r="G97" i="69" s="1"/>
  <c r="F97" i="69" a="1"/>
  <c r="F97" i="69" s="1"/>
  <c r="E97" i="69" a="1"/>
  <c r="E97" i="69" s="1"/>
  <c r="D97" i="69" a="1"/>
  <c r="D97" i="69" s="1"/>
  <c r="J96" i="69" a="1"/>
  <c r="J96" i="69" s="1"/>
  <c r="I96" i="69" a="1"/>
  <c r="I96" i="69" s="1"/>
  <c r="H96" i="69" a="1"/>
  <c r="H96" i="69" s="1"/>
  <c r="G96" i="69" a="1"/>
  <c r="G96" i="69" s="1"/>
  <c r="F96" i="69" a="1"/>
  <c r="F96" i="69" s="1"/>
  <c r="E96" i="69" a="1"/>
  <c r="E96" i="69" s="1"/>
  <c r="D96" i="69" a="1"/>
  <c r="D96" i="69" s="1"/>
  <c r="J95" i="69" a="1"/>
  <c r="J95" i="69" s="1"/>
  <c r="I95" i="69" a="1"/>
  <c r="I95" i="69" s="1"/>
  <c r="H95" i="69" a="1"/>
  <c r="H95" i="69" s="1"/>
  <c r="G95" i="69" a="1"/>
  <c r="G95" i="69" s="1"/>
  <c r="F95" i="69" a="1"/>
  <c r="F95" i="69" s="1"/>
  <c r="E95" i="69" a="1"/>
  <c r="E95" i="69" s="1"/>
  <c r="D95" i="69" a="1"/>
  <c r="D95" i="69" s="1"/>
  <c r="J94" i="69" a="1"/>
  <c r="J94" i="69" s="1"/>
  <c r="I94" i="69" a="1"/>
  <c r="I94" i="69" s="1"/>
  <c r="H94" i="69" a="1"/>
  <c r="H94" i="69" s="1"/>
  <c r="G94" i="69" a="1"/>
  <c r="G94" i="69" s="1"/>
  <c r="F94" i="69" a="1"/>
  <c r="F94" i="69" s="1"/>
  <c r="E94" i="69" a="1"/>
  <c r="E94" i="69" s="1"/>
  <c r="D94" i="69" a="1"/>
  <c r="D94" i="69" s="1"/>
  <c r="J93" i="69" a="1"/>
  <c r="J93" i="69" s="1"/>
  <c r="I93" i="69" a="1"/>
  <c r="I93" i="69" s="1"/>
  <c r="H93" i="69" a="1"/>
  <c r="H93" i="69" s="1"/>
  <c r="G93" i="69" a="1"/>
  <c r="G93" i="69" s="1"/>
  <c r="F93" i="69" a="1"/>
  <c r="F93" i="69" s="1"/>
  <c r="E93" i="69" a="1"/>
  <c r="E93" i="69" s="1"/>
  <c r="D93" i="69" a="1"/>
  <c r="D93" i="69" s="1"/>
  <c r="J92" i="69" a="1"/>
  <c r="J92" i="69" s="1"/>
  <c r="I92" i="69" a="1"/>
  <c r="I92" i="69" s="1"/>
  <c r="H92" i="69" a="1"/>
  <c r="H92" i="69" s="1"/>
  <c r="G92" i="69" a="1"/>
  <c r="G92" i="69" s="1"/>
  <c r="F92" i="69" a="1"/>
  <c r="F92" i="69" s="1"/>
  <c r="E92" i="69" a="1"/>
  <c r="E92" i="69" s="1"/>
  <c r="D92" i="69" a="1"/>
  <c r="D92" i="69" s="1"/>
  <c r="J91" i="69" a="1"/>
  <c r="J91" i="69" s="1"/>
  <c r="I91" i="69" a="1"/>
  <c r="I91" i="69" s="1"/>
  <c r="H91" i="69" a="1"/>
  <c r="H91" i="69" s="1"/>
  <c r="G91" i="69" a="1"/>
  <c r="G91" i="69" s="1"/>
  <c r="F91" i="69" a="1"/>
  <c r="F91" i="69" s="1"/>
  <c r="E91" i="69" a="1"/>
  <c r="E91" i="69" s="1"/>
  <c r="D91" i="69" a="1"/>
  <c r="D91" i="69" s="1"/>
  <c r="J90" i="69" a="1"/>
  <c r="J90" i="69" s="1"/>
  <c r="I90" i="69" a="1"/>
  <c r="I90" i="69" s="1"/>
  <c r="H90" i="69" a="1"/>
  <c r="H90" i="69" s="1"/>
  <c r="G90" i="69" a="1"/>
  <c r="G90" i="69" s="1"/>
  <c r="F90" i="69" a="1"/>
  <c r="F90" i="69" s="1"/>
  <c r="E90" i="69" a="1"/>
  <c r="E90" i="69" s="1"/>
  <c r="D90" i="69" a="1"/>
  <c r="D90" i="69" s="1"/>
  <c r="J89" i="69" a="1"/>
  <c r="J89" i="69" s="1"/>
  <c r="I89" i="69" a="1"/>
  <c r="I89" i="69" s="1"/>
  <c r="H89" i="69" a="1"/>
  <c r="H89" i="69" s="1"/>
  <c r="G89" i="69" a="1"/>
  <c r="G89" i="69" s="1"/>
  <c r="F89" i="69" a="1"/>
  <c r="F89" i="69" s="1"/>
  <c r="E89" i="69" a="1"/>
  <c r="E89" i="69" s="1"/>
  <c r="D89" i="69" a="1"/>
  <c r="D89" i="69" s="1"/>
  <c r="J88" i="69" a="1"/>
  <c r="J88" i="69" s="1"/>
  <c r="I88" i="69" a="1"/>
  <c r="I88" i="69" s="1"/>
  <c r="H88" i="69" a="1"/>
  <c r="H88" i="69" s="1"/>
  <c r="G88" i="69" a="1"/>
  <c r="G88" i="69" s="1"/>
  <c r="F88" i="69" a="1"/>
  <c r="F88" i="69" s="1"/>
  <c r="E88" i="69" a="1"/>
  <c r="E88" i="69" s="1"/>
  <c r="D88" i="69" a="1"/>
  <c r="D88" i="69" s="1"/>
  <c r="J87" i="69" a="1"/>
  <c r="J87" i="69" s="1"/>
  <c r="I87" i="69" a="1"/>
  <c r="I87" i="69" s="1"/>
  <c r="H87" i="69" a="1"/>
  <c r="H87" i="69" s="1"/>
  <c r="G87" i="69" a="1"/>
  <c r="G87" i="69" s="1"/>
  <c r="F87" i="69" a="1"/>
  <c r="F87" i="69" s="1"/>
  <c r="E87" i="69" a="1"/>
  <c r="E87" i="69" s="1"/>
  <c r="D87" i="69" a="1"/>
  <c r="D87" i="69" s="1"/>
  <c r="D84" i="69" a="1"/>
  <c r="D84" i="69" s="1"/>
  <c r="D83" i="69" a="1"/>
  <c r="D83" i="69" s="1"/>
  <c r="D82" i="69" a="1"/>
  <c r="D82" i="69" s="1"/>
  <c r="D81" i="69" a="1"/>
  <c r="D81" i="69" s="1"/>
  <c r="K77" i="69" a="1"/>
  <c r="K77" i="69" s="1"/>
  <c r="J77" i="69" a="1"/>
  <c r="J77" i="69" s="1"/>
  <c r="I77" i="69" a="1"/>
  <c r="I77" i="69" s="1"/>
  <c r="H77" i="69" a="1"/>
  <c r="H77" i="69" s="1"/>
  <c r="G77" i="69" a="1"/>
  <c r="G77" i="69" s="1"/>
  <c r="F77" i="69" a="1"/>
  <c r="F77" i="69" s="1"/>
  <c r="E77" i="69" a="1"/>
  <c r="E77" i="69" s="1"/>
  <c r="D77" i="69" a="1"/>
  <c r="D77" i="69" s="1"/>
  <c r="E38" i="67" s="1"/>
  <c r="K76" i="69" a="1"/>
  <c r="K76" i="69" s="1"/>
  <c r="J76" i="69" a="1"/>
  <c r="J76" i="69" s="1"/>
  <c r="I76" i="69" a="1"/>
  <c r="I76" i="69" s="1"/>
  <c r="H76" i="69" a="1"/>
  <c r="H76" i="69" s="1"/>
  <c r="G76" i="69" a="1"/>
  <c r="G76" i="69" s="1"/>
  <c r="F76" i="69" a="1"/>
  <c r="F76" i="69" s="1"/>
  <c r="E76" i="69" a="1"/>
  <c r="E76" i="69" s="1"/>
  <c r="D76" i="69" a="1"/>
  <c r="D76" i="69" s="1"/>
  <c r="K75" i="69" a="1"/>
  <c r="K75" i="69" s="1"/>
  <c r="J75" i="69" a="1"/>
  <c r="J75" i="69" s="1"/>
  <c r="I75" i="69" a="1"/>
  <c r="I75" i="69" s="1"/>
  <c r="H75" i="69" a="1"/>
  <c r="H75" i="69" s="1"/>
  <c r="G75" i="69" a="1"/>
  <c r="G75" i="69" s="1"/>
  <c r="F75" i="69" a="1"/>
  <c r="F75" i="69" s="1"/>
  <c r="E75" i="69" a="1"/>
  <c r="E75" i="69" s="1"/>
  <c r="D75" i="69" a="1"/>
  <c r="D75" i="69" s="1"/>
  <c r="E30" i="67" s="1"/>
  <c r="K74" i="69" a="1"/>
  <c r="K74" i="69" s="1"/>
  <c r="J74" i="69" a="1"/>
  <c r="J74" i="69" s="1"/>
  <c r="I74" i="69" a="1"/>
  <c r="I74" i="69" s="1"/>
  <c r="H74" i="69" a="1"/>
  <c r="H74" i="69" s="1"/>
  <c r="G74" i="69" a="1"/>
  <c r="G74" i="69" s="1"/>
  <c r="F74" i="69" a="1"/>
  <c r="F74" i="69" s="1"/>
  <c r="E74" i="69" a="1"/>
  <c r="E74" i="69" s="1"/>
  <c r="D74" i="69" a="1"/>
  <c r="D74" i="69" s="1"/>
  <c r="E29" i="67" s="1"/>
  <c r="K73" i="69" a="1"/>
  <c r="K73" i="69" s="1"/>
  <c r="J73" i="69" a="1"/>
  <c r="J73" i="69" s="1"/>
  <c r="I73" i="69" a="1"/>
  <c r="I73" i="69" s="1"/>
  <c r="H73" i="69" a="1"/>
  <c r="H73" i="69" s="1"/>
  <c r="G73" i="69" a="1"/>
  <c r="G73" i="69" s="1"/>
  <c r="F73" i="69" a="1"/>
  <c r="F73" i="69" s="1"/>
  <c r="E73" i="69" a="1"/>
  <c r="E73" i="69" s="1"/>
  <c r="D73" i="69" a="1"/>
  <c r="D73" i="69" s="1"/>
  <c r="E35" i="67" s="1"/>
  <c r="K72" i="69" a="1"/>
  <c r="K72" i="69" s="1"/>
  <c r="J72" i="69" a="1"/>
  <c r="J72" i="69" s="1"/>
  <c r="I72" i="69" a="1"/>
  <c r="I72" i="69" s="1"/>
  <c r="H72" i="69" a="1"/>
  <c r="H72" i="69" s="1"/>
  <c r="G72" i="69" a="1"/>
  <c r="G72" i="69" s="1"/>
  <c r="F72" i="69" a="1"/>
  <c r="F72" i="69" s="1"/>
  <c r="E72" i="69" a="1"/>
  <c r="E72" i="69" s="1"/>
  <c r="D72" i="69" a="1"/>
  <c r="D72" i="69" s="1"/>
  <c r="K71" i="69" a="1"/>
  <c r="K71" i="69" s="1"/>
  <c r="J71" i="69" a="1"/>
  <c r="J71" i="69" s="1"/>
  <c r="I71" i="69" a="1"/>
  <c r="I71" i="69" s="1"/>
  <c r="H71" i="69" a="1"/>
  <c r="H71" i="69" s="1"/>
  <c r="G71" i="69" a="1"/>
  <c r="G71" i="69" s="1"/>
  <c r="F71" i="69" a="1"/>
  <c r="F71" i="69" s="1"/>
  <c r="E71" i="69" a="1"/>
  <c r="E71" i="69" s="1"/>
  <c r="D71" i="69" a="1"/>
  <c r="D71" i="69" s="1"/>
  <c r="K70" i="69" a="1"/>
  <c r="K70" i="69" s="1"/>
  <c r="J70" i="69" a="1"/>
  <c r="J70" i="69" s="1"/>
  <c r="I70" i="69" a="1"/>
  <c r="I70" i="69" s="1"/>
  <c r="H70" i="69" a="1"/>
  <c r="H70" i="69" s="1"/>
  <c r="G70" i="69" a="1"/>
  <c r="G70" i="69" s="1"/>
  <c r="F70" i="69" a="1"/>
  <c r="F70" i="69" s="1"/>
  <c r="E70" i="69" a="1"/>
  <c r="E70" i="69" s="1"/>
  <c r="D70" i="69" a="1"/>
  <c r="D70" i="69" s="1"/>
  <c r="K69" i="69" a="1"/>
  <c r="K69" i="69" s="1"/>
  <c r="J69" i="69" a="1"/>
  <c r="J69" i="69" s="1"/>
  <c r="I69" i="69" a="1"/>
  <c r="I69" i="69" s="1"/>
  <c r="H69" i="69" a="1"/>
  <c r="H69" i="69" s="1"/>
  <c r="G69" i="69" a="1"/>
  <c r="G69" i="69" s="1"/>
  <c r="F69" i="69" a="1"/>
  <c r="F69" i="69" s="1"/>
  <c r="E69" i="69" a="1"/>
  <c r="E69" i="69" s="1"/>
  <c r="D69" i="69" a="1"/>
  <c r="D69" i="69" s="1"/>
  <c r="K68" i="69" a="1"/>
  <c r="K68" i="69" s="1"/>
  <c r="J68" i="69" a="1"/>
  <c r="J68" i="69" s="1"/>
  <c r="I68" i="69" a="1"/>
  <c r="I68" i="69" s="1"/>
  <c r="H68" i="69" a="1"/>
  <c r="H68" i="69" s="1"/>
  <c r="G68" i="69" a="1"/>
  <c r="G68" i="69" s="1"/>
  <c r="F68" i="69" a="1"/>
  <c r="F68" i="69" s="1"/>
  <c r="E68" i="69" a="1"/>
  <c r="E68" i="69" s="1"/>
  <c r="D68" i="69" a="1"/>
  <c r="D68" i="69" s="1"/>
  <c r="K67" i="69" a="1"/>
  <c r="K67" i="69" s="1"/>
  <c r="J67" i="69" a="1"/>
  <c r="J67" i="69" s="1"/>
  <c r="I67" i="69" a="1"/>
  <c r="I67" i="69" s="1"/>
  <c r="H67" i="69" a="1"/>
  <c r="H67" i="69" s="1"/>
  <c r="G67" i="69" a="1"/>
  <c r="G67" i="69" s="1"/>
  <c r="F67" i="69" a="1"/>
  <c r="F67" i="69" s="1"/>
  <c r="E67" i="69" a="1"/>
  <c r="E67" i="69" s="1"/>
  <c r="D67" i="69" a="1"/>
  <c r="D67" i="69" s="1"/>
  <c r="E27" i="67" s="1"/>
  <c r="K66" i="69" a="1"/>
  <c r="K66" i="69" s="1"/>
  <c r="J66" i="69" a="1"/>
  <c r="J66" i="69" s="1"/>
  <c r="I66" i="69" a="1"/>
  <c r="I66" i="69" s="1"/>
  <c r="H66" i="69" a="1"/>
  <c r="H66" i="69" s="1"/>
  <c r="G66" i="69" a="1"/>
  <c r="G66" i="69" s="1"/>
  <c r="F66" i="69" a="1"/>
  <c r="F66" i="69" s="1"/>
  <c r="E66" i="69" a="1"/>
  <c r="E66" i="69" s="1"/>
  <c r="D66" i="69" a="1"/>
  <c r="D66" i="69" s="1"/>
  <c r="K65" i="69" a="1"/>
  <c r="K65" i="69" s="1"/>
  <c r="J65" i="69" a="1"/>
  <c r="J65" i="69" s="1"/>
  <c r="I65" i="69" a="1"/>
  <c r="I65" i="69" s="1"/>
  <c r="H65" i="69" a="1"/>
  <c r="H65" i="69" s="1"/>
  <c r="G65" i="69" a="1"/>
  <c r="G65" i="69" s="1"/>
  <c r="F65" i="69" a="1"/>
  <c r="F65" i="69" s="1"/>
  <c r="E65" i="69" a="1"/>
  <c r="E65" i="69" s="1"/>
  <c r="D65" i="69" a="1"/>
  <c r="D65" i="69" s="1"/>
  <c r="K64" i="69" a="1"/>
  <c r="K64" i="69" s="1"/>
  <c r="J64" i="69" a="1"/>
  <c r="J64" i="69" s="1"/>
  <c r="I64" i="69" a="1"/>
  <c r="I64" i="69" s="1"/>
  <c r="H64" i="69" a="1"/>
  <c r="H64" i="69" s="1"/>
  <c r="G64" i="69" a="1"/>
  <c r="G64" i="69" s="1"/>
  <c r="F64" i="69" a="1"/>
  <c r="F64" i="69" s="1"/>
  <c r="E64" i="69" a="1"/>
  <c r="E64" i="69" s="1"/>
  <c r="D64" i="69" a="1"/>
  <c r="D64" i="69" s="1"/>
  <c r="K63" i="69" a="1"/>
  <c r="K63" i="69" s="1"/>
  <c r="J63" i="69" a="1"/>
  <c r="J63" i="69" s="1"/>
  <c r="I63" i="69" a="1"/>
  <c r="I63" i="69" s="1"/>
  <c r="H63" i="69" a="1"/>
  <c r="H63" i="69" s="1"/>
  <c r="G63" i="69" a="1"/>
  <c r="G63" i="69" s="1"/>
  <c r="F63" i="69" a="1"/>
  <c r="F63" i="69" s="1"/>
  <c r="E63" i="69" a="1"/>
  <c r="E63" i="69" s="1"/>
  <c r="D63" i="69" a="1"/>
  <c r="D63" i="69" s="1"/>
  <c r="E26" i="67" s="1"/>
  <c r="K62" i="69" a="1"/>
  <c r="K62" i="69" s="1"/>
  <c r="J62" i="69" a="1"/>
  <c r="J62" i="69" s="1"/>
  <c r="I62" i="69" a="1"/>
  <c r="I62" i="69" s="1"/>
  <c r="H62" i="69" a="1"/>
  <c r="H62" i="69" s="1"/>
  <c r="G62" i="69" a="1"/>
  <c r="G62" i="69" s="1"/>
  <c r="F62" i="69" a="1"/>
  <c r="F62" i="69" s="1"/>
  <c r="E62" i="69" a="1"/>
  <c r="E62" i="69" s="1"/>
  <c r="D62" i="69" a="1"/>
  <c r="D62" i="69" s="1"/>
  <c r="K61" i="69" a="1"/>
  <c r="K61" i="69" s="1"/>
  <c r="J61" i="69" a="1"/>
  <c r="J61" i="69" s="1"/>
  <c r="I61" i="69" a="1"/>
  <c r="I61" i="69" s="1"/>
  <c r="H61" i="69" a="1"/>
  <c r="H61" i="69" s="1"/>
  <c r="G61" i="69" a="1"/>
  <c r="G61" i="69" s="1"/>
  <c r="F61" i="69" a="1"/>
  <c r="F61" i="69" s="1"/>
  <c r="E61" i="69" a="1"/>
  <c r="E61" i="69" s="1"/>
  <c r="D61" i="69" a="1"/>
  <c r="D61" i="69" s="1"/>
  <c r="K60" i="69" a="1"/>
  <c r="K60" i="69" s="1"/>
  <c r="J60" i="69" a="1"/>
  <c r="J60" i="69" s="1"/>
  <c r="I60" i="69" a="1"/>
  <c r="I60" i="69" s="1"/>
  <c r="H60" i="69" a="1"/>
  <c r="H60" i="69" s="1"/>
  <c r="G60" i="69" a="1"/>
  <c r="G60" i="69" s="1"/>
  <c r="F60" i="69" a="1"/>
  <c r="F60" i="69" s="1"/>
  <c r="E60" i="69" a="1"/>
  <c r="E60" i="69" s="1"/>
  <c r="D60" i="69" a="1"/>
  <c r="D60" i="69" s="1"/>
  <c r="K59" i="69" a="1"/>
  <c r="K59" i="69" s="1"/>
  <c r="J59" i="69" a="1"/>
  <c r="J59" i="69" s="1"/>
  <c r="I59" i="69" a="1"/>
  <c r="I59" i="69" s="1"/>
  <c r="H59" i="69" a="1"/>
  <c r="H59" i="69" s="1"/>
  <c r="G59" i="69" a="1"/>
  <c r="G59" i="69" s="1"/>
  <c r="F59" i="69" a="1"/>
  <c r="F59" i="69" s="1"/>
  <c r="E59" i="69" a="1"/>
  <c r="E59" i="69" s="1"/>
  <c r="D59" i="69" a="1"/>
  <c r="D59" i="69" s="1"/>
  <c r="K58" i="69" a="1"/>
  <c r="K58" i="69" s="1"/>
  <c r="J58" i="69" a="1"/>
  <c r="J58" i="69" s="1"/>
  <c r="I58" i="69" a="1"/>
  <c r="I58" i="69" s="1"/>
  <c r="H58" i="69" a="1"/>
  <c r="H58" i="69" s="1"/>
  <c r="G58" i="69" a="1"/>
  <c r="G58" i="69" s="1"/>
  <c r="F58" i="69" a="1"/>
  <c r="F58" i="69" s="1"/>
  <c r="E58" i="69" a="1"/>
  <c r="E58" i="69" s="1"/>
  <c r="D58" i="69" a="1"/>
  <c r="D58" i="69" s="1"/>
  <c r="E32" i="67" s="1"/>
  <c r="K57" i="69" a="1"/>
  <c r="K57" i="69" s="1"/>
  <c r="J57" i="69" a="1"/>
  <c r="J57" i="69" s="1"/>
  <c r="I57" i="69" a="1"/>
  <c r="I57" i="69" s="1"/>
  <c r="H57" i="69" a="1"/>
  <c r="H57" i="69" s="1"/>
  <c r="G57" i="69" a="1"/>
  <c r="G57" i="69" s="1"/>
  <c r="F57" i="69" a="1"/>
  <c r="F57" i="69" s="1"/>
  <c r="E57" i="69" a="1"/>
  <c r="E57" i="69" s="1"/>
  <c r="D57" i="69" a="1"/>
  <c r="D57" i="69" s="1"/>
  <c r="K56" i="69" a="1"/>
  <c r="K56" i="69" s="1"/>
  <c r="J56" i="69" a="1"/>
  <c r="J56" i="69" s="1"/>
  <c r="I56" i="69" a="1"/>
  <c r="I56" i="69" s="1"/>
  <c r="H56" i="69" a="1"/>
  <c r="H56" i="69" s="1"/>
  <c r="G56" i="69" a="1"/>
  <c r="G56" i="69" s="1"/>
  <c r="F56" i="69" a="1"/>
  <c r="F56" i="69" s="1"/>
  <c r="E56" i="69" a="1"/>
  <c r="E56" i="69" s="1"/>
  <c r="D56" i="69" a="1"/>
  <c r="D56" i="69" s="1"/>
  <c r="K55" i="69" a="1"/>
  <c r="K55" i="69" s="1"/>
  <c r="J55" i="69" a="1"/>
  <c r="J55" i="69" s="1"/>
  <c r="I55" i="69" a="1"/>
  <c r="I55" i="69" s="1"/>
  <c r="H55" i="69" a="1"/>
  <c r="H55" i="69" s="1"/>
  <c r="G55" i="69" a="1"/>
  <c r="G55" i="69" s="1"/>
  <c r="F55" i="69" a="1"/>
  <c r="F55" i="69" s="1"/>
  <c r="E55" i="69" a="1"/>
  <c r="E55" i="69" s="1"/>
  <c r="D55" i="69" a="1"/>
  <c r="D55" i="69" s="1"/>
  <c r="K54" i="69" a="1"/>
  <c r="K54" i="69" s="1"/>
  <c r="J54" i="69" a="1"/>
  <c r="J54" i="69" s="1"/>
  <c r="I54" i="69" a="1"/>
  <c r="I54" i="69" s="1"/>
  <c r="H54" i="69" a="1"/>
  <c r="H54" i="69" s="1"/>
  <c r="G54" i="69" a="1"/>
  <c r="G54" i="69" s="1"/>
  <c r="F54" i="69" a="1"/>
  <c r="F54" i="69" s="1"/>
  <c r="E54" i="69" a="1"/>
  <c r="E54" i="69" s="1"/>
  <c r="D54" i="69" a="1"/>
  <c r="D54" i="69" s="1"/>
  <c r="D52" i="69" a="1"/>
  <c r="D52" i="69" s="1"/>
  <c r="D51" i="69" a="1"/>
  <c r="D51" i="69" s="1"/>
  <c r="D50" i="69" a="1"/>
  <c r="D50" i="69" s="1"/>
  <c r="D49" i="69" a="1"/>
  <c r="D49" i="69" s="1"/>
  <c r="J43" i="69" a="1"/>
  <c r="J43" i="69" s="1"/>
  <c r="I43" i="69" a="1"/>
  <c r="I43" i="69" s="1"/>
  <c r="H43" i="69" a="1"/>
  <c r="H43" i="69" s="1"/>
  <c r="G43" i="69" a="1"/>
  <c r="G43" i="69" s="1"/>
  <c r="F43" i="69" a="1"/>
  <c r="F43" i="69" s="1"/>
  <c r="E43" i="69" a="1"/>
  <c r="E43" i="69" s="1"/>
  <c r="D43" i="69" a="1"/>
  <c r="D43" i="69" s="1"/>
  <c r="J42" i="69" a="1"/>
  <c r="J42" i="69" s="1"/>
  <c r="I42" i="69" a="1"/>
  <c r="I42" i="69" s="1"/>
  <c r="H42" i="69" a="1"/>
  <c r="H42" i="69" s="1"/>
  <c r="G42" i="69" a="1"/>
  <c r="G42" i="69" s="1"/>
  <c r="F42" i="69" a="1"/>
  <c r="F42" i="69" s="1"/>
  <c r="E42" i="69" a="1"/>
  <c r="E42" i="69" s="1"/>
  <c r="D42" i="69" a="1"/>
  <c r="D42" i="69" s="1"/>
  <c r="J41" i="69" a="1"/>
  <c r="J41" i="69" s="1"/>
  <c r="I41" i="69" a="1"/>
  <c r="I41" i="69" s="1"/>
  <c r="H41" i="69" a="1"/>
  <c r="H41" i="69" s="1"/>
  <c r="G41" i="69" a="1"/>
  <c r="G41" i="69" s="1"/>
  <c r="F41" i="69" a="1"/>
  <c r="F41" i="69" s="1"/>
  <c r="E41" i="69" a="1"/>
  <c r="E41" i="69" s="1"/>
  <c r="D41" i="69" a="1"/>
  <c r="D41" i="69" s="1"/>
  <c r="J40" i="69" a="1"/>
  <c r="J40" i="69" s="1"/>
  <c r="I40" i="69" a="1"/>
  <c r="I40" i="69" s="1"/>
  <c r="H40" i="69" a="1"/>
  <c r="H40" i="69" s="1"/>
  <c r="G40" i="69" a="1"/>
  <c r="G40" i="69" s="1"/>
  <c r="F40" i="69" a="1"/>
  <c r="F40" i="69" s="1"/>
  <c r="E40" i="69" a="1"/>
  <c r="E40" i="69" s="1"/>
  <c r="D40" i="69" a="1"/>
  <c r="D40" i="69" s="1"/>
  <c r="D38" i="69" a="1"/>
  <c r="D38" i="69" s="1"/>
  <c r="D37" i="69" a="1"/>
  <c r="D37" i="69" s="1"/>
  <c r="L34" i="69" a="1"/>
  <c r="L34" i="69" s="1"/>
  <c r="K34" i="69" a="1"/>
  <c r="K34" i="69" s="1"/>
  <c r="J34" i="69" a="1"/>
  <c r="J34" i="69" s="1"/>
  <c r="I34" i="69" a="1"/>
  <c r="I34" i="69" s="1"/>
  <c r="H34" i="69" a="1"/>
  <c r="H34" i="69" s="1"/>
  <c r="G34" i="69" a="1"/>
  <c r="G34" i="69" s="1"/>
  <c r="F34" i="69" a="1"/>
  <c r="F34" i="69" s="1"/>
  <c r="E34" i="69" a="1"/>
  <c r="E34" i="69" s="1"/>
  <c r="D34" i="69" a="1"/>
  <c r="D34" i="69" s="1"/>
  <c r="L33" i="69" a="1"/>
  <c r="L33" i="69" s="1"/>
  <c r="K33" i="69" a="1"/>
  <c r="K33" i="69" s="1"/>
  <c r="J33" i="69" a="1"/>
  <c r="J33" i="69" s="1"/>
  <c r="I33" i="69" a="1"/>
  <c r="I33" i="69" s="1"/>
  <c r="H33" i="69" a="1"/>
  <c r="H33" i="69" s="1"/>
  <c r="G33" i="69" a="1"/>
  <c r="G33" i="69" s="1"/>
  <c r="F33" i="69" a="1"/>
  <c r="F33" i="69" s="1"/>
  <c r="E33" i="69" a="1"/>
  <c r="E33" i="69" s="1"/>
  <c r="E39" i="66" s="1"/>
  <c r="D33" i="69" a="1"/>
  <c r="D33" i="69" s="1"/>
  <c r="L32" i="69" a="1"/>
  <c r="L32" i="69" s="1"/>
  <c r="K32" i="69" a="1"/>
  <c r="K32" i="69" s="1"/>
  <c r="J32" i="69" a="1"/>
  <c r="J32" i="69" s="1"/>
  <c r="I32" i="69" a="1"/>
  <c r="I32" i="69" s="1"/>
  <c r="H32" i="69" a="1"/>
  <c r="H32" i="69" s="1"/>
  <c r="G32" i="69" a="1"/>
  <c r="G32" i="69" s="1"/>
  <c r="F32" i="69" a="1"/>
  <c r="F32" i="69" s="1"/>
  <c r="E32" i="69" a="1"/>
  <c r="E32" i="69" s="1"/>
  <c r="D32" i="69" a="1"/>
  <c r="D32" i="69" s="1"/>
  <c r="L31" i="69" a="1"/>
  <c r="L31" i="69" s="1"/>
  <c r="K31" i="69" a="1"/>
  <c r="K31" i="69" s="1"/>
  <c r="J31" i="69" a="1"/>
  <c r="J31" i="69" s="1"/>
  <c r="I31" i="69" a="1"/>
  <c r="I31" i="69" s="1"/>
  <c r="H31" i="69" a="1"/>
  <c r="H31" i="69" s="1"/>
  <c r="G31" i="69" a="1"/>
  <c r="G31" i="69" s="1"/>
  <c r="F31" i="69" a="1"/>
  <c r="F31" i="69" s="1"/>
  <c r="E31" i="69" a="1"/>
  <c r="E31" i="69" s="1"/>
  <c r="D31" i="69" a="1"/>
  <c r="D31" i="69" s="1"/>
  <c r="L30" i="69" a="1"/>
  <c r="L30" i="69" s="1"/>
  <c r="K30" i="69" a="1"/>
  <c r="K30" i="69" s="1"/>
  <c r="J30" i="69" a="1"/>
  <c r="J30" i="69" s="1"/>
  <c r="I30" i="69" a="1"/>
  <c r="I30" i="69" s="1"/>
  <c r="H30" i="69" a="1"/>
  <c r="H30" i="69" s="1"/>
  <c r="G30" i="69" a="1"/>
  <c r="G30" i="69" s="1"/>
  <c r="F30" i="69" a="1"/>
  <c r="F30" i="69" s="1"/>
  <c r="E30" i="69" a="1"/>
  <c r="E30" i="69" s="1"/>
  <c r="E36" i="66" s="1"/>
  <c r="D30" i="69" a="1"/>
  <c r="D30" i="69" s="1"/>
  <c r="L29" i="69" a="1"/>
  <c r="L29" i="69" s="1"/>
  <c r="K29" i="69" a="1"/>
  <c r="K29" i="69" s="1"/>
  <c r="J29" i="69" a="1"/>
  <c r="J29" i="69" s="1"/>
  <c r="I29" i="69" a="1"/>
  <c r="I29" i="69" s="1"/>
  <c r="H29" i="69" a="1"/>
  <c r="H29" i="69" s="1"/>
  <c r="G29" i="69" a="1"/>
  <c r="G29" i="69" s="1"/>
  <c r="F29" i="69" a="1"/>
  <c r="F29" i="69" s="1"/>
  <c r="E29" i="69" a="1"/>
  <c r="E29" i="69" s="1"/>
  <c r="E35" i="66" s="1"/>
  <c r="D29" i="69" a="1"/>
  <c r="D29" i="69" s="1"/>
  <c r="L28" i="69" a="1"/>
  <c r="L28" i="69" s="1"/>
  <c r="K28" i="69" a="1"/>
  <c r="K28" i="69" s="1"/>
  <c r="J28" i="69" a="1"/>
  <c r="J28" i="69" s="1"/>
  <c r="I28" i="69" a="1"/>
  <c r="I28" i="69" s="1"/>
  <c r="H28" i="69" a="1"/>
  <c r="H28" i="69" s="1"/>
  <c r="G28" i="69" a="1"/>
  <c r="G28" i="69" s="1"/>
  <c r="F28" i="69" a="1"/>
  <c r="F28" i="69" s="1"/>
  <c r="E28" i="69" a="1"/>
  <c r="E28" i="69" s="1"/>
  <c r="E34" i="66" s="1"/>
  <c r="D28" i="69" a="1"/>
  <c r="D28" i="69" s="1"/>
  <c r="L27" i="69" a="1"/>
  <c r="L27" i="69" s="1"/>
  <c r="K27" i="69" a="1"/>
  <c r="K27" i="69" s="1"/>
  <c r="J27" i="69" a="1"/>
  <c r="J27" i="69" s="1"/>
  <c r="I27" i="69" a="1"/>
  <c r="I27" i="69" s="1"/>
  <c r="H27" i="69" a="1"/>
  <c r="H27" i="69" s="1"/>
  <c r="G27" i="69" a="1"/>
  <c r="G27" i="69" s="1"/>
  <c r="F27" i="69" a="1"/>
  <c r="F27" i="69" s="1"/>
  <c r="E27" i="69" a="1"/>
  <c r="E27" i="69" s="1"/>
  <c r="D27" i="69" a="1"/>
  <c r="D27" i="69" s="1"/>
  <c r="L26" i="69" a="1"/>
  <c r="L26" i="69" s="1"/>
  <c r="K26" i="69" a="1"/>
  <c r="K26" i="69" s="1"/>
  <c r="J26" i="69" a="1"/>
  <c r="J26" i="69" s="1"/>
  <c r="I26" i="69" a="1"/>
  <c r="I26" i="69" s="1"/>
  <c r="H26" i="69" a="1"/>
  <c r="H26" i="69" s="1"/>
  <c r="G26" i="69" a="1"/>
  <c r="G26" i="69" s="1"/>
  <c r="F26" i="69" a="1"/>
  <c r="F26" i="69" s="1"/>
  <c r="E26" i="69" a="1"/>
  <c r="E26" i="69" s="1"/>
  <c r="D26" i="69" a="1"/>
  <c r="D26" i="69" s="1"/>
  <c r="L25" i="69" a="1"/>
  <c r="L25" i="69" s="1"/>
  <c r="K25" i="69" a="1"/>
  <c r="K25" i="69" s="1"/>
  <c r="J25" i="69" a="1"/>
  <c r="J25" i="69" s="1"/>
  <c r="I25" i="69" a="1"/>
  <c r="I25" i="69" s="1"/>
  <c r="H25" i="69" a="1"/>
  <c r="H25" i="69" s="1"/>
  <c r="G25" i="69" a="1"/>
  <c r="G25" i="69" s="1"/>
  <c r="F25" i="69" a="1"/>
  <c r="F25" i="69" s="1"/>
  <c r="E25" i="69" a="1"/>
  <c r="E25" i="69" s="1"/>
  <c r="D25" i="69" a="1"/>
  <c r="D25" i="69" s="1"/>
  <c r="L24" i="69" a="1"/>
  <c r="L24" i="69" s="1"/>
  <c r="K24" i="69" a="1"/>
  <c r="K24" i="69" s="1"/>
  <c r="J24" i="69" a="1"/>
  <c r="J24" i="69" s="1"/>
  <c r="I24" i="69" a="1"/>
  <c r="I24" i="69" s="1"/>
  <c r="H24" i="69" a="1"/>
  <c r="H24" i="69" s="1"/>
  <c r="G24" i="69" a="1"/>
  <c r="G24" i="69" s="1"/>
  <c r="F24" i="69" a="1"/>
  <c r="F24" i="69" s="1"/>
  <c r="E24" i="69" a="1"/>
  <c r="E24" i="69" s="1"/>
  <c r="D24" i="69" a="1"/>
  <c r="D24" i="69" s="1"/>
  <c r="L23" i="69" a="1"/>
  <c r="L23" i="69" s="1"/>
  <c r="K23" i="69" a="1"/>
  <c r="K23" i="69" s="1"/>
  <c r="J23" i="69" a="1"/>
  <c r="J23" i="69" s="1"/>
  <c r="I23" i="69" a="1"/>
  <c r="I23" i="69" s="1"/>
  <c r="H23" i="69" a="1"/>
  <c r="H23" i="69" s="1"/>
  <c r="G23" i="69" a="1"/>
  <c r="G23" i="69" s="1"/>
  <c r="F23" i="69" a="1"/>
  <c r="F23" i="69" s="1"/>
  <c r="E23" i="69" a="1"/>
  <c r="E23" i="69" s="1"/>
  <c r="D23" i="69" a="1"/>
  <c r="D23" i="69" s="1"/>
  <c r="L22" i="69" a="1"/>
  <c r="L22" i="69" s="1"/>
  <c r="K22" i="69" a="1"/>
  <c r="K22" i="69" s="1"/>
  <c r="J22" i="69" a="1"/>
  <c r="J22" i="69" s="1"/>
  <c r="I22" i="69" a="1"/>
  <c r="I22" i="69" s="1"/>
  <c r="H22" i="69" a="1"/>
  <c r="H22" i="69" s="1"/>
  <c r="G22" i="69" a="1"/>
  <c r="G22" i="69" s="1"/>
  <c r="F22" i="69" a="1"/>
  <c r="F22" i="69" s="1"/>
  <c r="E22" i="69" a="1"/>
  <c r="E22" i="69" s="1"/>
  <c r="D22" i="69" a="1"/>
  <c r="D22" i="69" s="1"/>
  <c r="L21" i="69" a="1"/>
  <c r="L21" i="69" s="1"/>
  <c r="K21" i="69" a="1"/>
  <c r="K21" i="69" s="1"/>
  <c r="J21" i="69" a="1"/>
  <c r="J21" i="69" s="1"/>
  <c r="I21" i="69" a="1"/>
  <c r="I21" i="69" s="1"/>
  <c r="H21" i="69" a="1"/>
  <c r="H21" i="69" s="1"/>
  <c r="G21" i="69" a="1"/>
  <c r="G21" i="69" s="1"/>
  <c r="F21" i="69" a="1"/>
  <c r="F21" i="69" s="1"/>
  <c r="E21" i="69" a="1"/>
  <c r="E21" i="69" s="1"/>
  <c r="D21" i="69" a="1"/>
  <c r="D21" i="69" s="1"/>
  <c r="L20" i="69" a="1"/>
  <c r="L20" i="69" s="1"/>
  <c r="K20" i="69" a="1"/>
  <c r="K20" i="69" s="1"/>
  <c r="J20" i="69" a="1"/>
  <c r="J20" i="69" s="1"/>
  <c r="I20" i="69" a="1"/>
  <c r="I20" i="69" s="1"/>
  <c r="H20" i="69" a="1"/>
  <c r="H20" i="69" s="1"/>
  <c r="G20" i="69" a="1"/>
  <c r="G20" i="69" s="1"/>
  <c r="F20" i="69" a="1"/>
  <c r="F20" i="69" s="1"/>
  <c r="E20" i="69" a="1"/>
  <c r="E20" i="69" s="1"/>
  <c r="D20" i="69" a="1"/>
  <c r="D20" i="69" s="1"/>
  <c r="L19" i="69" a="1"/>
  <c r="L19" i="69" s="1"/>
  <c r="K19" i="69" a="1"/>
  <c r="K19" i="69" s="1"/>
  <c r="J19" i="69" a="1"/>
  <c r="J19" i="69" s="1"/>
  <c r="I19" i="69" a="1"/>
  <c r="I19" i="69" s="1"/>
  <c r="H19" i="69" a="1"/>
  <c r="H19" i="69" s="1"/>
  <c r="G19" i="69" a="1"/>
  <c r="G19" i="69" s="1"/>
  <c r="F19" i="69" a="1"/>
  <c r="F19" i="69" s="1"/>
  <c r="E19" i="69" a="1"/>
  <c r="E19" i="69" s="1"/>
  <c r="D19" i="69" a="1"/>
  <c r="D19" i="69" s="1"/>
  <c r="L18" i="69" a="1"/>
  <c r="L18" i="69" s="1"/>
  <c r="K18" i="69" a="1"/>
  <c r="K18" i="69" s="1"/>
  <c r="J18" i="69" a="1"/>
  <c r="J18" i="69" s="1"/>
  <c r="I18" i="69" a="1"/>
  <c r="I18" i="69" s="1"/>
  <c r="H18" i="69" a="1"/>
  <c r="H18" i="69" s="1"/>
  <c r="G18" i="69" a="1"/>
  <c r="G18" i="69" s="1"/>
  <c r="F18" i="69" a="1"/>
  <c r="F18" i="69" s="1"/>
  <c r="E18" i="69" a="1"/>
  <c r="E18" i="69" s="1"/>
  <c r="D18" i="69" a="1"/>
  <c r="D18" i="69" s="1"/>
  <c r="L17" i="69" a="1"/>
  <c r="L17" i="69" s="1"/>
  <c r="K17" i="69" a="1"/>
  <c r="K17" i="69" s="1"/>
  <c r="J17" i="69" a="1"/>
  <c r="J17" i="69" s="1"/>
  <c r="I17" i="69" a="1"/>
  <c r="I17" i="69" s="1"/>
  <c r="H17" i="69" a="1"/>
  <c r="H17" i="69" s="1"/>
  <c r="G17" i="69" a="1"/>
  <c r="G17" i="69" s="1"/>
  <c r="F17" i="69" a="1"/>
  <c r="F17" i="69" s="1"/>
  <c r="E17" i="69" a="1"/>
  <c r="E17" i="69" s="1"/>
  <c r="E32" i="66" s="1"/>
  <c r="D17" i="69" a="1"/>
  <c r="D17" i="69" s="1"/>
  <c r="L16" i="69" a="1"/>
  <c r="L16" i="69" s="1"/>
  <c r="K16" i="69" a="1"/>
  <c r="K16" i="69" s="1"/>
  <c r="J16" i="69" a="1"/>
  <c r="J16" i="69" s="1"/>
  <c r="I16" i="69" a="1"/>
  <c r="I16" i="69" s="1"/>
  <c r="H16" i="69" a="1"/>
  <c r="H16" i="69" s="1"/>
  <c r="G16" i="69" a="1"/>
  <c r="G16" i="69" s="1"/>
  <c r="F16" i="69" a="1"/>
  <c r="F16" i="69" s="1"/>
  <c r="E16" i="69" a="1"/>
  <c r="E16" i="69" s="1"/>
  <c r="E31" i="66" s="1"/>
  <c r="D16" i="69" a="1"/>
  <c r="D16" i="69" s="1"/>
  <c r="L15" i="69" a="1"/>
  <c r="L15" i="69" s="1"/>
  <c r="K15" i="69" a="1"/>
  <c r="K15" i="69" s="1"/>
  <c r="J15" i="69" a="1"/>
  <c r="J15" i="69" s="1"/>
  <c r="I15" i="69" a="1"/>
  <c r="I15" i="69" s="1"/>
  <c r="H15" i="69" a="1"/>
  <c r="H15" i="69" s="1"/>
  <c r="G15" i="69" a="1"/>
  <c r="G15" i="69" s="1"/>
  <c r="F15" i="69" a="1"/>
  <c r="F15" i="69" s="1"/>
  <c r="E15" i="69" a="1"/>
  <c r="E15" i="69" s="1"/>
  <c r="E30" i="66" s="1"/>
  <c r="D15" i="69" a="1"/>
  <c r="D15" i="69" s="1"/>
  <c r="L14" i="69" a="1"/>
  <c r="L14" i="69" s="1"/>
  <c r="K14" i="69" a="1"/>
  <c r="K14" i="69" s="1"/>
  <c r="J14" i="69" a="1"/>
  <c r="J14" i="69" s="1"/>
  <c r="I14" i="69" a="1"/>
  <c r="I14" i="69" s="1"/>
  <c r="H14" i="69" a="1"/>
  <c r="H14" i="69" s="1"/>
  <c r="G14" i="69" a="1"/>
  <c r="G14" i="69" s="1"/>
  <c r="F14" i="69" a="1"/>
  <c r="F14" i="69" s="1"/>
  <c r="E14" i="69" a="1"/>
  <c r="E14" i="69" s="1"/>
  <c r="E29" i="66" s="1"/>
  <c r="D14" i="69" a="1"/>
  <c r="D14" i="69" s="1"/>
  <c r="L13" i="69" a="1"/>
  <c r="L13" i="69" s="1"/>
  <c r="K13" i="69" a="1"/>
  <c r="K13" i="69" s="1"/>
  <c r="J13" i="69" a="1"/>
  <c r="J13" i="69" s="1"/>
  <c r="I13" i="69" a="1"/>
  <c r="I13" i="69" s="1"/>
  <c r="H13" i="69" a="1"/>
  <c r="H13" i="69" s="1"/>
  <c r="G13" i="69" a="1"/>
  <c r="G13" i="69" s="1"/>
  <c r="F13" i="69" a="1"/>
  <c r="F13" i="69" s="1"/>
  <c r="E13" i="69" a="1"/>
  <c r="E13" i="69" s="1"/>
  <c r="E28" i="66" s="1"/>
  <c r="D13" i="69" a="1"/>
  <c r="D13" i="69" s="1"/>
  <c r="L12" i="69" a="1"/>
  <c r="L12" i="69" s="1"/>
  <c r="K12" i="69" a="1"/>
  <c r="K12" i="69" s="1"/>
  <c r="J12" i="69" a="1"/>
  <c r="J12" i="69" s="1"/>
  <c r="I12" i="69" a="1"/>
  <c r="I12" i="69" s="1"/>
  <c r="H12" i="69" a="1"/>
  <c r="H12" i="69" s="1"/>
  <c r="G12" i="69" a="1"/>
  <c r="G12" i="69" s="1"/>
  <c r="F12" i="69" a="1"/>
  <c r="F12" i="69" s="1"/>
  <c r="E12" i="69" a="1"/>
  <c r="E12" i="69" s="1"/>
  <c r="E27" i="66" s="1"/>
  <c r="D12" i="69" a="1"/>
  <c r="D12" i="69" s="1"/>
  <c r="L11" i="69" a="1"/>
  <c r="L11" i="69" s="1"/>
  <c r="K11" i="69" a="1"/>
  <c r="K11" i="69" s="1"/>
  <c r="J11" i="69" a="1"/>
  <c r="J11" i="69" s="1"/>
  <c r="I11" i="69" a="1"/>
  <c r="I11" i="69" s="1"/>
  <c r="H11" i="69" a="1"/>
  <c r="H11" i="69" s="1"/>
  <c r="G11" i="69" a="1"/>
  <c r="G11" i="69" s="1"/>
  <c r="F11" i="69" a="1"/>
  <c r="F11" i="69" s="1"/>
  <c r="E11" i="69" a="1"/>
  <c r="E11" i="69" s="1"/>
  <c r="E38" i="66" s="1"/>
  <c r="D11" i="69" a="1"/>
  <c r="D11" i="69" s="1"/>
  <c r="L10" i="69" a="1"/>
  <c r="L10" i="69" s="1"/>
  <c r="K10" i="69" a="1"/>
  <c r="K10" i="69" s="1"/>
  <c r="J10" i="69" a="1"/>
  <c r="J10" i="69" s="1"/>
  <c r="I10" i="69" a="1"/>
  <c r="I10" i="69" s="1"/>
  <c r="H10" i="69" a="1"/>
  <c r="H10" i="69" s="1"/>
  <c r="G10" i="69" a="1"/>
  <c r="G10" i="69" s="1"/>
  <c r="F10" i="69" a="1"/>
  <c r="F10" i="69" s="1"/>
  <c r="E10" i="69" a="1"/>
  <c r="E10" i="69" s="1"/>
  <c r="D10" i="69" a="1"/>
  <c r="D10" i="69" s="1"/>
  <c r="D8" i="69" a="1"/>
  <c r="D8" i="69" s="1"/>
  <c r="D7" i="69" a="1"/>
  <c r="D7" i="69" s="1"/>
  <c r="D6" i="69" a="1"/>
  <c r="D6" i="69" s="1"/>
  <c r="D5" i="69" a="1"/>
  <c r="D5" i="69" s="1"/>
  <c r="H185" i="68"/>
  <c r="H179" i="68"/>
  <c r="H168" i="68"/>
  <c r="H144" i="68"/>
  <c r="H138" i="68"/>
  <c r="H127" i="68"/>
  <c r="H105" i="68" a="1"/>
  <c r="H105" i="68" s="1"/>
  <c r="D105" i="68" a="1"/>
  <c r="D105" i="68" s="1"/>
  <c r="E103" i="68" a="1"/>
  <c r="E103" i="68" s="1"/>
  <c r="E102" i="68" a="1"/>
  <c r="E102" i="68" s="1"/>
  <c r="D98" i="68" a="1"/>
  <c r="D98" i="68" s="1"/>
  <c r="D97" i="68" a="1"/>
  <c r="D97" i="68" s="1"/>
  <c r="D96" i="68" a="1"/>
  <c r="D96" i="68" s="1"/>
  <c r="J16" i="68" a="1"/>
  <c r="J16" i="68" s="1"/>
  <c r="I16" i="68" a="1"/>
  <c r="I16" i="68" s="1"/>
  <c r="J15" i="68" a="1"/>
  <c r="J15" i="68" s="1"/>
  <c r="I15" i="68" a="1"/>
  <c r="I15" i="68" s="1"/>
  <c r="J14" i="68" a="1"/>
  <c r="J14" i="68" s="1"/>
  <c r="I14" i="68" a="1"/>
  <c r="I14" i="68" s="1"/>
  <c r="J13" i="68" a="1"/>
  <c r="J13" i="68" s="1"/>
  <c r="I13" i="68" a="1"/>
  <c r="I13" i="68" s="1"/>
  <c r="G13" i="68" a="1"/>
  <c r="G13" i="68" s="1"/>
  <c r="D13" i="68" a="1"/>
  <c r="D13" i="68" s="1"/>
  <c r="E11" i="68" a="1"/>
  <c r="E11" i="68" s="1"/>
  <c r="E10" i="68" a="1"/>
  <c r="E10" i="68" s="1"/>
  <c r="D6" i="68" a="1"/>
  <c r="D6" i="68" s="1"/>
  <c r="D5" i="68" a="1"/>
  <c r="D5" i="68" s="1"/>
  <c r="D34" i="67"/>
  <c r="D36" i="67"/>
  <c r="D27" i="67"/>
  <c r="D29" i="67"/>
  <c r="P18" i="67"/>
  <c r="P17" i="67"/>
  <c r="P16" i="67" a="1"/>
  <c r="P16" i="67" s="1"/>
  <c r="I16" i="67" a="1"/>
  <c r="I16" i="67" s="1"/>
  <c r="P15" i="67" a="1"/>
  <c r="P15" i="67" s="1"/>
  <c r="I15" i="67" a="1"/>
  <c r="I15" i="67" s="1"/>
  <c r="P14" i="67" a="1"/>
  <c r="P14" i="67" s="1"/>
  <c r="N14" i="67" a="1"/>
  <c r="N14" i="67" s="1"/>
  <c r="K14" i="67" a="1"/>
  <c r="K14" i="67" s="1"/>
  <c r="I14" i="67" a="1"/>
  <c r="I14" i="67" s="1"/>
  <c r="G14" i="67" a="1"/>
  <c r="G14" i="67" s="1"/>
  <c r="D14" i="67" a="1"/>
  <c r="D14" i="67" s="1"/>
  <c r="L12" i="67" a="1"/>
  <c r="L12" i="67" s="1"/>
  <c r="E12" i="67" a="1"/>
  <c r="E12" i="67" s="1"/>
  <c r="L11" i="67" a="1"/>
  <c r="L11" i="67" s="1"/>
  <c r="E11" i="67" a="1"/>
  <c r="E11" i="67" s="1"/>
  <c r="K7" i="67" a="1"/>
  <c r="K7" i="67" s="1"/>
  <c r="K6" i="67" a="1"/>
  <c r="K6" i="67" s="1"/>
  <c r="D6" i="67" a="1"/>
  <c r="D6" i="67" s="1"/>
  <c r="K5" i="67" a="1"/>
  <c r="K5" i="67" s="1"/>
  <c r="D5" i="67" a="1"/>
  <c r="D5" i="67" s="1"/>
  <c r="D39" i="66"/>
  <c r="D38" i="66"/>
  <c r="D60" i="66"/>
  <c r="P16" i="66" a="1"/>
  <c r="P16" i="66" s="1"/>
  <c r="I16" i="66" a="1"/>
  <c r="I16" i="66" s="1"/>
  <c r="P15" i="66" a="1"/>
  <c r="P15" i="66" s="1"/>
  <c r="I15" i="66" a="1"/>
  <c r="I15" i="66" s="1"/>
  <c r="P14" i="66" a="1"/>
  <c r="P14" i="66" s="1"/>
  <c r="N14" i="66" a="1"/>
  <c r="N14" i="66" s="1"/>
  <c r="K14" i="66" a="1"/>
  <c r="K14" i="66" s="1"/>
  <c r="I14" i="66" a="1"/>
  <c r="I14" i="66" s="1"/>
  <c r="G14" i="66" a="1"/>
  <c r="G14" i="66" s="1"/>
  <c r="D14" i="66" a="1"/>
  <c r="D14" i="66" s="1"/>
  <c r="L12" i="66" a="1"/>
  <c r="L12" i="66" s="1"/>
  <c r="E12" i="66" a="1"/>
  <c r="E12" i="66" s="1"/>
  <c r="L11" i="66" a="1"/>
  <c r="L11" i="66" s="1"/>
  <c r="E11" i="66" a="1"/>
  <c r="E11" i="66" s="1"/>
  <c r="K6" i="66" a="1"/>
  <c r="K6" i="66" s="1"/>
  <c r="D6" i="66" a="1"/>
  <c r="D6" i="66" s="1"/>
  <c r="K5" i="66" a="1"/>
  <c r="K5" i="66" s="1"/>
  <c r="D5" i="66" a="1"/>
  <c r="D5" i="66" s="1"/>
  <c r="H48" i="65"/>
  <c r="E48" i="65"/>
  <c r="H47" i="65"/>
  <c r="E47" i="65"/>
  <c r="H46" i="65"/>
  <c r="E46" i="65"/>
  <c r="H39" i="65"/>
  <c r="H38" i="65"/>
  <c r="H37" i="65"/>
  <c r="E29" i="65"/>
  <c r="E16" i="65"/>
  <c r="E22" i="65" s="1"/>
  <c r="E6" i="65"/>
  <c r="H21" i="63"/>
  <c r="H20" i="63"/>
  <c r="H19" i="63"/>
  <c r="H18" i="63"/>
  <c r="H17" i="63"/>
  <c r="I56" i="62"/>
  <c r="G56" i="62"/>
  <c r="I55" i="62"/>
  <c r="G55" i="62"/>
  <c r="I54" i="62"/>
  <c r="G54" i="62"/>
  <c r="K44" i="62"/>
  <c r="G44" i="62"/>
  <c r="K43" i="62"/>
  <c r="G43" i="62"/>
  <c r="K42" i="62"/>
  <c r="G42" i="62"/>
  <c r="F34" i="62"/>
  <c r="G34" i="62" s="1"/>
  <c r="F33" i="62"/>
  <c r="G33" i="62" s="1"/>
  <c r="F32" i="62"/>
  <c r="G32" i="62" s="1"/>
  <c r="F31" i="62"/>
  <c r="G31" i="62" s="1"/>
  <c r="F30" i="62"/>
  <c r="G30" i="62" s="1"/>
  <c r="F29" i="62"/>
  <c r="G29" i="62" s="1"/>
  <c r="F28" i="62"/>
  <c r="G28" i="62" s="1"/>
  <c r="F27" i="62"/>
  <c r="G27" i="62" s="1"/>
  <c r="F26" i="62"/>
  <c r="G26" i="62" s="1"/>
  <c r="F25" i="62"/>
  <c r="G25" i="62" s="1"/>
  <c r="G21" i="62"/>
  <c r="G20" i="62"/>
  <c r="G19" i="62"/>
  <c r="G18" i="62"/>
  <c r="G17" i="62"/>
  <c r="G16" i="62"/>
  <c r="G15" i="62"/>
  <c r="G14" i="62"/>
  <c r="G13" i="62"/>
  <c r="G12" i="62"/>
  <c r="E29" i="61"/>
  <c r="E13" i="61"/>
  <c r="E30" i="65" s="1"/>
  <c r="I37" i="65" s="1"/>
  <c r="H17" i="59"/>
  <c r="H16" i="59"/>
  <c r="H15" i="59"/>
  <c r="H14" i="59"/>
  <c r="H13" i="59"/>
  <c r="H12" i="59"/>
  <c r="H11" i="59"/>
  <c r="H10" i="59"/>
  <c r="H9" i="59"/>
  <c r="H8" i="59"/>
  <c r="H19" i="58"/>
  <c r="R19" i="58" s="1"/>
  <c r="H18" i="58"/>
  <c r="R18" i="58" s="1"/>
  <c r="H17" i="58"/>
  <c r="R17" i="58" s="1"/>
  <c r="H16" i="58"/>
  <c r="L16" i="58" s="1"/>
  <c r="H15" i="58"/>
  <c r="R15" i="58" s="1"/>
  <c r="H14" i="58"/>
  <c r="R14" i="58" s="1"/>
  <c r="H13" i="58"/>
  <c r="R13" i="58" s="1"/>
  <c r="H12" i="58"/>
  <c r="R12" i="58" s="1"/>
  <c r="H11" i="58"/>
  <c r="R11" i="58" s="1"/>
  <c r="H10" i="58"/>
  <c r="R10" i="58" s="1"/>
  <c r="Q8" i="58" a="1"/>
  <c r="Q8" i="58" s="1"/>
  <c r="N8" i="58" a="1"/>
  <c r="N8" i="58" s="1"/>
  <c r="K8" i="58" a="1"/>
  <c r="K8" i="58" s="1"/>
  <c r="E20" i="41"/>
  <c r="E22" i="41"/>
  <c r="E28" i="41"/>
  <c r="E36" i="41"/>
  <c r="E35" i="41"/>
  <c r="N578" i="19" a="1"/>
  <c r="N578" i="19" s="1"/>
  <c r="L575" i="19" a="1"/>
  <c r="L575" i="19" s="1"/>
  <c r="P569" i="19" a="1"/>
  <c r="P569" i="19" s="1"/>
  <c r="L569" i="19" a="1"/>
  <c r="L569" i="19" s="1"/>
  <c r="E42" i="34"/>
  <c r="E7" i="67" a="1"/>
  <c r="E7" i="68" a="1"/>
  <c r="O79" i="34"/>
  <c r="E79" i="34"/>
  <c r="O7" i="34"/>
  <c r="L7" i="66" a="1"/>
  <c r="E523" i="19"/>
  <c r="E7" i="66" a="1"/>
  <c r="E540" i="19"/>
  <c r="E7" i="34"/>
  <c r="L8" i="67" a="1"/>
  <c r="E508" i="19"/>
  <c r="E99" i="68" a="1"/>
  <c r="O42" i="34"/>
  <c r="R21" i="62" l="1" a="1"/>
  <c r="R21" i="62" s="1"/>
  <c r="H48" i="78"/>
  <c r="H54" i="78"/>
  <c r="H51" i="78"/>
  <c r="E237" i="19" a="1"/>
  <c r="E237" i="19" s="1"/>
  <c r="H49" i="78"/>
  <c r="H52" i="78"/>
  <c r="H50" i="78"/>
  <c r="H53" i="78"/>
  <c r="G13" i="53" a="1"/>
  <c r="G13" i="53" s="1"/>
  <c r="G16" i="54" a="1"/>
  <c r="G16" i="54" s="1"/>
  <c r="H9" i="52" a="1"/>
  <c r="H9" i="52" s="1"/>
  <c r="K39" i="67" a="1"/>
  <c r="K39" i="67" s="1"/>
  <c r="P31" i="62"/>
  <c r="E305" i="19" a="1"/>
  <c r="E305" i="19" s="1"/>
  <c r="M35" i="67" a="1"/>
  <c r="M35" i="67" s="1"/>
  <c r="M28" i="66" a="1"/>
  <c r="M28" i="66" s="1"/>
  <c r="K30" i="67"/>
  <c r="J30" i="67"/>
  <c r="I30" i="67"/>
  <c r="H30" i="67"/>
  <c r="G30" i="67"/>
  <c r="J39" i="67"/>
  <c r="I39" i="67"/>
  <c r="H39" i="67"/>
  <c r="G39" i="67"/>
  <c r="M36" i="66" a="1"/>
  <c r="M36" i="66" s="1"/>
  <c r="M39" i="67" a="1"/>
  <c r="M39" i="67" s="1"/>
  <c r="M25" i="67" a="1"/>
  <c r="M25" i="67" s="1"/>
  <c r="L25" i="67" a="1"/>
  <c r="L25" i="67" s="1"/>
  <c r="M27" i="66" a="1"/>
  <c r="M27" i="66" s="1"/>
  <c r="M32" i="66" a="1"/>
  <c r="M32" i="66" s="1"/>
  <c r="G26" i="67"/>
  <c r="K26" i="67"/>
  <c r="J26" i="67"/>
  <c r="I26" i="67"/>
  <c r="H26" i="67"/>
  <c r="I38" i="67"/>
  <c r="H38" i="67"/>
  <c r="G38" i="67"/>
  <c r="K38" i="67"/>
  <c r="J38" i="67"/>
  <c r="M32" i="67" a="1"/>
  <c r="M32" i="67" s="1"/>
  <c r="M28" i="67" a="1"/>
  <c r="M28" i="67" s="1"/>
  <c r="M40" i="67" a="1"/>
  <c r="M40" i="67" s="1"/>
  <c r="M34" i="66" a="1"/>
  <c r="M34" i="66" s="1"/>
  <c r="L34" i="66" a="1"/>
  <c r="L34" i="66" s="1"/>
  <c r="M25" i="66" a="1"/>
  <c r="M25" i="66" s="1"/>
  <c r="L25" i="66" a="1"/>
  <c r="L25" i="66" s="1"/>
  <c r="M33" i="66" a="1"/>
  <c r="M33" i="66" s="1"/>
  <c r="M29" i="67" a="1"/>
  <c r="M29" i="67" s="1"/>
  <c r="L29" i="67" a="1"/>
  <c r="L29" i="67" s="1"/>
  <c r="K27" i="67"/>
  <c r="J27" i="67"/>
  <c r="I27" i="67"/>
  <c r="H27" i="67"/>
  <c r="G27" i="67"/>
  <c r="H29" i="67"/>
  <c r="G29" i="67"/>
  <c r="K29" i="67"/>
  <c r="J29" i="67"/>
  <c r="I29" i="67"/>
  <c r="M37" i="66" a="1"/>
  <c r="M37" i="66" s="1"/>
  <c r="L37" i="66" a="1"/>
  <c r="L37" i="66" s="1"/>
  <c r="M36" i="67" a="1"/>
  <c r="M36" i="67" s="1"/>
  <c r="L36" i="67" a="1"/>
  <c r="L36" i="67" s="1"/>
  <c r="J40" i="67"/>
  <c r="I40" i="67"/>
  <c r="H40" i="67"/>
  <c r="G40" i="67"/>
  <c r="G38" i="66" a="1"/>
  <c r="G38" i="66" s="1"/>
  <c r="M33" i="67" a="1"/>
  <c r="M33" i="67" s="1"/>
  <c r="M30" i="67" a="1"/>
  <c r="M30" i="67" s="1"/>
  <c r="M29" i="66" a="1"/>
  <c r="M29" i="66" s="1"/>
  <c r="M35" i="66" a="1"/>
  <c r="M35" i="66" s="1"/>
  <c r="M37" i="67" a="1"/>
  <c r="M37" i="67" s="1"/>
  <c r="H32" i="67"/>
  <c r="G32" i="67"/>
  <c r="K32" i="67"/>
  <c r="J32" i="67"/>
  <c r="I32" i="67"/>
  <c r="M26" i="66" a="1"/>
  <c r="M26" i="66" s="1"/>
  <c r="M30" i="66" a="1"/>
  <c r="M30" i="66" s="1"/>
  <c r="M26" i="67" a="1"/>
  <c r="M26" i="67" s="1"/>
  <c r="M38" i="66" a="1"/>
  <c r="M38" i="66" s="1"/>
  <c r="L38" i="66" a="1"/>
  <c r="L38" i="66" s="1"/>
  <c r="M31" i="67" a="1"/>
  <c r="M31" i="67" s="1"/>
  <c r="H35" i="67"/>
  <c r="G35" i="67"/>
  <c r="K35" i="67"/>
  <c r="J35" i="67"/>
  <c r="I35" i="67"/>
  <c r="L27" i="67" a="1"/>
  <c r="L27" i="67" s="1"/>
  <c r="M27" i="67" a="1"/>
  <c r="M27" i="67" s="1"/>
  <c r="M38" i="67" a="1"/>
  <c r="M38" i="67" s="1"/>
  <c r="H305" i="19" a="1"/>
  <c r="H305" i="19" s="1"/>
  <c r="G305" i="19" a="1"/>
  <c r="G305" i="19" s="1"/>
  <c r="F305" i="19" a="1"/>
  <c r="F305" i="19" s="1"/>
  <c r="M34" i="67" a="1"/>
  <c r="M34" i="67" s="1"/>
  <c r="L34" i="67" a="1"/>
  <c r="L34" i="67" s="1"/>
  <c r="M31" i="66" a="1"/>
  <c r="M31" i="66" s="1"/>
  <c r="G14" i="53" a="1"/>
  <c r="G14" i="53" s="1"/>
  <c r="G194" i="20"/>
  <c r="M12" i="62" a="1"/>
  <c r="M12" i="62" s="1"/>
  <c r="H13" i="62"/>
  <c r="I13" i="62" s="1"/>
  <c r="W13" i="62" a="1"/>
  <c r="W13" i="62" s="1"/>
  <c r="S14" i="62" a="1"/>
  <c r="S14" i="62" s="1"/>
  <c r="O15" i="62" a="1"/>
  <c r="O15" i="62" s="1"/>
  <c r="K16" i="62" a="1"/>
  <c r="K16" i="62" s="1"/>
  <c r="Z16" i="62"/>
  <c r="U17" i="62" a="1"/>
  <c r="U17" i="62" s="1"/>
  <c r="Q18" i="62" a="1"/>
  <c r="Q18" i="62" s="1"/>
  <c r="M19" i="62" a="1"/>
  <c r="M19" i="62" s="1"/>
  <c r="H20" i="62"/>
  <c r="I20" i="62" s="1"/>
  <c r="W20" i="62" a="1"/>
  <c r="W20" i="62" s="1"/>
  <c r="S21" i="62" a="1"/>
  <c r="S21" i="62" s="1"/>
  <c r="P32" i="62"/>
  <c r="H29" i="66" a="1"/>
  <c r="H29" i="66" s="1"/>
  <c r="I32" i="66" a="1"/>
  <c r="I32" i="66" s="1"/>
  <c r="H35" i="66" a="1"/>
  <c r="H35" i="66" s="1"/>
  <c r="H38" i="66" a="1"/>
  <c r="H38" i="66" s="1"/>
  <c r="M39" i="66" a="1"/>
  <c r="M39" i="66" s="1"/>
  <c r="E31" i="67"/>
  <c r="E34" i="67"/>
  <c r="E37" i="67"/>
  <c r="G15" i="53" a="1"/>
  <c r="G15" i="53" s="1"/>
  <c r="H194" i="20"/>
  <c r="I18" i="63"/>
  <c r="L32" i="67" s="1" a="1"/>
  <c r="L32" i="67" s="1"/>
  <c r="N12" i="62" a="1"/>
  <c r="N12" i="62" s="1"/>
  <c r="J13" i="62" a="1"/>
  <c r="J13" i="62" s="1"/>
  <c r="Y13" i="62"/>
  <c r="T14" i="62" a="1"/>
  <c r="T14" i="62" s="1"/>
  <c r="P15" i="62" a="1"/>
  <c r="P15" i="62" s="1"/>
  <c r="L16" i="62" a="1"/>
  <c r="L16" i="62" s="1"/>
  <c r="F17" i="62"/>
  <c r="R18" i="62" a="1"/>
  <c r="R18" i="62" s="1"/>
  <c r="N19" i="62" a="1"/>
  <c r="N19" i="62" s="1"/>
  <c r="J20" i="62" a="1"/>
  <c r="J20" i="62" s="1"/>
  <c r="Y20" i="62"/>
  <c r="T21" i="62" a="1"/>
  <c r="T21" i="62" s="1"/>
  <c r="P33" i="62"/>
  <c r="I29" i="66" a="1"/>
  <c r="I29" i="66" s="1"/>
  <c r="J32" i="66" a="1"/>
  <c r="J32" i="66" s="1"/>
  <c r="I35" i="66" a="1"/>
  <c r="I35" i="66" s="1"/>
  <c r="I38" i="66" a="1"/>
  <c r="I38" i="66" s="1"/>
  <c r="E28" i="67"/>
  <c r="G16" i="53" a="1"/>
  <c r="G16" i="53" s="1"/>
  <c r="G195" i="20"/>
  <c r="O12" i="62" a="1"/>
  <c r="O12" i="62" s="1"/>
  <c r="K13" i="62" a="1"/>
  <c r="K13" i="62" s="1"/>
  <c r="Z13" i="62"/>
  <c r="U14" i="62" a="1"/>
  <c r="U14" i="62" s="1"/>
  <c r="Q15" i="62" a="1"/>
  <c r="Q15" i="62" s="1"/>
  <c r="M16" i="62" a="1"/>
  <c r="M16" i="62" s="1"/>
  <c r="H17" i="62"/>
  <c r="W17" i="62" a="1"/>
  <c r="W17" i="62" s="1"/>
  <c r="S18" i="62" a="1"/>
  <c r="S18" i="62" s="1"/>
  <c r="O19" i="62" a="1"/>
  <c r="O19" i="62" s="1"/>
  <c r="K20" i="62" a="1"/>
  <c r="K20" i="62" s="1"/>
  <c r="Z20" i="62"/>
  <c r="U21" i="62" a="1"/>
  <c r="U21" i="62" s="1"/>
  <c r="P34" i="62"/>
  <c r="E25" i="66"/>
  <c r="I25" i="66" s="1" a="1"/>
  <c r="I25" i="66" s="1"/>
  <c r="J29" i="66" a="1"/>
  <c r="J29" i="66" s="1"/>
  <c r="K32" i="66" a="1"/>
  <c r="K32" i="66" s="1"/>
  <c r="J35" i="66" a="1"/>
  <c r="J35" i="66" s="1"/>
  <c r="E37" i="66"/>
  <c r="G37" i="66" s="1" a="1"/>
  <c r="G37" i="66" s="1"/>
  <c r="J38" i="66" a="1"/>
  <c r="J38" i="66" s="1"/>
  <c r="E25" i="67"/>
  <c r="G7" i="54" a="1"/>
  <c r="G7" i="54" s="1"/>
  <c r="G183" i="20"/>
  <c r="H195" i="20"/>
  <c r="I19" i="63"/>
  <c r="P12" i="62" a="1"/>
  <c r="P12" i="62" s="1"/>
  <c r="L13" i="62" a="1"/>
  <c r="L13" i="62" s="1"/>
  <c r="F14" i="62"/>
  <c r="R15" i="62" a="1"/>
  <c r="R15" i="62" s="1"/>
  <c r="N16" i="62" a="1"/>
  <c r="N16" i="62" s="1"/>
  <c r="J17" i="62" a="1"/>
  <c r="J17" i="62" s="1"/>
  <c r="Y17" i="62"/>
  <c r="T18" i="62" a="1"/>
  <c r="T18" i="62" s="1"/>
  <c r="P19" i="62" a="1"/>
  <c r="P19" i="62" s="1"/>
  <c r="L20" i="62" a="1"/>
  <c r="L20" i="62" s="1"/>
  <c r="F21" i="62"/>
  <c r="D21" i="68" a="1"/>
  <c r="K29" i="66" a="1"/>
  <c r="K29" i="66" s="1"/>
  <c r="G31" i="66" a="1"/>
  <c r="G31" i="66" s="1"/>
  <c r="K35" i="66" a="1"/>
  <c r="K35" i="66" s="1"/>
  <c r="K38" i="66" a="1"/>
  <c r="K38" i="66" s="1"/>
  <c r="G8" i="54" a="1"/>
  <c r="G8" i="54" s="1"/>
  <c r="G174" i="20"/>
  <c r="G196" i="20"/>
  <c r="Q12" i="62" a="1"/>
  <c r="Q12" i="62" s="1"/>
  <c r="M13" i="62" a="1"/>
  <c r="M13" i="62" s="1"/>
  <c r="H14" i="62"/>
  <c r="I14" i="62" s="1"/>
  <c r="W14" i="62" a="1"/>
  <c r="W14" i="62" s="1"/>
  <c r="S15" i="62" a="1"/>
  <c r="S15" i="62" s="1"/>
  <c r="O16" i="62" a="1"/>
  <c r="O16" i="62" s="1"/>
  <c r="K17" i="62" a="1"/>
  <c r="K17" i="62" s="1"/>
  <c r="Z17" i="62"/>
  <c r="U18" i="62" a="1"/>
  <c r="U18" i="62" s="1"/>
  <c r="Q19" i="62" a="1"/>
  <c r="Q19" i="62" s="1"/>
  <c r="M20" i="62" a="1"/>
  <c r="M20" i="62" s="1"/>
  <c r="H21" i="62"/>
  <c r="I21" i="62" s="1"/>
  <c r="W21" i="62" a="1"/>
  <c r="W21" i="62" s="1"/>
  <c r="E21" i="68" a="1"/>
  <c r="D157" i="68" a="1"/>
  <c r="D157" i="68" s="1"/>
  <c r="G28" i="66" a="1"/>
  <c r="G28" i="66" s="1"/>
  <c r="H31" i="66" a="1"/>
  <c r="H31" i="66" s="1"/>
  <c r="G34" i="66" a="1"/>
  <c r="G34" i="66" s="1"/>
  <c r="G9" i="54" a="1"/>
  <c r="G9" i="54" s="1"/>
  <c r="H196" i="20"/>
  <c r="I20" i="63"/>
  <c r="L33" i="66" s="1" a="1"/>
  <c r="L33" i="66" s="1"/>
  <c r="R12" i="62" a="1"/>
  <c r="R12" i="62" s="1"/>
  <c r="N13" i="62" a="1"/>
  <c r="N13" i="62" s="1"/>
  <c r="J14" i="62" a="1"/>
  <c r="J14" i="62" s="1"/>
  <c r="Y14" i="62"/>
  <c r="T15" i="62" a="1"/>
  <c r="T15" i="62" s="1"/>
  <c r="P16" i="62" a="1"/>
  <c r="P16" i="62" s="1"/>
  <c r="L17" i="62" a="1"/>
  <c r="L17" i="62" s="1"/>
  <c r="F18" i="62"/>
  <c r="R19" i="62" a="1"/>
  <c r="R19" i="62" s="1"/>
  <c r="N20" i="62" a="1"/>
  <c r="N20" i="62" s="1"/>
  <c r="J21" i="62" a="1"/>
  <c r="J21" i="62" s="1"/>
  <c r="Y21" i="62"/>
  <c r="E157" i="68" a="1"/>
  <c r="E157" i="68" s="1"/>
  <c r="H28" i="66" a="1"/>
  <c r="H28" i="66" s="1"/>
  <c r="I31" i="66" a="1"/>
  <c r="I31" i="66" s="1"/>
  <c r="H34" i="66" a="1"/>
  <c r="H34" i="66" s="1"/>
  <c r="E33" i="67"/>
  <c r="E36" i="67"/>
  <c r="G10" i="54" a="1"/>
  <c r="G10" i="54" s="1"/>
  <c r="G175" i="20"/>
  <c r="S12" i="62" a="1"/>
  <c r="S12" i="62" s="1"/>
  <c r="O13" i="62" a="1"/>
  <c r="O13" i="62" s="1"/>
  <c r="K14" i="62" a="1"/>
  <c r="K14" i="62" s="1"/>
  <c r="Z14" i="62"/>
  <c r="U15" i="62" a="1"/>
  <c r="U15" i="62" s="1"/>
  <c r="Q16" i="62" a="1"/>
  <c r="Q16" i="62" s="1"/>
  <c r="M17" i="62" a="1"/>
  <c r="M17" i="62" s="1"/>
  <c r="H18" i="62"/>
  <c r="W18" i="62" a="1"/>
  <c r="W18" i="62" s="1"/>
  <c r="S19" i="62" a="1"/>
  <c r="S19" i="62" s="1"/>
  <c r="O20" i="62" a="1"/>
  <c r="O20" i="62" s="1"/>
  <c r="K21" i="62" a="1"/>
  <c r="K21" i="62" s="1"/>
  <c r="Z21" i="62"/>
  <c r="I28" i="66" a="1"/>
  <c r="I28" i="66" s="1"/>
  <c r="J31" i="66" a="1"/>
  <c r="J31" i="66" s="1"/>
  <c r="E33" i="66"/>
  <c r="I34" i="66" a="1"/>
  <c r="I34" i="66" s="1"/>
  <c r="G7" i="53" a="1"/>
  <c r="G7" i="53" s="1"/>
  <c r="G11" i="54" a="1"/>
  <c r="G11" i="54" s="1"/>
  <c r="H197" i="20"/>
  <c r="I21" i="63"/>
  <c r="L39" i="66" s="1" a="1"/>
  <c r="L39" i="66" s="1"/>
  <c r="T12" i="62" a="1"/>
  <c r="T12" i="62" s="1"/>
  <c r="P13" i="62" a="1"/>
  <c r="P13" i="62" s="1"/>
  <c r="L14" i="62" a="1"/>
  <c r="L14" i="62" s="1"/>
  <c r="F15" i="62"/>
  <c r="R16" i="62" a="1"/>
  <c r="R16" i="62" s="1"/>
  <c r="N17" i="62" a="1"/>
  <c r="N17" i="62" s="1"/>
  <c r="J18" i="62" a="1"/>
  <c r="J18" i="62" s="1"/>
  <c r="Y18" i="62"/>
  <c r="T19" i="62" a="1"/>
  <c r="T19" i="62" s="1"/>
  <c r="P20" i="62" a="1"/>
  <c r="P20" i="62" s="1"/>
  <c r="L21" i="62" a="1"/>
  <c r="L21" i="62" s="1"/>
  <c r="P25" i="62"/>
  <c r="D116" i="68" a="1"/>
  <c r="D116" i="68" s="1"/>
  <c r="J28" i="66" a="1"/>
  <c r="J28" i="66" s="1"/>
  <c r="K31" i="66" a="1"/>
  <c r="K31" i="66" s="1"/>
  <c r="J34" i="66" a="1"/>
  <c r="J34" i="66" s="1"/>
  <c r="G8" i="53" a="1"/>
  <c r="G8" i="53" s="1"/>
  <c r="G12" i="54" a="1"/>
  <c r="G12" i="54" s="1"/>
  <c r="G176" i="20"/>
  <c r="U12" i="62" a="1"/>
  <c r="U12" i="62" s="1"/>
  <c r="Q13" i="62" a="1"/>
  <c r="Q13" i="62" s="1"/>
  <c r="M14" i="62" a="1"/>
  <c r="M14" i="62" s="1"/>
  <c r="H15" i="62"/>
  <c r="I15" i="62" s="1"/>
  <c r="W15" i="62" a="1"/>
  <c r="W15" i="62" s="1"/>
  <c r="S16" i="62" a="1"/>
  <c r="S16" i="62" s="1"/>
  <c r="O17" i="62" a="1"/>
  <c r="O17" i="62" s="1"/>
  <c r="K18" i="62" a="1"/>
  <c r="K18" i="62" s="1"/>
  <c r="Z18" i="62"/>
  <c r="U19" i="62" a="1"/>
  <c r="U19" i="62" s="1"/>
  <c r="Q20" i="62" a="1"/>
  <c r="Q20" i="62" s="1"/>
  <c r="M21" i="62" a="1"/>
  <c r="M21" i="62" s="1"/>
  <c r="P26" i="62"/>
  <c r="E116" i="68" a="1"/>
  <c r="E116" i="68" s="1"/>
  <c r="G27" i="66" a="1"/>
  <c r="G27" i="66" s="1"/>
  <c r="K28" i="66" a="1"/>
  <c r="K28" i="66" s="1"/>
  <c r="G30" i="66" a="1"/>
  <c r="G30" i="66" s="1"/>
  <c r="G33" i="66" a="1"/>
  <c r="G33" i="66" s="1"/>
  <c r="K34" i="66" a="1"/>
  <c r="K34" i="66" s="1"/>
  <c r="G36" i="66" a="1"/>
  <c r="G36" i="66" s="1"/>
  <c r="G39" i="66" a="1"/>
  <c r="G39" i="66" s="1"/>
  <c r="G9" i="53" a="1"/>
  <c r="G9" i="53" s="1"/>
  <c r="G13" i="54" a="1"/>
  <c r="G13" i="54" s="1"/>
  <c r="F12" i="62"/>
  <c r="R13" i="62" a="1"/>
  <c r="R13" i="62" s="1"/>
  <c r="N14" i="62" a="1"/>
  <c r="N14" i="62" s="1"/>
  <c r="J15" i="62" a="1"/>
  <c r="J15" i="62" s="1"/>
  <c r="Y15" i="62"/>
  <c r="T16" i="62" a="1"/>
  <c r="T16" i="62" s="1"/>
  <c r="P17" i="62" a="1"/>
  <c r="P17" i="62" s="1"/>
  <c r="L18" i="62" a="1"/>
  <c r="L18" i="62" s="1"/>
  <c r="F19" i="62"/>
  <c r="R20" i="62" a="1"/>
  <c r="R20" i="62" s="1"/>
  <c r="N21" i="62" a="1"/>
  <c r="N21" i="62" s="1"/>
  <c r="P27" i="62"/>
  <c r="H27" i="66" a="1"/>
  <c r="H27" i="66" s="1"/>
  <c r="H30" i="66" a="1"/>
  <c r="H30" i="66" s="1"/>
  <c r="H33" i="66" a="1"/>
  <c r="H33" i="66" s="1"/>
  <c r="H36" i="66" a="1"/>
  <c r="H36" i="66" s="1"/>
  <c r="H39" i="66" a="1"/>
  <c r="H39" i="66" s="1"/>
  <c r="K40" i="67" a="1"/>
  <c r="K40" i="67" s="1"/>
  <c r="G10" i="53" a="1"/>
  <c r="G10" i="53" s="1"/>
  <c r="G14" i="54" a="1"/>
  <c r="G14" i="54" s="1"/>
  <c r="H12" i="62"/>
  <c r="I12" i="62" s="1"/>
  <c r="W12" i="62" a="1"/>
  <c r="W12" i="62" s="1"/>
  <c r="S13" i="62" a="1"/>
  <c r="S13" i="62" s="1"/>
  <c r="O14" i="62" a="1"/>
  <c r="O14" i="62" s="1"/>
  <c r="K15" i="62" a="1"/>
  <c r="K15" i="62" s="1"/>
  <c r="Z15" i="62"/>
  <c r="U16" i="62" a="1"/>
  <c r="U16" i="62" s="1"/>
  <c r="Q17" i="62" a="1"/>
  <c r="Q17" i="62" s="1"/>
  <c r="M18" i="62" a="1"/>
  <c r="M18" i="62" s="1"/>
  <c r="H19" i="62"/>
  <c r="I19" i="62" s="1"/>
  <c r="W19" i="62" a="1"/>
  <c r="W19" i="62" s="1"/>
  <c r="S20" i="62" a="1"/>
  <c r="S20" i="62" s="1"/>
  <c r="O21" i="62" a="1"/>
  <c r="O21" i="62" s="1"/>
  <c r="P28" i="62"/>
  <c r="I27" i="66" a="1"/>
  <c r="I27" i="66" s="1"/>
  <c r="I30" i="66" a="1"/>
  <c r="I30" i="66" s="1"/>
  <c r="I33" i="66" a="1"/>
  <c r="I33" i="66" s="1"/>
  <c r="I36" i="66" a="1"/>
  <c r="I36" i="66" s="1"/>
  <c r="I39" i="66" a="1"/>
  <c r="I39" i="66" s="1"/>
  <c r="H7" i="52" a="1"/>
  <c r="H7" i="52" s="1"/>
  <c r="G11" i="53" a="1"/>
  <c r="G11" i="53" s="1"/>
  <c r="G15" i="54" a="1"/>
  <c r="G15" i="54" s="1"/>
  <c r="J12" i="62" a="1"/>
  <c r="J12" i="62" s="1"/>
  <c r="Y12" i="62"/>
  <c r="T13" i="62" a="1"/>
  <c r="T13" i="62" s="1"/>
  <c r="P14" i="62" a="1"/>
  <c r="P14" i="62" s="1"/>
  <c r="L15" i="62" a="1"/>
  <c r="L15" i="62" s="1"/>
  <c r="F16" i="62"/>
  <c r="R17" i="62" a="1"/>
  <c r="R17" i="62" s="1"/>
  <c r="N18" i="62" a="1"/>
  <c r="N18" i="62" s="1"/>
  <c r="J19" i="62" a="1"/>
  <c r="J19" i="62" s="1"/>
  <c r="Y19" i="62"/>
  <c r="T20" i="62" a="1"/>
  <c r="T20" i="62" s="1"/>
  <c r="P21" i="62" a="1"/>
  <c r="P21" i="62" s="1"/>
  <c r="P29" i="62"/>
  <c r="E26" i="66"/>
  <c r="K26" i="66" s="1" a="1"/>
  <c r="K26" i="66" s="1"/>
  <c r="J27" i="66" a="1"/>
  <c r="J27" i="66" s="1"/>
  <c r="J30" i="66" a="1"/>
  <c r="J30" i="66" s="1"/>
  <c r="J33" i="66" a="1"/>
  <c r="J33" i="66" s="1"/>
  <c r="J36" i="66" a="1"/>
  <c r="J36" i="66" s="1"/>
  <c r="J39" i="66" a="1"/>
  <c r="J39" i="66" s="1"/>
  <c r="H8" i="52" a="1"/>
  <c r="H8" i="52" s="1"/>
  <c r="G12" i="53" a="1"/>
  <c r="G12" i="53" s="1"/>
  <c r="K12" i="62" a="1"/>
  <c r="K12" i="62" s="1"/>
  <c r="Z12" i="62"/>
  <c r="U13" i="62" a="1"/>
  <c r="U13" i="62" s="1"/>
  <c r="Q14" i="62" a="1"/>
  <c r="Q14" i="62" s="1"/>
  <c r="M15" i="62" a="1"/>
  <c r="M15" i="62" s="1"/>
  <c r="H16" i="62"/>
  <c r="I16" i="62" s="1"/>
  <c r="W16" i="62" a="1"/>
  <c r="W16" i="62" s="1"/>
  <c r="S17" i="62" a="1"/>
  <c r="S17" i="62" s="1"/>
  <c r="O18" i="62" a="1"/>
  <c r="O18" i="62" s="1"/>
  <c r="K19" i="62" a="1"/>
  <c r="K19" i="62" s="1"/>
  <c r="Z19" i="62"/>
  <c r="U20" i="62" a="1"/>
  <c r="U20" i="62" s="1"/>
  <c r="Q21" i="62" a="1"/>
  <c r="Q21" i="62" s="1"/>
  <c r="P30" i="62"/>
  <c r="D59" i="68" a="1"/>
  <c r="K30" i="66" a="1"/>
  <c r="K30" i="66" s="1"/>
  <c r="G32" i="66" a="1"/>
  <c r="G32" i="66" s="1"/>
  <c r="K33" i="66" a="1"/>
  <c r="K33" i="66" s="1"/>
  <c r="K36" i="66" a="1"/>
  <c r="K36" i="66" s="1"/>
  <c r="K39" i="66" a="1"/>
  <c r="K39" i="66" s="1"/>
  <c r="L12" i="62" a="1"/>
  <c r="L12" i="62" s="1"/>
  <c r="F13" i="62"/>
  <c r="R14" i="62" a="1"/>
  <c r="R14" i="62" s="1"/>
  <c r="N15" i="62" a="1"/>
  <c r="N15" i="62" s="1"/>
  <c r="J16" i="62" a="1"/>
  <c r="J16" i="62" s="1"/>
  <c r="Y16" i="62"/>
  <c r="T17" i="62" a="1"/>
  <c r="T17" i="62" s="1"/>
  <c r="P18" i="62" a="1"/>
  <c r="P18" i="62" s="1"/>
  <c r="L19" i="62" a="1"/>
  <c r="L19" i="62" s="1"/>
  <c r="F20" i="62"/>
  <c r="E59" i="68" a="1"/>
  <c r="K27" i="66" a="1"/>
  <c r="K27" i="66" s="1"/>
  <c r="G29" i="66" a="1"/>
  <c r="G29" i="66" s="1"/>
  <c r="H32" i="66" a="1"/>
  <c r="H32" i="66" s="1"/>
  <c r="G35" i="66" a="1"/>
  <c r="G35" i="66" s="1"/>
  <c r="L364" i="73"/>
  <c r="L367" i="73"/>
  <c r="N364" i="73"/>
  <c r="J366" i="73"/>
  <c r="I368" i="73"/>
  <c r="J369" i="73"/>
  <c r="N362" i="73"/>
  <c r="M362" i="73"/>
  <c r="L362" i="73"/>
  <c r="I367" i="73"/>
  <c r="N367" i="73"/>
  <c r="I365" i="73"/>
  <c r="H92" i="73"/>
  <c r="H88" i="73"/>
  <c r="L100" i="73"/>
  <c r="K100" i="73"/>
  <c r="H86" i="73"/>
  <c r="H90" i="73"/>
  <c r="I87" i="73"/>
  <c r="I91" i="73"/>
  <c r="L94" i="73"/>
  <c r="K94" i="73"/>
  <c r="P100" i="73"/>
  <c r="O100" i="73"/>
  <c r="N100" i="73"/>
  <c r="L106" i="73"/>
  <c r="K106" i="73"/>
  <c r="L223" i="73"/>
  <c r="L227" i="73"/>
  <c r="K223" i="73"/>
  <c r="K227" i="73"/>
  <c r="I86" i="73"/>
  <c r="I90" i="73"/>
  <c r="L99" i="73"/>
  <c r="K99" i="73"/>
  <c r="L88" i="73"/>
  <c r="L92" i="73"/>
  <c r="K92" i="73"/>
  <c r="K88" i="73"/>
  <c r="M89" i="73"/>
  <c r="M93" i="73"/>
  <c r="O94" i="73"/>
  <c r="N94" i="73"/>
  <c r="P94" i="73"/>
  <c r="P106" i="73"/>
  <c r="O106" i="73"/>
  <c r="N106" i="73"/>
  <c r="F226" i="73"/>
  <c r="F230" i="73"/>
  <c r="P237" i="73"/>
  <c r="O237" i="73"/>
  <c r="N237" i="73"/>
  <c r="K91" i="73"/>
  <c r="L91" i="73"/>
  <c r="L87" i="73"/>
  <c r="K87" i="73"/>
  <c r="M88" i="73"/>
  <c r="M92" i="73"/>
  <c r="P99" i="73"/>
  <c r="O99" i="73"/>
  <c r="N99" i="73"/>
  <c r="L104" i="73"/>
  <c r="K104" i="73"/>
  <c r="L116" i="73"/>
  <c r="K116" i="73"/>
  <c r="O235" i="73"/>
  <c r="P235" i="73"/>
  <c r="N235" i="73"/>
  <c r="L90" i="73"/>
  <c r="K90" i="73"/>
  <c r="L86" i="73"/>
  <c r="K86" i="73"/>
  <c r="M87" i="73"/>
  <c r="M91" i="73"/>
  <c r="O92" i="73"/>
  <c r="N88" i="73"/>
  <c r="N92" i="73"/>
  <c r="P92" i="73"/>
  <c r="P88" i="73"/>
  <c r="O88" i="73"/>
  <c r="O105" i="73"/>
  <c r="N105" i="73"/>
  <c r="P105" i="73"/>
  <c r="L115" i="73"/>
  <c r="K115" i="73"/>
  <c r="M90" i="73"/>
  <c r="M86" i="73"/>
  <c r="F224" i="73"/>
  <c r="F228" i="73"/>
  <c r="H226" i="73"/>
  <c r="H230" i="73"/>
  <c r="L97" i="73"/>
  <c r="K97" i="73"/>
  <c r="L103" i="73"/>
  <c r="K103" i="73"/>
  <c r="L113" i="73"/>
  <c r="K113" i="73"/>
  <c r="N115" i="73"/>
  <c r="P115" i="73"/>
  <c r="O115" i="73"/>
  <c r="G224" i="73"/>
  <c r="G228" i="73"/>
  <c r="P97" i="73"/>
  <c r="O97" i="73"/>
  <c r="N97" i="73"/>
  <c r="L102" i="73"/>
  <c r="K102" i="73"/>
  <c r="N103" i="73"/>
  <c r="P103" i="73"/>
  <c r="O103" i="73"/>
  <c r="L110" i="73"/>
  <c r="K110" i="73"/>
  <c r="I225" i="73"/>
  <c r="I229" i="73"/>
  <c r="F106" i="73"/>
  <c r="F102" i="73"/>
  <c r="P233" i="73"/>
  <c r="O233" i="73"/>
  <c r="N233" i="73"/>
  <c r="L96" i="73"/>
  <c r="K96" i="73"/>
  <c r="J225" i="73"/>
  <c r="J229" i="73"/>
  <c r="G93" i="73"/>
  <c r="G89" i="73"/>
  <c r="L101" i="73"/>
  <c r="K101" i="73"/>
  <c r="P112" i="73"/>
  <c r="O112" i="73"/>
  <c r="N112" i="73"/>
  <c r="H223" i="73"/>
  <c r="H227" i="73"/>
  <c r="P231" i="73"/>
  <c r="O231" i="73"/>
  <c r="N231" i="73"/>
  <c r="H93" i="73"/>
  <c r="H89" i="73"/>
  <c r="P96" i="73"/>
  <c r="O96" i="73"/>
  <c r="N96" i="73"/>
  <c r="L107" i="73"/>
  <c r="K107" i="73"/>
  <c r="P111" i="73"/>
  <c r="O111" i="73"/>
  <c r="N111" i="73"/>
  <c r="I223" i="73"/>
  <c r="I227" i="73"/>
  <c r="N230" i="73"/>
  <c r="P226" i="73"/>
  <c r="O226" i="73"/>
  <c r="P230" i="73"/>
  <c r="N226" i="73"/>
  <c r="O230" i="73"/>
  <c r="G91" i="73"/>
  <c r="G87" i="73"/>
  <c r="I93" i="73"/>
  <c r="I89" i="73"/>
  <c r="L95" i="73"/>
  <c r="K95" i="73"/>
  <c r="M225" i="73"/>
  <c r="M229" i="73"/>
  <c r="G90" i="73"/>
  <c r="G86" i="73"/>
  <c r="H87" i="73"/>
  <c r="H91" i="73"/>
  <c r="I92" i="73"/>
  <c r="I88" i="73"/>
  <c r="J89" i="73"/>
  <c r="J93" i="73"/>
  <c r="N108" i="73"/>
  <c r="P108" i="73"/>
  <c r="O108" i="73"/>
  <c r="L240" i="73"/>
  <c r="K240" i="73"/>
  <c r="L114" i="73"/>
  <c r="K114" i="73"/>
  <c r="J86" i="73"/>
  <c r="J146" i="73" s="1"/>
  <c r="G88" i="73"/>
  <c r="G148" i="73" s="1"/>
  <c r="N89" i="73"/>
  <c r="L98" i="73"/>
  <c r="N110" i="73"/>
  <c r="L112" i="73"/>
  <c r="J223" i="73"/>
  <c r="J227" i="73"/>
  <c r="I224" i="73"/>
  <c r="I228" i="73"/>
  <c r="G226" i="73"/>
  <c r="G230" i="73"/>
  <c r="L234" i="73"/>
  <c r="K234" i="73"/>
  <c r="L235" i="73"/>
  <c r="K235" i="73"/>
  <c r="O89" i="73"/>
  <c r="N91" i="73"/>
  <c r="K93" i="73"/>
  <c r="O107" i="73"/>
  <c r="O110" i="73"/>
  <c r="K117" i="73"/>
  <c r="J224" i="73"/>
  <c r="J228" i="73"/>
  <c r="O91" i="73"/>
  <c r="L93" i="73"/>
  <c r="N98" i="73"/>
  <c r="P107" i="73"/>
  <c r="K228" i="73"/>
  <c r="L224" i="73"/>
  <c r="L228" i="73"/>
  <c r="K224" i="73"/>
  <c r="P234" i="73"/>
  <c r="O234" i="73"/>
  <c r="N234" i="73"/>
  <c r="K243" i="73"/>
  <c r="L243" i="73"/>
  <c r="L244" i="73"/>
  <c r="K244" i="73"/>
  <c r="L252" i="73"/>
  <c r="K252" i="73"/>
  <c r="N254" i="73"/>
  <c r="P254" i="73"/>
  <c r="O254" i="73"/>
  <c r="J88" i="73"/>
  <c r="J148" i="73" s="1"/>
  <c r="P91" i="73"/>
  <c r="O98" i="73"/>
  <c r="K109" i="73"/>
  <c r="M223" i="73"/>
  <c r="M227" i="73"/>
  <c r="L236" i="73"/>
  <c r="K236" i="73"/>
  <c r="L246" i="73"/>
  <c r="K246" i="73"/>
  <c r="L247" i="73"/>
  <c r="K247" i="73"/>
  <c r="L250" i="73"/>
  <c r="K250" i="73"/>
  <c r="N86" i="73"/>
  <c r="N93" i="73"/>
  <c r="N102" i="73"/>
  <c r="N117" i="73"/>
  <c r="P223" i="73"/>
  <c r="P227" i="73"/>
  <c r="O223" i="73"/>
  <c r="O227" i="73"/>
  <c r="N223" i="73"/>
  <c r="N227" i="73"/>
  <c r="M224" i="73"/>
  <c r="M228" i="73"/>
  <c r="I226" i="73"/>
  <c r="I230" i="73"/>
  <c r="L237" i="73"/>
  <c r="K237" i="73"/>
  <c r="N252" i="73"/>
  <c r="P252" i="73"/>
  <c r="O252" i="73"/>
  <c r="O86" i="73"/>
  <c r="O93" i="73"/>
  <c r="N95" i="73"/>
  <c r="O102" i="73"/>
  <c r="K111" i="73"/>
  <c r="O114" i="73"/>
  <c r="O117" i="73"/>
  <c r="K229" i="73"/>
  <c r="L225" i="73"/>
  <c r="K225" i="73"/>
  <c r="L229" i="73"/>
  <c r="J226" i="73"/>
  <c r="J230" i="73"/>
  <c r="P242" i="73"/>
  <c r="O242" i="73"/>
  <c r="N242" i="73"/>
  <c r="N249" i="73"/>
  <c r="P249" i="73"/>
  <c r="O249" i="73"/>
  <c r="P86" i="73"/>
  <c r="P93" i="73"/>
  <c r="O95" i="73"/>
  <c r="N104" i="73"/>
  <c r="P114" i="73"/>
  <c r="P224" i="73"/>
  <c r="P228" i="73"/>
  <c r="O224" i="73"/>
  <c r="O228" i="73"/>
  <c r="N224" i="73"/>
  <c r="N228" i="73"/>
  <c r="L226" i="73"/>
  <c r="L230" i="73"/>
  <c r="K226" i="73"/>
  <c r="K230" i="73"/>
  <c r="P236" i="73"/>
  <c r="O236" i="73"/>
  <c r="N236" i="73"/>
  <c r="L238" i="73"/>
  <c r="K238" i="73"/>
  <c r="P243" i="73"/>
  <c r="O243" i="73"/>
  <c r="N243" i="73"/>
  <c r="N245" i="73"/>
  <c r="P245" i="73"/>
  <c r="O245" i="73"/>
  <c r="P248" i="73"/>
  <c r="O248" i="73"/>
  <c r="N248" i="73"/>
  <c r="O104" i="73"/>
  <c r="F227" i="73"/>
  <c r="F223" i="73"/>
  <c r="M226" i="73"/>
  <c r="M230" i="73"/>
  <c r="P246" i="73"/>
  <c r="O246" i="73"/>
  <c r="N246" i="73"/>
  <c r="N90" i="73"/>
  <c r="G223" i="73"/>
  <c r="G227" i="73"/>
  <c r="O229" i="73"/>
  <c r="N225" i="73"/>
  <c r="N229" i="73"/>
  <c r="P225" i="73"/>
  <c r="P229" i="73"/>
  <c r="O225" i="73"/>
  <c r="L231" i="73"/>
  <c r="K231" i="73"/>
  <c r="L239" i="73"/>
  <c r="K239" i="73"/>
  <c r="O90" i="73"/>
  <c r="K105" i="73"/>
  <c r="K108" i="73"/>
  <c r="N113" i="73"/>
  <c r="L232" i="73"/>
  <c r="K232" i="73"/>
  <c r="P238" i="73"/>
  <c r="O238" i="73"/>
  <c r="N238" i="73"/>
  <c r="P239" i="73"/>
  <c r="O239" i="73"/>
  <c r="N239" i="73"/>
  <c r="N87" i="73"/>
  <c r="K89" i="73"/>
  <c r="N101" i="73"/>
  <c r="O113" i="73"/>
  <c r="F225" i="73"/>
  <c r="F229" i="73"/>
  <c r="L233" i="73"/>
  <c r="K233" i="73"/>
  <c r="P109" i="73"/>
  <c r="O109" i="73"/>
  <c r="N109" i="73"/>
  <c r="P116" i="73"/>
  <c r="O116" i="73"/>
  <c r="N116" i="73"/>
  <c r="O87" i="73"/>
  <c r="O101" i="73"/>
  <c r="G225" i="73"/>
  <c r="G229" i="73"/>
  <c r="P232" i="73"/>
  <c r="O232" i="73"/>
  <c r="N232" i="73"/>
  <c r="J87" i="73"/>
  <c r="J91" i="73"/>
  <c r="H228" i="73"/>
  <c r="H224" i="73"/>
  <c r="H225" i="73"/>
  <c r="H229" i="73"/>
  <c r="P240" i="73"/>
  <c r="N240" i="73"/>
  <c r="O240" i="73"/>
  <c r="L241" i="73"/>
  <c r="K241" i="73"/>
  <c r="L245" i="73"/>
  <c r="K245" i="73"/>
  <c r="K248" i="73"/>
  <c r="L248" i="73"/>
  <c r="L251" i="73"/>
  <c r="K251" i="73"/>
  <c r="N369" i="73"/>
  <c r="M369" i="73"/>
  <c r="L369" i="73"/>
  <c r="L242" i="73"/>
  <c r="K242" i="73"/>
  <c r="P251" i="73"/>
  <c r="O251" i="73"/>
  <c r="N251" i="73"/>
  <c r="L249" i="73"/>
  <c r="K249" i="73"/>
  <c r="K253" i="73"/>
  <c r="L253" i="73"/>
  <c r="M366" i="73"/>
  <c r="L366" i="73"/>
  <c r="N366" i="73"/>
  <c r="P241" i="73"/>
  <c r="O241" i="73"/>
  <c r="N241" i="73"/>
  <c r="N244" i="73"/>
  <c r="P244" i="73"/>
  <c r="O244" i="73"/>
  <c r="P247" i="73"/>
  <c r="O247" i="73"/>
  <c r="N247" i="73"/>
  <c r="P250" i="73"/>
  <c r="O250" i="73"/>
  <c r="N250" i="73"/>
  <c r="P253" i="73"/>
  <c r="O253" i="73"/>
  <c r="N253" i="73"/>
  <c r="L254" i="73"/>
  <c r="K254" i="73"/>
  <c r="J363" i="73"/>
  <c r="L363" i="73"/>
  <c r="L368" i="73"/>
  <c r="M363" i="73"/>
  <c r="N368" i="73"/>
  <c r="M365" i="73"/>
  <c r="N365" i="73"/>
  <c r="L365" i="73"/>
  <c r="J362" i="73"/>
  <c r="J364" i="73"/>
  <c r="E99" i="68"/>
  <c r="E7" i="68"/>
  <c r="F192" i="68"/>
  <c r="F151" i="68"/>
  <c r="E7" i="67"/>
  <c r="L8" i="67"/>
  <c r="F58" i="67"/>
  <c r="F49" i="67"/>
  <c r="F57" i="67"/>
  <c r="F46" i="67"/>
  <c r="F56" i="67"/>
  <c r="F45" i="67"/>
  <c r="F55" i="67"/>
  <c r="F44" i="67"/>
  <c r="F52" i="67"/>
  <c r="F43" i="67"/>
  <c r="F51" i="67"/>
  <c r="F50" i="67"/>
  <c r="D39" i="67"/>
  <c r="L39" i="67" s="1" a="1"/>
  <c r="L39" i="67" s="1"/>
  <c r="D42" i="67"/>
  <c r="D30" i="67"/>
  <c r="L30" i="67" s="1" a="1"/>
  <c r="L30" i="67" s="1"/>
  <c r="D37" i="67"/>
  <c r="L37" i="67" s="1" a="1"/>
  <c r="L37" i="67" s="1"/>
  <c r="D28" i="67"/>
  <c r="L28" i="67" s="1" a="1"/>
  <c r="L28" i="67" s="1"/>
  <c r="D35" i="67"/>
  <c r="L35" i="67" s="1" a="1"/>
  <c r="L35" i="67" s="1"/>
  <c r="D26" i="67"/>
  <c r="L26" i="67" s="1" a="1"/>
  <c r="L26" i="67" s="1"/>
  <c r="D33" i="67"/>
  <c r="L33" i="67" s="1" a="1"/>
  <c r="L33" i="67" s="1"/>
  <c r="D40" i="67"/>
  <c r="D31" i="67"/>
  <c r="L31" i="67" s="1" a="1"/>
  <c r="L31" i="67" s="1"/>
  <c r="D38" i="67"/>
  <c r="L38" i="67" s="1" a="1"/>
  <c r="L38" i="67" s="1"/>
  <c r="D48" i="67"/>
  <c r="E7" i="66"/>
  <c r="L7" i="66"/>
  <c r="F70" i="66"/>
  <c r="F61" i="66"/>
  <c r="F51" i="66"/>
  <c r="F69" i="66"/>
  <c r="F50" i="66"/>
  <c r="F58" i="66"/>
  <c r="F68" i="66"/>
  <c r="F49" i="66"/>
  <c r="F57" i="66"/>
  <c r="F67" i="66"/>
  <c r="F56" i="66"/>
  <c r="F46" i="66"/>
  <c r="F64" i="66"/>
  <c r="F55" i="66"/>
  <c r="F45" i="66"/>
  <c r="F63" i="66"/>
  <c r="F44" i="66"/>
  <c r="F62" i="66"/>
  <c r="F52" i="66"/>
  <c r="F43" i="66"/>
  <c r="D30" i="66"/>
  <c r="L30" i="66" s="1" a="1"/>
  <c r="L30" i="66" s="1"/>
  <c r="D54" i="66"/>
  <c r="D29" i="66"/>
  <c r="L29" i="66" s="1" a="1"/>
  <c r="L29" i="66" s="1"/>
  <c r="D28" i="66"/>
  <c r="L28" i="66" s="1" a="1"/>
  <c r="L28" i="66" s="1"/>
  <c r="D48" i="66"/>
  <c r="D32" i="66"/>
  <c r="L32" i="66" s="1" a="1"/>
  <c r="L32" i="66" s="1"/>
  <c r="D27" i="66"/>
  <c r="L27" i="66" s="1" a="1"/>
  <c r="L27" i="66" s="1"/>
  <c r="D36" i="66"/>
  <c r="L36" i="66" s="1" a="1"/>
  <c r="L36" i="66" s="1"/>
  <c r="I48" i="65"/>
  <c r="D31" i="66"/>
  <c r="L31" i="66" s="1" a="1"/>
  <c r="L31" i="66" s="1"/>
  <c r="D26" i="66"/>
  <c r="L26" i="66" s="1" a="1"/>
  <c r="L26" i="66" s="1"/>
  <c r="D42" i="66"/>
  <c r="D35" i="66"/>
  <c r="L35" i="66" s="1" a="1"/>
  <c r="L35" i="66" s="1"/>
  <c r="J54" i="62"/>
  <c r="I38" i="65"/>
  <c r="I39" i="65"/>
  <c r="I46" i="65"/>
  <c r="I47" i="65"/>
  <c r="I17" i="63"/>
  <c r="J55" i="62"/>
  <c r="D40" i="62"/>
  <c r="J56" i="62"/>
  <c r="I17" i="62"/>
  <c r="O16" i="58"/>
  <c r="L13" i="58"/>
  <c r="R16" i="58"/>
  <c r="O11" i="58"/>
  <c r="O13" i="58"/>
  <c r="L10" i="58"/>
  <c r="L17" i="58"/>
  <c r="O10" i="58"/>
  <c r="O17" i="58"/>
  <c r="L14" i="58"/>
  <c r="O14" i="58"/>
  <c r="L11" i="58"/>
  <c r="L18" i="58"/>
  <c r="O18" i="58"/>
  <c r="L15" i="58"/>
  <c r="O15" i="58"/>
  <c r="L12" i="58"/>
  <c r="L19" i="58"/>
  <c r="O19" i="58"/>
  <c r="O12" i="58"/>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Q32" i="34" a="1"/>
  <c r="Q32" i="34" s="1"/>
  <c r="N32" i="34" a="1"/>
  <c r="N32" i="34" s="1"/>
  <c r="O30" i="34" a="1"/>
  <c r="O30" i="34" s="1"/>
  <c r="P35" i="34" s="1"/>
  <c r="O29" i="34" a="1"/>
  <c r="O29" i="34" s="1"/>
  <c r="N25" i="34" a="1"/>
  <c r="N25" i="34" s="1"/>
  <c r="N24" i="34" a="1"/>
  <c r="N24" i="34" s="1"/>
  <c r="R13" i="34" a="1"/>
  <c r="R13" i="34" s="1"/>
  <c r="N13" i="34" a="1"/>
  <c r="N13" i="34" s="1"/>
  <c r="O11" i="34" a="1"/>
  <c r="O11" i="34" s="1"/>
  <c r="O10" i="34" a="1"/>
  <c r="O10" i="34" s="1"/>
  <c r="N6" i="34" a="1"/>
  <c r="N6" i="34" s="1"/>
  <c r="N5" i="34" a="1"/>
  <c r="N5" i="34" s="1"/>
  <c r="I67" i="34"/>
  <c r="I32" i="34"/>
  <c r="J13" i="34"/>
  <c r="O61" i="34" a="1"/>
  <c r="O26" i="34" a="1"/>
  <c r="J165" i="68" l="1" a="1"/>
  <c r="J165" i="68" s="1"/>
  <c r="J124" i="68" a="1"/>
  <c r="J124" i="68" s="1"/>
  <c r="J7" i="48" a="1"/>
  <c r="J7" i="48" s="1"/>
  <c r="J174" i="68" a="1"/>
  <c r="J174" i="68" s="1"/>
  <c r="P38" i="66" a="1"/>
  <c r="P38" i="66" s="1"/>
  <c r="J135" i="68" a="1"/>
  <c r="J135" i="68" s="1"/>
  <c r="G25" i="66" a="1"/>
  <c r="G25" i="66" s="1"/>
  <c r="O25" i="66" s="1" a="1"/>
  <c r="O25" i="66" s="1"/>
  <c r="K25" i="66" a="1"/>
  <c r="K25" i="66" s="1"/>
  <c r="J138" i="68" a="1"/>
  <c r="J138" i="68" s="1"/>
  <c r="J157" i="68" a="1"/>
  <c r="J157" i="68" s="1"/>
  <c r="J25" i="66" a="1"/>
  <c r="J25" i="66" s="1"/>
  <c r="J159" i="68" a="1"/>
  <c r="J159" i="68" s="1"/>
  <c r="G26" i="66" a="1"/>
  <c r="G26" i="66" s="1"/>
  <c r="Q26" i="66" s="1" a="1"/>
  <c r="Q26" i="66" s="1"/>
  <c r="P33" i="66" a="1"/>
  <c r="P33" i="66" s="1"/>
  <c r="E51" i="66" s="1"/>
  <c r="Q39" i="66" a="1"/>
  <c r="Q39" i="66" s="1"/>
  <c r="N38" i="66" a="1"/>
  <c r="N38" i="66" s="1"/>
  <c r="J116" i="68" a="1"/>
  <c r="J116" i="68" s="1"/>
  <c r="H37" i="66" a="1"/>
  <c r="H37" i="66" s="1"/>
  <c r="V221" i="19" a="1"/>
  <c r="V221" i="19" s="1"/>
  <c r="J133" i="68" a="1"/>
  <c r="J133" i="68" s="1"/>
  <c r="J122" i="68" a="1"/>
  <c r="J122" i="68" s="1"/>
  <c r="I37" i="66" a="1"/>
  <c r="I37" i="66" s="1"/>
  <c r="O37" i="66" s="1" a="1"/>
  <c r="O37" i="66" s="1"/>
  <c r="AG221" i="19" a="1"/>
  <c r="AG221" i="19" s="1"/>
  <c r="H26" i="66" a="1"/>
  <c r="H26" i="66" s="1"/>
  <c r="J176" i="68" a="1"/>
  <c r="J176" i="68" s="1"/>
  <c r="J185" i="68" a="1"/>
  <c r="J185" i="68" s="1"/>
  <c r="Q38" i="66" a="1"/>
  <c r="Q38" i="66" s="1"/>
  <c r="Y221" i="19" a="1"/>
  <c r="Y221" i="19" s="1"/>
  <c r="J158" i="68" a="1"/>
  <c r="J158" i="68" s="1"/>
  <c r="J120" i="68" a="1"/>
  <c r="J120" i="68" s="1"/>
  <c r="AD221" i="19" a="1"/>
  <c r="AD221" i="19" s="1"/>
  <c r="AL221" i="19" a="1"/>
  <c r="AL221" i="19" s="1"/>
  <c r="AK221" i="19" a="1"/>
  <c r="AK221" i="19" s="1"/>
  <c r="O221" i="19" a="1"/>
  <c r="O221" i="19" s="1"/>
  <c r="Z221" i="19" a="1"/>
  <c r="Z221" i="19" s="1"/>
  <c r="U221" i="19" a="1"/>
  <c r="U221" i="19" s="1"/>
  <c r="J175" i="68" a="1"/>
  <c r="J175" i="68" s="1"/>
  <c r="J132" i="68" a="1"/>
  <c r="J132" i="68" s="1"/>
  <c r="H25" i="66" a="1"/>
  <c r="H25" i="66" s="1"/>
  <c r="G146" i="73"/>
  <c r="R221" i="19" a="1"/>
  <c r="R221" i="19" s="1"/>
  <c r="J123" i="68" a="1"/>
  <c r="J123" i="68" s="1"/>
  <c r="P221" i="19" a="1"/>
  <c r="P221" i="19" s="1"/>
  <c r="J163" i="68" a="1"/>
  <c r="J163" i="68" s="1"/>
  <c r="J160" i="68" a="1"/>
  <c r="J160" i="68" s="1"/>
  <c r="K37" i="66" a="1"/>
  <c r="K37" i="66" s="1"/>
  <c r="Q37" i="66" s="1" a="1"/>
  <c r="Q37" i="66" s="1"/>
  <c r="J37" i="66" a="1"/>
  <c r="J37" i="66" s="1"/>
  <c r="J134" i="68" a="1"/>
  <c r="J134" i="68" s="1"/>
  <c r="J137" i="68" a="1"/>
  <c r="J137" i="68" s="1"/>
  <c r="O38" i="66" a="1"/>
  <c r="O38" i="66" s="1"/>
  <c r="J173" i="68" a="1"/>
  <c r="J173" i="68" s="1"/>
  <c r="AH221" i="19" a="1"/>
  <c r="AH221" i="19" s="1"/>
  <c r="J127" i="68" a="1"/>
  <c r="J127" i="68" s="1"/>
  <c r="Q34" i="66" a="1"/>
  <c r="Q34" i="66" s="1"/>
  <c r="AC221" i="19" a="1"/>
  <c r="AC221" i="19" s="1"/>
  <c r="J144" i="68" a="1"/>
  <c r="J144" i="68" s="1"/>
  <c r="J164" i="68" a="1"/>
  <c r="J164" i="68" s="1"/>
  <c r="J161" i="68" a="1"/>
  <c r="J161" i="68" s="1"/>
  <c r="J177" i="68" a="1"/>
  <c r="J177" i="68" s="1"/>
  <c r="J117" i="68" a="1"/>
  <c r="J117" i="68" s="1"/>
  <c r="I18" i="62"/>
  <c r="E221" i="19" s="1" a="1"/>
  <c r="E221" i="19" s="1"/>
  <c r="I148" i="73"/>
  <c r="K36" i="67"/>
  <c r="J36" i="67"/>
  <c r="I36" i="67"/>
  <c r="H36" i="67"/>
  <c r="G36" i="67"/>
  <c r="J136" i="68" a="1"/>
  <c r="J136" i="68" s="1"/>
  <c r="J119" i="68" a="1"/>
  <c r="J119" i="68" s="1"/>
  <c r="V20" i="62"/>
  <c r="X20" i="62" s="1"/>
  <c r="V19" i="62"/>
  <c r="X19" i="62" s="1"/>
  <c r="K33" i="67"/>
  <c r="J33" i="67"/>
  <c r="I33" i="67"/>
  <c r="H33" i="67"/>
  <c r="G33" i="67"/>
  <c r="K37" i="67"/>
  <c r="J37" i="67"/>
  <c r="I37" i="67"/>
  <c r="H37" i="67"/>
  <c r="G37" i="67"/>
  <c r="D21" i="68"/>
  <c r="G189" i="68" a="1"/>
  <c r="G189" i="68" s="1"/>
  <c r="G177" i="68" a="1"/>
  <c r="G177" i="68" s="1"/>
  <c r="G145" i="68" a="1"/>
  <c r="G145" i="68" s="1"/>
  <c r="G125" i="68" a="1"/>
  <c r="G125" i="68" s="1"/>
  <c r="G118" i="68" a="1"/>
  <c r="G118" i="68" s="1"/>
  <c r="G33" i="68" a="1"/>
  <c r="G33" i="68" s="1"/>
  <c r="G25" i="68" a="1"/>
  <c r="G25" i="68" s="1"/>
  <c r="G188" i="68" a="1"/>
  <c r="G188" i="68" s="1"/>
  <c r="G167" i="68" a="1"/>
  <c r="G167" i="68" s="1"/>
  <c r="G160" i="68" a="1"/>
  <c r="G160" i="68" s="1"/>
  <c r="G134" i="68" a="1"/>
  <c r="G134" i="68" s="1"/>
  <c r="G47" i="68" a="1"/>
  <c r="G47" i="68" s="1"/>
  <c r="G187" i="68" a="1"/>
  <c r="G187" i="68" s="1"/>
  <c r="G176" i="68" a="1"/>
  <c r="G176" i="68" s="1"/>
  <c r="G143" i="68" a="1"/>
  <c r="G143" i="68" s="1"/>
  <c r="G124" i="68" a="1"/>
  <c r="G124" i="68" s="1"/>
  <c r="G117" i="68" a="1"/>
  <c r="G117" i="68" s="1"/>
  <c r="G39" i="68" a="1"/>
  <c r="G39" i="68" s="1"/>
  <c r="G31" i="68" a="1"/>
  <c r="G31" i="68" s="1"/>
  <c r="G24" i="68" a="1"/>
  <c r="G24" i="68" s="1"/>
  <c r="G186" i="68" a="1"/>
  <c r="G186" i="68" s="1"/>
  <c r="G166" i="68" a="1"/>
  <c r="G166" i="68" s="1"/>
  <c r="G159" i="68" a="1"/>
  <c r="G159" i="68" s="1"/>
  <c r="G142" i="68" a="1"/>
  <c r="G142" i="68" s="1"/>
  <c r="G133" i="68" a="1"/>
  <c r="G133" i="68" s="1"/>
  <c r="G54" i="68" a="1"/>
  <c r="G54" i="68" s="1"/>
  <c r="I54" i="68" s="1" a="1"/>
  <c r="I54" i="68" s="1"/>
  <c r="H149" i="68" s="1"/>
  <c r="G46" i="68" a="1"/>
  <c r="G46" i="68" s="1"/>
  <c r="G175" i="68" a="1"/>
  <c r="G175" i="68" s="1"/>
  <c r="G141" i="68" a="1"/>
  <c r="G141" i="68" s="1"/>
  <c r="G123" i="68" a="1"/>
  <c r="G123" i="68" s="1"/>
  <c r="G38" i="68" a="1"/>
  <c r="G38" i="68" s="1"/>
  <c r="G30" i="68" a="1"/>
  <c r="G30" i="68" s="1"/>
  <c r="G23" i="68" a="1"/>
  <c r="G23" i="68" s="1"/>
  <c r="G184" i="68" a="1"/>
  <c r="G184" i="68" s="1"/>
  <c r="G165" i="68" a="1"/>
  <c r="G165" i="68" s="1"/>
  <c r="G158" i="68" a="1"/>
  <c r="G158" i="68" s="1"/>
  <c r="G140" i="68" a="1"/>
  <c r="G140" i="68" s="1"/>
  <c r="G132" i="68" a="1"/>
  <c r="G132" i="68" s="1"/>
  <c r="G53" i="68" a="1"/>
  <c r="G53" i="68" s="1"/>
  <c r="G45" i="68" a="1"/>
  <c r="G45" i="68" s="1"/>
  <c r="G183" i="68" a="1"/>
  <c r="G183" i="68" s="1"/>
  <c r="G174" i="68" a="1"/>
  <c r="G174" i="68" s="1"/>
  <c r="G139" i="68" a="1"/>
  <c r="G139" i="68" s="1"/>
  <c r="G131" i="68" a="1"/>
  <c r="G131" i="68" s="1"/>
  <c r="G122" i="68" a="1"/>
  <c r="G122" i="68" s="1"/>
  <c r="G37" i="68" a="1"/>
  <c r="G37" i="68" s="1"/>
  <c r="G29" i="68" a="1"/>
  <c r="G29" i="68" s="1"/>
  <c r="G22" i="68" a="1"/>
  <c r="G22" i="68" s="1"/>
  <c r="G182" i="68" a="1"/>
  <c r="G182" i="68" s="1"/>
  <c r="G164" i="68" a="1"/>
  <c r="G164" i="68" s="1"/>
  <c r="G130" i="68" a="1"/>
  <c r="G130" i="68" s="1"/>
  <c r="G52" i="68" a="1"/>
  <c r="G52" i="68" s="1"/>
  <c r="I52" i="68" s="1" a="1"/>
  <c r="I52" i="68" s="1"/>
  <c r="H147" i="68" s="1"/>
  <c r="G44" i="68" a="1"/>
  <c r="G44" i="68" s="1"/>
  <c r="G181" i="68" a="1"/>
  <c r="G181" i="68" s="1"/>
  <c r="G173" i="68" a="1"/>
  <c r="G173" i="68" s="1"/>
  <c r="G129" i="68" a="1"/>
  <c r="G129" i="68" s="1"/>
  <c r="G121" i="68" a="1"/>
  <c r="G121" i="68" s="1"/>
  <c r="G36" i="68" a="1"/>
  <c r="G36" i="68" s="1"/>
  <c r="G28" i="68" a="1"/>
  <c r="G28" i="68" s="1"/>
  <c r="G180" i="68" a="1"/>
  <c r="G180" i="68" s="1"/>
  <c r="G172" i="68" a="1"/>
  <c r="G172" i="68" s="1"/>
  <c r="G163" i="68" a="1"/>
  <c r="G163" i="68" s="1"/>
  <c r="G137" i="68" a="1"/>
  <c r="G137" i="68" s="1"/>
  <c r="G128" i="68" a="1"/>
  <c r="G128" i="68" s="1"/>
  <c r="G51" i="68" a="1"/>
  <c r="G51" i="68" s="1"/>
  <c r="G42" i="68" a="1"/>
  <c r="G42" i="68" s="1"/>
  <c r="G171" i="68" a="1"/>
  <c r="G171" i="68" s="1"/>
  <c r="G149" i="68" a="1"/>
  <c r="G149" i="68" s="1"/>
  <c r="G120" i="68" a="1"/>
  <c r="G120" i="68" s="1"/>
  <c r="G35" i="68" a="1"/>
  <c r="G35" i="68" s="1"/>
  <c r="G27" i="68" a="1"/>
  <c r="G27" i="68" s="1"/>
  <c r="G170" i="68" a="1"/>
  <c r="G170" i="68" s="1"/>
  <c r="G162" i="68" a="1"/>
  <c r="G162" i="68" s="1"/>
  <c r="G148" i="68" a="1"/>
  <c r="G148" i="68" s="1"/>
  <c r="G136" i="68" a="1"/>
  <c r="G136" i="68" s="1"/>
  <c r="G50" i="68" a="1"/>
  <c r="G50" i="68" s="1"/>
  <c r="G41" i="68" a="1"/>
  <c r="G41" i="68" s="1"/>
  <c r="G178" i="68" a="1"/>
  <c r="G178" i="68" s="1"/>
  <c r="G169" i="68" a="1"/>
  <c r="G169" i="68" s="1"/>
  <c r="G147" i="68" a="1"/>
  <c r="G147" i="68" s="1"/>
  <c r="G126" i="68" a="1"/>
  <c r="G126" i="68" s="1"/>
  <c r="G119" i="68" a="1"/>
  <c r="G119" i="68" s="1"/>
  <c r="G34" i="68" a="1"/>
  <c r="G34" i="68" s="1"/>
  <c r="G26" i="68" a="1"/>
  <c r="G26" i="68" s="1"/>
  <c r="G190" i="68" a="1"/>
  <c r="G190" i="68" s="1"/>
  <c r="G161" i="68" a="1"/>
  <c r="G161" i="68" s="1"/>
  <c r="G146" i="68" a="1"/>
  <c r="G146" i="68" s="1"/>
  <c r="G135" i="68" a="1"/>
  <c r="G135" i="68" s="1"/>
  <c r="G48" i="68" a="1"/>
  <c r="G48" i="68" s="1"/>
  <c r="G40" i="68" a="1"/>
  <c r="G40" i="68" s="1"/>
  <c r="K34" i="67"/>
  <c r="J34" i="67"/>
  <c r="I34" i="67"/>
  <c r="H34" i="67"/>
  <c r="G34" i="67"/>
  <c r="L40" i="67" a="1"/>
  <c r="L40" i="67" s="1"/>
  <c r="Q40" i="67" s="1" a="1"/>
  <c r="Q40" i="67" s="1"/>
  <c r="E21" i="68"/>
  <c r="H21" i="68" s="1" a="1"/>
  <c r="H21" i="68" s="1"/>
  <c r="H47" i="68" a="1"/>
  <c r="H47" i="68" s="1"/>
  <c r="H39" i="68" a="1"/>
  <c r="H39" i="68" s="1"/>
  <c r="H31" i="68" a="1"/>
  <c r="H31" i="68" s="1"/>
  <c r="H24" i="68" a="1"/>
  <c r="H24" i="68" s="1"/>
  <c r="I24" i="68" s="1" a="1"/>
  <c r="I24" i="68" s="1"/>
  <c r="H119" i="68" s="1"/>
  <c r="H54" i="68" a="1"/>
  <c r="H54" i="68" s="1"/>
  <c r="H46" i="68" a="1"/>
  <c r="H46" i="68" s="1"/>
  <c r="H38" i="68" a="1"/>
  <c r="H38" i="68" s="1"/>
  <c r="H30" i="68" a="1"/>
  <c r="H30" i="68" s="1"/>
  <c r="H23" i="68" a="1"/>
  <c r="H23" i="68" s="1"/>
  <c r="H53" i="68" a="1"/>
  <c r="H53" i="68" s="1"/>
  <c r="H45" i="68" a="1"/>
  <c r="H45" i="68" s="1"/>
  <c r="H37" i="68" a="1"/>
  <c r="H37" i="68" s="1"/>
  <c r="H29" i="68" a="1"/>
  <c r="H29" i="68" s="1"/>
  <c r="H22" i="68" a="1"/>
  <c r="H22" i="68" s="1"/>
  <c r="H52" i="68" a="1"/>
  <c r="H52" i="68" s="1"/>
  <c r="H44" i="68" a="1"/>
  <c r="H44" i="68" s="1"/>
  <c r="H36" i="68" a="1"/>
  <c r="H36" i="68" s="1"/>
  <c r="I36" i="68" s="1" a="1"/>
  <c r="I36" i="68" s="1"/>
  <c r="H131" i="68" s="1"/>
  <c r="H28" i="68" a="1"/>
  <c r="H28" i="68" s="1"/>
  <c r="I28" i="68" s="1" a="1"/>
  <c r="I28" i="68" s="1"/>
  <c r="H123" i="68" s="1"/>
  <c r="H51" i="68" a="1"/>
  <c r="H51" i="68" s="1"/>
  <c r="H42" i="68" a="1"/>
  <c r="H42" i="68" s="1"/>
  <c r="H35" i="68" a="1"/>
  <c r="H35" i="68" s="1"/>
  <c r="H27" i="68" a="1"/>
  <c r="H27" i="68" s="1"/>
  <c r="H50" i="68" a="1"/>
  <c r="H50" i="68" s="1"/>
  <c r="H41" i="68" a="1"/>
  <c r="H41" i="68" s="1"/>
  <c r="H34" i="68" a="1"/>
  <c r="H34" i="68" s="1"/>
  <c r="H26" i="68" a="1"/>
  <c r="H26" i="68" s="1"/>
  <c r="H48" i="68" a="1"/>
  <c r="H48" i="68" s="1"/>
  <c r="H40" i="68" a="1"/>
  <c r="H40" i="68" s="1"/>
  <c r="H33" i="68" a="1"/>
  <c r="H33" i="68" s="1"/>
  <c r="H25" i="68" a="1"/>
  <c r="H25" i="68" s="1"/>
  <c r="I25" i="68" s="1" a="1"/>
  <c r="I25" i="68" s="1"/>
  <c r="H120" i="68" s="1"/>
  <c r="J8" i="48" a="1"/>
  <c r="J8" i="48" s="1"/>
  <c r="V18" i="62"/>
  <c r="X18" i="62" s="1"/>
  <c r="V14" i="62"/>
  <c r="X14" i="62" s="1"/>
  <c r="K25" i="67"/>
  <c r="J25" i="67"/>
  <c r="I25" i="67"/>
  <c r="H25" i="67"/>
  <c r="G25" i="67"/>
  <c r="K28" i="67"/>
  <c r="J28" i="67"/>
  <c r="I28" i="67"/>
  <c r="H28" i="67"/>
  <c r="N28" i="67" s="1" a="1"/>
  <c r="N28" i="67" s="1"/>
  <c r="G28" i="67"/>
  <c r="E59" i="68"/>
  <c r="H59" i="68" s="1" a="1"/>
  <c r="H59" i="68" s="1"/>
  <c r="H89" i="68" a="1"/>
  <c r="H89" i="68" s="1"/>
  <c r="H80" i="68" a="1"/>
  <c r="H80" i="68" s="1"/>
  <c r="H73" i="68" a="1"/>
  <c r="H73" i="68" s="1"/>
  <c r="H65" i="68" a="1"/>
  <c r="H65" i="68" s="1"/>
  <c r="H88" i="68" a="1"/>
  <c r="H88" i="68" s="1"/>
  <c r="H79" i="68" a="1"/>
  <c r="H79" i="68" s="1"/>
  <c r="H72" i="68" a="1"/>
  <c r="H72" i="68" s="1"/>
  <c r="H64" i="68" a="1"/>
  <c r="H64" i="68" s="1"/>
  <c r="H86" i="68" a="1"/>
  <c r="H86" i="68" s="1"/>
  <c r="H78" i="68" a="1"/>
  <c r="H78" i="68" s="1"/>
  <c r="H71" i="68" a="1"/>
  <c r="H71" i="68" s="1"/>
  <c r="H63" i="68" a="1"/>
  <c r="H63" i="68" s="1"/>
  <c r="H85" i="68" a="1"/>
  <c r="H85" i="68" s="1"/>
  <c r="H77" i="68" a="1"/>
  <c r="H77" i="68" s="1"/>
  <c r="H69" i="68" a="1"/>
  <c r="H69" i="68" s="1"/>
  <c r="H62" i="68" a="1"/>
  <c r="H62" i="68" s="1"/>
  <c r="H92" i="68" a="1"/>
  <c r="H92" i="68" s="1"/>
  <c r="H84" i="68" a="1"/>
  <c r="H84" i="68" s="1"/>
  <c r="H76" i="68" a="1"/>
  <c r="H76" i="68" s="1"/>
  <c r="H68" i="68" a="1"/>
  <c r="H68" i="68" s="1"/>
  <c r="H61" i="68" a="1"/>
  <c r="H61" i="68" s="1"/>
  <c r="H91" i="68" a="1"/>
  <c r="H91" i="68" s="1"/>
  <c r="H83" i="68" a="1"/>
  <c r="H83" i="68" s="1"/>
  <c r="H75" i="68" a="1"/>
  <c r="H75" i="68" s="1"/>
  <c r="H67" i="68" a="1"/>
  <c r="H67" i="68" s="1"/>
  <c r="H60" i="68" a="1"/>
  <c r="H60" i="68" s="1"/>
  <c r="H90" i="68" a="1"/>
  <c r="H90" i="68" s="1"/>
  <c r="H82" i="68" a="1"/>
  <c r="H82" i="68" s="1"/>
  <c r="H74" i="68" a="1"/>
  <c r="H74" i="68" s="1"/>
  <c r="H66" i="68" a="1"/>
  <c r="H66" i="68" s="1"/>
  <c r="J166" i="68" a="1"/>
  <c r="J166" i="68" s="1"/>
  <c r="V17" i="62"/>
  <c r="X17" i="62" s="1"/>
  <c r="I26" i="66" a="1"/>
  <c r="I26" i="66" s="1"/>
  <c r="V13" i="62"/>
  <c r="X13" i="62" s="1"/>
  <c r="K31" i="67"/>
  <c r="J31" i="67"/>
  <c r="I31" i="67"/>
  <c r="H31" i="67"/>
  <c r="G31" i="67"/>
  <c r="J26" i="66" a="1"/>
  <c r="J26" i="66" s="1"/>
  <c r="J121" i="68" a="1"/>
  <c r="J121" i="68" s="1"/>
  <c r="V21" i="62"/>
  <c r="X21" i="62" s="1"/>
  <c r="J168" i="68" a="1"/>
  <c r="J168" i="68" s="1"/>
  <c r="J167" i="68" a="1"/>
  <c r="J167" i="68" s="1"/>
  <c r="V12" i="62"/>
  <c r="X12" i="62" s="1"/>
  <c r="J179" i="68" a="1"/>
  <c r="J179" i="68" s="1"/>
  <c r="J178" i="68" a="1"/>
  <c r="J178" i="68" s="1"/>
  <c r="J125" i="68" a="1"/>
  <c r="J125" i="68" s="1"/>
  <c r="Q221" i="19" a="1"/>
  <c r="Q221" i="19" s="1"/>
  <c r="V16" i="62"/>
  <c r="X16" i="62" s="1"/>
  <c r="D59" i="68"/>
  <c r="G89" i="68" a="1"/>
  <c r="G89" i="68" s="1"/>
  <c r="G80" i="68" a="1"/>
  <c r="G80" i="68" s="1"/>
  <c r="G73" i="68" a="1"/>
  <c r="G73" i="68" s="1"/>
  <c r="G65" i="68" a="1"/>
  <c r="G65" i="68" s="1"/>
  <c r="G88" i="68" a="1"/>
  <c r="G88" i="68" s="1"/>
  <c r="G79" i="68" a="1"/>
  <c r="G79" i="68" s="1"/>
  <c r="G72" i="68" a="1"/>
  <c r="G72" i="68" s="1"/>
  <c r="G64" i="68" a="1"/>
  <c r="G64" i="68" s="1"/>
  <c r="G86" i="68" a="1"/>
  <c r="G86" i="68" s="1"/>
  <c r="G78" i="68" a="1"/>
  <c r="G78" i="68" s="1"/>
  <c r="G71" i="68" a="1"/>
  <c r="G71" i="68" s="1"/>
  <c r="G63" i="68" a="1"/>
  <c r="G63" i="68" s="1"/>
  <c r="G85" i="68" a="1"/>
  <c r="G85" i="68" s="1"/>
  <c r="G77" i="68" a="1"/>
  <c r="G77" i="68" s="1"/>
  <c r="G69" i="68" a="1"/>
  <c r="G69" i="68" s="1"/>
  <c r="G62" i="68" a="1"/>
  <c r="G62" i="68" s="1"/>
  <c r="G92" i="68" a="1"/>
  <c r="G92" i="68" s="1"/>
  <c r="G84" i="68" a="1"/>
  <c r="G84" i="68" s="1"/>
  <c r="G76" i="68" a="1"/>
  <c r="G76" i="68" s="1"/>
  <c r="G68" i="68" a="1"/>
  <c r="G68" i="68" s="1"/>
  <c r="G61" i="68" a="1"/>
  <c r="G61" i="68" s="1"/>
  <c r="G91" i="68" a="1"/>
  <c r="G91" i="68" s="1"/>
  <c r="G83" i="68" a="1"/>
  <c r="G83" i="68" s="1"/>
  <c r="G75" i="68" a="1"/>
  <c r="G75" i="68" s="1"/>
  <c r="G67" i="68" a="1"/>
  <c r="G67" i="68" s="1"/>
  <c r="G60" i="68" a="1"/>
  <c r="G60" i="68" s="1"/>
  <c r="G90" i="68" a="1"/>
  <c r="G90" i="68" s="1"/>
  <c r="G82" i="68" a="1"/>
  <c r="G82" i="68" s="1"/>
  <c r="G74" i="68" a="1"/>
  <c r="G74" i="68" s="1"/>
  <c r="G66" i="68" a="1"/>
  <c r="G66" i="68" s="1"/>
  <c r="V15" i="62"/>
  <c r="X15" i="62" s="1"/>
  <c r="J162" i="68" a="1"/>
  <c r="J162" i="68" s="1"/>
  <c r="J126" i="68" a="1"/>
  <c r="J126" i="68" s="1"/>
  <c r="J118" i="68" a="1"/>
  <c r="J118" i="68" s="1"/>
  <c r="Q27" i="67" a="1"/>
  <c r="Q27" i="67" s="1"/>
  <c r="N37" i="66" a="1"/>
  <c r="N37" i="66" s="1"/>
  <c r="P34" i="66" a="1"/>
  <c r="P34" i="66" s="1"/>
  <c r="G147" i="73"/>
  <c r="L149" i="73"/>
  <c r="I147" i="73"/>
  <c r="I149" i="73"/>
  <c r="H146" i="73"/>
  <c r="H148" i="73"/>
  <c r="P148" i="73"/>
  <c r="P149" i="73"/>
  <c r="P147" i="73"/>
  <c r="H147" i="73"/>
  <c r="O148" i="73"/>
  <c r="Q39" i="67" a="1"/>
  <c r="Q39" i="67" s="1"/>
  <c r="P146" i="73"/>
  <c r="K148" i="73"/>
  <c r="J147" i="73"/>
  <c r="L148" i="73"/>
  <c r="N148" i="73"/>
  <c r="O146" i="73"/>
  <c r="M146" i="73"/>
  <c r="M147" i="73"/>
  <c r="I146" i="73"/>
  <c r="K146" i="73"/>
  <c r="O147" i="73"/>
  <c r="K149" i="73"/>
  <c r="J149" i="73"/>
  <c r="L146" i="73"/>
  <c r="M148" i="73"/>
  <c r="N147" i="73"/>
  <c r="G149" i="73"/>
  <c r="K147" i="73"/>
  <c r="L147" i="73"/>
  <c r="N146" i="73"/>
  <c r="O149" i="73"/>
  <c r="N149" i="73"/>
  <c r="H149" i="73"/>
  <c r="M149" i="73"/>
  <c r="E41" i="65"/>
  <c r="P30" i="67" a="1"/>
  <c r="P30" i="67" s="1"/>
  <c r="O30" i="67" a="1"/>
  <c r="O30" i="67" s="1"/>
  <c r="N30" i="67" a="1"/>
  <c r="N30" i="67" s="1"/>
  <c r="Q30" i="67" a="1"/>
  <c r="Q30" i="67" s="1"/>
  <c r="P26" i="67" a="1"/>
  <c r="P26" i="67" s="1"/>
  <c r="O26" i="67" a="1"/>
  <c r="O26" i="67" s="1"/>
  <c r="N26" i="67" a="1"/>
  <c r="N26" i="67" s="1"/>
  <c r="P32" i="67" a="1"/>
  <c r="P32" i="67" s="1"/>
  <c r="O32" i="67" a="1"/>
  <c r="O32" i="67" s="1"/>
  <c r="N32" i="67" a="1"/>
  <c r="N32" i="67" s="1"/>
  <c r="Q32" i="67" a="1"/>
  <c r="Q32" i="67" s="1"/>
  <c r="N40" i="67" a="1"/>
  <c r="N40" i="67" s="1"/>
  <c r="Q26" i="67" a="1"/>
  <c r="Q26" i="67" s="1"/>
  <c r="P35" i="67" a="1"/>
  <c r="P35" i="67" s="1"/>
  <c r="O35" i="67" a="1"/>
  <c r="O35" i="67" s="1"/>
  <c r="N35" i="67" a="1"/>
  <c r="N35" i="67" s="1"/>
  <c r="Q35" i="67" a="1"/>
  <c r="Q35" i="67" s="1"/>
  <c r="P39" i="67" a="1"/>
  <c r="P39" i="67" s="1"/>
  <c r="O39" i="67" a="1"/>
  <c r="O39" i="67" s="1"/>
  <c r="N39" i="67" a="1"/>
  <c r="N39" i="67" s="1"/>
  <c r="O29" i="67" a="1"/>
  <c r="O29" i="67" s="1"/>
  <c r="N29" i="67" a="1"/>
  <c r="N29" i="67" s="1"/>
  <c r="Q29" i="67" a="1"/>
  <c r="Q29" i="67" s="1"/>
  <c r="P29" i="67" a="1"/>
  <c r="P29" i="67" s="1"/>
  <c r="P38" i="67" a="1"/>
  <c r="P38" i="67" s="1"/>
  <c r="O38" i="67" a="1"/>
  <c r="O38" i="67" s="1"/>
  <c r="N38" i="67" a="1"/>
  <c r="N38" i="67" s="1"/>
  <c r="Q38" i="67" a="1"/>
  <c r="Q38" i="67" s="1"/>
  <c r="N27" i="67" a="1"/>
  <c r="N27" i="67" s="1"/>
  <c r="P27" i="67" a="1"/>
  <c r="P27" i="67" s="1"/>
  <c r="O27" i="67" a="1"/>
  <c r="O27" i="67" s="1"/>
  <c r="N27" i="66" a="1"/>
  <c r="N27" i="66" s="1"/>
  <c r="Q27" i="66" a="1"/>
  <c r="Q27" i="66" s="1"/>
  <c r="P27" i="66" a="1"/>
  <c r="P27" i="66" s="1"/>
  <c r="O27" i="66" a="1"/>
  <c r="O27" i="66" s="1"/>
  <c r="P31" i="66" a="1"/>
  <c r="P31" i="66" s="1"/>
  <c r="O31" i="66" a="1"/>
  <c r="O31" i="66" s="1"/>
  <c r="N31" i="66" a="1"/>
  <c r="N31" i="66" s="1"/>
  <c r="Q31" i="66" a="1"/>
  <c r="Q31" i="66" s="1"/>
  <c r="P30" i="66" a="1"/>
  <c r="P30" i="66" s="1"/>
  <c r="O30" i="66" a="1"/>
  <c r="O30" i="66" s="1"/>
  <c r="N30" i="66" a="1"/>
  <c r="N30" i="66" s="1"/>
  <c r="Q30" i="66" a="1"/>
  <c r="Q30" i="66" s="1"/>
  <c r="P28" i="66" a="1"/>
  <c r="P28" i="66" s="1"/>
  <c r="O28" i="66" a="1"/>
  <c r="O28" i="66" s="1"/>
  <c r="N28" i="66" a="1"/>
  <c r="N28" i="66" s="1"/>
  <c r="Q28" i="66" a="1"/>
  <c r="Q28" i="66" s="1"/>
  <c r="O32" i="66" a="1"/>
  <c r="O32" i="66" s="1"/>
  <c r="N32" i="66" a="1"/>
  <c r="N32" i="66" s="1"/>
  <c r="P32" i="66" a="1"/>
  <c r="P32" i="66" s="1"/>
  <c r="P29" i="66" a="1"/>
  <c r="P29" i="66" s="1"/>
  <c r="O29" i="66" a="1"/>
  <c r="O29" i="66" s="1"/>
  <c r="N29" i="66" a="1"/>
  <c r="N29" i="66" s="1"/>
  <c r="Q29" i="66" a="1"/>
  <c r="Q29" i="66" s="1"/>
  <c r="N39" i="66" a="1"/>
  <c r="N39" i="66" s="1"/>
  <c r="Q35" i="66" a="1"/>
  <c r="Q35" i="66" s="1"/>
  <c r="P35" i="66" a="1"/>
  <c r="P35" i="66" s="1"/>
  <c r="O35" i="66" a="1"/>
  <c r="O35" i="66" s="1"/>
  <c r="N35" i="66" a="1"/>
  <c r="N35" i="66" s="1"/>
  <c r="O39" i="66" a="1"/>
  <c r="O39" i="66" s="1"/>
  <c r="Q32" i="66" a="1"/>
  <c r="Q32" i="66" s="1"/>
  <c r="P39" i="66" a="1"/>
  <c r="P39" i="66" s="1"/>
  <c r="P37" i="66" a="1"/>
  <c r="P37" i="66" s="1"/>
  <c r="N36" i="66" a="1"/>
  <c r="N36" i="66" s="1"/>
  <c r="Q36" i="66" a="1"/>
  <c r="Q36" i="66" s="1"/>
  <c r="P36" i="66" a="1"/>
  <c r="P36" i="66" s="1"/>
  <c r="O36" i="66" a="1"/>
  <c r="O36" i="66" s="1"/>
  <c r="Q33" i="66" a="1"/>
  <c r="Q33" i="66" s="1"/>
  <c r="E52" i="66" s="1"/>
  <c r="N33" i="66" a="1"/>
  <c r="N33" i="66" s="1"/>
  <c r="E49" i="66" s="1"/>
  <c r="O33" i="66" a="1"/>
  <c r="O33" i="66" s="1"/>
  <c r="E50" i="66" s="1"/>
  <c r="N34" i="66" a="1"/>
  <c r="N34" i="66" s="1"/>
  <c r="O34" i="66" a="1"/>
  <c r="O34" i="66" s="1"/>
  <c r="E50" i="65"/>
  <c r="O61" i="34"/>
  <c r="O26" i="34"/>
  <c r="O40" i="67" l="1" a="1"/>
  <c r="O40" i="67" s="1"/>
  <c r="P40" i="67" a="1"/>
  <c r="P40" i="67" s="1"/>
  <c r="I68" i="68" a="1"/>
  <c r="I68" i="68" s="1"/>
  <c r="H166" i="68" s="1"/>
  <c r="I166" i="68" s="1"/>
  <c r="I79" i="68" a="1"/>
  <c r="I79" i="68" s="1"/>
  <c r="H177" i="68" s="1"/>
  <c r="I177" i="68" s="1"/>
  <c r="K177" i="68" s="1" a="1"/>
  <c r="K177" i="68" s="1"/>
  <c r="I39" i="68" a="1"/>
  <c r="I39" i="68" s="1"/>
  <c r="H134" i="68" s="1"/>
  <c r="I134" i="68" s="1"/>
  <c r="K134" i="68" s="1" a="1"/>
  <c r="K134" i="68" s="1"/>
  <c r="I27" i="68" a="1"/>
  <c r="I27" i="68" s="1"/>
  <c r="H122" i="68" s="1"/>
  <c r="I122" i="68" s="1"/>
  <c r="K122" i="68" s="1" a="1"/>
  <c r="K122" i="68" s="1"/>
  <c r="I33" i="68" a="1"/>
  <c r="I33" i="68" s="1"/>
  <c r="H128" i="68" s="1"/>
  <c r="I22" i="68" a="1"/>
  <c r="I22" i="68" s="1"/>
  <c r="H117" i="68" s="1"/>
  <c r="I117" i="68" s="1"/>
  <c r="K117" i="68" s="1" a="1"/>
  <c r="K117" i="68" s="1"/>
  <c r="P37" i="67" a="1"/>
  <c r="P37" i="67" s="1"/>
  <c r="O36" i="67" a="1"/>
  <c r="O36" i="67" s="1"/>
  <c r="N25" i="66" a="1"/>
  <c r="N25" i="66" s="1"/>
  <c r="I86" i="68" a="1"/>
  <c r="I86" i="68" s="1"/>
  <c r="H184" i="68" s="1"/>
  <c r="I23" i="68" a="1"/>
  <c r="I23" i="68" s="1"/>
  <c r="H118" i="68" s="1"/>
  <c r="I118" i="68" s="1"/>
  <c r="K118" i="68" s="1" a="1"/>
  <c r="K118" i="68" s="1"/>
  <c r="P33" i="67" a="1"/>
  <c r="P33" i="67" s="1"/>
  <c r="E51" i="67" s="1"/>
  <c r="P26" i="66" a="1"/>
  <c r="P26" i="66" s="1"/>
  <c r="I120" i="68"/>
  <c r="K120" i="68" s="1" a="1"/>
  <c r="K120" i="68" s="1"/>
  <c r="O28" i="67" a="1"/>
  <c r="O28" i="67" s="1"/>
  <c r="I47" i="68" a="1"/>
  <c r="I47" i="68" s="1"/>
  <c r="H142" i="68" s="1"/>
  <c r="Q36" i="67" a="1"/>
  <c r="Q36" i="67" s="1"/>
  <c r="N37" i="67" a="1"/>
  <c r="N37" i="67" s="1"/>
  <c r="O26" i="66" a="1"/>
  <c r="O26" i="66" s="1"/>
  <c r="E44" i="66" s="1"/>
  <c r="I50" i="68" a="1"/>
  <c r="I50" i="68" s="1"/>
  <c r="H145" i="68" s="1"/>
  <c r="N36" i="67" a="1"/>
  <c r="N36" i="67" s="1"/>
  <c r="E62" i="66"/>
  <c r="P36" i="67" a="1"/>
  <c r="P36" i="67" s="1"/>
  <c r="N26" i="66" a="1"/>
  <c r="N26" i="66" s="1"/>
  <c r="Q31" i="67" a="1"/>
  <c r="Q31" i="67" s="1"/>
  <c r="P25" i="66" a="1"/>
  <c r="P25" i="66" s="1"/>
  <c r="E45" i="66" s="1"/>
  <c r="N33" i="67" a="1"/>
  <c r="N33" i="67" s="1"/>
  <c r="I46" i="68" a="1"/>
  <c r="I46" i="68" s="1"/>
  <c r="H141" i="68" s="1"/>
  <c r="I48" i="68" a="1"/>
  <c r="I48" i="68" s="1"/>
  <c r="H143" i="68" s="1"/>
  <c r="I29" i="68" a="1"/>
  <c r="I29" i="68" s="1"/>
  <c r="H124" i="68" s="1"/>
  <c r="I124" i="68" s="1"/>
  <c r="K124" i="68" s="1" a="1"/>
  <c r="K124" i="68" s="1"/>
  <c r="Q37" i="67" a="1"/>
  <c r="Q37" i="67" s="1"/>
  <c r="N31" i="67" a="1"/>
  <c r="N31" i="67" s="1"/>
  <c r="O37" i="67" a="1"/>
  <c r="O37" i="67" s="1"/>
  <c r="P31" i="67" a="1"/>
  <c r="P31" i="67" s="1"/>
  <c r="O33" i="67" a="1"/>
  <c r="O33" i="67" s="1"/>
  <c r="I37" i="68" a="1"/>
  <c r="I37" i="68" s="1"/>
  <c r="H132" i="68" s="1"/>
  <c r="I132" i="68" s="1"/>
  <c r="K132" i="68" s="1" a="1"/>
  <c r="K132" i="68" s="1"/>
  <c r="I30" i="68" a="1"/>
  <c r="I30" i="68" s="1"/>
  <c r="H125" i="68" s="1"/>
  <c r="I125" i="68" s="1"/>
  <c r="K125" i="68" s="1" a="1"/>
  <c r="K125" i="68" s="1"/>
  <c r="Q25" i="66" a="1"/>
  <c r="Q25" i="66" s="1"/>
  <c r="E46" i="66" s="1"/>
  <c r="E64" i="66"/>
  <c r="O31" i="67" a="1"/>
  <c r="O31" i="67" s="1"/>
  <c r="I45" i="68" a="1"/>
  <c r="I45" i="68" s="1"/>
  <c r="H140" i="68" s="1"/>
  <c r="I67" i="68" a="1"/>
  <c r="I67" i="68" s="1"/>
  <c r="H165" i="68" s="1"/>
  <c r="I165" i="68" s="1"/>
  <c r="K165" i="68" s="1" a="1"/>
  <c r="K165" i="68" s="1"/>
  <c r="I71" i="68" a="1"/>
  <c r="I71" i="68" s="1"/>
  <c r="H169" i="68" s="1"/>
  <c r="I123" i="68"/>
  <c r="K123" i="68" s="1" a="1"/>
  <c r="K123" i="68" s="1"/>
  <c r="I119" i="68"/>
  <c r="K119" i="68" s="1" a="1"/>
  <c r="K119" i="68" s="1"/>
  <c r="I69" i="68" a="1"/>
  <c r="I69" i="68" s="1"/>
  <c r="H167" i="68" s="1"/>
  <c r="I167" i="68" s="1"/>
  <c r="K167" i="68" s="1" a="1"/>
  <c r="K167" i="68" s="1"/>
  <c r="I82" i="68" a="1"/>
  <c r="I82" i="68" s="1"/>
  <c r="H180" i="68" s="1"/>
  <c r="P34" i="67" a="1"/>
  <c r="P34" i="67" s="1"/>
  <c r="I44" i="68" a="1"/>
  <c r="I44" i="68" s="1"/>
  <c r="H139" i="68" s="1"/>
  <c r="I138" i="68" s="1"/>
  <c r="K138" i="68" s="1" a="1"/>
  <c r="K138" i="68" s="1"/>
  <c r="I60" i="68" a="1"/>
  <c r="I60" i="68" s="1"/>
  <c r="H158" i="68" s="1"/>
  <c r="I158" i="68" s="1"/>
  <c r="K158" i="68" s="1" a="1"/>
  <c r="K158" i="68" s="1"/>
  <c r="I63" i="68" a="1"/>
  <c r="I63" i="68" s="1"/>
  <c r="H161" i="68" s="1"/>
  <c r="I161" i="68" s="1"/>
  <c r="K161" i="68" s="1" a="1"/>
  <c r="K161" i="68" s="1"/>
  <c r="P25" i="67" a="1"/>
  <c r="P25" i="67" s="1"/>
  <c r="I41" i="68" a="1"/>
  <c r="I41" i="68" s="1"/>
  <c r="H136" i="68" s="1"/>
  <c r="I136" i="68" s="1"/>
  <c r="K136" i="68" s="1" a="1"/>
  <c r="K136" i="68" s="1"/>
  <c r="I90" i="68" a="1"/>
  <c r="I90" i="68" s="1"/>
  <c r="H188" i="68" s="1"/>
  <c r="I85" i="68" a="1"/>
  <c r="I85" i="68" s="1"/>
  <c r="H183" i="68" s="1"/>
  <c r="Q28" i="67" a="1"/>
  <c r="Q28" i="67" s="1"/>
  <c r="I35" i="68" a="1"/>
  <c r="I35" i="68" s="1"/>
  <c r="H130" i="68" s="1"/>
  <c r="I40" i="68" a="1"/>
  <c r="I40" i="68" s="1"/>
  <c r="H135" i="68" s="1"/>
  <c r="I135" i="68" s="1"/>
  <c r="K135" i="68" s="1" a="1"/>
  <c r="K135" i="68" s="1"/>
  <c r="I31" i="68" a="1"/>
  <c r="I31" i="68" s="1"/>
  <c r="H126" i="68" s="1"/>
  <c r="I126" i="68" s="1"/>
  <c r="K126" i="68" s="1" a="1"/>
  <c r="K126" i="68" s="1"/>
  <c r="I42" i="68" a="1"/>
  <c r="I42" i="68" s="1"/>
  <c r="H137" i="68" s="1"/>
  <c r="I137" i="68" s="1"/>
  <c r="K137" i="68" s="1" a="1"/>
  <c r="K137" i="68" s="1"/>
  <c r="O34" i="67" a="1"/>
  <c r="O34" i="67" s="1"/>
  <c r="I61" i="68" a="1"/>
  <c r="I61" i="68" s="1"/>
  <c r="H159" i="68" s="1"/>
  <c r="I159" i="68" s="1"/>
  <c r="K159" i="68" s="1" a="1"/>
  <c r="K159" i="68" s="1"/>
  <c r="K166" i="68" a="1"/>
  <c r="K166" i="68" s="1"/>
  <c r="I26" i="68" a="1"/>
  <c r="I26" i="68" s="1"/>
  <c r="H121" i="68" s="1"/>
  <c r="I121" i="68" s="1"/>
  <c r="K121" i="68" s="1" a="1"/>
  <c r="K121" i="68" s="1"/>
  <c r="P28" i="67" a="1"/>
  <c r="P28" i="67" s="1"/>
  <c r="I66" i="68" a="1"/>
  <c r="I66" i="68" s="1"/>
  <c r="H164" i="68" s="1"/>
  <c r="I164" i="68" s="1"/>
  <c r="K164" i="68" s="1" a="1"/>
  <c r="K164" i="68" s="1"/>
  <c r="I62" i="68" a="1"/>
  <c r="I62" i="68" s="1"/>
  <c r="H160" i="68" s="1"/>
  <c r="I160" i="68" s="1"/>
  <c r="K160" i="68" s="1" a="1"/>
  <c r="K160" i="68" s="1"/>
  <c r="I80" i="68" a="1"/>
  <c r="I80" i="68" s="1"/>
  <c r="H178" i="68" s="1"/>
  <c r="I178" i="68" s="1"/>
  <c r="K178" i="68" s="1" a="1"/>
  <c r="K178" i="68" s="1"/>
  <c r="I89" i="68" a="1"/>
  <c r="I89" i="68" s="1"/>
  <c r="H187" i="68" s="1"/>
  <c r="N34" i="67" a="1"/>
  <c r="N34" i="67" s="1"/>
  <c r="I64" i="68" a="1"/>
  <c r="I64" i="68" s="1"/>
  <c r="H162" i="68" s="1"/>
  <c r="I162" i="68" s="1"/>
  <c r="K162" i="68" s="1" a="1"/>
  <c r="K162" i="68" s="1"/>
  <c r="Q25" i="67" a="1"/>
  <c r="Q25" i="67" s="1"/>
  <c r="Q33" i="67" a="1"/>
  <c r="Q33" i="67" s="1"/>
  <c r="N25" i="67" a="1"/>
  <c r="N25" i="67" s="1"/>
  <c r="E43" i="67" s="1"/>
  <c r="I91" i="68" a="1"/>
  <c r="I91" i="68" s="1"/>
  <c r="H189" i="68" s="1"/>
  <c r="I72" i="68" a="1"/>
  <c r="I72" i="68" s="1"/>
  <c r="H170" i="68" s="1"/>
  <c r="I38" i="68" a="1"/>
  <c r="I38" i="68" s="1"/>
  <c r="H133" i="68" s="1"/>
  <c r="I133" i="68" s="1"/>
  <c r="K133" i="68" s="1" a="1"/>
  <c r="K133" i="68" s="1"/>
  <c r="I76" i="68" a="1"/>
  <c r="I76" i="68" s="1"/>
  <c r="H174" i="68" s="1"/>
  <c r="I174" i="68" s="1"/>
  <c r="K174" i="68" s="1" a="1"/>
  <c r="K174" i="68" s="1"/>
  <c r="I84" i="68" a="1"/>
  <c r="I84" i="68" s="1"/>
  <c r="H182" i="68" s="1"/>
  <c r="I65" i="68" a="1"/>
  <c r="I65" i="68" s="1"/>
  <c r="H163" i="68" s="1"/>
  <c r="I163" i="68" s="1"/>
  <c r="K163" i="68" s="1" a="1"/>
  <c r="K163" i="68" s="1"/>
  <c r="I74" i="68" a="1"/>
  <c r="I74" i="68" s="1"/>
  <c r="H172" i="68" s="1"/>
  <c r="I92" i="68" a="1"/>
  <c r="I92" i="68" s="1"/>
  <c r="H190" i="68" s="1"/>
  <c r="I73" i="68" a="1"/>
  <c r="I73" i="68" s="1"/>
  <c r="H171" i="68" s="1"/>
  <c r="I77" i="68" a="1"/>
  <c r="I77" i="68" s="1"/>
  <c r="H175" i="68" s="1"/>
  <c r="I175" i="68" s="1"/>
  <c r="K175" i="68" s="1" a="1"/>
  <c r="K175" i="68" s="1"/>
  <c r="I53" i="68" a="1"/>
  <c r="I53" i="68" s="1"/>
  <c r="H148" i="68" s="1"/>
  <c r="I34" i="68" a="1"/>
  <c r="I34" i="68" s="1"/>
  <c r="H129" i="68" s="1"/>
  <c r="I127" i="68" s="1"/>
  <c r="K127" i="68" s="1" a="1"/>
  <c r="K127" i="68" s="1"/>
  <c r="O25" i="67" a="1"/>
  <c r="O25" i="67" s="1"/>
  <c r="I75" i="68" a="1"/>
  <c r="I75" i="68" s="1"/>
  <c r="H173" i="68" s="1"/>
  <c r="I173" i="68" s="1"/>
  <c r="K173" i="68" s="1" a="1"/>
  <c r="K173" i="68" s="1"/>
  <c r="I78" i="68" a="1"/>
  <c r="I78" i="68" s="1"/>
  <c r="H176" i="68" s="1"/>
  <c r="I176" i="68" s="1"/>
  <c r="K176" i="68" s="1" a="1"/>
  <c r="K176" i="68" s="1"/>
  <c r="G116" i="68" a="1"/>
  <c r="G116" i="68" s="1"/>
  <c r="G157" i="68" a="1"/>
  <c r="G157" i="68" s="1"/>
  <c r="G21" i="68" a="1"/>
  <c r="G21" i="68" s="1"/>
  <c r="I21" i="68" s="1" a="1"/>
  <c r="I21" i="68" s="1"/>
  <c r="H116" i="68" s="1"/>
  <c r="G59" i="68" a="1"/>
  <c r="G59" i="68" s="1"/>
  <c r="I59" i="68" s="1" a="1"/>
  <c r="I59" i="68" s="1"/>
  <c r="H157" i="68" s="1"/>
  <c r="I51" i="68" a="1"/>
  <c r="I51" i="68" s="1"/>
  <c r="H146" i="68" s="1"/>
  <c r="I83" i="68" a="1"/>
  <c r="I83" i="68" s="1"/>
  <c r="H181" i="68" s="1"/>
  <c r="Q34" i="67" a="1"/>
  <c r="Q34" i="67" s="1"/>
  <c r="I88" i="68" a="1"/>
  <c r="I88" i="68" s="1"/>
  <c r="H186" i="68" s="1"/>
  <c r="E61" i="66"/>
  <c r="E63" i="66"/>
  <c r="E57" i="66"/>
  <c r="E58" i="66"/>
  <c r="E56" i="66"/>
  <c r="E55" i="66"/>
  <c r="E43" i="66" l="1"/>
  <c r="E44" i="67"/>
  <c r="E50" i="67"/>
  <c r="E45" i="67"/>
  <c r="E57" i="67" s="1"/>
  <c r="I185" i="68"/>
  <c r="K185" i="68" s="1" a="1"/>
  <c r="K185" i="68" s="1"/>
  <c r="E46" i="67"/>
  <c r="E49" i="67"/>
  <c r="E55" i="67" s="1"/>
  <c r="I179" i="68"/>
  <c r="K179" i="68" s="1" a="1"/>
  <c r="K179" i="68" s="1"/>
  <c r="I168" i="68"/>
  <c r="K168" i="68" s="1" a="1"/>
  <c r="K168" i="68" s="1"/>
  <c r="E52" i="67"/>
  <c r="I144" i="68"/>
  <c r="K144" i="68" s="1" a="1"/>
  <c r="K144" i="68" s="1"/>
  <c r="I116" i="68"/>
  <c r="K116" i="68" s="1" a="1"/>
  <c r="K116" i="68" s="1"/>
  <c r="I157" i="68"/>
  <c r="K157" i="68" s="1" a="1"/>
  <c r="K157" i="68" s="1"/>
  <c r="E56" i="67"/>
  <c r="E69" i="66"/>
  <c r="E70" i="66"/>
  <c r="E67" i="66"/>
  <c r="E68" i="66"/>
  <c r="I72" i="34"/>
  <c r="I71" i="34"/>
  <c r="I70" i="34"/>
  <c r="I52" i="34"/>
  <c r="I51" i="34"/>
  <c r="J16" i="34"/>
  <c r="I553" i="19"/>
  <c r="I549" i="19"/>
  <c r="I548" i="19"/>
  <c r="I547" i="19"/>
  <c r="I531" i="19"/>
  <c r="I530" i="19" s="1" a="1"/>
  <c r="I530" i="19" s="1"/>
  <c r="I529" i="19"/>
  <c r="E481" i="19"/>
  <c r="E480" i="19"/>
  <c r="E479" i="19"/>
  <c r="E470" i="19"/>
  <c r="E469" i="19"/>
  <c r="E468" i="19"/>
  <c r="E467" i="19"/>
  <c r="E466" i="19"/>
  <c r="E164" i="19"/>
  <c r="E163" i="19"/>
  <c r="E162" i="19"/>
  <c r="E139" i="19"/>
  <c r="E138" i="19"/>
  <c r="E137" i="19"/>
  <c r="E136" i="19"/>
  <c r="E58" i="67" l="1"/>
  <c r="E151" i="68"/>
  <c r="E192" i="68"/>
  <c r="D36" i="41"/>
  <c r="D35" i="41"/>
  <c r="D28" i="41"/>
  <c r="D27" i="41"/>
  <c r="D26" i="41"/>
  <c r="D25" i="41"/>
  <c r="D24" i="41"/>
  <c r="D14" i="41"/>
  <c r="D13" i="41"/>
  <c r="D12" i="41"/>
  <c r="D11" i="41"/>
  <c r="I53" i="34" l="1"/>
  <c r="F627" i="19" a="1"/>
  <c r="F627" i="19" s="1"/>
  <c r="E627" i="19" a="1"/>
  <c r="E627" i="19" s="1"/>
  <c r="J627" i="19" s="1" a="1"/>
  <c r="J627" i="19" s="1"/>
  <c r="D627" i="19" a="1"/>
  <c r="D627" i="19" s="1"/>
  <c r="F609" i="19" a="1"/>
  <c r="F609" i="19" s="1"/>
  <c r="E609" i="19" a="1"/>
  <c r="E609" i="19" s="1"/>
  <c r="J609" i="19" s="1" a="1"/>
  <c r="J609" i="19" s="1"/>
  <c r="D609" i="19" a="1"/>
  <c r="D609" i="19" s="1"/>
  <c r="G601" i="19" a="1"/>
  <c r="G601" i="19" s="1"/>
  <c r="D601" i="19" a="1"/>
  <c r="D601" i="19" s="1"/>
  <c r="E599" i="19" a="1"/>
  <c r="E599" i="19" s="1"/>
  <c r="E598" i="19" a="1"/>
  <c r="E598" i="19" s="1"/>
  <c r="D593" i="19" a="1"/>
  <c r="D593" i="19" s="1"/>
  <c r="D592" i="19" a="1"/>
  <c r="D592" i="19" s="1"/>
  <c r="E594" i="19" a="1"/>
  <c r="J613" i="19" l="1" a="1"/>
  <c r="J613" i="19" s="1"/>
  <c r="J635" i="19" a="1"/>
  <c r="J635" i="19" s="1"/>
  <c r="J636" i="19" a="1"/>
  <c r="J636" i="19" s="1"/>
  <c r="J615" i="19" a="1"/>
  <c r="J615" i="19" s="1"/>
  <c r="J617" i="19" a="1"/>
  <c r="J617" i="19" s="1"/>
  <c r="J618" i="19" a="1"/>
  <c r="J618" i="19" s="1"/>
  <c r="J628" i="19" a="1"/>
  <c r="J628" i="19" s="1"/>
  <c r="J629" i="19" a="1"/>
  <c r="J629" i="19" s="1"/>
  <c r="J630" i="19" a="1"/>
  <c r="J630" i="19" s="1"/>
  <c r="J631" i="19" a="1"/>
  <c r="J631" i="19" s="1"/>
  <c r="J614" i="19" a="1"/>
  <c r="J614" i="19" s="1"/>
  <c r="J616" i="19" a="1"/>
  <c r="J616" i="19" s="1"/>
  <c r="J610" i="19" a="1"/>
  <c r="J610" i="19" s="1"/>
  <c r="J632" i="19" a="1"/>
  <c r="J632" i="19" s="1"/>
  <c r="J611" i="19" a="1"/>
  <c r="J611" i="19" s="1"/>
  <c r="J633" i="19" a="1"/>
  <c r="J633" i="19" s="1"/>
  <c r="J612" i="19" a="1"/>
  <c r="J612" i="19" s="1"/>
  <c r="J634" i="19" a="1"/>
  <c r="J634" i="19" s="1"/>
  <c r="D34" i="41" a="1"/>
  <c r="D34" i="41" s="1"/>
  <c r="E594" i="19"/>
  <c r="E586" i="19" a="1"/>
  <c r="E586" i="19" s="1"/>
  <c r="F588" i="19" s="1"/>
  <c r="E585" i="19" a="1"/>
  <c r="E585" i="19" s="1"/>
  <c r="D583" i="19" a="1"/>
  <c r="D583" i="19" s="1"/>
  <c r="D582" i="19" a="1"/>
  <c r="D582" i="19" s="1"/>
  <c r="E33" i="41" l="1"/>
  <c r="E639" i="19"/>
  <c r="F36" i="41" s="1"/>
  <c r="E621" i="19"/>
  <c r="D33" i="41" a="1"/>
  <c r="D33" i="41" s="1"/>
  <c r="E588" i="19" l="1"/>
  <c r="F35" i="41"/>
  <c r="E642" i="19"/>
  <c r="F33" i="41"/>
  <c r="H569" i="19" a="1"/>
  <c r="H569" i="19" s="1"/>
  <c r="D569" i="19" a="1"/>
  <c r="D569" i="19" s="1"/>
  <c r="E565" i="19" a="1"/>
  <c r="E565" i="19" s="1"/>
  <c r="E564" i="19" a="1"/>
  <c r="E564" i="19" s="1"/>
  <c r="D560" i="19" a="1"/>
  <c r="D560" i="19" s="1"/>
  <c r="D559" i="19" a="1"/>
  <c r="D559"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J17" i="34"/>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75" i="19" a="1"/>
  <c r="D575" i="19" s="1"/>
  <c r="F578" i="19" a="1"/>
  <c r="F578" i="19" s="1"/>
  <c r="H13" i="34" a="1"/>
  <c r="H13" i="34" s="1"/>
  <c r="D13" i="34" a="1"/>
  <c r="D13" i="34" s="1"/>
  <c r="E11" i="34" a="1"/>
  <c r="E11" i="34" s="1"/>
  <c r="E10" i="34" a="1"/>
  <c r="E10" i="34" s="1"/>
  <c r="D6" i="34" a="1"/>
  <c r="D6" i="34" s="1"/>
  <c r="D5" i="34" a="1"/>
  <c r="D5" i="34" s="1"/>
  <c r="E26" i="34" a="1"/>
  <c r="E561" i="19" a="1"/>
  <c r="E61" i="34" a="1"/>
  <c r="O19" i="34" l="1" a="1"/>
  <c r="O19" i="34" s="1"/>
  <c r="R569" i="19" s="1"/>
  <c r="F19" i="34"/>
  <c r="P19" i="34"/>
  <c r="F55" i="34"/>
  <c r="P55" i="34"/>
  <c r="F573" i="19"/>
  <c r="N573" i="19"/>
  <c r="F74" i="34"/>
  <c r="P74" i="34"/>
  <c r="F90" i="34"/>
  <c r="P90" i="34"/>
  <c r="D32" i="41" a="1"/>
  <c r="D32" i="41" s="1"/>
  <c r="E561" i="19"/>
  <c r="D85" i="34"/>
  <c r="E61" i="34"/>
  <c r="E26" i="34"/>
  <c r="G547" i="19" l="1" a="1"/>
  <c r="G547" i="19" s="1"/>
  <c r="D547" i="19" a="1"/>
  <c r="D547" i="19" s="1"/>
  <c r="E545" i="19" a="1"/>
  <c r="E545" i="19" s="1"/>
  <c r="E544" i="19" a="1"/>
  <c r="E544" i="19" s="1"/>
  <c r="D539" i="19" a="1"/>
  <c r="D539" i="19" s="1"/>
  <c r="D538" i="19" a="1"/>
  <c r="D538" i="19" s="1"/>
  <c r="D537" i="19" a="1"/>
  <c r="D537" i="19" s="1"/>
  <c r="G529" i="19" a="1"/>
  <c r="G529" i="19" s="1"/>
  <c r="D529" i="19" a="1"/>
  <c r="D529" i="19" s="1"/>
  <c r="E527" i="19" a="1"/>
  <c r="E527" i="19" s="1"/>
  <c r="E526" i="19" a="1"/>
  <c r="E526" i="19" s="1"/>
  <c r="D522" i="19" a="1"/>
  <c r="D522" i="19" s="1"/>
  <c r="D521" i="19" a="1"/>
  <c r="D521" i="19" s="1"/>
  <c r="D31" i="41" l="1" a="1"/>
  <c r="D31" i="41" s="1"/>
  <c r="D30" i="41" a="1"/>
  <c r="D30" i="41" s="1"/>
  <c r="G515" i="19" l="1" a="1"/>
  <c r="G515" i="19" s="1"/>
  <c r="D515" i="19" a="1"/>
  <c r="D515" i="19" s="1"/>
  <c r="E513" i="19" a="1"/>
  <c r="E513" i="19" s="1"/>
  <c r="E512" i="19" a="1"/>
  <c r="E512" i="19" s="1"/>
  <c r="D507" i="19" a="1"/>
  <c r="D507" i="19" s="1"/>
  <c r="D506" i="19" a="1"/>
  <c r="D506" i="19" s="1"/>
  <c r="D29" i="41" l="1" a="1"/>
  <c r="D29" i="41" s="1"/>
  <c r="I516" i="19" l="1"/>
  <c r="I515" i="19" l="1"/>
  <c r="E518" i="19" s="1" a="1"/>
  <c r="E518" i="19"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D202" i="19" a="1"/>
  <c r="D202" i="19" s="1"/>
  <c r="E207" i="19" a="1"/>
  <c r="E207" i="19" s="1"/>
  <c r="E206" i="19" a="1"/>
  <c r="E206" i="19" s="1"/>
  <c r="D201" i="19" a="1"/>
  <c r="D201" i="19" s="1"/>
  <c r="D200" i="19" a="1"/>
  <c r="D200" i="19" s="1"/>
  <c r="D430" i="19" a="1"/>
  <c r="D430" i="19" s="1"/>
  <c r="E430" i="19" a="1"/>
  <c r="F430" i="19" a="1"/>
  <c r="J435" i="19" s="1" a="1"/>
  <c r="J435" i="19" s="1"/>
  <c r="E100" i="19" a="1"/>
  <c r="E323" i="19" a="1"/>
  <c r="E258" i="19" a="1"/>
  <c r="E188" i="19" a="1"/>
  <c r="E418" i="19" a="1"/>
  <c r="E385" i="19" a="1"/>
  <c r="E203" i="19" a="1"/>
  <c r="E174" i="19" a="1"/>
  <c r="E290" i="19" a="1"/>
  <c r="E355" i="19" a="1"/>
  <c r="E29" i="41" l="1"/>
  <c r="F29" i="41" s="1"/>
  <c r="D23" i="41" a="1"/>
  <c r="D23" i="41" s="1"/>
  <c r="D18" i="4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E258" i="19"/>
  <c r="E174" i="19"/>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Z119" i="19" a="1"/>
  <c r="Z119" i="19" s="1"/>
  <c r="AA119" i="19" a="1"/>
  <c r="AA119" i="19" s="1"/>
  <c r="I136" i="19" a="1"/>
  <c r="I136" i="19" s="1"/>
  <c r="I137" i="19" a="1"/>
  <c r="I137" i="19" s="1"/>
  <c r="E151" i="19" a="1"/>
  <c r="Y119" i="19" l="1"/>
  <c r="F621" i="19"/>
  <c r="F620" i="19"/>
  <c r="F642" i="19"/>
  <c r="F638" i="19"/>
  <c r="F641" i="19"/>
  <c r="F639" i="19"/>
  <c r="E411" i="19"/>
  <c r="F22" i="41"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86" i="19" a="1"/>
  <c r="D186" i="19" s="1"/>
  <c r="D157" i="19" a="1"/>
  <c r="D157" i="19" s="1"/>
  <c r="D150" i="19" a="1"/>
  <c r="D150" i="19" s="1"/>
  <c r="D149" i="19" a="1"/>
  <c r="D149" i="19" s="1"/>
  <c r="D106" i="19" a="1"/>
  <c r="D106"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6" i="41" l="1" a="1"/>
  <c r="D16" i="41" s="1"/>
  <c r="D15" i="41" a="1"/>
  <c r="D15" i="41" s="1"/>
  <c r="D10" i="41" a="1"/>
  <c r="D10" i="41" s="1"/>
  <c r="D17" i="41" a="1"/>
  <c r="D17"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167" i="19"/>
  <c r="F16" i="41" s="1"/>
  <c r="F167" i="19"/>
  <c r="I119" i="19" a="1"/>
  <c r="I119" i="19" s="1"/>
  <c r="F35" i="19"/>
  <c r="F34" i="19"/>
  <c r="F93" i="19"/>
  <c r="F94" i="19"/>
  <c r="J61" i="19" a="1"/>
  <c r="J61" i="19" s="1"/>
  <c r="F72" i="19"/>
  <c r="F73" i="19"/>
  <c r="F53" i="19"/>
  <c r="F54" i="19"/>
  <c r="F90" i="19"/>
  <c r="J62" i="19" a="1"/>
  <c r="J62" i="19" s="1"/>
  <c r="E7" i="19"/>
  <c r="H79" i="19" l="1"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L341" i="19"/>
  <c r="L337" i="19"/>
  <c r="L339" i="19"/>
  <c r="L338" i="19"/>
  <c r="L340" i="19"/>
  <c r="L342" i="19"/>
  <c r="L343" i="19"/>
  <c r="L344" i="19"/>
  <c r="L345" i="19"/>
  <c r="E490" i="19"/>
  <c r="K490" i="19" s="1" a="1"/>
  <c r="K490" i="19" s="1"/>
  <c r="E502" i="19" l="1"/>
  <c r="F28" i="41" s="1"/>
  <c r="E348" i="19"/>
  <c r="F20" i="41" s="1"/>
  <c r="J79" i="19" a="1"/>
  <c r="J79" i="19" s="1"/>
  <c r="D79" i="19" l="1" a="1"/>
  <c r="D79" i="19" s="1"/>
  <c r="D61" i="19" l="1" a="1"/>
  <c r="D61" i="19" s="1"/>
  <c r="F79" i="19" l="1" a="1"/>
  <c r="D42" i="19" a="1"/>
  <c r="D42" i="19" s="1"/>
  <c r="F79" i="19" l="1"/>
  <c r="F61" i="19" a="1"/>
  <c r="F42" i="19" l="1" a="1"/>
  <c r="F61" i="19"/>
  <c r="F23" i="19" a="1"/>
  <c r="F23" i="19" s="1"/>
  <c r="E23" i="19" a="1"/>
  <c r="D23" i="19" a="1"/>
  <c r="D23" i="19" s="1"/>
  <c r="H23" i="19" l="1" a="1"/>
  <c r="F42" i="19"/>
  <c r="E23" i="19"/>
  <c r="H23" i="19" l="1"/>
  <c r="E367" i="19" l="1"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7" i="55" l="1" a="1"/>
  <c r="D7" i="55" s="1"/>
  <c r="D162" i="19" s="1"/>
  <c r="F162" i="19" s="1" a="1"/>
  <c r="F162" i="19" s="1"/>
  <c r="G162" i="19" s="1" a="1"/>
  <c r="G162" i="19" s="1"/>
  <c r="D12" i="55" a="1"/>
  <c r="D12" i="55" s="1"/>
  <c r="F367" i="19" a="1"/>
  <c r="J314" i="19" l="1" a="1"/>
  <c r="J314" i="19" s="1"/>
  <c r="J309" i="19" a="1"/>
  <c r="J309" i="19" s="1"/>
  <c r="J313" i="19" a="1"/>
  <c r="J313" i="19" s="1"/>
  <c r="J310" i="19" a="1"/>
  <c r="J310" i="19" s="1"/>
  <c r="J311" i="19" a="1"/>
  <c r="J311" i="19" s="1"/>
  <c r="J305" i="19" a="1"/>
  <c r="J305" i="19" s="1"/>
  <c r="J312" i="19" a="1"/>
  <c r="J312" i="19" s="1"/>
  <c r="J308" i="19" a="1"/>
  <c r="J308" i="19" s="1"/>
  <c r="J306" i="19" a="1"/>
  <c r="J306" i="19" s="1"/>
  <c r="J307" i="19" a="1"/>
  <c r="J307" i="19" s="1"/>
  <c r="F367" i="19"/>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E317" i="19" l="1"/>
  <c r="F19" i="41" s="1"/>
  <c r="I138" i="19"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F202" i="20" a="1"/>
  <c r="F202" i="20" s="1"/>
  <c r="G202" i="20" a="1"/>
  <c r="G202" i="20" s="1"/>
  <c r="H202" i="20" a="1"/>
  <c r="H202" i="20" s="1"/>
  <c r="I202" i="20" a="1"/>
  <c r="I202" i="20" s="1"/>
  <c r="D203" i="20" a="1"/>
  <c r="D203" i="20" s="1"/>
  <c r="E203" i="20" a="1"/>
  <c r="E203" i="20" s="1"/>
  <c r="F203" i="20" a="1"/>
  <c r="F203" i="20" s="1"/>
  <c r="G203" i="20" a="1"/>
  <c r="G203" i="20" s="1"/>
  <c r="H203" i="20" a="1"/>
  <c r="H203" i="20" s="1"/>
  <c r="I203" i="20" a="1"/>
  <c r="I203" i="20" s="1"/>
  <c r="D204" i="20" a="1"/>
  <c r="D204" i="20" s="1"/>
  <c r="E204" i="20" a="1"/>
  <c r="E204" i="20" s="1"/>
  <c r="F204" i="20" a="1"/>
  <c r="F204" i="20" s="1"/>
  <c r="G204" i="20" a="1"/>
  <c r="G204" i="20" s="1"/>
  <c r="H204" i="20" a="1"/>
  <c r="H204" i="20" s="1"/>
  <c r="I204" i="20" a="1"/>
  <c r="I204" i="20" s="1"/>
  <c r="D205" i="20" a="1"/>
  <c r="D205" i="20" s="1"/>
  <c r="E205" i="20" a="1"/>
  <c r="E205" i="20" s="1"/>
  <c r="F205" i="20" a="1"/>
  <c r="F205" i="20" s="1"/>
  <c r="G205" i="20" a="1"/>
  <c r="G205" i="20" s="1"/>
  <c r="H205" i="20" a="1"/>
  <c r="H205" i="20" s="1"/>
  <c r="I205" i="20" a="1"/>
  <c r="I205" i="20" s="1"/>
  <c r="D206" i="20" a="1"/>
  <c r="D206" i="20" s="1"/>
  <c r="E206" i="20" a="1"/>
  <c r="E206" i="20" s="1"/>
  <c r="F206" i="20" a="1"/>
  <c r="F206" i="20" s="1"/>
  <c r="G206" i="20" a="1"/>
  <c r="G206" i="20" s="1"/>
  <c r="H206" i="20" a="1"/>
  <c r="H206" i="20" s="1"/>
  <c r="I206" i="20" a="1"/>
  <c r="I206" i="20" s="1"/>
  <c r="D207" i="20" a="1"/>
  <c r="D207" i="20" s="1"/>
  <c r="E207" i="20" a="1"/>
  <c r="E207" i="20" s="1"/>
  <c r="F207" i="20" a="1"/>
  <c r="F207" i="20" s="1"/>
  <c r="G207" i="20" a="1"/>
  <c r="G207" i="20" s="1"/>
  <c r="H207" i="20" a="1"/>
  <c r="H207" i="20" s="1"/>
  <c r="I207" i="20" a="1"/>
  <c r="I207" i="20" s="1"/>
  <c r="D208" i="20" a="1"/>
  <c r="D208" i="20" s="1"/>
  <c r="E208" i="20" a="1"/>
  <c r="E208" i="20" s="1"/>
  <c r="F208" i="20" a="1"/>
  <c r="F208" i="20" s="1"/>
  <c r="G208" i="20" a="1"/>
  <c r="G208" i="20" s="1"/>
  <c r="H208" i="20" a="1"/>
  <c r="H208" i="20" s="1"/>
  <c r="I208" i="20" a="1"/>
  <c r="I208" i="20" s="1"/>
  <c r="D209" i="20" a="1"/>
  <c r="D209" i="20" s="1"/>
  <c r="E209" i="20" a="1"/>
  <c r="E209" i="20"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D5" i="57" l="1"/>
  <c r="D481" i="19" s="1"/>
  <c r="F481" i="19" s="1" a="1"/>
  <c r="F481" i="19" s="1"/>
  <c r="G481" i="19" s="1" a="1"/>
  <c r="G481" i="19" s="1"/>
  <c r="D26" i="58"/>
  <c r="D469" i="19" s="1"/>
  <c r="F469" i="19" s="1" a="1"/>
  <c r="F469" i="19" s="1"/>
  <c r="D48" i="55"/>
  <c r="D480" i="19" s="1"/>
  <c r="F480" i="19" s="1" a="1"/>
  <c r="F480" i="19" s="1"/>
  <c r="T128" i="19" a="1"/>
  <c r="T128" i="19" s="1"/>
  <c r="X123" i="19" a="1"/>
  <c r="X123" i="19" s="1"/>
  <c r="T127" i="19" a="1"/>
  <c r="T127" i="19" s="1"/>
  <c r="X122" i="19" a="1"/>
  <c r="X122" i="19" s="1"/>
  <c r="X127" i="19" a="1"/>
  <c r="X127" i="19" s="1"/>
  <c r="T126" i="19" a="1"/>
  <c r="T126" i="19" s="1"/>
  <c r="X121" i="19" a="1"/>
  <c r="X121" i="19" s="1"/>
  <c r="T120" i="19" a="1"/>
  <c r="T120" i="19" s="1"/>
  <c r="T125" i="19" a="1"/>
  <c r="T125" i="19" s="1"/>
  <c r="X120" i="19" a="1"/>
  <c r="X120" i="19" s="1"/>
  <c r="AB128" i="19" a="1"/>
  <c r="AB128" i="19" s="1"/>
  <c r="X124" i="19" a="1"/>
  <c r="X124" i="19" s="1"/>
  <c r="T124" i="19" a="1"/>
  <c r="T124" i="19" s="1"/>
  <c r="AB120" i="19" a="1"/>
  <c r="AB120" i="19" s="1"/>
  <c r="AB126" i="19" a="1"/>
  <c r="AB126" i="19" s="1"/>
  <c r="T123" i="19" a="1"/>
  <c r="T123" i="19" s="1"/>
  <c r="AB122" i="19" a="1"/>
  <c r="AB122" i="19" s="1"/>
  <c r="T121" i="19" a="1"/>
  <c r="T121" i="19" s="1"/>
  <c r="AB127" i="19" a="1"/>
  <c r="AB127" i="19" s="1"/>
  <c r="T122" i="19" a="1"/>
  <c r="T122" i="19" s="1"/>
  <c r="AB121" i="19" a="1"/>
  <c r="AB121" i="19" s="1"/>
  <c r="X128" i="19" a="1"/>
  <c r="X128" i="19" s="1"/>
  <c r="X126" i="19" a="1"/>
  <c r="X126" i="19" s="1"/>
  <c r="AB125" i="19" a="1"/>
  <c r="AB125" i="19" s="1"/>
  <c r="X125" i="19" a="1"/>
  <c r="X125" i="19" s="1"/>
  <c r="AB124" i="19" a="1"/>
  <c r="AB124" i="19" s="1"/>
  <c r="AB123" i="19" a="1"/>
  <c r="AB123" i="19" s="1"/>
  <c r="X119" i="19" a="1"/>
  <c r="X119" i="19" s="1"/>
  <c r="AB119" i="19" a="1"/>
  <c r="AB119" i="19" s="1"/>
  <c r="T119" i="19" a="1"/>
  <c r="T119" i="19" s="1"/>
  <c r="D24" i="58"/>
  <c r="D467" i="19" s="1"/>
  <c r="F467" i="19" s="1" a="1"/>
  <c r="F467" i="19" s="1"/>
  <c r="D25" i="58"/>
  <c r="D468" i="19" s="1"/>
  <c r="F468" i="19" s="1" a="1"/>
  <c r="F468" i="19" s="1"/>
  <c r="G468" i="19" s="1" a="1"/>
  <c r="G468" i="19" s="1"/>
  <c r="D27" i="58"/>
  <c r="D470" i="19" s="1"/>
  <c r="F470" i="19" s="1" a="1"/>
  <c r="F470" i="19" s="1"/>
  <c r="G470" i="19" s="1" a="1"/>
  <c r="G470" i="19" s="1"/>
  <c r="D47" i="55"/>
  <c r="D479" i="19" s="1"/>
  <c r="F479" i="19" s="1" a="1"/>
  <c r="F479" i="19" s="1"/>
  <c r="G479" i="19" s="1" a="1"/>
  <c r="G479" i="19" s="1"/>
  <c r="D23" i="58"/>
  <c r="D466" i="19" s="1"/>
  <c r="F466" i="19" s="1" a="1"/>
  <c r="F466" i="19" s="1"/>
  <c r="G466" i="19" s="1" a="1"/>
  <c r="G466"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E76" i="19" a="1"/>
  <c r="E76" i="19" s="1"/>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E72" i="19"/>
  <c r="E90" i="19"/>
  <c r="E14" i="41" s="1"/>
  <c r="E91" i="19"/>
  <c r="F14" i="41" s="1"/>
  <c r="F13" i="41" l="1"/>
  <c r="E94" i="19"/>
  <c r="E13" i="41"/>
  <c r="E93" i="19"/>
  <c r="G270" i="19" a="1"/>
  <c r="G270" i="19" s="1"/>
  <c r="E283" i="19" s="1"/>
  <c r="E18" i="41" s="1"/>
  <c r="I270" i="19" a="1"/>
  <c r="I270" i="19" s="1"/>
  <c r="E284" i="19" s="1"/>
  <c r="F18" i="41" s="1"/>
  <c r="E533" i="19" l="1" a="1"/>
  <c r="E533" i="19" s="1"/>
  <c r="E30" i="41" l="1"/>
  <c r="F30" i="41" s="1"/>
  <c r="I550" i="19"/>
  <c r="I551" i="19"/>
  <c r="J87" i="34"/>
  <c r="I33" i="34"/>
  <c r="E555" i="19" l="1" a="1"/>
  <c r="E555" i="19" s="1"/>
  <c r="E31" i="41" s="1"/>
  <c r="F31" i="41" s="1"/>
  <c r="I69" i="34"/>
  <c r="O74" i="34" s="1" a="1"/>
  <c r="O74" i="34" s="1"/>
  <c r="T86" i="34" s="1"/>
  <c r="O90" i="34" s="1" a="1"/>
  <c r="O90" i="34" s="1"/>
  <c r="R571" i="19" s="1"/>
  <c r="E35" i="34" a="1"/>
  <c r="E35" i="34" s="1"/>
  <c r="I48" i="34" s="1"/>
  <c r="O35" i="34" a="1"/>
  <c r="O35" i="34" s="1"/>
  <c r="S48" i="34" s="1"/>
  <c r="O55" i="34" s="1" a="1"/>
  <c r="O55" i="34" s="1"/>
  <c r="R570" i="19" s="1"/>
  <c r="J237" i="19" a="1"/>
  <c r="J237" i="19" s="1"/>
  <c r="J245" i="19" a="1"/>
  <c r="J245" i="19" s="1"/>
  <c r="J238" i="19" a="1"/>
  <c r="J238" i="19" s="1"/>
  <c r="J240" i="19" a="1"/>
  <c r="J240" i="19" s="1"/>
  <c r="J242" i="19" a="1"/>
  <c r="J242" i="19" s="1"/>
  <c r="J244" i="19" a="1"/>
  <c r="J244" i="19" s="1"/>
  <c r="J246" i="19" a="1"/>
  <c r="J246" i="19" s="1"/>
  <c r="J241" i="19" a="1"/>
  <c r="J241" i="19" s="1"/>
  <c r="J239" i="19" a="1"/>
  <c r="J239" i="19" s="1"/>
  <c r="J243" i="19" a="1"/>
  <c r="J243" i="19" s="1"/>
  <c r="M573" i="19" l="1" a="1"/>
  <c r="M573" i="19" s="1"/>
  <c r="O575" i="19" s="1"/>
  <c r="M578" i="19" s="1" a="1"/>
  <c r="M578" i="19" s="1"/>
  <c r="F32" i="41" s="1"/>
  <c r="AE242" i="19" a="1"/>
  <c r="AE242" i="19" s="1"/>
  <c r="AE243" i="19" a="1"/>
  <c r="AE243" i="19" s="1"/>
  <c r="S244" i="19" a="1"/>
  <c r="S244" i="19" s="1"/>
  <c r="W242" i="19" a="1"/>
  <c r="W242" i="19" s="1"/>
  <c r="AE245" i="19" a="1"/>
  <c r="AE245" i="19" s="1"/>
  <c r="S246" i="19" a="1"/>
  <c r="S246" i="19" s="1"/>
  <c r="S237" i="19" a="1"/>
  <c r="S237" i="19" s="1"/>
  <c r="S241" i="19" a="1"/>
  <c r="S241" i="19" s="1"/>
  <c r="AA242" i="19" a="1"/>
  <c r="AA242" i="19" s="1"/>
  <c r="AE239" i="19" a="1"/>
  <c r="AE239" i="19" s="1"/>
  <c r="AA241" i="19" a="1"/>
  <c r="AA241" i="19" s="1"/>
  <c r="W243" i="19" a="1"/>
  <c r="W243" i="19" s="1"/>
  <c r="AE241" i="19" a="1"/>
  <c r="AE241" i="19" s="1"/>
  <c r="AA243" i="19" a="1"/>
  <c r="AA243" i="19" s="1"/>
  <c r="AA244" i="19" a="1"/>
  <c r="AA244" i="19" s="1"/>
  <c r="AE246" i="19" a="1"/>
  <c r="AE246" i="19" s="1"/>
  <c r="S245" i="19" a="1"/>
  <c r="S245" i="19" s="1"/>
  <c r="W245" i="19" a="1"/>
  <c r="W245" i="19" s="1"/>
  <c r="W238" i="19" a="1"/>
  <c r="W238" i="19" s="1"/>
  <c r="S239" i="19" a="1"/>
  <c r="S239" i="19" s="1"/>
  <c r="AA245" i="19" a="1"/>
  <c r="AA245" i="19" s="1"/>
  <c r="AA246" i="19" a="1"/>
  <c r="AA246" i="19" s="1"/>
  <c r="W241" i="19" a="1"/>
  <c r="W241" i="19" s="1"/>
  <c r="AA239" i="19" a="1"/>
  <c r="AA239" i="19" s="1"/>
  <c r="S238" i="19" a="1"/>
  <c r="S238" i="19" s="1"/>
  <c r="W246" i="19" a="1"/>
  <c r="W246" i="19" s="1"/>
  <c r="S242" i="19" a="1"/>
  <c r="S242" i="19" s="1"/>
  <c r="S243" i="19" a="1"/>
  <c r="S243" i="19" s="1"/>
  <c r="S240" i="19" a="1"/>
  <c r="S240" i="19" s="1"/>
  <c r="AE237" i="19" a="1"/>
  <c r="AE237" i="19" s="1"/>
  <c r="K237" i="19" s="1" a="1"/>
  <c r="K237" i="19" s="1"/>
  <c r="W237" i="19" a="1"/>
  <c r="W237" i="19" s="1"/>
  <c r="AE240" i="19" a="1"/>
  <c r="AE240" i="19" s="1"/>
  <c r="W244" i="19" a="1"/>
  <c r="W244" i="19" s="1"/>
  <c r="AA237" i="19" a="1"/>
  <c r="AA237" i="19" s="1"/>
  <c r="AA238" i="19" a="1"/>
  <c r="AA238" i="19" s="1"/>
  <c r="AE238" i="19" a="1"/>
  <c r="AE238" i="19" s="1"/>
  <c r="W239" i="19" a="1"/>
  <c r="W239" i="19" s="1"/>
  <c r="AA240" i="19" a="1"/>
  <c r="AA240" i="19" s="1"/>
  <c r="W240" i="19" a="1"/>
  <c r="W240" i="19" s="1"/>
  <c r="AE244" i="19" a="1"/>
  <c r="AE244" i="19" s="1"/>
  <c r="F119" i="19" l="1"/>
  <c r="G119" i="19" s="1" a="1"/>
  <c r="G11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9" i="19" l="1" a="1"/>
  <c r="J229" i="19" s="1"/>
  <c r="K221" i="19" a="1"/>
  <c r="K221" i="19" s="1"/>
  <c r="J223" i="19" a="1"/>
  <c r="J223" i="19" s="1"/>
  <c r="J230" i="19" a="1"/>
  <c r="J230" i="19" s="1"/>
  <c r="J226" i="19" a="1"/>
  <c r="J226" i="19" s="1"/>
  <c r="J221" i="19"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1" i="19" a="1"/>
  <c r="H221"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G221" i="19" l="1" a="1"/>
  <c r="G221" i="19" s="1"/>
  <c r="E248" i="19" s="1"/>
  <c r="E252" i="19"/>
  <c r="F17" i="41" s="1"/>
  <c r="E249" i="19"/>
  <c r="E74" i="34" a="1"/>
  <c r="E74" i="34" s="1"/>
  <c r="J86" i="34" s="1"/>
  <c r="E130" i="19"/>
  <c r="E144" i="19" s="1"/>
  <c r="E15" i="41" s="1"/>
  <c r="E131" i="19"/>
  <c r="E145" i="19" s="1"/>
  <c r="F15" i="41" s="1"/>
  <c r="E251" i="19"/>
  <c r="E17" i="41" s="1"/>
  <c r="E19" i="34" l="1" a="1"/>
  <c r="E19" i="34" s="1"/>
  <c r="J569" i="19" s="1"/>
  <c r="E90" i="34" a="1"/>
  <c r="E90" i="34" s="1"/>
  <c r="J571" i="19" s="1"/>
  <c r="E55" i="34" a="1"/>
  <c r="E55" i="34" s="1"/>
  <c r="J570" i="19" s="1"/>
  <c r="E573" i="19" l="1" a="1"/>
  <c r="E573" i="19" s="1"/>
  <c r="G575" i="19" s="1"/>
  <c r="E578" i="19" s="1" a="1"/>
  <c r="E578"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<sst xmlns="http://schemas.openxmlformats.org/spreadsheetml/2006/main" count="2695" uniqueCount="975">
  <si>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</si>
  <si>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</si>
  <si>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</si>
  <si>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</si>
  <si>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</si>
  <si>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</si>
  <si>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</si>
  <si>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</si>
  <si>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</si>
  <si>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</si>
  <si>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</si>
  <si>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</si>
  <si>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</si>
  <si>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</si>
  <si>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</si>
  <si>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</si>
  <si>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</si>
  <si>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</si>
  <si>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</si>
  <si>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</si>
  <si>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</si>
  <si>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</si>
  <si>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</si>
  <si>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</si>
  <si>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</si>
  <si>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</si>
  <si>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</si>
  <si>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</si>
  <si>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</si>
  <si>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</si>
  <si>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</si>
  <si>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</si>
  <si>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</si>
  <si>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</si>
  <si>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</si>
  <si>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</si>
  <si>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</si>
  <si>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</si>
  <si>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</si>
  <si>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</si>
  <si>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</si>
  <si>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</si>
  <si>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</si>
  <si>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</si>
  <si>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</si>
  <si>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</si>
  <si>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</si>
  <si>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</si>
  <si>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</si>
  <si>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</si>
  <si>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</si>
  <si>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</si>
  <si>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</si>
  <si>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</si>
  <si>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</si>
  <si>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</si>
  <si>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</si>
  <si>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</si>
  <si>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</si>
  <si>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</si>
  <si>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</si>
  <si>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</si>
  <si>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</si>
  <si>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</si>
  <si>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</si>
  <si>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</si>
  <si>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</si>
  <si>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</si>
  <si>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</si>
  <si>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</si>
  <si>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</si>
  <si>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</si>
  <si>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</si>
  <si>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</si>
  <si>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</si>
  <si>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</si>
  <si>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</si>
  <si>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</si>
  <si>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</si>
  <si>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</si>
  <si>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</si>
  <si>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</si>
  <si>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</si>
  <si>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</si>
  <si>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</si>
  <si>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</si>
  <si>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</si>
  <si>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</si>
  <si>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</si>
  <si>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</si>
  <si>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</si>
  <si>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</si>
  <si>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</si>
  <si>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</si>
  <si>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</si>
  <si>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</si>
  <si>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</si>
  <si>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</si>
  <si>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</si>
  <si>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</si>
  <si>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</si>
  <si>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</si>
  <si>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</si>
  <si>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</si>
  <si>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</si>
  <si>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</si>
  <si>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</si>
  <si>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</si>
  <si>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</si>
  <si>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</si>
  <si>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</si>
  <si>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</si>
  <si>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</si>
  <si>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</si>
  <si>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</si>
  <si>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</si>
  <si>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</si>
  <si>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</si>
  <si>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</si>
  <si>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</si>
  <si>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</si>
  <si>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</si>
  <si>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</si>
  <si>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</si>
  <si>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</si>
  <si>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</si>
  <si>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</si>
  <si>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</si>
  <si>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</si>
  <si>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</si>
  <si>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</si>
  <si>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</si>
  <si>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</si>
  <si>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</si>
  <si>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</si>
  <si>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</si>
  <si>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</si>
  <si>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</si>
  <si>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</si>
  <si>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</si>
  <si>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</si>
  <si>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</si>
  <si>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</si>
  <si>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</si>
  <si>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</si>
  <si>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</si>
  <si>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</si>
  <si>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</si>
  <si>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</si>
  <si>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</si>
  <si>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</si>
  <si>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</si>
  <si>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</si>
  <si>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</si>
  <si>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</si>
  <si>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</si>
  <si>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</si>
  <si>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</si>
  <si>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</si>
  <si>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</si>
  <si>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</si>
  <si>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</si>
  <si>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</si>
  <si>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</si>
  <si>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</si>
  <si>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</si>
  <si>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Company</t>
  </si>
  <si>
    <t>Product name</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</si>
  <si>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</si>
  <si>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</si>
  <si>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</si>
  <si>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</si>
  <si>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</si>
  <si>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</si>
  <si>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</si>
  <si>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</si>
  <si>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</si>
  <si>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</si>
  <si>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</si>
  <si>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</si>
  <si>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</si>
  <si>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</si>
  <si>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</si>
  <si>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</si>
  <si>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</si>
  <si>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</si>
  <si>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</si>
  <si>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</si>
  <si>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</si>
  <si>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</si>
  <si>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</si>
  <si>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</si>
  <si>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</si>
  <si>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</si>
  <si>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</si>
  <si>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</si>
  <si>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</si>
  <si>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</si>
  <si>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</si>
  <si>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</si>
  <si>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</si>
  <si>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</si>
  <si>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</si>
  <si>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</si>
  <si>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</si>
  <si>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</si>
  <si>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</si>
  <si>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</si>
  <si>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</si>
  <si>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</si>
  <si>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</si>
  <si>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</si>
  <si>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</si>
  <si>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</si>
  <si>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</si>
  <si>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</si>
  <si>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</si>
  <si>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</si>
  <si>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</si>
  <si>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</si>
  <si>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</si>
  <si>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</si>
  <si>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</si>
  <si>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</si>
  <si>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</si>
  <si>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</si>
  <si>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</si>
  <si>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</si>
  <si>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</si>
  <si>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</si>
  <si>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</si>
  <si>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</si>
  <si>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</si>
  <si>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</si>
  <si>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</si>
  <si>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</si>
  <si>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</si>
  <si>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</si>
  <si>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</si>
  <si>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</si>
  <si>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</si>
  <si>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</si>
  <si>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</si>
  <si>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</si>
  <si>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</si>
  <si>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</si>
  <si>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</si>
  <si>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</si>
  <si>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</si>
  <si>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</si>
  <si>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</si>
  <si>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</si>
  <si>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</si>
  <si>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</si>
  <si>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</si>
  <si>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</si>
  <si>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</si>
  <si>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</si>
  <si>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</si>
  <si>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</si>
  <si>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</si>
  <si>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</si>
  <si>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</si>
  <si>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</si>
  <si>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</si>
  <si>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</si>
  <si>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</si>
  <si>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</si>
  <si>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</si>
  <si>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</si>
  <si>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</si>
  <si>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</si>
  <si>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</si>
  <si>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</si>
  <si>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</si>
  <si>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</si>
  <si>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</si>
  <si>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</si>
  <si>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</si>
  <si>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</si>
  <si>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</si>
  <si>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</si>
  <si>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</si>
  <si>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</si>
  <si>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</si>
  <si>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</si>
  <si>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</si>
  <si>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</si>
  <si>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</si>
  <si>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</si>
  <si>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</si>
  <si>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</si>
  <si>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</si>
  <si>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</si>
  <si>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</si>
  <si>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</si>
  <si>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</si>
  <si>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</si>
  <si>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</si>
  <si>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</si>
  <si>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</si>
  <si>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</si>
  <si>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</si>
  <si>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</si>
  <si>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</si>
  <si>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Application unit</t>
  </si>
  <si>
    <t>Density</t>
  </si>
  <si>
    <t>Category</t>
  </si>
  <si>
    <t>Region of origin</t>
  </si>
  <si>
    <t>Calcium nitrate</t>
  </si>
  <si>
    <t>Ammonia</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</si>
  <si>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</si>
  <si>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</si>
  <si>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</si>
  <si>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</si>
  <si>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</si>
  <si>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</si>
  <si>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</si>
  <si>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</si>
  <si>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</si>
  <si>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</si>
  <si>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</si>
  <si>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</si>
  <si>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</si>
  <si>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</si>
  <si>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</si>
  <si>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</si>
  <si>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</si>
  <si>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</si>
  <si>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</si>
  <si>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</si>
  <si>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</si>
  <si>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</si>
  <si>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</si>
  <si>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</si>
  <si>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</si>
  <si>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</si>
  <si>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</si>
  <si>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</si>
  <si>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kg</t>
  </si>
  <si>
    <t>Ingredient 2 EF</t>
  </si>
  <si>
    <t>Ingredient 3 EF</t>
  </si>
  <si>
    <t>Ingredient 4 EF</t>
  </si>
  <si>
    <t>Scope 3 (Method 1)</t>
  </si>
  <si>
    <t>Scope 3 (Method 2)</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</si>
  <si>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</si>
  <si>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</si>
  <si>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</si>
  <si>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</si>
  <si>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</si>
  <si>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</si>
  <si>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</si>
  <si>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</si>
  <si>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</si>
  <si>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</si>
  <si>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</si>
  <si>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</si>
  <si>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</si>
  <si>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</si>
  <si>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</si>
  <si>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</si>
  <si>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</si>
  <si>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</si>
  <si>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</si>
  <si>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</si>
  <si>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</si>
  <si>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</si>
  <si>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</si>
  <si>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</si>
  <si>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</si>
  <si>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</si>
  <si>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</si>
  <si>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</si>
  <si>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</si>
  <si>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</si>
  <si>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</si>
  <si>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</si>
  <si>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</si>
  <si>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</si>
  <si>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</si>
  <si>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</si>
  <si>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</si>
  <si>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</si>
  <si>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</si>
  <si>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</si>
  <si>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</si>
  <si>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</si>
  <si>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</si>
  <si>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</si>
  <si>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</si>
  <si>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</si>
  <si>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</si>
  <si>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</si>
  <si>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</si>
  <si>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</si>
  <si>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</si>
  <si>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</si>
  <si>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</si>
  <si>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</si>
  <si>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</si>
  <si>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</si>
  <si>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</si>
  <si>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</si>
  <si>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</si>
  <si>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</si>
  <si>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</si>
  <si>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</si>
  <si>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</si>
  <si>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</si>
  <si>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</si>
  <si>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</si>
  <si>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</si>
  <si>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</si>
  <si>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</si>
  <si>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</si>
  <si>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</si>
  <si>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</si>
  <si>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</si>
  <si>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</si>
  <si>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</si>
  <si>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</si>
  <si>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</si>
  <si>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</si>
  <si>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</si>
  <si>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</si>
  <si>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</si>
  <si>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</si>
  <si>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</si>
  <si>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</si>
  <si>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</si>
  <si>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</si>
  <si>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</si>
  <si>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</si>
  <si>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</si>
  <si>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</si>
  <si>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</si>
  <si>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</si>
  <si>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</si>
  <si>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</si>
  <si>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</si>
  <si>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</si>
  <si>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</si>
  <si>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</si>
  <si>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</si>
  <si>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</si>
  <si>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</si>
  <si>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</si>
  <si>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</si>
  <si>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</si>
  <si>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</si>
  <si>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</si>
  <si>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</si>
  <si>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</si>
  <si>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</si>
  <si>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</si>
  <si>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</si>
  <si>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</si>
  <si>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</si>
  <si>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</si>
  <si>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</si>
  <si>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</si>
  <si>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</si>
  <si>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</si>
  <si>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</si>
  <si>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</si>
  <si>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</si>
  <si>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</si>
  <si>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</si>
  <si>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</si>
  <si>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</si>
  <si>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</si>
  <si>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</si>
  <si>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</si>
  <si>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</si>
  <si>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</si>
  <si>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</si>
  <si>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</si>
  <si>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</si>
  <si>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</si>
  <si>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</si>
  <si>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</si>
  <si>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</si>
  <si>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</si>
  <si>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</si>
  <si>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</si>
  <si>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</si>
  <si>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</si>
  <si>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</si>
  <si>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</si>
  <si>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</si>
  <si>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</si>
  <si>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</si>
  <si>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</si>
  <si>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</si>
  <si>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</si>
  <si>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</si>
  <si>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</si>
  <si>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</si>
  <si>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</si>
  <si>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</si>
  <si>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</si>
  <si>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</si>
  <si>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</si>
  <si>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</si>
  <si>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</si>
  <si>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</si>
  <si>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</si>
  <si>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</si>
  <si>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</si>
  <si>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</si>
  <si>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</si>
  <si>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</si>
  <si>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</si>
  <si>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</si>
  <si>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</si>
  <si>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</si>
  <si>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</si>
  <si>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</si>
  <si>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</si>
  <si>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</si>
  <si>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</si>
  <si>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</si>
  <si>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</si>
  <si>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</si>
  <si>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</si>
  <si>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</si>
  <si>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</si>
  <si>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</si>
  <si>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</si>
  <si>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</si>
  <si>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</si>
  <si>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</si>
  <si>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</si>
  <si>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</si>
  <si>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</si>
  <si>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</si>
  <si>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</si>
  <si>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</si>
  <si>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</si>
  <si>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</si>
  <si>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</si>
  <si>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</si>
  <si>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</si>
  <si>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</si>
  <si>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</si>
  <si>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</si>
  <si>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</si>
  <si>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</si>
  <si>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</si>
  <si>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</si>
  <si>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</si>
  <si>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</si>
  <si>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</si>
  <si>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</si>
  <si>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</si>
  <si>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</si>
  <si>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</si>
  <si>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</si>
  <si>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</si>
  <si>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</si>
  <si>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</si>
  <si>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</si>
  <si>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</si>
  <si>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</si>
  <si>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</si>
  <si>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</si>
  <si>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</si>
  <si>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</si>
  <si>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</si>
  <si>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</si>
  <si>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</si>
  <si>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</si>
  <si>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</si>
  <si>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</si>
  <si>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</si>
  <si>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</si>
  <si>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</si>
  <si>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</si>
  <si>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</si>
  <si>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</si>
  <si>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</si>
  <si>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</si>
  <si>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</si>
  <si>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</si>
  <si>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</si>
  <si>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</si>
  <si>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</si>
  <si>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</si>
  <si>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</si>
  <si>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</si>
  <si>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</si>
  <si>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</si>
  <si>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</si>
  <si>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</si>
  <si>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</si>
  <si>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</si>
  <si>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</si>
  <si>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</si>
  <si>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</si>
  <si>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</si>
  <si>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</si>
  <si>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Total amount</t>
  </si>
  <si>
    <t>Scope 3 unit</t>
  </si>
  <si>
    <t>Hour</t>
  </si>
  <si>
    <t>Hectare</t>
  </si>
  <si>
    <t>Wheat harvesting</t>
  </si>
  <si>
    <t>Activity</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</si>
  <si>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</si>
  <si>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</si>
  <si>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</si>
  <si>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</si>
  <si>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</si>
  <si>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</si>
  <si>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</si>
  <si>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</si>
  <si>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</si>
  <si>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</si>
  <si>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</si>
  <si>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</si>
  <si>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</si>
  <si>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</si>
  <si>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</si>
  <si>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</si>
  <si>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</si>
  <si>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</si>
  <si>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</si>
  <si>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</si>
  <si>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</si>
  <si>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</si>
  <si>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</si>
  <si>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</si>
  <si>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</si>
  <si>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</si>
  <si>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</si>
  <si>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</si>
  <si>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</si>
  <si>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</si>
  <si>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</si>
  <si>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</si>
  <si>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</si>
  <si>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</si>
  <si>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</si>
  <si>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</si>
  <si>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</si>
  <si>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</si>
  <si>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</si>
  <si>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</si>
  <si>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</si>
  <si>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</si>
  <si>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</si>
  <si>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</si>
  <si>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</si>
  <si>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</si>
  <si>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</si>
  <si>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</si>
  <si>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</si>
  <si>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</si>
  <si>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</si>
  <si>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</si>
  <si>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</si>
  <si>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</si>
  <si>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</si>
  <si>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</si>
  <si>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</si>
  <si>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</si>
  <si>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</si>
  <si>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</si>
  <si>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</si>
  <si>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</si>
  <si>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</si>
  <si>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</si>
  <si>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</si>
  <si>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</si>
  <si>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</si>
  <si>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</si>
  <si>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</si>
  <si>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</si>
  <si>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</si>
  <si>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</si>
  <si>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</si>
  <si>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</si>
  <si>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</si>
  <si>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</si>
  <si>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</si>
  <si>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</si>
  <si>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</si>
  <si>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</si>
  <si>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</si>
  <si>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</si>
  <si>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</si>
  <si>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</si>
  <si>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</si>
  <si>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</si>
  <si>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</si>
  <si>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</si>
  <si>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</si>
  <si>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</si>
  <si>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</si>
  <si>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</si>
  <si>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</si>
  <si>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</si>
  <si>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</si>
  <si>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</si>
  <si>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</si>
  <si>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</si>
  <si>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</si>
  <si>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</si>
  <si>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</si>
  <si>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</si>
  <si>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</si>
  <si>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</si>
  <si>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</si>
  <si>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</si>
  <si>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</si>
  <si>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</si>
  <si>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</si>
  <si>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</si>
  <si>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</si>
  <si>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</si>
  <si>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</si>
  <si>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</si>
  <si>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</si>
  <si>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</si>
  <si>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</si>
  <si>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</si>
  <si>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</si>
  <si>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</si>
  <si>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</si>
  <si>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</si>
  <si>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</si>
  <si>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</si>
  <si>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</si>
  <si>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</si>
  <si>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</si>
  <si>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</si>
  <si>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</si>
  <si>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</si>
  <si>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</si>
  <si>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</si>
  <si>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</si>
  <si>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</si>
  <si>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</si>
  <si>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</si>
  <si>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</si>
  <si>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</si>
  <si>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</si>
  <si>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</si>
  <si>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</si>
  <si>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</si>
  <si>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</si>
  <si>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</si>
  <si>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</si>
  <si>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</si>
  <si>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</si>
  <si>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</si>
  <si>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</si>
  <si>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</si>
  <si>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</si>
  <si>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</si>
  <si>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</si>
  <si>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</si>
  <si>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</si>
  <si>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</si>
  <si>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</si>
  <si>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</si>
  <si>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</si>
  <si>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</si>
  <si>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</si>
  <si>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</si>
  <si>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</si>
  <si>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</si>
  <si>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Incineration</t>
  </si>
  <si>
    <t>Paper and cardboard</t>
  </si>
  <si>
    <t>Removed and treated off-site</t>
  </si>
  <si>
    <t>cubic metres m3</t>
  </si>
  <si>
    <t>tonnes</t>
  </si>
  <si>
    <t>Landfill</t>
  </si>
  <si>
    <t>Food waste (including animal carcasses, spoiled animal feed or crop)</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</si>
  <si>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</si>
  <si>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</si>
  <si>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</si>
  <si>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</si>
  <si>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</si>
  <si>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</si>
  <si>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</si>
  <si>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</si>
  <si>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</si>
  <si>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</si>
  <si>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</si>
  <si>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</si>
  <si>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</si>
  <si>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</si>
  <si>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</si>
  <si>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</si>
  <si>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</si>
  <si>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</si>
  <si>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</si>
  <si>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</si>
  <si>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</si>
  <si>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</si>
  <si>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</si>
  <si>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</si>
  <si>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</si>
  <si>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</si>
  <si>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</si>
  <si>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</si>
  <si>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</si>
  <si>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</si>
  <si>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</si>
  <si>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</si>
  <si>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</si>
  <si>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</si>
  <si>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</si>
  <si>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</si>
  <si>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</si>
  <si>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Input - Freight</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</si>
  <si>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</si>
  <si>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</si>
  <si>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</si>
  <si>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</si>
  <si>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</si>
  <si>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</si>
  <si>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</si>
  <si>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</si>
  <si>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</si>
  <si>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</si>
  <si>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</si>
  <si>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</si>
  <si>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</si>
  <si>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</si>
  <si>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</si>
  <si>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</si>
  <si>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</si>
  <si>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</si>
  <si>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</si>
  <si>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</si>
  <si>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</si>
  <si>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</si>
  <si>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</si>
  <si>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</si>
  <si>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</si>
  <si>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</si>
  <si>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Input - Poultry Purchases</t>
  </si>
  <si>
    <t>Input - Pig Purchases</t>
  </si>
  <si>
    <t>Input - Dairy Cattle Purchases</t>
  </si>
  <si>
    <t>Input - Beef Cattle Purchases</t>
  </si>
  <si>
    <t>⚠️ Livestock sales and purchases are not automatically reflected in the duration and head count tables - you will need to manually adjust head count, duration and average liveweight</t>
  </si>
  <si>
    <t>Urea source (Select)</t>
  </si>
  <si>
    <t>Ammonia source (select)</t>
  </si>
  <si>
    <t>Livestock, wild catch fishery, aquaculture</t>
  </si>
  <si>
    <t>Purchased feed blends for livestock</t>
  </si>
  <si>
    <t>Input - Horticulture Farm Inputs</t>
  </si>
  <si>
    <t>Input - Common farm inputs</t>
  </si>
  <si>
    <t>Input - Crop and pasture farm inputs</t>
  </si>
  <si>
    <t>Input - Livestock farm inputs</t>
  </si>
  <si>
    <t>Input - Processing and packaging inputs</t>
  </si>
  <si>
    <t>Data quality scoring</t>
  </si>
  <si>
    <t>Table_SourceData_DataQuality_TemporalRepresentativeness</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</si>
  <si>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</si>
  <si>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</si>
  <si>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</si>
  <si>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</si>
  <si>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</si>
  <si>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</si>
  <si>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</si>
  <si>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</si>
  <si>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</si>
  <si>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</si>
  <si>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</si>
  <si>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</si>
  <si>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</si>
  <si>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</si>
  <si>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</si>
  <si>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</si>
  <si>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</si>
  <si>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</si>
  <si>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</si>
  <si>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</si>
  <si>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</si>
  <si>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</si>
  <si>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</si>
  <si>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</si>
  <si>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</si>
  <si>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</si>
  <si>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</si>
  <si>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</si>
  <si>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</si>
  <si>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</si>
  <si>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</si>
  <si>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</si>
  <si>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</si>
  <si>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</si>
  <si>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</si>
  <si>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</si>
  <si>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</si>
  <si>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</si>
  <si>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</si>
  <si>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</si>
  <si>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</si>
  <si>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</si>
  <si>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</si>
  <si>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</si>
  <si>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</si>
  <si>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Western Australia</t>
  </si>
  <si>
    <r>
      <t xml:space="preserve">Amount applied </t>
    </r>
    <r>
      <rPr>
        <sz val="11"/>
        <color theme="1"/>
        <rFont val="Times New Roman"/>
        <family val="1"/>
      </rPr>
      <t>per hectare</t>
    </r>
  </si>
  <si>
    <t>% N (Ingredients)</t>
  </si>
  <si>
    <t>% N (declared)</t>
  </si>
  <si>
    <t>Boost-It</t>
  </si>
  <si>
    <t>Cal-Gran 50/50</t>
  </si>
  <si>
    <r>
      <t xml:space="preserve">Amount applied </t>
    </r>
    <r>
      <rPr>
        <sz val="11"/>
        <color theme="1"/>
        <rFont val="Times New Roman"/>
        <family val="1"/>
      </rPr>
      <t>(kg / ha)</t>
    </r>
  </si>
  <si>
    <t>Zinc - Generic</t>
  </si>
  <si>
    <t>My second custom blend</t>
  </si>
  <si>
    <t>My third custom blend</t>
  </si>
  <si>
    <t>Lime applications</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</si>
  <si>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</si>
  <si>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</si>
  <si>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</si>
  <si>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</si>
  <si>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</si>
  <si>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</si>
  <si>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</si>
  <si>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</si>
  <si>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Amount consumed unit</t>
  </si>
  <si>
    <t>Input - Solid waste</t>
  </si>
  <si>
    <t>Solid waste treatment</t>
  </si>
  <si>
    <t>Compost paper and cardboard on site (tonnes)</t>
  </si>
  <si>
    <t>Composting</t>
  </si>
  <si>
    <t>Compost paper and cardboard on site (m3)</t>
  </si>
  <si>
    <t>Treated on-site</t>
  </si>
  <si>
    <t>Compost food waste on site (tonnes)</t>
  </si>
  <si>
    <t>Compost food waste on site (m3)</t>
  </si>
  <si>
    <t>Landfill food waste offsite (tonnes)</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</si>
  <si>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</si>
  <si>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</si>
  <si>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</si>
  <si>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</si>
  <si>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</si>
  <si>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</si>
  <si>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</si>
  <si>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</si>
  <si>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</si>
  <si>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</si>
  <si>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</si>
  <si>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</si>
  <si>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</si>
  <si>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</si>
  <si>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</si>
  <si>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</si>
  <si>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</si>
  <si>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</si>
  <si>
    <t>Western Australia - North Western Interconnected System (NWIS)</t>
  </si>
  <si>
    <t>Dec 2020 certs</t>
  </si>
  <si>
    <t>Jan 2022 certs</t>
  </si>
  <si>
    <t>2024 certs</t>
  </si>
  <si>
    <t>Jul 24 certs generated</t>
  </si>
  <si>
    <t>Input Unit</t>
  </si>
  <si>
    <t>L</t>
  </si>
  <si>
    <t xml:space="preserve">Nitrogen - Generic </t>
  </si>
  <si>
    <t>Contains inhibitor</t>
  </si>
  <si>
    <t>N declared</t>
  </si>
  <si>
    <t>P declared</t>
  </si>
  <si>
    <t>K declared</t>
  </si>
  <si>
    <t>S declared</t>
  </si>
  <si>
    <t>Ingredient 10</t>
  </si>
  <si>
    <t>Livestock classes</t>
  </si>
  <si>
    <t>Table_LivestockClasses_Dairy</t>
  </si>
  <si>
    <t>Heifers &gt; 1 year</t>
  </si>
  <si>
    <t>Heifers &lt; 1 year</t>
  </si>
  <si>
    <t>Poultry crop or pasture production systems</t>
  </si>
  <si>
    <t>Constants - Livestock</t>
  </si>
  <si>
    <t>Anaerobic lagoon (m=1)</t>
  </si>
  <si>
    <t>Drylot (feed pad)</t>
  </si>
  <si>
    <t>Drylot (feed pad) (m=5)</t>
  </si>
  <si>
    <t>Deep litter (m=8)</t>
  </si>
  <si>
    <t>Pit storage (m=9)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</si>
</sst>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
      <sz val="9"/>
      <color rgb="FF40404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5" fillId="0" borderId="0"/>
    <xf numFmtId="0" fontId="26" fillId="2" borderId="0">
      <alignment horizontal="left" vertical="center"/>
    </xf>
    <xf numFmtId="0" fontId="27" fillId="2" borderId="0">
      <alignment horizontal="left" vertical="center"/>
    </xf>
    <xf numFmtId="0" fontId="28" fillId="2" borderId="0">
      <alignment horizontal="left" vertical="center"/>
    </xf>
    <xf numFmtId="0" fontId="29" fillId="4" borderId="0">
      <alignment horizontal="center" vertical="center"/>
    </xf>
    <xf numFmtId="0" fontId="30" fillId="2" borderId="0" applyNumberFormat="0">
      <alignment horizontal="center" vertical="center"/>
    </xf>
    <xf numFmtId="0" fontId="31" fillId="2" borderId="0">
      <alignment horizontal="left" vertical="center"/>
    </xf>
    <xf numFmtId="0" fontId="10" fillId="2" borderId="0">
      <alignment horizontal="left" vertical="center" indent="1"/>
    </xf>
    <xf numFmtId="0" fontId="11" fillId="0" borderId="1">
      <alignment horizontal="center" vertical="center"/>
    </xf>
    <xf numFmtId="0" fontId="35"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0" fillId="2" borderId="0">
      <alignment vertical="center"/>
    </xf>
    <xf numFmtId="166" fontId="11" fillId="0" borderId="1">
      <alignment horizontal="center" vertical="center"/>
    </xf>
    <xf numFmtId="3" fontId="24" fillId="2" borderId="1">
      <alignment horizontal="center" vertical="center"/>
    </xf>
    <xf numFmtId="167" fontId="44" fillId="2" borderId="20">
      <alignment horizontal="center" vertical="center"/>
    </xf>
    <xf numFmtId="0" fontId="49" fillId="0" borderId="0" applyNumberFormat="0" applyFill="0" applyBorder="0" applyAlignment="0" applyProtection="0"/>
    <xf numFmtId="3" fontId="11" fillId="0" borderId="1">
      <alignment horizontal="center" vertical="center"/>
    </xf>
    <xf numFmtId="0" fontId="29" fillId="4" borderId="0">
      <alignment horizontal="left" vertical="center" indent="1"/>
      <protection locked="0"/>
    </xf>
    <xf numFmtId="0" fontId="18" fillId="12" borderId="0">
      <alignment horizontal="left" vertical="center" indent="1"/>
    </xf>
    <xf numFmtId="0" fontId="51" fillId="2" borderId="0">
      <alignment horizontal="left" vertical="center"/>
    </xf>
    <xf numFmtId="0" fontId="23" fillId="10" borderId="0">
      <alignment horizontal="left" vertical="center" indent="1"/>
    </xf>
    <xf numFmtId="0" fontId="24" fillId="2" borderId="1">
      <alignment horizontal="left" vertical="center"/>
    </xf>
    <xf numFmtId="0" fontId="56" fillId="16" borderId="1">
      <alignment horizontal="center" vertical="center"/>
    </xf>
    <xf numFmtId="0" fontId="57" fillId="15" borderId="1">
      <alignment horizontal="center" vertical="center"/>
    </xf>
    <xf numFmtId="0" fontId="58" fillId="2" borderId="1">
      <alignment horizontal="left" vertical="center"/>
    </xf>
    <xf numFmtId="0" fontId="61" fillId="2" borderId="0">
      <alignment horizontal="left" vertical="center"/>
    </xf>
    <xf numFmtId="0" fontId="56" fillId="14" borderId="1">
      <alignment horizontal="center" vertical="center"/>
    </xf>
    <xf numFmtId="4" fontId="24" fillId="2" borderId="1">
      <alignment horizontal="center" vertical="center"/>
    </xf>
    <xf numFmtId="0" fontId="75" fillId="0" borderId="0" applyNumberFormat="0" applyFill="0" applyBorder="0" applyAlignment="0" applyProtection="0"/>
    <xf numFmtId="0" fontId="79" fillId="18" borderId="0">
      <alignment horizontal="center" vertical="center"/>
    </xf>
    <xf numFmtId="167" fontId="44" fillId="2" borderId="0">
      <alignment horizontal="center" vertical="center"/>
    </xf>
  </cellStyleXfs>
  <cellXfs count="232">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6" fillId="2" borderId="0" xfId="6" applyAlignment="1">
      <alignment horizontal="left" vertical="center" wrapText="1"/>
    </xf>
    <xf numFmtId="0" fontId="3" fillId="0" borderId="0" xfId="3" applyAlignment="1">
      <alignment wrapText="1"/>
    </xf>
    <xf numFmtId="0" fontId="25" fillId="0" borderId="0" xfId="22"/>
    <xf numFmtId="0" fontId="26" fillId="2" borderId="0" xfId="23">
      <alignment horizontal="left" vertical="center"/>
    </xf>
    <xf numFmtId="0" fontId="27" fillId="2" borderId="0" xfId="24">
      <alignment horizontal="left" vertical="center"/>
    </xf>
    <xf numFmtId="0" fontId="28" fillId="2" borderId="0" xfId="25">
      <alignment horizontal="left" vertical="center"/>
    </xf>
    <xf numFmtId="0" fontId="29" fillId="4" borderId="0" xfId="26">
      <alignment horizontal="center" vertical="center"/>
    </xf>
    <xf numFmtId="0" fontId="30" fillId="2" borderId="0" xfId="27" applyAlignment="1">
      <alignment horizontal="left" vertical="center"/>
    </xf>
    <xf numFmtId="0" fontId="31" fillId="2" borderId="0" xfId="28">
      <alignment horizontal="left" vertical="center"/>
    </xf>
    <xf numFmtId="0" fontId="4" fillId="2" borderId="10" xfId="4" applyBorder="1">
      <alignment horizontal="left" vertical="center"/>
    </xf>
    <xf numFmtId="0" fontId="30"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3" fillId="2" borderId="0" xfId="3" applyFont="1" applyFill="1" applyAlignment="1">
      <alignment horizontal="center" vertical="center"/>
    </xf>
    <xf numFmtId="0" fontId="33" fillId="2" borderId="0" xfId="3" applyFont="1" applyFill="1"/>
    <xf numFmtId="0" fontId="34" fillId="2" borderId="0" xfId="3" applyFont="1" applyFill="1"/>
    <xf numFmtId="0" fontId="22" fillId="8" borderId="11" xfId="16" applyBorder="1">
      <alignment horizontal="left" vertical="center"/>
    </xf>
    <xf numFmtId="0" fontId="35"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6" fillId="2" borderId="0" xfId="33" applyFont="1" applyFill="1" applyAlignment="1">
      <alignment horizontal="left" vertical="center" wrapText="1"/>
    </xf>
    <xf numFmtId="2" fontId="33" fillId="2" borderId="0" xfId="34" applyNumberFormat="1" applyFont="1" applyFill="1" applyBorder="1" applyAlignment="1" applyProtection="1">
      <alignment horizontal="center" wrapText="1"/>
      <protection locked="0"/>
    </xf>
    <xf numFmtId="1" fontId="33" fillId="2" borderId="0" xfId="34" applyNumberFormat="1" applyFont="1" applyFill="1" applyBorder="1" applyAlignment="1" applyProtection="1">
      <alignment horizontal="center" wrapText="1"/>
      <protection locked="0"/>
    </xf>
    <xf numFmtId="0" fontId="33" fillId="2" borderId="0" xfId="3" applyFont="1" applyFill="1" applyAlignment="1">
      <alignment horizontal="left" wrapText="1"/>
    </xf>
    <xf numFmtId="0" fontId="34" fillId="2" borderId="0" xfId="3" applyFont="1" applyFill="1" applyAlignment="1">
      <alignment wrapText="1"/>
    </xf>
    <xf numFmtId="0" fontId="35"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7"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7"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0"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1"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2"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6" fillId="0" borderId="0" xfId="3" applyFont="1" applyAlignment="1" applyProtection="1">
      <alignment horizontal="center" vertical="center"/>
      <protection locked="0"/>
    </xf>
    <xf numFmtId="4" fontId="43" fillId="0" borderId="0" xfId="32" applyFont="1" applyBorder="1">
      <alignment horizontal="center" vertical="center"/>
    </xf>
    <xf numFmtId="167" fontId="44" fillId="2" borderId="0" xfId="41" applyBorder="1">
      <alignment horizontal="center" vertical="center"/>
    </xf>
    <xf numFmtId="4" fontId="43" fillId="2" borderId="0" xfId="32" applyFont="1" applyFill="1" applyBorder="1">
      <alignment horizontal="center" vertical="center"/>
    </xf>
    <xf numFmtId="0" fontId="43" fillId="2" borderId="0" xfId="29" applyFont="1" applyAlignment="1">
      <alignment horizontal="center" vertical="center"/>
    </xf>
    <xf numFmtId="0" fontId="43" fillId="2" borderId="0" xfId="6" applyFont="1" applyAlignment="1">
      <alignment horizontal="center" vertical="center"/>
    </xf>
    <xf numFmtId="164" fontId="43" fillId="2" borderId="0" xfId="6" applyNumberFormat="1" applyFont="1" applyAlignment="1">
      <alignment horizontal="center" vertical="center"/>
    </xf>
    <xf numFmtId="9" fontId="43" fillId="2" borderId="0" xfId="36" applyFont="1" applyFill="1" applyBorder="1" applyAlignment="1">
      <alignment horizontal="center" vertical="center"/>
    </xf>
    <xf numFmtId="0" fontId="45" fillId="2" borderId="0" xfId="3" applyFont="1" applyFill="1" applyAlignment="1">
      <alignment horizontal="center" vertical="center"/>
    </xf>
    <xf numFmtId="0" fontId="45" fillId="2" borderId="0" xfId="3" applyFont="1" applyFill="1"/>
    <xf numFmtId="0" fontId="43" fillId="2" borderId="0" xfId="3" applyFont="1" applyFill="1"/>
    <xf numFmtId="0" fontId="43" fillId="0" borderId="0" xfId="3" applyFont="1"/>
    <xf numFmtId="0" fontId="46" fillId="2" borderId="0" xfId="4" applyFont="1" applyAlignment="1">
      <alignment horizontal="center" vertical="center"/>
    </xf>
    <xf numFmtId="0" fontId="47" fillId="2" borderId="0" xfId="4" applyFont="1" applyAlignment="1">
      <alignment horizontal="center" vertical="center"/>
    </xf>
    <xf numFmtId="164" fontId="47" fillId="2" borderId="0" xfId="4" applyNumberFormat="1" applyFont="1" applyAlignment="1">
      <alignment horizontal="center" vertical="center"/>
    </xf>
    <xf numFmtId="0" fontId="47" fillId="2" borderId="0" xfId="3" applyFont="1" applyFill="1" applyAlignment="1">
      <alignment horizontal="center" vertical="center"/>
    </xf>
    <xf numFmtId="0" fontId="48" fillId="2" borderId="0" xfId="3" applyFont="1" applyFill="1" applyAlignment="1">
      <alignment horizontal="center" vertical="center"/>
    </xf>
    <xf numFmtId="0" fontId="48"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49"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0" fillId="2" borderId="0" xfId="3" applyFont="1" applyFill="1"/>
    <xf numFmtId="0" fontId="0" fillId="0" borderId="0" xfId="35" applyFont="1" applyBorder="1">
      <alignment horizontal="center" vertical="center"/>
    </xf>
    <xf numFmtId="0" fontId="51" fillId="2" borderId="0" xfId="46">
      <alignment horizontal="left" vertical="center"/>
    </xf>
    <xf numFmtId="0" fontId="33"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8"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4" fillId="2" borderId="1" xfId="20" applyFont="1">
      <alignment horizontal="center" vertical="center"/>
    </xf>
    <xf numFmtId="0" fontId="52" fillId="10" borderId="0" xfId="6" applyFont="1" applyFill="1">
      <alignment horizontal="left" vertical="center"/>
    </xf>
    <xf numFmtId="0" fontId="52"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5"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6" fillId="16" borderId="1" xfId="49">
      <alignment horizontal="center" vertical="center"/>
    </xf>
    <xf numFmtId="0" fontId="57" fillId="15" borderId="1" xfId="50">
      <alignment horizontal="center" vertical="center"/>
    </xf>
    <xf numFmtId="0" fontId="58" fillId="2" borderId="1" xfId="51">
      <alignment horizontal="left" vertical="center"/>
    </xf>
    <xf numFmtId="0" fontId="24" fillId="2" borderId="23" xfId="48" applyBorder="1">
      <alignment horizontal="left" vertical="center"/>
    </xf>
    <xf numFmtId="0" fontId="61"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5" fillId="2" borderId="10" xfId="6" applyFont="1" applyBorder="1">
      <alignment horizontal="left" vertical="center"/>
    </xf>
    <xf numFmtId="0" fontId="66" fillId="2" borderId="10" xfId="6" applyFont="1" applyBorder="1">
      <alignment horizontal="left" vertical="center"/>
    </xf>
    <xf numFmtId="0" fontId="67" fillId="2" borderId="10" xfId="10" applyFont="1" applyBorder="1">
      <alignment horizontal="left" vertical="center"/>
    </xf>
    <xf numFmtId="0" fontId="68"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4" fillId="2" borderId="1" xfId="20" applyNumberFormat="1" applyFont="1">
      <alignment horizontal="center" vertical="center"/>
    </xf>
    <xf numFmtId="4" fontId="24" fillId="2" borderId="21" xfId="54" applyBorder="1">
      <alignment horizontal="center" vertical="center"/>
    </xf>
    <xf numFmtId="169" fontId="54"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4" fillId="2" borderId="27" xfId="20" applyNumberFormat="1" applyFont="1" applyBorder="1">
      <alignment horizontal="center" vertical="center"/>
    </xf>
    <xf numFmtId="169" fontId="54" fillId="2" borderId="25" xfId="20" applyNumberFormat="1" applyFont="1" applyBorder="1">
      <alignment horizontal="center" vertical="center"/>
    </xf>
    <xf numFmtId="0" fontId="24" fillId="2" borderId="27" xfId="20" applyBorder="1">
      <alignment horizontal="center" vertical="center"/>
    </xf>
    <xf numFmtId="0" fontId="54"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1" fillId="2" borderId="28" xfId="3" applyNumberFormat="1" applyFont="1" applyFill="1" applyBorder="1" applyAlignment="1">
      <alignment vertical="center"/>
    </xf>
    <xf numFmtId="171" fontId="54" fillId="2" borderId="1" xfId="54" applyNumberFormat="1" applyFont="1">
      <alignment horizontal="center" vertical="center"/>
    </xf>
    <xf numFmtId="171" fontId="54" fillId="2" borderId="21" xfId="54" applyNumberFormat="1" applyFont="1" applyBorder="1">
      <alignment horizontal="center" vertical="center"/>
    </xf>
    <xf numFmtId="171" fontId="54"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6" fillId="0" borderId="0" xfId="1" applyFont="1"/>
    <xf numFmtId="0" fontId="5" fillId="17" borderId="0" xfId="5" applyFill="1">
      <alignment vertical="center"/>
    </xf>
    <xf numFmtId="2" fontId="0" fillId="2" borderId="0" xfId="0" applyNumberFormat="1" applyFill="1" applyAlignment="1">
      <alignment vertical="center"/>
    </xf>
    <xf numFmtId="0" fontId="77" fillId="2" borderId="0" xfId="0" applyFont="1" applyFill="1"/>
    <xf numFmtId="2" fontId="78" fillId="2" borderId="0" xfId="0" applyNumberFormat="1" applyFont="1" applyFill="1"/>
    <xf numFmtId="0" fontId="79" fillId="18" borderId="0" xfId="56">
      <alignment horizontal="center" vertical="center"/>
    </xf>
    <xf numFmtId="167" fontId="44" fillId="2" borderId="0" xfId="57">
      <alignment horizontal="center" vertical="center"/>
    </xf>
    <xf numFmtId="0" fontId="6" fillId="2" borderId="0" xfId="6" applyAlignment="1">
      <alignment horizontal="left" vertical="center" indent="2"/>
    </xf>
    <xf numFmtId="0" fontId="75" fillId="2" borderId="0" xfId="55" applyFill="1" applyAlignment="1">
      <alignment horizontal="left" vertical="center"/>
    </xf>
    <xf numFmtId="0" fontId="4" fillId="2" borderId="10" xfId="4" applyBorder="1" applyAlignment="1">
      <alignment horizontal="center" vertical="center"/>
    </xf>
    <xf numFmtId="0" fontId="80" fillId="0" borderId="0" xfId="6" applyFont="1" applyFill="1">
      <alignment horizontal="left" vertical="center"/>
    </xf>
    <xf numFmtId="0" fontId="75" fillId="0" borderId="0" xfId="55"/>
    <xf numFmtId="0" fontId="81" fillId="5" borderId="2" xfId="12" applyFont="1">
      <alignment horizontal="left" vertical="center" indent="1"/>
    </xf>
    <xf numFmtId="0" fontId="3" fillId="0" borderId="0" xfId="3" applyAlignment="1" applyProtection="1">
      <alignment horizontal="center" vertical="center" wrapText="1"/>
      <protection locked="0"/>
    </xf>
    <xf numFmtId="0" fontId="0" fillId="2" borderId="1" xfId="20" applyFont="1" applyAlignment="1">
      <alignment horizontal="center" vertical="center" wrapText="1"/>
    </xf>
    <xf numFmtId="0" fontId="6" fillId="2" borderId="0" xfId="6" applyAlignment="1">
      <alignment horizontal="center" vertical="center" wrapText="1"/>
    </xf>
    <xf numFmtId="9" fontId="0" fillId="0" borderId="0" xfId="21" applyFont="1" applyBorder="1" applyAlignment="1">
      <alignment horizontal="center" vertical="center" wrapText="1"/>
    </xf>
    <xf numFmtId="9" fontId="0" fillId="0" borderId="1" xfId="21" applyFont="1">
      <alignment horizontal="center" vertical="center"/>
    </xf>
    <xf numFmtId="9" fontId="0" fillId="0" borderId="21" xfId="21" applyFont="1" applyBorder="1">
      <alignment horizontal="center" vertical="center"/>
    </xf>
    <xf numFmtId="0" fontId="30" fillId="2" borderId="0" xfId="27">
      <alignment horizontal="center" vertical="center"/>
    </xf>
    <xf numFmtId="17" fontId="0" fillId="0" borderId="0" xfId="6" applyNumberFormat="1" applyFont="1" applyFill="1">
      <alignment horizontal="left" vertical="center"/>
    </xf>
    <xf numFmtId="0" fontId="56" fillId="14" borderId="1" xfId="53">
      <alignment horizontal="center" vertical="center"/>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557">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56"/>
      <tableStyleElement type="headerRow" dxfId="555"/>
      <tableStyleElement type="totalRow" dxfId="554"/>
      <tableStyleElement type="firstColumn" dxfId="553"/>
      <tableStyleElement type="firstRowStripe" dxfId="552"/>
      <tableStyleElement type="secondRowStripe" dxfId="551"/>
    </tableStyle>
    <tableStyle name="Equation table" pivot="0" count="6" xr9:uid="{0B4491E8-4F2C-4EE8-9336-DC99561B4B77}">
      <tableStyleElement type="wholeTable" dxfId="550"/>
      <tableStyleElement type="headerRow" dxfId="549"/>
      <tableStyleElement type="totalRow" dxfId="548"/>
      <tableStyleElement type="firstColumn" dxfId="547"/>
      <tableStyleElement type="firstRowStripe" dxfId="546"/>
      <tableStyleElement type="secondRowStripe" dxfId="545"/>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 Target="richData/rdrichvalue.xml"/><Relationship Id="rId47" Type="http://schemas.microsoft.com/office/2023/09/relationships/Python" Target="pyth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46" Type="http://schemas.openxmlformats.org/officeDocument/2006/relationships/customXml" Target="../customXml/item1.xml"/><Relationship Id="rId20" Type="http://schemas.openxmlformats.org/officeDocument/2006/relationships/worksheet" Target="worksheets/sheet20.xml"/><Relationship Id="rId41" Type="http://schemas.microsoft.com/office/2022/10/relationships/richValueRel" Target="richData/richValueRel.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E386D59-3B5B-46EC-985A-F67C0FEC97D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BE386D59-3B5B-46EC-985A-F67C0FEC97D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87B7397-D082-4502-8485-5E9F82774572}"/>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B87B7397-D082-4502-8485-5E9F82774572}"/>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0AA232-5894-45D6-A5AD-BA4451D87C56}"/>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020AA232-5894-45D6-A5AD-BA4451D87C56}"/>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0D5CFDB-630A-4312-95D9-3D88FA2948A6}"/>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0D5CFDB-630A-4312-95D9-3D88FA2948A6}"/>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C7331F-69C9-4C91-88F2-DEED14ED118F}"/>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7AC7331F-69C9-4C91-88F2-DEED14ED118F}"/>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1674C0C-7BA3-40C3-90FF-6596B7F1EB0C}"/>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61674C0C-7BA3-40C3-90FF-6596B7F1EB0C}"/>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8326768-FF22-4B7B-AFC8-AA41639C6B43}"/>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C8326768-FF22-4B7B-AFC8-AA41639C6B43}"/>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3.xlsx" TargetMode="External"/><Relationship Id="rId1" Type="http://schemas.openxmlformats.org/officeDocument/2006/relationships/externalLinkPath" Target="Common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7770DBB1-098B-477C-BD35-60D5EACD545E}" name="Table_Input_Fuel" displayName="Table_Input_Fuel" ref="D16:J21" totalsRowDxfId="531"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F5E727B2-F503-4F1C-B903-7997A4FB1183}" name="Fuel use (select)" totalsRowFunction="average" totalsRowDxfId="530" dataCellStyle="Input select" totalsRowCellStyle="Input select"/>
    <tableColumn id="3" xr3:uid="{1E22ED75-E603-41B7-A115-13A02985BC6E}" name="Fuel type (select)" totalsRowDxfId="529" dataCellStyle="Input select" totalsRowCellStyle="Input select"/>
    <tableColumn id="4" xr3:uid="{27468409-B714-4518-89C1-AB02D17168B5}" name="Amount purchased" totalsRowDxfId="528" totalsRowCellStyle="Content bold"/>
    <tableColumn id="6" xr3:uid="{6CEC04FE-E415-490D-A695-A5162BF5A373}" name="Amount unit" totalsRowDxfId="527" dataCellStyle="Input number general calculated" totalsRowCellStyle="Input text calculated"/>
    <tableColumn id="5" xr3:uid="{FE2DFAC9-CCFC-4D18-8B7A-7A252BE004CB}" name="Percent consumed" totalsRowDxfId="526" totalsRowCellStyle="Input percent">
      <calculatedColumnFormula>1</calculatedColumnFormula>
    </tableColumn>
    <tableColumn id="1" xr3:uid="{04899A87-3D7F-4417-8D0C-01F4429FA85A}" name="Amount consumed" totalsRowFunction="custom" totalsRowDxfId="525"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EF16787F-4720-43D7-99F8-2DBBEAEE8998}" name="Amount consumed unit" totalsRowDxfId="524"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6812E3A-DF03-4F14-8E09-AA8676A1B2D5}" name="Table_Input_InorganicFertiliser_Brands" displayName="Table_Input_InorganicFertiliser_Brands" ref="D11:Z21" headerRowDxfId="523" dataDxfId="522" totalsRowDxfId="521">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5D3A6F31-BE99-41BB-9A85-2F81D662F014}" name="Product (select)" dataDxfId="520" totalsRowDxfId="519" dataCellStyle="Input select"/>
    <tableColumn id="23" xr3:uid="{3BB84240-A1A0-4F70-82E4-4345476DD3E3}" name="Amount applied per hectare" totalsRowFunction="custom" dataDxfId="518" totalsRowDxfId="517">
      <totalsRowFormula>SUM(Table_Input_InorganicFertiliser_Brands[[#Headers],[#Data],[Amount applied per hectare]])</totalsRowFormula>
    </tableColumn>
    <tableColumn id="12" xr3:uid="{F835055A-0BD5-49AA-B6B8-98DFFB24D78C}" name="Application unit" dataDxfId="516" totalsRowDxfId="515" dataCellStyle="Input number 2 decimal places"/>
    <tableColumn id="6" xr3:uid="{59DCC71F-E5CB-4661-AF0F-3D4F7E8F5EC2}" name="Application area (ha)" dataDxfId="514" totalsRowDxfId="513">
      <calculatedColumnFormula>X_Cell_Fertiliser_AreaUnderCropping</calculatedColumnFormula>
    </tableColumn>
    <tableColumn id="9" xr3:uid="{9F497F7D-A657-4022-9DF2-51A3321D7CF3}" name="Density" dataDxfId="512" totalsRowDxfId="511" dataCellStyle="Input number general calculated"/>
    <tableColumn id="1" xr3:uid="{8E4108D0-409F-477F-9EE6-9D891308092D}" name="Total applied (kg)" dataDxfId="510" totalsRowDxfId="509"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5D94EED1-26C3-4AC2-B231-2FDE21C45452}" name="Ingredient 1" dataDxfId="508" totalsRowDxfId="507" dataCellStyle="Input number general calculated"/>
    <tableColumn id="4" xr3:uid="{4649E569-3D44-429B-90EF-47E0C64785E8}" name="Ingredient 1 percent" dataDxfId="506" dataCellStyle="Input number general calculated"/>
    <tableColumn id="7" xr3:uid="{52046496-219F-4292-9EB0-7AE220F91ED7}" name="Ingredient 2" dataDxfId="505" dataCellStyle="Input number general calculated"/>
    <tableColumn id="8" xr3:uid="{DA7373F3-9660-4A70-930D-B0E3642632CF}" name="Ingredient 2 percent" dataDxfId="504" totalsRowDxfId="503" dataCellStyle="Input number general calculated"/>
    <tableColumn id="10" xr3:uid="{5B532C79-3C1B-4FB9-B212-647C1D7B0415}" name="Ingredient 3" dataDxfId="502" totalsRowDxfId="501" dataCellStyle="Input number general calculated"/>
    <tableColumn id="11" xr3:uid="{138329D3-B51B-42B4-9AB6-D639C240B1F9}" name="Ingredient 3 percent" dataDxfId="500" totalsRowDxfId="499" dataCellStyle="Input number general calculated"/>
    <tableColumn id="13" xr3:uid="{96D57A6A-5D6E-41F4-B3FE-7EBA3CE69859}" name="Ingredient 4" dataDxfId="498" totalsRowDxfId="497" dataCellStyle="Input number general calculated"/>
    <tableColumn id="14" xr3:uid="{6B90F69E-A768-4834-B36D-E773410BF3BC}" name="Ingredient 4 percent" dataDxfId="496" dataCellStyle="Input number general calculated"/>
    <tableColumn id="16" xr3:uid="{1BE25E19-F585-4F30-92BA-F21767D7FD5F}" name="Ingredient 5" dataDxfId="495" dataCellStyle="Input number general calculated"/>
    <tableColumn id="17" xr3:uid="{09A4052B-7CC2-4309-8B67-E42851703175}" name="Ingredient 5 percent" dataDxfId="494" dataCellStyle="Input number general calculated"/>
    <tableColumn id="19" xr3:uid="{C119F99F-12E7-4164-A4D2-D1B7FFA4CDC0}" name="Ingredient 6" dataDxfId="493" dataCellStyle="Input number general calculated"/>
    <tableColumn id="20" xr3:uid="{7ED723C3-0230-44E1-A97F-5856777B50E0}" name="Ingredient 6 percent" dataDxfId="492" dataCellStyle="Input number general calculated"/>
    <tableColumn id="21" xr3:uid="{82CDAFB3-B063-4FCE-97DD-6315C6B07B1A}" name="% N (Ingredients)" dataDxfId="491" dataCellStyle="Input number general calculated"/>
    <tableColumn id="22" xr3:uid="{008D0099-F7FD-44C7-A122-7655CD22027D}" name="% N (declared)" dataDxfId="490" dataCellStyle="Content normal"/>
    <tableColumn id="5" xr3:uid="{738DF855-CED3-4922-9AB5-407F8661B4F2}" name="N application rate (kg/ha)" dataDxfId="489" totalsRowDxfId="488"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3F5E8BAD-317A-4473-BAC9-3001F091553F}" name="Urea source" dataDxfId="487" totalsRowDxfId="486" dataCellStyle="Input number general calculated"/>
    <tableColumn id="18" xr3:uid="{A57C705A-FD04-4D6A-A204-7B65446F608E}" name="Ammonia source" dataDxfId="485" totalsRowDxfId="484" dataCellStyle="Input number general calculated"/>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4C68617-877A-4F97-8CAB-F38458E7636F}" name="Table_Input_InorganicFertiliser_Custom" displayName="Table_Input_InorganicFertiliser_Custom" ref="D24:R34" totalsRowShown="0" headerRowDxfId="483" dataDxfId="482">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6FA57746-A7E4-4CE7-B30A-7E4C99207522}" name="Custom blend name" dataCellStyle="Input text"/>
    <tableColumn id="2" xr3:uid="{82CF83AE-D428-48AE-8880-00655856165B}" name="Amount applied (kg / ha)" dataDxfId="481"/>
    <tableColumn id="3" xr3:uid="{4278FE8F-A0C6-41E5-A5D2-7AF695AF5629}" name="Application area (ha)" dataDxfId="480" dataCellStyle="Input number 2 decimal places">
      <calculatedColumnFormula>X_Cell_Fertiliser_AreaUnderCropping</calculatedColumnFormula>
    </tableColumn>
    <tableColumn id="4" xr3:uid="{063733A0-C7C5-4411-B1E9-319E1C3E1CED}" name="Total applied (kg)" dataDxfId="479" dataCellStyle="Input number general calculated">
      <calculatedColumnFormula>Table_Input_InorganicFertiliser_Custom[[#This Row],[Amount applied (kg / ha)]]*Table_Input_InorganicFertiliser_Custom[[#This Row],[Application area (ha)]]</calculatedColumnFormula>
    </tableColumn>
    <tableColumn id="5" xr3:uid="{9C971F60-DE00-4232-A195-A12938B160B0}" name="Ingredient 1 (select)" dataDxfId="478" dataCellStyle="Input select"/>
    <tableColumn id="6" xr3:uid="{86119229-5883-48F9-A8C0-9C01FC3C0352}" name="Ingredient 1 percent" dataDxfId="477"/>
    <tableColumn id="8" xr3:uid="{1D6337A3-D1E8-4D87-B7DC-E13B3A65A2D9}" name="Ingredient 2" dataDxfId="476" dataCellStyle="Input select"/>
    <tableColumn id="9" xr3:uid="{BBF26AA9-1F8C-4228-B7C3-3EAB3016E622}" name="Ingredient 2 percent" dataDxfId="475"/>
    <tableColumn id="11" xr3:uid="{E6EC4E80-9757-40B9-AF3C-830A3AEDB886}" name="Ingredient 3" dataDxfId="474" dataCellStyle="Input select"/>
    <tableColumn id="12" xr3:uid="{0F1F7E6A-0DE2-4515-A801-2AD27FEFC92E}" name="Ingredient 3 percent" dataDxfId="473"/>
    <tableColumn id="14" xr3:uid="{0CB0D523-DFEA-4CB3-B628-8E8B9A636FD6}" name="Ingredient 4" dataDxfId="472" dataCellStyle="Input select"/>
    <tableColumn id="15" xr3:uid="{ED5E5EC9-C93E-4FE5-8576-B77DF22CF89F}" name="Ingredient 4 percent" dataCellStyle="Input percent"/>
    <tableColumn id="7" xr3:uid="{E2CBCFE6-2106-4FBD-854B-39656D61D8C4}" name="N application rate (kg/ha)" dataDxfId="471" dataCellStyle="Input number general calculated"/>
    <tableColumn id="10" xr3:uid="{A436E028-E1DD-4672-91DC-D0F03BBF73E6}" name="Urea source (Select)" dataCellStyle="Input select"/>
    <tableColumn id="13" xr3:uid="{FFFCBF5B-9E52-4536-AE24-B288D3D36CED}"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C340DB9-C5F2-42FF-AFB4-5AAD625C0251}" name="Table_Input_Lime" displayName="Table_Input_Lime" ref="D41:K44" totalsRowShown="0" headerRowDxfId="470" dataDxfId="469"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A6FE6C-982F-440D-9D8B-5C63FFE63D2C}" name="Product" dataDxfId="468"/>
    <tableColumn id="2" xr3:uid="{3D394BC0-C3CF-43E4-B947-7495F7CC3411}" name="Amount applied (t/hectare)" dataDxfId="467"/>
    <tableColumn id="4" xr3:uid="{05569CAA-1D09-430B-9A6D-A8C8DA7F104F}" name="Application area (ha)" dataDxfId="466" dataCellStyle="Input number 2 decimal places">
      <calculatedColumnFormula>X_Cell_Fertiliser_AreaUnderCropping</calculatedColumnFormula>
    </tableColumn>
    <tableColumn id="3" xr3:uid="{0BF99340-7191-450D-9968-2FFA51EE4DB8}" name="Total amount applied (t)" dataDxfId="465" dataCellStyle="Input number general calculated">
      <calculatedColumnFormula>IFERROR(Table_Input_Lime[[#This Row],[Amount applied (t/hectare)]]*Table_Input_Lime[[#This Row],[Application area (ha)]], 0)</calculatedColumnFormula>
    </tableColumn>
    <tableColumn id="6" xr3:uid="{322010FA-091E-4FB2-BCE9-0DF9DAE74FE7}" name="Percent Lime CaCO3" dataDxfId="464"/>
    <tableColumn id="8" xr3:uid="{35A82D43-D0B0-4EAB-B014-5419A59141AF}" name="Percent Dolomite CaMg(CO3)2" dataDxfId="463"/>
    <tableColumn id="7" xr3:uid="{F5A7E468-0F87-44BC-A3F5-9801D42B1D3E}" name="Percent Gypsum" dataDxfId="462"/>
    <tableColumn id="10" xr3:uid="{E02D65DC-2B50-4E75-BC32-42DA11AD32EE}" name="Total" dataDxfId="461">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7744805-66B3-4FD0-9E38-7559764D2B10}" name="Table_Input_OrganicFertiliser" displayName="Table_Input_OrganicFertiliser" ref="D53:J56" totalsRowShown="0" headerRowDxfId="460" dataDxfId="459"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428799A-695B-4954-A1B2-06F084A2723B}" name="Organic fertiliser type (select)" dataDxfId="458" dataCellStyle="Input select"/>
    <tableColumn id="5" xr3:uid="{8B4A06C5-A421-47CB-AED8-13F416D08362}" name="Percentage of N in fertiliser" dataDxfId="457"/>
    <tableColumn id="2" xr3:uid="{2A5AB780-1A83-459A-AC76-C7CDC5229548}" name="Amount applied (kg/hectare)" dataDxfId="456"/>
    <tableColumn id="11" xr3:uid="{31D74A92-9AC3-46F4-BD9F-A189B9C7A858}" name="Amount N applied (kg/hectare)" dataDxfId="455" dataCellStyle="Input number general calculated">
      <calculatedColumnFormula>Table_Input_OrganicFertiliser[[#This Row],[Amount applied (kg/hectare)]]*Table_Input_OrganicFertiliser[[#This Row],[Percentage of N in fertiliser]]</calculatedColumnFormula>
    </tableColumn>
    <tableColumn id="4" xr3:uid="{8603F157-45E1-48F2-9BE0-1D0E8C36C948}" name="Application area (ha)" dataDxfId="454" dataCellStyle="Input number 2 decimal places">
      <calculatedColumnFormula>X_Cell_Fertiliser_AreaUnderCropping</calculatedColumnFormula>
    </tableColumn>
    <tableColumn id="7" xr3:uid="{7A7C7B77-7B71-4BE0-AD48-69006C70AF05}" name="Total organic fertliser applied" dataDxfId="453" dataCellStyle="Input number general calculated">
      <calculatedColumnFormula>Table_Input_OrganicFertiliser[[#This Row],[Amount applied (kg/hectare)]]*Table_Input_OrganicFertiliser[[#This Row],[Application area (ha)]]</calculatedColumnFormula>
    </tableColumn>
    <tableColumn id="3" xr3:uid="{4D2ED044-BC8B-4586-94CB-F5F57586C346}" name="Total nitrogen applied (kg)" dataDxfId="452"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7:H17" totalsRowShown="0" headerRowDxfId="451" headerRowCellStyle="Input table column header">
  <autoFilter ref="D7:H17" xr:uid="{3E433F59-4BF1-4341-8498-3E5DACCDF2D3}"/>
  <tableColumns count="5">
    <tableColumn id="1" xr3:uid="{8E849261-8F35-48DE-BE22-FE2C6971C01F}" name="Packaging name"/>
    <tableColumn id="3" xr3:uid="{14ED4487-F547-485F-9AFB-212F5584207F}" name="Quantity purchased" dataDxfId="450"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9:R19" totalsRowShown="0" headerRowDxfId="449">
  <autoFilter ref="D9:R19" xr:uid="{BA52E4BB-C3D1-441A-A568-0AD50449E880}"/>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F20" totalsRowShown="0">
  <autoFilter ref="D10:F20" xr:uid="{206BD78F-05E0-445B-A064-B487D1B996EF}"/>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18:Q28" totalsRowShown="0">
  <autoFilter ref="D18:Q28" xr:uid="{6EC3622A-9CA1-4931-8AAA-6FC289090D20}"/>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2:F42" totalsRowShown="0" headerRowCellStyle="Input table column header">
  <autoFilter ref="D32:F42" xr:uid="{F7DA8543-C7DE-49A8-A739-D82C85B7B828}"/>
  <tableColumns count="3">
    <tableColumn id="3" xr3:uid="{69ECF868-4B84-4E9A-96F5-1BDF565F3FD3}" name="Product name" dataCellStyle="Input text"/>
    <tableColumn id="1" xr3:uid="{34C48247-DCDF-4B93-B49D-A318288E0686}" name="Type (select)" dataDxfId="448" dataCellStyle="Input select"/>
    <tableColumn id="2" xr3:uid="{5B0AEBA4-AB33-4382-8634-3F4C8D3B2A9B}" name="Number of head treated" dataDxfId="447" dataCellStyle="Input number general"/>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46" dataCellStyle="Input select"/>
    <tableColumn id="2" xr3:uid="{FA43F52A-7609-4014-A6D3-CAC2C970F57C}" name="Purchase class (select)" dataDxfId="445" dataCellStyle="Input select"/>
    <tableColumn id="6" xr3:uid="{41EDEC1E-1793-4BBD-B0C8-66DE9A0925D5}" name="Source region (Select)" dataDxfId="444"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(Select)]],#REF!,#REF!,#REF!,#REF!,#REF!)</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6:I16" totalsRowShown="0" headerRowDxfId="443">
  <autoFilter ref="D6:I16" xr:uid="{E938BFB3-949A-45DE-8033-0682BC494B81}"/>
  <tableColumns count="6">
    <tableColumn id="9" xr3:uid="{9915AEA9-40DA-4CFD-B08A-11FBE10BE9CF}" name="Transaction name" dataCellStyle="Input text"/>
    <tableColumn id="11" xr3:uid="{7A96FDED-4DC0-48EE-B346-DC4E5D93138D}" name="Class (select)" dataDxfId="442"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(select)]],#REF!,#REF!,#REF!,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6:H16" totalsRowShown="0" headerRowDxfId="441">
  <autoFilter ref="D6:H16" xr:uid="{14ED7533-62DD-410F-8832-CD98B0CD652B}"/>
  <tableColumns count="5">
    <tableColumn id="9" xr3:uid="{FC1CEF00-A0CC-4545-ADAB-9F52D190F90C}" name="Transaction name" dataCellStyle="Input text"/>
    <tableColumn id="11" xr3:uid="{45625588-179B-4EE3-98B4-2E94FA489CC5}" name="Class (select)" dataDxfId="440"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(select)]],#REF!,#REF!)</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6:H16" totalsRowShown="0">
  <autoFilter ref="D6:H16" xr:uid="{7DCBF554-869B-4226-8D02-B0F5F866C92B}"/>
  <tableColumns count="5">
    <tableColumn id="9" xr3:uid="{D6ADF99B-6024-404D-ADE3-4453D96F9A44}" name="Transaction name" dataCellStyle="Input text"/>
    <tableColumn id="11" xr3:uid="{4ED1C819-CD4A-4EB7-A045-069B468B975F}" name="Class (select)" dataDxfId="439"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(select)]],#REF!,#REF!)</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B5CA7BA-CAD8-4A74-8EEF-09EE4182F188}"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D45DBA8-9533-4787-99BA-4A9AF67D4C02}" name="Description"/>
    <tableColumn id="5" xr3:uid="{F3CA51C9-F6AB-47A5-B188-B629384A847B}" name="Treatment type (select)" dataCellStyle="Input select"/>
    <tableColumn id="2" xr3:uid="{9185DE13-7A1B-48A4-85A8-0E0946E96678}" name="Waste type (select)" dataCellStyle="Input select"/>
    <tableColumn id="3" xr3:uid="{CA74302C-B602-406B-87AC-BEF1377389CC}" name="Treatment location (select)" dataCellStyle="Input select"/>
    <tableColumn id="4" xr3:uid="{286D0038-15CF-4CCB-B71F-779CDDAE9FAB}" name="Amount" dataCellStyle="Input number general"/>
    <tableColumn id="7" xr3:uid="{B2878727-5234-404A-98FD-94771BFBC034}" name="Amount unit (select)" dataCellStyle="Input select"/>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06F3726-C162-467B-9C5A-448DA74497F2}"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59663293-BB14-4EAC-ACB4-269508617318}" name="Description"/>
    <tableColumn id="5" xr3:uid="{EA818618-4561-416F-9E23-205BC4AA25AB}" name="Source (select)" dataCellStyle="Input select"/>
    <tableColumn id="2" xr3:uid="{0F32E5F3-F181-4658-91E7-D5C57DECC808}" name="Generation date" dataDxfId="438"/>
    <tableColumn id="3" xr3:uid="{3C4CB8AF-468D-41E3-8C14-52ACE25557EA}" name="Number of certificates"/>
    <tableColumn id="4" xr3:uid="{6211D605-F5F8-4FC7-9BE2-40F0AC898DD6}" name="MWh" dataCellStyle="Input number general calculated">
      <calculatedColumnFormula>Table_Input_RECSurrendered[[#This Row],[Number of certificates]]</calculatedColumnFormula>
    </tableColumn>
    <tableColumn id="7" xr3:uid="{5C08064E-09B6-4232-94FC-CEC8642A69E7}"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AFD1A59-FD8C-47D4-8804-D98E52354508}"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F5C087F8-DC8F-4DB9-9BDD-1C4FFAEEE2D7}" name="Description"/>
    <tableColumn id="5" xr3:uid="{9D4485D4-1CBE-4FE2-92EA-53BA5C7AB905}" name="Source" dataCellStyle="Input text calculated">
      <calculatedColumnFormula>"Issued for generated electricity"</calculatedColumnFormula>
    </tableColumn>
    <tableColumn id="2" xr3:uid="{E5148A8B-C493-4B6F-9424-2CAC962CCC24}" name="Generation date" dataDxfId="437"/>
    <tableColumn id="3" xr3:uid="{102A0F8E-5B88-4D1A-B51C-D4EBDF58C2F0}" name="Number of certificates"/>
    <tableColumn id="4" xr3:uid="{43433349-2419-4086-83BB-DBDECD539723}" name="MWh" dataCellStyle="Input number general calculated">
      <calculatedColumnFormula>Table_Input_RECConsumedByEntity[[#This Row],[Number of certificates]]</calculatedColumnFormula>
    </tableColumn>
    <tableColumn id="7" xr3:uid="{459ADABC-C098-4F65-9FC5-AC16BFAB6C27}"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36"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35"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34"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33"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32"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31"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30"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29"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28"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27"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26"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25"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24"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23"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22"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21"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20"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19"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18"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17"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16"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15"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14"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13"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12"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11"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10"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09"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08"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07"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06"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05"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04"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03"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02"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01"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00"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399"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398"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397"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396"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395"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394"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393"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392"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391"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390"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389"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388"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387"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386"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385"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384"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383"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382"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381"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380"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379"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378"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377"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376"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375"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374"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373"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372"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371"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370"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369"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368"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367"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366"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365"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364"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1A1AAB3-525D-4B01-BA46-4B2A5735193F}"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667E3A9C-287C-4E2A-81F8-7878A7976459}"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4AE9F08E-0769-423D-86BD-53D9E6513B7F}" name="Waste type w" dataDxfId="363"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0F040904-DAC0-49DD-90E4-EF1586D0CB54}" name="EFwt" dataDxfId="362"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586F2221-CBA5-471A-BAD3-04EEA5908FAD}" name="EF source" dataDxfId="36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CFFDC367-C4C7-464A-B812-5999000CE1F5}"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DB4F6340-66AF-4C4A-AA09-D1FEEC42F671}"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0B1B4EBA-F22D-4510-A628-77427F184826}" name="VTMw" dataDxfId="360"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F5BD8FCC-35BB-4548-B781-DAD15EF2E1EA}" name="Table_WasteTypes_Landfill" displayName="Table_WasteTypes_Landfill" ref="I16:I27" totalsRowShown="0">
  <autoFilter ref="I16:I27" xr:uid="{99B942E3-1D24-4166-921C-DCC10960718D}">
    <filterColumn colId="0" hiddenButton="1"/>
  </autoFilter>
  <tableColumns count="1">
    <tableColumn id="1" xr3:uid="{9456A0E8-BBA5-4FBB-9812-52EB29838E50}"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4C26C292-1B29-4085-A0A3-CF29F1227EC1}" name="Table_WasteTypes_Incineration" displayName="Table_WasteTypes_Incineration" ref="K16:K26" totalsRowShown="0" headerRowDxfId="359" headerRowCellStyle="Content normal" dataCellStyle="Content normal">
  <autoFilter ref="K16:K26" xr:uid="{9A900595-7035-4239-9059-ACC16835BF72}">
    <filterColumn colId="0" hiddenButton="1"/>
  </autoFilter>
  <tableColumns count="1">
    <tableColumn id="1" xr3:uid="{1D69096B-EA02-4115-B552-10C083719AE6}" name="Waste type w" dataCellStyle="Content normal">
      <calculatedColumnFormula>E29</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CC29F4E6-9C45-4F18-8CF8-D9409B58F61D}" name="Table_WasteTypes_Composting" displayName="Table_WasteTypes_Composting" ref="M16:M21" totalsRowShown="0" headerRowDxfId="358" headerRowCellStyle="Content normal" dataCellStyle="Content normal">
  <autoFilter ref="M16:M21" xr:uid="{5C8D39D3-1330-49EB-B431-1B2B8C8238DC}">
    <filterColumn colId="0" hiddenButton="1"/>
  </autoFilter>
  <tableColumns count="1">
    <tableColumn id="1" xr3:uid="{934C3671-3BF6-4E10-9F00-1E7CD5A9363A}" name="Waste type w" totalsRowDxfId="357" dataCellStyle="Content normal">
      <calculatedColumnFormula>E40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D3B4CF8C-2085-475A-9D53-01B4DE31C6BD}" name="Table_WasteTypes_Anaerobicdigestion" displayName="Table_WasteTypes_Anaerobicdigestion" ref="O16:O21" totalsRowShown="0" headerRowDxfId="356" headerRowCellStyle="Content normal" dataCellStyle="Content normal">
  <autoFilter ref="O16:O21" xr:uid="{331EC43E-DF68-429F-A2A4-58BFE6216EC3}">
    <filterColumn colId="0" hiddenButton="1"/>
  </autoFilter>
  <tableColumns count="1">
    <tableColumn id="1" xr3:uid="{AFB9BC80-7074-4E8D-8569-2CD4D980316A}" name="Waste type w" totalsRowDxfId="355" dataCellStyle="Content normal">
      <calculatedColumnFormula>E46</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298BD255-23E3-4196-9EE8-A41CA928A32E}" name="Table_Fuel_EFs_StationaryLiquid" displayName="Table_Fuel_EFs_StationaryLiquid" ref="D53:K77" totalsRowShown="0" headerRowDxfId="354" dataDxfId="353">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354D05E-4A80-466B-B35D-25CBB7F0C04E}" name="Fuel combusted" dataDxfId="352">
      <calculatedColumnFormula array="1">Common_InputFunctions.Utility_DisplayArrayInTable(Fuel_SourceData.Fuel_Scope1Scope3EmissionFactorsStationaryLiquid_Data(), Table_Fuel_EFs_StationaryLiquid[[#Headers],[Fuel combusted]],0)</calculatedColumnFormula>
    </tableColumn>
    <tableColumn id="2" xr3:uid="{AEE68829-0EF6-41E2-8A5E-B5CC50315B21}" name="Energy Content Factor (GJ per unit of fuel)" dataDxfId="351">
      <calculatedColumnFormula array="1">Common_InputFunctions.Utility_DisplayArrayInTable(Fuel_SourceData.Fuel_Scope1Scope3EmissionFactorsStationaryLiquid_Data(), Table_Fuel_EFs_StationaryLiquid[[#Headers],[Fuel combusted]],0)</calculatedColumnFormula>
    </tableColumn>
    <tableColumn id="3" xr3:uid="{484CB40D-8887-45C3-8EE3-88DA5CE92D82}" name="Fuel unit" dataDxfId="350">
      <calculatedColumnFormula array="1">Common_InputFunctions.Utility_DisplayArrayInTable(Fuel_SourceData.Fuel_Scope1Scope3EmissionFactorsStationaryLiquid_Data(), Table_Fuel_EFs_StationaryLiquid[[#Headers],[Fuel combusted]],0)</calculatedColumnFormula>
    </tableColumn>
    <tableColumn id="4" xr3:uid="{427A19DE-77A4-4517-A663-CE77A8C8D059}" name="Scope 1 Emission Factor (kg CO2 - e / GJ) CO2" dataDxfId="349">
      <calculatedColumnFormula array="1">Common_InputFunctions.Utility_DisplayArrayInTable(Fuel_SourceData.Fuel_Scope1Scope3EmissionFactorsStationaryLiquid_Data(), Table_Fuel_EFs_StationaryLiquid[[#Headers],[Fuel combusted]],0)</calculatedColumnFormula>
    </tableColumn>
    <tableColumn id="5" xr3:uid="{790DE095-BC52-4DB8-9EAB-75B0AC7F7D76}" name="Scope 1 Emission Factor (kg CO2 - e / GJ) CH4" dataDxfId="348">
      <calculatedColumnFormula array="1">Common_InputFunctions.Utility_DisplayArrayInTable(Fuel_SourceData.Fuel_Scope1Scope3EmissionFactorsStationaryLiquid_Data(), Table_Fuel_EFs_StationaryLiquid[[#Headers],[Fuel combusted]],0)</calculatedColumnFormula>
    </tableColumn>
    <tableColumn id="6" xr3:uid="{F8A7F3BE-E63C-43EE-960D-2EF1EC53DD72}" name="Scope 1 Emission Factor (kg CO2 - e / GJ) N2O" dataDxfId="347">
      <calculatedColumnFormula array="1">Common_InputFunctions.Utility_DisplayArrayInTable(Fuel_SourceData.Fuel_Scope1Scope3EmissionFactorsStationaryLiquid_Data(), Table_Fuel_EFs_StationaryLiquid[[#Headers],[Fuel combusted]],0)</calculatedColumnFormula>
    </tableColumn>
    <tableColumn id="7" xr3:uid="{F6BB937D-3A6D-449E-9FBF-C8D4734F6BE1}" name="Scope 1 Emission Factor (kg CO2 - e / GJ) Combined gases" dataDxfId="346">
      <calculatedColumnFormula array="1">Common_InputFunctions.Utility_DisplayArrayInTable(Fuel_SourceData.Fuel_Scope1Scope3EmissionFactorsStationaryLiquid_Data(), Table_Fuel_EFs_StationaryLiquid[[#Headers],[Fuel combusted]],0)</calculatedColumnFormula>
    </tableColumn>
    <tableColumn id="8" xr3:uid="{90DF3855-EA7E-46A6-BBB8-A8485E722463}" name="Scope 3 Emission Factor (kg CO2 - e / GJ)" dataDxfId="345">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324B8AB9-D63D-4B54-9E67-8E2B68B97370}" name="Table_Fuel_EFs_Transport" displayName="Table_Fuel_EFs_Transport" ref="D9:L34" totalsRowShown="0" headerRowDxfId="344" dataDxfId="343">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AEDC40C-F933-4BC5-956B-637B7E8F46C6}" name="Transport type" dataDxfId="342">
      <calculatedColumnFormula array="1">Common_InputFunctions.Utility_DisplayArrayInTable(Fuel_SourceData.Fuel_Scope1Scope3EmissionFactorsTransport_Data(), Table_Fuel_EFs_Transport[[#Headers],[Transport type]], 0)</calculatedColumnFormula>
    </tableColumn>
    <tableColumn id="2" xr3:uid="{DD179760-DF9F-4858-8D01-D1B86FB6E017}" name="Fuel combusted" dataDxfId="341">
      <calculatedColumnFormula array="1">Common_InputFunctions.Utility_DisplayArrayInTable(Fuel_SourceData.Fuel_Scope1Scope3EmissionFactorsTransport_Data(), Table_Fuel_EFs_Transport[[#Headers],[Transport type]], 0)</calculatedColumnFormula>
    </tableColumn>
    <tableColumn id="3" xr3:uid="{865D500F-06D4-4AB2-89B7-A6C5666C945E}" name="Energy Content Factor (GJ per unit of fuel)" dataDxfId="340">
      <calculatedColumnFormula array="1">Common_InputFunctions.Utility_DisplayArrayInTable(Fuel_SourceData.Fuel_Scope1Scope3EmissionFactorsTransport_Data(), Table_Fuel_EFs_Transport[[#Headers],[Transport type]], 0)</calculatedColumnFormula>
    </tableColumn>
    <tableColumn id="4" xr3:uid="{57DEAFB6-8176-4661-B706-24F14A07C798}" name="Fuel unit" dataDxfId="339">
      <calculatedColumnFormula array="1">Common_InputFunctions.Utility_DisplayArrayInTable(Fuel_SourceData.Fuel_Scope1Scope3EmissionFactorsTransport_Data(), Table_Fuel_EFs_Transport[[#Headers],[Transport type]], 0)</calculatedColumnFormula>
    </tableColumn>
    <tableColumn id="8" xr3:uid="{CA87BD62-925F-484E-A2C4-C11AEDB1DECA}" name="Scope 1 Emission Factor (kg CO2 - e / GJ) CO2" dataDxfId="338">
      <calculatedColumnFormula array="1">Common_InputFunctions.Utility_DisplayArrayInTable(Fuel_SourceData.Fuel_Scope1Scope3EmissionFactorsTransport_Data(), Table_Fuel_EFs_Transport[[#Headers],[Transport type]], 0)</calculatedColumnFormula>
    </tableColumn>
    <tableColumn id="9" xr3:uid="{B088436E-C7A3-4967-BB91-F8E2344F38A6}" name="Scope 1 Emission Factor (kg CO2 - e / GJ) CH4" dataDxfId="337">
      <calculatedColumnFormula array="1">Common_InputFunctions.Utility_DisplayArrayInTable(Fuel_SourceData.Fuel_Scope1Scope3EmissionFactorsTransport_Data(), Table_Fuel_EFs_Transport[[#Headers],[Transport type]], 0)</calculatedColumnFormula>
    </tableColumn>
    <tableColumn id="10" xr3:uid="{143297A2-0C42-4A5C-8438-20DB51F19A2C}" name="Scope 1 Emission Factor (kg CO2 - e / GJ) N2O" dataDxfId="336">
      <calculatedColumnFormula array="1">Common_InputFunctions.Utility_DisplayArrayInTable(Fuel_SourceData.Fuel_Scope1Scope3EmissionFactorsTransport_Data(), Table_Fuel_EFs_Transport[[#Headers],[Transport type]], 0)</calculatedColumnFormula>
    </tableColumn>
    <tableColumn id="11" xr3:uid="{49455BB5-BC12-4B76-9D90-BEC4482E56C4}" name="Scope 1 Emission Factor (kg CO2 - e / GJ) Combined gases" dataDxfId="335">
      <calculatedColumnFormula array="1">Common_InputFunctions.Utility_DisplayArrayInTable(Fuel_SourceData.Fuel_Scope1Scope3EmissionFactorsTransport_Data(), Table_Fuel_EFs_Transport[[#Headers],[Transport type]], 0)</calculatedColumnFormula>
    </tableColumn>
    <tableColumn id="12" xr3:uid="{D1307B2A-76BB-4FB1-8999-657AF1A0D19A}" name="Scope 3 Emission Factor (kg CO2 - e / GJ)" dataDxfId="334">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E5B84B36-3FCD-4096-93A3-D416E0AD36C5}" name="Table_FuelTypesPerUse" displayName="Table_FuelTypesPerUse" ref="D130:I139" totalsRowShown="0" headerRowDxfId="333" dataDxfId="332">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96BAE82F-0DAC-45F7-89F3-21607368FFD7}" name="Generators" dataDxfId="331"/>
    <tableColumn id="2" xr3:uid="{AAD4EBEC-5738-435E-B78B-905AFC510776}" name="Power standalone machinery or heating" dataDxfId="330"/>
    <tableColumn id="3" xr3:uid="{73A08911-FF24-4BCE-87BF-AFE6025166B6}" name="Aviation" dataDxfId="329"/>
    <tableColumn id="5" xr3:uid="{566A1938-081B-4E12-BFE4-AB051F78CAF3}" name="Cars and light commercial vehicles" dataDxfId="328"/>
    <tableColumn id="7" xr3:uid="{A5097AE4-9464-40E1-8347-8D2FEDB08332}" name="Off-road Agriculture and forestry equipment" dataDxfId="327" dataCellStyle="Content bold"/>
    <tableColumn id="8" xr3:uid="{290306D6-5529-4EC9-AA70-8FBF75A2E3EF}" name="Vessels" dataDxfId="326" dataCellStyle="Content bol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8CCF0CD-1248-4F48-A306-B699EAAAA466}" name="Table_Fuel_EFs_StationaryGaseous" displayName="Table_Fuel_EFs_StationaryGaseous" ref="D86:J104" totalsRowShown="0" headerRowDxfId="325" dataDxfId="324">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E363285-8530-40CC-A07B-6979FB0DC8EE}" name="Fuel combusted" dataDxfId="323">
      <calculatedColumnFormula array="1">Common_InputFunctions.Utility_DisplayArrayInTable(Fuel_SourceData.Fuel_Scope1EmissionFactorsStationaryGaseous_Data(), Table_Fuel_EFs_StationaryGaseous[[#Headers],[Fuel combusted]],0)</calculatedColumnFormula>
    </tableColumn>
    <tableColumn id="2" xr3:uid="{90741788-0776-4A54-BDEC-413A40783F29}" name="Energy Content Factor (GJ per unit of fuel)" dataDxfId="322">
      <calculatedColumnFormula array="1">Common_InputFunctions.Utility_DisplayArrayInTable(Fuel_SourceData.Fuel_Scope1EmissionFactorsStationaryGaseous_Data(), Table_Fuel_EFs_StationaryGaseous[[#Headers],[Fuel combusted]],0)</calculatedColumnFormula>
    </tableColumn>
    <tableColumn id="3" xr3:uid="{782642B1-2B77-4F96-B074-C50CA3C85AC7}" name="Fuel unit" dataDxfId="321">
      <calculatedColumnFormula array="1">Common_InputFunctions.Utility_DisplayArrayInTable(Fuel_SourceData.Fuel_Scope1EmissionFactorsStationaryGaseous_Data(), Table_Fuel_EFs_StationaryGaseous[[#Headers],[Fuel combusted]],0)</calculatedColumnFormula>
    </tableColumn>
    <tableColumn id="4" xr3:uid="{20DA23D9-2DED-4571-B8AD-C08F630353B8}" name="Scope 1 Emission Factor (kg CO2 - e / GJ) CO2" dataDxfId="320">
      <calculatedColumnFormula array="1">Common_InputFunctions.Utility_DisplayArrayInTable(Fuel_SourceData.Fuel_Scope1EmissionFactorsStationaryGaseous_Data(), Table_Fuel_EFs_StationaryGaseous[[#Headers],[Fuel combusted]],0)</calculatedColumnFormula>
    </tableColumn>
    <tableColumn id="5" xr3:uid="{AE1DDF33-E36A-460B-9B4B-C590666DEA57}" name="Scope 1 Emission Factor (kg CO2 - e / GJ) CH4" dataDxfId="319">
      <calculatedColumnFormula array="1">Common_InputFunctions.Utility_DisplayArrayInTable(Fuel_SourceData.Fuel_Scope1EmissionFactorsStationaryGaseous_Data(), Table_Fuel_EFs_StationaryGaseous[[#Headers],[Fuel combusted]],0)</calculatedColumnFormula>
    </tableColumn>
    <tableColumn id="6" xr3:uid="{0D56BAC3-EA3E-4C28-9D3D-3B114F5BDBBD}" name="Scope 1 Emission Factor (kg CO2 - e / GJ) N2O" dataDxfId="318">
      <calculatedColumnFormula array="1">Common_InputFunctions.Utility_DisplayArrayInTable(Fuel_SourceData.Fuel_Scope1EmissionFactorsStationaryGaseous_Data(), Table_Fuel_EFs_StationaryGaseous[[#Headers],[Fuel combusted]],0)</calculatedColumnFormula>
    </tableColumn>
    <tableColumn id="7" xr3:uid="{2430A25D-9DD7-44CD-B7A6-B2FC9D5FB728}" name="Scope 1 Emission Factor (kg CO2 - e / GJ) Combined gases" dataDxfId="317">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6B0A3A6D-C55E-4FE1-AB4B-C3D5280E8374}" name="Table_Fuel_EFs_StationaryGaseous34" displayName="Table_Fuel_EFs_StationaryGaseous34" ref="D112:F120" headerRowDxfId="316" totalsRowDxfId="315">
  <autoFilter ref="D112:F120" xr:uid="{7D6CE29D-2354-4FAC-9965-9A66FFA42416}">
    <filterColumn colId="0" hiddenButton="1"/>
    <filterColumn colId="1" hiddenButton="1"/>
    <filterColumn colId="2" hiddenButton="1"/>
  </autoFilter>
  <tableColumns count="3">
    <tableColumn id="1" xr3:uid="{9718D109-2E2A-4CBC-BB6A-695EC83046AA}" name="State or territory" totalsRowDxfId="314">
      <calculatedColumnFormula array="1">Common_InputFunctions.Utility_DisplayArrayInTable(Fuel_SourceData.Fuel_Scope3EmissionFactorsStationaryGaseous_Data(), Table_Fuel_EFs_StationaryGaseous34[[#Headers],[State or territory]],0)</calculatedColumnFormula>
    </tableColumn>
    <tableColumn id="2" xr3:uid="{72822F56-30FE-48BA-9990-2D68C4AD2EFE}" name="Metro" totalsRowDxfId="313">
      <calculatedColumnFormula array="1">Common_InputFunctions.Utility_DisplayArrayInTable(Fuel_SourceData.Fuel_Scope3EmissionFactorsStationaryGaseous_Data(), Table_Fuel_EFs_StationaryGaseous34[[#Headers],[State or territory]],0)</calculatedColumnFormula>
    </tableColumn>
    <tableColumn id="3" xr3:uid="{4818704C-EAB5-401F-83CE-058BA1516908}" name="Non-metro" totalsRowDxfId="312">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61324ACE-1021-4C24-A386-2F8EEACE964B}"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97FED421-5611-4591-93E0-D19B62EDC803}" name="Fuel type"/>
    <tableColumn id="2" xr3:uid="{0573C0BB-9DBF-4D3D-A6D6-E7DC795AF559}" name="Unit"/>
    <tableColumn id="3" xr3:uid="{95D17170-AD7D-4BBF-B681-928816F77512}" name="Input Unit" dataDxfId="311"/>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F0825840-5401-49A3-A643-C6AB7D4E70FD}"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9935610-B570-4723-A7A4-147799D4230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FE5F411E-FB1C-486C-8EA3-3C1A758C5537}" name="Fuel type q" dataDxfId="31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5A05D874-EB53-4A05-8B84-FFF3D744D6C5}" name="ECTrans,q (GJ/kL)" dataDxfId="30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D5940660-5BC5-4894-B757-15111B112031}" name="Scope 1 CO2 EFTran,1,tqg (kg CO2-e/GJ)" dataDxfId="30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2A8EEEC6-48AC-4E4E-999D-7BB799C4FE78}" name="Scope 1 CH4 EFTran,1,tgg (kg CO2-e/GJ)" dataDxfId="30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3F5C372D-B4F1-430D-A432-702919342206}" name="Scope 1 N2O EFTran,1,tgg (kg CO2-e/GJ)" dataDxfId="30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A7A33BAA-20B5-4205-A0FE-CD408AA3BC1B}" name="Scope 3 EFTrans,3,q (kg CO2-e/GJ)" dataDxfId="30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2" xr:uid="{934BFD3E-2DE7-400E-A780-BFC4AA706898}"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F3A8B1A7-B046-47EF-BD7C-8D423ABBE874}"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AEBDB7A4-A3B5-4642-A40E-C2BC544F756C}" name="Layers" dataDxfId="304"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630F96E2-6697-4C39-96DF-47F4B2BF0525}" name="Meat chicken growers" dataDxfId="303"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744129ED-E15A-4C33-B27E-3E4F630D94FB}" name="Meat chicken breeder" dataDxfId="302"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8CF251D6-125E-42DF-A245-F306A0FF5D76}" name="Meat other" dataDxfId="301"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3" xr:uid="{567CFC81-9712-4236-A743-DDDB3AAA0CBA}"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EFC0E6F9-EBBE-43EE-A78A-20FA04798EE4}"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2EC3DC06-8F82-4303-8AD9-E9C0A1BEEB9B}" name="B0" dataDxfId="300"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4" xr:uid="{D184FD1D-66ED-48C7-ABC2-1F7783FD2B2F}" name="Table_SourceData_PoultryMMS" displayName="Table_SourceData_PoultryMMS" ref="D28:E38" totalsRowShown="0">
  <autoFilter ref="D28:E38" xr:uid="{AF7090B5-6718-41B7-9B26-A00EDB46BAC3}">
    <filterColumn colId="0" hiddenButton="1"/>
    <filterColumn colId="1" hiddenButton="1"/>
  </autoFilter>
  <tableColumns count="2">
    <tableColumn id="1" xr3:uid="{6187F763-1EA3-4B09-8DD8-C275FF93B100}" name="MMS"/>
    <tableColumn id="2" xr3:uid="{5B540B20-CB11-4F8C-B430-C7E5735BC9E7}" name="Symbol and MMS" dataDxfId="299" dataCellStyle="Content normal"/>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5" xr:uid="{29F6ECF0-BCAB-4EF7-A8AF-ABAAE6435CA5}" name="Table_SourceData_Poultry_ProductionSystems" displayName="Table_SourceData_Poultry_ProductionSystems" ref="D44:D47" totalsRowShown="0">
  <autoFilter ref="D44:D47" xr:uid="{5810106E-36C6-489E-8962-5DE08C5F2EAC}">
    <filterColumn colId="0" hiddenButton="1"/>
  </autoFilter>
  <tableColumns count="1">
    <tableColumn id="1" xr3:uid="{517E7D5A-FC37-4F14-976C-62C7BB17F846}"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6" xr:uid="{DDE0B2C2-A439-4359-8C2D-531C4D521AAC}"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7531815-DB70-4F2A-9840-FE1DF0E446D9}" name="MMS m">
      <calculatedColumnFormula array="1">Common_InputFunctions.Utility_DisplayArrayInTable(SourceData_Poultry.SourceData_Poultry_MCF_Data(), Table_SourceData_Poultry_MMSMCF[[#Headers],[MMS m]], 0)</calculatedColumnFormula>
    </tableColumn>
    <tableColumn id="2" xr3:uid="{D45F2681-20D4-442B-9EF2-22BCA7B98BD4}" name="All states" dataDxfId="298" dataCellStyle="Content normal">
      <calculatedColumnFormula array="1">Common_InputFunctions.Utility_DisplayArrayInTable(SourceData_Poultry.SourceData_Poultry_MCF_Data(), Table_SourceData_Poultry_MMSMCF[[#Headers],[MMS m]], 0)</calculatedColumnFormula>
    </tableColumn>
    <tableColumn id="3" xr3:uid="{8DC60820-D160-439C-B021-9F9BDBA7707E}" name="NSW" dataDxfId="297" dataCellStyle="Content normal">
      <calculatedColumnFormula array="1">Common_InputFunctions.Utility_DisplayArrayInTable(SourceData_Poultry.SourceData_Poultry_MCF_Data(), Table_SourceData_Poultry_MMSMCF[[#Headers],[MMS m]], 0)</calculatedColumnFormula>
    </tableColumn>
    <tableColumn id="4" xr3:uid="{D39F89A2-95B3-4C9A-83FD-84CDB09E0555}" name="ACT" dataDxfId="296" dataCellStyle="Content normal">
      <calculatedColumnFormula array="1">Common_InputFunctions.Utility_DisplayArrayInTable(SourceData_Poultry.SourceData_Poultry_MCF_Data(), Table_SourceData_Poultry_MMSMCF[[#Headers],[MMS m]], 0)</calculatedColumnFormula>
    </tableColumn>
    <tableColumn id="5" xr3:uid="{63215FCF-4BC7-480A-AF53-BE05BAABA717}" name="QLD" dataDxfId="295" dataCellStyle="Content normal">
      <calculatedColumnFormula array="1">Common_InputFunctions.Utility_DisplayArrayInTable(SourceData_Poultry.SourceData_Poultry_MCF_Data(), Table_SourceData_Poultry_MMSMCF[[#Headers],[MMS m]], 0)</calculatedColumnFormula>
    </tableColumn>
    <tableColumn id="6" xr3:uid="{E5221981-FD6E-46F9-9D74-46E63694A548}" name="NT" dataDxfId="294" dataCellStyle="Content normal">
      <calculatedColumnFormula array="1">Common_InputFunctions.Utility_DisplayArrayInTable(SourceData_Poultry.SourceData_Poultry_MCF_Data(), Table_SourceData_Poultry_MMSMCF[[#Headers],[MMS m]], 0)</calculatedColumnFormula>
    </tableColumn>
    <tableColumn id="7" xr3:uid="{9BFBCC33-3D14-41ED-89C3-5F451A60350F}" name="VIC" dataDxfId="293" dataCellStyle="Content normal">
      <calculatedColumnFormula array="1">Common_InputFunctions.Utility_DisplayArrayInTable(SourceData_Poultry.SourceData_Poultry_MCF_Data(), Table_SourceData_Poultry_MMSMCF[[#Headers],[MMS m]], 0)</calculatedColumnFormula>
    </tableColumn>
    <tableColumn id="8" xr3:uid="{C644CB31-BDAB-41B2-9C33-A0F3B51C2B38}" name="SA" dataDxfId="292" dataCellStyle="Content normal">
      <calculatedColumnFormula array="1">Common_InputFunctions.Utility_DisplayArrayInTable(SourceData_Poultry.SourceData_Poultry_MCF_Data(), Table_SourceData_Poultry_MMSMCF[[#Headers],[MMS m]], 0)</calculatedColumnFormula>
    </tableColumn>
    <tableColumn id="9" xr3:uid="{C25D05DC-693D-4104-B451-8B4ED11BA84D}" name="WA" dataDxfId="291" dataCellStyle="Content normal">
      <calculatedColumnFormula array="1">Common_InputFunctions.Utility_DisplayArrayInTable(SourceData_Poultry.SourceData_Poultry_MCF_Data(), Table_SourceData_Poultry_MMSMCF[[#Headers],[MMS m]], 0)</calculatedColumnFormula>
    </tableColumn>
    <tableColumn id="10" xr3:uid="{E60012AA-1AC0-43E9-8B0F-3DDFA502E585}" name="TAS" dataDxfId="290" dataCellStyle="Content normal">
      <calculatedColumnFormula array="1">Common_InputFunctions.Utility_DisplayArrayInTable(SourceData_Poultry.SourceData_Poultry_MCF_Data(), Table_SourceData_Poultry_MMSMCF[[#Headers],[MMS m]], 0)</calculatedColumnFormula>
    </tableColumn>
    <tableColumn id="11" xr3:uid="{515F0368-A903-4C00-BCE4-9D945E3E4C4B}" name="NIR definition" dataDxfId="289"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7" xr:uid="{EDCBFA3F-C35E-40E3-B858-4FC045D876C7}"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A6468CA6-77E7-4208-BCD0-05375F4BF41A}" name="MMS"/>
    <tableColumn id="2" xr3:uid="{B56ABB60-C225-4DCC-B0D8-3D4B8E44CB9A}" name="Symbol and MMS" dataDxfId="288"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8" xr:uid="{94D021B4-8722-4AEF-8CDA-BA5DF74B9C9D}"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C482FAA2-A256-4890-973F-76B04DA2224F}" name="MMS"/>
    <tableColumn id="2" xr3:uid="{69EFD2A9-EE55-430C-9561-4A5627DF99C7}" name="Symbol and MMS" dataDxfId="287"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9" xr:uid="{0C22A561-980F-4BE3-AC19-EA2550318CD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B1F419B1-9523-4DB0-B799-BC791EEAB7A3}" name="MMS">
      <calculatedColumnFormula array="1">Common_InputFunctions.Utility_DisplayArrayInTable(SourceData_Poultry.SourceData_Poultry_VSL_Data(), Table_SourceData_Poultry_MMSVSL[[#Headers],[MMS]], 0)</calculatedColumnFormula>
    </tableColumn>
    <tableColumn id="2" xr3:uid="{F72370A2-6CB0-4063-88AF-24DF8E06FFFA}" name="VSL" dataDxfId="286" dataCellStyle="Content normal">
      <calculatedColumnFormula array="1">Common_InputFunctions.Utility_DisplayArrayInTable(SourceData_Poultry.SourceData_Poultry_VSL_Data(), Table_SourceData_Poultry_MMSVSL[[#Headers],[MMS]], 0)</calculatedColumnFormula>
    </tableColumn>
    <tableColumn id="3" xr3:uid="{833BFEF2-C33B-43FE-8845-50EBB49DD43F}" name="NIR definition" dataDxfId="285"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0" xr:uid="{AF0FED9C-33C8-4C72-8C8A-A287E9BAF9CF}"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3F065BED-868D-4E44-A30B-ECB93F2927C3}" name="MMSm">
      <calculatedColumnFormula array="1">Common_InputFunctions.Utility_DisplayArrayInTable(SourceData_Poultry.SourceData_Poultry_FracGASMmT_Data(), Table_SourceData_Poultry_FracGASM[[#Headers],[MMSm]], 0)</calculatedColumnFormula>
    </tableColumn>
    <tableColumn id="2" xr3:uid="{16B7D52B-F416-49DF-BC34-F4F4E8A671D8}" name="FracGASMmT" dataDxfId="284" dataCellStyle="Content normal">
      <calculatedColumnFormula array="1">Common_InputFunctions.Utility_DisplayArrayInTable(SourceData_Poultry.SourceData_Poultry_FracGASMmT_Data(), Table_SourceData_Poultry_FracGASM[[#Headers],[MMSm]], 0)</calculatedColumnFormula>
    </tableColumn>
    <tableColumn id="3" xr3:uid="{1E9DA7C5-39CC-4D66-B818-B7B85A77F05D}" name="NIR reference" dataDxfId="283"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1" xr:uid="{75BE2265-B922-4D4E-831E-35D57D1940D9}"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05529209-69E0-48F6-98E9-6474112685A1}" name="MMSm">
      <calculatedColumnFormula array="1">Common_InputFunctions.Utility_DisplayArrayInTable(SourceData_Poultry.SourceData_Poultry_EFmT_Data(),Table_SourceData_Poultry_EFmT[[#Headers],[MMSm]], 0)</calculatedColumnFormula>
    </tableColumn>
    <tableColumn id="2" xr3:uid="{9198BA90-69EE-49E8-A5FA-3DF8CEA42318}" name="EFmT" dataDxfId="282" dataCellStyle="Content normal">
      <calculatedColumnFormula array="1">Common_InputFunctions.Utility_DisplayArrayInTable(SourceData_Poultry.SourceData_Poultry_EFmT_Data(),Table_SourceData_Poultry_EFmT[[#Headers],[MMSm]], 0)</calculatedColumnFormula>
    </tableColumn>
    <tableColumn id="3" xr3:uid="{C4407D93-EB17-401D-AFE7-7CD6F1CE89B2}" name="NIR reference" dataDxfId="281"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2" xr:uid="{9DC14DB9-A268-4A6B-BCD8-D5D12B99C408}"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611A690E-1543-41AA-ABB2-123251B27D83}" name="Livestock class j">
      <calculatedColumnFormula array="1">Common_InputFunctions.Utility_DisplayArrayInTable(SourceData_Poultry.SourceData_Poultry_Liveweights_Data(),Table_SourceData_Poultry_Liveweights[[#Headers],[Livestock class j]],0)</calculatedColumnFormula>
    </tableColumn>
    <tableColumn id="2" xr3:uid="{489F5185-C543-4A43-A72A-97E78D5C374B}" name="Average liveweight (kg)" dataDxfId="280"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3" xr:uid="{EA6AFC0A-AA5C-49C7-9D1E-6F742F2D34AC}" name="Table_SourceData_Poultry_CropProdSystems" displayName="Table_SourceData_Poultry_CropProdSystems" ref="G44:G46" totalsRowShown="0">
  <autoFilter ref="G44:G46" xr:uid="{8EDB544D-AFFC-41EF-8AD9-9AD07200476D}"/>
  <tableColumns count="1">
    <tableColumn id="1" xr3:uid="{DBDAD148-F130-4A82-BCD7-FD3C47CBE3A2}" name="Production system">
      <calculatedColumnFormula>#REF!</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4" xr:uid="{1CF08293-7626-4A8C-BADC-5CBA20A38F74}" name="Table_SourceData_Poultry_IrrigationMethods" displayName="Table_SourceData_Poultry_IrrigationMethods" ref="J44:J49" totalsRowShown="0">
  <autoFilter ref="J44:J49" xr:uid="{C0841426-764B-45EC-B52F-AFA2B3E2A193}"/>
  <tableColumns count="1">
    <tableColumn id="1" xr3:uid="{1A680DA7-F14B-4E3B-831E-E2F942325ACC}" name="Irrigation method"/>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999D8D17-15CE-4A89-A266-D6723E601F00}"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0F65E29C-7592-4889-B0B1-73CFBEE06DE8}" name="Class">
      <calculatedColumnFormula array="1">Common_InputFunctions.Utility_DisplayArrayInTable(SourceData_Swine.SourceData_Swine_VolatileSolids_Data(), Table_SourceData_Swine_VolatileSolids[[#Headers],[Class]], 0)</calculatedColumnFormula>
    </tableColumn>
    <tableColumn id="2" xr3:uid="{7325BA1F-8AAD-40AF-9700-056661AC001C}" name="VSj" dataDxfId="279"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D14C379E-1160-414B-9129-7AFA6EDE0151}"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822457F-4859-4BE3-923B-F9E09CF880D5}" name="MMS">
      <calculatedColumnFormula array="1">Common_InputFunctions.Utility_DisplayArrayInTable(SourceData_Swine.SourceData_Swine_MMS_MCFs_Data(),Table_SourceData_Swine_MMSMCF[[#Headers],[MMS]],0)</calculatedColumnFormula>
    </tableColumn>
    <tableColumn id="2" xr3:uid="{BBE28AAF-1A6F-4E86-8B4C-D59932C56B37}" name="NSW" dataDxfId="278" dataCellStyle="Content normal">
      <calculatedColumnFormula array="1">Common_InputFunctions.Utility_DisplayArrayInTable(SourceData_Swine.SourceData_Swine_MMS_MCFs_Data(),Table_SourceData_Swine_MMSMCF[[#Headers],[MMS]],0)</calculatedColumnFormula>
    </tableColumn>
    <tableColumn id="3" xr3:uid="{5D324BCA-C4D6-4400-84B3-B04E45707E99}" name="ACT" dataDxfId="277" dataCellStyle="Content normal">
      <calculatedColumnFormula array="1">Common_InputFunctions.Utility_DisplayArrayInTable(SourceData_Swine.SourceData_Swine_MMS_MCFs_Data(),Table_SourceData_Swine_MMSMCF[[#Headers],[MMS]],0)</calculatedColumnFormula>
    </tableColumn>
    <tableColumn id="4" xr3:uid="{E7EC22B7-153C-4F7F-B6DF-70C6AE6067C0}" name="QLD" dataDxfId="276" dataCellStyle="Content normal">
      <calculatedColumnFormula array="1">Common_InputFunctions.Utility_DisplayArrayInTable(SourceData_Swine.SourceData_Swine_MMS_MCFs_Data(),Table_SourceData_Swine_MMSMCF[[#Headers],[MMS]],0)</calculatedColumnFormula>
    </tableColumn>
    <tableColumn id="5" xr3:uid="{E3DB39AC-3888-4DAC-AFB4-4430F6D8C988}" name="NT" dataDxfId="275" dataCellStyle="Content normal">
      <calculatedColumnFormula array="1">Common_InputFunctions.Utility_DisplayArrayInTable(SourceData_Swine.SourceData_Swine_MMS_MCFs_Data(),Table_SourceData_Swine_MMSMCF[[#Headers],[MMS]],0)</calculatedColumnFormula>
    </tableColumn>
    <tableColumn id="6" xr3:uid="{BB15E6C9-0B8D-41B0-9E4D-83099A7BA10A}" name="SA" dataDxfId="274" dataCellStyle="Content normal">
      <calculatedColumnFormula array="1">Common_InputFunctions.Utility_DisplayArrayInTable(SourceData_Swine.SourceData_Swine_MMS_MCFs_Data(),Table_SourceData_Swine_MMSMCF[[#Headers],[MMS]],0)</calculatedColumnFormula>
    </tableColumn>
    <tableColumn id="7" xr3:uid="{692101B7-7B18-4BA4-B893-1C1060144FA6}" name="TAS" dataDxfId="273" dataCellStyle="Content normal">
      <calculatedColumnFormula array="1">Common_InputFunctions.Utility_DisplayArrayInTable(SourceData_Swine.SourceData_Swine_MMS_MCFs_Data(),Table_SourceData_Swine_MMSMCF[[#Headers],[MMS]],0)</calculatedColumnFormula>
    </tableColumn>
    <tableColumn id="8" xr3:uid="{0E6EEF67-372C-47F3-8031-19479DDBC0D2}" name="VIC" dataDxfId="272" dataCellStyle="Content normal">
      <calculatedColumnFormula array="1">Common_InputFunctions.Utility_DisplayArrayInTable(SourceData_Swine.SourceData_Swine_MMS_MCFs_Data(),Table_SourceData_Swine_MMSMCF[[#Headers],[MMS]],0)</calculatedColumnFormula>
    </tableColumn>
    <tableColumn id="9" xr3:uid="{DBEB4BAC-A202-411A-B025-861A5F8CFEDA}" name="WA" dataDxfId="271" dataCellStyle="Content normal">
      <calculatedColumnFormula array="1">Common_InputFunctions.Utility_DisplayArrayInTable(SourceData_Swine.SourceData_Swine_MMS_MCFs_Data(),Table_SourceData_Swine_MMSMCF[[#Headers],[MMS]],0)</calculatedColumnFormula>
    </tableColumn>
    <tableColumn id="10" xr3:uid="{6990F525-4089-4C29-8471-1C9EBAFB8D4A}" name="NIR definition" dataDxfId="270"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20AC2A57-9385-49AE-B2FF-B7E6A0356530}" name="Table_SourceData_SwineMMS" displayName="Table_SourceData_SwineMMS" ref="D40:E47" totalsRowShown="0">
  <autoFilter ref="D40:E47" xr:uid="{42F7033B-606B-4A24-9223-A30737FDC1FE}">
    <filterColumn colId="0" hiddenButton="1"/>
    <filterColumn colId="1" hiddenButton="1"/>
  </autoFilter>
  <tableColumns count="2">
    <tableColumn id="1" xr3:uid="{24D5E23A-E9D4-459C-918A-54F461F4BF40}" name="MMS"/>
    <tableColumn id="2" xr3:uid="{09282315-CDE6-44E5-9A34-EE50EBF98BED}"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76A71C86-67C9-462E-881D-302FB5C214A7}" name="Table_SourceData_SwineVSL" displayName="Table_SourceData_SwineVSL" ref="D53:E60" totalsRowShown="0">
  <autoFilter ref="D53:E60" xr:uid="{079C074C-6E98-47B5-B4E5-F8A1F12104F2}">
    <filterColumn colId="0" hiddenButton="1"/>
    <filterColumn colId="1" hiddenButton="1"/>
  </autoFilter>
  <tableColumns count="2">
    <tableColumn id="1" xr3:uid="{41D2290A-514B-4961-BEEB-F40E3DC86C5D}" name="MMS"/>
    <tableColumn id="2" xr3:uid="{9D1C3E57-82FD-4F86-AE6B-36648096A786}" name="VSL"/>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D17B3DCD-6B88-4F1A-B4FB-1AEFFFA9D5CC}"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CA69AA58-C7AF-4118-9B48-D740966F5E6A}" name="MMS"/>
    <tableColumn id="2" xr3:uid="{A5975EDF-0A94-42B6-89BB-2C277161A104}" name="Symbol and MMS"/>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DF93F32B-09DE-4178-86AC-7D76CA4258AA}"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6DC70421-F970-41C5-97BA-D5A6CD2B1E9D}" name="MMS"/>
    <tableColumn id="2" xr3:uid="{5D87D5E9-A649-4E17-829E-C5486DCDB41F}" name="Symbol and MMS"/>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2D4818CD-55E8-4E3D-8C1D-C0795427F9EC}" name="Table_SourceData_Swine_ProductionSystems" displayName="Table_SourceData_Swine_ProductionSystems" ref="G53:G56" totalsRowShown="0">
  <autoFilter ref="G53:G56" xr:uid="{A6BE3FFD-EB90-45EB-8756-16A72E0C6869}">
    <filterColumn colId="0" hiddenButton="1"/>
  </autoFilter>
  <tableColumns count="1">
    <tableColumn id="1" xr3:uid="{A7837E09-4F88-4200-8398-0AB1B29ABD59}"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111FFB82-04A8-4C74-B397-2486E4072047}" name="Table_SourceData_Swine_NitrogenInWaste" displayName="Table_SourceData_Swine_NitrogenInWaste" ref="D89:G93" totalsRowShown="0" dataDxfId="269" dataCellStyle="Content normal">
  <autoFilter ref="D89:G93" xr:uid="{61D86DCB-D80D-4593-96F3-A897FC93073F}">
    <filterColumn colId="0" hiddenButton="1"/>
    <filterColumn colId="1" hiddenButton="1"/>
    <filterColumn colId="2" hiddenButton="1"/>
    <filterColumn colId="3" hiddenButton="1"/>
  </autoFilter>
  <tableColumns count="4">
    <tableColumn id="1" xr3:uid="{9F18062E-F10C-4A4E-9EF1-6864FAD45231}" name="Class" dataDxfId="268" dataCellStyle="Content normal">
      <calculatedColumnFormula array="1">Common_InputFunctions.Utility_DisplayArrayInTable(SourceData_Swine.SourceData_Swine_NitrogenInWaste_Data(), Table_SourceData_Swine_NitrogenInWaste[[#Headers],[Class]], 0)</calculatedColumnFormula>
    </tableColumn>
    <tableColumn id="2" xr3:uid="{AD1FE5A5-CD7F-4B77-AA2D-7DB084616CD0}" name="NWj" dataDxfId="267" dataCellStyle="Content normal">
      <calculatedColumnFormula array="1">Common_InputFunctions.Utility_DisplayArrayInTable(SourceData_Swine.SourceData_Swine_NitrogenInWaste_Data(), Table_SourceData_Swine_NitrogenInWaste[[#Headers],[Class]], 0)</calculatedColumnFormula>
    </tableColumn>
    <tableColumn id="3" xr3:uid="{7CFF11E1-EF2B-40A9-94C8-9175F4559629}" name="NWj Daily" dataDxfId="266" dataCellStyle="Content normal">
      <calculatedColumnFormula array="1">Common_InputFunctions.Utility_DisplayArrayInTable(SourceData_Swine.SourceData_Swine_NitrogenInWaste_Data(), Table_SourceData_Swine_NitrogenInWaste[[#Headers],[Class]], 0)</calculatedColumnFormula>
    </tableColumn>
    <tableColumn id="4" xr3:uid="{7AFB08AA-8927-4993-88E3-88276A34731D}" name="Class name" dataDxfId="265"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A8A05FFC-15EE-40AE-8819-227F60BEA559}" name="Table_SourceData_Swine_FeedIntake" displayName="Table_SourceData_Swine_FeedIntake" ref="D78:E82" totalsRowShown="0" dataDxfId="264" dataCellStyle="Content normal">
  <autoFilter ref="D78:E82" xr:uid="{E34928EB-73E5-43B2-830B-089F30DA4EF0}">
    <filterColumn colId="0" hiddenButton="1"/>
    <filterColumn colId="1" hiddenButton="1"/>
  </autoFilter>
  <tableColumns count="2">
    <tableColumn id="1" xr3:uid="{FD5147F7-D9E6-407C-A75C-27E912D0C7E7}" name="Class" dataDxfId="263" dataCellStyle="Content normal">
      <calculatedColumnFormula array="1">Common_InputFunctions.Utility_DisplayArrayInTable(SourceData_Swine.SourceData_Swine_FeedIntake_Data(), Table_SourceData_Swine_FeedIntake[[#Headers],[Class]], 0)</calculatedColumnFormula>
    </tableColumn>
    <tableColumn id="2" xr3:uid="{32689823-22A7-4C93-B118-3DB330E3C627}" name="Ij" dataDxfId="262"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2DEBA504-64C9-430D-B1BC-5780D9804980}"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BB386946-F600-43BF-9F0E-F2646CE19EA5}" name="MMSm">
      <calculatedColumnFormula array="1">Common_InputFunctions.Utility_DisplayArrayInTable(SourceData_Swine.SourceData_Swine_FractionNVolatilised_Data(), Table_SourceData_Swine_FracGASM[[#Headers],[MMSm]],0)</calculatedColumnFormula>
    </tableColumn>
    <tableColumn id="2" xr3:uid="{C4E9D6BE-4B9D-4FD3-B77A-D2ED28C91CD3}" name="FracGASMmT">
      <calculatedColumnFormula array="1">Common_InputFunctions.Utility_DisplayArrayInTable(SourceData_Swine.SourceData_Swine_FractionNVolatilised_Data(), Table_SourceData_Swine_FracGASM[[#Headers],[MMSm]],0)</calculatedColumnFormula>
    </tableColumn>
    <tableColumn id="3" xr3:uid="{4586AF62-A40D-4ABF-ABE4-EBE8DA7FECDC}"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E6D62BD2-AE7B-4976-BC0F-515A1BD25849}" name="Table_SourceData_Swine_FracGASM28" displayName="Table_SourceData_Swine_FracGASM28" ref="D111:F117" totalsRowShown="0" dataDxfId="261" dataCellStyle="Content normal">
  <autoFilter ref="D111:F117" xr:uid="{1333872B-E46C-4DC7-8E2D-1F3D704794C8}">
    <filterColumn colId="0" hiddenButton="1"/>
    <filterColumn colId="1" hiddenButton="1"/>
    <filterColumn colId="2" hiddenButton="1"/>
  </autoFilter>
  <tableColumns count="3">
    <tableColumn id="1" xr3:uid="{10D440ED-B770-40EA-BE7C-613C0CFD3C1B}" name="MMSm" dataDxfId="260" dataCellStyle="Content normal">
      <calculatedColumnFormula array="1">Common_InputFunctions.Utility_DisplayArrayInTable(SourceData_Swine.SourceData_Swine_NitrousOxideEFs_Data(), Table_SourceData_Swine_FracGASM28[[#Headers],[MMSm]],0)</calculatedColumnFormula>
    </tableColumn>
    <tableColumn id="2" xr3:uid="{224F0DDC-D578-45E4-9AB5-77B9BF1875FA}" name="EFmT" dataDxfId="259" dataCellStyle="Content normal">
      <calculatedColumnFormula array="1">Common_InputFunctions.Utility_DisplayArrayInTable(SourceData_Swine.SourceData_Swine_NitrousOxideEFs_Data(), Table_SourceData_Swine_FracGASM28[[#Headers],[MMSm]],0)</calculatedColumnFormula>
    </tableColumn>
    <tableColumn id="3" xr3:uid="{44ED7659-A15E-4B11-8D72-AD2A00A3559C}" name="NIR reference" dataDxfId="258"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5CFFA178-5E3B-49D8-8E98-2877174A2D73}" name="Table_SourceData_Swine_CropProdSystems" displayName="Table_SourceData_Swine_CropProdSystems" ref="D8:D10" totalsRowShown="0">
  <autoFilter ref="D8:D10" xr:uid="{1DC3FD95-46BB-428C-8DAB-6CC542C27F2F}">
    <filterColumn colId="0" hiddenButton="1"/>
  </autoFilter>
  <tableColumns count="1">
    <tableColumn id="1" xr3:uid="{FF6DEE6D-7A50-4202-94E0-27C973E92700}" name="Production system">
      <calculatedColumnFormula>#REF!</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0" xr:uid="{DD0259A4-D29E-4333-9C51-50E77944905E}" name="Table_SourceData_Swine_IrrigationMethods" displayName="Table_SourceData_Swine_IrrigationMethods" ref="G8:G13" totalsRowShown="0">
  <autoFilter ref="G8:G13" xr:uid="{AA6B756B-6FF9-48AC-BC54-06A8937EFD12}">
    <filterColumn colId="0" hiddenButton="1"/>
  </autoFilter>
  <tableColumns count="1">
    <tableColumn id="1" xr3:uid="{D5C06089-F01F-4531-9EA4-7A8DE9670289}" name="Irrigation method"/>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1" xr:uid="{7A46405F-C784-4354-ADA8-EB9119F3A103}" name="Table_SourceData_Swine_Liveweight" displayName="Table_SourceData_Swine_Liveweight" ref="D127:E132" totalsRowShown="0">
  <autoFilter ref="D127:E132" xr:uid="{3A254605-4CDB-415A-A190-7F77AFC9D73A}">
    <filterColumn colId="0" hiddenButton="1"/>
    <filterColumn colId="1" hiddenButton="1"/>
  </autoFilter>
  <tableColumns count="2">
    <tableColumn id="1" xr3:uid="{BBCCB0EE-8FC4-40BE-BDF9-D38CBF30F8AE}" name="Livestock type j">
      <calculatedColumnFormula array="1">Common_InputFunctions.Utility_DisplayArrayInTable(SourceData_Swine.SourceData_Swine_AverageLiveweight_Data(),Table_SourceData_Swine_Liveweight[[#Headers],[Livestock type j]],0)</calculatedColumnFormula>
    </tableColumn>
    <tableColumn id="2" xr3:uid="{1D315D7F-DD6B-4E08-820A-D27A7C03AC0B}" name="Average liveweight (kg)" dataDxfId="257"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FE9A60FA-20F7-4F29-A4F5-8BFDE9553BD5}" name="Table_SourceData_Dairy_MMS" displayName="Table_SourceData_Dairy_MMS" ref="D7:E11" totalsRowShown="0">
  <autoFilter ref="D7:E11" xr:uid="{D5C443B2-EDE2-4250-B2EE-016878D19AD9}">
    <filterColumn colId="0" hiddenButton="1"/>
    <filterColumn colId="1" hiddenButton="1"/>
  </autoFilter>
  <tableColumns count="2">
    <tableColumn id="1" xr3:uid="{7C15DBA9-0310-45F0-B09A-1C0C81E2AAF9}" name="MMS"/>
    <tableColumn id="2" xr3:uid="{D702BA51-F4D1-4F99-9303-B59ED75E53D1}" name="Symbol and MMS" dataDxfId="256" dataCellStyle="Content normal"/>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92221D92-FD6E-4A31-AB25-7872C39FBA0E}" name="Table_SourceData_Dairy_CropProdSystems" displayName="Table_SourceData_Dairy_CropProdSystems" ref="G7:G9" totalsRowShown="0">
  <autoFilter ref="G7:G9" xr:uid="{B6F3FE3A-A0B5-47E7-85B2-8426FB75A7C8}">
    <filterColumn colId="0" hiddenButton="1"/>
  </autoFilter>
  <tableColumns count="1">
    <tableColumn id="1" xr3:uid="{A844E4B3-C6EE-4468-9388-B4596499D8B2}" name="Production system">
      <calculatedColumnFormula>#REF!</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E0A25FE8-3895-410F-9678-03518EC3D582}" name="Table_SourceData_Dairy_IrrigationMethods" displayName="Table_SourceData_Dairy_IrrigationMethods" ref="J7:J12" totalsRowShown="0">
  <autoFilter ref="J7:J12" xr:uid="{FE172B77-CEA3-430C-84BC-392A64D0B8FF}">
    <filterColumn colId="0" hiddenButton="1"/>
  </autoFilter>
  <tableColumns count="1">
    <tableColumn id="1" xr3:uid="{DD2B9D93-202B-4B3A-8C67-448DAB77ED0F}" name="Irrigation method"/>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B1593514-DACF-4F58-A62A-9656E1374F61}"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15576170-3C21-480E-B9E6-71A6002ECD7D}" name="Breed">
      <calculatedColumnFormula array="1">Common_InputFunctions.Utility_DisplayArrayInTable(SourceData_Dairy.SourceData_Dairy_LiveweightCowsAndHeifers_Data(), Table_SourceData_Dairy_WjCowsHeifers[[#Headers],[Breed]], 0)</calculatedColumnFormula>
    </tableColumn>
    <tableColumn id="2" xr3:uid="{24662114-2448-4B8B-A657-18FD404A390E}" name="Milking cows" dataDxfId="255" dataCellStyle="Content normal">
      <calculatedColumnFormula array="1">Common_InputFunctions.Utility_DisplayArrayInTable(SourceData_Dairy.SourceData_Dairy_LiveweightCowsAndHeifers_Data(), Table_SourceData_Dairy_WjCowsHeifers[[#Headers],[Breed]], 0)</calculatedColumnFormula>
    </tableColumn>
    <tableColumn id="3" xr3:uid="{7283F3F5-C084-43CC-874D-A66FC26C1EEB}" name="Heifers &gt; 1" dataDxfId="254" dataCellStyle="Content normal">
      <calculatedColumnFormula array="1">Common_InputFunctions.Utility_DisplayArrayInTable(SourceData_Dairy.SourceData_Dairy_LiveweightCowsAndHeifers_Data(), Table_SourceData_Dairy_WjCowsHeifers[[#Headers],[Breed]], 0)</calculatedColumnFormula>
    </tableColumn>
    <tableColumn id="4" xr3:uid="{A75A42CD-B0BA-48F3-98D6-BB8B32515919}" name="Heifers &lt; 1 (weaned)" dataDxfId="253"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064C1BD3-9212-4503-820F-4097A9F67A9E}"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3E4B42F4-6662-4742-9547-B3FB774DB1A6}" name="Breed">
      <calculatedColumnFormula array="1">Common_InputFunctions.Utility_DisplayArrayInTable(SourceData_Dairy.SourceData_Dairy_LiveweightBulls_Data(), Table_SourceData_Dairy_WjBulls[[#Headers],[Breed]], 0)</calculatedColumnFormula>
    </tableColumn>
    <tableColumn id="2" xr3:uid="{0E8C92A6-A4F8-4963-B6E0-74658C14950A}" name="Bulls &gt; 1" dataDxfId="252" dataCellStyle="Content normal">
      <calculatedColumnFormula array="1">Common_InputFunctions.Utility_DisplayArrayInTable(SourceData_Dairy.SourceData_Dairy_LiveweightBulls_Data(), Table_SourceData_Dairy_WjBulls[[#Headers],[Breed]], 0)</calculatedColumnFormula>
    </tableColumn>
    <tableColumn id="3" xr3:uid="{4CF0CF53-1D09-472F-B555-9FB36E66DBC4}" name="Bulls &lt; 1 (weaned)" dataDxfId="251"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4EB03907-0361-42BE-99C8-55227F1F3C7F}"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A291AE2B-EBAA-41A1-BCE0-358C096515AB}" name="Milking cows">
      <calculatedColumnFormula array="1">Common_InputFunctions.Utility_DisplayArrayInTable(SourceData_Dairy.SourceData_Dairy_LiveweightGain_Data(), Table_SourceData_Dairy_LWGj[[#Headers],[Milking cows]], 0)</calculatedColumnFormula>
    </tableColumn>
    <tableColumn id="2" xr3:uid="{28BF2895-A122-45F6-9DCB-AF66737805E2}" name="Heifers &gt; 1" dataDxfId="250" dataCellStyle="Content normal">
      <calculatedColumnFormula array="1">Common_InputFunctions.Utility_DisplayArrayInTable(SourceData_Dairy.SourceData_Dairy_LiveweightGain_Data(), Table_SourceData_Dairy_LWGj[[#Headers],[Milking cows]], 0)</calculatedColumnFormula>
    </tableColumn>
    <tableColumn id="3" xr3:uid="{AC5D3BB9-7F3E-4928-854C-E2A90F0510DD}" name="Heifers &lt; 1 (weaned)" dataDxfId="249" dataCellStyle="Content normal">
      <calculatedColumnFormula array="1">Common_InputFunctions.Utility_DisplayArrayInTable(SourceData_Dairy.SourceData_Dairy_LiveweightGain_Data(), Table_SourceData_Dairy_LWGj[[#Headers],[Milking cows]], 0)</calculatedColumnFormula>
    </tableColumn>
    <tableColumn id="4" xr3:uid="{09101AB5-6857-4EF6-8DEB-0712ABDEEB68}" name="Bulls &gt; 1" dataDxfId="248" dataCellStyle="Content normal">
      <calculatedColumnFormula array="1">Common_InputFunctions.Utility_DisplayArrayInTable(SourceData_Dairy.SourceData_Dairy_LiveweightGain_Data(), Table_SourceData_Dairy_LWGj[[#Headers],[Milking cows]], 0)</calculatedColumnFormula>
    </tableColumn>
    <tableColumn id="5" xr3:uid="{AD4B7FD7-6BB0-4547-8CC7-C5CC2C32D2B5}" name="Bulls &lt; 1 (weaned)" dataDxfId="247"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1002CB0B-AEC5-41E0-A5A4-B4011C2E341C}" name="Table_SourceData_Dairy_WRj" displayName="Table_SourceData_Dairy_WRj" ref="D54:H55" totalsRowShown="0" headerRowDxfId="246"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9B4D5A85-A673-4F11-932F-F3137D2B0FEE}"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2E7F4707-0A82-4746-BE36-3F0844D3FC39}"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0C33BEF-8D81-4235-AA95-87C72A6583D7}"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F58B790B-AACB-49C3-9F07-0137A5D6AC8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7C60F7BD-B4C1-421F-A64A-E0CE0D26533E}"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34E4EAE1-55D4-417C-BCC6-17F83B838299}" name="Table_SourceData_Dairy_DataPreWeaned" displayName="Table_SourceData_Dairy_DataPreWeaned" ref="D62:G64" totalsRowShown="0" dataDxfId="245" dataCellStyle="Content normal">
  <autoFilter ref="D62:G64" xr:uid="{968BB314-DB2C-4CA2-BAA9-E66557777E59}">
    <filterColumn colId="0" hiddenButton="1"/>
    <filterColumn colId="1" hiddenButton="1"/>
    <filterColumn colId="2" hiddenButton="1"/>
    <filterColumn colId="3" hiddenButton="1"/>
  </autoFilter>
  <tableColumns count="4">
    <tableColumn id="1" xr3:uid="{DFD79846-464E-4861-B236-B74E06456979}" name="Animal class j" dataDxfId="244" dataCellStyle="Content normal">
      <calculatedColumnFormula array="1">Common_InputFunctions.Utility_DisplayArrayInTable(SourceData_Dairy.SourceData_Dairy_PreWeanedCalves_Data(), Table_SourceData_Dairy_DataPreWeaned[[#Headers],[Animal class j]], -1)</calculatedColumnFormula>
    </tableColumn>
    <tableColumn id="2" xr3:uid="{18741A51-A3D9-40AE-B0BE-4FD3DA565652}" name="CH4 production" dataDxfId="243" dataCellStyle="Content normal">
      <calculatedColumnFormula array="1">Common_InputFunctions.Utility_DisplayArrayInTable(SourceData_Dairy.SourceData_Dairy_PreWeanedCalves_Data(), Table_SourceData_Dairy_DataPreWeaned[[#Headers],[Animal class j]], -1)</calculatedColumnFormula>
    </tableColumn>
    <tableColumn id="3" xr3:uid="{23C47F9C-0A40-47BA-BF15-A29BAF6E5D15}" name="Volatile solids (VSj=3,5)" dataDxfId="242" dataCellStyle="Content normal">
      <calculatedColumnFormula array="1">Common_InputFunctions.Utility_DisplayArrayInTable(SourceData_Dairy.SourceData_Dairy_PreWeanedCalves_Data(), Table_SourceData_Dairy_DataPreWeaned[[#Headers],[Animal class j]], -1)</calculatedColumnFormula>
    </tableColumn>
    <tableColumn id="4" xr3:uid="{09115326-3AC5-4B2C-849F-8152FED61249}" name="Nitrogen Excreted (NPWj=3,5)" dataDxfId="241"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9BEB0970-1465-4E90-A421-568BAB5347B5}"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68CD74C-0F0E-4248-AD9F-AB9AD6C1E961}" name="MMS m">
      <calculatedColumnFormula array="1">Common_InputFunctions.Utility_DisplayArrayInTable(SourceData_Dairy.SourceData_Dairy_MCF_Data(), Table_SourceData_Dairy_MCFjm[[#Headers],[MMS m]], 0)</calculatedColumnFormula>
    </tableColumn>
    <tableColumn id="2" xr3:uid="{96228F47-5DD4-4524-B0D4-6CFB5AADF373}" name="ACT" dataDxfId="240" dataCellStyle="Content normal">
      <calculatedColumnFormula array="1">Common_InputFunctions.Utility_DisplayArrayInTable(SourceData_Dairy.SourceData_Dairy_MCF_Data(), Table_SourceData_Dairy_MCFjm[[#Headers],[MMS m]], 0)</calculatedColumnFormula>
    </tableColumn>
    <tableColumn id="3" xr3:uid="{5CEBDDD6-0E27-424E-A608-31A57A55940E}" name="NSW" dataDxfId="239" dataCellStyle="Content normal">
      <calculatedColumnFormula array="1">Common_InputFunctions.Utility_DisplayArrayInTable(SourceData_Dairy.SourceData_Dairy_MCF_Data(), Table_SourceData_Dairy_MCFjm[[#Headers],[MMS m]], 0)</calculatedColumnFormula>
    </tableColumn>
    <tableColumn id="4" xr3:uid="{3815B4EB-4F8A-40A4-81C0-2D674BD09ACC}" name="NT" dataDxfId="238" dataCellStyle="Content normal">
      <calculatedColumnFormula array="1">Common_InputFunctions.Utility_DisplayArrayInTable(SourceData_Dairy.SourceData_Dairy_MCF_Data(), Table_SourceData_Dairy_MCFjm[[#Headers],[MMS m]], 0)</calculatedColumnFormula>
    </tableColumn>
    <tableColumn id="5" xr3:uid="{5A726C64-AB32-4FE9-83CB-F26259DC698E}" name="QLD" dataDxfId="237" dataCellStyle="Content normal">
      <calculatedColumnFormula array="1">Common_InputFunctions.Utility_DisplayArrayInTable(SourceData_Dairy.SourceData_Dairy_MCF_Data(), Table_SourceData_Dairy_MCFjm[[#Headers],[MMS m]], 0)</calculatedColumnFormula>
    </tableColumn>
    <tableColumn id="6" xr3:uid="{1C562F29-07BB-4108-9FCC-06D827F69758}" name="SA" dataDxfId="236" dataCellStyle="Content normal">
      <calculatedColumnFormula array="1">Common_InputFunctions.Utility_DisplayArrayInTable(SourceData_Dairy.SourceData_Dairy_MCF_Data(), Table_SourceData_Dairy_MCFjm[[#Headers],[MMS m]], 0)</calculatedColumnFormula>
    </tableColumn>
    <tableColumn id="7" xr3:uid="{6530AE6D-9F8F-4D77-956A-52690CE06E0D}" name="TAS" dataDxfId="235" dataCellStyle="Content normal">
      <calculatedColumnFormula array="1">Common_InputFunctions.Utility_DisplayArrayInTable(SourceData_Dairy.SourceData_Dairy_MCF_Data(), Table_SourceData_Dairy_MCFjm[[#Headers],[MMS m]], 0)</calculatedColumnFormula>
    </tableColumn>
    <tableColumn id="8" xr3:uid="{302E744F-9EC4-46B4-91C9-5AA4C2DAF16F}" name="VIC" dataDxfId="234" dataCellStyle="Content normal">
      <calculatedColumnFormula array="1">Common_InputFunctions.Utility_DisplayArrayInTable(SourceData_Dairy.SourceData_Dairy_MCF_Data(), Table_SourceData_Dairy_MCFjm[[#Headers],[MMS m]], 0)</calculatedColumnFormula>
    </tableColumn>
    <tableColumn id="9" xr3:uid="{6C657F90-12F4-444C-AA5E-94D581B28B0F}" name="WA" dataDxfId="233" dataCellStyle="Content normal">
      <calculatedColumnFormula array="1">Common_InputFunctions.Utility_DisplayArrayInTable(SourceData_Dairy.SourceData_Dairy_MCF_Data(), Table_SourceData_Dairy_MCFjm[[#Headers],[MMS m]], 0)</calculatedColumnFormula>
    </tableColumn>
    <tableColumn id="10" xr3:uid="{7512E1C0-7C42-430C-8D39-2265E9ECF864}" name="NIR reference" dataDxfId="232"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90FCDD50-E9E7-4EEF-B7E0-929A824F74E7}"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4805FC7E-7B8E-4B86-AE54-CD80C41DC6DA}" name="MMS m">
      <calculatedColumnFormula array="1">Common_InputFunctions.Utility_DisplayArrayInTable(SourceData_Dairy.SourceData_Dairy_NitrousOxideEFsAndFracGASM_Data(), Table_SourceData_Dairy_EFmFracGASM[[#Headers],[MMS m]], 0)</calculatedColumnFormula>
    </tableColumn>
    <tableColumn id="2" xr3:uid="{53DAD6C3-CF22-4DBA-9500-AADFE5E617B1}" name="EFm" dataDxfId="231" dataCellStyle="Content normal">
      <calculatedColumnFormula array="1">Common_InputFunctions.Utility_DisplayArrayInTable(SourceData_Dairy.SourceData_Dairy_NitrousOxideEFsAndFracGASM_Data(), Table_SourceData_Dairy_EFmFracGASM[[#Headers],[MMS m]], 0)</calculatedColumnFormula>
    </tableColumn>
    <tableColumn id="3" xr3:uid="{A2397207-4AD3-482B-9B8E-E4BF66F6A4C3}" name="FracGASMm" dataDxfId="230" dataCellStyle="Content normal">
      <calculatedColumnFormula array="1">Common_InputFunctions.Utility_DisplayArrayInTable(SourceData_Dairy.SourceData_Dairy_NitrousOxideEFsAndFracGASM_Data(), Table_SourceData_Dairy_EFmFracGASM[[#Headers],[MMS m]], 0)</calculatedColumnFormula>
    </tableColumn>
    <tableColumn id="4" xr3:uid="{D4F0C9D4-CFD9-4804-94BB-35D9C41683E5}" name="NIR reference" dataDxfId="229"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EC7041A5-830F-4871-B10D-5F64F6B12B8A}"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7B18E471-9E3F-4EAE-BE1C-AEC8171CAAD6}"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EB65CB6D-D670-4EF1-B975-9AD687CC6EC1}" name="MPW ENTERIC" dataDxfId="228"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03EC1A26-0A74-44BC-BBC0-376BA9A38EF8}"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3C39A7F9-3E3F-440D-B4AC-5084DAA803A1}" name="Animal class j">
      <calculatedColumnFormula array="1">Common_InputFunctions.Utility_DisplayArrayInTable(SourceData_Dairy.SourceData_Dairy_IncreasedMetabolicRateMilk_Data(), Table_SourceData_Dairy_MRj[[#Headers],[Animal class j]], 0)</calculatedColumnFormula>
    </tableColumn>
    <tableColumn id="2" xr3:uid="{9BD93B67-9F81-4C9D-9F7A-7EAA3717249F}" name="MRj" dataDxfId="227"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854E6173-3A4A-4C98-9C80-E2312233D53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294434DB-D006-4B3F-B3CE-51545F74D4DF}" name="Area">
      <calculatedColumnFormula array="1">Common_InputFunctions.Utility_DisplayArrayInTable(SourceData_Dairy.SourceData_Dairy_FractionVolatileSolidsVoidedMMS_Data(), Table_SourceData_Dairy_ProductionSystemTemplates[[#Headers],[Area]], 0)</calculatedColumnFormula>
    </tableColumn>
    <tableColumn id="2" xr3:uid="{7FAC22CB-1395-4F1C-9F7F-4897F9C94F64}" name="Pasture" dataDxfId="22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8BA37F2D-E5C2-4243-9965-36704411A24E}" name="Milking shed" dataDxfId="22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8BFD5335-CD38-4D13-AC98-11167D269CAA}" name="Feedpad" dataDxfId="22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1EB402D5-B229-4C6B-AC32-4D05AC979C5B}"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ED32A5B3-391D-497C-926F-7B1D226A7B67}" name="MMS m">
      <calculatedColumnFormula array="1">Common_InputFunctions.Utility_DisplayArrayInTable(SourceData_Dairy.SourceData_Dairy_EFNitrousOxidePerMMS_Data(), Table_SourceData_Dairy_EFm[[#Headers],[MMS m]], 0)</calculatedColumnFormula>
    </tableColumn>
    <tableColumn id="2" xr3:uid="{2BF3C8AF-A714-4EC8-907E-059817D6B590}" name="EFm" dataDxfId="223" dataCellStyle="Content normal">
      <calculatedColumnFormula array="1">Common_InputFunctions.Utility_DisplayArrayInTable(SourceData_Dairy.SourceData_Dairy_EFNitrousOxidePerMMS_Data(), Table_SourceData_Dairy_EFm[[#Headers],[MMS m]], 0)</calculatedColumnFormula>
    </tableColumn>
    <tableColumn id="3" xr3:uid="{BDA19480-C84D-4609-918C-D5F4562392DB}" name="NIR reference" dataDxfId="222"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56F40261-A806-4D84-90D8-5C496FFC07A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75B66023-652B-401A-BD69-A3CE2B37FA67}" name="Animal class j">
      <calculatedColumnFormula array="1">Common_InputFunctions.Utility_DisplayArrayInTable(SourceData_Dairy.SourceData_Dairy_DurationOfStay_Data(), Table_SourceData_Dairy_Duration[[#Headers],[Animal class j]], 0)</calculatedColumnFormula>
    </tableColumn>
    <tableColumn id="2" xr3:uid="{1F776FFB-8CCC-4E5B-AFC1-BE5880DB19D7}" name="Duration (weaned)" dataDxfId="221" dataCellStyle="Content normal">
      <calculatedColumnFormula array="1">Common_InputFunctions.Utility_DisplayArrayInTable(SourceData_Dairy.SourceData_Dairy_DurationOfStay_Data(), Table_SourceData_Dairy_Duration[[#Headers],[Animal class j]], 0)</calculatedColumnFormula>
    </tableColumn>
    <tableColumn id="3" xr3:uid="{0235DCDE-4D67-48AD-95A1-1D47C2A387ED}" name="Duration (pre-weaned)" dataDxfId="220"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C2CC4E84-7F57-4471-AE1A-9E187C8F7240}" name="Table_LivestockClasses_Dairy" displayName="Table_LivestockClasses_Dairy" ref="L7:L12" totalsRowShown="0">
  <autoFilter ref="L7:L12" xr:uid="{F006A23F-3930-4C16-9B92-37DD408BCC17}">
    <filterColumn colId="0" hiddenButton="1"/>
  </autoFilter>
  <tableColumns count="1">
    <tableColumn id="1" xr3:uid="{B89057A7-AD80-4888-A5F9-C41D2DFE219E}" name="Livestock class"/>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6550B64D-7D69-4E26-B1D5-A269A7EC9871}" name="Table_SourceData_PastureBeef_CropProdSystems" displayName="Table_SourceData_PastureBeef_CropProdSystems" ref="D7:D9" totalsRowShown="0">
  <autoFilter ref="D7:D9" xr:uid="{B6F3FE3A-A0B5-47E7-85B2-8426FB75A7C8}">
    <filterColumn colId="0" hiddenButton="1"/>
  </autoFilter>
  <tableColumns count="1">
    <tableColumn id="1" xr3:uid="{6A2C6321-9616-4EE6-8C92-98CEB47E1381}" name="Production system">
      <calculatedColumnFormula>#REF!</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8EFF777F-4432-465B-B87F-3E263DBE988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53EC3B39-7E3C-4AE9-BA0C-F39394DB2D48}" name="Irrigation method"/>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78CDDEB2-B39F-478F-BF23-94A3AC33B8EE}"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33E44C09-F621-42D2-9B0F-C594227C923F}" name="State">
      <calculatedColumnFormula array="1">Common_InputFunctions.Utility_DisplayArrayInTable(SourceData_PastureBeef.SourceData_PastureBeef_Liveweight_Data(), Table_SourceData_PastureBeef_Liveweight[[#Headers],[State]], 0)</calculatedColumnFormula>
    </tableColumn>
    <tableColumn id="2" xr3:uid="{6ED196C3-5990-4CBB-81BD-89D02C29DFF6}" name="Region" dataDxfId="21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DEEF7183-D328-4B44-9250-AFB376CAF658}" name="Season" dataDxfId="21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3D8C5FF9-9E32-437B-9923-2ECD04C947D3}" name="Bull &lt; 1" dataDxfId="21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0337F679-3FC3-4444-BBD1-47185FFD4384}" name="Bull &gt; 1" dataDxfId="21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7085C604-AB4E-4313-888C-138EEF47A7CA}" name="Cow &lt; 1" dataDxfId="21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86DBED22-811E-4F31-894C-110856D1484E}" name="Cow 1-2" dataDxfId="21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0F789192-B431-41D1-8C26-295A08D33AFF}" name="Cow &gt; 2" dataDxfId="21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65BC9164-8348-42BA-B4B5-222433FB1003}" name="Steer &lt; 1" dataDxfId="21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A0E89E34-576E-424B-AA91-6C53D5EF9478}" name="Steer &gt; 1" dataDxfId="21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3A68E067-6600-435B-93C4-4E398262A06B}"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1F1981A-90E4-4A83-B9B5-D35FA424DF1F}" name="State">
      <calculatedColumnFormula array="1">Common_InputFunctions.Utility_DisplayArrayInTable(SourceData_PastureBeef.SourceData_PastureBeef_LiveweightNTQLD_Data(),Table_SourceData_PastureBeef_LiveweightNTQD[[#Headers],[State]], 0)</calculatedColumnFormula>
    </tableColumn>
    <tableColumn id="2" xr3:uid="{33D37552-3056-422F-9888-42021009B049}" name="Region" dataDxfId="2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FE79234-B022-48AF-8316-796053E06CE8}" name="Season" dataDxfId="2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BD8475E4-5772-4EC3-947A-802BB6A70754}" name="Bull &lt;1" dataDxfId="2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4A5E16E-1108-483D-A177-42A184F3B8F8}" name="Bull &gt;1" dataDxfId="2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B2EC424E-5209-4F18-853E-6CF49A3A2AE2}" name="Cows &lt;1" dataDxfId="2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6611F33D-47AC-41C7-A1C3-EF9DDC98D3A1}" name="Cows 1-2" dataDxfId="2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44725A82-A7EC-4A90-99C1-9964746DEFFB}" name="Cows 2-3" dataDxfId="20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D47F27E4-2EFC-45FD-82E3-C36B44E2758F}" name="Cows &gt;3" dataDxfId="20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6C5659-F88F-4E69-B986-981C4AA78055}" name="Steer &lt;1" dataDxfId="20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D7E047BF-DC5D-4779-AD26-F910A2652CB3}" name="Steer 1-2" dataDxfId="20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877B3E2-A5B2-47B9-A355-73DCE93608FD}" name="Steer 2-3" dataDxfId="20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F7E82DE9-C359-4F74-B39E-D81BCD5AF1F6}" name="Steer &gt;3" dataDxfId="19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68007C1C-513F-4FD9-8D07-1487F4979E59}"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D989ADE-4FC9-4E65-A305-A9413EBDC9A4}" name="State"/>
    <tableColumn id="2" xr3:uid="{767853F5-FE67-4B65-9C8E-ED9E21CAA946}" name="Region">
      <calculatedColumnFormula>E22</calculatedColumnFormula>
    </tableColumn>
    <tableColumn id="3" xr3:uid="{57995842-579B-4CA9-A5B1-F4171464AF4A}" name="Season">
      <calculatedColumnFormula>F22</calculatedColumnFormula>
    </tableColumn>
    <tableColumn id="4" xr3:uid="{A34C9F51-3A97-4208-A1C3-495E3AC0739B}" name="Bulls &lt; 1 year">
      <calculatedColumnFormula>G22</calculatedColumnFormula>
    </tableColumn>
    <tableColumn id="5" xr3:uid="{CDACF364-9F4C-4549-9115-55B2D5BB6FE2}" name="Bulls &gt; 1 year">
      <calculatedColumnFormula>H22</calculatedColumnFormula>
    </tableColumn>
    <tableColumn id="6" xr3:uid="{DDF1F7F1-3348-4082-8ECC-F654B35BB01C}" name="Cows &lt; 1 year">
      <calculatedColumnFormula>I22</calculatedColumnFormula>
    </tableColumn>
    <tableColumn id="7" xr3:uid="{C5A1D1A0-AC28-4F93-AC7F-C19CB64D1C1A}" name="Cows 1-2 years">
      <calculatedColumnFormula>J22</calculatedColumnFormula>
    </tableColumn>
    <tableColumn id="8" xr3:uid="{E203A6D5-897F-40BF-8166-E1469C1ED2CC}" name="Cows 2-3 years">
      <calculatedColumnFormula>K22</calculatedColumnFormula>
    </tableColumn>
    <tableColumn id="9" xr3:uid="{530AAE48-B7FF-4971-867A-4396D29E9C1A}" name="Cows &gt; 3 years">
      <calculatedColumnFormula>L22</calculatedColumnFormula>
    </tableColumn>
    <tableColumn id="10" xr3:uid="{ACF3BD7D-6467-4A93-B25C-84F65A4E2795}" name="Steers &lt; 1 year">
      <calculatedColumnFormula>M22</calculatedColumnFormula>
    </tableColumn>
    <tableColumn id="11" xr3:uid="{3828C85C-BC49-475A-8C8D-0F9DF63C3F72}" name="Steers 1-2 years">
      <calculatedColumnFormula>N22</calculatedColumnFormula>
    </tableColumn>
    <tableColumn id="12" xr3:uid="{9B864084-979A-4627-80A5-349EECC3C429}" name="Steers 2-3 years">
      <calculatedColumnFormula>#REF!</calculatedColumnFormula>
    </tableColumn>
    <tableColumn id="13" xr3:uid="{F605152E-2B3B-4995-8976-347CFBBF4995}" name="Steers &gt;3 years">
      <calculatedColumnFormula>P22</calculatedColumnFormula>
    </tableColum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59D74987-9B9F-4DCD-983D-36AE1E6525FD}"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BE9ED957-E451-4331-B7BD-B88412051D7C}"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B85F3521-F718-443C-B7A5-43FBF1EACCDB}"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A6F44690-D6D3-48C1-B005-40EA9ED2A3A0}"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FFE80D10-597E-4B46-B74F-14446E8453B6}"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65B3F20B-52EA-4344-B696-DEFE2A8011E8}"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79DFC79E-238D-4E07-9BBB-397242BB95EE}" name="Table_SourceData_PastureBeef_Region_Victoria" displayName="Table_SourceData_PastureBeef_Region_Victoria" ref="S7:S8" totalsRowShown="0">
  <autoFilter ref="S7:S8" xr:uid="{7D474D93-C1E0-4898-A434-69585070D0B9}">
    <filterColumn colId="0" hiddenButton="1"/>
  </autoFilter>
  <tableColumns count="1">
    <tableColumn id="1" xr3:uid="{B5D804A1-DCB2-43F0-BED8-BFCEA9F124AA}"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4B74F49B-1AD0-4B8C-A949-2BDA4D096C84}"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697E6C4C-B41A-4E60-9B5F-20B52922C855}" name="Regio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C4F3B274-9973-4E9C-A8F0-2C3B49773208}"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04269970-3CE4-4D43-A42A-01FDD23A637C}" name="Regio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64CB487E-E5DC-431A-8A30-1F584CBB960E}" name="Table_SourceData_PastureBeef_Region_Tasmania" displayName="Table_SourceData_PastureBeef_Region_Tasmania" ref="S22:S23" totalsRowShown="0">
  <autoFilter ref="S22:S23" xr:uid="{4E5A7E40-F6AE-4323-873A-9AB20571A18A}">
    <filterColumn colId="0" hiddenButton="1"/>
  </autoFilter>
  <tableColumns count="1">
    <tableColumn id="1" xr3:uid="{C52812B8-A118-42CB-8192-93E705696C1E}" name="Regio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2E18BB6B-E36F-4866-A754-9E32D3E22DDF}" name="Table_SourceData_PastureBeef_Region_ACT" displayName="Table_SourceData_PastureBeef_Region_ACT" ref="S27:S28" totalsRowShown="0">
  <autoFilter ref="S27:S28" xr:uid="{3655B7FD-A2CC-4B05-9668-16F7A54ED6C1}">
    <filterColumn colId="0" hiddenButton="1"/>
  </autoFilter>
  <tableColumns count="1">
    <tableColumn id="1" xr3:uid="{4EB14B60-7926-4646-A51D-9842689578EA}" name="Regio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EF7CE3AE-9959-493D-B03E-857E1639E5EA}"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9F1166D-249C-4885-B603-DDCDCB21D874}" name="State">
      <calculatedColumnFormula array="1">Common_InputFunctions.Utility_DisplayArrayInTable(SourceData_PastureBeef.SourceData_PastureBeef_LiveweightGain_Data(), Table_SourceData_PastureBeef_LiveweightGain[[#Headers],[State]],0)</calculatedColumnFormula>
    </tableColumn>
    <tableColumn id="2" xr3:uid="{ECC91AE6-F8CE-4EEF-8EEB-294A76F24F5F}" name="Region" dataDxfId="1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6DD39986-778F-4E86-955A-3C8374AA0514}" name="Season" dataDxfId="1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4F347442-A1E7-4744-97EB-10F7C4B4F86F}" name="Bull &lt;1" dataDxfId="1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B0119570-CD78-49E6-9EE0-AF694D917823}" name="Bull &gt;1" dataDxfId="19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2866D803-58FF-4170-B4E0-0DB2E826F25E}" name="Cow &lt;1" dataDxfId="19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B4F30035-91A1-466F-BBF4-C418E507F9E8}" name="Cow 1-2" dataDxfId="19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A287151A-2C6E-42E9-BFCA-B11549E284EB}" name="Cow &gt;2" dataDxfId="19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34636F40-B3A9-4A58-A4E6-F6706F15121E}" name="Steer &lt;1" dataDxfId="19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3AE150B-C60D-48A5-AED2-FE5E2DD160E4}" name="Steer &gt;1" dataDxfId="19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80217512-BB1D-4E5A-9B34-55AC3E10AEAE}"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DF6B979-A807-49E0-A8DE-99AC07B69712}" name="State">
      <calculatedColumnFormula array="1">Common_InputFunctions.Utility_DisplayArrayInTable(SourceData_PastureBeef.SourceData_PastureBeef_LiveweightGainNTQLD_Data(),Table_SourceData_PastureBeef_LiveweightGainNTQLD[[#Headers],[State]],0)</calculatedColumnFormula>
    </tableColumn>
    <tableColumn id="2" xr3:uid="{F7FAF97B-1085-4AEE-98D8-668A09F583BD}" name="Region" dataDxfId="1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86FD15F-8751-40C5-AE8C-9B1EAD2E4DBE}" name="Season" dataDxfId="1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22AECBD2-3477-46F3-9DB4-7A768F8944E1}" name="Bull &lt;1" dataDxfId="1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F7E00793-89EC-48AE-907D-5BE7A047905B}" name="Bull &gt;1" dataDxfId="1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CA0A19C3-A082-4C43-80C9-C54820D3101F}" name="Cow &lt;1" dataDxfId="1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7971BDB7-BED3-4336-AB43-F2CFD002BE4C}" name="Cow 1-2" dataDxfId="1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0F95BD80-1B99-4749-9794-A70A0049F72D}" name="Cow 2-3" dataDxfId="1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F76B3433-97E9-461A-9574-B14F4D0DF7BD}" name="Cow &gt;3" dataDxfId="18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B126EFCD-EDED-4C4A-A465-A27ABE42CDC1}" name="Steer &lt;1" dataDxfId="18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E7829469-8A3D-47B4-9BBF-E8EC60B29003}" name="Steer 1-2" dataDxfId="18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D4B864A5-9B01-4B4F-803E-B80C312DEDDF}" name="Steer 2-3" dataDxfId="17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E0882C2F-3C11-4947-93B5-4F7BFD6E4976}" name="Steer &gt;3" dataDxfId="17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A185F41F-4FFA-4950-A0DF-BCD14F05229B}"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86F1D3D-BB78-4328-A509-6FA4C0F7A031}" name="State"/>
    <tableColumn id="2" xr3:uid="{AD46B9F9-F7F6-43E0-B42B-72B3F4C3F046}" name="Region">
      <calculatedColumnFormula>E159</calculatedColumnFormula>
    </tableColumn>
    <tableColumn id="3" xr3:uid="{B89FEFFB-FE05-4C83-B5BA-6A28E07C59BF}" name="Season">
      <calculatedColumnFormula>F159</calculatedColumnFormula>
    </tableColumn>
    <tableColumn id="4" xr3:uid="{8B22A71D-88D4-4301-9F63-935653845F33}" name="Bulls &lt; 1 year">
      <calculatedColumnFormula>G159</calculatedColumnFormula>
    </tableColumn>
    <tableColumn id="5" xr3:uid="{462D8BA1-7365-40A4-BB47-E18AA27B7685}" name="Bulls &gt; 1 year">
      <calculatedColumnFormula>H159</calculatedColumnFormula>
    </tableColumn>
    <tableColumn id="6" xr3:uid="{0EF65627-0D80-4918-87DE-B4217EFAAF1A}" name="Cows &lt; 1 year">
      <calculatedColumnFormula>I159</calculatedColumnFormula>
    </tableColumn>
    <tableColumn id="7" xr3:uid="{7E44D578-9BD2-4FA1-86B7-E75B84293ABD}" name="Cows 1-2 years">
      <calculatedColumnFormula>J159</calculatedColumnFormula>
    </tableColumn>
    <tableColumn id="8" xr3:uid="{AECDC9B0-B010-42DD-B651-F1A3029EC5EB}" name="Cows 2-3 years">
      <calculatedColumnFormula>K159</calculatedColumnFormula>
    </tableColumn>
    <tableColumn id="9" xr3:uid="{24AD613C-68F4-4E10-B148-FD24E35B544C}" name="Cows &gt; 3 years">
      <calculatedColumnFormula>L159</calculatedColumnFormula>
    </tableColumn>
    <tableColumn id="10" xr3:uid="{60A250F2-0750-4F60-B5C7-76C8F059EF4A}" name="Steers &lt; 1 year">
      <calculatedColumnFormula>M159</calculatedColumnFormula>
    </tableColumn>
    <tableColumn id="11" xr3:uid="{BA41D741-4CA2-4062-9D23-115D6A6D7C84}" name="Steers 1-2 years">
      <calculatedColumnFormula>N159</calculatedColumnFormula>
    </tableColumn>
    <tableColumn id="12" xr3:uid="{FB521FD8-EBEC-4BB5-9EE0-AD019AFBF054}" name="Steers 2-3 years">
      <calculatedColumnFormula>O159</calculatedColumnFormula>
    </tableColumn>
    <tableColumn id="13" xr3:uid="{C9FB89BE-1518-4495-9F59-F66E3ABFA4A5}" name="Steers &gt;3 years">
      <calculatedColumnFormula>P159</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848F29FD-0B6D-4ED3-8590-C82F868E4800}"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4A776DB3-F7C5-49D4-AB0C-4D6BBF0B03C9}"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A4CF3EC2-820C-4E31-8F3F-AE3E3426CB16}" name="Region" dataDxfId="17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052405E1-0CF8-4209-A068-1197D179215C}" name="Spring" dataDxfId="17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5946B796-FFDB-4473-840D-7894FB1A359E}" name="Summer" dataDxfId="17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92B916AA-D3FA-4563-9A55-145800F1B48A}" name="Autumn" dataDxfId="17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4C3048CB-B98F-49E7-B592-EE40B7BAAB54}" name="Winter" dataDxfId="17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88590739-8F1A-41D0-A3F0-A74271D1A1AF}" name="Table_SourceData_PastureBeef_CrudeProtein" displayName="Table_SourceData_PastureBeef_CrudeProtein" ref="D313:I328" totalsRowShown="0" dataDxfId="17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B2082BE-AD8B-429F-894C-969B8105CCC6}" name="State" dataDxfId="1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EA3729DE-46D6-46FC-85A2-3649167D01B2}" name="Region" dataDxfId="17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0AA29A73-BB85-47F4-B365-1EA210D54CD0}" name="Spring" dataDxfId="16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3584A7D9-668B-4CFD-8183-57FADF834FEA}" name="Summer" dataDxfId="16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EDEFF150-E670-4EB2-A6CB-0E5607454801}" name="Autumn" dataDxfId="16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BCCF0B6C-0CA0-4547-9625-03582636D77A}" name="Winter" dataDxfId="16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8C3D62C8-666F-4ABB-98C4-D24AE68BE70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F97DBA-3BFE-4748-9634-3394E70C1FE5}"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CEB1570E-3252-4F59-A894-4B6A053751E6}" name="Season" dataDxfId="16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38E0EC87-FF4E-4213-BB1B-C896D357F69E}" name="Feed adjustment" dataDxfId="16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FCF5CC64-31C8-4D58-998B-DE24E8807ED9}" name="Milk intake/production" dataDxfId="16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833AF7D9-63D6-4E00-A3AD-C0A0E80AAF91}"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5020FFE-7B6D-4C49-9940-2A8705711B0B}"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081779B4-8DFC-4248-9C94-4E7274F651B2}" name="Bulls &lt;1" dataDxfId="1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610433E-666E-41C3-94C0-3582A82ABAB4}" name="Bulls &gt;1" dataDxfId="1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8A1DF03-B2ED-4105-ACF8-4A97C8FC6672}" name="Cows &lt;1" dataDxfId="1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AA6E50E0-9F6F-4EB6-8495-57E2BBC2335A}" name="Cows 1-2" dataDxfId="15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E1E6048E-F4D8-483F-9242-CEB53DC15ABF}" name="Cows &gt;2" dataDxfId="15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A66A2184-A725-4FC6-A2BF-CA5678D28378}" name="Steer &lt;1" dataDxfId="15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9D3692C-EA98-482D-8FC8-BE8D5F67AD07}" name="Steer &gt;1" dataDxfId="15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752B674A-E476-425F-B636-107D05517A28}" name="State abbreviation" dataDxfId="15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51A0250E-BD8D-4289-933C-C58F36F250F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FA2DF789-E56D-4914-BB6B-D3443C184EBE}" name="State" dataDxfId="154" dataCellStyle="Content normal">
      <calculatedColumnFormula>D351</calculatedColumnFormula>
    </tableColumn>
    <tableColumn id="2" xr3:uid="{1A8AB25A-188C-4BD6-A6C9-EC86F487DAF5}" name="Bulls &lt; 1 year" dataDxfId="153" dataCellStyle="Content normal">
      <calculatedColumnFormula>E351</calculatedColumnFormula>
    </tableColumn>
    <tableColumn id="3" xr3:uid="{34B859F1-B366-493C-9EB3-2525C39126E0}" name="Bulls &gt; 1 year" dataDxfId="152" dataCellStyle="Content normal">
      <calculatedColumnFormula>F351</calculatedColumnFormula>
    </tableColumn>
    <tableColumn id="4" xr3:uid="{C7BF9A80-5FDB-409F-9309-2CE0F2F47632}" name="Cows &lt; 1 year" dataDxfId="151" dataCellStyle="Content normal">
      <calculatedColumnFormula>G351</calculatedColumnFormula>
    </tableColumn>
    <tableColumn id="5" xr3:uid="{554ADA5F-88AC-42AB-8997-7BE7A7C4DE70}" name="Cows 1-2 years" dataDxfId="150" dataCellStyle="Content normal">
      <calculatedColumnFormula>H351</calculatedColumnFormula>
    </tableColumn>
    <tableColumn id="6" xr3:uid="{30C448B1-0615-4919-92FC-C35879BF1CB6}" name="Cows 2-3 years" dataDxfId="149" dataCellStyle="Content normal">
      <calculatedColumnFormula>I351</calculatedColumnFormula>
    </tableColumn>
    <tableColumn id="7" xr3:uid="{4F6E3013-AF43-4786-8872-5AB29158A269}" name="Cows &gt; 3 years" dataDxfId="148" dataCellStyle="Content normal">
      <calculatedColumnFormula>I351</calculatedColumnFormula>
    </tableColumn>
    <tableColumn id="8" xr3:uid="{A9F5CD22-515B-4247-8DBB-DB1D03B3368B}" name="Steers &lt; 1 year" dataDxfId="147" dataCellStyle="Content normal">
      <calculatedColumnFormula>J351</calculatedColumnFormula>
    </tableColumn>
    <tableColumn id="9" xr3:uid="{4EF21752-FC9E-4A07-BA97-F2BBCD0F8BD4}" name="Steers 1-2 years" dataDxfId="146" dataCellStyle="Content normal">
      <calculatedColumnFormula>K351</calculatedColumnFormula>
    </tableColumn>
    <tableColumn id="10" xr3:uid="{3B84C879-B7FA-4DAF-8D8F-F335DE2773EC}" name="Steers 2-3 years" dataDxfId="145" dataCellStyle="Content normal">
      <calculatedColumnFormula>K351</calculatedColumnFormula>
    </tableColumn>
    <tableColumn id="11" xr3:uid="{4636E3FE-A30C-492C-B071-F92BBBD58731}" name="Steers &gt;3 years" dataDxfId="144" dataCellStyle="Content normal">
      <calculatedColumnFormula>K351</calculatedColumnFormula>
    </tableColumn>
    <tableColumn id="12" xr3:uid="{FA051C6F-A99E-44D4-B088-E79CD9F28AF8}" name="State abbreviation" dataDxfId="143" dataCellStyle="Content normal">
      <calculatedColumnFormula>L351</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D40EBBD8-F8F4-418F-BF49-44EB6CCCEAE5}"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706FD62-C8FC-4F5F-9872-320EEF098192}"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A1BC0F87-9975-4DE7-8FBA-405B65296DD0}" name="Region" dataDxfId="14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CB57FF3-A998-4DCF-A2D5-8134EC4C078C}" name="Pasture range and paddock" dataDxfId="14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D251E371-CC40-4E75-AD12-BACFB52E915E}" name="Uncovered Anaerobic lagoon" dataDxfId="14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FA01422B-E731-4164-AEEA-43B627E09E28}" name="Table_SourceData_PastureBeef_MethaneConversionFactor" displayName="Table_SourceData_PastureBeef_MethaneConversionFactor" ref="D400:G415" totalsRowShown="0" dataDxfId="13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E132CB97-C86F-4454-BF3A-D6C3374C69A4}" name="State" dataDxfId="13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CBFBA426-B4BB-44F6-9F3A-32B575D2FDDF}" name="Region" dataDxfId="13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E65A754-8FD3-4483-8834-3CAD078252C7}" name="Pasture range and paddock" dataDxfId="13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E532CA12-EC85-49B7-8031-E6FA91F48964}" name="Uncovered Anaerobic lagoon" dataDxfId="13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63F89B0B-AF5D-4912-8EEC-E5287446F7A2}"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5F87D815-5870-4A54-BE0E-654530DC7E5D}"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6903EFDD-99A1-490B-861F-F5A1D5DEC488}" name="Season" dataDxfId="13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F1169716-7C1D-467F-BA21-3F5A810CF664}" name="Feed adjustment" dataDxfId="13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89DAC778-FBC1-4BCE-AFBC-8878B63D11ED}" name="Milk intake/production" dataDxfId="13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EF4AF2C3-1FB7-4F26-BE34-34234E06AB88}" name="Table_LivestockClasses_Beefcattle" displayName="Table_LivestockClasses_Beefcattle" ref="O18:O28" totalsRowShown="0">
  <autoFilter ref="O18:O28" xr:uid="{13BB371D-1A6A-420B-8F76-A006E7FBF483}">
    <filterColumn colId="0" hiddenButton="1"/>
  </autoFilter>
  <tableColumns count="1">
    <tableColumn id="1" xr3:uid="{93488F86-139F-4FA5-B9E4-C63D1A37E64A}" name="Livestock class"/>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90EFF3B0-1415-4408-8820-A1CF811D38A9}" name="Table_ProductRegions_Beefcattle176" displayName="Table_ProductRegions_Beefcattle176" ref="O32:P48" totalsRowShown="0">
  <autoFilter ref="O32:P48" xr:uid="{7E277F33-A0AF-471E-A609-92C95103FA9F}">
    <filterColumn colId="0" hiddenButton="1"/>
    <filterColumn colId="1" hiddenButton="1"/>
  </autoFilter>
  <tableColumns count="2">
    <tableColumn id="1" xr3:uid="{3AE78E6E-5F52-4654-AF11-0D3EF6A7E1DD}" name="Region"/>
    <tableColumn id="2" xr3:uid="{7C9A7172-438C-4561-9B4D-6E7514ECAAC6}" name="Scope3 regio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8F2B7280-E433-4405-86D1-7529CBA2843E}" name="Table_SourceData_Scope3_Animals192" displayName="Table_SourceData_Scope3_Animals192"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5BA1E8BE-B4EC-4A12-966E-408AC399D5BD}" name="Category" dataDxfId="131" dataCellStyle="Content normal">
      <calculatedColumnFormula array="1">Common_InputFunctions.Utility_DisplayArrayInTable(Scope3_SourceData.Scope3_Livestock_Data(), Table_SourceData_Scope3_Animals192[[#Headers],[Category]], 0, 2)</calculatedColumnFormula>
    </tableColumn>
    <tableColumn id="2" xr3:uid="{AF4B54D1-2325-4C60-966A-4D495C57C786}" name="Product" dataDxfId="130" dataCellStyle="Content normal">
      <calculatedColumnFormula array="1">Common_InputFunctions.Utility_DisplayArrayInTable(Scope3_SourceData.Scope3_Livestock_Data(), Table_SourceData_Scope3_Animals192[[#Headers],[Category]], 0, 2)</calculatedColumnFormula>
    </tableColumn>
    <tableColumn id="3" xr3:uid="{A05C322F-CB11-48FE-9F7F-5133B84C0923}" name="Region of origin" dataDxfId="129" dataCellStyle="Content normal">
      <calculatedColumnFormula array="1">Common_InputFunctions.Utility_DisplayArrayInTable(Scope3_SourceData.Scope3_Livestock_Data(), Table_SourceData_Scope3_Animals192[[#Headers],[Category]], 0, 2)</calculatedColumnFormula>
    </tableColumn>
    <tableColumn id="8" xr3:uid="{2A3F15FD-ECA8-4D86-A2F1-503E66380492}" name="Quantity Unit" dataDxfId="128" dataCellStyle="Content normal">
      <calculatedColumnFormula array="1">Common_InputFunctions.Utility_DisplayArrayInTable(Scope3_SourceData.Scope3_Livestock_Data(), Table_SourceData_Scope3_Animals192[[#Headers],[Category]], 0, 2)</calculatedColumnFormula>
    </tableColumn>
    <tableColumn id="9" xr3:uid="{40B14664-6B81-483D-8F7E-707A56EEDEBB}" name="AusLCI Emissions intensity" dataDxfId="127" dataCellStyle="Content normal">
      <calculatedColumnFormula array="1">Common_InputFunctions.Utility_DisplayArrayInTable(Scope3_SourceData.Scope3_Livestock_Data(), Table_SourceData_Scope3_Animals192[[#Headers],[Category]], 0, 2)</calculatedColumnFormula>
    </tableColumn>
    <tableColumn id="10" xr3:uid="{086213CC-FA1C-41BB-A474-74236457FA54}" name="System boundary" dataDxfId="126" dataCellStyle="Content normal">
      <calculatedColumnFormula array="1">Common_InputFunctions.Utility_DisplayArrayInTable(Scope3_SourceData.Scope3_Livestock_Data(), Table_SourceData_Scope3_Animals192[[#Headers],[Category]], 0, 2)</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5" xr:uid="{8C66932A-59BD-4221-AA0A-91B957FE1A04}"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0D2F9BAD-A98D-4307-A077-8EA8D459BD4C}" name="Symbol">
      <calculatedColumnFormula array="1">Common_InputFunctions.Utility_DisplayArrayInTable(CommonLivestock_SourceData.SourceData_Livestock_Common_SymbolsMMS_Data(), Table_Data_MMSSymbols[[#Headers],[Symbol]], 0)</calculatedColumnFormula>
    </tableColumn>
    <tableColumn id="2" xr3:uid="{82D7816A-B2A0-4B40-8C3F-FCFFC3E0AE62}" name="Manure management system">
      <calculatedColumnFormula array="1">Common_InputFunctions.Utility_DisplayArrayInTable(CommonLivestock_SourceData.SourceData_Livestock_Common_SymbolsMMS_Data(), Table_Data_MMSSymbols[[#Headers],[Symbol]], 0)</calculatedColumnFormula>
    </tableColumn>
    <tableColumn id="3" xr3:uid="{91A7D031-A4C8-4F0E-B7A5-CAA9BE2A9498}"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6" xr:uid="{2830B6A6-2775-4AB5-80F1-973B58DC3CB0}" name="Table_SourceData_LivestockProduct_Beefcattle" displayName="Table_SourceData_LivestockProduct_Beefcattle" ref="D31:E39" totalsRowShown="0">
  <autoFilter ref="D31:E39" xr:uid="{953E8E36-CE90-4001-9CFA-9307A0C836A9}"/>
  <tableColumns count="2">
    <tableColumn id="1" xr3:uid="{9A5BC862-06D6-4E8D-A62B-F667D6816876}" name="Product">
      <calculatedColumnFormula array="1">Common_InputFunctions.Utility_DisplayArrayInTable(CommonLivestock_SourceData.SourceData_Livestock_Product_BeefCattle_Data(),Table_SourceData_LivestockProduct_Beefcattle[[#Headers],[Product]],0)</calculatedColumnFormula>
    </tableColumn>
    <tableColumn id="2" xr3:uid="{B3440D26-F17D-41B5-AB93-316A5A792764}" name="Source region" dataDxfId="544"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7" xr:uid="{E12D3D71-CB56-4759-9AFB-DEEF764B5BD8}" name="Table_SourceData_LivestockProduct_Sheep" displayName="Table_SourceData_LivestockProduct_Sheep" ref="D43:E50" totalsRowShown="0" dataDxfId="543" dataCellStyle="Content normal">
  <autoFilter ref="D43:E50" xr:uid="{995536B5-6CA5-4D7D-A704-9B6B595C2491}"/>
  <tableColumns count="2">
    <tableColumn id="1" xr3:uid="{7464AA7C-8E46-4F8B-97EA-1F9254EE4EA6}" name="Product" dataDxfId="542"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13C364B0-A0D8-4B4E-B9BA-0B5AB2DE3A55}" name="Source region" dataDxfId="541"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8" xr:uid="{3748C5B7-FD39-4661-9DB8-5FD258E1524D}" name="Table_SourceData_LivestockProduct_Chickens" displayName="Table_SourceData_LivestockProduct_Chickens" ref="D54:E55" totalsRowShown="0" dataDxfId="540" dataCellStyle="Content normal">
  <autoFilter ref="D54:E55" xr:uid="{257D8456-031C-4EEF-A8C4-474F215C3208}"/>
  <tableColumns count="2">
    <tableColumn id="1" xr3:uid="{37D7005D-EEA0-4790-A2BF-CB694409210D}" name="Product" dataDxfId="53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39EE8D49-FDC0-442B-8611-BDD6F89F05B6}" name="Source region" dataDxfId="538"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9" xr:uid="{39E54370-A6AD-4392-A535-FE8D7C8191F0}" name="Table_SourceData_LivestockProduct_Dairycattle" displayName="Table_SourceData_LivestockProduct_Dairycattle" ref="D59:E60" totalsRowShown="0" dataDxfId="537" dataCellStyle="Content normal">
  <autoFilter ref="D59:E60" xr:uid="{71833C62-BA2B-4519-92E0-B189E393D12F}"/>
  <tableColumns count="2">
    <tableColumn id="1" xr3:uid="{AA905258-F613-445A-8770-193432BA8B3C}" name="Product" dataDxfId="53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4CC34801-BFD4-45C8-9490-FDDE21B3D156}" name="Source region" dataDxfId="535"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0" xr:uid="{1FDFF2A9-04C0-4788-85BA-451AFD51E70B}" name="Table_SourceData_LivestockProduct_Pigs" displayName="Table_SourceData_LivestockProduct_Pigs" ref="D64:E65" totalsRowShown="0" dataDxfId="534" dataCellStyle="Content normal">
  <autoFilter ref="D64:E65" xr:uid="{65FF5EF6-2A75-4137-9345-8328E2DA8F9C}"/>
  <tableColumns count="2">
    <tableColumn id="1" xr3:uid="{B6AB9D3D-F86D-4C0F-8328-3E1B8663F532}" name="Product" dataDxfId="533"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08459D91-AA76-4412-902A-354D9328033C}" name="Source region" dataDxfId="532"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BE12A122-B0A9-4582-A537-323CF8FFB01C}"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2E77850B-0A95-4BED-B211-6DA4613A590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C0E83E6D-C227-4A2D-9787-D0C98497B192}" name="FNinorganic f">
      <calculatedColumnFormula array="1">Common_InputFunctions.Utility_DisplayArrayInTable(Fertiliser_SourceData.Fertiliser_ChemicalCompoundElements_Data(),Table_Fertiliser_ChemicalCompounds[[#Headers],[Fertiliser type f]], 0)</calculatedColumnFormula>
    </tableColumn>
    <tableColumn id="3" xr3:uid="{AE3FFDE2-50FA-4825-A07D-CFE895421C3D}" name="FU f">
      <calculatedColumnFormula array="1">Common_InputFunctions.Utility_DisplayArrayInTable(Fertiliser_SourceData.Fertiliser_ChemicalCompoundElements_Data(),Table_Fertiliser_ChemicalCompounds[[#Headers],[Fertiliser type f]], 0)</calculatedColumnFormula>
    </tableColumn>
    <tableColumn id="4" xr3:uid="{68CCC6F0-7903-4D25-92C2-95DDCA6A6167}" name="Basis">
      <calculatedColumnFormula array="1">Common_InputFunctions.Utility_DisplayArrayInTable(Fertiliser_SourceData.Fertiliser_ChemicalCompoundElements_Data(),Table_Fertiliser_ChemicalCompounds[[#Headers],[Fertiliser type f]], 0)</calculatedColumnFormula>
    </tableColumn>
    <tableColumn id="5" xr3:uid="{8D02DA16-8F4D-44CC-BE3D-C4416DC7437A}"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9499954E-F969-4766-BD27-66B6BFEF4408}"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0F59AD54-DCF6-49AD-8524-50C57A493D4A}"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F3B4E5B2-00A6-4227-BA0E-0361BBF44D9E}" name="Company" totalsRowFunction="custom" totalsRowDxfId="125">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322ED072-C2E9-4768-966F-1E8E7C9368B0}"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CC7BDBEE-5663-4DF5-A155-37D3F1C14E54}"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CCC18228-630B-4B97-9004-33247B0CAD3D}"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AE50A677-75A2-4D21-8AD8-0240981EBB28}"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93FF5067-F955-4398-B071-95E8CCEAD3BD}"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571BE4E2-4881-4A10-A22D-3BF710D26C4E}"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DE2E051A-6DAA-4E7E-98B5-180B7012D165}"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492306A2-C7A2-4E54-ABA7-E98B4A44449F}"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0EA0908D-DF5E-4667-B589-664EE4FA4671}"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1DDE5768-5F26-4962-AA16-1AF440F9943E}"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AEAEE10E-4B18-4866-A5F3-7604FF48AC7E}" name="Ingredient 1" totalsRowFunction="custom" totalsRowCellStyle="Content normal">
      <totalsRowFormula array="1">Common_InputFunctions.Utility_DisplayArrayInTable(Fertiliser_SourceData.Fertiliser_Products_Data3(), FertiliserProducts[[#Headers],[Company]],61)</totalsRowFormula>
    </tableColumn>
    <tableColumn id="22" xr3:uid="{2CF701E8-194F-40CA-A641-7691814EEA71}"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57BC2958-AB19-448D-B8B4-A4F01718DC61}"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D74C6D38-DA7E-4FE3-8181-72BB319AF43F}"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44F422B9-81EF-4A65-8965-1DD38B71F1F9}"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4CBA4261-13DF-4CFF-A8A0-165FDAD19A8D}"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0506F1CF-4613-49AF-8934-9E55F45A9506}"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0C08570D-8CBD-48CB-A8FD-DB3D9129E996}"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5635D5CA-7CB5-4BFE-9561-0EF4321A408B}"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DF28D232-DC5A-4D42-890A-874074374B5F}"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BC9D6875-6FDE-4F89-B62B-47BC230DCEEC}"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A491DABE-2DF9-44F4-8AC6-5A18A5E3C32C}"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7C7A31E5-653C-408A-8869-C9434A762D22}"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055888F2-9368-4745-8284-EEA48DD112BB}"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47CF5A69-8538-44F6-9CA9-322BB44C86E6}"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DE0E130E-828B-432B-BD21-7E34019972DE}"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B3DAA557-5DD1-4137-A201-80E44CFE523F}"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38D76ECF-BB60-4BB0-B64B-ACB62B685EA9}"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33A07882-64C2-4792-B4CD-2AFB48A50EF3}"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5D13FCBE-DD81-4E0E-BCDA-B83457311610}" name="Ingredient 10 percent" totalsRowCellStyle="Content normal"/>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98B6B113-F3E1-4ED7-9DED-6F33D49C638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6591C2E9-65EE-408E-8704-1834632084B7}" name="Fertiliser type f">
      <calculatedColumnFormula array="1">Common_InputFunctions.Utility_DisplayArrayInTable(Fertiliser_SourceData.Fertiliser_FracGASF_Data(), Table_SourceData_Fertiliser_FracGASF[[#Headers],[Fertiliser type f]], 0)</calculatedColumnFormula>
    </tableColumn>
    <tableColumn id="2" xr3:uid="{C23A99EF-4ECA-4876-A12F-2BC200E62F2D}" name="FracGASF f" dataDxfId="124"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562A1912-13C9-43D6-A71D-868E9A8F2456}" name="Table_SourceData_Fertiliser_CropProdSystems" displayName="Table_SourceData_Fertiliser_CropProdSystems" ref="D41:D43" totalsRowShown="0">
  <autoFilter ref="D41:D43" xr:uid="{24F3A11E-40F5-4BB9-BFF4-A71FA2ADA0EF}">
    <filterColumn colId="0" hiddenButton="1"/>
  </autoFilter>
  <tableColumns count="1">
    <tableColumn id="1" xr3:uid="{9B89B590-C095-4CFA-98A9-B9A133EC042E}" name="Production system">
      <calculatedColumnFormula>#REF!</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393E869F-78A9-4968-B517-90067632E714}"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E1047C08-3D6C-4BE9-B303-80E9B12E5631}" name="Irrigation method"/>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2C828966-8F8A-4E47-8213-257DB82BB7B4}" name="Table_SourceData_Fertiliser_CropTypes" displayName="Table_SourceData_Fertiliser_CropTypes" ref="F41:F45" totalsRowShown="0">
  <autoFilter ref="F41:F45" xr:uid="{CB5044B5-FA3C-4AA2-B1AB-72F7E61D072F}">
    <filterColumn colId="0" hiddenButton="1"/>
  </autoFilter>
  <tableColumns count="1">
    <tableColumn id="1" xr3:uid="{6BD3DA94-4F0A-4C83-B9B3-F5C053CBE804}" name="Production system"/>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8F3B9E3B-DB03-4D74-9243-8542C36B185C}" name="Table_SourceData_OrganicFertiliserTypes" displayName="Table_SourceData_OrganicFertiliserTypes" ref="J41:J46" totalsRowShown="0">
  <autoFilter ref="J41:J46" xr:uid="{B44627B1-537E-4ABC-92C3-57282CEE5B40}">
    <filterColumn colId="0" hiddenButton="1"/>
  </autoFilter>
  <tableColumns count="1">
    <tableColumn id="1" xr3:uid="{E83A986C-A7CF-474F-AFEC-6352C6EEE015}" name="Organic fertiliser type"/>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FD7937A1-CAB5-4FA6-A145-AED7F174F42B}"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C95C4DAD-A421-4666-87DD-113D38D62C09}" name="Element">
      <calculatedColumnFormula array="1">Common_InputFunctions.Utility_DisplayArrayInTable(Fertiliser_SourceData.Fertiliser_LimeDolomiteGypsumConstants_Data(), Table_SourceData_Fertiliser_LimeDolomiteConstants[[#Headers],[Element]], 0)</calculatedColumnFormula>
    </tableColumn>
    <tableColumn id="2" xr3:uid="{3AB30C8C-ED71-4BED-AE86-09E9F8AA6AE7}" name="P" dataDxfId="123"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A4FC2F32-0453-4129-9249-DAF474527EBE}" name="EF" dataDxfId="12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E397AAB5-4805-422B-BA42-9E2F7622C601}" name="Table2" displayName="Table2" ref="K19:L28" totalsRowShown="0" dataDxfId="121" dataCellStyle="Content normal">
  <autoFilter ref="K19:L28" xr:uid="{27B93029-EB1F-4C4A-A946-CD673A8A6C46}">
    <filterColumn colId="0" hiddenButton="1"/>
    <filterColumn colId="1" hiddenButton="1"/>
  </autoFilter>
  <tableColumns count="2">
    <tableColumn id="1" xr3:uid="{B25B94ED-17B8-454F-AFDD-B7915A0898B8}" name="Fertiliser type f" dataDxfId="120" dataCellStyle="Content normal">
      <calculatedColumnFormula array="1">Common_InputFunctions.Utility_DisplayArrayInTable(Fertiliser_SourceData.Fertiliser_FractionNCommonFertilisers_Data(), Table2[[#Headers],[Fertiliser type f]], 0)</calculatedColumnFormula>
    </tableColumn>
    <tableColumn id="2" xr3:uid="{15AD2A9A-FB14-4D4F-9578-EB2A92C1F3B8}" name="FNinorganic f" dataDxfId="119"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A751C96C-0C39-4CDE-9D59-CE5501873ECD}" name="Table28" displayName="Table28" ref="Q19:R28" totalsRowShown="0" dataDxfId="118" dataCellStyle="Content normal">
  <autoFilter ref="Q19:R28" xr:uid="{791CEA59-796C-47AB-86BC-41E8F699030C}">
    <filterColumn colId="0" hiddenButton="1"/>
    <filterColumn colId="1" hiddenButton="1"/>
  </autoFilter>
  <tableColumns count="2">
    <tableColumn id="1" xr3:uid="{E668C942-5868-4083-9233-9DF672E2530D}" name="Fertiliser type f" dataDxfId="117" dataCellStyle="Content normal">
      <calculatedColumnFormula array="1">Common_InputFunctions.Utility_DisplayArrayInTable(Fertiliser_SourceData.Fertiliser_FractionUreaCommonFertilisers_Data(), Table28[[#Headers],[Fertiliser type f]], 0)</calculatedColumnFormula>
    </tableColumn>
    <tableColumn id="2" xr3:uid="{1CB26CBC-DD9F-4154-ACE6-2B4E0E7AE9F3}" name="FNinorganic f" dataDxfId="116"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10640A09-A832-44F5-8193-48F98C315998}"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EF75815A-9311-4C24-8598-E4AA47EC8589}"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143CC170-32AE-4B8D-8C38-4850434E7BBB}" name="Table_SourceData_ElectricityEFs" displayName="Table_SourceData_ElectricityEFs" ref="D9:F19" totalsRowShown="0" headerRowDxfId="115">
  <autoFilter ref="D9:F19" xr:uid="{3144A982-7A4D-4CF2-8790-1A30DAE3E0A4}">
    <filterColumn colId="0" hiddenButton="1"/>
    <filterColumn colId="1" hiddenButton="1"/>
    <filterColumn colId="2" hiddenButton="1"/>
  </autoFilter>
  <tableColumns count="3">
    <tableColumn id="1" xr3:uid="{6FBD9A1C-D0FF-4E86-9718-C2E61ADE20F6}"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CF2AAEB0-7D84-4A5C-B028-E7AED6BB921E}"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A325DF63-99C2-49F9-96EB-388D522805F1}"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B13534F3-43D4-40E8-80C2-527E9958159C}"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18CEF708-524D-4866-BC78-55CA814F9AAB}"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C4F7EE56-7211-47E4-A9A2-2D6638B48FF2}"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EFC33180-197D-49D6-A72D-B6C63D1F7BE5}"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103FDE80-56E1-43EC-A54C-AA6D512CB6AB}"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0493280C-0B5C-40D0-863B-1F51A3B6966D}"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2A1DF78-7E7C-4958-B17B-5EBD3FFAA0F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26419C0E-B225-4172-9164-4571446248C3}" name="State/Territory">
      <calculatedColumnFormula array="1">Common_InputFunctions.Utility_DisplayArrayInTable(Common_SourceData.Common_SourceData_AustralianStatesTerritories_Data(),Table_AustralianStates[[#Headers],[State/Territory]],0)</calculatedColumnFormula>
    </tableColumn>
    <tableColumn id="2" xr3:uid="{745780F9-6C81-4152-9049-B7D79232EC60}" name="Common Name">
      <calculatedColumnFormula array="1">Common_InputFunctions.Utility_DisplayArrayInTable(Common_SourceData.Common_SourceData_AustralianStatesTerritories_Data(),Table_AustralianStates[[#Headers],[State/Territory]],0)</calculatedColumnFormula>
    </tableColumn>
    <tableColumn id="3" xr3:uid="{7DE798C2-FDAD-47DF-B28A-AF4BF94CF4A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9CE3B01-8FB0-4ADA-BB02-64C3578B3A10}" name="Table_WASA4Areas" displayName="Table_WASA4Areas" ref="D20:D30" totalsRowShown="0">
  <autoFilter ref="D20:D30" xr:uid="{5FA81339-C6C8-4D36-BEEA-6C4AEDD9E676}">
    <filterColumn colId="0" hiddenButton="1"/>
  </autoFilter>
  <tableColumns count="1">
    <tableColumn id="1" xr3:uid="{C1329BD3-A41C-4546-A4A2-2EF8CB0E9B4E}"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E42BEF-AC93-4516-91AE-703EE7F3C254}" name="Table_GWPData" displayName="Table_GWPData" ref="D36:E43" totalsRowShown="0">
  <autoFilter ref="D36:E43" xr:uid="{B8E87A66-3E41-4AD3-925D-01EE21B43D7A}">
    <filterColumn colId="0" hiddenButton="1"/>
    <filterColumn colId="1" hiddenButton="1"/>
  </autoFilter>
  <tableColumns count="2">
    <tableColumn id="1" xr3:uid="{D8F7F0E2-2F1C-48B0-9715-292F902C1142}" name="Gas">
      <calculatedColumnFormula array="1">Common_InputFunctions.Utility_DisplayArrayInTable(Common_SourceData.Common_SourceData_GWP_Data(), Table_GWPData[[#Headers],[Gas]], 0)</calculatedColumnFormula>
    </tableColumn>
    <tableColumn id="2" xr3:uid="{DD729A54-DCBD-48ED-8EFC-38E3A73275D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79EF050-8F30-4802-9751-7C5168BA712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9A1DEE3-E7B8-4DD2-BB02-36C352F39E57}" name="Gas">
      <calculatedColumnFormula array="1">Common_InputFunctions.Utility_DisplayArrayInTable(Common_SourceData.Common_SourceData_ConvertGasElementalToMolecular_Data(),Table_GasToMolecularConversionFactor[[#Headers],[Gas]], 0)</calculatedColumnFormula>
    </tableColumn>
    <tableColumn id="5" xr3:uid="{3F890C47-AC07-4EFF-8699-8B71DB8A9321}" name="Conversion factor">
      <calculatedColumnFormula array="1">Common_InputFunctions.Utility_DisplayArrayInTable(Common_SourceData.Common_SourceData_ConvertGasElementalToMolecular_Data(),Table_GasToMolecularConversionFactor[[#Headers],[Gas]], 0)</calculatedColumnFormula>
    </tableColumn>
    <tableColumn id="2" xr3:uid="{E0E03E37-AABF-4E3B-A51C-F75139B4183C}"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4546DC6-6E4C-4B43-B4F8-CBE56F4AE30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270EFA4-7623-4618-8873-47EB4110199A}"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2148B01-FAD2-49E0-965C-1FBF788D056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88BC335-1B22-4A83-A328-DB71E27BF8AD}"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760CA79-1441-4B24-BFD5-EAB241E413AB}" name="MA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3" xr3:uid="{182C8989-99E5-4C5D-AB78-12BAE6039B95}" name="MA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4" xr3:uid="{85ECE17D-57C6-4FBF-8259-7F286EF9081B}" name="Frost days per year"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5" xr3:uid="{3CFA721F-E445-4506-BBF4-D480312CEB95}" name="Elevation"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6" xr3:uid="{B907508F-A54A-458A-A67A-0D1A46546805}" name="MAP:PET"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7" xr3:uid="{3F81495A-0E97-4657-8E73-533642B2AA5D}" name="Min temp"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8" xr3:uid="{252A1893-8FD7-4023-8F2C-ED2F469D4CA9}" name="Max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9" xr3:uid="{F915C515-B2D6-46B8-B14C-A9B962E9E8A4}" name="Min rainfall"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0" xr3:uid="{2448FCA4-DCE0-436E-8C68-229756294230}" name="Max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1" xr3:uid="{E2365147-CEAB-4822-B6FB-73FEE55F2E6D}" name="Min frost days"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5" xr3:uid="{30DF9E7D-8D4A-49E3-93D1-2A51D945749B}" name="Max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2" xr3:uid="{223165FC-64D3-4CB1-8457-C7332C920EA9}" name="Min elevation"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6" xr3:uid="{52CDFB2A-495C-42C7-AB0C-5FFAC63D3DB2}" name="Max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3" xr3:uid="{52FEC115-C1B1-4977-8FFC-BFF10413E491}" name="Min MAP:PET"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7" xr3:uid="{31138FF2-24D8-48A0-91CE-FE1E8E747E69}" name="Max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823370C-8EDA-4B59-A5A2-C4E6EADA65F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DFAC8BB-A15E-40D0-9D3E-46AC630D47B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1AE80E5-F052-4277-B1D0-32028CF466BC}" name="Wet or Dry Zone" totalsRowDxfId="2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939DE29-3D18-4C25-9CA3-B07F3F5C47A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9777D13-08FF-4AF0-982D-587F529AFF76}" name="Temperature Zone">
      <calculatedColumnFormula array="1">Common_InputFunctions.Utility_DisplayArrayInTable(Common_SourceData.Common_SourceData_TemperatureZones_Data(),Table_SourceData_TemperatureZones[[#Headers],[Temperature Zone]],0)</calculatedColumnFormula>
    </tableColumn>
    <tableColumn id="2" xr3:uid="{A959B652-041F-47B5-AFF4-CCF6D0FD0890}" name="MAT">
      <calculatedColumnFormula array="1">Common_InputFunctions.Utility_DisplayArrayInTable(Common_SourceData.Common_SourceData_TemperatureZones_Data(),Table_SourceData_TemperatureZones[[#Headers],[Temperature Zone]],0)</calculatedColumnFormula>
    </tableColumn>
    <tableColumn id="3" xr3:uid="{F3B0ABF7-CA6A-458E-A090-1ED57D592124}" name="Min MAT">
      <calculatedColumnFormula array="1">Common_InputFunctions.Utility_DisplayArrayInTable(Common_SourceData.Common_SourceData_TemperatureZones_Data(),Table_SourceData_TemperatureZones[[#Headers],[Temperature Zone]],0)</calculatedColumnFormula>
    </tableColumn>
    <tableColumn id="4" xr3:uid="{B1D32159-AAC4-4AFB-9286-8DEFA357680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228943A-8C9E-4B96-85FA-78E9E0F0F39F}"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AFF7E6F-B1D9-498E-9321-1D3A5C25235B}" name="Rainfall Zone">
      <calculatedColumnFormula array="1">Common_InputFunctions.Utility_DisplayArrayInTable(Common_SourceData.Common_SourceData_RainfallZones_Data(),Table_SourceData_RainfallZones[[#Headers],[Rainfall Zone]],0)</calculatedColumnFormula>
    </tableColumn>
    <tableColumn id="2" xr3:uid="{7E1FC3C1-E052-4C56-97C5-E1CCCB660333}" name="Annual rainfall">
      <calculatedColumnFormula array="1">Common_InputFunctions.Utility_DisplayArrayInTable(Common_SourceData.Common_SourceData_RainfallZones_Data(),Table_SourceData_RainfallZones[[#Headers],[Rainfall Zone]],0)</calculatedColumnFormula>
    </tableColumn>
    <tableColumn id="3" xr3:uid="{04F4BC9C-075D-4333-A2F6-5CC63455ACD7}" name="Min rainfall">
      <calculatedColumnFormula array="1">Common_InputFunctions.Utility_DisplayArrayInTable(Common_SourceData.Common_SourceData_RainfallZones_Data(),Table_SourceData_RainfallZones[[#Headers],[Rainfall Zone]],0)</calculatedColumnFormula>
    </tableColumn>
    <tableColumn id="4" xr3:uid="{AA2D324E-4A85-4A45-968C-67C4B44F72E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6B0A930-6F6D-4B77-9B7D-A8A0C2749398}"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EE94DEB-50B0-4BD1-A671-B484283DF9CF}" name="Leaching Zone">
      <calculatedColumnFormula array="1">Common_InputFunctions.Utility_DisplayArrayInTable(Common_SourceData.Common_SourceData_LeachingZones_Data(), Table_SourceData_LeachingZones[[#Headers],[Leaching Zone]], 0)</calculatedColumnFormula>
    </tableColumn>
    <tableColumn id="2" xr3:uid="{604480B9-8634-44E9-93DE-2A7C573A432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6B8D6CA-04F3-4AE4-B4A9-3D0F6CBE641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589CF6AD-69A7-40B7-816F-84885F674BEA}" name="Data source">
      <calculatedColumnFormula array="1">Common_InputFunctions.Utility_DisplayArrayInTable(Common_SourceData.Common_SourceData_DataScores_Scope3_Data(), Table_SourceData_DataScores_Scope3[[#Headers],[Data source]], 0)</calculatedColumnFormula>
    </tableColumn>
    <tableColumn id="2" xr3:uid="{AA712CA5-7D37-4411-9ACD-A74B4EA8E4DC}"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1AB99C7-09BB-4727-8DD6-F821CE65F27D}" name="Table_SourceData_FracWET" displayName="Table_SourceData_FracWET" ref="D134:E136" totalsRowShown="0">
  <autoFilter ref="D134:E136" xr:uid="{308E99BE-FE1F-47A4-B2CA-97217277C4E9}">
    <filterColumn colId="0" hiddenButton="1"/>
    <filterColumn colId="1" hiddenButton="1"/>
  </autoFilter>
  <tableColumns count="2">
    <tableColumn id="1" xr3:uid="{9331FFEB-F392-489F-98AB-E2FB12C4D935}" name="Is in leaching zone">
      <calculatedColumnFormula array="1">Common_InputFunctions.Utility_DisplayArrayInTable(Common_SourceData.Common_SourceData_FracWET_Data(),Table_SourceData_FracWET[[#Headers],[Is in leaching zone]],0)</calculatedColumnFormula>
    </tableColumn>
    <tableColumn id="2" xr3:uid="{5B05BD8E-E78C-4F8C-9ECE-DEABBACE4DDE}" name="FracWET" dataDxfId="2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1EA8C39-EDAC-4194-9B8B-C88586A513C9}"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CF5A46F-23C5-4EBE-8621-870A67CA1569}" name="Production system j">
      <calculatedColumnFormula array="1">Common_InputFunctions.Utility_DisplayArrayInTable(Common_SourceData.Common_SourceData_EFN2O_Data(), Table_SourceData_Common_EFN2O[[#Headers],[Production system j]], 0)</calculatedColumnFormula>
    </tableColumn>
    <tableColumn id="2" xr3:uid="{B819491E-0881-4979-91A1-1A053C1A7B9A}" name="EFN2O">
      <calculatedColumnFormula array="1">Common_InputFunctions.Utility_DisplayArrayInTable(Common_SourceData.Common_SourceData_EFN2O_Data(), Table_SourceData_Common_EFN2O[[#Headers],[Production system j]], 0)</calculatedColumnFormula>
    </tableColumn>
    <tableColumn id="3" xr3:uid="{6318CB25-5C3C-417C-A050-6DF4F1A07473}" name="Production system only">
      <calculatedColumnFormula array="1">Common_InputFunctions.Utility_DisplayArrayInTable(Common_SourceData.Common_SourceData_EFN2O_Data(), Table_SourceData_Common_EFN2O[[#Headers],[Production system j]], 0)</calculatedColumnFormula>
    </tableColumn>
    <tableColumn id="4" xr3:uid="{4DA89D14-6D9B-4E0F-B3C4-4725046056EF}" name="Irrigation method">
      <calculatedColumnFormula array="1">Common_InputFunctions.Utility_DisplayArrayInTable(Common_SourceData.Common_SourceData_EFN2O_Data(), Table_SourceData_Common_EFN2O[[#Headers],[Production system j]], 0)</calculatedColumnFormula>
    </tableColumn>
    <tableColumn id="5" xr3:uid="{8877910D-9434-4672-A544-594E1147914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37EA0AF2-3551-4A11-8187-048A058AF91D}"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8BA85C9-E167-44A5-AA96-CFCF2B391AC1}" name="Irrigation type i">
      <calculatedColumnFormula array="1">Common_InputFunctions.Utility_DisplayArrayInTable(Common_SourceData.Common_SourceData_FracWETIrrigation_Data(), Table_SourceData_FracWETIrrigation[[#Headers],[Irrigation type i]], 0)</calculatedColumnFormula>
    </tableColumn>
    <tableColumn id="2" xr3:uid="{5427D573-2663-4D4F-BCC5-FAA8BC1645F6}" name="FracWET" dataDxfId="1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4375EDD-8505-468A-B80E-E9841684E2C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F6865504-B5AF-4576-A753-A8DF11ADD58B}"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ABB16096-68EF-403C-B45B-24E8202DF391}" name="EFPRP" dataDxfId="1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B76478C-A6B7-4DCF-94EC-A2D6D926F527}"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09299B9-3D49-4D42-8A55-6C2BEEA231FD}" name="Month">
      <calculatedColumnFormula array="1">Common_InputFunctions.Utility_DisplayArrayInTable(Common_SourceData.Common_SourceData_MonthsToSeasons_Data(), Table_SourceData_Common_MonthToSeason[[#Headers],[Month]], 0)</calculatedColumnFormula>
    </tableColumn>
    <tableColumn id="2" xr3:uid="{AACB79CE-96A5-40B4-A425-4CF9921D08A4}" name="Season" dataDxfId="1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F211327-875D-4285-8B79-D76E51D84F1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B46CAEC-F9D1-4BC3-9034-F0F84139E28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0E905B0E-8E1D-4E41-AB27-2666566BAAA4}" name="MAT (ºC)"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11F2671-6D6D-4984-B450-62FAD863B8D3}" name="Anaerobic lago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A67EC59-D7E9-478D-B6E5-73AE6D1EEE1E}" name="Digester / covered lagoons"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47DC1017-B151-4F07-8101-FF96451A88C7}" name="Liquid system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A6DE004-D48C-4C2E-A9A6-E27E94825EB2}" name="Daily spread"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965E0B2-703D-435E-8814-57C17A0BBC34}" name="Composting (passive windrow)"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21FA486-F0C2-4BE4-8680-EF2328430B3A}" name="Solid storage"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DA9BE27-6A2A-4246-AD7A-7F592224F5BB}" name="Pit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91EF9C4-89C0-41F8-BEDB-BF578ED116FA}" name="Deep litter"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5B562886-85C6-4B37-8F57-367E598EC26C}" name="Poultry manure with bedding"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6D5B261-ACF0-4999-A529-8FA03F4A7CD9}" name="Poultry manure without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BFC691F-87DF-46C2-BFA6-0DEAC77BC689}" name="Direct process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F5B2429-5539-4C84-8A78-119786AF22B6}" name="Direct application"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FBDF0B71-6CA8-4AF8-BE25-2B05E61F14FA}" name="Pasture range and paddock"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F8038F0-26BF-45A6-ACD7-8FA3280FCB67}" name="MAT raw"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D12D7EC-F3C3-41AC-BF2D-1842B615144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7E6C1A46-A34B-495A-9659-B316CF15B91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DD28163-670E-4815-BD06-2B3BE0150C8E}" name="EFNi &amp; EFN2Oi" dataDxfId="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1A03ED0-7A9A-46F9-9004-BE5BA3E587E7}"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99FC2C02-6612-4945-94CC-34E908FCAC44}" name="Description" dataDxfId="0" dataCellStyle="Content normal"/>
    <tableColumn id="1" xr3:uid="{0FD3ED62-13A2-4D75-AF7A-9C9CC0E97AA7}" name="ID"/>
    <tableColumn id="3" xr3:uid="{B83A81B1-3B73-4AE4-ABF3-147E76B3EB35}" name="Score"/>
  </tableColumns>
  <tableStyleInfo name="Equation table"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714F32D-8782-45CC-9EA9-5BB0F3DE5BDB}"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9E552226-92C5-43B5-8D70-B8003584D540}" name="Description"/>
    <tableColumn id="2" xr3:uid="{8D15C7DC-C7E1-4311-91F9-5F9332D4A348}" name="ID"/>
    <tableColumn id="3" xr3:uid="{FD49631C-A2D0-47AA-8A00-945082CDD05C}" name="Score"/>
  </tableColumns>
  <tableStyleInfo name="Equation table"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59FC3C3-4AEB-4310-8E5E-BC6D9DB0739B}"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4F7704EF-18EF-4BC7-B881-114216068797}" name="Description"/>
    <tableColumn id="2" xr3:uid="{A7CED8E7-9D9F-4B85-A418-6AF7D2C8E9F4}" name="ID"/>
    <tableColumn id="3" xr3:uid="{5645828C-A098-41FA-A1D9-9751A0A33648}" name="Score"/>
  </tableColumns>
  <tableStyleInfo name="Equation table"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C66BF4B-B3DA-48F3-89C7-7777FA908997}"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6D4EFD34-432C-4BDE-A9E3-2D7731F3E3F0}" name="Description"/>
    <tableColumn id="2" xr3:uid="{255BA09B-D0A9-431B-838A-DCDDA9975E83}" name="ID"/>
    <tableColumn id="3" xr3:uid="{0DF82B1C-A545-4BB0-9DFF-F1EB2DC94839}"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3.bin"/><Relationship Id="rId4"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26" Type="http://schemas.openxmlformats.org/officeDocument/2006/relationships/table" Target="../tables/table48.xml"/><Relationship Id="rId3" Type="http://schemas.openxmlformats.org/officeDocument/2006/relationships/table" Target="../tables/table25.xml"/><Relationship Id="rId21" Type="http://schemas.openxmlformats.org/officeDocument/2006/relationships/table" Target="../tables/table43.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5" Type="http://schemas.openxmlformats.org/officeDocument/2006/relationships/table" Target="../tables/table47.xml"/><Relationship Id="rId2" Type="http://schemas.openxmlformats.org/officeDocument/2006/relationships/table" Target="../tables/table24.xml"/><Relationship Id="rId16" Type="http://schemas.openxmlformats.org/officeDocument/2006/relationships/table" Target="../tables/table38.xml"/><Relationship Id="rId20" Type="http://schemas.openxmlformats.org/officeDocument/2006/relationships/table" Target="../tables/table42.xml"/><Relationship Id="rId29" Type="http://schemas.openxmlformats.org/officeDocument/2006/relationships/table" Target="../tables/table51.xml"/><Relationship Id="rId1" Type="http://schemas.openxmlformats.org/officeDocument/2006/relationships/table" Target="../tables/table23.xml"/><Relationship Id="rId6" Type="http://schemas.openxmlformats.org/officeDocument/2006/relationships/table" Target="../tables/table28.xml"/><Relationship Id="rId11" Type="http://schemas.openxmlformats.org/officeDocument/2006/relationships/table" Target="../tables/table33.xml"/><Relationship Id="rId24" Type="http://schemas.openxmlformats.org/officeDocument/2006/relationships/table" Target="../tables/table46.xml"/><Relationship Id="rId5" Type="http://schemas.openxmlformats.org/officeDocument/2006/relationships/table" Target="../tables/table27.xml"/><Relationship Id="rId15" Type="http://schemas.openxmlformats.org/officeDocument/2006/relationships/table" Target="../tables/table37.xml"/><Relationship Id="rId23" Type="http://schemas.openxmlformats.org/officeDocument/2006/relationships/table" Target="../tables/table45.xml"/><Relationship Id="rId28" Type="http://schemas.openxmlformats.org/officeDocument/2006/relationships/table" Target="../tables/table50.xml"/><Relationship Id="rId10" Type="http://schemas.openxmlformats.org/officeDocument/2006/relationships/table" Target="../tables/table32.xml"/><Relationship Id="rId19" Type="http://schemas.openxmlformats.org/officeDocument/2006/relationships/table" Target="../tables/table41.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 Id="rId22" Type="http://schemas.openxmlformats.org/officeDocument/2006/relationships/table" Target="../tables/table44.xml"/><Relationship Id="rId27" Type="http://schemas.openxmlformats.org/officeDocument/2006/relationships/table" Target="../tables/table49.xml"/><Relationship Id="rId30" Type="http://schemas.openxmlformats.org/officeDocument/2006/relationships/table" Target="../tables/table52.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54.xml"/><Relationship Id="rId7" Type="http://schemas.openxmlformats.org/officeDocument/2006/relationships/table" Target="../tables/table58.xml"/><Relationship Id="rId2" Type="http://schemas.openxmlformats.org/officeDocument/2006/relationships/table" Target="../tables/table53.xml"/><Relationship Id="rId1" Type="http://schemas.openxmlformats.org/officeDocument/2006/relationships/printerSettings" Target="../printerSettings/printerSettings9.bin"/><Relationship Id="rId6" Type="http://schemas.openxmlformats.org/officeDocument/2006/relationships/table" Target="../tables/table57.xml"/><Relationship Id="rId5" Type="http://schemas.openxmlformats.org/officeDocument/2006/relationships/table" Target="../tables/table56.xml"/><Relationship Id="rId4" Type="http://schemas.openxmlformats.org/officeDocument/2006/relationships/table" Target="../tables/table5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61.xml"/><Relationship Id="rId7" Type="http://schemas.openxmlformats.org/officeDocument/2006/relationships/table" Target="../tables/table65.xml"/><Relationship Id="rId2" Type="http://schemas.openxmlformats.org/officeDocument/2006/relationships/table" Target="../tables/table60.xml"/><Relationship Id="rId1" Type="http://schemas.openxmlformats.org/officeDocument/2006/relationships/table" Target="../tables/table59.xml"/><Relationship Id="rId6" Type="http://schemas.openxmlformats.org/officeDocument/2006/relationships/table" Target="../tables/table64.xml"/><Relationship Id="rId5" Type="http://schemas.openxmlformats.org/officeDocument/2006/relationships/table" Target="../tables/table63.xml"/><Relationship Id="rId4" Type="http://schemas.openxmlformats.org/officeDocument/2006/relationships/table" Target="../tables/table62.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72.xml"/><Relationship Id="rId13" Type="http://schemas.openxmlformats.org/officeDocument/2006/relationships/table" Target="../tables/table77.xml"/><Relationship Id="rId3" Type="http://schemas.openxmlformats.org/officeDocument/2006/relationships/table" Target="../tables/table67.xml"/><Relationship Id="rId7" Type="http://schemas.openxmlformats.org/officeDocument/2006/relationships/table" Target="../tables/table71.xml"/><Relationship Id="rId12" Type="http://schemas.openxmlformats.org/officeDocument/2006/relationships/table" Target="../tables/table76.xml"/><Relationship Id="rId2" Type="http://schemas.openxmlformats.org/officeDocument/2006/relationships/table" Target="../tables/table66.xml"/><Relationship Id="rId1" Type="http://schemas.openxmlformats.org/officeDocument/2006/relationships/printerSettings" Target="../printerSettings/printerSettings10.bin"/><Relationship Id="rId6" Type="http://schemas.openxmlformats.org/officeDocument/2006/relationships/table" Target="../tables/table70.xml"/><Relationship Id="rId11" Type="http://schemas.openxmlformats.org/officeDocument/2006/relationships/table" Target="../tables/table75.xml"/><Relationship Id="rId5" Type="http://schemas.openxmlformats.org/officeDocument/2006/relationships/table" Target="../tables/table69.xml"/><Relationship Id="rId10" Type="http://schemas.openxmlformats.org/officeDocument/2006/relationships/table" Target="../tables/table74.xml"/><Relationship Id="rId4" Type="http://schemas.openxmlformats.org/officeDocument/2006/relationships/table" Target="../tables/table68.xml"/><Relationship Id="rId9" Type="http://schemas.openxmlformats.org/officeDocument/2006/relationships/table" Target="../tables/table73.xml"/><Relationship Id="rId14" Type="http://schemas.openxmlformats.org/officeDocument/2006/relationships/table" Target="../tables/table78.xml"/></Relationships>
</file>

<file path=xl/worksheets/_rels/sheet29.xml.rels><?xml version="1.0" encoding="UTF-8" standalone="yes"?>
<Relationships xmlns="http://schemas.openxmlformats.org/package/2006/relationships"><Relationship Id="rId8" Type="http://schemas.openxmlformats.org/officeDocument/2006/relationships/table" Target="../tables/table86.xml"/><Relationship Id="rId13" Type="http://schemas.openxmlformats.org/officeDocument/2006/relationships/table" Target="../tables/table91.xml"/><Relationship Id="rId3" Type="http://schemas.openxmlformats.org/officeDocument/2006/relationships/table" Target="../tables/table81.xml"/><Relationship Id="rId7" Type="http://schemas.openxmlformats.org/officeDocument/2006/relationships/table" Target="../tables/table85.xml"/><Relationship Id="rId12" Type="http://schemas.openxmlformats.org/officeDocument/2006/relationships/table" Target="../tables/table90.xml"/><Relationship Id="rId2" Type="http://schemas.openxmlformats.org/officeDocument/2006/relationships/table" Target="../tables/table80.xml"/><Relationship Id="rId1" Type="http://schemas.openxmlformats.org/officeDocument/2006/relationships/table" Target="../tables/table79.xml"/><Relationship Id="rId6" Type="http://schemas.openxmlformats.org/officeDocument/2006/relationships/table" Target="../tables/table84.xml"/><Relationship Id="rId11" Type="http://schemas.openxmlformats.org/officeDocument/2006/relationships/table" Target="../tables/table89.xml"/><Relationship Id="rId5" Type="http://schemas.openxmlformats.org/officeDocument/2006/relationships/table" Target="../tables/table83.xml"/><Relationship Id="rId10" Type="http://schemas.openxmlformats.org/officeDocument/2006/relationships/table" Target="../tables/table88.xml"/><Relationship Id="rId4" Type="http://schemas.openxmlformats.org/officeDocument/2006/relationships/table" Target="../tables/table82.xml"/><Relationship Id="rId9" Type="http://schemas.openxmlformats.org/officeDocument/2006/relationships/table" Target="../tables/table87.xml"/><Relationship Id="rId14" Type="http://schemas.openxmlformats.org/officeDocument/2006/relationships/table" Target="../tables/table92.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100.xml"/><Relationship Id="rId13" Type="http://schemas.openxmlformats.org/officeDocument/2006/relationships/table" Target="../tables/table105.xml"/><Relationship Id="rId3" Type="http://schemas.openxmlformats.org/officeDocument/2006/relationships/table" Target="../tables/table95.xml"/><Relationship Id="rId7" Type="http://schemas.openxmlformats.org/officeDocument/2006/relationships/table" Target="../tables/table99.xml"/><Relationship Id="rId12" Type="http://schemas.openxmlformats.org/officeDocument/2006/relationships/table" Target="../tables/table104.xml"/><Relationship Id="rId2" Type="http://schemas.openxmlformats.org/officeDocument/2006/relationships/table" Target="../tables/table94.xml"/><Relationship Id="rId16" Type="http://schemas.openxmlformats.org/officeDocument/2006/relationships/table" Target="../tables/table108.xml"/><Relationship Id="rId1" Type="http://schemas.openxmlformats.org/officeDocument/2006/relationships/table" Target="../tables/table93.xml"/><Relationship Id="rId6" Type="http://schemas.openxmlformats.org/officeDocument/2006/relationships/table" Target="../tables/table98.xml"/><Relationship Id="rId11" Type="http://schemas.openxmlformats.org/officeDocument/2006/relationships/table" Target="../tables/table103.xml"/><Relationship Id="rId5" Type="http://schemas.openxmlformats.org/officeDocument/2006/relationships/table" Target="../tables/table97.xml"/><Relationship Id="rId15" Type="http://schemas.openxmlformats.org/officeDocument/2006/relationships/table" Target="../tables/table107.xml"/><Relationship Id="rId10" Type="http://schemas.openxmlformats.org/officeDocument/2006/relationships/table" Target="../tables/table102.xml"/><Relationship Id="rId4" Type="http://schemas.openxmlformats.org/officeDocument/2006/relationships/table" Target="../tables/table96.xml"/><Relationship Id="rId9" Type="http://schemas.openxmlformats.org/officeDocument/2006/relationships/table" Target="../tables/table101.xml"/><Relationship Id="rId14" Type="http://schemas.openxmlformats.org/officeDocument/2006/relationships/table" Target="../tables/table106.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116.xml"/><Relationship Id="rId13" Type="http://schemas.openxmlformats.org/officeDocument/2006/relationships/table" Target="../tables/table121.xml"/><Relationship Id="rId18" Type="http://schemas.openxmlformats.org/officeDocument/2006/relationships/table" Target="../tables/table126.xml"/><Relationship Id="rId26" Type="http://schemas.openxmlformats.org/officeDocument/2006/relationships/table" Target="../tables/table134.xml"/><Relationship Id="rId3" Type="http://schemas.openxmlformats.org/officeDocument/2006/relationships/table" Target="../tables/table111.xml"/><Relationship Id="rId21" Type="http://schemas.openxmlformats.org/officeDocument/2006/relationships/table" Target="../tables/table129.xml"/><Relationship Id="rId7" Type="http://schemas.openxmlformats.org/officeDocument/2006/relationships/table" Target="../tables/table115.xml"/><Relationship Id="rId12" Type="http://schemas.openxmlformats.org/officeDocument/2006/relationships/table" Target="../tables/table120.xml"/><Relationship Id="rId17" Type="http://schemas.openxmlformats.org/officeDocument/2006/relationships/table" Target="../tables/table125.xml"/><Relationship Id="rId25" Type="http://schemas.openxmlformats.org/officeDocument/2006/relationships/table" Target="../tables/table133.xml"/><Relationship Id="rId2" Type="http://schemas.openxmlformats.org/officeDocument/2006/relationships/table" Target="../tables/table110.xml"/><Relationship Id="rId16" Type="http://schemas.openxmlformats.org/officeDocument/2006/relationships/table" Target="../tables/table124.xml"/><Relationship Id="rId20" Type="http://schemas.openxmlformats.org/officeDocument/2006/relationships/table" Target="../tables/table128.xml"/><Relationship Id="rId1" Type="http://schemas.openxmlformats.org/officeDocument/2006/relationships/table" Target="../tables/table109.xml"/><Relationship Id="rId6" Type="http://schemas.openxmlformats.org/officeDocument/2006/relationships/table" Target="../tables/table114.xml"/><Relationship Id="rId11" Type="http://schemas.openxmlformats.org/officeDocument/2006/relationships/table" Target="../tables/table119.xml"/><Relationship Id="rId24" Type="http://schemas.openxmlformats.org/officeDocument/2006/relationships/table" Target="../tables/table132.xml"/><Relationship Id="rId5" Type="http://schemas.openxmlformats.org/officeDocument/2006/relationships/table" Target="../tables/table113.xml"/><Relationship Id="rId15" Type="http://schemas.openxmlformats.org/officeDocument/2006/relationships/table" Target="../tables/table123.xml"/><Relationship Id="rId23" Type="http://schemas.openxmlformats.org/officeDocument/2006/relationships/table" Target="../tables/table131.xml"/><Relationship Id="rId10" Type="http://schemas.openxmlformats.org/officeDocument/2006/relationships/table" Target="../tables/table118.xml"/><Relationship Id="rId19" Type="http://schemas.openxmlformats.org/officeDocument/2006/relationships/table" Target="../tables/table127.xml"/><Relationship Id="rId4" Type="http://schemas.openxmlformats.org/officeDocument/2006/relationships/table" Target="../tables/table112.xml"/><Relationship Id="rId9" Type="http://schemas.openxmlformats.org/officeDocument/2006/relationships/table" Target="../tables/table117.xml"/><Relationship Id="rId14" Type="http://schemas.openxmlformats.org/officeDocument/2006/relationships/table" Target="../tables/table122.xml"/><Relationship Id="rId22" Type="http://schemas.openxmlformats.org/officeDocument/2006/relationships/table" Target="../tables/table130.xml"/><Relationship Id="rId27" Type="http://schemas.openxmlformats.org/officeDocument/2006/relationships/table" Target="../tables/table13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137.xml"/><Relationship Id="rId7" Type="http://schemas.openxmlformats.org/officeDocument/2006/relationships/table" Target="../tables/table141.xml"/><Relationship Id="rId2" Type="http://schemas.openxmlformats.org/officeDocument/2006/relationships/table" Target="../tables/table136.xml"/><Relationship Id="rId1" Type="http://schemas.openxmlformats.org/officeDocument/2006/relationships/printerSettings" Target="../printerSettings/printerSettings11.bin"/><Relationship Id="rId6" Type="http://schemas.openxmlformats.org/officeDocument/2006/relationships/table" Target="../tables/table140.xml"/><Relationship Id="rId5" Type="http://schemas.openxmlformats.org/officeDocument/2006/relationships/table" Target="../tables/table139.xml"/><Relationship Id="rId4" Type="http://schemas.openxmlformats.org/officeDocument/2006/relationships/table" Target="../tables/table138.xml"/></Relationships>
</file>

<file path=xl/worksheets/_rels/sheet33.xml.rels><?xml version="1.0" encoding="UTF-8" standalone="yes"?>
<Relationships xmlns="http://schemas.openxmlformats.org/package/2006/relationships"><Relationship Id="rId8" Type="http://schemas.openxmlformats.org/officeDocument/2006/relationships/table" Target="../tables/table148.xml"/><Relationship Id="rId3" Type="http://schemas.openxmlformats.org/officeDocument/2006/relationships/table" Target="../tables/table143.xml"/><Relationship Id="rId7" Type="http://schemas.openxmlformats.org/officeDocument/2006/relationships/table" Target="../tables/table147.xml"/><Relationship Id="rId12" Type="http://schemas.openxmlformats.org/officeDocument/2006/relationships/table" Target="../tables/table152.xml"/><Relationship Id="rId2" Type="http://schemas.openxmlformats.org/officeDocument/2006/relationships/table" Target="../tables/table142.xml"/><Relationship Id="rId1" Type="http://schemas.openxmlformats.org/officeDocument/2006/relationships/printerSettings" Target="../printerSettings/printerSettings12.bin"/><Relationship Id="rId6" Type="http://schemas.openxmlformats.org/officeDocument/2006/relationships/table" Target="../tables/table146.xml"/><Relationship Id="rId11" Type="http://schemas.openxmlformats.org/officeDocument/2006/relationships/table" Target="../tables/table151.xml"/><Relationship Id="rId5" Type="http://schemas.openxmlformats.org/officeDocument/2006/relationships/table" Target="../tables/table145.xml"/><Relationship Id="rId10" Type="http://schemas.openxmlformats.org/officeDocument/2006/relationships/table" Target="../tables/table150.xml"/><Relationship Id="rId4" Type="http://schemas.openxmlformats.org/officeDocument/2006/relationships/table" Target="../tables/table144.xml"/><Relationship Id="rId9" Type="http://schemas.openxmlformats.org/officeDocument/2006/relationships/table" Target="../tables/table149.xml"/></Relationships>
</file>

<file path=xl/worksheets/_rels/sheet34.xml.rels><?xml version="1.0" encoding="UTF-8" standalone="yes"?>
<Relationships xmlns="http://schemas.openxmlformats.org/package/2006/relationships"><Relationship Id="rId2" Type="http://schemas.openxmlformats.org/officeDocument/2006/relationships/table" Target="../tables/table154.xml"/><Relationship Id="rId1" Type="http://schemas.openxmlformats.org/officeDocument/2006/relationships/table" Target="../tables/table153.xml"/></Relationships>
</file>

<file path=xl/worksheets/_rels/sheet35.xml.rels><?xml version="1.0" encoding="UTF-8" standalone="yes"?>
<Relationships xmlns="http://schemas.openxmlformats.org/package/2006/relationships"><Relationship Id="rId8" Type="http://schemas.openxmlformats.org/officeDocument/2006/relationships/table" Target="../tables/table161.xml"/><Relationship Id="rId13" Type="http://schemas.openxmlformats.org/officeDocument/2006/relationships/table" Target="../tables/table166.xml"/><Relationship Id="rId18" Type="http://schemas.openxmlformats.org/officeDocument/2006/relationships/table" Target="../tables/table171.xml"/><Relationship Id="rId3" Type="http://schemas.openxmlformats.org/officeDocument/2006/relationships/table" Target="../tables/table156.xml"/><Relationship Id="rId21" Type="http://schemas.openxmlformats.org/officeDocument/2006/relationships/table" Target="../tables/table174.xml"/><Relationship Id="rId7" Type="http://schemas.openxmlformats.org/officeDocument/2006/relationships/table" Target="../tables/table160.xml"/><Relationship Id="rId12" Type="http://schemas.openxmlformats.org/officeDocument/2006/relationships/table" Target="../tables/table165.xml"/><Relationship Id="rId17" Type="http://schemas.openxmlformats.org/officeDocument/2006/relationships/table" Target="../tables/table170.xml"/><Relationship Id="rId2" Type="http://schemas.openxmlformats.org/officeDocument/2006/relationships/table" Target="../tables/table155.xml"/><Relationship Id="rId16" Type="http://schemas.openxmlformats.org/officeDocument/2006/relationships/table" Target="../tables/table169.xml"/><Relationship Id="rId20" Type="http://schemas.openxmlformats.org/officeDocument/2006/relationships/table" Target="../tables/table173.xml"/><Relationship Id="rId1" Type="http://schemas.openxmlformats.org/officeDocument/2006/relationships/printerSettings" Target="../printerSettings/printerSettings13.bin"/><Relationship Id="rId6" Type="http://schemas.openxmlformats.org/officeDocument/2006/relationships/table" Target="../tables/table159.xml"/><Relationship Id="rId11" Type="http://schemas.openxmlformats.org/officeDocument/2006/relationships/table" Target="../tables/table164.xml"/><Relationship Id="rId5" Type="http://schemas.openxmlformats.org/officeDocument/2006/relationships/table" Target="../tables/table158.xml"/><Relationship Id="rId15" Type="http://schemas.openxmlformats.org/officeDocument/2006/relationships/table" Target="../tables/table168.xml"/><Relationship Id="rId10" Type="http://schemas.openxmlformats.org/officeDocument/2006/relationships/table" Target="../tables/table163.xml"/><Relationship Id="rId19" Type="http://schemas.openxmlformats.org/officeDocument/2006/relationships/table" Target="../tables/table172.xml"/><Relationship Id="rId4" Type="http://schemas.openxmlformats.org/officeDocument/2006/relationships/table" Target="../tables/table157.xml"/><Relationship Id="rId9" Type="http://schemas.openxmlformats.org/officeDocument/2006/relationships/table" Target="../tables/table162.xml"/><Relationship Id="rId14" Type="http://schemas.openxmlformats.org/officeDocument/2006/relationships/table" Target="../tables/table167.xml"/><Relationship Id="rId22" Type="http://schemas.openxmlformats.org/officeDocument/2006/relationships/table" Target="../tables/table17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A1:L50"/>
  <sheetViews>
    <sheetView showGridLines="0" zoomScaleNormal="100" workbookViewId="0">
      <selection activeCell="A46" sqref="A46"/>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1:12" s="1" customFormat="1" ht="30" customHeight="1" x14ac:dyDescent="0.35">
      <c r="A1" s="37" t="e" vm="1">
        <v>#VALUE!</v>
      </c>
      <c r="C1" s="210" t="s">
        <v>817</v>
      </c>
    </row>
    <row r="2" spans="1:12" s="2" customFormat="1" ht="20.100000000000001" customHeight="1" x14ac:dyDescent="0.25">
      <c r="A2"/>
    </row>
    <row r="3" spans="1:12" ht="20.100000000000001" customHeight="1" x14ac:dyDescent="0.25">
      <c r="A3" s="221" t="str">
        <f>HYPERLINK("#'Overview'!A1", "Overview")</f>
        <v>Overview</v>
      </c>
      <c r="C3" s="211"/>
      <c r="D3" s="211"/>
      <c r="E3" s="211"/>
      <c r="F3" s="211"/>
      <c r="G3" s="211"/>
      <c r="H3" s="211"/>
      <c r="I3" s="211"/>
      <c r="J3" s="211"/>
      <c r="K3" s="211"/>
      <c r="L3" s="211"/>
    </row>
    <row r="4" spans="1:12" ht="20.100000000000001" customHeight="1" x14ac:dyDescent="0.25">
      <c r="A4" s="16" t="str">
        <f>HYPERLINK("#'Results'!A1", "Results")</f>
        <v>Results</v>
      </c>
    </row>
    <row r="5" spans="1:12" ht="20.100000000000001" customHeight="1" x14ac:dyDescent="0.25"/>
    <row r="6" spans="1:12" ht="20.100000000000001" customHeight="1" x14ac:dyDescent="0.25"/>
    <row r="7" spans="1:12" ht="20.100000000000001" customHeight="1" x14ac:dyDescent="0.25">
      <c r="A7" s="19" t="s">
        <v>67</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row>
    <row r="11" spans="1:12" ht="20.100000000000001" customHeight="1" x14ac:dyDescent="0.25">
      <c r="A11" s="16" t="str">
        <f>HYPERLINK("#'Input - Common farm inputs'!A1", "Common farm inputs")</f>
        <v>Common farm inputs</v>
      </c>
    </row>
    <row r="12" spans="1:12" ht="20.100000000000001" customHeight="1" x14ac:dyDescent="0.25">
      <c r="A12" s="16" t="str">
        <f>HYPERLINK("#'Input - Processing inputs'!A1", "Processing inputs")</f>
        <v>Processing inputs</v>
      </c>
    </row>
    <row r="13" spans="1:12" ht="20.100000000000001" customHeight="1" x14ac:dyDescent="0.25">
      <c r="A13" s="16" t="str">
        <f>HYPERLINK("#'Input - Crop pasture farm input'!A1", "Crop pasture farm input")</f>
        <v>Crop pasture farm input</v>
      </c>
    </row>
    <row r="14" spans="1:12" ht="20.100000000000001" customHeight="1" x14ac:dyDescent="0.25">
      <c r="A14" s="16" t="str">
        <f>HYPERLINK("#'Input - Hort farm Inputs'!A1", "Hort farm Inputs")</f>
        <v>Hort farm Inputs</v>
      </c>
    </row>
    <row r="15" spans="1:12" ht="20.100000000000001" customHeight="1" x14ac:dyDescent="0.25">
      <c r="A15" s="16" t="str">
        <f>HYPERLINK("#'Input - Livestock farm Inputs'!A1", "Livestock farm Inputs")</f>
        <v>Livestock farm Inputs</v>
      </c>
    </row>
    <row r="16" spans="1:12" ht="20.100000000000001" customHeight="1" x14ac:dyDescent="0.25">
      <c r="A16" s="16" t="str">
        <f>HYPERLINK("#'Input - Aquaculture inputs'!A1", "Aquaculture inputs")</f>
        <v>Aquaculture inputs</v>
      </c>
    </row>
    <row r="17" spans="1:1" ht="20.100000000000001" customHeight="1" x14ac:dyDescent="0.25">
      <c r="A17" s="16" t="str">
        <f>HYPERLINK("#'Input - Beef cattle purchases'!A1", "Beef cattle purchases")</f>
        <v>Beef cattle purchases</v>
      </c>
    </row>
    <row r="18" spans="1:1" ht="20.100000000000001" customHeight="1" x14ac:dyDescent="0.25">
      <c r="A18" s="16" t="str">
        <f>HYPERLINK("#'Input - Dairy cattle purchases'!A1", "Dairy cattle purchases")</f>
        <v>Dairy cattle purchases</v>
      </c>
    </row>
    <row r="19" spans="1:1" ht="20.100000000000001" customHeight="1" x14ac:dyDescent="0.25">
      <c r="A19" s="16" t="str">
        <f>HYPERLINK("#'Input - Pig purchases'!A1", "Pig purchases")</f>
        <v>Pig purchases</v>
      </c>
    </row>
    <row r="20" spans="1:1" ht="20.100000000000001" customHeight="1" x14ac:dyDescent="0.25">
      <c r="A20" s="16" t="str">
        <f>HYPERLINK("#'Input - Poultry purchases'!A1", "Poultry purchases")</f>
        <v>Poultry purchases</v>
      </c>
    </row>
    <row r="21" spans="1:1" ht="20.100000000000001" customHeight="1" x14ac:dyDescent="0.25">
      <c r="A21" s="16" t="str">
        <f>HYPERLINK("#'Input - Freight'!A1", "Freight")</f>
        <v>Freight</v>
      </c>
    </row>
    <row r="22" spans="1:1" ht="20.100000000000001" customHeight="1" x14ac:dyDescent="0.25">
      <c r="A22" s="16" t="str">
        <f>HYPERLINK("#'Input - Solid waste'!A1", "Solid waste")</f>
        <v>Solid waste</v>
      </c>
    </row>
    <row r="23" spans="1:1" ht="20.100000000000001" customHeight="1" x14ac:dyDescent="0.25">
      <c r="A23" s="16" t="str">
        <f>HYPERLINK("#'Input - Manure sent off-site'!A1", "Manure sent off-site")</f>
        <v>Manure sent off-site</v>
      </c>
    </row>
    <row r="24" spans="1:1" ht="20.100000000000001" customHeight="1" x14ac:dyDescent="0.25">
      <c r="A24" s="16" t="str">
        <f>HYPERLINK("#'Input - Electricity'!A1", "Electricity")</f>
        <v>Electricity</v>
      </c>
    </row>
    <row r="25" spans="1:1" ht="20.100000000000001" customHeight="1" x14ac:dyDescent="0.25"/>
    <row r="26" spans="1:1" ht="20.100000000000001" customHeight="1" x14ac:dyDescent="0.25"/>
    <row r="27" spans="1:1" ht="20.100000000000001" customHeight="1" x14ac:dyDescent="0.25">
      <c r="A27" s="21" t="s">
        <v>77</v>
      </c>
    </row>
    <row r="28" spans="1:1" ht="20.100000000000001" customHeight="1" x14ac:dyDescent="0.25">
      <c r="A28" s="16" t="str">
        <f>HYPERLINK("#'15 Scope 3'!A1", "15 Scope 3")</f>
        <v>15 Scope 3</v>
      </c>
    </row>
    <row r="29" spans="1:1" ht="20.100000000000001" customHeight="1" x14ac:dyDescent="0.25">
      <c r="A29" s="16" t="str">
        <f>HYPERLINK("#'10.1.1-2 Solid waste treatment'!A1", "10.1.1-2 Solid waste treatment")</f>
        <v>10.1.1-2 Solid waste treatment</v>
      </c>
    </row>
    <row r="30" spans="1:1" ht="20.100000000000001" customHeight="1" x14ac:dyDescent="0.25">
      <c r="A30" s="16" t="str">
        <f>HYPERLINK("#'Calcs - Manure sent off-site'!A1", "Calcs - Manure sent off-site")</f>
        <v>Calcs - Manure sent off-site</v>
      </c>
    </row>
    <row r="31" spans="1:1" ht="20.100000000000001" customHeight="1" x14ac:dyDescent="0.25">
      <c r="A31" s="16" t="str">
        <f>HYPERLINK("#'8.1.1.1-2 Transport fuel'!A1", "8.1.1.1-2 Transport fuel")</f>
        <v>8.1.1.1-2 Transport fuel</v>
      </c>
    </row>
    <row r="32" spans="1:1" ht="20.100000000000001" customHeight="1" x14ac:dyDescent="0.25">
      <c r="A32" s="16" t="str">
        <f>HYPERLINK("#'8.2.1.1-2 Stationary fuel'!A1", "8.2.1.1-2 Stationary fuel")</f>
        <v>8.2.1.1-2 Stationary fuel</v>
      </c>
    </row>
    <row r="33" spans="1:1" ht="20.100000000000001" customHeight="1" x14ac:dyDescent="0.25"/>
    <row r="34" spans="1:1" ht="20.100000000000001" customHeight="1" x14ac:dyDescent="0.25"/>
    <row r="35" spans="1:1" ht="20.100000000000001" customHeight="1" x14ac:dyDescent="0.25">
      <c r="A35" s="222" t="s">
        <v>78</v>
      </c>
    </row>
    <row r="36" spans="1:1" ht="20.100000000000001" customHeight="1" x14ac:dyDescent="0.25">
      <c r="A36" s="16" t="str">
        <f>HYPERLINK("#'Constants - Scope 3'!A1", "Constants - Scope 3")</f>
        <v>Constants - Scope 3</v>
      </c>
    </row>
    <row r="37" spans="1:1" ht="20.100000000000001" customHeight="1" x14ac:dyDescent="0.25">
      <c r="A37" s="16" t="str">
        <f>HYPERLINK("#'Constants - Solid Waste'!A1", "Constants - Solid Waste")</f>
        <v>Constants - Solid Waste</v>
      </c>
    </row>
    <row r="38" spans="1:1" ht="20.100000000000001" customHeight="1" x14ac:dyDescent="0.25">
      <c r="A38" s="16" t="str">
        <f>HYPERLINK("#'Constants - Fuel'!A1", "Constants - Fuel")</f>
        <v>Constants - Fuel</v>
      </c>
    </row>
    <row r="39" spans="1:1" ht="20.100000000000001" customHeight="1" x14ac:dyDescent="0.25">
      <c r="A39" s="16" t="str">
        <f>HYPERLINK("#'Constants - Poultry'!A1", "Constants - Poultry")</f>
        <v>Constants - Poultry</v>
      </c>
    </row>
    <row r="40" spans="1:1" ht="20.100000000000001" customHeight="1" x14ac:dyDescent="0.25">
      <c r="A40" s="16" t="str">
        <f>HYPERLINK("#'Constants - Swine'!A1", "Constants - Swine")</f>
        <v>Constants - Swine</v>
      </c>
    </row>
    <row r="41" spans="1:1" ht="20.100000000000001" customHeight="1" x14ac:dyDescent="0.25">
      <c r="A41" s="16" t="str">
        <f>HYPERLINK("#'Constants - Dairy'!A1", "Constants - Dairy")</f>
        <v>Constants - Dairy</v>
      </c>
    </row>
    <row r="42" spans="1:1" ht="20.100000000000001" customHeight="1" x14ac:dyDescent="0.25">
      <c r="A42" s="16" t="str">
        <f>HYPERLINK("#'Constants - Pasture Beef'!A1", "Constants - Pasture Beef")</f>
        <v>Constants - Pasture Beef</v>
      </c>
    </row>
    <row r="43" spans="1:1" ht="20.100000000000001" customHeight="1" x14ac:dyDescent="0.25">
      <c r="A43" s="16" t="str">
        <f>HYPERLINK("#'Constants - Common Livestock'!A1", "Constants - Common Livestock")</f>
        <v>Constants - Common Livestock</v>
      </c>
    </row>
    <row r="44" spans="1:1" ht="20.100000000000001" customHeight="1" x14ac:dyDescent="0.25">
      <c r="A44" s="16" t="str">
        <f>HYPERLINK("#'Constants - Fertiliser'!A1", "Constants - Fertiliser")</f>
        <v>Constants - Fertiliser</v>
      </c>
    </row>
    <row r="45" spans="1:1" ht="20.100000000000001" customHeight="1" x14ac:dyDescent="0.25">
      <c r="A45" s="16" t="str">
        <f>HYPERLINK("#'Constants - Electricity'!A1", "Constants - Electricity")</f>
        <v>Constants - Electricity</v>
      </c>
    </row>
    <row r="46" spans="1:1" ht="20.100000000000001" customHeight="1" x14ac:dyDescent="0.25">
      <c r="A46" s="16" t="str">
        <f>HYPERLINK("#'Constants - Common'!A1", "Constants - Common")</f>
        <v>Constants - Common</v>
      </c>
    </row>
    <row r="47" spans="1:1" ht="20.100000000000001" customHeight="1" x14ac:dyDescent="0.25"/>
    <row r="48" spans="1:1"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A1:L50"/>
  <sheetViews>
    <sheetView showGridLines="0" topLeftCell="A6" zoomScaleNormal="100" workbookViewId="0">
      <selection activeCell="A46" sqref="A46"/>
    </sheetView>
  </sheetViews>
  <sheetFormatPr defaultRowHeight="15.75" x14ac:dyDescent="0.25"/>
  <cols>
    <col min="1" max="1" width="30.625" customWidth="1"/>
    <col min="2" max="2" width="4.625" customWidth="1"/>
    <col min="3" max="3" width="4.625" style="8" customWidth="1"/>
    <col min="4" max="4" width="72.75" style="8" customWidth="1"/>
    <col min="5" max="11" width="30.625" style="8" customWidth="1"/>
    <col min="12" max="12" width="4.625" style="8" customWidth="1"/>
  </cols>
  <sheetData>
    <row r="1" spans="1:12" s="1" customFormat="1" ht="30" customHeight="1" x14ac:dyDescent="0.35">
      <c r="A1" s="37" t="e" vm="1">
        <v>#VALUE!</v>
      </c>
      <c r="C1" s="210" t="s">
        <v>818</v>
      </c>
    </row>
    <row r="2" spans="1:12" s="2" customFormat="1" ht="20.100000000000001" customHeight="1" x14ac:dyDescent="0.25">
      <c r="A2"/>
    </row>
    <row r="3" spans="1:12" ht="20.100000000000001" customHeight="1" x14ac:dyDescent="0.25">
      <c r="A3" s="16" t="str">
        <f>HYPERLINK("#'Overview'!A1", "Overview")</f>
        <v>Overview</v>
      </c>
      <c r="C3" s="211"/>
      <c r="D3" s="211"/>
      <c r="E3" s="211"/>
      <c r="F3" s="211"/>
      <c r="G3" s="211"/>
      <c r="H3" s="211"/>
      <c r="I3" s="211"/>
      <c r="J3" s="211"/>
      <c r="K3" s="211"/>
      <c r="L3" s="211"/>
    </row>
    <row r="4" spans="1:12" ht="20.100000000000001" customHeight="1" x14ac:dyDescent="0.25">
      <c r="A4" s="221" t="str">
        <f>HYPERLINK("#'Results'!A1", "Results")</f>
        <v>Results</v>
      </c>
    </row>
    <row r="5" spans="1:12" ht="20.100000000000001" customHeight="1" x14ac:dyDescent="0.25">
      <c r="D5" s="9" t="s">
        <v>819</v>
      </c>
      <c r="E5" s="212"/>
      <c r="F5" s="212"/>
      <c r="G5" s="212"/>
      <c r="H5" s="9"/>
      <c r="I5" s="9"/>
      <c r="J5" s="9"/>
    </row>
    <row r="6" spans="1:12" ht="20.100000000000001" customHeight="1" x14ac:dyDescent="0.3">
      <c r="D6" s="213"/>
      <c r="E6" s="214"/>
      <c r="F6" s="214"/>
      <c r="G6" s="214"/>
      <c r="H6" s="212"/>
      <c r="I6" s="147"/>
      <c r="J6" s="147"/>
    </row>
    <row r="7" spans="1:12" ht="20.100000000000001" customHeight="1" x14ac:dyDescent="0.25">
      <c r="A7" s="19" t="s">
        <v>67</v>
      </c>
      <c r="D7" s="95" t="s">
        <v>820</v>
      </c>
      <c r="E7" s="110"/>
      <c r="F7" s="96"/>
      <c r="G7" s="147"/>
      <c r="H7" s="147"/>
      <c r="I7" s="147"/>
      <c r="J7" s="147"/>
    </row>
    <row r="8" spans="1:12" ht="20.100000000000001" customHeight="1" x14ac:dyDescent="0.25">
      <c r="A8" s="16" t="str">
        <f>HYPERLINK("#'Input - Site'!A1", "Site")</f>
        <v>Site</v>
      </c>
      <c r="D8" s="147"/>
      <c r="E8" s="147"/>
      <c r="F8" s="147"/>
      <c r="G8" s="147"/>
      <c r="H8" s="147"/>
      <c r="I8" s="147"/>
      <c r="J8" s="147"/>
    </row>
    <row r="9" spans="1:12" ht="20.100000000000001" customHeight="1" x14ac:dyDescent="0.25">
      <c r="A9" s="16" t="str">
        <f>HYPERLINK("#'Input - Fuel'!A1", "Fuel")</f>
        <v>Fuel</v>
      </c>
      <c r="D9" s="215" t="s">
        <v>821</v>
      </c>
      <c r="E9" s="215" t="s">
        <v>822</v>
      </c>
      <c r="F9" s="215" t="s">
        <v>823</v>
      </c>
      <c r="G9" s="215"/>
    </row>
    <row r="10" spans="1:12" ht="20.100000000000001" customHeight="1" x14ac:dyDescent="0.25">
      <c r="A10" s="16" t="str">
        <f>HYPERLINK("#'Input - Fertiliser'!A1", "Fertiliser")</f>
        <v>Fertiliser</v>
      </c>
      <c r="D10" s="8" t="str" cm="1">
        <f t="array" ref="D10">Common_InputFunctions.Utility_ResultsItemFromEquationTitleAndSource('15 Scope 3'!D5,'15 Scope 3'!D6)</f>
        <v>15.1.1.1 Total emissions from purchased livestock</v>
      </c>
      <c r="E10" s="216" t="s">
        <v>836</v>
      </c>
      <c r="F10" s="216" t="s">
        <v>836</v>
      </c>
      <c r="G10" s="13" t="s">
        <v>824</v>
      </c>
    </row>
    <row r="11" spans="1:12" ht="20.100000000000001" customHeight="1" x14ac:dyDescent="0.25">
      <c r="A11" s="16" t="str">
        <f>HYPERLINK("#'Input - Common farm inputs'!A1", "Common farm inputs")</f>
        <v>Common farm inputs</v>
      </c>
      <c r="D11" s="217" t="str">
        <f>'15 Scope 3'!D21</f>
        <v>Beef cattle</v>
      </c>
      <c r="E11" s="216">
        <f>VEERG_15_1_1_1__1_EmissionsFromPurchasedLivestock_BeefCattle_Result_Method1</f>
        <v>1052.5</v>
      </c>
      <c r="F11" s="216">
        <f>VEERG_15_1_1_1__1_EmissionsFromPurchasedLivestock_BeefCattle_Result_Method2</f>
        <v>1014.5</v>
      </c>
      <c r="G11" s="13" t="s">
        <v>824</v>
      </c>
    </row>
    <row r="12" spans="1:12" ht="20.100000000000001" customHeight="1" x14ac:dyDescent="0.25">
      <c r="A12" s="16" t="str">
        <f>HYPERLINK("#'Input - Processing inputs'!A1", "Processing inputs")</f>
        <v>Processing inputs</v>
      </c>
      <c r="D12" s="217" t="str">
        <f>'15 Scope 3'!D38</f>
        <v>Dairy cattle</v>
      </c>
      <c r="E12" s="216">
        <f>VEERG_15_1_1_1__1_EmissionsFromPurchasedLivestock_DairyCattle_Result_Method1</f>
        <v>295.47000000000003</v>
      </c>
      <c r="F12" s="216">
        <f>VEERG_15_1_1_1__1_EmissionsFromPurchasedLivestock_DairyCattle_Result_Method2</f>
        <v>415.625</v>
      </c>
      <c r="G12" s="13" t="s">
        <v>824</v>
      </c>
    </row>
    <row r="13" spans="1:12" ht="20.100000000000001" customHeight="1" x14ac:dyDescent="0.25">
      <c r="A13" s="16" t="str">
        <f>HYPERLINK("#'Input - Crop pasture farm input'!A1", "Crop pasture farm input")</f>
        <v>Crop pasture farm input</v>
      </c>
      <c r="D13" s="217" t="str">
        <f>'15 Scope 3'!D57</f>
        <v>Pigs</v>
      </c>
      <c r="E13" s="216">
        <f>VEERG_15_1_1_1__1_EmissionsFromPurchasedLivestock_Pigs_Result_Method1</f>
        <v>127.08800000000001</v>
      </c>
      <c r="F13" s="216">
        <f>VEERG_15_1_1_1__1_EmissionsFromPurchasedLivestock_Pigs_Result_Method2</f>
        <v>73.38000000000001</v>
      </c>
      <c r="G13" s="13" t="s">
        <v>824</v>
      </c>
    </row>
    <row r="14" spans="1:12" ht="20.100000000000001" customHeight="1" x14ac:dyDescent="0.25">
      <c r="A14" s="16" t="str">
        <f>HYPERLINK("#'Input - Hort farm Inputs'!A1", "Hort farm Inputs")</f>
        <v>Hort farm Inputs</v>
      </c>
      <c r="D14" s="217" t="str">
        <f>'15 Scope 3'!D75</f>
        <v>Poultry</v>
      </c>
      <c r="E14" s="216">
        <f>VEERG_15_1_1_1__1_EmissionsFromPurchasedLivestock_Poultry_Result_Method1</f>
        <v>0.36720000000000003</v>
      </c>
      <c r="F14" s="216">
        <f>VEERG_15_1_1_1__1_EmissionsFromPurchasedLivestock_Poultry_Result_Method2</f>
        <v>0.35940000000000005</v>
      </c>
      <c r="G14" s="13" t="s">
        <v>824</v>
      </c>
    </row>
    <row r="15" spans="1:12" ht="20.100000000000001" customHeight="1" x14ac:dyDescent="0.25">
      <c r="A15" s="16" t="str">
        <f>HYPERLINK("#'Input - Livestock farm Inputs'!A1", "Livestock farm Inputs")</f>
        <v>Livestock farm Inputs</v>
      </c>
      <c r="C15" s="218"/>
      <c r="D15" s="8" t="str" cm="1">
        <f t="array" ref="D15">Common_InputFunctions.Utility_ResultsItemFromEquationTitleAndSource('15 Scope 3'!D98,'15 Scope 3'!D99)</f>
        <v>15.2.1.1 Emissions from purchased feed</v>
      </c>
      <c r="E15" s="216">
        <f>VEERG_15_2_1_1__1_EmissionsFromPurchasedFeed_Result_Method1</f>
        <v>646.34159999999997</v>
      </c>
      <c r="F15" s="216">
        <f>VEERG_15_2_1_1__1_EmissionsFromPurchasedFeed_Result_Method2</f>
        <v>529.78</v>
      </c>
      <c r="G15" s="13" t="s">
        <v>824</v>
      </c>
    </row>
    <row r="16" spans="1:12" ht="20.100000000000001" customHeight="1" x14ac:dyDescent="0.25">
      <c r="A16" s="16" t="str">
        <f>HYPERLINK("#'Input - Aquaculture inputs'!A1", "Aquaculture inputs")</f>
        <v>Aquaculture inputs</v>
      </c>
      <c r="C16" s="218"/>
      <c r="D16" s="8" t="str" cm="1">
        <f t="array" ref="D16">Common_InputFunctions.Utility_ResultsItemFromEquationTitleAndSource('15 Scope 3'!D149,'15 Scope 3'!D150)</f>
        <v>15.3.1.1 Total emissions from purchased mineral supplements</v>
      </c>
      <c r="E16" s="216">
        <f>VEERG_15_3_1_1__1_EmissionsFromPurchasedMineralSupplements_Result_Method1</f>
        <v>178.9</v>
      </c>
      <c r="F16" s="216">
        <f>VEERG_15_3_1_1__1_EmissionsFromPurchasedMineralSupplements_Result_Method2</f>
        <v>160</v>
      </c>
      <c r="G16" s="13" t="s">
        <v>824</v>
      </c>
    </row>
    <row r="17" spans="1:8" ht="20.100000000000001" customHeight="1" x14ac:dyDescent="0.25">
      <c r="A17" s="16" t="str">
        <f>HYPERLINK("#'Input - Beef cattle purchases'!A1", "Beef cattle purchases")</f>
        <v>Beef cattle purchases</v>
      </c>
      <c r="D17" s="8" t="str" cm="1">
        <f t="array" ref="D17">Common_InputFunctions.Utility_ResultsItemFromEquationTitleAndSource('15 Scope 3'!D186,'15 Scope 3'!D187)</f>
        <v>15.4.1.1 Emissions from purchased fertiliser</v>
      </c>
      <c r="E17" s="216">
        <f>VEERG_15_4_1_1__2_EmissionsFromPurchasedFertiliserComponentsVariation_Result_Method1</f>
        <v>0</v>
      </c>
      <c r="F17" s="216">
        <f>VEERG_15_4_1_1__2_EmissionsFromPurchasedFertiliserComponentsVariation_Result_Method2</f>
        <v>0</v>
      </c>
      <c r="G17" s="13" t="s">
        <v>824</v>
      </c>
    </row>
    <row r="18" spans="1:8" ht="20.100000000000001" customHeight="1" x14ac:dyDescent="0.25">
      <c r="A18" s="16" t="str">
        <f>HYPERLINK("#'Input - Dairy cattle purchases'!A1", "Dairy cattle purchases")</f>
        <v>Dairy cattle purchases</v>
      </c>
      <c r="D18" s="8" t="str" cm="1">
        <f t="array" ref="D18">Common_InputFunctions.Utility_ResultsItemFromEquationTitleAndSource('15 Scope 3'!D256,'15 Scope 3'!D257)</f>
        <v>15.5.1.1 Total emissions from purchased agrichemicals</v>
      </c>
      <c r="E18" s="216">
        <f>VEERG_15_5_1_1__1_EmissionsFromPurchasedAgrichemicals_Result_Method1</f>
        <v>7.5159999999999991</v>
      </c>
      <c r="F18" s="216">
        <f>VEERG_15_5_1_1__1_EmissionsFromPurchasedAgrichemicals_Result_Method2</f>
        <v>7.4959999999999996</v>
      </c>
      <c r="G18" s="13" t="s">
        <v>824</v>
      </c>
    </row>
    <row r="19" spans="1:8" ht="20.100000000000001" customHeight="1" x14ac:dyDescent="0.25">
      <c r="A19" s="16" t="str">
        <f>HYPERLINK("#'Input - Pig purchases'!A1", "Pig purchases")</f>
        <v>Pig purchases</v>
      </c>
      <c r="D19" s="8" t="str" cm="1">
        <f t="array" ref="D19">Common_InputFunctions.Utility_ResultsItemFromEquationTitleAndSource('15 Scope 3'!D288,'15 Scope 3'!D289)</f>
        <v>15.6.1.1 Embedded emissions for purchased lime</v>
      </c>
      <c r="E19" s="216">
        <f>VEERG_15_6_1_1__1_EmissionsFromPurchasedLime_Result_Method1</f>
        <v>1.6553999999999999E-2</v>
      </c>
      <c r="F19" s="216">
        <f>VEERG_15_6_1_1__1_EmissionsFromPurchasedLime_Result_Method2</f>
        <v>1.4400000000000001E-2</v>
      </c>
      <c r="G19" s="13" t="s">
        <v>824</v>
      </c>
    </row>
    <row r="20" spans="1:8" ht="20.100000000000001" customHeight="1" x14ac:dyDescent="0.25">
      <c r="A20" s="16" t="str">
        <f>HYPERLINK("#'Input - Poultry purchases'!A1", "Poultry purchases")</f>
        <v>Poultry purchases</v>
      </c>
      <c r="D20" s="8" t="str" cm="1">
        <f t="array" ref="D20">Common_InputFunctions.Utility_ResultsItemFromEquationTitleAndSource('15 Scope 3'!D321,'15 Scope 3'!D322)</f>
        <v>15.7.1.1 Emissions of purchased services and contractor operations</v>
      </c>
      <c r="E20" s="216" t="str">
        <f>VEERG_15_7_1_1__1_EmissionsFromPurchasedServices_Result_Method1</f>
        <v>No data</v>
      </c>
      <c r="F20" s="216">
        <f>VEERG_15_7_1_1__1_EmissionsFromPurchasedServices_Result_Method2</f>
        <v>42</v>
      </c>
      <c r="G20" s="13" t="s">
        <v>824</v>
      </c>
      <c r="H20" s="218"/>
    </row>
    <row r="21" spans="1:8" ht="20.100000000000001" customHeight="1" x14ac:dyDescent="0.25">
      <c r="A21" s="16" t="str">
        <f>HYPERLINK("#'Input - Freight'!A1", "Freight")</f>
        <v>Freight</v>
      </c>
      <c r="D21" s="8" t="str" cm="1">
        <f t="array" ref="D21">Common_InputFunctions.Utility_ResultsItemFromEquationTitleAndSource('15 Scope 3'!D352,'15 Scope 3'!D353)</f>
        <v>15.8.1.1 Embedded emissions from use of packaging materials</v>
      </c>
      <c r="E21" s="216">
        <f>VEERG_15_8_1_1__1_EmissionsFromPurchasedPackaging_Result_Method1</f>
        <v>7.44</v>
      </c>
      <c r="F21" s="216">
        <f>VEERG_15_8_1_1__1_EmissionsFromPurchasedPackaging_Result_Method2</f>
        <v>6</v>
      </c>
      <c r="G21" s="13" t="s">
        <v>824</v>
      </c>
    </row>
    <row r="22" spans="1:8" ht="20.100000000000001" customHeight="1" x14ac:dyDescent="0.25">
      <c r="A22" s="16" t="str">
        <f>HYPERLINK("#'Input - Solid waste'!A1", "Solid waste")</f>
        <v>Solid waste</v>
      </c>
      <c r="D22" s="8" t="str" cm="1">
        <f t="array" ref="D22">Common_InputFunctions.Utility_ResultsItemFromEquationTitleAndSource('15 Scope 3'!D383,'15 Scope 3'!D384)</f>
        <v>15.9.1.1 Embedded emissions from use of grow media products</v>
      </c>
      <c r="E22" s="216" t="str">
        <f>VEERG_15_9_1_1__1_EmissionsFromPurchasedGrowMedia_Result_Method1</f>
        <v>No data</v>
      </c>
      <c r="F22" s="216">
        <f>VEERG_15_9_1_1__1_EmissionsFromPurchasedGrowMedia_Result_Method2</f>
        <v>40.200000000000003</v>
      </c>
      <c r="G22" s="13" t="s">
        <v>824</v>
      </c>
    </row>
    <row r="23" spans="1:8" ht="20.100000000000001" customHeight="1" x14ac:dyDescent="0.25">
      <c r="A23" s="16" t="str">
        <f>HYPERLINK("#'Input - Manure sent off-site'!A1", "Manure sent off-site")</f>
        <v>Manure sent off-site</v>
      </c>
      <c r="D23" s="8" t="str" cm="1">
        <f t="array" ref="D23">Common_InputFunctions.Utility_ResultsItemFromEquationTitleAndSource('15 Scope 3'!D415,'15 Scope 3'!D416)</f>
        <v>15.10 Other purchased goods and services generic estimate</v>
      </c>
      <c r="E23" s="216" t="s">
        <v>836</v>
      </c>
      <c r="F23" s="216" t="s">
        <v>836</v>
      </c>
      <c r="G23" s="13" t="s">
        <v>824</v>
      </c>
    </row>
    <row r="24" spans="1:8" ht="20.100000000000001" customHeight="1" x14ac:dyDescent="0.25">
      <c r="A24" s="16" t="str">
        <f>HYPERLINK("#'Input - Electricity'!A1", "Electricity")</f>
        <v>Electricity</v>
      </c>
      <c r="D24" s="217" t="str">
        <f>'15 Scope 3'!D427</f>
        <v>Cleaning chemical purchases</v>
      </c>
      <c r="E24" s="216">
        <f>VEERG_15_10_1_1__1_OtherPurchasedGoodsAndServices_CleaningChemicals_Result_Method1</f>
        <v>0.50509999999999999</v>
      </c>
      <c r="F24" s="216">
        <f>VEERG_15_10_1_1__1_OtherPurchasedGoodsAndServices_CleaningChemicals_Result_Method2</f>
        <v>2.73</v>
      </c>
      <c r="G24" s="13" t="s">
        <v>824</v>
      </c>
    </row>
    <row r="25" spans="1:8" ht="20.100000000000001" customHeight="1" x14ac:dyDescent="0.25">
      <c r="D25" s="217" t="str">
        <f>'15 Scope 3'!D445</f>
        <v>Pharmacy chemical purchases</v>
      </c>
      <c r="E25" s="216">
        <f>VEERG_15_10_1_1__1_OtherPurchasedGoodsAndServices_PharmacyChemicals_Result_Method1</f>
        <v>1.5636000000000001E-2</v>
      </c>
      <c r="F25" s="216">
        <f>VEERG_15_10_1_1__1_OtherPurchasedGoodsAndServices_PharmacyChemicals_Result_Method2</f>
        <v>1.3400000000000002E-2</v>
      </c>
      <c r="G25" s="13" t="s">
        <v>824</v>
      </c>
    </row>
    <row r="26" spans="1:8" ht="20.100000000000001" customHeight="1" x14ac:dyDescent="0.25">
      <c r="D26" s="217" t="str">
        <f>'15 Scope 3'!D463</f>
        <v>Seed</v>
      </c>
      <c r="E26" s="216">
        <f>VEERG_15_10_1_1__1_OtherPurchasedGoodsAndServices_Seed_Result_Method1</f>
        <v>0.84389999999999998</v>
      </c>
      <c r="F26" s="216">
        <f>VEERG_15_10_1_1__1_OtherPurchasedGoodsAndServices_Seed_Result_Method2</f>
        <v>0.71420000000000006</v>
      </c>
      <c r="G26" s="13" t="s">
        <v>824</v>
      </c>
    </row>
    <row r="27" spans="1:8" ht="20.100000000000001" customHeight="1" x14ac:dyDescent="0.25">
      <c r="A27" s="21" t="s">
        <v>77</v>
      </c>
      <c r="D27" s="217" t="str">
        <f>'15 Scope 3'!D476</f>
        <v>Miscellaneous Inputs</v>
      </c>
      <c r="E27" s="216">
        <f>VEERG_15_10_1_1__1_OtherPurchasedGoodsAndServices_Misc_Result_Method1</f>
        <v>2.9531000000000005</v>
      </c>
      <c r="F27" s="216">
        <f>VEERG_15_10_1_1__1_OtherPurchasedGoodsAndServices_Misc_Result_Method2</f>
        <v>8.5860000000000006E-2</v>
      </c>
      <c r="G27" s="13" t="s">
        <v>824</v>
      </c>
    </row>
    <row r="28" spans="1:8" ht="20.100000000000001" customHeight="1" x14ac:dyDescent="0.25">
      <c r="A28" s="16" t="str">
        <f>HYPERLINK("#'15 Scope 3'!A1", "15 Scope 3")</f>
        <v>15 Scope 3</v>
      </c>
      <c r="D28" s="217" t="str">
        <f>'15 Scope 3'!D487</f>
        <v>Uncategorised products with no Method 1 EF data</v>
      </c>
      <c r="E28" s="216" t="str">
        <f>VEERG_15_10_1_1__1_OtherPurchasedGoodsAndServices_Uncategorised_Result_Method1</f>
        <v>No data</v>
      </c>
      <c r="F28" s="216">
        <f>VEERG_15_10_1_1__1_OtherPurchasedGoodsAndServices_Uncategorised_Result_Method2</f>
        <v>4000</v>
      </c>
      <c r="G28" s="13" t="s">
        <v>824</v>
      </c>
    </row>
    <row r="29" spans="1:8" ht="20.100000000000001" customHeight="1" x14ac:dyDescent="0.25">
      <c r="A29" s="16" t="str">
        <f>HYPERLINK("#'10.1.1-2 Solid waste treatment'!A1", "10.1.1-2 Solid waste treatment")</f>
        <v>10.1.1-2 Solid waste treatment</v>
      </c>
      <c r="D29" s="8" t="str" cm="1">
        <f t="array" ref="D29">Common_InputFunctions.Utility_ResultsItemFromEquationTitleAndSource('15 Scope 3'!D506,'15 Scope 3'!D507)</f>
        <v>15.11.1.1 Total upstream emissions from scope 1 fuel consumption</v>
      </c>
      <c r="E29" s="216">
        <f>VEERG_15_11_1_1__1_TotalUpstreamEmissionsFromFuel_Result</f>
        <v>26.794</v>
      </c>
      <c r="F29" s="216">
        <f>E29</f>
        <v>26.794</v>
      </c>
      <c r="G29" s="13" t="s">
        <v>824</v>
      </c>
    </row>
    <row r="30" spans="1:8" ht="20.100000000000001" customHeight="1" x14ac:dyDescent="0.25">
      <c r="A30" s="16" t="str">
        <f>HYPERLINK("#'Calcs - Manure sent off-site'!A1", "Calcs - Manure sent off-site")</f>
        <v>Calcs - Manure sent off-site</v>
      </c>
      <c r="D30" s="8" t="str" cm="1">
        <f t="array" ref="D30">Common_InputFunctions.Utility_ResultsItemFromEquationTitleAndSource('15 Scope 3'!D521,'15 Scope 3'!D522)</f>
        <v>15.12.1.1 Scope 3 emissions from purchased electricity location based</v>
      </c>
      <c r="E30" s="216">
        <f>VEERG_15_12_1_1__1_UpstreamPurchasedElectricityLocationBased_Result</f>
        <v>2.7</v>
      </c>
      <c r="F30" s="216">
        <f>E30</f>
        <v>2.7</v>
      </c>
      <c r="G30" s="13" t="s">
        <v>824</v>
      </c>
    </row>
    <row r="31" spans="1:8" ht="20.100000000000001" customHeight="1" x14ac:dyDescent="0.25">
      <c r="A31" s="16" t="str">
        <f>HYPERLINK("#'8.1.1.1-2 Transport fuel'!A1", "8.1.1.1-2 Transport fuel")</f>
        <v>8.1.1.1-2 Transport fuel</v>
      </c>
      <c r="D31" s="8" t="str" cm="1">
        <f t="array" ref="D31">Common_InputFunctions.Utility_ResultsItemFromEquationTitleAndSource('15 Scope 3'!D537,'15 Scope 3'!D538)</f>
        <v>15.12.1.2 Scope 3 emissions from purchased electricity market based</v>
      </c>
      <c r="E31" s="216">
        <f>VEERG_15_12_1_2__1_UpstreamPurchasedElectricityMarketBasedVariation_Result</f>
        <v>1.5</v>
      </c>
      <c r="F31" s="216">
        <f>E31</f>
        <v>1.5</v>
      </c>
      <c r="G31" s="13" t="s">
        <v>824</v>
      </c>
    </row>
    <row r="32" spans="1:8" ht="20.100000000000001" customHeight="1" x14ac:dyDescent="0.25">
      <c r="A32" s="16" t="str">
        <f>HYPERLINK("#'8.2.1.1-2 Stationary fuel'!A1", "8.2.1.1-2 Stationary fuel")</f>
        <v>8.2.1.1-2 Stationary fuel</v>
      </c>
      <c r="D32" s="8" t="str" cm="1">
        <f t="array" ref="D32">Common_InputFunctions.Utility_ResultsItemFromEquationTitleAndSource('15 Scope 3'!D559,'15 Scope 3'!D560)</f>
        <v>15.13.1.1 Emissions from manure sent off site applied to soils in another farming system or enterprise</v>
      </c>
      <c r="E32" s="216">
        <f>VEERG_15_13_1_1__1_EmissionsFromManureSentOffSite_Result_Method1_CO2e</f>
        <v>3.7936642857142857</v>
      </c>
      <c r="F32" s="216">
        <f>VEERG_15_13_1_1__1_EmissionsFromManureSentOffSite_Result_Method2_CO2e</f>
        <v>7.5873285714285714</v>
      </c>
      <c r="G32" s="13" t="s">
        <v>824</v>
      </c>
    </row>
    <row r="33" spans="1:7" ht="20.100000000000001" customHeight="1" x14ac:dyDescent="0.25">
      <c r="D33" s="8" t="str" cm="1">
        <f t="array" ref="D33">Common_InputFunctions.Utility_ResultsItemFromEquationTitleAndSource('15 Scope 3'!D582,'15 Scope 3'!D583&amp;",")</f>
        <v>15.13.1.3 Emissions from solid waste sent to a treatment facility</v>
      </c>
      <c r="E33" s="216">
        <f>VEERG_10_1_1_1__1_EmissionsFromWasteManagement_Scope3_Result_Method1</f>
        <v>441.15000000000003</v>
      </c>
      <c r="F33" s="216">
        <f>E33</f>
        <v>441.15000000000003</v>
      </c>
      <c r="G33" s="13" t="s">
        <v>824</v>
      </c>
    </row>
    <row r="34" spans="1:7" ht="20.100000000000001" customHeight="1" x14ac:dyDescent="0.25">
      <c r="D34" s="8" t="str" cm="1">
        <f t="array" ref="D34">Common_InputFunctions.Utility_ResultsItemFromEquationTitleAndSource('15 Scope 3'!D592,'15 Scope 3'!D593)</f>
        <v>15.14.1.1 Embedded emissions from upstream freight</v>
      </c>
      <c r="E34" s="216" t="s">
        <v>836</v>
      </c>
      <c r="F34" s="216" t="s">
        <v>836</v>
      </c>
      <c r="G34" s="13" t="s">
        <v>824</v>
      </c>
    </row>
    <row r="35" spans="1:7" ht="20.100000000000001" customHeight="1" x14ac:dyDescent="0.25">
      <c r="A35" s="222" t="s">
        <v>78</v>
      </c>
      <c r="D35" s="217" t="str">
        <f>'15 Scope 3'!D606</f>
        <v>Incoming freight</v>
      </c>
      <c r="E35" s="216" t="str">
        <f>VEERG_15_14_1_1__1_EmbeddedEmissionsFromUpstreamFreight_Incoming_Result_Method1</f>
        <v>No data</v>
      </c>
      <c r="F35" s="216">
        <f>VEERG_15_14_1_1__1_EmbeddedEmissionsFromUpstreamFreight_Incoming_Result_Method2</f>
        <v>5146700</v>
      </c>
      <c r="G35" s="13" t="s">
        <v>824</v>
      </c>
    </row>
    <row r="36" spans="1:7" ht="20.100000000000001" customHeight="1" x14ac:dyDescent="0.25">
      <c r="A36" s="16" t="str">
        <f>HYPERLINK("#'Constants - Scope 3'!A1", "Constants - Scope 3")</f>
        <v>Constants - Scope 3</v>
      </c>
      <c r="D36" s="217" t="str">
        <f>'15 Scope 3'!D624</f>
        <v>Outgoing freight</v>
      </c>
      <c r="E36" s="216" t="str">
        <f>VEERG_15_14_1_1__1_EmbeddedEmissionsFromUpstreamFreight_Outgoing_Result_Method1</f>
        <v>No data</v>
      </c>
      <c r="F36" s="216">
        <f>VEERG_15_14_1_1__1_EmbeddedEmissionsFromUpstreamFreight_Outgoing_Result_Method2</f>
        <v>432640</v>
      </c>
      <c r="G36" s="13" t="s">
        <v>824</v>
      </c>
    </row>
    <row r="37" spans="1:7" ht="20.100000000000001" customHeight="1" x14ac:dyDescent="0.25">
      <c r="A37" s="16" t="str">
        <f>HYPERLINK("#'Constants - Solid Waste'!A1", "Constants - Solid Waste")</f>
        <v>Constants - Solid Waste</v>
      </c>
      <c r="D37" s="60" t="s">
        <v>214</v>
      </c>
      <c r="E37" s="219">
        <f>SUM(E10:E36)</f>
        <v>2795.894754285714</v>
      </c>
      <c r="F37" s="219">
        <f>SUM(F10:F36)</f>
        <v>5586112.6295885714</v>
      </c>
      <c r="G37" s="175" t="s">
        <v>824</v>
      </c>
    </row>
    <row r="38" spans="1:7" ht="20.100000000000001" customHeight="1" x14ac:dyDescent="0.25">
      <c r="A38" s="16" t="str">
        <f>HYPERLINK("#'Constants - Fuel'!A1", "Constants - Fuel")</f>
        <v>Constants - Fuel</v>
      </c>
    </row>
    <row r="39" spans="1:7" ht="20.100000000000001" customHeight="1" x14ac:dyDescent="0.25">
      <c r="A39" s="16" t="str">
        <f>HYPERLINK("#'Constants - Poultry'!A1", "Constants - Poultry")</f>
        <v>Constants - Poultry</v>
      </c>
    </row>
    <row r="40" spans="1:7" ht="20.100000000000001" customHeight="1" x14ac:dyDescent="0.25">
      <c r="A40" s="16" t="str">
        <f>HYPERLINK("#'Constants - Swine'!A1", "Constants - Swine")</f>
        <v>Constants - Swine</v>
      </c>
    </row>
    <row r="41" spans="1:7" ht="20.100000000000001" customHeight="1" x14ac:dyDescent="0.25">
      <c r="A41" s="16" t="str">
        <f>HYPERLINK("#'Constants - Dairy'!A1", "Constants - Dairy")</f>
        <v>Constants - Dairy</v>
      </c>
    </row>
    <row r="42" spans="1:7" ht="20.100000000000001" customHeight="1" x14ac:dyDescent="0.25">
      <c r="A42" s="16" t="str">
        <f>HYPERLINK("#'Constants - Pasture Beef'!A1", "Constants - Pasture Beef")</f>
        <v>Constants - Pasture Beef</v>
      </c>
    </row>
    <row r="43" spans="1:7" ht="20.100000000000001" customHeight="1" x14ac:dyDescent="0.25">
      <c r="A43" s="16" t="str">
        <f>HYPERLINK("#'Constants - Common Livestock'!A1", "Constants - Common Livestock")</f>
        <v>Constants - Common Livestock</v>
      </c>
    </row>
    <row r="44" spans="1:7" ht="20.100000000000001" customHeight="1" x14ac:dyDescent="0.25">
      <c r="A44" s="16" t="str">
        <f>HYPERLINK("#'Constants - Fertiliser'!A1", "Constants - Fertiliser")</f>
        <v>Constants - Fertiliser</v>
      </c>
    </row>
    <row r="45" spans="1:7" ht="20.100000000000001" customHeight="1" x14ac:dyDescent="0.25">
      <c r="A45" s="16" t="str">
        <f>HYPERLINK("#'Constants - Electricity'!A1", "Constants - Electricity")</f>
        <v>Constants - Electricity</v>
      </c>
    </row>
    <row r="46" spans="1:7" ht="20.100000000000001" customHeight="1" x14ac:dyDescent="0.25">
      <c r="A46" s="16" t="str">
        <f>HYPERLINK("#'Constants - Common'!A1", "Constants - Common")</f>
        <v>Constants - Common</v>
      </c>
    </row>
    <row r="47" spans="1:7" ht="20.100000000000001" customHeight="1" x14ac:dyDescent="0.25"/>
    <row r="48" spans="1: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21F3E-7F84-4404-8C8A-1F2B32FE68C5}">
  <sheetPr>
    <pageSetUpPr autoPageBreaks="0"/>
  </sheetPr>
  <dimension ref="A1:AA160"/>
  <sheetViews>
    <sheetView showGridLines="0" zoomScaleNormal="100" workbookViewId="0">
      <selection activeCell="A46" sqref="A46"/>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7" t="e" vm="1">
        <v>#VALUE!</v>
      </c>
      <c r="C1" s="102" t="s">
        <v>255</v>
      </c>
    </row>
    <row r="2" spans="1:24" s="4" customFormat="1" ht="20.100000000000001" customHeight="1" x14ac:dyDescent="0.25">
      <c r="A2"/>
      <c r="C2" s="2"/>
      <c r="D2" s="2"/>
      <c r="E2" s="2"/>
      <c r="F2" s="2"/>
      <c r="G2" s="2"/>
      <c r="H2" s="2"/>
      <c r="I2" s="2"/>
      <c r="J2" s="2"/>
    </row>
    <row r="3" spans="1:24" ht="20.100000000000001" customHeight="1" x14ac:dyDescent="0.25">
      <c r="A3" s="16" t="str">
        <f>HYPERLINK("#'Overview'!A1", "Overview")</f>
        <v>Overview</v>
      </c>
      <c r="C3" s="38"/>
      <c r="D3" s="38"/>
      <c r="E3" s="38"/>
      <c r="F3" s="38"/>
      <c r="G3" s="38"/>
      <c r="H3" s="38"/>
      <c r="I3" s="38"/>
      <c r="J3" s="38"/>
      <c r="K3" s="38"/>
      <c r="M3" s="6"/>
      <c r="N3" s="6"/>
      <c r="O3" s="6"/>
      <c r="P3" s="6"/>
      <c r="Q3" s="6"/>
      <c r="R3" s="6"/>
      <c r="S3" s="6"/>
      <c r="T3" s="6"/>
      <c r="U3" s="6"/>
      <c r="V3" s="6"/>
      <c r="W3" s="6"/>
      <c r="X3" s="6"/>
    </row>
    <row r="4" spans="1:24" ht="20.100000000000001" customHeight="1" x14ac:dyDescent="0.25">
      <c r="A4" s="16" t="str">
        <f>HYPERLINK("#'Results'!A1", "Results")</f>
        <v>Results</v>
      </c>
      <c r="C4" s="103"/>
      <c r="D4" s="103"/>
      <c r="E4" s="103"/>
      <c r="F4" s="103"/>
      <c r="G4" s="103"/>
      <c r="H4" s="103"/>
      <c r="I4" s="103"/>
      <c r="J4" s="103"/>
      <c r="K4" s="103"/>
    </row>
    <row r="5" spans="1:24" ht="20.100000000000001" customHeight="1" x14ac:dyDescent="0.25">
      <c r="A5"/>
      <c r="D5" s="9" t="s">
        <v>256</v>
      </c>
      <c r="N5" s="104"/>
    </row>
    <row r="6" spans="1:24" ht="20.100000000000001" customHeight="1" x14ac:dyDescent="0.25">
      <c r="A6"/>
      <c r="D6" s="105"/>
      <c r="N6" s="106"/>
    </row>
    <row r="7" spans="1:24" ht="20.100000000000001" customHeight="1" x14ac:dyDescent="0.25">
      <c r="A7" s="19" t="s">
        <v>67</v>
      </c>
      <c r="D7" s="8" t="s">
        <v>257</v>
      </c>
      <c r="E7" s="82" t="s">
        <v>258</v>
      </c>
      <c r="F7" s="65"/>
    </row>
    <row r="8" spans="1:24" ht="20.100000000000001" customHeight="1" x14ac:dyDescent="0.25">
      <c r="A8" s="42" t="str">
        <f>HYPERLINK("#'Input - Site'!A1", "Site")</f>
        <v>Site</v>
      </c>
      <c r="D8" s="107" t="s">
        <v>259</v>
      </c>
      <c r="E8" s="82" t="s">
        <v>260</v>
      </c>
    </row>
    <row r="9" spans="1:24" ht="20.100000000000001" customHeight="1" x14ac:dyDescent="0.25">
      <c r="A9" s="16" t="str">
        <f>HYPERLINK("#'Input - Fuel'!A1", "Fuel")</f>
        <v>Fuel</v>
      </c>
      <c r="N9" s="108"/>
    </row>
    <row r="10" spans="1:24" ht="20.100000000000001" customHeight="1" x14ac:dyDescent="0.25">
      <c r="A10" s="16" t="str">
        <f>HYPERLINK("#'Input - Fertiliser'!A1", "Fertiliser")</f>
        <v>Fertiliser</v>
      </c>
      <c r="D10" s="95" t="s">
        <v>261</v>
      </c>
      <c r="E10" s="109"/>
      <c r="F10" s="110"/>
      <c r="G10" s="96"/>
      <c r="N10" s="108"/>
    </row>
    <row r="11" spans="1:24" ht="20.100000000000001" customHeight="1" x14ac:dyDescent="0.25">
      <c r="A11" s="16" t="str">
        <f>HYPERLINK("#'Input - Common farm inputs'!A1", "Common farm inputs")</f>
        <v>Common farm inputs</v>
      </c>
      <c r="N11" s="111"/>
    </row>
    <row r="12" spans="1:24" ht="20.100000000000001" customHeight="1" x14ac:dyDescent="0.25">
      <c r="A12" s="16" t="str">
        <f>HYPERLINK("#'Input - Processing inputs'!A1", "Processing inputs")</f>
        <v>Processing inputs</v>
      </c>
      <c r="D12" s="107" t="s">
        <v>262</v>
      </c>
      <c r="E12" s="112">
        <v>45292</v>
      </c>
      <c r="F12" s="65" t="s">
        <v>263</v>
      </c>
    </row>
    <row r="13" spans="1:24" ht="20.100000000000001" customHeight="1" x14ac:dyDescent="0.25">
      <c r="A13" s="16" t="str">
        <f>HYPERLINK("#'Input - Crop pasture farm input'!A1", "Crop pasture farm input")</f>
        <v>Crop pasture farm input</v>
      </c>
      <c r="D13" s="107" t="s">
        <v>264</v>
      </c>
      <c r="E13" s="113">
        <f>DATE(YEAR(X_Cell_Site_StartDate)+1,MONTH(X_Cell_Site_StartDate),DAY(X_Cell_Site_StartDate))-1</f>
        <v>45657</v>
      </c>
      <c r="F13" s="65" t="s">
        <v>265</v>
      </c>
      <c r="N13" s="114"/>
      <c r="O13" s="114"/>
    </row>
    <row r="14" spans="1:24" ht="20.100000000000001" customHeight="1" x14ac:dyDescent="0.25">
      <c r="A14" s="16" t="str">
        <f>HYPERLINK("#'Input - Hort farm Inputs'!A1", "Hort farm Inputs")</f>
        <v>Hort farm Inputs</v>
      </c>
      <c r="N14" s="114"/>
      <c r="O14" s="114"/>
    </row>
    <row r="15" spans="1:24" ht="20.100000000000001" customHeight="1" x14ac:dyDescent="0.25">
      <c r="A15" s="16" t="str">
        <f>HYPERLINK("#'Input - Livestock farm Inputs'!A1", "Livestock farm Inputs")</f>
        <v>Livestock farm Inputs</v>
      </c>
      <c r="N15" s="114"/>
      <c r="O15" s="114"/>
    </row>
    <row r="16" spans="1:24" ht="20.100000000000001" customHeight="1" x14ac:dyDescent="0.25">
      <c r="A16" s="16" t="str">
        <f>HYPERLINK("#'Input - Aquaculture inputs'!A1", "Aquaculture inputs")</f>
        <v>Aquaculture inputs</v>
      </c>
      <c r="D16" s="9" t="s">
        <v>266</v>
      </c>
      <c r="N16" s="114"/>
      <c r="O16" s="114"/>
    </row>
    <row r="17" spans="1:25" ht="20.100000000000001" customHeight="1" x14ac:dyDescent="0.25">
      <c r="A17" s="16" t="str">
        <f>HYPERLINK("#'Input - Beef cattle purchases'!A1", "Beef cattle purchases")</f>
        <v>Beef cattle purchases</v>
      </c>
    </row>
    <row r="18" spans="1:25" ht="20.100000000000001" customHeight="1" x14ac:dyDescent="0.25">
      <c r="A18" s="16" t="str">
        <f>HYPERLINK("#'Input - Dairy cattle purchases'!A1", "Dairy cattle purchases")</f>
        <v>Dairy cattle purchases</v>
      </c>
      <c r="D18" s="115" t="s">
        <v>267</v>
      </c>
      <c r="E18" s="40"/>
      <c r="F18" s="40"/>
      <c r="G18" s="41"/>
    </row>
    <row r="19" spans="1:25" ht="20.100000000000001" customHeight="1" x14ac:dyDescent="0.25">
      <c r="A19" s="16" t="str">
        <f>HYPERLINK("#'Input - Pig purchases'!A1", "Pig purchases")</f>
        <v>Pig purchases</v>
      </c>
      <c r="D19" s="43" t="s">
        <v>268</v>
      </c>
      <c r="E19" s="44"/>
      <c r="F19" s="44"/>
      <c r="G19" s="45"/>
      <c r="N19" s="104"/>
    </row>
    <row r="20" spans="1:25" ht="20.100000000000001" customHeight="1" x14ac:dyDescent="0.25">
      <c r="A20" s="16" t="str">
        <f>HYPERLINK("#'Input - Poultry purchases'!A1", "Poultry purchases")</f>
        <v>Poultry purchases</v>
      </c>
      <c r="D20" s="8"/>
      <c r="E20" s="116"/>
      <c r="F20" s="65"/>
      <c r="N20" s="106"/>
    </row>
    <row r="21" spans="1:25" ht="20.100000000000001" customHeight="1" x14ac:dyDescent="0.25">
      <c r="A21" s="16" t="str">
        <f>HYPERLINK("#'Input - Freight'!A1", "Freight")</f>
        <v>Freight</v>
      </c>
      <c r="D21" s="8" t="s">
        <v>269</v>
      </c>
      <c r="E21" s="47" t="s">
        <v>903</v>
      </c>
      <c r="F21" s="65" t="s">
        <v>190</v>
      </c>
    </row>
    <row r="22" spans="1:25" ht="20.100000000000001" customHeight="1" x14ac:dyDescent="0.25">
      <c r="A22" s="16" t="str">
        <f>HYPERLINK("#'Input - Solid waste'!A1", "Solid waste")</f>
        <v>Solid waste</v>
      </c>
      <c r="D22" s="8" t="s">
        <v>270</v>
      </c>
      <c r="E22" s="47" t="s">
        <v>271</v>
      </c>
      <c r="F22" s="65" t="s">
        <v>190</v>
      </c>
      <c r="G22" s="8"/>
    </row>
    <row r="23" spans="1:25" ht="20.100000000000001" customHeight="1" x14ac:dyDescent="0.25">
      <c r="A23" s="16" t="str">
        <f>HYPERLINK("#'Input - Manure sent off-site'!A1", "Manure sent off-site")</f>
        <v>Manure sent off-site</v>
      </c>
      <c r="D23" s="8" t="s">
        <v>740</v>
      </c>
      <c r="E23" s="47" t="s">
        <v>741</v>
      </c>
      <c r="F23" s="65" t="s">
        <v>190</v>
      </c>
    </row>
    <row r="24" spans="1:25" ht="20.100000000000001" customHeight="1" x14ac:dyDescent="0.25">
      <c r="A24" s="16" t="str">
        <f>HYPERLINK("#'Input - Electricity'!A1", "Electricity")</f>
        <v>Electricity</v>
      </c>
      <c r="D24" s="8" t="s">
        <v>16</v>
      </c>
      <c r="E24" s="82">
        <v>307.7</v>
      </c>
      <c r="F24" s="65" t="s">
        <v>742</v>
      </c>
    </row>
    <row r="25" spans="1:25" ht="20.100000000000001" customHeight="1" x14ac:dyDescent="0.25">
      <c r="A25"/>
      <c r="D25" s="8" t="s">
        <v>743</v>
      </c>
      <c r="E25" s="82">
        <v>18</v>
      </c>
      <c r="F25" s="65" t="s">
        <v>744</v>
      </c>
      <c r="N25" s="106"/>
    </row>
    <row r="26" spans="1:25" ht="20.100000000000001" customHeight="1" x14ac:dyDescent="0.25">
      <c r="A26"/>
      <c r="D26" s="8" t="s">
        <v>745</v>
      </c>
      <c r="E26" s="82">
        <v>599</v>
      </c>
      <c r="F26" s="65" t="s">
        <v>746</v>
      </c>
    </row>
    <row r="27" spans="1:25" ht="20.100000000000001" customHeight="1" x14ac:dyDescent="0.25">
      <c r="A27" s="21" t="s">
        <v>77</v>
      </c>
      <c r="D27" s="107" t="s">
        <v>747</v>
      </c>
      <c r="E27" s="82">
        <v>1326</v>
      </c>
      <c r="F27" s="65" t="s">
        <v>746</v>
      </c>
    </row>
    <row r="28" spans="1:25" ht="20.100000000000001" customHeight="1" x14ac:dyDescent="0.25">
      <c r="A28" s="16" t="str">
        <f>HYPERLINK("#'15 Scope 3'!A1", "15 Scope 3")</f>
        <v>15 Scope 3</v>
      </c>
      <c r="D28" s="8" t="s">
        <v>748</v>
      </c>
      <c r="E28" s="82">
        <v>7</v>
      </c>
      <c r="F28" s="65" t="s">
        <v>749</v>
      </c>
    </row>
    <row r="29" spans="1:25" ht="20.100000000000001" customHeight="1" x14ac:dyDescent="0.25">
      <c r="A29" s="16" t="str">
        <f>HYPERLINK("#'10.1.1-2 Solid waste treatment'!A1", "10.1.1-2 Solid waste treatment")</f>
        <v>10.1.1-2 Solid waste treatment</v>
      </c>
      <c r="D29" s="107" t="s">
        <v>750</v>
      </c>
      <c r="E29" s="49">
        <f>X_Cell_Site_TotalRainfall/X_Cell_Site_PotentialEvapotranspiration</f>
        <v>0.45173453996983409</v>
      </c>
      <c r="F29" s="65"/>
    </row>
    <row r="30" spans="1:25" ht="20.100000000000001" customHeight="1" x14ac:dyDescent="0.25">
      <c r="A30" s="16" t="str">
        <f>HYPERLINK("#'Calcs - Manure sent off-site'!A1", "Calcs - Manure sent off-site")</f>
        <v>Calcs - Manure sent off-site</v>
      </c>
      <c r="D30" s="107" t="s">
        <v>44</v>
      </c>
      <c r="E30" s="49" t="str">
        <f>Common_InputFunctions.Utility_LookupItemFromMinMax(X_Cell_Site_TotalRainfall,Table_SourceData_RainfallZones[Min rainfall],Table_SourceData_RainfallZones[Max rainfall],Table_SourceData_RainfallZones[Rainfall Zone])</f>
        <v>Low rainfall</v>
      </c>
      <c r="G30" s="117"/>
      <c r="L30" s="118"/>
      <c r="M30" s="118"/>
      <c r="N30" s="118"/>
      <c r="O30" s="118"/>
      <c r="P30" s="118"/>
      <c r="Q30" s="118"/>
      <c r="R30" s="118"/>
      <c r="S30" s="118"/>
      <c r="T30" s="118"/>
      <c r="U30" s="118"/>
      <c r="V30" s="118"/>
      <c r="W30" s="118"/>
      <c r="X30" s="118"/>
      <c r="Y30" s="118"/>
    </row>
    <row r="31" spans="1:25" ht="20.100000000000001" customHeight="1" x14ac:dyDescent="0.25">
      <c r="A31" s="16" t="str">
        <f>HYPERLINK("#'8.1.1.1-2 Transport fuel'!A1", "8.1.1.1-2 Transport fuel")</f>
        <v>8.1.1.1-2 Transport fuel</v>
      </c>
      <c r="D31" s="8" t="s">
        <v>11</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6"/>
      <c r="L31" s="119"/>
      <c r="M31" s="119"/>
      <c r="N31" s="119"/>
      <c r="O31" s="119"/>
      <c r="P31" s="119"/>
      <c r="Q31" s="119"/>
      <c r="R31" s="119"/>
      <c r="S31" s="119"/>
      <c r="T31" s="119"/>
      <c r="U31" s="119"/>
      <c r="V31" s="119"/>
      <c r="W31" s="119"/>
      <c r="X31" s="119"/>
      <c r="Y31" s="119"/>
    </row>
    <row r="32" spans="1:25" ht="20.100000000000001" customHeight="1" x14ac:dyDescent="0.25">
      <c r="A32" s="16" t="str">
        <f>HYPERLINK("#'8.2.1.1-2 Stationary fuel'!A1", "8.2.1.1-2 Stationary fuel")</f>
        <v>8.2.1.1-2 Stationary fuel</v>
      </c>
      <c r="D32" s="8" t="s">
        <v>751</v>
      </c>
      <c r="E32" s="49" t="str">
        <f>Common_InputFunctions.Utility_LookupValueInTable(X_Cell_Site_ClimateZone,Table_SourceData_WetDryZones[Climate zone],Table_SourceData_WetDryZones[Wet or Dry Zone])</f>
        <v>Dry climate zone</v>
      </c>
      <c r="F32" s="8"/>
      <c r="G32" s="116"/>
      <c r="L32" s="119"/>
      <c r="M32" s="119"/>
      <c r="N32" s="119"/>
      <c r="O32" s="119"/>
      <c r="P32" s="119"/>
      <c r="Q32" s="119"/>
      <c r="R32" s="119"/>
      <c r="S32" s="119"/>
      <c r="T32" s="119"/>
      <c r="U32" s="119"/>
      <c r="V32" s="119"/>
      <c r="W32" s="119"/>
      <c r="X32" s="119"/>
      <c r="Y32" s="119"/>
    </row>
    <row r="33" spans="1:25" ht="20.100000000000001" customHeight="1" x14ac:dyDescent="0.25">
      <c r="A33"/>
      <c r="D33" s="8" t="s">
        <v>48</v>
      </c>
      <c r="E33" s="49" t="str">
        <f>Common_InputFunctions.Utility_LookupItemFromMinMax(X_Cell_Site_AverageTemperature,Table_SourceData_TemperatureZones[Min MAT],Table_SourceData_TemperatureZones[Max MAT],Table_SourceData_TemperatureZones[Temperature Zone])</f>
        <v>Temperate</v>
      </c>
      <c r="G33" s="120"/>
      <c r="L33" s="119"/>
      <c r="M33" s="119"/>
      <c r="N33" s="119"/>
      <c r="O33" s="119"/>
      <c r="P33" s="119"/>
      <c r="Q33" s="119"/>
      <c r="R33" s="119"/>
      <c r="S33" s="119"/>
      <c r="T33" s="119"/>
      <c r="U33" s="119"/>
      <c r="V33" s="119"/>
      <c r="W33" s="119"/>
      <c r="X33" s="119"/>
      <c r="Y33" s="119"/>
    </row>
    <row r="34" spans="1:25" ht="20.100000000000001" customHeight="1" x14ac:dyDescent="0.25">
      <c r="A34"/>
      <c r="J34" s="121"/>
      <c r="K34" s="122"/>
      <c r="L34" s="119"/>
      <c r="M34" s="119"/>
      <c r="N34" s="119"/>
      <c r="O34" s="119"/>
      <c r="P34" s="119"/>
      <c r="Q34" s="119"/>
      <c r="R34" s="119"/>
      <c r="S34" s="119"/>
      <c r="T34" s="119"/>
      <c r="U34" s="119"/>
      <c r="V34" s="119"/>
      <c r="W34" s="119"/>
      <c r="X34" s="119"/>
      <c r="Y34" s="119"/>
    </row>
    <row r="35" spans="1:25" ht="20.100000000000001" customHeight="1" x14ac:dyDescent="0.25">
      <c r="A35" s="222" t="s">
        <v>78</v>
      </c>
      <c r="J35" s="121"/>
      <c r="K35" s="122"/>
      <c r="L35" s="119"/>
      <c r="M35" s="119"/>
      <c r="N35" s="119"/>
      <c r="O35" s="119"/>
      <c r="P35" s="119"/>
      <c r="Q35" s="119"/>
      <c r="R35" s="119"/>
      <c r="S35" s="119"/>
      <c r="T35" s="119"/>
      <c r="U35" s="119"/>
      <c r="V35" s="119"/>
      <c r="W35" s="119"/>
      <c r="X35" s="119"/>
      <c r="Y35" s="119"/>
    </row>
    <row r="36" spans="1:25" ht="20.100000000000001" customHeight="1" x14ac:dyDescent="0.25">
      <c r="A36" s="16" t="str">
        <f>HYPERLINK("#'Constants - Scope 3'!A1", "Constants - Scope 3")</f>
        <v>Constants - Scope 3</v>
      </c>
      <c r="D36" s="123"/>
      <c r="E36" s="123"/>
      <c r="F36" s="124"/>
      <c r="G36" s="121"/>
      <c r="H36" s="121"/>
      <c r="I36" s="125"/>
      <c r="J36" s="121"/>
      <c r="K36" s="122"/>
      <c r="L36" s="119"/>
      <c r="M36" s="119"/>
      <c r="N36" s="119"/>
      <c r="O36" s="119"/>
      <c r="P36" s="119"/>
      <c r="Q36" s="119"/>
      <c r="R36" s="119"/>
      <c r="S36" s="119"/>
      <c r="T36" s="119"/>
      <c r="U36" s="119"/>
      <c r="V36" s="119"/>
      <c r="W36" s="119"/>
      <c r="X36" s="119"/>
      <c r="Y36" s="119"/>
    </row>
    <row r="37" spans="1:25" ht="20.100000000000001" customHeight="1" x14ac:dyDescent="0.25">
      <c r="A37" s="16" t="str">
        <f>HYPERLINK("#'Constants - Solid Waste'!A1", "Constants - Solid Waste")</f>
        <v>Constants - Solid Waste</v>
      </c>
      <c r="D37" s="123"/>
      <c r="E37" s="123"/>
      <c r="F37" s="124"/>
      <c r="G37" s="121"/>
      <c r="H37" s="121"/>
      <c r="I37" s="125"/>
      <c r="J37" s="121"/>
      <c r="K37" s="122"/>
      <c r="L37" s="119"/>
      <c r="M37" s="119"/>
      <c r="N37" s="119"/>
      <c r="O37" s="119"/>
      <c r="P37" s="119"/>
      <c r="Q37" s="119"/>
      <c r="R37" s="119"/>
      <c r="S37" s="119"/>
      <c r="T37" s="119"/>
      <c r="U37" s="119"/>
      <c r="V37" s="119"/>
      <c r="W37" s="119"/>
      <c r="X37" s="119"/>
      <c r="Y37" s="119"/>
    </row>
    <row r="38" spans="1:25" ht="20.100000000000001" customHeight="1" x14ac:dyDescent="0.25">
      <c r="A38" s="16" t="str">
        <f>HYPERLINK("#'Constants - Fuel'!A1", "Constants - Fuel")</f>
        <v>Constants - Fuel</v>
      </c>
      <c r="D38" s="123"/>
      <c r="E38" s="123"/>
      <c r="F38" s="124"/>
      <c r="G38" s="121"/>
      <c r="H38" s="121"/>
      <c r="I38" s="125"/>
      <c r="J38" s="121"/>
      <c r="K38" s="122"/>
      <c r="L38" s="119"/>
      <c r="M38" s="119"/>
      <c r="N38" s="119"/>
      <c r="O38" s="119"/>
      <c r="P38" s="119"/>
      <c r="Q38" s="119"/>
      <c r="R38" s="119"/>
      <c r="S38" s="119"/>
      <c r="T38" s="119"/>
      <c r="U38" s="119"/>
      <c r="V38" s="119"/>
      <c r="W38" s="119"/>
      <c r="X38" s="119"/>
      <c r="Y38" s="119"/>
    </row>
    <row r="39" spans="1:25" ht="20.100000000000001" customHeight="1" x14ac:dyDescent="0.25">
      <c r="A39" s="16" t="str">
        <f>HYPERLINK("#'Constants - Poultry'!A1", "Constants - Poultry")</f>
        <v>Constants - Poultry</v>
      </c>
      <c r="D39" s="123"/>
      <c r="E39" s="123"/>
      <c r="F39" s="124"/>
      <c r="G39" s="121"/>
      <c r="H39" s="121"/>
      <c r="I39" s="125"/>
      <c r="J39" s="121"/>
      <c r="K39" s="122"/>
      <c r="L39" s="119"/>
      <c r="M39" s="119"/>
      <c r="N39" s="119"/>
      <c r="O39" s="119"/>
      <c r="P39" s="119"/>
      <c r="Q39" s="119"/>
      <c r="R39" s="119"/>
      <c r="S39" s="119"/>
      <c r="T39" s="119"/>
      <c r="U39" s="119"/>
      <c r="V39" s="119"/>
      <c r="W39" s="119"/>
      <c r="X39" s="119"/>
      <c r="Y39" s="119"/>
    </row>
    <row r="40" spans="1:25" ht="20.100000000000001" customHeight="1" x14ac:dyDescent="0.25">
      <c r="A40" s="16" t="str">
        <f>HYPERLINK("#'Constants - Swine'!A1", "Constants - Swine")</f>
        <v>Constants - Swine</v>
      </c>
      <c r="D40" s="126"/>
      <c r="E40" s="126"/>
      <c r="F40" s="126"/>
      <c r="G40" s="127"/>
      <c r="H40" s="128"/>
      <c r="I40" s="128"/>
      <c r="J40" s="128"/>
      <c r="K40" s="128"/>
      <c r="L40" s="129"/>
      <c r="M40" s="129"/>
      <c r="N40" s="129"/>
      <c r="O40" s="129"/>
      <c r="P40" s="129"/>
      <c r="Q40" s="129"/>
      <c r="R40" s="129"/>
      <c r="S40" s="129"/>
      <c r="T40" s="129"/>
      <c r="U40" s="129"/>
      <c r="V40" s="129"/>
      <c r="W40" s="129"/>
      <c r="X40" s="129"/>
      <c r="Y40" s="129"/>
    </row>
    <row r="41" spans="1:25" ht="20.100000000000001" customHeight="1" x14ac:dyDescent="0.25">
      <c r="A41" s="16" t="str">
        <f>HYPERLINK("#'Constants - Dairy'!A1", "Constants - Dairy")</f>
        <v>Constants - Dairy</v>
      </c>
    </row>
    <row r="42" spans="1:25" ht="20.100000000000001" customHeight="1" x14ac:dyDescent="0.25">
      <c r="A42" s="16" t="str">
        <f>HYPERLINK("#'Constants - Pasture Beef'!A1", "Constants - Pasture Beef")</f>
        <v>Constants - Pasture Beef</v>
      </c>
    </row>
    <row r="43" spans="1:25" ht="20.100000000000001" customHeight="1" x14ac:dyDescent="0.25">
      <c r="A43" s="16" t="str">
        <f>HYPERLINK("#'Constants - Common Livestock'!A1", "Constants - Common Livestock")</f>
        <v>Constants - Common Livestock</v>
      </c>
    </row>
    <row r="44" spans="1:25" ht="20.100000000000001" customHeight="1" x14ac:dyDescent="0.25">
      <c r="A44" s="16" t="str">
        <f>HYPERLINK("#'Constants - Fertiliser'!A1", "Constants - Fertiliser")</f>
        <v>Constants - Fertiliser</v>
      </c>
    </row>
    <row r="45" spans="1:25" ht="20.100000000000001" customHeight="1" x14ac:dyDescent="0.25">
      <c r="A45" s="16" t="str">
        <f>HYPERLINK("#'Constants - Electricity'!A1", "Constants - Electricity")</f>
        <v>Constants - Electricity</v>
      </c>
      <c r="D45" s="9"/>
    </row>
    <row r="46" spans="1:25" ht="20.100000000000001" customHeight="1" x14ac:dyDescent="0.25">
      <c r="A46" s="16" t="str">
        <f>HYPERLINK("#'Constants - Common'!A1", "Constants - Common")</f>
        <v>Constants - Common</v>
      </c>
      <c r="D46" s="9"/>
    </row>
    <row r="47" spans="1:25" ht="20.100000000000001" customHeight="1" x14ac:dyDescent="0.25">
      <c r="A47"/>
      <c r="D47" s="130"/>
      <c r="E47" s="130"/>
      <c r="F47" s="130"/>
      <c r="G47" s="130"/>
      <c r="H47" s="130"/>
    </row>
    <row r="48" spans="1:25" ht="20.100000000000001" customHeight="1" x14ac:dyDescent="0.25">
      <c r="A48"/>
      <c r="D48" s="131"/>
      <c r="E48" s="131"/>
      <c r="F48" s="132"/>
      <c r="G48" s="132"/>
      <c r="H48" s="131"/>
    </row>
    <row r="49" spans="1:8" ht="20.100000000000001" customHeight="1" x14ac:dyDescent="0.25">
      <c r="A49"/>
      <c r="D49" s="131"/>
      <c r="E49" s="131"/>
      <c r="F49" s="132"/>
      <c r="G49" s="132"/>
      <c r="H49" s="131"/>
    </row>
    <row r="50" spans="1:8" ht="20.100000000000001" customHeight="1" x14ac:dyDescent="0.25">
      <c r="A50"/>
      <c r="D50" s="131"/>
      <c r="E50" s="131"/>
      <c r="F50" s="132"/>
      <c r="G50" s="132"/>
      <c r="H50" s="131"/>
    </row>
    <row r="51" spans="1:8" ht="20.100000000000001" customHeight="1" x14ac:dyDescent="0.25">
      <c r="A51"/>
      <c r="D51" s="133"/>
      <c r="E51" s="134"/>
      <c r="F51" s="134"/>
      <c r="G51" s="134"/>
      <c r="H51" s="135"/>
    </row>
    <row r="52" spans="1:8" ht="20.100000000000001" customHeight="1" x14ac:dyDescent="0.25">
      <c r="A52"/>
    </row>
    <row r="53" spans="1:8" ht="20.100000000000001" customHeight="1" x14ac:dyDescent="0.25">
      <c r="A53"/>
    </row>
    <row r="54" spans="1:8" ht="20.100000000000001" customHeight="1" x14ac:dyDescent="0.25">
      <c r="A54"/>
      <c r="G54" s="136"/>
    </row>
    <row r="55" spans="1:8" ht="20.100000000000001" customHeight="1" x14ac:dyDescent="0.25">
      <c r="A55"/>
      <c r="D55" s="9"/>
    </row>
    <row r="56" spans="1:8" ht="20.100000000000001" customHeight="1" x14ac:dyDescent="0.25">
      <c r="A56"/>
    </row>
    <row r="57" spans="1:8" ht="20.100000000000001" customHeight="1" x14ac:dyDescent="0.25">
      <c r="A57"/>
      <c r="D57" s="137"/>
      <c r="F57" s="138"/>
    </row>
    <row r="58" spans="1:8" ht="20.100000000000001" customHeight="1" x14ac:dyDescent="0.25">
      <c r="A58"/>
      <c r="D58" s="8"/>
      <c r="E58" s="139"/>
    </row>
    <row r="59" spans="1:8" ht="20.100000000000001" customHeight="1" x14ac:dyDescent="0.25">
      <c r="A59"/>
      <c r="D59" s="8"/>
      <c r="E59" s="139"/>
    </row>
    <row r="60" spans="1:8" ht="20.100000000000001" customHeight="1" x14ac:dyDescent="0.25">
      <c r="A60"/>
      <c r="D60" s="8"/>
      <c r="E60" s="140"/>
    </row>
    <row r="61" spans="1:8" ht="20.100000000000001" customHeight="1" x14ac:dyDescent="0.25">
      <c r="A61"/>
      <c r="D61" s="8"/>
    </row>
    <row r="62" spans="1:8" ht="20.100000000000001" customHeight="1" x14ac:dyDescent="0.25">
      <c r="A62"/>
    </row>
    <row r="63" spans="1:8" ht="20.100000000000001" customHeight="1" x14ac:dyDescent="0.25">
      <c r="A63"/>
      <c r="D63" s="137"/>
    </row>
    <row r="64" spans="1:8" ht="20.100000000000001" customHeight="1" x14ac:dyDescent="0.25">
      <c r="A64"/>
      <c r="D64" s="8"/>
      <c r="E64" s="139"/>
    </row>
    <row r="65" spans="1:9" ht="20.100000000000001" customHeight="1" x14ac:dyDescent="0.25">
      <c r="A65"/>
      <c r="D65" s="8"/>
      <c r="E65" s="139"/>
    </row>
    <row r="66" spans="1:9" ht="20.100000000000001" customHeight="1" x14ac:dyDescent="0.25">
      <c r="A66"/>
      <c r="D66" s="8"/>
      <c r="E66" s="140"/>
    </row>
    <row r="67" spans="1:9" ht="20.100000000000001" customHeight="1" x14ac:dyDescent="0.25">
      <c r="A67"/>
    </row>
    <row r="68" spans="1:9" ht="20.100000000000001" customHeight="1" x14ac:dyDescent="0.25">
      <c r="A68"/>
    </row>
    <row r="69" spans="1:9" ht="20.100000000000001" customHeight="1" x14ac:dyDescent="0.25">
      <c r="A69"/>
      <c r="D69" s="141"/>
      <c r="E69" s="141"/>
      <c r="F69" s="141"/>
      <c r="G69" s="141"/>
      <c r="H69" s="141"/>
      <c r="I69" s="141"/>
    </row>
    <row r="70" spans="1:9" ht="20.100000000000001" customHeight="1" x14ac:dyDescent="0.25">
      <c r="A70"/>
      <c r="D70" s="141"/>
      <c r="E70" s="141"/>
      <c r="F70" s="141"/>
      <c r="G70" s="141"/>
      <c r="H70" s="141"/>
      <c r="I70" s="141"/>
    </row>
    <row r="71" spans="1:9" ht="20.100000000000001" customHeight="1" x14ac:dyDescent="0.25">
      <c r="A71"/>
      <c r="D71" s="141"/>
      <c r="E71" s="141"/>
      <c r="F71" s="141"/>
      <c r="G71" s="141"/>
      <c r="H71" s="141"/>
      <c r="I71" s="141"/>
    </row>
    <row r="72" spans="1:9" ht="20.100000000000001" customHeight="1" x14ac:dyDescent="0.25">
      <c r="A72"/>
      <c r="D72" s="141"/>
      <c r="E72" s="141"/>
      <c r="F72" s="141"/>
      <c r="G72" s="141"/>
      <c r="H72" s="141"/>
      <c r="I72" s="14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142"/>
    </row>
    <row r="79" spans="1:9" ht="20.100000000000001" customHeight="1" x14ac:dyDescent="0.25">
      <c r="A79"/>
      <c r="D79" s="142"/>
    </row>
    <row r="80" spans="1:9" ht="20.100000000000001" customHeight="1" x14ac:dyDescent="0.25">
      <c r="A80"/>
      <c r="D80" s="142"/>
    </row>
    <row r="81" spans="1:4" ht="20.100000000000001" customHeight="1" x14ac:dyDescent="0.25">
      <c r="A81"/>
      <c r="D81" s="142"/>
    </row>
    <row r="82" spans="1:4" ht="20.100000000000001" customHeight="1" x14ac:dyDescent="0.25">
      <c r="A82"/>
      <c r="D82" s="142"/>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23" xr:uid="{5D9F9448-9736-4894-8DC4-4CE15F2B55A5}">
      <formula1>"YES - In leaching zone, NO - Not in leaching zone"</formula1>
    </dataValidation>
    <dataValidation type="list" allowBlank="1" showInputMessage="1" showErrorMessage="1" sqref="G36:G39" xr:uid="{109352AC-4D42-4FB5-9ECB-BF05D7371A4D}">
      <formula1>$D$41:$D$43</formula1>
    </dataValidation>
    <dataValidation type="list" allowBlank="1" showInputMessage="1" showErrorMessage="1" sqref="E22" xr:uid="{1106D972-65B7-4D46-BE94-49DDAF3F5609}">
      <formula1>INDIRECT("Table_WASA4Areas[SA 4 Name]")</formula1>
    </dataValidation>
    <dataValidation type="list" allowBlank="1" showInputMessage="1" showErrorMessage="1" sqref="E21" xr:uid="{1FE038C3-8D4F-424C-B219-139421CA34C5}">
      <formula1>INDIRECT("Table_AustralianStates[Common Name]")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3ED99-D5F9-44C1-B00F-2C3959DD0B25}">
  <dimension ref="A1:K346"/>
  <sheetViews>
    <sheetView showGridLines="0" topLeftCell="A2" zoomScaleNormal="100" workbookViewId="0">
      <selection activeCell="A46" sqref="A46"/>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10" width="21.75" style="8" customWidth="1"/>
    <col min="11" max="11" width="4.125" style="8" customWidth="1"/>
    <col min="12" max="12" width="4.125" style="3" customWidth="1"/>
    <col min="13" max="16384" width="9" style="3"/>
  </cols>
  <sheetData>
    <row r="1" spans="1:11" s="37" customFormat="1" ht="30" customHeight="1" x14ac:dyDescent="0.35">
      <c r="A1" s="37" t="e" vm="1">
        <v>#VALUE!</v>
      </c>
      <c r="C1" s="37" t="s">
        <v>118</v>
      </c>
    </row>
    <row r="2" spans="1:11" s="2" customFormat="1" ht="20.100000000000001" customHeight="1" x14ac:dyDescent="0.25">
      <c r="A2"/>
    </row>
    <row r="3" spans="1:11" ht="20.100000000000001" customHeight="1" x14ac:dyDescent="0.25">
      <c r="A3" s="16" t="str">
        <f>HYPERLINK("#'Overview'!A1", "Overview")</f>
        <v>Overview</v>
      </c>
      <c r="C3" s="38"/>
      <c r="D3" s="38"/>
      <c r="E3" s="38"/>
      <c r="F3" s="38"/>
      <c r="G3" s="38"/>
      <c r="H3" s="38"/>
      <c r="I3" s="38"/>
      <c r="J3" s="38"/>
      <c r="K3" s="38"/>
    </row>
    <row r="4" spans="1:11" ht="20.100000000000001" customHeight="1" x14ac:dyDescent="0.25">
      <c r="A4" s="16" t="str">
        <f>HYPERLINK("#'Results'!A1", "Results")</f>
        <v>Results</v>
      </c>
    </row>
    <row r="5" spans="1:11" ht="20.100000000000001" customHeight="1" x14ac:dyDescent="0.25">
      <c r="A5"/>
      <c r="D5" s="9" t="s">
        <v>119</v>
      </c>
      <c r="E5" s="7"/>
      <c r="F5" s="7"/>
      <c r="G5" s="7"/>
      <c r="H5" s="7"/>
    </row>
    <row r="6" spans="1:11" ht="20.100000000000001" customHeight="1" x14ac:dyDescent="0.25">
      <c r="A6"/>
      <c r="D6" s="14"/>
      <c r="E6" s="14"/>
      <c r="F6" s="14"/>
      <c r="G6" s="14"/>
      <c r="H6" s="14"/>
      <c r="I6" s="14"/>
      <c r="J6" s="14"/>
    </row>
    <row r="7" spans="1:11" ht="20.100000000000001" customHeight="1" x14ac:dyDescent="0.25">
      <c r="A7" s="19" t="s">
        <v>67</v>
      </c>
      <c r="D7" s="8" t="s">
        <v>727</v>
      </c>
    </row>
    <row r="8" spans="1:11" ht="20.100000000000001" customHeight="1" x14ac:dyDescent="0.25">
      <c r="A8" s="16" t="str">
        <f>HYPERLINK("#'Input - Site'!A1", "Site")</f>
        <v>Site</v>
      </c>
      <c r="D8" s="8" t="s">
        <v>728</v>
      </c>
    </row>
    <row r="9" spans="1:11" ht="20.100000000000001" customHeight="1" x14ac:dyDescent="0.25">
      <c r="A9" s="42" t="str">
        <f>HYPERLINK("#'Input - Fuel'!A1", "Fuel")</f>
        <v>Fuel</v>
      </c>
      <c r="D9" s="8" t="s">
        <v>729</v>
      </c>
    </row>
    <row r="10" spans="1:11" ht="20.100000000000001" customHeight="1" x14ac:dyDescent="0.25">
      <c r="A10" s="16" t="str">
        <f>HYPERLINK("#'Input - Fertiliser'!A1", "Fertiliser")</f>
        <v>Fertiliser</v>
      </c>
    </row>
    <row r="11" spans="1:11" ht="20.100000000000001" customHeight="1" x14ac:dyDescent="0.25">
      <c r="A11" s="16" t="str">
        <f>HYPERLINK("#'Input - Common farm inputs'!A1", "Common farm inputs")</f>
        <v>Common farm inputs</v>
      </c>
      <c r="D11" s="8" t="s">
        <v>730</v>
      </c>
      <c r="E11" s="47" t="s">
        <v>698</v>
      </c>
      <c r="F11" s="65" t="s">
        <v>190</v>
      </c>
    </row>
    <row r="12" spans="1:11" ht="20.100000000000001" customHeight="1" x14ac:dyDescent="0.25">
      <c r="A12" s="16" t="str">
        <f>HYPERLINK("#'Input - Processing inputs'!A1", "Processing inputs")</f>
        <v>Processing inputs</v>
      </c>
    </row>
    <row r="13" spans="1:11" ht="20.100000000000001" customHeight="1" x14ac:dyDescent="0.25">
      <c r="A13" s="16" t="str">
        <f>HYPERLINK("#'Input - Crop pasture farm input'!A1", "Crop pasture farm input")</f>
        <v>Crop pasture farm input</v>
      </c>
      <c r="D13" s="39" t="s">
        <v>120</v>
      </c>
      <c r="E13" s="40"/>
      <c r="F13" s="40"/>
      <c r="G13" s="40"/>
      <c r="H13" s="41"/>
    </row>
    <row r="14" spans="1:11" ht="20.100000000000001" customHeight="1" x14ac:dyDescent="0.25">
      <c r="A14" s="16" t="str">
        <f>HYPERLINK("#'Input - Hort farm Inputs'!A1", "Hort farm Inputs")</f>
        <v>Hort farm Inputs</v>
      </c>
      <c r="D14" s="43" t="s">
        <v>121</v>
      </c>
      <c r="E14" s="44"/>
      <c r="F14" s="44"/>
      <c r="G14" s="44"/>
      <c r="H14" s="45"/>
    </row>
    <row r="15" spans="1:11" ht="20.100000000000001" customHeight="1" x14ac:dyDescent="0.25">
      <c r="A15" s="16" t="str">
        <f>HYPERLINK("#'Input - Livestock farm Inputs'!A1", "Livestock farm Inputs")</f>
        <v>Livestock farm Inputs</v>
      </c>
      <c r="D15" s="14"/>
      <c r="E15" s="14"/>
      <c r="F15" s="14"/>
      <c r="G15" s="14"/>
      <c r="H15" s="14"/>
      <c r="I15" s="14"/>
      <c r="J15" s="14"/>
    </row>
    <row r="16" spans="1:11" ht="20.100000000000001" customHeight="1" x14ac:dyDescent="0.25">
      <c r="A16" s="16" t="str">
        <f>HYPERLINK("#'Input - Aquaculture inputs'!A1", "Aquaculture inputs")</f>
        <v>Aquaculture inputs</v>
      </c>
      <c r="D16" s="46" t="s">
        <v>122</v>
      </c>
      <c r="E16" s="46" t="s">
        <v>123</v>
      </c>
      <c r="F16" s="46" t="s">
        <v>124</v>
      </c>
      <c r="G16" s="46" t="s">
        <v>125</v>
      </c>
      <c r="H16" s="46" t="s">
        <v>126</v>
      </c>
      <c r="I16" s="46" t="s">
        <v>127</v>
      </c>
      <c r="J16" s="46" t="s">
        <v>922</v>
      </c>
    </row>
    <row r="17" spans="1:10" ht="20.100000000000001" customHeight="1" x14ac:dyDescent="0.25">
      <c r="A17" s="16" t="str">
        <f>HYPERLINK("#'Input - Beef cattle purchases'!A1", "Beef cattle purchases")</f>
        <v>Beef cattle purchases</v>
      </c>
      <c r="D17" s="47" t="s">
        <v>89</v>
      </c>
      <c r="E17" s="47" t="s">
        <v>117</v>
      </c>
      <c r="F17" s="48">
        <v>100</v>
      </c>
      <c r="G17" s="49" t="str" cm="1">
        <f t="array" ref="G17">Common_InputFunctions.Utility_LookupValueInTable(Table_Input_Fuel[[#This Row],[Fuel type (select)]],Table_FuelTypes_Units[Fuel type], Table_FuelTypes_Units[Input Unit])</f>
        <v>GJ</v>
      </c>
      <c r="H17" s="50">
        <f>1</f>
        <v>1</v>
      </c>
      <c r="I17" s="49">
        <f>Table_Input_Fuel[[#This Row],[Amount purchased]]*Table_Input_Fuel[[#This Row],[Percent consumed]]*IF(Table_Input_Fuel[[#This Row],[Amount unit]]="L", 10^-3, 1)</f>
        <v>100</v>
      </c>
      <c r="J17" s="49" t="str" cm="1">
        <f t="array" ref="J17">Common_InputFunctions.Utility_LookupValueInTable(Table_Input_Fuel[[#This Row],[Fuel type (select)]],Table_FuelTypes_Units[Fuel type], Table_FuelTypes_Units[Unit])</f>
        <v>GJ</v>
      </c>
    </row>
    <row r="18" spans="1:10" ht="20.100000000000001" customHeight="1" x14ac:dyDescent="0.25">
      <c r="A18" s="16" t="str">
        <f>HYPERLINK("#'Input - Dairy cattle purchases'!A1", "Dairy cattle purchases")</f>
        <v>Dairy cattle purchases</v>
      </c>
      <c r="D18" s="47" t="s">
        <v>89</v>
      </c>
      <c r="E18" s="47" t="s">
        <v>97</v>
      </c>
      <c r="F18" s="48">
        <v>10000</v>
      </c>
      <c r="G18" s="49" t="str" cm="1">
        <f t="array" ref="G18">Common_InputFunctions.Utility_LookupValueInTable(Table_Input_Fuel[[#This Row],[Fuel type (select)]],Table_FuelTypes_Units[Fuel type], Table_FuelTypes_Units[Input Unit])</f>
        <v>L</v>
      </c>
      <c r="H18" s="227">
        <f>1</f>
        <v>1</v>
      </c>
      <c r="I18" s="49">
        <f>Table_Input_Fuel[[#This Row],[Amount purchased]]*Table_Input_Fuel[[#This Row],[Percent consumed]]*IF(Table_Input_Fuel[[#This Row],[Amount unit]]="L", 10^-3, 1)</f>
        <v>10</v>
      </c>
      <c r="J18" s="49" t="str" cm="1">
        <f t="array" ref="J18">Common_InputFunctions.Utility_LookupValueInTable(Table_Input_Fuel[[#This Row],[Fuel type (select)]],Table_FuelTypes_Units[Fuel type], Table_FuelTypes_Units[Unit])</f>
        <v>kL</v>
      </c>
    </row>
    <row r="19" spans="1:10" ht="20.100000000000001" customHeight="1" x14ac:dyDescent="0.25">
      <c r="A19" s="16" t="str">
        <f>HYPERLINK("#'Input - Pig purchases'!A1", "Pig purchases")</f>
        <v>Pig purchases</v>
      </c>
      <c r="D19" s="47" t="s">
        <v>91</v>
      </c>
      <c r="E19" s="47" t="s">
        <v>99</v>
      </c>
      <c r="F19" s="48">
        <v>10000</v>
      </c>
      <c r="G19" s="49" t="str" cm="1">
        <f t="array" ref="G19">Common_InputFunctions.Utility_LookupValueInTable(Table_Input_Fuel[[#This Row],[Fuel type (select)]],Table_FuelTypes_Units[Fuel type], Table_FuelTypes_Units[Input Unit])</f>
        <v>L</v>
      </c>
      <c r="H19" s="227">
        <f>1</f>
        <v>1</v>
      </c>
      <c r="I19" s="49">
        <f>Table_Input_Fuel[[#This Row],[Amount purchased]]*Table_Input_Fuel[[#This Row],[Percent consumed]]*IF(Table_Input_Fuel[[#This Row],[Amount unit]]="L", 10^-3, 1)</f>
        <v>10</v>
      </c>
      <c r="J19" s="49" t="str" cm="1">
        <f t="array" ref="J19">Common_InputFunctions.Utility_LookupValueInTable(Table_Input_Fuel[[#This Row],[Fuel type (select)]],Table_FuelTypes_Units[Fuel type], Table_FuelTypes_Units[Unit])</f>
        <v>kL</v>
      </c>
    </row>
    <row r="20" spans="1:10" ht="20.100000000000001" customHeight="1" x14ac:dyDescent="0.25">
      <c r="A20" s="16" t="str">
        <f>HYPERLINK("#'Input - Poultry purchases'!A1", "Poultry purchases")</f>
        <v>Poultry purchases</v>
      </c>
      <c r="D20" s="47" t="s">
        <v>92</v>
      </c>
      <c r="E20" s="47" t="s">
        <v>99</v>
      </c>
      <c r="F20" s="48">
        <v>10000</v>
      </c>
      <c r="G20" s="49" t="str" cm="1">
        <f t="array" ref="G20">Common_InputFunctions.Utility_LookupValueInTable(Table_Input_Fuel[[#This Row],[Fuel type (select)]],Table_FuelTypes_Units[Fuel type], Table_FuelTypes_Units[Input Unit])</f>
        <v>L</v>
      </c>
      <c r="H20" s="227">
        <f>1</f>
        <v>1</v>
      </c>
      <c r="I20" s="49">
        <f>Table_Input_Fuel[[#This Row],[Amount purchased]]*Table_Input_Fuel[[#This Row],[Percent consumed]]*IF(Table_Input_Fuel[[#This Row],[Amount unit]]="L", 10^-3, 1)</f>
        <v>10</v>
      </c>
      <c r="J20" s="49" t="str" cm="1">
        <f t="array" ref="J20">Common_InputFunctions.Utility_LookupValueInTable(Table_Input_Fuel[[#This Row],[Fuel type (select)]],Table_FuelTypes_Units[Fuel type], Table_FuelTypes_Units[Unit])</f>
        <v>kL</v>
      </c>
    </row>
    <row r="21" spans="1:10" ht="20.100000000000001" customHeight="1" x14ac:dyDescent="0.25">
      <c r="A21" s="16" t="str">
        <f>HYPERLINK("#'Input - Freight'!A1", "Freight")</f>
        <v>Freight</v>
      </c>
      <c r="D21" s="149" t="s">
        <v>93</v>
      </c>
      <c r="E21" s="149" t="s">
        <v>94</v>
      </c>
      <c r="F21" s="48">
        <v>10000</v>
      </c>
      <c r="G21" s="161" t="str" cm="1">
        <f t="array" ref="G21">Common_InputFunctions.Utility_LookupValueInTable(Table_Input_Fuel[[#This Row],[Fuel type (select)]],Table_FuelTypes_Units[Fuel type], Table_FuelTypes_Units[Input Unit])</f>
        <v>L</v>
      </c>
      <c r="H21" s="228">
        <f>1</f>
        <v>1</v>
      </c>
      <c r="I21" s="161">
        <f>Table_Input_Fuel[[#This Row],[Amount purchased]]*Table_Input_Fuel[[#This Row],[Percent consumed]]*IF(Table_Input_Fuel[[#This Row],[Amount unit]]="L", 10^-3, 1)</f>
        <v>10</v>
      </c>
      <c r="J21" s="49" t="str" cm="1">
        <f t="array" ref="J21">Common_InputFunctions.Utility_LookupValueInTable(Table_Input_Fuel[[#This Row],[Fuel type (select)]],Table_FuelTypes_Units[Fuel type], Table_FuelTypes_Units[Unit])</f>
        <v>kL</v>
      </c>
    </row>
    <row r="22" spans="1:10" ht="20.100000000000001" customHeight="1" x14ac:dyDescent="0.25">
      <c r="A22" s="16" t="str">
        <f>HYPERLINK("#'Input - Solid waste'!A1", "Solid waste")</f>
        <v>Solid waste</v>
      </c>
    </row>
    <row r="23" spans="1:10" ht="20.100000000000001" customHeight="1" x14ac:dyDescent="0.25">
      <c r="A23" s="16" t="str">
        <f>HYPERLINK("#'Input - Manure sent off-site'!A1", "Manure sent off-site")</f>
        <v>Manure sent off-site</v>
      </c>
    </row>
    <row r="24" spans="1:10" ht="20.100000000000001" customHeight="1" x14ac:dyDescent="0.25">
      <c r="A24" s="16" t="str">
        <f>HYPERLINK("#'Input - Electricity'!A1", "Electricity")</f>
        <v>Electricity</v>
      </c>
    </row>
    <row r="25" spans="1:10" ht="20.100000000000001" customHeight="1" x14ac:dyDescent="0.25">
      <c r="A25"/>
    </row>
    <row r="26" spans="1:10" ht="20.100000000000001" customHeight="1" x14ac:dyDescent="0.25">
      <c r="A26"/>
    </row>
    <row r="27" spans="1:10" ht="20.100000000000001" customHeight="1" x14ac:dyDescent="0.25">
      <c r="A27" s="21" t="s">
        <v>77</v>
      </c>
    </row>
    <row r="28" spans="1:10" ht="20.100000000000001" customHeight="1" x14ac:dyDescent="0.25">
      <c r="A28" s="16" t="str">
        <f>HYPERLINK("#'15 Scope 3'!A1", "15 Scope 3")</f>
        <v>15 Scope 3</v>
      </c>
    </row>
    <row r="29" spans="1:10" ht="20.100000000000001" customHeight="1" x14ac:dyDescent="0.25">
      <c r="A29" s="16" t="str">
        <f>HYPERLINK("#'10.1.1-2 Solid waste treatment'!A1", "10.1.1-2 Solid waste treatment")</f>
        <v>10.1.1-2 Solid waste treatment</v>
      </c>
    </row>
    <row r="30" spans="1:10" ht="20.100000000000001" customHeight="1" x14ac:dyDescent="0.25">
      <c r="A30" s="16" t="str">
        <f>HYPERLINK("#'Calcs - Manure sent off-site'!A1", "Calcs - Manure sent off-site")</f>
        <v>Calcs - Manure sent off-site</v>
      </c>
    </row>
    <row r="31" spans="1:10" ht="20.100000000000001" customHeight="1" x14ac:dyDescent="0.25">
      <c r="A31" s="16" t="str">
        <f>HYPERLINK("#'8.1.1.1-2 Transport fuel'!A1", "8.1.1.1-2 Transport fuel")</f>
        <v>8.1.1.1-2 Transport fuel</v>
      </c>
    </row>
    <row r="32" spans="1:10" ht="20.100000000000001" customHeight="1" x14ac:dyDescent="0.25">
      <c r="A32" s="16" t="str">
        <f>HYPERLINK("#'8.2.1.1-2 Stationary fuel'!A1", "8.2.1.1-2 Stationary fuel")</f>
        <v>8.2.1.1-2 Stationary fuel</v>
      </c>
    </row>
    <row r="33" spans="1:11" ht="20.100000000000001" customHeight="1" x14ac:dyDescent="0.25">
      <c r="A33"/>
    </row>
    <row r="34" spans="1:11" ht="20.100000000000001" customHeight="1" x14ac:dyDescent="0.25">
      <c r="A34"/>
    </row>
    <row r="35" spans="1:11" ht="20.100000000000001" customHeight="1" x14ac:dyDescent="0.25">
      <c r="A35" s="222" t="s">
        <v>78</v>
      </c>
    </row>
    <row r="36" spans="1:11" ht="20.100000000000001" customHeight="1" x14ac:dyDescent="0.25">
      <c r="A36" s="16" t="str">
        <f>HYPERLINK("#'Constants - Scope 3'!A1", "Constants - Scope 3")</f>
        <v>Constants - Scope 3</v>
      </c>
    </row>
    <row r="37" spans="1:11" ht="20.100000000000001" customHeight="1" x14ac:dyDescent="0.25">
      <c r="A37" s="16" t="str">
        <f>HYPERLINK("#'Constants - Solid Waste'!A1", "Constants - Solid Waste")</f>
        <v>Constants - Solid Waste</v>
      </c>
    </row>
    <row r="38" spans="1:11" ht="20.100000000000001" customHeight="1" x14ac:dyDescent="0.25">
      <c r="A38" s="16" t="str">
        <f>HYPERLINK("#'Constants - Fuel'!A1", "Constants - Fuel")</f>
        <v>Constants - Fuel</v>
      </c>
      <c r="C38" s="51"/>
      <c r="K38" s="51"/>
    </row>
    <row r="39" spans="1:11" ht="20.100000000000001" customHeight="1" x14ac:dyDescent="0.25">
      <c r="A39" s="16" t="str">
        <f>HYPERLINK("#'Constants - Poultry'!A1", "Constants - Poultry")</f>
        <v>Constants - Poultry</v>
      </c>
      <c r="C39" s="51"/>
      <c r="K39" s="51"/>
    </row>
    <row r="40" spans="1:11" s="52" customFormat="1" ht="20.100000000000001" customHeight="1" x14ac:dyDescent="0.25">
      <c r="A40" s="16" t="str">
        <f>HYPERLINK("#'Constants - Swine'!A1", "Constants - Swine")</f>
        <v>Constants - Swine</v>
      </c>
      <c r="C40" s="8"/>
      <c r="D40" s="8"/>
      <c r="E40" s="8"/>
      <c r="F40" s="8"/>
      <c r="G40" s="8"/>
      <c r="H40" s="8"/>
      <c r="I40" s="8"/>
      <c r="J40" s="8"/>
      <c r="K40" s="8"/>
    </row>
    <row r="41" spans="1:11" s="52" customFormat="1" ht="20.100000000000001" customHeight="1" x14ac:dyDescent="0.25">
      <c r="A41" s="16" t="str">
        <f>HYPERLINK("#'Constants - Dairy'!A1", "Constants - Dairy")</f>
        <v>Constants - Dairy</v>
      </c>
      <c r="C41" s="8"/>
      <c r="D41" s="8"/>
      <c r="E41" s="8"/>
      <c r="F41" s="8"/>
      <c r="G41" s="8"/>
      <c r="H41" s="8"/>
      <c r="I41" s="8"/>
      <c r="J41" s="8"/>
      <c r="K41" s="8"/>
    </row>
    <row r="42" spans="1:11" ht="20.100000000000001" customHeight="1" x14ac:dyDescent="0.25">
      <c r="A42" s="16" t="str">
        <f>HYPERLINK("#'Constants - Pasture Beef'!A1", "Constants - Pasture Beef")</f>
        <v>Constants - Pasture Beef</v>
      </c>
    </row>
    <row r="43" spans="1:11" ht="20.100000000000001" customHeight="1" x14ac:dyDescent="0.25">
      <c r="A43" s="16" t="str">
        <f>HYPERLINK("#'Constants - Common Livestock'!A1", "Constants - Common Livestock")</f>
        <v>Constants - Common Livestock</v>
      </c>
    </row>
    <row r="44" spans="1:11" ht="20.100000000000001" customHeight="1" x14ac:dyDescent="0.25">
      <c r="A44" s="16" t="str">
        <f>HYPERLINK("#'Constants - Fertiliser'!A1", "Constants - Fertiliser")</f>
        <v>Constants - Fertiliser</v>
      </c>
    </row>
    <row r="45" spans="1:11" ht="20.100000000000001" customHeight="1" x14ac:dyDescent="0.25">
      <c r="A45" s="16" t="str">
        <f>HYPERLINK("#'Constants - Electricity'!A1", "Constants - Electricity")</f>
        <v>Constants - Electricity</v>
      </c>
    </row>
    <row r="46" spans="1:11" ht="20.100000000000001" customHeight="1" x14ac:dyDescent="0.25">
      <c r="A46" s="16" t="str">
        <f>HYPERLINK("#'Constants - Common'!A1", "Constants - Common")</f>
        <v>Constants - Common</v>
      </c>
    </row>
    <row r="47" spans="1:11" ht="20.100000000000001" customHeight="1" x14ac:dyDescent="0.25">
      <c r="A47"/>
    </row>
    <row r="48" spans="1: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54"/>
    </row>
  </sheetData>
  <conditionalFormatting sqref="F32">
    <cfRule type="cellIs" dxfId="114" priority="9" operator="lessThan">
      <formula>0</formula>
    </cfRule>
  </conditionalFormatting>
  <conditionalFormatting sqref="F111:F112">
    <cfRule type="cellIs" dxfId="113" priority="8" operator="lessThan">
      <formula>0</formula>
    </cfRule>
  </conditionalFormatting>
  <conditionalFormatting sqref="F123:F124">
    <cfRule type="cellIs" dxfId="112" priority="7" operator="lessThan">
      <formula>0</formula>
    </cfRule>
  </conditionalFormatting>
  <conditionalFormatting sqref="F135:F136">
    <cfRule type="cellIs" dxfId="111" priority="6" operator="lessThan">
      <formula>0</formula>
    </cfRule>
  </conditionalFormatting>
  <conditionalFormatting sqref="F147:F148">
    <cfRule type="cellIs" dxfId="110" priority="5" operator="lessThan">
      <formula>0</formula>
    </cfRule>
  </conditionalFormatting>
  <conditionalFormatting sqref="F235:F236">
    <cfRule type="cellIs" dxfId="109" priority="17" operator="lessThan">
      <formula>0</formula>
    </cfRule>
  </conditionalFormatting>
  <conditionalFormatting sqref="F240:F241">
    <cfRule type="cellIs" dxfId="108" priority="16" operator="lessThan">
      <formula>0</formula>
    </cfRule>
  </conditionalFormatting>
  <conditionalFormatting sqref="F245:F246">
    <cfRule type="cellIs" dxfId="107" priority="15" operator="lessThan">
      <formula>0</formula>
    </cfRule>
  </conditionalFormatting>
  <conditionalFormatting sqref="F269:F270">
    <cfRule type="cellIs" dxfId="106" priority="14" operator="lessThan">
      <formula>0</formula>
    </cfRule>
  </conditionalFormatting>
  <conditionalFormatting sqref="F274:F275">
    <cfRule type="cellIs" dxfId="105" priority="13" operator="lessThan">
      <formula>0</formula>
    </cfRule>
  </conditionalFormatting>
  <conditionalFormatting sqref="F279:F280">
    <cfRule type="cellIs" dxfId="104" priority="12" operator="lessThan">
      <formula>0</formula>
    </cfRule>
  </conditionalFormatting>
  <conditionalFormatting sqref="I26:J27 H28:H30 I31:J31 I33:J35 I37:J38 I189:J189 E195:G195 I195:J195">
    <cfRule type="cellIs" dxfId="103" priority="11" operator="lessThan">
      <formula>0</formula>
    </cfRule>
  </conditionalFormatting>
  <conditionalFormatting sqref="I42:J46">
    <cfRule type="cellIs" dxfId="102" priority="4" operator="lessThan">
      <formula>0</formula>
    </cfRule>
  </conditionalFormatting>
  <conditionalFormatting sqref="I50:J50 I109:J109">
    <cfRule type="cellIs" dxfId="101" priority="10" operator="lessThan">
      <formula>0</formula>
    </cfRule>
  </conditionalFormatting>
  <conditionalFormatting sqref="I61:J63">
    <cfRule type="cellIs" dxfId="100" priority="3" operator="lessThan">
      <formula>0</formula>
    </cfRule>
  </conditionalFormatting>
  <conditionalFormatting sqref="I67:J70">
    <cfRule type="cellIs" dxfId="99" priority="2" operator="lessThan">
      <formula>0</formula>
    </cfRule>
  </conditionalFormatting>
  <conditionalFormatting sqref="I74:J78">
    <cfRule type="cellIs" dxfId="98" priority="1" operator="lessThan">
      <formula>0</formula>
    </cfRule>
  </conditionalFormatting>
  <dataValidations count="9">
    <dataValidation type="list" allowBlank="1" showInputMessage="1" showErrorMessage="1" sqref="E17:E21" xr:uid="{1ED79F42-737C-4AD3-A379-876FF816F20A}">
      <formula1>_xlfn.TRIMRANGE(INDIRECT("Table_FuelTypesPerUse["&amp;D17&amp;"]"))</formula1>
    </dataValidation>
    <dataValidation type="list" allowBlank="1" showInputMessage="1" showErrorMessage="1" sqref="D17:D21" xr:uid="{C6C2348A-F25E-4447-9C17-89E169ABF4C1}">
      <formula1>INDIRECT("Table_FuelTypesPerUse[#Headers]")</formula1>
    </dataValidation>
    <dataValidation type="list" allowBlank="1" showInputMessage="1" showErrorMessage="1" sqref="E11" xr:uid="{1439AC62-2675-4573-B55C-481424895C26}">
      <formula1>"Metro, Non-metro"</formula1>
    </dataValidation>
    <dataValidation type="list" allowBlank="1" showInputMessage="1" showErrorMessage="1" sqref="D29:D30" xr:uid="{B4869D54-A13C-4F41-810E-4464A8C64E9B}">
      <formula1>INDIRECT("Table_SourceData_OrganicFertiliserTypes[Organic fertiliser type]")</formula1>
    </dataValidation>
    <dataValidation type="list" allowBlank="1" showInputMessage="1" showErrorMessage="1" sqref="E49" xr:uid="{E674EE07-CE30-47B1-8BDF-4E6FFFD62DBB}">
      <formula1>INDIRECT("Table_SourceData_Swine_CropProdSystems[Production system]")</formula1>
    </dataValidation>
    <dataValidation type="list" allowBlank="1" showInputMessage="1" showErrorMessage="1" sqref="E50" xr:uid="{2426BA98-D44C-426D-B623-DA9EA0380799}">
      <formula1>INDIRECT("Table_SourceData_Swine_IrrigationMethods[Irrigation method]")</formula1>
    </dataValidation>
    <dataValidation type="list" allowBlank="1" showInputMessage="1" showErrorMessage="1" sqref="E234 E239 E244 E278 E273 E268 E146 E134 E110 E122" xr:uid="{89569380-A1DD-4A15-A139-FF3EA5A11A99}">
      <formula1>"Yes, No"</formula1>
    </dataValidation>
    <dataValidation type="list" allowBlank="1" showInputMessage="1" showErrorMessage="1" sqref="E210" xr:uid="{296C2A9D-E699-48E1-B13B-95C5AA604A1A}">
      <formula1>INDIRECT("Table_SourceData_Dairy_ProductionSystemTemplates[Area]")</formula1>
    </dataValidation>
    <dataValidation type="list" allowBlank="1" showInputMessage="1" showErrorMessage="1" sqref="D262" xr:uid="{D71CE92C-3BB9-433F-B889-6FE466507861}">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F37FC-3797-454C-8A83-4BEE0D92C6B9}">
  <dimension ref="A1:AA378"/>
  <sheetViews>
    <sheetView showGridLines="0" zoomScaleNormal="100" workbookViewId="0">
      <selection activeCell="A46" sqref="A46"/>
    </sheetView>
  </sheetViews>
  <sheetFormatPr defaultRowHeight="15.75" x14ac:dyDescent="0.25"/>
  <cols>
    <col min="1" max="1" width="26.875" style="3" customWidth="1"/>
    <col min="2" max="2" width="4.125" style="3" customWidth="1"/>
    <col min="3" max="3" width="4.125" style="8" customWidth="1"/>
    <col min="4" max="4" width="45.625" style="8" customWidth="1"/>
    <col min="5" max="24" width="26.875" style="8" customWidth="1"/>
    <col min="25" max="26" width="18.125" style="8" customWidth="1"/>
    <col min="27" max="27" width="4.125" style="8" customWidth="1"/>
    <col min="28" max="16384" width="9" style="3"/>
  </cols>
  <sheetData>
    <row r="1" spans="1:27" s="37" customFormat="1" ht="30" customHeight="1" x14ac:dyDescent="0.35">
      <c r="A1" s="37" t="e" vm="1">
        <v>#VALUE!</v>
      </c>
      <c r="C1" s="37" t="s">
        <v>189</v>
      </c>
    </row>
    <row r="2" spans="1:27" s="2" customFormat="1" ht="20.100000000000001" customHeight="1" x14ac:dyDescent="0.25">
      <c r="A2"/>
    </row>
    <row r="3" spans="1:27"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c r="T3" s="38"/>
      <c r="U3" s="38"/>
      <c r="V3" s="38"/>
      <c r="W3" s="38"/>
      <c r="X3" s="38"/>
      <c r="Y3" s="38"/>
      <c r="Z3" s="38"/>
      <c r="AA3" s="38"/>
    </row>
    <row r="4" spans="1:27" ht="20.100000000000001" customHeight="1" x14ac:dyDescent="0.25">
      <c r="A4" s="16" t="str">
        <f>HYPERLINK("#'Results'!A1", "Results")</f>
        <v>Results</v>
      </c>
    </row>
    <row r="5" spans="1:27" ht="20.100000000000001" customHeight="1" x14ac:dyDescent="0.25">
      <c r="A5"/>
      <c r="D5" s="9" t="s">
        <v>191</v>
      </c>
      <c r="E5" s="7"/>
      <c r="F5" s="7"/>
      <c r="G5" s="7"/>
      <c r="H5" s="7"/>
      <c r="I5" s="7"/>
      <c r="J5" s="7"/>
      <c r="K5" s="7"/>
      <c r="L5" s="7"/>
      <c r="M5" s="7"/>
    </row>
    <row r="6" spans="1:27" ht="20.100000000000001" customHeight="1" x14ac:dyDescent="0.25">
      <c r="A6"/>
      <c r="D6" s="14"/>
      <c r="E6" s="14"/>
      <c r="F6" s="14"/>
      <c r="G6" s="14"/>
      <c r="H6" s="14"/>
      <c r="I6" s="14"/>
      <c r="J6" s="14"/>
      <c r="K6" s="14"/>
      <c r="L6" s="14"/>
      <c r="M6" s="14"/>
    </row>
    <row r="7" spans="1:27" ht="20.100000000000001" customHeight="1" x14ac:dyDescent="0.25">
      <c r="A7" s="19" t="s">
        <v>67</v>
      </c>
      <c r="D7" s="39" t="s">
        <v>192</v>
      </c>
      <c r="E7" s="40"/>
      <c r="F7" s="40"/>
      <c r="G7" s="40"/>
      <c r="H7" s="41"/>
      <c r="I7" s="67"/>
      <c r="J7" s="68"/>
      <c r="K7" s="69"/>
      <c r="L7" s="69"/>
      <c r="M7" s="69"/>
    </row>
    <row r="8" spans="1:27" ht="20.100000000000001" customHeight="1" x14ac:dyDescent="0.25">
      <c r="A8" s="16" t="str">
        <f>HYPERLINK("#'Input - Site'!A1", "Site")</f>
        <v>Site</v>
      </c>
      <c r="D8" s="43" t="s">
        <v>193</v>
      </c>
      <c r="E8" s="44"/>
      <c r="F8" s="44"/>
      <c r="G8" s="45"/>
      <c r="H8" s="70"/>
      <c r="I8" s="14"/>
      <c r="J8" s="14"/>
      <c r="K8" s="14"/>
      <c r="L8" s="14"/>
      <c r="M8" s="14"/>
    </row>
    <row r="9" spans="1:27" ht="20.100000000000001" customHeight="1" x14ac:dyDescent="0.25">
      <c r="A9" s="16" t="str">
        <f>HYPERLINK("#'Input - Fuel'!A1", "Fuel")</f>
        <v>Fuel</v>
      </c>
      <c r="D9" s="14"/>
      <c r="E9" s="14"/>
      <c r="F9" s="14"/>
      <c r="G9" s="14"/>
      <c r="H9" s="14"/>
      <c r="I9" s="14"/>
      <c r="J9" s="14"/>
      <c r="K9" s="14"/>
      <c r="L9" s="14"/>
      <c r="M9" s="14"/>
    </row>
    <row r="10" spans="1:27" ht="20.100000000000001" customHeight="1" x14ac:dyDescent="0.25">
      <c r="A10" s="42" t="str">
        <f>HYPERLINK("#'Input - Fertiliser'!A1", "Fertiliser")</f>
        <v>Fertiliser</v>
      </c>
      <c r="D10" s="71" t="s">
        <v>194</v>
      </c>
      <c r="E10" s="14"/>
      <c r="F10" s="14"/>
      <c r="G10" s="14"/>
      <c r="H10" s="14"/>
      <c r="I10" s="14"/>
      <c r="J10" s="14"/>
      <c r="K10" s="14"/>
      <c r="L10" s="14"/>
      <c r="M10" s="14"/>
    </row>
    <row r="11" spans="1:27" ht="20.100000000000001" customHeight="1" x14ac:dyDescent="0.25">
      <c r="A11" s="16" t="str">
        <f>HYPERLINK("#'Input - Common farm inputs'!A1", "Common farm inputs")</f>
        <v>Common farm inputs</v>
      </c>
      <c r="D11" s="223" t="s">
        <v>195</v>
      </c>
      <c r="E11" s="64" t="s">
        <v>904</v>
      </c>
      <c r="F11" s="64" t="s">
        <v>305</v>
      </c>
      <c r="G11" s="64" t="s">
        <v>196</v>
      </c>
      <c r="H11" s="64" t="s">
        <v>306</v>
      </c>
      <c r="I11" s="64" t="s">
        <v>197</v>
      </c>
      <c r="J11" s="223" t="s">
        <v>170</v>
      </c>
      <c r="K11" s="223" t="s">
        <v>171</v>
      </c>
      <c r="L11" s="223" t="s">
        <v>172</v>
      </c>
      <c r="M11" s="223" t="s">
        <v>173</v>
      </c>
      <c r="N11" s="223" t="s">
        <v>174</v>
      </c>
      <c r="O11" s="223" t="s">
        <v>175</v>
      </c>
      <c r="P11" s="223" t="s">
        <v>176</v>
      </c>
      <c r="Q11" s="223" t="s">
        <v>177</v>
      </c>
      <c r="R11" s="223" t="s">
        <v>178</v>
      </c>
      <c r="S11" s="223" t="s">
        <v>179</v>
      </c>
      <c r="T11" s="223" t="s">
        <v>180</v>
      </c>
      <c r="U11" s="223" t="s">
        <v>181</v>
      </c>
      <c r="V11" s="223" t="s">
        <v>905</v>
      </c>
      <c r="W11" s="223" t="s">
        <v>906</v>
      </c>
      <c r="X11" s="223" t="s">
        <v>198</v>
      </c>
      <c r="Y11" s="223" t="s">
        <v>168</v>
      </c>
      <c r="Z11" s="223" t="s">
        <v>169</v>
      </c>
    </row>
    <row r="12" spans="1:27" ht="20.100000000000001" customHeight="1" x14ac:dyDescent="0.25">
      <c r="A12" s="16" t="str">
        <f>HYPERLINK("#'Input - Processing inputs'!A1", "Processing inputs")</f>
        <v>Processing inputs</v>
      </c>
      <c r="D12" s="72" t="s">
        <v>203</v>
      </c>
      <c r="E12" s="73">
        <v>100</v>
      </c>
      <c r="F12" s="49" t="str">
        <f>IFERROR(_xlfn.XLOOKUP(Table_Input_InorganicFertiliser_Brands[[#This Row],[Product (select)]],FertiliserProducts[Product],FertiliserProducts[Unit]), "kg")</f>
        <v>kg</v>
      </c>
      <c r="G12" s="73">
        <f t="shared" ref="G12" si="0">X_Cell_Fertiliser_AreaUnderCropping</f>
        <v>0</v>
      </c>
      <c r="H12" s="224">
        <f>IFERROR(_xlfn.XLOOKUP(Table_Input_InorganicFertiliser_Brands[[#This Row],[Product (select)]],FertiliserProducts[Product],FertiliserProducts[Density]), 1)</f>
        <v>1</v>
      </c>
      <c r="I12" s="74">
        <f>(Table_Input_InorganicFertiliser_Brands[[#This Row],[Amount applied per hectare]]*Table_Input_InorganicFertiliser_Brands[[#This Row],[Density]])*Table_Input_InorganicFertiliser_Brands[[#This Row],[Application area (ha)]]</f>
        <v>0</v>
      </c>
      <c r="J12" s="74"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
      </c>
      <c r="K12" s="74" t="str"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
      </c>
      <c r="L12" s="74"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74"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74"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74"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74"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74"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74"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74"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74"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74"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74">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2" s="74" cm="1">
        <f t="array" ref="W12">IFERROR(Fertiliser_InputFunctions.Fertiliser_FertiliserProductLookup(Table_Input_InorganicFertiliser_Brands[[#This Row],[Product (select)]], "N declared", FertiliserProducts[#Data], FertiliserProducts[Product], FertiliserProducts[#Headers])*0.01, 0)</f>
        <v>0</v>
      </c>
      <c r="X12" s="74">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2" s="74" t="str">
        <f>IFERROR(_xlfn.XLOOKUP(Table_Input_InorganicFertiliser_Brands[[#This Row],[Product (select)]],FertiliserProducts[Product],FertiliserProducts[Urea source]), "")</f>
        <v/>
      </c>
      <c r="Z12" s="74" t="str">
        <f>IFERROR(_xlfn.XLOOKUP(Table_Input_InorganicFertiliser_Brands[[#This Row],[Product (select)]],FertiliserProducts[Product],FertiliserProducts[Ammonia source]), "")</f>
        <v/>
      </c>
    </row>
    <row r="13" spans="1:27" ht="20.100000000000001" customHeight="1" x14ac:dyDescent="0.25">
      <c r="A13" s="16" t="str">
        <f>HYPERLINK("#'Input - Crop pasture farm input'!A1", "Crop pasture farm input")</f>
        <v>Crop pasture farm input</v>
      </c>
      <c r="D13" s="72" t="s">
        <v>907</v>
      </c>
      <c r="E13" s="73">
        <v>100</v>
      </c>
      <c r="F13" s="49" t="str">
        <f>IFERROR(_xlfn.XLOOKUP(Table_Input_InorganicFertiliser_Brands[[#This Row],[Product (select)]],FertiliserProducts[Product],FertiliserProducts[Unit]), "kg")</f>
        <v>kg</v>
      </c>
      <c r="G13" s="73">
        <f t="shared" ref="G13" si="1">X_Cell_Fertiliser_AreaUnderCropping</f>
        <v>0</v>
      </c>
      <c r="H13" s="224">
        <f>IFERROR(_xlfn.XLOOKUP(Table_Input_InorganicFertiliser_Brands[[#This Row],[Product (select)]],FertiliserProducts[Product],FertiliserProducts[Density]), 1)</f>
        <v>1</v>
      </c>
      <c r="I13" s="74">
        <f>(Table_Input_InorganicFertiliser_Brands[[#This Row],[Amount applied per hectare]]*Table_Input_InorganicFertiliser_Brands[[#This Row],[Density]])*Table_Input_InorganicFertiliser_Brands[[#This Row],[Application area (ha)]]</f>
        <v>0</v>
      </c>
      <c r="J13" s="74"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
      </c>
      <c r="K13" s="74" t="str"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
      </c>
      <c r="L13" s="74"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
      </c>
      <c r="M13" s="74" t="str"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
      </c>
      <c r="N13" s="74"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
      </c>
      <c r="O13" s="74" t="str"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
      </c>
      <c r="P13" s="74"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
      </c>
      <c r="Q13" s="74" t="str"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
      </c>
      <c r="R13" s="74"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
      </c>
      <c r="S13" s="74" t="str"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
      </c>
      <c r="T13" s="74"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
      </c>
      <c r="U13" s="74" t="str"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
      </c>
      <c r="V13" s="74">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225" cm="1">
        <f t="array" ref="W13">IFERROR(Fertiliser_InputFunctions.Fertiliser_FertiliserProductLookup(Table_Input_InorganicFertiliser_Brands[[#This Row],[Product (select)]], "N declared", FertiliserProducts[#Data], FertiliserProducts[Product], FertiliserProducts[#Headers])*0.01, 0)</f>
        <v>0</v>
      </c>
      <c r="X13" s="74">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3" s="74" t="str">
        <f>IFERROR(_xlfn.XLOOKUP(Table_Input_InorganicFertiliser_Brands[[#This Row],[Product (select)]],FertiliserProducts[Product],FertiliserProducts[Urea source]), "")</f>
        <v/>
      </c>
      <c r="Z13" s="74" t="str">
        <f>IFERROR(_xlfn.XLOOKUP(Table_Input_InorganicFertiliser_Brands[[#This Row],[Product (select)]],FertiliserProducts[Product],FertiliserProducts[Ammonia source]), "")</f>
        <v/>
      </c>
    </row>
    <row r="14" spans="1:27" ht="20.100000000000001" customHeight="1" x14ac:dyDescent="0.25">
      <c r="A14" s="16" t="str">
        <f>HYPERLINK("#'Input - Hort farm Inputs'!A1", "Hort farm Inputs")</f>
        <v>Hort farm Inputs</v>
      </c>
      <c r="D14" s="72" t="s">
        <v>908</v>
      </c>
      <c r="E14" s="73">
        <v>100</v>
      </c>
      <c r="F14" s="49" t="str">
        <f>IFERROR(_xlfn.XLOOKUP(Table_Input_InorganicFertiliser_Brands[[#This Row],[Product (select)]],FertiliserProducts[Product],FertiliserProducts[Unit]), "kg")</f>
        <v>kg</v>
      </c>
      <c r="G14" s="73">
        <f t="shared" ref="G14" si="2">X_Cell_Fertiliser_AreaUnderCropping</f>
        <v>0</v>
      </c>
      <c r="H14" s="224">
        <f>IFERROR(_xlfn.XLOOKUP(Table_Input_InorganicFertiliser_Brands[[#This Row],[Product (select)]],FertiliserProducts[Product],FertiliserProducts[Density]), 1)</f>
        <v>1</v>
      </c>
      <c r="I14" s="74">
        <f>(Table_Input_InorganicFertiliser_Brands[[#This Row],[Amount applied per hectare]]*Table_Input_InorganicFertiliser_Brands[[#This Row],[Density]])*Table_Input_InorganicFertiliser_Brands[[#This Row],[Application area (ha)]]</f>
        <v>0</v>
      </c>
      <c r="J14" s="74"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
      </c>
      <c r="K14" s="74" t="str"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
      </c>
      <c r="L14" s="74"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
      </c>
      <c r="M14" s="74" t="str"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
      </c>
      <c r="N14" s="74"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
      </c>
      <c r="O14" s="74" t="str"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
      </c>
      <c r="P14" s="74"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
      </c>
      <c r="Q14" s="74" t="str"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
      </c>
      <c r="R14" s="74"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
      </c>
      <c r="S14" s="74" t="str"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
      </c>
      <c r="T14" s="74"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74"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74">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225" cm="1">
        <f t="array" ref="W14">IFERROR(Fertiliser_InputFunctions.Fertiliser_FertiliserProductLookup(Table_Input_InorganicFertiliser_Brands[[#This Row],[Product (select)]], "N declared", FertiliserProducts[#Data], FertiliserProducts[Product], FertiliserProducts[#Headers])*0.01, 0)</f>
        <v>0</v>
      </c>
      <c r="X14" s="74">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4" s="74" t="str">
        <f>IFERROR(_xlfn.XLOOKUP(Table_Input_InorganicFertiliser_Brands[[#This Row],[Product (select)]],FertiliserProducts[Product],FertiliserProducts[Urea source]), "")</f>
        <v/>
      </c>
      <c r="Z14" s="74" t="str">
        <f>IFERROR(_xlfn.XLOOKUP(Table_Input_InorganicFertiliser_Brands[[#This Row],[Product (select)]],FertiliserProducts[Product],FertiliserProducts[Ammonia source]), "")</f>
        <v/>
      </c>
    </row>
    <row r="15" spans="1:27" ht="20.100000000000001" customHeight="1" x14ac:dyDescent="0.25">
      <c r="A15" s="16" t="str">
        <f>HYPERLINK("#'Input - Livestock farm Inputs'!A1", "Livestock farm Inputs")</f>
        <v>Livestock farm Inputs</v>
      </c>
      <c r="D15" s="72"/>
      <c r="E15" s="73"/>
      <c r="F15" s="49" t="str">
        <f>IFERROR(_xlfn.XLOOKUP(Table_Input_InorganicFertiliser_Brands[[#This Row],[Product (select)]],FertiliserProducts[Product],FertiliserProducts[Unit]), "kg")</f>
        <v>kg</v>
      </c>
      <c r="G15" s="73">
        <f t="shared" ref="G15" si="3">X_Cell_Fertiliser_AreaUnderCropping</f>
        <v>0</v>
      </c>
      <c r="H15" s="224">
        <f>IFERROR(_xlfn.XLOOKUP(Table_Input_InorganicFertiliser_Brands[[#This Row],[Product (select)]],FertiliserProducts[Product],FertiliserProducts[Density]), 1)</f>
        <v>1</v>
      </c>
      <c r="I15" s="74">
        <f>(Table_Input_InorganicFertiliser_Brands[[#This Row],[Amount applied per hectare]]*Table_Input_InorganicFertiliser_Brands[[#This Row],[Density]])*Table_Input_InorganicFertiliser_Brands[[#This Row],[Application area (ha)]]</f>
        <v>0</v>
      </c>
      <c r="J15" s="74"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Potassium - Generic</v>
      </c>
      <c r="K15" s="74"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0.22500000000000001</v>
      </c>
      <c r="L15" s="74"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Phosphorus - Generic</v>
      </c>
      <c r="M15" s="74"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0.04</v>
      </c>
      <c r="N15" s="74"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Nitrogen - Generic</v>
      </c>
      <c r="O15" s="74"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2.5999999999999999E-2</v>
      </c>
      <c r="P15" s="74"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74"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74"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74"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74"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74"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74">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2.5999999999999999E-2</v>
      </c>
      <c r="W15" s="225" cm="1">
        <f t="array" ref="W15">IFERROR(Fertiliser_InputFunctions.Fertiliser_FertiliserProductLookup(Table_Input_InorganicFertiliser_Brands[[#This Row],[Product (select)]], "N declared", FertiliserProducts[#Data], FertiliserProducts[Product], FertiliserProducts[#Headers])*0.01, 0)</f>
        <v>0</v>
      </c>
      <c r="X15" s="74">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74" t="str">
        <f>IFERROR(_xlfn.XLOOKUP(Table_Input_InorganicFertiliser_Brands[[#This Row],[Product (select)]],FertiliserProducts[Product],FertiliserProducts[Urea source]), "")</f>
        <v/>
      </c>
      <c r="Z15" s="74" t="str">
        <f>IFERROR(_xlfn.XLOOKUP(Table_Input_InorganicFertiliser_Brands[[#This Row],[Product (select)]],FertiliserProducts[Product],FertiliserProducts[Ammonia source]), "")</f>
        <v/>
      </c>
    </row>
    <row r="16" spans="1:27" ht="20.100000000000001" customHeight="1" x14ac:dyDescent="0.25">
      <c r="A16" s="16" t="str">
        <f>HYPERLINK("#'Input - Aquaculture inputs'!A1", "Aquaculture inputs")</f>
        <v>Aquaculture inputs</v>
      </c>
      <c r="D16" s="72"/>
      <c r="E16" s="73"/>
      <c r="F16" s="49" t="str">
        <f>IFERROR(_xlfn.XLOOKUP(Table_Input_InorganicFertiliser_Brands[[#This Row],[Product (select)]],FertiliserProducts[Product],FertiliserProducts[Unit]), "kg")</f>
        <v>kg</v>
      </c>
      <c r="G16" s="73">
        <f t="shared" ref="G16" si="4">X_Cell_Fertiliser_AreaUnderCropping</f>
        <v>0</v>
      </c>
      <c r="H16" s="224">
        <f>IFERROR(_xlfn.XLOOKUP(Table_Input_InorganicFertiliser_Brands[[#This Row],[Product (select)]],FertiliserProducts[Product],FertiliserProducts[Density]), 1)</f>
        <v>1</v>
      </c>
      <c r="I16" s="74">
        <f>(Table_Input_InorganicFertiliser_Brands[[#This Row],[Amount applied per hectare]]*Table_Input_InorganicFertiliser_Brands[[#This Row],[Density]])*Table_Input_InorganicFertiliser_Brands[[#This Row],[Application area (ha)]]</f>
        <v>0</v>
      </c>
      <c r="J16" s="74"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Potassium - Generic</v>
      </c>
      <c r="K16" s="74"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0.22500000000000001</v>
      </c>
      <c r="L16" s="74"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Phosphorus - Generic</v>
      </c>
      <c r="M16" s="74"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0.04</v>
      </c>
      <c r="N16" s="74"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Nitrogen - Generic</v>
      </c>
      <c r="O16" s="74"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2.5999999999999999E-2</v>
      </c>
      <c r="P16" s="74"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74"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74"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74"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74"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74"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74">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2.5999999999999999E-2</v>
      </c>
      <c r="W16" s="225" cm="1">
        <f t="array" ref="W16">IFERROR(Fertiliser_InputFunctions.Fertiliser_FertiliserProductLookup(Table_Input_InorganicFertiliser_Brands[[#This Row],[Product (select)]], "N declared", FertiliserProducts[#Data], FertiliserProducts[Product], FertiliserProducts[#Headers])*0.01, 0)</f>
        <v>0</v>
      </c>
      <c r="X16" s="74">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74" t="str">
        <f>IFERROR(_xlfn.XLOOKUP(Table_Input_InorganicFertiliser_Brands[[#This Row],[Product (select)]],FertiliserProducts[Product],FertiliserProducts[Urea source]), "")</f>
        <v/>
      </c>
      <c r="Z16" s="74" t="str">
        <f>IFERROR(_xlfn.XLOOKUP(Table_Input_InorganicFertiliser_Brands[[#This Row],[Product (select)]],FertiliserProducts[Product],FertiliserProducts[Ammonia source]), "")</f>
        <v/>
      </c>
    </row>
    <row r="17" spans="1:26" ht="20.100000000000001" customHeight="1" x14ac:dyDescent="0.25">
      <c r="A17" s="16" t="str">
        <f>HYPERLINK("#'Input - Beef cattle purchases'!A1", "Beef cattle purchases")</f>
        <v>Beef cattle purchases</v>
      </c>
      <c r="D17" s="72"/>
      <c r="E17" s="73"/>
      <c r="F17" s="49" t="str">
        <f>IFERROR(_xlfn.XLOOKUP(Table_Input_InorganicFertiliser_Brands[[#This Row],[Product (select)]],FertiliserProducts[Product],FertiliserProducts[Unit]), "kg")</f>
        <v>kg</v>
      </c>
      <c r="G17" s="73">
        <f t="shared" ref="G17" si="5">X_Cell_Fertiliser_AreaUnderCropping</f>
        <v>0</v>
      </c>
      <c r="H17" s="224">
        <f>IFERROR(_xlfn.XLOOKUP(Table_Input_InorganicFertiliser_Brands[[#This Row],[Product (select)]],FertiliserProducts[Product],FertiliserProducts[Density]), 1)</f>
        <v>1</v>
      </c>
      <c r="I17" s="74">
        <f>(Table_Input_InorganicFertiliser_Brands[[#This Row],[Amount applied per hectare]]*Table_Input_InorganicFertiliser_Brands[[#This Row],[Density]])*Table_Input_InorganicFertiliser_Brands[[#This Row],[Application area (ha)]]</f>
        <v>0</v>
      </c>
      <c r="J17" s="74"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Potassium - Generic</v>
      </c>
      <c r="K17" s="74"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0.22500000000000001</v>
      </c>
      <c r="L17" s="74"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Phosphorus - Generic</v>
      </c>
      <c r="M17" s="74"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0.04</v>
      </c>
      <c r="N17" s="74"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Nitrogen - Generic</v>
      </c>
      <c r="O17" s="74"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2.5999999999999999E-2</v>
      </c>
      <c r="P17" s="74"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74"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74"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74"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74"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74"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74">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2.5999999999999999E-2</v>
      </c>
      <c r="W17" s="225" cm="1">
        <f t="array" ref="W17">IFERROR(Fertiliser_InputFunctions.Fertiliser_FertiliserProductLookup(Table_Input_InorganicFertiliser_Brands[[#This Row],[Product (select)]], "N declared", FertiliserProducts[#Data], FertiliserProducts[Product], FertiliserProducts[#Headers])*0.01, 0)</f>
        <v>0</v>
      </c>
      <c r="X17" s="74">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74" t="str">
        <f>IFERROR(_xlfn.XLOOKUP(Table_Input_InorganicFertiliser_Brands[[#This Row],[Product (select)]],FertiliserProducts[Product],FertiliserProducts[Urea source]), "")</f>
        <v/>
      </c>
      <c r="Z17" s="74" t="str">
        <f>IFERROR(_xlfn.XLOOKUP(Table_Input_InorganicFertiliser_Brands[[#This Row],[Product (select)]],FertiliserProducts[Product],FertiliserProducts[Ammonia source]), "")</f>
        <v/>
      </c>
    </row>
    <row r="18" spans="1:26" ht="20.100000000000001" customHeight="1" x14ac:dyDescent="0.25">
      <c r="A18" s="16" t="str">
        <f>HYPERLINK("#'Input - Dairy cattle purchases'!A1", "Dairy cattle purchases")</f>
        <v>Dairy cattle purchases</v>
      </c>
      <c r="D18" s="72"/>
      <c r="E18" s="73"/>
      <c r="F18" s="49" t="str">
        <f>IFERROR(_xlfn.XLOOKUP(Table_Input_InorganicFertiliser_Brands[[#This Row],[Product (select)]],FertiliserProducts[Product],FertiliserProducts[Unit]), "kg")</f>
        <v>kg</v>
      </c>
      <c r="G18" s="73">
        <f t="shared" ref="G18" si="6">X_Cell_Fertiliser_AreaUnderCropping</f>
        <v>0</v>
      </c>
      <c r="H18" s="224">
        <f>IFERROR(_xlfn.XLOOKUP(Table_Input_InorganicFertiliser_Brands[[#This Row],[Product (select)]],FertiliserProducts[Product],FertiliserProducts[Density]), 1)</f>
        <v>1</v>
      </c>
      <c r="I18" s="74">
        <f>(Table_Input_InorganicFertiliser_Brands[[#This Row],[Amount applied per hectare]]*Table_Input_InorganicFertiliser_Brands[[#This Row],[Density]])*Table_Input_InorganicFertiliser_Brands[[#This Row],[Application area (ha)]]</f>
        <v>0</v>
      </c>
      <c r="J18" s="74"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Potassium - Generic</v>
      </c>
      <c r="K18" s="74"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0.22500000000000001</v>
      </c>
      <c r="L18" s="74"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Phosphorus - Generic</v>
      </c>
      <c r="M18" s="74"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0.04</v>
      </c>
      <c r="N18" s="74"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Nitrogen - Generic</v>
      </c>
      <c r="O18" s="74"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2.5999999999999999E-2</v>
      </c>
      <c r="P18" s="74"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74"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74"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74"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74"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74"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74">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2.5999999999999999E-2</v>
      </c>
      <c r="W18" s="225" cm="1">
        <f t="array" ref="W18">IFERROR(Fertiliser_InputFunctions.Fertiliser_FertiliserProductLookup(Table_Input_InorganicFertiliser_Brands[[#This Row],[Product (select)]], "N declared", FertiliserProducts[#Data], FertiliserProducts[Product], FertiliserProducts[#Headers])*0.01, 0)</f>
        <v>0</v>
      </c>
      <c r="X18" s="74">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74" t="str">
        <f>IFERROR(_xlfn.XLOOKUP(Table_Input_InorganicFertiliser_Brands[[#This Row],[Product (select)]],FertiliserProducts[Product],FertiliserProducts[Urea source]), "")</f>
        <v/>
      </c>
      <c r="Z18" s="74" t="str">
        <f>IFERROR(_xlfn.XLOOKUP(Table_Input_InorganicFertiliser_Brands[[#This Row],[Product (select)]],FertiliserProducts[Product],FertiliserProducts[Ammonia source]), "")</f>
        <v/>
      </c>
    </row>
    <row r="19" spans="1:26" ht="20.100000000000001" customHeight="1" x14ac:dyDescent="0.25">
      <c r="A19" s="16" t="str">
        <f>HYPERLINK("#'Input - Pig purchases'!A1", "Pig purchases")</f>
        <v>Pig purchases</v>
      </c>
      <c r="D19" s="72"/>
      <c r="E19" s="73"/>
      <c r="F19" s="49" t="str">
        <f>IFERROR(_xlfn.XLOOKUP(Table_Input_InorganicFertiliser_Brands[[#This Row],[Product (select)]],FertiliserProducts[Product],FertiliserProducts[Unit]), "kg")</f>
        <v>kg</v>
      </c>
      <c r="G19" s="73">
        <f t="shared" ref="G19" si="7">X_Cell_Fertiliser_AreaUnderCropping</f>
        <v>0</v>
      </c>
      <c r="H19" s="224">
        <f>IFERROR(_xlfn.XLOOKUP(Table_Input_InorganicFertiliser_Brands[[#This Row],[Product (select)]],FertiliserProducts[Product],FertiliserProducts[Density]), 1)</f>
        <v>1</v>
      </c>
      <c r="I19" s="74">
        <f>(Table_Input_InorganicFertiliser_Brands[[#This Row],[Amount applied per hectare]]*Table_Input_InorganicFertiliser_Brands[[#This Row],[Density]])*Table_Input_InorganicFertiliser_Brands[[#This Row],[Application area (ha)]]</f>
        <v>0</v>
      </c>
      <c r="J19" s="74"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Potassium - Generic</v>
      </c>
      <c r="K19" s="74"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0.22500000000000001</v>
      </c>
      <c r="L19" s="74"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Phosphorus - Generic</v>
      </c>
      <c r="M19" s="74"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0.04</v>
      </c>
      <c r="N19" s="74"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Nitrogen - Generic</v>
      </c>
      <c r="O19" s="74"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2.5999999999999999E-2</v>
      </c>
      <c r="P19" s="74"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74"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74"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74"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74"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74"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74">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2.5999999999999999E-2</v>
      </c>
      <c r="W19" s="225" cm="1">
        <f t="array" ref="W19">IFERROR(Fertiliser_InputFunctions.Fertiliser_FertiliserProductLookup(Table_Input_InorganicFertiliser_Brands[[#This Row],[Product (select)]], "N declared", FertiliserProducts[#Data], FertiliserProducts[Product], FertiliserProducts[#Headers])*0.01, 0)</f>
        <v>0</v>
      </c>
      <c r="X19" s="74">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74" t="str">
        <f>IFERROR(_xlfn.XLOOKUP(Table_Input_InorganicFertiliser_Brands[[#This Row],[Product (select)]],FertiliserProducts[Product],FertiliserProducts[Urea source]), "")</f>
        <v/>
      </c>
      <c r="Z19" s="74" t="str">
        <f>IFERROR(_xlfn.XLOOKUP(Table_Input_InorganicFertiliser_Brands[[#This Row],[Product (select)]],FertiliserProducts[Product],FertiliserProducts[Ammonia source]), "")</f>
        <v/>
      </c>
    </row>
    <row r="20" spans="1:26" ht="20.100000000000001" customHeight="1" x14ac:dyDescent="0.25">
      <c r="A20" s="16" t="str">
        <f>HYPERLINK("#'Input - Poultry purchases'!A1", "Poultry purchases")</f>
        <v>Poultry purchases</v>
      </c>
      <c r="D20" s="72"/>
      <c r="E20" s="73"/>
      <c r="F20" s="49" t="str">
        <f>IFERROR(_xlfn.XLOOKUP(Table_Input_InorganicFertiliser_Brands[[#This Row],[Product (select)]],FertiliserProducts[Product],FertiliserProducts[Unit]), "kg")</f>
        <v>kg</v>
      </c>
      <c r="G20" s="73">
        <f t="shared" ref="G20" si="8">X_Cell_Fertiliser_AreaUnderCropping</f>
        <v>0</v>
      </c>
      <c r="H20" s="224">
        <f>IFERROR(_xlfn.XLOOKUP(Table_Input_InorganicFertiliser_Brands[[#This Row],[Product (select)]],FertiliserProducts[Product],FertiliserProducts[Density]), 1)</f>
        <v>1</v>
      </c>
      <c r="I20" s="74">
        <f>(Table_Input_InorganicFertiliser_Brands[[#This Row],[Amount applied per hectare]]*Table_Input_InorganicFertiliser_Brands[[#This Row],[Density]])*Table_Input_InorganicFertiliser_Brands[[#This Row],[Application area (ha)]]</f>
        <v>0</v>
      </c>
      <c r="J20" s="74"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Potassium - Generic</v>
      </c>
      <c r="K20" s="74"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0.22500000000000001</v>
      </c>
      <c r="L20" s="74"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Phosphorus - Generic</v>
      </c>
      <c r="M20" s="74"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0.04</v>
      </c>
      <c r="N20" s="74"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Nitrogen - Generic</v>
      </c>
      <c r="O20" s="74"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2.5999999999999999E-2</v>
      </c>
      <c r="P20" s="74"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74"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74"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74"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74"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74"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74">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2.5999999999999999E-2</v>
      </c>
      <c r="W20" s="225" cm="1">
        <f t="array" ref="W20">IFERROR(Fertiliser_InputFunctions.Fertiliser_FertiliserProductLookup(Table_Input_InorganicFertiliser_Brands[[#This Row],[Product (select)]], "N declared", FertiliserProducts[#Data], FertiliserProducts[Product], FertiliserProducts[#Headers])*0.01, 0)</f>
        <v>0</v>
      </c>
      <c r="X20" s="74">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74" t="str">
        <f>IFERROR(_xlfn.XLOOKUP(Table_Input_InorganicFertiliser_Brands[[#This Row],[Product (select)]],FertiliserProducts[Product],FertiliserProducts[Urea source]), "")</f>
        <v/>
      </c>
      <c r="Z20" s="74" t="str">
        <f>IFERROR(_xlfn.XLOOKUP(Table_Input_InorganicFertiliser_Brands[[#This Row],[Product (select)]],FertiliserProducts[Product],FertiliserProducts[Ammonia source]), "")</f>
        <v/>
      </c>
    </row>
    <row r="21" spans="1:26" ht="20.100000000000001" customHeight="1" x14ac:dyDescent="0.25">
      <c r="A21" s="16" t="str">
        <f>HYPERLINK("#'Input - Freight'!A1", "Freight")</f>
        <v>Freight</v>
      </c>
      <c r="D21" s="72"/>
      <c r="E21" s="73"/>
      <c r="F21" s="49" t="str">
        <f>IFERROR(_xlfn.XLOOKUP(Table_Input_InorganicFertiliser_Brands[[#This Row],[Product (select)]],FertiliserProducts[Product],FertiliserProducts[Unit]), "kg")</f>
        <v>kg</v>
      </c>
      <c r="G21" s="73">
        <f t="shared" ref="G21" si="9">X_Cell_Fertiliser_AreaUnderCropping</f>
        <v>0</v>
      </c>
      <c r="H21" s="224">
        <f>IFERROR(_xlfn.XLOOKUP(Table_Input_InorganicFertiliser_Brands[[#This Row],[Product (select)]],FertiliserProducts[Product],FertiliserProducts[Density]), 1)</f>
        <v>1</v>
      </c>
      <c r="I21" s="74">
        <f>(Table_Input_InorganicFertiliser_Brands[[#This Row],[Amount applied per hectare]]*Table_Input_InorganicFertiliser_Brands[[#This Row],[Density]])*Table_Input_InorganicFertiliser_Brands[[#This Row],[Application area (ha)]]</f>
        <v>0</v>
      </c>
      <c r="J21" s="74"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Potassium - Generic</v>
      </c>
      <c r="K21" s="74"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0.22500000000000001</v>
      </c>
      <c r="L21" s="74"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Phosphorus - Generic</v>
      </c>
      <c r="M21" s="74"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0.04</v>
      </c>
      <c r="N21" s="74"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Nitrogen - Generic</v>
      </c>
      <c r="O21" s="74"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2.5999999999999999E-2</v>
      </c>
      <c r="P21" s="74"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74"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74"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74"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74"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74"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74">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2.5999999999999999E-2</v>
      </c>
      <c r="W21" s="225" cm="1">
        <f t="array" ref="W21">IFERROR(Fertiliser_InputFunctions.Fertiliser_FertiliserProductLookup(Table_Input_InorganicFertiliser_Brands[[#This Row],[Product (select)]], "N declared", FertiliserProducts[#Data], FertiliserProducts[Product], FertiliserProducts[#Headers])*0.01, 0)</f>
        <v>0</v>
      </c>
      <c r="X21" s="74">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74" t="str">
        <f>IFERROR(_xlfn.XLOOKUP(Table_Input_InorganicFertiliser_Brands[[#This Row],[Product (select)]],FertiliserProducts[Product],FertiliserProducts[Urea source]), "")</f>
        <v/>
      </c>
      <c r="Z21" s="74" t="str">
        <f>IFERROR(_xlfn.XLOOKUP(Table_Input_InorganicFertiliser_Brands[[#This Row],[Product (select)]],FertiliserProducts[Product],FertiliserProducts[Ammonia source]), "")</f>
        <v/>
      </c>
    </row>
    <row r="22" spans="1:26" ht="20.100000000000001" customHeight="1" x14ac:dyDescent="0.25">
      <c r="A22" s="16" t="str">
        <f>HYPERLINK("#'Input - Solid waste'!A1", "Solid waste")</f>
        <v>Solid waste</v>
      </c>
      <c r="D22" s="75"/>
      <c r="E22" s="76"/>
      <c r="F22" s="77"/>
      <c r="G22" s="77"/>
      <c r="H22" s="77"/>
      <c r="I22" s="77"/>
      <c r="J22" s="78"/>
      <c r="K22" s="78"/>
      <c r="L22" s="79"/>
      <c r="M22" s="79"/>
      <c r="N22" s="51"/>
      <c r="O22" s="51"/>
      <c r="P22" s="51"/>
      <c r="Q22" s="51"/>
      <c r="R22" s="51"/>
      <c r="S22" s="51"/>
      <c r="T22" s="51"/>
      <c r="U22" s="51"/>
      <c r="V22" s="51"/>
      <c r="W22" s="51"/>
      <c r="X22" s="51"/>
    </row>
    <row r="23" spans="1:26" ht="20.100000000000001" customHeight="1" x14ac:dyDescent="0.25">
      <c r="A23" s="16" t="str">
        <f>HYPERLINK("#'Input - Manure sent off-site'!A1", "Manure sent off-site")</f>
        <v>Manure sent off-site</v>
      </c>
      <c r="D23" s="80" t="s">
        <v>199</v>
      </c>
      <c r="E23" s="81"/>
      <c r="F23" s="81"/>
      <c r="G23" s="81"/>
      <c r="H23" s="81"/>
      <c r="I23" s="81"/>
      <c r="J23" s="81"/>
      <c r="K23" s="81"/>
      <c r="L23" s="81"/>
      <c r="M23" s="81"/>
      <c r="N23" s="51"/>
      <c r="O23" s="51"/>
      <c r="P23" s="51"/>
      <c r="Q23" s="51"/>
      <c r="R23" s="51"/>
      <c r="S23" s="51"/>
      <c r="T23" s="51"/>
      <c r="V23" s="51"/>
      <c r="W23" s="51"/>
      <c r="X23" s="51"/>
    </row>
    <row r="24" spans="1:26" ht="20.100000000000001" customHeight="1" x14ac:dyDescent="0.25">
      <c r="A24" s="16" t="str">
        <f>HYPERLINK("#'Input - Electricity'!A1", "Electricity")</f>
        <v>Electricity</v>
      </c>
      <c r="D24" s="64" t="s">
        <v>200</v>
      </c>
      <c r="E24" s="64" t="s">
        <v>909</v>
      </c>
      <c r="F24" s="64" t="s">
        <v>196</v>
      </c>
      <c r="G24" s="64" t="s">
        <v>197</v>
      </c>
      <c r="H24" s="64" t="s">
        <v>201</v>
      </c>
      <c r="I24" s="64" t="s">
        <v>171</v>
      </c>
      <c r="J24" s="64" t="s">
        <v>172</v>
      </c>
      <c r="K24" s="64" t="s">
        <v>173</v>
      </c>
      <c r="L24" s="64" t="s">
        <v>174</v>
      </c>
      <c r="M24" s="64" t="s">
        <v>175</v>
      </c>
      <c r="N24" s="64" t="s">
        <v>176</v>
      </c>
      <c r="O24" s="64" t="s">
        <v>177</v>
      </c>
      <c r="P24" s="64" t="s">
        <v>198</v>
      </c>
      <c r="Q24" s="223" t="s">
        <v>847</v>
      </c>
      <c r="R24" s="223" t="s">
        <v>848</v>
      </c>
      <c r="S24" s="51"/>
      <c r="T24" s="51"/>
      <c r="V24" s="51"/>
      <c r="W24" s="51"/>
      <c r="X24" s="51"/>
    </row>
    <row r="25" spans="1:26" ht="20.100000000000001" customHeight="1" x14ac:dyDescent="0.25">
      <c r="A25"/>
      <c r="D25" s="82" t="s">
        <v>202</v>
      </c>
      <c r="E25" s="64">
        <v>100</v>
      </c>
      <c r="F25" s="73">
        <f t="shared" ref="F25:F34" si="10">X_Cell_Fertiliser_AreaUnderCropping</f>
        <v>0</v>
      </c>
      <c r="G25" s="74">
        <f>Table_Input_InorganicFertiliser_Custom[[#This Row],[Amount applied (kg / ha)]]*Table_Input_InorganicFertiliser_Custom[[#This Row],[Application area (ha)]]</f>
        <v>0</v>
      </c>
      <c r="H25" s="83" t="s">
        <v>309</v>
      </c>
      <c r="I25" s="84">
        <v>0.5</v>
      </c>
      <c r="J25" s="83" t="s">
        <v>910</v>
      </c>
      <c r="K25" s="84">
        <v>0.2</v>
      </c>
      <c r="L25" s="83" t="s">
        <v>204</v>
      </c>
      <c r="M25" s="84">
        <v>0.2</v>
      </c>
      <c r="N25" s="85" t="s">
        <v>205</v>
      </c>
      <c r="O25" s="86">
        <v>0.1</v>
      </c>
      <c r="P25"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47"/>
      <c r="R25" s="47"/>
      <c r="T25" s="27"/>
      <c r="V25" s="51"/>
    </row>
    <row r="26" spans="1:26" ht="20.100000000000001" customHeight="1" x14ac:dyDescent="0.25">
      <c r="A26"/>
      <c r="D26" s="82" t="s">
        <v>911</v>
      </c>
      <c r="E26" s="64">
        <v>100</v>
      </c>
      <c r="F26" s="73">
        <f t="shared" si="10"/>
        <v>0</v>
      </c>
      <c r="G26" s="74">
        <f>Table_Input_InorganicFertiliser_Custom[[#This Row],[Amount applied (kg / ha)]]*Table_Input_InorganicFertiliser_Custom[[#This Row],[Application area (ha)]]</f>
        <v>0</v>
      </c>
      <c r="H26" s="83" t="s">
        <v>203</v>
      </c>
      <c r="I26" s="87">
        <v>1</v>
      </c>
      <c r="J26" s="83"/>
      <c r="K26" s="87"/>
      <c r="L26" s="83"/>
      <c r="M26" s="87"/>
      <c r="N26" s="85"/>
      <c r="O26" s="86"/>
      <c r="P26"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47"/>
      <c r="R26" s="47"/>
      <c r="V26" s="51"/>
      <c r="W26" s="27"/>
    </row>
    <row r="27" spans="1:26" ht="20.100000000000001" customHeight="1" x14ac:dyDescent="0.25">
      <c r="A27" s="21" t="s">
        <v>77</v>
      </c>
      <c r="D27" s="82" t="s">
        <v>912</v>
      </c>
      <c r="E27" s="64">
        <v>100</v>
      </c>
      <c r="F27" s="73">
        <f t="shared" si="10"/>
        <v>0</v>
      </c>
      <c r="G27" s="74">
        <f>Table_Input_InorganicFertiliser_Custom[[#This Row],[Amount applied (kg / ha)]]*Table_Input_InorganicFertiliser_Custom[[#This Row],[Application area (ha)]]</f>
        <v>0</v>
      </c>
      <c r="H27" s="83" t="s">
        <v>310</v>
      </c>
      <c r="I27" s="87">
        <v>0.5</v>
      </c>
      <c r="J27" s="83"/>
      <c r="K27" s="87"/>
      <c r="L27" s="83"/>
      <c r="M27" s="87"/>
      <c r="N27" s="85"/>
      <c r="O27" s="86"/>
      <c r="P27"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47"/>
      <c r="R27" s="47"/>
      <c r="V27" s="51"/>
    </row>
    <row r="28" spans="1:26" ht="20.100000000000001" customHeight="1" x14ac:dyDescent="0.25">
      <c r="A28" s="16" t="str">
        <f>HYPERLINK("#'15 Scope 3'!A1", "15 Scope 3")</f>
        <v>15 Scope 3</v>
      </c>
      <c r="D28" s="82"/>
      <c r="E28" s="64"/>
      <c r="F28" s="148">
        <f t="shared" si="10"/>
        <v>0</v>
      </c>
      <c r="G28" s="74">
        <f>Table_Input_InorganicFertiliser_Custom[[#This Row],[Amount applied (kg / ha)]]*Table_Input_InorganicFertiliser_Custom[[#This Row],[Application area (ha)]]</f>
        <v>0</v>
      </c>
      <c r="H28" s="83"/>
      <c r="I28" s="87"/>
      <c r="J28" s="83"/>
      <c r="K28" s="87"/>
      <c r="L28" s="83"/>
      <c r="M28" s="87"/>
      <c r="N28" s="85"/>
      <c r="O28" s="86"/>
      <c r="P28"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47"/>
      <c r="R28" s="47"/>
      <c r="V28" s="27"/>
    </row>
    <row r="29" spans="1:26" ht="20.100000000000001" customHeight="1" x14ac:dyDescent="0.25">
      <c r="A29" s="16" t="str">
        <f>HYPERLINK("#'10.1.1-2 Solid waste treatment'!A1", "10.1.1-2 Solid waste treatment")</f>
        <v>10.1.1-2 Solid waste treatment</v>
      </c>
      <c r="D29" s="82"/>
      <c r="E29" s="64"/>
      <c r="F29" s="148">
        <f t="shared" si="10"/>
        <v>0</v>
      </c>
      <c r="G29" s="74">
        <f>Table_Input_InorganicFertiliser_Custom[[#This Row],[Amount applied (kg / ha)]]*Table_Input_InorganicFertiliser_Custom[[#This Row],[Application area (ha)]]</f>
        <v>0</v>
      </c>
      <c r="H29" s="83"/>
      <c r="I29" s="87"/>
      <c r="J29" s="83"/>
      <c r="K29" s="87"/>
      <c r="L29" s="83"/>
      <c r="M29" s="87"/>
      <c r="N29" s="85"/>
      <c r="O29" s="86"/>
      <c r="P29"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47"/>
      <c r="R29" s="47"/>
    </row>
    <row r="30" spans="1:26" ht="20.100000000000001" customHeight="1" x14ac:dyDescent="0.25">
      <c r="A30" s="16" t="str">
        <f>HYPERLINK("#'Calcs - Manure sent off-site'!A1", "Calcs - Manure sent off-site")</f>
        <v>Calcs - Manure sent off-site</v>
      </c>
      <c r="D30" s="82"/>
      <c r="E30" s="64"/>
      <c r="F30" s="148">
        <f t="shared" si="10"/>
        <v>0</v>
      </c>
      <c r="G30" s="74">
        <f>Table_Input_InorganicFertiliser_Custom[[#This Row],[Amount applied (kg / ha)]]*Table_Input_InorganicFertiliser_Custom[[#This Row],[Application area (ha)]]</f>
        <v>0</v>
      </c>
      <c r="H30" s="83"/>
      <c r="I30" s="87"/>
      <c r="J30" s="83"/>
      <c r="K30" s="87"/>
      <c r="L30" s="83"/>
      <c r="M30" s="87"/>
      <c r="N30" s="85"/>
      <c r="O30" s="86"/>
      <c r="P30"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47"/>
      <c r="R30" s="47"/>
    </row>
    <row r="31" spans="1:26" ht="20.100000000000001" customHeight="1" x14ac:dyDescent="0.25">
      <c r="A31" s="16" t="str">
        <f>HYPERLINK("#'8.1.1.1-2 Transport fuel'!A1", "8.1.1.1-2 Transport fuel")</f>
        <v>8.1.1.1-2 Transport fuel</v>
      </c>
      <c r="D31" s="82"/>
      <c r="E31" s="64"/>
      <c r="F31" s="148">
        <f t="shared" si="10"/>
        <v>0</v>
      </c>
      <c r="G31" s="74">
        <f>Table_Input_InorganicFertiliser_Custom[[#This Row],[Amount applied (kg / ha)]]*Table_Input_InorganicFertiliser_Custom[[#This Row],[Application area (ha)]]</f>
        <v>0</v>
      </c>
      <c r="H31" s="83"/>
      <c r="I31" s="87"/>
      <c r="J31" s="83"/>
      <c r="K31" s="87"/>
      <c r="L31" s="83"/>
      <c r="M31" s="87"/>
      <c r="N31" s="85"/>
      <c r="O31" s="86"/>
      <c r="P31"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47"/>
      <c r="R31" s="47"/>
    </row>
    <row r="32" spans="1:26" ht="20.100000000000001" customHeight="1" x14ac:dyDescent="0.25">
      <c r="A32" s="16" t="str">
        <f>HYPERLINK("#'8.2.1.1-2 Stationary fuel'!A1", "8.2.1.1-2 Stationary fuel")</f>
        <v>8.2.1.1-2 Stationary fuel</v>
      </c>
      <c r="D32" s="82"/>
      <c r="E32" s="64"/>
      <c r="F32" s="148">
        <f t="shared" si="10"/>
        <v>0</v>
      </c>
      <c r="G32" s="74">
        <f>Table_Input_InorganicFertiliser_Custom[[#This Row],[Amount applied (kg / ha)]]*Table_Input_InorganicFertiliser_Custom[[#This Row],[Application area (ha)]]</f>
        <v>0</v>
      </c>
      <c r="H32" s="83"/>
      <c r="I32" s="87"/>
      <c r="J32" s="83"/>
      <c r="K32" s="87"/>
      <c r="L32" s="83"/>
      <c r="M32" s="87"/>
      <c r="N32" s="85"/>
      <c r="O32" s="86"/>
      <c r="P32"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47"/>
      <c r="R32" s="47"/>
    </row>
    <row r="33" spans="1:27" ht="20.100000000000001" customHeight="1" x14ac:dyDescent="0.25">
      <c r="A33"/>
      <c r="D33" s="82"/>
      <c r="E33" s="64"/>
      <c r="F33" s="148">
        <f t="shared" si="10"/>
        <v>0</v>
      </c>
      <c r="G33" s="74">
        <f>Table_Input_InorganicFertiliser_Custom[[#This Row],[Amount applied (kg / ha)]]*Table_Input_InorganicFertiliser_Custom[[#This Row],[Application area (ha)]]</f>
        <v>0</v>
      </c>
      <c r="H33" s="83"/>
      <c r="I33" s="87"/>
      <c r="J33" s="83"/>
      <c r="K33" s="87"/>
      <c r="L33" s="83"/>
      <c r="M33" s="87"/>
      <c r="N33" s="85"/>
      <c r="O33" s="86"/>
      <c r="P33"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47"/>
      <c r="R33" s="47"/>
    </row>
    <row r="34" spans="1:27" ht="20.100000000000001" customHeight="1" x14ac:dyDescent="0.25">
      <c r="A34"/>
      <c r="D34" s="82"/>
      <c r="E34" s="64"/>
      <c r="F34" s="148">
        <f t="shared" si="10"/>
        <v>0</v>
      </c>
      <c r="G34" s="74">
        <f>Table_Input_InorganicFertiliser_Custom[[#This Row],[Amount applied (kg / ha)]]*Table_Input_InorganicFertiliser_Custom[[#This Row],[Application area (ha)]]</f>
        <v>0</v>
      </c>
      <c r="H34" s="83"/>
      <c r="I34" s="87"/>
      <c r="J34" s="83"/>
      <c r="K34" s="87"/>
      <c r="L34" s="83"/>
      <c r="M34" s="87"/>
      <c r="N34" s="85"/>
      <c r="O34" s="86"/>
      <c r="P34"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47"/>
      <c r="R34" s="47"/>
    </row>
    <row r="35" spans="1:27" ht="20.100000000000001" customHeight="1" x14ac:dyDescent="0.25">
      <c r="A35" s="222" t="s">
        <v>78</v>
      </c>
    </row>
    <row r="36" spans="1:27" ht="20.100000000000001" customHeight="1" x14ac:dyDescent="0.25">
      <c r="A36" s="16" t="str">
        <f>HYPERLINK("#'Constants - Scope 3'!A1", "Constants - Scope 3")</f>
        <v>Constants - Scope 3</v>
      </c>
      <c r="D36" s="9" t="s">
        <v>913</v>
      </c>
      <c r="E36" s="7"/>
      <c r="F36" s="7"/>
      <c r="G36" s="7"/>
      <c r="H36" s="7"/>
      <c r="I36" s="7"/>
      <c r="J36" s="7"/>
      <c r="K36" s="14"/>
      <c r="L36" s="14"/>
      <c r="M36" s="14"/>
    </row>
    <row r="37" spans="1:27" ht="20.100000000000001" customHeight="1" x14ac:dyDescent="0.25">
      <c r="A37" s="16" t="str">
        <f>HYPERLINK("#'Constants - Solid Waste'!A1", "Constants - Solid Waste")</f>
        <v>Constants - Solid Waste</v>
      </c>
      <c r="D37" s="39" t="s">
        <v>206</v>
      </c>
      <c r="E37" s="40"/>
      <c r="F37" s="41"/>
      <c r="G37" s="39"/>
      <c r="H37" s="41"/>
      <c r="I37" s="7"/>
      <c r="J37" s="7"/>
      <c r="K37" s="14"/>
      <c r="L37" s="14"/>
      <c r="M37" s="7"/>
    </row>
    <row r="38" spans="1:27" ht="20.100000000000001" customHeight="1" x14ac:dyDescent="0.25">
      <c r="A38" s="16" t="str">
        <f>HYPERLINK("#'Constants - Fuel'!A1", "Constants - Fuel")</f>
        <v>Constants - Fuel</v>
      </c>
      <c r="C38" s="51"/>
      <c r="D38" s="88" t="s">
        <v>207</v>
      </c>
      <c r="E38" s="89"/>
      <c r="F38" s="90"/>
      <c r="G38" s="88"/>
      <c r="H38" s="90"/>
      <c r="I38" s="14"/>
      <c r="J38" s="14"/>
      <c r="K38" s="14"/>
      <c r="L38" s="14"/>
      <c r="M38" s="14"/>
    </row>
    <row r="39" spans="1:27" ht="20.100000000000001" customHeight="1" x14ac:dyDescent="0.25">
      <c r="A39" s="16" t="str">
        <f>HYPERLINK("#'Constants - Poultry'!A1", "Constants - Poultry")</f>
        <v>Constants - Poultry</v>
      </c>
      <c r="C39" s="51"/>
      <c r="D39" s="43" t="s">
        <v>193</v>
      </c>
      <c r="E39" s="44"/>
      <c r="F39" s="44"/>
      <c r="G39" s="44"/>
      <c r="H39" s="45"/>
      <c r="I39" s="14"/>
      <c r="J39" s="14"/>
      <c r="K39" s="14"/>
      <c r="L39" s="14"/>
      <c r="M39" s="7"/>
    </row>
    <row r="40" spans="1:27" s="52" customFormat="1" ht="20.100000000000001" customHeight="1" x14ac:dyDescent="0.25">
      <c r="A40" s="16" t="str">
        <f>HYPERLINK("#'Constants - Swine'!A1", "Constants - Swine")</f>
        <v>Constants - Swine</v>
      </c>
      <c r="C40" s="8"/>
      <c r="D40" s="54" t="str">
        <f>IF(MAX(Table_Input_Lime[Total]) &gt; 1, "There can not be more than 100% ingredients in a product. Check the table below.", "")</f>
        <v/>
      </c>
      <c r="E40" s="8"/>
      <c r="F40" s="8"/>
      <c r="G40" s="8"/>
      <c r="H40" s="8"/>
      <c r="I40" s="8"/>
      <c r="J40" s="8"/>
      <c r="K40" s="8"/>
      <c r="L40" s="14"/>
      <c r="M40" s="7"/>
      <c r="N40" s="8"/>
      <c r="O40" s="8"/>
      <c r="P40" s="8"/>
      <c r="Q40" s="8"/>
      <c r="R40" s="8"/>
      <c r="S40" s="8"/>
      <c r="T40" s="8"/>
      <c r="U40" s="8"/>
      <c r="V40" s="8"/>
      <c r="W40" s="8"/>
      <c r="X40" s="8"/>
      <c r="Y40" s="8"/>
      <c r="Z40" s="8"/>
      <c r="AA40" s="8"/>
    </row>
    <row r="41" spans="1:27" s="52" customFormat="1" ht="20.100000000000001" customHeight="1" x14ac:dyDescent="0.25">
      <c r="A41" s="16" t="str">
        <f>HYPERLINK("#'Constants - Dairy'!A1", "Constants - Dairy")</f>
        <v>Constants - Dairy</v>
      </c>
      <c r="C41" s="8"/>
      <c r="D41" s="91" t="s">
        <v>208</v>
      </c>
      <c r="E41" s="91" t="s">
        <v>209</v>
      </c>
      <c r="F41" s="91" t="s">
        <v>196</v>
      </c>
      <c r="G41" s="91" t="s">
        <v>210</v>
      </c>
      <c r="H41" s="91" t="s">
        <v>211</v>
      </c>
      <c r="I41" s="91" t="s">
        <v>212</v>
      </c>
      <c r="J41" s="91" t="s">
        <v>213</v>
      </c>
      <c r="K41" s="91" t="s">
        <v>214</v>
      </c>
      <c r="L41" s="8"/>
      <c r="M41" s="8"/>
      <c r="N41" s="8"/>
      <c r="O41" s="8"/>
      <c r="P41" s="8"/>
      <c r="Q41" s="8"/>
      <c r="R41" s="8"/>
      <c r="S41" s="51"/>
      <c r="T41" s="8"/>
      <c r="U41" s="8"/>
      <c r="V41" s="8"/>
      <c r="W41" s="8"/>
      <c r="X41" s="8"/>
      <c r="Y41" s="8"/>
      <c r="Z41" s="8"/>
      <c r="AA41" s="8"/>
    </row>
    <row r="42" spans="1:27" ht="20.100000000000001" customHeight="1" x14ac:dyDescent="0.25">
      <c r="A42" s="16" t="str">
        <f>HYPERLINK("#'Constants - Pasture Beef'!A1", "Constants - Pasture Beef")</f>
        <v>Constants - Pasture Beef</v>
      </c>
      <c r="D42" s="92" t="s">
        <v>215</v>
      </c>
      <c r="E42" s="73">
        <v>1</v>
      </c>
      <c r="F42" s="73">
        <v>100</v>
      </c>
      <c r="G42" s="74">
        <f>IFERROR(Table_Input_Lime[[#This Row],[Amount applied (t/hectare)]]*Table_Input_Lime[[#This Row],[Application area (ha)]], 0)</f>
        <v>100</v>
      </c>
      <c r="H42" s="226">
        <v>0.8</v>
      </c>
      <c r="I42" s="226">
        <v>0.1</v>
      </c>
      <c r="J42" s="226">
        <v>0.1</v>
      </c>
      <c r="K42" s="93">
        <f>SUM(Table_Input_Lime[[#This Row],[Percent Lime CaCO3]:[Percent Gypsum]])</f>
        <v>1</v>
      </c>
      <c r="S42" s="51"/>
    </row>
    <row r="43" spans="1:27" ht="20.100000000000001" customHeight="1" x14ac:dyDescent="0.25">
      <c r="A43" s="16" t="str">
        <f>HYPERLINK("#'Constants - Common Livestock'!A1", "Constants - Common Livestock")</f>
        <v>Constants - Common Livestock</v>
      </c>
      <c r="D43" s="92" t="s">
        <v>216</v>
      </c>
      <c r="E43" s="73">
        <v>1</v>
      </c>
      <c r="F43" s="73">
        <v>100</v>
      </c>
      <c r="G43" s="74">
        <f>IFERROR(Table_Input_Lime[[#This Row],[Amount applied (t/hectare)]]*Table_Input_Lime[[#This Row],[Application area (ha)]], 0)</f>
        <v>100</v>
      </c>
      <c r="H43" s="226">
        <v>1</v>
      </c>
      <c r="I43" s="226"/>
      <c r="J43" s="226"/>
      <c r="K43" s="93">
        <f>SUM(Table_Input_Lime[[#This Row],[Percent Lime CaCO3]:[Percent Gypsum]])</f>
        <v>1</v>
      </c>
    </row>
    <row r="44" spans="1:27" ht="20.100000000000001" customHeight="1" x14ac:dyDescent="0.25">
      <c r="A44" s="16" t="str">
        <f>HYPERLINK("#'Constants - Fertiliser'!A1", "Constants - Fertiliser")</f>
        <v>Constants - Fertiliser</v>
      </c>
      <c r="D44" s="92" t="s">
        <v>914</v>
      </c>
      <c r="E44" s="73">
        <v>1</v>
      </c>
      <c r="F44" s="73">
        <v>100</v>
      </c>
      <c r="G44" s="74">
        <f>IFERROR(Table_Input_Lime[[#This Row],[Amount applied (t/hectare)]]*Table_Input_Lime[[#This Row],[Application area (ha)]], 0)</f>
        <v>100</v>
      </c>
      <c r="H44" s="226">
        <v>0</v>
      </c>
      <c r="I44" s="226"/>
      <c r="J44" s="226">
        <v>1</v>
      </c>
      <c r="K44" s="93">
        <f>SUM(Table_Input_Lime[[#This Row],[Percent Lime CaCO3]:[Percent Gypsum]])</f>
        <v>1</v>
      </c>
      <c r="L44" s="7"/>
    </row>
    <row r="45" spans="1:27" ht="20.100000000000001" customHeight="1" x14ac:dyDescent="0.25">
      <c r="A45" s="16" t="str">
        <f>HYPERLINK("#'Constants - Electricity'!A1", "Constants - Electricity")</f>
        <v>Constants - Electricity</v>
      </c>
      <c r="L45" s="7"/>
      <c r="M45" s="7"/>
    </row>
    <row r="46" spans="1:27" ht="20.100000000000001" customHeight="1" x14ac:dyDescent="0.25">
      <c r="A46" s="16" t="str">
        <f>HYPERLINK("#'Constants - Common'!A1", "Constants - Common")</f>
        <v>Constants - Common</v>
      </c>
      <c r="D46" s="14"/>
      <c r="E46" s="14"/>
      <c r="F46" s="14"/>
      <c r="G46" s="14"/>
      <c r="H46" s="14"/>
      <c r="I46" s="14"/>
      <c r="J46" s="14"/>
      <c r="L46" s="14"/>
      <c r="M46" s="7"/>
    </row>
    <row r="47" spans="1:27" ht="20.100000000000001" customHeight="1" x14ac:dyDescent="0.25">
      <c r="A47"/>
      <c r="D47" s="14"/>
      <c r="E47" s="14"/>
      <c r="F47" s="14"/>
      <c r="G47" s="14"/>
      <c r="H47" s="14"/>
      <c r="I47" s="14"/>
      <c r="J47" s="94"/>
      <c r="K47" s="7"/>
      <c r="L47" s="14"/>
      <c r="M47" s="14"/>
    </row>
    <row r="48" spans="1:27" ht="20.100000000000001" customHeight="1" x14ac:dyDescent="0.25">
      <c r="A48"/>
      <c r="D48" s="9" t="s">
        <v>915</v>
      </c>
      <c r="E48" s="7"/>
      <c r="F48" s="7"/>
      <c r="G48" s="7"/>
      <c r="H48" s="14"/>
      <c r="I48" s="14"/>
      <c r="J48" s="14"/>
      <c r="K48" s="14"/>
      <c r="L48" s="14"/>
      <c r="M48" s="14"/>
    </row>
    <row r="49" spans="1:18" ht="20.100000000000001" customHeight="1" x14ac:dyDescent="0.25">
      <c r="A49"/>
      <c r="D49" s="14"/>
      <c r="E49" s="14"/>
      <c r="F49" s="14"/>
      <c r="G49" s="14"/>
      <c r="H49" s="14"/>
      <c r="I49" s="14"/>
      <c r="J49" s="14"/>
      <c r="K49" s="14"/>
      <c r="L49" s="14"/>
      <c r="M49" s="14"/>
      <c r="Q49" s="51"/>
      <c r="R49" s="51"/>
    </row>
    <row r="50" spans="1:18" ht="20.100000000000001" customHeight="1" x14ac:dyDescent="0.25">
      <c r="A50"/>
      <c r="D50" s="39" t="s">
        <v>206</v>
      </c>
      <c r="E50" s="40"/>
      <c r="F50" s="40"/>
      <c r="G50" s="40"/>
      <c r="H50" s="41"/>
      <c r="I50" s="14"/>
      <c r="J50" s="14"/>
      <c r="K50" s="14"/>
      <c r="L50" s="14"/>
      <c r="M50" s="14"/>
      <c r="O50" s="51"/>
      <c r="P50" s="51"/>
      <c r="Q50" s="51"/>
      <c r="R50" s="51"/>
    </row>
    <row r="51" spans="1:18" ht="20.100000000000001" customHeight="1" x14ac:dyDescent="0.25">
      <c r="A51"/>
      <c r="D51" s="43" t="s">
        <v>193</v>
      </c>
      <c r="E51" s="44"/>
      <c r="F51" s="44"/>
      <c r="G51" s="44"/>
      <c r="H51" s="45"/>
      <c r="I51" s="14"/>
      <c r="J51" s="14"/>
      <c r="K51" s="14"/>
      <c r="L51" s="81"/>
      <c r="M51" s="51"/>
      <c r="N51" s="51"/>
      <c r="O51" s="51"/>
      <c r="P51" s="51"/>
    </row>
    <row r="52" spans="1:18" ht="20.100000000000001" customHeight="1" x14ac:dyDescent="0.25">
      <c r="A52"/>
      <c r="D52" s="14"/>
      <c r="E52" s="14"/>
      <c r="F52" s="14"/>
      <c r="G52" s="14"/>
      <c r="H52" s="14"/>
      <c r="I52" s="14"/>
      <c r="J52" s="14"/>
      <c r="K52" s="14"/>
      <c r="L52" s="81"/>
      <c r="M52" s="51"/>
      <c r="N52" s="51"/>
    </row>
    <row r="53" spans="1:18" ht="20.100000000000001" customHeight="1" x14ac:dyDescent="0.25">
      <c r="A53"/>
      <c r="D53" s="91" t="s">
        <v>916</v>
      </c>
      <c r="E53" s="91" t="s">
        <v>917</v>
      </c>
      <c r="F53" s="91" t="s">
        <v>918</v>
      </c>
      <c r="G53" s="91" t="s">
        <v>919</v>
      </c>
      <c r="H53" s="91" t="s">
        <v>196</v>
      </c>
      <c r="I53" s="91" t="s">
        <v>920</v>
      </c>
      <c r="J53" s="91" t="s">
        <v>921</v>
      </c>
      <c r="K53" s="81"/>
    </row>
    <row r="54" spans="1:18" ht="20.100000000000001" customHeight="1" x14ac:dyDescent="0.25">
      <c r="A54"/>
      <c r="D54" s="72" t="s">
        <v>158</v>
      </c>
      <c r="E54" s="226">
        <v>0.3</v>
      </c>
      <c r="F54" s="73">
        <v>10</v>
      </c>
      <c r="G54" s="74">
        <f>Table_Input_OrganicFertiliser[[#This Row],[Amount applied (kg/hectare)]]*Table_Input_OrganicFertiliser[[#This Row],[Percentage of N in fertiliser]]</f>
        <v>3</v>
      </c>
      <c r="H54" s="73">
        <v>100</v>
      </c>
      <c r="I54" s="74">
        <f>Table_Input_OrganicFertiliser[[#This Row],[Amount applied (kg/hectare)]]*Table_Input_OrganicFertiliser[[#This Row],[Application area (ha)]]</f>
        <v>1000</v>
      </c>
      <c r="J54" s="74">
        <f>IFERROR(Table_Input_OrganicFertiliser[[#This Row],[Amount N applied (kg/hectare)]]*Table_Input_OrganicFertiliser[[#This Row],[Application area (ha)]], 0)</f>
        <v>300</v>
      </c>
      <c r="K54" s="81"/>
    </row>
    <row r="55" spans="1:18" ht="20.100000000000001" customHeight="1" x14ac:dyDescent="0.25">
      <c r="A55"/>
      <c r="D55" s="72" t="s">
        <v>152</v>
      </c>
      <c r="E55" s="226">
        <v>0.25</v>
      </c>
      <c r="F55" s="73">
        <v>10</v>
      </c>
      <c r="G55" s="74">
        <f>Table_Input_OrganicFertiliser[[#This Row],[Amount applied (kg/hectare)]]*Table_Input_OrganicFertiliser[[#This Row],[Percentage of N in fertiliser]]</f>
        <v>2.5</v>
      </c>
      <c r="H55" s="73">
        <v>100</v>
      </c>
      <c r="I55" s="74">
        <f>Table_Input_OrganicFertiliser[[#This Row],[Amount applied (kg/hectare)]]*Table_Input_OrganicFertiliser[[#This Row],[Application area (ha)]]</f>
        <v>1000</v>
      </c>
      <c r="J55" s="74">
        <f>IFERROR(Table_Input_OrganicFertiliser[[#This Row],[Amount N applied (kg/hectare)]]*Table_Input_OrganicFertiliser[[#This Row],[Application area (ha)]], 0)</f>
        <v>250</v>
      </c>
    </row>
    <row r="56" spans="1:18" ht="20.100000000000001" customHeight="1" x14ac:dyDescent="0.25">
      <c r="A56"/>
      <c r="D56" s="72" t="s">
        <v>160</v>
      </c>
      <c r="E56" s="226">
        <v>0.16</v>
      </c>
      <c r="F56" s="73">
        <v>10</v>
      </c>
      <c r="G56" s="74">
        <f>Table_Input_OrganicFertiliser[[#This Row],[Amount applied (kg/hectare)]]*Table_Input_OrganicFertiliser[[#This Row],[Percentage of N in fertiliser]]</f>
        <v>1.6</v>
      </c>
      <c r="H56" s="73">
        <v>100</v>
      </c>
      <c r="I56" s="74">
        <f>Table_Input_OrganicFertiliser[[#This Row],[Amount applied (kg/hectare)]]*Table_Input_OrganicFertiliser[[#This Row],[Application area (ha)]]</f>
        <v>1000</v>
      </c>
      <c r="J56" s="74">
        <f>IFERROR(Table_Input_OrganicFertiliser[[#This Row],[Amount N applied (kg/hectare)]]*Table_Input_OrganicFertiliser[[#This Row],[Application area (ha)]], 0)</f>
        <v>160</v>
      </c>
    </row>
    <row r="57" spans="1:18" ht="20.100000000000001" customHeight="1" x14ac:dyDescent="0.25">
      <c r="A57"/>
    </row>
    <row r="58" spans="1:18" ht="20.100000000000001" customHeight="1" x14ac:dyDescent="0.25">
      <c r="A58"/>
    </row>
    <row r="59" spans="1:18" ht="20.100000000000001" customHeight="1" x14ac:dyDescent="0.25">
      <c r="A59"/>
    </row>
    <row r="60" spans="1:18" ht="20.100000000000001" customHeight="1" x14ac:dyDescent="0.25">
      <c r="A60"/>
    </row>
    <row r="61" spans="1:18" ht="20.100000000000001" customHeight="1" x14ac:dyDescent="0.25">
      <c r="A61"/>
    </row>
    <row r="62" spans="1:18" ht="20.100000000000001" customHeight="1" x14ac:dyDescent="0.25">
      <c r="A62"/>
    </row>
    <row r="63" spans="1:18" ht="20.100000000000001" customHeight="1" x14ac:dyDescent="0.25">
      <c r="A63"/>
    </row>
    <row r="64" spans="1:18"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3" ht="20.100000000000001" customHeight="1" x14ac:dyDescent="0.25">
      <c r="A113"/>
    </row>
    <row r="114" spans="1:13" ht="20.100000000000001" customHeight="1" x14ac:dyDescent="0.25">
      <c r="A114"/>
    </row>
    <row r="115" spans="1:13" ht="20.100000000000001" customHeight="1" x14ac:dyDescent="0.25">
      <c r="A115"/>
    </row>
    <row r="116" spans="1:13" ht="20.100000000000001" customHeight="1" x14ac:dyDescent="0.25">
      <c r="A116"/>
    </row>
    <row r="117" spans="1:13" ht="20.100000000000001" customHeight="1" x14ac:dyDescent="0.25">
      <c r="A117"/>
    </row>
    <row r="118" spans="1:13" ht="20.100000000000001" customHeight="1" x14ac:dyDescent="0.25">
      <c r="A118"/>
    </row>
    <row r="119" spans="1:13" ht="20.100000000000001" customHeight="1" x14ac:dyDescent="0.25">
      <c r="A119"/>
    </row>
    <row r="120" spans="1:13" ht="20.100000000000001" customHeight="1" x14ac:dyDescent="0.25">
      <c r="A120"/>
    </row>
    <row r="121" spans="1:13" ht="20.100000000000001" customHeight="1" x14ac:dyDescent="0.25">
      <c r="A121"/>
    </row>
    <row r="122" spans="1:13" ht="20.100000000000001" customHeight="1" x14ac:dyDescent="0.25">
      <c r="A122"/>
    </row>
    <row r="123" spans="1:13" ht="20.100000000000001" customHeight="1" x14ac:dyDescent="0.25">
      <c r="A123"/>
    </row>
    <row r="124" spans="1:13" ht="20.100000000000001" customHeight="1" x14ac:dyDescent="0.25">
      <c r="A124"/>
    </row>
    <row r="125" spans="1:13" ht="20.100000000000001" customHeight="1" x14ac:dyDescent="0.25">
      <c r="A125"/>
    </row>
    <row r="126" spans="1:13" ht="20.100000000000001" customHeight="1" x14ac:dyDescent="0.25">
      <c r="A126"/>
      <c r="M126" s="7"/>
    </row>
    <row r="127" spans="1:13" ht="20.100000000000001" customHeight="1" x14ac:dyDescent="0.25">
      <c r="A127"/>
      <c r="M127" s="7"/>
    </row>
    <row r="128" spans="1:13" ht="20.100000000000001" customHeight="1" x14ac:dyDescent="0.25">
      <c r="A128"/>
      <c r="M128" s="7"/>
    </row>
    <row r="129" spans="1:13" ht="20.100000000000001" customHeight="1" x14ac:dyDescent="0.25">
      <c r="A129"/>
      <c r="M129" s="7"/>
    </row>
    <row r="130" spans="1:13" ht="20.100000000000001" customHeight="1" x14ac:dyDescent="0.25">
      <c r="A130"/>
      <c r="M130" s="7"/>
    </row>
    <row r="131" spans="1:13" ht="20.100000000000001" customHeight="1" x14ac:dyDescent="0.25">
      <c r="A131"/>
      <c r="M131" s="7"/>
    </row>
    <row r="132" spans="1:13" ht="20.100000000000001" customHeight="1" x14ac:dyDescent="0.25">
      <c r="A132"/>
      <c r="M132" s="7"/>
    </row>
    <row r="133" spans="1:13" ht="20.100000000000001" customHeight="1" x14ac:dyDescent="0.25">
      <c r="A133"/>
      <c r="M133" s="7"/>
    </row>
    <row r="134" spans="1:13" ht="20.100000000000001" customHeight="1" x14ac:dyDescent="0.25">
      <c r="A134"/>
      <c r="M134" s="7"/>
    </row>
    <row r="135" spans="1:13" ht="20.100000000000001" customHeight="1" x14ac:dyDescent="0.25">
      <c r="A135"/>
      <c r="M135" s="7"/>
    </row>
    <row r="136" spans="1:13" ht="20.100000000000001" customHeight="1" x14ac:dyDescent="0.25">
      <c r="A136"/>
      <c r="M136" s="7"/>
    </row>
    <row r="137" spans="1:13" ht="20.100000000000001" customHeight="1" x14ac:dyDescent="0.25">
      <c r="A137"/>
      <c r="M137" s="7"/>
    </row>
    <row r="138" spans="1:13" ht="20.100000000000001" customHeight="1" x14ac:dyDescent="0.25">
      <c r="A138"/>
      <c r="M138" s="7"/>
    </row>
    <row r="139" spans="1:13" ht="20.100000000000001" customHeight="1" x14ac:dyDescent="0.25">
      <c r="A139"/>
      <c r="M139" s="7"/>
    </row>
    <row r="140" spans="1:13" ht="20.100000000000001" customHeight="1" x14ac:dyDescent="0.25">
      <c r="A140"/>
      <c r="M140" s="7"/>
    </row>
    <row r="141" spans="1:13" ht="20.100000000000001" customHeight="1" x14ac:dyDescent="0.25">
      <c r="A141"/>
      <c r="M141" s="7"/>
    </row>
    <row r="142" spans="1:13" ht="20.100000000000001" customHeight="1" x14ac:dyDescent="0.25">
      <c r="A142"/>
      <c r="M142" s="7"/>
    </row>
    <row r="143" spans="1:13" ht="20.100000000000001" customHeight="1" x14ac:dyDescent="0.25">
      <c r="A143"/>
      <c r="M143" s="7"/>
    </row>
    <row r="144" spans="1:13" ht="20.100000000000001" customHeight="1" x14ac:dyDescent="0.25">
      <c r="A144"/>
      <c r="M144" s="7"/>
    </row>
    <row r="145" spans="1:13" ht="20.100000000000001" customHeight="1" x14ac:dyDescent="0.25">
      <c r="A145"/>
      <c r="M145" s="7"/>
    </row>
    <row r="146" spans="1:13" ht="20.100000000000001" customHeight="1" x14ac:dyDescent="0.25">
      <c r="A146"/>
      <c r="M146" s="7"/>
    </row>
    <row r="147" spans="1:13" ht="20.100000000000001" customHeight="1" x14ac:dyDescent="0.25">
      <c r="A147"/>
      <c r="M147" s="7"/>
    </row>
    <row r="148" spans="1:13" ht="20.100000000000001" customHeight="1" x14ac:dyDescent="0.25">
      <c r="A148"/>
    </row>
    <row r="149" spans="1:13" ht="20.100000000000001" customHeight="1" x14ac:dyDescent="0.25">
      <c r="A149"/>
    </row>
    <row r="150" spans="1:13" ht="20.100000000000001" customHeight="1" x14ac:dyDescent="0.25">
      <c r="A150"/>
    </row>
    <row r="151" spans="1:13" ht="20.100000000000001" customHeight="1" x14ac:dyDescent="0.25">
      <c r="A151"/>
    </row>
    <row r="152" spans="1:13" ht="20.100000000000001" customHeight="1" x14ac:dyDescent="0.25">
      <c r="A152"/>
    </row>
    <row r="153" spans="1:13" ht="20.100000000000001" customHeight="1" x14ac:dyDescent="0.25">
      <c r="A153"/>
    </row>
    <row r="154" spans="1:13" ht="20.100000000000001" customHeight="1" x14ac:dyDescent="0.25">
      <c r="A154"/>
    </row>
    <row r="155" spans="1:13" ht="20.100000000000001" customHeight="1" x14ac:dyDescent="0.25">
      <c r="A155"/>
    </row>
    <row r="156" spans="1:13" ht="20.100000000000001" customHeight="1" x14ac:dyDescent="0.25">
      <c r="A156"/>
    </row>
    <row r="157" spans="1:13" ht="20.100000000000001" customHeight="1" x14ac:dyDescent="0.25">
      <c r="A157"/>
    </row>
    <row r="158" spans="1:13" ht="20.100000000000001" customHeight="1" x14ac:dyDescent="0.25">
      <c r="A158"/>
    </row>
    <row r="159" spans="1:13" ht="20.100000000000001" customHeight="1" x14ac:dyDescent="0.25">
      <c r="A159"/>
    </row>
    <row r="160" spans="1:13"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24" spans="12:12" x14ac:dyDescent="0.25">
      <c r="L224" s="65"/>
    </row>
    <row r="225" spans="12:12" x14ac:dyDescent="0.25">
      <c r="L225" s="65"/>
    </row>
    <row r="226" spans="12:12" x14ac:dyDescent="0.25">
      <c r="L226" s="65"/>
    </row>
    <row r="227" spans="12:12" x14ac:dyDescent="0.25">
      <c r="L227" s="65"/>
    </row>
    <row r="228" spans="12:12" x14ac:dyDescent="0.25">
      <c r="L228" s="65"/>
    </row>
    <row r="230" spans="12:12" x14ac:dyDescent="0.25">
      <c r="L230" s="65"/>
    </row>
    <row r="232" spans="12:12" x14ac:dyDescent="0.25">
      <c r="L232" s="65"/>
    </row>
    <row r="233" spans="12:12" x14ac:dyDescent="0.25">
      <c r="L233" s="65"/>
    </row>
    <row r="234" spans="12:12" x14ac:dyDescent="0.25">
      <c r="L234" s="65"/>
    </row>
    <row r="235" spans="12:12" x14ac:dyDescent="0.25">
      <c r="L235" s="65"/>
    </row>
    <row r="237" spans="12:12" x14ac:dyDescent="0.25">
      <c r="L237" s="65"/>
    </row>
    <row r="245" spans="12:12" x14ac:dyDescent="0.25">
      <c r="L245" s="65"/>
    </row>
    <row r="246" spans="12:12" x14ac:dyDescent="0.25">
      <c r="L246" s="65"/>
    </row>
    <row r="247" spans="12:12" x14ac:dyDescent="0.25">
      <c r="L247" s="65"/>
    </row>
    <row r="250" spans="12:12" x14ac:dyDescent="0.25">
      <c r="L250" s="65"/>
    </row>
    <row r="251" spans="12:12" x14ac:dyDescent="0.25">
      <c r="L251" s="65"/>
    </row>
    <row r="252" spans="12:12" x14ac:dyDescent="0.25">
      <c r="L252" s="65"/>
    </row>
    <row r="255" spans="12:12" x14ac:dyDescent="0.25">
      <c r="L255" s="65"/>
    </row>
    <row r="256" spans="12:12" x14ac:dyDescent="0.25">
      <c r="L256" s="65"/>
    </row>
    <row r="257" spans="11:12" x14ac:dyDescent="0.25">
      <c r="L257" s="65"/>
    </row>
    <row r="260" spans="11:12" x14ac:dyDescent="0.25">
      <c r="L260" s="65"/>
    </row>
    <row r="261" spans="11:12" x14ac:dyDescent="0.25">
      <c r="L261" s="65"/>
    </row>
    <row r="262" spans="11:12" x14ac:dyDescent="0.25">
      <c r="L262" s="65"/>
    </row>
    <row r="263" spans="11:12" x14ac:dyDescent="0.25">
      <c r="K263" s="65"/>
    </row>
    <row r="268" spans="11:12" x14ac:dyDescent="0.25">
      <c r="K268" s="65"/>
    </row>
    <row r="269" spans="11:12" x14ac:dyDescent="0.25">
      <c r="L269" s="65"/>
    </row>
    <row r="270" spans="11:12" x14ac:dyDescent="0.25">
      <c r="L270" s="65"/>
    </row>
    <row r="271" spans="11:12" x14ac:dyDescent="0.25">
      <c r="L271" s="65"/>
    </row>
    <row r="273" spans="11:12" x14ac:dyDescent="0.25">
      <c r="K273" s="65"/>
    </row>
    <row r="274" spans="11:12" x14ac:dyDescent="0.25">
      <c r="L274" s="65"/>
    </row>
    <row r="275" spans="11:12" x14ac:dyDescent="0.25">
      <c r="L275" s="65"/>
    </row>
    <row r="276" spans="11:12" x14ac:dyDescent="0.25">
      <c r="L276" s="65"/>
    </row>
    <row r="278" spans="11:12" x14ac:dyDescent="0.25">
      <c r="K278" s="65"/>
    </row>
    <row r="279" spans="11:12" x14ac:dyDescent="0.25">
      <c r="K279" s="65"/>
      <c r="L279" s="65"/>
    </row>
    <row r="280" spans="11:12" x14ac:dyDescent="0.25">
      <c r="K280" s="65"/>
      <c r="L280" s="65"/>
    </row>
    <row r="281" spans="11:12" x14ac:dyDescent="0.25">
      <c r="K281" s="65"/>
      <c r="L281" s="65"/>
    </row>
    <row r="282" spans="11:12" x14ac:dyDescent="0.25">
      <c r="K282" s="65"/>
    </row>
    <row r="284" spans="11:12" x14ac:dyDescent="0.25">
      <c r="K284" s="65"/>
      <c r="L284" s="65"/>
    </row>
    <row r="285" spans="11:12" x14ac:dyDescent="0.25">
      <c r="L285" s="65"/>
    </row>
    <row r="286" spans="11:12" x14ac:dyDescent="0.25">
      <c r="K286" s="65"/>
      <c r="L286" s="65"/>
    </row>
    <row r="287" spans="11:12" x14ac:dyDescent="0.25">
      <c r="K287" s="65"/>
    </row>
    <row r="288" spans="11:12" x14ac:dyDescent="0.25">
      <c r="K288" s="65"/>
    </row>
    <row r="289" spans="11:11" x14ac:dyDescent="0.25">
      <c r="K289" s="65"/>
    </row>
    <row r="291" spans="11:11" x14ac:dyDescent="0.25">
      <c r="K291" s="65"/>
    </row>
    <row r="297" spans="11:11" x14ac:dyDescent="0.25">
      <c r="K297" s="65"/>
    </row>
    <row r="302" spans="11:11" x14ac:dyDescent="0.25">
      <c r="K302" s="65"/>
    </row>
    <row r="307" spans="11:11" x14ac:dyDescent="0.25">
      <c r="K307" s="65"/>
    </row>
    <row r="312" spans="11:11" x14ac:dyDescent="0.25">
      <c r="K312" s="65"/>
    </row>
    <row r="313" spans="11:11" x14ac:dyDescent="0.25">
      <c r="K313" s="65"/>
    </row>
    <row r="314" spans="11:11" x14ac:dyDescent="0.25">
      <c r="K314" s="65"/>
    </row>
    <row r="315" spans="11:11" x14ac:dyDescent="0.25">
      <c r="K315" s="65"/>
    </row>
    <row r="316" spans="11:11" x14ac:dyDescent="0.25">
      <c r="K316" s="65"/>
    </row>
    <row r="318" spans="11:11" x14ac:dyDescent="0.25">
      <c r="K318" s="65"/>
    </row>
    <row r="320" spans="11:11" x14ac:dyDescent="0.25">
      <c r="K320" s="65"/>
    </row>
    <row r="321" spans="11:11" x14ac:dyDescent="0.25">
      <c r="K321" s="65"/>
    </row>
    <row r="322" spans="11:11" x14ac:dyDescent="0.25">
      <c r="K322" s="65"/>
    </row>
    <row r="323" spans="11:11" x14ac:dyDescent="0.25">
      <c r="K323" s="65"/>
    </row>
    <row r="325" spans="11:11" x14ac:dyDescent="0.25">
      <c r="K325" s="65"/>
    </row>
    <row r="333" spans="11:11" x14ac:dyDescent="0.25">
      <c r="K333" s="65"/>
    </row>
    <row r="334" spans="11:11" x14ac:dyDescent="0.25">
      <c r="K334" s="65"/>
    </row>
    <row r="335" spans="11:11" x14ac:dyDescent="0.25">
      <c r="K335" s="65"/>
    </row>
    <row r="338" spans="11:11" x14ac:dyDescent="0.25">
      <c r="K338" s="65"/>
    </row>
    <row r="339" spans="11:11" x14ac:dyDescent="0.25">
      <c r="K339" s="65"/>
    </row>
    <row r="340" spans="11:11" x14ac:dyDescent="0.25">
      <c r="K340" s="65"/>
    </row>
    <row r="343" spans="11:11" x14ac:dyDescent="0.25">
      <c r="K343" s="65"/>
    </row>
    <row r="344" spans="11:11" x14ac:dyDescent="0.25">
      <c r="K344" s="65"/>
    </row>
    <row r="345" spans="11:11" x14ac:dyDescent="0.25">
      <c r="K345" s="65"/>
    </row>
    <row r="348" spans="11:11" x14ac:dyDescent="0.25">
      <c r="K348" s="65"/>
    </row>
    <row r="349" spans="11:11" x14ac:dyDescent="0.25">
      <c r="K349" s="65"/>
    </row>
    <row r="350" spans="11:11" x14ac:dyDescent="0.25">
      <c r="K350" s="65"/>
    </row>
    <row r="357" spans="11:11" x14ac:dyDescent="0.25">
      <c r="K357" s="65"/>
    </row>
    <row r="358" spans="11:11" x14ac:dyDescent="0.25">
      <c r="K358" s="65"/>
    </row>
    <row r="359" spans="11:11" x14ac:dyDescent="0.25">
      <c r="K359" s="65"/>
    </row>
    <row r="362" spans="11:11" x14ac:dyDescent="0.25">
      <c r="K362" s="65"/>
    </row>
    <row r="363" spans="11:11" x14ac:dyDescent="0.25">
      <c r="K363" s="65"/>
    </row>
    <row r="364" spans="11:11" x14ac:dyDescent="0.25">
      <c r="K364" s="65"/>
    </row>
    <row r="367" spans="11:11" x14ac:dyDescent="0.25">
      <c r="K367" s="65"/>
    </row>
    <row r="368" spans="11:11" x14ac:dyDescent="0.25">
      <c r="K368" s="65"/>
    </row>
    <row r="369" spans="4:11" x14ac:dyDescent="0.25">
      <c r="K369" s="65"/>
    </row>
    <row r="372" spans="4:11" x14ac:dyDescent="0.25">
      <c r="K372" s="65"/>
    </row>
    <row r="373" spans="4:11" x14ac:dyDescent="0.25">
      <c r="K373" s="65"/>
    </row>
    <row r="374" spans="4:11" x14ac:dyDescent="0.25">
      <c r="K374" s="65"/>
    </row>
    <row r="378" spans="4:11" x14ac:dyDescent="0.25">
      <c r="D378" s="54"/>
    </row>
  </sheetData>
  <conditionalFormatting sqref="F155:F156">
    <cfRule type="cellIs" dxfId="97" priority="15" operator="lessThan">
      <formula>0</formula>
    </cfRule>
  </conditionalFormatting>
  <conditionalFormatting sqref="F167:F168">
    <cfRule type="cellIs" dxfId="96" priority="14" operator="lessThan">
      <formula>0</formula>
    </cfRule>
  </conditionalFormatting>
  <conditionalFormatting sqref="F179:F180">
    <cfRule type="cellIs" dxfId="95" priority="13" operator="lessThan">
      <formula>0</formula>
    </cfRule>
  </conditionalFormatting>
  <conditionalFormatting sqref="F267:F268">
    <cfRule type="cellIs" dxfId="94" priority="26" operator="lessThan">
      <formula>0</formula>
    </cfRule>
  </conditionalFormatting>
  <conditionalFormatting sqref="F272:F273">
    <cfRule type="cellIs" dxfId="93" priority="25" operator="lessThan">
      <formula>0</formula>
    </cfRule>
  </conditionalFormatting>
  <conditionalFormatting sqref="F277:F278">
    <cfRule type="cellIs" dxfId="92" priority="24" operator="lessThan">
      <formula>0</formula>
    </cfRule>
  </conditionalFormatting>
  <conditionalFormatting sqref="F301:F302">
    <cfRule type="cellIs" dxfId="91" priority="23" operator="lessThan">
      <formula>0</formula>
    </cfRule>
  </conditionalFormatting>
  <conditionalFormatting sqref="F306:F307">
    <cfRule type="cellIs" dxfId="90" priority="22" operator="lessThan">
      <formula>0</formula>
    </cfRule>
  </conditionalFormatting>
  <conditionalFormatting sqref="F311:F312">
    <cfRule type="cellIs" dxfId="89" priority="21" operator="lessThan">
      <formula>0</formula>
    </cfRule>
  </conditionalFormatting>
  <conditionalFormatting sqref="H53 F143:F144">
    <cfRule type="cellIs" dxfId="88"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87" priority="20" operator="lessThan">
      <formula>0</formula>
    </cfRule>
  </conditionalFormatting>
  <conditionalFormatting sqref="I41:I44 I46:I47 F58 I75:I78 L198 K200 L202:L203 K204:K205 L206:L207 K208:K209 L212:L213 K214:K215 L216:L217 K218:K219 L223:L228 K225">
    <cfRule type="cellIs" dxfId="86" priority="18" operator="lessThan">
      <formula>0</formula>
    </cfRule>
  </conditionalFormatting>
  <conditionalFormatting sqref="I82 M119 I141:J141">
    <cfRule type="cellIs" dxfId="85" priority="19" operator="lessThan">
      <formula>0</formula>
    </cfRule>
  </conditionalFormatting>
  <conditionalFormatting sqref="I93:I95">
    <cfRule type="cellIs" dxfId="84" priority="3" operator="lessThan">
      <formula>0</formula>
    </cfRule>
  </conditionalFormatting>
  <conditionalFormatting sqref="I99:I102">
    <cfRule type="cellIs" dxfId="83" priority="2" operator="lessThan">
      <formula>0</formula>
    </cfRule>
  </conditionalFormatting>
  <conditionalFormatting sqref="I106:I110">
    <cfRule type="cellIs" dxfId="82" priority="1" operator="lessThan">
      <formula>0</formula>
    </cfRule>
  </conditionalFormatting>
  <conditionalFormatting sqref="J169">
    <cfRule type="cellIs" dxfId="81" priority="17" operator="lessThan">
      <formula>0</formula>
    </cfRule>
  </conditionalFormatting>
  <conditionalFormatting sqref="L131:L134">
    <cfRule type="cellIs" dxfId="80" priority="7" operator="lessThan">
      <formula>0</formula>
    </cfRule>
  </conditionalFormatting>
  <conditionalFormatting sqref="L137">
    <cfRule type="cellIs" dxfId="79" priority="12" operator="lessThan">
      <formula>0</formula>
    </cfRule>
  </conditionalFormatting>
  <conditionalFormatting sqref="L143:L146">
    <cfRule type="cellIs" dxfId="78" priority="6" operator="lessThan">
      <formula>0</formula>
    </cfRule>
  </conditionalFormatting>
  <conditionalFormatting sqref="L149">
    <cfRule type="cellIs" dxfId="77" priority="11" operator="lessThan">
      <formula>0</formula>
    </cfRule>
  </conditionalFormatting>
  <conditionalFormatting sqref="L155:L158">
    <cfRule type="cellIs" dxfId="76" priority="5" operator="lessThan">
      <formula>0</formula>
    </cfRule>
  </conditionalFormatting>
  <conditionalFormatting sqref="L161">
    <cfRule type="cellIs" dxfId="75" priority="10" operator="lessThan">
      <formula>0</formula>
    </cfRule>
  </conditionalFormatting>
  <conditionalFormatting sqref="L167:L170">
    <cfRule type="cellIs" dxfId="74" priority="4" operator="lessThan">
      <formula>0</formula>
    </cfRule>
  </conditionalFormatting>
  <conditionalFormatting sqref="L173">
    <cfRule type="cellIs" dxfId="73" priority="9" operator="lessThan">
      <formula>0</formula>
    </cfRule>
  </conditionalFormatting>
  <conditionalFormatting sqref="L177:L178">
    <cfRule type="cellIs" dxfId="72" priority="8" operator="lessThan">
      <formula>0</formula>
    </cfRule>
  </conditionalFormatting>
  <conditionalFormatting sqref="L230 L232:L235 L237 J245:J247 J250:J252">
    <cfRule type="cellIs" dxfId="71" priority="27" operator="lessThan">
      <formula>0</formula>
    </cfRule>
  </conditionalFormatting>
  <dataValidations count="9">
    <dataValidation type="list" allowBlank="1" showInputMessage="1" showErrorMessage="1" sqref="D12:D21" xr:uid="{8F5226FE-8478-4637-9529-7F6E77588E6D}">
      <formula1>INDIRECT("FertiliserProducts[Product]")</formula1>
    </dataValidation>
    <dataValidation type="list" allowBlank="1" showInputMessage="1" showErrorMessage="1" sqref="Q25:R34" xr:uid="{1574B981-F288-440E-904C-09807D98A4FF}">
      <formula1>INDIRECT("Table_SourceData_Fertiliser_UreaAmmoniaSources[Source]")</formula1>
    </dataValidation>
    <dataValidation type="list" allowBlank="1" showInputMessage="1" showErrorMessage="1" sqref="D54:D56" xr:uid="{0B818E77-24A7-4935-8143-90B059DA9258}">
      <formula1>INDIRECT("Table_SourceData_OrganicFertiliserTypes[Organic fertiliser type]")</formula1>
    </dataValidation>
    <dataValidation type="list" allowBlank="1" showInputMessage="1" showErrorMessage="1" sqref="H25:H34 J25:J34 L25:L34 N25:N34" xr:uid="{0B9A4580-5F4F-4AF6-BFE0-1263786BCA78}">
      <formula1>INDIRECT("Table_Fertiliser_ChemicalCompounds[Fertiliser type f]")</formula1>
    </dataValidation>
    <dataValidation type="list" allowBlank="1" showInputMessage="1" showErrorMessage="1" sqref="E81" xr:uid="{04E633F4-990F-492C-BE0F-5599BE4E02A3}">
      <formula1>INDIRECT("Table_SourceData_Swine_CropProdSystems[Production system]")</formula1>
    </dataValidation>
    <dataValidation type="list" allowBlank="1" showInputMessage="1" showErrorMessage="1" sqref="E82" xr:uid="{3AD53DA5-1157-4332-BCAF-134A80AB8BEB}">
      <formula1>INDIRECT("Table_SourceData_Swine_IrrigationMethods[Irrigation method]")</formula1>
    </dataValidation>
    <dataValidation type="list" allowBlank="1" showInputMessage="1" showErrorMessage="1" sqref="E266 E271 E276 E310 E305 E300 E178 E166 E142 E154" xr:uid="{2E2E02E9-7A68-431F-A799-3234A3ABE3A4}">
      <formula1>"Yes, No"</formula1>
    </dataValidation>
    <dataValidation type="list" allowBlank="1" showInputMessage="1" showErrorMessage="1" sqref="E242" xr:uid="{2E6C826E-5CCA-4798-8D64-7AA607572768}">
      <formula1>INDIRECT("Table_SourceData_Dairy_ProductionSystemTemplates[Area]")</formula1>
    </dataValidation>
    <dataValidation type="list" allowBlank="1" showInputMessage="1" showErrorMessage="1" sqref="D294" xr:uid="{C444CB7D-A9C5-4F03-80D2-CF9C94DF84E1}">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5" zoomScaleNormal="100" workbookViewId="0">
      <selection activeCell="A46" sqref="A46"/>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37" t="e" vm="1">
        <v>#VALUE!</v>
      </c>
      <c r="C1" s="102" t="s">
        <v>852</v>
      </c>
      <c r="D1" s="4"/>
      <c r="E1" s="4"/>
      <c r="F1" s="4"/>
      <c r="G1" s="4"/>
      <c r="H1" s="4"/>
      <c r="I1" s="4"/>
      <c r="J1" s="4"/>
      <c r="K1" s="4"/>
      <c r="L1" s="4"/>
      <c r="M1" s="4"/>
      <c r="N1" s="4"/>
      <c r="O1" s="4"/>
      <c r="P1" s="4"/>
      <c r="Q1" s="4"/>
      <c r="R1" s="4"/>
      <c r="S1" s="4"/>
    </row>
    <row r="2" spans="1:19" ht="20.100000000000001" customHeight="1" x14ac:dyDescent="0.25">
      <c r="A2"/>
      <c r="C2" s="2"/>
      <c r="D2" s="2"/>
      <c r="E2" s="2"/>
      <c r="F2" s="2"/>
      <c r="G2" s="2"/>
      <c r="H2" s="2"/>
      <c r="I2" s="2"/>
      <c r="J2" s="2"/>
      <c r="K2" s="2"/>
      <c r="L2" s="2"/>
      <c r="M2" s="2"/>
      <c r="N2" s="2"/>
      <c r="O2" s="2"/>
      <c r="P2" s="2"/>
      <c r="Q2" s="2"/>
      <c r="R2" s="2"/>
      <c r="S2" s="2"/>
    </row>
    <row r="3" spans="1:19"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row>
    <row r="4" spans="1:19" ht="20.100000000000001" customHeight="1" x14ac:dyDescent="0.25">
      <c r="A4" s="16" t="str">
        <f>HYPERLINK("#'Results'!A1", "Results")</f>
        <v>Results</v>
      </c>
      <c r="C4" s="7"/>
      <c r="D4" s="7"/>
      <c r="E4" s="7"/>
      <c r="F4" s="7"/>
      <c r="G4" s="7"/>
      <c r="H4" s="7"/>
      <c r="I4" s="7"/>
      <c r="J4" s="7"/>
    </row>
    <row r="5" spans="1:19" ht="20.100000000000001" customHeight="1" x14ac:dyDescent="0.25">
      <c r="A5"/>
      <c r="C5" s="8"/>
      <c r="D5" s="9" t="s">
        <v>280</v>
      </c>
      <c r="E5" s="7"/>
      <c r="F5" s="7"/>
      <c r="G5" s="7"/>
      <c r="H5" s="7"/>
      <c r="I5" s="7"/>
      <c r="J5" s="7"/>
    </row>
    <row r="6" spans="1:19" ht="20.100000000000001" customHeight="1" x14ac:dyDescent="0.25">
      <c r="A6"/>
      <c r="C6" s="8"/>
    </row>
    <row r="7" spans="1:19" ht="20.100000000000001" customHeight="1" x14ac:dyDescent="0.25">
      <c r="A7" s="19" t="s">
        <v>67</v>
      </c>
      <c r="C7" s="8"/>
      <c r="D7" s="46" t="s">
        <v>167</v>
      </c>
      <c r="E7" s="46" t="s">
        <v>333</v>
      </c>
      <c r="F7" s="46" t="s">
        <v>336</v>
      </c>
    </row>
    <row r="8" spans="1:19" ht="20.100000000000001" customHeight="1" x14ac:dyDescent="0.25">
      <c r="A8" s="16" t="str">
        <f>HYPERLINK("#'Input - Site'!A1", "Site")</f>
        <v>Site</v>
      </c>
      <c r="C8" s="8"/>
      <c r="D8" s="82" t="s">
        <v>373</v>
      </c>
      <c r="E8" s="47" t="s">
        <v>335</v>
      </c>
      <c r="F8" s="66">
        <v>100</v>
      </c>
    </row>
    <row r="9" spans="1:19" ht="20.100000000000001" customHeight="1" x14ac:dyDescent="0.25">
      <c r="A9" s="16" t="str">
        <f>HYPERLINK("#'Input - Fuel'!A1", "Fuel")</f>
        <v>Fuel</v>
      </c>
      <c r="C9" s="8"/>
      <c r="D9" s="82" t="s">
        <v>372</v>
      </c>
      <c r="E9" s="149" t="s">
        <v>334</v>
      </c>
      <c r="F9" s="150">
        <v>100</v>
      </c>
    </row>
    <row r="10" spans="1:19" ht="20.100000000000001" customHeight="1" x14ac:dyDescent="0.25">
      <c r="A10" s="16" t="str">
        <f>HYPERLINK("#'Input - Fertiliser'!A1", "Fertiliser")</f>
        <v>Fertiliser</v>
      </c>
      <c r="D10" s="82" t="s">
        <v>281</v>
      </c>
      <c r="E10" s="149" t="s">
        <v>282</v>
      </c>
      <c r="F10" s="150">
        <v>100</v>
      </c>
    </row>
    <row r="11" spans="1:19" ht="20.100000000000001" customHeight="1" x14ac:dyDescent="0.25">
      <c r="A11" s="42" t="str">
        <f>HYPERLINK("#'Input - Common farm inputs'!A1", "Common farm inputs")</f>
        <v>Common farm inputs</v>
      </c>
      <c r="D11" s="82" t="s">
        <v>281</v>
      </c>
      <c r="E11" s="149" t="s">
        <v>282</v>
      </c>
      <c r="F11" s="150">
        <v>100</v>
      </c>
    </row>
    <row r="12" spans="1:19" ht="20.100000000000001" customHeight="1" x14ac:dyDescent="0.25">
      <c r="A12" s="16" t="str">
        <f>HYPERLINK("#'Input - Processing inputs'!A1", "Processing inputs")</f>
        <v>Processing inputs</v>
      </c>
      <c r="C12" s="8"/>
      <c r="D12" s="82" t="s">
        <v>373</v>
      </c>
      <c r="E12" s="149" t="s">
        <v>335</v>
      </c>
      <c r="F12" s="150">
        <v>100</v>
      </c>
    </row>
    <row r="13" spans="1:19" ht="20.100000000000001" customHeight="1" x14ac:dyDescent="0.25">
      <c r="A13" s="16" t="str">
        <f>HYPERLINK("#'Input - Crop pasture farm input'!A1", "Crop pasture farm input")</f>
        <v>Crop pasture farm input</v>
      </c>
      <c r="C13" s="8"/>
      <c r="D13" s="82" t="s">
        <v>373</v>
      </c>
      <c r="E13" s="149" t="s">
        <v>335</v>
      </c>
      <c r="F13" s="150">
        <v>100</v>
      </c>
    </row>
    <row r="14" spans="1:19" ht="20.100000000000001" customHeight="1" x14ac:dyDescent="0.25">
      <c r="A14" s="16" t="str">
        <f>HYPERLINK("#'Input - Hort farm Inputs'!A1", "Hort farm Inputs")</f>
        <v>Hort farm Inputs</v>
      </c>
      <c r="D14" s="82"/>
      <c r="E14" s="47"/>
      <c r="F14" s="66"/>
    </row>
    <row r="15" spans="1:19" ht="20.100000000000001" customHeight="1" x14ac:dyDescent="0.25">
      <c r="A15" s="16" t="str">
        <f>HYPERLINK("#'Input - Livestock farm Inputs'!A1", "Livestock farm Inputs")</f>
        <v>Livestock farm Inputs</v>
      </c>
      <c r="D15" s="82"/>
      <c r="E15" s="47"/>
      <c r="F15" s="66"/>
    </row>
    <row r="16" spans="1:19" ht="20.100000000000001" customHeight="1" x14ac:dyDescent="0.25">
      <c r="A16" s="16" t="str">
        <f>HYPERLINK("#'Input - Aquaculture inputs'!A1", "Aquaculture inputs")</f>
        <v>Aquaculture inputs</v>
      </c>
      <c r="D16" s="82"/>
      <c r="E16" s="47"/>
      <c r="F16" s="66"/>
    </row>
    <row r="17" spans="1:10" ht="20.100000000000001" customHeight="1" x14ac:dyDescent="0.25">
      <c r="A17" s="16" t="str">
        <f>HYPERLINK("#'Input - Beef cattle purchases'!A1", "Beef cattle purchases")</f>
        <v>Beef cattle purchases</v>
      </c>
      <c r="C17" s="8"/>
      <c r="D17" s="82"/>
      <c r="E17" s="47"/>
      <c r="F17" s="66"/>
    </row>
    <row r="18" spans="1:10" ht="20.100000000000001" customHeight="1" x14ac:dyDescent="0.25">
      <c r="A18" s="16" t="str">
        <f>HYPERLINK("#'Input - Dairy cattle purchases'!A1", "Dairy cattle purchases")</f>
        <v>Dairy cattle purchases</v>
      </c>
      <c r="C18" s="8"/>
    </row>
    <row r="19" spans="1:10" ht="20.100000000000001" customHeight="1" x14ac:dyDescent="0.25">
      <c r="A19" s="16" t="str">
        <f>HYPERLINK("#'Input - Pig purchases'!A1", "Pig purchases")</f>
        <v>Pig purchases</v>
      </c>
    </row>
    <row r="20" spans="1:10" ht="20.100000000000001" customHeight="1" x14ac:dyDescent="0.25">
      <c r="A20" s="16" t="str">
        <f>HYPERLINK("#'Input - Poultry purchases'!A1", "Poultry purchases")</f>
        <v>Poultry purchases</v>
      </c>
      <c r="D20" s="9" t="s">
        <v>596</v>
      </c>
    </row>
    <row r="21" spans="1:10" ht="20.100000000000001" customHeight="1" x14ac:dyDescent="0.25">
      <c r="A21" s="16" t="str">
        <f>HYPERLINK("#'Input - Freight'!A1", "Freight")</f>
        <v>Freight</v>
      </c>
      <c r="D21" s="12"/>
      <c r="I21" s="7"/>
      <c r="J21" s="7"/>
    </row>
    <row r="22" spans="1:10" ht="20.100000000000001" customHeight="1" x14ac:dyDescent="0.25">
      <c r="A22" s="16" t="str">
        <f>HYPERLINK("#'Input - Solid waste'!A1", "Solid waste")</f>
        <v>Solid waste</v>
      </c>
      <c r="D22" s="164" t="s">
        <v>597</v>
      </c>
      <c r="E22" s="164" t="s">
        <v>606</v>
      </c>
      <c r="F22" s="164" t="s">
        <v>601</v>
      </c>
      <c r="G22" s="164" t="s">
        <v>125</v>
      </c>
    </row>
    <row r="23" spans="1:10" ht="20.100000000000001" customHeight="1" x14ac:dyDescent="0.25">
      <c r="A23" s="16" t="str">
        <f>HYPERLINK("#'Input - Manure sent off-site'!A1", "Manure sent off-site")</f>
        <v>Manure sent off-site</v>
      </c>
      <c r="D23" s="82" t="s">
        <v>598</v>
      </c>
      <c r="E23" s="82" t="s">
        <v>599</v>
      </c>
      <c r="F23" s="66">
        <v>10000</v>
      </c>
      <c r="G23" s="47" t="s">
        <v>603</v>
      </c>
    </row>
    <row r="24" spans="1:10" ht="20.100000000000001" customHeight="1" x14ac:dyDescent="0.25">
      <c r="A24" s="16" t="str">
        <f>HYPERLINK("#'Input - Electricity'!A1", "Electricity")</f>
        <v>Electricity</v>
      </c>
      <c r="D24" s="82" t="s">
        <v>600</v>
      </c>
      <c r="E24" s="82" t="s">
        <v>605</v>
      </c>
      <c r="F24" s="66">
        <v>1000</v>
      </c>
      <c r="G24" s="47" t="s">
        <v>604</v>
      </c>
    </row>
    <row r="25" spans="1:10" ht="20.100000000000001" customHeight="1" x14ac:dyDescent="0.25">
      <c r="A25"/>
      <c r="C25" s="8"/>
      <c r="D25" s="82"/>
      <c r="E25" s="82"/>
      <c r="F25" s="66"/>
      <c r="G25" s="47"/>
    </row>
    <row r="26" spans="1:10" ht="20.100000000000001" customHeight="1" x14ac:dyDescent="0.25">
      <c r="A26"/>
      <c r="C26" s="8"/>
      <c r="D26" s="82"/>
      <c r="E26" s="82"/>
      <c r="F26" s="66"/>
      <c r="G26" s="47"/>
    </row>
    <row r="27" spans="1:10" ht="20.100000000000001" customHeight="1" x14ac:dyDescent="0.25">
      <c r="A27" s="21" t="s">
        <v>77</v>
      </c>
      <c r="C27" s="8"/>
      <c r="D27" s="82"/>
      <c r="E27" s="82"/>
      <c r="F27" s="66"/>
      <c r="G27" s="47"/>
    </row>
    <row r="28" spans="1:10" ht="20.100000000000001" customHeight="1" x14ac:dyDescent="0.25">
      <c r="A28" s="16" t="str">
        <f>HYPERLINK("#'15 Scope 3'!A1", "15 Scope 3")</f>
        <v>15 Scope 3</v>
      </c>
      <c r="D28" s="82"/>
      <c r="E28" s="82"/>
      <c r="F28" s="66"/>
      <c r="G28" s="47"/>
    </row>
    <row r="29" spans="1:10" ht="20.100000000000001" customHeight="1" x14ac:dyDescent="0.25">
      <c r="A29" s="16" t="str">
        <f>HYPERLINK("#'10.1.1-2 Solid waste treatment'!A1", "10.1.1-2 Solid waste treatment")</f>
        <v>10.1.1-2 Solid waste treatment</v>
      </c>
      <c r="D29" s="82"/>
      <c r="E29" s="82"/>
      <c r="F29" s="66"/>
      <c r="G29" s="47"/>
    </row>
    <row r="30" spans="1:10" ht="20.100000000000001" customHeight="1" x14ac:dyDescent="0.25">
      <c r="A30" s="16" t="str">
        <f>HYPERLINK("#'Calcs - Manure sent off-site'!A1", "Calcs - Manure sent off-site")</f>
        <v>Calcs - Manure sent off-site</v>
      </c>
      <c r="D30" s="82"/>
      <c r="E30" s="82"/>
      <c r="F30" s="66"/>
      <c r="G30" s="47"/>
    </row>
    <row r="31" spans="1:10" ht="20.100000000000001" customHeight="1" x14ac:dyDescent="0.25">
      <c r="A31" s="16" t="str">
        <f>HYPERLINK("#'8.1.1.1-2 Transport fuel'!A1", "8.1.1.1-2 Transport fuel")</f>
        <v>8.1.1.1-2 Transport fuel</v>
      </c>
      <c r="D31" s="82"/>
      <c r="E31" s="82"/>
      <c r="F31" s="66"/>
      <c r="G31" s="47"/>
    </row>
    <row r="32" spans="1:10" ht="20.100000000000001" customHeight="1" x14ac:dyDescent="0.25">
      <c r="A32" s="16" t="str">
        <f>HYPERLINK("#'8.2.1.1-2 Stationary fuel'!A1", "8.2.1.1-2 Stationary fuel")</f>
        <v>8.2.1.1-2 Stationary fuel</v>
      </c>
      <c r="D32" s="82"/>
      <c r="E32" s="82"/>
      <c r="F32" s="66"/>
      <c r="G32" s="47"/>
    </row>
    <row r="33" spans="1:6" ht="20.100000000000001" customHeight="1" x14ac:dyDescent="0.25">
      <c r="A33"/>
    </row>
    <row r="34" spans="1:6" ht="20.100000000000001" customHeight="1" x14ac:dyDescent="0.25">
      <c r="A34"/>
    </row>
    <row r="35" spans="1:6" ht="20.100000000000001" customHeight="1" x14ac:dyDescent="0.25">
      <c r="A35" s="222" t="s">
        <v>78</v>
      </c>
      <c r="D35" s="9" t="s">
        <v>595</v>
      </c>
    </row>
    <row r="36" spans="1:6" ht="20.100000000000001" customHeight="1" x14ac:dyDescent="0.25">
      <c r="A36" s="16" t="str">
        <f>HYPERLINK("#'Constants - Scope 3'!A1", "Constants - Scope 3")</f>
        <v>Constants - Scope 3</v>
      </c>
      <c r="D36" s="12"/>
    </row>
    <row r="37" spans="1:6" ht="20.100000000000001" customHeight="1" x14ac:dyDescent="0.25">
      <c r="A37" s="16" t="str">
        <f>HYPERLINK("#'Constants - Solid Waste'!A1", "Constants - Solid Waste")</f>
        <v>Constants - Solid Waste</v>
      </c>
      <c r="D37" s="46" t="s">
        <v>590</v>
      </c>
      <c r="E37" s="46" t="s">
        <v>589</v>
      </c>
      <c r="F37" s="46" t="s">
        <v>125</v>
      </c>
    </row>
    <row r="38" spans="1:6" ht="20.100000000000001" customHeight="1" x14ac:dyDescent="0.25">
      <c r="A38" s="16" t="str">
        <f>HYPERLINK("#'Constants - Fuel'!A1", "Constants - Fuel")</f>
        <v>Constants - Fuel</v>
      </c>
      <c r="D38" s="82" t="s">
        <v>691</v>
      </c>
      <c r="E38" s="66">
        <v>1000</v>
      </c>
      <c r="F38" s="82" t="s">
        <v>339</v>
      </c>
    </row>
    <row r="39" spans="1:6" ht="20.100000000000001" customHeight="1" x14ac:dyDescent="0.25">
      <c r="A39" s="16" t="str">
        <f>HYPERLINK("#'Constants - Poultry'!A1", "Constants - Poultry")</f>
        <v>Constants - Poultry</v>
      </c>
      <c r="D39" s="82"/>
      <c r="E39" s="66"/>
      <c r="F39" s="82"/>
    </row>
    <row r="40" spans="1:6" ht="20.100000000000001" customHeight="1" x14ac:dyDescent="0.25">
      <c r="A40" s="16" t="str">
        <f>HYPERLINK("#'Constants - Swine'!A1", "Constants - Swine")</f>
        <v>Constants - Swine</v>
      </c>
      <c r="D40" s="82"/>
      <c r="E40" s="66"/>
      <c r="F40" s="82"/>
    </row>
    <row r="41" spans="1:6" ht="20.100000000000001" customHeight="1" x14ac:dyDescent="0.25">
      <c r="A41" s="16" t="str">
        <f>HYPERLINK("#'Constants - Dairy'!A1", "Constants - Dairy")</f>
        <v>Constants - Dairy</v>
      </c>
      <c r="D41" s="82"/>
      <c r="E41" s="66"/>
      <c r="F41" s="82"/>
    </row>
    <row r="42" spans="1:6" ht="20.100000000000001" customHeight="1" x14ac:dyDescent="0.25">
      <c r="A42" s="16" t="str">
        <f>HYPERLINK("#'Constants - Pasture Beef'!A1", "Constants - Pasture Beef")</f>
        <v>Constants - Pasture Beef</v>
      </c>
      <c r="D42" s="82"/>
      <c r="E42" s="66"/>
      <c r="F42" s="82"/>
    </row>
    <row r="43" spans="1:6" ht="20.100000000000001" customHeight="1" x14ac:dyDescent="0.25">
      <c r="A43" s="16" t="str">
        <f>HYPERLINK("#'Constants - Common Livestock'!A1", "Constants - Common Livestock")</f>
        <v>Constants - Common Livestock</v>
      </c>
      <c r="D43" s="82"/>
      <c r="E43" s="66"/>
      <c r="F43" s="82"/>
    </row>
    <row r="44" spans="1:6" ht="20.100000000000001" customHeight="1" x14ac:dyDescent="0.25">
      <c r="A44" s="16" t="str">
        <f>HYPERLINK("#'Constants - Fertiliser'!A1", "Constants - Fertiliser")</f>
        <v>Constants - Fertiliser</v>
      </c>
      <c r="C44" s="8"/>
      <c r="D44" s="82"/>
      <c r="E44" s="66"/>
      <c r="F44" s="82"/>
    </row>
    <row r="45" spans="1:6" ht="20.100000000000001" customHeight="1" x14ac:dyDescent="0.25">
      <c r="A45" s="16" t="str">
        <f>HYPERLINK("#'Constants - Electricity'!A1", "Constants - Electricity")</f>
        <v>Constants - Electricity</v>
      </c>
      <c r="C45" s="8"/>
      <c r="D45" s="82"/>
      <c r="E45" s="66"/>
      <c r="F45" s="82"/>
    </row>
    <row r="46" spans="1:6" ht="20.100000000000001" customHeight="1" x14ac:dyDescent="0.25">
      <c r="A46" s="16" t="str">
        <f>HYPERLINK("#'Constants - Common'!A1", "Constants - Common")</f>
        <v>Constants - Common</v>
      </c>
      <c r="C46" s="8"/>
      <c r="D46" s="82"/>
      <c r="E46" s="66"/>
      <c r="F46" s="82"/>
    </row>
    <row r="47" spans="1:6" ht="20.100000000000001" customHeight="1" x14ac:dyDescent="0.25">
      <c r="A47"/>
      <c r="C47" s="8"/>
      <c r="D47" s="82"/>
      <c r="E47" s="66"/>
      <c r="F47" s="82"/>
    </row>
    <row r="48" spans="1:6" ht="20.100000000000001" customHeight="1" x14ac:dyDescent="0.25">
      <c r="A48"/>
      <c r="C48" s="8"/>
    </row>
    <row r="49" spans="1:3" ht="20.100000000000001" customHeight="1" x14ac:dyDescent="0.25">
      <c r="A49"/>
      <c r="C49" s="8"/>
    </row>
    <row r="50" spans="1:3" ht="20.100000000000001" customHeight="1" x14ac:dyDescent="0.25">
      <c r="A50"/>
    </row>
    <row r="51" spans="1:3" ht="20.100000000000001" customHeight="1" x14ac:dyDescent="0.25">
      <c r="A51"/>
    </row>
    <row r="52" spans="1:3" ht="20.100000000000001" customHeight="1" x14ac:dyDescent="0.25">
      <c r="A52"/>
    </row>
    <row r="53" spans="1:3" ht="20.100000000000001" customHeight="1" x14ac:dyDescent="0.25">
      <c r="A53"/>
    </row>
    <row r="54" spans="1:3" ht="20.100000000000001" customHeight="1" x14ac:dyDescent="0.25">
      <c r="A54"/>
    </row>
    <row r="55" spans="1:3" ht="20.100000000000001" customHeight="1" x14ac:dyDescent="0.25">
      <c r="A55"/>
    </row>
    <row r="56" spans="1:3" ht="20.100000000000001" customHeight="1" x14ac:dyDescent="0.25">
      <c r="A56"/>
    </row>
    <row r="57" spans="1:3" ht="20.100000000000001" customHeight="1" x14ac:dyDescent="0.25">
      <c r="A57"/>
    </row>
    <row r="58" spans="1:3" ht="20.100000000000001" customHeight="1" x14ac:dyDescent="0.25">
      <c r="A58"/>
    </row>
    <row r="59" spans="1:3" ht="20.100000000000001" customHeight="1" x14ac:dyDescent="0.25">
      <c r="A59"/>
    </row>
    <row r="60" spans="1:3" ht="20.100000000000001" customHeight="1" x14ac:dyDescent="0.25">
      <c r="A60"/>
    </row>
    <row r="61" spans="1:3" ht="20.100000000000001" customHeight="1" x14ac:dyDescent="0.25">
      <c r="A61"/>
    </row>
    <row r="62" spans="1:3" ht="20.100000000000001" customHeight="1" x14ac:dyDescent="0.25">
      <c r="A62"/>
    </row>
    <row r="63" spans="1:3" ht="20.100000000000001" customHeight="1" x14ac:dyDescent="0.25">
      <c r="A63"/>
    </row>
    <row r="64" spans="1:3" ht="20.100000000000001" customHeight="1" x14ac:dyDescent="0.25">
      <c r="A64"/>
    </row>
    <row r="65" spans="1:11" ht="20.100000000000001" customHeight="1" x14ac:dyDescent="0.25">
      <c r="A65"/>
    </row>
    <row r="66" spans="1:11" ht="20.100000000000001" customHeight="1" x14ac:dyDescent="0.25">
      <c r="A66"/>
    </row>
    <row r="67" spans="1:11" ht="20.100000000000001" customHeight="1" x14ac:dyDescent="0.25">
      <c r="A67"/>
    </row>
    <row r="68" spans="1:11" ht="20.100000000000001" customHeight="1" x14ac:dyDescent="0.25">
      <c r="A68"/>
    </row>
    <row r="69" spans="1:11" ht="20.100000000000001" customHeight="1" x14ac:dyDescent="0.25">
      <c r="A69"/>
    </row>
    <row r="70" spans="1:11" ht="20.100000000000001" customHeight="1" x14ac:dyDescent="0.25">
      <c r="A70"/>
    </row>
    <row r="71" spans="1:11" ht="20.100000000000001" customHeight="1" x14ac:dyDescent="0.25">
      <c r="A71"/>
    </row>
    <row r="72" spans="1:11" ht="20.100000000000001" customHeight="1" x14ac:dyDescent="0.25">
      <c r="A72"/>
    </row>
    <row r="73" spans="1:11" ht="20.100000000000001" customHeight="1" x14ac:dyDescent="0.25">
      <c r="A73"/>
    </row>
    <row r="74" spans="1:11" ht="20.100000000000001" customHeight="1" x14ac:dyDescent="0.25">
      <c r="A74"/>
      <c r="K74" s="14"/>
    </row>
    <row r="75" spans="1:11" ht="20.100000000000001" customHeight="1" x14ac:dyDescent="0.25">
      <c r="A75"/>
    </row>
    <row r="76" spans="1:11" ht="20.100000000000001" customHeight="1" x14ac:dyDescent="0.25">
      <c r="A76"/>
    </row>
    <row r="77" spans="1:11" ht="20.100000000000001" customHeight="1" x14ac:dyDescent="0.25">
      <c r="A77"/>
    </row>
    <row r="78" spans="1:11" ht="20.100000000000001" customHeight="1" x14ac:dyDescent="0.25">
      <c r="A78"/>
    </row>
    <row r="79" spans="1:11" ht="20.100000000000001" customHeight="1" x14ac:dyDescent="0.25">
      <c r="A79"/>
    </row>
    <row r="80" spans="1:11" ht="20.100000000000001" customHeight="1" x14ac:dyDescent="0.25">
      <c r="A80"/>
    </row>
    <row r="81" spans="1:10" ht="20.100000000000001" customHeight="1" x14ac:dyDescent="0.25">
      <c r="A81"/>
    </row>
    <row r="82" spans="1:10" ht="20.100000000000001" customHeight="1" x14ac:dyDescent="0.25">
      <c r="A82"/>
    </row>
    <row r="83" spans="1:10" ht="20.100000000000001" customHeight="1" x14ac:dyDescent="0.25">
      <c r="A83"/>
    </row>
    <row r="84" spans="1:10" ht="20.100000000000001" customHeight="1" x14ac:dyDescent="0.25">
      <c r="A84"/>
    </row>
    <row r="85" spans="1:10" ht="20.100000000000001" customHeight="1" x14ac:dyDescent="0.25">
      <c r="A85"/>
    </row>
    <row r="86" spans="1:10" ht="20.100000000000001" customHeight="1" x14ac:dyDescent="0.25">
      <c r="A86"/>
    </row>
    <row r="87" spans="1:10" ht="20.100000000000001" customHeight="1" x14ac:dyDescent="0.25">
      <c r="A87"/>
    </row>
    <row r="88" spans="1:10" ht="20.100000000000001" customHeight="1" x14ac:dyDescent="0.25">
      <c r="A88"/>
    </row>
    <row r="89" spans="1:10" ht="20.100000000000001" customHeight="1" x14ac:dyDescent="0.25">
      <c r="A89"/>
    </row>
    <row r="90" spans="1:10" ht="20.100000000000001" customHeight="1" x14ac:dyDescent="0.25">
      <c r="A90"/>
    </row>
    <row r="91" spans="1:10" ht="20.100000000000001" customHeight="1" x14ac:dyDescent="0.25">
      <c r="A91"/>
    </row>
    <row r="92" spans="1:10" ht="20.100000000000001" customHeight="1" x14ac:dyDescent="0.25">
      <c r="A92"/>
      <c r="J92" s="7"/>
    </row>
    <row r="93" spans="1:10" ht="20.100000000000001" customHeight="1" x14ac:dyDescent="0.25">
      <c r="A93"/>
      <c r="J93" s="7"/>
    </row>
    <row r="94" spans="1:10" ht="20.100000000000001" customHeight="1" x14ac:dyDescent="0.25">
      <c r="A94"/>
      <c r="J94" s="7"/>
    </row>
    <row r="95" spans="1:10" ht="20.100000000000001" customHeight="1" x14ac:dyDescent="0.25">
      <c r="A95"/>
      <c r="J95" s="7"/>
    </row>
    <row r="96" spans="1:10" ht="20.100000000000001" customHeight="1" x14ac:dyDescent="0.25">
      <c r="A96"/>
      <c r="J96" s="7"/>
    </row>
    <row r="97" spans="1:10" ht="20.100000000000001" customHeight="1" x14ac:dyDescent="0.25">
      <c r="A97"/>
      <c r="J97" s="9"/>
    </row>
    <row r="98" spans="1:10" ht="20.100000000000001" customHeight="1" x14ac:dyDescent="0.25">
      <c r="A98"/>
      <c r="J98" s="8"/>
    </row>
    <row r="99" spans="1:10" ht="20.100000000000001" customHeight="1" x14ac:dyDescent="0.25">
      <c r="A99"/>
      <c r="J99" s="8"/>
    </row>
    <row r="100" spans="1:10" ht="20.100000000000001" customHeight="1" x14ac:dyDescent="0.25">
      <c r="A100"/>
      <c r="J100" s="8"/>
    </row>
    <row r="101" spans="1:10" ht="20.100000000000001" customHeight="1" x14ac:dyDescent="0.25">
      <c r="A101"/>
      <c r="J101" s="8"/>
    </row>
    <row r="102" spans="1:10" ht="20.100000000000001" customHeight="1" x14ac:dyDescent="0.25">
      <c r="A102"/>
      <c r="J102" s="8"/>
    </row>
    <row r="103" spans="1:10" ht="20.100000000000001" customHeight="1" x14ac:dyDescent="0.25">
      <c r="A103"/>
    </row>
    <row r="104" spans="1:10" ht="20.100000000000001" customHeight="1" x14ac:dyDescent="0.25">
      <c r="A104"/>
    </row>
    <row r="105" spans="1:10" ht="20.100000000000001" customHeight="1" x14ac:dyDescent="0.25">
      <c r="A105"/>
    </row>
    <row r="106" spans="1:10" ht="20.100000000000001" customHeight="1" x14ac:dyDescent="0.25">
      <c r="A106"/>
    </row>
    <row r="107" spans="1:10" ht="20.100000000000001" customHeight="1" x14ac:dyDescent="0.25">
      <c r="A107"/>
      <c r="J107" s="8"/>
    </row>
    <row r="108" spans="1:10" ht="20.100000000000001" customHeight="1" x14ac:dyDescent="0.25">
      <c r="A108"/>
      <c r="J108" s="8"/>
    </row>
    <row r="109" spans="1:10" ht="20.100000000000001" customHeight="1" x14ac:dyDescent="0.25">
      <c r="A109"/>
      <c r="J109" s="8"/>
    </row>
    <row r="110" spans="1:10" ht="20.100000000000001" customHeight="1" x14ac:dyDescent="0.25">
      <c r="A110"/>
      <c r="J110" s="8"/>
    </row>
    <row r="111" spans="1:10" ht="20.100000000000001" customHeight="1" x14ac:dyDescent="0.25">
      <c r="A111"/>
      <c r="J111" s="8"/>
    </row>
    <row r="112" spans="1:10" ht="20.100000000000001" customHeight="1" x14ac:dyDescent="0.25">
      <c r="A112"/>
      <c r="J112" s="8"/>
    </row>
    <row r="113" spans="1:16" ht="20.100000000000001" customHeight="1" x14ac:dyDescent="0.25">
      <c r="A113"/>
      <c r="J113" s="8"/>
      <c r="L113" s="7"/>
      <c r="M113" s="7"/>
      <c r="N113" s="7"/>
      <c r="O113" s="7"/>
      <c r="P113" s="7"/>
    </row>
    <row r="114" spans="1:16" ht="20.100000000000001" customHeight="1" x14ac:dyDescent="0.25">
      <c r="A114"/>
      <c r="J114" s="8"/>
      <c r="L114" s="7"/>
      <c r="M114" s="7"/>
      <c r="N114" s="7"/>
      <c r="O114" s="7"/>
      <c r="P114" s="7"/>
    </row>
    <row r="115" spans="1:16" ht="20.100000000000001" customHeight="1" x14ac:dyDescent="0.25">
      <c r="A115"/>
      <c r="J115" s="8"/>
      <c r="L115" s="7"/>
      <c r="M115" s="7"/>
      <c r="N115" s="7"/>
      <c r="O115" s="7"/>
      <c r="P115" s="7"/>
    </row>
    <row r="116" spans="1:16" ht="20.100000000000001" customHeight="1" x14ac:dyDescent="0.25">
      <c r="A116"/>
      <c r="I116" s="7"/>
      <c r="J116" s="8"/>
      <c r="N116" s="7"/>
      <c r="O116" s="7"/>
      <c r="P116" s="7"/>
    </row>
    <row r="117" spans="1:16" ht="20.100000000000001" customHeight="1" x14ac:dyDescent="0.25">
      <c r="A117"/>
      <c r="I117" s="7"/>
      <c r="J117" s="8"/>
      <c r="N117" s="7"/>
      <c r="O117" s="7"/>
      <c r="P117" s="7"/>
    </row>
    <row r="118" spans="1:16" ht="20.100000000000001" customHeight="1" x14ac:dyDescent="0.25">
      <c r="A118"/>
      <c r="J118" s="7"/>
      <c r="N118" s="9"/>
      <c r="O118" s="9"/>
      <c r="P118" s="7"/>
    </row>
    <row r="119" spans="1:16" ht="20.100000000000001" customHeight="1" x14ac:dyDescent="0.25">
      <c r="A119"/>
      <c r="J119" s="7"/>
      <c r="P119" s="147"/>
    </row>
    <row r="120" spans="1:16" ht="20.100000000000001" customHeight="1" x14ac:dyDescent="0.25">
      <c r="A120"/>
      <c r="J120" s="7"/>
      <c r="P120" s="147"/>
    </row>
    <row r="121" spans="1:16" ht="20.100000000000001" customHeight="1" x14ac:dyDescent="0.25">
      <c r="A121"/>
      <c r="J121" s="9"/>
      <c r="P121" s="147"/>
    </row>
    <row r="122" spans="1:16" ht="20.100000000000001" customHeight="1" x14ac:dyDescent="0.25">
      <c r="A122"/>
      <c r="G122" s="7"/>
      <c r="H122" s="8"/>
      <c r="J122" s="8"/>
      <c r="P122" s="147"/>
    </row>
    <row r="123" spans="1:16" ht="20.100000000000001" customHeight="1" x14ac:dyDescent="0.25">
      <c r="A123"/>
      <c r="G123" s="7"/>
      <c r="H123" s="8"/>
      <c r="J123" s="8"/>
      <c r="P123" s="147"/>
    </row>
    <row r="124" spans="1:16" ht="20.100000000000001" customHeight="1" x14ac:dyDescent="0.25">
      <c r="A124"/>
      <c r="G124" s="7"/>
      <c r="H124" s="7"/>
      <c r="J124" s="8"/>
      <c r="N124" s="7"/>
      <c r="O124" s="7"/>
      <c r="P124" s="7"/>
    </row>
    <row r="125" spans="1:16" ht="20.100000000000001" customHeight="1" x14ac:dyDescent="0.25">
      <c r="A125"/>
      <c r="G125" s="7"/>
      <c r="H125" s="7"/>
      <c r="I125" s="7"/>
      <c r="J125" s="8"/>
      <c r="N125" s="7"/>
      <c r="O125" s="7"/>
      <c r="P125" s="7"/>
    </row>
    <row r="126" spans="1:16" ht="20.100000000000001" customHeight="1" x14ac:dyDescent="0.25">
      <c r="A126"/>
      <c r="G126" s="7"/>
      <c r="I126" s="7"/>
      <c r="J126" s="8"/>
    </row>
    <row r="127" spans="1:16" ht="20.100000000000001" customHeight="1" x14ac:dyDescent="0.25">
      <c r="A127"/>
      <c r="I127" s="7"/>
      <c r="J127" s="7"/>
    </row>
    <row r="128" spans="1:16" ht="20.100000000000001" customHeight="1" x14ac:dyDescent="0.25">
      <c r="A128"/>
      <c r="I128" s="7"/>
      <c r="J128" s="7"/>
    </row>
    <row r="129" spans="1:13" ht="20.100000000000001" customHeight="1" x14ac:dyDescent="0.25">
      <c r="A129"/>
      <c r="I129" s="7"/>
      <c r="L129" s="7"/>
      <c r="M129" s="7"/>
    </row>
    <row r="130" spans="1:13" ht="20.100000000000001" customHeight="1" x14ac:dyDescent="0.25">
      <c r="A130"/>
      <c r="I130" s="7"/>
      <c r="L130" s="7"/>
      <c r="M130" s="7"/>
    </row>
    <row r="131" spans="1:13" ht="20.100000000000001" customHeight="1" x14ac:dyDescent="0.25">
      <c r="A131"/>
      <c r="G131" s="8"/>
      <c r="I131" s="8"/>
      <c r="L131" s="9"/>
      <c r="M131" s="9"/>
    </row>
    <row r="132" spans="1:13" ht="20.100000000000001" customHeight="1" x14ac:dyDescent="0.25">
      <c r="A132"/>
      <c r="G132" s="7"/>
      <c r="I132" s="8"/>
    </row>
    <row r="133" spans="1:13" ht="20.100000000000001" customHeight="1" x14ac:dyDescent="0.25">
      <c r="A133"/>
      <c r="G133" s="7"/>
      <c r="I133" s="8"/>
    </row>
    <row r="134" spans="1:13" ht="20.100000000000001" customHeight="1" x14ac:dyDescent="0.25">
      <c r="A134"/>
      <c r="I134" s="8"/>
    </row>
    <row r="135" spans="1:13" ht="20.100000000000001" customHeight="1" x14ac:dyDescent="0.25">
      <c r="A135"/>
      <c r="I135" s="8"/>
    </row>
    <row r="136" spans="1:13" ht="20.100000000000001" customHeight="1" x14ac:dyDescent="0.25">
      <c r="A136"/>
      <c r="I136" s="7"/>
    </row>
    <row r="137" spans="1:13" ht="20.100000000000001" customHeight="1" x14ac:dyDescent="0.25">
      <c r="A137"/>
      <c r="I137" s="7"/>
      <c r="L137" s="7"/>
      <c r="M137" s="7"/>
    </row>
    <row r="138" spans="1:13" ht="20.100000000000001" customHeight="1" x14ac:dyDescent="0.25">
      <c r="A138"/>
      <c r="L138" s="7"/>
      <c r="M138" s="7"/>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3" type="noConversion"/>
  <dataValidations count="3">
    <dataValidation type="list" allowBlank="1" showInputMessage="1" showErrorMessage="1" sqref="E8:E17" xr:uid="{C432D3D7-90B5-49EB-9686-44E33AA46DF7}">
      <formula1>INDIRECT("Table_SourceData_Scope3_ChemicalsCleaning[Product]")</formula1>
    </dataValidation>
    <dataValidation type="list" allowBlank="1" showInputMessage="1" showErrorMessage="1" sqref="G23:G32" xr:uid="{92F419C3-BB6B-4ED0-BE3F-195DAC4808A6}">
      <formula1>"Hour, Hectare"</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s>
  <pageMargins left="0.7" right="0.7" top="0.75" bottom="0.75" header="0.3" footer="0.3"/>
  <pageSetup orientation="portrait"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57E6F-01DC-4691-A4D3-FD22E4E07C07}">
  <sheetPr>
    <tabColor theme="5" tint="-0.249977111117893"/>
  </sheetPr>
  <dimension ref="A1:I46"/>
  <sheetViews>
    <sheetView showGridLines="0" zoomScaleNormal="100" workbookViewId="0">
      <selection activeCell="A46" sqref="A46"/>
    </sheetView>
  </sheetViews>
  <sheetFormatPr defaultRowHeight="15.75" x14ac:dyDescent="0.25"/>
  <cols>
    <col min="1" max="1" width="30.625" customWidth="1"/>
    <col min="2" max="2" width="4.625" customWidth="1"/>
    <col min="3" max="3" width="4.625" style="8" customWidth="1"/>
    <col min="4" max="8" width="30.625" style="8" customWidth="1"/>
    <col min="9" max="9" width="4.625" style="8" customWidth="1"/>
  </cols>
  <sheetData>
    <row r="1" spans="1:9" s="37" customFormat="1" ht="25.5" x14ac:dyDescent="0.35">
      <c r="C1" s="37" t="s">
        <v>855</v>
      </c>
    </row>
    <row r="2" spans="1:9" s="2" customFormat="1" x14ac:dyDescent="0.25">
      <c r="A2"/>
    </row>
    <row r="3" spans="1:9" ht="20.25" x14ac:dyDescent="0.25">
      <c r="A3" s="16" t="str">
        <f>HYPERLINK("#'Overview'!A1", "Overview")</f>
        <v>Overview</v>
      </c>
      <c r="C3" s="38"/>
      <c r="D3" s="38"/>
      <c r="E3" s="38"/>
      <c r="F3" s="38"/>
      <c r="G3" s="38"/>
      <c r="H3" s="38"/>
      <c r="I3" s="38"/>
    </row>
    <row r="4" spans="1:9" x14ac:dyDescent="0.25">
      <c r="A4" s="16" t="str">
        <f>HYPERLINK("#'Results'!A1", "Results")</f>
        <v>Results</v>
      </c>
    </row>
    <row r="5" spans="1:9" ht="23.25" x14ac:dyDescent="0.25">
      <c r="D5" s="9" t="s">
        <v>355</v>
      </c>
      <c r="E5" s="14"/>
      <c r="F5" s="14"/>
      <c r="G5" s="14"/>
      <c r="H5" s="14"/>
    </row>
    <row r="6" spans="1:9" x14ac:dyDescent="0.25">
      <c r="D6" s="14"/>
      <c r="E6" s="14"/>
      <c r="F6" s="14"/>
      <c r="G6" s="14"/>
      <c r="H6" s="14"/>
    </row>
    <row r="7" spans="1:9" x14ac:dyDescent="0.25">
      <c r="A7" s="19" t="s">
        <v>67</v>
      </c>
      <c r="D7" s="91" t="s">
        <v>278</v>
      </c>
      <c r="E7" s="91" t="s">
        <v>279</v>
      </c>
      <c r="F7" s="91" t="s">
        <v>396</v>
      </c>
      <c r="G7" s="91" t="s">
        <v>397</v>
      </c>
      <c r="H7" s="91" t="s">
        <v>591</v>
      </c>
    </row>
    <row r="8" spans="1:9" x14ac:dyDescent="0.25">
      <c r="A8" s="16" t="str">
        <f>HYPERLINK("#'Input - Site'!A1", "Site")</f>
        <v>Site</v>
      </c>
      <c r="D8" s="143" t="s">
        <v>398</v>
      </c>
      <c r="E8" s="66">
        <v>100000</v>
      </c>
      <c r="F8" s="47" t="s">
        <v>399</v>
      </c>
      <c r="G8" s="66">
        <v>0.02</v>
      </c>
      <c r="H8" s="49">
        <f>Table_Input_Packaging[[#This Row],[Quantity purchased]]*Table_Input_Packaging[[#This Row],[Weight per unit (kg)]]</f>
        <v>2000</v>
      </c>
    </row>
    <row r="9" spans="1:9" x14ac:dyDescent="0.25">
      <c r="A9" s="16" t="str">
        <f>HYPERLINK("#'Input - Fuel'!A1", "Fuel")</f>
        <v>Fuel</v>
      </c>
      <c r="D9" s="143"/>
      <c r="E9" s="165"/>
      <c r="F9" s="47"/>
      <c r="G9" s="66"/>
      <c r="H9" s="49">
        <f>Table_Input_Packaging[[#This Row],[Quantity purchased]]*Table_Input_Packaging[[#This Row],[Weight per unit (kg)]]</f>
        <v>0</v>
      </c>
    </row>
    <row r="10" spans="1:9" x14ac:dyDescent="0.25">
      <c r="A10" s="16" t="str">
        <f>HYPERLINK("#'Input - Fertiliser'!A1", "Fertiliser")</f>
        <v>Fertiliser</v>
      </c>
      <c r="D10" s="143"/>
      <c r="E10" s="165"/>
      <c r="F10" s="47"/>
      <c r="G10" s="66"/>
      <c r="H10" s="49">
        <f>Table_Input_Packaging[[#This Row],[Quantity purchased]]*Table_Input_Packaging[[#This Row],[Weight per unit (kg)]]</f>
        <v>0</v>
      </c>
    </row>
    <row r="11" spans="1:9" x14ac:dyDescent="0.25">
      <c r="A11" s="16" t="str">
        <f>HYPERLINK("#'Input - Common farm inputs'!A1", "Common farm inputs")</f>
        <v>Common farm inputs</v>
      </c>
      <c r="D11" s="143"/>
      <c r="E11" s="165"/>
      <c r="F11" s="47"/>
      <c r="G11" s="66"/>
      <c r="H11" s="49">
        <f>Table_Input_Packaging[[#This Row],[Quantity purchased]]*Table_Input_Packaging[[#This Row],[Weight per unit (kg)]]</f>
        <v>0</v>
      </c>
    </row>
    <row r="12" spans="1:9" x14ac:dyDescent="0.25">
      <c r="A12" s="42" t="str">
        <f>HYPERLINK("#'Input - Processing inputs'!A1", "Processing inputs")</f>
        <v>Processing inputs</v>
      </c>
      <c r="D12" s="143"/>
      <c r="E12" s="165"/>
      <c r="F12" s="47"/>
      <c r="G12" s="66"/>
      <c r="H12" s="49">
        <f>Table_Input_Packaging[[#This Row],[Quantity purchased]]*Table_Input_Packaging[[#This Row],[Weight per unit (kg)]]</f>
        <v>0</v>
      </c>
    </row>
    <row r="13" spans="1:9" x14ac:dyDescent="0.25">
      <c r="A13" s="16" t="str">
        <f>HYPERLINK("#'Input - Crop pasture farm input'!A1", "Crop pasture farm input")</f>
        <v>Crop pasture farm input</v>
      </c>
      <c r="D13" s="143"/>
      <c r="E13" s="165"/>
      <c r="F13" s="47"/>
      <c r="G13" s="66"/>
      <c r="H13" s="49">
        <f>Table_Input_Packaging[[#This Row],[Quantity purchased]]*Table_Input_Packaging[[#This Row],[Weight per unit (kg)]]</f>
        <v>0</v>
      </c>
    </row>
    <row r="14" spans="1:9" x14ac:dyDescent="0.25">
      <c r="A14" s="16" t="str">
        <f>HYPERLINK("#'Input - Hort farm Inputs'!A1", "Hort farm Inputs")</f>
        <v>Hort farm Inputs</v>
      </c>
      <c r="D14" s="143"/>
      <c r="E14" s="165"/>
      <c r="F14" s="47"/>
      <c r="G14" s="66"/>
      <c r="H14" s="49">
        <f>Table_Input_Packaging[[#This Row],[Quantity purchased]]*Table_Input_Packaging[[#This Row],[Weight per unit (kg)]]</f>
        <v>0</v>
      </c>
    </row>
    <row r="15" spans="1:9" x14ac:dyDescent="0.25">
      <c r="A15" s="16" t="str">
        <f>HYPERLINK("#'Input - Livestock farm Inputs'!A1", "Livestock farm Inputs")</f>
        <v>Livestock farm Inputs</v>
      </c>
      <c r="D15" s="143"/>
      <c r="E15" s="165"/>
      <c r="F15" s="47"/>
      <c r="G15" s="66"/>
      <c r="H15" s="49">
        <f>Table_Input_Packaging[[#This Row],[Quantity purchased]]*Table_Input_Packaging[[#This Row],[Weight per unit (kg)]]</f>
        <v>0</v>
      </c>
    </row>
    <row r="16" spans="1:9" x14ac:dyDescent="0.25">
      <c r="A16" s="16" t="str">
        <f>HYPERLINK("#'Input - Aquaculture inputs'!A1", "Aquaculture inputs")</f>
        <v>Aquaculture inputs</v>
      </c>
      <c r="D16" s="143"/>
      <c r="E16" s="165"/>
      <c r="F16" s="47"/>
      <c r="G16" s="66"/>
      <c r="H16" s="49">
        <f>Table_Input_Packaging[[#This Row],[Quantity purchased]]*Table_Input_Packaging[[#This Row],[Weight per unit (kg)]]</f>
        <v>0</v>
      </c>
    </row>
    <row r="17" spans="1:8" x14ac:dyDescent="0.25">
      <c r="A17" s="16" t="str">
        <f>HYPERLINK("#'Input - Beef cattle purchases'!A1", "Beef cattle purchases")</f>
        <v>Beef cattle purchases</v>
      </c>
      <c r="D17" s="143"/>
      <c r="E17" s="165"/>
      <c r="F17" s="47"/>
      <c r="G17" s="66"/>
      <c r="H17" s="49">
        <f>Table_Input_Packaging[[#This Row],[Quantity purchased]]*Table_Input_Packaging[[#This Row],[Weight per unit (kg)]]</f>
        <v>0</v>
      </c>
    </row>
    <row r="18" spans="1:8" x14ac:dyDescent="0.25">
      <c r="A18" s="16" t="str">
        <f>HYPERLINK("#'Input - Dairy cattle purchases'!A1", "Dairy cattle purchases")</f>
        <v>Dairy cattle purchases</v>
      </c>
    </row>
    <row r="19" spans="1:8" x14ac:dyDescent="0.25">
      <c r="A19" s="16" t="str">
        <f>HYPERLINK("#'Input - Pig purchases'!A1", "Pig purchases")</f>
        <v>Pig purchases</v>
      </c>
    </row>
    <row r="20" spans="1:8" x14ac:dyDescent="0.25">
      <c r="A20" s="16" t="str">
        <f>HYPERLINK("#'Input - Poultry purchases'!A1", "Poultry purchases")</f>
        <v>Poultry purchases</v>
      </c>
    </row>
    <row r="21" spans="1:8" x14ac:dyDescent="0.25">
      <c r="A21" s="16" t="str">
        <f>HYPERLINK("#'Input - Freight'!A1", "Freight")</f>
        <v>Freight</v>
      </c>
    </row>
    <row r="22" spans="1:8" x14ac:dyDescent="0.25">
      <c r="A22" s="16" t="str">
        <f>HYPERLINK("#'Input - Solid waste'!A1", "Solid waste")</f>
        <v>Solid waste</v>
      </c>
    </row>
    <row r="23" spans="1:8" x14ac:dyDescent="0.25">
      <c r="A23" s="16" t="str">
        <f>HYPERLINK("#'Input - Manure sent off-site'!A1", "Manure sent off-site")</f>
        <v>Manure sent off-site</v>
      </c>
    </row>
    <row r="24" spans="1:8" x14ac:dyDescent="0.25">
      <c r="A24" s="16" t="str">
        <f>HYPERLINK("#'Input - Electricity'!A1", "Electricity")</f>
        <v>Electricity</v>
      </c>
    </row>
    <row r="27" spans="1:8" x14ac:dyDescent="0.25">
      <c r="A27" s="21" t="s">
        <v>77</v>
      </c>
    </row>
    <row r="28" spans="1:8" x14ac:dyDescent="0.25">
      <c r="A28" s="16" t="str">
        <f>HYPERLINK("#'15 Scope 3'!A1", "15 Scope 3")</f>
        <v>15 Scope 3</v>
      </c>
    </row>
    <row r="29" spans="1:8" x14ac:dyDescent="0.25">
      <c r="A29" s="16" t="str">
        <f>HYPERLINK("#'10.1.1-2 Solid waste treatment'!A1", "10.1.1-2 Solid waste treatment")</f>
        <v>10.1.1-2 Solid waste treatment</v>
      </c>
    </row>
    <row r="30" spans="1:8" x14ac:dyDescent="0.25">
      <c r="A30" s="16" t="str">
        <f>HYPERLINK("#'Calcs - Manure sent off-site'!A1", "Calcs - Manure sent off-site")</f>
        <v>Calcs - Manure sent off-site</v>
      </c>
    </row>
    <row r="31" spans="1:8" x14ac:dyDescent="0.25">
      <c r="A31" s="16" t="str">
        <f>HYPERLINK("#'8.1.1.1-2 Transport fuel'!A1", "8.1.1.1-2 Transport fuel")</f>
        <v>8.1.1.1-2 Transport fuel</v>
      </c>
    </row>
    <row r="32" spans="1:8" x14ac:dyDescent="0.25">
      <c r="A32" s="16" t="str">
        <f>HYPERLINK("#'8.2.1.1-2 Stationary fuel'!A1", "8.2.1.1-2 Stationary fuel")</f>
        <v>8.2.1.1-2 Stationary fuel</v>
      </c>
    </row>
    <row r="35" spans="1:1" x14ac:dyDescent="0.25">
      <c r="A35" s="222" t="s">
        <v>78</v>
      </c>
    </row>
    <row r="36" spans="1:1" x14ac:dyDescent="0.25">
      <c r="A36" s="16" t="str">
        <f>HYPERLINK("#'Constants - Scope 3'!A1", "Constants - Scope 3")</f>
        <v>Constants - Scope 3</v>
      </c>
    </row>
    <row r="37" spans="1:1" x14ac:dyDescent="0.25">
      <c r="A37" s="16" t="str">
        <f>HYPERLINK("#'Constants - Solid Waste'!A1", "Constants - Solid Waste")</f>
        <v>Constants - Solid Waste</v>
      </c>
    </row>
    <row r="38" spans="1:1" x14ac:dyDescent="0.25">
      <c r="A38" s="16" t="str">
        <f>HYPERLINK("#'Constants - Fuel'!A1", "Constants - Fuel")</f>
        <v>Constants - Fuel</v>
      </c>
    </row>
    <row r="39" spans="1:1" x14ac:dyDescent="0.25">
      <c r="A39" s="16" t="str">
        <f>HYPERLINK("#'Constants - Poultry'!A1", "Constants - Poultry")</f>
        <v>Constants - Poultry</v>
      </c>
    </row>
    <row r="40" spans="1:1" x14ac:dyDescent="0.25">
      <c r="A40" s="16" t="str">
        <f>HYPERLINK("#'Constants - Swine'!A1", "Constants - Swine")</f>
        <v>Constants - Swine</v>
      </c>
    </row>
    <row r="41" spans="1:1" x14ac:dyDescent="0.25">
      <c r="A41" s="16" t="str">
        <f>HYPERLINK("#'Constants - Dairy'!A1", "Constants - Dairy")</f>
        <v>Constants - Dairy</v>
      </c>
    </row>
    <row r="42" spans="1:1" x14ac:dyDescent="0.25">
      <c r="A42" s="16" t="str">
        <f>HYPERLINK("#'Constants - Pasture Beef'!A1", "Constants - Pasture Beef")</f>
        <v>Constants - Pasture Beef</v>
      </c>
    </row>
    <row r="43" spans="1:1" x14ac:dyDescent="0.25">
      <c r="A43" s="16" t="str">
        <f>HYPERLINK("#'Constants - Common Livestock'!A1", "Constants - Common Livestock")</f>
        <v>Constants - Common Livestock</v>
      </c>
    </row>
    <row r="44" spans="1:1" x14ac:dyDescent="0.25">
      <c r="A44" s="16" t="str">
        <f>HYPERLINK("#'Constants - Fertiliser'!A1", "Constants - Fertiliser")</f>
        <v>Constants - Fertiliser</v>
      </c>
    </row>
    <row r="45" spans="1:1" x14ac:dyDescent="0.25">
      <c r="A45" s="16" t="str">
        <f>HYPERLINK("#'Constants - Electricity'!A1", "Constants - Electricity")</f>
        <v>Constants - Electricity</v>
      </c>
    </row>
    <row r="46" spans="1:1" x14ac:dyDescent="0.25">
      <c r="A46" s="16" t="str">
        <f>HYPERLINK("#'Constants - Common'!A1", "Constants - Common")</f>
        <v>Constants - Common</v>
      </c>
    </row>
  </sheetData>
  <dataValidations count="1">
    <dataValidation type="list" allowBlank="1" showInputMessage="1" showErrorMessage="1" sqref="F8:F17" xr:uid="{C1194F4C-B4BA-4C6C-9335-96226E3C874D}">
      <formula1>INDIRECT("Table_SourceData_Scope3_Packaging[Product]")</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D86D0-1A03-4883-95F2-A33D9BAD0AFE}">
  <sheetPr>
    <tabColor theme="5" tint="-0.249977111117893"/>
  </sheetPr>
  <dimension ref="A1:S46"/>
  <sheetViews>
    <sheetView showGridLines="0" zoomScaleNormal="100" workbookViewId="0">
      <selection activeCell="A46" sqref="A46"/>
    </sheetView>
  </sheetViews>
  <sheetFormatPr defaultRowHeight="15.75" x14ac:dyDescent="0.25"/>
  <cols>
    <col min="1" max="1" width="30.625" customWidth="1"/>
    <col min="2" max="2" width="4.625" customWidth="1"/>
    <col min="3" max="3" width="4.625" style="8" customWidth="1"/>
    <col min="4" max="18" width="30.625" style="8" customWidth="1"/>
    <col min="19" max="19" width="4.625" style="8" customWidth="1"/>
  </cols>
  <sheetData>
    <row r="1" spans="1:19" s="37" customFormat="1" ht="25.5" x14ac:dyDescent="0.35">
      <c r="C1" s="37" t="s">
        <v>853</v>
      </c>
    </row>
    <row r="2" spans="1:19" s="2" customFormat="1" x14ac:dyDescent="0.25">
      <c r="A2"/>
    </row>
    <row r="3" spans="1:19" ht="20.25" x14ac:dyDescent="0.25">
      <c r="A3" s="16" t="str">
        <f>HYPERLINK("#'Overview'!A1", "Overview")</f>
        <v>Overview</v>
      </c>
      <c r="C3" s="38"/>
      <c r="D3" s="38"/>
      <c r="E3" s="38"/>
      <c r="F3" s="38"/>
      <c r="G3" s="38"/>
      <c r="H3" s="38"/>
      <c r="I3" s="38"/>
      <c r="J3" s="38"/>
      <c r="K3" s="38"/>
      <c r="L3" s="38"/>
      <c r="M3" s="38"/>
      <c r="N3" s="38"/>
      <c r="O3" s="38"/>
      <c r="P3" s="38"/>
      <c r="Q3" s="38"/>
      <c r="R3" s="38"/>
      <c r="S3" s="38"/>
    </row>
    <row r="4" spans="1:19" x14ac:dyDescent="0.25">
      <c r="A4" s="16" t="str">
        <f>HYPERLINK("#'Results'!A1", "Results")</f>
        <v>Results</v>
      </c>
    </row>
    <row r="5" spans="1:19" ht="18.75" x14ac:dyDescent="0.25">
      <c r="D5" s="144" t="s">
        <v>356</v>
      </c>
      <c r="E5" s="147"/>
      <c r="F5" s="147"/>
      <c r="G5" s="147"/>
      <c r="H5" s="147"/>
      <c r="I5" s="147"/>
      <c r="J5" s="147"/>
    </row>
    <row r="6" spans="1:19" x14ac:dyDescent="0.25">
      <c r="D6" s="173" t="s">
        <v>292</v>
      </c>
      <c r="E6" s="173"/>
      <c r="F6" s="39"/>
      <c r="G6" s="41"/>
      <c r="H6" s="7"/>
      <c r="I6" s="7"/>
      <c r="J6" s="7"/>
    </row>
    <row r="7" spans="1:19" x14ac:dyDescent="0.25">
      <c r="A7" s="19" t="s">
        <v>67</v>
      </c>
      <c r="D7" s="43" t="s">
        <v>293</v>
      </c>
      <c r="E7" s="44"/>
      <c r="F7" s="44"/>
      <c r="G7" s="45"/>
      <c r="H7" s="7"/>
      <c r="I7" s="7"/>
      <c r="J7" s="7"/>
    </row>
    <row r="8" spans="1:19" x14ac:dyDescent="0.25">
      <c r="A8" s="16" t="str">
        <f>HYPERLINK("#'Input - Site'!A1", "Site")</f>
        <v>Site</v>
      </c>
      <c r="D8" s="147"/>
      <c r="E8" s="147"/>
      <c r="F8" s="147"/>
      <c r="G8" s="147"/>
      <c r="H8" s="147"/>
      <c r="I8" s="147"/>
      <c r="J8" s="147"/>
      <c r="K8" s="54"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54"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54"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x14ac:dyDescent="0.25">
      <c r="A9" s="16" t="str">
        <f>HYPERLINK("#'Input - Fuel'!A1", "Fuel")</f>
        <v>Fuel</v>
      </c>
      <c r="D9" s="154" t="s">
        <v>167</v>
      </c>
      <c r="E9" s="154" t="s">
        <v>294</v>
      </c>
      <c r="F9" s="154" t="s">
        <v>295</v>
      </c>
      <c r="G9" s="154" t="s">
        <v>196</v>
      </c>
      <c r="H9" s="154" t="s">
        <v>296</v>
      </c>
      <c r="I9" s="154" t="s">
        <v>413</v>
      </c>
      <c r="J9" s="154" t="s">
        <v>297</v>
      </c>
      <c r="K9" s="162" t="s">
        <v>298</v>
      </c>
      <c r="L9" s="162" t="s">
        <v>409</v>
      </c>
      <c r="M9" s="162" t="s">
        <v>299</v>
      </c>
      <c r="N9" s="162" t="s">
        <v>300</v>
      </c>
      <c r="O9" s="162" t="s">
        <v>410</v>
      </c>
      <c r="P9" s="162" t="s">
        <v>301</v>
      </c>
      <c r="Q9" s="162" t="s">
        <v>302</v>
      </c>
      <c r="R9" s="162" t="s">
        <v>411</v>
      </c>
    </row>
    <row r="10" spans="1:19" x14ac:dyDescent="0.25">
      <c r="A10" s="16" t="str">
        <f>HYPERLINK("#'Input - Fertiliser'!A1", "Fertiliser")</f>
        <v>Fertiliser</v>
      </c>
      <c r="D10" s="143" t="s">
        <v>415</v>
      </c>
      <c r="E10" s="155">
        <v>10</v>
      </c>
      <c r="F10" s="47" t="s">
        <v>405</v>
      </c>
      <c r="G10" s="66">
        <v>100</v>
      </c>
      <c r="H10" s="49">
        <f>Table_Input_Pesticides[[#This Row],[Amount applied per ha]]*Table_Input_Pesticides[[#This Row],[Application area (ha)]]</f>
        <v>1000</v>
      </c>
      <c r="I10" s="47" t="s">
        <v>404</v>
      </c>
      <c r="J10" s="47" t="s">
        <v>403</v>
      </c>
      <c r="K10" s="66">
        <v>100</v>
      </c>
      <c r="L10" s="49">
        <f>Table_Input_Pesticides[[#This Row],[Total applied]]*Table_Input_Pesticides[[#This Row],[Active ingredient 1 amount]]*IF(Table_Input_Pesticides[[#This Row],[Constituent unit (select)]]="fraction of product", 1, 10^-3)</f>
        <v>100</v>
      </c>
      <c r="M10" s="47" t="s">
        <v>403</v>
      </c>
      <c r="N10" s="66">
        <v>100</v>
      </c>
      <c r="O10" s="49">
        <f>Table_Input_Pesticides[[#This Row],[Total applied]]*Table_Input_Pesticides[[#This Row],[Active ingredient 2 amount]]*IF(Table_Input_Pesticides[[#This Row],[Constituent unit (select)]]="fraction of product", 1, 10^-3)</f>
        <v>100</v>
      </c>
      <c r="P10" s="47" t="s">
        <v>667</v>
      </c>
      <c r="Q10" s="66">
        <v>100</v>
      </c>
      <c r="R10" s="49">
        <f>Table_Input_Pesticides[[#This Row],[Total applied]]*Table_Input_Pesticides[[#This Row],[Active ingredient 3 amount]]*IF(Table_Input_Pesticides[[#This Row],[Constituent unit (select)]]="fraction of product", 1, 10^-3)</f>
        <v>100</v>
      </c>
    </row>
    <row r="11" spans="1:19" x14ac:dyDescent="0.25">
      <c r="A11" s="16" t="str">
        <f>HYPERLINK("#'Input - Common farm inputs'!A1", "Common farm inputs")</f>
        <v>Common farm inputs</v>
      </c>
      <c r="D11" s="143" t="s">
        <v>414</v>
      </c>
      <c r="E11" s="155">
        <v>10</v>
      </c>
      <c r="F11" s="47" t="s">
        <v>303</v>
      </c>
      <c r="G11" s="66">
        <v>100</v>
      </c>
      <c r="H11" s="49">
        <f>Table_Input_Pesticides[[#This Row],[Amount applied per ha]]*Table_Input_Pesticides[[#This Row],[Application area (ha)]]</f>
        <v>1000</v>
      </c>
      <c r="I11" s="47" t="s">
        <v>404</v>
      </c>
      <c r="J11" s="47" t="s">
        <v>403</v>
      </c>
      <c r="K11" s="66">
        <v>100</v>
      </c>
      <c r="L11" s="49">
        <f>Table_Input_Pesticides[[#This Row],[Total applied]]*Table_Input_Pesticides[[#This Row],[Active ingredient 1 amount]]*IF(Table_Input_Pesticides[[#This Row],[Constituent unit (select)]]="fraction of product", 1, 10^-3)</f>
        <v>100</v>
      </c>
      <c r="M11" s="47" t="s">
        <v>665</v>
      </c>
      <c r="N11" s="66">
        <v>100</v>
      </c>
      <c r="O11" s="49">
        <f>Table_Input_Pesticides[[#This Row],[Total applied]]*Table_Input_Pesticides[[#This Row],[Active ingredient 2 amount]]*IF(Table_Input_Pesticides[[#This Row],[Constituent unit (select)]]="fraction of product", 1, 10^-3)</f>
        <v>100</v>
      </c>
      <c r="P11" s="47" t="s">
        <v>668</v>
      </c>
      <c r="Q11" s="66">
        <v>100</v>
      </c>
      <c r="R11" s="49">
        <f>Table_Input_Pesticides[[#This Row],[Total applied]]*Table_Input_Pesticides[[#This Row],[Active ingredient 3 amount]]*IF(Table_Input_Pesticides[[#This Row],[Constituent unit (select)]]="fraction of product", 1, 10^-3)</f>
        <v>100</v>
      </c>
    </row>
    <row r="12" spans="1:19" x14ac:dyDescent="0.25">
      <c r="A12" s="16" t="str">
        <f>HYPERLINK("#'Input - Processing inputs'!A1", "Processing inputs")</f>
        <v>Processing inputs</v>
      </c>
      <c r="D12" s="143" t="s">
        <v>412</v>
      </c>
      <c r="E12" s="155">
        <v>10</v>
      </c>
      <c r="F12" s="47" t="s">
        <v>405</v>
      </c>
      <c r="G12" s="66">
        <v>100</v>
      </c>
      <c r="H12" s="49">
        <f>Table_Input_Pesticides[[#This Row],[Amount applied per ha]]*Table_Input_Pesticides[[#This Row],[Application area (ha)]]</f>
        <v>1000</v>
      </c>
      <c r="I12" s="47" t="s">
        <v>404</v>
      </c>
      <c r="J12" s="47" t="s">
        <v>403</v>
      </c>
      <c r="K12" s="66">
        <v>100</v>
      </c>
      <c r="L12" s="49">
        <f>Table_Input_Pesticides[[#This Row],[Total applied]]*Table_Input_Pesticides[[#This Row],[Active ingredient 1 amount]]*IF(Table_Input_Pesticides[[#This Row],[Constituent unit (select)]]="fraction of product", 1, 10^-3)</f>
        <v>100</v>
      </c>
      <c r="M12" s="47" t="s">
        <v>666</v>
      </c>
      <c r="N12" s="66">
        <v>100</v>
      </c>
      <c r="O12" s="49">
        <f>Table_Input_Pesticides[[#This Row],[Total applied]]*Table_Input_Pesticides[[#This Row],[Active ingredient 2 amount]]*IF(Table_Input_Pesticides[[#This Row],[Constituent unit (select)]]="fraction of product", 1, 10^-3)</f>
        <v>100</v>
      </c>
      <c r="P12" s="47" t="s">
        <v>669</v>
      </c>
      <c r="Q12" s="66">
        <v>100</v>
      </c>
      <c r="R12" s="49">
        <f>Table_Input_Pesticides[[#This Row],[Total applied]]*Table_Input_Pesticides[[#This Row],[Active ingredient 3 amount]]*IF(Table_Input_Pesticides[[#This Row],[Constituent unit (select)]]="fraction of product", 1, 10^-3)</f>
        <v>100</v>
      </c>
    </row>
    <row r="13" spans="1:19" x14ac:dyDescent="0.25">
      <c r="A13" s="42" t="str">
        <f>HYPERLINK("#'Input - Crop pasture farm input'!A1", "Crop pasture farm input")</f>
        <v>Crop pasture farm input</v>
      </c>
      <c r="D13" s="143"/>
      <c r="E13" s="155"/>
      <c r="F13" s="47"/>
      <c r="G13" s="66"/>
      <c r="H13" s="49">
        <f>Table_Input_Pesticides[[#This Row],[Amount applied per ha]]*Table_Input_Pesticides[[#This Row],[Application area (ha)]]</f>
        <v>0</v>
      </c>
      <c r="I13" s="47"/>
      <c r="J13" s="47"/>
      <c r="K13" s="66"/>
      <c r="L13" s="49">
        <f>Table_Input_Pesticides[[#This Row],[Total applied]]*Table_Input_Pesticides[[#This Row],[Active ingredient 1 amount]]*IF(Table_Input_Pesticides[[#This Row],[Constituent unit (select)]]="fraction of product", 1, 10^-3)</f>
        <v>0</v>
      </c>
      <c r="M13" s="47"/>
      <c r="N13" s="66"/>
      <c r="O13" s="49">
        <f>Table_Input_Pesticides[[#This Row],[Total applied]]*Table_Input_Pesticides[[#This Row],[Active ingredient 2 amount]]*IF(Table_Input_Pesticides[[#This Row],[Constituent unit (select)]]="fraction of product", 1, 10^-3)</f>
        <v>0</v>
      </c>
      <c r="P13" s="47"/>
      <c r="Q13" s="66"/>
      <c r="R13" s="49">
        <f>Table_Input_Pesticides[[#This Row],[Total applied]]*Table_Input_Pesticides[[#This Row],[Active ingredient 3 amount]]*IF(Table_Input_Pesticides[[#This Row],[Constituent unit (select)]]="fraction of product", 1, 10^-3)</f>
        <v>0</v>
      </c>
    </row>
    <row r="14" spans="1:19" x14ac:dyDescent="0.25">
      <c r="A14" s="16" t="str">
        <f>HYPERLINK("#'Input - Hort farm Inputs'!A1", "Hort farm Inputs")</f>
        <v>Hort farm Inputs</v>
      </c>
      <c r="D14" s="143"/>
      <c r="E14" s="155"/>
      <c r="F14" s="47"/>
      <c r="G14" s="66"/>
      <c r="H14" s="49">
        <f>Table_Input_Pesticides[[#This Row],[Amount applied per ha]]*Table_Input_Pesticides[[#This Row],[Application area (ha)]]</f>
        <v>0</v>
      </c>
      <c r="I14" s="47"/>
      <c r="J14" s="47"/>
      <c r="K14" s="66"/>
      <c r="L14" s="49">
        <f>Table_Input_Pesticides[[#This Row],[Total applied]]*Table_Input_Pesticides[[#This Row],[Active ingredient 1 amount]]*IF(Table_Input_Pesticides[[#This Row],[Constituent unit (select)]]="fraction of product", 1, 10^-3)</f>
        <v>0</v>
      </c>
      <c r="M14" s="47"/>
      <c r="N14" s="66"/>
      <c r="O14" s="49">
        <f>Table_Input_Pesticides[[#This Row],[Total applied]]*Table_Input_Pesticides[[#This Row],[Active ingredient 2 amount]]*IF(Table_Input_Pesticides[[#This Row],[Constituent unit (select)]]="fraction of product", 1, 10^-3)</f>
        <v>0</v>
      </c>
      <c r="P14" s="47"/>
      <c r="Q14" s="66"/>
      <c r="R14" s="49">
        <f>Table_Input_Pesticides[[#This Row],[Total applied]]*Table_Input_Pesticides[[#This Row],[Active ingredient 3 amount]]*IF(Table_Input_Pesticides[[#This Row],[Constituent unit (select)]]="fraction of product", 1, 10^-3)</f>
        <v>0</v>
      </c>
    </row>
    <row r="15" spans="1:19" x14ac:dyDescent="0.25">
      <c r="A15" s="16" t="str">
        <f>HYPERLINK("#'Input - Livestock farm Inputs'!A1", "Livestock farm Inputs")</f>
        <v>Livestock farm Inputs</v>
      </c>
      <c r="D15" s="143"/>
      <c r="E15" s="155"/>
      <c r="F15" s="47"/>
      <c r="G15" s="66"/>
      <c r="H15" s="49">
        <f>Table_Input_Pesticides[[#This Row],[Amount applied per ha]]*Table_Input_Pesticides[[#This Row],[Application area (ha)]]</f>
        <v>0</v>
      </c>
      <c r="I15" s="47"/>
      <c r="J15" s="47"/>
      <c r="K15" s="66"/>
      <c r="L15" s="49">
        <f>Table_Input_Pesticides[[#This Row],[Total applied]]*Table_Input_Pesticides[[#This Row],[Active ingredient 1 amount]]*IF(Table_Input_Pesticides[[#This Row],[Constituent unit (select)]]="fraction of product", 1, 10^-3)</f>
        <v>0</v>
      </c>
      <c r="M15" s="47"/>
      <c r="N15" s="66"/>
      <c r="O15" s="49">
        <f>Table_Input_Pesticides[[#This Row],[Total applied]]*Table_Input_Pesticides[[#This Row],[Active ingredient 2 amount]]*IF(Table_Input_Pesticides[[#This Row],[Constituent unit (select)]]="fraction of product", 1, 10^-3)</f>
        <v>0</v>
      </c>
      <c r="P15" s="47"/>
      <c r="Q15" s="66"/>
      <c r="R15" s="49">
        <f>Table_Input_Pesticides[[#This Row],[Total applied]]*Table_Input_Pesticides[[#This Row],[Active ingredient 3 amount]]*IF(Table_Input_Pesticides[[#This Row],[Constituent unit (select)]]="fraction of product", 1, 10^-3)</f>
        <v>0</v>
      </c>
    </row>
    <row r="16" spans="1:19" x14ac:dyDescent="0.25">
      <c r="A16" s="16" t="str">
        <f>HYPERLINK("#'Input - Aquaculture inputs'!A1", "Aquaculture inputs")</f>
        <v>Aquaculture inputs</v>
      </c>
      <c r="D16" s="143"/>
      <c r="E16" s="155"/>
      <c r="F16" s="47"/>
      <c r="G16" s="66"/>
      <c r="H16" s="49">
        <f>Table_Input_Pesticides[[#This Row],[Amount applied per ha]]*Table_Input_Pesticides[[#This Row],[Application area (ha)]]</f>
        <v>0</v>
      </c>
      <c r="I16" s="47"/>
      <c r="J16" s="47"/>
      <c r="K16" s="66"/>
      <c r="L16" s="49">
        <f>Table_Input_Pesticides[[#This Row],[Total applied]]*Table_Input_Pesticides[[#This Row],[Active ingredient 1 amount]]*IF(Table_Input_Pesticides[[#This Row],[Constituent unit (select)]]="fraction of product", 1, 10^-3)</f>
        <v>0</v>
      </c>
      <c r="M16" s="47"/>
      <c r="N16" s="66"/>
      <c r="O16" s="49">
        <f>Table_Input_Pesticides[[#This Row],[Total applied]]*Table_Input_Pesticides[[#This Row],[Active ingredient 2 amount]]*IF(Table_Input_Pesticides[[#This Row],[Constituent unit (select)]]="fraction of product", 1, 10^-3)</f>
        <v>0</v>
      </c>
      <c r="P16" s="47"/>
      <c r="Q16" s="66"/>
      <c r="R16" s="49">
        <f>Table_Input_Pesticides[[#This Row],[Total applied]]*Table_Input_Pesticides[[#This Row],[Active ingredient 3 amount]]*IF(Table_Input_Pesticides[[#This Row],[Constituent unit (select)]]="fraction of product", 1, 10^-3)</f>
        <v>0</v>
      </c>
    </row>
    <row r="17" spans="1:18" x14ac:dyDescent="0.25">
      <c r="A17" s="16" t="str">
        <f>HYPERLINK("#'Input - Beef cattle purchases'!A1", "Beef cattle purchases")</f>
        <v>Beef cattle purchases</v>
      </c>
      <c r="D17" s="143"/>
      <c r="E17" s="155"/>
      <c r="F17" s="47"/>
      <c r="G17" s="66"/>
      <c r="H17" s="49">
        <f>Table_Input_Pesticides[[#This Row],[Amount applied per ha]]*Table_Input_Pesticides[[#This Row],[Application area (ha)]]</f>
        <v>0</v>
      </c>
      <c r="I17" s="47"/>
      <c r="J17" s="47"/>
      <c r="K17" s="66"/>
      <c r="L17" s="49">
        <f>Table_Input_Pesticides[[#This Row],[Total applied]]*Table_Input_Pesticides[[#This Row],[Active ingredient 1 amount]]*IF(Table_Input_Pesticides[[#This Row],[Constituent unit (select)]]="fraction of product", 1, 10^-3)</f>
        <v>0</v>
      </c>
      <c r="M17" s="47"/>
      <c r="N17" s="66"/>
      <c r="O17" s="49">
        <f>Table_Input_Pesticides[[#This Row],[Total applied]]*Table_Input_Pesticides[[#This Row],[Active ingredient 2 amount]]*IF(Table_Input_Pesticides[[#This Row],[Constituent unit (select)]]="fraction of product", 1, 10^-3)</f>
        <v>0</v>
      </c>
      <c r="P17" s="47"/>
      <c r="Q17" s="66"/>
      <c r="R17" s="49">
        <f>Table_Input_Pesticides[[#This Row],[Total applied]]*Table_Input_Pesticides[[#This Row],[Active ingredient 3 amount]]*IF(Table_Input_Pesticides[[#This Row],[Constituent unit (select)]]="fraction of product", 1, 10^-3)</f>
        <v>0</v>
      </c>
    </row>
    <row r="18" spans="1:18" x14ac:dyDescent="0.25">
      <c r="A18" s="16" t="str">
        <f>HYPERLINK("#'Input - Dairy cattle purchases'!A1", "Dairy cattle purchases")</f>
        <v>Dairy cattle purchases</v>
      </c>
      <c r="D18" s="143"/>
      <c r="E18" s="155"/>
      <c r="F18" s="47"/>
      <c r="G18" s="66"/>
      <c r="H18" s="49">
        <f>Table_Input_Pesticides[[#This Row],[Amount applied per ha]]*Table_Input_Pesticides[[#This Row],[Application area (ha)]]</f>
        <v>0</v>
      </c>
      <c r="I18" s="47"/>
      <c r="J18" s="47"/>
      <c r="K18" s="66"/>
      <c r="L18" s="49">
        <f>Table_Input_Pesticides[[#This Row],[Total applied]]*Table_Input_Pesticides[[#This Row],[Active ingredient 1 amount]]*IF(Table_Input_Pesticides[[#This Row],[Constituent unit (select)]]="fraction of product", 1, 10^-3)</f>
        <v>0</v>
      </c>
      <c r="M18" s="47"/>
      <c r="N18" s="66"/>
      <c r="O18" s="49">
        <f>Table_Input_Pesticides[[#This Row],[Total applied]]*Table_Input_Pesticides[[#This Row],[Active ingredient 2 amount]]*IF(Table_Input_Pesticides[[#This Row],[Constituent unit (select)]]="fraction of product", 1, 10^-3)</f>
        <v>0</v>
      </c>
      <c r="P18" s="47"/>
      <c r="Q18" s="66"/>
      <c r="R18" s="49">
        <f>Table_Input_Pesticides[[#This Row],[Total applied]]*Table_Input_Pesticides[[#This Row],[Active ingredient 3 amount]]*IF(Table_Input_Pesticides[[#This Row],[Constituent unit (select)]]="fraction of product", 1, 10^-3)</f>
        <v>0</v>
      </c>
    </row>
    <row r="19" spans="1:18" x14ac:dyDescent="0.25">
      <c r="A19" s="16" t="str">
        <f>HYPERLINK("#'Input - Pig purchases'!A1", "Pig purchases")</f>
        <v>Pig purchases</v>
      </c>
      <c r="D19" s="143"/>
      <c r="E19" s="155"/>
      <c r="F19" s="47"/>
      <c r="G19" s="66"/>
      <c r="H19" s="49">
        <f>Table_Input_Pesticides[[#This Row],[Amount applied per ha]]*Table_Input_Pesticides[[#This Row],[Application area (ha)]]</f>
        <v>0</v>
      </c>
      <c r="I19" s="47"/>
      <c r="J19" s="47"/>
      <c r="K19" s="66"/>
      <c r="L19" s="49">
        <f>Table_Input_Pesticides[[#This Row],[Total applied]]*Table_Input_Pesticides[[#This Row],[Active ingredient 1 amount]]*IF(Table_Input_Pesticides[[#This Row],[Constituent unit (select)]]="fraction of product", 1, 10^-3)</f>
        <v>0</v>
      </c>
      <c r="M19" s="47"/>
      <c r="N19" s="66"/>
      <c r="O19" s="49">
        <f>Table_Input_Pesticides[[#This Row],[Total applied]]*Table_Input_Pesticides[[#This Row],[Active ingredient 2 amount]]*IF(Table_Input_Pesticides[[#This Row],[Constituent unit (select)]]="fraction of product", 1, 10^-3)</f>
        <v>0</v>
      </c>
      <c r="P19" s="47"/>
      <c r="Q19" s="66"/>
      <c r="R19" s="49">
        <f>Table_Input_Pesticides[[#This Row],[Total applied]]*Table_Input_Pesticides[[#This Row],[Active ingredient 3 amount]]*IF(Table_Input_Pesticides[[#This Row],[Constituent unit (select)]]="fraction of product", 1, 10^-3)</f>
        <v>0</v>
      </c>
    </row>
    <row r="20" spans="1:18" x14ac:dyDescent="0.25">
      <c r="A20" s="16" t="str">
        <f>HYPERLINK("#'Input - Poultry purchases'!A1", "Poultry purchases")</f>
        <v>Poultry purchases</v>
      </c>
    </row>
    <row r="21" spans="1:18" x14ac:dyDescent="0.25">
      <c r="A21" s="16" t="str">
        <f>HYPERLINK("#'Input - Freight'!A1", "Freight")</f>
        <v>Freight</v>
      </c>
    </row>
    <row r="22" spans="1:18" ht="23.25" x14ac:dyDescent="0.25">
      <c r="A22" s="16" t="str">
        <f>HYPERLINK("#'Input - Solid waste'!A1", "Solid waste")</f>
        <v>Solid waste</v>
      </c>
      <c r="D22" s="9" t="s">
        <v>402</v>
      </c>
      <c r="E22" s="14"/>
      <c r="F22" s="14"/>
    </row>
    <row r="23" spans="1:18" x14ac:dyDescent="0.25">
      <c r="A23" s="16" t="str">
        <f>HYPERLINK("#'Input - Manure sent off-site'!A1", "Manure sent off-site")</f>
        <v>Manure sent off-site</v>
      </c>
      <c r="D23" s="8" t="str">
        <f>'Constants - Scope 3'!E204</f>
        <v>Barley grain (for seed)</v>
      </c>
      <c r="E23" s="66">
        <v>500</v>
      </c>
      <c r="F23" s="65" t="s">
        <v>339</v>
      </c>
    </row>
    <row r="24" spans="1:18" x14ac:dyDescent="0.25">
      <c r="A24" s="16" t="str">
        <f>HYPERLINK("#'Input - Electricity'!A1", "Electricity")</f>
        <v>Electricity</v>
      </c>
      <c r="D24" s="8" t="str">
        <f>'Constants - Scope 3'!E205</f>
        <v>Maize grain (for seed)</v>
      </c>
      <c r="E24" s="66">
        <v>600</v>
      </c>
      <c r="F24" s="65" t="s">
        <v>339</v>
      </c>
    </row>
    <row r="25" spans="1:18" x14ac:dyDescent="0.25">
      <c r="D25" s="8" t="str">
        <f>'Constants - Scope 3'!E207</f>
        <v>Oat grain (for seed)</v>
      </c>
      <c r="E25" s="66">
        <v>700</v>
      </c>
      <c r="F25" s="65" t="s">
        <v>339</v>
      </c>
    </row>
    <row r="26" spans="1:18" x14ac:dyDescent="0.25">
      <c r="D26" s="8" t="str">
        <f>'Constants - Scope 3'!E208</f>
        <v>Sorghum grain (for seed)</v>
      </c>
      <c r="E26" s="66">
        <v>800</v>
      </c>
      <c r="F26" s="65" t="s">
        <v>339</v>
      </c>
    </row>
    <row r="27" spans="1:18" x14ac:dyDescent="0.25">
      <c r="A27" s="21" t="s">
        <v>77</v>
      </c>
      <c r="D27" s="8" t="str">
        <f>'Constants - Scope 3'!E209</f>
        <v>Wheat grain (for seed)</v>
      </c>
      <c r="E27" s="66">
        <v>900</v>
      </c>
      <c r="F27" s="65" t="s">
        <v>339</v>
      </c>
    </row>
    <row r="28" spans="1:18" x14ac:dyDescent="0.25">
      <c r="A28" s="16" t="str">
        <f>HYPERLINK("#'15 Scope 3'!A1", "15 Scope 3")</f>
        <v>15 Scope 3</v>
      </c>
    </row>
    <row r="29" spans="1:18" x14ac:dyDescent="0.25">
      <c r="A29" s="16" t="str">
        <f>HYPERLINK("#'10.1.1-2 Solid waste treatment'!A1", "10.1.1-2 Solid waste treatment")</f>
        <v>10.1.1-2 Solid waste treatment</v>
      </c>
    </row>
    <row r="30" spans="1:18" x14ac:dyDescent="0.25">
      <c r="A30" s="16" t="str">
        <f>HYPERLINK("#'Calcs - Manure sent off-site'!A1", "Calcs - Manure sent off-site")</f>
        <v>Calcs - Manure sent off-site</v>
      </c>
    </row>
    <row r="31" spans="1:18" x14ac:dyDescent="0.25">
      <c r="A31" s="16" t="str">
        <f>HYPERLINK("#'8.1.1.1-2 Transport fuel'!A1", "8.1.1.1-2 Transport fuel")</f>
        <v>8.1.1.1-2 Transport fuel</v>
      </c>
    </row>
    <row r="32" spans="1:18" x14ac:dyDescent="0.25">
      <c r="A32" s="16" t="str">
        <f>HYPERLINK("#'8.2.1.1-2 Stationary fuel'!A1", "8.2.1.1-2 Stationary fuel")</f>
        <v>8.2.1.1-2 Stationary fuel</v>
      </c>
    </row>
    <row r="35" spans="1:1" x14ac:dyDescent="0.25">
      <c r="A35" s="222" t="s">
        <v>78</v>
      </c>
    </row>
    <row r="36" spans="1:1" x14ac:dyDescent="0.25">
      <c r="A36" s="16" t="str">
        <f>HYPERLINK("#'Constants - Scope 3'!A1", "Constants - Scope 3")</f>
        <v>Constants - Scope 3</v>
      </c>
    </row>
    <row r="37" spans="1:1" x14ac:dyDescent="0.25">
      <c r="A37" s="16" t="str">
        <f>HYPERLINK("#'Constants - Solid Waste'!A1", "Constants - Solid Waste")</f>
        <v>Constants - Solid Waste</v>
      </c>
    </row>
    <row r="38" spans="1:1" x14ac:dyDescent="0.25">
      <c r="A38" s="16" t="str">
        <f>HYPERLINK("#'Constants - Fuel'!A1", "Constants - Fuel")</f>
        <v>Constants - Fuel</v>
      </c>
    </row>
    <row r="39" spans="1:1" x14ac:dyDescent="0.25">
      <c r="A39" s="16" t="str">
        <f>HYPERLINK("#'Constants - Poultry'!A1", "Constants - Poultry")</f>
        <v>Constants - Poultry</v>
      </c>
    </row>
    <row r="40" spans="1:1" x14ac:dyDescent="0.25">
      <c r="A40" s="16" t="str">
        <f>HYPERLINK("#'Constants - Swine'!A1", "Constants - Swine")</f>
        <v>Constants - Swine</v>
      </c>
    </row>
    <row r="41" spans="1:1" x14ac:dyDescent="0.25">
      <c r="A41" s="16" t="str">
        <f>HYPERLINK("#'Constants - Dairy'!A1", "Constants - Dairy")</f>
        <v>Constants - Dairy</v>
      </c>
    </row>
    <row r="42" spans="1:1" x14ac:dyDescent="0.25">
      <c r="A42" s="16" t="str">
        <f>HYPERLINK("#'Constants - Pasture Beef'!A1", "Constants - Pasture Beef")</f>
        <v>Constants - Pasture Beef</v>
      </c>
    </row>
    <row r="43" spans="1:1" x14ac:dyDescent="0.25">
      <c r="A43" s="16" t="str">
        <f>HYPERLINK("#'Constants - Common Livestock'!A1", "Constants - Common Livestock")</f>
        <v>Constants - Common Livestock</v>
      </c>
    </row>
    <row r="44" spans="1:1" x14ac:dyDescent="0.25">
      <c r="A44" s="16" t="str">
        <f>HYPERLINK("#'Constants - Fertiliser'!A1", "Constants - Fertiliser")</f>
        <v>Constants - Fertiliser</v>
      </c>
    </row>
    <row r="45" spans="1:1" x14ac:dyDescent="0.25">
      <c r="A45" s="16" t="str">
        <f>HYPERLINK("#'Constants - Electricity'!A1", "Constants - Electricity")</f>
        <v>Constants - Electricity</v>
      </c>
    </row>
    <row r="46" spans="1:1" x14ac:dyDescent="0.25">
      <c r="A46" s="16" t="str">
        <f>HYPERLINK("#'Constants - Common'!A1", "Constants - Common")</f>
        <v>Constants - Common</v>
      </c>
    </row>
  </sheetData>
  <dataValidations count="3">
    <dataValidation type="list" allowBlank="1" showInputMessage="1" showErrorMessage="1" sqref="F10:F19" xr:uid="{3E384BB8-0CCC-45EA-83A2-5F436B025D10}">
      <formula1>"kg / hectare, litre / hectare"</formula1>
    </dataValidation>
    <dataValidation type="list" allowBlank="1" showInputMessage="1" showErrorMessage="1" sqref="I10:I19" xr:uid="{8108ECDB-1F4C-43F2-85A5-19117852A987}">
      <formula1>"grams/litre or grams/kg, fraction of product"</formula1>
    </dataValidation>
    <dataValidation type="list" allowBlank="1" showInputMessage="1" showErrorMessage="1" sqref="J10:J19 M10:M19 P10:P19" xr:uid="{4EB7609B-9081-416E-B296-83CB5579804F}">
      <formula1>INDIRECT("Table_SourceData_Scope3_Pesticides[Product]")</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D657B-5418-4A51-83CD-A627B1146FC3}">
  <sheetPr>
    <tabColor theme="5" tint="-0.249977111117893"/>
  </sheetPr>
  <dimension ref="A1:K46"/>
  <sheetViews>
    <sheetView showGridLines="0" zoomScaleNormal="100" workbookViewId="0">
      <selection activeCell="A46" sqref="A46"/>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s="37" customFormat="1" ht="25.5" x14ac:dyDescent="0.35">
      <c r="C1" s="37" t="s">
        <v>851</v>
      </c>
    </row>
    <row r="2" spans="1:11" s="2" customFormat="1" x14ac:dyDescent="0.25">
      <c r="A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x14ac:dyDescent="0.25">
      <c r="D5" s="8" t="str">
        <f>'Constants - Scope 3'!E206</f>
        <v>Nylon netting</v>
      </c>
      <c r="E5" s="66">
        <v>300</v>
      </c>
      <c r="F5" s="65" t="s">
        <v>339</v>
      </c>
    </row>
    <row r="7" spans="1:11" x14ac:dyDescent="0.25">
      <c r="A7" s="19" t="s">
        <v>67</v>
      </c>
    </row>
    <row r="8" spans="1:11" ht="23.25" x14ac:dyDescent="0.25">
      <c r="A8" s="16" t="str">
        <f>HYPERLINK("#'Input - Site'!A1", "Site")</f>
        <v>Site</v>
      </c>
      <c r="D8" s="9" t="s">
        <v>685</v>
      </c>
      <c r="E8" s="14"/>
      <c r="F8" s="14"/>
    </row>
    <row r="9" spans="1:11" x14ac:dyDescent="0.25">
      <c r="A9" s="16" t="str">
        <f>HYPERLINK("#'Input - Fuel'!A1", "Fuel")</f>
        <v>Fuel</v>
      </c>
      <c r="D9" s="12"/>
      <c r="E9" s="14"/>
      <c r="F9" s="14"/>
    </row>
    <row r="10" spans="1:11" x14ac:dyDescent="0.25">
      <c r="A10" s="16" t="str">
        <f>HYPERLINK("#'Input - Fertiliser'!A1", "Fertiliser")</f>
        <v>Fertiliser</v>
      </c>
      <c r="D10" s="164" t="s">
        <v>686</v>
      </c>
      <c r="E10" s="164" t="s">
        <v>601</v>
      </c>
      <c r="F10" s="164" t="s">
        <v>125</v>
      </c>
    </row>
    <row r="11" spans="1:11" x14ac:dyDescent="0.25">
      <c r="A11" s="16" t="str">
        <f>HYPERLINK("#'Input - Common farm inputs'!A1", "Common farm inputs")</f>
        <v>Common farm inputs</v>
      </c>
      <c r="D11" s="82" t="s">
        <v>688</v>
      </c>
      <c r="E11" s="66">
        <v>10000</v>
      </c>
      <c r="F11" s="47" t="s">
        <v>339</v>
      </c>
    </row>
    <row r="12" spans="1:11" x14ac:dyDescent="0.25">
      <c r="A12" s="16" t="str">
        <f>HYPERLINK("#'Input - Processing inputs'!A1", "Processing inputs")</f>
        <v>Processing inputs</v>
      </c>
      <c r="D12" s="82" t="s">
        <v>689</v>
      </c>
      <c r="E12" s="66">
        <v>100</v>
      </c>
      <c r="F12" s="47" t="s">
        <v>687</v>
      </c>
    </row>
    <row r="13" spans="1:11" x14ac:dyDescent="0.25">
      <c r="A13" s="16" t="str">
        <f>HYPERLINK("#'Input - Crop pasture farm input'!A1", "Crop pasture farm input")</f>
        <v>Crop pasture farm input</v>
      </c>
      <c r="D13" s="82" t="s">
        <v>690</v>
      </c>
      <c r="E13" s="66">
        <v>10000</v>
      </c>
      <c r="F13" s="47" t="s">
        <v>339</v>
      </c>
    </row>
    <row r="14" spans="1:11" x14ac:dyDescent="0.25">
      <c r="A14" s="42" t="str">
        <f>HYPERLINK("#'Input - Hort farm Inputs'!A1", "Hort farm Inputs")</f>
        <v>Hort farm Inputs</v>
      </c>
      <c r="D14" s="82"/>
      <c r="E14" s="66"/>
      <c r="F14" s="47"/>
    </row>
    <row r="15" spans="1:11" x14ac:dyDescent="0.25">
      <c r="A15" s="16" t="str">
        <f>HYPERLINK("#'Input - Livestock farm Inputs'!A1", "Livestock farm Inputs")</f>
        <v>Livestock farm Inputs</v>
      </c>
      <c r="D15" s="82"/>
      <c r="E15" s="66"/>
      <c r="F15" s="47"/>
    </row>
    <row r="16" spans="1:11" x14ac:dyDescent="0.25">
      <c r="A16" s="16" t="str">
        <f>HYPERLINK("#'Input - Aquaculture inputs'!A1", "Aquaculture inputs")</f>
        <v>Aquaculture inputs</v>
      </c>
      <c r="D16" s="82"/>
      <c r="E16" s="66"/>
      <c r="F16" s="47"/>
    </row>
    <row r="17" spans="1:6" x14ac:dyDescent="0.25">
      <c r="A17" s="16" t="str">
        <f>HYPERLINK("#'Input - Beef cattle purchases'!A1", "Beef cattle purchases")</f>
        <v>Beef cattle purchases</v>
      </c>
      <c r="D17" s="82"/>
      <c r="E17" s="66"/>
      <c r="F17" s="47"/>
    </row>
    <row r="18" spans="1:6" x14ac:dyDescent="0.25">
      <c r="A18" s="16" t="str">
        <f>HYPERLINK("#'Input - Dairy cattle purchases'!A1", "Dairy cattle purchases")</f>
        <v>Dairy cattle purchases</v>
      </c>
      <c r="D18" s="82"/>
      <c r="E18" s="66"/>
      <c r="F18" s="47"/>
    </row>
    <row r="19" spans="1:6" x14ac:dyDescent="0.25">
      <c r="A19" s="16" t="str">
        <f>HYPERLINK("#'Input - Pig purchases'!A1", "Pig purchases")</f>
        <v>Pig purchases</v>
      </c>
      <c r="D19" s="82"/>
      <c r="E19" s="66"/>
      <c r="F19" s="47"/>
    </row>
    <row r="20" spans="1:6" x14ac:dyDescent="0.25">
      <c r="A20" s="16" t="str">
        <f>HYPERLINK("#'Input - Poultry purchases'!A1", "Poultry purchases")</f>
        <v>Poultry purchases</v>
      </c>
      <c r="D20" s="82"/>
      <c r="E20" s="66"/>
      <c r="F20" s="47"/>
    </row>
    <row r="21" spans="1:6" x14ac:dyDescent="0.25">
      <c r="A21" s="16" t="str">
        <f>HYPERLINK("#'Input - Freight'!A1", "Freight")</f>
        <v>Freight</v>
      </c>
    </row>
    <row r="22" spans="1:6" x14ac:dyDescent="0.25">
      <c r="A22" s="16" t="str">
        <f>HYPERLINK("#'Input - Solid waste'!A1", "Solid waste")</f>
        <v>Solid waste</v>
      </c>
    </row>
    <row r="23" spans="1:6" x14ac:dyDescent="0.25">
      <c r="A23" s="16" t="str">
        <f>HYPERLINK("#'Input - Manure sent off-site'!A1", "Manure sent off-site")</f>
        <v>Manure sent off-site</v>
      </c>
    </row>
    <row r="24" spans="1:6" x14ac:dyDescent="0.25">
      <c r="A24" s="16" t="str">
        <f>HYPERLINK("#'Input - Electricity'!A1", "Electricity")</f>
        <v>Electricity</v>
      </c>
    </row>
    <row r="27" spans="1:6" x14ac:dyDescent="0.25">
      <c r="A27" s="21" t="s">
        <v>77</v>
      </c>
    </row>
    <row r="28" spans="1:6" x14ac:dyDescent="0.25">
      <c r="A28" s="16" t="str">
        <f>HYPERLINK("#'15 Scope 3'!A1", "15 Scope 3")</f>
        <v>15 Scope 3</v>
      </c>
    </row>
    <row r="29" spans="1:6" x14ac:dyDescent="0.25">
      <c r="A29" s="16" t="str">
        <f>HYPERLINK("#'10.1.1-2 Solid waste treatment'!A1", "10.1.1-2 Solid waste treatment")</f>
        <v>10.1.1-2 Solid waste treatment</v>
      </c>
    </row>
    <row r="30" spans="1:6" x14ac:dyDescent="0.25">
      <c r="A30" s="16" t="str">
        <f>HYPERLINK("#'Calcs - Manure sent off-site'!A1", "Calcs - Manure sent off-site")</f>
        <v>Calcs - Manure sent off-site</v>
      </c>
    </row>
    <row r="31" spans="1:6" x14ac:dyDescent="0.25">
      <c r="A31" s="16" t="str">
        <f>HYPERLINK("#'8.1.1.1-2 Transport fuel'!A1", "8.1.1.1-2 Transport fuel")</f>
        <v>8.1.1.1-2 Transport fuel</v>
      </c>
    </row>
    <row r="32" spans="1:6" x14ac:dyDescent="0.25">
      <c r="A32" s="16" t="str">
        <f>HYPERLINK("#'8.2.1.1-2 Stationary fuel'!A1", "8.2.1.1-2 Stationary fuel")</f>
        <v>8.2.1.1-2 Stationary fuel</v>
      </c>
    </row>
    <row r="35" spans="1:1" x14ac:dyDescent="0.25">
      <c r="A35" s="222" t="s">
        <v>78</v>
      </c>
    </row>
    <row r="36" spans="1:1" x14ac:dyDescent="0.25">
      <c r="A36" s="16" t="str">
        <f>HYPERLINK("#'Constants - Scope 3'!A1", "Constants - Scope 3")</f>
        <v>Constants - Scope 3</v>
      </c>
    </row>
    <row r="37" spans="1:1" x14ac:dyDescent="0.25">
      <c r="A37" s="16" t="str">
        <f>HYPERLINK("#'Constants - Solid Waste'!A1", "Constants - Solid Waste")</f>
        <v>Constants - Solid Waste</v>
      </c>
    </row>
    <row r="38" spans="1:1" x14ac:dyDescent="0.25">
      <c r="A38" s="16" t="str">
        <f>HYPERLINK("#'Constants - Fuel'!A1", "Constants - Fuel")</f>
        <v>Constants - Fuel</v>
      </c>
    </row>
    <row r="39" spans="1:1" x14ac:dyDescent="0.25">
      <c r="A39" s="16" t="str">
        <f>HYPERLINK("#'Constants - Poultry'!A1", "Constants - Poultry")</f>
        <v>Constants - Poultry</v>
      </c>
    </row>
    <row r="40" spans="1:1" x14ac:dyDescent="0.25">
      <c r="A40" s="16" t="str">
        <f>HYPERLINK("#'Constants - Swine'!A1", "Constants - Swine")</f>
        <v>Constants - Swine</v>
      </c>
    </row>
    <row r="41" spans="1:1" x14ac:dyDescent="0.25">
      <c r="A41" s="16" t="str">
        <f>HYPERLINK("#'Constants - Dairy'!A1", "Constants - Dairy")</f>
        <v>Constants - Dairy</v>
      </c>
    </row>
    <row r="42" spans="1:1" x14ac:dyDescent="0.25">
      <c r="A42" s="16" t="str">
        <f>HYPERLINK("#'Constants - Pasture Beef'!A1", "Constants - Pasture Beef")</f>
        <v>Constants - Pasture Beef</v>
      </c>
    </row>
    <row r="43" spans="1:1" x14ac:dyDescent="0.25">
      <c r="A43" s="16" t="str">
        <f>HYPERLINK("#'Constants - Common Livestock'!A1", "Constants - Common Livestock")</f>
        <v>Constants - Common Livestock</v>
      </c>
    </row>
    <row r="44" spans="1:1" x14ac:dyDescent="0.25">
      <c r="A44" s="16" t="str">
        <f>HYPERLINK("#'Constants - Fertiliser'!A1", "Constants - Fertiliser")</f>
        <v>Constants - Fertiliser</v>
      </c>
    </row>
    <row r="45" spans="1:1" x14ac:dyDescent="0.25">
      <c r="A45" s="16" t="str">
        <f>HYPERLINK("#'Constants - Electricity'!A1", "Constants - Electricity")</f>
        <v>Constants - Electricity</v>
      </c>
    </row>
    <row r="46" spans="1:1" x14ac:dyDescent="0.25">
      <c r="A46" s="16" t="str">
        <f>HYPERLINK("#'Constants - Common'!A1", "Constants - Common")</f>
        <v>Constants - Common</v>
      </c>
    </row>
  </sheetData>
  <dataValidations count="1">
    <dataValidation type="list" allowBlank="1" showInputMessage="1" showErrorMessage="1" sqref="F11:F20" xr:uid="{9C8B3973-FAC4-43D3-9591-1F01F0AB4558}">
      <formula1>"kg, m3"</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AC24D-2696-4CE2-8385-3146CB7DCC45}">
  <sheetPr>
    <tabColor theme="5" tint="-0.249977111117893"/>
  </sheetPr>
  <dimension ref="A1:R76"/>
  <sheetViews>
    <sheetView showGridLines="0" topLeftCell="A3" zoomScaleNormal="100" workbookViewId="0">
      <selection activeCell="A46" sqref="A46"/>
    </sheetView>
  </sheetViews>
  <sheetFormatPr defaultRowHeight="15.75" x14ac:dyDescent="0.25"/>
  <cols>
    <col min="1" max="1" width="30.625" customWidth="1"/>
    <col min="2" max="2" width="4.625" customWidth="1"/>
    <col min="3" max="3" width="4.625" style="8" customWidth="1"/>
    <col min="4" max="17" width="30.625" style="8" customWidth="1"/>
    <col min="18" max="18" width="4.625" style="8" customWidth="1"/>
  </cols>
  <sheetData>
    <row r="1" spans="1:18" s="37" customFormat="1" ht="25.5" x14ac:dyDescent="0.35">
      <c r="C1" s="37" t="s">
        <v>854</v>
      </c>
    </row>
    <row r="2" spans="1:18" s="2" customFormat="1" ht="20.100000000000001" customHeight="1" x14ac:dyDescent="0.25">
      <c r="A2"/>
    </row>
    <row r="3" spans="1:18" ht="20.100000000000001" customHeight="1" x14ac:dyDescent="0.25">
      <c r="A3" s="16" t="str">
        <f>HYPERLINK("#'Overview'!A1", "Overview")</f>
        <v>Overview</v>
      </c>
      <c r="C3" s="38"/>
      <c r="D3" s="38"/>
      <c r="E3" s="38"/>
      <c r="F3" s="38"/>
      <c r="G3" s="38"/>
      <c r="H3" s="38"/>
      <c r="I3" s="38"/>
      <c r="J3" s="38"/>
      <c r="K3" s="38"/>
      <c r="L3" s="38"/>
      <c r="M3" s="38"/>
      <c r="N3" s="38"/>
      <c r="O3" s="38"/>
      <c r="P3" s="38"/>
      <c r="Q3" s="38"/>
      <c r="R3" s="38"/>
    </row>
    <row r="4" spans="1:18" ht="20.100000000000001" customHeight="1" x14ac:dyDescent="0.25">
      <c r="A4" s="16" t="str">
        <f>HYPERLINK("#'Results'!A1", "Results")</f>
        <v>Results</v>
      </c>
    </row>
    <row r="5" spans="1:18" ht="20.100000000000001" customHeight="1" x14ac:dyDescent="0.25">
      <c r="D5" s="9" t="s">
        <v>353</v>
      </c>
      <c r="E5" s="14"/>
      <c r="F5" s="14"/>
      <c r="G5" s="14"/>
      <c r="H5" s="14"/>
      <c r="I5" s="14"/>
      <c r="J5" s="14"/>
    </row>
    <row r="6" spans="1:18" ht="20.100000000000001" customHeight="1" x14ac:dyDescent="0.25">
      <c r="D6" s="144" t="s">
        <v>283</v>
      </c>
      <c r="E6" s="145"/>
      <c r="F6" s="67"/>
      <c r="G6" s="14"/>
      <c r="H6" s="14"/>
      <c r="I6" s="14"/>
      <c r="J6" s="14"/>
    </row>
    <row r="7" spans="1:18" ht="20.100000000000001" customHeight="1" x14ac:dyDescent="0.25">
      <c r="A7" s="19" t="s">
        <v>67</v>
      </c>
      <c r="D7" s="8" t="str" cm="1">
        <f t="array" ref="D7:D9">Table_SourceData_Scope3_LickBlocks[Product]</f>
        <v>Lick block, dry season mix</v>
      </c>
      <c r="E7" s="66">
        <v>100</v>
      </c>
      <c r="F7" s="65" t="s">
        <v>339</v>
      </c>
      <c r="G7" s="14"/>
      <c r="H7" s="14"/>
      <c r="I7" s="14"/>
      <c r="J7" s="14"/>
    </row>
    <row r="8" spans="1:18" ht="20.100000000000001" customHeight="1" x14ac:dyDescent="0.25">
      <c r="A8" s="16" t="str">
        <f>HYPERLINK("#'Input - Site'!A1", "Site")</f>
        <v>Site</v>
      </c>
      <c r="D8" s="8" t="str">
        <v>Lick block, mineral</v>
      </c>
      <c r="E8" s="66">
        <v>100</v>
      </c>
      <c r="F8" s="65" t="s">
        <v>339</v>
      </c>
      <c r="G8" s="14"/>
      <c r="H8" s="14"/>
      <c r="I8" s="14"/>
      <c r="J8" s="14"/>
    </row>
    <row r="9" spans="1:18" ht="20.100000000000001" customHeight="1" x14ac:dyDescent="0.25">
      <c r="A9" s="16" t="str">
        <f>HYPERLINK("#'Input - Fuel'!A1", "Fuel")</f>
        <v>Fuel</v>
      </c>
      <c r="D9" s="8" t="str">
        <v>Lick block, weaner</v>
      </c>
      <c r="E9" s="66">
        <v>100</v>
      </c>
      <c r="F9" s="65" t="s">
        <v>339</v>
      </c>
      <c r="G9" s="14"/>
      <c r="H9" s="14"/>
      <c r="I9" s="14"/>
      <c r="J9" s="14"/>
    </row>
    <row r="10" spans="1:18" ht="20.100000000000001" customHeight="1" x14ac:dyDescent="0.25">
      <c r="A10" s="16" t="str">
        <f>HYPERLINK("#'Input - Fertiliser'!A1", "Fertiliser")</f>
        <v>Fertiliser</v>
      </c>
      <c r="G10" s="14"/>
      <c r="H10" s="14"/>
      <c r="I10" s="14"/>
      <c r="J10" s="14"/>
    </row>
    <row r="11" spans="1:18" ht="20.100000000000001" customHeight="1" x14ac:dyDescent="0.25">
      <c r="A11" s="16" t="str">
        <f>HYPERLINK("#'Input - Common farm inputs'!A1", "Common farm inputs")</f>
        <v>Common farm inputs</v>
      </c>
      <c r="D11" s="144" t="s">
        <v>388</v>
      </c>
      <c r="E11" s="7"/>
      <c r="F11" s="7"/>
      <c r="G11" s="14"/>
      <c r="H11" s="14"/>
      <c r="I11" s="14"/>
      <c r="J11" s="14"/>
    </row>
    <row r="12" spans="1:18" ht="20.100000000000001" customHeight="1" x14ac:dyDescent="0.25">
      <c r="A12" s="16" t="str">
        <f>HYPERLINK("#'Input - Processing inputs'!A1", "Processing inputs")</f>
        <v>Processing inputs</v>
      </c>
      <c r="D12" s="8" t="str" cm="1">
        <f t="array" ref="D12:D15">Table_SourceData_Scope3_MixedRations[Product]</f>
        <v>Feed for chickens</v>
      </c>
      <c r="E12" s="66">
        <v>100</v>
      </c>
      <c r="F12" s="65" t="s">
        <v>339</v>
      </c>
      <c r="G12" s="14"/>
      <c r="H12" s="14"/>
      <c r="I12" s="14"/>
      <c r="J12" s="14"/>
    </row>
    <row r="13" spans="1:18" ht="20.100000000000001" customHeight="1" x14ac:dyDescent="0.25">
      <c r="A13" s="16" t="str">
        <f>HYPERLINK("#'Input - Crop pasture farm input'!A1", "Crop pasture farm input")</f>
        <v>Crop pasture farm input</v>
      </c>
      <c r="D13" s="8" t="str">
        <v>Feed for dairy calves</v>
      </c>
      <c r="E13" s="66">
        <v>100</v>
      </c>
      <c r="F13" s="65" t="s">
        <v>339</v>
      </c>
      <c r="G13" s="14"/>
      <c r="H13" s="14"/>
      <c r="I13" s="14"/>
      <c r="J13" s="14"/>
    </row>
    <row r="14" spans="1:18" ht="20.100000000000001" customHeight="1" x14ac:dyDescent="0.25">
      <c r="A14" s="16" t="str">
        <f>HYPERLINK("#'Input - Hort farm Inputs'!A1", "Hort farm Inputs")</f>
        <v>Hort farm Inputs</v>
      </c>
      <c r="D14" s="8" t="str">
        <v>Feed for dairy cows</v>
      </c>
      <c r="E14" s="66">
        <v>100</v>
      </c>
      <c r="F14" s="65" t="s">
        <v>339</v>
      </c>
      <c r="G14" s="14"/>
      <c r="H14" s="14"/>
      <c r="I14" s="14"/>
      <c r="J14" s="14"/>
    </row>
    <row r="15" spans="1:18" ht="20.100000000000001" customHeight="1" x14ac:dyDescent="0.25">
      <c r="A15" s="42" t="str">
        <f>HYPERLINK("#'Input - Livestock farm Inputs'!A1", "Livestock farm Inputs")</f>
        <v>Livestock farm Inputs</v>
      </c>
      <c r="D15" s="8" t="str">
        <v>Feed for pigs</v>
      </c>
      <c r="E15" s="66">
        <v>100</v>
      </c>
      <c r="F15" s="65" t="s">
        <v>339</v>
      </c>
      <c r="G15" s="14"/>
      <c r="H15" s="14"/>
      <c r="I15" s="14"/>
      <c r="J15" s="14"/>
    </row>
    <row r="16" spans="1:18" ht="20.100000000000001" customHeight="1" x14ac:dyDescent="0.25">
      <c r="A16" s="16" t="str">
        <f>HYPERLINK("#'Input - Aquaculture inputs'!A1", "Aquaculture inputs")</f>
        <v>Aquaculture inputs</v>
      </c>
      <c r="D16" s="7"/>
      <c r="E16" s="7"/>
      <c r="F16" s="7"/>
      <c r="G16" s="14"/>
      <c r="H16" s="14"/>
      <c r="I16" s="14"/>
      <c r="J16" s="14"/>
    </row>
    <row r="17" spans="1:17" ht="20.100000000000001" customHeight="1" x14ac:dyDescent="0.25">
      <c r="A17" s="16" t="str">
        <f>HYPERLINK("#'Input - Beef cattle purchases'!A1", "Beef cattle purchases")</f>
        <v>Beef cattle purchases</v>
      </c>
      <c r="D17" s="144" t="s">
        <v>850</v>
      </c>
      <c r="E17" s="7"/>
      <c r="F17" s="7"/>
      <c r="G17" s="14"/>
      <c r="H17" s="14" t="s">
        <v>849</v>
      </c>
      <c r="I17" s="14"/>
      <c r="J17" s="14"/>
    </row>
    <row r="18" spans="1:17" ht="20.100000000000001" customHeight="1" x14ac:dyDescent="0.25">
      <c r="A18" s="16" t="str">
        <f>HYPERLINK("#'Input - Dairy cattle purchases'!A1", "Dairy cattle purchases")</f>
        <v>Dairy cattle purchases</v>
      </c>
      <c r="D18" s="48" t="s">
        <v>285</v>
      </c>
      <c r="E18" s="48" t="s">
        <v>286</v>
      </c>
      <c r="F18" s="48" t="s">
        <v>201</v>
      </c>
      <c r="G18" s="48" t="s">
        <v>379</v>
      </c>
      <c r="H18" s="48" t="s">
        <v>171</v>
      </c>
      <c r="I18" s="48" t="s">
        <v>287</v>
      </c>
      <c r="J18" s="48" t="s">
        <v>384</v>
      </c>
      <c r="K18" s="48" t="s">
        <v>173</v>
      </c>
      <c r="L18" s="48" t="s">
        <v>288</v>
      </c>
      <c r="M18" s="48" t="s">
        <v>385</v>
      </c>
      <c r="N18" s="48" t="s">
        <v>175</v>
      </c>
      <c r="O18" s="48" t="s">
        <v>289</v>
      </c>
      <c r="P18" s="48" t="s">
        <v>386</v>
      </c>
      <c r="Q18" s="48" t="s">
        <v>177</v>
      </c>
    </row>
    <row r="19" spans="1:17" ht="20.100000000000001" customHeight="1" x14ac:dyDescent="0.25">
      <c r="A19" s="16" t="str">
        <f>HYPERLINK("#'Input - Pig purchases'!A1", "Pig purchases")</f>
        <v>Pig purchases</v>
      </c>
      <c r="D19" s="15"/>
      <c r="E19" s="146">
        <v>1200</v>
      </c>
      <c r="F19" s="47" t="s">
        <v>829</v>
      </c>
      <c r="G19" s="47" t="s">
        <v>381</v>
      </c>
      <c r="H19" s="50">
        <v>0.35</v>
      </c>
      <c r="I19" s="47" t="s">
        <v>376</v>
      </c>
      <c r="J19" s="47" t="s">
        <v>381</v>
      </c>
      <c r="K19" s="50">
        <v>0.22</v>
      </c>
      <c r="L19" s="47" t="s">
        <v>290</v>
      </c>
      <c r="M19" s="47" t="s">
        <v>324</v>
      </c>
      <c r="N19" s="50">
        <v>0.12</v>
      </c>
      <c r="O19" s="47" t="s">
        <v>387</v>
      </c>
      <c r="P19" s="47" t="s">
        <v>326</v>
      </c>
      <c r="Q19" s="50">
        <v>0.05</v>
      </c>
    </row>
    <row r="20" spans="1:17" ht="20.100000000000001" customHeight="1" x14ac:dyDescent="0.25">
      <c r="A20" s="16" t="str">
        <f>HYPERLINK("#'Input - Poultry purchases'!A1", "Poultry purchases")</f>
        <v>Poultry purchases</v>
      </c>
      <c r="D20" s="15"/>
      <c r="E20" s="146">
        <v>3456</v>
      </c>
      <c r="F20" s="47" t="s">
        <v>382</v>
      </c>
      <c r="G20" s="47" t="s">
        <v>332</v>
      </c>
      <c r="H20" s="50">
        <v>0.2</v>
      </c>
      <c r="I20" s="47" t="s">
        <v>382</v>
      </c>
      <c r="J20" s="47" t="s">
        <v>325</v>
      </c>
      <c r="K20" s="50">
        <v>0.2</v>
      </c>
      <c r="L20" s="47"/>
      <c r="M20" s="47"/>
      <c r="N20" s="50"/>
      <c r="O20" s="47"/>
      <c r="P20" s="47"/>
      <c r="Q20" s="50"/>
    </row>
    <row r="21" spans="1:17" ht="20.100000000000001" customHeight="1" x14ac:dyDescent="0.25">
      <c r="A21" s="16" t="str">
        <f>HYPERLINK("#'Input - Freight'!A1", "Freight")</f>
        <v>Freight</v>
      </c>
      <c r="D21" s="15" t="s">
        <v>291</v>
      </c>
      <c r="E21" s="146">
        <v>300</v>
      </c>
      <c r="F21" s="47" t="s">
        <v>380</v>
      </c>
      <c r="G21" s="47" t="s">
        <v>331</v>
      </c>
      <c r="H21" s="50">
        <v>0.8</v>
      </c>
      <c r="I21" s="47" t="s">
        <v>377</v>
      </c>
      <c r="J21" s="47" t="s">
        <v>383</v>
      </c>
      <c r="K21" s="50">
        <v>0.2</v>
      </c>
      <c r="L21" s="47"/>
      <c r="M21" s="47"/>
      <c r="N21" s="50"/>
      <c r="O21" s="47"/>
      <c r="P21" s="47"/>
      <c r="Q21" s="50"/>
    </row>
    <row r="22" spans="1:17" ht="20.100000000000001" customHeight="1" x14ac:dyDescent="0.25">
      <c r="A22" s="16" t="str">
        <f>HYPERLINK("#'Input - Solid waste'!A1", "Solid waste")</f>
        <v>Solid waste</v>
      </c>
      <c r="D22" s="15"/>
      <c r="E22" s="146">
        <v>500</v>
      </c>
      <c r="F22" s="47" t="s">
        <v>389</v>
      </c>
      <c r="G22" s="47" t="s">
        <v>331</v>
      </c>
      <c r="H22" s="50">
        <v>1</v>
      </c>
      <c r="I22" s="47"/>
      <c r="J22" s="47"/>
      <c r="K22" s="50"/>
      <c r="L22" s="47"/>
      <c r="M22" s="47"/>
      <c r="N22" s="50"/>
      <c r="O22" s="47"/>
      <c r="P22" s="47"/>
      <c r="Q22" s="50"/>
    </row>
    <row r="23" spans="1:17" ht="20.100000000000001" customHeight="1" x14ac:dyDescent="0.25">
      <c r="A23" s="16" t="str">
        <f>HYPERLINK("#'Input - Manure sent off-site'!A1", "Manure sent off-site")</f>
        <v>Manure sent off-site</v>
      </c>
      <c r="D23" s="15"/>
      <c r="E23" s="146"/>
      <c r="F23" s="47"/>
      <c r="G23" s="47"/>
      <c r="H23" s="50"/>
      <c r="I23" s="47"/>
      <c r="J23" s="47"/>
      <c r="K23" s="50"/>
      <c r="L23" s="47"/>
      <c r="M23" s="47"/>
      <c r="N23" s="50"/>
      <c r="O23" s="47"/>
      <c r="P23" s="47"/>
      <c r="Q23" s="50"/>
    </row>
    <row r="24" spans="1:17" ht="20.100000000000001" customHeight="1" x14ac:dyDescent="0.25">
      <c r="A24" s="16" t="str">
        <f>HYPERLINK("#'Input - Electricity'!A1", "Electricity")</f>
        <v>Electricity</v>
      </c>
      <c r="D24" s="15"/>
      <c r="E24" s="146"/>
      <c r="F24" s="47"/>
      <c r="G24" s="47"/>
      <c r="H24" s="50"/>
      <c r="I24" s="47"/>
      <c r="J24" s="47"/>
      <c r="K24" s="50"/>
      <c r="L24" s="47"/>
      <c r="M24" s="47"/>
      <c r="N24" s="50"/>
      <c r="O24" s="47"/>
      <c r="P24" s="47"/>
      <c r="Q24" s="50"/>
    </row>
    <row r="25" spans="1:17" ht="20.100000000000001" customHeight="1" x14ac:dyDescent="0.25">
      <c r="D25" s="15"/>
      <c r="E25" s="146"/>
      <c r="F25" s="47"/>
      <c r="G25" s="47"/>
      <c r="H25" s="50"/>
      <c r="I25" s="47"/>
      <c r="J25" s="47"/>
      <c r="K25" s="50"/>
      <c r="L25" s="47"/>
      <c r="M25" s="47"/>
      <c r="N25" s="50"/>
      <c r="O25" s="47"/>
      <c r="P25" s="47"/>
      <c r="Q25" s="50"/>
    </row>
    <row r="26" spans="1:17" ht="20.100000000000001" customHeight="1" x14ac:dyDescent="0.25">
      <c r="D26" s="15"/>
      <c r="E26" s="146"/>
      <c r="F26" s="47"/>
      <c r="G26" s="47"/>
      <c r="H26" s="50"/>
      <c r="I26" s="47"/>
      <c r="J26" s="47"/>
      <c r="K26" s="50"/>
      <c r="L26" s="47"/>
      <c r="M26" s="47"/>
      <c r="N26" s="50"/>
      <c r="O26" s="47"/>
      <c r="P26" s="47"/>
      <c r="Q26" s="50"/>
    </row>
    <row r="27" spans="1:17" ht="20.100000000000001" customHeight="1" x14ac:dyDescent="0.25">
      <c r="A27" s="21" t="s">
        <v>77</v>
      </c>
      <c r="D27" s="15"/>
      <c r="E27" s="146"/>
      <c r="F27" s="47"/>
      <c r="G27" s="47"/>
      <c r="H27" s="50"/>
      <c r="I27" s="47"/>
      <c r="J27" s="47"/>
      <c r="K27" s="50"/>
      <c r="L27" s="47"/>
      <c r="M27" s="47"/>
      <c r="N27" s="50"/>
      <c r="O27" s="47"/>
      <c r="P27" s="47"/>
      <c r="Q27" s="50"/>
    </row>
    <row r="28" spans="1:17" ht="20.100000000000001" customHeight="1" x14ac:dyDescent="0.25">
      <c r="A28" s="16" t="str">
        <f>HYPERLINK("#'15 Scope 3'!A1", "15 Scope 3")</f>
        <v>15 Scope 3</v>
      </c>
      <c r="D28" s="15"/>
      <c r="E28" s="146"/>
      <c r="F28" s="47"/>
      <c r="G28" s="47"/>
      <c r="H28" s="50"/>
      <c r="I28" s="47"/>
      <c r="J28" s="47"/>
      <c r="K28" s="50"/>
      <c r="L28" s="47"/>
      <c r="M28" s="47"/>
      <c r="N28" s="50"/>
      <c r="O28" s="47"/>
      <c r="P28" s="47"/>
      <c r="Q28" s="50"/>
    </row>
    <row r="29" spans="1:17" ht="20.100000000000001" customHeight="1" x14ac:dyDescent="0.25">
      <c r="A29" s="16" t="str">
        <f>HYPERLINK("#'10.1.1-2 Solid waste treatment'!A1", "10.1.1-2 Solid waste treatment")</f>
        <v>10.1.1-2 Solid waste treatment</v>
      </c>
    </row>
    <row r="30" spans="1:17" ht="20.100000000000001" customHeight="1" x14ac:dyDescent="0.25">
      <c r="A30" s="16" t="str">
        <f>HYPERLINK("#'Calcs - Manure sent off-site'!A1", "Calcs - Manure sent off-site")</f>
        <v>Calcs - Manure sent off-site</v>
      </c>
    </row>
    <row r="31" spans="1:17" ht="20.100000000000001" customHeight="1" x14ac:dyDescent="0.25">
      <c r="A31" s="16" t="str">
        <f>HYPERLINK("#'8.1.1.1-2 Transport fuel'!A1", "8.1.1.1-2 Transport fuel")</f>
        <v>8.1.1.1-2 Transport fuel</v>
      </c>
      <c r="D31" s="144" t="s">
        <v>814</v>
      </c>
    </row>
    <row r="32" spans="1:17" ht="20.100000000000001" customHeight="1" x14ac:dyDescent="0.25">
      <c r="A32" s="16" t="str">
        <f>HYPERLINK("#'8.2.1.1-2 Stationary fuel'!A1", "8.2.1.1-2 Stationary fuel")</f>
        <v>8.2.1.1-2 Stationary fuel</v>
      </c>
      <c r="D32" s="46" t="s">
        <v>167</v>
      </c>
      <c r="E32" s="46" t="s">
        <v>333</v>
      </c>
      <c r="F32" s="46" t="s">
        <v>364</v>
      </c>
    </row>
    <row r="33" spans="1:6" ht="20.100000000000001" customHeight="1" x14ac:dyDescent="0.25">
      <c r="D33" s="82" t="s">
        <v>368</v>
      </c>
      <c r="E33" s="72" t="s">
        <v>360</v>
      </c>
      <c r="F33" s="66">
        <v>100</v>
      </c>
    </row>
    <row r="34" spans="1:6" ht="20.100000000000001" customHeight="1" x14ac:dyDescent="0.25">
      <c r="D34" s="82" t="s">
        <v>369</v>
      </c>
      <c r="E34" s="163" t="s">
        <v>361</v>
      </c>
      <c r="F34" s="150">
        <v>100</v>
      </c>
    </row>
    <row r="35" spans="1:6" ht="20.100000000000001" customHeight="1" x14ac:dyDescent="0.25">
      <c r="A35" s="222" t="s">
        <v>78</v>
      </c>
      <c r="D35" s="82" t="s">
        <v>370</v>
      </c>
      <c r="E35" s="163" t="s">
        <v>362</v>
      </c>
      <c r="F35" s="150">
        <v>100</v>
      </c>
    </row>
    <row r="36" spans="1:6" ht="20.100000000000001" customHeight="1" x14ac:dyDescent="0.25">
      <c r="A36" s="16" t="str">
        <f>HYPERLINK("#'Constants - Scope 3'!A1", "Constants - Scope 3")</f>
        <v>Constants - Scope 3</v>
      </c>
      <c r="D36" s="82" t="s">
        <v>371</v>
      </c>
      <c r="E36" s="163" t="s">
        <v>363</v>
      </c>
      <c r="F36" s="150">
        <v>100</v>
      </c>
    </row>
    <row r="37" spans="1:6" ht="20.100000000000001" customHeight="1" x14ac:dyDescent="0.25">
      <c r="A37" s="16" t="str">
        <f>HYPERLINK("#'Constants - Solid Waste'!A1", "Constants - Solid Waste")</f>
        <v>Constants - Solid Waste</v>
      </c>
      <c r="D37" s="82" t="s">
        <v>368</v>
      </c>
      <c r="E37" s="163" t="s">
        <v>360</v>
      </c>
      <c r="F37" s="150">
        <v>100</v>
      </c>
    </row>
    <row r="38" spans="1:6" ht="20.100000000000001" customHeight="1" x14ac:dyDescent="0.25">
      <c r="A38" s="16" t="str">
        <f>HYPERLINK("#'Constants - Fuel'!A1", "Constants - Fuel")</f>
        <v>Constants - Fuel</v>
      </c>
      <c r="D38" s="82" t="s">
        <v>369</v>
      </c>
      <c r="E38" s="163" t="s">
        <v>361</v>
      </c>
      <c r="F38" s="150">
        <v>100</v>
      </c>
    </row>
    <row r="39" spans="1:6" ht="20.100000000000001" customHeight="1" x14ac:dyDescent="0.25">
      <c r="A39" s="16" t="str">
        <f>HYPERLINK("#'Constants - Poultry'!A1", "Constants - Poultry")</f>
        <v>Constants - Poultry</v>
      </c>
      <c r="D39" s="82"/>
      <c r="E39" s="72"/>
      <c r="F39" s="66"/>
    </row>
    <row r="40" spans="1:6" ht="20.100000000000001" customHeight="1" x14ac:dyDescent="0.25">
      <c r="A40" s="16" t="str">
        <f>HYPERLINK("#'Constants - Swine'!A1", "Constants - Swine")</f>
        <v>Constants - Swine</v>
      </c>
      <c r="D40" s="82"/>
      <c r="E40" s="72"/>
      <c r="F40" s="66"/>
    </row>
    <row r="41" spans="1:6" ht="20.100000000000001" customHeight="1" x14ac:dyDescent="0.25">
      <c r="A41" s="16" t="str">
        <f>HYPERLINK("#'Constants - Dairy'!A1", "Constants - Dairy")</f>
        <v>Constants - Dairy</v>
      </c>
      <c r="D41" s="82"/>
      <c r="E41" s="72"/>
      <c r="F41" s="66"/>
    </row>
    <row r="42" spans="1:6" ht="20.100000000000001" customHeight="1" x14ac:dyDescent="0.25">
      <c r="A42" s="16" t="str">
        <f>HYPERLINK("#'Constants - Pasture Beef'!A1", "Constants - Pasture Beef")</f>
        <v>Constants - Pasture Beef</v>
      </c>
      <c r="D42" s="82"/>
      <c r="E42" s="72"/>
      <c r="F42" s="66"/>
    </row>
    <row r="43" spans="1:6" ht="20.100000000000001" customHeight="1" x14ac:dyDescent="0.25">
      <c r="A43" s="16" t="str">
        <f>HYPERLINK("#'Constants - Common Livestock'!A1", "Constants - Common Livestock")</f>
        <v>Constants - Common Livestock</v>
      </c>
    </row>
    <row r="44" spans="1:6" ht="20.100000000000001" customHeight="1" x14ac:dyDescent="0.25">
      <c r="A44" s="16" t="str">
        <f>HYPERLINK("#'Constants - Fertiliser'!A1", "Constants - Fertiliser")</f>
        <v>Constants - Fertiliser</v>
      </c>
    </row>
    <row r="45" spans="1:6" ht="20.100000000000001" customHeight="1" x14ac:dyDescent="0.25">
      <c r="A45" s="16" t="str">
        <f>HYPERLINK("#'Constants - Electricity'!A1", "Constants - Electricity")</f>
        <v>Constants - Electricity</v>
      </c>
    </row>
    <row r="46" spans="1:6" ht="20.100000000000001" customHeight="1" x14ac:dyDescent="0.25">
      <c r="A46" s="16" t="str">
        <f>HYPERLINK("#'Constants - Common'!A1", "Constants - Common")</f>
        <v>Constants - Common</v>
      </c>
      <c r="D46" s="9" t="s">
        <v>408</v>
      </c>
      <c r="E46" s="14"/>
      <c r="F46" s="14"/>
    </row>
    <row r="47" spans="1:6" ht="20.100000000000001" customHeight="1" x14ac:dyDescent="0.25">
      <c r="D47" s="8" t="str">
        <f>'Constants - Scope 3'!E202</f>
        <v>Animal ear tags (large)</v>
      </c>
      <c r="E47" s="66">
        <v>100</v>
      </c>
      <c r="F47" s="65" t="s">
        <v>395</v>
      </c>
    </row>
    <row r="48" spans="1:6" ht="20.100000000000001" customHeight="1" x14ac:dyDescent="0.25">
      <c r="D48" s="8" t="str">
        <f>'Constants - Scope 3'!E203</f>
        <v>Animal ear tags (small)</v>
      </c>
      <c r="E48" s="66">
        <v>200</v>
      </c>
      <c r="F48" s="65" t="s">
        <v>395</v>
      </c>
    </row>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sheetData>
  <dataValidations count="3">
    <dataValidation type="list" allowBlank="1" showInputMessage="1" showErrorMessage="1" sqref="F19:F28 I19:I28 L19:L28 O19:O28" xr:uid="{1054A587-AE3C-4093-8FA5-82F7F165672F}">
      <formula1>INDIRECT(_xlfn.UNIQUE("Table_SourceData_Scope3_Feed[Product]"))</formula1>
    </dataValidation>
    <dataValidation type="list" allowBlank="1" showInputMessage="1" showErrorMessage="1" sqref="M19:M28 P19:P28 J19:J28 G19:G28" xr:uid="{299DE751-C45B-453E-A22E-D9874EC037B6}">
      <formula1>INDIRECT("Table_ProductRegions_" &amp; SUBSTITUTE(SUBSTITUTE(SUBSTITUTE(SUBSTITUTE(F19, " ", ""), ",", ""), "(", ""), ")", "") &amp; "[Region]")</formula1>
    </dataValidation>
    <dataValidation type="list" allowBlank="1" showInputMessage="1" showErrorMessage="1" sqref="E33:E42" xr:uid="{F14848CE-F457-49B7-A95E-514E2B530B92}">
      <formula1>INDIRECT("Table_SourceData_Scope3_ChemicalsPharmacy[Product]")</formula1>
    </dataValidation>
  </dataValidation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0CD1-D04A-4ABE-8A15-867D223FBAEF}">
  <sheetPr>
    <tabColor theme="5" tint="-0.249977111117893"/>
  </sheetPr>
  <dimension ref="A1:A46"/>
  <sheetViews>
    <sheetView zoomScaleNormal="100" workbookViewId="0">
      <selection activeCell="A46" sqref="A46"/>
    </sheetView>
  </sheetViews>
  <sheetFormatPr defaultRowHeight="15.75" x14ac:dyDescent="0.25"/>
  <sheetData>
    <row r="1" spans="1:1" ht="25.5" x14ac:dyDescent="0.35">
      <c r="A1" s="37" t="e" vm="1">
        <v>#VALUE!</v>
      </c>
    </row>
    <row r="3" spans="1:1" x14ac:dyDescent="0.25">
      <c r="A3" s="16" t="str">
        <f>HYPERLINK("#'Overview'!A1", "Overview")</f>
        <v>Overview</v>
      </c>
    </row>
    <row r="4" spans="1:1" x14ac:dyDescent="0.25">
      <c r="A4" s="16" t="str">
        <f>HYPERLINK("#'Results'!A1", "Results")</f>
        <v>Results</v>
      </c>
    </row>
    <row r="7" spans="1:1" x14ac:dyDescent="0.25">
      <c r="A7" s="19" t="s">
        <v>67</v>
      </c>
    </row>
    <row r="8" spans="1:1" x14ac:dyDescent="0.25">
      <c r="A8" s="16" t="str">
        <f>HYPERLINK("#'Input - Site'!A1", "Site")</f>
        <v>Site</v>
      </c>
    </row>
    <row r="9" spans="1:1" x14ac:dyDescent="0.25">
      <c r="A9" s="16" t="str">
        <f>HYPERLINK("#'Input - Fuel'!A1", "Fuel")</f>
        <v>Fuel</v>
      </c>
    </row>
    <row r="10" spans="1:1" x14ac:dyDescent="0.25">
      <c r="A10" s="16" t="str">
        <f>HYPERLINK("#'Input - Fertiliser'!A1", "Fertiliser")</f>
        <v>Fertiliser</v>
      </c>
    </row>
    <row r="11" spans="1:1" x14ac:dyDescent="0.25">
      <c r="A11" s="16" t="str">
        <f>HYPERLINK("#'Input - Common farm inputs'!A1", "Common farm inputs")</f>
        <v>Common farm inputs</v>
      </c>
    </row>
    <row r="12" spans="1:1" x14ac:dyDescent="0.25">
      <c r="A12" s="16" t="str">
        <f>HYPERLINK("#'Input - Processing inputs'!A1", "Processing inputs")</f>
        <v>Processing inputs</v>
      </c>
    </row>
    <row r="13" spans="1:1" x14ac:dyDescent="0.25">
      <c r="A13" s="16" t="str">
        <f>HYPERLINK("#'Input - Crop pasture farm input'!A1", "Crop pasture farm input")</f>
        <v>Crop pasture farm input</v>
      </c>
    </row>
    <row r="14" spans="1:1" x14ac:dyDescent="0.25">
      <c r="A14" s="16" t="str">
        <f>HYPERLINK("#'Input - Hort farm Inputs'!A1", "Hort farm Inputs")</f>
        <v>Hort farm Inputs</v>
      </c>
    </row>
    <row r="15" spans="1:1" x14ac:dyDescent="0.25">
      <c r="A15" s="16" t="str">
        <f>HYPERLINK("#'Input - Livestock farm Inputs'!A1", "Livestock farm Inputs")</f>
        <v>Livestock farm Inputs</v>
      </c>
    </row>
    <row r="16" spans="1:1" x14ac:dyDescent="0.25">
      <c r="A16" s="42" t="str">
        <f>HYPERLINK("#'Input - Aquaculture inputs'!A1", "Aquaculture inputs")</f>
        <v>Aquaculture inputs</v>
      </c>
    </row>
    <row r="17" spans="1:1" x14ac:dyDescent="0.25">
      <c r="A17" s="16" t="str">
        <f>HYPERLINK("#'Input - Beef cattle purchases'!A1", "Beef cattle purchases")</f>
        <v>Beef cattle purchases</v>
      </c>
    </row>
    <row r="18" spans="1:1" x14ac:dyDescent="0.25">
      <c r="A18" s="16" t="str">
        <f>HYPERLINK("#'Input - Dairy cattle purchases'!A1", "Dairy cattle purchases")</f>
        <v>Dairy cattle purchases</v>
      </c>
    </row>
    <row r="19" spans="1:1" x14ac:dyDescent="0.25">
      <c r="A19" s="16" t="str">
        <f>HYPERLINK("#'Input - Pig purchases'!A1", "Pig purchases")</f>
        <v>Pig purchases</v>
      </c>
    </row>
    <row r="20" spans="1:1" x14ac:dyDescent="0.25">
      <c r="A20" s="16" t="str">
        <f>HYPERLINK("#'Input - Poultry purchases'!A1", "Poultry purchases")</f>
        <v>Poultry purchases</v>
      </c>
    </row>
    <row r="21" spans="1:1" x14ac:dyDescent="0.25">
      <c r="A21" s="16" t="str">
        <f>HYPERLINK("#'Input - Freight'!A1", "Freight")</f>
        <v>Freight</v>
      </c>
    </row>
    <row r="22" spans="1:1" x14ac:dyDescent="0.25">
      <c r="A22" s="16" t="str">
        <f>HYPERLINK("#'Input - Solid waste'!A1", "Solid waste")</f>
        <v>Solid waste</v>
      </c>
    </row>
    <row r="23" spans="1:1" x14ac:dyDescent="0.25">
      <c r="A23" s="16" t="str">
        <f>HYPERLINK("#'Input - Manure sent off-site'!A1", "Manure sent off-site")</f>
        <v>Manure sent off-site</v>
      </c>
    </row>
    <row r="24" spans="1:1" x14ac:dyDescent="0.25">
      <c r="A24" s="16" t="str">
        <f>HYPERLINK("#'Input - Electricity'!A1", "Electricity")</f>
        <v>Electricity</v>
      </c>
    </row>
    <row r="27" spans="1:1" x14ac:dyDescent="0.25">
      <c r="A27" s="21" t="s">
        <v>77</v>
      </c>
    </row>
    <row r="28" spans="1:1" x14ac:dyDescent="0.25">
      <c r="A28" s="16" t="str">
        <f>HYPERLINK("#'15 Scope 3'!A1", "15 Scope 3")</f>
        <v>15 Scope 3</v>
      </c>
    </row>
    <row r="29" spans="1:1" x14ac:dyDescent="0.25">
      <c r="A29" s="16" t="str">
        <f>HYPERLINK("#'10.1.1-2 Solid waste treatment'!A1", "10.1.1-2 Solid waste treatment")</f>
        <v>10.1.1-2 Solid waste treatment</v>
      </c>
    </row>
    <row r="30" spans="1:1" x14ac:dyDescent="0.25">
      <c r="A30" s="16" t="str">
        <f>HYPERLINK("#'Calcs - Manure sent off-site'!A1", "Calcs - Manure sent off-site")</f>
        <v>Calcs - Manure sent off-site</v>
      </c>
    </row>
    <row r="31" spans="1:1" x14ac:dyDescent="0.25">
      <c r="A31" s="16" t="str">
        <f>HYPERLINK("#'8.1.1.1-2 Transport fuel'!A1", "8.1.1.1-2 Transport fuel")</f>
        <v>8.1.1.1-2 Transport fuel</v>
      </c>
    </row>
    <row r="32" spans="1:1" x14ac:dyDescent="0.25">
      <c r="A32" s="16" t="str">
        <f>HYPERLINK("#'8.2.1.1-2 Stationary fuel'!A1", "8.2.1.1-2 Stationary fuel")</f>
        <v>8.2.1.1-2 Stationary fuel</v>
      </c>
    </row>
    <row r="35" spans="1:1" x14ac:dyDescent="0.25">
      <c r="A35" s="222" t="s">
        <v>78</v>
      </c>
    </row>
    <row r="36" spans="1:1" x14ac:dyDescent="0.25">
      <c r="A36" s="16" t="str">
        <f>HYPERLINK("#'Constants - Scope 3'!A1", "Constants - Scope 3")</f>
        <v>Constants - Scope 3</v>
      </c>
    </row>
    <row r="37" spans="1:1" x14ac:dyDescent="0.25">
      <c r="A37" s="16" t="str">
        <f>HYPERLINK("#'Constants - Solid Waste'!A1", "Constants - Solid Waste")</f>
        <v>Constants - Solid Waste</v>
      </c>
    </row>
    <row r="38" spans="1:1" x14ac:dyDescent="0.25">
      <c r="A38" s="16" t="str">
        <f>HYPERLINK("#'Constants - Fuel'!A1", "Constants - Fuel")</f>
        <v>Constants - Fuel</v>
      </c>
    </row>
    <row r="39" spans="1:1" x14ac:dyDescent="0.25">
      <c r="A39" s="16" t="str">
        <f>HYPERLINK("#'Constants - Poultry'!A1", "Constants - Poultry")</f>
        <v>Constants - Poultry</v>
      </c>
    </row>
    <row r="40" spans="1:1" x14ac:dyDescent="0.25">
      <c r="A40" s="16" t="str">
        <f>HYPERLINK("#'Constants - Swine'!A1", "Constants - Swine")</f>
        <v>Constants - Swine</v>
      </c>
    </row>
    <row r="41" spans="1:1" x14ac:dyDescent="0.25">
      <c r="A41" s="16" t="str">
        <f>HYPERLINK("#'Constants - Dairy'!A1", "Constants - Dairy")</f>
        <v>Constants - Dairy</v>
      </c>
    </row>
    <row r="42" spans="1:1" x14ac:dyDescent="0.25">
      <c r="A42" s="16" t="str">
        <f>HYPERLINK("#'Constants - Pasture Beef'!A1", "Constants - Pasture Beef")</f>
        <v>Constants - Pasture Beef</v>
      </c>
    </row>
    <row r="43" spans="1:1" x14ac:dyDescent="0.25">
      <c r="A43" s="16" t="str">
        <f>HYPERLINK("#'Constants - Common Livestock'!A1", "Constants - Common Livestock")</f>
        <v>Constants - Common Livestock</v>
      </c>
    </row>
    <row r="44" spans="1:1" x14ac:dyDescent="0.25">
      <c r="A44" s="16" t="str">
        <f>HYPERLINK("#'Constants - Fertiliser'!A1", "Constants - Fertiliser")</f>
        <v>Constants - Fertiliser</v>
      </c>
    </row>
    <row r="45" spans="1:1" x14ac:dyDescent="0.25">
      <c r="A45" s="16" t="str">
        <f>HYPERLINK("#'Constants - Electricity'!A1", "Constants - Electricity")</f>
        <v>Constants - Electricity</v>
      </c>
    </row>
    <row r="46" spans="1:1" x14ac:dyDescent="0.25">
      <c r="A46" s="16" t="str">
        <f>HYPERLINK("#'Constants - Common'!A1", "Constants - Common")</f>
        <v>Constants - Common</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L63"/>
  <sheetViews>
    <sheetView showGridLines="0" zoomScaleNormal="100" workbookViewId="0">
      <selection activeCell="A46" sqref="A46"/>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 min="13" max="16" width="30.625" customWidth="1"/>
  </cols>
  <sheetData>
    <row r="1" spans="1:12" ht="25.5" x14ac:dyDescent="0.35">
      <c r="A1" s="37" t="e" vm="1">
        <v>#VALUE!</v>
      </c>
      <c r="B1" s="3"/>
      <c r="C1" s="37" t="s">
        <v>845</v>
      </c>
      <c r="D1" s="37"/>
      <c r="E1" s="37"/>
      <c r="F1" s="37"/>
      <c r="G1" s="37"/>
      <c r="H1" s="37"/>
      <c r="I1" s="37"/>
      <c r="J1" s="37"/>
      <c r="K1" s="37"/>
      <c r="L1" s="37"/>
    </row>
    <row r="2" spans="1:12" x14ac:dyDescent="0.25">
      <c r="C2" s="2"/>
      <c r="D2" s="2"/>
      <c r="E2" s="2"/>
      <c r="F2" s="2"/>
      <c r="G2" s="2"/>
      <c r="H2" s="2"/>
      <c r="I2" s="2"/>
      <c r="J2" s="2"/>
      <c r="K2" s="2"/>
      <c r="L2" s="2"/>
    </row>
    <row r="3" spans="1:12" ht="20.25" x14ac:dyDescent="0.25">
      <c r="A3" s="16" t="str">
        <f>HYPERLINK("#'Overview'!A1", "Overview")</f>
        <v>Overview</v>
      </c>
      <c r="C3" s="38"/>
      <c r="D3" s="38"/>
      <c r="E3" s="38"/>
      <c r="F3" s="38"/>
      <c r="G3" s="38"/>
      <c r="H3" s="38"/>
      <c r="I3" s="38"/>
      <c r="J3" s="38"/>
      <c r="K3" s="38"/>
      <c r="L3" s="38"/>
    </row>
    <row r="4" spans="1:12" x14ac:dyDescent="0.25">
      <c r="A4" s="16" t="str">
        <f>HYPERLINK("#'Results'!A1", "Results")</f>
        <v>Results</v>
      </c>
    </row>
    <row r="5" spans="1:12" x14ac:dyDescent="0.25">
      <c r="D5" s="54" t="s">
        <v>846</v>
      </c>
      <c r="E5" s="14"/>
      <c r="F5" s="14"/>
      <c r="G5" s="14"/>
      <c r="H5" s="14"/>
      <c r="I5" s="14"/>
      <c r="J5" s="14"/>
    </row>
    <row r="6" spans="1:12" x14ac:dyDescent="0.25">
      <c r="D6" s="10" t="s">
        <v>347</v>
      </c>
      <c r="E6" s="10" t="s">
        <v>419</v>
      </c>
      <c r="F6" s="10" t="s">
        <v>312</v>
      </c>
      <c r="G6" s="10" t="s">
        <v>416</v>
      </c>
      <c r="H6" s="10" t="s">
        <v>315</v>
      </c>
      <c r="I6" s="10" t="s">
        <v>313</v>
      </c>
      <c r="J6" s="162" t="s">
        <v>417</v>
      </c>
      <c r="K6" s="162" t="s">
        <v>418</v>
      </c>
    </row>
    <row r="7" spans="1:12" x14ac:dyDescent="0.25">
      <c r="A7" s="19" t="s">
        <v>67</v>
      </c>
      <c r="D7" s="82" t="s">
        <v>506</v>
      </c>
      <c r="E7" s="158">
        <v>45547</v>
      </c>
      <c r="F7" s="47" t="s">
        <v>477</v>
      </c>
      <c r="G7" s="72" t="s">
        <v>323</v>
      </c>
      <c r="H7" s="47" t="s">
        <v>425</v>
      </c>
      <c r="I7" s="66">
        <v>100</v>
      </c>
      <c r="J7" s="49"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 s="66">
        <v>205</v>
      </c>
    </row>
    <row r="8" spans="1:12" x14ac:dyDescent="0.25">
      <c r="A8" s="16" t="str">
        <f>HYPERLINK("#'Input - Site'!A1", "Site")</f>
        <v>Site</v>
      </c>
      <c r="D8" s="82"/>
      <c r="E8" s="158">
        <v>45292</v>
      </c>
      <c r="F8" s="149" t="s">
        <v>478</v>
      </c>
      <c r="G8" s="72" t="s">
        <v>322</v>
      </c>
      <c r="H8" s="47" t="s">
        <v>424</v>
      </c>
      <c r="I8" s="66">
        <v>100</v>
      </c>
      <c r="J8" s="49"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8" s="66">
        <v>465</v>
      </c>
    </row>
    <row r="9" spans="1:12" x14ac:dyDescent="0.25">
      <c r="A9" s="16" t="str">
        <f>HYPERLINK("#'Input - Fuel'!A1", "Fuel")</f>
        <v>Fuel</v>
      </c>
      <c r="D9" s="82"/>
      <c r="E9" s="82"/>
      <c r="F9" s="149"/>
      <c r="G9" s="72"/>
      <c r="H9" s="47"/>
      <c r="I9" s="66"/>
      <c r="J9" s="49"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9" s="66"/>
    </row>
    <row r="10" spans="1:12" x14ac:dyDescent="0.25">
      <c r="A10" s="16" t="str">
        <f>HYPERLINK("#'Input - Fertiliser'!A1", "Fertiliser")</f>
        <v>Fertiliser</v>
      </c>
      <c r="D10" s="82"/>
      <c r="E10" s="82"/>
      <c r="F10" s="149"/>
      <c r="G10" s="72"/>
      <c r="H10" s="47"/>
      <c r="I10" s="66"/>
      <c r="J10" s="49"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6"/>
    </row>
    <row r="11" spans="1:12" x14ac:dyDescent="0.25">
      <c r="A11" s="16" t="str">
        <f>HYPERLINK("#'Input - Common farm inputs'!A1", "Common farm inputs")</f>
        <v>Common farm inputs</v>
      </c>
      <c r="D11" s="82"/>
      <c r="E11" s="82"/>
      <c r="F11" s="149"/>
      <c r="G11" s="72"/>
      <c r="H11" s="47"/>
      <c r="I11" s="66"/>
      <c r="J11" s="49"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6"/>
    </row>
    <row r="12" spans="1:12" x14ac:dyDescent="0.25">
      <c r="A12" s="16" t="str">
        <f>HYPERLINK("#'Input - Processing inputs'!A1", "Processing inputs")</f>
        <v>Processing inputs</v>
      </c>
      <c r="D12" s="82"/>
      <c r="E12" s="82"/>
      <c r="F12" s="149"/>
      <c r="G12" s="72"/>
      <c r="H12" s="47"/>
      <c r="I12" s="66"/>
      <c r="J12" s="49"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6"/>
    </row>
    <row r="13" spans="1:12" x14ac:dyDescent="0.25">
      <c r="A13" s="16" t="str">
        <f>HYPERLINK("#'Input - Crop pasture farm input'!A1", "Crop pasture farm input")</f>
        <v>Crop pasture farm input</v>
      </c>
      <c r="D13" s="82"/>
      <c r="E13" s="82"/>
      <c r="F13" s="149"/>
      <c r="G13" s="72"/>
      <c r="H13" s="47"/>
      <c r="I13" s="66"/>
      <c r="J13" s="49"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6"/>
    </row>
    <row r="14" spans="1:12" x14ac:dyDescent="0.25">
      <c r="A14" s="16" t="str">
        <f>HYPERLINK("#'Input - Hort farm Inputs'!A1", "Hort farm Inputs")</f>
        <v>Hort farm Inputs</v>
      </c>
      <c r="D14" s="82"/>
      <c r="E14" s="82"/>
      <c r="F14" s="149"/>
      <c r="G14" s="72"/>
      <c r="H14" s="47"/>
      <c r="I14" s="66"/>
      <c r="J14" s="49"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6"/>
    </row>
    <row r="15" spans="1:12" x14ac:dyDescent="0.25">
      <c r="A15" s="16" t="str">
        <f>HYPERLINK("#'Input - Livestock farm Inputs'!A1", "Livestock farm Inputs")</f>
        <v>Livestock farm Inputs</v>
      </c>
      <c r="D15" s="82"/>
      <c r="E15" s="82"/>
      <c r="F15" s="149"/>
      <c r="G15" s="72"/>
      <c r="H15" s="47"/>
      <c r="I15" s="66"/>
      <c r="J15" s="49"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6"/>
    </row>
    <row r="16" spans="1:12" x14ac:dyDescent="0.25">
      <c r="A16" s="16" t="str">
        <f>HYPERLINK("#'Input - Aquaculture inputs'!A1", "Aquaculture inputs")</f>
        <v>Aquaculture inputs</v>
      </c>
      <c r="D16" s="82"/>
      <c r="E16" s="82"/>
      <c r="F16" s="149"/>
      <c r="G16" s="72"/>
      <c r="H16" s="47"/>
      <c r="I16" s="66"/>
      <c r="J16" s="49"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6"/>
    </row>
    <row r="17" spans="1:10" x14ac:dyDescent="0.25">
      <c r="A17" s="42" t="str">
        <f>HYPERLINK("#'Input - Beef cattle purchases'!A1", "Beef cattle purchases")</f>
        <v>Beef cattle purchases</v>
      </c>
    </row>
    <row r="18" spans="1:10" x14ac:dyDescent="0.25">
      <c r="A18" s="16" t="str">
        <f>HYPERLINK("#'Input - Dairy cattle purchases'!A1", "Dairy cattle purchases")</f>
        <v>Dairy cattle purchases</v>
      </c>
      <c r="D18" s="14"/>
      <c r="E18" s="14"/>
      <c r="F18" s="14"/>
      <c r="G18" s="14"/>
      <c r="H18" s="14"/>
      <c r="I18" s="14"/>
      <c r="J18" s="14"/>
    </row>
    <row r="19" spans="1:10" x14ac:dyDescent="0.25">
      <c r="A19" s="16" t="str">
        <f>HYPERLINK("#'Input - Pig purchases'!A1", "Pig purchases")</f>
        <v>Pig purchases</v>
      </c>
      <c r="J19" s="14"/>
    </row>
    <row r="20" spans="1:10" x14ac:dyDescent="0.25">
      <c r="A20" s="16" t="str">
        <f>HYPERLINK("#'Input - Poultry purchases'!A1", "Poultry purchases")</f>
        <v>Poultry purchases</v>
      </c>
      <c r="J20" s="14"/>
    </row>
    <row r="21" spans="1:10" x14ac:dyDescent="0.25">
      <c r="A21" s="16" t="str">
        <f>HYPERLINK("#'Input - Freight'!A1", "Freight")</f>
        <v>Freight</v>
      </c>
      <c r="J21" s="14"/>
    </row>
    <row r="22" spans="1:10" x14ac:dyDescent="0.25">
      <c r="A22" s="16" t="str">
        <f>HYPERLINK("#'Input - Solid waste'!A1", "Solid waste")</f>
        <v>Solid waste</v>
      </c>
      <c r="J22" s="14"/>
    </row>
    <row r="23" spans="1:10" x14ac:dyDescent="0.25">
      <c r="A23" s="16" t="str">
        <f>HYPERLINK("#'Input - Manure sent off-site'!A1", "Manure sent off-site")</f>
        <v>Manure sent off-site</v>
      </c>
      <c r="J23" s="14"/>
    </row>
    <row r="24" spans="1:10" x14ac:dyDescent="0.25">
      <c r="A24" s="16" t="str">
        <f>HYPERLINK("#'Input - Electricity'!A1", "Electricity")</f>
        <v>Electricity</v>
      </c>
      <c r="J24" s="14"/>
    </row>
    <row r="25" spans="1:10" x14ac:dyDescent="0.25">
      <c r="J25" s="14"/>
    </row>
    <row r="26" spans="1:10" x14ac:dyDescent="0.25">
      <c r="J26" s="14"/>
    </row>
    <row r="27" spans="1:10" x14ac:dyDescent="0.25">
      <c r="A27" s="21" t="s">
        <v>77</v>
      </c>
      <c r="J27" s="14"/>
    </row>
    <row r="28" spans="1:10" x14ac:dyDescent="0.25">
      <c r="A28" s="16" t="str">
        <f>HYPERLINK("#'15 Scope 3'!A1", "15 Scope 3")</f>
        <v>15 Scope 3</v>
      </c>
      <c r="J28" s="14"/>
    </row>
    <row r="29" spans="1:10" x14ac:dyDescent="0.25">
      <c r="A29" s="16" t="str">
        <f>HYPERLINK("#'10.1.1-2 Solid waste treatment'!A1", "10.1.1-2 Solid waste treatment")</f>
        <v>10.1.1-2 Solid waste treatment</v>
      </c>
      <c r="J29" s="14"/>
    </row>
    <row r="30" spans="1:10" x14ac:dyDescent="0.25">
      <c r="A30" s="16" t="str">
        <f>HYPERLINK("#'Calcs - Manure sent off-site'!A1", "Calcs - Manure sent off-site")</f>
        <v>Calcs - Manure sent off-site</v>
      </c>
      <c r="J30" s="14"/>
    </row>
    <row r="31" spans="1:10" x14ac:dyDescent="0.25">
      <c r="A31" s="16" t="str">
        <f>HYPERLINK("#'8.1.1.1-2 Transport fuel'!A1", "8.1.1.1-2 Transport fuel")</f>
        <v>8.1.1.1-2 Transport fuel</v>
      </c>
      <c r="D31" s="14"/>
      <c r="E31" s="14"/>
      <c r="F31" s="14"/>
      <c r="G31" s="14"/>
      <c r="H31" s="14"/>
      <c r="I31" s="14"/>
      <c r="J31" s="14"/>
    </row>
    <row r="32" spans="1:10" x14ac:dyDescent="0.25">
      <c r="A32" s="16" t="str">
        <f>HYPERLINK("#'8.2.1.1-2 Stationary fuel'!A1", "8.2.1.1-2 Stationary fuel")</f>
        <v>8.2.1.1-2 Stationary fuel</v>
      </c>
      <c r="I32" s="14"/>
      <c r="J32" s="14"/>
    </row>
    <row r="33" spans="1:10" x14ac:dyDescent="0.25">
      <c r="I33" s="14"/>
      <c r="J33" s="14"/>
    </row>
    <row r="34" spans="1:10" x14ac:dyDescent="0.25">
      <c r="I34" s="14"/>
      <c r="J34" s="14"/>
    </row>
    <row r="35" spans="1:10" x14ac:dyDescent="0.25">
      <c r="A35" s="222" t="s">
        <v>78</v>
      </c>
      <c r="I35" s="14"/>
      <c r="J35" s="14"/>
    </row>
    <row r="36" spans="1:10" x14ac:dyDescent="0.25">
      <c r="A36" s="16" t="str">
        <f>HYPERLINK("#'Constants - Scope 3'!A1", "Constants - Scope 3")</f>
        <v>Constants - Scope 3</v>
      </c>
      <c r="I36" s="14"/>
      <c r="J36" s="14"/>
    </row>
    <row r="37" spans="1:10" x14ac:dyDescent="0.25">
      <c r="A37" s="16" t="str">
        <f>HYPERLINK("#'Constants - Solid Waste'!A1", "Constants - Solid Waste")</f>
        <v>Constants - Solid Waste</v>
      </c>
      <c r="I37" s="14"/>
      <c r="J37" s="14"/>
    </row>
    <row r="38" spans="1:10" x14ac:dyDescent="0.25">
      <c r="A38" s="16" t="str">
        <f>HYPERLINK("#'Constants - Fuel'!A1", "Constants - Fuel")</f>
        <v>Constants - Fuel</v>
      </c>
      <c r="I38" s="14"/>
      <c r="J38" s="14"/>
    </row>
    <row r="39" spans="1:10" x14ac:dyDescent="0.25">
      <c r="A39" s="16" t="str">
        <f>HYPERLINK("#'Constants - Poultry'!A1", "Constants - Poultry")</f>
        <v>Constants - Poultry</v>
      </c>
      <c r="I39" s="14"/>
      <c r="J39" s="14"/>
    </row>
    <row r="40" spans="1:10" x14ac:dyDescent="0.25">
      <c r="A40" s="16" t="str">
        <f>HYPERLINK("#'Constants - Swine'!A1", "Constants - Swine")</f>
        <v>Constants - Swine</v>
      </c>
      <c r="I40" s="14"/>
      <c r="J40" s="14"/>
    </row>
    <row r="41" spans="1:10" x14ac:dyDescent="0.25">
      <c r="A41" s="16" t="str">
        <f>HYPERLINK("#'Constants - Dairy'!A1", "Constants - Dairy")</f>
        <v>Constants - Dairy</v>
      </c>
      <c r="I41" s="14"/>
      <c r="J41" s="14"/>
    </row>
    <row r="42" spans="1:10" x14ac:dyDescent="0.25">
      <c r="A42" s="16" t="str">
        <f>HYPERLINK("#'Constants - Pasture Beef'!A1", "Constants - Pasture Beef")</f>
        <v>Constants - Pasture Beef</v>
      </c>
      <c r="I42" s="14"/>
      <c r="J42" s="14"/>
    </row>
    <row r="43" spans="1:10" x14ac:dyDescent="0.25">
      <c r="A43" s="16" t="str">
        <f>HYPERLINK("#'Constants - Common Livestock'!A1", "Constants - Common Livestock")</f>
        <v>Constants - Common Livestock</v>
      </c>
      <c r="I43" s="14"/>
      <c r="J43" s="14"/>
    </row>
    <row r="44" spans="1:10" x14ac:dyDescent="0.25">
      <c r="A44" s="16" t="str">
        <f>HYPERLINK("#'Constants - Fertiliser'!A1", "Constants - Fertiliser")</f>
        <v>Constants - Fertiliser</v>
      </c>
      <c r="D44" s="14"/>
      <c r="E44" s="14"/>
      <c r="F44" s="14"/>
      <c r="G44" s="14"/>
      <c r="H44" s="14"/>
      <c r="I44" s="14"/>
      <c r="J44" s="14"/>
    </row>
    <row r="45" spans="1:10" x14ac:dyDescent="0.25">
      <c r="A45" s="16" t="str">
        <f>HYPERLINK("#'Constants - Electricity'!A1", "Constants - Electricity")</f>
        <v>Constants - Electricity</v>
      </c>
      <c r="I45" s="14"/>
      <c r="J45" s="14"/>
    </row>
    <row r="46" spans="1:10" x14ac:dyDescent="0.25">
      <c r="A46" s="16" t="str">
        <f>HYPERLINK("#'Constants - Common'!A1", "Constants - Common")</f>
        <v>Constants - Common</v>
      </c>
      <c r="I46" s="14"/>
      <c r="J46" s="14"/>
    </row>
    <row r="47" spans="1:10" x14ac:dyDescent="0.25">
      <c r="I47" s="14"/>
      <c r="J47" s="14"/>
    </row>
    <row r="48" spans="1:10" x14ac:dyDescent="0.25">
      <c r="I48" s="14"/>
      <c r="J48" s="14"/>
    </row>
    <row r="49" spans="4:10" x14ac:dyDescent="0.25">
      <c r="I49" s="14"/>
      <c r="J49" s="14"/>
    </row>
    <row r="50" spans="4:10" x14ac:dyDescent="0.25">
      <c r="I50" s="14"/>
      <c r="J50" s="14"/>
    </row>
    <row r="51" spans="4:10" x14ac:dyDescent="0.25">
      <c r="I51" s="14"/>
      <c r="J51" s="14"/>
    </row>
    <row r="52" spans="4:10" x14ac:dyDescent="0.25">
      <c r="I52" s="14"/>
      <c r="J52" s="14"/>
    </row>
    <row r="53" spans="4:10" x14ac:dyDescent="0.25">
      <c r="I53" s="14"/>
      <c r="J53" s="14"/>
    </row>
    <row r="54" spans="4:10" x14ac:dyDescent="0.25">
      <c r="I54" s="14"/>
      <c r="J54" s="14"/>
    </row>
    <row r="55" spans="4:10" x14ac:dyDescent="0.25">
      <c r="I55" s="14"/>
      <c r="J55" s="14"/>
    </row>
    <row r="56" spans="4:10" x14ac:dyDescent="0.25">
      <c r="I56" s="14"/>
      <c r="J56" s="14"/>
    </row>
    <row r="57" spans="4:10" x14ac:dyDescent="0.25">
      <c r="D57" s="14"/>
      <c r="E57" s="14"/>
      <c r="F57" s="14"/>
      <c r="G57" s="14"/>
      <c r="H57" s="14"/>
      <c r="I57" s="14"/>
      <c r="J57" s="14"/>
    </row>
    <row r="58" spans="4:10" ht="18.75" x14ac:dyDescent="0.25">
      <c r="D58" s="144"/>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3">
    <dataValidation type="list" allowBlank="1" showInputMessage="1" showErrorMessage="1" sqref="F7:F16" xr:uid="{E820CFC8-651A-4AAE-8CFC-0434A22A2CFE}">
      <formula1>INDIRECT("Table_LivestockClasses_Beefcattle[Livestock class]")</formula1>
    </dataValidation>
    <dataValidation type="list" allowBlank="1" showInputMessage="1" showErrorMessage="1" sqref="G7:G16" xr:uid="{D038D161-4CB4-4F66-9EA9-1B3DFD795E64}">
      <formula1>INDIRECT(TRIM("Table_SourceData_LivestockProduct_Beefcattle[Product]"))</formula1>
    </dataValidation>
    <dataValidation type="list" allowBlank="1" showInputMessage="1" showErrorMessage="1" sqref="H7:H16" xr:uid="{579B6E80-B21D-49A6-A5CC-E0740A79C06C}">
      <formula1>INDIRECT("Table_ProductRegions_Beefcattle[Region]")</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85AB-6202-448E-860E-DDB3E9B12826}">
  <sheetPr>
    <tabColor theme="5" tint="-0.249977111117893"/>
  </sheetPr>
  <dimension ref="A1:J46"/>
  <sheetViews>
    <sheetView showGridLines="0" zoomScaleNormal="100" workbookViewId="0">
      <selection activeCell="A46" sqref="A46"/>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1:10" ht="25.5" x14ac:dyDescent="0.35">
      <c r="A1" s="37" t="e" vm="1">
        <v>#VALUE!</v>
      </c>
      <c r="C1" s="37" t="s">
        <v>844</v>
      </c>
      <c r="D1" s="37"/>
      <c r="E1" s="37"/>
      <c r="F1" s="37"/>
      <c r="G1" s="37"/>
      <c r="H1" s="37"/>
      <c r="I1" s="37"/>
      <c r="J1" s="37"/>
    </row>
    <row r="2" spans="1:10" x14ac:dyDescent="0.25">
      <c r="C2" s="2"/>
      <c r="D2" s="2"/>
      <c r="E2" s="2"/>
      <c r="F2" s="2"/>
      <c r="G2" s="2"/>
      <c r="H2" s="2"/>
      <c r="I2" s="2"/>
      <c r="J2" s="2"/>
    </row>
    <row r="3" spans="1:10" ht="20.25" x14ac:dyDescent="0.25">
      <c r="A3" s="16" t="str">
        <f>HYPERLINK("#'Overview'!A1", "Overview")</f>
        <v>Overview</v>
      </c>
      <c r="C3" s="38"/>
      <c r="D3" s="38"/>
      <c r="E3" s="38"/>
      <c r="F3" s="38"/>
      <c r="G3" s="38"/>
      <c r="H3" s="38"/>
      <c r="I3" s="38"/>
      <c r="J3" s="38"/>
    </row>
    <row r="4" spans="1:10" x14ac:dyDescent="0.25">
      <c r="A4" s="16" t="str">
        <f>HYPERLINK("#'Results'!A1", "Results")</f>
        <v>Results</v>
      </c>
    </row>
    <row r="5" spans="1:10" x14ac:dyDescent="0.25">
      <c r="D5" s="54" t="s">
        <v>846</v>
      </c>
      <c r="E5" s="14"/>
      <c r="F5" s="14"/>
      <c r="G5" s="14"/>
      <c r="H5" s="14"/>
      <c r="I5" s="14"/>
    </row>
    <row r="6" spans="1:10" x14ac:dyDescent="0.25">
      <c r="D6" s="162" t="s">
        <v>347</v>
      </c>
      <c r="E6" s="162" t="s">
        <v>312</v>
      </c>
      <c r="F6" s="162" t="s">
        <v>508</v>
      </c>
      <c r="G6" s="162" t="s">
        <v>313</v>
      </c>
      <c r="H6" s="162" t="s">
        <v>417</v>
      </c>
      <c r="I6" s="162" t="s">
        <v>418</v>
      </c>
    </row>
    <row r="7" spans="1:10" x14ac:dyDescent="0.25">
      <c r="A7" s="19" t="s">
        <v>67</v>
      </c>
      <c r="D7" s="82" t="s">
        <v>507</v>
      </c>
      <c r="E7" s="47" t="s">
        <v>505</v>
      </c>
      <c r="F7" s="47" t="s">
        <v>827</v>
      </c>
      <c r="G7" s="66">
        <v>100</v>
      </c>
      <c r="H7" s="49" cm="1">
        <f t="array" ref="H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7" s="66">
        <v>350</v>
      </c>
    </row>
    <row r="8" spans="1:10" x14ac:dyDescent="0.25">
      <c r="A8" s="16" t="str">
        <f>HYPERLINK("#'Input - Site'!A1", "Site")</f>
        <v>Site</v>
      </c>
      <c r="D8" s="82"/>
      <c r="E8" s="149" t="s">
        <v>504</v>
      </c>
      <c r="F8" s="47" t="s">
        <v>828</v>
      </c>
      <c r="G8" s="66">
        <v>100</v>
      </c>
      <c r="H8" s="49" cm="1">
        <f t="array" ref="H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8" s="66">
        <v>625</v>
      </c>
    </row>
    <row r="9" spans="1:10" x14ac:dyDescent="0.25">
      <c r="A9" s="16" t="str">
        <f>HYPERLINK("#'Input - Fuel'!A1", "Fuel")</f>
        <v>Fuel</v>
      </c>
      <c r="D9" s="82"/>
      <c r="E9" s="149" t="s">
        <v>513</v>
      </c>
      <c r="F9" s="47" t="s">
        <v>827</v>
      </c>
      <c r="G9" s="66"/>
      <c r="H9" s="49" cm="1">
        <f t="array" ref="H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9" s="66"/>
    </row>
    <row r="10" spans="1:10" x14ac:dyDescent="0.25">
      <c r="A10" s="16" t="str">
        <f>HYPERLINK("#'Input - Fertiliser'!A1", "Fertiliser")</f>
        <v>Fertiliser</v>
      </c>
      <c r="D10" s="82"/>
      <c r="E10" s="149"/>
      <c r="F10" s="47"/>
      <c r="G10" s="66"/>
      <c r="H10" s="49" cm="1">
        <f t="array" ref="H1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 s="66"/>
    </row>
    <row r="11" spans="1:10" x14ac:dyDescent="0.25">
      <c r="A11" s="16" t="str">
        <f>HYPERLINK("#'Input - Common farm inputs'!A1", "Common farm inputs")</f>
        <v>Common farm inputs</v>
      </c>
      <c r="D11" s="82"/>
      <c r="E11" s="149"/>
      <c r="F11" s="47"/>
      <c r="G11" s="66"/>
      <c r="H11" s="49" cm="1">
        <f t="array" ref="H1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1" s="66"/>
    </row>
    <row r="12" spans="1:10" x14ac:dyDescent="0.25">
      <c r="A12" s="16" t="str">
        <f>HYPERLINK("#'Input - Processing inputs'!A1", "Processing inputs")</f>
        <v>Processing inputs</v>
      </c>
      <c r="D12" s="82"/>
      <c r="E12" s="149"/>
      <c r="F12" s="47"/>
      <c r="G12" s="66"/>
      <c r="H12" s="49" cm="1">
        <f t="array" ref="H1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2" s="66"/>
    </row>
    <row r="13" spans="1:10" x14ac:dyDescent="0.25">
      <c r="A13" s="16" t="str">
        <f>HYPERLINK("#'Input - Crop pasture farm input'!A1", "Crop pasture farm input")</f>
        <v>Crop pasture farm input</v>
      </c>
      <c r="D13" s="82"/>
      <c r="E13" s="149"/>
      <c r="F13" s="47"/>
      <c r="G13" s="66"/>
      <c r="H13" s="49" cm="1">
        <f t="array" ref="H1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3" s="66"/>
    </row>
    <row r="14" spans="1:10" x14ac:dyDescent="0.25">
      <c r="A14" s="16" t="str">
        <f>HYPERLINK("#'Input - Hort farm Inputs'!A1", "Hort farm Inputs")</f>
        <v>Hort farm Inputs</v>
      </c>
      <c r="D14" s="82"/>
      <c r="E14" s="149"/>
      <c r="F14" s="47"/>
      <c r="G14" s="66"/>
      <c r="H14" s="49" cm="1">
        <f t="array" ref="H1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4" s="66"/>
    </row>
    <row r="15" spans="1:10" x14ac:dyDescent="0.25">
      <c r="A15" s="16" t="str">
        <f>HYPERLINK("#'Input - Livestock farm Inputs'!A1", "Livestock farm Inputs")</f>
        <v>Livestock farm Inputs</v>
      </c>
      <c r="D15" s="82"/>
      <c r="E15" s="149"/>
      <c r="F15" s="47"/>
      <c r="G15" s="66"/>
      <c r="H15" s="49" cm="1">
        <f t="array" ref="H1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5" s="66"/>
    </row>
    <row r="16" spans="1:10" x14ac:dyDescent="0.25">
      <c r="A16" s="16" t="str">
        <f>HYPERLINK("#'Input - Aquaculture inputs'!A1", "Aquaculture inputs")</f>
        <v>Aquaculture inputs</v>
      </c>
      <c r="D16" s="82"/>
      <c r="E16" s="149"/>
      <c r="F16" s="47"/>
      <c r="G16" s="66"/>
      <c r="H16" s="49" cm="1">
        <f t="array" ref="H1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6" s="66"/>
    </row>
    <row r="17" spans="1:1" x14ac:dyDescent="0.25">
      <c r="A17" s="16" t="str">
        <f>HYPERLINK("#'Input - Beef cattle purchases'!A1", "Beef cattle purchases")</f>
        <v>Beef cattle purchases</v>
      </c>
    </row>
    <row r="18" spans="1:1" x14ac:dyDescent="0.25">
      <c r="A18" s="42" t="str">
        <f>HYPERLINK("#'Input - Dairy cattle purchases'!A1", "Dairy cattle purchases")</f>
        <v>Dairy cattle purchases</v>
      </c>
    </row>
    <row r="19" spans="1:1" x14ac:dyDescent="0.25">
      <c r="A19" s="16" t="str">
        <f>HYPERLINK("#'Input - Pig purchases'!A1", "Pig purchases")</f>
        <v>Pig purchases</v>
      </c>
    </row>
    <row r="20" spans="1:1" x14ac:dyDescent="0.25">
      <c r="A20" s="16" t="str">
        <f>HYPERLINK("#'Input - Poultry purchases'!A1", "Poultry purchases")</f>
        <v>Poultry purchases</v>
      </c>
    </row>
    <row r="21" spans="1:1" x14ac:dyDescent="0.25">
      <c r="A21" s="16" t="str">
        <f>HYPERLINK("#'Input - Freight'!A1", "Freight")</f>
        <v>Freight</v>
      </c>
    </row>
    <row r="22" spans="1:1" x14ac:dyDescent="0.25">
      <c r="A22" s="16" t="str">
        <f>HYPERLINK("#'Input - Solid waste'!A1", "Solid waste")</f>
        <v>Solid waste</v>
      </c>
    </row>
    <row r="23" spans="1:1" x14ac:dyDescent="0.25">
      <c r="A23" s="16" t="str">
        <f>HYPERLINK("#'Input - Manure sent off-site'!A1", "Manure sent off-site")</f>
        <v>Manure sent off-site</v>
      </c>
    </row>
    <row r="24" spans="1:1" x14ac:dyDescent="0.25">
      <c r="A24" s="16" t="str">
        <f>HYPERLINK("#'Input - Electricity'!A1", "Electricity")</f>
        <v>Electricity</v>
      </c>
    </row>
    <row r="27" spans="1:1" x14ac:dyDescent="0.25">
      <c r="A27" s="21" t="s">
        <v>77</v>
      </c>
    </row>
    <row r="28" spans="1:1" x14ac:dyDescent="0.25">
      <c r="A28" s="16" t="str">
        <f>HYPERLINK("#'15 Scope 3'!A1", "15 Scope 3")</f>
        <v>15 Scope 3</v>
      </c>
    </row>
    <row r="29" spans="1:1" x14ac:dyDescent="0.25">
      <c r="A29" s="16" t="str">
        <f>HYPERLINK("#'10.1.1-2 Solid waste treatment'!A1", "10.1.1-2 Solid waste treatment")</f>
        <v>10.1.1-2 Solid waste treatment</v>
      </c>
    </row>
    <row r="30" spans="1:1" x14ac:dyDescent="0.25">
      <c r="A30" s="16" t="str">
        <f>HYPERLINK("#'Calcs - Manure sent off-site'!A1", "Calcs - Manure sent off-site")</f>
        <v>Calcs - Manure sent off-site</v>
      </c>
    </row>
    <row r="31" spans="1:1" x14ac:dyDescent="0.25">
      <c r="A31" s="16" t="str">
        <f>HYPERLINK("#'8.1.1.1-2 Transport fuel'!A1", "8.1.1.1-2 Transport fuel")</f>
        <v>8.1.1.1-2 Transport fuel</v>
      </c>
    </row>
    <row r="32" spans="1:1" x14ac:dyDescent="0.25">
      <c r="A32" s="16" t="str">
        <f>HYPERLINK("#'8.2.1.1-2 Stationary fuel'!A1", "8.2.1.1-2 Stationary fuel")</f>
        <v>8.2.1.1-2 Stationary fuel</v>
      </c>
    </row>
    <row r="35" spans="1:1" x14ac:dyDescent="0.25">
      <c r="A35" s="222" t="s">
        <v>78</v>
      </c>
    </row>
    <row r="36" spans="1:1" x14ac:dyDescent="0.25">
      <c r="A36" s="16" t="str">
        <f>HYPERLINK("#'Constants - Scope 3'!A1", "Constants - Scope 3")</f>
        <v>Constants - Scope 3</v>
      </c>
    </row>
    <row r="37" spans="1:1" x14ac:dyDescent="0.25">
      <c r="A37" s="16" t="str">
        <f>HYPERLINK("#'Constants - Solid Waste'!A1", "Constants - Solid Waste")</f>
        <v>Constants - Solid Waste</v>
      </c>
    </row>
    <row r="38" spans="1:1" x14ac:dyDescent="0.25">
      <c r="A38" s="16" t="str">
        <f>HYPERLINK("#'Constants - Fuel'!A1", "Constants - Fuel")</f>
        <v>Constants - Fuel</v>
      </c>
    </row>
    <row r="39" spans="1:1" x14ac:dyDescent="0.25">
      <c r="A39" s="16" t="str">
        <f>HYPERLINK("#'Constants - Poultry'!A1", "Constants - Poultry")</f>
        <v>Constants - Poultry</v>
      </c>
    </row>
    <row r="40" spans="1:1" x14ac:dyDescent="0.25">
      <c r="A40" s="16" t="str">
        <f>HYPERLINK("#'Constants - Swine'!A1", "Constants - Swine")</f>
        <v>Constants - Swine</v>
      </c>
    </row>
    <row r="41" spans="1:1" x14ac:dyDescent="0.25">
      <c r="A41" s="16" t="str">
        <f>HYPERLINK("#'Constants - Dairy'!A1", "Constants - Dairy")</f>
        <v>Constants - Dairy</v>
      </c>
    </row>
    <row r="42" spans="1:1" x14ac:dyDescent="0.25">
      <c r="A42" s="16" t="str">
        <f>HYPERLINK("#'Constants - Pasture Beef'!A1", "Constants - Pasture Beef")</f>
        <v>Constants - Pasture Beef</v>
      </c>
    </row>
    <row r="43" spans="1:1" x14ac:dyDescent="0.25">
      <c r="A43" s="16" t="str">
        <f>HYPERLINK("#'Constants - Common Livestock'!A1", "Constants - Common Livestock")</f>
        <v>Constants - Common Livestock</v>
      </c>
    </row>
    <row r="44" spans="1:1" x14ac:dyDescent="0.25">
      <c r="A44" s="16" t="str">
        <f>HYPERLINK("#'Constants - Fertiliser'!A1", "Constants - Fertiliser")</f>
        <v>Constants - Fertiliser</v>
      </c>
    </row>
    <row r="45" spans="1:1" x14ac:dyDescent="0.25">
      <c r="A45" s="16" t="str">
        <f>HYPERLINK("#'Constants - Electricity'!A1", "Constants - Electricity")</f>
        <v>Constants - Electricity</v>
      </c>
    </row>
    <row r="46" spans="1:1" x14ac:dyDescent="0.25">
      <c r="A46" s="16" t="str">
        <f>HYPERLINK("#'Constants - Common'!A1", "Constants - Common")</f>
        <v>Constants - Common</v>
      </c>
    </row>
  </sheetData>
  <dataValidations count="2">
    <dataValidation type="list" allowBlank="1" showInputMessage="1" showErrorMessage="1" sqref="F7:F16" xr:uid="{6C01C856-27C6-4CD3-9F44-CB174DFAC047}">
      <formula1>INDIRECT("Table_SourceData_Dairy_WjCowsHeifers[Breed]")</formula1>
    </dataValidation>
    <dataValidation type="list" allowBlank="1" showInputMessage="1" showErrorMessage="1" sqref="E7:E16" xr:uid="{5781C060-ED70-4962-97D0-9C205A1D4D9A}">
      <formula1>INDIRECT("Table_SourceData_Dairy_WjCowsHeifers[[#Headers],[Milking cows]:[Heifers &lt; 1 (weaned)]]")</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7189-D8E7-45FA-AE6D-92AD001C72EC}">
  <sheetPr>
    <tabColor theme="5" tint="-0.249977111117893"/>
  </sheetPr>
  <dimension ref="A1:J46"/>
  <sheetViews>
    <sheetView showGridLines="0" zoomScaleNormal="100" workbookViewId="0">
      <selection activeCell="A46" sqref="A46"/>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1:10" ht="25.5" x14ac:dyDescent="0.35">
      <c r="A1" s="37" t="e" vm="1">
        <v>#VALUE!</v>
      </c>
      <c r="C1" s="37" t="s">
        <v>843</v>
      </c>
      <c r="D1" s="37"/>
      <c r="E1" s="37"/>
      <c r="F1" s="37"/>
      <c r="G1" s="37"/>
      <c r="H1" s="37"/>
      <c r="I1" s="37"/>
      <c r="J1" s="37"/>
    </row>
    <row r="2" spans="1:10" x14ac:dyDescent="0.25">
      <c r="C2" s="2"/>
      <c r="D2" s="2"/>
      <c r="E2" s="2"/>
      <c r="F2" s="2"/>
      <c r="G2" s="2"/>
      <c r="H2" s="2"/>
      <c r="I2" s="2"/>
      <c r="J2" s="2"/>
    </row>
    <row r="3" spans="1:10" ht="20.25" x14ac:dyDescent="0.25">
      <c r="A3" s="16" t="str">
        <f>HYPERLINK("#'Overview'!A1", "Overview")</f>
        <v>Overview</v>
      </c>
      <c r="C3" s="38"/>
      <c r="D3" s="38"/>
      <c r="E3" s="38"/>
      <c r="F3" s="38"/>
      <c r="G3" s="38"/>
      <c r="H3" s="38"/>
      <c r="I3" s="38"/>
      <c r="J3" s="38"/>
    </row>
    <row r="4" spans="1:10" x14ac:dyDescent="0.25">
      <c r="A4" s="16" t="str">
        <f>HYPERLINK("#'Results'!A1", "Results")</f>
        <v>Results</v>
      </c>
    </row>
    <row r="5" spans="1:10" x14ac:dyDescent="0.25">
      <c r="D5" s="54" t="s">
        <v>846</v>
      </c>
      <c r="E5" s="14"/>
      <c r="F5" s="14"/>
      <c r="G5" s="14"/>
      <c r="H5" s="14"/>
    </row>
    <row r="6" spans="1:10" x14ac:dyDescent="0.25">
      <c r="D6" s="162" t="s">
        <v>347</v>
      </c>
      <c r="E6" s="162" t="s">
        <v>312</v>
      </c>
      <c r="F6" s="162" t="s">
        <v>313</v>
      </c>
      <c r="G6" s="162" t="s">
        <v>417</v>
      </c>
      <c r="H6" s="162" t="s">
        <v>418</v>
      </c>
    </row>
    <row r="7" spans="1:10" x14ac:dyDescent="0.25">
      <c r="A7" s="19" t="s">
        <v>67</v>
      </c>
      <c r="D7" s="82" t="s">
        <v>554</v>
      </c>
      <c r="E7" s="47" t="s">
        <v>555</v>
      </c>
      <c r="F7" s="66">
        <v>100</v>
      </c>
      <c r="G7" s="49" cm="1">
        <f t="array" ref="G7">Common_InputFunctions.Utility_LookupValueInTableNumber(Table_Input_LivestockPurchases_Pigs[[#This Row],[Class (select)]], Table_SourceData_Swine_Liveweight[Livestock type j],Table_SourceData_Swine_Liveweight[Average liveweight (kg)])</f>
        <v>188</v>
      </c>
      <c r="H7" s="66">
        <v>180</v>
      </c>
    </row>
    <row r="8" spans="1:10" x14ac:dyDescent="0.25">
      <c r="A8" s="16" t="str">
        <f>HYPERLINK("#'Input - Site'!A1", "Site")</f>
        <v>Site</v>
      </c>
      <c r="D8" s="82" t="s">
        <v>556</v>
      </c>
      <c r="E8" s="149" t="s">
        <v>555</v>
      </c>
      <c r="F8" s="66">
        <v>100</v>
      </c>
      <c r="G8" s="49" cm="1">
        <f t="array" ref="G8">Common_InputFunctions.Utility_LookupValueInTableNumber(Table_Input_LivestockPurchases_Pigs[[#This Row],[Class (select)]], Table_SourceData_Swine_Liveweight[Livestock type j],Table_SourceData_Swine_Liveweight[Average liveweight (kg)])</f>
        <v>188</v>
      </c>
      <c r="H8" s="66">
        <v>38</v>
      </c>
    </row>
    <row r="9" spans="1:10" x14ac:dyDescent="0.25">
      <c r="A9" s="16" t="str">
        <f>HYPERLINK("#'Input - Fuel'!A1", "Fuel")</f>
        <v>Fuel</v>
      </c>
      <c r="D9" s="82"/>
      <c r="E9" s="149"/>
      <c r="F9" s="66"/>
      <c r="G9" s="49" cm="1">
        <f t="array" ref="G9">Common_InputFunctions.Utility_LookupValueInTableNumber(Table_Input_LivestockPurchases_Pigs[[#This Row],[Class (select)]], Table_SourceData_Swine_Liveweight[Livestock type j],Table_SourceData_Swine_Liveweight[Average liveweight (kg)])</f>
        <v>0</v>
      </c>
      <c r="H9" s="66"/>
    </row>
    <row r="10" spans="1:10" x14ac:dyDescent="0.25">
      <c r="A10" s="16" t="str">
        <f>HYPERLINK("#'Input - Fertiliser'!A1", "Fertiliser")</f>
        <v>Fertiliser</v>
      </c>
      <c r="D10" s="82"/>
      <c r="E10" s="149"/>
      <c r="F10" s="66"/>
      <c r="G10" s="49" cm="1">
        <f t="array" ref="G10">Common_InputFunctions.Utility_LookupValueInTableNumber(Table_Input_LivestockPurchases_Pigs[[#This Row],[Class (select)]], Table_SourceData_Swine_Liveweight[Livestock type j],Table_SourceData_Swine_Liveweight[Average liveweight (kg)])</f>
        <v>0</v>
      </c>
      <c r="H10" s="66"/>
    </row>
    <row r="11" spans="1:10" x14ac:dyDescent="0.25">
      <c r="A11" s="16" t="str">
        <f>HYPERLINK("#'Input - Common farm inputs'!A1", "Common farm inputs")</f>
        <v>Common farm inputs</v>
      </c>
      <c r="D11" s="82"/>
      <c r="E11" s="149"/>
      <c r="F11" s="66"/>
      <c r="G11" s="49" cm="1">
        <f t="array" ref="G11">Common_InputFunctions.Utility_LookupValueInTableNumber(Table_Input_LivestockPurchases_Pigs[[#This Row],[Class (select)]], Table_SourceData_Swine_Liveweight[Livestock type j],Table_SourceData_Swine_Liveweight[Average liveweight (kg)])</f>
        <v>0</v>
      </c>
      <c r="H11" s="66"/>
    </row>
    <row r="12" spans="1:10" x14ac:dyDescent="0.25">
      <c r="A12" s="16" t="str">
        <f>HYPERLINK("#'Input - Processing inputs'!A1", "Processing inputs")</f>
        <v>Processing inputs</v>
      </c>
      <c r="D12" s="82"/>
      <c r="E12" s="149"/>
      <c r="F12" s="66"/>
      <c r="G12" s="49" cm="1">
        <f t="array" ref="G12">Common_InputFunctions.Utility_LookupValueInTableNumber(Table_Input_LivestockPurchases_Pigs[[#This Row],[Class (select)]], Table_SourceData_Swine_Liveweight[Livestock type j],Table_SourceData_Swine_Liveweight[Average liveweight (kg)])</f>
        <v>0</v>
      </c>
      <c r="H12" s="66"/>
    </row>
    <row r="13" spans="1:10" x14ac:dyDescent="0.25">
      <c r="A13" s="16" t="str">
        <f>HYPERLINK("#'Input - Crop pasture farm input'!A1", "Crop pasture farm input")</f>
        <v>Crop pasture farm input</v>
      </c>
      <c r="D13" s="82"/>
      <c r="E13" s="149"/>
      <c r="F13" s="66"/>
      <c r="G13" s="49" cm="1">
        <f t="array" ref="G13">Common_InputFunctions.Utility_LookupValueInTableNumber(Table_Input_LivestockPurchases_Pigs[[#This Row],[Class (select)]], Table_SourceData_Swine_Liveweight[Livestock type j],Table_SourceData_Swine_Liveweight[Average liveweight (kg)])</f>
        <v>0</v>
      </c>
      <c r="H13" s="66"/>
    </row>
    <row r="14" spans="1:10" x14ac:dyDescent="0.25">
      <c r="A14" s="16" t="str">
        <f>HYPERLINK("#'Input - Hort farm Inputs'!A1", "Hort farm Inputs")</f>
        <v>Hort farm Inputs</v>
      </c>
      <c r="D14" s="82"/>
      <c r="E14" s="149"/>
      <c r="F14" s="66"/>
      <c r="G14" s="49" cm="1">
        <f t="array" ref="G14">Common_InputFunctions.Utility_LookupValueInTableNumber(Table_Input_LivestockPurchases_Pigs[[#This Row],[Class (select)]], Table_SourceData_Swine_Liveweight[Livestock type j],Table_SourceData_Swine_Liveweight[Average liveweight (kg)])</f>
        <v>0</v>
      </c>
      <c r="H14" s="66"/>
    </row>
    <row r="15" spans="1:10" x14ac:dyDescent="0.25">
      <c r="A15" s="16" t="str">
        <f>HYPERLINK("#'Input - Livestock farm Inputs'!A1", "Livestock farm Inputs")</f>
        <v>Livestock farm Inputs</v>
      </c>
      <c r="D15" s="82"/>
      <c r="E15" s="149"/>
      <c r="F15" s="66"/>
      <c r="G15" s="49" cm="1">
        <f t="array" ref="G15">Common_InputFunctions.Utility_LookupValueInTableNumber(Table_Input_LivestockPurchases_Pigs[[#This Row],[Class (select)]], Table_SourceData_Swine_Liveweight[Livestock type j],Table_SourceData_Swine_Liveweight[Average liveweight (kg)])</f>
        <v>0</v>
      </c>
      <c r="H15" s="66"/>
    </row>
    <row r="16" spans="1:10" x14ac:dyDescent="0.25">
      <c r="A16" s="16" t="str">
        <f>HYPERLINK("#'Input - Aquaculture inputs'!A1", "Aquaculture inputs")</f>
        <v>Aquaculture inputs</v>
      </c>
      <c r="D16" s="82"/>
      <c r="E16" s="149"/>
      <c r="F16" s="66"/>
      <c r="G16" s="49" cm="1">
        <f t="array" ref="G16">Common_InputFunctions.Utility_LookupValueInTableNumber(Table_Input_LivestockPurchases_Pigs[[#This Row],[Class (select)]], Table_SourceData_Swine_Liveweight[Livestock type j],Table_SourceData_Swine_Liveweight[Average liveweight (kg)])</f>
        <v>0</v>
      </c>
      <c r="H16" s="66"/>
    </row>
    <row r="17" spans="1:1" x14ac:dyDescent="0.25">
      <c r="A17" s="16" t="str">
        <f>HYPERLINK("#'Input - Beef cattle purchases'!A1", "Beef cattle purchases")</f>
        <v>Beef cattle purchases</v>
      </c>
    </row>
    <row r="18" spans="1:1" x14ac:dyDescent="0.25">
      <c r="A18" s="16" t="str">
        <f>HYPERLINK("#'Input - Dairy cattle purchases'!A1", "Dairy cattle purchases")</f>
        <v>Dairy cattle purchases</v>
      </c>
    </row>
    <row r="19" spans="1:1" x14ac:dyDescent="0.25">
      <c r="A19" s="42" t="str">
        <f>HYPERLINK("#'Input - Pig purchases'!A1", "Pig purchases")</f>
        <v>Pig purchases</v>
      </c>
    </row>
    <row r="20" spans="1:1" x14ac:dyDescent="0.25">
      <c r="A20" s="16" t="str">
        <f>HYPERLINK("#'Input - Poultry purchases'!A1", "Poultry purchases")</f>
        <v>Poultry purchases</v>
      </c>
    </row>
    <row r="21" spans="1:1" x14ac:dyDescent="0.25">
      <c r="A21" s="16" t="str">
        <f>HYPERLINK("#'Input - Freight'!A1", "Freight")</f>
        <v>Freight</v>
      </c>
    </row>
    <row r="22" spans="1:1" x14ac:dyDescent="0.25">
      <c r="A22" s="16" t="str">
        <f>HYPERLINK("#'Input - Solid waste'!A1", "Solid waste")</f>
        <v>Solid waste</v>
      </c>
    </row>
    <row r="23" spans="1:1" x14ac:dyDescent="0.25">
      <c r="A23" s="16" t="str">
        <f>HYPERLINK("#'Input - Manure sent off-site'!A1", "Manure sent off-site")</f>
        <v>Manure sent off-site</v>
      </c>
    </row>
    <row r="24" spans="1:1" x14ac:dyDescent="0.25">
      <c r="A24" s="16" t="str">
        <f>HYPERLINK("#'Input - Electricity'!A1", "Electricity")</f>
        <v>Electricity</v>
      </c>
    </row>
    <row r="27" spans="1:1" x14ac:dyDescent="0.25">
      <c r="A27" s="21" t="s">
        <v>77</v>
      </c>
    </row>
    <row r="28" spans="1:1" x14ac:dyDescent="0.25">
      <c r="A28" s="16" t="str">
        <f>HYPERLINK("#'15 Scope 3'!A1", "15 Scope 3")</f>
        <v>15 Scope 3</v>
      </c>
    </row>
    <row r="29" spans="1:1" x14ac:dyDescent="0.25">
      <c r="A29" s="16" t="str">
        <f>HYPERLINK("#'10.1.1-2 Solid waste treatment'!A1", "10.1.1-2 Solid waste treatment")</f>
        <v>10.1.1-2 Solid waste treatment</v>
      </c>
    </row>
    <row r="30" spans="1:1" x14ac:dyDescent="0.25">
      <c r="A30" s="16" t="str">
        <f>HYPERLINK("#'Calcs - Manure sent off-site'!A1", "Calcs - Manure sent off-site")</f>
        <v>Calcs - Manure sent off-site</v>
      </c>
    </row>
    <row r="31" spans="1:1" x14ac:dyDescent="0.25">
      <c r="A31" s="16" t="str">
        <f>HYPERLINK("#'8.1.1.1-2 Transport fuel'!A1", "8.1.1.1-2 Transport fuel")</f>
        <v>8.1.1.1-2 Transport fuel</v>
      </c>
    </row>
    <row r="32" spans="1:1" x14ac:dyDescent="0.25">
      <c r="A32" s="16" t="str">
        <f>HYPERLINK("#'8.2.1.1-2 Stationary fuel'!A1", "8.2.1.1-2 Stationary fuel")</f>
        <v>8.2.1.1-2 Stationary fuel</v>
      </c>
    </row>
    <row r="35" spans="1:1" x14ac:dyDescent="0.25">
      <c r="A35" s="222" t="s">
        <v>78</v>
      </c>
    </row>
    <row r="36" spans="1:1" x14ac:dyDescent="0.25">
      <c r="A36" s="16" t="str">
        <f>HYPERLINK("#'Constants - Scope 3'!A1", "Constants - Scope 3")</f>
        <v>Constants - Scope 3</v>
      </c>
    </row>
    <row r="37" spans="1:1" x14ac:dyDescent="0.25">
      <c r="A37" s="16" t="str">
        <f>HYPERLINK("#'Constants - Solid Waste'!A1", "Constants - Solid Waste")</f>
        <v>Constants - Solid Waste</v>
      </c>
    </row>
    <row r="38" spans="1:1" x14ac:dyDescent="0.25">
      <c r="A38" s="16" t="str">
        <f>HYPERLINK("#'Constants - Fuel'!A1", "Constants - Fuel")</f>
        <v>Constants - Fuel</v>
      </c>
    </row>
    <row r="39" spans="1:1" x14ac:dyDescent="0.25">
      <c r="A39" s="16" t="str">
        <f>HYPERLINK("#'Constants - Poultry'!A1", "Constants - Poultry")</f>
        <v>Constants - Poultry</v>
      </c>
    </row>
    <row r="40" spans="1:1" x14ac:dyDescent="0.25">
      <c r="A40" s="16" t="str">
        <f>HYPERLINK("#'Constants - Swine'!A1", "Constants - Swine")</f>
        <v>Constants - Swine</v>
      </c>
    </row>
    <row r="41" spans="1:1" x14ac:dyDescent="0.25">
      <c r="A41" s="16" t="str">
        <f>HYPERLINK("#'Constants - Dairy'!A1", "Constants - Dairy")</f>
        <v>Constants - Dairy</v>
      </c>
    </row>
    <row r="42" spans="1:1" x14ac:dyDescent="0.25">
      <c r="A42" s="16" t="str">
        <f>HYPERLINK("#'Constants - Pasture Beef'!A1", "Constants - Pasture Beef")</f>
        <v>Constants - Pasture Beef</v>
      </c>
    </row>
    <row r="43" spans="1:1" x14ac:dyDescent="0.25">
      <c r="A43" s="16" t="str">
        <f>HYPERLINK("#'Constants - Common Livestock'!A1", "Constants - Common Livestock")</f>
        <v>Constants - Common Livestock</v>
      </c>
    </row>
    <row r="44" spans="1:1" x14ac:dyDescent="0.25">
      <c r="A44" s="16" t="str">
        <f>HYPERLINK("#'Constants - Fertiliser'!A1", "Constants - Fertiliser")</f>
        <v>Constants - Fertiliser</v>
      </c>
    </row>
    <row r="45" spans="1:1" x14ac:dyDescent="0.25">
      <c r="A45" s="16" t="str">
        <f>HYPERLINK("#'Constants - Electricity'!A1", "Constants - Electricity")</f>
        <v>Constants - Electricity</v>
      </c>
    </row>
    <row r="46" spans="1:1" x14ac:dyDescent="0.25">
      <c r="A46" s="16" t="str">
        <f>HYPERLINK("#'Constants - Common'!A1", "Constants - Common")</f>
        <v>Constants - Common</v>
      </c>
    </row>
  </sheetData>
  <dataValidations count="1">
    <dataValidation type="list" allowBlank="1" showInputMessage="1" showErrorMessage="1" sqref="E7:E16" xr:uid="{F5AB456D-7F9C-4165-97C1-CAA2ABA57C96}">
      <formula1>INDIRECT("Table_SourceData_Swine_Liveweight[Livestock type j]")</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3FA9-AC33-4EC0-8F0E-A1D128249FE0}">
  <sheetPr>
    <tabColor theme="5" tint="-0.249977111117893"/>
  </sheetPr>
  <dimension ref="A1:J46"/>
  <sheetViews>
    <sheetView showGridLines="0" zoomScaleNormal="100" workbookViewId="0">
      <selection activeCell="A46" sqref="A46"/>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1:10" ht="25.5" x14ac:dyDescent="0.35">
      <c r="A1" s="37" t="e" vm="1">
        <v>#VALUE!</v>
      </c>
      <c r="C1" s="37" t="s">
        <v>842</v>
      </c>
      <c r="D1" s="37"/>
      <c r="E1" s="37"/>
      <c r="F1" s="37"/>
      <c r="G1" s="37"/>
      <c r="H1" s="37"/>
      <c r="I1" s="37"/>
      <c r="J1" s="37"/>
    </row>
    <row r="2" spans="1:10" x14ac:dyDescent="0.25">
      <c r="C2" s="2"/>
      <c r="D2" s="2"/>
      <c r="E2" s="2"/>
      <c r="F2" s="2"/>
      <c r="G2" s="2"/>
      <c r="H2" s="2"/>
      <c r="I2" s="2"/>
      <c r="J2" s="2"/>
    </row>
    <row r="3" spans="1:10" ht="20.25" x14ac:dyDescent="0.25">
      <c r="A3" s="16" t="str">
        <f>HYPERLINK("#'Overview'!A1", "Overview")</f>
        <v>Overview</v>
      </c>
      <c r="C3" s="38"/>
      <c r="D3" s="38"/>
      <c r="E3" s="38"/>
      <c r="F3" s="38"/>
      <c r="G3" s="38"/>
      <c r="H3" s="38"/>
      <c r="I3" s="38"/>
      <c r="J3" s="38"/>
    </row>
    <row r="4" spans="1:10" x14ac:dyDescent="0.25">
      <c r="A4" s="16" t="str">
        <f>HYPERLINK("#'Results'!A1", "Results")</f>
        <v>Results</v>
      </c>
    </row>
    <row r="5" spans="1:10" x14ac:dyDescent="0.25">
      <c r="D5" s="54" t="s">
        <v>846</v>
      </c>
      <c r="E5" s="14"/>
      <c r="F5" s="14"/>
      <c r="G5" s="14"/>
      <c r="H5" s="14"/>
    </row>
    <row r="6" spans="1:10" x14ac:dyDescent="0.25">
      <c r="D6" s="162" t="s">
        <v>347</v>
      </c>
      <c r="E6" s="162" t="s">
        <v>312</v>
      </c>
      <c r="F6" s="162" t="s">
        <v>313</v>
      </c>
      <c r="G6" s="162" t="s">
        <v>417</v>
      </c>
      <c r="H6" s="162" t="s">
        <v>418</v>
      </c>
    </row>
    <row r="7" spans="1:10" x14ac:dyDescent="0.25">
      <c r="A7" s="19" t="s">
        <v>67</v>
      </c>
      <c r="D7" s="82" t="s">
        <v>559</v>
      </c>
      <c r="E7" s="47" t="s">
        <v>587</v>
      </c>
      <c r="F7" s="66">
        <v>100</v>
      </c>
      <c r="G7" s="49" cm="1">
        <f t="array" ref="G7">Common_InputFunctions.Utility_LookupValueInTableNumber(Table_Input_LivestockPurchases_Poultry[[#This Row],[Class (select)]], Table_SourceData_Poultry_Liveweights[Livestock class j],Table_SourceData_Poultry_Liveweights[Average liveweight (kg)])</f>
        <v>1.3</v>
      </c>
      <c r="H7" s="66">
        <v>1.3</v>
      </c>
    </row>
    <row r="8" spans="1:10" x14ac:dyDescent="0.25">
      <c r="A8" s="16" t="str">
        <f>HYPERLINK("#'Input - Site'!A1", "Site")</f>
        <v>Site</v>
      </c>
      <c r="D8" s="82" t="s">
        <v>560</v>
      </c>
      <c r="E8" s="149" t="s">
        <v>588</v>
      </c>
      <c r="F8" s="66">
        <v>100</v>
      </c>
      <c r="G8" s="49" cm="1">
        <f t="array" ref="G8">Common_InputFunctions.Utility_LookupValueInTableNumber(Table_Input_LivestockPurchases_Poultry[[#This Row],[Class (select)]], Table_SourceData_Poultry_Liveweights[Livestock class j],Table_SourceData_Poultry_Liveweights[Average liveweight (kg)])</f>
        <v>1.4</v>
      </c>
      <c r="H8" s="66">
        <v>1.4</v>
      </c>
    </row>
    <row r="9" spans="1:10" x14ac:dyDescent="0.25">
      <c r="A9" s="16" t="str">
        <f>HYPERLINK("#'Input - Fuel'!A1", "Fuel")</f>
        <v>Fuel</v>
      </c>
      <c r="D9" s="82"/>
      <c r="E9" s="149"/>
      <c r="F9" s="66"/>
      <c r="G9" s="49" cm="1">
        <f t="array" ref="G9">Common_InputFunctions.Utility_LookupValueInTableNumber(Table_Input_LivestockPurchases_Poultry[[#This Row],[Class (select)]], Table_SourceData_Poultry_Liveweights[Livestock class j],Table_SourceData_Poultry_Liveweights[Average liveweight (kg)])</f>
        <v>0</v>
      </c>
      <c r="H9" s="66"/>
    </row>
    <row r="10" spans="1:10" x14ac:dyDescent="0.25">
      <c r="A10" s="16" t="str">
        <f>HYPERLINK("#'Input - Fertiliser'!A1", "Fertiliser")</f>
        <v>Fertiliser</v>
      </c>
      <c r="D10" s="82"/>
      <c r="E10" s="149"/>
      <c r="F10" s="66"/>
      <c r="G10" s="49" cm="1">
        <f t="array" ref="G10">Common_InputFunctions.Utility_LookupValueInTableNumber(Table_Input_LivestockPurchases_Poultry[[#This Row],[Class (select)]], Table_SourceData_Poultry_Liveweights[Livestock class j],Table_SourceData_Poultry_Liveweights[Average liveweight (kg)])</f>
        <v>0</v>
      </c>
      <c r="H10" s="66"/>
    </row>
    <row r="11" spans="1:10" x14ac:dyDescent="0.25">
      <c r="A11" s="16" t="str">
        <f>HYPERLINK("#'Input - Common farm inputs'!A1", "Common farm inputs")</f>
        <v>Common farm inputs</v>
      </c>
      <c r="D11" s="82"/>
      <c r="E11" s="149"/>
      <c r="F11" s="66"/>
      <c r="G11" s="49" cm="1">
        <f t="array" ref="G11">Common_InputFunctions.Utility_LookupValueInTableNumber(Table_Input_LivestockPurchases_Poultry[[#This Row],[Class (select)]], Table_SourceData_Poultry_Liveweights[Livestock class j],Table_SourceData_Poultry_Liveweights[Average liveweight (kg)])</f>
        <v>0</v>
      </c>
      <c r="H11" s="66"/>
    </row>
    <row r="12" spans="1:10" x14ac:dyDescent="0.25">
      <c r="A12" s="16" t="str">
        <f>HYPERLINK("#'Input - Processing inputs'!A1", "Processing inputs")</f>
        <v>Processing inputs</v>
      </c>
      <c r="D12" s="82"/>
      <c r="E12" s="149"/>
      <c r="F12" s="66"/>
      <c r="G12" s="49" cm="1">
        <f t="array" ref="G12">Common_InputFunctions.Utility_LookupValueInTableNumber(Table_Input_LivestockPurchases_Poultry[[#This Row],[Class (select)]], Table_SourceData_Poultry_Liveweights[Livestock class j],Table_SourceData_Poultry_Liveweights[Average liveweight (kg)])</f>
        <v>0</v>
      </c>
      <c r="H12" s="66"/>
    </row>
    <row r="13" spans="1:10" x14ac:dyDescent="0.25">
      <c r="A13" s="16" t="str">
        <f>HYPERLINK("#'Input - Crop pasture farm input'!A1", "Crop pasture farm input")</f>
        <v>Crop pasture farm input</v>
      </c>
      <c r="D13" s="82"/>
      <c r="E13" s="149"/>
      <c r="F13" s="66"/>
      <c r="G13" s="49" cm="1">
        <f t="array" ref="G13">Common_InputFunctions.Utility_LookupValueInTableNumber(Table_Input_LivestockPurchases_Poultry[[#This Row],[Class (select)]], Table_SourceData_Poultry_Liveweights[Livestock class j],Table_SourceData_Poultry_Liveweights[Average liveweight (kg)])</f>
        <v>0</v>
      </c>
      <c r="H13" s="66"/>
    </row>
    <row r="14" spans="1:10" x14ac:dyDescent="0.25">
      <c r="A14" s="16" t="str">
        <f>HYPERLINK("#'Input - Hort farm Inputs'!A1", "Hort farm Inputs")</f>
        <v>Hort farm Inputs</v>
      </c>
      <c r="D14" s="82"/>
      <c r="E14" s="149"/>
      <c r="F14" s="66"/>
      <c r="G14" s="49" cm="1">
        <f t="array" ref="G14">Common_InputFunctions.Utility_LookupValueInTableNumber(Table_Input_LivestockPurchases_Poultry[[#This Row],[Class (select)]], Table_SourceData_Poultry_Liveweights[Livestock class j],Table_SourceData_Poultry_Liveweights[Average liveweight (kg)])</f>
        <v>0</v>
      </c>
      <c r="H14" s="66"/>
    </row>
    <row r="15" spans="1:10" x14ac:dyDescent="0.25">
      <c r="A15" s="16" t="str">
        <f>HYPERLINK("#'Input - Livestock farm Inputs'!A1", "Livestock farm Inputs")</f>
        <v>Livestock farm Inputs</v>
      </c>
      <c r="D15" s="82"/>
      <c r="E15" s="149"/>
      <c r="F15" s="66"/>
      <c r="G15" s="49" cm="1">
        <f t="array" ref="G15">Common_InputFunctions.Utility_LookupValueInTableNumber(Table_Input_LivestockPurchases_Poultry[[#This Row],[Class (select)]], Table_SourceData_Poultry_Liveweights[Livestock class j],Table_SourceData_Poultry_Liveweights[Average liveweight (kg)])</f>
        <v>0</v>
      </c>
      <c r="H15" s="66"/>
    </row>
    <row r="16" spans="1:10" x14ac:dyDescent="0.25">
      <c r="A16" s="16" t="str">
        <f>HYPERLINK("#'Input - Aquaculture inputs'!A1", "Aquaculture inputs")</f>
        <v>Aquaculture inputs</v>
      </c>
      <c r="D16" s="82"/>
      <c r="E16" s="149"/>
      <c r="F16" s="66"/>
      <c r="G16" s="49" cm="1">
        <f t="array" ref="G16">Common_InputFunctions.Utility_LookupValueInTableNumber(Table_Input_LivestockPurchases_Poultry[[#This Row],[Class (select)]], Table_SourceData_Poultry_Liveweights[Livestock class j],Table_SourceData_Poultry_Liveweights[Average liveweight (kg)])</f>
        <v>0</v>
      </c>
      <c r="H16" s="66"/>
    </row>
    <row r="17" spans="1:1" x14ac:dyDescent="0.25">
      <c r="A17" s="16" t="str">
        <f>HYPERLINK("#'Input - Beef cattle purchases'!A1", "Beef cattle purchases")</f>
        <v>Beef cattle purchases</v>
      </c>
    </row>
    <row r="18" spans="1:1" x14ac:dyDescent="0.25">
      <c r="A18" s="16" t="str">
        <f>HYPERLINK("#'Input - Dairy cattle purchases'!A1", "Dairy cattle purchases")</f>
        <v>Dairy cattle purchases</v>
      </c>
    </row>
    <row r="19" spans="1:1" x14ac:dyDescent="0.25">
      <c r="A19" s="16" t="str">
        <f>HYPERLINK("#'Input - Pig purchases'!A1", "Pig purchases")</f>
        <v>Pig purchases</v>
      </c>
    </row>
    <row r="20" spans="1:1" x14ac:dyDescent="0.25">
      <c r="A20" s="42" t="str">
        <f>HYPERLINK("#'Input - Poultry purchases'!A1", "Poultry purchases")</f>
        <v>Poultry purchases</v>
      </c>
    </row>
    <row r="21" spans="1:1" x14ac:dyDescent="0.25">
      <c r="A21" s="16" t="str">
        <f>HYPERLINK("#'Input - Freight'!A1", "Freight")</f>
        <v>Freight</v>
      </c>
    </row>
    <row r="22" spans="1:1" x14ac:dyDescent="0.25">
      <c r="A22" s="16" t="str">
        <f>HYPERLINK("#'Input - Solid waste'!A1", "Solid waste")</f>
        <v>Solid waste</v>
      </c>
    </row>
    <row r="23" spans="1:1" x14ac:dyDescent="0.25">
      <c r="A23" s="16" t="str">
        <f>HYPERLINK("#'Input - Manure sent off-site'!A1", "Manure sent off-site")</f>
        <v>Manure sent off-site</v>
      </c>
    </row>
    <row r="24" spans="1:1" x14ac:dyDescent="0.25">
      <c r="A24" s="16" t="str">
        <f>HYPERLINK("#'Input - Electricity'!A1", "Electricity")</f>
        <v>Electricity</v>
      </c>
    </row>
    <row r="27" spans="1:1" x14ac:dyDescent="0.25">
      <c r="A27" s="21" t="s">
        <v>77</v>
      </c>
    </row>
    <row r="28" spans="1:1" x14ac:dyDescent="0.25">
      <c r="A28" s="16" t="str">
        <f>HYPERLINK("#'15 Scope 3'!A1", "15 Scope 3")</f>
        <v>15 Scope 3</v>
      </c>
    </row>
    <row r="29" spans="1:1" x14ac:dyDescent="0.25">
      <c r="A29" s="16" t="str">
        <f>HYPERLINK("#'10.1.1-2 Solid waste treatment'!A1", "10.1.1-2 Solid waste treatment")</f>
        <v>10.1.1-2 Solid waste treatment</v>
      </c>
    </row>
    <row r="30" spans="1:1" x14ac:dyDescent="0.25">
      <c r="A30" s="16" t="str">
        <f>HYPERLINK("#'Calcs - Manure sent off-site'!A1", "Calcs - Manure sent off-site")</f>
        <v>Calcs - Manure sent off-site</v>
      </c>
    </row>
    <row r="31" spans="1:1" x14ac:dyDescent="0.25">
      <c r="A31" s="16" t="str">
        <f>HYPERLINK("#'8.1.1.1-2 Transport fuel'!A1", "8.1.1.1-2 Transport fuel")</f>
        <v>8.1.1.1-2 Transport fuel</v>
      </c>
    </row>
    <row r="32" spans="1:1" x14ac:dyDescent="0.25">
      <c r="A32" s="16" t="str">
        <f>HYPERLINK("#'8.2.1.1-2 Stationary fuel'!A1", "8.2.1.1-2 Stationary fuel")</f>
        <v>8.2.1.1-2 Stationary fuel</v>
      </c>
    </row>
    <row r="35" spans="1:1" x14ac:dyDescent="0.25">
      <c r="A35" s="222" t="s">
        <v>78</v>
      </c>
    </row>
    <row r="36" spans="1:1" x14ac:dyDescent="0.25">
      <c r="A36" s="16" t="str">
        <f>HYPERLINK("#'Constants - Scope 3'!A1", "Constants - Scope 3")</f>
        <v>Constants - Scope 3</v>
      </c>
    </row>
    <row r="37" spans="1:1" x14ac:dyDescent="0.25">
      <c r="A37" s="16" t="str">
        <f>HYPERLINK("#'Constants - Solid Waste'!A1", "Constants - Solid Waste")</f>
        <v>Constants - Solid Waste</v>
      </c>
    </row>
    <row r="38" spans="1:1" x14ac:dyDescent="0.25">
      <c r="A38" s="16" t="str">
        <f>HYPERLINK("#'Constants - Fuel'!A1", "Constants - Fuel")</f>
        <v>Constants - Fuel</v>
      </c>
    </row>
    <row r="39" spans="1:1" x14ac:dyDescent="0.25">
      <c r="A39" s="16" t="str">
        <f>HYPERLINK("#'Constants - Poultry'!A1", "Constants - Poultry")</f>
        <v>Constants - Poultry</v>
      </c>
    </row>
    <row r="40" spans="1:1" x14ac:dyDescent="0.25">
      <c r="A40" s="16" t="str">
        <f>HYPERLINK("#'Constants - Swine'!A1", "Constants - Swine")</f>
        <v>Constants - Swine</v>
      </c>
    </row>
    <row r="41" spans="1:1" x14ac:dyDescent="0.25">
      <c r="A41" s="16" t="str">
        <f>HYPERLINK("#'Constants - Dairy'!A1", "Constants - Dairy")</f>
        <v>Constants - Dairy</v>
      </c>
    </row>
    <row r="42" spans="1:1" x14ac:dyDescent="0.25">
      <c r="A42" s="16" t="str">
        <f>HYPERLINK("#'Constants - Pasture Beef'!A1", "Constants - Pasture Beef")</f>
        <v>Constants - Pasture Beef</v>
      </c>
    </row>
    <row r="43" spans="1:1" x14ac:dyDescent="0.25">
      <c r="A43" s="16" t="str">
        <f>HYPERLINK("#'Constants - Common Livestock'!A1", "Constants - Common Livestock")</f>
        <v>Constants - Common Livestock</v>
      </c>
    </row>
    <row r="44" spans="1:1" x14ac:dyDescent="0.25">
      <c r="A44" s="16" t="str">
        <f>HYPERLINK("#'Constants - Fertiliser'!A1", "Constants - Fertiliser")</f>
        <v>Constants - Fertiliser</v>
      </c>
    </row>
    <row r="45" spans="1:1" x14ac:dyDescent="0.25">
      <c r="A45" s="16" t="str">
        <f>HYPERLINK("#'Constants - Electricity'!A1", "Constants - Electricity")</f>
        <v>Constants - Electricity</v>
      </c>
    </row>
    <row r="46" spans="1:1" x14ac:dyDescent="0.25">
      <c r="A46" s="16" t="str">
        <f>HYPERLINK("#'Constants - Common'!A1", "Constants - Common")</f>
        <v>Constants - Common</v>
      </c>
    </row>
  </sheetData>
  <dataValidations count="1">
    <dataValidation type="list" allowBlank="1" showInputMessage="1" showErrorMessage="1" sqref="E7:E16" xr:uid="{EF3323C3-C624-43FE-8DC3-2DC12C1B5DDD}">
      <formula1>INDIRECT("Table_SourceData_Poultry_Liveweights[Livestock class j]")</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A1:J51"/>
  <sheetViews>
    <sheetView showGridLines="0" zoomScaleNormal="100" workbookViewId="0">
      <selection activeCell="A46" sqref="A46"/>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1:10" s="37" customFormat="1" ht="30" customHeight="1" x14ac:dyDescent="0.35">
      <c r="C1" s="37" t="s">
        <v>815</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row r="6" spans="1:10" ht="20.100000000000001" customHeight="1" x14ac:dyDescent="0.25">
      <c r="D6" s="9" t="s">
        <v>793</v>
      </c>
    </row>
    <row r="7" spans="1:10" ht="20.100000000000001" customHeight="1" x14ac:dyDescent="0.25">
      <c r="A7" s="19" t="s">
        <v>67</v>
      </c>
    </row>
    <row r="8" spans="1:10" ht="20.100000000000001" customHeight="1" x14ac:dyDescent="0.25">
      <c r="A8" s="16" t="str">
        <f>HYPERLINK("#'Input - Site'!A1", "Site")</f>
        <v>Site</v>
      </c>
      <c r="D8" s="10" t="s">
        <v>795</v>
      </c>
      <c r="E8" s="10" t="s">
        <v>798</v>
      </c>
      <c r="F8" s="10" t="s">
        <v>799</v>
      </c>
      <c r="G8" s="10" t="s">
        <v>796</v>
      </c>
      <c r="H8" s="10" t="s">
        <v>797</v>
      </c>
    </row>
    <row r="9" spans="1:10" ht="20.100000000000001" customHeight="1" x14ac:dyDescent="0.25">
      <c r="A9" s="16" t="str">
        <f>HYPERLINK("#'Input - Fuel'!A1", "Fuel")</f>
        <v>Fuel</v>
      </c>
      <c r="D9" s="10" t="s">
        <v>802</v>
      </c>
      <c r="E9" s="47" t="s">
        <v>800</v>
      </c>
      <c r="F9" s="10">
        <v>986</v>
      </c>
      <c r="G9" s="10">
        <v>10</v>
      </c>
      <c r="H9" s="10">
        <v>52</v>
      </c>
    </row>
    <row r="10" spans="1:10" ht="20.100000000000001" customHeight="1" x14ac:dyDescent="0.25">
      <c r="A10" s="16" t="str">
        <f>HYPERLINK("#'Input - Fertiliser'!A1", "Fertiliser")</f>
        <v>Fertiliser</v>
      </c>
      <c r="D10" s="10" t="s">
        <v>804</v>
      </c>
      <c r="E10" s="47" t="s">
        <v>805</v>
      </c>
      <c r="F10" s="10">
        <v>65</v>
      </c>
      <c r="G10" s="10">
        <v>10</v>
      </c>
      <c r="H10" s="10">
        <v>6</v>
      </c>
    </row>
    <row r="11" spans="1:10" ht="20.100000000000001" customHeight="1" x14ac:dyDescent="0.25">
      <c r="A11" s="16" t="str">
        <f>HYPERLINK("#'Input - Common farm inputs'!A1", "Common farm inputs")</f>
        <v>Common farm inputs</v>
      </c>
      <c r="D11" s="10"/>
      <c r="E11" s="47"/>
      <c r="F11" s="10"/>
      <c r="G11" s="10"/>
      <c r="H11" s="10"/>
    </row>
    <row r="12" spans="1:10" ht="20.100000000000001" customHeight="1" x14ac:dyDescent="0.25">
      <c r="A12" s="16" t="str">
        <f>HYPERLINK("#'Input - Processing inputs'!A1", "Processing inputs")</f>
        <v>Processing inputs</v>
      </c>
      <c r="D12" s="10"/>
      <c r="E12" s="47"/>
      <c r="F12" s="10"/>
      <c r="G12" s="10"/>
      <c r="H12" s="10"/>
    </row>
    <row r="13" spans="1:10" ht="20.100000000000001" customHeight="1" x14ac:dyDescent="0.25">
      <c r="A13" s="16" t="str">
        <f>HYPERLINK("#'Input - Crop pasture farm input'!A1", "Crop pasture farm input")</f>
        <v>Crop pasture farm input</v>
      </c>
      <c r="D13" s="10"/>
      <c r="E13" s="47"/>
      <c r="F13" s="10"/>
      <c r="G13" s="10"/>
      <c r="H13" s="10"/>
    </row>
    <row r="14" spans="1:10" ht="20.100000000000001" customHeight="1" x14ac:dyDescent="0.25">
      <c r="A14" s="16" t="str">
        <f>HYPERLINK("#'Input - Hort farm Inputs'!A1", "Hort farm Inputs")</f>
        <v>Hort farm Inputs</v>
      </c>
      <c r="D14" s="10"/>
      <c r="E14" s="47"/>
      <c r="F14" s="10"/>
      <c r="G14" s="10"/>
      <c r="H14" s="10"/>
    </row>
    <row r="15" spans="1:10" ht="20.100000000000001" customHeight="1" x14ac:dyDescent="0.25">
      <c r="A15" s="16" t="str">
        <f>HYPERLINK("#'Input - Livestock farm Inputs'!A1", "Livestock farm Inputs")</f>
        <v>Livestock farm Inputs</v>
      </c>
      <c r="D15" s="10"/>
      <c r="E15" s="47"/>
      <c r="F15" s="10"/>
      <c r="G15" s="10"/>
      <c r="H15" s="10"/>
    </row>
    <row r="16" spans="1:10" ht="20.100000000000001" customHeight="1" x14ac:dyDescent="0.25">
      <c r="A16" s="16" t="str">
        <f>HYPERLINK("#'Input - Aquaculture inputs'!A1", "Aquaculture inputs")</f>
        <v>Aquaculture inputs</v>
      </c>
      <c r="D16" s="10"/>
      <c r="E16" s="47"/>
      <c r="F16" s="10"/>
      <c r="G16" s="10"/>
      <c r="H16" s="10"/>
    </row>
    <row r="17" spans="1:8" ht="20.100000000000001" customHeight="1" x14ac:dyDescent="0.25">
      <c r="A17" s="16" t="str">
        <f>HYPERLINK("#'Input - Beef cattle purchases'!A1", "Beef cattle purchases")</f>
        <v>Beef cattle purchases</v>
      </c>
      <c r="D17" s="10"/>
      <c r="E17" s="47"/>
      <c r="F17" s="10"/>
      <c r="G17" s="10"/>
      <c r="H17" s="10"/>
    </row>
    <row r="18" spans="1:8" ht="20.100000000000001" customHeight="1" x14ac:dyDescent="0.25">
      <c r="A18" s="16" t="str">
        <f>HYPERLINK("#'Input - Dairy cattle purchases'!A1", "Dairy cattle purchases")</f>
        <v>Dairy cattle purchases</v>
      </c>
      <c r="D18" s="10"/>
      <c r="E18" s="47"/>
      <c r="F18" s="10"/>
      <c r="G18" s="10"/>
      <c r="H18" s="10"/>
    </row>
    <row r="19" spans="1:8" ht="20.100000000000001" customHeight="1" x14ac:dyDescent="0.25">
      <c r="A19" s="16" t="str">
        <f>HYPERLINK("#'Input - Pig purchases'!A1", "Pig purchases")</f>
        <v>Pig purchases</v>
      </c>
    </row>
    <row r="20" spans="1:8" ht="20.100000000000001" customHeight="1" x14ac:dyDescent="0.25">
      <c r="A20" s="16" t="str">
        <f>HYPERLINK("#'Input - Poultry purchases'!A1", "Poultry purchases")</f>
        <v>Poultry purchases</v>
      </c>
    </row>
    <row r="21" spans="1:8" ht="20.100000000000001" customHeight="1" x14ac:dyDescent="0.25">
      <c r="A21" s="42" t="str">
        <f>HYPERLINK("#'Input - Freight'!A1", "Freight")</f>
        <v>Freight</v>
      </c>
    </row>
    <row r="22" spans="1:8" ht="20.100000000000001" customHeight="1" x14ac:dyDescent="0.25">
      <c r="A22" s="16" t="str">
        <f>HYPERLINK("#'Input - Solid waste'!A1", "Solid waste")</f>
        <v>Solid waste</v>
      </c>
      <c r="D22" s="9" t="s">
        <v>801</v>
      </c>
    </row>
    <row r="23" spans="1:8" ht="20.100000000000001" customHeight="1" x14ac:dyDescent="0.25">
      <c r="A23" s="16" t="str">
        <f>HYPERLINK("#'Input - Manure sent off-site'!A1", "Manure sent off-site")</f>
        <v>Manure sent off-site</v>
      </c>
    </row>
    <row r="24" spans="1:8" ht="20.100000000000001" customHeight="1" x14ac:dyDescent="0.25">
      <c r="A24" s="16" t="str">
        <f>HYPERLINK("#'Input - Electricity'!A1", "Electricity")</f>
        <v>Electricity</v>
      </c>
      <c r="D24" s="10" t="s">
        <v>795</v>
      </c>
      <c r="E24" s="10" t="s">
        <v>798</v>
      </c>
      <c r="F24" s="10" t="s">
        <v>799</v>
      </c>
      <c r="G24" s="10" t="s">
        <v>796</v>
      </c>
      <c r="H24" s="10" t="s">
        <v>797</v>
      </c>
    </row>
    <row r="25" spans="1:8" ht="20.100000000000001" customHeight="1" x14ac:dyDescent="0.25">
      <c r="D25" s="10" t="s">
        <v>803</v>
      </c>
      <c r="E25" s="47" t="s">
        <v>800</v>
      </c>
      <c r="F25" s="10">
        <v>65</v>
      </c>
      <c r="G25" s="10">
        <v>20</v>
      </c>
      <c r="H25" s="10">
        <v>52</v>
      </c>
    </row>
    <row r="26" spans="1:8" ht="20.100000000000001" customHeight="1" x14ac:dyDescent="0.25">
      <c r="D26" s="10"/>
      <c r="E26" s="47"/>
      <c r="F26" s="10"/>
      <c r="G26" s="10"/>
      <c r="H26" s="10"/>
    </row>
    <row r="27" spans="1:8" ht="20.100000000000001" customHeight="1" x14ac:dyDescent="0.25">
      <c r="A27" s="21" t="s">
        <v>77</v>
      </c>
      <c r="D27" s="10"/>
      <c r="E27" s="47"/>
      <c r="F27" s="10"/>
      <c r="G27" s="10"/>
      <c r="H27" s="10"/>
    </row>
    <row r="28" spans="1:8" ht="20.100000000000001" customHeight="1" x14ac:dyDescent="0.25">
      <c r="A28" s="16" t="str">
        <f>HYPERLINK("#'15 Scope 3'!A1", "15 Scope 3")</f>
        <v>15 Scope 3</v>
      </c>
      <c r="D28" s="10"/>
      <c r="E28" s="47"/>
      <c r="F28" s="10"/>
      <c r="G28" s="10"/>
      <c r="H28" s="10"/>
    </row>
    <row r="29" spans="1:8" ht="20.100000000000001" customHeight="1" x14ac:dyDescent="0.25">
      <c r="A29" s="16" t="str">
        <f>HYPERLINK("#'10.1.1-2 Solid waste treatment'!A1", "10.1.1-2 Solid waste treatment")</f>
        <v>10.1.1-2 Solid waste treatment</v>
      </c>
      <c r="D29" s="10"/>
      <c r="E29" s="47"/>
      <c r="F29" s="10"/>
      <c r="G29" s="10"/>
      <c r="H29" s="10"/>
    </row>
    <row r="30" spans="1:8" ht="20.100000000000001" customHeight="1" x14ac:dyDescent="0.25">
      <c r="A30" s="16" t="str">
        <f>HYPERLINK("#'Calcs - Manure sent off-site'!A1", "Calcs - Manure sent off-site")</f>
        <v>Calcs - Manure sent off-site</v>
      </c>
      <c r="D30" s="10"/>
      <c r="E30" s="47"/>
      <c r="F30" s="10"/>
      <c r="G30" s="10"/>
      <c r="H30" s="10"/>
    </row>
    <row r="31" spans="1:8" ht="20.100000000000001" customHeight="1" x14ac:dyDescent="0.25">
      <c r="A31" s="16" t="str">
        <f>HYPERLINK("#'8.1.1.1-2 Transport fuel'!A1", "8.1.1.1-2 Transport fuel")</f>
        <v>8.1.1.1-2 Transport fuel</v>
      </c>
      <c r="D31" s="10"/>
      <c r="E31" s="47"/>
      <c r="F31" s="10"/>
      <c r="G31" s="10"/>
      <c r="H31" s="10"/>
    </row>
    <row r="32" spans="1:8" ht="20.100000000000001" customHeight="1" x14ac:dyDescent="0.25">
      <c r="A32" s="16" t="str">
        <f>HYPERLINK("#'8.2.1.1-2 Stationary fuel'!A1", "8.2.1.1-2 Stationary fuel")</f>
        <v>8.2.1.1-2 Stationary fuel</v>
      </c>
      <c r="D32" s="10"/>
      <c r="E32" s="47"/>
      <c r="F32" s="10"/>
      <c r="G32" s="10"/>
      <c r="H32" s="10"/>
    </row>
    <row r="33" spans="1:8" ht="20.100000000000001" customHeight="1" x14ac:dyDescent="0.25">
      <c r="D33" s="10"/>
      <c r="E33" s="47"/>
      <c r="F33" s="10"/>
      <c r="G33" s="10"/>
      <c r="H33" s="10"/>
    </row>
    <row r="34" spans="1:8" ht="20.100000000000001" customHeight="1" x14ac:dyDescent="0.25">
      <c r="D34" s="10"/>
      <c r="E34" s="47"/>
      <c r="F34" s="10"/>
      <c r="G34" s="10"/>
      <c r="H34" s="10"/>
    </row>
    <row r="35" spans="1:8" ht="20.100000000000001" customHeight="1" x14ac:dyDescent="0.25">
      <c r="A35" s="222" t="s">
        <v>78</v>
      </c>
    </row>
    <row r="36" spans="1:8" ht="20.100000000000001" customHeight="1" x14ac:dyDescent="0.25">
      <c r="A36" s="16" t="str">
        <f>HYPERLINK("#'Constants - Scope 3'!A1", "Constants - Scope 3")</f>
        <v>Constants - Scope 3</v>
      </c>
    </row>
    <row r="37" spans="1:8" ht="20.100000000000001" customHeight="1" x14ac:dyDescent="0.25">
      <c r="A37" s="16" t="str">
        <f>HYPERLINK("#'Constants - Solid Waste'!A1", "Constants - Solid Waste")</f>
        <v>Constants - Solid Waste</v>
      </c>
    </row>
    <row r="38" spans="1:8" ht="20.100000000000001" customHeight="1" x14ac:dyDescent="0.25">
      <c r="A38" s="16" t="str">
        <f>HYPERLINK("#'Constants - Fuel'!A1", "Constants - Fuel")</f>
        <v>Constants - Fuel</v>
      </c>
    </row>
    <row r="39" spans="1:8" ht="20.100000000000001" customHeight="1" x14ac:dyDescent="0.25">
      <c r="A39" s="16" t="str">
        <f>HYPERLINK("#'Constants - Poultry'!A1", "Constants - Poultry")</f>
        <v>Constants - Poultry</v>
      </c>
    </row>
    <row r="40" spans="1:8" ht="20.100000000000001" customHeight="1" x14ac:dyDescent="0.25">
      <c r="A40" s="16" t="str">
        <f>HYPERLINK("#'Constants - Swine'!A1", "Constants - Swine")</f>
        <v>Constants - Swine</v>
      </c>
    </row>
    <row r="41" spans="1:8" ht="20.100000000000001" customHeight="1" x14ac:dyDescent="0.25">
      <c r="A41" s="16" t="str">
        <f>HYPERLINK("#'Constants - Dairy'!A1", "Constants - Dairy")</f>
        <v>Constants - Dairy</v>
      </c>
    </row>
    <row r="42" spans="1:8" ht="20.100000000000001" customHeight="1" x14ac:dyDescent="0.25">
      <c r="A42" s="16" t="str">
        <f>HYPERLINK("#'Constants - Pasture Beef'!A1", "Constants - Pasture Beef")</f>
        <v>Constants - Pasture Beef</v>
      </c>
    </row>
    <row r="43" spans="1:8" ht="20.100000000000001" customHeight="1" x14ac:dyDescent="0.25">
      <c r="A43" s="16" t="str">
        <f>HYPERLINK("#'Constants - Common Livestock'!A1", "Constants - Common Livestock")</f>
        <v>Constants - Common Livestock</v>
      </c>
    </row>
    <row r="44" spans="1:8" ht="20.100000000000001" customHeight="1" x14ac:dyDescent="0.25">
      <c r="A44" s="16" t="str">
        <f>HYPERLINK("#'Constants - Fertiliser'!A1", "Constants - Fertiliser")</f>
        <v>Constants - Fertiliser</v>
      </c>
    </row>
    <row r="45" spans="1:8" ht="20.100000000000001" customHeight="1" x14ac:dyDescent="0.25">
      <c r="A45" s="16" t="str">
        <f>HYPERLINK("#'Constants - Electricity'!A1", "Constants - Electricity")</f>
        <v>Constants - Electricity</v>
      </c>
    </row>
    <row r="46" spans="1:8" ht="20.100000000000001" customHeight="1" x14ac:dyDescent="0.25">
      <c r="A46" s="16" t="str">
        <f>HYPERLINK("#'Constants - Common'!A1", "Constants - Common")</f>
        <v>Constants - Common</v>
      </c>
    </row>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9ED1B-0D3F-4F9B-B1D4-8E83684DFD6B}">
  <sheetPr>
    <tabColor theme="5" tint="-0.249977111117893"/>
  </sheetPr>
  <dimension ref="A1:L385"/>
  <sheetViews>
    <sheetView showGridLines="0" zoomScaleNormal="100" workbookViewId="0">
      <selection activeCell="A46" sqref="A46"/>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6" width="59.25" style="8" customWidth="1"/>
    <col min="7" max="7" width="27" style="8" customWidth="1"/>
    <col min="8"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923</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9" t="s">
        <v>924</v>
      </c>
    </row>
    <row r="6" spans="1:10" ht="20.100000000000001" customHeight="1" x14ac:dyDescent="0.25">
      <c r="A6"/>
    </row>
    <row r="7" spans="1:10" ht="20.100000000000001" customHeight="1" x14ac:dyDescent="0.25">
      <c r="A7" s="19" t="s">
        <v>67</v>
      </c>
      <c r="D7" s="95" t="s">
        <v>120</v>
      </c>
      <c r="E7" s="96"/>
    </row>
    <row r="8" spans="1:10" ht="20.100000000000001" customHeight="1" x14ac:dyDescent="0.25">
      <c r="A8" s="16" t="str">
        <f>HYPERLINK("#'Input - Site'!A1", "Site")</f>
        <v>Site</v>
      </c>
    </row>
    <row r="9" spans="1:10" ht="20.100000000000001" customHeight="1" x14ac:dyDescent="0.25">
      <c r="A9" s="16" t="str">
        <f>HYPERLINK("#'Input - Fuel'!A1", "Fuel")</f>
        <v>Fuel</v>
      </c>
      <c r="D9" s="46" t="s">
        <v>242</v>
      </c>
      <c r="E9" s="46" t="s">
        <v>767</v>
      </c>
      <c r="F9" s="46" t="s">
        <v>768</v>
      </c>
      <c r="G9" s="46" t="s">
        <v>769</v>
      </c>
      <c r="H9" s="46" t="s">
        <v>589</v>
      </c>
      <c r="I9" s="46" t="s">
        <v>770</v>
      </c>
    </row>
    <row r="10" spans="1:10" ht="20.100000000000001" customHeight="1" x14ac:dyDescent="0.25">
      <c r="A10" s="16" t="str">
        <f>HYPERLINK("#'Input - Fertiliser'!A1", "Fertiliser")</f>
        <v>Fertiliser</v>
      </c>
      <c r="D10" s="10" t="s">
        <v>925</v>
      </c>
      <c r="E10" s="47" t="s">
        <v>926</v>
      </c>
      <c r="F10" s="47" t="s">
        <v>772</v>
      </c>
      <c r="G10" s="47" t="s">
        <v>773</v>
      </c>
      <c r="H10" s="66">
        <v>50</v>
      </c>
      <c r="I10" s="47" t="s">
        <v>775</v>
      </c>
    </row>
    <row r="11" spans="1:10" ht="20.100000000000001" customHeight="1" x14ac:dyDescent="0.25">
      <c r="A11" s="16" t="str">
        <f>HYPERLINK("#'Input - Common farm inputs'!A1", "Common farm inputs")</f>
        <v>Common farm inputs</v>
      </c>
      <c r="D11" s="10" t="s">
        <v>927</v>
      </c>
      <c r="E11" s="47" t="s">
        <v>926</v>
      </c>
      <c r="F11" s="47" t="s">
        <v>772</v>
      </c>
      <c r="G11" s="47" t="s">
        <v>928</v>
      </c>
      <c r="H11" s="66">
        <v>50</v>
      </c>
      <c r="I11" s="47" t="s">
        <v>774</v>
      </c>
    </row>
    <row r="12" spans="1:10" ht="20.100000000000001" customHeight="1" x14ac:dyDescent="0.25">
      <c r="A12" s="16" t="str">
        <f>HYPERLINK("#'Input - Processing inputs'!A1", "Processing inputs")</f>
        <v>Processing inputs</v>
      </c>
      <c r="D12" s="10" t="s">
        <v>929</v>
      </c>
      <c r="E12" s="47" t="s">
        <v>926</v>
      </c>
      <c r="F12" s="47" t="s">
        <v>777</v>
      </c>
      <c r="G12" s="47" t="s">
        <v>773</v>
      </c>
      <c r="H12" s="66">
        <v>50</v>
      </c>
      <c r="I12" s="47" t="s">
        <v>775</v>
      </c>
    </row>
    <row r="13" spans="1:10" ht="20.100000000000001" customHeight="1" x14ac:dyDescent="0.25">
      <c r="A13" s="16" t="str">
        <f>HYPERLINK("#'Input - Crop pasture farm input'!A1", "Crop pasture farm input")</f>
        <v>Crop pasture farm input</v>
      </c>
      <c r="D13" s="10" t="s">
        <v>930</v>
      </c>
      <c r="E13" s="47" t="s">
        <v>926</v>
      </c>
      <c r="F13" s="47" t="s">
        <v>777</v>
      </c>
      <c r="G13" s="47" t="s">
        <v>928</v>
      </c>
      <c r="H13" s="66">
        <v>50</v>
      </c>
      <c r="I13" s="47" t="s">
        <v>774</v>
      </c>
    </row>
    <row r="14" spans="1:10" ht="20.100000000000001" customHeight="1" x14ac:dyDescent="0.25">
      <c r="A14" s="16" t="str">
        <f>HYPERLINK("#'Input - Hort farm Inputs'!A1", "Hort farm Inputs")</f>
        <v>Hort farm Inputs</v>
      </c>
      <c r="D14" s="10" t="s">
        <v>931</v>
      </c>
      <c r="E14" s="47" t="s">
        <v>776</v>
      </c>
      <c r="F14" s="47" t="s">
        <v>777</v>
      </c>
      <c r="G14" s="47" t="s">
        <v>773</v>
      </c>
      <c r="H14" s="66">
        <v>50</v>
      </c>
      <c r="I14" s="47" t="s">
        <v>775</v>
      </c>
    </row>
    <row r="15" spans="1:10" ht="20.100000000000001" customHeight="1" x14ac:dyDescent="0.25">
      <c r="A15" s="16" t="str">
        <f>HYPERLINK("#'Input - Livestock farm Inputs'!A1", "Livestock farm Inputs")</f>
        <v>Livestock farm Inputs</v>
      </c>
      <c r="D15" s="10" t="s">
        <v>932</v>
      </c>
      <c r="E15" s="47" t="s">
        <v>776</v>
      </c>
      <c r="F15" s="47" t="s">
        <v>777</v>
      </c>
      <c r="G15" s="47" t="s">
        <v>773</v>
      </c>
      <c r="H15" s="66">
        <v>50</v>
      </c>
      <c r="I15" s="47" t="s">
        <v>774</v>
      </c>
    </row>
    <row r="16" spans="1:10" ht="20.100000000000001" customHeight="1" x14ac:dyDescent="0.25">
      <c r="A16" s="16" t="str">
        <f>HYPERLINK("#'Input - Aquaculture inputs'!A1", "Aquaculture inputs")</f>
        <v>Aquaculture inputs</v>
      </c>
      <c r="D16" s="10" t="s">
        <v>933</v>
      </c>
      <c r="E16" s="47" t="s">
        <v>776</v>
      </c>
      <c r="F16" s="47" t="s">
        <v>777</v>
      </c>
      <c r="G16" s="47" t="s">
        <v>928</v>
      </c>
      <c r="H16" s="66">
        <v>50</v>
      </c>
      <c r="I16" s="47" t="s">
        <v>775</v>
      </c>
    </row>
    <row r="17" spans="1:11" ht="20.100000000000001" customHeight="1" x14ac:dyDescent="0.25">
      <c r="A17" s="16" t="str">
        <f>HYPERLINK("#'Input - Beef cattle purchases'!A1", "Beef cattle purchases")</f>
        <v>Beef cattle purchases</v>
      </c>
      <c r="D17" s="10" t="s">
        <v>934</v>
      </c>
      <c r="E17" s="47" t="s">
        <v>776</v>
      </c>
      <c r="F17" s="47" t="s">
        <v>777</v>
      </c>
      <c r="G17" s="47" t="s">
        <v>928</v>
      </c>
      <c r="H17" s="66">
        <v>50</v>
      </c>
      <c r="I17" s="47" t="s">
        <v>774</v>
      </c>
    </row>
    <row r="18" spans="1:11" ht="20.100000000000001" customHeight="1" x14ac:dyDescent="0.25">
      <c r="A18" s="16" t="str">
        <f>HYPERLINK("#'Input - Dairy cattle purchases'!A1", "Dairy cattle purchases")</f>
        <v>Dairy cattle purchases</v>
      </c>
      <c r="D18" s="10" t="s">
        <v>935</v>
      </c>
      <c r="E18" s="47" t="s">
        <v>776</v>
      </c>
      <c r="F18" s="47" t="s">
        <v>772</v>
      </c>
      <c r="G18" s="47" t="s">
        <v>773</v>
      </c>
      <c r="H18" s="66">
        <v>50</v>
      </c>
      <c r="I18" s="47" t="s">
        <v>775</v>
      </c>
    </row>
    <row r="19" spans="1:11" ht="20.100000000000001" customHeight="1" x14ac:dyDescent="0.25">
      <c r="A19" s="16" t="str">
        <f>HYPERLINK("#'Input - Pig purchases'!A1", "Pig purchases")</f>
        <v>Pig purchases</v>
      </c>
      <c r="D19" s="10" t="s">
        <v>936</v>
      </c>
      <c r="E19" s="47" t="s">
        <v>776</v>
      </c>
      <c r="F19" s="47" t="s">
        <v>772</v>
      </c>
      <c r="G19" s="47" t="s">
        <v>773</v>
      </c>
      <c r="H19" s="66">
        <v>50</v>
      </c>
      <c r="I19" s="47" t="s">
        <v>774</v>
      </c>
    </row>
    <row r="20" spans="1:11" ht="20.100000000000001" customHeight="1" x14ac:dyDescent="0.25">
      <c r="A20" s="16" t="str">
        <f>HYPERLINK("#'Input - Poultry purchases'!A1", "Poultry purchases")</f>
        <v>Poultry purchases</v>
      </c>
      <c r="D20" s="10" t="s">
        <v>937</v>
      </c>
      <c r="E20" s="47" t="s">
        <v>776</v>
      </c>
      <c r="F20" s="47" t="s">
        <v>772</v>
      </c>
      <c r="G20" s="47" t="s">
        <v>928</v>
      </c>
      <c r="H20" s="66">
        <v>50</v>
      </c>
      <c r="I20" s="47" t="s">
        <v>775</v>
      </c>
    </row>
    <row r="21" spans="1:11" ht="20.100000000000001" customHeight="1" x14ac:dyDescent="0.25">
      <c r="A21" s="16" t="str">
        <f>HYPERLINK("#'Input - Freight'!A1", "Freight")</f>
        <v>Freight</v>
      </c>
      <c r="D21" s="10" t="s">
        <v>938</v>
      </c>
      <c r="E21" s="47" t="s">
        <v>776</v>
      </c>
      <c r="F21" s="47" t="s">
        <v>772</v>
      </c>
      <c r="G21" s="47" t="s">
        <v>928</v>
      </c>
      <c r="H21" s="66">
        <v>50</v>
      </c>
      <c r="I21" s="47" t="s">
        <v>774</v>
      </c>
    </row>
    <row r="22" spans="1:11" ht="20.100000000000001" customHeight="1" x14ac:dyDescent="0.25">
      <c r="A22" s="42" t="str">
        <f>HYPERLINK("#'Input - Solid waste'!A1", "Solid waste")</f>
        <v>Solid waste</v>
      </c>
      <c r="D22" s="10" t="s">
        <v>939</v>
      </c>
      <c r="E22" s="47" t="s">
        <v>776</v>
      </c>
      <c r="F22" s="47" t="s">
        <v>940</v>
      </c>
      <c r="G22" s="47" t="s">
        <v>773</v>
      </c>
      <c r="H22" s="66">
        <v>50</v>
      </c>
      <c r="I22" s="47" t="s">
        <v>775</v>
      </c>
    </row>
    <row r="23" spans="1:11" ht="20.100000000000001" customHeight="1" x14ac:dyDescent="0.25">
      <c r="A23" s="16" t="str">
        <f>HYPERLINK("#'Input - Manure sent off-site'!A1", "Manure sent off-site")</f>
        <v>Manure sent off-site</v>
      </c>
      <c r="D23" s="10" t="s">
        <v>941</v>
      </c>
      <c r="E23" s="47" t="s">
        <v>776</v>
      </c>
      <c r="F23" s="47" t="s">
        <v>940</v>
      </c>
      <c r="G23" s="47" t="s">
        <v>773</v>
      </c>
      <c r="H23" s="66">
        <v>50</v>
      </c>
      <c r="I23" s="47" t="s">
        <v>774</v>
      </c>
    </row>
    <row r="24" spans="1:11" ht="20.100000000000001" customHeight="1" x14ac:dyDescent="0.25">
      <c r="A24" s="16" t="str">
        <f>HYPERLINK("#'Input - Electricity'!A1", "Electricity")</f>
        <v>Electricity</v>
      </c>
      <c r="D24" s="10" t="s">
        <v>942</v>
      </c>
      <c r="E24" s="47" t="s">
        <v>776</v>
      </c>
      <c r="F24" s="47" t="s">
        <v>940</v>
      </c>
      <c r="G24" s="47" t="s">
        <v>928</v>
      </c>
      <c r="H24" s="66">
        <v>50</v>
      </c>
      <c r="I24" s="47" t="s">
        <v>775</v>
      </c>
    </row>
    <row r="25" spans="1:11" ht="20.100000000000001" customHeight="1" x14ac:dyDescent="0.25">
      <c r="A25"/>
      <c r="D25" s="10" t="s">
        <v>943</v>
      </c>
      <c r="E25" s="47" t="s">
        <v>776</v>
      </c>
      <c r="F25" s="47" t="s">
        <v>940</v>
      </c>
      <c r="G25" s="47" t="s">
        <v>928</v>
      </c>
      <c r="H25" s="66">
        <v>50</v>
      </c>
      <c r="I25" s="47" t="s">
        <v>774</v>
      </c>
    </row>
    <row r="26" spans="1:11" ht="20.100000000000001" customHeight="1" x14ac:dyDescent="0.25">
      <c r="A26"/>
      <c r="D26" s="10" t="s">
        <v>944</v>
      </c>
      <c r="E26" s="47" t="s">
        <v>771</v>
      </c>
      <c r="F26" s="47" t="s">
        <v>772</v>
      </c>
      <c r="G26" s="47" t="s">
        <v>928</v>
      </c>
      <c r="H26" s="66">
        <v>50</v>
      </c>
      <c r="I26" s="47" t="s">
        <v>775</v>
      </c>
    </row>
    <row r="27" spans="1:11" ht="20.100000000000001" customHeight="1" x14ac:dyDescent="0.25">
      <c r="A27" s="21" t="s">
        <v>77</v>
      </c>
      <c r="D27" s="10" t="s">
        <v>945</v>
      </c>
      <c r="E27" s="47" t="s">
        <v>771</v>
      </c>
      <c r="F27" s="47" t="s">
        <v>772</v>
      </c>
      <c r="G27" s="47" t="s">
        <v>928</v>
      </c>
      <c r="H27" s="66">
        <v>50</v>
      </c>
      <c r="I27" s="47" t="s">
        <v>774</v>
      </c>
    </row>
    <row r="28" spans="1:11" ht="20.100000000000001" customHeight="1" x14ac:dyDescent="0.25">
      <c r="A28" s="16" t="str">
        <f>HYPERLINK("#'15 Scope 3'!A1", "15 Scope 3")</f>
        <v>15 Scope 3</v>
      </c>
      <c r="D28" s="10" t="s">
        <v>946</v>
      </c>
      <c r="E28" s="47" t="s">
        <v>771</v>
      </c>
      <c r="F28" s="47" t="s">
        <v>940</v>
      </c>
      <c r="G28" s="47" t="s">
        <v>928</v>
      </c>
      <c r="H28" s="66">
        <v>50</v>
      </c>
      <c r="I28" s="47" t="s">
        <v>775</v>
      </c>
    </row>
    <row r="29" spans="1:11" ht="20.100000000000001" customHeight="1" x14ac:dyDescent="0.25">
      <c r="A29" s="16" t="str">
        <f>HYPERLINK("#'10.1.1-2 Solid waste treatment'!A1", "10.1.1-2 Solid waste treatment")</f>
        <v>10.1.1-2 Solid waste treatment</v>
      </c>
      <c r="D29" s="10" t="s">
        <v>947</v>
      </c>
      <c r="E29" s="47" t="s">
        <v>771</v>
      </c>
      <c r="F29" s="47" t="s">
        <v>940</v>
      </c>
      <c r="G29" s="47" t="s">
        <v>928</v>
      </c>
      <c r="H29" s="66">
        <v>50</v>
      </c>
      <c r="I29" s="47" t="s">
        <v>774</v>
      </c>
      <c r="K29" s="52"/>
    </row>
    <row r="30" spans="1:11" ht="20.100000000000001" customHeight="1" x14ac:dyDescent="0.25">
      <c r="A30" s="16" t="str">
        <f>HYPERLINK("#'Calcs - Manure sent off-site'!A1", "Calcs - Manure sent off-site")</f>
        <v>Calcs - Manure sent off-site</v>
      </c>
      <c r="D30" s="10" t="s">
        <v>948</v>
      </c>
      <c r="E30" s="47" t="s">
        <v>771</v>
      </c>
      <c r="F30" s="47" t="s">
        <v>940</v>
      </c>
      <c r="G30" s="47" t="s">
        <v>773</v>
      </c>
      <c r="H30" s="66">
        <v>50</v>
      </c>
      <c r="I30" s="47" t="s">
        <v>775</v>
      </c>
      <c r="K30" s="52"/>
    </row>
    <row r="31" spans="1:11" ht="20.100000000000001" customHeight="1" x14ac:dyDescent="0.25">
      <c r="A31" s="16" t="str">
        <f>HYPERLINK("#'8.1.1.1-2 Transport fuel'!A1", "8.1.1.1-2 Transport fuel")</f>
        <v>8.1.1.1-2 Transport fuel</v>
      </c>
      <c r="D31" s="10" t="s">
        <v>949</v>
      </c>
      <c r="E31" s="47" t="s">
        <v>771</v>
      </c>
      <c r="F31" s="47" t="s">
        <v>940</v>
      </c>
      <c r="G31" s="47" t="s">
        <v>773</v>
      </c>
      <c r="H31" s="66">
        <v>50</v>
      </c>
      <c r="I31" s="47" t="s">
        <v>774</v>
      </c>
      <c r="K31" s="52"/>
    </row>
    <row r="32" spans="1:11" ht="20.100000000000001" customHeight="1" x14ac:dyDescent="0.25">
      <c r="A32" s="16" t="str">
        <f>HYPERLINK("#'8.2.1.1-2 Stationary fuel'!A1", "8.2.1.1-2 Stationary fuel")</f>
        <v>8.2.1.1-2 Stationary fuel</v>
      </c>
      <c r="D32" s="10" t="s">
        <v>947</v>
      </c>
      <c r="E32" s="47" t="s">
        <v>771</v>
      </c>
      <c r="F32" s="47" t="s">
        <v>940</v>
      </c>
      <c r="G32" s="47" t="s">
        <v>928</v>
      </c>
      <c r="H32" s="66">
        <v>50</v>
      </c>
      <c r="I32" s="47" t="s">
        <v>774</v>
      </c>
      <c r="K32" s="52"/>
    </row>
    <row r="33" spans="1:12" ht="20.100000000000001" customHeight="1" x14ac:dyDescent="0.25">
      <c r="A33"/>
      <c r="K33" s="52"/>
    </row>
    <row r="34" spans="1:12" ht="20.100000000000001" customHeight="1" x14ac:dyDescent="0.25">
      <c r="A34"/>
      <c r="K34" s="52"/>
    </row>
    <row r="35" spans="1:12" ht="20.100000000000001" customHeight="1" x14ac:dyDescent="0.25">
      <c r="A35" s="222" t="s">
        <v>78</v>
      </c>
    </row>
    <row r="36" spans="1:12" ht="20.100000000000001" customHeight="1" x14ac:dyDescent="0.25">
      <c r="A36" s="16" t="str">
        <f>HYPERLINK("#'Constants - Scope 3'!A1", "Constants - Scope 3")</f>
        <v>Constants - Scope 3</v>
      </c>
      <c r="L36" s="52"/>
    </row>
    <row r="37" spans="1:12" ht="20.100000000000001" customHeight="1" x14ac:dyDescent="0.25">
      <c r="A37" s="16" t="str">
        <f>HYPERLINK("#'Constants - Solid Waste'!A1", "Constants - Solid Waste")</f>
        <v>Constants - Solid Waste</v>
      </c>
      <c r="L37" s="52"/>
    </row>
    <row r="38" spans="1:12" ht="20.100000000000001" customHeight="1" x14ac:dyDescent="0.25">
      <c r="A38" s="16" t="str">
        <f>HYPERLINK("#'Constants - Fuel'!A1", "Constants - Fuel")</f>
        <v>Constants - Fuel</v>
      </c>
      <c r="C38" s="51"/>
    </row>
    <row r="39" spans="1:12" ht="20.100000000000001" customHeight="1" x14ac:dyDescent="0.25">
      <c r="A39" s="16" t="str">
        <f>HYPERLINK("#'Constants - Poultry'!A1", "Constants - Poultry")</f>
        <v>Constants - Poultry</v>
      </c>
      <c r="C39" s="51"/>
      <c r="J39" s="51"/>
    </row>
    <row r="40" spans="1:12" s="52" customFormat="1" ht="20.100000000000001" customHeight="1" x14ac:dyDescent="0.25">
      <c r="A40" s="16" t="str">
        <f>HYPERLINK("#'Constants - Swine'!A1", "Constants - Swine")</f>
        <v>Constants - Swine</v>
      </c>
      <c r="C40" s="8"/>
      <c r="D40" s="8"/>
      <c r="E40" s="8"/>
      <c r="F40" s="8"/>
      <c r="G40" s="8"/>
      <c r="H40" s="8"/>
      <c r="I40" s="8"/>
      <c r="J40" s="8"/>
    </row>
    <row r="41" spans="1:12" s="52" customFormat="1" ht="20.100000000000001" customHeight="1" x14ac:dyDescent="0.25">
      <c r="A41" s="16" t="str">
        <f>HYPERLINK("#'Constants - Dairy'!A1", "Constants - Dairy")</f>
        <v>Constants - Dairy</v>
      </c>
      <c r="C41" s="8"/>
      <c r="D41" s="8"/>
      <c r="E41" s="8"/>
      <c r="F41" s="8"/>
      <c r="G41" s="8"/>
      <c r="H41" s="8"/>
      <c r="I41" s="8"/>
      <c r="J41" s="8"/>
      <c r="L41" s="52" t="s">
        <v>252</v>
      </c>
    </row>
    <row r="42" spans="1:12" ht="20.100000000000001" customHeight="1" x14ac:dyDescent="0.25">
      <c r="A42" s="16" t="str">
        <f>HYPERLINK("#'Constants - Pasture Beef'!A1", "Constants - Pasture Beef")</f>
        <v>Constants - Pasture Beef</v>
      </c>
    </row>
    <row r="43" spans="1:12" ht="20.100000000000001" customHeight="1" x14ac:dyDescent="0.25">
      <c r="A43" s="16" t="str">
        <f>HYPERLINK("#'Constants - Common Livestock'!A1", "Constants - Common Livestock")</f>
        <v>Constants - Common Livestock</v>
      </c>
    </row>
    <row r="44" spans="1:12" ht="20.100000000000001" customHeight="1" x14ac:dyDescent="0.25">
      <c r="A44" s="16" t="str">
        <f>HYPERLINK("#'Constants - Fertiliser'!A1", "Constants - Fertiliser")</f>
        <v>Constants - Fertiliser</v>
      </c>
    </row>
    <row r="45" spans="1:12" ht="20.100000000000001" customHeight="1" x14ac:dyDescent="0.25">
      <c r="A45" s="16" t="str">
        <f>HYPERLINK("#'Constants - Electricity'!A1", "Constants - Electricity")</f>
        <v>Constants - Electricity</v>
      </c>
    </row>
    <row r="46" spans="1:12" ht="20.100000000000001" customHeight="1" x14ac:dyDescent="0.25">
      <c r="A46" s="16" t="str">
        <f>HYPERLINK("#'Constants - Common'!A1", "Constants - Common")</f>
        <v>Constants - Common</v>
      </c>
    </row>
    <row r="47" spans="1:12" ht="20.100000000000001" customHeight="1" x14ac:dyDescent="0.25">
      <c r="A47"/>
    </row>
    <row r="48" spans="1:12"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4" ht="20.100000000000001" customHeight="1" x14ac:dyDescent="0.25">
      <c r="A65"/>
    </row>
    <row r="66" spans="1:4" ht="20.100000000000001" customHeight="1" x14ac:dyDescent="0.25">
      <c r="A66"/>
    </row>
    <row r="67" spans="1:4" ht="20.100000000000001" customHeight="1" x14ac:dyDescent="0.25">
      <c r="A67"/>
    </row>
    <row r="68" spans="1:4" ht="20.100000000000001" customHeight="1" x14ac:dyDescent="0.25">
      <c r="A68"/>
    </row>
    <row r="69" spans="1:4" ht="20.100000000000001" customHeight="1" x14ac:dyDescent="0.25">
      <c r="A69"/>
    </row>
    <row r="70" spans="1:4" ht="20.100000000000001" customHeight="1" x14ac:dyDescent="0.25">
      <c r="A70"/>
    </row>
    <row r="71" spans="1:4" ht="20.100000000000001" customHeight="1" x14ac:dyDescent="0.25">
      <c r="A71"/>
    </row>
    <row r="72" spans="1:4" ht="20.100000000000001" customHeight="1" x14ac:dyDescent="0.25">
      <c r="A72"/>
    </row>
    <row r="73" spans="1:4" ht="20.100000000000001" customHeight="1" x14ac:dyDescent="0.25">
      <c r="A73"/>
      <c r="D73" s="101"/>
    </row>
    <row r="74" spans="1:4" ht="20.100000000000001" customHeight="1" x14ac:dyDescent="0.25">
      <c r="A74"/>
    </row>
    <row r="75" spans="1:4" ht="20.100000000000001" customHeight="1" x14ac:dyDescent="0.25">
      <c r="A75"/>
      <c r="D75" s="101"/>
    </row>
    <row r="76" spans="1:4" ht="20.100000000000001" customHeight="1" x14ac:dyDescent="0.25">
      <c r="A76"/>
      <c r="D76" s="101"/>
    </row>
    <row r="77" spans="1:4" ht="20.100000000000001" customHeight="1" x14ac:dyDescent="0.25">
      <c r="A77"/>
    </row>
    <row r="78" spans="1:4" ht="20.100000000000001" customHeight="1" x14ac:dyDescent="0.25">
      <c r="A78"/>
    </row>
    <row r="79" spans="1:4" ht="20.100000000000001" customHeight="1" x14ac:dyDescent="0.25">
      <c r="A79"/>
    </row>
    <row r="80" spans="1:4"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54"/>
    </row>
  </sheetData>
  <conditionalFormatting sqref="F162:F163">
    <cfRule type="cellIs" dxfId="70" priority="7" operator="lessThan">
      <formula>0</formula>
    </cfRule>
  </conditionalFormatting>
  <conditionalFormatting sqref="F174:F175">
    <cfRule type="cellIs" dxfId="69" priority="6" operator="lessThan">
      <formula>0</formula>
    </cfRule>
  </conditionalFormatting>
  <conditionalFormatting sqref="F186:F187">
    <cfRule type="cellIs" dxfId="68" priority="5" operator="lessThan">
      <formula>0</formula>
    </cfRule>
  </conditionalFormatting>
  <conditionalFormatting sqref="F274:F275">
    <cfRule type="cellIs" dxfId="67" priority="17" operator="lessThan">
      <formula>0</formula>
    </cfRule>
  </conditionalFormatting>
  <conditionalFormatting sqref="F279:F280">
    <cfRule type="cellIs" dxfId="66" priority="16" operator="lessThan">
      <formula>0</formula>
    </cfRule>
  </conditionalFormatting>
  <conditionalFormatting sqref="F284:F285">
    <cfRule type="cellIs" dxfId="65" priority="15" operator="lessThan">
      <formula>0</formula>
    </cfRule>
  </conditionalFormatting>
  <conditionalFormatting sqref="F308:F309">
    <cfRule type="cellIs" dxfId="64" priority="14" operator="lessThan">
      <formula>0</formula>
    </cfRule>
  </conditionalFormatting>
  <conditionalFormatting sqref="F313:F314">
    <cfRule type="cellIs" dxfId="63" priority="13" operator="lessThan">
      <formula>0</formula>
    </cfRule>
  </conditionalFormatting>
  <conditionalFormatting sqref="F318:F319">
    <cfRule type="cellIs" dxfId="62" priority="12" operator="lessThan">
      <formula>0</formula>
    </cfRule>
  </conditionalFormatting>
  <conditionalFormatting sqref="I33 F71">
    <cfRule type="cellIs" dxfId="61" priority="9" operator="lessThan">
      <formula>0</formula>
    </cfRule>
  </conditionalFormatting>
  <conditionalFormatting sqref="I79:I83">
    <cfRule type="cellIs" dxfId="60" priority="4" operator="lessThan">
      <formula>0</formula>
    </cfRule>
  </conditionalFormatting>
  <conditionalFormatting sqref="I87 I146">
    <cfRule type="cellIs" dxfId="59" priority="10" operator="lessThan">
      <formula>0</formula>
    </cfRule>
  </conditionalFormatting>
  <conditionalFormatting sqref="I98:I100">
    <cfRule type="cellIs" dxfId="58" priority="3" operator="lessThan">
      <formula>0</formula>
    </cfRule>
  </conditionalFormatting>
  <conditionalFormatting sqref="I104:I107">
    <cfRule type="cellIs" dxfId="57" priority="2" operator="lessThan">
      <formula>0</formula>
    </cfRule>
  </conditionalFormatting>
  <conditionalFormatting sqref="I111:I115">
    <cfRule type="cellIs" dxfId="56" priority="1" operator="lessThan">
      <formula>0</formula>
    </cfRule>
  </conditionalFormatting>
  <conditionalFormatting sqref="J8 I65:I66 H67:H69 I68 I70:I72 I74:I75 I226 I232 E234:G234">
    <cfRule type="cellIs" dxfId="55" priority="11" operator="lessThan">
      <formula>0</formula>
    </cfRule>
  </conditionalFormatting>
  <conditionalFormatting sqref="J37 I59 F150:F151">
    <cfRule type="cellIs" dxfId="54" priority="8" operator="lessThan">
      <formula>0</formula>
    </cfRule>
  </conditionalFormatting>
  <dataValidations count="9">
    <dataValidation type="list" allowBlank="1" showInputMessage="1" showErrorMessage="1" sqref="F10:F32" xr:uid="{87155296-5815-403A-ABB4-ABC3C9D2B128}">
      <formula1>INDIRECT("Table_WasteTypes_" &amp; SUBSTITUTE(E10, " ", "") &amp; "[Waste type w]")</formula1>
    </dataValidation>
    <dataValidation type="list" allowBlank="1" showInputMessage="1" showErrorMessage="1" sqref="I10:I32" xr:uid="{8BC5C56E-1365-4CF3-B7D6-2FBB2E482AF2}">
      <formula1>"tonnes, cubic metres m3"</formula1>
    </dataValidation>
    <dataValidation type="list" allowBlank="1" showInputMessage="1" showErrorMessage="1" sqref="G10:G32" xr:uid="{2882D8E6-4EAE-4C42-AC50-EAC4EF9A87EE}">
      <formula1>"Treated on-site, Removed and treated off-site"</formula1>
    </dataValidation>
    <dataValidation type="list" allowBlank="1" showInputMessage="1" showErrorMessage="1" sqref="E10:E32" xr:uid="{434FB77E-84E2-4282-ACC3-D73D6D0DB5CB}">
      <formula1>INDIRECT(_xlfn.UNIQUE("Table_SourceData_WasteSolid_WasteTreatmentEFs[Treatment type t]"))</formula1>
    </dataValidation>
    <dataValidation type="list" allowBlank="1" showInputMessage="1" showErrorMessage="1" sqref="E35" xr:uid="{15992C94-337A-4BAA-BC66-6A7A62F4277B}">
      <formula1>INDIRECT("Table_SourceData_ElectricityEFs[State, Territory or grid description]")</formula1>
    </dataValidation>
    <dataValidation type="list" allowBlank="1" showInputMessage="1" showErrorMessage="1" sqref="E89" xr:uid="{2089E19F-34C4-4160-8DA5-65DABEF95A14}">
      <formula1>INDIRECT("Table_SourceData_Swine_IrrigationMethods[Irrigation method]")</formula1>
    </dataValidation>
    <dataValidation type="list" allowBlank="1" showInputMessage="1" showErrorMessage="1" sqref="E273 E278 E283 E317 E312 E307 E185 E173 E149 E161" xr:uid="{18AA96FF-63B6-4407-939B-74347A9437B0}">
      <formula1>"Yes, No"</formula1>
    </dataValidation>
    <dataValidation type="list" allowBlank="1" showInputMessage="1" showErrorMessage="1" sqref="E249" xr:uid="{4E6EDDA3-4528-47E2-99C4-3FFEFF67CB7D}">
      <formula1>INDIRECT("Table_SourceData_Dairy_ProductionSystemTemplates[Area]")</formula1>
    </dataValidation>
    <dataValidation type="list" allowBlank="1" showInputMessage="1" showErrorMessage="1" sqref="D301" xr:uid="{3CCC2C72-D7C0-4669-A094-34581A79ED08}">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A1:K46"/>
  <sheetViews>
    <sheetView showGridLines="0" zoomScaleNormal="100" workbookViewId="0">
      <selection activeCell="A46" sqref="A46"/>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25.5" x14ac:dyDescent="0.35">
      <c r="A1" s="37" t="e" vm="1">
        <v>#VALUE!</v>
      </c>
      <c r="C1" s="37" t="s">
        <v>837</v>
      </c>
      <c r="D1" s="37"/>
      <c r="E1" s="37"/>
      <c r="F1" s="37"/>
      <c r="G1" s="37"/>
      <c r="H1" s="37"/>
      <c r="I1" s="37"/>
      <c r="J1" s="37"/>
      <c r="K1" s="37"/>
    </row>
    <row r="2" spans="1:11" s="2" customFormat="1" x14ac:dyDescent="0.25">
      <c r="A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ht="23.25" x14ac:dyDescent="0.25">
      <c r="D5" s="9" t="s">
        <v>733</v>
      </c>
    </row>
    <row r="7" spans="1:11" x14ac:dyDescent="0.25">
      <c r="A7" s="19" t="s">
        <v>67</v>
      </c>
      <c r="D7" s="8" t="s">
        <v>755</v>
      </c>
    </row>
    <row r="8" spans="1:11" ht="18.75" x14ac:dyDescent="0.25">
      <c r="A8" s="16" t="str">
        <f>HYPERLINK("#'Input - Site'!A1", "Site")</f>
        <v>Site</v>
      </c>
      <c r="D8" s="8" t="s">
        <v>756</v>
      </c>
    </row>
    <row r="9" spans="1:11" x14ac:dyDescent="0.25">
      <c r="A9" s="16" t="str">
        <f>HYPERLINK("#'Input - Fuel'!A1", "Fuel")</f>
        <v>Fuel</v>
      </c>
    </row>
    <row r="10" spans="1:11" x14ac:dyDescent="0.25">
      <c r="A10" s="16" t="str">
        <f>HYPERLINK("#'Input - Fertiliser'!A1", "Fertiliser")</f>
        <v>Fertiliser</v>
      </c>
      <c r="D10" s="8" t="s">
        <v>838</v>
      </c>
      <c r="F10" s="66">
        <v>1000</v>
      </c>
      <c r="G10" s="65" t="s">
        <v>734</v>
      </c>
    </row>
    <row r="11" spans="1:11" x14ac:dyDescent="0.25">
      <c r="A11" s="16" t="str">
        <f>HYPERLINK("#'Input - Common farm inputs'!A1", "Common farm inputs")</f>
        <v>Common farm inputs</v>
      </c>
      <c r="D11" s="8" t="s">
        <v>839</v>
      </c>
      <c r="F11" s="66">
        <v>2000</v>
      </c>
      <c r="G11" s="65" t="s">
        <v>734</v>
      </c>
    </row>
    <row r="12" spans="1:11" x14ac:dyDescent="0.25">
      <c r="A12" s="16" t="str">
        <f>HYPERLINK("#'Input - Processing inputs'!A1", "Processing inputs")</f>
        <v>Processing inputs</v>
      </c>
    </row>
    <row r="13" spans="1:11" x14ac:dyDescent="0.25">
      <c r="A13" s="16" t="str">
        <f>HYPERLINK("#'Input - Crop pasture farm input'!A1", "Crop pasture farm input")</f>
        <v>Crop pasture farm input</v>
      </c>
      <c r="D13" s="8" t="s">
        <v>735</v>
      </c>
      <c r="F13" s="47" t="s">
        <v>149</v>
      </c>
      <c r="G13" s="65" t="s">
        <v>190</v>
      </c>
    </row>
    <row r="14" spans="1:11" x14ac:dyDescent="0.25">
      <c r="A14" s="16" t="str">
        <f>HYPERLINK("#'Input - Hort farm Inputs'!A1", "Hort farm Inputs")</f>
        <v>Hort farm Inputs</v>
      </c>
      <c r="D14" s="8" t="s">
        <v>739</v>
      </c>
      <c r="F14" s="47" t="s">
        <v>154</v>
      </c>
      <c r="G14" s="65" t="s">
        <v>190</v>
      </c>
    </row>
    <row r="15" spans="1:11" x14ac:dyDescent="0.25">
      <c r="A15" s="16" t="str">
        <f>HYPERLINK("#'Input - Livestock farm Inputs'!A1", "Livestock farm Inputs")</f>
        <v>Livestock farm Inputs</v>
      </c>
    </row>
    <row r="16" spans="1:11" x14ac:dyDescent="0.25">
      <c r="A16" s="16" t="str">
        <f>HYPERLINK("#'Input - Aquaculture inputs'!A1", "Aquaculture inputs")</f>
        <v>Aquaculture inputs</v>
      </c>
    </row>
    <row r="17" spans="1:1" x14ac:dyDescent="0.25">
      <c r="A17" s="16" t="str">
        <f>HYPERLINK("#'Input - Beef cattle purchases'!A1", "Beef cattle purchases")</f>
        <v>Beef cattle purchases</v>
      </c>
    </row>
    <row r="18" spans="1:1" x14ac:dyDescent="0.25">
      <c r="A18" s="16" t="str">
        <f>HYPERLINK("#'Input - Dairy cattle purchases'!A1", "Dairy cattle purchases")</f>
        <v>Dairy cattle purchases</v>
      </c>
    </row>
    <row r="19" spans="1:1" x14ac:dyDescent="0.25">
      <c r="A19" s="16" t="str">
        <f>HYPERLINK("#'Input - Pig purchases'!A1", "Pig purchases")</f>
        <v>Pig purchases</v>
      </c>
    </row>
    <row r="20" spans="1:1" x14ac:dyDescent="0.25">
      <c r="A20" s="16" t="str">
        <f>HYPERLINK("#'Input - Poultry purchases'!A1", "Poultry purchases")</f>
        <v>Poultry purchases</v>
      </c>
    </row>
    <row r="21" spans="1:1" x14ac:dyDescent="0.25">
      <c r="A21" s="16" t="str">
        <f>HYPERLINK("#'Input - Freight'!A1", "Freight")</f>
        <v>Freight</v>
      </c>
    </row>
    <row r="22" spans="1:1" x14ac:dyDescent="0.25">
      <c r="A22" s="16" t="str">
        <f>HYPERLINK("#'Input - Solid waste'!A1", "Solid waste")</f>
        <v>Solid waste</v>
      </c>
    </row>
    <row r="23" spans="1:1" x14ac:dyDescent="0.25">
      <c r="A23" s="42" t="str">
        <f>HYPERLINK("#'Input - Manure sent off-site'!A1", "Manure sent off-site")</f>
        <v>Manure sent off-site</v>
      </c>
    </row>
    <row r="24" spans="1:1" x14ac:dyDescent="0.25">
      <c r="A24" s="16" t="str">
        <f>HYPERLINK("#'Input - Electricity'!A1", "Electricity")</f>
        <v>Electricity</v>
      </c>
    </row>
    <row r="27" spans="1:1" x14ac:dyDescent="0.25">
      <c r="A27" s="21" t="s">
        <v>77</v>
      </c>
    </row>
    <row r="28" spans="1:1" x14ac:dyDescent="0.25">
      <c r="A28" s="16" t="str">
        <f>HYPERLINK("#'15 Scope 3'!A1", "15 Scope 3")</f>
        <v>15 Scope 3</v>
      </c>
    </row>
    <row r="29" spans="1:1" x14ac:dyDescent="0.25">
      <c r="A29" s="16" t="str">
        <f>HYPERLINK("#'10.1.1-2 Solid waste treatment'!A1", "10.1.1-2 Solid waste treatment")</f>
        <v>10.1.1-2 Solid waste treatment</v>
      </c>
    </row>
    <row r="30" spans="1:1" x14ac:dyDescent="0.25">
      <c r="A30" s="16" t="str">
        <f>HYPERLINK("#'Calcs - Manure sent off-site'!A1", "Calcs - Manure sent off-site")</f>
        <v>Calcs - Manure sent off-site</v>
      </c>
    </row>
    <row r="31" spans="1:1" x14ac:dyDescent="0.25">
      <c r="A31" s="16" t="str">
        <f>HYPERLINK("#'8.1.1.1-2 Transport fuel'!A1", "8.1.1.1-2 Transport fuel")</f>
        <v>8.1.1.1-2 Transport fuel</v>
      </c>
    </row>
    <row r="32" spans="1:1" x14ac:dyDescent="0.25">
      <c r="A32" s="16" t="str">
        <f>HYPERLINK("#'8.2.1.1-2 Stationary fuel'!A1", "8.2.1.1-2 Stationary fuel")</f>
        <v>8.2.1.1-2 Stationary fuel</v>
      </c>
    </row>
    <row r="35" spans="1:1" x14ac:dyDescent="0.25">
      <c r="A35" s="222" t="s">
        <v>78</v>
      </c>
    </row>
    <row r="36" spans="1:1" x14ac:dyDescent="0.25">
      <c r="A36" s="16" t="str">
        <f>HYPERLINK("#'Constants - Scope 3'!A1", "Constants - Scope 3")</f>
        <v>Constants - Scope 3</v>
      </c>
    </row>
    <row r="37" spans="1:1" x14ac:dyDescent="0.25">
      <c r="A37" s="16" t="str">
        <f>HYPERLINK("#'Constants - Solid Waste'!A1", "Constants - Solid Waste")</f>
        <v>Constants - Solid Waste</v>
      </c>
    </row>
    <row r="38" spans="1:1" x14ac:dyDescent="0.25">
      <c r="A38" s="16" t="str">
        <f>HYPERLINK("#'Constants - Fuel'!A1", "Constants - Fuel")</f>
        <v>Constants - Fuel</v>
      </c>
    </row>
    <row r="39" spans="1:1" x14ac:dyDescent="0.25">
      <c r="A39" s="16" t="str">
        <f>HYPERLINK("#'Constants - Poultry'!A1", "Constants - Poultry")</f>
        <v>Constants - Poultry</v>
      </c>
    </row>
    <row r="40" spans="1:1" x14ac:dyDescent="0.25">
      <c r="A40" s="16" t="str">
        <f>HYPERLINK("#'Constants - Swine'!A1", "Constants - Swine")</f>
        <v>Constants - Swine</v>
      </c>
    </row>
    <row r="41" spans="1:1" x14ac:dyDescent="0.25">
      <c r="A41" s="16" t="str">
        <f>HYPERLINK("#'Constants - Dairy'!A1", "Constants - Dairy")</f>
        <v>Constants - Dairy</v>
      </c>
    </row>
    <row r="42" spans="1:1" x14ac:dyDescent="0.25">
      <c r="A42" s="16" t="str">
        <f>HYPERLINK("#'Constants - Pasture Beef'!A1", "Constants - Pasture Beef")</f>
        <v>Constants - Pasture Beef</v>
      </c>
    </row>
    <row r="43" spans="1:1" x14ac:dyDescent="0.25">
      <c r="A43" s="16" t="str">
        <f>HYPERLINK("#'Constants - Common Livestock'!A1", "Constants - Common Livestock")</f>
        <v>Constants - Common Livestock</v>
      </c>
    </row>
    <row r="44" spans="1:1" x14ac:dyDescent="0.25">
      <c r="A44" s="16" t="str">
        <f>HYPERLINK("#'Constants - Fertiliser'!A1", "Constants - Fertiliser")</f>
        <v>Constants - Fertiliser</v>
      </c>
    </row>
    <row r="45" spans="1:1" x14ac:dyDescent="0.25">
      <c r="A45" s="16" t="str">
        <f>HYPERLINK("#'Constants - Electricity'!A1", "Constants - Electricity")</f>
        <v>Constants - Electricity</v>
      </c>
    </row>
    <row r="46" spans="1:1" x14ac:dyDescent="0.25">
      <c r="A46" s="16" t="str">
        <f>HYPERLINK("#'Constants - Common'!A1", "Constants - Common")</f>
        <v>Constants - Common</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4273-CA7B-43EB-8337-A9C687F991D3}">
  <dimension ref="A1:L365"/>
  <sheetViews>
    <sheetView showGridLines="0" topLeftCell="A24" zoomScaleNormal="100" workbookViewId="0">
      <selection activeCell="A46" sqref="A46"/>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225</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8" t="s">
        <v>825</v>
      </c>
      <c r="E5" s="47" t="s">
        <v>826</v>
      </c>
      <c r="F5" s="65" t="s">
        <v>190</v>
      </c>
    </row>
    <row r="6" spans="1:10" ht="20.100000000000001" customHeight="1" x14ac:dyDescent="0.25">
      <c r="A6"/>
      <c r="E6" s="54"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16" t="str">
        <f>HYPERLINK("#'Input - Site'!A1", "Site")</f>
        <v>Site</v>
      </c>
      <c r="C8" s="98"/>
      <c r="D8" s="98"/>
      <c r="E8" s="98"/>
      <c r="F8" s="98"/>
      <c r="G8" s="98"/>
      <c r="H8" s="98"/>
      <c r="I8" s="98"/>
      <c r="J8" s="98"/>
    </row>
    <row r="9" spans="1:10" ht="20.100000000000001" customHeight="1" x14ac:dyDescent="0.25">
      <c r="A9" s="16" t="str">
        <f>HYPERLINK("#'Input - Fuel'!A1", "Fuel")</f>
        <v>Fuel</v>
      </c>
      <c r="D9" s="9" t="s">
        <v>226</v>
      </c>
    </row>
    <row r="10" spans="1:10" ht="20.100000000000001" customHeight="1" x14ac:dyDescent="0.25">
      <c r="A10" s="16" t="str">
        <f>HYPERLINK("#'Input - Fertiliser'!A1", "Fertiliser")</f>
        <v>Fertiliser</v>
      </c>
    </row>
    <row r="11" spans="1:10" ht="20.100000000000001" customHeight="1" x14ac:dyDescent="0.25">
      <c r="A11" s="16" t="str">
        <f>HYPERLINK("#'Input - Common farm inputs'!A1", "Common farm inputs")</f>
        <v>Common farm inputs</v>
      </c>
      <c r="D11" s="71" t="s">
        <v>227</v>
      </c>
    </row>
    <row r="12" spans="1:10" ht="20.100000000000001" customHeight="1" x14ac:dyDescent="0.25">
      <c r="A12" s="16" t="str">
        <f>HYPERLINK("#'Input - Processing inputs'!A1", "Processing inputs")</f>
        <v>Processing inputs</v>
      </c>
    </row>
    <row r="13" spans="1:10" ht="20.100000000000001" customHeight="1" x14ac:dyDescent="0.25">
      <c r="A13" s="16" t="str">
        <f>HYPERLINK("#'Input - Crop pasture farm input'!A1", "Crop pasture farm input")</f>
        <v>Crop pasture farm input</v>
      </c>
      <c r="D13" s="95" t="s">
        <v>228</v>
      </c>
      <c r="E13" s="96"/>
      <c r="F13" s="14"/>
    </row>
    <row r="14" spans="1:10" ht="20.100000000000001" customHeight="1" x14ac:dyDescent="0.25">
      <c r="A14" s="16" t="str">
        <f>HYPERLINK("#'Input - Hort farm Inputs'!A1", "Hort farm Inputs")</f>
        <v>Hort farm Inputs</v>
      </c>
      <c r="D14" s="14"/>
      <c r="E14" s="14"/>
      <c r="F14" s="14"/>
    </row>
    <row r="15" spans="1:10" ht="20.100000000000001" customHeight="1" x14ac:dyDescent="0.25">
      <c r="A15" s="16" t="str">
        <f>HYPERLINK("#'Input - Livestock farm Inputs'!A1", "Livestock farm Inputs")</f>
        <v>Livestock farm Inputs</v>
      </c>
      <c r="D15" s="8" t="s">
        <v>229</v>
      </c>
      <c r="E15" s="97">
        <v>30000</v>
      </c>
      <c r="F15" s="65" t="s">
        <v>230</v>
      </c>
    </row>
    <row r="16" spans="1:10" ht="20.100000000000001" customHeight="1" x14ac:dyDescent="0.25">
      <c r="A16" s="16" t="str">
        <f>HYPERLINK("#'Input - Aquaculture inputs'!A1", "Aquaculture inputs")</f>
        <v>Aquaculture inputs</v>
      </c>
      <c r="D16" s="8" t="s">
        <v>231</v>
      </c>
      <c r="E16" s="49" t="str">
        <f>IF(X_Cell_Site_State="Western Australia", X_Cell_Site_Region, X_Cell_Site_State)</f>
        <v>Western Australia - Outback (South)</v>
      </c>
      <c r="F16" s="14"/>
    </row>
    <row r="17" spans="1:11" ht="20.100000000000001" customHeight="1" x14ac:dyDescent="0.25">
      <c r="A17" s="16" t="str">
        <f>HYPERLINK("#'Input - Beef cattle purchases'!A1", "Beef cattle purchases")</f>
        <v>Beef cattle purchases</v>
      </c>
      <c r="D17" s="8" t="s">
        <v>232</v>
      </c>
      <c r="E17" s="47" t="s">
        <v>950</v>
      </c>
      <c r="F17" s="65" t="s">
        <v>190</v>
      </c>
    </row>
    <row r="18" spans="1:11" ht="20.100000000000001" customHeight="1" x14ac:dyDescent="0.25">
      <c r="A18" s="16" t="str">
        <f>HYPERLINK("#'Input - Dairy cattle purchases'!A1", "Dairy cattle purchases")</f>
        <v>Dairy cattle purchases</v>
      </c>
    </row>
    <row r="19" spans="1:11" ht="20.100000000000001" customHeight="1" x14ac:dyDescent="0.25">
      <c r="A19" s="16" t="str">
        <f>HYPERLINK("#'Input - Pig purchases'!A1", "Pig purchases")</f>
        <v>Pig purchases</v>
      </c>
    </row>
    <row r="20" spans="1:11" ht="20.100000000000001" customHeight="1" x14ac:dyDescent="0.25">
      <c r="A20" s="16" t="str">
        <f>HYPERLINK("#'Input - Poultry purchases'!A1", "Poultry purchases")</f>
        <v>Poultry purchases</v>
      </c>
      <c r="C20" s="98"/>
      <c r="D20" s="98"/>
      <c r="E20" s="98"/>
      <c r="F20" s="98"/>
      <c r="G20" s="98"/>
      <c r="H20" s="98"/>
      <c r="I20" s="98"/>
      <c r="J20" s="98"/>
    </row>
    <row r="21" spans="1:11" ht="20.100000000000001" customHeight="1" x14ac:dyDescent="0.25">
      <c r="A21" s="16" t="str">
        <f>HYPERLINK("#'Input - Freight'!A1", "Freight")</f>
        <v>Freight</v>
      </c>
      <c r="D21" s="9" t="s">
        <v>233</v>
      </c>
    </row>
    <row r="22" spans="1:11" ht="20.100000000000001" customHeight="1" x14ac:dyDescent="0.25">
      <c r="A22" s="16" t="str">
        <f>HYPERLINK("#'Input - Solid waste'!A1", "Solid waste")</f>
        <v>Solid waste</v>
      </c>
      <c r="E22" s="54" t="str">
        <f>IF(E16="ACT", "", "ALERT: Your farm is not in the ACT, so the JRPP is not applicable")</f>
        <v>ALERT: Your farm is not in the ACT, so the JRPP is not applicable</v>
      </c>
    </row>
    <row r="23" spans="1:11" ht="20.100000000000001" customHeight="1" x14ac:dyDescent="0.25">
      <c r="A23" s="16" t="str">
        <f>HYPERLINK("#'Input - Manure sent off-site'!A1", "Manure sent off-site")</f>
        <v>Manure sent off-site</v>
      </c>
      <c r="D23" s="8" t="s">
        <v>234</v>
      </c>
      <c r="E23" s="97">
        <v>30000</v>
      </c>
      <c r="F23" s="65" t="s">
        <v>230</v>
      </c>
    </row>
    <row r="24" spans="1:11" ht="20.100000000000001" customHeight="1" x14ac:dyDescent="0.25">
      <c r="A24" s="42" t="str">
        <f>HYPERLINK("#'Input - Electricity'!A1", "Electricity")</f>
        <v>Electricity</v>
      </c>
      <c r="D24" s="8" t="s">
        <v>235</v>
      </c>
      <c r="E24" s="86">
        <v>0.1</v>
      </c>
      <c r="F24" s="65" t="s">
        <v>236</v>
      </c>
    </row>
    <row r="25" spans="1:11" ht="20.100000000000001" customHeight="1" x14ac:dyDescent="0.25">
      <c r="A25"/>
      <c r="D25" s="8" t="s">
        <v>237</v>
      </c>
      <c r="E25" s="86">
        <v>0.1</v>
      </c>
      <c r="F25" s="65" t="s">
        <v>236</v>
      </c>
    </row>
    <row r="26" spans="1:11" ht="20.100000000000001" customHeight="1" x14ac:dyDescent="0.25">
      <c r="A26"/>
    </row>
    <row r="27" spans="1:11" ht="20.100000000000001" customHeight="1" x14ac:dyDescent="0.25">
      <c r="A27" s="21" t="s">
        <v>77</v>
      </c>
      <c r="D27" s="8" t="s">
        <v>238</v>
      </c>
      <c r="E27" s="97">
        <v>10000</v>
      </c>
      <c r="F27" s="65" t="s">
        <v>230</v>
      </c>
    </row>
    <row r="28" spans="1:11" ht="20.100000000000001" customHeight="1" x14ac:dyDescent="0.25">
      <c r="A28" s="16" t="str">
        <f>HYPERLINK("#'15 Scope 3'!A1", "15 Scope 3")</f>
        <v>15 Scope 3</v>
      </c>
    </row>
    <row r="29" spans="1:11" ht="20.100000000000001" customHeight="1" x14ac:dyDescent="0.25">
      <c r="A29" s="16" t="str">
        <f>HYPERLINK("#'10.1.1-2 Solid waste treatment'!A1", "10.1.1-2 Solid waste treatment")</f>
        <v>10.1.1-2 Solid waste treatment</v>
      </c>
      <c r="D29" s="8" t="s">
        <v>239</v>
      </c>
      <c r="E29" s="99" t="str">
        <f>TEXT(X_Cell_Site_StartDate, "dd mmm yyyy")</f>
        <v>01 Jan 2024</v>
      </c>
      <c r="K29" s="52"/>
    </row>
    <row r="30" spans="1:11" ht="20.100000000000001" customHeight="1" x14ac:dyDescent="0.25">
      <c r="A30" s="16" t="str">
        <f>HYPERLINK("#'Calcs - Manure sent off-site'!A1", "Calcs - Manure sent off-site")</f>
        <v>Calcs - Manure sent off-site</v>
      </c>
      <c r="D30" s="8" t="s">
        <v>240</v>
      </c>
      <c r="E30" s="99" t="str">
        <f>TEXT(X_Cell_Site_EndDate, "dd mmm yyyy")</f>
        <v>31 Dec 2024</v>
      </c>
      <c r="K30" s="52"/>
    </row>
    <row r="31" spans="1:11" ht="20.100000000000001" customHeight="1" x14ac:dyDescent="0.25">
      <c r="A31" s="16" t="str">
        <f>HYPERLINK("#'8.1.1.1-2 Transport fuel'!A1", "8.1.1.1-2 Transport fuel")</f>
        <v>8.1.1.1-2 Transport fuel</v>
      </c>
      <c r="K31" s="52"/>
    </row>
    <row r="32" spans="1:11" ht="20.100000000000001" customHeight="1" x14ac:dyDescent="0.25">
      <c r="A32" s="16" t="str">
        <f>HYPERLINK("#'8.2.1.1-2 Stationary fuel'!A1", "8.2.1.1-2 Stationary fuel")</f>
        <v>8.2.1.1-2 Stationary fuel</v>
      </c>
      <c r="D32" s="71" t="s">
        <v>241</v>
      </c>
      <c r="K32" s="52"/>
    </row>
    <row r="33" spans="1:12" ht="20.100000000000001" customHeight="1" x14ac:dyDescent="0.25">
      <c r="A33"/>
      <c r="K33" s="52"/>
    </row>
    <row r="34" spans="1:12" ht="20.100000000000001" customHeight="1" x14ac:dyDescent="0.25">
      <c r="A34"/>
      <c r="D34" s="95" t="s">
        <v>120</v>
      </c>
      <c r="E34" s="96"/>
      <c r="K34" s="52"/>
    </row>
    <row r="35" spans="1:12" ht="20.100000000000001" customHeight="1" x14ac:dyDescent="0.25">
      <c r="A35" s="222" t="s">
        <v>78</v>
      </c>
    </row>
    <row r="36" spans="1:12" ht="20.100000000000001" customHeight="1" x14ac:dyDescent="0.25">
      <c r="A36" s="16" t="str">
        <f>HYPERLINK("#'Constants - Scope 3'!A1", "Constants - Scope 3")</f>
        <v>Constants - Scope 3</v>
      </c>
      <c r="D36" s="46" t="s">
        <v>242</v>
      </c>
      <c r="E36" s="46" t="s">
        <v>243</v>
      </c>
      <c r="F36" s="46" t="s">
        <v>244</v>
      </c>
      <c r="G36" s="46" t="s">
        <v>245</v>
      </c>
      <c r="H36" s="46" t="s">
        <v>246</v>
      </c>
      <c r="I36" s="46" t="s">
        <v>247</v>
      </c>
      <c r="L36" s="52"/>
    </row>
    <row r="37" spans="1:12" ht="20.100000000000001" customHeight="1" x14ac:dyDescent="0.25">
      <c r="A37" s="16" t="str">
        <f>HYPERLINK("#'Constants - Solid Waste'!A1", "Constants - Solid Waste")</f>
        <v>Constants - Solid Waste</v>
      </c>
      <c r="D37" s="10" t="s">
        <v>951</v>
      </c>
      <c r="E37" s="47" t="s">
        <v>248</v>
      </c>
      <c r="F37" s="100">
        <v>44185</v>
      </c>
      <c r="G37" s="10">
        <v>12</v>
      </c>
      <c r="H37" s="49">
        <f>Table_Input_RECSurrendered[[#This Row],[Number of certificates]]</f>
        <v>12</v>
      </c>
      <c r="I37" s="49" t="str">
        <f>IF(DATEDIF(Table_Input_RECSurrendered[[#This Row],[Generation date]],DATEVALUE($E$30),"M")&gt;36,"Ineligible - older than 36 months","Elegible")</f>
        <v>Ineligible - older than 36 months</v>
      </c>
      <c r="L37" s="52"/>
    </row>
    <row r="38" spans="1:12" ht="20.100000000000001" customHeight="1" x14ac:dyDescent="0.25">
      <c r="A38" s="16" t="str">
        <f>HYPERLINK("#'Constants - Fuel'!A1", "Constants - Fuel")</f>
        <v>Constants - Fuel</v>
      </c>
      <c r="D38" s="10" t="s">
        <v>952</v>
      </c>
      <c r="E38" s="47" t="s">
        <v>249</v>
      </c>
      <c r="F38" s="100">
        <v>44575</v>
      </c>
      <c r="G38" s="10">
        <v>5</v>
      </c>
      <c r="H38" s="49">
        <f>Table_Input_RECSurrendered[[#This Row],[Number of certificates]]</f>
        <v>5</v>
      </c>
      <c r="I38" s="49" t="str">
        <f>IF(DATEDIF(Table_Input_RECSurrendered[[#This Row],[Generation date]],DATEVALUE($E$30),"M")&gt;36,"Ineligible - older than 36 months","Elegible")</f>
        <v>Elegible</v>
      </c>
    </row>
    <row r="39" spans="1:12" ht="20.100000000000001" customHeight="1" x14ac:dyDescent="0.25">
      <c r="A39" s="16" t="str">
        <f>HYPERLINK("#'Constants - Poultry'!A1", "Constants - Poultry")</f>
        <v>Constants - Poultry</v>
      </c>
      <c r="D39" s="10" t="s">
        <v>953</v>
      </c>
      <c r="E39" s="47" t="s">
        <v>248</v>
      </c>
      <c r="F39" s="100">
        <v>45438</v>
      </c>
      <c r="G39" s="10">
        <v>5</v>
      </c>
      <c r="H39" s="49">
        <f>Table_Input_RECSurrendered[[#This Row],[Number of certificates]]</f>
        <v>5</v>
      </c>
      <c r="I39" s="49" t="str">
        <f>IF(DATEDIF(Table_Input_RECSurrendered[[#This Row],[Generation date]],DATEVALUE($E$30),"M")&gt;36,"Ineligible - older than 36 months","Elegible")</f>
        <v>Elegible</v>
      </c>
    </row>
    <row r="40" spans="1:12" s="52" customFormat="1" ht="20.100000000000001" customHeight="1" x14ac:dyDescent="0.25">
      <c r="A40" s="16" t="str">
        <f>HYPERLINK("#'Constants - Swine'!A1", "Constants - Swine")</f>
        <v>Constants - Swine</v>
      </c>
      <c r="C40" s="8"/>
      <c r="D40" s="8"/>
      <c r="E40" s="8"/>
      <c r="F40" s="8"/>
      <c r="G40" s="8"/>
      <c r="H40" s="8"/>
      <c r="I40" s="8"/>
      <c r="J40" s="8"/>
    </row>
    <row r="41" spans="1:12" s="52" customFormat="1" ht="20.100000000000001" customHeight="1" x14ac:dyDescent="0.25">
      <c r="A41" s="16" t="str">
        <f>HYPERLINK("#'Constants - Dairy'!A1", "Constants - Dairy")</f>
        <v>Constants - Dairy</v>
      </c>
      <c r="C41" s="8"/>
      <c r="D41" s="8" t="s">
        <v>250</v>
      </c>
      <c r="E41" s="49">
        <f>SUMIF(Table_Input_RECSurrendered[Elegibility], "Elegible", Table_Input_RECSurrendered[MWh])</f>
        <v>10</v>
      </c>
      <c r="F41" s="65" t="s">
        <v>246</v>
      </c>
      <c r="G41" s="8"/>
      <c r="H41" s="8"/>
      <c r="I41" s="8"/>
      <c r="J41" s="8"/>
      <c r="L41" s="52" t="s">
        <v>252</v>
      </c>
    </row>
    <row r="42" spans="1:12" ht="20.100000000000001" customHeight="1" x14ac:dyDescent="0.25">
      <c r="A42" s="16" t="str">
        <f>HYPERLINK("#'Constants - Pasture Beef'!A1", "Constants - Pasture Beef")</f>
        <v>Constants - Pasture Beef</v>
      </c>
      <c r="C42" s="51"/>
    </row>
    <row r="43" spans="1:12" ht="20.100000000000001" customHeight="1" x14ac:dyDescent="0.25">
      <c r="A43" s="16" t="str">
        <f>HYPERLINK("#'Constants - Common Livestock'!A1", "Constants - Common Livestock")</f>
        <v>Constants - Common Livestock</v>
      </c>
      <c r="C43" s="51"/>
      <c r="D43" s="71" t="s">
        <v>251</v>
      </c>
      <c r="J43" s="51"/>
    </row>
    <row r="44" spans="1:12" ht="20.100000000000001" customHeight="1" x14ac:dyDescent="0.25">
      <c r="A44" s="16" t="str">
        <f>HYPERLINK("#'Constants - Fertiliser'!A1", "Constants - Fertiliser")</f>
        <v>Constants - Fertiliser</v>
      </c>
    </row>
    <row r="45" spans="1:12" ht="20.100000000000001" customHeight="1" x14ac:dyDescent="0.25">
      <c r="A45" s="16" t="str">
        <f>HYPERLINK("#'Constants - Electricity'!A1", "Constants - Electricity")</f>
        <v>Constants - Electricity</v>
      </c>
      <c r="D45" s="46" t="s">
        <v>242</v>
      </c>
      <c r="E45" s="46" t="s">
        <v>139</v>
      </c>
      <c r="F45" s="46" t="s">
        <v>244</v>
      </c>
      <c r="G45" s="46" t="s">
        <v>245</v>
      </c>
      <c r="H45" s="46" t="s">
        <v>246</v>
      </c>
      <c r="I45" s="46" t="s">
        <v>247</v>
      </c>
    </row>
    <row r="46" spans="1:12" ht="20.100000000000001" customHeight="1" x14ac:dyDescent="0.25">
      <c r="A46" s="16" t="str">
        <f>HYPERLINK("#'Constants - Common'!A1", "Constants - Common")</f>
        <v>Constants - Common</v>
      </c>
      <c r="D46" s="10" t="s">
        <v>253</v>
      </c>
      <c r="E46" s="229" t="str">
        <f>"Issued for generated electricity"</f>
        <v>Issued for generated electricity</v>
      </c>
      <c r="F46" s="100">
        <v>44697</v>
      </c>
      <c r="G46" s="10">
        <v>10</v>
      </c>
      <c r="H46" s="49">
        <f>Table_Input_RECConsumedByEntity[[#This Row],[Number of certificates]]</f>
        <v>10</v>
      </c>
      <c r="I46" s="49"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c r="D47" s="10" t="s">
        <v>954</v>
      </c>
      <c r="E47" s="229" t="str">
        <f>"Issued for generated electricity"</f>
        <v>Issued for generated electricity</v>
      </c>
      <c r="F47" s="100">
        <v>45483</v>
      </c>
      <c r="G47" s="10">
        <v>4</v>
      </c>
      <c r="H47" s="49">
        <f>Table_Input_RECConsumedByEntity[[#This Row],[Number of certificates]]</f>
        <v>4</v>
      </c>
      <c r="I47" s="49"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A48"/>
      <c r="D48" s="230">
        <v>45597</v>
      </c>
      <c r="E48" s="229" t="str">
        <f>"Issued for generated electricity"</f>
        <v>Issued for generated electricity</v>
      </c>
      <c r="F48" s="100">
        <v>45607</v>
      </c>
      <c r="G48" s="10">
        <v>7</v>
      </c>
      <c r="H48" s="49">
        <f>Table_Input_RECConsumedByEntity[[#This Row],[Number of certificates]]</f>
        <v>7</v>
      </c>
      <c r="I48" s="49" t="str">
        <f>IF(AND(Table_Input_RECConsumedByEntity[[#This Row],[Generation date]]&gt;=DATEVALUE($E$29), Table_Input_RECConsumedByEntity[[#This Row],[Generation date]]&lt;= DATEVALUE($E$30)), "Elegible", "Ineligible - outside reporting year")</f>
        <v>Elegible</v>
      </c>
    </row>
    <row r="49" spans="1:6" ht="20.100000000000001" customHeight="1" x14ac:dyDescent="0.25">
      <c r="A49"/>
    </row>
    <row r="50" spans="1:6" ht="20.100000000000001" customHeight="1" x14ac:dyDescent="0.25">
      <c r="A50"/>
      <c r="D50" s="8" t="s">
        <v>254</v>
      </c>
      <c r="E50" s="49">
        <f>SUMIF(Table_Input_RECConsumedByEntity[Elegibility], "Elegible", Table_Input_RECConsumedByEntity[Number of certificates])</f>
        <v>11</v>
      </c>
      <c r="F50" s="65" t="s">
        <v>246</v>
      </c>
    </row>
    <row r="51" spans="1:6" ht="20.100000000000001" customHeight="1" x14ac:dyDescent="0.25">
      <c r="A51"/>
    </row>
    <row r="52" spans="1:6" ht="20.100000000000001" customHeight="1" x14ac:dyDescent="0.25">
      <c r="A52"/>
    </row>
    <row r="53" spans="1:6" ht="20.100000000000001" customHeight="1" x14ac:dyDescent="0.25">
      <c r="A53"/>
    </row>
    <row r="54" spans="1:6" ht="20.100000000000001" customHeight="1" x14ac:dyDescent="0.25">
      <c r="A54"/>
    </row>
    <row r="55" spans="1:6" ht="20.100000000000001" customHeight="1" x14ac:dyDescent="0.25">
      <c r="A55"/>
      <c r="D55" s="101"/>
    </row>
    <row r="56" spans="1:6" ht="20.100000000000001" customHeight="1" x14ac:dyDescent="0.25">
      <c r="A56"/>
      <c r="D56" s="101"/>
    </row>
    <row r="57" spans="1:6" ht="20.100000000000001" customHeight="1" x14ac:dyDescent="0.25">
      <c r="A57"/>
    </row>
    <row r="58" spans="1:6" ht="20.100000000000001" customHeight="1" x14ac:dyDescent="0.25">
      <c r="A58"/>
    </row>
    <row r="59" spans="1:6" ht="20.100000000000001" customHeight="1" x14ac:dyDescent="0.25">
      <c r="A59"/>
    </row>
    <row r="60" spans="1:6" ht="20.100000000000001" customHeight="1" x14ac:dyDescent="0.25">
      <c r="A60"/>
    </row>
    <row r="61" spans="1:6" ht="20.100000000000001" customHeight="1" x14ac:dyDescent="0.25">
      <c r="A61"/>
    </row>
    <row r="62" spans="1:6" ht="20.100000000000001" customHeight="1" x14ac:dyDescent="0.25">
      <c r="A62"/>
    </row>
    <row r="63" spans="1:6" ht="20.100000000000001" customHeight="1" x14ac:dyDescent="0.25">
      <c r="A63"/>
    </row>
    <row r="64" spans="1:6"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4"/>
    </row>
  </sheetData>
  <conditionalFormatting sqref="F130:F131">
    <cfRule type="cellIs" dxfId="53" priority="8" operator="lessThan">
      <formula>0</formula>
    </cfRule>
  </conditionalFormatting>
  <conditionalFormatting sqref="F142:F143">
    <cfRule type="cellIs" dxfId="52" priority="7" operator="lessThan">
      <formula>0</formula>
    </cfRule>
  </conditionalFormatting>
  <conditionalFormatting sqref="F154:F155">
    <cfRule type="cellIs" dxfId="51" priority="6" operator="lessThan">
      <formula>0</formula>
    </cfRule>
  </conditionalFormatting>
  <conditionalFormatting sqref="F166:F167">
    <cfRule type="cellIs" dxfId="50" priority="5" operator="lessThan">
      <formula>0</formula>
    </cfRule>
  </conditionalFormatting>
  <conditionalFormatting sqref="F254:F255">
    <cfRule type="cellIs" dxfId="49" priority="17" operator="lessThan">
      <formula>0</formula>
    </cfRule>
  </conditionalFormatting>
  <conditionalFormatting sqref="F259:F260">
    <cfRule type="cellIs" dxfId="48" priority="16" operator="lessThan">
      <formula>0</formula>
    </cfRule>
  </conditionalFormatting>
  <conditionalFormatting sqref="F264:F265">
    <cfRule type="cellIs" dxfId="47" priority="15" operator="lessThan">
      <formula>0</formula>
    </cfRule>
  </conditionalFormatting>
  <conditionalFormatting sqref="F288:F289">
    <cfRule type="cellIs" dxfId="46" priority="14" operator="lessThan">
      <formula>0</formula>
    </cfRule>
  </conditionalFormatting>
  <conditionalFormatting sqref="F293:F294">
    <cfRule type="cellIs" dxfId="45" priority="13" operator="lessThan">
      <formula>0</formula>
    </cfRule>
  </conditionalFormatting>
  <conditionalFormatting sqref="F298:F299">
    <cfRule type="cellIs" dxfId="44" priority="12" operator="lessThan">
      <formula>0</formula>
    </cfRule>
  </conditionalFormatting>
  <conditionalFormatting sqref="I59:I63">
    <cfRule type="cellIs" dxfId="43" priority="4" operator="lessThan">
      <formula>0</formula>
    </cfRule>
  </conditionalFormatting>
  <conditionalFormatting sqref="I67 I126">
    <cfRule type="cellIs" dxfId="42" priority="10" operator="lessThan">
      <formula>0</formula>
    </cfRule>
  </conditionalFormatting>
  <conditionalFormatting sqref="I78:I80">
    <cfRule type="cellIs" dxfId="41" priority="3" operator="lessThan">
      <formula>0</formula>
    </cfRule>
  </conditionalFormatting>
  <conditionalFormatting sqref="I84:I87">
    <cfRule type="cellIs" dxfId="40" priority="2" operator="lessThan">
      <formula>0</formula>
    </cfRule>
  </conditionalFormatting>
  <conditionalFormatting sqref="I91:I95">
    <cfRule type="cellIs" dxfId="39" priority="1" operator="lessThan">
      <formula>0</formula>
    </cfRule>
  </conditionalFormatting>
  <conditionalFormatting sqref="J35 I49:I50 H51:H53 I52 I54:I55 I206 I212 E214:G214">
    <cfRule type="cellIs" dxfId="38" priority="11" operator="lessThan">
      <formula>0</formula>
    </cfRule>
  </conditionalFormatting>
  <conditionalFormatting sqref="J39 I40 J41 I43">
    <cfRule type="cellIs" dxfId="37" priority="9" operator="lessThan">
      <formula>0</formula>
    </cfRule>
  </conditionalFormatting>
  <dataValidations count="7">
    <dataValidation type="list" allowBlank="1" showInputMessage="1" showErrorMessage="1" sqref="E5" xr:uid="{ADB25B10-A14E-4FF8-A4D4-04FEC8D54BA6}">
      <formula1>"Location-based (simpler), Market-based (more complex)"</formula1>
    </dataValidation>
    <dataValidation type="list" allowBlank="1" showInputMessage="1" showErrorMessage="1" sqref="E37:E39" xr:uid="{E5CD3A04-F581-4C70-8814-FD804B367A57}">
      <formula1>"Purchased certificate, Issued for generated electricity"</formula1>
    </dataValidation>
    <dataValidation type="list" allowBlank="1" showInputMessage="1" showErrorMessage="1" sqref="E17" xr:uid="{4CDCF5E4-38FF-4C1E-BEA6-1B97541F23CA}">
      <formula1>INDIRECT("Table_SourceData_ElectricityEFs[State, Territory or grid description]")</formula1>
    </dataValidation>
    <dataValidation type="list" allowBlank="1" showInputMessage="1" showErrorMessage="1" sqref="E69" xr:uid="{CE25A922-8352-48FC-B2EE-831A5A5242A1}">
      <formula1>INDIRECT("Table_SourceData_Swine_IrrigationMethods[Irrigation method]")</formula1>
    </dataValidation>
    <dataValidation type="list" allowBlank="1" showInputMessage="1" showErrorMessage="1" sqref="E253 E258 E263 E297 E292 E287 E165 E153 E129 E141" xr:uid="{0B39F2AE-ADD2-4751-A35F-275C963E0801}">
      <formula1>"Yes, No"</formula1>
    </dataValidation>
    <dataValidation type="list" allowBlank="1" showInputMessage="1" showErrorMessage="1" sqref="E229" xr:uid="{6DDDE572-1B0B-4C49-9F99-1947610A2AED}">
      <formula1>INDIRECT("Table_SourceData_Dairy_ProductionSystemTemplates[Area]")</formula1>
    </dataValidation>
    <dataValidation type="list" allowBlank="1" showInputMessage="1" showErrorMessage="1" sqref="D281" xr:uid="{05B07010-42CB-4536-972B-57DDB1BD2660}">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A1:AO642"/>
  <sheetViews>
    <sheetView showGridLines="0" topLeftCell="L208" zoomScaleNormal="100" workbookViewId="0">
      <selection activeCell="A46" sqref="A46"/>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1:41" s="1" customFormat="1" ht="30" customHeight="1" x14ac:dyDescent="0.35">
      <c r="A1" s="37" t="e" vm="1">
        <v>#VALUE!</v>
      </c>
      <c r="C1" s="1" t="s">
        <v>816</v>
      </c>
    </row>
    <row r="2" spans="1:41" s="2" customFormat="1" ht="20.100000000000001" customHeight="1" x14ac:dyDescent="0.25">
      <c r="A2"/>
    </row>
    <row r="3" spans="1:4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1:41" ht="20.100000000000001" customHeight="1" x14ac:dyDescent="0.25">
      <c r="A4" s="16" t="str">
        <f>HYPERLINK("#'Results'!A1", "Results")</f>
        <v>Results</v>
      </c>
    </row>
    <row r="5" spans="1:41" ht="20.100000000000001" customHeight="1" x14ac:dyDescent="0.25">
      <c r="D5" s="9" t="str" cm="1">
        <f t="array" ref="D5">Scope3_Equations.VEERG_15_1_1_1__1_EmissionsFromPurchasedLivestock_Title()</f>
        <v>Total emissions from purchased livestock</v>
      </c>
    </row>
    <row r="6" spans="1:41" ht="20.100000000000001" customHeight="1" x14ac:dyDescent="0.25">
      <c r="D6" s="11" t="str" cm="1">
        <f t="array" ref="D6">Scope3_Equations.VEERG_15_1_1_1__1_EmissionsFromPurchasedLivestock_Source()</f>
        <v>VEERG 2026: 15.1.1.1, Equation (1)</v>
      </c>
    </row>
    <row r="7" spans="1:41" ht="20.100000000000001" customHeight="1" x14ac:dyDescent="0.25">
      <c r="A7" s="19" t="s">
        <v>67</v>
      </c>
      <c r="D7" s="172" t="s">
        <v>616</v>
      </c>
      <c r="E7" s="172" t="str" cm="1">
        <f t="array" aca="1" ref="E7" ca="1">Common_InputFunctions.Utility_DisplayFunctionName(J23)</f>
        <v>=Scope3_Equations.VEERG_15_1_1_1__1_EmissionsFromPurchasedLivestock</v>
      </c>
    </row>
    <row r="8" spans="1:41" ht="20.100000000000001" customHeight="1" x14ac:dyDescent="0.25">
      <c r="A8" s="16" t="str">
        <f>HYPERLINK("#'Input - Site'!A1", "Site")</f>
        <v>Site</v>
      </c>
    </row>
    <row r="9" spans="1:41" ht="20.100000000000001" customHeight="1" x14ac:dyDescent="0.25">
      <c r="A9" s="16" t="str">
        <f>HYPERLINK("#'Input - Fuel'!A1", "Fuel")</f>
        <v>Fuel</v>
      </c>
      <c r="H9" s="172"/>
    </row>
    <row r="10" spans="1:41" ht="20.100000000000001" customHeight="1" x14ac:dyDescent="0.25">
      <c r="A10" s="16" t="str">
        <f>HYPERLINK("#'Input - Fertiliser'!A1", "Fertiliser")</f>
        <v>Fertiliser</v>
      </c>
      <c r="D10" s="27" t="s">
        <v>617</v>
      </c>
      <c r="E10" s="8" t="str" cm="1">
        <f t="array" ref="E10">Scope3_Equations.VEERG_15_1_1_1__1_EmissionsFromPurchasedLivestock_Variable()</f>
        <v>E</v>
      </c>
    </row>
    <row r="11" spans="1:41" ht="20.100000000000001" customHeight="1" x14ac:dyDescent="0.25">
      <c r="A11" s="16" t="str">
        <f>HYPERLINK("#'Input - Common farm inputs'!A1", "Common farm inputs")</f>
        <v>Common farm inputs</v>
      </c>
      <c r="D11" s="27" t="s">
        <v>96</v>
      </c>
      <c r="E11" s="13" t="str" cm="1">
        <f t="array" ref="E11">Scope3_Equations.VEERG_15_1_1_1__1_EmissionsFromPurchasedLivestock_Unit()</f>
        <v>t CO2e</v>
      </c>
    </row>
    <row r="12" spans="1:41" ht="20.100000000000001" customHeight="1" x14ac:dyDescent="0.25">
      <c r="A12" s="16" t="str">
        <f>HYPERLINK("#'Input - Processing inputs'!A1", "Processing inputs")</f>
        <v>Processing inputs</v>
      </c>
    </row>
    <row r="13" spans="1:41" ht="20.100000000000001" customHeight="1" x14ac:dyDescent="0.25">
      <c r="A13" s="16" t="str">
        <f>HYPERLINK("#'Input - Crop pasture farm input'!A1", "Crop pasture farm input")</f>
        <v>Crop pasture farm input</v>
      </c>
      <c r="D13" s="167" t="str" cm="1">
        <f t="array" ref="D13:E17">_xlfn.CHOOSECOLS(Scope3_Equations.VEERG_15_1_1_1__1_EmissionsFromPurchasedLivestock_Arguments(),1,2)</f>
        <v>N_co</v>
      </c>
      <c r="E13" s="171" t="str">
        <v>number of animals purchased in livestock type c from origin o</v>
      </c>
      <c r="F13" s="166"/>
      <c r="G13" s="167" t="str" cm="1">
        <f t="array" ref="G13:H17">_xlfn.CHOOSECOLS(Scope3_Equations.VEERG_15_1_1_1__1_EmissionsFromPurchasedLivestock_Arguments(),3,4)</f>
        <v>head</v>
      </c>
      <c r="H13" s="168" t="str">
        <v>Input</v>
      </c>
    </row>
    <row r="14" spans="1:41" ht="20.100000000000001" customHeight="1" x14ac:dyDescent="0.25">
      <c r="A14" s="16" t="str">
        <f>HYPERLINK("#'Input - Hort farm Inputs'!A1", "Hort farm Inputs")</f>
        <v>Hort farm Inputs</v>
      </c>
      <c r="D14" s="167" t="str">
        <v>W_co</v>
      </c>
      <c r="E14" s="171" t="str">
        <v>average liveweight of purchased livestock at point of purchase</v>
      </c>
      <c r="F14" s="166"/>
      <c r="G14" s="167" t="str">
        <v>kg/head</v>
      </c>
      <c r="H14" s="168" t="str">
        <v>Input</v>
      </c>
    </row>
    <row r="15" spans="1:41" ht="20.100000000000001" customHeight="1" x14ac:dyDescent="0.25">
      <c r="A15" s="16" t="str">
        <f>HYPERLINK("#'Input - Livestock farm Inputs'!A1", "Livestock farm Inputs")</f>
        <v>Livestock farm Inputs</v>
      </c>
      <c r="D15" s="167" t="str">
        <v>EF_co</v>
      </c>
      <c r="E15" s="171" t="str">
        <v>emission factor per livestock type and origin</v>
      </c>
      <c r="F15" s="166"/>
      <c r="G15" s="167" t="str">
        <v>kg CO2e/kg</v>
      </c>
      <c r="H15" s="169" t="str">
        <v>Constant</v>
      </c>
    </row>
    <row r="16" spans="1:41" ht="20.100000000000001" customHeight="1" x14ac:dyDescent="0.25">
      <c r="A16" s="16" t="str">
        <f>HYPERLINK("#'Input - Aquaculture inputs'!A1", "Aquaculture inputs")</f>
        <v>Aquaculture inputs</v>
      </c>
      <c r="D16" s="167" t="str">
        <v>c</v>
      </c>
      <c r="E16" s="171" t="str">
        <v>livestock type</v>
      </c>
      <c r="F16" s="166"/>
      <c r="G16" s="167" t="str">
        <v/>
      </c>
      <c r="H16" s="168" t="str">
        <v>Input</v>
      </c>
    </row>
    <row r="17" spans="1:16" ht="20.100000000000001" customHeight="1" x14ac:dyDescent="0.25">
      <c r="A17" s="16" t="str">
        <f>HYPERLINK("#'Input - Beef cattle purchases'!A1", "Beef cattle purchases")</f>
        <v>Beef cattle purchases</v>
      </c>
      <c r="D17" s="167" t="str">
        <v>o</v>
      </c>
      <c r="E17" s="171" t="str">
        <v>origin</v>
      </c>
      <c r="F17" s="166"/>
      <c r="G17" s="167" t="str">
        <v/>
      </c>
      <c r="H17" s="168" t="str">
        <v>Input</v>
      </c>
    </row>
    <row r="18" spans="1:16" ht="20.100000000000001" customHeight="1" x14ac:dyDescent="0.25">
      <c r="A18" s="16" t="str">
        <f>HYPERLINK("#'Input - Dairy cattle purchases'!A1", "Dairy cattle purchases")</f>
        <v>Dairy cattle purchases</v>
      </c>
    </row>
    <row r="19" spans="1:16" ht="20.100000000000001" customHeight="1" x14ac:dyDescent="0.25">
      <c r="A19" s="16" t="str">
        <f>HYPERLINK("#'Input - Pig purchases'!A1", "Pig purchases")</f>
        <v>Pig purchases</v>
      </c>
      <c r="D19" s="95" t="s">
        <v>557</v>
      </c>
      <c r="E19" s="110"/>
      <c r="F19" s="96"/>
    </row>
    <row r="20" spans="1:16" ht="20.100000000000001" customHeight="1" x14ac:dyDescent="0.25">
      <c r="A20" s="16" t="str">
        <f>HYPERLINK("#'Input - Poultry purchases'!A1", "Poultry purchases")</f>
        <v>Poultry purchases</v>
      </c>
    </row>
    <row r="21" spans="1:16" ht="20.100000000000001" customHeight="1" x14ac:dyDescent="0.25">
      <c r="A21" s="16" t="str">
        <f>HYPERLINK("#'Input - Freight'!A1", "Freight")</f>
        <v>Freight</v>
      </c>
      <c r="D21" s="144" t="s">
        <v>314</v>
      </c>
    </row>
    <row r="22" spans="1:16" ht="20.100000000000001" customHeight="1" x14ac:dyDescent="0.25">
      <c r="A22" s="16" t="str">
        <f>HYPERLINK("#'Input - Solid waste'!A1", "Solid waste")</f>
        <v>Solid waste</v>
      </c>
      <c r="D22" s="46" t="s">
        <v>351</v>
      </c>
      <c r="E22" s="152" t="s">
        <v>610</v>
      </c>
      <c r="F22" s="152" t="s">
        <v>609</v>
      </c>
      <c r="G22" s="152" t="s">
        <v>611</v>
      </c>
      <c r="H22" s="152" t="s">
        <v>612</v>
      </c>
      <c r="I22" s="57" t="s">
        <v>614</v>
      </c>
      <c r="J22" s="57" t="s">
        <v>623</v>
      </c>
      <c r="K22" s="152" t="s">
        <v>613</v>
      </c>
      <c r="L22" s="46" t="s">
        <v>615</v>
      </c>
      <c r="M22" s="57" t="s">
        <v>625</v>
      </c>
      <c r="N22" s="46" t="s">
        <v>619</v>
      </c>
      <c r="O22" s="46" t="s">
        <v>620</v>
      </c>
      <c r="P22" s="46" t="s">
        <v>621</v>
      </c>
    </row>
    <row r="23" spans="1:16" ht="20.100000000000001" customHeight="1" x14ac:dyDescent="0.25">
      <c r="A23" s="16" t="str">
        <f>HYPERLINK("#'Input - Manure sent off-site'!A1", "Manure sent off-site")</f>
        <v>Manure sent off-site</v>
      </c>
      <c r="D23" s="49" t="str" cm="1">
        <f t="array" ref="D23:D32">IFERROR(INDEX(Table_Input_LivestockPurchases_Beefcattle[Transaction name], _xlfn.SEQUENCE(10)), "")</f>
        <v>Cows from Barry</v>
      </c>
      <c r="E23" s="49" t="str" cm="1">
        <f t="array" ref="E23:E32">IFERROR(INDEX(Table_Input_LivestockPurchases_Beefcattle[Purchase class (select)], _xlfn.SEQUENCE(10)), "")</f>
        <v>Cattle, for prime beef</v>
      </c>
      <c r="F23" s="49" t="str" cm="1">
        <f t="array" ref="F23:F32">IFERROR(_xlfn.XLOOKUP(INDEX(Table_Input_LivestockPurchases_Beefcattle[Source region (Select)], _xlfn.SEQUENCE(10)), Table_ProductRegions_Beefcattle[Region],Table_ProductRegions_Beefcattle[Scope3 region]), "")</f>
        <v>WA</v>
      </c>
      <c r="G23" s="49" cm="1">
        <f t="array" ref="G23:G32">IFERROR(INDEX(Table_Input_LivestockPurchases_Beefcattle[Quantity (head)], _xlfn.SEQUENCE(10)), "")</f>
        <v>100</v>
      </c>
      <c r="H23" s="49" cm="1">
        <f t="array" ref="H23:H32">IFERROR(INDEX(Table_Input_LivestockPurchases_Beefcattle[Liveweight (kg/head) Method 1], _xlfn.SEQUENCE(10)), 0)</f>
        <v>210</v>
      </c>
      <c r="I23" s="49" cm="1">
        <f t="array" ref="I23">Common_InputFunctions.Utility_LookupValueInTableTwoColumns(E23,F23,Table_SourceData_Scope3_Animals[Product],Table_SourceData_Scope3_Animals[Region of origin],Table_SourceData_Scope3_Animals[AusLCI Emissions intensity], 0)</f>
        <v>20.8</v>
      </c>
      <c r="J23" s="151" cm="1">
        <f t="array" ref="J23">Scope3_Equations.VEERG_15_1_1_1__1_EmissionsFromPurchasedLivestock(G23,H23,I23)</f>
        <v>436.8</v>
      </c>
      <c r="K23" s="49" cm="1">
        <f t="array" ref="K23:K32">IFERROR(INDEX(Table_Input_LivestockPurchases_Beefcattle[Liveweight (kg/head) Method 2], _xlfn.SEQUENCE(10)), "")</f>
        <v>205</v>
      </c>
      <c r="L23" s="66">
        <v>20</v>
      </c>
      <c r="M23" s="151" cm="1">
        <f t="array" ref="M23">Scope3_Equations.VEERG_15_1_1_1__1_EmissionsFromPurchasedLivestock(G23,K23,IF(L23, L23, I23))</f>
        <v>410</v>
      </c>
      <c r="N23" s="82" t="s">
        <v>593</v>
      </c>
      <c r="O23" s="47" t="s">
        <v>592</v>
      </c>
      <c r="P23" t="s">
        <v>594</v>
      </c>
    </row>
    <row r="24" spans="1:16" ht="20.100000000000001" customHeight="1" x14ac:dyDescent="0.25">
      <c r="A24" s="16" t="str">
        <f>HYPERLINK("#'Input - Electricity'!A1", "Electricity")</f>
        <v>Electricity</v>
      </c>
      <c r="D24" s="49">
        <v>0</v>
      </c>
      <c r="E24" s="49" t="str">
        <v>Cattle, for manufacturing beef</v>
      </c>
      <c r="F24" s="49" t="str">
        <v>WA</v>
      </c>
      <c r="G24" s="49">
        <v>100</v>
      </c>
      <c r="H24" s="49">
        <v>470</v>
      </c>
      <c r="I24" s="49" cm="1">
        <f t="array" ref="I24">Common_InputFunctions.Utility_LookupValueInTableTwoColumns(E24,F24,Table_SourceData_Scope3_Animals[Product],Table_SourceData_Scope3_Animals[Region of origin],Table_SourceData_Scope3_Animals[AusLCI Emissions intensity], 0)</f>
        <v>13.1</v>
      </c>
      <c r="J24" s="151" cm="1">
        <f t="array" ref="J24">Scope3_Equations.VEERG_15_1_1_1__1_EmissionsFromPurchasedLivestock(G24,H24,I24)</f>
        <v>615.70000000000005</v>
      </c>
      <c r="K24" s="49">
        <v>465</v>
      </c>
      <c r="L24" s="66">
        <v>13</v>
      </c>
      <c r="M24" s="151" cm="1">
        <f t="array" ref="M24">Scope3_Equations.VEERG_15_1_1_1__1_EmissionsFromPurchasedLivestock(G24,K24,IF(L24, L24, I24))</f>
        <v>604.5</v>
      </c>
      <c r="N24" s="82"/>
      <c r="O24" s="47"/>
      <c r="P24" s="82"/>
    </row>
    <row r="25" spans="1:16" ht="20.100000000000001" customHeight="1" x14ac:dyDescent="0.25">
      <c r="D25" s="49">
        <v>0</v>
      </c>
      <c r="E25" s="49">
        <v>0</v>
      </c>
      <c r="F25" s="49" t="str">
        <v/>
      </c>
      <c r="G25" s="49">
        <v>0</v>
      </c>
      <c r="H25" s="49">
        <v>0</v>
      </c>
      <c r="I25" s="49" cm="1">
        <f t="array" ref="I25">Common_InputFunctions.Utility_LookupValueInTableTwoColumns(E25,F25,Table_SourceData_Scope3_Animals[Product],Table_SourceData_Scope3_Animals[Region of origin],Table_SourceData_Scope3_Animals[AusLCI Emissions intensity], 0)</f>
        <v>0</v>
      </c>
      <c r="J25" s="151" cm="1">
        <f t="array" ref="J25">Scope3_Equations.VEERG_15_1_1_1__1_EmissionsFromPurchasedLivestock(G25,H25,I25)</f>
        <v>0</v>
      </c>
      <c r="K25" s="49">
        <v>0</v>
      </c>
      <c r="L25" s="66"/>
      <c r="M25" s="151" cm="1">
        <f t="array" ref="M25">Scope3_Equations.VEERG_15_1_1_1__1_EmissionsFromPurchasedLivestock(G25,K25,IF(L25, L25, I25))</f>
        <v>0</v>
      </c>
      <c r="N25" s="82"/>
      <c r="O25" s="47"/>
      <c r="P25" s="82"/>
    </row>
    <row r="26" spans="1:16" ht="20.100000000000001" customHeight="1" x14ac:dyDescent="0.25">
      <c r="D26" s="49">
        <v>0</v>
      </c>
      <c r="E26" s="49">
        <v>0</v>
      </c>
      <c r="F26" s="49" t="str">
        <v/>
      </c>
      <c r="G26" s="49">
        <v>0</v>
      </c>
      <c r="H26" s="49">
        <v>0</v>
      </c>
      <c r="I26" s="49" cm="1">
        <f t="array" ref="I26">Common_InputFunctions.Utility_LookupValueInTableTwoColumns(E26,F26,Table_SourceData_Scope3_Animals[Product],Table_SourceData_Scope3_Animals[Region of origin],Table_SourceData_Scope3_Animals[AusLCI Emissions intensity], 0)</f>
        <v>0</v>
      </c>
      <c r="J26" s="151" cm="1">
        <f t="array" ref="J26">Scope3_Equations.VEERG_15_1_1_1__1_EmissionsFromPurchasedLivestock(G26,H26,I26)</f>
        <v>0</v>
      </c>
      <c r="K26" s="49">
        <v>0</v>
      </c>
      <c r="L26" s="66"/>
      <c r="M26" s="151" cm="1">
        <f t="array" ref="M26">Scope3_Equations.VEERG_15_1_1_1__1_EmissionsFromPurchasedLivestock(G26,K26,IF(L26, L26, I26))</f>
        <v>0</v>
      </c>
      <c r="N26" s="82"/>
      <c r="O26" s="47"/>
      <c r="P26" s="82"/>
    </row>
    <row r="27" spans="1:16" ht="20.100000000000001" customHeight="1" x14ac:dyDescent="0.25">
      <c r="A27" s="21" t="s">
        <v>77</v>
      </c>
      <c r="D27" s="49">
        <v>0</v>
      </c>
      <c r="E27" s="49">
        <v>0</v>
      </c>
      <c r="F27" s="49" t="str">
        <v/>
      </c>
      <c r="G27" s="49">
        <v>0</v>
      </c>
      <c r="H27" s="49">
        <v>0</v>
      </c>
      <c r="I27" s="49" cm="1">
        <f t="array" ref="I27">Common_InputFunctions.Utility_LookupValueInTableTwoColumns(E27,F27,Table_SourceData_Scope3_Animals[Product],Table_SourceData_Scope3_Animals[Region of origin],Table_SourceData_Scope3_Animals[AusLCI Emissions intensity], 0)</f>
        <v>0</v>
      </c>
      <c r="J27" s="151" cm="1">
        <f t="array" ref="J27">Scope3_Equations.VEERG_15_1_1_1__1_EmissionsFromPurchasedLivestock(G27,H27,I27)</f>
        <v>0</v>
      </c>
      <c r="K27" s="49">
        <v>0</v>
      </c>
      <c r="L27" s="66"/>
      <c r="M27" s="151" cm="1">
        <f t="array" ref="M27">Scope3_Equations.VEERG_15_1_1_1__1_EmissionsFromPurchasedLivestock(G27,K27,IF(L27, L27, I27))</f>
        <v>0</v>
      </c>
      <c r="N27" s="82"/>
      <c r="O27" s="47"/>
      <c r="P27" s="82"/>
    </row>
    <row r="28" spans="1:16" ht="20.100000000000001" customHeight="1" x14ac:dyDescent="0.25">
      <c r="A28" s="180" t="str">
        <f>HYPERLINK("#'15 Scope 3'!A1", "15 Scope 3")</f>
        <v>15 Scope 3</v>
      </c>
      <c r="D28" s="49">
        <v>0</v>
      </c>
      <c r="E28" s="49">
        <v>0</v>
      </c>
      <c r="F28" s="49" t="str">
        <v/>
      </c>
      <c r="G28" s="49">
        <v>0</v>
      </c>
      <c r="H28" s="49">
        <v>0</v>
      </c>
      <c r="I28" s="49" cm="1">
        <f t="array" ref="I28">Common_InputFunctions.Utility_LookupValueInTableTwoColumns(E28,F28,Table_SourceData_Scope3_Animals[Product],Table_SourceData_Scope3_Animals[Region of origin],Table_SourceData_Scope3_Animals[AusLCI Emissions intensity], 0)</f>
        <v>0</v>
      </c>
      <c r="J28" s="151" cm="1">
        <f t="array" ref="J28">Scope3_Equations.VEERG_15_1_1_1__1_EmissionsFromPurchasedLivestock(G28,H28,I28)</f>
        <v>0</v>
      </c>
      <c r="K28" s="49">
        <v>0</v>
      </c>
      <c r="L28" s="66"/>
      <c r="M28" s="151" cm="1">
        <f t="array" ref="M28">Scope3_Equations.VEERG_15_1_1_1__1_EmissionsFromPurchasedLivestock(G28,K28,IF(L28, L28, I28))</f>
        <v>0</v>
      </c>
      <c r="N28" s="82"/>
      <c r="O28" s="47"/>
      <c r="P28" s="82"/>
    </row>
    <row r="29" spans="1:16" ht="20.100000000000001" customHeight="1" x14ac:dyDescent="0.25">
      <c r="A29" s="16" t="str">
        <f>HYPERLINK("#'10.1.1-2 Solid waste treatment'!A1", "10.1.1-2 Solid waste treatment")</f>
        <v>10.1.1-2 Solid waste treatment</v>
      </c>
      <c r="D29" s="49">
        <v>0</v>
      </c>
      <c r="E29" s="49">
        <v>0</v>
      </c>
      <c r="F29" s="49" t="str">
        <v/>
      </c>
      <c r="G29" s="49">
        <v>0</v>
      </c>
      <c r="H29" s="49">
        <v>0</v>
      </c>
      <c r="I29" s="49" cm="1">
        <f t="array" ref="I29">Common_InputFunctions.Utility_LookupValueInTableTwoColumns(E29,F29,Table_SourceData_Scope3_Animals[Product],Table_SourceData_Scope3_Animals[Region of origin],Table_SourceData_Scope3_Animals[AusLCI Emissions intensity], 0)</f>
        <v>0</v>
      </c>
      <c r="J29" s="151" cm="1">
        <f t="array" ref="J29">Scope3_Equations.VEERG_15_1_1_1__1_EmissionsFromPurchasedLivestock(G29,H29,I29)</f>
        <v>0</v>
      </c>
      <c r="K29" s="49">
        <v>0</v>
      </c>
      <c r="L29" s="66"/>
      <c r="M29" s="151" cm="1">
        <f t="array" ref="M29">Scope3_Equations.VEERG_15_1_1_1__1_EmissionsFromPurchasedLivestock(G29,K29,IF(L29, L29, I29))</f>
        <v>0</v>
      </c>
      <c r="N29" s="82"/>
      <c r="O29" s="47"/>
      <c r="P29" s="82"/>
    </row>
    <row r="30" spans="1:16" ht="20.100000000000001" customHeight="1" x14ac:dyDescent="0.25">
      <c r="A30" s="16" t="str">
        <f>HYPERLINK("#'Calcs - Manure sent off-site'!A1", "Calcs - Manure sent off-site")</f>
        <v>Calcs - Manure sent off-site</v>
      </c>
      <c r="D30" s="49">
        <v>0</v>
      </c>
      <c r="E30" s="49">
        <v>0</v>
      </c>
      <c r="F30" s="49" t="str">
        <v/>
      </c>
      <c r="G30" s="49">
        <v>0</v>
      </c>
      <c r="H30" s="49">
        <v>0</v>
      </c>
      <c r="I30" s="49" cm="1">
        <f t="array" ref="I30">Common_InputFunctions.Utility_LookupValueInTableTwoColumns(E30,F30,Table_SourceData_Scope3_Animals[Product],Table_SourceData_Scope3_Animals[Region of origin],Table_SourceData_Scope3_Animals[AusLCI Emissions intensity], 0)</f>
        <v>0</v>
      </c>
      <c r="J30" s="151" cm="1">
        <f t="array" ref="J30">Scope3_Equations.VEERG_15_1_1_1__1_EmissionsFromPurchasedLivestock(G30,H30,I30)</f>
        <v>0</v>
      </c>
      <c r="K30" s="49">
        <v>0</v>
      </c>
      <c r="L30" s="66"/>
      <c r="M30" s="151" cm="1">
        <f t="array" ref="M30">Scope3_Equations.VEERG_15_1_1_1__1_EmissionsFromPurchasedLivestock(G30,K30,IF(L30, L30, I30))</f>
        <v>0</v>
      </c>
      <c r="N30" s="82"/>
      <c r="O30" s="47"/>
      <c r="P30" s="82"/>
    </row>
    <row r="31" spans="1:16" ht="20.100000000000001" customHeight="1" x14ac:dyDescent="0.25">
      <c r="A31" s="16" t="str">
        <f>HYPERLINK("#'8.1.1.1-2 Transport fuel'!A1", "8.1.1.1-2 Transport fuel")</f>
        <v>8.1.1.1-2 Transport fuel</v>
      </c>
      <c r="D31" s="49">
        <v>0</v>
      </c>
      <c r="E31" s="49">
        <v>0</v>
      </c>
      <c r="F31" s="49" t="str">
        <v/>
      </c>
      <c r="G31" s="49">
        <v>0</v>
      </c>
      <c r="H31" s="49">
        <v>0</v>
      </c>
      <c r="I31" s="49" cm="1">
        <f t="array" ref="I31">Common_InputFunctions.Utility_LookupValueInTableTwoColumns(E31,F31,Table_SourceData_Scope3_Animals[Product],Table_SourceData_Scope3_Animals[Region of origin],Table_SourceData_Scope3_Animals[AusLCI Emissions intensity], 0)</f>
        <v>0</v>
      </c>
      <c r="J31" s="151" cm="1">
        <f t="array" ref="J31">Scope3_Equations.VEERG_15_1_1_1__1_EmissionsFromPurchasedLivestock(G31,H31,I31)</f>
        <v>0</v>
      </c>
      <c r="K31" s="49">
        <v>0</v>
      </c>
      <c r="L31" s="66"/>
      <c r="M31" s="151" cm="1">
        <f t="array" ref="M31">Scope3_Equations.VEERG_15_1_1_1__1_EmissionsFromPurchasedLivestock(G31,K31,IF(L31, L31, I31))</f>
        <v>0</v>
      </c>
      <c r="N31" s="82"/>
      <c r="O31" s="47"/>
      <c r="P31" s="82"/>
    </row>
    <row r="32" spans="1:16" ht="20.100000000000001" customHeight="1" x14ac:dyDescent="0.25">
      <c r="A32" s="16" t="str">
        <f>HYPERLINK("#'8.2.1.1-2 Stationary fuel'!A1", "8.2.1.1-2 Stationary fuel")</f>
        <v>8.2.1.1-2 Stationary fuel</v>
      </c>
      <c r="D32" s="49">
        <v>0</v>
      </c>
      <c r="E32" s="49">
        <v>0</v>
      </c>
      <c r="F32" s="49" t="str">
        <v/>
      </c>
      <c r="G32" s="49">
        <v>0</v>
      </c>
      <c r="H32" s="49">
        <v>0</v>
      </c>
      <c r="I32" s="49" cm="1">
        <f t="array" ref="I32">Common_InputFunctions.Utility_LookupValueInTableTwoColumns(E32,F32,Table_SourceData_Scope3_Animals[Product],Table_SourceData_Scope3_Animals[Region of origin],Table_SourceData_Scope3_Animals[AusLCI Emissions intensity], 0)</f>
        <v>0</v>
      </c>
      <c r="J32" s="151" cm="1">
        <f t="array" ref="J32">Scope3_Equations.VEERG_15_1_1_1__1_EmissionsFromPurchasedLivestock(G32,H32,I32)</f>
        <v>0</v>
      </c>
      <c r="K32" s="49">
        <v>0</v>
      </c>
      <c r="L32" s="66"/>
      <c r="M32" s="151" cm="1">
        <f t="array" ref="M32">Scope3_Equations.VEERG_15_1_1_1__1_EmissionsFromPurchasedLivestock(G32,K32,IF(L32, L32, I32))</f>
        <v>0</v>
      </c>
      <c r="N32" s="82"/>
      <c r="O32" s="47"/>
      <c r="P32" s="82"/>
    </row>
    <row r="33" spans="1:13" ht="20.100000000000001" customHeight="1" x14ac:dyDescent="0.25"/>
    <row r="34" spans="1:13" ht="20.100000000000001" customHeight="1" x14ac:dyDescent="0.25">
      <c r="D34" s="174" t="s">
        <v>639</v>
      </c>
      <c r="E34" s="98">
        <f>SUM(J23:J32)</f>
        <v>1052.5</v>
      </c>
      <c r="F34" s="175" t="str">
        <f>$E$11</f>
        <v>t CO2e</v>
      </c>
    </row>
    <row r="35" spans="1:13" ht="20.100000000000001" customHeight="1" x14ac:dyDescent="0.25">
      <c r="A35" s="222" t="s">
        <v>78</v>
      </c>
      <c r="D35" s="174" t="s">
        <v>640</v>
      </c>
      <c r="E35" s="98">
        <f>SUM(M23:M32)</f>
        <v>1014.5</v>
      </c>
      <c r="F35" s="175" t="str">
        <f>$E$11</f>
        <v>t CO2e</v>
      </c>
    </row>
    <row r="36" spans="1:13" ht="20.100000000000001" customHeight="1" x14ac:dyDescent="0.25">
      <c r="A36" s="16" t="str">
        <f>HYPERLINK("#'Constants - Scope 3'!A1", "Constants - Scope 3")</f>
        <v>Constants - Scope 3</v>
      </c>
    </row>
    <row r="37" spans="1:13" ht="20.100000000000001" customHeight="1" x14ac:dyDescent="0.25">
      <c r="A37" s="16" t="str">
        <f>HYPERLINK("#'Constants - Solid Waste'!A1", "Constants - Solid Waste")</f>
        <v>Constants - Solid Waste</v>
      </c>
    </row>
    <row r="38" spans="1:13" ht="20.100000000000001" customHeight="1" x14ac:dyDescent="0.25">
      <c r="A38" s="16" t="str">
        <f>HYPERLINK("#'Constants - Fuel'!A1", "Constants - Fuel")</f>
        <v>Constants - Fuel</v>
      </c>
      <c r="D38" s="144" t="s">
        <v>330</v>
      </c>
    </row>
    <row r="39" spans="1:13" ht="20.100000000000001" customHeight="1" x14ac:dyDescent="0.25">
      <c r="A39" s="16" t="str">
        <f>HYPERLINK("#'Constants - Poultry'!A1", "Constants - Poultry")</f>
        <v>Constants - Poultry</v>
      </c>
      <c r="D39" s="167" t="s">
        <v>618</v>
      </c>
      <c r="E39" s="49" cm="1">
        <f t="array" ref="E39">Common_InputFunctions.Utility_LookupValueInTableNumber("Dairy cows", Table_SourceData_Scope3_Animals[Product],Table_SourceData_Scope3_Animals[AusLCI Emissions intensity])</f>
        <v>4.41</v>
      </c>
    </row>
    <row r="40" spans="1:13" ht="20.100000000000001" customHeight="1" x14ac:dyDescent="0.25">
      <c r="A40" s="16" t="str">
        <f>HYPERLINK("#'Constants - Swine'!A1", "Constants - Swine")</f>
        <v>Constants - Swine</v>
      </c>
    </row>
    <row r="41" spans="1:13" ht="20.100000000000001" customHeight="1" x14ac:dyDescent="0.25">
      <c r="A41" s="16" t="str">
        <f>HYPERLINK("#'Constants - Dairy'!A1", "Constants - Dairy")</f>
        <v>Constants - Dairy</v>
      </c>
      <c r="D41" s="46" t="s">
        <v>351</v>
      </c>
      <c r="E41" s="152" t="s">
        <v>611</v>
      </c>
      <c r="F41" s="152" t="s">
        <v>612</v>
      </c>
      <c r="G41" s="57" t="s">
        <v>623</v>
      </c>
      <c r="H41" s="152" t="s">
        <v>613</v>
      </c>
      <c r="I41" s="46" t="s">
        <v>615</v>
      </c>
      <c r="J41" s="57" t="s">
        <v>625</v>
      </c>
      <c r="K41" s="46" t="s">
        <v>619</v>
      </c>
      <c r="L41" s="46" t="s">
        <v>620</v>
      </c>
      <c r="M41" s="46" t="s">
        <v>621</v>
      </c>
    </row>
    <row r="42" spans="1:13" ht="20.100000000000001" customHeight="1" x14ac:dyDescent="0.25">
      <c r="A42" s="16" t="str">
        <f>HYPERLINK("#'Constants - Pasture Beef'!A1", "Constants - Pasture Beef")</f>
        <v>Constants - Pasture Beef</v>
      </c>
      <c r="D42" s="49" t="str" cm="1">
        <f t="array" ref="D42:D51">IFERROR(INDEX(Table_Input_LivestockPurchases_Dairy[Transaction name], _xlfn.SEQUENCE(10)), "")</f>
        <v>Dairy cows from Denise</v>
      </c>
      <c r="E42" s="49" cm="1">
        <f t="array" ref="E42:E51">IFERROR(INDEX(Table_Input_LivestockPurchases_Dairy[Quantity (head)], _xlfn.SEQUENCE(10)), 0)</f>
        <v>100</v>
      </c>
      <c r="F42" s="49" cm="1">
        <f t="array" ref="F42:F51">IFERROR(INDEX(Table_Input_LivestockPurchases_Dairy[Liveweight (kg/head) Method 1], _xlfn.SEQUENCE(10)), 0)</f>
        <v>130</v>
      </c>
      <c r="G42" s="151" cm="1">
        <f t="array" ref="G42">Scope3_Equations.VEERG_15_1_1_1__1_EmissionsFromPurchasedLivestock(E42,F42,$E$39)</f>
        <v>57.33</v>
      </c>
      <c r="H42" s="49" cm="1">
        <f t="array" ref="H42:H51">IFERROR(INDEX(Table_Input_LivestockPurchases_Dairy[Liveweight (kg/head) Method 2], _xlfn.SEQUENCE(10)), "")</f>
        <v>350</v>
      </c>
      <c r="I42" s="66">
        <v>4</v>
      </c>
      <c r="J42" s="151" cm="1">
        <f t="array" ref="J42">Scope3_Equations.VEERG_15_1_1_1__1_EmissionsFromPurchasedLivestock(E42,H42,IF(I42,I42,$E$39))</f>
        <v>140</v>
      </c>
      <c r="K42" s="82" t="s">
        <v>593</v>
      </c>
      <c r="L42" s="47" t="s">
        <v>592</v>
      </c>
      <c r="M42" t="s">
        <v>594</v>
      </c>
    </row>
    <row r="43" spans="1:13" ht="20.100000000000001" customHeight="1" x14ac:dyDescent="0.25">
      <c r="A43" s="16" t="str">
        <f>HYPERLINK("#'Constants - Common Livestock'!A1", "Constants - Common Livestock")</f>
        <v>Constants - Common Livestock</v>
      </c>
      <c r="D43" s="49">
        <v>0</v>
      </c>
      <c r="E43" s="49">
        <v>100</v>
      </c>
      <c r="F43" s="49">
        <v>540</v>
      </c>
      <c r="G43" s="151" cm="1">
        <f t="array" ref="G43">Scope3_Equations.VEERG_15_1_1_1__1_EmissionsFromPurchasedLivestock(E43,F43,$E$39)</f>
        <v>238.14000000000001</v>
      </c>
      <c r="H43" s="49">
        <v>625</v>
      </c>
      <c r="I43" s="66"/>
      <c r="J43" s="151" cm="1">
        <f t="array" ref="J43">Scope3_Equations.VEERG_15_1_1_1__1_EmissionsFromPurchasedLivestock(E43,H43,IF(I43,I43,$E$39))</f>
        <v>275.625</v>
      </c>
      <c r="K43" s="82"/>
      <c r="L43" s="47"/>
      <c r="M43" s="82"/>
    </row>
    <row r="44" spans="1:13" ht="20.100000000000001" customHeight="1" x14ac:dyDescent="0.25">
      <c r="A44" s="16" t="str">
        <f>HYPERLINK("#'Constants - Fertiliser'!A1", "Constants - Fertiliser")</f>
        <v>Constants - Fertiliser</v>
      </c>
      <c r="D44" s="49">
        <v>0</v>
      </c>
      <c r="E44" s="49">
        <v>0</v>
      </c>
      <c r="F44" s="49">
        <v>315</v>
      </c>
      <c r="G44" s="151" cm="1">
        <f t="array" ref="G44">Scope3_Equations.VEERG_15_1_1_1__1_EmissionsFromPurchasedLivestock(E44,F44,$E$39)</f>
        <v>0</v>
      </c>
      <c r="H44" s="49">
        <v>0</v>
      </c>
      <c r="I44" s="66"/>
      <c r="J44" s="151" cm="1">
        <f t="array" ref="J44">Scope3_Equations.VEERG_15_1_1_1__1_EmissionsFromPurchasedLivestock(E44,H44,IF(I44,I44,$E$39))</f>
        <v>0</v>
      </c>
      <c r="K44" s="82"/>
      <c r="L44" s="47"/>
      <c r="M44" s="82"/>
    </row>
    <row r="45" spans="1:13" ht="20.100000000000001" customHeight="1" x14ac:dyDescent="0.25">
      <c r="A45" s="16" t="str">
        <f>HYPERLINK("#'Constants - Electricity'!A1", "Constants - Electricity")</f>
        <v>Constants - Electricity</v>
      </c>
      <c r="D45" s="49">
        <v>0</v>
      </c>
      <c r="E45" s="49">
        <v>0</v>
      </c>
      <c r="F45" s="49">
        <v>0</v>
      </c>
      <c r="G45" s="151" cm="1">
        <f t="array" ref="G45">Scope3_Equations.VEERG_15_1_1_1__1_EmissionsFromPurchasedLivestock(E45,F45,$E$39)</f>
        <v>0</v>
      </c>
      <c r="H45" s="49">
        <v>0</v>
      </c>
      <c r="I45" s="66"/>
      <c r="J45" s="151" cm="1">
        <f t="array" ref="J45">Scope3_Equations.VEERG_15_1_1_1__1_EmissionsFromPurchasedLivestock(E45,H45,IF(I45,I45,$E$39))</f>
        <v>0</v>
      </c>
      <c r="K45" s="82"/>
      <c r="L45" s="47"/>
      <c r="M45" s="82"/>
    </row>
    <row r="46" spans="1:13" ht="20.100000000000001" customHeight="1" x14ac:dyDescent="0.25">
      <c r="A46" s="16" t="str">
        <f>HYPERLINK("#'Constants - Common'!A1", "Constants - Common")</f>
        <v>Constants - Common</v>
      </c>
      <c r="D46" s="49">
        <v>0</v>
      </c>
      <c r="E46" s="49">
        <v>0</v>
      </c>
      <c r="F46" s="49">
        <v>0</v>
      </c>
      <c r="G46" s="151" cm="1">
        <f t="array" ref="G46">Scope3_Equations.VEERG_15_1_1_1__1_EmissionsFromPurchasedLivestock(E46,F46,$E$39)</f>
        <v>0</v>
      </c>
      <c r="H46" s="49">
        <v>0</v>
      </c>
      <c r="I46" s="66"/>
      <c r="J46" s="151" cm="1">
        <f t="array" ref="J46">Scope3_Equations.VEERG_15_1_1_1__1_EmissionsFromPurchasedLivestock(E46,H46,IF(I46,I46,$E$39))</f>
        <v>0</v>
      </c>
      <c r="K46" s="82"/>
      <c r="L46" s="47"/>
      <c r="M46" s="82"/>
    </row>
    <row r="47" spans="1:13" ht="20.100000000000001" customHeight="1" x14ac:dyDescent="0.25">
      <c r="D47" s="49">
        <v>0</v>
      </c>
      <c r="E47" s="49">
        <v>0</v>
      </c>
      <c r="F47" s="49">
        <v>0</v>
      </c>
      <c r="G47" s="151" cm="1">
        <f t="array" ref="G47">Scope3_Equations.VEERG_15_1_1_1__1_EmissionsFromPurchasedLivestock(E47,F47,$E$39)</f>
        <v>0</v>
      </c>
      <c r="H47" s="49">
        <v>0</v>
      </c>
      <c r="I47" s="66"/>
      <c r="J47" s="151" cm="1">
        <f t="array" ref="J47">Scope3_Equations.VEERG_15_1_1_1__1_EmissionsFromPurchasedLivestock(E47,H47,IF(I47,I47,$E$39))</f>
        <v>0</v>
      </c>
      <c r="K47" s="82"/>
      <c r="L47" s="47"/>
      <c r="M47" s="82"/>
    </row>
    <row r="48" spans="1:13" ht="20.100000000000001" customHeight="1" x14ac:dyDescent="0.25">
      <c r="D48" s="49">
        <v>0</v>
      </c>
      <c r="E48" s="49">
        <v>0</v>
      </c>
      <c r="F48" s="49">
        <v>0</v>
      </c>
      <c r="G48" s="151" cm="1">
        <f t="array" ref="G48">Scope3_Equations.VEERG_15_1_1_1__1_EmissionsFromPurchasedLivestock(E48,F48,$E$39)</f>
        <v>0</v>
      </c>
      <c r="H48" s="49">
        <v>0</v>
      </c>
      <c r="I48" s="66"/>
      <c r="J48" s="151" cm="1">
        <f t="array" ref="J48">Scope3_Equations.VEERG_15_1_1_1__1_EmissionsFromPurchasedLivestock(E48,H48,IF(I48,I48,$E$39))</f>
        <v>0</v>
      </c>
      <c r="K48" s="82"/>
      <c r="L48" s="47"/>
      <c r="M48" s="82"/>
    </row>
    <row r="49" spans="4:13" ht="20.100000000000001" customHeight="1" x14ac:dyDescent="0.25">
      <c r="D49" s="49">
        <v>0</v>
      </c>
      <c r="E49" s="49">
        <v>0</v>
      </c>
      <c r="F49" s="49">
        <v>0</v>
      </c>
      <c r="G49" s="151" cm="1">
        <f t="array" ref="G49">Scope3_Equations.VEERG_15_1_1_1__1_EmissionsFromPurchasedLivestock(E49,F49,$E$39)</f>
        <v>0</v>
      </c>
      <c r="H49" s="49">
        <v>0</v>
      </c>
      <c r="I49" s="66"/>
      <c r="J49" s="151" cm="1">
        <f t="array" ref="J49">Scope3_Equations.VEERG_15_1_1_1__1_EmissionsFromPurchasedLivestock(E49,H49,IF(I49,I49,$E$39))</f>
        <v>0</v>
      </c>
      <c r="K49" s="82"/>
      <c r="L49" s="47"/>
      <c r="M49" s="82"/>
    </row>
    <row r="50" spans="4:13" ht="20.100000000000001" customHeight="1" x14ac:dyDescent="0.25">
      <c r="D50" s="49">
        <v>0</v>
      </c>
      <c r="E50" s="49">
        <v>0</v>
      </c>
      <c r="F50" s="49">
        <v>0</v>
      </c>
      <c r="G50" s="151" cm="1">
        <f t="array" ref="G50">Scope3_Equations.VEERG_15_1_1_1__1_EmissionsFromPurchasedLivestock(E50,F50,$E$39)</f>
        <v>0</v>
      </c>
      <c r="H50" s="49">
        <v>0</v>
      </c>
      <c r="I50" s="66"/>
      <c r="J50" s="151" cm="1">
        <f t="array" ref="J50">Scope3_Equations.VEERG_15_1_1_1__1_EmissionsFromPurchasedLivestock(E50,H50,IF(I50,I50,$E$39))</f>
        <v>0</v>
      </c>
      <c r="K50" s="82"/>
      <c r="L50" s="47"/>
      <c r="M50" s="82"/>
    </row>
    <row r="51" spans="4:13" ht="20.100000000000001" customHeight="1" x14ac:dyDescent="0.25">
      <c r="D51" s="49">
        <v>0</v>
      </c>
      <c r="E51" s="49">
        <v>0</v>
      </c>
      <c r="F51" s="49">
        <v>0</v>
      </c>
      <c r="G51" s="151" cm="1">
        <f t="array" ref="G51">Scope3_Equations.VEERG_15_1_1_1__1_EmissionsFromPurchasedLivestock(E51,F51,$E$39)</f>
        <v>0</v>
      </c>
      <c r="H51" s="49">
        <v>0</v>
      </c>
      <c r="I51" s="66"/>
      <c r="J51" s="151" cm="1">
        <f t="array" ref="J51">Scope3_Equations.VEERG_15_1_1_1__1_EmissionsFromPurchasedLivestock(E51,H51,IF(I51,I51,$E$39))</f>
        <v>0</v>
      </c>
      <c r="K51" s="82"/>
      <c r="L51" s="47"/>
      <c r="M51" s="82"/>
    </row>
    <row r="52" spans="4:13" ht="20.100000000000001" customHeight="1" x14ac:dyDescent="0.25"/>
    <row r="53" spans="4:13" ht="20.100000000000001" customHeight="1" x14ac:dyDescent="0.25">
      <c r="D53" s="174" t="s">
        <v>637</v>
      </c>
      <c r="E53" s="98">
        <f>SUM(G42:G51)</f>
        <v>295.47000000000003</v>
      </c>
      <c r="F53" s="175" t="str">
        <f>$E$11</f>
        <v>t CO2e</v>
      </c>
    </row>
    <row r="54" spans="4:13" ht="20.100000000000001" customHeight="1" x14ac:dyDescent="0.25">
      <c r="D54" s="174" t="s">
        <v>638</v>
      </c>
      <c r="E54" s="98">
        <f>SUM(J42:J51)</f>
        <v>415.625</v>
      </c>
      <c r="F54" s="175" t="str">
        <f>$E$11</f>
        <v>t CO2e</v>
      </c>
    </row>
    <row r="55" spans="4:13" ht="20.100000000000001" customHeight="1" x14ac:dyDescent="0.25"/>
    <row r="56" spans="4:13" ht="20.100000000000001" customHeight="1" x14ac:dyDescent="0.25"/>
    <row r="57" spans="4:13" ht="20.100000000000001" customHeight="1" x14ac:dyDescent="0.25">
      <c r="D57" s="144" t="s">
        <v>532</v>
      </c>
    </row>
    <row r="58" spans="4:13" ht="20.100000000000001" customHeight="1" x14ac:dyDescent="0.25">
      <c r="D58" s="167" t="s">
        <v>618</v>
      </c>
      <c r="E58" s="49"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6" t="s">
        <v>351</v>
      </c>
      <c r="E60" s="152" t="s">
        <v>611</v>
      </c>
      <c r="F60" s="152" t="s">
        <v>612</v>
      </c>
      <c r="G60" s="57" t="s">
        <v>623</v>
      </c>
      <c r="H60" s="152" t="s">
        <v>613</v>
      </c>
      <c r="I60" s="46" t="s">
        <v>615</v>
      </c>
      <c r="J60" s="57" t="s">
        <v>625</v>
      </c>
      <c r="K60" s="46" t="s">
        <v>619</v>
      </c>
      <c r="L60" s="46" t="s">
        <v>620</v>
      </c>
      <c r="M60" s="46" t="s">
        <v>621</v>
      </c>
    </row>
    <row r="61" spans="4:13" ht="20.100000000000001" customHeight="1" x14ac:dyDescent="0.25">
      <c r="D61" s="49" t="str" cm="1">
        <f t="array" ref="D61:D70">IFERROR(INDEX(Table_Input_LivestockPurchases_Pigs[Transaction name], _xlfn.SEQUENCE(10)), "")</f>
        <v>Pigs from Pam</v>
      </c>
      <c r="E61" s="49" cm="1">
        <f t="array" ref="E61:E70">IFERROR(INDEX(Table_Input_LivestockPurchases_Pigs[Quantity (head)], _xlfn.SEQUENCE(10)), 0)</f>
        <v>100</v>
      </c>
      <c r="F61" s="49" cm="1">
        <f t="array" ref="F61:F70">IFERROR(INDEX(Table_Input_LivestockPurchases_Pigs[Liveweight (kg/head) Method 1], _xlfn.SEQUENCE(10)), 0)</f>
        <v>188</v>
      </c>
      <c r="G61" s="151" cm="1">
        <f t="array" ref="G61">Scope3_Equations.VEERG_15_1_1_1__1_EmissionsFromPurchasedLivestock(E61,F61,$E$58)</f>
        <v>63.544000000000004</v>
      </c>
      <c r="H61" s="49" cm="1">
        <f t="array" ref="H61:H70">IFERROR(INDEX(Table_Input_LivestockPurchases_Pigs[Liveweight (kg/head) Method 2], _xlfn.SEQUENCE(10)), 0)</f>
        <v>180</v>
      </c>
      <c r="I61" s="66">
        <v>3.38</v>
      </c>
      <c r="J61" s="151" cm="1">
        <f t="array" ref="J61">Scope3_Equations.VEERG_15_1_1_1__1_EmissionsFromPurchasedLivestock(E61,H61,IF(I61, I61,$E$58))</f>
        <v>60.84</v>
      </c>
      <c r="K61" s="82"/>
      <c r="L61" s="47"/>
      <c r="M61"/>
    </row>
    <row r="62" spans="4:13" ht="20.100000000000001" customHeight="1" x14ac:dyDescent="0.25">
      <c r="D62" s="49" t="str">
        <v>Swine from Samantha</v>
      </c>
      <c r="E62" s="49">
        <v>100</v>
      </c>
      <c r="F62" s="49">
        <v>188</v>
      </c>
      <c r="G62" s="151" cm="1">
        <f t="array" ref="G62">Scope3_Equations.VEERG_15_1_1_1__1_EmissionsFromPurchasedLivestock(E62,F62,$E$58)</f>
        <v>63.544000000000004</v>
      </c>
      <c r="H62" s="49">
        <v>38</v>
      </c>
      <c r="I62" s="66">
        <v>3.3</v>
      </c>
      <c r="J62" s="151" cm="1">
        <f t="array" ref="J62">Scope3_Equations.VEERG_15_1_1_1__1_EmissionsFromPurchasedLivestock(E62,H62,IF(I62, I62,$E$58))</f>
        <v>12.540000000000001</v>
      </c>
      <c r="K62" s="82"/>
      <c r="L62" s="47"/>
      <c r="M62" s="82"/>
    </row>
    <row r="63" spans="4:13" ht="20.100000000000001" customHeight="1" x14ac:dyDescent="0.25">
      <c r="D63" s="49">
        <v>0</v>
      </c>
      <c r="E63" s="49">
        <v>0</v>
      </c>
      <c r="F63" s="49">
        <v>0</v>
      </c>
      <c r="G63" s="151" cm="1">
        <f t="array" ref="G63">Scope3_Equations.VEERG_15_1_1_1__1_EmissionsFromPurchasedLivestock(E63,F63,$E$58)</f>
        <v>0</v>
      </c>
      <c r="H63" s="49">
        <v>0</v>
      </c>
      <c r="I63" s="66"/>
      <c r="J63" s="151" cm="1">
        <f t="array" ref="J63">Scope3_Equations.VEERG_15_1_1_1__1_EmissionsFromPurchasedLivestock(E63,H63,IF(I63, I63,$E$58))</f>
        <v>0</v>
      </c>
      <c r="K63" s="82"/>
      <c r="L63" s="47"/>
      <c r="M63" s="82"/>
    </row>
    <row r="64" spans="4:13" ht="20.100000000000001" customHeight="1" x14ac:dyDescent="0.25">
      <c r="D64" s="49">
        <v>0</v>
      </c>
      <c r="E64" s="49">
        <v>0</v>
      </c>
      <c r="F64" s="49">
        <v>0</v>
      </c>
      <c r="G64" s="151" cm="1">
        <f t="array" ref="G64">Scope3_Equations.VEERG_15_1_1_1__1_EmissionsFromPurchasedLivestock(E64,F64,$E$58)</f>
        <v>0</v>
      </c>
      <c r="H64" s="49">
        <v>0</v>
      </c>
      <c r="I64" s="66"/>
      <c r="J64" s="151" cm="1">
        <f t="array" ref="J64">Scope3_Equations.VEERG_15_1_1_1__1_EmissionsFromPurchasedLivestock(E64,H64,IF(I64, I64,$E$58))</f>
        <v>0</v>
      </c>
      <c r="K64" s="82"/>
      <c r="L64" s="47"/>
      <c r="M64" s="82"/>
    </row>
    <row r="65" spans="4:13" ht="20.100000000000001" customHeight="1" x14ac:dyDescent="0.25">
      <c r="D65" s="49">
        <v>0</v>
      </c>
      <c r="E65" s="49">
        <v>0</v>
      </c>
      <c r="F65" s="49">
        <v>0</v>
      </c>
      <c r="G65" s="151" cm="1">
        <f t="array" ref="G65">Scope3_Equations.VEERG_15_1_1_1__1_EmissionsFromPurchasedLivestock(E65,F65,$E$58)</f>
        <v>0</v>
      </c>
      <c r="H65" s="49">
        <v>0</v>
      </c>
      <c r="I65" s="66"/>
      <c r="J65" s="151" cm="1">
        <f t="array" ref="J65">Scope3_Equations.VEERG_15_1_1_1__1_EmissionsFromPurchasedLivestock(E65,H65,IF(I65, I65,$E$58))</f>
        <v>0</v>
      </c>
      <c r="K65" s="82"/>
      <c r="L65" s="47"/>
      <c r="M65" s="82"/>
    </row>
    <row r="66" spans="4:13" ht="20.100000000000001" customHeight="1" x14ac:dyDescent="0.25">
      <c r="D66" s="49">
        <v>0</v>
      </c>
      <c r="E66" s="49">
        <v>0</v>
      </c>
      <c r="F66" s="49">
        <v>0</v>
      </c>
      <c r="G66" s="151" cm="1">
        <f t="array" ref="G66">Scope3_Equations.VEERG_15_1_1_1__1_EmissionsFromPurchasedLivestock(E66,F66,$E$58)</f>
        <v>0</v>
      </c>
      <c r="H66" s="49">
        <v>0</v>
      </c>
      <c r="I66" s="66"/>
      <c r="J66" s="151" cm="1">
        <f t="array" ref="J66">Scope3_Equations.VEERG_15_1_1_1__1_EmissionsFromPurchasedLivestock(E66,H66,IF(I66, I66,$E$58))</f>
        <v>0</v>
      </c>
      <c r="K66" s="82"/>
      <c r="L66" s="47"/>
      <c r="M66" s="82"/>
    </row>
    <row r="67" spans="4:13" ht="20.100000000000001" customHeight="1" x14ac:dyDescent="0.25">
      <c r="D67" s="49">
        <v>0</v>
      </c>
      <c r="E67" s="49">
        <v>0</v>
      </c>
      <c r="F67" s="49">
        <v>0</v>
      </c>
      <c r="G67" s="151" cm="1">
        <f t="array" ref="G67">Scope3_Equations.VEERG_15_1_1_1__1_EmissionsFromPurchasedLivestock(E67,F67,$E$58)</f>
        <v>0</v>
      </c>
      <c r="H67" s="49">
        <v>0</v>
      </c>
      <c r="I67" s="66"/>
      <c r="J67" s="151" cm="1">
        <f t="array" ref="J67">Scope3_Equations.VEERG_15_1_1_1__1_EmissionsFromPurchasedLivestock(E67,H67,IF(I67, I67,$E$58))</f>
        <v>0</v>
      </c>
      <c r="K67" s="82"/>
      <c r="L67" s="47"/>
      <c r="M67" s="82"/>
    </row>
    <row r="68" spans="4:13" ht="20.100000000000001" customHeight="1" x14ac:dyDescent="0.25">
      <c r="D68" s="49">
        <v>0</v>
      </c>
      <c r="E68" s="49">
        <v>0</v>
      </c>
      <c r="F68" s="49">
        <v>0</v>
      </c>
      <c r="G68" s="151" cm="1">
        <f t="array" ref="G68">Scope3_Equations.VEERG_15_1_1_1__1_EmissionsFromPurchasedLivestock(E68,F68,$E$58)</f>
        <v>0</v>
      </c>
      <c r="H68" s="49">
        <v>0</v>
      </c>
      <c r="I68" s="66"/>
      <c r="J68" s="151" cm="1">
        <f t="array" ref="J68">Scope3_Equations.VEERG_15_1_1_1__1_EmissionsFromPurchasedLivestock(E68,H68,IF(I68, I68,$E$58))</f>
        <v>0</v>
      </c>
      <c r="K68" s="82"/>
      <c r="L68" s="47"/>
      <c r="M68" s="82"/>
    </row>
    <row r="69" spans="4:13" ht="20.100000000000001" customHeight="1" x14ac:dyDescent="0.25">
      <c r="D69" s="49">
        <v>0</v>
      </c>
      <c r="E69" s="49">
        <v>0</v>
      </c>
      <c r="F69" s="49">
        <v>0</v>
      </c>
      <c r="G69" s="151" cm="1">
        <f t="array" ref="G69">Scope3_Equations.VEERG_15_1_1_1__1_EmissionsFromPurchasedLivestock(E69,F69,$E$58)</f>
        <v>0</v>
      </c>
      <c r="H69" s="49">
        <v>0</v>
      </c>
      <c r="I69" s="66"/>
      <c r="J69" s="151" cm="1">
        <f t="array" ref="J69">Scope3_Equations.VEERG_15_1_1_1__1_EmissionsFromPurchasedLivestock(E69,H69,IF(I69, I69,$E$58))</f>
        <v>0</v>
      </c>
      <c r="K69" s="82"/>
      <c r="L69" s="47"/>
      <c r="M69" s="82"/>
    </row>
    <row r="70" spans="4:13" ht="20.100000000000001" customHeight="1" x14ac:dyDescent="0.25">
      <c r="D70" s="49">
        <v>0</v>
      </c>
      <c r="E70" s="49">
        <v>0</v>
      </c>
      <c r="F70" s="49">
        <v>0</v>
      </c>
      <c r="G70" s="151" cm="1">
        <f t="array" ref="G70">Scope3_Equations.VEERG_15_1_1_1__1_EmissionsFromPurchasedLivestock(E70,F70,$E$58)</f>
        <v>0</v>
      </c>
      <c r="H70" s="49">
        <v>0</v>
      </c>
      <c r="I70" s="66"/>
      <c r="J70" s="151" cm="1">
        <f t="array" ref="J70">Scope3_Equations.VEERG_15_1_1_1__1_EmissionsFromPurchasedLivestock(E70,H70,IF(I70, I70,$E$58))</f>
        <v>0</v>
      </c>
      <c r="K70" s="82"/>
      <c r="L70" s="47"/>
      <c r="M70" s="82"/>
    </row>
    <row r="71" spans="4:13" ht="20.100000000000001" customHeight="1" x14ac:dyDescent="0.25"/>
    <row r="72" spans="4:13" ht="20.100000000000001" customHeight="1" x14ac:dyDescent="0.25">
      <c r="D72" s="174" t="s">
        <v>635</v>
      </c>
      <c r="E72" s="98">
        <f>SUM(G61:G70)</f>
        <v>127.08800000000001</v>
      </c>
      <c r="F72" s="175" t="str">
        <f>$E$11</f>
        <v>t CO2e</v>
      </c>
    </row>
    <row r="73" spans="4:13" ht="20.100000000000001" customHeight="1" x14ac:dyDescent="0.25">
      <c r="D73" s="174" t="s">
        <v>636</v>
      </c>
      <c r="E73" s="98">
        <f>SUM(J61:J70)</f>
        <v>73.38000000000001</v>
      </c>
      <c r="F73" s="175" t="str">
        <f>$E$11</f>
        <v>t CO2e</v>
      </c>
    </row>
    <row r="74" spans="4:13" ht="20.100000000000001" customHeight="1" x14ac:dyDescent="0.25"/>
    <row r="75" spans="4:13" ht="20.100000000000001" customHeight="1" x14ac:dyDescent="0.25">
      <c r="D75" s="144" t="s">
        <v>558</v>
      </c>
    </row>
    <row r="76" spans="4:13" ht="20.100000000000001" customHeight="1" x14ac:dyDescent="0.25">
      <c r="D76" s="167" t="s">
        <v>618</v>
      </c>
      <c r="E76" s="49"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6" t="s">
        <v>351</v>
      </c>
      <c r="E78" s="152" t="s">
        <v>611</v>
      </c>
      <c r="F78" s="152" t="s">
        <v>612</v>
      </c>
      <c r="G78" s="57" t="s">
        <v>623</v>
      </c>
      <c r="H78" s="152" t="s">
        <v>613</v>
      </c>
      <c r="I78" s="46" t="s">
        <v>615</v>
      </c>
      <c r="J78" s="57" t="s">
        <v>625</v>
      </c>
      <c r="K78" s="46" t="s">
        <v>619</v>
      </c>
      <c r="L78" s="46" t="s">
        <v>620</v>
      </c>
      <c r="M78" s="46" t="s">
        <v>621</v>
      </c>
    </row>
    <row r="79" spans="4:13" ht="20.100000000000001" customHeight="1" x14ac:dyDescent="0.25">
      <c r="D79" s="49" t="str" cm="1">
        <f t="array" ref="D79:D88">IFERROR(INDEX(Table_Input_LivestockPurchases_Poultry[Transaction name], _xlfn.SEQUENCE(10)), "")</f>
        <v>Chooks from Carolyn</v>
      </c>
      <c r="E79" s="49" cm="1">
        <f t="array" ref="E79:E88">IFERROR(INDEX(Table_Input_LivestockPurchases_Poultry[Quantity (head)], _xlfn.SEQUENCE(10)), "")</f>
        <v>100</v>
      </c>
      <c r="F79" s="49" cm="1">
        <f t="array" ref="F79:F88">IFERROR(INDEX(Table_Input_LivestockPurchases_Poultry[Liveweight (kg/head) Method 1], _xlfn.SEQUENCE(10)), "")</f>
        <v>1.3</v>
      </c>
      <c r="G79" s="151" cm="1">
        <f t="array" ref="G79">Scope3_Equations.VEERG_15_1_1_1__1_EmissionsFromPurchasedLivestock(E79,F79,$E$76)</f>
        <v>0.17680000000000001</v>
      </c>
      <c r="H79" s="49" cm="1">
        <f t="array" ref="H79:H88">IFERROR(INDEX(Table_Input_LivestockPurchases_Poultry[Liveweight (kg/head) Method 2], _xlfn.SEQUENCE(10)), "")</f>
        <v>1.3</v>
      </c>
      <c r="I79" s="66">
        <v>1.3</v>
      </c>
      <c r="J79" s="151" cm="1">
        <f t="array" ref="J79">Scope3_Equations.VEERG_15_1_1_1__1_EmissionsFromPurchasedLivestock(E79,H79,IF(I79, I79,$E$76))</f>
        <v>0.16900000000000001</v>
      </c>
      <c r="K79" s="82"/>
      <c r="L79" s="47"/>
      <c r="M79"/>
    </row>
    <row r="80" spans="4:13" ht="20.100000000000001" customHeight="1" x14ac:dyDescent="0.25">
      <c r="D80" s="49" t="str">
        <v>Roosters from Raj</v>
      </c>
      <c r="E80" s="49">
        <v>100</v>
      </c>
      <c r="F80" s="49">
        <v>1.4</v>
      </c>
      <c r="G80" s="151" cm="1">
        <f t="array" ref="G80">Scope3_Equations.VEERG_15_1_1_1__1_EmissionsFromPurchasedLivestock(E80,F80,$E$76)</f>
        <v>0.19040000000000001</v>
      </c>
      <c r="H80" s="49">
        <v>1.4</v>
      </c>
      <c r="I80" s="66"/>
      <c r="J80" s="151" cm="1">
        <f t="array" ref="J80">Scope3_Equations.VEERG_15_1_1_1__1_EmissionsFromPurchasedLivestock(E80,H80,IF(I80, I80,$E$76))</f>
        <v>0.19040000000000001</v>
      </c>
      <c r="K80" s="82"/>
      <c r="L80" s="47"/>
      <c r="M80" s="82"/>
    </row>
    <row r="81" spans="4:13" ht="20.100000000000001" customHeight="1" x14ac:dyDescent="0.25">
      <c r="D81" s="49">
        <v>0</v>
      </c>
      <c r="E81" s="49">
        <v>0</v>
      </c>
      <c r="F81" s="49">
        <v>0</v>
      </c>
      <c r="G81" s="151" cm="1">
        <f t="array" ref="G81">Scope3_Equations.VEERG_15_1_1_1__1_EmissionsFromPurchasedLivestock(E81,F81,$E$76)</f>
        <v>0</v>
      </c>
      <c r="H81" s="49">
        <v>0</v>
      </c>
      <c r="I81" s="66"/>
      <c r="J81" s="151" cm="1">
        <f t="array" ref="J81">Scope3_Equations.VEERG_15_1_1_1__1_EmissionsFromPurchasedLivestock(E81,H81,IF(I81, I81,$E$76))</f>
        <v>0</v>
      </c>
      <c r="K81" s="82"/>
      <c r="L81" s="47"/>
      <c r="M81" s="82"/>
    </row>
    <row r="82" spans="4:13" ht="20.100000000000001" customHeight="1" x14ac:dyDescent="0.25">
      <c r="D82" s="49">
        <v>0</v>
      </c>
      <c r="E82" s="49">
        <v>0</v>
      </c>
      <c r="F82" s="49">
        <v>0</v>
      </c>
      <c r="G82" s="151" cm="1">
        <f t="array" ref="G82">Scope3_Equations.VEERG_15_1_1_1__1_EmissionsFromPurchasedLivestock(E82,F82,$E$76)</f>
        <v>0</v>
      </c>
      <c r="H82" s="49">
        <v>0</v>
      </c>
      <c r="I82" s="66"/>
      <c r="J82" s="151" cm="1">
        <f t="array" ref="J82">Scope3_Equations.VEERG_15_1_1_1__1_EmissionsFromPurchasedLivestock(E82,H82,IF(I82, I82,$E$76))</f>
        <v>0</v>
      </c>
      <c r="K82" s="82"/>
      <c r="L82" s="47"/>
      <c r="M82" s="82"/>
    </row>
    <row r="83" spans="4:13" ht="20.100000000000001" customHeight="1" x14ac:dyDescent="0.25">
      <c r="D83" s="49">
        <v>0</v>
      </c>
      <c r="E83" s="49">
        <v>0</v>
      </c>
      <c r="F83" s="49">
        <v>0</v>
      </c>
      <c r="G83" s="151" cm="1">
        <f t="array" ref="G83">Scope3_Equations.VEERG_15_1_1_1__1_EmissionsFromPurchasedLivestock(E83,F83,$E$76)</f>
        <v>0</v>
      </c>
      <c r="H83" s="49">
        <v>0</v>
      </c>
      <c r="I83" s="66"/>
      <c r="J83" s="151" cm="1">
        <f t="array" ref="J83">Scope3_Equations.VEERG_15_1_1_1__1_EmissionsFromPurchasedLivestock(E83,H83,IF(I83, I83,$E$76))</f>
        <v>0</v>
      </c>
      <c r="K83" s="82"/>
      <c r="L83" s="47"/>
      <c r="M83" s="82"/>
    </row>
    <row r="84" spans="4:13" ht="20.100000000000001" customHeight="1" x14ac:dyDescent="0.25">
      <c r="D84" s="49">
        <v>0</v>
      </c>
      <c r="E84" s="49">
        <v>0</v>
      </c>
      <c r="F84" s="49">
        <v>0</v>
      </c>
      <c r="G84" s="151" cm="1">
        <f t="array" ref="G84">Scope3_Equations.VEERG_15_1_1_1__1_EmissionsFromPurchasedLivestock(E84,F84,$E$76)</f>
        <v>0</v>
      </c>
      <c r="H84" s="49">
        <v>0</v>
      </c>
      <c r="I84" s="66"/>
      <c r="J84" s="151" cm="1">
        <f t="array" ref="J84">Scope3_Equations.VEERG_15_1_1_1__1_EmissionsFromPurchasedLivestock(E84,H84,IF(I84, I84,$E$76))</f>
        <v>0</v>
      </c>
      <c r="K84" s="82"/>
      <c r="L84" s="47"/>
      <c r="M84" s="82"/>
    </row>
    <row r="85" spans="4:13" ht="20.100000000000001" customHeight="1" x14ac:dyDescent="0.25">
      <c r="D85" s="49">
        <v>0</v>
      </c>
      <c r="E85" s="49">
        <v>0</v>
      </c>
      <c r="F85" s="49">
        <v>0</v>
      </c>
      <c r="G85" s="151" cm="1">
        <f t="array" ref="G85">Scope3_Equations.VEERG_15_1_1_1__1_EmissionsFromPurchasedLivestock(E85,F85,$E$76)</f>
        <v>0</v>
      </c>
      <c r="H85" s="49">
        <v>0</v>
      </c>
      <c r="I85" s="66"/>
      <c r="J85" s="151" cm="1">
        <f t="array" ref="J85">Scope3_Equations.VEERG_15_1_1_1__1_EmissionsFromPurchasedLivestock(E85,H85,IF(I85, I85,$E$76))</f>
        <v>0</v>
      </c>
      <c r="K85" s="82"/>
      <c r="L85" s="47"/>
      <c r="M85" s="82"/>
    </row>
    <row r="86" spans="4:13" ht="20.100000000000001" customHeight="1" x14ac:dyDescent="0.25">
      <c r="D86" s="49">
        <v>0</v>
      </c>
      <c r="E86" s="49">
        <v>0</v>
      </c>
      <c r="F86" s="49">
        <v>0</v>
      </c>
      <c r="G86" s="151" cm="1">
        <f t="array" ref="G86">Scope3_Equations.VEERG_15_1_1_1__1_EmissionsFromPurchasedLivestock(E86,F86,$E$76)</f>
        <v>0</v>
      </c>
      <c r="H86" s="49">
        <v>0</v>
      </c>
      <c r="I86" s="66"/>
      <c r="J86" s="151" cm="1">
        <f t="array" ref="J86">Scope3_Equations.VEERG_15_1_1_1__1_EmissionsFromPurchasedLivestock(E86,H86,IF(I86, I86,$E$76))</f>
        <v>0</v>
      </c>
      <c r="K86" s="82"/>
      <c r="L86" s="47"/>
      <c r="M86" s="82"/>
    </row>
    <row r="87" spans="4:13" ht="20.100000000000001" customHeight="1" x14ac:dyDescent="0.25">
      <c r="D87" s="49">
        <v>0</v>
      </c>
      <c r="E87" s="49">
        <v>0</v>
      </c>
      <c r="F87" s="49">
        <v>0</v>
      </c>
      <c r="G87" s="151" cm="1">
        <f t="array" ref="G87">Scope3_Equations.VEERG_15_1_1_1__1_EmissionsFromPurchasedLivestock(E87,F87,$E$76)</f>
        <v>0</v>
      </c>
      <c r="H87" s="49">
        <v>0</v>
      </c>
      <c r="I87" s="66"/>
      <c r="J87" s="151" cm="1">
        <f t="array" ref="J87">Scope3_Equations.VEERG_15_1_1_1__1_EmissionsFromPurchasedLivestock(E87,H87,IF(I87, I87,$E$76))</f>
        <v>0</v>
      </c>
      <c r="K87" s="82"/>
      <c r="L87" s="47"/>
      <c r="M87" s="82"/>
    </row>
    <row r="88" spans="4:13" ht="20.100000000000001" customHeight="1" x14ac:dyDescent="0.25">
      <c r="D88" s="49">
        <v>0</v>
      </c>
      <c r="E88" s="49">
        <v>0</v>
      </c>
      <c r="F88" s="49">
        <v>0</v>
      </c>
      <c r="G88" s="151" cm="1">
        <f t="array" ref="G88">Scope3_Equations.VEERG_15_1_1_1__1_EmissionsFromPurchasedLivestock(E88,F88,$E$76)</f>
        <v>0</v>
      </c>
      <c r="H88" s="49">
        <v>0</v>
      </c>
      <c r="I88" s="66"/>
      <c r="J88" s="151" cm="1">
        <f t="array" ref="J88">Scope3_Equations.VEERG_15_1_1_1__1_EmissionsFromPurchasedLivestock(E88,H88,IF(I88, I88,$E$76))</f>
        <v>0</v>
      </c>
      <c r="K88" s="82"/>
      <c r="L88" s="47"/>
      <c r="M88" s="82"/>
    </row>
    <row r="89" spans="4:13" ht="20.100000000000001" customHeight="1" x14ac:dyDescent="0.25"/>
    <row r="90" spans="4:13" ht="20.100000000000001" customHeight="1" x14ac:dyDescent="0.25">
      <c r="D90" s="174" t="s">
        <v>633</v>
      </c>
      <c r="E90" s="98">
        <f>SUM(G79:G88)</f>
        <v>0.36720000000000003</v>
      </c>
      <c r="F90" s="175" t="str">
        <f>$E$11</f>
        <v>t CO2e</v>
      </c>
    </row>
    <row r="91" spans="4:13" ht="20.100000000000001" customHeight="1" x14ac:dyDescent="0.25">
      <c r="D91" s="174" t="s">
        <v>634</v>
      </c>
      <c r="E91" s="98">
        <f>SUM(J79:J88)</f>
        <v>0.35940000000000005</v>
      </c>
      <c r="F91" s="175" t="str">
        <f>$E$11</f>
        <v>t CO2e</v>
      </c>
    </row>
    <row r="92" spans="4:13" ht="20.100000000000001" customHeight="1" x14ac:dyDescent="0.25"/>
    <row r="93" spans="4:13" ht="20.100000000000001" customHeight="1" x14ac:dyDescent="0.25">
      <c r="D93" s="176" t="s">
        <v>623</v>
      </c>
      <c r="E93" s="177">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1475.4251999999999</v>
      </c>
      <c r="F93" s="178" t="str">
        <f>$E$11</f>
        <v>t CO2e</v>
      </c>
    </row>
    <row r="94" spans="4:13" ht="20.100000000000001" customHeight="1" x14ac:dyDescent="0.25">
      <c r="D94" s="176" t="s">
        <v>625</v>
      </c>
      <c r="E94" s="177">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1503.8644000000002</v>
      </c>
      <c r="F94" s="178" t="str">
        <f>$E$11</f>
        <v>t CO2e</v>
      </c>
    </row>
    <row r="95" spans="4:13" ht="20.100000000000001" customHeight="1" x14ac:dyDescent="0.25"/>
    <row r="96" spans="4:13" ht="20.100000000000001" customHeight="1" x14ac:dyDescent="0.25"/>
    <row r="97" spans="3:41" ht="20.100000000000001" customHeight="1" x14ac:dyDescent="0.25">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2" t="s">
        <v>616</v>
      </c>
      <c r="E100" s="172"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2"/>
    </row>
    <row r="103" spans="3:41" ht="20.100000000000001" customHeight="1" x14ac:dyDescent="0.25">
      <c r="D103" s="27" t="s">
        <v>617</v>
      </c>
      <c r="E103" s="8" t="str" cm="1">
        <f t="array" ref="E103">Scope3_Equations.VEERG_15_2_1_1__1_EmissionsFromPurchasedFeed_Variable()</f>
        <v>E</v>
      </c>
    </row>
    <row r="104" spans="3:41" ht="20.100000000000001" customHeight="1" x14ac:dyDescent="0.25">
      <c r="D104" s="27" t="s">
        <v>96</v>
      </c>
      <c r="E104" s="13" t="str" cm="1">
        <f t="array" ref="E104">Scope3_Equations.VEERG_15_2_1_1__1_EmissionsFromPurchasedFeed_Unit()</f>
        <v>t CO2e</v>
      </c>
    </row>
    <row r="105" spans="3:41" ht="20.100000000000001" customHeight="1" x14ac:dyDescent="0.25"/>
    <row r="106" spans="3:41" ht="20.100000000000001" customHeight="1" x14ac:dyDescent="0.25">
      <c r="D106" s="167" t="str" cm="1">
        <f t="array" ref="D106:E108">_xlfn.CHOOSECOLS(Scope3_Equations.VEERG_15_2_1_1__1_EmissionsFromPurchasedFeed_Arguments(),1,2)</f>
        <v>Q_j</v>
      </c>
      <c r="E106" s="171" t="str">
        <v>quantity of feed type j purchased</v>
      </c>
      <c r="F106" s="166"/>
      <c r="G106" s="167" t="str" cm="1">
        <f t="array" ref="G106:H108">_xlfn.CHOOSECOLS(Scope3_Equations.VEERG_15_2_1_1__1_EmissionsFromPurchasedFeed_Arguments(),3,4)</f>
        <v>t</v>
      </c>
      <c r="H106" s="168" t="str">
        <v>Input</v>
      </c>
    </row>
    <row r="107" spans="3:41" ht="20.100000000000001" customHeight="1" x14ac:dyDescent="0.25">
      <c r="D107" s="167" t="str">
        <v>EF_j</v>
      </c>
      <c r="E107" s="171" t="str">
        <v>emission factor of purchased feed</v>
      </c>
      <c r="F107" s="166"/>
      <c r="G107" s="167" t="str">
        <v>kg CO2e/kg</v>
      </c>
      <c r="H107" s="168" t="str">
        <v>Constant</v>
      </c>
    </row>
    <row r="108" spans="3:41" ht="20.100000000000001" customHeight="1" x14ac:dyDescent="0.25">
      <c r="D108" s="167" t="str">
        <v>j</v>
      </c>
      <c r="E108" s="171" t="str">
        <v>feed type</v>
      </c>
      <c r="F108" s="166"/>
      <c r="G108" s="167" t="str">
        <v/>
      </c>
      <c r="H108" s="169" t="str">
        <v>Input</v>
      </c>
    </row>
    <row r="109" spans="3:41" ht="20.100000000000001" customHeight="1" x14ac:dyDescent="0.25"/>
    <row r="110" spans="3:41" ht="20.100000000000001" customHeight="1" x14ac:dyDescent="0.25">
      <c r="D110" s="144" t="s">
        <v>284</v>
      </c>
    </row>
    <row r="111" spans="3:41" ht="20.100000000000001" customHeight="1" x14ac:dyDescent="0.25"/>
    <row r="112" spans="3:41" ht="20.100000000000001" customHeight="1" x14ac:dyDescent="0.25">
      <c r="D112" s="39" t="s">
        <v>627</v>
      </c>
      <c r="E112" s="41"/>
      <c r="F112" s="39"/>
      <c r="G112" s="40"/>
      <c r="H112" s="41"/>
    </row>
    <row r="113" spans="4:28" ht="20.100000000000001" customHeight="1" x14ac:dyDescent="0.25">
      <c r="D113" s="88" t="s">
        <v>628</v>
      </c>
      <c r="E113" s="90"/>
      <c r="F113" s="88"/>
      <c r="G113" s="89"/>
      <c r="H113" s="90"/>
    </row>
    <row r="114" spans="4:28" ht="20.100000000000001" customHeight="1" x14ac:dyDescent="0.25">
      <c r="D114" s="43" t="s">
        <v>629</v>
      </c>
      <c r="E114" s="45"/>
      <c r="F114" s="43"/>
      <c r="G114" s="44"/>
      <c r="H114" s="45"/>
    </row>
    <row r="115" spans="4:28" ht="20.100000000000001" customHeight="1" x14ac:dyDescent="0.25"/>
    <row r="116" spans="4:28" ht="20.100000000000001" customHeight="1" x14ac:dyDescent="0.25">
      <c r="D116" s="95" t="s">
        <v>390</v>
      </c>
      <c r="E116" s="110"/>
      <c r="F116" s="96"/>
    </row>
    <row r="117" spans="4:28" ht="20.100000000000001" customHeight="1" x14ac:dyDescent="0.25"/>
    <row r="118" spans="4:28" ht="20.100000000000001" customHeight="1" x14ac:dyDescent="0.25">
      <c r="D118" s="46" t="s">
        <v>394</v>
      </c>
      <c r="E118" s="46" t="s">
        <v>622</v>
      </c>
      <c r="F118" s="57" t="s">
        <v>626</v>
      </c>
      <c r="G118" s="57" t="s">
        <v>623</v>
      </c>
      <c r="H118" s="46" t="s">
        <v>624</v>
      </c>
      <c r="I118" s="57" t="s">
        <v>625</v>
      </c>
      <c r="J118" s="46" t="s">
        <v>619</v>
      </c>
      <c r="K118" s="46" t="s">
        <v>620</v>
      </c>
      <c r="L118" s="46" t="s">
        <v>621</v>
      </c>
      <c r="M118" s="57" t="s">
        <v>170</v>
      </c>
      <c r="N118" s="57" t="s">
        <v>375</v>
      </c>
      <c r="O118" s="57" t="s">
        <v>171</v>
      </c>
      <c r="P118" s="57" t="s">
        <v>337</v>
      </c>
      <c r="Q118" s="57" t="s">
        <v>172</v>
      </c>
      <c r="R118" s="57" t="s">
        <v>391</v>
      </c>
      <c r="S118" s="57" t="s">
        <v>173</v>
      </c>
      <c r="T118" s="57" t="s">
        <v>340</v>
      </c>
      <c r="U118" s="57" t="s">
        <v>174</v>
      </c>
      <c r="V118" s="57" t="s">
        <v>392</v>
      </c>
      <c r="W118" s="57" t="s">
        <v>175</v>
      </c>
      <c r="X118" s="57" t="s">
        <v>341</v>
      </c>
      <c r="Y118" s="57" t="s">
        <v>176</v>
      </c>
      <c r="Z118" s="57" t="s">
        <v>393</v>
      </c>
      <c r="AA118" s="57" t="s">
        <v>177</v>
      </c>
      <c r="AB118" s="57" t="s">
        <v>342</v>
      </c>
    </row>
    <row r="119" spans="4:28" ht="20.100000000000001" customHeight="1" x14ac:dyDescent="0.25">
      <c r="D119" s="49" cm="1">
        <f t="array" ref="D119:D128">IFERROR(INDEX(Table_Input_FeedBlends[Feed blend name], _xlfn.SEQUENCE(10)), "")</f>
        <v>0</v>
      </c>
      <c r="E119" s="49" cm="1">
        <f t="array" ref="E119:E128">IFERROR(INDEX(Table_Input_FeedBlends[Amount fed (kg)], _xlfn.SEQUENCE(10)), "")</f>
        <v>1200</v>
      </c>
      <c r="F119" s="49">
        <f t="shared" ref="F119:F128" si="0">IFERROR((O119*P119)+(S119*T119)+(W119*X119)+(AA119*AB119), 0)</f>
        <v>0.16272999999999999</v>
      </c>
      <c r="G119" s="151" cm="1">
        <f t="array" ref="G119">Scope3_Equations.VEERG_15_2_1_1__1_EmissionsFromPurchasedFeed(E119,F119)</f>
        <v>195.27599999999998</v>
      </c>
      <c r="H119" s="66">
        <v>0.04</v>
      </c>
      <c r="I119" s="151" cm="1">
        <f t="array" ref="I119">Scope3_Equations.VEERG_15_2_1_1__1_EmissionsFromPurchasedFeed(E119,IF(H119,H119, F119))</f>
        <v>48</v>
      </c>
      <c r="J119" s="82"/>
      <c r="K119" s="47"/>
      <c r="L119"/>
      <c r="M119" s="49" t="str" cm="1">
        <f t="array" ref="M119:M128">IFERROR(INDEX(Table_Input_FeedBlends[Ingredient 1 (select)], _xlfn.SEQUENCE(10)), "")</f>
        <v>Cereal silage</v>
      </c>
      <c r="N119" s="49" t="str" cm="1">
        <f t="array" ref="N119:N128">IFERROR(INDEX(Table_Input_FeedBlends[Ingredient 1 source region], _xlfn.SEQUENCE(10)), "")</f>
        <v>SA</v>
      </c>
      <c r="O119" s="49" cm="1">
        <f t="array" ref="O119:O128">IFERROR(INDEX(Table_Input_FeedBlends[Ingredient 1 percent], _xlfn.SEQUENCE(10)), "")</f>
        <v>0.35</v>
      </c>
      <c r="P119" s="49"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49" t="str" cm="1">
        <f t="array" ref="Q119:Q128">IFERROR(INDEX(Table_Input_FeedBlends[Ingredient 2 (select)], _xlfn.SEQUENCE(10)), "")</f>
        <v>Cereal hay</v>
      </c>
      <c r="R119" s="49" t="str" cm="1">
        <f t="array" ref="R119:R128">IFERROR(INDEX(Table_Input_FeedBlends[Ingredient 2 source region], _xlfn.SEQUENCE(10)), "")</f>
        <v>SA</v>
      </c>
      <c r="S119" s="49" cm="1">
        <f t="array" ref="S119:S128">IFERROR(INDEX(Table_Input_FeedBlends[Ingredient 2 percent], _xlfn.SEQUENCE(10)), "")</f>
        <v>0.22</v>
      </c>
      <c r="T119" s="49" cm="1">
        <f t="array" ref="T119">_xlfn.LET(_xlpm.result, Common_InputFunctions.Utility_LookupValueInTableTwoColumns(Q119, R119, Table_SourceData_Scope3_Feed[Product], Table_SourceData_Scope3_Feed[Region of origin], Table_SourceData_Scope3_Feed[AusLCI Emissions intensity]), IF(_xlpm.result="", 0, _xlpm.result))</f>
        <v>0.111</v>
      </c>
      <c r="U119" s="49" t="str" cm="1">
        <f t="array" ref="U119:U128">IFERROR(INDEX(Table_Input_FeedBlends[Ingredient 3 (select)], _xlfn.SEQUENCE(10)), "")</f>
        <v>Canola oil</v>
      </c>
      <c r="V119" s="49" t="str" cm="1">
        <f t="array" ref="V119:V128">IFERROR(INDEX(Table_Input_FeedBlends[Ingredient 3 source region], _xlfn.SEQUENCE(10)), "")</f>
        <v>Australia</v>
      </c>
      <c r="W119" s="49" cm="1">
        <f t="array" ref="W119:W128">IFERROR(INDEX(Table_Input_FeedBlends[Ingredient 3 percent], _xlfn.SEQUENCE(10)), "")</f>
        <v>0.12</v>
      </c>
      <c r="X119" s="49" cm="1">
        <f t="array" ref="X119">_xlfn.LET(_xlpm.result, Common_InputFunctions.Utility_LookupValueInTableTwoColumns(U119, V119, Table_SourceData_Scope3_Feed[Product], Table_SourceData_Scope3_Feed[Region of origin], Table_SourceData_Scope3_Feed[AusLCI Emissions intensity]), IF(_xlpm.result="", 0, _xlpm.result))</f>
        <v>0.87</v>
      </c>
      <c r="Y119" s="49" t="str" cm="1">
        <f t="array" ref="Y119:Y128">IFERROR(INDEX(Table_Input_FeedBlends[Ingredient 4 (select)], _xlfn.SEQUENCE(10)), "")</f>
        <v>Molasses</v>
      </c>
      <c r="Z119" s="49" t="str" cm="1">
        <f t="array" ref="Z119:Z128">IFERROR(INDEX(Table_Input_FeedBlends[Ingredient 4 source region], _xlfn.SEQUENCE(10)), "")</f>
        <v>QLD</v>
      </c>
      <c r="AA119" s="49" cm="1">
        <f t="array" ref="AA119:AA128">IFERROR(INDEX(Table_Input_FeedBlends[Ingredient 4 percent], _xlfn.SEQUENCE(10)), "")</f>
        <v>0.05</v>
      </c>
      <c r="AB119" s="49" cm="1">
        <f t="array" ref="AB119">_xlfn.LET(_xlpm.result, Common_InputFunctions.Utility_LookupValueInTableTwoColumns(Y119, Z119, Table_SourceData_Scope3_Feed[Product], Table_SourceData_Scope3_Feed[Region of origin], Table_SourceData_Scope3_Feed[AusLCI Emissions intensity]), IF(_xlpm.result="", 0, _xlpm.result))</f>
        <v>0.184</v>
      </c>
    </row>
    <row r="120" spans="4:28" ht="20.100000000000001" customHeight="1" x14ac:dyDescent="0.25">
      <c r="D120" s="49">
        <v>0</v>
      </c>
      <c r="E120" s="49">
        <v>3456</v>
      </c>
      <c r="F120" s="49">
        <f t="shared" si="0"/>
        <v>2.2600000000000002E-2</v>
      </c>
      <c r="G120" s="151" cm="1">
        <f t="array" ref="G120">Scope3_Equations.VEERG_15_2_1_1__1_EmissionsFromPurchasedFeed(E120,F120)</f>
        <v>78.10560000000001</v>
      </c>
      <c r="H120" s="66">
        <v>0.03</v>
      </c>
      <c r="I120" s="151" cm="1">
        <f t="array" ref="I120">Scope3_Equations.VEERG_15_2_1_1__1_EmissionsFromPurchasedFeed(E120,IF(H120,H120, F120))</f>
        <v>103.67999999999999</v>
      </c>
      <c r="J120" s="82"/>
      <c r="K120" s="47"/>
      <c r="L120" s="82"/>
      <c r="M120" s="49" t="str">
        <v>Lucerne hay</v>
      </c>
      <c r="N120" s="49" t="str">
        <v>WA</v>
      </c>
      <c r="O120" s="49">
        <v>0.2</v>
      </c>
      <c r="P120" s="49"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49" t="str">
        <v>Lucerne hay</v>
      </c>
      <c r="R120" s="49" t="str">
        <v>NSW</v>
      </c>
      <c r="S120" s="49">
        <v>0.2</v>
      </c>
      <c r="T120" s="49" cm="1">
        <f t="array" ref="T120">_xlfn.LET(_xlpm.result, Common_InputFunctions.Utility_LookupValueInTableTwoColumns(Q120, R120, Table_SourceData_Scope3_Feed[Product], Table_SourceData_Scope3_Feed[Region of origin], Table_SourceData_Scope3_Feed[AusLCI Emissions intensity]), IF(_xlpm.result="", 0, _xlpm.result))</f>
        <v>0.113</v>
      </c>
      <c r="U120" s="49">
        <v>0</v>
      </c>
      <c r="V120" s="49">
        <v>0</v>
      </c>
      <c r="W120" s="49">
        <v>0</v>
      </c>
      <c r="X120" s="49" cm="1">
        <f t="array" ref="X120">_xlfn.LET(_xlpm.result, Common_InputFunctions.Utility_LookupValueInTableTwoColumns(U120, V120, Table_SourceData_Scope3_Feed[Product], Table_SourceData_Scope3_Feed[Region of origin], Table_SourceData_Scope3_Feed[AusLCI Emissions intensity]), IF(_xlpm.result="", 0, _xlpm.result))</f>
        <v>0</v>
      </c>
      <c r="Y120" s="49">
        <v>0</v>
      </c>
      <c r="Z120" s="49">
        <v>0</v>
      </c>
      <c r="AA120" s="49">
        <v>0</v>
      </c>
      <c r="AB120" s="49" cm="1">
        <f t="array" ref="AB120">_xlfn.LET(_xlpm.result, Common_InputFunctions.Utility_LookupValueInTableTwoColumns(Y120, Z120, Table_SourceData_Scope3_Feed[Product], Table_SourceData_Scope3_Feed[Region of origin], Table_SourceData_Scope3_Feed[AusLCI Emissions intensity]), IF(_xlpm.result="", 0, _xlpm.result))</f>
        <v>0</v>
      </c>
    </row>
    <row r="121" spans="4:28" ht="20.100000000000001" customHeight="1" x14ac:dyDescent="0.25">
      <c r="D121" s="49" t="str">
        <v>Hay bales in paddock</v>
      </c>
      <c r="E121" s="49">
        <v>300</v>
      </c>
      <c r="F121" s="49">
        <f t="shared" si="0"/>
        <v>8.5199999999999998E-2</v>
      </c>
      <c r="G121" s="151" cm="1">
        <f t="array" ref="G121">Scope3_Equations.VEERG_15_2_1_1__1_EmissionsFromPurchasedFeed(E121,F121)</f>
        <v>25.56</v>
      </c>
      <c r="H121" s="66">
        <v>0.14000000000000001</v>
      </c>
      <c r="I121" s="151" cm="1">
        <f t="array" ref="I121">Scope3_Equations.VEERG_15_2_1_1__1_EmissionsFromPurchasedFeed(E121,IF(H121,H121, F121))</f>
        <v>42.000000000000007</v>
      </c>
      <c r="J121" s="82"/>
      <c r="K121" s="47"/>
      <c r="L121" s="82"/>
      <c r="M121" s="49" t="str">
        <v>Sardines (whole)</v>
      </c>
      <c r="N121" s="49" t="str">
        <v>VIC</v>
      </c>
      <c r="O121" s="49">
        <v>0.8</v>
      </c>
      <c r="P121" s="49"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49" t="str">
        <v>Soybean meal</v>
      </c>
      <c r="R121" s="49" t="str">
        <v>Brazil</v>
      </c>
      <c r="S121" s="49">
        <v>0.2</v>
      </c>
      <c r="T121" s="49" cm="1">
        <f t="array" ref="T121">_xlfn.LET(_xlpm.result, Common_InputFunctions.Utility_LookupValueInTableTwoColumns(Q121, R121, Table_SourceData_Scope3_Feed[Product], Table_SourceData_Scope3_Feed[Region of origin], Table_SourceData_Scope3_Feed[AusLCI Emissions intensity]), IF(_xlpm.result="", 0, _xlpm.result))</f>
        <v>0.42599999999999999</v>
      </c>
      <c r="U121" s="49">
        <v>0</v>
      </c>
      <c r="V121" s="49">
        <v>0</v>
      </c>
      <c r="W121" s="49">
        <v>0</v>
      </c>
      <c r="X121" s="49" cm="1">
        <f t="array" ref="X121">_xlfn.LET(_xlpm.result, Common_InputFunctions.Utility_LookupValueInTableTwoColumns(U121, V121, Table_SourceData_Scope3_Feed[Product], Table_SourceData_Scope3_Feed[Region of origin], Table_SourceData_Scope3_Feed[AusLCI Emissions intensity]), IF(_xlpm.result="", 0, _xlpm.result))</f>
        <v>0</v>
      </c>
      <c r="Y121" s="49">
        <v>0</v>
      </c>
      <c r="Z121" s="49">
        <v>0</v>
      </c>
      <c r="AA121" s="49">
        <v>0</v>
      </c>
      <c r="AB121" s="49" cm="1">
        <f t="array" ref="AB121">_xlfn.LET(_xlpm.result, Common_InputFunctions.Utility_LookupValueInTableTwoColumns(Y121, Z121, Table_SourceData_Scope3_Feed[Product], Table_SourceData_Scope3_Feed[Region of origin], Table_SourceData_Scope3_Feed[AusLCI Emissions intensity]), IF(_xlpm.result="", 0, _xlpm.result))</f>
        <v>0</v>
      </c>
    </row>
    <row r="122" spans="4:28" ht="20.100000000000001" customHeight="1" x14ac:dyDescent="0.25">
      <c r="D122" s="49">
        <v>0</v>
      </c>
      <c r="E122" s="49">
        <v>500</v>
      </c>
      <c r="F122" s="49">
        <f t="shared" si="0"/>
        <v>0.34499999999999997</v>
      </c>
      <c r="G122" s="151" cm="1">
        <f t="array" ref="G122">Scope3_Equations.VEERG_15_2_1_1__1_EmissionsFromPurchasedFeed(E122,F122)</f>
        <v>172.5</v>
      </c>
      <c r="H122" s="66"/>
      <c r="I122" s="151" cm="1">
        <f t="array" ref="I122">Scope3_Equations.VEERG_15_2_1_1__1_EmissionsFromPurchasedFeed(E122,IF(H122,H122, F122))</f>
        <v>172.5</v>
      </c>
      <c r="J122" s="82"/>
      <c r="K122" s="47"/>
      <c r="L122" s="82"/>
      <c r="M122" s="49" t="str">
        <v>Pasture hay</v>
      </c>
      <c r="N122" s="49" t="str">
        <v>VIC</v>
      </c>
      <c r="O122" s="49">
        <v>1</v>
      </c>
      <c r="P122" s="49"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49">
        <v>0</v>
      </c>
      <c r="R122" s="49">
        <v>0</v>
      </c>
      <c r="S122" s="49">
        <v>0</v>
      </c>
      <c r="T122" s="49" cm="1">
        <f t="array" ref="T122">_xlfn.LET(_xlpm.result, Common_InputFunctions.Utility_LookupValueInTableTwoColumns(Q122, R122, Table_SourceData_Scope3_Feed[Product], Table_SourceData_Scope3_Feed[Region of origin], Table_SourceData_Scope3_Feed[AusLCI Emissions intensity]), IF(_xlpm.result="", 0, _xlpm.result))</f>
        <v>0</v>
      </c>
      <c r="U122" s="49">
        <v>0</v>
      </c>
      <c r="V122" s="49">
        <v>0</v>
      </c>
      <c r="W122" s="49">
        <v>0</v>
      </c>
      <c r="X122" s="49" cm="1">
        <f t="array" ref="X122">_xlfn.LET(_xlpm.result, Common_InputFunctions.Utility_LookupValueInTableTwoColumns(U122, V122, Table_SourceData_Scope3_Feed[Product], Table_SourceData_Scope3_Feed[Region of origin], Table_SourceData_Scope3_Feed[AusLCI Emissions intensity]), IF(_xlpm.result="", 0, _xlpm.result))</f>
        <v>0</v>
      </c>
      <c r="Y122" s="49">
        <v>0</v>
      </c>
      <c r="Z122" s="49">
        <v>0</v>
      </c>
      <c r="AA122" s="49">
        <v>0</v>
      </c>
      <c r="AB122" s="49" cm="1">
        <f t="array" ref="AB122">_xlfn.LET(_xlpm.result, Common_InputFunctions.Utility_LookupValueInTableTwoColumns(Y122, Z122, Table_SourceData_Scope3_Feed[Product], Table_SourceData_Scope3_Feed[Region of origin], Table_SourceData_Scope3_Feed[AusLCI Emissions intensity]), IF(_xlpm.result="", 0, _xlpm.result))</f>
        <v>0</v>
      </c>
    </row>
    <row r="123" spans="4:28" ht="20.100000000000001" customHeight="1" x14ac:dyDescent="0.25">
      <c r="D123" s="49">
        <v>0</v>
      </c>
      <c r="E123" s="49">
        <v>0</v>
      </c>
      <c r="F123" s="49">
        <f t="shared" si="0"/>
        <v>0</v>
      </c>
      <c r="G123" s="151" cm="1">
        <f t="array" ref="G123">Scope3_Equations.VEERG_15_2_1_1__1_EmissionsFromPurchasedFeed(E123,F123)</f>
        <v>0</v>
      </c>
      <c r="H123" s="66"/>
      <c r="I123" s="151" cm="1">
        <f t="array" ref="I123">Scope3_Equations.VEERG_15_2_1_1__1_EmissionsFromPurchasedFeed(E123,IF(H123,H123, F123))</f>
        <v>0</v>
      </c>
      <c r="J123" s="82"/>
      <c r="K123" s="47"/>
      <c r="L123" s="82"/>
      <c r="M123" s="49">
        <v>0</v>
      </c>
      <c r="N123" s="49">
        <v>0</v>
      </c>
      <c r="O123" s="49">
        <v>0</v>
      </c>
      <c r="P123" s="49"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49">
        <v>0</v>
      </c>
      <c r="R123" s="49">
        <v>0</v>
      </c>
      <c r="S123" s="49">
        <v>0</v>
      </c>
      <c r="T123" s="49" cm="1">
        <f t="array" ref="T123">_xlfn.LET(_xlpm.result, Common_InputFunctions.Utility_LookupValueInTableTwoColumns(Q123, R123, Table_SourceData_Scope3_Feed[Product], Table_SourceData_Scope3_Feed[Region of origin], Table_SourceData_Scope3_Feed[AusLCI Emissions intensity]), IF(_xlpm.result="", 0, _xlpm.result))</f>
        <v>0</v>
      </c>
      <c r="U123" s="49">
        <v>0</v>
      </c>
      <c r="V123" s="49">
        <v>0</v>
      </c>
      <c r="W123" s="49">
        <v>0</v>
      </c>
      <c r="X123" s="49" cm="1">
        <f t="array" ref="X123">_xlfn.LET(_xlpm.result, Common_InputFunctions.Utility_LookupValueInTableTwoColumns(U123, V123, Table_SourceData_Scope3_Feed[Product], Table_SourceData_Scope3_Feed[Region of origin], Table_SourceData_Scope3_Feed[AusLCI Emissions intensity]), IF(_xlpm.result="", 0, _xlpm.result))</f>
        <v>0</v>
      </c>
      <c r="Y123" s="49">
        <v>0</v>
      </c>
      <c r="Z123" s="49">
        <v>0</v>
      </c>
      <c r="AA123" s="49">
        <v>0</v>
      </c>
      <c r="AB123" s="49" cm="1">
        <f t="array" ref="AB123">_xlfn.LET(_xlpm.result, Common_InputFunctions.Utility_LookupValueInTableTwoColumns(Y123, Z123, Table_SourceData_Scope3_Feed[Product], Table_SourceData_Scope3_Feed[Region of origin], Table_SourceData_Scope3_Feed[AusLCI Emissions intensity]), IF(_xlpm.result="", 0, _xlpm.result))</f>
        <v>0</v>
      </c>
    </row>
    <row r="124" spans="4:28" ht="20.100000000000001" customHeight="1" x14ac:dyDescent="0.25">
      <c r="D124" s="49">
        <v>0</v>
      </c>
      <c r="E124" s="49">
        <v>0</v>
      </c>
      <c r="F124" s="49">
        <f t="shared" si="0"/>
        <v>0</v>
      </c>
      <c r="G124" s="151" cm="1">
        <f t="array" ref="G124">Scope3_Equations.VEERG_15_2_1_1__1_EmissionsFromPurchasedFeed(E124,F124)</f>
        <v>0</v>
      </c>
      <c r="H124" s="66"/>
      <c r="I124" s="151" cm="1">
        <f t="array" ref="I124">Scope3_Equations.VEERG_15_2_1_1__1_EmissionsFromPurchasedFeed(E124,IF(H124,H124, F124))</f>
        <v>0</v>
      </c>
      <c r="J124" s="82"/>
      <c r="K124" s="47"/>
      <c r="L124" s="82"/>
      <c r="M124" s="49">
        <v>0</v>
      </c>
      <c r="N124" s="49">
        <v>0</v>
      </c>
      <c r="O124" s="49">
        <v>0</v>
      </c>
      <c r="P124" s="49"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49">
        <v>0</v>
      </c>
      <c r="R124" s="49">
        <v>0</v>
      </c>
      <c r="S124" s="49">
        <v>0</v>
      </c>
      <c r="T124" s="49" cm="1">
        <f t="array" ref="T124">_xlfn.LET(_xlpm.result, Common_InputFunctions.Utility_LookupValueInTableTwoColumns(Q124, R124, Table_SourceData_Scope3_Feed[Product], Table_SourceData_Scope3_Feed[Region of origin], Table_SourceData_Scope3_Feed[AusLCI Emissions intensity]), IF(_xlpm.result="", 0, _xlpm.result))</f>
        <v>0</v>
      </c>
      <c r="U124" s="49">
        <v>0</v>
      </c>
      <c r="V124" s="49">
        <v>0</v>
      </c>
      <c r="W124" s="49">
        <v>0</v>
      </c>
      <c r="X124" s="49" cm="1">
        <f t="array" ref="X124">_xlfn.LET(_xlpm.result, Common_InputFunctions.Utility_LookupValueInTableTwoColumns(U124, V124, Table_SourceData_Scope3_Feed[Product], Table_SourceData_Scope3_Feed[Region of origin], Table_SourceData_Scope3_Feed[AusLCI Emissions intensity]), IF(_xlpm.result="", 0, _xlpm.result))</f>
        <v>0</v>
      </c>
      <c r="Y124" s="49">
        <v>0</v>
      </c>
      <c r="Z124" s="49">
        <v>0</v>
      </c>
      <c r="AA124" s="49">
        <v>0</v>
      </c>
      <c r="AB124" s="49" cm="1">
        <f t="array" ref="AB124">_xlfn.LET(_xlpm.result, Common_InputFunctions.Utility_LookupValueInTableTwoColumns(Y124, Z124, Table_SourceData_Scope3_Feed[Product], Table_SourceData_Scope3_Feed[Region of origin], Table_SourceData_Scope3_Feed[AusLCI Emissions intensity]), IF(_xlpm.result="", 0, _xlpm.result))</f>
        <v>0</v>
      </c>
    </row>
    <row r="125" spans="4:28" ht="20.100000000000001" customHeight="1" x14ac:dyDescent="0.25">
      <c r="D125" s="49">
        <v>0</v>
      </c>
      <c r="E125" s="49">
        <v>0</v>
      </c>
      <c r="F125" s="49">
        <f t="shared" si="0"/>
        <v>0</v>
      </c>
      <c r="G125" s="151" cm="1">
        <f t="array" ref="G125">Scope3_Equations.VEERG_15_2_1_1__1_EmissionsFromPurchasedFeed(E125,F125)</f>
        <v>0</v>
      </c>
      <c r="H125" s="66"/>
      <c r="I125" s="151" cm="1">
        <f t="array" ref="I125">Scope3_Equations.VEERG_15_2_1_1__1_EmissionsFromPurchasedFeed(E125,IF(H125,H125, F125))</f>
        <v>0</v>
      </c>
      <c r="J125" s="82"/>
      <c r="K125" s="47"/>
      <c r="L125" s="82"/>
      <c r="M125" s="49">
        <v>0</v>
      </c>
      <c r="N125" s="49">
        <v>0</v>
      </c>
      <c r="O125" s="49">
        <v>0</v>
      </c>
      <c r="P125" s="49"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49">
        <v>0</v>
      </c>
      <c r="R125" s="49">
        <v>0</v>
      </c>
      <c r="S125" s="49">
        <v>0</v>
      </c>
      <c r="T125" s="49" cm="1">
        <f t="array" ref="T125">_xlfn.LET(_xlpm.result, Common_InputFunctions.Utility_LookupValueInTableTwoColumns(Q125, R125, Table_SourceData_Scope3_Feed[Product], Table_SourceData_Scope3_Feed[Region of origin], Table_SourceData_Scope3_Feed[AusLCI Emissions intensity]), IF(_xlpm.result="", 0, _xlpm.result))</f>
        <v>0</v>
      </c>
      <c r="U125" s="49">
        <v>0</v>
      </c>
      <c r="V125" s="49">
        <v>0</v>
      </c>
      <c r="W125" s="49">
        <v>0</v>
      </c>
      <c r="X125" s="49" cm="1">
        <f t="array" ref="X125">_xlfn.LET(_xlpm.result, Common_InputFunctions.Utility_LookupValueInTableTwoColumns(U125, V125, Table_SourceData_Scope3_Feed[Product], Table_SourceData_Scope3_Feed[Region of origin], Table_SourceData_Scope3_Feed[AusLCI Emissions intensity]), IF(_xlpm.result="", 0, _xlpm.result))</f>
        <v>0</v>
      </c>
      <c r="Y125" s="49">
        <v>0</v>
      </c>
      <c r="Z125" s="49">
        <v>0</v>
      </c>
      <c r="AA125" s="49">
        <v>0</v>
      </c>
      <c r="AB125" s="49" cm="1">
        <f t="array" ref="AB125">_xlfn.LET(_xlpm.result, Common_InputFunctions.Utility_LookupValueInTableTwoColumns(Y125, Z125, Table_SourceData_Scope3_Feed[Product], Table_SourceData_Scope3_Feed[Region of origin], Table_SourceData_Scope3_Feed[AusLCI Emissions intensity]), IF(_xlpm.result="", 0, _xlpm.result))</f>
        <v>0</v>
      </c>
    </row>
    <row r="126" spans="4:28" ht="20.100000000000001" customHeight="1" x14ac:dyDescent="0.25">
      <c r="D126" s="49">
        <v>0</v>
      </c>
      <c r="E126" s="49">
        <v>0</v>
      </c>
      <c r="F126" s="49">
        <f t="shared" si="0"/>
        <v>0</v>
      </c>
      <c r="G126" s="151" cm="1">
        <f t="array" ref="G126">Scope3_Equations.VEERG_15_2_1_1__1_EmissionsFromPurchasedFeed(E126,F126)</f>
        <v>0</v>
      </c>
      <c r="H126" s="66"/>
      <c r="I126" s="151" cm="1">
        <f t="array" ref="I126">Scope3_Equations.VEERG_15_2_1_1__1_EmissionsFromPurchasedFeed(E126,IF(H126,H126, F126))</f>
        <v>0</v>
      </c>
      <c r="J126" s="82"/>
      <c r="K126" s="47"/>
      <c r="L126" s="82"/>
      <c r="M126" s="49">
        <v>0</v>
      </c>
      <c r="N126" s="49">
        <v>0</v>
      </c>
      <c r="O126" s="49">
        <v>0</v>
      </c>
      <c r="P126" s="49"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49">
        <v>0</v>
      </c>
      <c r="R126" s="49">
        <v>0</v>
      </c>
      <c r="S126" s="49">
        <v>0</v>
      </c>
      <c r="T126" s="49" cm="1">
        <f t="array" ref="T126">_xlfn.LET(_xlpm.result, Common_InputFunctions.Utility_LookupValueInTableTwoColumns(Q126, R126, Table_SourceData_Scope3_Feed[Product], Table_SourceData_Scope3_Feed[Region of origin], Table_SourceData_Scope3_Feed[AusLCI Emissions intensity]), IF(_xlpm.result="", 0, _xlpm.result))</f>
        <v>0</v>
      </c>
      <c r="U126" s="49">
        <v>0</v>
      </c>
      <c r="V126" s="49">
        <v>0</v>
      </c>
      <c r="W126" s="49">
        <v>0</v>
      </c>
      <c r="X126" s="49" cm="1">
        <f t="array" ref="X126">_xlfn.LET(_xlpm.result, Common_InputFunctions.Utility_LookupValueInTableTwoColumns(U126, V126, Table_SourceData_Scope3_Feed[Product], Table_SourceData_Scope3_Feed[Region of origin], Table_SourceData_Scope3_Feed[AusLCI Emissions intensity]), IF(_xlpm.result="", 0, _xlpm.result))</f>
        <v>0</v>
      </c>
      <c r="Y126" s="49">
        <v>0</v>
      </c>
      <c r="Z126" s="49">
        <v>0</v>
      </c>
      <c r="AA126" s="49">
        <v>0</v>
      </c>
      <c r="AB126" s="49" cm="1">
        <f t="array" ref="AB126">_xlfn.LET(_xlpm.result, Common_InputFunctions.Utility_LookupValueInTableTwoColumns(Y126, Z126, Table_SourceData_Scope3_Feed[Product], Table_SourceData_Scope3_Feed[Region of origin], Table_SourceData_Scope3_Feed[AusLCI Emissions intensity]), IF(_xlpm.result="", 0, _xlpm.result))</f>
        <v>0</v>
      </c>
    </row>
    <row r="127" spans="4:28" ht="20.100000000000001" customHeight="1" x14ac:dyDescent="0.25">
      <c r="D127" s="49">
        <v>0</v>
      </c>
      <c r="E127" s="49">
        <v>0</v>
      </c>
      <c r="F127" s="49">
        <f t="shared" si="0"/>
        <v>0</v>
      </c>
      <c r="G127" s="151" cm="1">
        <f t="array" ref="G127">Scope3_Equations.VEERG_15_2_1_1__1_EmissionsFromPurchasedFeed(E127,F127)</f>
        <v>0</v>
      </c>
      <c r="H127" s="66"/>
      <c r="I127" s="151" cm="1">
        <f t="array" ref="I127">Scope3_Equations.VEERG_15_2_1_1__1_EmissionsFromPurchasedFeed(E127,IF(H127,H127, F127))</f>
        <v>0</v>
      </c>
      <c r="J127" s="82"/>
      <c r="K127" s="47"/>
      <c r="L127" s="82"/>
      <c r="M127" s="49">
        <v>0</v>
      </c>
      <c r="N127" s="49">
        <v>0</v>
      </c>
      <c r="O127" s="49">
        <v>0</v>
      </c>
      <c r="P127" s="49"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49">
        <v>0</v>
      </c>
      <c r="R127" s="49">
        <v>0</v>
      </c>
      <c r="S127" s="49">
        <v>0</v>
      </c>
      <c r="T127" s="49" cm="1">
        <f t="array" ref="T127">_xlfn.LET(_xlpm.result, Common_InputFunctions.Utility_LookupValueInTableTwoColumns(Q127, R127, Table_SourceData_Scope3_Feed[Product], Table_SourceData_Scope3_Feed[Region of origin], Table_SourceData_Scope3_Feed[AusLCI Emissions intensity]), IF(_xlpm.result="", 0, _xlpm.result))</f>
        <v>0</v>
      </c>
      <c r="U127" s="49">
        <v>0</v>
      </c>
      <c r="V127" s="49">
        <v>0</v>
      </c>
      <c r="W127" s="49">
        <v>0</v>
      </c>
      <c r="X127" s="49" cm="1">
        <f t="array" ref="X127">_xlfn.LET(_xlpm.result, Common_InputFunctions.Utility_LookupValueInTableTwoColumns(U127, V127, Table_SourceData_Scope3_Feed[Product], Table_SourceData_Scope3_Feed[Region of origin], Table_SourceData_Scope3_Feed[AusLCI Emissions intensity]), IF(_xlpm.result="", 0, _xlpm.result))</f>
        <v>0</v>
      </c>
      <c r="Y127" s="49">
        <v>0</v>
      </c>
      <c r="Z127" s="49">
        <v>0</v>
      </c>
      <c r="AA127" s="49">
        <v>0</v>
      </c>
      <c r="AB127" s="49" cm="1">
        <f t="array" ref="AB127">_xlfn.LET(_xlpm.result, Common_InputFunctions.Utility_LookupValueInTableTwoColumns(Y127, Z127, Table_SourceData_Scope3_Feed[Product], Table_SourceData_Scope3_Feed[Region of origin], Table_SourceData_Scope3_Feed[AusLCI Emissions intensity]), IF(_xlpm.result="", 0, _xlpm.result))</f>
        <v>0</v>
      </c>
    </row>
    <row r="128" spans="4:28" ht="20.100000000000001" customHeight="1" x14ac:dyDescent="0.25">
      <c r="D128" s="49">
        <v>0</v>
      </c>
      <c r="E128" s="49">
        <v>0</v>
      </c>
      <c r="F128" s="49">
        <f t="shared" si="0"/>
        <v>0</v>
      </c>
      <c r="G128" s="151" cm="1">
        <f t="array" ref="G128">Scope3_Equations.VEERG_15_2_1_1__1_EmissionsFromPurchasedFeed(E128,F128)</f>
        <v>0</v>
      </c>
      <c r="H128" s="66"/>
      <c r="I128" s="151" cm="1">
        <f t="array" ref="I128">Scope3_Equations.VEERG_15_2_1_1__1_EmissionsFromPurchasedFeed(E128,IF(H128,H128, F128))</f>
        <v>0</v>
      </c>
      <c r="J128" s="82"/>
      <c r="K128" s="47"/>
      <c r="L128" s="82"/>
      <c r="M128" s="49">
        <v>0</v>
      </c>
      <c r="N128" s="49">
        <v>0</v>
      </c>
      <c r="O128" s="49">
        <v>0</v>
      </c>
      <c r="P128" s="49"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49">
        <v>0</v>
      </c>
      <c r="R128" s="49">
        <v>0</v>
      </c>
      <c r="S128" s="49">
        <v>0</v>
      </c>
      <c r="T128" s="49" cm="1">
        <f t="array" ref="T128">_xlfn.LET(_xlpm.result, Common_InputFunctions.Utility_LookupValueInTableTwoColumns(Q128, R128, Table_SourceData_Scope3_Feed[Product], Table_SourceData_Scope3_Feed[Region of origin], Table_SourceData_Scope3_Feed[AusLCI Emissions intensity]), IF(_xlpm.result="", 0, _xlpm.result))</f>
        <v>0</v>
      </c>
      <c r="U128" s="49">
        <v>0</v>
      </c>
      <c r="V128" s="49">
        <v>0</v>
      </c>
      <c r="W128" s="49">
        <v>0</v>
      </c>
      <c r="X128" s="49" cm="1">
        <f t="array" ref="X128">_xlfn.LET(_xlpm.result, Common_InputFunctions.Utility_LookupValueInTableTwoColumns(U128, V128, Table_SourceData_Scope3_Feed[Product], Table_SourceData_Scope3_Feed[Region of origin], Table_SourceData_Scope3_Feed[AusLCI Emissions intensity]), IF(_xlpm.result="", 0, _xlpm.result))</f>
        <v>0</v>
      </c>
      <c r="Y128" s="49">
        <v>0</v>
      </c>
      <c r="Z128" s="49">
        <v>0</v>
      </c>
      <c r="AA128" s="49">
        <v>0</v>
      </c>
      <c r="AB128" s="49" cm="1">
        <f t="array" ref="AB128">_xlfn.LET(_xlpm.result, Common_InputFunctions.Utility_LookupValueInTableTwoColumns(Y128, Z128, Table_SourceData_Scope3_Feed[Product], Table_SourceData_Scope3_Feed[Region of origin], Table_SourceData_Scope3_Feed[AusLCI Emissions intensity]), IF(_xlpm.result="", 0, _xlpm.result))</f>
        <v>0</v>
      </c>
    </row>
    <row r="129" spans="4:12" ht="20.100000000000001" customHeight="1" x14ac:dyDescent="0.25"/>
    <row r="130" spans="4:12" ht="20.100000000000001" customHeight="1" x14ac:dyDescent="0.25">
      <c r="D130" s="174" t="s">
        <v>623</v>
      </c>
      <c r="E130" s="98">
        <f>SUM(G119:G128)</f>
        <v>471.44159999999999</v>
      </c>
      <c r="F130" s="175" t="str">
        <f>$E$104</f>
        <v>t CO2e</v>
      </c>
    </row>
    <row r="131" spans="4:12" ht="20.100000000000001" customHeight="1" x14ac:dyDescent="0.25">
      <c r="D131" s="174" t="s">
        <v>625</v>
      </c>
      <c r="E131" s="98">
        <f>SUM(I119:I128)</f>
        <v>366.18</v>
      </c>
      <c r="F131" s="175" t="str">
        <f>$E$104</f>
        <v>t CO2e</v>
      </c>
    </row>
    <row r="132" spans="4:12" ht="20.100000000000001" customHeight="1" x14ac:dyDescent="0.25"/>
    <row r="133" spans="4:12" ht="20.100000000000001" customHeight="1" x14ac:dyDescent="0.25"/>
    <row r="134" spans="4:12" ht="20.100000000000001" customHeight="1" x14ac:dyDescent="0.25">
      <c r="D134" s="144" t="s">
        <v>388</v>
      </c>
    </row>
    <row r="135" spans="4:12" ht="20.100000000000001" customHeight="1" x14ac:dyDescent="0.25">
      <c r="D135" s="46" t="s">
        <v>208</v>
      </c>
      <c r="E135" s="46" t="s">
        <v>622</v>
      </c>
      <c r="F135" s="57" t="s">
        <v>626</v>
      </c>
      <c r="G135" s="57" t="s">
        <v>623</v>
      </c>
      <c r="H135" s="46" t="s">
        <v>624</v>
      </c>
      <c r="I135" s="57" t="s">
        <v>625</v>
      </c>
      <c r="J135" s="46" t="s">
        <v>619</v>
      </c>
      <c r="K135" s="46" t="s">
        <v>620</v>
      </c>
      <c r="L135" s="46" t="s">
        <v>621</v>
      </c>
    </row>
    <row r="136" spans="4:12" ht="20.100000000000001" customHeight="1" x14ac:dyDescent="0.25">
      <c r="D136" s="49" t="str">
        <f>'Input - Livestock farm Inputs'!D12</f>
        <v>Feed for chickens</v>
      </c>
      <c r="E136" s="49">
        <f>X_Cell_FarmInputs_FeedRations_Chickens</f>
        <v>100</v>
      </c>
      <c r="F136" s="49" cm="1">
        <f t="array" ref="F136">Common_InputFunctions.Utility_LookupValueInTableNumber(D136,Table_SourceData_Scope3_MixedRations[Product],Table_SourceData_Scope3_MixedRations[AusLCI Emissions intensity])</f>
        <v>0.59399999999999997</v>
      </c>
      <c r="G136" s="151" cm="1">
        <f t="array" ref="G136">Scope3_Equations.VEERG_15_2_1_1__1_EmissionsFromPurchasedFeed(E136,F136)</f>
        <v>59.4</v>
      </c>
      <c r="H136" s="66">
        <v>0.5</v>
      </c>
      <c r="I136" s="151" cm="1">
        <f t="array" ref="I136">Scope3_Equations.VEERG_15_2_1_1__1_EmissionsFromPurchasedFeed(E136,IF(H136,H136, F136))</f>
        <v>50</v>
      </c>
      <c r="J136" s="82"/>
      <c r="K136" s="47"/>
      <c r="L136"/>
    </row>
    <row r="137" spans="4:12" ht="20.100000000000001" customHeight="1" x14ac:dyDescent="0.25">
      <c r="D137" s="49" t="str">
        <f>'Input - Livestock farm Inputs'!D13</f>
        <v>Feed for dairy calves</v>
      </c>
      <c r="E137" s="49">
        <f>X_Cell_FarmInputs_FeedRations_DairyCalves</f>
        <v>100</v>
      </c>
      <c r="F137" s="49" cm="1">
        <f t="array" ref="F137">Common_InputFunctions.Utility_LookupValueInTableNumber(D137,Table_SourceData_Scope3_MixedRations[Product],Table_SourceData_Scope3_MixedRations[AusLCI Emissions intensity])</f>
        <v>0.41899999999999998</v>
      </c>
      <c r="G137" s="151" cm="1">
        <f t="array" ref="G137">Scope3_Equations.VEERG_15_2_1_1__1_EmissionsFromPurchasedFeed(E137,F137)</f>
        <v>41.9</v>
      </c>
      <c r="H137" s="66">
        <v>0.4</v>
      </c>
      <c r="I137" s="151" cm="1">
        <f t="array" ref="I137">Scope3_Equations.VEERG_15_2_1_1__1_EmissionsFromPurchasedFeed(E137,IF(H137,H137, F137))</f>
        <v>40</v>
      </c>
      <c r="J137" s="82"/>
      <c r="K137" s="47"/>
      <c r="L137" s="82"/>
    </row>
    <row r="138" spans="4:12" ht="20.100000000000001" customHeight="1" x14ac:dyDescent="0.25">
      <c r="D138" s="49" t="str">
        <f>'Input - Livestock farm Inputs'!D14</f>
        <v>Feed for dairy cows</v>
      </c>
      <c r="E138" s="49">
        <f>X_Cell_FarmInputs_FeedRations_DairyCows</f>
        <v>100</v>
      </c>
      <c r="F138" s="49" cm="1">
        <f t="array" ref="F138">Common_InputFunctions.Utility_LookupValueInTableNumber(D138,Table_SourceData_Scope3_MixedRations[Product],Table_SourceData_Scope3_MixedRations[AusLCI Emissions intensity])</f>
        <v>0.33300000000000002</v>
      </c>
      <c r="G138" s="151" cm="1">
        <f t="array" ref="G138">Scope3_Equations.VEERG_15_2_1_1__1_EmissionsFromPurchasedFeed(E138,F138)</f>
        <v>33.300000000000004</v>
      </c>
      <c r="H138" s="66">
        <v>0</v>
      </c>
      <c r="I138" s="151" cm="1">
        <f t="array" ref="I138">Scope3_Equations.VEERG_15_2_1_1__1_EmissionsFromPurchasedFeed(E138,IF(H138,H138, F138))</f>
        <v>33.300000000000004</v>
      </c>
      <c r="J138" s="82"/>
      <c r="K138" s="47"/>
      <c r="L138" s="82"/>
    </row>
    <row r="139" spans="4:12" ht="20.100000000000001" customHeight="1" x14ac:dyDescent="0.25">
      <c r="D139" s="49" t="str">
        <f>'Input - Livestock farm Inputs'!D15</f>
        <v>Feed for pigs</v>
      </c>
      <c r="E139" s="49">
        <f>X_Cell_FarmInputs_FeedRations_Pigs</f>
        <v>100</v>
      </c>
      <c r="F139" s="49" cm="1">
        <f t="array" ref="F139">Common_InputFunctions.Utility_LookupValueInTableNumber(D139,Table_SourceData_Scope3_MixedRations[Product],Table_SourceData_Scope3_MixedRations[AusLCI Emissions intensity])</f>
        <v>0.40300000000000002</v>
      </c>
      <c r="G139" s="151" cm="1">
        <f t="array" ref="G139">Scope3_Equations.VEERG_15_2_1_1__1_EmissionsFromPurchasedFeed(E139,F139)</f>
        <v>40.300000000000004</v>
      </c>
      <c r="H139" s="66">
        <v>0</v>
      </c>
      <c r="I139" s="151" cm="1">
        <f t="array" ref="I139">Scope3_Equations.VEERG_15_2_1_1__1_EmissionsFromPurchasedFeed(E139,IF(H139,H139, F139))</f>
        <v>40.300000000000004</v>
      </c>
      <c r="J139" s="82"/>
      <c r="K139" s="47"/>
      <c r="L139" s="82"/>
    </row>
    <row r="140" spans="4:12" ht="20.100000000000001" customHeight="1" x14ac:dyDescent="0.25"/>
    <row r="141" spans="4:12" ht="20.100000000000001" customHeight="1" x14ac:dyDescent="0.25">
      <c r="D141" s="174" t="s">
        <v>623</v>
      </c>
      <c r="E141" s="98">
        <f>SUM(G136:G139)</f>
        <v>174.9</v>
      </c>
      <c r="F141" s="175" t="str">
        <f>$E$104</f>
        <v>t CO2e</v>
      </c>
    </row>
    <row r="142" spans="4:12" ht="20.100000000000001" customHeight="1" x14ac:dyDescent="0.25">
      <c r="D142" s="174" t="s">
        <v>625</v>
      </c>
      <c r="E142" s="98">
        <f>SUM(I136:I139)</f>
        <v>163.60000000000002</v>
      </c>
      <c r="F142" s="175" t="str">
        <f>$E$104</f>
        <v>t CO2e</v>
      </c>
    </row>
    <row r="143" spans="4:12" ht="20.100000000000001" customHeight="1" x14ac:dyDescent="0.25"/>
    <row r="144" spans="4:12" ht="20.100000000000001" customHeight="1" x14ac:dyDescent="0.25">
      <c r="D144" s="176" t="s">
        <v>623</v>
      </c>
      <c r="E144" s="177">
        <f>E130+E141</f>
        <v>646.34159999999997</v>
      </c>
      <c r="F144" s="178" t="str">
        <f>$E$104</f>
        <v>t CO2e</v>
      </c>
    </row>
    <row r="145" spans="3:41" ht="20.100000000000001" customHeight="1" x14ac:dyDescent="0.25">
      <c r="D145" s="176" t="s">
        <v>625</v>
      </c>
      <c r="E145" s="177">
        <f>E131+E142</f>
        <v>529.78</v>
      </c>
      <c r="F145" s="178" t="str">
        <f>$E$104</f>
        <v>t CO2e</v>
      </c>
    </row>
    <row r="146" spans="3:41" ht="20.100000000000001" customHeight="1" x14ac:dyDescent="0.25"/>
    <row r="147" spans="3:41" ht="20.100000000000001" customHeight="1" x14ac:dyDescent="0.25"/>
    <row r="148" spans="3:41" ht="20.100000000000001" customHeight="1" x14ac:dyDescent="0.25">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2" t="s">
        <v>616</v>
      </c>
      <c r="E151" s="172"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2"/>
    </row>
    <row r="154" spans="3:41" ht="20.100000000000001" customHeight="1" x14ac:dyDescent="0.25">
      <c r="D154" s="27" t="s">
        <v>617</v>
      </c>
      <c r="E154" s="8" t="str" cm="1">
        <f t="array" ref="E154">Scope3_Equations.VEERG_15_3_1_1__1_EmissionsFromPurchasedMineralSupplements_Variable()</f>
        <v>E</v>
      </c>
    </row>
    <row r="155" spans="3:41" ht="20.100000000000001" customHeight="1" x14ac:dyDescent="0.25">
      <c r="D155" s="27" t="s">
        <v>96</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67" t="str" cm="1">
        <f t="array" ref="D157:E159">_xlfn.CHOOSECOLS(Scope3_Equations.VEERG_15_3_1_1__1_EmissionsFromPurchasedMineralSupplements_Arguments(),1,2)</f>
        <v>Q_m</v>
      </c>
      <c r="E157" s="171" t="str">
        <v>total quantity of mineral supplement type m used</v>
      </c>
      <c r="F157" s="166"/>
      <c r="G157" s="167" t="str" cm="1">
        <f t="array" ref="G157:H159">_xlfn.CHOOSECOLS(Scope3_Equations.VEERG_15_3_1_1__1_EmissionsFromPurchasedMineralSupplements_Arguments(),3,4)</f>
        <v>t</v>
      </c>
      <c r="H157" s="168" t="str">
        <v>Input</v>
      </c>
    </row>
    <row r="158" spans="3:41" ht="20.100000000000001" customHeight="1" x14ac:dyDescent="0.25">
      <c r="D158" s="167" t="str">
        <v>EF_m</v>
      </c>
      <c r="E158" s="171" t="str">
        <v>emission factor of purchased mineral supplement</v>
      </c>
      <c r="F158" s="166"/>
      <c r="G158" s="167" t="str">
        <v>kg CO2e/kg</v>
      </c>
      <c r="H158" s="168" t="str">
        <v>Constant</v>
      </c>
    </row>
    <row r="159" spans="3:41" ht="20.100000000000001" customHeight="1" x14ac:dyDescent="0.25">
      <c r="D159" s="167" t="str">
        <v>m</v>
      </c>
      <c r="E159" s="171" t="str">
        <v>mineral supplement type</v>
      </c>
      <c r="F159" s="166"/>
      <c r="G159" s="167" t="str">
        <v/>
      </c>
      <c r="H159" s="169" t="str">
        <v>Input</v>
      </c>
    </row>
    <row r="160" spans="3:41" ht="20.100000000000001" customHeight="1" x14ac:dyDescent="0.25"/>
    <row r="161" spans="3:41" ht="20.100000000000001" customHeight="1" x14ac:dyDescent="0.25">
      <c r="D161" s="46" t="s">
        <v>208</v>
      </c>
      <c r="E161" s="46" t="s">
        <v>630</v>
      </c>
      <c r="F161" s="57" t="s">
        <v>631</v>
      </c>
      <c r="G161" s="57" t="s">
        <v>623</v>
      </c>
      <c r="H161" s="46" t="s">
        <v>632</v>
      </c>
      <c r="I161" s="57" t="s">
        <v>625</v>
      </c>
      <c r="J161" s="46" t="s">
        <v>619</v>
      </c>
      <c r="K161" s="46" t="s">
        <v>620</v>
      </c>
      <c r="L161" s="46" t="s">
        <v>621</v>
      </c>
    </row>
    <row r="162" spans="3:41" ht="20.100000000000001" customHeight="1" x14ac:dyDescent="0.25">
      <c r="D162" s="49" t="str">
        <f>'Input - Livestock farm Inputs'!D7</f>
        <v>Lick block, dry season mix</v>
      </c>
      <c r="E162" s="49">
        <f>X_Cell_FarmInputs_LickBlocks_DrySeasonMix</f>
        <v>100</v>
      </c>
      <c r="F162" s="49" cm="1">
        <f t="array" ref="F162">Common_InputFunctions.Utility_LookupValueInTableNumber(D162,Table_SourceData_Scope3_LickBlocks[Product],Table_SourceData_Scope3_LickBlocks[AusLCI Emissions intensity])</f>
        <v>0.88100000000000001</v>
      </c>
      <c r="G162" s="151" cm="1">
        <f t="array" ref="G162">Scope3_Equations.VEERG_15_3_1_1__1_EmissionsFromPurchasedMineralSupplements(E162,F162)</f>
        <v>88.1</v>
      </c>
      <c r="H162" s="66">
        <v>0.8</v>
      </c>
      <c r="I162" s="151" cm="1">
        <f t="array" ref="I162">Scope3_Equations.VEERG_15_3_1_1__1_EmissionsFromPurchasedMineralSupplements(E162,IF(H162, H162, F162))</f>
        <v>80</v>
      </c>
      <c r="J162" s="82"/>
      <c r="K162" s="47"/>
      <c r="L162"/>
    </row>
    <row r="163" spans="3:41" ht="20.100000000000001" customHeight="1" x14ac:dyDescent="0.25">
      <c r="D163" s="49" t="str">
        <f>'Input - Livestock farm Inputs'!D8</f>
        <v>Lick block, mineral</v>
      </c>
      <c r="E163" s="49">
        <f>X_Cell_FarmInputs_LickBlocks_Mineral</f>
        <v>100</v>
      </c>
      <c r="F163" s="49" cm="1">
        <f t="array" ref="F163">Common_InputFunctions.Utility_LookupValueInTableNumber(D163,Table_SourceData_Scope3_LickBlocks[Product],Table_SourceData_Scope3_LickBlocks[AusLCI Emissions intensity])</f>
        <v>0.67700000000000005</v>
      </c>
      <c r="G163" s="151" cm="1">
        <f t="array" ref="G163">Scope3_Equations.VEERG_15_3_1_1__1_EmissionsFromPurchasedMineralSupplements(E163,F163)</f>
        <v>67.7</v>
      </c>
      <c r="H163" s="66">
        <v>0.6</v>
      </c>
      <c r="I163" s="151" cm="1">
        <f t="array" ref="I163">Scope3_Equations.VEERG_15_3_1_1__1_EmissionsFromPurchasedMineralSupplements(E163,IF(H163, H163, F163))</f>
        <v>60</v>
      </c>
      <c r="J163" s="82"/>
      <c r="K163" s="47"/>
      <c r="L163" s="82"/>
    </row>
    <row r="164" spans="3:41" ht="20.100000000000001" customHeight="1" x14ac:dyDescent="0.25">
      <c r="D164" s="49" t="str">
        <f>'Input - Livestock farm Inputs'!D9</f>
        <v>Lick block, weaner</v>
      </c>
      <c r="E164" s="49">
        <f>X_Cell_FarmInputs_LickBlocks_Weaner</f>
        <v>100</v>
      </c>
      <c r="F164" s="49" cm="1">
        <f t="array" ref="F164">Common_InputFunctions.Utility_LookupValueInTableNumber(D164,Table_SourceData_Scope3_LickBlocks[Product],Table_SourceData_Scope3_LickBlocks[AusLCI Emissions intensity])</f>
        <v>0.23100000000000001</v>
      </c>
      <c r="G164" s="151" cm="1">
        <f t="array" ref="G164">Scope3_Equations.VEERG_15_3_1_1__1_EmissionsFromPurchasedMineralSupplements(E164,F164)</f>
        <v>23.1</v>
      </c>
      <c r="H164" s="66">
        <v>0.2</v>
      </c>
      <c r="I164" s="151" cm="1">
        <f t="array" ref="I164">Scope3_Equations.VEERG_15_3_1_1__1_EmissionsFromPurchasedMineralSupplements(E164,IF(H164, H164, F164))</f>
        <v>20</v>
      </c>
      <c r="J164" s="82"/>
      <c r="K164" s="47"/>
      <c r="L164" s="82"/>
    </row>
    <row r="165" spans="3:41" ht="20.100000000000001" customHeight="1" x14ac:dyDescent="0.25"/>
    <row r="166" spans="3:41" ht="20.100000000000001" customHeight="1" x14ac:dyDescent="0.25">
      <c r="D166" s="176" t="s">
        <v>623</v>
      </c>
      <c r="E166" s="177">
        <f>SUM(G162:G164)</f>
        <v>178.9</v>
      </c>
      <c r="F166" s="178" t="str">
        <f>$E$155</f>
        <v>t CO2e</v>
      </c>
    </row>
    <row r="167" spans="3:41" ht="20.100000000000001" customHeight="1" x14ac:dyDescent="0.25">
      <c r="D167" s="176" t="s">
        <v>625</v>
      </c>
      <c r="E167" s="177">
        <f>SUM(I162:I164)</f>
        <v>160</v>
      </c>
      <c r="F167" s="178" t="str">
        <f>$E$155</f>
        <v>t CO2e</v>
      </c>
    </row>
    <row r="168" spans="3:41" ht="20.100000000000001" customHeight="1" x14ac:dyDescent="0.25"/>
    <row r="169" spans="3:41" ht="20.100000000000001" customHeight="1" x14ac:dyDescent="0.25"/>
    <row r="170" spans="3:41" ht="20.100000000000001" customHeight="1" x14ac:dyDescent="0.25">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8"/>
      <c r="AI170" s="98"/>
      <c r="AJ170" s="98"/>
      <c r="AK170" s="98"/>
      <c r="AL170" s="98"/>
      <c r="AM170" s="98"/>
      <c r="AN170" s="98"/>
      <c r="AO170" s="98"/>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2" t="s">
        <v>616</v>
      </c>
      <c r="E174" s="172"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7" t="s">
        <v>617</v>
      </c>
      <c r="E177" s="8" t="str" cm="1">
        <f t="array" ref="E177">Scope3_Equations.VEERG_15_4_1_1__X_EmissionFactorFromPurchasedFertiliserComponents_Variable()</f>
        <v>EF_f</v>
      </c>
    </row>
    <row r="178" spans="4:8" ht="20.100000000000001" customHeight="1" x14ac:dyDescent="0.25">
      <c r="D178" s="27" t="s">
        <v>96</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67" t="str" cm="1">
        <f t="array" ref="D180:E183">_xlfn.CHOOSECOLS(Scope3_Equations.VEERG_15_4_1_1__X_EmissionFactorFromPurchasedFertiliserComponents_Arguments(),1,2)</f>
        <v>F_cf</v>
      </c>
      <c r="E180" s="171" t="str">
        <v>fraction of component c contained within the inorganic fertiliser f</v>
      </c>
      <c r="F180" s="166"/>
      <c r="G180" s="167" t="str" cm="1">
        <f t="array" ref="G180:H183">_xlfn.CHOOSECOLS(Scope3_Equations.VEERG_15_4_1_1__X_EmissionFactorFromPurchasedFertiliserComponents_Arguments(),3,4)</f>
        <v>wt%</v>
      </c>
      <c r="H180" s="168" t="str">
        <v>Input</v>
      </c>
    </row>
    <row r="181" spans="4:8" ht="20.100000000000001" customHeight="1" x14ac:dyDescent="0.25">
      <c r="D181" s="167" t="str">
        <v>EF_c</v>
      </c>
      <c r="E181" s="171" t="str">
        <v>emission factor for the production of component c</v>
      </c>
      <c r="F181" s="166"/>
      <c r="G181" s="167" t="str">
        <v>kg CO2e/kg component</v>
      </c>
      <c r="H181" s="169" t="str">
        <v>Constant</v>
      </c>
    </row>
    <row r="182" spans="4:8" ht="20.100000000000001" customHeight="1" x14ac:dyDescent="0.25">
      <c r="D182" s="167" t="str">
        <v>c</v>
      </c>
      <c r="E182" s="171" t="str">
        <v>fertiliser component</v>
      </c>
      <c r="F182" s="166"/>
      <c r="G182" s="167" t="str">
        <v/>
      </c>
      <c r="H182" s="168" t="str">
        <v>Input</v>
      </c>
    </row>
    <row r="183" spans="4:8" ht="20.100000000000001" customHeight="1" x14ac:dyDescent="0.25">
      <c r="D183" s="167" t="str">
        <v>f</v>
      </c>
      <c r="E183" s="171" t="str">
        <v>inorganic fertiliser type</v>
      </c>
      <c r="F183" s="166"/>
      <c r="G183" s="167" t="str">
        <v/>
      </c>
      <c r="H183" s="168"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2" t="s">
        <v>616</v>
      </c>
      <c r="E188" s="172"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7" t="s">
        <v>617</v>
      </c>
      <c r="E191" s="8" t="str" cm="1">
        <f t="array" ref="E191">Scope3_Equations.VEERG_15_4_1_1__1_EmissionsFromPurchasedFertiliser_Variable()</f>
        <v>E</v>
      </c>
    </row>
    <row r="192" spans="4:8" ht="20.100000000000001" customHeight="1" x14ac:dyDescent="0.25">
      <c r="D192" s="27" t="s">
        <v>96</v>
      </c>
      <c r="E192" s="13" t="str" cm="1">
        <f t="array" ref="E192">Scope3_Equations.VEERG_15_4_1_1__1_EmissionsFromPurchasedFertiliser_Unit()</f>
        <v>t CO2e</v>
      </c>
    </row>
    <row r="193" spans="4:8" ht="20.100000000000001" customHeight="1" x14ac:dyDescent="0.25"/>
    <row r="194" spans="4:8" ht="20.100000000000001" customHeight="1" x14ac:dyDescent="0.25">
      <c r="D194" s="167" t="str" cm="1">
        <f t="array" ref="D194:E197">_xlfn.CHOOSECOLS(Scope3_Equations.VEERG_15_4_1_1__1_EmissionsFromPurchasedFertiliser_Arguments(),1,2)</f>
        <v>TM_jf</v>
      </c>
      <c r="E194" s="167" t="str">
        <v>quantity of inorganic fertiliser type f purchased and applied to production system j</v>
      </c>
      <c r="F194" s="167"/>
      <c r="G194" s="167" t="str" cm="1">
        <f t="array" ref="G194:H197">_xlfn.CHOOSECOLS(Scope3_Equations.VEERG_15_4_1_1__1_EmissionsFromPurchasedFertiliser_Arguments(),3,4)</f>
        <v>kg</v>
      </c>
      <c r="H194" s="168" t="str">
        <v>Input</v>
      </c>
    </row>
    <row r="195" spans="4:8" ht="20.100000000000001" customHeight="1" x14ac:dyDescent="0.25">
      <c r="D195" s="167" t="str">
        <v>EF_f</v>
      </c>
      <c r="E195" s="167" t="str">
        <v>emission factor of purchased inorganic fertiliser</v>
      </c>
      <c r="F195" s="167"/>
      <c r="G195" s="167" t="str">
        <v>kg CO2e/kg</v>
      </c>
      <c r="H195" s="169" t="str">
        <v>Constant</v>
      </c>
    </row>
    <row r="196" spans="4:8" ht="20.100000000000001" customHeight="1" x14ac:dyDescent="0.25">
      <c r="D196" s="167" t="str">
        <v>j</v>
      </c>
      <c r="E196" s="167" t="str">
        <v>production system</v>
      </c>
      <c r="F196" s="167"/>
      <c r="G196" s="167" t="str">
        <v/>
      </c>
      <c r="H196" s="168" t="str">
        <v>Input</v>
      </c>
    </row>
    <row r="197" spans="4:8" ht="20.100000000000001" customHeight="1" x14ac:dyDescent="0.25">
      <c r="D197" s="167" t="str">
        <v>f</v>
      </c>
      <c r="E197" s="167" t="str">
        <v>inorganic fertiliser type</v>
      </c>
      <c r="F197" s="167"/>
      <c r="G197" s="167" t="str">
        <v/>
      </c>
      <c r="H197" s="168"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2" t="s">
        <v>616</v>
      </c>
      <c r="E203" s="172"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7" t="s">
        <v>617</v>
      </c>
      <c r="E206" s="8" t="str" cm="1">
        <f t="array" ref="E206">Scope3_Equations.VEERG_15_4_1_1__2_EmissionsFromPurchasedFertiliserComponents_Variable()</f>
        <v>E</v>
      </c>
    </row>
    <row r="207" spans="4:8" ht="20.100000000000001" customHeight="1" x14ac:dyDescent="0.25">
      <c r="D207" s="27" t="s">
        <v>96</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67" t="str" cm="1">
        <f t="array" ref="D209:E214">_xlfn.CHOOSECOLS(Scope3_Equations.VEERG_15_4_1_1__2_EmissionsFromPurchasedFertiliserComponents_Arguments(),1,2)</f>
        <v>F_cf</v>
      </c>
      <c r="E209" s="171" t="str">
        <v>fraction of component c contained within the inorganic fertiliser f</v>
      </c>
      <c r="F209" s="166"/>
      <c r="G209" s="167" t="str" cm="1">
        <f t="array" ref="G209:H214">_xlfn.CHOOSECOLS(Scope3_Equations.VEERG_15_4_1_1__2_EmissionsFromPurchasedFertiliserComponents_Arguments(),3,4)</f>
        <v>wt%</v>
      </c>
      <c r="H209" s="168" t="str">
        <v>Input</v>
      </c>
    </row>
    <row r="210" spans="4:40" ht="20.100000000000001" customHeight="1" x14ac:dyDescent="0.25">
      <c r="D210" s="167" t="str">
        <v>TM_jf</v>
      </c>
      <c r="E210" s="171" t="str">
        <v>quantity of inorganic fertiliser type f purchased and applied to production system j</v>
      </c>
      <c r="F210" s="166"/>
      <c r="G210" s="167" t="str">
        <v>kg</v>
      </c>
      <c r="H210" s="169" t="str">
        <v>Input</v>
      </c>
    </row>
    <row r="211" spans="4:40" ht="20.100000000000001" customHeight="1" x14ac:dyDescent="0.25">
      <c r="D211" s="167" t="str">
        <v>EF_c</v>
      </c>
      <c r="E211" s="171" t="str">
        <v>emission factor for the production of component c</v>
      </c>
      <c r="F211" s="166"/>
      <c r="G211" s="167" t="str">
        <v>kg CO2e/kg component</v>
      </c>
      <c r="H211" s="169" t="str">
        <v>Constant</v>
      </c>
    </row>
    <row r="212" spans="4:40" ht="20.100000000000001" customHeight="1" x14ac:dyDescent="0.25">
      <c r="D212" s="167" t="str">
        <v>c</v>
      </c>
      <c r="E212" s="171" t="str">
        <v>fertiliser component</v>
      </c>
      <c r="F212" s="166"/>
      <c r="G212" s="167" t="str">
        <v/>
      </c>
      <c r="H212" s="168" t="str">
        <v>Input</v>
      </c>
    </row>
    <row r="213" spans="4:40" ht="20.100000000000001" customHeight="1" x14ac:dyDescent="0.25">
      <c r="D213" s="167" t="str">
        <v>f</v>
      </c>
      <c r="E213" s="171" t="str">
        <v>inorganic fertiliser type</v>
      </c>
      <c r="F213" s="166"/>
      <c r="G213" s="167" t="str">
        <v/>
      </c>
      <c r="H213" s="168" t="str">
        <v>Input</v>
      </c>
    </row>
    <row r="214" spans="4:40" ht="20.100000000000001" customHeight="1" x14ac:dyDescent="0.25">
      <c r="D214" s="167" t="str">
        <v>j</v>
      </c>
      <c r="E214" s="171" t="str">
        <v>production system</v>
      </c>
      <c r="F214" s="166"/>
      <c r="G214" s="167" t="str">
        <v/>
      </c>
      <c r="H214" s="168" t="str">
        <v>Input</v>
      </c>
    </row>
    <row r="215" spans="4:40" ht="20.100000000000001" customHeight="1" x14ac:dyDescent="0.25"/>
    <row r="216" spans="4:40" ht="20.100000000000001" customHeight="1" x14ac:dyDescent="0.25">
      <c r="D216" s="144" t="s">
        <v>359</v>
      </c>
    </row>
    <row r="217" spans="4:40" ht="20.100000000000001" customHeight="1" x14ac:dyDescent="0.25"/>
    <row r="218" spans="4:40" ht="20.100000000000001" customHeight="1" x14ac:dyDescent="0.25">
      <c r="D218" s="95" t="s">
        <v>358</v>
      </c>
      <c r="E218" s="110"/>
      <c r="F218" s="96"/>
    </row>
    <row r="219" spans="4:40" ht="20.100000000000001" customHeight="1" x14ac:dyDescent="0.25"/>
    <row r="220" spans="4:40" ht="20.100000000000001" customHeight="1" x14ac:dyDescent="0.25">
      <c r="D220" s="46" t="s">
        <v>208</v>
      </c>
      <c r="E220" s="46" t="s">
        <v>346</v>
      </c>
      <c r="F220" s="57" t="s">
        <v>658</v>
      </c>
      <c r="G220" s="57" t="s">
        <v>642</v>
      </c>
      <c r="H220" s="57" t="s">
        <v>641</v>
      </c>
      <c r="I220" s="46" t="s">
        <v>659</v>
      </c>
      <c r="J220" s="57" t="s">
        <v>643</v>
      </c>
      <c r="K220" s="57" t="s">
        <v>644</v>
      </c>
      <c r="L220" s="46" t="s">
        <v>619</v>
      </c>
      <c r="M220" s="46" t="s">
        <v>620</v>
      </c>
      <c r="N220" s="46" t="s">
        <v>621</v>
      </c>
      <c r="O220" s="57" t="s">
        <v>168</v>
      </c>
      <c r="P220" s="57" t="s">
        <v>169</v>
      </c>
      <c r="Q220" s="57" t="s">
        <v>170</v>
      </c>
      <c r="R220" s="57" t="s">
        <v>171</v>
      </c>
      <c r="S220" s="57" t="s">
        <v>646</v>
      </c>
      <c r="T220" s="46" t="s">
        <v>647</v>
      </c>
      <c r="U220" s="57" t="s">
        <v>172</v>
      </c>
      <c r="V220" s="57" t="s">
        <v>173</v>
      </c>
      <c r="W220" s="57" t="s">
        <v>648</v>
      </c>
      <c r="X220" s="46" t="s">
        <v>649</v>
      </c>
      <c r="Y220" s="57" t="s">
        <v>174</v>
      </c>
      <c r="Z220" s="57" t="s">
        <v>175</v>
      </c>
      <c r="AA220" s="57" t="s">
        <v>650</v>
      </c>
      <c r="AB220" s="46" t="s">
        <v>651</v>
      </c>
      <c r="AC220" s="57" t="s">
        <v>176</v>
      </c>
      <c r="AD220" s="57" t="s">
        <v>177</v>
      </c>
      <c r="AE220" s="57" t="s">
        <v>652</v>
      </c>
      <c r="AF220" s="46" t="s">
        <v>653</v>
      </c>
      <c r="AG220" s="57" t="s">
        <v>178</v>
      </c>
      <c r="AH220" s="57" t="s">
        <v>179</v>
      </c>
      <c r="AI220" s="57" t="s">
        <v>654</v>
      </c>
      <c r="AJ220" s="46" t="s">
        <v>655</v>
      </c>
      <c r="AK220" s="57" t="s">
        <v>180</v>
      </c>
      <c r="AL220" s="57" t="s">
        <v>181</v>
      </c>
      <c r="AM220" s="57" t="s">
        <v>656</v>
      </c>
      <c r="AN220" s="46" t="s">
        <v>657</v>
      </c>
    </row>
    <row r="221" spans="4:40" ht="20.100000000000001" customHeight="1" x14ac:dyDescent="0.25">
      <c r="D221" s="49" t="str" cm="1">
        <f t="array" ref="D221:D230">IFERROR(INDEX(Table_Input_InorganicFertiliser_Brands[Product (select)], _xlfn.SEQUENCE(10)), "")</f>
        <v>Urea</v>
      </c>
      <c r="E221" s="49" cm="1">
        <f t="array" ref="E221:E230">IFERROR(INDEX(Table_Input_InorganicFertiliser_Brands[Total applied (kg)], _xlfn.SEQUENCE(10)), 0)</f>
        <v>0</v>
      </c>
      <c r="F221" s="49"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v>
      </c>
      <c r="G221" s="151" cm="1">
        <f t="array" ref="G221">Scope3_Equations.VEERG_15_4_1_1__1_EmissionsFromPurchasedFertiliser(E221,F221)</f>
        <v>0</v>
      </c>
      <c r="H221" s="49"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0</v>
      </c>
      <c r="I221" s="66">
        <v>0.4</v>
      </c>
      <c r="J221" s="151" cm="1">
        <f t="array" ref="J221">Scope3_Equations.VEERG_15_4_1_1__1_EmissionsFromPurchasedFertiliser(E221,I221)</f>
        <v>0</v>
      </c>
      <c r="K221" s="151"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0</v>
      </c>
      <c r="L221" s="82"/>
      <c r="M221" s="47"/>
      <c r="N221"/>
      <c r="O221" s="49" t="str" cm="1">
        <f t="array" ref="O221:O230">IFERROR(INDEX(Table_Input_InorganicFertiliser_Brands[Urea source], _xlfn.SEQUENCE(10)), "")</f>
        <v/>
      </c>
      <c r="P221" s="49" t="str" cm="1">
        <f t="array" ref="P221:P230">IFERROR(INDEX(Table_Input_InorganicFertiliser_Brands[Ammonia source], _xlfn.SEQUENCE(10)), "")</f>
        <v/>
      </c>
      <c r="Q221" s="49" t="str" cm="1">
        <f t="array" ref="Q221:Q230">IFERROR(INDEX(Table_Input_InorganicFertiliser_Brands[Ingredient 1], _xlfn.SEQUENCE(10)), "")</f>
        <v/>
      </c>
      <c r="R221" s="49" cm="1">
        <f t="array" ref="R221:R230">IFERROR(INDEX(_xlfn.LET(_xlpm.result, Table_Input_InorganicFertiliser_Brands[Ingredient 1 percent], IF(_xlpm.result="", 0, _xlpm.result)), _xlfn.SEQUENCE(10)), 0)</f>
        <v>0</v>
      </c>
      <c r="S221" s="49"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v>
      </c>
      <c r="T221" s="66">
        <v>0.9</v>
      </c>
      <c r="U221" s="49" t="str" cm="1">
        <f t="array" ref="U221:U230">IFERROR(INDEX(Table_Input_InorganicFertiliser_Brands[Ingredient 2], _xlfn.SEQUENCE(10)), "")</f>
        <v/>
      </c>
      <c r="V221" s="49" cm="1">
        <f t="array" ref="V221:V230">IFERROR(INDEX(_xlfn.LET(_xlpm.result, Table_Input_InorganicFertiliser_Brands[Ingredient 2 percent], IF(_xlpm.result="", 0, _xlpm.result)), _xlfn.SEQUENCE(10)), 0)</f>
        <v>0</v>
      </c>
      <c r="W221" s="49"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0</v>
      </c>
      <c r="X221" s="66">
        <v>0.9</v>
      </c>
      <c r="Y221" s="49" t="str" cm="1">
        <f t="array" ref="Y221:Y230">IFERROR(INDEX(Table_Input_InorganicFertiliser_Brands[Ingredient 3], _xlfn.SEQUENCE(10)), "")</f>
        <v/>
      </c>
      <c r="Z221" s="49" cm="1">
        <f t="array" ref="Z221:Z230">IFERROR(INDEX(_xlfn.LET(_xlpm.result, Table_Input_InorganicFertiliser_Brands[Ingredient 3 percent], IF(_xlpm.result="", 0, _xlpm.result)), _xlfn.SEQUENCE(10)), 0)</f>
        <v>0</v>
      </c>
      <c r="AA221" s="49"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0</v>
      </c>
      <c r="AB221" s="66">
        <v>4</v>
      </c>
      <c r="AC221" s="49" t="str" cm="1">
        <f t="array" ref="AC221:AC230">IFERROR(INDEX(Table_Input_InorganicFertiliser_Brands[Ingredient 4], _xlfn.SEQUENCE(10)), "")</f>
        <v/>
      </c>
      <c r="AD221" s="49" cm="1">
        <f t="array" ref="AD221:AD230">IFERROR(INDEX(_xlfn.LET(_xlpm.result, Table_Input_InorganicFertiliser_Brands[Ingredient 4 percent], IF(_xlpm.result="", 0, _xlpm.result)), _xlfn.SEQUENCE(10)), 0)</f>
        <v>0</v>
      </c>
      <c r="AE221" s="49"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6">
        <v>0</v>
      </c>
      <c r="AG221" s="49" t="str" cm="1">
        <f t="array" ref="AG221:AG230">IFERROR(INDEX(Table_Input_InorganicFertiliser_Brands[Ingredient 5], _xlfn.SEQUENCE(10)), "")</f>
        <v/>
      </c>
      <c r="AH221" s="49" cm="1">
        <f t="array" ref="AH221:AH230">IFERROR(INDEX(_xlfn.LET(_xlpm.result, Table_Input_InorganicFertiliser_Brands[Ingredient 5 percent], IF(_xlpm.result="", 0, _xlpm.result)), _xlfn.SEQUENCE(10)), 0)</f>
        <v>0</v>
      </c>
      <c r="AI221" s="49"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6">
        <v>0</v>
      </c>
      <c r="AK221" s="49" t="str" cm="1">
        <f t="array" ref="AK221:AK230">IFERROR(INDEX(Table_Input_InorganicFertiliser_Brands[Ingredient 6], _xlfn.SEQUENCE(10)), "")</f>
        <v/>
      </c>
      <c r="AL221" s="49" cm="1">
        <f t="array" ref="AL221:AL230">IFERROR(INDEX(_xlfn.LET(_xlpm.result, Table_Input_InorganicFertiliser_Brands[Ingredient 6 percent], IF(_xlpm.result="", 0, _xlpm.result)), _xlfn.SEQUENCE(10)), 0)</f>
        <v>0</v>
      </c>
      <c r="AM221" s="49"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6"/>
    </row>
    <row r="222" spans="4:40" ht="20.100000000000001" customHeight="1" x14ac:dyDescent="0.25">
      <c r="D222" s="49" t="str">
        <v>Boost-It</v>
      </c>
      <c r="E222" s="49">
        <v>0</v>
      </c>
      <c r="F222" s="49"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v>
      </c>
      <c r="G222" s="151" cm="1">
        <f t="array" ref="G222">Scope3_Equations.VEERG_15_4_1_1__1_EmissionsFromPurchasedFertiliser(E222,F222)</f>
        <v>0</v>
      </c>
      <c r="H222" s="49"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0</v>
      </c>
      <c r="I222" s="66">
        <v>0.9</v>
      </c>
      <c r="J222" s="151" cm="1">
        <f t="array" ref="J222">Scope3_Equations.VEERG_15_4_1_1__1_EmissionsFromPurchasedFertiliser(E222,I222)</f>
        <v>0</v>
      </c>
      <c r="K222" s="151"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0</v>
      </c>
      <c r="L222" s="82"/>
      <c r="M222" s="47"/>
      <c r="N222" s="82"/>
      <c r="O222" s="49" t="str">
        <v/>
      </c>
      <c r="P222" s="49" t="str">
        <v/>
      </c>
      <c r="Q222" s="49" t="str">
        <v/>
      </c>
      <c r="R222" s="49">
        <v>0</v>
      </c>
      <c r="S222" s="49"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0</v>
      </c>
      <c r="T222" s="66"/>
      <c r="U222" s="49" t="str">
        <v/>
      </c>
      <c r="V222" s="49">
        <v>0</v>
      </c>
      <c r="W222" s="49"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66"/>
      <c r="Y222" s="49" t="str">
        <v/>
      </c>
      <c r="Z222" s="49">
        <v>0</v>
      </c>
      <c r="AA222" s="49"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66"/>
      <c r="AC222" s="49" t="str">
        <v/>
      </c>
      <c r="AD222" s="49">
        <v>0</v>
      </c>
      <c r="AE222" s="49"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66"/>
      <c r="AG222" s="49" t="str">
        <v/>
      </c>
      <c r="AH222" s="49">
        <v>0</v>
      </c>
      <c r="AI222" s="49"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6"/>
      <c r="AK222" s="49" t="str">
        <v/>
      </c>
      <c r="AL222" s="49">
        <v>0</v>
      </c>
      <c r="AM222" s="49"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6"/>
    </row>
    <row r="223" spans="4:40" ht="20.100000000000001" customHeight="1" x14ac:dyDescent="0.25">
      <c r="D223" s="49" t="str">
        <v>Cal-Gran 50/50</v>
      </c>
      <c r="E223" s="49">
        <v>0</v>
      </c>
      <c r="F223" s="49"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v>
      </c>
      <c r="G223" s="151" cm="1">
        <f t="array" ref="G223">Scope3_Equations.VEERG_15_4_1_1__1_EmissionsFromPurchasedFertiliser(E223,F223)</f>
        <v>0</v>
      </c>
      <c r="H223" s="49"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0</v>
      </c>
      <c r="I223" s="66">
        <v>0.4</v>
      </c>
      <c r="J223" s="151" cm="1">
        <f t="array" ref="J223">Scope3_Equations.VEERG_15_4_1_1__1_EmissionsFromPurchasedFertiliser(E223,I223)</f>
        <v>0</v>
      </c>
      <c r="K223" s="151"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0</v>
      </c>
      <c r="L223" s="82"/>
      <c r="M223" s="47"/>
      <c r="N223" s="82"/>
      <c r="O223" s="49" t="str">
        <v/>
      </c>
      <c r="P223" s="49" t="str">
        <v/>
      </c>
      <c r="Q223" s="49" t="str">
        <v/>
      </c>
      <c r="R223" s="49">
        <v>0</v>
      </c>
      <c r="S223" s="49"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0</v>
      </c>
      <c r="T223" s="66"/>
      <c r="U223" s="49" t="str">
        <v/>
      </c>
      <c r="V223" s="49">
        <v>0</v>
      </c>
      <c r="W223" s="49"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66"/>
      <c r="Y223" s="49" t="str">
        <v/>
      </c>
      <c r="Z223" s="49">
        <v>0</v>
      </c>
      <c r="AA223" s="49"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66"/>
      <c r="AC223" s="49" t="str">
        <v/>
      </c>
      <c r="AD223" s="49">
        <v>0</v>
      </c>
      <c r="AE223" s="49"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6"/>
      <c r="AG223" s="49" t="str">
        <v/>
      </c>
      <c r="AH223" s="49">
        <v>0</v>
      </c>
      <c r="AI223" s="49"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6"/>
      <c r="AK223" s="49" t="str">
        <v/>
      </c>
      <c r="AL223" s="49">
        <v>0</v>
      </c>
      <c r="AM223" s="49"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6"/>
    </row>
    <row r="224" spans="4:40" ht="20.100000000000001" customHeight="1" x14ac:dyDescent="0.25">
      <c r="D224" s="49">
        <v>0</v>
      </c>
      <c r="E224" s="49">
        <v>0</v>
      </c>
      <c r="F224" s="49"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0.47212500000000007</v>
      </c>
      <c r="G224" s="151" cm="1">
        <f t="array" ref="G224">Scope3_Equations.VEERG_15_4_1_1__1_EmissionsFromPurchasedFertiliser(E224,F224)</f>
        <v>0</v>
      </c>
      <c r="H224" s="49"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0</v>
      </c>
      <c r="I224" s="66"/>
      <c r="J224" s="151" cm="1">
        <f t="array" ref="J224">Scope3_Equations.VEERG_15_4_1_1__1_EmissionsFromPurchasedFertiliser(E224,I224)</f>
        <v>0</v>
      </c>
      <c r="K224" s="151"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0</v>
      </c>
      <c r="L224" s="82"/>
      <c r="M224" s="47"/>
      <c r="N224" s="82"/>
      <c r="O224" s="49" t="str">
        <v/>
      </c>
      <c r="P224" s="49" t="str">
        <v/>
      </c>
      <c r="Q224" s="49" t="str">
        <v>Potassium - Generic</v>
      </c>
      <c r="R224" s="49">
        <v>0.22500000000000001</v>
      </c>
      <c r="S224" s="49"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0.90900000000000003</v>
      </c>
      <c r="T224" s="66"/>
      <c r="U224" s="49" t="str">
        <v>Phosphorus - Generic</v>
      </c>
      <c r="V224" s="49">
        <v>0.04</v>
      </c>
      <c r="W224" s="49"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3.96</v>
      </c>
      <c r="X224" s="66"/>
      <c r="Y224" s="49" t="str">
        <v>Nitrogen - Generic</v>
      </c>
      <c r="Z224" s="49">
        <v>2.5999999999999999E-2</v>
      </c>
      <c r="AA224" s="49"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4.2</v>
      </c>
      <c r="AB224" s="66"/>
      <c r="AC224" s="49" t="str">
        <v/>
      </c>
      <c r="AD224" s="49">
        <v>0</v>
      </c>
      <c r="AE224" s="49"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6"/>
      <c r="AG224" s="49" t="str">
        <v/>
      </c>
      <c r="AH224" s="49">
        <v>0</v>
      </c>
      <c r="AI224" s="49"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6"/>
      <c r="AK224" s="49" t="str">
        <v/>
      </c>
      <c r="AL224" s="49">
        <v>0</v>
      </c>
      <c r="AM224" s="49"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6"/>
    </row>
    <row r="225" spans="4:40" ht="20.100000000000001" customHeight="1" x14ac:dyDescent="0.25">
      <c r="D225" s="49">
        <v>0</v>
      </c>
      <c r="E225" s="49">
        <v>0</v>
      </c>
      <c r="F225" s="49"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0.47212500000000007</v>
      </c>
      <c r="G225" s="151" cm="1">
        <f t="array" ref="G225">Scope3_Equations.VEERG_15_4_1_1__1_EmissionsFromPurchasedFertiliser(E225,F225)</f>
        <v>0</v>
      </c>
      <c r="H225" s="49"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0</v>
      </c>
      <c r="I225" s="66"/>
      <c r="J225" s="151" cm="1">
        <f t="array" ref="J225">Scope3_Equations.VEERG_15_4_1_1__1_EmissionsFromPurchasedFertiliser(E225,I225)</f>
        <v>0</v>
      </c>
      <c r="K225" s="151"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0</v>
      </c>
      <c r="L225" s="82"/>
      <c r="M225" s="47"/>
      <c r="N225" s="82"/>
      <c r="O225" s="49" t="str">
        <v/>
      </c>
      <c r="P225" s="49" t="str">
        <v/>
      </c>
      <c r="Q225" s="49" t="str">
        <v>Potassium - Generic</v>
      </c>
      <c r="R225" s="49">
        <v>0.22500000000000001</v>
      </c>
      <c r="S225" s="49"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0.90900000000000003</v>
      </c>
      <c r="T225" s="66"/>
      <c r="U225" s="49" t="str">
        <v>Phosphorus - Generic</v>
      </c>
      <c r="V225" s="49">
        <v>0.04</v>
      </c>
      <c r="W225" s="49"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3.96</v>
      </c>
      <c r="X225" s="66"/>
      <c r="Y225" s="49" t="str">
        <v>Nitrogen - Generic</v>
      </c>
      <c r="Z225" s="49">
        <v>2.5999999999999999E-2</v>
      </c>
      <c r="AA225" s="49"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4.2</v>
      </c>
      <c r="AB225" s="66"/>
      <c r="AC225" s="49" t="str">
        <v/>
      </c>
      <c r="AD225" s="49">
        <v>0</v>
      </c>
      <c r="AE225" s="49"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6"/>
      <c r="AG225" s="49" t="str">
        <v/>
      </c>
      <c r="AH225" s="49">
        <v>0</v>
      </c>
      <c r="AI225" s="49"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6"/>
      <c r="AK225" s="49" t="str">
        <v/>
      </c>
      <c r="AL225" s="49">
        <v>0</v>
      </c>
      <c r="AM225" s="49"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6"/>
    </row>
    <row r="226" spans="4:40" ht="20.100000000000001" customHeight="1" x14ac:dyDescent="0.25">
      <c r="D226" s="49">
        <v>0</v>
      </c>
      <c r="E226" s="49">
        <v>0</v>
      </c>
      <c r="F226" s="49"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0.47212500000000007</v>
      </c>
      <c r="G226" s="151" cm="1">
        <f t="array" ref="G226">Scope3_Equations.VEERG_15_4_1_1__1_EmissionsFromPurchasedFertiliser(E226,F226)</f>
        <v>0</v>
      </c>
      <c r="H226" s="49"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6"/>
      <c r="J226" s="151" cm="1">
        <f t="array" ref="J226">Scope3_Equations.VEERG_15_4_1_1__1_EmissionsFromPurchasedFertiliser(E226,I226)</f>
        <v>0</v>
      </c>
      <c r="K226" s="151"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2"/>
      <c r="M226" s="47"/>
      <c r="N226" s="82"/>
      <c r="O226" s="49" t="str">
        <v/>
      </c>
      <c r="P226" s="49" t="str">
        <v/>
      </c>
      <c r="Q226" s="49" t="str">
        <v>Potassium - Generic</v>
      </c>
      <c r="R226" s="49">
        <v>0.22500000000000001</v>
      </c>
      <c r="S226" s="49"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0.90900000000000003</v>
      </c>
      <c r="T226" s="66"/>
      <c r="U226" s="49" t="str">
        <v>Phosphorus - Generic</v>
      </c>
      <c r="V226" s="49">
        <v>0.04</v>
      </c>
      <c r="W226" s="49"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3.96</v>
      </c>
      <c r="X226" s="66"/>
      <c r="Y226" s="49" t="str">
        <v>Nitrogen - Generic</v>
      </c>
      <c r="Z226" s="49">
        <v>2.5999999999999999E-2</v>
      </c>
      <c r="AA226" s="49"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4.2</v>
      </c>
      <c r="AB226" s="66"/>
      <c r="AC226" s="49" t="str">
        <v/>
      </c>
      <c r="AD226" s="49">
        <v>0</v>
      </c>
      <c r="AE226" s="49"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6"/>
      <c r="AG226" s="49" t="str">
        <v/>
      </c>
      <c r="AH226" s="49">
        <v>0</v>
      </c>
      <c r="AI226" s="49"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6"/>
      <c r="AK226" s="49" t="str">
        <v/>
      </c>
      <c r="AL226" s="49">
        <v>0</v>
      </c>
      <c r="AM226" s="49"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6"/>
    </row>
    <row r="227" spans="4:40" ht="20.100000000000001" customHeight="1" x14ac:dyDescent="0.25">
      <c r="D227" s="49">
        <v>0</v>
      </c>
      <c r="E227" s="49">
        <v>0</v>
      </c>
      <c r="F227" s="49"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0.47212500000000007</v>
      </c>
      <c r="G227" s="151" cm="1">
        <f t="array" ref="G227">Scope3_Equations.VEERG_15_4_1_1__1_EmissionsFromPurchasedFertiliser(E227,F227)</f>
        <v>0</v>
      </c>
      <c r="H227" s="49"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6"/>
      <c r="J227" s="151" cm="1">
        <f t="array" ref="J227">Scope3_Equations.VEERG_15_4_1_1__1_EmissionsFromPurchasedFertiliser(E227,I227)</f>
        <v>0</v>
      </c>
      <c r="K227" s="151"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2"/>
      <c r="M227" s="47"/>
      <c r="N227" s="82"/>
      <c r="O227" s="49" t="str">
        <v/>
      </c>
      <c r="P227" s="49" t="str">
        <v/>
      </c>
      <c r="Q227" s="49" t="str">
        <v>Potassium - Generic</v>
      </c>
      <c r="R227" s="49">
        <v>0.22500000000000001</v>
      </c>
      <c r="S227" s="49"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0.90900000000000003</v>
      </c>
      <c r="T227" s="66"/>
      <c r="U227" s="49" t="str">
        <v>Phosphorus - Generic</v>
      </c>
      <c r="V227" s="49">
        <v>0.04</v>
      </c>
      <c r="W227" s="49"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3.96</v>
      </c>
      <c r="X227" s="66"/>
      <c r="Y227" s="49" t="str">
        <v>Nitrogen - Generic</v>
      </c>
      <c r="Z227" s="49">
        <v>2.5999999999999999E-2</v>
      </c>
      <c r="AA227" s="49"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4.2</v>
      </c>
      <c r="AB227" s="66"/>
      <c r="AC227" s="49" t="str">
        <v/>
      </c>
      <c r="AD227" s="49">
        <v>0</v>
      </c>
      <c r="AE227" s="49"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6"/>
      <c r="AG227" s="49" t="str">
        <v/>
      </c>
      <c r="AH227" s="49">
        <v>0</v>
      </c>
      <c r="AI227" s="49"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6"/>
      <c r="AK227" s="49" t="str">
        <v/>
      </c>
      <c r="AL227" s="49">
        <v>0</v>
      </c>
      <c r="AM227" s="49"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6"/>
    </row>
    <row r="228" spans="4:40" ht="20.100000000000001" customHeight="1" x14ac:dyDescent="0.25">
      <c r="D228" s="49">
        <v>0</v>
      </c>
      <c r="E228" s="49">
        <v>0</v>
      </c>
      <c r="F228" s="49"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0.47212500000000007</v>
      </c>
      <c r="G228" s="151" cm="1">
        <f t="array" ref="G228">Scope3_Equations.VEERG_15_4_1_1__1_EmissionsFromPurchasedFertiliser(E228,F228)</f>
        <v>0</v>
      </c>
      <c r="H228" s="49"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6"/>
      <c r="J228" s="151" cm="1">
        <f t="array" ref="J228">Scope3_Equations.VEERG_15_4_1_1__1_EmissionsFromPurchasedFertiliser(E228,I228)</f>
        <v>0</v>
      </c>
      <c r="K228" s="151"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2"/>
      <c r="M228" s="47"/>
      <c r="N228" s="82"/>
      <c r="O228" s="49" t="str">
        <v/>
      </c>
      <c r="P228" s="49" t="str">
        <v/>
      </c>
      <c r="Q228" s="49" t="str">
        <v>Potassium - Generic</v>
      </c>
      <c r="R228" s="49">
        <v>0.22500000000000001</v>
      </c>
      <c r="S228" s="49"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0.90900000000000003</v>
      </c>
      <c r="T228" s="66"/>
      <c r="U228" s="49" t="str">
        <v>Phosphorus - Generic</v>
      </c>
      <c r="V228" s="49">
        <v>0.04</v>
      </c>
      <c r="W228" s="49"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3.96</v>
      </c>
      <c r="X228" s="66"/>
      <c r="Y228" s="49" t="str">
        <v>Nitrogen - Generic</v>
      </c>
      <c r="Z228" s="49">
        <v>2.5999999999999999E-2</v>
      </c>
      <c r="AA228" s="49"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4.2</v>
      </c>
      <c r="AB228" s="66"/>
      <c r="AC228" s="49" t="str">
        <v/>
      </c>
      <c r="AD228" s="49">
        <v>0</v>
      </c>
      <c r="AE228" s="49"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6"/>
      <c r="AG228" s="49" t="str">
        <v/>
      </c>
      <c r="AH228" s="49">
        <v>0</v>
      </c>
      <c r="AI228" s="49"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6"/>
      <c r="AK228" s="49" t="str">
        <v/>
      </c>
      <c r="AL228" s="49">
        <v>0</v>
      </c>
      <c r="AM228" s="49"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6"/>
    </row>
    <row r="229" spans="4:40" ht="20.100000000000001" customHeight="1" x14ac:dyDescent="0.25">
      <c r="D229" s="49">
        <v>0</v>
      </c>
      <c r="E229" s="49">
        <v>0</v>
      </c>
      <c r="F229" s="49"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0.47212500000000007</v>
      </c>
      <c r="G229" s="151" cm="1">
        <f t="array" ref="G229">Scope3_Equations.VEERG_15_4_1_1__1_EmissionsFromPurchasedFertiliser(E229,F229)</f>
        <v>0</v>
      </c>
      <c r="H229" s="49"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6"/>
      <c r="J229" s="151" cm="1">
        <f t="array" ref="J229">Scope3_Equations.VEERG_15_4_1_1__1_EmissionsFromPurchasedFertiliser(E229,I229)</f>
        <v>0</v>
      </c>
      <c r="K229" s="151"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2"/>
      <c r="M229" s="47"/>
      <c r="N229" s="82"/>
      <c r="O229" s="49" t="str">
        <v/>
      </c>
      <c r="P229" s="49" t="str">
        <v/>
      </c>
      <c r="Q229" s="49" t="str">
        <v>Potassium - Generic</v>
      </c>
      <c r="R229" s="49">
        <v>0.22500000000000001</v>
      </c>
      <c r="S229" s="49"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0.90900000000000003</v>
      </c>
      <c r="T229" s="66"/>
      <c r="U229" s="49" t="str">
        <v>Phosphorus - Generic</v>
      </c>
      <c r="V229" s="49">
        <v>0.04</v>
      </c>
      <c r="W229" s="49"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3.96</v>
      </c>
      <c r="X229" s="66"/>
      <c r="Y229" s="49" t="str">
        <v>Nitrogen - Generic</v>
      </c>
      <c r="Z229" s="49">
        <v>2.5999999999999999E-2</v>
      </c>
      <c r="AA229" s="49"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4.2</v>
      </c>
      <c r="AB229" s="66"/>
      <c r="AC229" s="49" t="str">
        <v/>
      </c>
      <c r="AD229" s="49">
        <v>0</v>
      </c>
      <c r="AE229" s="49"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6"/>
      <c r="AG229" s="49" t="str">
        <v/>
      </c>
      <c r="AH229" s="49">
        <v>0</v>
      </c>
      <c r="AI229" s="49"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6"/>
      <c r="AK229" s="49" t="str">
        <v/>
      </c>
      <c r="AL229" s="49">
        <v>0</v>
      </c>
      <c r="AM229" s="49"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6"/>
    </row>
    <row r="230" spans="4:40" ht="20.100000000000001" customHeight="1" x14ac:dyDescent="0.25">
      <c r="D230" s="49">
        <v>0</v>
      </c>
      <c r="E230" s="49">
        <v>0</v>
      </c>
      <c r="F230" s="49"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0.47212500000000007</v>
      </c>
      <c r="G230" s="151" cm="1">
        <f t="array" ref="G230">Scope3_Equations.VEERG_15_4_1_1__1_EmissionsFromPurchasedFertiliser(E230,F230)</f>
        <v>0</v>
      </c>
      <c r="H230" s="49"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6"/>
      <c r="J230" s="151" cm="1">
        <f t="array" ref="J230">Scope3_Equations.VEERG_15_4_1_1__1_EmissionsFromPurchasedFertiliser(E230,I230)</f>
        <v>0</v>
      </c>
      <c r="K230" s="151"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2"/>
      <c r="M230" s="47"/>
      <c r="N230" s="82"/>
      <c r="O230" s="49" t="str">
        <v/>
      </c>
      <c r="P230" s="49" t="str">
        <v/>
      </c>
      <c r="Q230" s="49" t="str">
        <v>Potassium - Generic</v>
      </c>
      <c r="R230" s="49">
        <v>0.22500000000000001</v>
      </c>
      <c r="S230" s="49"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0.90900000000000003</v>
      </c>
      <c r="T230" s="66"/>
      <c r="U230" s="49" t="str">
        <v>Phosphorus - Generic</v>
      </c>
      <c r="V230" s="49">
        <v>0.04</v>
      </c>
      <c r="W230" s="49"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3.96</v>
      </c>
      <c r="X230" s="66"/>
      <c r="Y230" s="49" t="str">
        <v>Nitrogen - Generic</v>
      </c>
      <c r="Z230" s="49">
        <v>2.5999999999999999E-2</v>
      </c>
      <c r="AA230" s="49"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4.2</v>
      </c>
      <c r="AB230" s="66"/>
      <c r="AC230" s="49" t="str">
        <v/>
      </c>
      <c r="AD230" s="49">
        <v>0</v>
      </c>
      <c r="AE230" s="49"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6"/>
      <c r="AG230" s="49" t="str">
        <v/>
      </c>
      <c r="AH230" s="49">
        <v>0</v>
      </c>
      <c r="AI230" s="49"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6"/>
      <c r="AK230" s="49" t="str">
        <v/>
      </c>
      <c r="AL230" s="49">
        <v>0</v>
      </c>
      <c r="AM230" s="49"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6"/>
    </row>
    <row r="231" spans="4:40" ht="20.100000000000001" customHeight="1" x14ac:dyDescent="0.25"/>
    <row r="232" spans="4:40" ht="20.100000000000001" customHeight="1" x14ac:dyDescent="0.25">
      <c r="D232" s="144" t="s">
        <v>645</v>
      </c>
    </row>
    <row r="233" spans="4:40" ht="20.100000000000001" customHeight="1" x14ac:dyDescent="0.25"/>
    <row r="234" spans="4:40" ht="20.100000000000001" customHeight="1" x14ac:dyDescent="0.25">
      <c r="D234" s="95" t="s">
        <v>660</v>
      </c>
      <c r="E234" s="110"/>
      <c r="F234" s="96"/>
    </row>
    <row r="235" spans="4:40" ht="20.100000000000001" customHeight="1" x14ac:dyDescent="0.25"/>
    <row r="236" spans="4:40" ht="20.100000000000001" customHeight="1" x14ac:dyDescent="0.25">
      <c r="D236" s="46" t="s">
        <v>394</v>
      </c>
      <c r="E236" s="46" t="s">
        <v>346</v>
      </c>
      <c r="F236" s="57" t="s">
        <v>658</v>
      </c>
      <c r="G236" s="57" t="s">
        <v>642</v>
      </c>
      <c r="H236" s="57" t="s">
        <v>641</v>
      </c>
      <c r="I236" s="46" t="s">
        <v>659</v>
      </c>
      <c r="J236" s="57" t="s">
        <v>643</v>
      </c>
      <c r="K236" s="57" t="s">
        <v>644</v>
      </c>
      <c r="L236" s="46" t="s">
        <v>619</v>
      </c>
      <c r="M236" s="46" t="s">
        <v>620</v>
      </c>
      <c r="N236" s="46" t="s">
        <v>621</v>
      </c>
      <c r="O236" s="57" t="s">
        <v>168</v>
      </c>
      <c r="P236" s="57" t="s">
        <v>169</v>
      </c>
      <c r="Q236" s="57" t="s">
        <v>170</v>
      </c>
      <c r="R236" s="57" t="s">
        <v>171</v>
      </c>
      <c r="S236" s="57" t="s">
        <v>646</v>
      </c>
      <c r="T236" s="46" t="s">
        <v>647</v>
      </c>
      <c r="U236" s="57" t="s">
        <v>172</v>
      </c>
      <c r="V236" s="57" t="s">
        <v>173</v>
      </c>
      <c r="W236" s="57" t="s">
        <v>648</v>
      </c>
      <c r="X236" s="46" t="s">
        <v>649</v>
      </c>
      <c r="Y236" s="57" t="s">
        <v>174</v>
      </c>
      <c r="Z236" s="57" t="s">
        <v>175</v>
      </c>
      <c r="AA236" s="57" t="s">
        <v>650</v>
      </c>
      <c r="AB236" s="46" t="s">
        <v>651</v>
      </c>
      <c r="AC236" s="57" t="s">
        <v>176</v>
      </c>
      <c r="AD236" s="57" t="s">
        <v>177</v>
      </c>
      <c r="AE236" s="57" t="s">
        <v>652</v>
      </c>
      <c r="AF236" s="46" t="s">
        <v>653</v>
      </c>
    </row>
    <row r="237" spans="4:40" ht="20.100000000000001" customHeight="1" x14ac:dyDescent="0.25">
      <c r="D237" s="49" t="str" cm="1">
        <f t="array" ref="D237:D246">IFERROR(INDEX(Table_Input_InorganicFertiliser_Custom[Custom blend name], _xlfn.SEQUENCE(10)), "")</f>
        <v>My first custom blend</v>
      </c>
      <c r="E237" s="49" cm="1">
        <f t="array" ref="E237:E246">IFERROR(INDEX(Table_Input_InorganicFertiliser_Custom[Total applied (kg)], _xlfn.SEQUENCE(10)), 0)</f>
        <v>0</v>
      </c>
      <c r="F237" s="49"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1.7707999999999999</v>
      </c>
      <c r="G237" s="151" cm="1">
        <f t="array" ref="G237">Scope3_Equations.VEERG_15_4_1_1__1_EmissionsFromPurchasedFertiliser(E237,F237)</f>
        <v>0</v>
      </c>
      <c r="H237" s="49"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0</v>
      </c>
      <c r="I237" s="66">
        <v>0.4</v>
      </c>
      <c r="J237" s="151" cm="1">
        <f t="array" ref="J237">Scope3_Equations.VEERG_15_4_1_1__1_EmissionsFromPurchasedFertiliser(E237,I237)</f>
        <v>0</v>
      </c>
      <c r="K237" s="151"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0</v>
      </c>
      <c r="L237" s="82"/>
      <c r="M237" s="47"/>
      <c r="N237"/>
      <c r="O237" s="49" cm="1">
        <f t="array" ref="O237:O246">IFERROR(INDEX(Table_Input_InorganicFertiliser_Custom[Urea source (Select)], _xlfn.SEQUENCE(10)), "")</f>
        <v>0</v>
      </c>
      <c r="P237" s="49" cm="1">
        <f t="array" ref="P237:P246">IFERROR(INDEX(Table_Input_InorganicFertiliser_Custom[Ammonia source (select)], _xlfn.SEQUENCE(10)), "")</f>
        <v>0</v>
      </c>
      <c r="Q237" s="49" t="str" cm="1">
        <f t="array" ref="Q237:Q246">IFERROR(INDEX(Table_Input_InorganicFertiliser_Custom[Ingredient 1 (select)], _xlfn.SEQUENCE(10)), "")</f>
        <v>Calcium nitrate</v>
      </c>
      <c r="R237" s="49" cm="1">
        <f t="array" ref="R237:R246">IFERROR(INDEX(_xlfn.LET(_xlpm.result, Table_Input_InorganicFertiliser_Custom[Ingredient 1 percent], IF(_xlpm.result="", 0, _xlpm.result)), _xlfn.SEQUENCE(10)), 0)</f>
        <v>0.5</v>
      </c>
      <c r="S237" s="49"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0.75</v>
      </c>
      <c r="T237" s="66">
        <v>0.9</v>
      </c>
      <c r="U237" s="49" t="str" cm="1">
        <f t="array" ref="U237:U246">IFERROR(INDEX(Table_Input_InorganicFertiliser_Custom[Ingredient 2], _xlfn.SEQUENCE(10)), "")</f>
        <v>Zinc - Generic</v>
      </c>
      <c r="V237" s="49" cm="1">
        <f t="array" ref="V237:V246">IFERROR(INDEX(_xlfn.LET(_xlpm.result, Table_Input_InorganicFertiliser_Custom[Ingredient 2 percent], IF(_xlpm.result="", 0, _xlpm.result)), _xlfn.SEQUENCE(10)), 0)</f>
        <v>0.2</v>
      </c>
      <c r="W237" s="49"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4.82</v>
      </c>
      <c r="X237" s="66">
        <v>0.9</v>
      </c>
      <c r="Y237" s="49" t="str" cm="1">
        <f t="array" ref="Y237:Y246">IFERROR(INDEX(Table_Input_InorganicFertiliser_Custom[Ingredient 3], _xlfn.SEQUENCE(10)), "")</f>
        <v>Potassium - Generic</v>
      </c>
      <c r="Z237" s="49" cm="1">
        <f t="array" ref="Z237:Z246">IFERROR(INDEX(_xlfn.LET(_xlpm.result, Table_Input_InorganicFertiliser_Custom[Ingredient 3 percent], IF(_xlpm.result="", 0, _xlpm.result)), _xlfn.SEQUENCE(10)), 0)</f>
        <v>0.2</v>
      </c>
      <c r="AA237" s="49"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6">
        <v>4</v>
      </c>
      <c r="AC237" s="49" t="str" cm="1">
        <f t="array" ref="AC237:AC246">IFERROR(INDEX(Table_Input_InorganicFertiliser_Custom[Ingredient 4], _xlfn.SEQUENCE(10)), "")</f>
        <v>Sulfur - Generic</v>
      </c>
      <c r="AD237" s="49" cm="1">
        <f t="array" ref="AD237:AD246">IFERROR(INDEX(_xlfn.LET(_xlpm.result, Table_Input_InorganicFertiliser_Custom[Ingredient 4 percent], IF(_xlpm.result="", 0, _xlpm.result)), _xlfn.SEQUENCE(10)), 0)</f>
        <v>0.1</v>
      </c>
      <c r="AE237" s="49"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6">
        <v>0</v>
      </c>
    </row>
    <row r="238" spans="4:40" ht="20.100000000000001" customHeight="1" x14ac:dyDescent="0.25">
      <c r="D238" s="49" t="str">
        <v>My second custom blend</v>
      </c>
      <c r="E238" s="49">
        <v>0</v>
      </c>
      <c r="F238" s="49"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v>
      </c>
      <c r="G238" s="151" cm="1">
        <f t="array" ref="G238">Scope3_Equations.VEERG_15_4_1_1__1_EmissionsFromPurchasedFertiliser(E238,F238)</f>
        <v>0</v>
      </c>
      <c r="H238" s="49"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0</v>
      </c>
      <c r="I238" s="66">
        <v>0.9</v>
      </c>
      <c r="J238" s="151" cm="1">
        <f t="array" ref="J238">Scope3_Equations.VEERG_15_4_1_1__1_EmissionsFromPurchasedFertiliser(E238,I238)</f>
        <v>0</v>
      </c>
      <c r="K238" s="151"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0</v>
      </c>
      <c r="L238" s="82"/>
      <c r="M238" s="47"/>
      <c r="N238" s="82"/>
      <c r="O238" s="49">
        <v>0</v>
      </c>
      <c r="P238" s="49">
        <v>0</v>
      </c>
      <c r="Q238" s="49" t="str">
        <v>Urea</v>
      </c>
      <c r="R238" s="49">
        <v>1</v>
      </c>
      <c r="S238" s="49"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v>
      </c>
      <c r="T238" s="66"/>
      <c r="U238" s="49">
        <v>0</v>
      </c>
      <c r="V238" s="49">
        <v>0</v>
      </c>
      <c r="W238" s="49"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0</v>
      </c>
      <c r="X238" s="66"/>
      <c r="Y238" s="49">
        <v>0</v>
      </c>
      <c r="Z238" s="49">
        <v>0</v>
      </c>
      <c r="AA238" s="49"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6"/>
      <c r="AC238" s="49">
        <v>0</v>
      </c>
      <c r="AD238" s="49">
        <v>0</v>
      </c>
      <c r="AE238" s="49"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6"/>
    </row>
    <row r="239" spans="4:40" ht="20.100000000000001" customHeight="1" x14ac:dyDescent="0.25">
      <c r="D239" s="49" t="str">
        <v>My third custom blend</v>
      </c>
      <c r="E239" s="49">
        <v>0</v>
      </c>
      <c r="F239" s="49"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0</v>
      </c>
      <c r="G239" s="151" cm="1">
        <f t="array" ref="G239">Scope3_Equations.VEERG_15_4_1_1__1_EmissionsFromPurchasedFertiliser(E239,F239)</f>
        <v>0</v>
      </c>
      <c r="H239" s="49"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0</v>
      </c>
      <c r="I239" s="66">
        <v>0.4</v>
      </c>
      <c r="J239" s="151" cm="1">
        <f t="array" ref="J239">Scope3_Equations.VEERG_15_4_1_1__1_EmissionsFromPurchasedFertiliser(E239,I239)</f>
        <v>0</v>
      </c>
      <c r="K239" s="151"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0</v>
      </c>
      <c r="L239" s="82"/>
      <c r="M239" s="47"/>
      <c r="N239" s="82"/>
      <c r="O239" s="49">
        <v>0</v>
      </c>
      <c r="P239" s="49">
        <v>0</v>
      </c>
      <c r="Q239" s="49" t="str">
        <v>Ammonia</v>
      </c>
      <c r="R239" s="49">
        <v>0.5</v>
      </c>
      <c r="S239" s="49"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0</v>
      </c>
      <c r="T239" s="66"/>
      <c r="U239" s="49">
        <v>0</v>
      </c>
      <c r="V239" s="49">
        <v>0</v>
      </c>
      <c r="W239" s="49"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6"/>
      <c r="Y239" s="49">
        <v>0</v>
      </c>
      <c r="Z239" s="49">
        <v>0</v>
      </c>
      <c r="AA239" s="49"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6"/>
      <c r="AC239" s="49">
        <v>0</v>
      </c>
      <c r="AD239" s="49">
        <v>0</v>
      </c>
      <c r="AE239" s="49"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6"/>
    </row>
    <row r="240" spans="4:40" ht="20.100000000000001" customHeight="1" x14ac:dyDescent="0.25">
      <c r="D240" s="49">
        <v>0</v>
      </c>
      <c r="E240" s="49">
        <v>0</v>
      </c>
      <c r="F240" s="49"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1" cm="1">
        <f t="array" ref="G240">Scope3_Equations.VEERG_15_4_1_1__1_EmissionsFromPurchasedFertiliser(E240,F240)</f>
        <v>0</v>
      </c>
      <c r="H240" s="49"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6"/>
      <c r="J240" s="151" cm="1">
        <f t="array" ref="J240">Scope3_Equations.VEERG_15_4_1_1__1_EmissionsFromPurchasedFertiliser(E240,I240)</f>
        <v>0</v>
      </c>
      <c r="K240" s="151"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2"/>
      <c r="M240" s="47"/>
      <c r="N240" s="82"/>
      <c r="O240" s="49">
        <v>0</v>
      </c>
      <c r="P240" s="49">
        <v>0</v>
      </c>
      <c r="Q240" s="49">
        <v>0</v>
      </c>
      <c r="R240" s="49">
        <v>0</v>
      </c>
      <c r="S240" s="49"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6"/>
      <c r="U240" s="49">
        <v>0</v>
      </c>
      <c r="V240" s="49">
        <v>0</v>
      </c>
      <c r="W240" s="49"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6"/>
      <c r="Y240" s="49">
        <v>0</v>
      </c>
      <c r="Z240" s="49">
        <v>0</v>
      </c>
      <c r="AA240" s="49"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6"/>
      <c r="AC240" s="49">
        <v>0</v>
      </c>
      <c r="AD240" s="49">
        <v>0</v>
      </c>
      <c r="AE240" s="49"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6"/>
    </row>
    <row r="241" spans="3:41" ht="20.100000000000001" customHeight="1" x14ac:dyDescent="0.25">
      <c r="D241" s="49">
        <v>0</v>
      </c>
      <c r="E241" s="49">
        <v>0</v>
      </c>
      <c r="F241" s="49"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1" cm="1">
        <f t="array" ref="G241">Scope3_Equations.VEERG_15_4_1_1__1_EmissionsFromPurchasedFertiliser(E241,F241)</f>
        <v>0</v>
      </c>
      <c r="H241" s="49"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6"/>
      <c r="J241" s="151" cm="1">
        <f t="array" ref="J241">Scope3_Equations.VEERG_15_4_1_1__1_EmissionsFromPurchasedFertiliser(E241,I241)</f>
        <v>0</v>
      </c>
      <c r="K241" s="151"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2"/>
      <c r="M241" s="47"/>
      <c r="N241" s="82"/>
      <c r="O241" s="49">
        <v>0</v>
      </c>
      <c r="P241" s="49">
        <v>0</v>
      </c>
      <c r="Q241" s="49">
        <v>0</v>
      </c>
      <c r="R241" s="49">
        <v>0</v>
      </c>
      <c r="S241" s="49"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6"/>
      <c r="U241" s="49">
        <v>0</v>
      </c>
      <c r="V241" s="49">
        <v>0</v>
      </c>
      <c r="W241" s="49"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6"/>
      <c r="Y241" s="49">
        <v>0</v>
      </c>
      <c r="Z241" s="49">
        <v>0</v>
      </c>
      <c r="AA241" s="49"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6"/>
      <c r="AC241" s="49">
        <v>0</v>
      </c>
      <c r="AD241" s="49">
        <v>0</v>
      </c>
      <c r="AE241" s="49"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6"/>
    </row>
    <row r="242" spans="3:41" ht="20.100000000000001" customHeight="1" x14ac:dyDescent="0.25">
      <c r="D242" s="49">
        <v>0</v>
      </c>
      <c r="E242" s="49">
        <v>0</v>
      </c>
      <c r="F242" s="49"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1" cm="1">
        <f t="array" ref="G242">Scope3_Equations.VEERG_15_4_1_1__1_EmissionsFromPurchasedFertiliser(E242,F242)</f>
        <v>0</v>
      </c>
      <c r="H242" s="49"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6"/>
      <c r="J242" s="151" cm="1">
        <f t="array" ref="J242">Scope3_Equations.VEERG_15_4_1_1__1_EmissionsFromPurchasedFertiliser(E242,I242)</f>
        <v>0</v>
      </c>
      <c r="K242" s="151"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2"/>
      <c r="M242" s="47"/>
      <c r="N242" s="82"/>
      <c r="O242" s="49">
        <v>0</v>
      </c>
      <c r="P242" s="49">
        <v>0</v>
      </c>
      <c r="Q242" s="49">
        <v>0</v>
      </c>
      <c r="R242" s="49">
        <v>0</v>
      </c>
      <c r="S242" s="49"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6"/>
      <c r="U242" s="49">
        <v>0</v>
      </c>
      <c r="V242" s="49">
        <v>0</v>
      </c>
      <c r="W242" s="49"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6"/>
      <c r="Y242" s="49">
        <v>0</v>
      </c>
      <c r="Z242" s="49">
        <v>0</v>
      </c>
      <c r="AA242" s="49"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6"/>
      <c r="AC242" s="49">
        <v>0</v>
      </c>
      <c r="AD242" s="49">
        <v>0</v>
      </c>
      <c r="AE242" s="49"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6"/>
    </row>
    <row r="243" spans="3:41" ht="20.100000000000001" customHeight="1" x14ac:dyDescent="0.25">
      <c r="D243" s="49">
        <v>0</v>
      </c>
      <c r="E243" s="49">
        <v>0</v>
      </c>
      <c r="F243" s="49"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1" cm="1">
        <f t="array" ref="G243">Scope3_Equations.VEERG_15_4_1_1__1_EmissionsFromPurchasedFertiliser(E243,F243)</f>
        <v>0</v>
      </c>
      <c r="H243" s="49"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6"/>
      <c r="J243" s="151" cm="1">
        <f t="array" ref="J243">Scope3_Equations.VEERG_15_4_1_1__1_EmissionsFromPurchasedFertiliser(E243,I243)</f>
        <v>0</v>
      </c>
      <c r="K243" s="151"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2"/>
      <c r="M243" s="47"/>
      <c r="N243" s="82"/>
      <c r="O243" s="49">
        <v>0</v>
      </c>
      <c r="P243" s="49">
        <v>0</v>
      </c>
      <c r="Q243" s="49">
        <v>0</v>
      </c>
      <c r="R243" s="49">
        <v>0</v>
      </c>
      <c r="S243" s="49"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6"/>
      <c r="U243" s="49">
        <v>0</v>
      </c>
      <c r="V243" s="49">
        <v>0</v>
      </c>
      <c r="W243" s="49"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6"/>
      <c r="Y243" s="49">
        <v>0</v>
      </c>
      <c r="Z243" s="49">
        <v>0</v>
      </c>
      <c r="AA243" s="49"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6"/>
      <c r="AC243" s="49">
        <v>0</v>
      </c>
      <c r="AD243" s="49">
        <v>0</v>
      </c>
      <c r="AE243" s="49"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6"/>
    </row>
    <row r="244" spans="3:41" ht="20.100000000000001" customHeight="1" x14ac:dyDescent="0.25">
      <c r="D244" s="49">
        <v>0</v>
      </c>
      <c r="E244" s="49">
        <v>0</v>
      </c>
      <c r="F244" s="49"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1" cm="1">
        <f t="array" ref="G244">Scope3_Equations.VEERG_15_4_1_1__1_EmissionsFromPurchasedFertiliser(E244,F244)</f>
        <v>0</v>
      </c>
      <c r="H244" s="49"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6"/>
      <c r="J244" s="151" cm="1">
        <f t="array" ref="J244">Scope3_Equations.VEERG_15_4_1_1__1_EmissionsFromPurchasedFertiliser(E244,I244)</f>
        <v>0</v>
      </c>
      <c r="K244" s="151"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2"/>
      <c r="M244" s="47"/>
      <c r="N244" s="82"/>
      <c r="O244" s="49">
        <v>0</v>
      </c>
      <c r="P244" s="49">
        <v>0</v>
      </c>
      <c r="Q244" s="49">
        <v>0</v>
      </c>
      <c r="R244" s="49">
        <v>0</v>
      </c>
      <c r="S244" s="49"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6"/>
      <c r="U244" s="49">
        <v>0</v>
      </c>
      <c r="V244" s="49">
        <v>0</v>
      </c>
      <c r="W244" s="49"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6"/>
      <c r="Y244" s="49">
        <v>0</v>
      </c>
      <c r="Z244" s="49">
        <v>0</v>
      </c>
      <c r="AA244" s="49"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6"/>
      <c r="AC244" s="49">
        <v>0</v>
      </c>
      <c r="AD244" s="49">
        <v>0</v>
      </c>
      <c r="AE244" s="49"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6"/>
    </row>
    <row r="245" spans="3:41" ht="20.100000000000001" customHeight="1" x14ac:dyDescent="0.25">
      <c r="D245" s="49">
        <v>0</v>
      </c>
      <c r="E245" s="49">
        <v>0</v>
      </c>
      <c r="F245" s="49"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1" cm="1">
        <f t="array" ref="G245">Scope3_Equations.VEERG_15_4_1_1__1_EmissionsFromPurchasedFertiliser(E245,F245)</f>
        <v>0</v>
      </c>
      <c r="H245" s="49"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6"/>
      <c r="J245" s="151" cm="1">
        <f t="array" ref="J245">Scope3_Equations.VEERG_15_4_1_1__1_EmissionsFromPurchasedFertiliser(E245,I245)</f>
        <v>0</v>
      </c>
      <c r="K245" s="151"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2"/>
      <c r="M245" s="47"/>
      <c r="N245" s="82"/>
      <c r="O245" s="49">
        <v>0</v>
      </c>
      <c r="P245" s="49">
        <v>0</v>
      </c>
      <c r="Q245" s="49">
        <v>0</v>
      </c>
      <c r="R245" s="49">
        <v>0</v>
      </c>
      <c r="S245" s="49"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6"/>
      <c r="U245" s="49">
        <v>0</v>
      </c>
      <c r="V245" s="49">
        <v>0</v>
      </c>
      <c r="W245" s="49"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6"/>
      <c r="Y245" s="49">
        <v>0</v>
      </c>
      <c r="Z245" s="49">
        <v>0</v>
      </c>
      <c r="AA245" s="49"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6"/>
      <c r="AC245" s="49">
        <v>0</v>
      </c>
      <c r="AD245" s="49">
        <v>0</v>
      </c>
      <c r="AE245" s="49"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6"/>
    </row>
    <row r="246" spans="3:41" ht="20.100000000000001" customHeight="1" x14ac:dyDescent="0.25">
      <c r="D246" s="49">
        <v>0</v>
      </c>
      <c r="E246" s="49">
        <v>0</v>
      </c>
      <c r="F246" s="49"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1" cm="1">
        <f t="array" ref="G246">Scope3_Equations.VEERG_15_4_1_1__1_EmissionsFromPurchasedFertiliser(E246,F246)</f>
        <v>0</v>
      </c>
      <c r="H246" s="49"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6"/>
      <c r="J246" s="151" cm="1">
        <f t="array" ref="J246">Scope3_Equations.VEERG_15_4_1_1__1_EmissionsFromPurchasedFertiliser(E246,I246)</f>
        <v>0</v>
      </c>
      <c r="K246" s="151"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2"/>
      <c r="M246" s="47"/>
      <c r="N246" s="82"/>
      <c r="O246" s="49">
        <v>0</v>
      </c>
      <c r="P246" s="49">
        <v>0</v>
      </c>
      <c r="Q246" s="49">
        <v>0</v>
      </c>
      <c r="R246" s="49">
        <v>0</v>
      </c>
      <c r="S246" s="49"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6"/>
      <c r="U246" s="49">
        <v>0</v>
      </c>
      <c r="V246" s="49">
        <v>0</v>
      </c>
      <c r="W246" s="49"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6"/>
      <c r="Y246" s="49">
        <v>0</v>
      </c>
      <c r="Z246" s="49">
        <v>0</v>
      </c>
      <c r="AA246" s="49"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6"/>
      <c r="AC246" s="49">
        <v>0</v>
      </c>
      <c r="AD246" s="49">
        <v>0</v>
      </c>
      <c r="AE246" s="49"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6"/>
    </row>
    <row r="247" spans="3:41" ht="20.100000000000001" customHeight="1" x14ac:dyDescent="0.25"/>
    <row r="248" spans="3:41" ht="20.100000000000001" customHeight="1" x14ac:dyDescent="0.25">
      <c r="D248" s="179" t="s">
        <v>661</v>
      </c>
      <c r="E248" s="177">
        <f>SUM(G221:G230)+SUM(G237:G246)</f>
        <v>0</v>
      </c>
      <c r="F248" s="178" t="str">
        <f>$E$155</f>
        <v>t CO2e</v>
      </c>
    </row>
    <row r="249" spans="3:41" ht="20.100000000000001" customHeight="1" x14ac:dyDescent="0.25">
      <c r="D249" s="179" t="s">
        <v>662</v>
      </c>
      <c r="E249" s="177">
        <f>SUM(J221:J230)+SUM(J237:J246)</f>
        <v>0</v>
      </c>
      <c r="F249" s="178" t="str">
        <f>$E$155</f>
        <v>t CO2e</v>
      </c>
    </row>
    <row r="250" spans="3:41" ht="20.100000000000001" customHeight="1" x14ac:dyDescent="0.25"/>
    <row r="251" spans="3:41" ht="20.100000000000001" customHeight="1" x14ac:dyDescent="0.25">
      <c r="D251" s="179" t="s">
        <v>663</v>
      </c>
      <c r="E251" s="177">
        <f>SUM(H221:H230)+SUM(H237:H246)</f>
        <v>0</v>
      </c>
      <c r="F251" s="178" t="str">
        <f>$E$155</f>
        <v>t CO2e</v>
      </c>
    </row>
    <row r="252" spans="3:41" ht="20.100000000000001" customHeight="1" x14ac:dyDescent="0.25">
      <c r="D252" s="179" t="s">
        <v>664</v>
      </c>
      <c r="E252" s="177">
        <f>SUM(K221:K230)+SUM(K237:K246)</f>
        <v>0</v>
      </c>
      <c r="F252" s="178" t="str">
        <f>$E$155</f>
        <v>t CO2e</v>
      </c>
    </row>
    <row r="253" spans="3:41" ht="20.100000000000001" customHeight="1" x14ac:dyDescent="0.25"/>
    <row r="254" spans="3:41" ht="20.100000000000001" customHeight="1" x14ac:dyDescent="0.25"/>
    <row r="255" spans="3:41" ht="20.100000000000001" customHeight="1" x14ac:dyDescent="0.25">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c r="AL255" s="98"/>
      <c r="AM255" s="98"/>
      <c r="AN255" s="98"/>
      <c r="AO255" s="98"/>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2" t="s">
        <v>616</v>
      </c>
      <c r="E258" s="172"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7" t="s">
        <v>617</v>
      </c>
      <c r="E262" s="8" t="str" cm="1">
        <f t="array" ref="E262">Scope3_Equations.VEERG_15_5_1_1__1_EmissionsFromPurchasedAgrichemicals_Variable()</f>
        <v>E</v>
      </c>
    </row>
    <row r="263" spans="4:9" ht="20.100000000000001" customHeight="1" x14ac:dyDescent="0.25">
      <c r="D263" s="27" t="s">
        <v>96</v>
      </c>
      <c r="E263" s="13" t="str" cm="1">
        <f t="array" ref="E263">Scope3_Equations.VEERG_15_5_1_1__1_EmissionsFromPurchasedAgrichemicals_Unit()</f>
        <v>t CO2e</v>
      </c>
    </row>
    <row r="264" spans="4:9" ht="20.100000000000001" customHeight="1" x14ac:dyDescent="0.25"/>
    <row r="265" spans="4:9" x14ac:dyDescent="0.25">
      <c r="D265" s="167" t="str" cm="1">
        <f t="array" ref="D265:E267">_xlfn.CHOOSECOLS(Scope3_Equations.VEERG_15_5_1_1__1_EmissionsFromPurchasedAgrichemicals_Arguments(),1,2)</f>
        <v>Q_h</v>
      </c>
      <c r="E265" s="171" t="str">
        <v>quantity of active ingredients in agrichemical type h purchased and applied to soils</v>
      </c>
      <c r="F265" s="166"/>
      <c r="G265" s="167" t="str" cm="1">
        <f t="array" ref="G265:H267">_xlfn.CHOOSECOLS(Scope3_Equations.VEERG_15_5_1_1__1_EmissionsFromPurchasedAgrichemicals_Arguments(),3,4)</f>
        <v>kg ai</v>
      </c>
      <c r="H265" s="168" t="str">
        <v>Input</v>
      </c>
    </row>
    <row r="266" spans="4:9" x14ac:dyDescent="0.25">
      <c r="D266" s="167" t="str">
        <v>EF_h</v>
      </c>
      <c r="E266" s="171" t="str">
        <v>emission factor for purchased agrichemical active ingredient</v>
      </c>
      <c r="F266" s="166"/>
      <c r="G266" s="167" t="str">
        <v>kg CO2e/kg ai</v>
      </c>
      <c r="H266" s="169" t="str">
        <v>Constant</v>
      </c>
    </row>
    <row r="267" spans="4:9" x14ac:dyDescent="0.25">
      <c r="D267" s="167" t="str">
        <v>h</v>
      </c>
      <c r="E267" s="171" t="str">
        <v>agrichemical type</v>
      </c>
      <c r="F267" s="166"/>
      <c r="G267" s="167" t="str">
        <v/>
      </c>
      <c r="H267" s="168" t="str">
        <v>Input</v>
      </c>
    </row>
    <row r="269" spans="4:9" ht="17.25" x14ac:dyDescent="0.25">
      <c r="D269" s="46" t="s">
        <v>670</v>
      </c>
      <c r="E269" s="46" t="s">
        <v>197</v>
      </c>
      <c r="F269" s="57" t="s">
        <v>671</v>
      </c>
      <c r="G269" s="57" t="s">
        <v>623</v>
      </c>
      <c r="H269" s="46" t="s">
        <v>672</v>
      </c>
      <c r="I269" s="57" t="s">
        <v>625</v>
      </c>
    </row>
    <row r="270" spans="4:9" x14ac:dyDescent="0.25">
      <c r="D270" s="49" t="str" cm="1">
        <f t="array" ref="D270:D281">Table_SourceData_Scope3_Pesticides[Product]</f>
        <v>2,4-D</v>
      </c>
      <c r="E270" s="49">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49" cm="1">
        <f t="array" ref="F270">Common_InputFunctions.Utility_LookupValueInTableNumber(D270,Table_SourceData_Scope3_Pesticides[Product],Table_SourceData_Scope3_Pesticides[AusLCI Emissions intensity])</f>
        <v>5.2</v>
      </c>
      <c r="G270" s="49" cm="1">
        <f t="array" ref="G270">Scope3_Equations.VEERG_15_5_1_1__1_EmissionsFromPurchasedAgrichemicals($E270,F270)</f>
        <v>0.52</v>
      </c>
      <c r="H270" s="66">
        <v>5</v>
      </c>
      <c r="I270" s="49" cm="1">
        <f t="array" ref="I270">Scope3_Equations.VEERG_15_5_1_1__1_EmissionsFromPurchasedAgrichemicals($E270,IF(H270,H270,F270))</f>
        <v>0.5</v>
      </c>
    </row>
    <row r="271" spans="4:9" x14ac:dyDescent="0.25">
      <c r="D271" s="49" t="str">
        <v>Atrazine</v>
      </c>
      <c r="E271" s="49">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49" cm="1">
        <f t="array" ref="F271">Common_InputFunctions.Utility_LookupValueInTableNumber(D271,Table_SourceData_Scope3_Pesticides[Product],Table_SourceData_Scope3_Pesticides[AusLCI Emissions intensity])</f>
        <v>8.3800000000000008</v>
      </c>
      <c r="G271" s="49" cm="1">
        <f t="array" ref="G271">Scope3_Equations.VEERG_15_5_1_1__1_EmissionsFromPurchasedAgrichemicals($E271,F271)</f>
        <v>0</v>
      </c>
      <c r="H271" s="66">
        <v>8</v>
      </c>
      <c r="I271" s="49" cm="1">
        <f t="array" ref="I271">Scope3_Equations.VEERG_15_5_1_1__1_EmissionsFromPurchasedAgrichemicals($E271,IF(H271,H271,F271))</f>
        <v>0</v>
      </c>
    </row>
    <row r="272" spans="4:9" x14ac:dyDescent="0.25">
      <c r="D272" s="49" t="str">
        <v>Diuron</v>
      </c>
      <c r="E272" s="49">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49" cm="1">
        <f t="array" ref="F272">Common_InputFunctions.Utility_LookupValueInTableNumber(D272,Table_SourceData_Scope3_Pesticides[Product],Table_SourceData_Scope3_Pesticides[AusLCI Emissions intensity])</f>
        <v>8.8000000000000007</v>
      </c>
      <c r="G272" s="49" cm="1">
        <f t="array" ref="G272">Scope3_Equations.VEERG_15_5_1_1__1_EmissionsFromPurchasedAgrichemicals($E272,F272)</f>
        <v>0</v>
      </c>
      <c r="H272" s="66"/>
      <c r="I272" s="49" cm="1">
        <f t="array" ref="I272">Scope3_Equations.VEERG_15_5_1_1__1_EmissionsFromPurchasedAgrichemicals($E272,IF(H272,H272,F272))</f>
        <v>0</v>
      </c>
    </row>
    <row r="273" spans="3:41" x14ac:dyDescent="0.25">
      <c r="D273" s="49" t="str">
        <v>Glyphosate</v>
      </c>
      <c r="E273" s="49">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49" cm="1">
        <f t="array" ref="F273">Common_InputFunctions.Utility_LookupValueInTableNumber(D273,Table_SourceData_Scope3_Pesticides[Product],Table_SourceData_Scope3_Pesticides[AusLCI Emissions intensity])</f>
        <v>10.3</v>
      </c>
      <c r="G273" s="49" cm="1">
        <f t="array" ref="G273">Scope3_Equations.VEERG_15_5_1_1__1_EmissionsFromPurchasedAgrichemicals($E273,F273)</f>
        <v>1.03</v>
      </c>
      <c r="H273" s="66"/>
      <c r="I273" s="49" cm="1">
        <f t="array" ref="I273">Scope3_Equations.VEERG_15_5_1_1__1_EmissionsFromPurchasedAgrichemicals($E273,IF(H273,H273,F273))</f>
        <v>1.03</v>
      </c>
    </row>
    <row r="274" spans="3:41" x14ac:dyDescent="0.25">
      <c r="D274" s="49" t="str">
        <v>Mancozeb</v>
      </c>
      <c r="E274" s="49">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49" cm="1">
        <f t="array" ref="F274">Common_InputFunctions.Utility_LookupValueInTableNumber(D274,Table_SourceData_Scope3_Pesticides[Product],Table_SourceData_Scope3_Pesticides[AusLCI Emissions intensity])</f>
        <v>4.55</v>
      </c>
      <c r="G274" s="49" cm="1">
        <f t="array" ref="G274">Scope3_Equations.VEERG_15_5_1_1__1_EmissionsFromPurchasedAgrichemicals($E274,F274)</f>
        <v>0</v>
      </c>
      <c r="H274" s="66"/>
      <c r="I274" s="49" cm="1">
        <f t="array" ref="I274">Scope3_Equations.VEERG_15_5_1_1__1_EmissionsFromPurchasedAgrichemicals($E274,IF(H274,H274,F274))</f>
        <v>0</v>
      </c>
    </row>
    <row r="275" spans="3:41" x14ac:dyDescent="0.25">
      <c r="D275" s="49" t="str">
        <v>MCPA</v>
      </c>
      <c r="E275" s="49">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49" cm="1">
        <f t="array" ref="F275">Common_InputFunctions.Utility_LookupValueInTableNumber(D275,Table_SourceData_Scope3_Pesticides[Product],Table_SourceData_Scope3_Pesticides[AusLCI Emissions intensity])</f>
        <v>5.6</v>
      </c>
      <c r="G275" s="49" cm="1">
        <f t="array" ref="G275">Scope3_Equations.VEERG_15_5_1_1__1_EmissionsFromPurchasedAgrichemicals($E275,F275)</f>
        <v>0</v>
      </c>
      <c r="H275" s="66"/>
      <c r="I275" s="49" cm="1">
        <f t="array" ref="I275">Scope3_Equations.VEERG_15_5_1_1__1_EmissionsFromPurchasedAgrichemicals($E275,IF(H275,H275,F275))</f>
        <v>0</v>
      </c>
    </row>
    <row r="276" spans="3:41" x14ac:dyDescent="0.25">
      <c r="D276" s="49" t="str">
        <v>Metolachlor</v>
      </c>
      <c r="E276" s="49">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49" cm="1">
        <f t="array" ref="F276">Common_InputFunctions.Utility_LookupValueInTableNumber(D276,Table_SourceData_Scope3_Pesticides[Product],Table_SourceData_Scope3_Pesticides[AusLCI Emissions intensity])</f>
        <v>8.06</v>
      </c>
      <c r="G276" s="49" cm="1">
        <f t="array" ref="G276">Scope3_Equations.VEERG_15_5_1_1__1_EmissionsFromPurchasedAgrichemicals($E276,F276)</f>
        <v>0.80600000000000005</v>
      </c>
      <c r="H276" s="66"/>
      <c r="I276" s="49" cm="1">
        <f t="array" ref="I276">Scope3_Equations.VEERG_15_5_1_1__1_EmissionsFromPurchasedAgrichemicals($E276,IF(H276,H276,F276))</f>
        <v>0.80600000000000005</v>
      </c>
    </row>
    <row r="277" spans="3:41" x14ac:dyDescent="0.25">
      <c r="D277" s="49" t="str">
        <v>Metsulfuron-methyl</v>
      </c>
      <c r="E277" s="49">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49" cm="1">
        <f t="array" ref="F277">Common_InputFunctions.Utility_LookupValueInTableNumber(D277,Table_SourceData_Scope3_Pesticides[Product],Table_SourceData_Scope3_Pesticides[AusLCI Emissions intensity])</f>
        <v>8.8000000000000007</v>
      </c>
      <c r="G277" s="49" cm="1">
        <f t="array" ref="G277">Scope3_Equations.VEERG_15_5_1_1__1_EmissionsFromPurchasedAgrichemicals($E277,F277)</f>
        <v>0</v>
      </c>
      <c r="H277" s="66"/>
      <c r="I277" s="49" cm="1">
        <f t="array" ref="I277">Scope3_Equations.VEERG_15_5_1_1__1_EmissionsFromPurchasedAgrichemicals($E277,IF(H277,H277,F277))</f>
        <v>0</v>
      </c>
    </row>
    <row r="278" spans="3:41" x14ac:dyDescent="0.25">
      <c r="D278" s="49" t="str">
        <v>Pesticides (generic)</v>
      </c>
      <c r="E278" s="49">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49" cm="1">
        <f t="array" ref="F278">Common_InputFunctions.Utility_LookupValueInTableNumber(D278,Table_SourceData_Scope3_Pesticides[Product],Table_SourceData_Scope3_Pesticides[AusLCI Emissions intensity])</f>
        <v>9.16</v>
      </c>
      <c r="G278" s="49" cm="1">
        <f t="array" ref="G278">Scope3_Equations.VEERG_15_5_1_1__1_EmissionsFromPurchasedAgrichemicals($E278,F278)</f>
        <v>3.6640000000000001</v>
      </c>
      <c r="H278" s="66"/>
      <c r="I278" s="49" cm="1">
        <f t="array" ref="I278">Scope3_Equations.VEERG_15_5_1_1__1_EmissionsFromPurchasedAgrichemicals($E278,IF(H278,H278,F278))</f>
        <v>3.6640000000000001</v>
      </c>
    </row>
    <row r="279" spans="3:41" x14ac:dyDescent="0.25">
      <c r="D279" s="49" t="str">
        <v>Tri-allate</v>
      </c>
      <c r="E279" s="49">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49" cm="1">
        <f t="array" ref="F279">Common_InputFunctions.Utility_LookupValueInTableNumber(D279,Table_SourceData_Scope3_Pesticides[Product],Table_SourceData_Scope3_Pesticides[AusLCI Emissions intensity])</f>
        <v>8.57</v>
      </c>
      <c r="G279" s="49" cm="1">
        <f t="array" ref="G279">Scope3_Equations.VEERG_15_5_1_1__1_EmissionsFromPurchasedAgrichemicals($E279,F279)</f>
        <v>0</v>
      </c>
      <c r="H279" s="66"/>
      <c r="I279" s="49" cm="1">
        <f t="array" ref="I279">Scope3_Equations.VEERG_15_5_1_1__1_EmissionsFromPurchasedAgrichemicals($E279,IF(H279,H279,F279))</f>
        <v>0</v>
      </c>
    </row>
    <row r="280" spans="3:41" x14ac:dyDescent="0.25">
      <c r="D280" s="49" t="str">
        <v>Tribenuron methyl</v>
      </c>
      <c r="E280" s="49">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49" cm="1">
        <f t="array" ref="F280">Common_InputFunctions.Utility_LookupValueInTableNumber(D280,Table_SourceData_Scope3_Pesticides[Product],Table_SourceData_Scope3_Pesticides[AusLCI Emissions intensity])</f>
        <v>8.8000000000000007</v>
      </c>
      <c r="G280" s="49" cm="1">
        <f t="array" ref="G280">Scope3_Equations.VEERG_15_5_1_1__1_EmissionsFromPurchasedAgrichemicals($E280,F280)</f>
        <v>0.88000000000000012</v>
      </c>
      <c r="H280" s="66"/>
      <c r="I280" s="49" cm="1">
        <f t="array" ref="I280">Scope3_Equations.VEERG_15_5_1_1__1_EmissionsFromPurchasedAgrichemicals($E280,IF(H280,H280,F280))</f>
        <v>0.88000000000000012</v>
      </c>
    </row>
    <row r="281" spans="3:41" x14ac:dyDescent="0.25">
      <c r="D281" s="49" t="str">
        <v>Trifluralin</v>
      </c>
      <c r="E281" s="49">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49" cm="1">
        <f t="array" ref="F281">Common_InputFunctions.Utility_LookupValueInTableNumber(D281,Table_SourceData_Scope3_Pesticides[Product],Table_SourceData_Scope3_Pesticides[AusLCI Emissions intensity])</f>
        <v>6.16</v>
      </c>
      <c r="G281" s="49" cm="1">
        <f t="array" ref="G281">Scope3_Equations.VEERG_15_5_1_1__1_EmissionsFromPurchasedAgrichemicals($E281,F281)</f>
        <v>0.61599999999999999</v>
      </c>
      <c r="H281" s="66"/>
      <c r="I281" s="49" cm="1">
        <f t="array" ref="I281">Scope3_Equations.VEERG_15_5_1_1__1_EmissionsFromPurchasedAgrichemicals($E281,IF(H281,H281,F281))</f>
        <v>0.61599999999999999</v>
      </c>
    </row>
    <row r="283" spans="3:41" ht="20.25" x14ac:dyDescent="0.25">
      <c r="D283" s="179" t="s">
        <v>623</v>
      </c>
      <c r="E283" s="177">
        <f>SUM(G270:G281)</f>
        <v>7.5159999999999991</v>
      </c>
      <c r="F283" s="178" t="str">
        <f>$E$155</f>
        <v>t CO2e</v>
      </c>
    </row>
    <row r="284" spans="3:41" ht="20.25" x14ac:dyDescent="0.25">
      <c r="D284" s="179" t="s">
        <v>625</v>
      </c>
      <c r="E284" s="177">
        <f>SUM(I270:I281)</f>
        <v>7.4959999999999996</v>
      </c>
      <c r="F284" s="178" t="str">
        <f>$E$155</f>
        <v>t CO2e</v>
      </c>
    </row>
    <row r="287" spans="3:41" x14ac:dyDescent="0.25">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c r="AK287" s="98"/>
      <c r="AL287" s="98"/>
      <c r="AM287" s="98"/>
      <c r="AN287" s="98"/>
      <c r="AO287" s="98"/>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2" t="s">
        <v>616</v>
      </c>
      <c r="E290" s="172" t="str" cm="1">
        <f t="array" aca="1" ref="E290" ca="1">Common_InputFunctions.Utility_DisplayFunctionName(I305)</f>
        <v>=Scope3_Equations.VEERG_15_6_1_1__1_EmissionsFromPurchasedLime</v>
      </c>
    </row>
    <row r="293" spans="4:13" x14ac:dyDescent="0.25">
      <c r="D293" s="27" t="s">
        <v>617</v>
      </c>
      <c r="E293" s="8" t="str" cm="1">
        <f t="array" ref="E293">Scope3_Equations.VEERG_15_6_1_1__1_EmissionsFromPurchasedLime_Variable()</f>
        <v>E</v>
      </c>
    </row>
    <row r="294" spans="4:13" x14ac:dyDescent="0.25">
      <c r="D294" s="27" t="s">
        <v>96</v>
      </c>
      <c r="E294" s="8" t="str" cm="1">
        <f t="array" ref="E294">Scope3_Equations.VEERG_15_6_1_1__1_EmissionsFromPurchasedLime_Unit()</f>
        <v>t CO2e</v>
      </c>
    </row>
    <row r="296" spans="4:13" x14ac:dyDescent="0.25">
      <c r="D296" s="167" t="str" cm="1">
        <f t="array" ref="D296:E297">_xlfn.CHOOSECOLS(Scope3_Equations.VEERG_15_6_1_1__1_EmissionsFromPurchasedLime_Arguments(),1,2)</f>
        <v>M_lime</v>
      </c>
      <c r="E296" s="167" t="str">
        <v>total quantity of lime applied to soils</v>
      </c>
      <c r="F296" s="167" t="str" cm="1">
        <f t="array" ref="F296:G297">_xlfn.CHOOSECOLS(Scope3_Equations.VEERG_15_6_1_1__1_EmissionsFromPurchasedLime_Arguments(),3,4)</f>
        <v>t</v>
      </c>
      <c r="G296" s="168" t="str">
        <v>Input</v>
      </c>
    </row>
    <row r="297" spans="4:13" x14ac:dyDescent="0.25">
      <c r="D297" s="167" t="str">
        <v>EF_l</v>
      </c>
      <c r="E297" s="167" t="str">
        <v>emission factor for purchased lime</v>
      </c>
      <c r="F297" s="167" t="str">
        <v>t CO2e/t</v>
      </c>
      <c r="G297" s="169" t="str">
        <v>Constant</v>
      </c>
    </row>
    <row r="299" spans="4:13" x14ac:dyDescent="0.25">
      <c r="E299" s="57" t="s">
        <v>400</v>
      </c>
      <c r="F299" s="46" t="s">
        <v>401</v>
      </c>
    </row>
    <row r="300" spans="4:13" ht="18.75" x14ac:dyDescent="0.25">
      <c r="D300" s="8" t="s">
        <v>675</v>
      </c>
      <c r="E300" s="49" cm="1">
        <f t="array" ref="E300">Common_InputFunctions.Utility_LookupValueInTableNumber("Limestone (crushed)", Table_SourceData_Scope3_SoilAmeliorants[Product],Table_SourceData_Scope3_SoilAmeliorants[AusLCI Emissions intensity])*10^-3</f>
        <v>4.85E-5</v>
      </c>
      <c r="F300" s="66">
        <v>4.0000000000000003E-5</v>
      </c>
      <c r="G300" s="65" t="str">
        <f>$F$297</f>
        <v>t CO2e/t</v>
      </c>
    </row>
    <row r="301" spans="4:13" ht="18.75" x14ac:dyDescent="0.25">
      <c r="D301" s="8" t="s">
        <v>676</v>
      </c>
      <c r="E301" s="49" cm="1">
        <f t="array" ref="E301">Common_InputFunctions.Utility_LookupValueInTableNumber("Dolomite", Table_SourceData_Scope3_SoilAmeliorants[Product],Table_SourceData_Scope3_SoilAmeliorants[AusLCI Emissions intensity])*10^-3</f>
        <v>6.5199999999999999E-5</v>
      </c>
      <c r="F301" s="66">
        <v>6.0000000000000002E-5</v>
      </c>
      <c r="G301" s="65"/>
    </row>
    <row r="302" spans="4:13" ht="18.75" x14ac:dyDescent="0.25">
      <c r="D302" s="8" t="s">
        <v>677</v>
      </c>
      <c r="E302" s="49" cm="1">
        <f t="array" ref="E302">Common_InputFunctions.Utility_LookupValueInTableNumber("Gypsum", Table_SourceData_Scope3_SoilAmeliorants[Product],Table_SourceData_Scope3_SoilAmeliorants[AusLCI Emissions intensity])*10^-3</f>
        <v>6.5199999999999999E-5</v>
      </c>
      <c r="F302" s="66">
        <v>6.0000000000000002E-5</v>
      </c>
      <c r="G302" s="65"/>
    </row>
    <row r="304" spans="4:13" ht="17.25" x14ac:dyDescent="0.25">
      <c r="D304" s="46" t="s">
        <v>167</v>
      </c>
      <c r="E304" s="152" t="s">
        <v>673</v>
      </c>
      <c r="F304" s="46" t="s">
        <v>678</v>
      </c>
      <c r="G304" s="46" t="s">
        <v>679</v>
      </c>
      <c r="H304" s="46" t="s">
        <v>680</v>
      </c>
      <c r="I304" s="57" t="s">
        <v>623</v>
      </c>
      <c r="J304" s="57" t="s">
        <v>674</v>
      </c>
      <c r="K304" s="46" t="s">
        <v>619</v>
      </c>
      <c r="L304" s="46" t="s">
        <v>620</v>
      </c>
      <c r="M304" s="46" t="s">
        <v>621</v>
      </c>
    </row>
    <row r="305" spans="3:41" x14ac:dyDescent="0.25">
      <c r="D305" s="49" t="str" cm="1">
        <f t="array" ref="D305:D314">IFERROR(INDEX(Table_Input_Lime[Product], _xlfn.SEQUENCE(10)), "")</f>
        <v>Lime product 1</v>
      </c>
      <c r="E305" s="49" cm="1">
        <f t="array" ref="E305:E314">IFERROR(INDEX(Table_Input_Lime[Total amount applied (t)], _xlfn.SEQUENCE(10)), 0)</f>
        <v>100</v>
      </c>
      <c r="F305" s="49" cm="1">
        <f t="array" ref="F305:F314">IFERROR(INDEX(Table_Input_Lime[Percent Lime CaCO3], _xlfn.SEQUENCE(10)), 0)*E305</f>
        <v>80</v>
      </c>
      <c r="G305" s="49" cm="1">
        <f t="array" ref="G305:G314">IFERROR(INDEX(Table_Input_Lime[Percent Dolomite CaMg(CO3)2], _xlfn.SEQUENCE(10)), 0)*E305</f>
        <v>10</v>
      </c>
      <c r="H305" s="49" cm="1">
        <f t="array" ref="H305:H314">IFERROR(INDEX(Table_Input_Lime[Percent Gypsum], _xlfn.SEQUENCE(10)), 0)*E305</f>
        <v>10</v>
      </c>
      <c r="I305" s="151" cm="1">
        <f t="array" ref="I305">Scope3_Equations.VEERG_15_6_1_1__1_EmissionsFromPurchasedLime(F305,$E$300)+
Scope3_Equations.VEERG_15_6_1_1__1_EmissionsFromPurchasedLime(G305,$E$301)+
Scope3_Equations.VEERG_15_6_1_1__1_EmissionsFromPurchasedLime(H305,$E$302)</f>
        <v>5.1839999999999994E-3</v>
      </c>
      <c r="J305" s="151" cm="1">
        <f t="array" ref="J305">Scope3_Equations.VEERG_15_6_1_1__1_EmissionsFromPurchasedLime(F305,IF($F$300,$F$300,$E$300))+
Scope3_Equations.VEERG_15_6_1_1__1_EmissionsFromPurchasedLime(G305,IF($F$301,$F$301,$E$301))+
Scope3_Equations.VEERG_15_6_1_1__1_EmissionsFromPurchasedLime(H305,IF($F$302,$F$302,$E$302))</f>
        <v>4.4000000000000003E-3</v>
      </c>
      <c r="K305" s="82"/>
      <c r="L305" s="47"/>
      <c r="M305" s="82"/>
    </row>
    <row r="306" spans="3:41" x14ac:dyDescent="0.25">
      <c r="D306" s="49" t="str">
        <v>Lime product 2</v>
      </c>
      <c r="E306" s="49">
        <v>100</v>
      </c>
      <c r="F306" s="49">
        <v>100</v>
      </c>
      <c r="G306" s="49">
        <v>0</v>
      </c>
      <c r="H306" s="49">
        <v>0</v>
      </c>
      <c r="I306" s="151" cm="1">
        <f t="array" ref="I306">Scope3_Equations.VEERG_15_6_1_1__1_EmissionsFromPurchasedLime(F306,$E$300)+
Scope3_Equations.VEERG_15_6_1_1__1_EmissionsFromPurchasedLime(G306,$E$301)+
Scope3_Equations.VEERG_15_6_1_1__1_EmissionsFromPurchasedLime(H306,$E$302)</f>
        <v>4.8500000000000001E-3</v>
      </c>
      <c r="J306" s="151" cm="1">
        <f t="array" ref="J306">Scope3_Equations.VEERG_15_6_1_1__1_EmissionsFromPurchasedLime(F306,IF($F$300,$F$300,$E$300))+
Scope3_Equations.VEERG_15_6_1_1__1_EmissionsFromPurchasedLime(G306,IF($F$301,$F$301,$E$301))+
Scope3_Equations.VEERG_15_6_1_1__1_EmissionsFromPurchasedLime(H306,IF($F$302,$F$302,$E$302))</f>
        <v>4.0000000000000001E-3</v>
      </c>
      <c r="K306" s="82"/>
      <c r="L306" s="47"/>
      <c r="M306" s="82"/>
    </row>
    <row r="307" spans="3:41" x14ac:dyDescent="0.25">
      <c r="D307" s="49" t="str">
        <v>Lime product 3</v>
      </c>
      <c r="E307" s="49">
        <v>100</v>
      </c>
      <c r="F307" s="49">
        <v>0</v>
      </c>
      <c r="G307" s="49">
        <v>0</v>
      </c>
      <c r="H307" s="49">
        <v>100</v>
      </c>
      <c r="I307" s="151" cm="1">
        <f t="array" ref="I307">Scope3_Equations.VEERG_15_6_1_1__1_EmissionsFromPurchasedLime(F307,$E$300)+
Scope3_Equations.VEERG_15_6_1_1__1_EmissionsFromPurchasedLime(G307,$E$301)+
Scope3_Equations.VEERG_15_6_1_1__1_EmissionsFromPurchasedLime(H307,$E$302)</f>
        <v>6.5199999999999998E-3</v>
      </c>
      <c r="J307" s="151" cm="1">
        <f t="array" ref="J307">Scope3_Equations.VEERG_15_6_1_1__1_EmissionsFromPurchasedLime(F307,IF($F$300,$F$300,$E$300))+
Scope3_Equations.VEERG_15_6_1_1__1_EmissionsFromPurchasedLime(G307,IF($F$301,$F$301,$E$301))+
Scope3_Equations.VEERG_15_6_1_1__1_EmissionsFromPurchasedLime(H307,IF($F$302,$F$302,$E$302))</f>
        <v>6.0000000000000001E-3</v>
      </c>
      <c r="K307" s="82"/>
      <c r="L307" s="47"/>
      <c r="M307" s="82"/>
    </row>
    <row r="308" spans="3:41" x14ac:dyDescent="0.25">
      <c r="D308" s="49" t="str">
        <v/>
      </c>
      <c r="E308" s="49">
        <v>0</v>
      </c>
      <c r="F308" s="49">
        <v>0</v>
      </c>
      <c r="G308" s="49">
        <v>0</v>
      </c>
      <c r="H308" s="49">
        <v>0</v>
      </c>
      <c r="I308" s="151" cm="1">
        <f t="array" ref="I308">Scope3_Equations.VEERG_15_6_1_1__1_EmissionsFromPurchasedLime(F308,$E$300)+
Scope3_Equations.VEERG_15_6_1_1__1_EmissionsFromPurchasedLime(G308,$E$301)+
Scope3_Equations.VEERG_15_6_1_1__1_EmissionsFromPurchasedLime(H308,$E$302)</f>
        <v>0</v>
      </c>
      <c r="J308" s="151" cm="1">
        <f t="array" ref="J308">Scope3_Equations.VEERG_15_6_1_1__1_EmissionsFromPurchasedLime(F308,IF($F$300,$F$300,$E$300))+
Scope3_Equations.VEERG_15_6_1_1__1_EmissionsFromPurchasedLime(G308,IF($F$301,$F$301,$E$301))+
Scope3_Equations.VEERG_15_6_1_1__1_EmissionsFromPurchasedLime(H308,IF($F$302,$F$302,$E$302))</f>
        <v>0</v>
      </c>
      <c r="K308" s="82"/>
      <c r="L308" s="47"/>
      <c r="M308" s="82"/>
    </row>
    <row r="309" spans="3:41" x14ac:dyDescent="0.25">
      <c r="D309" s="49" t="str">
        <v/>
      </c>
      <c r="E309" s="49">
        <v>0</v>
      </c>
      <c r="F309" s="49">
        <v>0</v>
      </c>
      <c r="G309" s="49">
        <v>0</v>
      </c>
      <c r="H309" s="49">
        <v>0</v>
      </c>
      <c r="I309" s="151" cm="1">
        <f t="array" ref="I309">Scope3_Equations.VEERG_15_6_1_1__1_EmissionsFromPurchasedLime(F309,$E$300)+
Scope3_Equations.VEERG_15_6_1_1__1_EmissionsFromPurchasedLime(G309,$E$301)+
Scope3_Equations.VEERG_15_6_1_1__1_EmissionsFromPurchasedLime(H309,$E$302)</f>
        <v>0</v>
      </c>
      <c r="J309" s="151" cm="1">
        <f t="array" ref="J309">Scope3_Equations.VEERG_15_6_1_1__1_EmissionsFromPurchasedLime(F309,IF($F$300,$F$300,$E$300))+
Scope3_Equations.VEERG_15_6_1_1__1_EmissionsFromPurchasedLime(G309,IF($F$301,$F$301,$E$301))+
Scope3_Equations.VEERG_15_6_1_1__1_EmissionsFromPurchasedLime(H309,IF($F$302,$F$302,$E$302))</f>
        <v>0</v>
      </c>
      <c r="K309" s="82"/>
      <c r="L309" s="47"/>
      <c r="M309" s="82"/>
    </row>
    <row r="310" spans="3:41" x14ac:dyDescent="0.25">
      <c r="D310" s="49" t="str">
        <v/>
      </c>
      <c r="E310" s="49">
        <v>0</v>
      </c>
      <c r="F310" s="49">
        <v>0</v>
      </c>
      <c r="G310" s="49">
        <v>0</v>
      </c>
      <c r="H310" s="49">
        <v>0</v>
      </c>
      <c r="I310" s="151" cm="1">
        <f t="array" ref="I310">Scope3_Equations.VEERG_15_6_1_1__1_EmissionsFromPurchasedLime(F310,$E$300)+
Scope3_Equations.VEERG_15_6_1_1__1_EmissionsFromPurchasedLime(G310,$E$301)+
Scope3_Equations.VEERG_15_6_1_1__1_EmissionsFromPurchasedLime(H310,$E$302)</f>
        <v>0</v>
      </c>
      <c r="J310" s="151" cm="1">
        <f t="array" ref="J310">Scope3_Equations.VEERG_15_6_1_1__1_EmissionsFromPurchasedLime(F310,IF($F$300,$F$300,$E$300))+
Scope3_Equations.VEERG_15_6_1_1__1_EmissionsFromPurchasedLime(G310,IF($F$301,$F$301,$E$301))+
Scope3_Equations.VEERG_15_6_1_1__1_EmissionsFromPurchasedLime(H310,IF($F$302,$F$302,$E$302))</f>
        <v>0</v>
      </c>
      <c r="K310" s="82"/>
      <c r="L310" s="47"/>
      <c r="M310" s="82"/>
    </row>
    <row r="311" spans="3:41" x14ac:dyDescent="0.25">
      <c r="D311" s="49" t="str">
        <v/>
      </c>
      <c r="E311" s="49">
        <v>0</v>
      </c>
      <c r="F311" s="49">
        <v>0</v>
      </c>
      <c r="G311" s="49">
        <v>0</v>
      </c>
      <c r="H311" s="49">
        <v>0</v>
      </c>
      <c r="I311" s="151" cm="1">
        <f t="array" ref="I311">Scope3_Equations.VEERG_15_6_1_1__1_EmissionsFromPurchasedLime(F311,$E$300)+
Scope3_Equations.VEERG_15_6_1_1__1_EmissionsFromPurchasedLime(G311,$E$301)+
Scope3_Equations.VEERG_15_6_1_1__1_EmissionsFromPurchasedLime(H311,$E$302)</f>
        <v>0</v>
      </c>
      <c r="J311" s="151" cm="1">
        <f t="array" ref="J311">Scope3_Equations.VEERG_15_6_1_1__1_EmissionsFromPurchasedLime(F311,IF($F$300,$F$300,$E$300))+
Scope3_Equations.VEERG_15_6_1_1__1_EmissionsFromPurchasedLime(G311,IF($F$301,$F$301,$E$301))+
Scope3_Equations.VEERG_15_6_1_1__1_EmissionsFromPurchasedLime(H311,IF($F$302,$F$302,$E$302))</f>
        <v>0</v>
      </c>
      <c r="K311" s="82"/>
      <c r="L311" s="47"/>
      <c r="M311" s="82"/>
    </row>
    <row r="312" spans="3:41" x14ac:dyDescent="0.25">
      <c r="D312" s="49" t="str">
        <v/>
      </c>
      <c r="E312" s="49">
        <v>0</v>
      </c>
      <c r="F312" s="49">
        <v>0</v>
      </c>
      <c r="G312" s="49">
        <v>0</v>
      </c>
      <c r="H312" s="49">
        <v>0</v>
      </c>
      <c r="I312" s="151" cm="1">
        <f t="array" ref="I312">Scope3_Equations.VEERG_15_6_1_1__1_EmissionsFromPurchasedLime(F312,$E$300)+
Scope3_Equations.VEERG_15_6_1_1__1_EmissionsFromPurchasedLime(G312,$E$301)+
Scope3_Equations.VEERG_15_6_1_1__1_EmissionsFromPurchasedLime(H312,$E$302)</f>
        <v>0</v>
      </c>
      <c r="J312" s="151" cm="1">
        <f t="array" ref="J312">Scope3_Equations.VEERG_15_6_1_1__1_EmissionsFromPurchasedLime(F312,IF($F$300,$F$300,$E$300))+
Scope3_Equations.VEERG_15_6_1_1__1_EmissionsFromPurchasedLime(G312,IF($F$301,$F$301,$E$301))+
Scope3_Equations.VEERG_15_6_1_1__1_EmissionsFromPurchasedLime(H312,IF($F$302,$F$302,$E$302))</f>
        <v>0</v>
      </c>
      <c r="K312" s="82"/>
      <c r="L312" s="47"/>
      <c r="M312" s="82"/>
    </row>
    <row r="313" spans="3:41" x14ac:dyDescent="0.25">
      <c r="D313" s="49" t="str">
        <v/>
      </c>
      <c r="E313" s="49">
        <v>0</v>
      </c>
      <c r="F313" s="49">
        <v>0</v>
      </c>
      <c r="G313" s="49">
        <v>0</v>
      </c>
      <c r="H313" s="49">
        <v>0</v>
      </c>
      <c r="I313" s="151" cm="1">
        <f t="array" ref="I313">Scope3_Equations.VEERG_15_6_1_1__1_EmissionsFromPurchasedLime(F313,$E$300)+
Scope3_Equations.VEERG_15_6_1_1__1_EmissionsFromPurchasedLime(G313,$E$301)+
Scope3_Equations.VEERG_15_6_1_1__1_EmissionsFromPurchasedLime(H313,$E$302)</f>
        <v>0</v>
      </c>
      <c r="J313" s="151" cm="1">
        <f t="array" ref="J313">Scope3_Equations.VEERG_15_6_1_1__1_EmissionsFromPurchasedLime(F313,IF($F$300,$F$300,$E$300))+
Scope3_Equations.VEERG_15_6_1_1__1_EmissionsFromPurchasedLime(G313,IF($F$301,$F$301,$E$301))+
Scope3_Equations.VEERG_15_6_1_1__1_EmissionsFromPurchasedLime(H313,IF($F$302,$F$302,$E$302))</f>
        <v>0</v>
      </c>
      <c r="K313" s="82"/>
      <c r="L313" s="47"/>
      <c r="M313" s="82"/>
    </row>
    <row r="314" spans="3:41" x14ac:dyDescent="0.25">
      <c r="D314" s="49" t="str">
        <v/>
      </c>
      <c r="E314" s="49">
        <v>0</v>
      </c>
      <c r="F314" s="49">
        <v>0</v>
      </c>
      <c r="G314" s="49">
        <v>0</v>
      </c>
      <c r="H314" s="49">
        <v>0</v>
      </c>
      <c r="I314" s="151" cm="1">
        <f t="array" ref="I314">Scope3_Equations.VEERG_15_6_1_1__1_EmissionsFromPurchasedLime(F314,$E$300)+
Scope3_Equations.VEERG_15_6_1_1__1_EmissionsFromPurchasedLime(G314,$E$301)+
Scope3_Equations.VEERG_15_6_1_1__1_EmissionsFromPurchasedLime(H314,$E$302)</f>
        <v>0</v>
      </c>
      <c r="J314" s="151" cm="1">
        <f t="array" ref="J314">Scope3_Equations.VEERG_15_6_1_1__1_EmissionsFromPurchasedLime(F314,IF($F$300,$F$300,$E$300))+
Scope3_Equations.VEERG_15_6_1_1__1_EmissionsFromPurchasedLime(G314,IF($F$301,$F$301,$E$301))+
Scope3_Equations.VEERG_15_6_1_1__1_EmissionsFromPurchasedLime(H314,IF($F$302,$F$302,$E$302))</f>
        <v>0</v>
      </c>
      <c r="K314" s="82"/>
      <c r="L314" s="47"/>
      <c r="M314" s="82"/>
    </row>
    <row r="316" spans="3:41" ht="20.25" x14ac:dyDescent="0.25">
      <c r="D316" s="179" t="s">
        <v>623</v>
      </c>
      <c r="E316" s="177">
        <f>SUM(I305:I314)</f>
        <v>1.6553999999999999E-2</v>
      </c>
      <c r="F316" s="178" t="str">
        <f>$E$155</f>
        <v>t CO2e</v>
      </c>
    </row>
    <row r="317" spans="3:41" ht="20.25" x14ac:dyDescent="0.25">
      <c r="D317" s="179" t="s">
        <v>625</v>
      </c>
      <c r="E317" s="177">
        <f>SUM(J305:J314)</f>
        <v>1.4400000000000001E-2</v>
      </c>
      <c r="F317" s="178" t="str">
        <f>$E$155</f>
        <v>t CO2e</v>
      </c>
    </row>
    <row r="320" spans="3:41" x14ac:dyDescent="0.25">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c r="AF320" s="98"/>
      <c r="AG320" s="98"/>
      <c r="AH320" s="98"/>
      <c r="AI320" s="98"/>
      <c r="AJ320" s="98"/>
      <c r="AK320" s="98"/>
      <c r="AL320" s="98"/>
      <c r="AM320" s="98"/>
      <c r="AN320" s="98"/>
      <c r="AO320" s="98"/>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2" t="s">
        <v>616</v>
      </c>
      <c r="E323" s="172" t="str" cm="1">
        <f t="array" aca="1" ref="E323" ca="1">Common_InputFunctions.Utility_DisplayFunctionName(K336)</f>
        <v>=Scope3_Equations.VEERG_15_7_1_1__1_EmissionsFromPurchasedServices</v>
      </c>
    </row>
    <row r="325" spans="4:15" x14ac:dyDescent="0.25">
      <c r="H325" s="8" t="s">
        <v>841</v>
      </c>
    </row>
    <row r="326" spans="4:15" x14ac:dyDescent="0.25">
      <c r="D326" s="27" t="s">
        <v>617</v>
      </c>
      <c r="E326" s="8" t="str" cm="1">
        <f t="array" ref="E326">Scope3_Equations.VEERG_15_7_1_1__1_EmissionsFromPurchasedServices_Variable()</f>
        <v>E</v>
      </c>
    </row>
    <row r="327" spans="4:15" x14ac:dyDescent="0.25">
      <c r="D327" s="27" t="s">
        <v>96</v>
      </c>
      <c r="E327" s="8" t="str" cm="1">
        <f t="array" ref="E327">Scope3_Equations.VEERG_15_7_1_1__1_EmissionsFromPurchasedServices_Unit()</f>
        <v>t CO2e</v>
      </c>
    </row>
    <row r="329" spans="4:15" x14ac:dyDescent="0.25">
      <c r="D329" s="167" t="str" cm="1">
        <f t="array" ref="D329:E331">_xlfn.CHOOSECOLS(Scope3_Equations.VEERG_15_7_1_1__1_EmissionsFromPurchasedServices_Arguments(),1,2)</f>
        <v>A_p</v>
      </c>
      <c r="E329" s="171" t="str">
        <v>activity data of the service that was purchased</v>
      </c>
      <c r="F329" s="166"/>
      <c r="G329" s="167" t="str" cm="1">
        <f t="array" ref="G329:H331">_xlfn.CHOOSECOLS(Scope3_Equations.VEERG_15_7_1_1__1_EmissionsFromPurchasedServices_Arguments(),3,4)</f>
        <v>ha or h</v>
      </c>
      <c r="H329" s="168" t="str">
        <v>Input</v>
      </c>
    </row>
    <row r="330" spans="4:15" x14ac:dyDescent="0.25">
      <c r="D330" s="167" t="str">
        <v>EF_p</v>
      </c>
      <c r="E330" s="171" t="str">
        <v>life cycle emission factor for the purchased service</v>
      </c>
      <c r="F330" s="166"/>
      <c r="G330" s="167" t="str">
        <v>kg CO2e/ha or kg CO2e/h</v>
      </c>
      <c r="H330" s="169" t="str">
        <v>Constant</v>
      </c>
    </row>
    <row r="331" spans="4:15" x14ac:dyDescent="0.25">
      <c r="D331" s="167" t="str">
        <v>p</v>
      </c>
      <c r="E331" s="171" t="str">
        <v>service type</v>
      </c>
      <c r="F331" s="166"/>
      <c r="G331" s="167" t="str">
        <v/>
      </c>
      <c r="H331" s="168" t="str">
        <v>Input</v>
      </c>
    </row>
    <row r="333" spans="4:15" x14ac:dyDescent="0.25">
      <c r="D333" s="12" t="s">
        <v>681</v>
      </c>
    </row>
    <row r="335" spans="4:15" x14ac:dyDescent="0.25">
      <c r="D335" s="46" t="s">
        <v>597</v>
      </c>
      <c r="E335" s="46" t="s">
        <v>606</v>
      </c>
      <c r="F335" s="46" t="s">
        <v>601</v>
      </c>
      <c r="G335" s="46" t="s">
        <v>125</v>
      </c>
      <c r="H335" s="57" t="s">
        <v>406</v>
      </c>
      <c r="I335" s="57" t="s">
        <v>343</v>
      </c>
      <c r="J335" s="46" t="s">
        <v>407</v>
      </c>
      <c r="K335" s="57" t="s">
        <v>344</v>
      </c>
      <c r="L335" s="57" t="s">
        <v>602</v>
      </c>
      <c r="M335" s="46" t="s">
        <v>619</v>
      </c>
      <c r="N335" s="46" t="s">
        <v>620</v>
      </c>
      <c r="O335" s="46" t="s">
        <v>621</v>
      </c>
    </row>
    <row r="336" spans="4:15" x14ac:dyDescent="0.25">
      <c r="D336" s="49" t="str" cm="1">
        <f t="array" ref="D336:D345">IFERROR(INDEX(Table_Input_ServicesAndContractors[Service provider / contractor], _xlfn.SEQUENCE(10)), "")</f>
        <v>Pete's Pickers</v>
      </c>
      <c r="E336" s="49" t="str" cm="1">
        <f t="array" ref="E336:E345">IFERROR(INDEX(Table_Input_ServicesAndContractors[Activity], _xlfn.SEQUENCE(10)), "")</f>
        <v>Fruit picking</v>
      </c>
      <c r="F336" s="49" cm="1">
        <f t="array" ref="F336:F345">IFERROR(INDEX(Table_Input_ServicesAndContractors[Total amount], _xlfn.SEQUENCE(10)), "")</f>
        <v>10000</v>
      </c>
      <c r="G336" s="49" t="str" cm="1">
        <f t="array" ref="G336:G345">IFERROR(INDEX(Table_Input_ServicesAndContractors[Amount unit], _xlfn.SEQUENCE(10)), "")</f>
        <v>Hour</v>
      </c>
      <c r="H336" s="49" t="s">
        <v>809</v>
      </c>
      <c r="I336" s="49" t="s">
        <v>809</v>
      </c>
      <c r="J336" s="66">
        <v>4</v>
      </c>
      <c r="K336" s="151" cm="1">
        <f t="array" ref="K336">Scope3_Equations.VEERG_15_7_1_1__1_EmissionsFromPurchasedServices(F336,J336)</f>
        <v>40</v>
      </c>
      <c r="L336" s="49" t="str">
        <f>"t CO2e / " &amp; G336</f>
        <v>t CO2e / Hour</v>
      </c>
      <c r="M336" s="82"/>
      <c r="N336" s="47"/>
      <c r="O336" s="82"/>
    </row>
    <row r="337" spans="3:41" x14ac:dyDescent="0.25">
      <c r="D337" s="49" t="str">
        <v>Harini's Harvesting Services Pty Ltd</v>
      </c>
      <c r="E337" s="49" t="str">
        <v>Wheat harvesting</v>
      </c>
      <c r="F337" s="49">
        <v>1000</v>
      </c>
      <c r="G337" s="49" t="str">
        <v>Hectare</v>
      </c>
      <c r="H337" s="49" t="s">
        <v>809</v>
      </c>
      <c r="I337" s="49" t="s">
        <v>809</v>
      </c>
      <c r="J337" s="66">
        <v>2</v>
      </c>
      <c r="K337" s="151" cm="1">
        <f t="array" ref="K337">Scope3_Equations.VEERG_15_7_1_1__1_EmissionsFromPurchasedServices(F337,J337)</f>
        <v>2</v>
      </c>
      <c r="L337" s="49" t="str">
        <f t="shared" ref="L337:L345" si="1">"t CO2e / " &amp; G337</f>
        <v>t CO2e / Hectare</v>
      </c>
      <c r="M337" s="82"/>
      <c r="N337" s="47"/>
      <c r="O337" s="82"/>
    </row>
    <row r="338" spans="3:41" x14ac:dyDescent="0.25">
      <c r="D338" s="49">
        <v>0</v>
      </c>
      <c r="E338" s="49">
        <v>0</v>
      </c>
      <c r="F338" s="49">
        <v>0</v>
      </c>
      <c r="G338" s="49">
        <v>0</v>
      </c>
      <c r="H338" s="49" t="s">
        <v>809</v>
      </c>
      <c r="I338" s="49" t="s">
        <v>809</v>
      </c>
      <c r="J338" s="66"/>
      <c r="K338" s="151" cm="1">
        <f t="array" ref="K338">Scope3_Equations.VEERG_15_7_1_1__1_EmissionsFromPurchasedServices(F338,J338)</f>
        <v>0</v>
      </c>
      <c r="L338" s="49" t="str">
        <f t="shared" si="1"/>
        <v>t CO2e / 0</v>
      </c>
      <c r="M338" s="82"/>
      <c r="N338" s="47"/>
      <c r="O338" s="82"/>
    </row>
    <row r="339" spans="3:41" x14ac:dyDescent="0.25">
      <c r="D339" s="49">
        <v>0</v>
      </c>
      <c r="E339" s="49">
        <v>0</v>
      </c>
      <c r="F339" s="49">
        <v>0</v>
      </c>
      <c r="G339" s="49">
        <v>0</v>
      </c>
      <c r="H339" s="49" t="s">
        <v>809</v>
      </c>
      <c r="I339" s="49" t="s">
        <v>809</v>
      </c>
      <c r="J339" s="66"/>
      <c r="K339" s="151" cm="1">
        <f t="array" ref="K339">Scope3_Equations.VEERG_15_7_1_1__1_EmissionsFromPurchasedServices(F339,J339)</f>
        <v>0</v>
      </c>
      <c r="L339" s="49" t="str">
        <f t="shared" si="1"/>
        <v>t CO2e / 0</v>
      </c>
      <c r="M339" s="82"/>
      <c r="N339" s="47"/>
      <c r="O339" s="82"/>
    </row>
    <row r="340" spans="3:41" x14ac:dyDescent="0.25">
      <c r="D340" s="49">
        <v>0</v>
      </c>
      <c r="E340" s="49">
        <v>0</v>
      </c>
      <c r="F340" s="49">
        <v>0</v>
      </c>
      <c r="G340" s="49">
        <v>0</v>
      </c>
      <c r="H340" s="49" t="s">
        <v>809</v>
      </c>
      <c r="I340" s="49" t="s">
        <v>809</v>
      </c>
      <c r="J340" s="66"/>
      <c r="K340" s="151" cm="1">
        <f t="array" ref="K340">Scope3_Equations.VEERG_15_7_1_1__1_EmissionsFromPurchasedServices(F340,J340)</f>
        <v>0</v>
      </c>
      <c r="L340" s="49" t="str">
        <f t="shared" si="1"/>
        <v>t CO2e / 0</v>
      </c>
      <c r="M340" s="82"/>
      <c r="N340" s="47"/>
      <c r="O340" s="82"/>
    </row>
    <row r="341" spans="3:41" x14ac:dyDescent="0.25">
      <c r="D341" s="49">
        <v>0</v>
      </c>
      <c r="E341" s="49">
        <v>0</v>
      </c>
      <c r="F341" s="49">
        <v>0</v>
      </c>
      <c r="G341" s="49">
        <v>0</v>
      </c>
      <c r="H341" s="49" t="s">
        <v>809</v>
      </c>
      <c r="I341" s="49" t="s">
        <v>809</v>
      </c>
      <c r="J341" s="66"/>
      <c r="K341" s="151" cm="1">
        <f t="array" ref="K341">Scope3_Equations.VEERG_15_7_1_1__1_EmissionsFromPurchasedServices(F341,J341)</f>
        <v>0</v>
      </c>
      <c r="L341" s="49" t="str">
        <f t="shared" si="1"/>
        <v>t CO2e / 0</v>
      </c>
      <c r="M341" s="82"/>
      <c r="N341" s="47"/>
      <c r="O341" s="82"/>
    </row>
    <row r="342" spans="3:41" x14ac:dyDescent="0.25">
      <c r="D342" s="49">
        <v>0</v>
      </c>
      <c r="E342" s="49">
        <v>0</v>
      </c>
      <c r="F342" s="49">
        <v>0</v>
      </c>
      <c r="G342" s="49">
        <v>0</v>
      </c>
      <c r="H342" s="49" t="s">
        <v>809</v>
      </c>
      <c r="I342" s="49" t="s">
        <v>809</v>
      </c>
      <c r="J342" s="66"/>
      <c r="K342" s="151" cm="1">
        <f t="array" ref="K342">Scope3_Equations.VEERG_15_7_1_1__1_EmissionsFromPurchasedServices(F342,J342)</f>
        <v>0</v>
      </c>
      <c r="L342" s="49" t="str">
        <f t="shared" si="1"/>
        <v>t CO2e / 0</v>
      </c>
      <c r="M342" s="82"/>
      <c r="N342" s="47"/>
      <c r="O342" s="82"/>
    </row>
    <row r="343" spans="3:41" x14ac:dyDescent="0.25">
      <c r="D343" s="49">
        <v>0</v>
      </c>
      <c r="E343" s="49">
        <v>0</v>
      </c>
      <c r="F343" s="49">
        <v>0</v>
      </c>
      <c r="G343" s="49">
        <v>0</v>
      </c>
      <c r="H343" s="49" t="s">
        <v>809</v>
      </c>
      <c r="I343" s="49" t="s">
        <v>809</v>
      </c>
      <c r="J343" s="66"/>
      <c r="K343" s="151" cm="1">
        <f t="array" ref="K343">Scope3_Equations.VEERG_15_7_1_1__1_EmissionsFromPurchasedServices(F343,J343)</f>
        <v>0</v>
      </c>
      <c r="L343" s="49" t="str">
        <f t="shared" si="1"/>
        <v>t CO2e / 0</v>
      </c>
      <c r="M343" s="82"/>
      <c r="N343" s="47"/>
      <c r="O343" s="82"/>
    </row>
    <row r="344" spans="3:41" x14ac:dyDescent="0.25">
      <c r="D344" s="49">
        <v>0</v>
      </c>
      <c r="E344" s="49">
        <v>0</v>
      </c>
      <c r="F344" s="49">
        <v>0</v>
      </c>
      <c r="G344" s="49">
        <v>0</v>
      </c>
      <c r="H344" s="49" t="s">
        <v>809</v>
      </c>
      <c r="I344" s="49" t="s">
        <v>809</v>
      </c>
      <c r="J344" s="66"/>
      <c r="K344" s="151" cm="1">
        <f t="array" ref="K344">Scope3_Equations.VEERG_15_7_1_1__1_EmissionsFromPurchasedServices(F344,J344)</f>
        <v>0</v>
      </c>
      <c r="L344" s="49" t="str">
        <f t="shared" si="1"/>
        <v>t CO2e / 0</v>
      </c>
      <c r="M344" s="82"/>
      <c r="N344" s="47"/>
      <c r="O344" s="82"/>
    </row>
    <row r="345" spans="3:41" x14ac:dyDescent="0.25">
      <c r="D345" s="49">
        <v>0</v>
      </c>
      <c r="E345" s="49">
        <v>0</v>
      </c>
      <c r="F345" s="49">
        <v>0</v>
      </c>
      <c r="G345" s="49">
        <v>0</v>
      </c>
      <c r="H345" s="49" t="s">
        <v>809</v>
      </c>
      <c r="I345" s="49" t="s">
        <v>809</v>
      </c>
      <c r="J345" s="66"/>
      <c r="K345" s="151" cm="1">
        <f t="array" ref="K345">Scope3_Equations.VEERG_15_7_1_1__1_EmissionsFromPurchasedServices(F345,J345)</f>
        <v>0</v>
      </c>
      <c r="L345" s="49" t="str">
        <f t="shared" si="1"/>
        <v>t CO2e / 0</v>
      </c>
      <c r="M345" s="82"/>
      <c r="N345" s="47"/>
      <c r="O345" s="82"/>
    </row>
    <row r="347" spans="3:41" ht="20.25" x14ac:dyDescent="0.25">
      <c r="D347" s="179" t="s">
        <v>623</v>
      </c>
      <c r="E347" s="177" t="s">
        <v>809</v>
      </c>
      <c r="F347" s="178" t="str">
        <f>$E$155</f>
        <v>t CO2e</v>
      </c>
    </row>
    <row r="348" spans="3:41" ht="20.25" x14ac:dyDescent="0.25">
      <c r="D348" s="179" t="s">
        <v>625</v>
      </c>
      <c r="E348" s="177">
        <f>SUM(K336:K345)</f>
        <v>42</v>
      </c>
      <c r="F348" s="178" t="str">
        <f>$E$155</f>
        <v>t CO2e</v>
      </c>
    </row>
    <row r="351" spans="3:41" x14ac:dyDescent="0.25">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c r="AH351" s="98"/>
      <c r="AI351" s="98"/>
      <c r="AJ351" s="98"/>
      <c r="AK351" s="98"/>
      <c r="AL351" s="98"/>
      <c r="AM351" s="98"/>
      <c r="AN351" s="98"/>
      <c r="AO351" s="98"/>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2" t="s">
        <v>616</v>
      </c>
      <c r="E355" s="172" t="str" cm="1">
        <f t="array" aca="1" ref="E355" ca="1">Common_InputFunctions.Utility_DisplayFunctionName(H367)</f>
        <v>=Scope3_Equations.VEERG_15_8_1_1__1_EmissionsFromPurchasedPackaging</v>
      </c>
    </row>
    <row r="359" spans="4:13" x14ac:dyDescent="0.25">
      <c r="D359" s="27" t="s">
        <v>617</v>
      </c>
      <c r="E359" s="8" t="str" cm="1">
        <f t="array" ref="E359">Scope3_Equations.VEERG_15_8_1_1__1_EmissionsFromPurchasedPackaging_Variable()</f>
        <v>E</v>
      </c>
    </row>
    <row r="360" spans="4:13" x14ac:dyDescent="0.25">
      <c r="D360" s="27" t="s">
        <v>96</v>
      </c>
      <c r="E360" s="13" t="str" cm="1">
        <f t="array" ref="E360">Scope3_Equations.VEERG_15_8_1_1__1_EmissionsFromPurchasedPackaging_Unit()</f>
        <v>t CO2e</v>
      </c>
    </row>
    <row r="362" spans="4:13" x14ac:dyDescent="0.25">
      <c r="D362" s="167" t="str" cm="1">
        <f t="array" ref="D362:E364">_xlfn.CHOOSECOLS(Scope3_Equations.VEERG_15_8_1_1__1_EmissionsFromPurchasedPackaging_Arguments(),1,2)</f>
        <v>Q_p</v>
      </c>
      <c r="E362" s="167" t="str">
        <v>units of packaging type p</v>
      </c>
      <c r="F362" s="167" t="str" cm="1">
        <f t="array" ref="F362:G364">_xlfn.CHOOSECOLS(Scope3_Equations.VEERG_15_8_1_1__1_EmissionsFromPurchasedPackaging_Arguments(),3,4)</f>
        <v>units</v>
      </c>
      <c r="G362" s="168" t="str">
        <v>Input</v>
      </c>
    </row>
    <row r="363" spans="4:13" x14ac:dyDescent="0.25">
      <c r="D363" s="167" t="str">
        <v>EF_p</v>
      </c>
      <c r="E363" s="167" t="str">
        <v>emission factor for packaging type p</v>
      </c>
      <c r="F363" s="167" t="str">
        <v>kg CO2e/unit</v>
      </c>
      <c r="G363" s="169" t="str">
        <v>Constant</v>
      </c>
    </row>
    <row r="364" spans="4:13" x14ac:dyDescent="0.25">
      <c r="D364" s="167" t="str">
        <v>p</v>
      </c>
      <c r="E364" s="167" t="str">
        <v>packaging type</v>
      </c>
      <c r="F364" s="167" t="str">
        <v/>
      </c>
      <c r="G364" s="168" t="str">
        <v>Input</v>
      </c>
    </row>
    <row r="366" spans="4:13" ht="17.25" x14ac:dyDescent="0.25">
      <c r="D366" s="46" t="s">
        <v>351</v>
      </c>
      <c r="E366" s="152" t="s">
        <v>396</v>
      </c>
      <c r="F366" s="152" t="s">
        <v>682</v>
      </c>
      <c r="G366" s="57" t="s">
        <v>683</v>
      </c>
      <c r="H366" s="57" t="s">
        <v>623</v>
      </c>
      <c r="I366" s="46" t="s">
        <v>684</v>
      </c>
      <c r="J366" s="57" t="s">
        <v>625</v>
      </c>
      <c r="K366" s="46" t="s">
        <v>619</v>
      </c>
      <c r="L366" s="46" t="s">
        <v>620</v>
      </c>
      <c r="M366" s="46" t="s">
        <v>621</v>
      </c>
    </row>
    <row r="367" spans="4:13" x14ac:dyDescent="0.25">
      <c r="D367" s="49" t="str" cm="1">
        <f t="array" ref="D367:D376">IFERROR(INDEX(Table_Input_Packaging[Packaging name], _xlfn.SEQUENCE(10)), "")</f>
        <v>250g punnet</v>
      </c>
      <c r="E367" s="49" t="str" cm="1">
        <f t="array" ref="E367:E376">IFERROR(INDEX(Table_Input_Packaging[Primary material], _xlfn.SEQUENCE(10)), "")</f>
        <v>Plastic sheet HDPE</v>
      </c>
      <c r="F367" s="49" cm="1">
        <f t="array" ref="F367:F376">IFERROR(INDEX(Table_Input_Packaging[Total weight purchased (kg)], _xlfn.SEQUENCE(10)), "")</f>
        <v>2000</v>
      </c>
      <c r="G367" s="49" cm="1">
        <f t="array" ref="G367">Common_InputFunctions.Utility_LookupValueInTableNumber(E367,Table_SourceData_Scope3_Packaging[Product],Table_SourceData_Scope3_Packaging[AusLCI Emissions intensity])</f>
        <v>3.72</v>
      </c>
      <c r="H367" s="151" cm="1">
        <f t="array" ref="H367">Scope3_Equations.VEERG_15_8_1_1__1_EmissionsFromPurchasedPackaging(F367,G367)</f>
        <v>7.44</v>
      </c>
      <c r="I367" s="66">
        <v>3</v>
      </c>
      <c r="J367" s="151" cm="1">
        <f t="array" ref="J367">Scope3_Equations.VEERG_15_8_1_1__1_EmissionsFromPurchasedPackaging(F367,IF(I367,I367,G367))</f>
        <v>6</v>
      </c>
      <c r="K367" s="82"/>
      <c r="L367" s="47"/>
      <c r="M367" s="82"/>
    </row>
    <row r="368" spans="4:13" x14ac:dyDescent="0.25">
      <c r="D368" s="49">
        <v>0</v>
      </c>
      <c r="E368" s="49">
        <v>0</v>
      </c>
      <c r="F368" s="49">
        <v>0</v>
      </c>
      <c r="G368" s="49" cm="1">
        <f t="array" ref="G368">Common_InputFunctions.Utility_LookupValueInTableNumber(E368,Table_SourceData_Scope3_Packaging[Product],Table_SourceData_Scope3_Packaging[AusLCI Emissions intensity])</f>
        <v>0</v>
      </c>
      <c r="H368" s="151" cm="1">
        <f t="array" ref="H368">Scope3_Equations.VEERG_15_8_1_1__1_EmissionsFromPurchasedPackaging(F368,G368)</f>
        <v>0</v>
      </c>
      <c r="I368" s="66"/>
      <c r="J368" s="151" cm="1">
        <f t="array" ref="J368">Scope3_Equations.VEERG_15_8_1_1__1_EmissionsFromPurchasedPackaging(F368,IF(I368,I368,G368))</f>
        <v>0</v>
      </c>
      <c r="K368" s="82"/>
      <c r="L368" s="47"/>
      <c r="M368" s="82"/>
    </row>
    <row r="369" spans="3:41" x14ac:dyDescent="0.25">
      <c r="D369" s="49">
        <v>0</v>
      </c>
      <c r="E369" s="49">
        <v>0</v>
      </c>
      <c r="F369" s="49">
        <v>0</v>
      </c>
      <c r="G369" s="49" cm="1">
        <f t="array" ref="G369">Common_InputFunctions.Utility_LookupValueInTableNumber(E369,Table_SourceData_Scope3_Packaging[Product],Table_SourceData_Scope3_Packaging[AusLCI Emissions intensity])</f>
        <v>0</v>
      </c>
      <c r="H369" s="151" cm="1">
        <f t="array" ref="H369">Scope3_Equations.VEERG_15_8_1_1__1_EmissionsFromPurchasedPackaging(F369,G369)</f>
        <v>0</v>
      </c>
      <c r="I369" s="66"/>
      <c r="J369" s="151" cm="1">
        <f t="array" ref="J369">Scope3_Equations.VEERG_15_8_1_1__1_EmissionsFromPurchasedPackaging(F369,IF(I369,I369,G369))</f>
        <v>0</v>
      </c>
      <c r="K369" s="82"/>
      <c r="L369" s="47"/>
      <c r="M369" s="82"/>
    </row>
    <row r="370" spans="3:41" x14ac:dyDescent="0.25">
      <c r="D370" s="49">
        <v>0</v>
      </c>
      <c r="E370" s="49">
        <v>0</v>
      </c>
      <c r="F370" s="49">
        <v>0</v>
      </c>
      <c r="G370" s="49" cm="1">
        <f t="array" ref="G370">Common_InputFunctions.Utility_LookupValueInTableNumber(E370,Table_SourceData_Scope3_Packaging[Product],Table_SourceData_Scope3_Packaging[AusLCI Emissions intensity])</f>
        <v>0</v>
      </c>
      <c r="H370" s="151" cm="1">
        <f t="array" ref="H370">Scope3_Equations.VEERG_15_8_1_1__1_EmissionsFromPurchasedPackaging(F370,G370)</f>
        <v>0</v>
      </c>
      <c r="I370" s="66"/>
      <c r="J370" s="151" cm="1">
        <f t="array" ref="J370">Scope3_Equations.VEERG_15_8_1_1__1_EmissionsFromPurchasedPackaging(F370,IF(I370,I370,G370))</f>
        <v>0</v>
      </c>
      <c r="K370" s="82"/>
      <c r="L370" s="47"/>
      <c r="M370" s="82"/>
    </row>
    <row r="371" spans="3:41" x14ac:dyDescent="0.25">
      <c r="D371" s="49">
        <v>0</v>
      </c>
      <c r="E371" s="49">
        <v>0</v>
      </c>
      <c r="F371" s="49">
        <v>0</v>
      </c>
      <c r="G371" s="49" cm="1">
        <f t="array" ref="G371">Common_InputFunctions.Utility_LookupValueInTableNumber(E371,Table_SourceData_Scope3_Packaging[Product],Table_SourceData_Scope3_Packaging[AusLCI Emissions intensity])</f>
        <v>0</v>
      </c>
      <c r="H371" s="151" cm="1">
        <f t="array" ref="H371">Scope3_Equations.VEERG_15_8_1_1__1_EmissionsFromPurchasedPackaging(F371,G371)</f>
        <v>0</v>
      </c>
      <c r="I371" s="66"/>
      <c r="J371" s="151" cm="1">
        <f t="array" ref="J371">Scope3_Equations.VEERG_15_8_1_1__1_EmissionsFromPurchasedPackaging(F371,IF(I371,I371,G371))</f>
        <v>0</v>
      </c>
      <c r="K371" s="82"/>
      <c r="L371" s="47"/>
      <c r="M371" s="82"/>
    </row>
    <row r="372" spans="3:41" x14ac:dyDescent="0.25">
      <c r="D372" s="49">
        <v>0</v>
      </c>
      <c r="E372" s="49">
        <v>0</v>
      </c>
      <c r="F372" s="49">
        <v>0</v>
      </c>
      <c r="G372" s="49" cm="1">
        <f t="array" ref="G372">Common_InputFunctions.Utility_LookupValueInTableNumber(E372,Table_SourceData_Scope3_Packaging[Product],Table_SourceData_Scope3_Packaging[AusLCI Emissions intensity])</f>
        <v>0</v>
      </c>
      <c r="H372" s="151" cm="1">
        <f t="array" ref="H372">Scope3_Equations.VEERG_15_8_1_1__1_EmissionsFromPurchasedPackaging(F372,G372)</f>
        <v>0</v>
      </c>
      <c r="I372" s="66"/>
      <c r="J372" s="151" cm="1">
        <f t="array" ref="J372">Scope3_Equations.VEERG_15_8_1_1__1_EmissionsFromPurchasedPackaging(F372,IF(I372,I372,G372))</f>
        <v>0</v>
      </c>
      <c r="K372" s="82"/>
      <c r="L372" s="47"/>
      <c r="M372" s="82"/>
    </row>
    <row r="373" spans="3:41" x14ac:dyDescent="0.25">
      <c r="D373" s="49">
        <v>0</v>
      </c>
      <c r="E373" s="49">
        <v>0</v>
      </c>
      <c r="F373" s="49">
        <v>0</v>
      </c>
      <c r="G373" s="49" cm="1">
        <f t="array" ref="G373">Common_InputFunctions.Utility_LookupValueInTableNumber(E373,Table_SourceData_Scope3_Packaging[Product],Table_SourceData_Scope3_Packaging[AusLCI Emissions intensity])</f>
        <v>0</v>
      </c>
      <c r="H373" s="151" cm="1">
        <f t="array" ref="H373">Scope3_Equations.VEERG_15_8_1_1__1_EmissionsFromPurchasedPackaging(F373,G373)</f>
        <v>0</v>
      </c>
      <c r="I373" s="66"/>
      <c r="J373" s="151" cm="1">
        <f t="array" ref="J373">Scope3_Equations.VEERG_15_8_1_1__1_EmissionsFromPurchasedPackaging(F373,IF(I373,I373,G373))</f>
        <v>0</v>
      </c>
      <c r="K373" s="82"/>
      <c r="L373" s="47"/>
      <c r="M373" s="82"/>
    </row>
    <row r="374" spans="3:41" x14ac:dyDescent="0.25">
      <c r="D374" s="49">
        <v>0</v>
      </c>
      <c r="E374" s="49">
        <v>0</v>
      </c>
      <c r="F374" s="49">
        <v>0</v>
      </c>
      <c r="G374" s="49" cm="1">
        <f t="array" ref="G374">Common_InputFunctions.Utility_LookupValueInTableNumber(E374,Table_SourceData_Scope3_Packaging[Product],Table_SourceData_Scope3_Packaging[AusLCI Emissions intensity])</f>
        <v>0</v>
      </c>
      <c r="H374" s="151" cm="1">
        <f t="array" ref="H374">Scope3_Equations.VEERG_15_8_1_1__1_EmissionsFromPurchasedPackaging(F374,G374)</f>
        <v>0</v>
      </c>
      <c r="I374" s="66"/>
      <c r="J374" s="151" cm="1">
        <f t="array" ref="J374">Scope3_Equations.VEERG_15_8_1_1__1_EmissionsFromPurchasedPackaging(F374,IF(I374,I374,G374))</f>
        <v>0</v>
      </c>
      <c r="K374" s="82"/>
      <c r="L374" s="47"/>
      <c r="M374" s="82"/>
    </row>
    <row r="375" spans="3:41" x14ac:dyDescent="0.25">
      <c r="D375" s="49">
        <v>0</v>
      </c>
      <c r="E375" s="49">
        <v>0</v>
      </c>
      <c r="F375" s="49">
        <v>0</v>
      </c>
      <c r="G375" s="49" cm="1">
        <f t="array" ref="G375">Common_InputFunctions.Utility_LookupValueInTableNumber(E375,Table_SourceData_Scope3_Packaging[Product],Table_SourceData_Scope3_Packaging[AusLCI Emissions intensity])</f>
        <v>0</v>
      </c>
      <c r="H375" s="151" cm="1">
        <f t="array" ref="H375">Scope3_Equations.VEERG_15_8_1_1__1_EmissionsFromPurchasedPackaging(F375,G375)</f>
        <v>0</v>
      </c>
      <c r="I375" s="66"/>
      <c r="J375" s="151" cm="1">
        <f t="array" ref="J375">Scope3_Equations.VEERG_15_8_1_1__1_EmissionsFromPurchasedPackaging(F375,IF(I375,I375,G375))</f>
        <v>0</v>
      </c>
      <c r="K375" s="82"/>
      <c r="L375" s="47"/>
      <c r="M375" s="82"/>
    </row>
    <row r="376" spans="3:41" x14ac:dyDescent="0.25">
      <c r="D376" s="49">
        <v>0</v>
      </c>
      <c r="E376" s="49">
        <v>0</v>
      </c>
      <c r="F376" s="49">
        <v>0</v>
      </c>
      <c r="G376" s="49" cm="1">
        <f t="array" ref="G376">Common_InputFunctions.Utility_LookupValueInTableNumber(E376,Table_SourceData_Scope3_Packaging[Product],Table_SourceData_Scope3_Packaging[AusLCI Emissions intensity])</f>
        <v>0</v>
      </c>
      <c r="H376" s="151" cm="1">
        <f t="array" ref="H376">Scope3_Equations.VEERG_15_8_1_1__1_EmissionsFromPurchasedPackaging(F376,G376)</f>
        <v>0</v>
      </c>
      <c r="I376" s="66"/>
      <c r="J376" s="151" cm="1">
        <f t="array" ref="J376">Scope3_Equations.VEERG_15_8_1_1__1_EmissionsFromPurchasedPackaging(F376,IF(I376,I376,G376))</f>
        <v>0</v>
      </c>
      <c r="K376" s="82"/>
      <c r="L376" s="47"/>
      <c r="M376" s="82"/>
    </row>
    <row r="378" spans="3:41" ht="20.25" x14ac:dyDescent="0.25">
      <c r="D378" s="179" t="s">
        <v>623</v>
      </c>
      <c r="E378" s="177">
        <f>SUM(H367:H376)</f>
        <v>7.44</v>
      </c>
      <c r="F378" s="178" t="str">
        <f>$E$155</f>
        <v>t CO2e</v>
      </c>
    </row>
    <row r="379" spans="3:41" ht="20.25" x14ac:dyDescent="0.25">
      <c r="D379" s="179" t="s">
        <v>625</v>
      </c>
      <c r="E379" s="177">
        <f>SUM(J367:J376)</f>
        <v>6</v>
      </c>
      <c r="F379" s="178" t="str">
        <f>$E$155</f>
        <v>t CO2e</v>
      </c>
    </row>
    <row r="382" spans="3:41" x14ac:dyDescent="0.25">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c r="AF382" s="98"/>
      <c r="AG382" s="98"/>
      <c r="AH382" s="98"/>
      <c r="AI382" s="98"/>
      <c r="AJ382" s="98"/>
      <c r="AK382" s="98"/>
      <c r="AL382" s="98"/>
      <c r="AM382" s="98"/>
      <c r="AN382" s="98"/>
      <c r="AO382" s="98"/>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2" t="s">
        <v>616</v>
      </c>
      <c r="E385" s="172" t="str" cm="1">
        <f t="array" aca="1" ref="E385" ca="1">Common_InputFunctions.Utility_DisplayFunctionName(J399)</f>
        <v>=Scope3_Equations.VEERG_15_9_1_1__1_EmissionsFromPurchasedGrowMedia</v>
      </c>
    </row>
    <row r="388" spans="4:14" x14ac:dyDescent="0.25">
      <c r="G388" s="172"/>
    </row>
    <row r="389" spans="4:14" x14ac:dyDescent="0.25">
      <c r="D389" s="27" t="s">
        <v>617</v>
      </c>
      <c r="E389" s="8" t="str" cm="1">
        <f t="array" ref="E389">Scope3_Equations.VEERG_15_9_1_1__1_EmissionsFromPurchasedGrowMedia_Variable()</f>
        <v>E</v>
      </c>
    </row>
    <row r="390" spans="4:14" x14ac:dyDescent="0.25">
      <c r="D390" s="27" t="s">
        <v>96</v>
      </c>
      <c r="E390" s="8" t="str" cm="1">
        <f t="array" ref="E390">Scope3_Equations.VEERG_15_9_1_1__1_EmissionsFromPurchasedGrowMedia_Unit()</f>
        <v>t CO2e</v>
      </c>
    </row>
    <row r="392" spans="4:14" x14ac:dyDescent="0.25">
      <c r="D392" s="167" t="str" cm="1">
        <f t="array" ref="D392:E394">_xlfn.CHOOSECOLS(Scope3_Equations.VEERG_15_9_1_1__1_EmissionsFromPurchasedGrowMedia_Arguments(),1,2)</f>
        <v>Q_g</v>
      </c>
      <c r="E392" s="167" t="str">
        <v>total quantity of grow media type g</v>
      </c>
      <c r="F392" s="167" t="str" cm="1">
        <f t="array" ref="F392:G394">_xlfn.CHOOSECOLS(Scope3_Equations.VEERG_15_9_1_1__1_EmissionsFromPurchasedGrowMedia_Arguments(),3,4)</f>
        <v>kg or m3</v>
      </c>
      <c r="G392" s="168" t="str">
        <v>Input</v>
      </c>
    </row>
    <row r="393" spans="4:14" x14ac:dyDescent="0.25">
      <c r="D393" s="167" t="str">
        <v>EF_g</v>
      </c>
      <c r="E393" s="167" t="str">
        <v>emission factor for grow media type g</v>
      </c>
      <c r="F393" s="167" t="str">
        <v>kg CO2e/kg or kg CO2e/m3</v>
      </c>
      <c r="G393" s="169" t="str">
        <v>Constant</v>
      </c>
    </row>
    <row r="394" spans="4:14" x14ac:dyDescent="0.25">
      <c r="D394" s="167" t="str">
        <v>g</v>
      </c>
      <c r="E394" s="167" t="str">
        <v>grow media type</v>
      </c>
      <c r="F394" s="167" t="str">
        <v/>
      </c>
      <c r="G394" s="168" t="str">
        <v>Input</v>
      </c>
    </row>
    <row r="396" spans="4:14" x14ac:dyDescent="0.25">
      <c r="D396" s="12" t="s">
        <v>681</v>
      </c>
    </row>
    <row r="398" spans="4:14" x14ac:dyDescent="0.25">
      <c r="D398" s="46" t="s">
        <v>686</v>
      </c>
      <c r="E398" s="46" t="s">
        <v>601</v>
      </c>
      <c r="F398" s="46" t="s">
        <v>125</v>
      </c>
      <c r="G398" s="57" t="s">
        <v>406</v>
      </c>
      <c r="H398" s="57" t="s">
        <v>343</v>
      </c>
      <c r="I398" s="46" t="s">
        <v>407</v>
      </c>
      <c r="J398" s="57" t="s">
        <v>344</v>
      </c>
      <c r="K398" s="57" t="s">
        <v>602</v>
      </c>
      <c r="L398" s="46" t="s">
        <v>619</v>
      </c>
      <c r="M398" s="46" t="s">
        <v>620</v>
      </c>
      <c r="N398" s="46" t="s">
        <v>621</v>
      </c>
    </row>
    <row r="399" spans="4:14" x14ac:dyDescent="0.25">
      <c r="D399" s="49" t="str" cm="1">
        <f t="array" ref="D399:D408">IFERROR(INDEX(Table_Input_GrowMedia[Grow media type], _xlfn.SEQUENCE(10)), "")</f>
        <v>Coir</v>
      </c>
      <c r="E399" s="49" cm="1">
        <f t="array" ref="E399:E408">IFERROR(INDEX(Table_Input_GrowMedia[Total amount], _xlfn.SEQUENCE(10)), "")</f>
        <v>10000</v>
      </c>
      <c r="F399" s="49" t="str" cm="1">
        <f t="array" ref="F399:F408">IFERROR(INDEX(Table_Input_GrowMedia[Amount unit], _xlfn.SEQUENCE(10)), "")</f>
        <v>kg</v>
      </c>
      <c r="G399" s="49" t="s">
        <v>809</v>
      </c>
      <c r="H399" s="49" t="s">
        <v>809</v>
      </c>
      <c r="I399" s="66">
        <v>4</v>
      </c>
      <c r="J399" s="151" cm="1">
        <f t="array" ref="J399">Scope3_Equations.VEERG_15_9_1_1__1_EmissionsFromPurchasedGrowMedia(E399,I399)</f>
        <v>40</v>
      </c>
      <c r="K399" s="49" t="str">
        <f>"t CO2e / " &amp; F399</f>
        <v>t CO2e / kg</v>
      </c>
      <c r="L399" s="82"/>
      <c r="M399" s="47"/>
      <c r="N399" s="82"/>
    </row>
    <row r="400" spans="4:14" x14ac:dyDescent="0.25">
      <c r="D400" s="49" t="str">
        <v>Peat moss</v>
      </c>
      <c r="E400" s="49">
        <v>100</v>
      </c>
      <c r="F400" s="49" t="str">
        <v>m3</v>
      </c>
      <c r="G400" s="49" t="s">
        <v>809</v>
      </c>
      <c r="H400" s="49" t="s">
        <v>809</v>
      </c>
      <c r="I400" s="66">
        <v>2</v>
      </c>
      <c r="J400" s="151" cm="1">
        <f t="array" ref="J400">Scope3_Equations.VEERG_15_9_1_1__1_EmissionsFromPurchasedGrowMedia(E400,I400)</f>
        <v>0.2</v>
      </c>
      <c r="K400" s="49" t="str">
        <f t="shared" ref="K400:K408" si="2">"t CO2e / " &amp; F400</f>
        <v>t CO2e / m3</v>
      </c>
      <c r="L400" s="82"/>
      <c r="M400" s="47"/>
      <c r="N400" s="82"/>
    </row>
    <row r="401" spans="3:41" x14ac:dyDescent="0.25">
      <c r="D401" s="49" t="str">
        <v>tiny gravel</v>
      </c>
      <c r="E401" s="49">
        <v>10000</v>
      </c>
      <c r="F401" s="49" t="str">
        <v>kg</v>
      </c>
      <c r="G401" s="49" t="s">
        <v>809</v>
      </c>
      <c r="H401" s="49" t="s">
        <v>809</v>
      </c>
      <c r="I401" s="66"/>
      <c r="J401" s="151" cm="1">
        <f t="array" ref="J401">Scope3_Equations.VEERG_15_9_1_1__1_EmissionsFromPurchasedGrowMedia(E401,I401)</f>
        <v>0</v>
      </c>
      <c r="K401" s="49" t="str">
        <f t="shared" si="2"/>
        <v>t CO2e / kg</v>
      </c>
      <c r="L401" s="82"/>
      <c r="M401" s="47"/>
      <c r="N401" s="82"/>
    </row>
    <row r="402" spans="3:41" x14ac:dyDescent="0.25">
      <c r="D402" s="49">
        <v>0</v>
      </c>
      <c r="E402" s="49">
        <v>0</v>
      </c>
      <c r="F402" s="49">
        <v>0</v>
      </c>
      <c r="G402" s="49" t="s">
        <v>809</v>
      </c>
      <c r="H402" s="49" t="s">
        <v>809</v>
      </c>
      <c r="I402" s="66"/>
      <c r="J402" s="151" cm="1">
        <f t="array" ref="J402">Scope3_Equations.VEERG_15_9_1_1__1_EmissionsFromPurchasedGrowMedia(E402,I402)</f>
        <v>0</v>
      </c>
      <c r="K402" s="49" t="str">
        <f t="shared" si="2"/>
        <v>t CO2e / 0</v>
      </c>
      <c r="L402" s="82"/>
      <c r="M402" s="47"/>
      <c r="N402" s="82"/>
    </row>
    <row r="403" spans="3:41" x14ac:dyDescent="0.25">
      <c r="D403" s="49">
        <v>0</v>
      </c>
      <c r="E403" s="49">
        <v>0</v>
      </c>
      <c r="F403" s="49">
        <v>0</v>
      </c>
      <c r="G403" s="49" t="s">
        <v>809</v>
      </c>
      <c r="H403" s="49" t="s">
        <v>809</v>
      </c>
      <c r="I403" s="66"/>
      <c r="J403" s="151" cm="1">
        <f t="array" ref="J403">Scope3_Equations.VEERG_15_9_1_1__1_EmissionsFromPurchasedGrowMedia(E403,I403)</f>
        <v>0</v>
      </c>
      <c r="K403" s="49" t="str">
        <f t="shared" si="2"/>
        <v>t CO2e / 0</v>
      </c>
      <c r="L403" s="82"/>
      <c r="M403" s="47"/>
      <c r="N403" s="82"/>
    </row>
    <row r="404" spans="3:41" x14ac:dyDescent="0.25">
      <c r="D404" s="49">
        <v>0</v>
      </c>
      <c r="E404" s="49">
        <v>0</v>
      </c>
      <c r="F404" s="49">
        <v>0</v>
      </c>
      <c r="G404" s="49" t="s">
        <v>809</v>
      </c>
      <c r="H404" s="49" t="s">
        <v>809</v>
      </c>
      <c r="I404" s="66"/>
      <c r="J404" s="151" cm="1">
        <f t="array" ref="J404">Scope3_Equations.VEERG_15_9_1_1__1_EmissionsFromPurchasedGrowMedia(E404,I404)</f>
        <v>0</v>
      </c>
      <c r="K404" s="49" t="str">
        <f t="shared" si="2"/>
        <v>t CO2e / 0</v>
      </c>
      <c r="L404" s="82"/>
      <c r="M404" s="47"/>
      <c r="N404" s="82"/>
    </row>
    <row r="405" spans="3:41" x14ac:dyDescent="0.25">
      <c r="D405" s="49">
        <v>0</v>
      </c>
      <c r="E405" s="49">
        <v>0</v>
      </c>
      <c r="F405" s="49">
        <v>0</v>
      </c>
      <c r="G405" s="49" t="s">
        <v>809</v>
      </c>
      <c r="H405" s="49" t="s">
        <v>809</v>
      </c>
      <c r="I405" s="66"/>
      <c r="J405" s="151" cm="1">
        <f t="array" ref="J405">Scope3_Equations.VEERG_15_9_1_1__1_EmissionsFromPurchasedGrowMedia(E405,I405)</f>
        <v>0</v>
      </c>
      <c r="K405" s="49" t="str">
        <f t="shared" si="2"/>
        <v>t CO2e / 0</v>
      </c>
      <c r="L405" s="82"/>
      <c r="M405" s="47"/>
      <c r="N405" s="82"/>
    </row>
    <row r="406" spans="3:41" x14ac:dyDescent="0.25">
      <c r="D406" s="49">
        <v>0</v>
      </c>
      <c r="E406" s="49">
        <v>0</v>
      </c>
      <c r="F406" s="49">
        <v>0</v>
      </c>
      <c r="G406" s="49" t="s">
        <v>809</v>
      </c>
      <c r="H406" s="49" t="s">
        <v>809</v>
      </c>
      <c r="I406" s="66"/>
      <c r="J406" s="151" cm="1">
        <f t="array" ref="J406">Scope3_Equations.VEERG_15_9_1_1__1_EmissionsFromPurchasedGrowMedia(E406,I406)</f>
        <v>0</v>
      </c>
      <c r="K406" s="49" t="str">
        <f t="shared" si="2"/>
        <v>t CO2e / 0</v>
      </c>
      <c r="L406" s="82"/>
      <c r="M406" s="47"/>
      <c r="N406" s="82"/>
    </row>
    <row r="407" spans="3:41" x14ac:dyDescent="0.25">
      <c r="D407" s="49">
        <v>0</v>
      </c>
      <c r="E407" s="49">
        <v>0</v>
      </c>
      <c r="F407" s="49">
        <v>0</v>
      </c>
      <c r="G407" s="49" t="s">
        <v>809</v>
      </c>
      <c r="H407" s="49" t="s">
        <v>809</v>
      </c>
      <c r="I407" s="66"/>
      <c r="J407" s="151" cm="1">
        <f t="array" ref="J407">Scope3_Equations.VEERG_15_9_1_1__1_EmissionsFromPurchasedGrowMedia(E407,I407)</f>
        <v>0</v>
      </c>
      <c r="K407" s="49" t="str">
        <f t="shared" si="2"/>
        <v>t CO2e / 0</v>
      </c>
      <c r="L407" s="82"/>
      <c r="M407" s="47"/>
      <c r="N407" s="82"/>
    </row>
    <row r="408" spans="3:41" x14ac:dyDescent="0.25">
      <c r="D408" s="49">
        <v>0</v>
      </c>
      <c r="E408" s="49">
        <v>0</v>
      </c>
      <c r="F408" s="49">
        <v>0</v>
      </c>
      <c r="G408" s="49" t="s">
        <v>809</v>
      </c>
      <c r="H408" s="49" t="s">
        <v>809</v>
      </c>
      <c r="I408" s="66"/>
      <c r="J408" s="151" cm="1">
        <f t="array" ref="J408">Scope3_Equations.VEERG_15_9_1_1__1_EmissionsFromPurchasedGrowMedia(E408,I408)</f>
        <v>0</v>
      </c>
      <c r="K408" s="49" t="str">
        <f t="shared" si="2"/>
        <v>t CO2e / 0</v>
      </c>
      <c r="L408" s="82"/>
      <c r="M408" s="47"/>
      <c r="N408" s="82"/>
    </row>
    <row r="410" spans="3:41" ht="20.25" x14ac:dyDescent="0.25">
      <c r="D410" s="179" t="s">
        <v>623</v>
      </c>
      <c r="E410" s="177" t="s">
        <v>809</v>
      </c>
      <c r="F410" s="178" t="str">
        <f>$E$155</f>
        <v>t CO2e</v>
      </c>
    </row>
    <row r="411" spans="3:41" ht="20.25" x14ac:dyDescent="0.25">
      <c r="D411" s="179" t="s">
        <v>625</v>
      </c>
      <c r="E411" s="177">
        <f>SUM(J399:J408)</f>
        <v>40.200000000000003</v>
      </c>
      <c r="F411" s="178" t="str">
        <f>$E$155</f>
        <v>t CO2e</v>
      </c>
    </row>
    <row r="414" spans="3:41" x14ac:dyDescent="0.25">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c r="AF414" s="98"/>
      <c r="AG414" s="98"/>
      <c r="AH414" s="98"/>
      <c r="AI414" s="98"/>
      <c r="AJ414" s="98"/>
      <c r="AK414" s="98"/>
      <c r="AL414" s="98"/>
      <c r="AM414" s="98"/>
      <c r="AN414" s="98"/>
      <c r="AO414" s="98"/>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694</v>
      </c>
    </row>
    <row r="418" spans="4:13" x14ac:dyDescent="0.25">
      <c r="D418" s="172" t="s">
        <v>616</v>
      </c>
      <c r="E418" s="172" t="str" cm="1">
        <f t="array" aca="1" ref="E418" ca="1">Common_InputFunctions.Utility_DisplayFunctionName(H430)</f>
        <v>=Scope3_Equations.VEERG_15_10_1_1__1_OtherPurchasedGoodsAndServices</v>
      </c>
    </row>
    <row r="421" spans="4:13" x14ac:dyDescent="0.25">
      <c r="D421" s="27" t="s">
        <v>617</v>
      </c>
      <c r="E421" s="8" t="str" cm="1">
        <f t="array" ref="E421">Scope3_Equations.VEERG_15_10_1_1__1_OtherPurchasedGoodsAndServices_Variable()</f>
        <v>emissions</v>
      </c>
    </row>
    <row r="422" spans="4:13" x14ac:dyDescent="0.25">
      <c r="D422" s="27" t="s">
        <v>96</v>
      </c>
      <c r="E422" s="13" t="str" cm="1">
        <f t="array" ref="E422">Scope3_Equations.VEERG_15_10_1_1__1_OtherPurchasedGoodsAndServices_Unit()</f>
        <v>t CO2e</v>
      </c>
    </row>
    <row r="424" spans="4:13" x14ac:dyDescent="0.25">
      <c r="D424" s="167" t="str" cm="1">
        <f t="array" ref="D424:E425">_xlfn.CHOOSECOLS(Scope3_Equations.VEERG_15_10_1_1__1_OtherPurchasedGoodsAndServices_Arguments(),1,2)</f>
        <v>activity_data</v>
      </c>
      <c r="E424" s="171" t="str">
        <v>measured activity for the purchased good or service</v>
      </c>
      <c r="F424" s="166"/>
      <c r="G424" s="167" t="str" cm="1">
        <f t="array" ref="G424:H425">_xlfn.CHOOSECOLS(Scope3_Equations.VEERG_15_10_1_1__1_OtherPurchasedGoodsAndServices_Arguments(),3,4)</f>
        <v>varies</v>
      </c>
      <c r="H424" s="168" t="str">
        <v>Input</v>
      </c>
    </row>
    <row r="425" spans="4:13" x14ac:dyDescent="0.25">
      <c r="D425" s="167" t="str">
        <v>emission_factor</v>
      </c>
      <c r="E425" s="171" t="str">
        <v>lifecycle emissions per unit of activity</v>
      </c>
      <c r="F425" s="166"/>
      <c r="G425" s="167" t="str">
        <v>varies</v>
      </c>
      <c r="H425" s="169" t="str">
        <v>Constant</v>
      </c>
    </row>
    <row r="427" spans="4:13" ht="18.75" x14ac:dyDescent="0.25">
      <c r="D427" s="144" t="s">
        <v>365</v>
      </c>
    </row>
    <row r="429" spans="4:13" x14ac:dyDescent="0.25">
      <c r="D429" s="46" t="s">
        <v>351</v>
      </c>
      <c r="E429" s="152" t="s">
        <v>277</v>
      </c>
      <c r="F429" s="152" t="s">
        <v>367</v>
      </c>
      <c r="G429" s="57" t="s">
        <v>345</v>
      </c>
      <c r="H429" s="57" t="s">
        <v>623</v>
      </c>
      <c r="I429" s="46" t="s">
        <v>348</v>
      </c>
      <c r="J429" s="57" t="s">
        <v>625</v>
      </c>
      <c r="K429" s="46" t="s">
        <v>619</v>
      </c>
      <c r="L429" s="46" t="s">
        <v>620</v>
      </c>
      <c r="M429" s="46" t="s">
        <v>621</v>
      </c>
    </row>
    <row r="430" spans="4:13" x14ac:dyDescent="0.25">
      <c r="D430" s="49" t="str" cm="1">
        <f t="array" ref="D430:D439">IFERROR(INDEX(Table_Input_ChemicalsCleaning[Product name], _xlfn.SEQUENCE(10)), "")</f>
        <v>Acid kleen</v>
      </c>
      <c r="E430" s="49" t="str" cm="1">
        <f t="array" ref="E430:E439">IFERROR(INDEX(Table_Input_ChemicalsCleaning[Type (select)], _xlfn.SEQUENCE(10)), "")</f>
        <v>Phosphoric acid</v>
      </c>
      <c r="F430" s="49" cm="1">
        <f t="array" ref="F430:F439">IFERROR(INDEX(Table_Input_ChemicalsCleaning[Quantity purchased (kg)], _xlfn.SEQUENCE(10)), "")</f>
        <v>100</v>
      </c>
      <c r="G430" s="49" cm="1">
        <f t="array" ref="G430">Common_InputFunctions.Utility_LookupValueInTableNumber(E430,Table_SourceData_Scope3_ChemicalsCleaning[Product],Table_SourceData_Scope3_ChemicalsCleaning[AusLCI Emissions intensity])</f>
        <v>0.90700000000000003</v>
      </c>
      <c r="H430" s="151" cm="1">
        <f t="array" ref="H430">Scope3_Equations.VEERG_15_10_1_1__1_OtherPurchasedGoodsAndServices(F430,G430*10^-3)</f>
        <v>9.0700000000000003E-2</v>
      </c>
      <c r="I430" s="66">
        <v>1.3</v>
      </c>
      <c r="J430" s="151" cm="1">
        <f t="array" ref="J430">Scope3_Equations.VEERG_15_10_1_1__1_OtherPurchasedGoodsAndServices(F430,IF(I430,I430,G430)*10^-3)</f>
        <v>0.13</v>
      </c>
      <c r="K430" s="82"/>
      <c r="L430" s="47"/>
      <c r="M430" s="82"/>
    </row>
    <row r="431" spans="4:13" x14ac:dyDescent="0.25">
      <c r="D431" s="49" t="str">
        <v>Kleen alk</v>
      </c>
      <c r="E431" s="49" t="str">
        <v>Alkaline cleaner</v>
      </c>
      <c r="F431" s="49">
        <v>100</v>
      </c>
      <c r="G431" s="49" cm="1">
        <f t="array" ref="G431">Common_InputFunctions.Utility_LookupValueInTableNumber(E431,Table_SourceData_Scope3_ChemicalsCleaning[Product],Table_SourceData_Scope3_ChemicalsCleaning[AusLCI Emissions intensity])</f>
        <v>0.72199999999999998</v>
      </c>
      <c r="H431" s="151" cm="1">
        <f t="array" ref="H431">Scope3_Equations.VEERG_15_10_1_1__1_OtherPurchasedGoodsAndServices(F431,G431*10^-3)</f>
        <v>7.22E-2</v>
      </c>
      <c r="I431" s="66">
        <v>8</v>
      </c>
      <c r="J431" s="151" cm="1">
        <f t="array" ref="J431">Scope3_Equations.VEERG_15_10_1_1__1_OtherPurchasedGoodsAndServices(F431,IF(I431,I431,G431)*10^-3)</f>
        <v>0.8</v>
      </c>
      <c r="K431" s="82"/>
      <c r="L431" s="47"/>
      <c r="M431" s="82"/>
    </row>
    <row r="432" spans="4:13" x14ac:dyDescent="0.25">
      <c r="D432" s="49" t="str">
        <v>White king</v>
      </c>
      <c r="E432" s="49" t="str">
        <v>Bleach</v>
      </c>
      <c r="F432" s="49">
        <v>100</v>
      </c>
      <c r="G432" s="49" cm="1">
        <f t="array" ref="G432">Common_InputFunctions.Utility_LookupValueInTableNumber(E432,Table_SourceData_Scope3_ChemicalsCleaning[Product],Table_SourceData_Scope3_ChemicalsCleaning[AusLCI Emissions intensity])</f>
        <v>0.80400000000000005</v>
      </c>
      <c r="H432" s="151" cm="1">
        <f t="array" ref="H432">Scope3_Equations.VEERG_15_10_1_1__1_OtherPurchasedGoodsAndServices(F432,G432*10^-3)</f>
        <v>8.0399999999999999E-2</v>
      </c>
      <c r="I432" s="66">
        <v>4</v>
      </c>
      <c r="J432" s="151" cm="1">
        <f t="array" ref="J432">Scope3_Equations.VEERG_15_10_1_1__1_OtherPurchasedGoodsAndServices(F432,IF(I432,I432,G432)*10^-3)</f>
        <v>0.4</v>
      </c>
      <c r="K432" s="82"/>
      <c r="L432" s="47"/>
      <c r="M432" s="82"/>
    </row>
    <row r="433" spans="4:13" x14ac:dyDescent="0.25">
      <c r="D433" s="49" t="str">
        <v>White king</v>
      </c>
      <c r="E433" s="49" t="str">
        <v>Bleach</v>
      </c>
      <c r="F433" s="49">
        <v>100</v>
      </c>
      <c r="G433" s="49" cm="1">
        <f t="array" ref="G433">Common_InputFunctions.Utility_LookupValueInTableNumber(E433,Table_SourceData_Scope3_ChemicalsCleaning[Product],Table_SourceData_Scope3_ChemicalsCleaning[AusLCI Emissions intensity])</f>
        <v>0.80400000000000005</v>
      </c>
      <c r="H433" s="151" cm="1">
        <f t="array" ref="H433">Scope3_Equations.VEERG_15_10_1_1__1_OtherPurchasedGoodsAndServices(F433,G433*10^-3)</f>
        <v>8.0399999999999999E-2</v>
      </c>
      <c r="I433" s="66">
        <v>3</v>
      </c>
      <c r="J433" s="151" cm="1">
        <f t="array" ref="J433">Scope3_Equations.VEERG_15_10_1_1__1_OtherPurchasedGoodsAndServices(F433,IF(I433,I433,G433)*10^-3)</f>
        <v>0.3</v>
      </c>
      <c r="K433" s="82"/>
      <c r="L433" s="47"/>
      <c r="M433" s="82"/>
    </row>
    <row r="434" spans="4:13" x14ac:dyDescent="0.25">
      <c r="D434" s="49" t="str">
        <v>Acid kleen</v>
      </c>
      <c r="E434" s="49" t="str">
        <v>Phosphoric acid</v>
      </c>
      <c r="F434" s="49">
        <v>100</v>
      </c>
      <c r="G434" s="49" cm="1">
        <f t="array" ref="G434">Common_InputFunctions.Utility_LookupValueInTableNumber(E434,Table_SourceData_Scope3_ChemicalsCleaning[Product],Table_SourceData_Scope3_ChemicalsCleaning[AusLCI Emissions intensity])</f>
        <v>0.90700000000000003</v>
      </c>
      <c r="H434" s="151" cm="1">
        <f t="array" ref="H434">Scope3_Equations.VEERG_15_10_1_1__1_OtherPurchasedGoodsAndServices(F434,G434*10^-3)</f>
        <v>9.0700000000000003E-2</v>
      </c>
      <c r="I434" s="66">
        <v>6</v>
      </c>
      <c r="J434" s="151" cm="1">
        <f t="array" ref="J434">Scope3_Equations.VEERG_15_10_1_1__1_OtherPurchasedGoodsAndServices(F434,IF(I434,I434,G434)*10^-3)</f>
        <v>0.6</v>
      </c>
      <c r="K434" s="82"/>
      <c r="L434" s="47"/>
      <c r="M434" s="82"/>
    </row>
    <row r="435" spans="4:13" x14ac:dyDescent="0.25">
      <c r="D435" s="49" t="str">
        <v>Acid kleen</v>
      </c>
      <c r="E435" s="49" t="str">
        <v>Phosphoric acid</v>
      </c>
      <c r="F435" s="49">
        <v>100</v>
      </c>
      <c r="G435" s="49" cm="1">
        <f t="array" ref="G435">Common_InputFunctions.Utility_LookupValueInTableNumber(E435,Table_SourceData_Scope3_ChemicalsCleaning[Product],Table_SourceData_Scope3_ChemicalsCleaning[AusLCI Emissions intensity])</f>
        <v>0.90700000000000003</v>
      </c>
      <c r="H435" s="151" cm="1">
        <f t="array" ref="H435">Scope3_Equations.VEERG_15_10_1_1__1_OtherPurchasedGoodsAndServices(F435,G435*10^-3)</f>
        <v>9.0700000000000003E-2</v>
      </c>
      <c r="I435" s="66">
        <v>5</v>
      </c>
      <c r="J435" s="151" cm="1">
        <f t="array" ref="J435">Scope3_Equations.VEERG_15_10_1_1__1_OtherPurchasedGoodsAndServices(F435,IF(I435,I435,G435)*10^-3)</f>
        <v>0.5</v>
      </c>
      <c r="K435" s="82"/>
      <c r="L435" s="47"/>
      <c r="M435" s="82"/>
    </row>
    <row r="436" spans="4:13" x14ac:dyDescent="0.25">
      <c r="D436" s="49">
        <v>0</v>
      </c>
      <c r="E436" s="49">
        <v>0</v>
      </c>
      <c r="F436" s="49">
        <v>0</v>
      </c>
      <c r="G436" s="49" cm="1">
        <f t="array" ref="G436">Common_InputFunctions.Utility_LookupValueInTableNumber(E436,Table_SourceData_Scope3_ChemicalsCleaning[Product],Table_SourceData_Scope3_ChemicalsCleaning[AusLCI Emissions intensity])</f>
        <v>0</v>
      </c>
      <c r="H436" s="151" cm="1">
        <f t="array" ref="H436">Scope3_Equations.VEERG_15_10_1_1__1_OtherPurchasedGoodsAndServices(F436,G436*10^-3)</f>
        <v>0</v>
      </c>
      <c r="I436" s="66"/>
      <c r="J436" s="151" cm="1">
        <f t="array" ref="J436">Scope3_Equations.VEERG_15_10_1_1__1_OtherPurchasedGoodsAndServices(F436,IF(I436,I436,G436)*10^-3)</f>
        <v>0</v>
      </c>
      <c r="K436" s="82"/>
      <c r="L436" s="47"/>
      <c r="M436" s="82"/>
    </row>
    <row r="437" spans="4:13" x14ac:dyDescent="0.25">
      <c r="D437" s="49">
        <v>0</v>
      </c>
      <c r="E437" s="49">
        <v>0</v>
      </c>
      <c r="F437" s="49">
        <v>0</v>
      </c>
      <c r="G437" s="49" cm="1">
        <f t="array" ref="G437">Common_InputFunctions.Utility_LookupValueInTableNumber(E437,Table_SourceData_Scope3_ChemicalsCleaning[Product],Table_SourceData_Scope3_ChemicalsCleaning[AusLCI Emissions intensity])</f>
        <v>0</v>
      </c>
      <c r="H437" s="151" cm="1">
        <f t="array" ref="H437">Scope3_Equations.VEERG_15_10_1_1__1_OtherPurchasedGoodsAndServices(F437,G437*10^-3)</f>
        <v>0</v>
      </c>
      <c r="I437" s="66"/>
      <c r="J437" s="151" cm="1">
        <f t="array" ref="J437">Scope3_Equations.VEERG_15_10_1_1__1_OtherPurchasedGoodsAndServices(F437,IF(I437,I437,G437)*10^-3)</f>
        <v>0</v>
      </c>
      <c r="K437" s="82"/>
      <c r="L437" s="47"/>
      <c r="M437" s="82"/>
    </row>
    <row r="438" spans="4:13" x14ac:dyDescent="0.25">
      <c r="D438" s="49">
        <v>0</v>
      </c>
      <c r="E438" s="49">
        <v>0</v>
      </c>
      <c r="F438" s="49">
        <v>0</v>
      </c>
      <c r="G438" s="49" cm="1">
        <f t="array" ref="G438">Common_InputFunctions.Utility_LookupValueInTableNumber(E438,Table_SourceData_Scope3_ChemicalsCleaning[Product],Table_SourceData_Scope3_ChemicalsCleaning[AusLCI Emissions intensity])</f>
        <v>0</v>
      </c>
      <c r="H438" s="151" cm="1">
        <f t="array" ref="H438">Scope3_Equations.VEERG_15_10_1_1__1_OtherPurchasedGoodsAndServices(F438,G438*10^-3)</f>
        <v>0</v>
      </c>
      <c r="I438" s="66"/>
      <c r="J438" s="151" cm="1">
        <f t="array" ref="J438">Scope3_Equations.VEERG_15_10_1_1__1_OtherPurchasedGoodsAndServices(F438,IF(I438,I438,G438)*10^-3)</f>
        <v>0</v>
      </c>
      <c r="K438" s="82"/>
      <c r="L438" s="47"/>
      <c r="M438" s="82"/>
    </row>
    <row r="439" spans="4:13" x14ac:dyDescent="0.25">
      <c r="D439" s="49">
        <v>0</v>
      </c>
      <c r="E439" s="49">
        <v>0</v>
      </c>
      <c r="F439" s="49">
        <v>0</v>
      </c>
      <c r="G439" s="49" cm="1">
        <f t="array" ref="G439">Common_InputFunctions.Utility_LookupValueInTableNumber(E439,Table_SourceData_Scope3_ChemicalsCleaning[Product],Table_SourceData_Scope3_ChemicalsCleaning[AusLCI Emissions intensity])</f>
        <v>0</v>
      </c>
      <c r="H439" s="151" cm="1">
        <f t="array" ref="H439">Scope3_Equations.VEERG_15_10_1_1__1_OtherPurchasedGoodsAndServices(F439,G439*10^-3)</f>
        <v>0</v>
      </c>
      <c r="I439" s="66"/>
      <c r="J439" s="151" cm="1">
        <f t="array" ref="J439">Scope3_Equations.VEERG_15_10_1_1__1_OtherPurchasedGoodsAndServices(F439,IF(I439,I439,G439)*10^-3)</f>
        <v>0</v>
      </c>
      <c r="K439" s="82"/>
      <c r="L439" s="47"/>
      <c r="M439" s="82"/>
    </row>
    <row r="441" spans="4:13" ht="20.25" x14ac:dyDescent="0.25">
      <c r="D441" s="179" t="s">
        <v>623</v>
      </c>
      <c r="E441" s="177">
        <f>SUM(H430:H439)</f>
        <v>0.50509999999999999</v>
      </c>
      <c r="F441" s="178" t="str">
        <f>$E$155</f>
        <v>t CO2e</v>
      </c>
    </row>
    <row r="442" spans="4:13" ht="20.25" x14ac:dyDescent="0.25">
      <c r="D442" s="179" t="s">
        <v>625</v>
      </c>
      <c r="E442" s="177">
        <f>SUM(J430:J439)</f>
        <v>2.73</v>
      </c>
      <c r="F442" s="178" t="str">
        <f>$E$155</f>
        <v>t CO2e</v>
      </c>
    </row>
    <row r="445" spans="4:13" ht="18.75" x14ac:dyDescent="0.25">
      <c r="D445" s="144" t="s">
        <v>366</v>
      </c>
    </row>
    <row r="447" spans="4:13" x14ac:dyDescent="0.25">
      <c r="D447" s="46" t="s">
        <v>351</v>
      </c>
      <c r="E447" s="152" t="s">
        <v>277</v>
      </c>
      <c r="F447" s="152" t="s">
        <v>364</v>
      </c>
      <c r="G447" s="57" t="s">
        <v>607</v>
      </c>
      <c r="H447" s="57" t="s">
        <v>623</v>
      </c>
      <c r="I447" s="46" t="s">
        <v>608</v>
      </c>
      <c r="J447" s="57" t="s">
        <v>625</v>
      </c>
      <c r="K447" s="46" t="s">
        <v>619</v>
      </c>
      <c r="L447" s="46" t="s">
        <v>620</v>
      </c>
      <c r="M447" s="46" t="s">
        <v>621</v>
      </c>
    </row>
    <row r="448" spans="4:13" x14ac:dyDescent="0.25">
      <c r="D448" s="49" t="str" cm="1">
        <f t="array" ref="D448:D457">IFERROR(INDEX(Table_Input_ChemicalsPharmacy[Product name], _xlfn.SEQUENCE(10)), "")</f>
        <v>Cow bug off</v>
      </c>
      <c r="E448" s="49" t="str" cm="1">
        <f t="array" ref="E448:E457">IFERROR(INDEX(Table_Input_ChemicalsPharmacy[Type (select)], _xlfn.SEQUENCE(10)), "")</f>
        <v>Parasite control for cattle (external), dipping</v>
      </c>
      <c r="F448" s="49" cm="1">
        <f t="array" ref="F448:F457">IFERROR(INDEX(Table_Input_ChemicalsCleaning[Quantity purchased (kg)], _xlfn.SEQUENCE(10)), "")</f>
        <v>100</v>
      </c>
      <c r="G448" s="49" cm="1">
        <f t="array" ref="G448">Common_InputFunctions.Utility_LookupValueInTableNumber(E448,Table_SourceData_Scope3_ChemicalsPharmacy[Product],Table_SourceData_Scope3_ChemicalsPharmacy[AusLCI Emissions intensity])</f>
        <v>5.4699999999999999E-2</v>
      </c>
      <c r="H448" s="151" cm="1">
        <f t="array" ref="H448">Scope3_Equations.VEERG_15_10_1_1__1_OtherPurchasedGoodsAndServices(F448,G448*10^-3)</f>
        <v>5.47E-3</v>
      </c>
      <c r="I448" s="66">
        <v>0.05</v>
      </c>
      <c r="J448" s="151" cm="1">
        <f t="array" ref="J448">Scope3_Equations.VEERG_15_10_1_1__1_OtherPurchasedGoodsAndServices(F448,IF(I448,I448,G448)*10^-3)</f>
        <v>5.0000000000000001E-3</v>
      </c>
      <c r="K448" s="82"/>
      <c r="L448" s="47"/>
      <c r="M448" s="82"/>
    </row>
    <row r="449" spans="4:13" x14ac:dyDescent="0.25">
      <c r="D449" s="49" t="str">
        <v>Cow worm-away</v>
      </c>
      <c r="E449" s="49" t="str">
        <v>Parasite control for cattle (internal)</v>
      </c>
      <c r="F449" s="49">
        <v>100</v>
      </c>
      <c r="G449" s="49" cm="1">
        <f t="array" ref="G449">Common_InputFunctions.Utility_LookupValueInTableNumber(E449,Table_SourceData_Scope3_ChemicalsPharmacy[Product],Table_SourceData_Scope3_ChemicalsPharmacy[AusLCI Emissions intensity])</f>
        <v>1.4200000000000001E-2</v>
      </c>
      <c r="H449" s="151" cm="1">
        <f t="array" ref="H449">Scope3_Equations.VEERG_15_10_1_1__1_OtherPurchasedGoodsAndServices(F449,G449*10^-3)</f>
        <v>1.42E-3</v>
      </c>
      <c r="I449" s="66">
        <v>0.01</v>
      </c>
      <c r="J449" s="151" cm="1">
        <f t="array" ref="J449">Scope3_Equations.VEERG_15_10_1_1__1_OtherPurchasedGoodsAndServices(F449,IF(I449,I449,G449)*10^-3)</f>
        <v>1E-3</v>
      </c>
      <c r="K449" s="82"/>
      <c r="L449" s="47"/>
      <c r="M449" s="82"/>
    </row>
    <row r="450" spans="4:13" x14ac:dyDescent="0.25">
      <c r="D450" s="49" t="str">
        <v>Sheep bug off</v>
      </c>
      <c r="E450" s="49" t="str">
        <v>Parasite control for sheep (external)</v>
      </c>
      <c r="F450" s="49">
        <v>100</v>
      </c>
      <c r="G450" s="49" cm="1">
        <f t="array" ref="G450">Common_InputFunctions.Utility_LookupValueInTableNumber(E450,Table_SourceData_Scope3_ChemicalsPharmacy[Product],Table_SourceData_Scope3_ChemicalsPharmacy[AusLCI Emissions intensity])</f>
        <v>1.43E-2</v>
      </c>
      <c r="H450" s="151" cm="1">
        <f t="array" ref="H450">Scope3_Equations.VEERG_15_10_1_1__1_OtherPurchasedGoodsAndServices(F450,G450*10^-3)</f>
        <v>1.4300000000000001E-3</v>
      </c>
      <c r="I450" s="66">
        <v>0.01</v>
      </c>
      <c r="J450" s="151" cm="1">
        <f t="array" ref="J450">Scope3_Equations.VEERG_15_10_1_1__1_OtherPurchasedGoodsAndServices(F450,IF(I450,I450,G450)*10^-3)</f>
        <v>1E-3</v>
      </c>
      <c r="K450" s="82"/>
      <c r="L450" s="47"/>
      <c r="M450" s="82"/>
    </row>
    <row r="451" spans="4:13" x14ac:dyDescent="0.25">
      <c r="D451" s="49" t="str">
        <v>Sheep worm-away</v>
      </c>
      <c r="E451" s="49" t="str">
        <v>Parasite control for sheep (internal)</v>
      </c>
      <c r="F451" s="49">
        <v>100</v>
      </c>
      <c r="G451" s="49" cm="1">
        <f t="array" ref="G451">Common_InputFunctions.Utility_LookupValueInTableNumber(E451,Table_SourceData_Scope3_ChemicalsPharmacy[Product],Table_SourceData_Scope3_ChemicalsPharmacy[AusLCI Emissions intensity])</f>
        <v>4.2599999999999999E-3</v>
      </c>
      <c r="H451" s="151" cm="1">
        <f t="array" ref="H451">Scope3_Equations.VEERG_15_10_1_1__1_OtherPurchasedGoodsAndServices(F451,G451*10^-3)</f>
        <v>4.26E-4</v>
      </c>
      <c r="I451" s="66">
        <v>4.0000000000000001E-3</v>
      </c>
      <c r="J451" s="151" cm="1">
        <f t="array" ref="J451">Scope3_Equations.VEERG_15_10_1_1__1_OtherPurchasedGoodsAndServices(F451,IF(I451,I451,G451)*10^-3)</f>
        <v>3.9999999999999996E-4</v>
      </c>
      <c r="K451" s="82"/>
      <c r="L451" s="47"/>
      <c r="M451" s="82"/>
    </row>
    <row r="452" spans="4:13" x14ac:dyDescent="0.25">
      <c r="D452" s="49" t="str">
        <v>Cow bug off</v>
      </c>
      <c r="E452" s="49" t="str">
        <v>Parasite control for cattle (external), dipping</v>
      </c>
      <c r="F452" s="49">
        <v>100</v>
      </c>
      <c r="G452" s="49" cm="1">
        <f t="array" ref="G452">Common_InputFunctions.Utility_LookupValueInTableNumber(E452,Table_SourceData_Scope3_ChemicalsPharmacy[Product],Table_SourceData_Scope3_ChemicalsPharmacy[AusLCI Emissions intensity])</f>
        <v>5.4699999999999999E-2</v>
      </c>
      <c r="H452" s="151" cm="1">
        <f t="array" ref="H452">Scope3_Equations.VEERG_15_10_1_1__1_OtherPurchasedGoodsAndServices(F452,G452*10^-3)</f>
        <v>5.47E-3</v>
      </c>
      <c r="I452" s="66">
        <v>0.05</v>
      </c>
      <c r="J452" s="151" cm="1">
        <f t="array" ref="J452">Scope3_Equations.VEERG_15_10_1_1__1_OtherPurchasedGoodsAndServices(F452,IF(I452,I452,G452)*10^-3)</f>
        <v>5.0000000000000001E-3</v>
      </c>
      <c r="K452" s="82"/>
      <c r="L452" s="47"/>
      <c r="M452" s="82"/>
    </row>
    <row r="453" spans="4:13" x14ac:dyDescent="0.25">
      <c r="D453" s="49" t="str">
        <v>Cow worm-away</v>
      </c>
      <c r="E453" s="49" t="str">
        <v>Parasite control for cattle (internal)</v>
      </c>
      <c r="F453" s="49">
        <v>100</v>
      </c>
      <c r="G453" s="49" cm="1">
        <f t="array" ref="G453">Common_InputFunctions.Utility_LookupValueInTableNumber(E453,Table_SourceData_Scope3_ChemicalsPharmacy[Product],Table_SourceData_Scope3_ChemicalsPharmacy[AusLCI Emissions intensity])</f>
        <v>1.4200000000000001E-2</v>
      </c>
      <c r="H453" s="151" cm="1">
        <f t="array" ref="H453">Scope3_Equations.VEERG_15_10_1_1__1_OtherPurchasedGoodsAndServices(F453,G453*10^-3)</f>
        <v>1.42E-3</v>
      </c>
      <c r="I453" s="66">
        <v>0.01</v>
      </c>
      <c r="J453" s="151" cm="1">
        <f t="array" ref="J453">Scope3_Equations.VEERG_15_10_1_1__1_OtherPurchasedGoodsAndServices(F453,IF(I453,I453,G453)*10^-3)</f>
        <v>1E-3</v>
      </c>
      <c r="K453" s="82"/>
      <c r="L453" s="47"/>
      <c r="M453" s="82"/>
    </row>
    <row r="454" spans="4:13" x14ac:dyDescent="0.25">
      <c r="D454" s="49">
        <v>0</v>
      </c>
      <c r="E454" s="49">
        <v>0</v>
      </c>
      <c r="F454" s="49">
        <v>0</v>
      </c>
      <c r="G454" s="49" cm="1">
        <f t="array" ref="G454">Common_InputFunctions.Utility_LookupValueInTableNumber(E454,Table_SourceData_Scope3_ChemicalsPharmacy[Product],Table_SourceData_Scope3_ChemicalsPharmacy[AusLCI Emissions intensity])</f>
        <v>0</v>
      </c>
      <c r="H454" s="151" cm="1">
        <f t="array" ref="H454">Scope3_Equations.VEERG_15_10_1_1__1_OtherPurchasedGoodsAndServices(F454,G454*10^-3)</f>
        <v>0</v>
      </c>
      <c r="I454" s="66"/>
      <c r="J454" s="151" cm="1">
        <f t="array" ref="J454">Scope3_Equations.VEERG_15_10_1_1__1_OtherPurchasedGoodsAndServices(F454,IF(I454,I454,G454)*10^-3)</f>
        <v>0</v>
      </c>
      <c r="K454" s="82"/>
      <c r="L454" s="47"/>
      <c r="M454" s="82"/>
    </row>
    <row r="455" spans="4:13" x14ac:dyDescent="0.25">
      <c r="D455" s="49">
        <v>0</v>
      </c>
      <c r="E455" s="49">
        <v>0</v>
      </c>
      <c r="F455" s="49">
        <v>0</v>
      </c>
      <c r="G455" s="49" cm="1">
        <f t="array" ref="G455">Common_InputFunctions.Utility_LookupValueInTableNumber(E455,Table_SourceData_Scope3_ChemicalsPharmacy[Product],Table_SourceData_Scope3_ChemicalsPharmacy[AusLCI Emissions intensity])</f>
        <v>0</v>
      </c>
      <c r="H455" s="151" cm="1">
        <f t="array" ref="H455">Scope3_Equations.VEERG_15_10_1_1__1_OtherPurchasedGoodsAndServices(F455,G455*10^-3)</f>
        <v>0</v>
      </c>
      <c r="I455" s="66"/>
      <c r="J455" s="151" cm="1">
        <f t="array" ref="J455">Scope3_Equations.VEERG_15_10_1_1__1_OtherPurchasedGoodsAndServices(F455,IF(I455,I455,G455)*10^-3)</f>
        <v>0</v>
      </c>
      <c r="K455" s="82"/>
      <c r="L455" s="47"/>
      <c r="M455" s="82"/>
    </row>
    <row r="456" spans="4:13" x14ac:dyDescent="0.25">
      <c r="D456" s="49">
        <v>0</v>
      </c>
      <c r="E456" s="49">
        <v>0</v>
      </c>
      <c r="F456" s="49">
        <v>0</v>
      </c>
      <c r="G456" s="49" cm="1">
        <f t="array" ref="G456">Common_InputFunctions.Utility_LookupValueInTableNumber(E456,Table_SourceData_Scope3_ChemicalsPharmacy[Product],Table_SourceData_Scope3_ChemicalsPharmacy[AusLCI Emissions intensity])</f>
        <v>0</v>
      </c>
      <c r="H456" s="151" cm="1">
        <f t="array" ref="H456">Scope3_Equations.VEERG_15_10_1_1__1_OtherPurchasedGoodsAndServices(F456,G456*10^-3)</f>
        <v>0</v>
      </c>
      <c r="I456" s="66"/>
      <c r="J456" s="151" cm="1">
        <f t="array" ref="J456">Scope3_Equations.VEERG_15_10_1_1__1_OtherPurchasedGoodsAndServices(F456,IF(I456,I456,G456)*10^-3)</f>
        <v>0</v>
      </c>
      <c r="K456" s="82"/>
      <c r="L456" s="47"/>
      <c r="M456" s="82"/>
    </row>
    <row r="457" spans="4:13" x14ac:dyDescent="0.25">
      <c r="D457" s="49">
        <v>0</v>
      </c>
      <c r="E457" s="49">
        <v>0</v>
      </c>
      <c r="F457" s="49">
        <v>0</v>
      </c>
      <c r="G457" s="49" cm="1">
        <f t="array" ref="G457">Common_InputFunctions.Utility_LookupValueInTableNumber(E457,Table_SourceData_Scope3_ChemicalsPharmacy[Product],Table_SourceData_Scope3_ChemicalsPharmacy[AusLCI Emissions intensity])</f>
        <v>0</v>
      </c>
      <c r="H457" s="151" cm="1">
        <f t="array" ref="H457">Scope3_Equations.VEERG_15_10_1_1__1_OtherPurchasedGoodsAndServices(F457,G457*10^-3)</f>
        <v>0</v>
      </c>
      <c r="I457" s="66"/>
      <c r="J457" s="151" cm="1">
        <f t="array" ref="J457">Scope3_Equations.VEERG_15_10_1_1__1_OtherPurchasedGoodsAndServices(F457,IF(I457,I457,G457)*10^-3)</f>
        <v>0</v>
      </c>
      <c r="K457" s="82"/>
      <c r="L457" s="47"/>
      <c r="M457" s="82"/>
    </row>
    <row r="459" spans="4:13" ht="20.25" x14ac:dyDescent="0.25">
      <c r="D459" s="179" t="s">
        <v>623</v>
      </c>
      <c r="E459" s="177">
        <f>SUM(H448:H457)</f>
        <v>1.5636000000000001E-2</v>
      </c>
      <c r="F459" s="178" t="str">
        <f>$E$155</f>
        <v>t CO2e</v>
      </c>
    </row>
    <row r="460" spans="4:13" ht="20.25" x14ac:dyDescent="0.25">
      <c r="D460" s="179" t="s">
        <v>625</v>
      </c>
      <c r="E460" s="177">
        <f>SUM(J448:J457)</f>
        <v>1.3400000000000002E-2</v>
      </c>
      <c r="F460" s="178" t="str">
        <f>$E$155</f>
        <v>t CO2e</v>
      </c>
    </row>
    <row r="463" spans="4:13" ht="18.75" x14ac:dyDescent="0.25">
      <c r="D463" s="144" t="s">
        <v>402</v>
      </c>
    </row>
    <row r="465" spans="4:12" x14ac:dyDescent="0.25">
      <c r="D465" s="46" t="s">
        <v>167</v>
      </c>
      <c r="E465" s="46" t="s">
        <v>695</v>
      </c>
      <c r="F465" s="57" t="s">
        <v>607</v>
      </c>
      <c r="G465" s="57" t="s">
        <v>623</v>
      </c>
      <c r="H465" s="46" t="s">
        <v>608</v>
      </c>
      <c r="I465" s="57" t="s">
        <v>625</v>
      </c>
      <c r="J465" s="46" t="s">
        <v>619</v>
      </c>
      <c r="K465" s="46" t="s">
        <v>620</v>
      </c>
      <c r="L465" s="46" t="s">
        <v>621</v>
      </c>
    </row>
    <row r="466" spans="4:12" x14ac:dyDescent="0.25">
      <c r="D466" s="49" t="str">
        <f>'Input - Crop pasture farm input'!D23</f>
        <v>Barley grain (for seed)</v>
      </c>
      <c r="E466" s="49">
        <f>X_Cell_FarmInputs_Seed_BarleyGrain</f>
        <v>500</v>
      </c>
      <c r="F466" s="49" cm="1">
        <f t="array" ref="F466">Common_InputFunctions.Utility_LookupValueInTableNumber(D466,Table_SourceData_Scope3_Other[Product],Table_SourceData_Scope3_Other[AusLCI Emissions intensity])</f>
        <v>0.23899999999999999</v>
      </c>
      <c r="G466" s="151" cm="1">
        <f t="array" ref="G466">Scope3_Equations.VEERG_15_10_1_1__1_OtherPurchasedGoodsAndServices(E466,F466*10^-3)</f>
        <v>0.1195</v>
      </c>
      <c r="H466" s="66">
        <v>0.2</v>
      </c>
      <c r="I466" s="151" cm="1">
        <f t="array" ref="I466">Scope3_Equations.VEERG_15_10_1_1__1_OtherPurchasedGoodsAndServices(E466,IF(H466,H466,F466)*10^-3)</f>
        <v>0.1</v>
      </c>
      <c r="J466" s="82"/>
      <c r="K466" s="47"/>
      <c r="L466" s="82"/>
    </row>
    <row r="467" spans="4:12" x14ac:dyDescent="0.25">
      <c r="D467" s="49" t="str">
        <f>'Input - Crop pasture farm input'!D24</f>
        <v>Maize grain (for seed)</v>
      </c>
      <c r="E467" s="49">
        <f>X_Cell_FarmInputs_Seed_MaizeGrain</f>
        <v>600</v>
      </c>
      <c r="F467" s="49" cm="1">
        <f t="array" ref="F467">Common_InputFunctions.Utility_LookupValueInTableNumber(D467,Table_SourceData_Scope3_Other[Product],Table_SourceData_Scope3_Other[AusLCI Emissions intensity])</f>
        <v>0.18099999999999999</v>
      </c>
      <c r="G467" s="151" cm="1">
        <f t="array" ref="G467">Scope3_Equations.VEERG_15_10_1_1__1_OtherPurchasedGoodsAndServices(E467,F467*10^-3)</f>
        <v>0.1086</v>
      </c>
      <c r="H467" s="66"/>
      <c r="I467" s="151" cm="1">
        <f t="array" ref="I467">Scope3_Equations.VEERG_15_10_1_1__1_OtherPurchasedGoodsAndServices(E467,IF(H467,H467,F467)*10^-3)</f>
        <v>0.1086</v>
      </c>
      <c r="J467" s="82"/>
      <c r="K467" s="47"/>
      <c r="L467" s="82"/>
    </row>
    <row r="468" spans="4:12" x14ac:dyDescent="0.25">
      <c r="D468" s="49" t="str">
        <f>'Input - Crop pasture farm input'!D25</f>
        <v>Oat grain (for seed)</v>
      </c>
      <c r="E468" s="49">
        <f>X_Cell_FarmInputs_Seed_OatGrain</f>
        <v>700</v>
      </c>
      <c r="F468" s="49" cm="1">
        <f t="array" ref="F468">Common_InputFunctions.Utility_LookupValueInTableNumber(D468,Table_SourceData_Scope3_Other[Product],Table_SourceData_Scope3_Other[AusLCI Emissions intensity])</f>
        <v>0.27</v>
      </c>
      <c r="G468" s="151" cm="1">
        <f t="array" ref="G468">Scope3_Equations.VEERG_15_10_1_1__1_OtherPurchasedGoodsAndServices(E468,F468*10^-3)</f>
        <v>0.189</v>
      </c>
      <c r="H468" s="66">
        <v>0.2</v>
      </c>
      <c r="I468" s="151" cm="1">
        <f t="array" ref="I468">Scope3_Equations.VEERG_15_10_1_1__1_OtherPurchasedGoodsAndServices(E468,IF(H468,H468,F468)*10^-3)</f>
        <v>0.14000000000000001</v>
      </c>
      <c r="J468" s="82"/>
      <c r="K468" s="47"/>
      <c r="L468" s="82"/>
    </row>
    <row r="469" spans="4:12" x14ac:dyDescent="0.25">
      <c r="D469" s="49" t="str">
        <f>'Input - Crop pasture farm input'!D26</f>
        <v>Sorghum grain (for seed)</v>
      </c>
      <c r="E469" s="49">
        <f>X_Cell_FarmInputs_Seed_SorghumGrain</f>
        <v>800</v>
      </c>
      <c r="F469" s="49" cm="1">
        <f t="array" ref="F469">Common_InputFunctions.Utility_LookupValueInTableNumber(D469,Table_SourceData_Scope3_Other[Product],Table_SourceData_Scope3_Other[AusLCI Emissions intensity])</f>
        <v>0.23200000000000001</v>
      </c>
      <c r="G469" s="151" cm="1">
        <f t="array" ref="G469">Scope3_Equations.VEERG_15_10_1_1__1_OtherPurchasedGoodsAndServices(E469,F469*10^-3)</f>
        <v>0.18560000000000001</v>
      </c>
      <c r="H469" s="66"/>
      <c r="I469" s="151" cm="1">
        <f t="array" ref="I469">Scope3_Equations.VEERG_15_10_1_1__1_OtherPurchasedGoodsAndServices(E469,IF(H469,H469,F469)*10^-3)</f>
        <v>0.18560000000000001</v>
      </c>
      <c r="J469" s="82"/>
      <c r="K469" s="47"/>
      <c r="L469" s="82"/>
    </row>
    <row r="470" spans="4:12" x14ac:dyDescent="0.25">
      <c r="D470" s="49" t="str">
        <f>'Input - Crop pasture farm input'!D27</f>
        <v>Wheat grain (for seed)</v>
      </c>
      <c r="E470" s="49">
        <f>X_Cell_FarmInputs_Seed_WheatGrain</f>
        <v>900</v>
      </c>
      <c r="F470" s="49" cm="1">
        <f t="array" ref="F470">Common_InputFunctions.Utility_LookupValueInTableNumber(D470,Table_SourceData_Scope3_Other[Product],Table_SourceData_Scope3_Other[AusLCI Emissions intensity])</f>
        <v>0.26800000000000002</v>
      </c>
      <c r="G470" s="151" cm="1">
        <f t="array" ref="G470">Scope3_Equations.VEERG_15_10_1_1__1_OtherPurchasedGoodsAndServices(E470,F470*10^-3)</f>
        <v>0.2412</v>
      </c>
      <c r="H470" s="66">
        <v>0.2</v>
      </c>
      <c r="I470" s="151" cm="1">
        <f t="array" ref="I470">Scope3_Equations.VEERG_15_10_1_1__1_OtherPurchasedGoodsAndServices(E470,IF(H470,H470,F470)*10^-3)</f>
        <v>0.18000000000000002</v>
      </c>
      <c r="J470" s="82"/>
      <c r="K470" s="47"/>
      <c r="L470" s="82"/>
    </row>
    <row r="472" spans="4:12" ht="20.25" x14ac:dyDescent="0.25">
      <c r="D472" s="179" t="s">
        <v>623</v>
      </c>
      <c r="E472" s="177">
        <f>SUM(G466:G470)</f>
        <v>0.84389999999999998</v>
      </c>
      <c r="F472" s="178" t="str">
        <f>$E$155</f>
        <v>t CO2e</v>
      </c>
    </row>
    <row r="473" spans="4:12" ht="20.25" x14ac:dyDescent="0.25">
      <c r="D473" s="179" t="s">
        <v>625</v>
      </c>
      <c r="E473" s="177">
        <f>SUM(I466:I470)</f>
        <v>0.71420000000000006</v>
      </c>
      <c r="F473" s="178" t="str">
        <f>$E$155</f>
        <v>t CO2e</v>
      </c>
    </row>
    <row r="476" spans="4:12" ht="18.75" x14ac:dyDescent="0.25">
      <c r="D476" s="144" t="s">
        <v>696</v>
      </c>
    </row>
    <row r="478" spans="4:12" x14ac:dyDescent="0.25">
      <c r="D478" s="46" t="s">
        <v>167</v>
      </c>
      <c r="E478" s="46" t="s">
        <v>695</v>
      </c>
      <c r="F478" s="57" t="s">
        <v>607</v>
      </c>
      <c r="G478" s="57" t="s">
        <v>623</v>
      </c>
      <c r="H478" s="46" t="s">
        <v>608</v>
      </c>
      <c r="I478" s="57" t="s">
        <v>625</v>
      </c>
      <c r="J478" s="46" t="s">
        <v>619</v>
      </c>
      <c r="K478" s="46" t="s">
        <v>620</v>
      </c>
      <c r="L478" s="46" t="s">
        <v>621</v>
      </c>
    </row>
    <row r="479" spans="4:12" x14ac:dyDescent="0.25">
      <c r="D479" s="49" t="str">
        <f>'Input - Livestock farm Inputs'!D47</f>
        <v>Animal ear tags (large)</v>
      </c>
      <c r="E479" s="49">
        <f>X_Cell_FarmInputs_Misc_AnimalEarTagsLarge</f>
        <v>100</v>
      </c>
      <c r="F479" s="49" cm="1">
        <f t="array" ref="F479">Common_InputFunctions.Utility_LookupValueInTableNumber(D479,Table_SourceData_Scope3_Other[Product],Table_SourceData_Scope3_Other[AusLCI Emissions intensity])</f>
        <v>4.24E-2</v>
      </c>
      <c r="G479" s="151" cm="1">
        <f t="array" ref="G479">Scope3_Equations.VEERG_15_10_1_1__1_OtherPurchasedGoodsAndServices(E479,F479*10^-3)</f>
        <v>4.2399999999999998E-3</v>
      </c>
      <c r="H479" s="66">
        <v>0.2</v>
      </c>
      <c r="I479" s="151" cm="1">
        <f t="array" ref="I479">Scope3_Equations.VEERG_15_10_1_1__1_OtherPurchasedGoodsAndServices(E479,IF(H479,H479,F479)*10^-3)</f>
        <v>0.02</v>
      </c>
      <c r="J479" s="82"/>
      <c r="K479" s="47"/>
      <c r="L479" s="82"/>
    </row>
    <row r="480" spans="4:12" x14ac:dyDescent="0.25">
      <c r="D480" s="49" t="str">
        <f>'Input - Livestock farm Inputs'!D48</f>
        <v>Animal ear tags (small)</v>
      </c>
      <c r="E480" s="49">
        <f>X_Cell_FarmInputs_Misc_AnimalEarTagsSmall</f>
        <v>200</v>
      </c>
      <c r="F480" s="49" cm="1">
        <f t="array" ref="F480">Common_InputFunctions.Utility_LookupValueInTableNumber(D480,Table_SourceData_Scope3_Other[Product],Table_SourceData_Scope3_Other[AusLCI Emissions intensity])</f>
        <v>2.93E-2</v>
      </c>
      <c r="G480" s="151" cm="1">
        <f t="array" ref="G480">Scope3_Equations.VEERG_15_10_1_1__1_OtherPurchasedGoodsAndServices(E480,F480*10^-3)</f>
        <v>5.8599999999999998E-3</v>
      </c>
      <c r="H480" s="66"/>
      <c r="I480" s="151" cm="1">
        <f t="array" ref="I480">Scope3_Equations.VEERG_15_10_1_1__1_OtherPurchasedGoodsAndServices(E480,IF(H480,H480,F480)*10^-3)</f>
        <v>5.8599999999999998E-3</v>
      </c>
      <c r="J480" s="82"/>
      <c r="K480" s="47"/>
      <c r="L480" s="82"/>
    </row>
    <row r="481" spans="4:14" x14ac:dyDescent="0.25">
      <c r="D481" s="49" t="str">
        <f>'Input - Hort farm Inputs'!D5</f>
        <v>Nylon netting</v>
      </c>
      <c r="E481" s="49">
        <f>X_Cell_FarmInputs_Misc_NylonNetting</f>
        <v>300</v>
      </c>
      <c r="F481" s="49" cm="1">
        <f t="array" ref="F481">Common_InputFunctions.Utility_LookupValueInTableNumber(D481,Table_SourceData_Scope3_Other[Product],Table_SourceData_Scope3_Other[AusLCI Emissions intensity])</f>
        <v>9.81</v>
      </c>
      <c r="G481" s="151" cm="1">
        <f t="array" ref="G481">Scope3_Equations.VEERG_15_10_1_1__1_OtherPurchasedGoodsAndServices(E481,F481*10^-3)</f>
        <v>2.9430000000000005</v>
      </c>
      <c r="H481" s="66">
        <v>0.2</v>
      </c>
      <c r="I481" s="151" cm="1">
        <f t="array" ref="I481">Scope3_Equations.VEERG_15_10_1_1__1_OtherPurchasedGoodsAndServices(E481,IF(H481,H481,F481)*10^-3)</f>
        <v>6.0000000000000005E-2</v>
      </c>
      <c r="J481" s="82"/>
      <c r="K481" s="47"/>
      <c r="L481" s="82"/>
    </row>
    <row r="483" spans="4:14" ht="20.25" x14ac:dyDescent="0.25">
      <c r="D483" s="179" t="s">
        <v>623</v>
      </c>
      <c r="E483" s="177">
        <f>SUM(G479:G481)</f>
        <v>2.9531000000000005</v>
      </c>
      <c r="F483" s="178" t="str">
        <f>$E$155</f>
        <v>t CO2e</v>
      </c>
    </row>
    <row r="484" spans="4:14" ht="20.25" x14ac:dyDescent="0.25">
      <c r="D484" s="179" t="s">
        <v>625</v>
      </c>
      <c r="E484" s="177">
        <f>SUM(I479:I481)</f>
        <v>8.5860000000000006E-2</v>
      </c>
      <c r="F484" s="178" t="str">
        <f>$E$155</f>
        <v>t CO2e</v>
      </c>
    </row>
    <row r="487" spans="4:14" ht="18.75" x14ac:dyDescent="0.25">
      <c r="D487" s="144" t="s">
        <v>697</v>
      </c>
    </row>
    <row r="489" spans="4:14" x14ac:dyDescent="0.25">
      <c r="D489" s="46" t="s">
        <v>167</v>
      </c>
      <c r="E489" s="46" t="s">
        <v>589</v>
      </c>
      <c r="F489" s="46" t="s">
        <v>125</v>
      </c>
      <c r="G489" s="57" t="s">
        <v>406</v>
      </c>
      <c r="H489" s="57" t="s">
        <v>343</v>
      </c>
      <c r="I489" s="46" t="s">
        <v>407</v>
      </c>
      <c r="J489" s="46" t="s">
        <v>692</v>
      </c>
      <c r="K489" s="57" t="s">
        <v>344</v>
      </c>
      <c r="L489" s="46" t="s">
        <v>619</v>
      </c>
      <c r="M489" s="46" t="s">
        <v>620</v>
      </c>
      <c r="N489" s="46" t="s">
        <v>621</v>
      </c>
    </row>
    <row r="490" spans="4:14" x14ac:dyDescent="0.25">
      <c r="D490" s="49" t="str" cm="1">
        <f t="array" ref="D490:D499">IFERROR(INDEX(Table_Input_UncategorisedProductsServices[Product / service name], _xlfn.SEQUENCE(10)), "")</f>
        <v>Something</v>
      </c>
      <c r="E490" s="49" cm="1">
        <f t="array" ref="E490:E499">IFERROR(INDEX(Table_Input_UncategorisedProductsServices[Amount], _xlfn.SEQUENCE(10)), "")</f>
        <v>1000</v>
      </c>
      <c r="F490" s="49" t="str" cm="1">
        <f t="array" ref="F490:F499">IFERROR(INDEX(Table_Input_UncategorisedProductsServices[Amount unit], _xlfn.SEQUENCE(10)), "")</f>
        <v>kg</v>
      </c>
      <c r="G490" s="49" t="s">
        <v>809</v>
      </c>
      <c r="H490" s="49" t="s">
        <v>809</v>
      </c>
      <c r="I490" s="66">
        <v>4</v>
      </c>
      <c r="J490" s="47" t="s">
        <v>693</v>
      </c>
      <c r="K490" s="151" cm="1">
        <f t="array" ref="K490">Scope3_Equations.VEERG_15_10_1_1__1_OtherPurchasedGoodsAndServices(E490,IF(J490="kg / amount unit", I490*10^-3, I490))</f>
        <v>4000</v>
      </c>
      <c r="L490" s="82"/>
      <c r="M490" s="47"/>
      <c r="N490" s="82"/>
    </row>
    <row r="491" spans="4:14" x14ac:dyDescent="0.25">
      <c r="D491" s="49">
        <v>0</v>
      </c>
      <c r="E491" s="49">
        <v>0</v>
      </c>
      <c r="F491" s="49">
        <v>0</v>
      </c>
      <c r="G491" s="49" t="s">
        <v>809</v>
      </c>
      <c r="H491" s="49" t="s">
        <v>809</v>
      </c>
      <c r="I491" s="66">
        <v>2</v>
      </c>
      <c r="J491" s="47" t="s">
        <v>693</v>
      </c>
      <c r="K491" s="151" cm="1">
        <f t="array" ref="K491">Scope3_Equations.VEERG_15_10_1_1__1_OtherPurchasedGoodsAndServices(E491,IF(J491="kg / amount unit", I491*10^-3, I491))</f>
        <v>0</v>
      </c>
      <c r="L491" s="82"/>
      <c r="M491" s="47"/>
      <c r="N491" s="82"/>
    </row>
    <row r="492" spans="4:14" x14ac:dyDescent="0.25">
      <c r="D492" s="49">
        <v>0</v>
      </c>
      <c r="E492" s="49">
        <v>0</v>
      </c>
      <c r="F492" s="49">
        <v>0</v>
      </c>
      <c r="G492" s="49" t="s">
        <v>809</v>
      </c>
      <c r="H492" s="49" t="s">
        <v>809</v>
      </c>
      <c r="I492" s="66"/>
      <c r="J492" s="47"/>
      <c r="K492" s="151" cm="1">
        <f t="array" ref="K492">Scope3_Equations.VEERG_15_10_1_1__1_OtherPurchasedGoodsAndServices(E492,IF(J492="kg / amount unit", I492*10^-3, I492))</f>
        <v>0</v>
      </c>
      <c r="L492" s="82"/>
      <c r="M492" s="47"/>
      <c r="N492" s="82"/>
    </row>
    <row r="493" spans="4:14" x14ac:dyDescent="0.25">
      <c r="D493" s="49">
        <v>0</v>
      </c>
      <c r="E493" s="49">
        <v>0</v>
      </c>
      <c r="F493" s="49">
        <v>0</v>
      </c>
      <c r="G493" s="49" t="s">
        <v>809</v>
      </c>
      <c r="H493" s="49" t="s">
        <v>809</v>
      </c>
      <c r="I493" s="66"/>
      <c r="J493" s="47"/>
      <c r="K493" s="151" cm="1">
        <f t="array" ref="K493">Scope3_Equations.VEERG_15_10_1_1__1_OtherPurchasedGoodsAndServices(E493,IF(J493="kg / amount unit", I493*10^-3, I493))</f>
        <v>0</v>
      </c>
      <c r="L493" s="82"/>
      <c r="M493" s="47"/>
      <c r="N493" s="82"/>
    </row>
    <row r="494" spans="4:14" x14ac:dyDescent="0.25">
      <c r="D494" s="49">
        <v>0</v>
      </c>
      <c r="E494" s="49">
        <v>0</v>
      </c>
      <c r="F494" s="49">
        <v>0</v>
      </c>
      <c r="G494" s="49" t="s">
        <v>809</v>
      </c>
      <c r="H494" s="49" t="s">
        <v>809</v>
      </c>
      <c r="I494" s="66"/>
      <c r="J494" s="47"/>
      <c r="K494" s="151" cm="1">
        <f t="array" ref="K494">Scope3_Equations.VEERG_15_10_1_1__1_OtherPurchasedGoodsAndServices(E494,IF(J494="kg / amount unit", I494*10^-3, I494))</f>
        <v>0</v>
      </c>
      <c r="L494" s="82"/>
      <c r="M494" s="47"/>
      <c r="N494" s="82"/>
    </row>
    <row r="495" spans="4:14" x14ac:dyDescent="0.25">
      <c r="D495" s="49">
        <v>0</v>
      </c>
      <c r="E495" s="49">
        <v>0</v>
      </c>
      <c r="F495" s="49">
        <v>0</v>
      </c>
      <c r="G495" s="49" t="s">
        <v>809</v>
      </c>
      <c r="H495" s="49" t="s">
        <v>809</v>
      </c>
      <c r="I495" s="66"/>
      <c r="J495" s="47"/>
      <c r="K495" s="151" cm="1">
        <f t="array" ref="K495">Scope3_Equations.VEERG_15_10_1_1__1_OtherPurchasedGoodsAndServices(E495,IF(J495="kg / amount unit", I495*10^-3, I495))</f>
        <v>0</v>
      </c>
      <c r="L495" s="82"/>
      <c r="M495" s="47"/>
      <c r="N495" s="82"/>
    </row>
    <row r="496" spans="4:14" x14ac:dyDescent="0.25">
      <c r="D496" s="49">
        <v>0</v>
      </c>
      <c r="E496" s="49">
        <v>0</v>
      </c>
      <c r="F496" s="49">
        <v>0</v>
      </c>
      <c r="G496" s="49" t="s">
        <v>809</v>
      </c>
      <c r="H496" s="49" t="s">
        <v>809</v>
      </c>
      <c r="I496" s="66"/>
      <c r="J496" s="47"/>
      <c r="K496" s="151" cm="1">
        <f t="array" ref="K496">Scope3_Equations.VEERG_15_10_1_1__1_OtherPurchasedGoodsAndServices(E496,IF(J496="kg / amount unit", I496*10^-3, I496))</f>
        <v>0</v>
      </c>
      <c r="L496" s="82"/>
      <c r="M496" s="47"/>
      <c r="N496" s="82"/>
    </row>
    <row r="497" spans="3:41" x14ac:dyDescent="0.25">
      <c r="D497" s="49">
        <v>0</v>
      </c>
      <c r="E497" s="49">
        <v>0</v>
      </c>
      <c r="F497" s="49">
        <v>0</v>
      </c>
      <c r="G497" s="49" t="s">
        <v>809</v>
      </c>
      <c r="H497" s="49" t="s">
        <v>809</v>
      </c>
      <c r="I497" s="66"/>
      <c r="J497" s="47"/>
      <c r="K497" s="151" cm="1">
        <f t="array" ref="K497">Scope3_Equations.VEERG_15_10_1_1__1_OtherPurchasedGoodsAndServices(E497,IF(J497="kg / amount unit", I497*10^-3, I497))</f>
        <v>0</v>
      </c>
      <c r="L497" s="82"/>
      <c r="M497" s="47"/>
      <c r="N497" s="82"/>
    </row>
    <row r="498" spans="3:41" x14ac:dyDescent="0.25">
      <c r="D498" s="49">
        <v>0</v>
      </c>
      <c r="E498" s="49">
        <v>0</v>
      </c>
      <c r="F498" s="49">
        <v>0</v>
      </c>
      <c r="G498" s="49" t="s">
        <v>809</v>
      </c>
      <c r="H498" s="49" t="s">
        <v>809</v>
      </c>
      <c r="I498" s="66"/>
      <c r="J498" s="47"/>
      <c r="K498" s="151" cm="1">
        <f t="array" ref="K498">Scope3_Equations.VEERG_15_10_1_1__1_OtherPurchasedGoodsAndServices(E498,IF(J498="kg / amount unit", I498*10^-3, I498))</f>
        <v>0</v>
      </c>
      <c r="L498" s="82"/>
      <c r="M498" s="47"/>
      <c r="N498" s="82"/>
    </row>
    <row r="499" spans="3:41" x14ac:dyDescent="0.25">
      <c r="D499" s="49">
        <v>0</v>
      </c>
      <c r="E499" s="49">
        <v>0</v>
      </c>
      <c r="F499" s="49">
        <v>0</v>
      </c>
      <c r="G499" s="49" t="s">
        <v>809</v>
      </c>
      <c r="H499" s="49" t="s">
        <v>809</v>
      </c>
      <c r="I499" s="66"/>
      <c r="J499" s="47"/>
      <c r="K499" s="151" cm="1">
        <f t="array" ref="K499">Scope3_Equations.VEERG_15_10_1_1__1_OtherPurchasedGoodsAndServices(E499,IF(J499="kg / amount unit", I499*10^-3, I499))</f>
        <v>0</v>
      </c>
      <c r="L499" s="82"/>
      <c r="M499" s="47"/>
      <c r="N499" s="82"/>
    </row>
    <row r="501" spans="3:41" ht="20.25" x14ac:dyDescent="0.25">
      <c r="D501" s="179" t="s">
        <v>623</v>
      </c>
      <c r="E501" s="177" t="s">
        <v>809</v>
      </c>
      <c r="F501" s="178" t="str">
        <f>$E$155</f>
        <v>t CO2e</v>
      </c>
    </row>
    <row r="502" spans="3:41" ht="20.25" x14ac:dyDescent="0.25">
      <c r="D502" s="179" t="s">
        <v>625</v>
      </c>
      <c r="E502" s="177">
        <f>SUM(K490:K499)</f>
        <v>4000</v>
      </c>
      <c r="F502" s="178" t="str">
        <f>$E$155</f>
        <v>t CO2e</v>
      </c>
    </row>
    <row r="505" spans="3:41" x14ac:dyDescent="0.25">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2" t="s">
        <v>616</v>
      </c>
      <c r="E508" s="172" t="str">
        <f ca="1">Common_InputFunctions.Utility_DisplayFunctionName(VEERG_15_11_1_1__1_TotalUpstreamEmissionsFromFuel_Result)</f>
        <v>=Scope3_Equations.VEERG_15_11_1_1__1_TotalUpstreamEmissionsFromFuel</v>
      </c>
    </row>
    <row r="512" spans="3:41" x14ac:dyDescent="0.25">
      <c r="D512" s="27" t="s">
        <v>617</v>
      </c>
      <c r="E512" s="8" t="str" cm="1">
        <f t="array" ref="E512">Scope3_Equations.VEERG_15_11_1_1__1_TotalUpstreamEmissionsFromFuel_Variable()</f>
        <v>E</v>
      </c>
    </row>
    <row r="513" spans="3:41" x14ac:dyDescent="0.25">
      <c r="D513" s="27" t="s">
        <v>96</v>
      </c>
      <c r="E513" s="13" t="str" cm="1">
        <f t="array" ref="E513">Scope3_Equations.VEERG_15_11_1_1__1_TotalUpstreamEmissionsFromFuel_Unit()</f>
        <v>t CO2e</v>
      </c>
    </row>
    <row r="515" spans="3:41" x14ac:dyDescent="0.25">
      <c r="D515" s="167" t="str" cm="1">
        <f t="array" ref="D515:E516">_xlfn.CHOOSECOLS(Scope3_Equations.VEERG_15_11_1_1__1_TotalUpstreamEmissionsFromFuel_Arguments(),1,2)</f>
        <v>E_WTTtransq</v>
      </c>
      <c r="E515" s="171" t="str">
        <v>upstream emissions from scope 1 transport fuel use</v>
      </c>
      <c r="F515" s="166"/>
      <c r="G515" s="167" t="str" cm="1">
        <f t="array" ref="G515:H516">_xlfn.CHOOSECOLS(Scope3_Equations.VEERG_15_11_1_1__1_TotalUpstreamEmissionsFromFuel_Arguments(),3,4)</f>
        <v>t CO2e</v>
      </c>
      <c r="H515" s="169" t="str">
        <v>Calculated by 15.11.1.1 (2)</v>
      </c>
      <c r="I515" s="167">
        <f>VEERG_8_1_1_1__1_FuelCombustionTransport_Result</f>
        <v>20.5016</v>
      </c>
    </row>
    <row r="516" spans="3:41" x14ac:dyDescent="0.25">
      <c r="D516" s="167" t="str">
        <v>E_WTTSCq</v>
      </c>
      <c r="E516" s="171" t="str">
        <v>upstream emissions from scope 1 stationary combustion fuel use</v>
      </c>
      <c r="F516" s="166"/>
      <c r="G516" s="167" t="str">
        <v>t CO2e</v>
      </c>
      <c r="H516" s="169" t="str">
        <v>Calculated by 15.11.1.1 (3)</v>
      </c>
      <c r="I516" s="167">
        <f>VEERG_8_2_1_1__1_FuelCombustionStationary_Result</f>
        <v>6.2923999999999998</v>
      </c>
    </row>
    <row r="518" spans="3:41" ht="20.25" x14ac:dyDescent="0.25">
      <c r="D518" s="179" t="s">
        <v>731</v>
      </c>
      <c r="E518" s="177" cm="1">
        <f t="array" ref="E518">Scope3_Equations.VEERG_15_11_1_1__1_TotalUpstreamEmissionsFromFuel(I515,I516)</f>
        <v>26.794</v>
      </c>
      <c r="F518" s="178" t="str">
        <f>$E$155</f>
        <v>t CO2e</v>
      </c>
    </row>
    <row r="520" spans="3:41" x14ac:dyDescent="0.25">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c r="AH520" s="98"/>
      <c r="AI520" s="98"/>
      <c r="AJ520" s="98"/>
      <c r="AK520" s="98"/>
      <c r="AL520" s="98"/>
      <c r="AM520" s="98"/>
      <c r="AN520" s="98"/>
      <c r="AO520" s="98"/>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2" t="s">
        <v>616</v>
      </c>
      <c r="E523" s="172" t="str">
        <f ca="1">Common_InputFunctions.Utility_DisplayFunctionName(VEERG_15_12_1_1__1_UpstreamPurchasedElectricityLocationBased_Result)</f>
        <v>=Scope3_Equations.VEERG_15_12_1_1__1_UpstreamPurchasedElectricityLocationBased</v>
      </c>
    </row>
    <row r="526" spans="3:41" x14ac:dyDescent="0.25">
      <c r="D526" s="27" t="s">
        <v>617</v>
      </c>
      <c r="E526" s="8" t="str" cm="1">
        <f t="array" ref="E526">Scope3_Equations.VEERG_15_12_1_1__1_UpstreamPurchasedElectricityLocationBased_Variable()</f>
        <v>E_3elec</v>
      </c>
    </row>
    <row r="527" spans="3:41" x14ac:dyDescent="0.25">
      <c r="D527" s="27" t="s">
        <v>96</v>
      </c>
      <c r="E527" s="8" t="str" cm="1">
        <f t="array" ref="E527">Scope3_Equations.VEERG_15_12_1_1__1_UpstreamPurchasedElectricityLocationBased_Unit()</f>
        <v>t CO2e</v>
      </c>
    </row>
    <row r="529" spans="3:41" x14ac:dyDescent="0.25">
      <c r="D529" s="167" t="str" cm="1">
        <f t="array" ref="D529:E531">_xlfn.CHOOSECOLS(Scope3_Equations.VEERG_15_12_1_1__1_UpstreamPurchasedElectricityLocationBased_Arguments(),1,2)</f>
        <v>Q_elec</v>
      </c>
      <c r="E529" s="167" t="str">
        <v>amount of electricity purchased from the grid</v>
      </c>
      <c r="F529" s="167"/>
      <c r="G529" s="167" t="str" cm="1">
        <f t="array" ref="G529:H531">_xlfn.CHOOSECOLS(Scope3_Equations.VEERG_15_12_1_1__1_UpstreamPurchasedElectricityLocationBased_Arguments(),3,4)</f>
        <v>kWh</v>
      </c>
      <c r="H529" s="168" t="str">
        <v>Input</v>
      </c>
      <c r="I529" s="171">
        <f>X_Cell_Electricity_Location_AmountPurchasedInkWh</f>
        <v>30000</v>
      </c>
      <c r="J529" s="166"/>
    </row>
    <row r="530" spans="3:41" x14ac:dyDescent="0.25">
      <c r="D530" s="167" t="str">
        <v>EF_3elec</v>
      </c>
      <c r="E530" s="167" t="str">
        <v>scope 3 emission factor for purchased electricity</v>
      </c>
      <c r="F530" s="167"/>
      <c r="G530" s="167" t="str">
        <v>kg CO2e/kWh</v>
      </c>
      <c r="H530" s="169" t="str">
        <v>Constant</v>
      </c>
      <c r="I530" s="171" cm="1">
        <f t="array" ref="I530">Common_InputFunctions.Utility_LookupValueInTableNumber(I531,Table_SourceData_ElectricityEFs[State, Territory or grid description],Table_SourceData_ElectricityEFs[Scope 3 Emission Factors (kg CO2-e/kWh)])</f>
        <v>0.09</v>
      </c>
      <c r="J530" s="166"/>
    </row>
    <row r="531" spans="3:41" x14ac:dyDescent="0.25">
      <c r="D531" s="167" t="str">
        <v>g</v>
      </c>
      <c r="E531" s="171" t="str">
        <v>grid electricity was purchased from</v>
      </c>
      <c r="F531" s="166"/>
      <c r="G531" s="167" t="str">
        <v/>
      </c>
      <c r="H531" s="168" t="str">
        <v>Input</v>
      </c>
      <c r="I531" s="171" t="str">
        <f>X_Cell_Electricity_Location_GridElectricityPurchasedFrom</f>
        <v>Western Australia - North Western Interconnected System (NWIS)</v>
      </c>
      <c r="J531" s="166"/>
    </row>
    <row r="533" spans="3:41" ht="20.25" x14ac:dyDescent="0.25">
      <c r="D533" s="179" t="s">
        <v>732</v>
      </c>
      <c r="E533" s="177" cm="1">
        <f t="array" ref="E533">Scope3_Equations.VEERG_15_12_1_1__1_UpstreamPurchasedElectricityLocationBased(I529,I530)</f>
        <v>2.7</v>
      </c>
      <c r="F533" s="178" t="str">
        <f>$E$155</f>
        <v>t CO2e</v>
      </c>
    </row>
    <row r="536" spans="3:41" x14ac:dyDescent="0.25">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c r="AF536" s="98"/>
      <c r="AG536" s="98"/>
      <c r="AH536" s="98"/>
      <c r="AI536" s="98"/>
      <c r="AJ536" s="98"/>
      <c r="AK536" s="98"/>
      <c r="AL536" s="98"/>
      <c r="AM536" s="98"/>
      <c r="AN536" s="98"/>
      <c r="AO536" s="98"/>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2" t="s">
        <v>616</v>
      </c>
      <c r="E540" s="172" t="str">
        <f ca="1">Common_InputFunctions.Utility_DisplayFunctionName(VEERG_15_12_1_2__1_UpstreamPurchasedElectricityMarketBasedVariation_Result)</f>
        <v>=Scope3_Equations.VEERG_15_12_1_2__1_UpstreamPurchasedElectricityMarketBasedVariation</v>
      </c>
    </row>
    <row r="544" spans="3:41" x14ac:dyDescent="0.25">
      <c r="D544" s="27" t="s">
        <v>617</v>
      </c>
      <c r="E544" s="8" t="str" cm="1">
        <f t="array" ref="E544">Scope3_Equations.VEERG_15_12_1_2__1_UpstreamPurchasedElectricityMarketBased_Variable()</f>
        <v>E_3elec</v>
      </c>
    </row>
    <row r="545" spans="3:41" x14ac:dyDescent="0.25">
      <c r="D545" s="27" t="s">
        <v>96</v>
      </c>
      <c r="E545" s="8" t="str" cm="1">
        <f t="array" ref="E545">Scope3_Equations.VEERG_15_12_1_2__1_UpstreamPurchasedElectricityMarketBased_Unit()</f>
        <v>t CO2e</v>
      </c>
    </row>
    <row r="547" spans="3:41" x14ac:dyDescent="0.25">
      <c r="D547" s="167" t="str" cm="1">
        <f t="array" ref="D547:E553">_xlfn.CHOOSECOLS(Scope3_Equations.VEERG_15_12_1_2__1_UpstreamPurchasedElectricityMarketBased_Arguments(),1,2)</f>
        <v>Q_elec</v>
      </c>
      <c r="E547" s="171" t="str">
        <v>amount of electricity purchased from the grid</v>
      </c>
      <c r="F547" s="166"/>
      <c r="G547" s="167" t="str" cm="1">
        <f t="array" ref="G547:H553">_xlfn.CHOOSECOLS(Scope3_Equations.VEERG_15_12_1_2__1_UpstreamPurchasedElectricityMarketBased_Arguments(),3,4)</f>
        <v>kWh</v>
      </c>
      <c r="H547" s="168" t="str">
        <v>Input</v>
      </c>
      <c r="I547" s="204">
        <f>X_Cell_Electricity_Market_AmountPurchasedExcludingGreenPower</f>
        <v>30000</v>
      </c>
    </row>
    <row r="548" spans="3:41" x14ac:dyDescent="0.25">
      <c r="D548" s="167" t="str">
        <v>RPP</v>
      </c>
      <c r="E548" s="171" t="str">
        <v>renewable power percentage under LRET for the applicable period</v>
      </c>
      <c r="F548" s="166"/>
      <c r="G548" s="167" t="str">
        <v>fraction</v>
      </c>
      <c r="H548" s="168" t="str">
        <v>Input</v>
      </c>
      <c r="I548" s="203">
        <f>X_Cell_Electricity_Market_RenewablePowerPercentage</f>
        <v>0.1</v>
      </c>
    </row>
    <row r="549" spans="3:41" x14ac:dyDescent="0.25">
      <c r="D549" s="167" t="str">
        <v>JRPP</v>
      </c>
      <c r="E549" s="171" t="str">
        <v>jurisdictional renewable power percentage for the applicable period</v>
      </c>
      <c r="F549" s="166"/>
      <c r="G549" s="167" t="str">
        <v>fraction</v>
      </c>
      <c r="H549" s="168" t="str">
        <v>Input</v>
      </c>
      <c r="I549" s="203">
        <f>X_Cell_Electricity_Market_JurisdictionalRenewablePowerPercentage</f>
        <v>0.1</v>
      </c>
    </row>
    <row r="550" spans="3:41" x14ac:dyDescent="0.25">
      <c r="D550" s="167" t="str">
        <v>REC_surrendered</v>
      </c>
      <c r="E550" s="171" t="str">
        <v>eligible renewable energy certificates voluntarily surrendered</v>
      </c>
      <c r="F550" s="166"/>
      <c r="G550" s="167" t="str">
        <v>MWh</v>
      </c>
      <c r="H550" s="168" t="str">
        <v>Input</v>
      </c>
      <c r="I550" s="167">
        <f>(X_Cell_Electricity_Market_AmountPurchasedGreenPower*10^-3)+X_Cell_TotalElegibleVoluntarilySurrenderedRECs</f>
        <v>20</v>
      </c>
    </row>
    <row r="551" spans="3:41" x14ac:dyDescent="0.25">
      <c r="D551" s="167" t="str">
        <v>REC_onsite</v>
      </c>
      <c r="E551" s="171" t="str">
        <v>eligible renewable energy certificates issued for onsite generated electricity</v>
      </c>
      <c r="F551" s="166"/>
      <c r="G551" s="167" t="str">
        <v>MWh</v>
      </c>
      <c r="H551" s="168" t="str">
        <v>Input</v>
      </c>
      <c r="I551" s="167">
        <f>X_Cell_TotalElegibleRECsForElectricityProducedOnSite</f>
        <v>11</v>
      </c>
    </row>
    <row r="552" spans="3:41" x14ac:dyDescent="0.25">
      <c r="D552" s="167" t="str">
        <v>EF_RMF3elec</v>
      </c>
      <c r="E552" s="171" t="str">
        <v>scope 3 residual mix emission factor for electricity</v>
      </c>
      <c r="F552" s="166"/>
      <c r="G552" s="167" t="str">
        <v>kg CO2e/kWh</v>
      </c>
      <c r="H552" s="169" t="str">
        <v>Constant</v>
      </c>
      <c r="I552" s="167" cm="1">
        <f t="array" ref="I552">Table_SourceData_ElectricityEFsMarketBased[Scope 3 EF (kg CO2-e/kWh)]</f>
        <v>0.1</v>
      </c>
    </row>
    <row r="553" spans="3:41" x14ac:dyDescent="0.25">
      <c r="D553" s="167" t="str">
        <v>i</v>
      </c>
      <c r="E553" s="171" t="str">
        <v>state</v>
      </c>
      <c r="F553" s="166"/>
      <c r="G553" s="167" t="str">
        <v/>
      </c>
      <c r="H553" s="168" t="str">
        <v>Input</v>
      </c>
      <c r="I553" s="167" t="str">
        <f>X_Cell_Site_State</f>
        <v>Western Australia</v>
      </c>
    </row>
    <row r="555" spans="3:41" ht="20.25" x14ac:dyDescent="0.25">
      <c r="D555" s="179" t="s">
        <v>732</v>
      </c>
      <c r="E555" s="177" cm="1">
        <f t="array" ref="E555">Scope3_Equations.VEERG_15_12_1_2__1_UpstreamPurchasedElectricityMarketBasedVariation(I547,I548,I549,I550,I551,I552)</f>
        <v>1.5</v>
      </c>
      <c r="F555" s="178" t="str">
        <f>$E$155</f>
        <v>t CO2e</v>
      </c>
    </row>
    <row r="558" spans="3:41" x14ac:dyDescent="0.25">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c r="AH558" s="98"/>
      <c r="AI558" s="98"/>
      <c r="AJ558" s="98"/>
      <c r="AK558" s="98"/>
      <c r="AL558" s="98"/>
      <c r="AM558" s="98"/>
      <c r="AN558" s="98"/>
      <c r="AO558" s="98"/>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8" x14ac:dyDescent="0.25">
      <c r="D561" s="172" t="s">
        <v>616</v>
      </c>
      <c r="E561" s="172" t="str" cm="1">
        <f t="array" aca="1" ref="E561" ca="1">Common_InputFunctions.Utility_DisplayFunctionName(E573)</f>
        <v>=Scope3_Equations.VEERG_15_13_1_1__1_EmissionsFromManureSentOffSite</v>
      </c>
    </row>
    <row r="564" spans="4:18" x14ac:dyDescent="0.25">
      <c r="D564" s="27" t="s">
        <v>617</v>
      </c>
      <c r="E564" s="8" t="str" cm="1">
        <f t="array" ref="E564">Scope3_Equations.VEERG_15_13_1_1__1_EmissionsFromManureSentOffSite_Variable()</f>
        <v>E</v>
      </c>
    </row>
    <row r="565" spans="4:18" x14ac:dyDescent="0.25">
      <c r="D565" s="27" t="s">
        <v>96</v>
      </c>
      <c r="E565" s="13" t="str" cm="1">
        <f t="array" ref="E565">Scope3_Equations.VEERG_15_13_1_1__1_EmissionsFromManureSentOffSite_Unit()</f>
        <v>t N2O</v>
      </c>
    </row>
    <row r="567" spans="4:18" x14ac:dyDescent="0.25">
      <c r="D567" s="7" t="s">
        <v>400</v>
      </c>
      <c r="L567" s="7" t="s">
        <v>401</v>
      </c>
    </row>
    <row r="569" spans="4:18" x14ac:dyDescent="0.25">
      <c r="D569" s="167" t="str" cm="1">
        <f t="array" ref="D569:E571">_xlfn.CHOOSECOLS(Scope3_Equations.VEERG_15_13_1_1__1_EmissionsFromManureSentOffSite_Arguments(),1,2)</f>
        <v>E_N2O</v>
      </c>
      <c r="E569" s="171" t="str">
        <v>direct nitrous oxide emissions from application of manure to soils outside of scope 1 boundary</v>
      </c>
      <c r="F569" s="205"/>
      <c r="G569" s="166"/>
      <c r="H569" s="167" t="str" cm="1">
        <f t="array" ref="H569:I571">_xlfn.CHOOSECOLS(Scope3_Equations.VEERG_15_13_1_1__1_EmissionsFromManureSentOffSite_Arguments(),3,4)</f>
        <v>t N2O</v>
      </c>
      <c r="I569" s="169" t="str">
        <v>Calculated</v>
      </c>
      <c r="J569" s="167">
        <f>VEERG_5_2_1_1__1_OrganicFertiliserApplicationN2OEmissions_Result_Method1</f>
        <v>7.8571428571428577E-3</v>
      </c>
      <c r="L569" s="167" t="str" cm="1">
        <f t="array" ref="L569:M571">_xlfn.CHOOSECOLS(Scope3_Equations.VEERG_15_13_1_1__1_EmissionsFromManureSentOffSite_Arguments(),1,2)</f>
        <v>E_N2O</v>
      </c>
      <c r="M569" s="171" t="str">
        <v>direct nitrous oxide emissions from application of manure to soils outside of scope 1 boundary</v>
      </c>
      <c r="N569" s="205"/>
      <c r="O569" s="166"/>
      <c r="P569" s="167" t="str" cm="1">
        <f t="array" ref="P569:Q571">_xlfn.CHOOSECOLS(Scope3_Equations.VEERG_15_13_1_1__1_EmissionsFromManureSentOffSite_Arguments(),3,4)</f>
        <v>t N2O</v>
      </c>
      <c r="Q569" s="169" t="str">
        <v>Calculated</v>
      </c>
      <c r="R569" s="167">
        <f>VEERG_5_2_1_1__1_OrganicFertiliserApplicationN2OEmissions_Result_Method2</f>
        <v>1.5714285714285715E-2</v>
      </c>
    </row>
    <row r="570" spans="4:18" x14ac:dyDescent="0.25">
      <c r="D570" s="167" t="str">
        <v>E_ad</v>
      </c>
      <c r="E570" s="171" t="str">
        <v>nitrous oxide emissions from atmospheric deposition of manure to soils</v>
      </c>
      <c r="F570" s="205"/>
      <c r="G570" s="166"/>
      <c r="H570" s="167" t="str">
        <v>t N2O</v>
      </c>
      <c r="I570" s="169" t="str">
        <v>Calculated</v>
      </c>
      <c r="J570" s="167">
        <f>VEERG_5_4_1_3__1_OrganicFertiliserAtmosphericDepositionN2OEmissions_Result_Method1</f>
        <v>2.31E-3</v>
      </c>
      <c r="L570" s="167" t="str">
        <v>E_ad</v>
      </c>
      <c r="M570" s="171" t="str">
        <v>nitrous oxide emissions from atmospheric deposition of manure to soils</v>
      </c>
      <c r="N570" s="205"/>
      <c r="O570" s="166"/>
      <c r="P570" s="167" t="str">
        <v>t N2O</v>
      </c>
      <c r="Q570" s="169" t="str">
        <v>Calculated</v>
      </c>
      <c r="R570" s="167">
        <f>VEERG_5_4_1_3__1_OrganicFertiliserAtmosphericDepositionN2OEmissions_Result_Method2</f>
        <v>4.62E-3</v>
      </c>
    </row>
    <row r="571" spans="4:18" x14ac:dyDescent="0.25">
      <c r="D571" s="167" t="str">
        <v>E_leach</v>
      </c>
      <c r="E571" s="171" t="str">
        <v>nitrous oxide emissions from nitrogen leaching and runoff of manure to soils</v>
      </c>
      <c r="F571" s="205"/>
      <c r="G571" s="166"/>
      <c r="H571" s="167" t="str">
        <v>t N2O</v>
      </c>
      <c r="I571" s="169" t="str">
        <v>Calculated</v>
      </c>
      <c r="J571" s="167">
        <f>VEERG_5_5_1_1__1_FertiliserLeachingAndRunoffN2OEmissions_Result_Method1</f>
        <v>4.1485714285714277E-3</v>
      </c>
      <c r="L571" s="167" t="str">
        <v>E_leach</v>
      </c>
      <c r="M571" s="171" t="str">
        <v>nitrous oxide emissions from nitrogen leaching and runoff of manure to soils</v>
      </c>
      <c r="N571" s="205"/>
      <c r="O571" s="166"/>
      <c r="P571" s="167" t="str">
        <v>t N2O</v>
      </c>
      <c r="Q571" s="169" t="str">
        <v>Calculated</v>
      </c>
      <c r="R571" s="167">
        <f>VEERG_5_5_1_1__1_FertiliserLeachingAndRunoffN2OEmissions_Result_Method2</f>
        <v>8.2971428571428554E-3</v>
      </c>
    </row>
    <row r="573" spans="4:18" ht="20.25" x14ac:dyDescent="0.25">
      <c r="D573" s="179" t="s">
        <v>732</v>
      </c>
      <c r="E573" s="177" cm="1">
        <f t="array" ref="E573">Scope3_Equations.VEERG_15_13_1_1__1_EmissionsFromManureSentOffSite(J569,J570,J571)</f>
        <v>1.4315714285714286E-2</v>
      </c>
      <c r="F573" s="178" t="str">
        <f>$E$565</f>
        <v>t N2O</v>
      </c>
      <c r="L573" s="179" t="s">
        <v>732</v>
      </c>
      <c r="M573" s="177" cm="1">
        <f t="array" ref="M573">Scope3_Equations.VEERG_15_13_1_1__1_EmissionsFromManureSentOffSite(R569,R570,R571)</f>
        <v>2.8631428571428572E-2</v>
      </c>
      <c r="N573" s="178" t="str">
        <f>$E$565</f>
        <v>t N2O</v>
      </c>
    </row>
    <row r="575" spans="4:18" x14ac:dyDescent="0.25">
      <c r="D575" s="206" t="str" cm="1">
        <f t="array" ref="D575:E576">Common_Equations.Common_ConvertN2OToCO2e_Arguments()</f>
        <v>EN2O</v>
      </c>
      <c r="E575" s="207" t="str">
        <v>Nitrous oxide emissions (t N2O)</v>
      </c>
      <c r="F575" s="208"/>
      <c r="G575" s="49">
        <f>E573</f>
        <v>1.4315714285714286E-2</v>
      </c>
      <c r="L575" s="206" t="str" cm="1">
        <f t="array" ref="L575:M576">Common_Equations.Common_ConvertN2OToCO2e_Arguments()</f>
        <v>EN2O</v>
      </c>
      <c r="M575" s="207" t="str">
        <v>Nitrous oxide emissions (t N2O)</v>
      </c>
      <c r="N575" s="208"/>
      <c r="O575" s="49">
        <f>M573</f>
        <v>2.8631428571428572E-2</v>
      </c>
    </row>
    <row r="576" spans="4:18" x14ac:dyDescent="0.25">
      <c r="D576" s="206" t="str">
        <v>GWPN2O</v>
      </c>
      <c r="E576" s="207" t="str">
        <v>Global warming potential for nitrous oxide (t CO2-e / t N2O)</v>
      </c>
      <c r="F576" s="208"/>
      <c r="G576" s="49">
        <f>Common_InputFunctions.Utility_LookupValueInTableNumber("N2O",Table_GWPData[Gas],Table_GWPData[CO2-e factor])</f>
        <v>265</v>
      </c>
      <c r="L576" s="206" t="str">
        <v>GWPN2O</v>
      </c>
      <c r="M576" s="207" t="str">
        <v>Global warming potential for nitrous oxide (t CO2-e / t N2O)</v>
      </c>
      <c r="N576" s="208"/>
      <c r="O576" s="49">
        <f>Common_InputFunctions.Utility_LookupValueInTableNumber("N2O",Table_GWPData[Gas],Table_GWPData[CO2-e factor])</f>
        <v>265</v>
      </c>
    </row>
    <row r="578" spans="3:41" ht="18.75" x14ac:dyDescent="0.25">
      <c r="D578" s="98" t="s">
        <v>737</v>
      </c>
      <c r="E578" s="98" cm="1">
        <f t="array" ref="E578">Common_Equations.Common_ConvertN2OToCO2e(G575,G576)</f>
        <v>3.7936642857142857</v>
      </c>
      <c r="F578" s="175" t="str" cm="1">
        <f t="array" ref="F578">Common_Equations.Common_ConvertN2OToCO2e_Unit()</f>
        <v>t CO2e</v>
      </c>
      <c r="L578" s="98" t="s">
        <v>737</v>
      </c>
      <c r="M578" s="98" cm="1">
        <f t="array" ref="M578">Common_Equations.Common_ConvertN2OToCO2e(O575,O576)</f>
        <v>7.5873285714285714</v>
      </c>
      <c r="N578" s="175" t="str" cm="1">
        <f t="array" ref="N578">Common_Equations.Common_ConvertN2OToCO2e_Unit()</f>
        <v>t CO2e</v>
      </c>
    </row>
    <row r="581" spans="3:41" x14ac:dyDescent="0.25">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c r="AN581" s="98"/>
      <c r="AO581" s="98"/>
    </row>
    <row r="582" spans="3:41" ht="23.25" x14ac:dyDescent="0.25">
      <c r="D582" s="9" t="str" cm="1">
        <f t="array" ref="D582">Scope3_Equations.VEERG_15_13_1_3__1_EmissionsFromSolidWasteTreatmentFacility_Title()</f>
        <v>Emissions from solid waste sent to a treatment facility</v>
      </c>
    </row>
    <row r="583" spans="3:41" x14ac:dyDescent="0.25">
      <c r="D583" s="11" t="str" cm="1">
        <f t="array" ref="D583">Scope3_Equations.VEERG_15_13_1_3__1_EmissionsFromSolidWasteTreatmentFacility_Source()</f>
        <v>VEERG 2026: 15.13.1.3</v>
      </c>
    </row>
    <row r="585" spans="3:41" x14ac:dyDescent="0.25">
      <c r="D585" s="27" t="s">
        <v>617</v>
      </c>
      <c r="E585" s="8" t="str" cm="1">
        <f t="array" ref="E585">Scope3_Equations.VEERG_15_13_1_3__1_EmissionsFromSolidWasteTreatmentFacility_Variable()</f>
        <v>E</v>
      </c>
    </row>
    <row r="586" spans="3:41" x14ac:dyDescent="0.25">
      <c r="D586" s="27" t="s">
        <v>96</v>
      </c>
      <c r="E586" s="13" t="str" cm="1">
        <f t="array" ref="E586">Scope3_Equations.VEERG_15_13_1_3__1_EmissionsFromSolidWasteTreatmentFacility_Unit()</f>
        <v>t CO2e</v>
      </c>
    </row>
    <row r="588" spans="3:41" ht="20.25" x14ac:dyDescent="0.25">
      <c r="D588" s="179" t="s">
        <v>732</v>
      </c>
      <c r="E588" s="177">
        <f>VEERG_10_1_1_1__1_EmissionsFromWasteManagement_Scope3_Result_Method1</f>
        <v>441.15000000000003</v>
      </c>
      <c r="F588" s="178" t="str">
        <f>E586</f>
        <v>t CO2e</v>
      </c>
    </row>
    <row r="591" spans="3:41" x14ac:dyDescent="0.25">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c r="AH591" s="98"/>
      <c r="AI591" s="98"/>
      <c r="AJ591" s="98"/>
      <c r="AK591" s="98"/>
      <c r="AL591" s="98"/>
      <c r="AM591" s="98"/>
      <c r="AN591" s="98"/>
      <c r="AO591" s="98"/>
    </row>
    <row r="592" spans="3:41" ht="23.25" x14ac:dyDescent="0.25">
      <c r="D592" s="9" t="str" cm="1">
        <f t="array" ref="D592">Scope3_Equations.VEERG_15_14_1_1__1_EmbeddedEmissionsFromUpstreamFreight_Title()</f>
        <v>Embedded emissions from upstream freight</v>
      </c>
    </row>
    <row r="593" spans="4:13" x14ac:dyDescent="0.25">
      <c r="D593" s="11" t="str" cm="1">
        <f t="array" ref="D593">Scope3_Equations.VEERG_15_14_1_1__1_EmbeddedEmissionsFromUpstreamFreight_Source()</f>
        <v>VEERG 2026: 15.14.1.1, Equation (1)</v>
      </c>
    </row>
    <row r="594" spans="4:13" x14ac:dyDescent="0.25">
      <c r="D594" s="172" t="s">
        <v>616</v>
      </c>
      <c r="E594" s="172" t="str" cm="1">
        <f t="array" aca="1" ref="E594" ca="1">Common_InputFunctions.Utility_DisplayFunctionName(J609)</f>
        <v>=Scope3_Equations.VEERG_15_14_1_1__1_EmbeddedEmissionsFromUpstreamFreight</v>
      </c>
    </row>
    <row r="598" spans="4:13" x14ac:dyDescent="0.25">
      <c r="D598" s="27" t="s">
        <v>617</v>
      </c>
      <c r="E598" s="8" t="str" cm="1">
        <f t="array" ref="E598">Scope3_Equations.VEERG_15_14_1_1__1_EmbeddedEmissionsFromUpstreamFreight_Variable()</f>
        <v>E</v>
      </c>
    </row>
    <row r="599" spans="4:13" x14ac:dyDescent="0.25">
      <c r="D599" s="27" t="s">
        <v>96</v>
      </c>
      <c r="E599" s="13" t="str" cm="1">
        <f t="array" ref="E599">Scope3_Equations.VEERG_15_14_1_1__1_EmbeddedEmissionsFromUpstreamFreight_Unit()</f>
        <v>t CO2e</v>
      </c>
    </row>
    <row r="601" spans="4:13" x14ac:dyDescent="0.25">
      <c r="D601" s="167" t="str" cm="1">
        <f t="array" ref="D601:E604">_xlfn.CHOOSECOLS(Scope3_Equations.VEERG_15_14_1_1__1_EmbeddedEmissionsFromUpstreamFreight_Arguments(),1,2)</f>
        <v>W_f</v>
      </c>
      <c r="E601" s="171" t="str">
        <v>total mass of goods transported per freight type f</v>
      </c>
      <c r="F601" s="166"/>
      <c r="G601" s="167" t="str" cm="1">
        <f t="array" ref="G601:H604">_xlfn.CHOOSECOLS(Scope3_Equations.VEERG_15_14_1_1__1_EmbeddedEmissionsFromUpstreamFreight_Arguments(),3,4)</f>
        <v>t</v>
      </c>
      <c r="H601" s="168" t="str">
        <v>Input</v>
      </c>
    </row>
    <row r="602" spans="4:13" x14ac:dyDescent="0.25">
      <c r="D602" s="167" t="str">
        <v>D_f</v>
      </c>
      <c r="E602" s="171" t="str">
        <v>total distance transported per freight type f</v>
      </c>
      <c r="F602" s="166"/>
      <c r="G602" s="167" t="str">
        <v>km</v>
      </c>
      <c r="H602" s="168" t="str">
        <v>Input</v>
      </c>
    </row>
    <row r="603" spans="4:13" x14ac:dyDescent="0.25">
      <c r="D603" s="167" t="str">
        <v>EF_f</v>
      </c>
      <c r="E603" s="171" t="str">
        <v>emission factor for freight type f</v>
      </c>
      <c r="F603" s="166"/>
      <c r="G603" s="167" t="str">
        <v>t CO2e/(t km)</v>
      </c>
      <c r="H603" s="169" t="str">
        <v>Constant</v>
      </c>
    </row>
    <row r="604" spans="4:13" x14ac:dyDescent="0.25">
      <c r="D604" s="167" t="str">
        <v>f</v>
      </c>
      <c r="E604" s="171" t="str">
        <v>freight type</v>
      </c>
      <c r="F604" s="166"/>
      <c r="G604" s="167" t="str">
        <v/>
      </c>
      <c r="H604" s="168" t="str">
        <v>Input</v>
      </c>
    </row>
    <row r="606" spans="4:13" ht="18.75" x14ac:dyDescent="0.25">
      <c r="D606" s="144" t="s">
        <v>793</v>
      </c>
    </row>
    <row r="608" spans="4:13" ht="17.25" x14ac:dyDescent="0.25">
      <c r="D608" s="46" t="s">
        <v>794</v>
      </c>
      <c r="E608" s="46" t="s">
        <v>806</v>
      </c>
      <c r="F608" s="46" t="s">
        <v>807</v>
      </c>
      <c r="G608" s="57" t="s">
        <v>808</v>
      </c>
      <c r="H608" s="57" t="s">
        <v>623</v>
      </c>
      <c r="I608" s="46" t="s">
        <v>659</v>
      </c>
      <c r="J608" s="57" t="s">
        <v>625</v>
      </c>
      <c r="K608" s="46" t="s">
        <v>619</v>
      </c>
      <c r="L608" s="46" t="s">
        <v>620</v>
      </c>
      <c r="M608" s="46" t="s">
        <v>621</v>
      </c>
    </row>
    <row r="609" spans="4:13" x14ac:dyDescent="0.25">
      <c r="D609" s="49" t="str" cm="1">
        <f t="array" ref="D609:D618">IFERROR(INDEX(Table_Input_FreightIncoming[Route name], _xlfn.SEQUENCE(10)), "")</f>
        <v>Melbourne depot to farm depot weekly</v>
      </c>
      <c r="E609" s="49" cm="1">
        <f t="array" ref="E609:E618">IFERROR(INDEX(Table_Input_FreightIncoming[Average weight of freight per trip (t)], _xlfn.SEQUENCE(10)), "")</f>
        <v>10</v>
      </c>
      <c r="F609" s="49" cm="1">
        <f t="array" ref="F609:F618">IFERROR(INDEX(Table_Input_FreightIncoming[Route distance (km)], _xlfn.SEQUENCE(10))*INDEX(Table_Input_FreightIncoming[Number of trips taken], _xlfn.SEQUENCE(10)), "")</f>
        <v>51272</v>
      </c>
      <c r="G609" s="49" t="s">
        <v>809</v>
      </c>
      <c r="H609" s="49" t="s">
        <v>809</v>
      </c>
      <c r="I609" s="66">
        <v>10</v>
      </c>
      <c r="J609" s="49" cm="1">
        <f t="array" ref="J609">Scope3_Equations.VEERG_15_14_1_1__1_EmbeddedEmissionsFromUpstreamFreight(E609,F609,I609)</f>
        <v>5127200</v>
      </c>
      <c r="K609" s="82"/>
      <c r="L609" s="47"/>
      <c r="M609" s="82"/>
    </row>
    <row r="610" spans="4:13" x14ac:dyDescent="0.25">
      <c r="D610" s="49" t="str">
        <v>Fertiliser supplier to farm</v>
      </c>
      <c r="E610" s="49">
        <v>10</v>
      </c>
      <c r="F610" s="49">
        <v>390</v>
      </c>
      <c r="G610" s="49" t="s">
        <v>809</v>
      </c>
      <c r="H610" s="49" t="s">
        <v>809</v>
      </c>
      <c r="I610" s="66">
        <v>5</v>
      </c>
      <c r="J610" s="49" cm="1">
        <f t="array" ref="J610">Scope3_Equations.VEERG_15_14_1_1__1_EmbeddedEmissionsFromUpstreamFreight(E610,F610,I610)</f>
        <v>19500</v>
      </c>
      <c r="K610" s="82"/>
      <c r="L610" s="47"/>
      <c r="M610" s="82"/>
    </row>
    <row r="611" spans="4:13" x14ac:dyDescent="0.25">
      <c r="D611" s="49">
        <v>0</v>
      </c>
      <c r="E611" s="49">
        <v>0</v>
      </c>
      <c r="F611" s="49">
        <v>0</v>
      </c>
      <c r="G611" s="49" t="s">
        <v>809</v>
      </c>
      <c r="H611" s="49" t="s">
        <v>809</v>
      </c>
      <c r="I611" s="66"/>
      <c r="J611" s="49" cm="1">
        <f t="array" ref="J611">Scope3_Equations.VEERG_15_14_1_1__1_EmbeddedEmissionsFromUpstreamFreight(E611,F611,I611)</f>
        <v>0</v>
      </c>
      <c r="K611" s="82"/>
      <c r="L611" s="47"/>
      <c r="M611" s="82"/>
    </row>
    <row r="612" spans="4:13" x14ac:dyDescent="0.25">
      <c r="D612" s="49">
        <v>0</v>
      </c>
      <c r="E612" s="49">
        <v>0</v>
      </c>
      <c r="F612" s="49">
        <v>0</v>
      </c>
      <c r="G612" s="49" t="s">
        <v>809</v>
      </c>
      <c r="H612" s="49" t="s">
        <v>809</v>
      </c>
      <c r="I612" s="66"/>
      <c r="J612" s="49" cm="1">
        <f t="array" ref="J612">Scope3_Equations.VEERG_15_14_1_1__1_EmbeddedEmissionsFromUpstreamFreight(E612,F612,I612)</f>
        <v>0</v>
      </c>
      <c r="K612" s="82"/>
      <c r="L612" s="47"/>
      <c r="M612" s="82"/>
    </row>
    <row r="613" spans="4:13" x14ac:dyDescent="0.25">
      <c r="D613" s="49">
        <v>0</v>
      </c>
      <c r="E613" s="49">
        <v>0</v>
      </c>
      <c r="F613" s="49">
        <v>0</v>
      </c>
      <c r="G613" s="49" t="s">
        <v>809</v>
      </c>
      <c r="H613" s="49" t="s">
        <v>809</v>
      </c>
      <c r="I613" s="66"/>
      <c r="J613" s="49" cm="1">
        <f t="array" ref="J613">Scope3_Equations.VEERG_15_14_1_1__1_EmbeddedEmissionsFromUpstreamFreight(E613,F613,I613)</f>
        <v>0</v>
      </c>
      <c r="K613" s="82"/>
      <c r="L613" s="47"/>
      <c r="M613" s="82"/>
    </row>
    <row r="614" spans="4:13" x14ac:dyDescent="0.25">
      <c r="D614" s="49">
        <v>0</v>
      </c>
      <c r="E614" s="49">
        <v>0</v>
      </c>
      <c r="F614" s="49">
        <v>0</v>
      </c>
      <c r="G614" s="49" t="s">
        <v>809</v>
      </c>
      <c r="H614" s="49" t="s">
        <v>809</v>
      </c>
      <c r="I614" s="66"/>
      <c r="J614" s="49" cm="1">
        <f t="array" ref="J614">Scope3_Equations.VEERG_15_14_1_1__1_EmbeddedEmissionsFromUpstreamFreight(E614,F614,I614)</f>
        <v>0</v>
      </c>
      <c r="K614" s="82"/>
      <c r="L614" s="47"/>
      <c r="M614" s="82"/>
    </row>
    <row r="615" spans="4:13" x14ac:dyDescent="0.25">
      <c r="D615" s="49">
        <v>0</v>
      </c>
      <c r="E615" s="49">
        <v>0</v>
      </c>
      <c r="F615" s="49">
        <v>0</v>
      </c>
      <c r="G615" s="49" t="s">
        <v>809</v>
      </c>
      <c r="H615" s="49" t="s">
        <v>809</v>
      </c>
      <c r="I615" s="66"/>
      <c r="J615" s="49" cm="1">
        <f t="array" ref="J615">Scope3_Equations.VEERG_15_14_1_1__1_EmbeddedEmissionsFromUpstreamFreight(E615,F615,I615)</f>
        <v>0</v>
      </c>
      <c r="K615" s="82"/>
      <c r="L615" s="47"/>
      <c r="M615" s="82"/>
    </row>
    <row r="616" spans="4:13" x14ac:dyDescent="0.25">
      <c r="D616" s="49">
        <v>0</v>
      </c>
      <c r="E616" s="49">
        <v>0</v>
      </c>
      <c r="F616" s="49">
        <v>0</v>
      </c>
      <c r="G616" s="49" t="s">
        <v>809</v>
      </c>
      <c r="H616" s="49" t="s">
        <v>809</v>
      </c>
      <c r="I616" s="66"/>
      <c r="J616" s="49" cm="1">
        <f t="array" ref="J616">Scope3_Equations.VEERG_15_14_1_1__1_EmbeddedEmissionsFromUpstreamFreight(E616,F616,I616)</f>
        <v>0</v>
      </c>
      <c r="K616" s="82"/>
      <c r="L616" s="47"/>
      <c r="M616" s="82"/>
    </row>
    <row r="617" spans="4:13" x14ac:dyDescent="0.25">
      <c r="D617" s="49">
        <v>0</v>
      </c>
      <c r="E617" s="49">
        <v>0</v>
      </c>
      <c r="F617" s="49">
        <v>0</v>
      </c>
      <c r="G617" s="49" t="s">
        <v>809</v>
      </c>
      <c r="H617" s="49" t="s">
        <v>809</v>
      </c>
      <c r="I617" s="66"/>
      <c r="J617" s="49" cm="1">
        <f t="array" ref="J617">Scope3_Equations.VEERG_15_14_1_1__1_EmbeddedEmissionsFromUpstreamFreight(E617,F617,I617)</f>
        <v>0</v>
      </c>
      <c r="K617" s="82"/>
      <c r="L617" s="47"/>
      <c r="M617" s="82"/>
    </row>
    <row r="618" spans="4:13" x14ac:dyDescent="0.25">
      <c r="D618" s="49">
        <v>0</v>
      </c>
      <c r="E618" s="49">
        <v>0</v>
      </c>
      <c r="F618" s="49">
        <v>0</v>
      </c>
      <c r="G618" s="49" t="s">
        <v>809</v>
      </c>
      <c r="H618" s="49" t="s">
        <v>809</v>
      </c>
      <c r="I618" s="66"/>
      <c r="J618" s="49" cm="1">
        <f t="array" ref="J618">Scope3_Equations.VEERG_15_14_1_1__1_EmbeddedEmissionsFromUpstreamFreight(E618,F618,I618)</f>
        <v>0</v>
      </c>
      <c r="K618" s="82"/>
      <c r="L618" s="47"/>
      <c r="M618" s="82"/>
    </row>
    <row r="620" spans="4:13" x14ac:dyDescent="0.25">
      <c r="D620" s="174" t="s">
        <v>812</v>
      </c>
      <c r="E620" s="98" t="s">
        <v>809</v>
      </c>
      <c r="F620" s="175" t="str">
        <f>$E$104</f>
        <v>t CO2e</v>
      </c>
    </row>
    <row r="621" spans="4:13" x14ac:dyDescent="0.25">
      <c r="D621" s="174" t="s">
        <v>813</v>
      </c>
      <c r="E621" s="98">
        <f>SUM(J609:J618)</f>
        <v>5146700</v>
      </c>
      <c r="F621" s="175" t="str">
        <f>$E$104</f>
        <v>t CO2e</v>
      </c>
    </row>
    <row r="624" spans="4:13" ht="18.75" x14ac:dyDescent="0.25">
      <c r="D624" s="144" t="s">
        <v>801</v>
      </c>
    </row>
    <row r="626" spans="4:13" ht="17.25" x14ac:dyDescent="0.25">
      <c r="D626" s="46" t="s">
        <v>794</v>
      </c>
      <c r="E626" s="46" t="s">
        <v>806</v>
      </c>
      <c r="F626" s="46" t="s">
        <v>807</v>
      </c>
      <c r="G626" s="57" t="s">
        <v>808</v>
      </c>
      <c r="H626" s="57" t="s">
        <v>623</v>
      </c>
      <c r="I626" s="46" t="s">
        <v>659</v>
      </c>
      <c r="J626" s="57" t="s">
        <v>625</v>
      </c>
      <c r="K626" s="46" t="s">
        <v>619</v>
      </c>
      <c r="L626" s="46" t="s">
        <v>620</v>
      </c>
      <c r="M626" s="46" t="s">
        <v>621</v>
      </c>
    </row>
    <row r="627" spans="4:13" x14ac:dyDescent="0.25">
      <c r="D627" s="49" t="str" cm="1">
        <f t="array" ref="D627:D636">IFERROR(INDEX(Table_Input_FreightOutgoing[Route name], _xlfn.SEQUENCE(10)), "")</f>
        <v>Farm to bulk handler</v>
      </c>
      <c r="E627" s="49" cm="1">
        <f t="array" ref="E627:E636">IFERROR(INDEX(Table_Input_FreightOutgoing[Average weight of freight per trip (t)], _xlfn.SEQUENCE(10)), "")</f>
        <v>20</v>
      </c>
      <c r="F627" s="49" cm="1">
        <f t="array" ref="F627:F636">IFERROR(INDEX(Table_Input_FreightOutgoing[Route distance (km)], _xlfn.SEQUENCE(10))*INDEX(Table_Input_FreightOutgoing[Number of trips taken], _xlfn.SEQUENCE(10)), "")</f>
        <v>3380</v>
      </c>
      <c r="G627" s="49" t="s">
        <v>809</v>
      </c>
      <c r="H627" s="49" t="s">
        <v>809</v>
      </c>
      <c r="I627" s="66">
        <v>6.4</v>
      </c>
      <c r="J627" s="49" cm="1">
        <f t="array" ref="J627">Scope3_Equations.VEERG_15_14_1_1__1_EmbeddedEmissionsFromUpstreamFreight(E627,F627,I627)</f>
        <v>432640</v>
      </c>
      <c r="K627" s="82"/>
      <c r="L627" s="47"/>
      <c r="M627" s="82"/>
    </row>
    <row r="628" spans="4:13" x14ac:dyDescent="0.25">
      <c r="D628" s="49">
        <v>0</v>
      </c>
      <c r="E628" s="49">
        <v>0</v>
      </c>
      <c r="F628" s="49">
        <v>0</v>
      </c>
      <c r="G628" s="49" t="s">
        <v>809</v>
      </c>
      <c r="H628" s="49" t="s">
        <v>809</v>
      </c>
      <c r="I628" s="66"/>
      <c r="J628" s="49" cm="1">
        <f t="array" ref="J628">Scope3_Equations.VEERG_15_14_1_1__1_EmbeddedEmissionsFromUpstreamFreight(E628,F628,I628)</f>
        <v>0</v>
      </c>
      <c r="K628" s="82"/>
      <c r="L628" s="47"/>
      <c r="M628" s="82"/>
    </row>
    <row r="629" spans="4:13" x14ac:dyDescent="0.25">
      <c r="D629" s="49">
        <v>0</v>
      </c>
      <c r="E629" s="49">
        <v>0</v>
      </c>
      <c r="F629" s="49">
        <v>0</v>
      </c>
      <c r="G629" s="49" t="s">
        <v>809</v>
      </c>
      <c r="H629" s="49" t="s">
        <v>809</v>
      </c>
      <c r="I629" s="66"/>
      <c r="J629" s="49" cm="1">
        <f t="array" ref="J629">Scope3_Equations.VEERG_15_14_1_1__1_EmbeddedEmissionsFromUpstreamFreight(E629,F629,I629)</f>
        <v>0</v>
      </c>
      <c r="K629" s="82"/>
      <c r="L629" s="47"/>
      <c r="M629" s="82"/>
    </row>
    <row r="630" spans="4:13" x14ac:dyDescent="0.25">
      <c r="D630" s="49">
        <v>0</v>
      </c>
      <c r="E630" s="49">
        <v>0</v>
      </c>
      <c r="F630" s="49">
        <v>0</v>
      </c>
      <c r="G630" s="49" t="s">
        <v>809</v>
      </c>
      <c r="H630" s="49" t="s">
        <v>809</v>
      </c>
      <c r="I630" s="66"/>
      <c r="J630" s="49" cm="1">
        <f t="array" ref="J630">Scope3_Equations.VEERG_15_14_1_1__1_EmbeddedEmissionsFromUpstreamFreight(E630,F630,I630)</f>
        <v>0</v>
      </c>
      <c r="K630" s="82"/>
      <c r="L630" s="47"/>
      <c r="M630" s="82"/>
    </row>
    <row r="631" spans="4:13" x14ac:dyDescent="0.25">
      <c r="D631" s="49">
        <v>0</v>
      </c>
      <c r="E631" s="49">
        <v>0</v>
      </c>
      <c r="F631" s="49">
        <v>0</v>
      </c>
      <c r="G631" s="49" t="s">
        <v>809</v>
      </c>
      <c r="H631" s="49" t="s">
        <v>809</v>
      </c>
      <c r="I631" s="66"/>
      <c r="J631" s="49" cm="1">
        <f t="array" ref="J631">Scope3_Equations.VEERG_15_14_1_1__1_EmbeddedEmissionsFromUpstreamFreight(E631,F631,I631)</f>
        <v>0</v>
      </c>
      <c r="K631" s="82"/>
      <c r="L631" s="47"/>
      <c r="M631" s="82"/>
    </row>
    <row r="632" spans="4:13" x14ac:dyDescent="0.25">
      <c r="D632" s="49">
        <v>0</v>
      </c>
      <c r="E632" s="49">
        <v>0</v>
      </c>
      <c r="F632" s="49">
        <v>0</v>
      </c>
      <c r="G632" s="49" t="s">
        <v>809</v>
      </c>
      <c r="H632" s="49" t="s">
        <v>809</v>
      </c>
      <c r="I632" s="66"/>
      <c r="J632" s="49" cm="1">
        <f t="array" ref="J632">Scope3_Equations.VEERG_15_14_1_1__1_EmbeddedEmissionsFromUpstreamFreight(E632,F632,I632)</f>
        <v>0</v>
      </c>
      <c r="K632" s="82"/>
      <c r="L632" s="47"/>
      <c r="M632" s="82"/>
    </row>
    <row r="633" spans="4:13" x14ac:dyDescent="0.25">
      <c r="D633" s="49">
        <v>0</v>
      </c>
      <c r="E633" s="49">
        <v>0</v>
      </c>
      <c r="F633" s="49">
        <v>0</v>
      </c>
      <c r="G633" s="49" t="s">
        <v>809</v>
      </c>
      <c r="H633" s="49" t="s">
        <v>809</v>
      </c>
      <c r="I633" s="66"/>
      <c r="J633" s="49" cm="1">
        <f t="array" ref="J633">Scope3_Equations.VEERG_15_14_1_1__1_EmbeddedEmissionsFromUpstreamFreight(E633,F633,I633)</f>
        <v>0</v>
      </c>
      <c r="K633" s="82"/>
      <c r="L633" s="47"/>
      <c r="M633" s="82"/>
    </row>
    <row r="634" spans="4:13" x14ac:dyDescent="0.25">
      <c r="D634" s="49">
        <v>0</v>
      </c>
      <c r="E634" s="49">
        <v>0</v>
      </c>
      <c r="F634" s="49">
        <v>0</v>
      </c>
      <c r="G634" s="49" t="s">
        <v>809</v>
      </c>
      <c r="H634" s="49" t="s">
        <v>809</v>
      </c>
      <c r="I634" s="66"/>
      <c r="J634" s="49" cm="1">
        <f t="array" ref="J634">Scope3_Equations.VEERG_15_14_1_1__1_EmbeddedEmissionsFromUpstreamFreight(E634,F634,I634)</f>
        <v>0</v>
      </c>
      <c r="K634" s="82"/>
      <c r="L634" s="47"/>
      <c r="M634" s="82"/>
    </row>
    <row r="635" spans="4:13" x14ac:dyDescent="0.25">
      <c r="D635" s="49">
        <v>0</v>
      </c>
      <c r="E635" s="49">
        <v>0</v>
      </c>
      <c r="F635" s="49">
        <v>0</v>
      </c>
      <c r="G635" s="49" t="s">
        <v>809</v>
      </c>
      <c r="H635" s="49" t="s">
        <v>809</v>
      </c>
      <c r="I635" s="66"/>
      <c r="J635" s="49" cm="1">
        <f t="array" ref="J635">Scope3_Equations.VEERG_15_14_1_1__1_EmbeddedEmissionsFromUpstreamFreight(E635,F635,I635)</f>
        <v>0</v>
      </c>
      <c r="K635" s="82"/>
      <c r="L635" s="47"/>
      <c r="M635" s="82"/>
    </row>
    <row r="636" spans="4:13" x14ac:dyDescent="0.25">
      <c r="D636" s="49">
        <v>0</v>
      </c>
      <c r="E636" s="49">
        <v>0</v>
      </c>
      <c r="F636" s="49">
        <v>0</v>
      </c>
      <c r="G636" s="49" t="s">
        <v>809</v>
      </c>
      <c r="H636" s="49" t="s">
        <v>809</v>
      </c>
      <c r="I636" s="66"/>
      <c r="J636" s="49" cm="1">
        <f t="array" ref="J636">Scope3_Equations.VEERG_15_14_1_1__1_EmbeddedEmissionsFromUpstreamFreight(E636,F636,I636)</f>
        <v>0</v>
      </c>
      <c r="K636" s="82"/>
      <c r="L636" s="47"/>
      <c r="M636" s="82"/>
    </row>
    <row r="638" spans="4:13" x14ac:dyDescent="0.25">
      <c r="D638" s="174" t="s">
        <v>810</v>
      </c>
      <c r="E638" s="98" t="s">
        <v>809</v>
      </c>
      <c r="F638" s="175" t="str">
        <f>$E$104</f>
        <v>t CO2e</v>
      </c>
    </row>
    <row r="639" spans="4:13" x14ac:dyDescent="0.25">
      <c r="D639" s="174" t="s">
        <v>811</v>
      </c>
      <c r="E639" s="98">
        <f>SUM(J627:J636)</f>
        <v>432640</v>
      </c>
      <c r="F639" s="175" t="str">
        <f>$E$104</f>
        <v>t CO2e</v>
      </c>
    </row>
    <row r="641" spans="4:6" ht="20.25" x14ac:dyDescent="0.25">
      <c r="D641" s="176" t="s">
        <v>623</v>
      </c>
      <c r="E641" s="177" t="s">
        <v>809</v>
      </c>
      <c r="F641" s="178" t="str">
        <f>$E$104</f>
        <v>t CO2e</v>
      </c>
    </row>
    <row r="642" spans="4:6" ht="20.25" x14ac:dyDescent="0.25">
      <c r="D642" s="176" t="s">
        <v>625</v>
      </c>
      <c r="E642" s="177">
        <f>VEERG_15_14_1_1__1_EmbeddedEmissionsFromUpstreamFreight_Incoming_Result_Method2+VEERG_15_14_1_1__1_EmbeddedEmissionsFromUpstreamFreight_Outgoing_Result_Method2</f>
        <v>5579340</v>
      </c>
      <c r="F642" s="178"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9:L618 L627:L636"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31147-C1C6-4653-A704-AB589AD69A4A}">
  <sheetPr>
    <tabColor rgb="FF008000"/>
  </sheetPr>
  <dimension ref="A1:L342"/>
  <sheetViews>
    <sheetView showGridLines="0" topLeftCell="A174" zoomScaleNormal="100" workbookViewId="0">
      <selection activeCell="A46" sqref="A46"/>
    </sheetView>
  </sheetViews>
  <sheetFormatPr defaultRowHeight="15.75" x14ac:dyDescent="0.25"/>
  <cols>
    <col min="1" max="1" width="26.87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7" t="e" vm="1">
        <v>#VALUE!</v>
      </c>
      <c r="C1" s="1" t="s">
        <v>778</v>
      </c>
    </row>
    <row r="2" spans="1:12" s="2" customFormat="1" ht="20.100000000000001" customHeight="1" x14ac:dyDescent="0.25">
      <c r="A2"/>
    </row>
    <row r="3" spans="1:12" ht="20.100000000000001" customHeight="1" x14ac:dyDescent="0.25">
      <c r="A3" s="16" t="str">
        <f>HYPERLINK("#'Overview'!A1", "Overview")</f>
        <v>Overview</v>
      </c>
      <c r="C3" s="5"/>
      <c r="D3" s="5" t="s">
        <v>400</v>
      </c>
      <c r="E3" s="5"/>
      <c r="F3" s="5"/>
      <c r="G3" s="5"/>
      <c r="H3" s="5"/>
      <c r="I3" s="5"/>
      <c r="J3" s="5"/>
      <c r="K3" s="5"/>
      <c r="L3" s="5"/>
    </row>
    <row r="4" spans="1:12" ht="20.100000000000001" customHeight="1" x14ac:dyDescent="0.25">
      <c r="A4" s="16" t="str">
        <f>HYPERLINK("#'Results'!A1", "Results")</f>
        <v>Results</v>
      </c>
    </row>
    <row r="5" spans="1:12" ht="20.100000000000001" customHeight="1" x14ac:dyDescent="0.25">
      <c r="A5"/>
      <c r="D5" s="9" t="str" cm="1">
        <f t="array" ref="D5">WasteSolid_Equations.VEERG_10_1_1_1__2_MassOfWasteFromVolume_Title()</f>
        <v>Mass of waste from waste volume</v>
      </c>
    </row>
    <row r="6" spans="1:12" ht="20.100000000000001" customHeight="1" x14ac:dyDescent="0.25">
      <c r="A6"/>
      <c r="D6" s="11" t="str" cm="1">
        <f t="array" ref="D6">WasteSolid_Equations.VEERG_10_1_1_1__2_MassOfWasteFromVolume_Source()</f>
        <v>VEERG 2026: 10.1.1.1, Equation (2)</v>
      </c>
    </row>
    <row r="7" spans="1:12" ht="20.100000000000001" customHeight="1" x14ac:dyDescent="0.25">
      <c r="A7" s="19" t="s">
        <v>67</v>
      </c>
      <c r="D7" s="172" t="s">
        <v>616</v>
      </c>
      <c r="E7" s="172" t="str" cm="1">
        <f t="array" aca="1" ref="E7" ca="1">Common_InputFunctions.Utility_DisplayFunctionName(I21)</f>
        <v>=WasteSolid_Equations.VEERG_10_1_1_1__2_MassOfWasteFromVolume</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c r="D10" s="27" t="s">
        <v>617</v>
      </c>
      <c r="E10" s="8" t="str" cm="1">
        <f t="array" ref="E10">WasteSolid_Equations.VEERG_10_1_1_1__2_MassOfWasteFromVolume_Variable()</f>
        <v>Q_wt</v>
      </c>
    </row>
    <row r="11" spans="1:12" ht="20.100000000000001" customHeight="1" x14ac:dyDescent="0.25">
      <c r="A11" s="16" t="str">
        <f>HYPERLINK("#'Input - Common farm inputs'!A1", "Common farm inputs")</f>
        <v>Common farm inputs</v>
      </c>
      <c r="D11" s="27" t="s">
        <v>96</v>
      </c>
      <c r="E11" s="13" t="str" cm="1">
        <f t="array" ref="E11">WasteSolid_Equations.VEERG_10_1_1_1__2_MassOfWasteFromVolume_Unit()</f>
        <v>t</v>
      </c>
    </row>
    <row r="12" spans="1:12" ht="20.100000000000001" customHeight="1" x14ac:dyDescent="0.25">
      <c r="A12" s="16" t="str">
        <f>HYPERLINK("#'Input - Processing inputs'!A1", "Processing inputs")</f>
        <v>Processing inputs</v>
      </c>
    </row>
    <row r="13" spans="1:12" ht="20.100000000000001" customHeight="1" x14ac:dyDescent="0.25">
      <c r="A13" s="16" t="str">
        <f>HYPERLINK("#'Input - Crop pasture farm input'!A1", "Crop pasture farm input")</f>
        <v>Crop pasture farm input</v>
      </c>
      <c r="D13" s="167" t="str" cm="1">
        <f t="array" ref="D13:E16">_xlfn.CHOOSECOLS(WasteSolid_Equations.VEERG_10_1_1_1__2_MassOfWasteFromVolume_Arguments(),1,2)</f>
        <v>V_wt</v>
      </c>
      <c r="E13" s="171" t="str">
        <v>volume of solid waste type w being sent to treatment facility t</v>
      </c>
      <c r="F13" s="166"/>
      <c r="G13" s="167" t="str" cm="1">
        <f t="array" ref="G13:H16">_xlfn.CHOOSECOLS(WasteSolid_Equations.VEERG_10_1_1_1__2_MassOfWasteFromVolume_Arguments(),3,4)</f>
        <v>m3</v>
      </c>
      <c r="H13" s="231" t="str">
        <v>Input</v>
      </c>
      <c r="I13" s="170" t="str" cm="1">
        <f t="array" aca="1" ref="I13" ca="1">HYPERLINK(Common_InputFunctions.Utility_SourceHyperlink($D$18),$D$18)</f>
        <v>Table_V_w_t_onsite</v>
      </c>
      <c r="J13" s="170" t="str" cm="1">
        <f t="array" aca="1" ref="J13" ca="1">HYPERLINK(Common_InputFunctions.Utility_SourceHyperlink($D$56),$D$56)</f>
        <v>Table_V_w_t_offsite</v>
      </c>
    </row>
    <row r="14" spans="1:12" ht="20.100000000000001" customHeight="1" x14ac:dyDescent="0.25">
      <c r="A14" s="16" t="str">
        <f>HYPERLINK("#'Input - Hort farm Inputs'!A1", "Hort farm Inputs")</f>
        <v>Hort farm Inputs</v>
      </c>
      <c r="D14" s="167" t="str">
        <v>VTM_w</v>
      </c>
      <c r="E14" s="171" t="str">
        <v>conversion factor of volume to mass for waste type w</v>
      </c>
      <c r="F14" s="166"/>
      <c r="G14" s="167" t="str">
        <v>t/m3</v>
      </c>
      <c r="H14" s="169" t="str">
        <v>Constant</v>
      </c>
      <c r="I14" s="170" t="str" cm="1">
        <f t="array" aca="1" ref="I14" ca="1">HYPERLINK(Common_InputFunctions.Utility_SourceHyperlink($D$18),$D$18)</f>
        <v>Table_V_w_t_onsite</v>
      </c>
      <c r="J14" s="170" t="str" cm="1">
        <f t="array" aca="1" ref="J14" ca="1">HYPERLINK(Common_InputFunctions.Utility_SourceHyperlink($D$56),$D$56)</f>
        <v>Table_V_w_t_offsite</v>
      </c>
    </row>
    <row r="15" spans="1:12" ht="20.100000000000001" customHeight="1" x14ac:dyDescent="0.25">
      <c r="A15" s="16" t="str">
        <f>HYPERLINK("#'Input - Livestock farm Inputs'!A1", "Livestock farm Inputs")</f>
        <v>Livestock farm Inputs</v>
      </c>
      <c r="D15" s="167" t="str">
        <v>w</v>
      </c>
      <c r="E15" s="171" t="str">
        <v>waste type</v>
      </c>
      <c r="F15" s="166"/>
      <c r="G15" s="167" t="str">
        <v/>
      </c>
      <c r="H15" s="231" t="str">
        <v>Input</v>
      </c>
      <c r="I15" s="170" t="str" cm="1">
        <f t="array" aca="1" ref="I15" ca="1">HYPERLINK(Common_InputFunctions.Utility_SourceHyperlink($D$18),$D$18)</f>
        <v>Table_V_w_t_onsite</v>
      </c>
      <c r="J15" s="170" t="str" cm="1">
        <f t="array" aca="1" ref="J15" ca="1">HYPERLINK(Common_InputFunctions.Utility_SourceHyperlink($D$56),$D$56)</f>
        <v>Table_V_w_t_offsite</v>
      </c>
    </row>
    <row r="16" spans="1:12" ht="20.100000000000001" customHeight="1" x14ac:dyDescent="0.25">
      <c r="A16" s="16" t="str">
        <f>HYPERLINK("#'Input - Aquaculture inputs'!A1", "Aquaculture inputs")</f>
        <v>Aquaculture inputs</v>
      </c>
      <c r="D16" s="167" t="str">
        <v>t</v>
      </c>
      <c r="E16" s="171" t="str">
        <v>treatment facility</v>
      </c>
      <c r="F16" s="166"/>
      <c r="G16" s="167" t="str">
        <v/>
      </c>
      <c r="H16" s="231" t="str">
        <v>Input</v>
      </c>
      <c r="I16" s="170" t="str" cm="1">
        <f t="array" aca="1" ref="I16" ca="1">HYPERLINK(Common_InputFunctions.Utility_SourceHyperlink($D$18),$D$18)</f>
        <v>Table_V_w_t_onsite</v>
      </c>
      <c r="J16" s="170" t="str" cm="1">
        <f t="array" aca="1" ref="J16" ca="1">HYPERLINK(Common_InputFunctions.Utility_SourceHyperlink($D$56),$D$56)</f>
        <v>Table_V_w_t_offsite</v>
      </c>
    </row>
    <row r="17" spans="1:9" ht="20.100000000000001" customHeight="1" x14ac:dyDescent="0.25">
      <c r="A17" s="16" t="str">
        <f>HYPERLINK("#'Input - Beef cattle purchases'!A1", "Beef cattle purchases")</f>
        <v>Beef cattle purchases</v>
      </c>
    </row>
    <row r="18" spans="1:9" ht="20.100000000000001" customHeight="1" x14ac:dyDescent="0.25">
      <c r="A18" s="16" t="str">
        <f>HYPERLINK("#'Input - Dairy cattle purchases'!A1", "Dairy cattle purchases")</f>
        <v>Dairy cattle purchases</v>
      </c>
      <c r="D18" s="55" t="s">
        <v>779</v>
      </c>
    </row>
    <row r="19" spans="1:9" ht="20.100000000000001" customHeight="1" x14ac:dyDescent="0.25">
      <c r="A19" s="16" t="str">
        <f>HYPERLINK("#'Input - Pig purchases'!A1", "Pig purchases")</f>
        <v>Pig purchases</v>
      </c>
      <c r="D19" s="56" t="s">
        <v>780</v>
      </c>
    </row>
    <row r="20" spans="1:9" ht="20.100000000000001" customHeight="1" x14ac:dyDescent="0.25">
      <c r="A20" s="16" t="str">
        <f>HYPERLINK("#'Input - Poultry purchases'!A1", "Poultry purchases")</f>
        <v>Poultry purchases</v>
      </c>
      <c r="D20" s="46" t="s">
        <v>781</v>
      </c>
      <c r="E20" s="46" t="s">
        <v>782</v>
      </c>
      <c r="F20" s="46"/>
      <c r="G20" s="46" t="s">
        <v>783</v>
      </c>
      <c r="H20" s="57" t="s">
        <v>784</v>
      </c>
      <c r="I20" s="57" t="s">
        <v>785</v>
      </c>
    </row>
    <row r="21" spans="1:9" ht="20.100000000000001" customHeight="1" x14ac:dyDescent="0.25">
      <c r="A21" s="16" t="str">
        <f>HYPERLINK("#'Input - Freight'!A1", "Freight")</f>
        <v>Freight</v>
      </c>
      <c r="D21" s="167" t="str" cm="1">
        <f t="array" ref="D21:D54">Table_SourceData_WasteSolid_WasteTreatmentEFs[Treatment type t]</f>
        <v>Landfill</v>
      </c>
      <c r="E21" s="171" t="str" cm="1">
        <f t="array" ref="E21:E54">Table_SourceData_WasteSolid_WasteTreatmentEFs[Waste type w]</f>
        <v>Food waste (including animal carcasses, spoiled animal feed or crop)</v>
      </c>
      <c r="F21" s="209"/>
      <c r="G21" s="49"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49" cm="1">
        <f t="array" ref="H21">Common_InputFunctions.Utility_LookupValueInTableNumber(E21,Table_SourceData_WasteSolid_VolumeToMassConversion[Waste type w],Table_SourceData_WasteSolid_VolumeToMassConversion[VTMw])</f>
        <v>0.5</v>
      </c>
      <c r="I21" s="49" cm="1">
        <f t="array" ref="I21">WasteSolid_Equations.VEERG_10_1_1_1__2_MassOfWasteFromVolume(G21,H21)</f>
        <v>25</v>
      </c>
    </row>
    <row r="22" spans="1:9" ht="20.100000000000001" customHeight="1" x14ac:dyDescent="0.25">
      <c r="A22" s="16" t="str">
        <f>HYPERLINK("#'Input - Solid waste'!A1", "Solid waste")</f>
        <v>Solid waste</v>
      </c>
      <c r="D22" s="167" t="str">
        <v>Landfill</v>
      </c>
      <c r="E22" s="171" t="str">
        <v>Paper and cardboard</v>
      </c>
      <c r="F22" s="209"/>
      <c r="G22" s="49"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49" cm="1">
        <f t="array" ref="H22">Common_InputFunctions.Utility_LookupValueInTableNumber(E22,Table_SourceData_WasteSolid_VolumeToMassConversion[Waste type w],Table_SourceData_WasteSolid_VolumeToMassConversion[VTMw])</f>
        <v>0.09</v>
      </c>
      <c r="I22" s="49" cm="1">
        <f t="array" ref="I22">WasteSolid_Equations.VEERG_10_1_1_1__2_MassOfWasteFromVolume(G22,H22)</f>
        <v>4.5</v>
      </c>
    </row>
    <row r="23" spans="1:9" ht="20.100000000000001" customHeight="1" x14ac:dyDescent="0.25">
      <c r="A23" s="16" t="str">
        <f>HYPERLINK("#'Input - Manure sent off-site'!A1", "Manure sent off-site")</f>
        <v>Manure sent off-site</v>
      </c>
      <c r="D23" s="167" t="str">
        <v>Landfill</v>
      </c>
      <c r="E23" s="171" t="str">
        <v>Green waste (including crop residues or prunings)</v>
      </c>
      <c r="F23" s="209"/>
      <c r="G23" s="49"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49" cm="1">
        <f t="array" ref="H23">Common_InputFunctions.Utility_LookupValueInTableNumber(E23,Table_SourceData_WasteSolid_VolumeToMassConversion[Waste type w],Table_SourceData_WasteSolid_VolumeToMassConversion[VTMw])</f>
        <v>0.24</v>
      </c>
      <c r="I23" s="49" cm="1">
        <f t="array" ref="I23">WasteSolid_Equations.VEERG_10_1_1_1__2_MassOfWasteFromVolume(G23,H23)</f>
        <v>12</v>
      </c>
    </row>
    <row r="24" spans="1:9" ht="20.100000000000001" customHeight="1" x14ac:dyDescent="0.25">
      <c r="A24" s="16" t="str">
        <f>HYPERLINK("#'Input - Electricity'!A1", "Electricity")</f>
        <v>Electricity</v>
      </c>
      <c r="D24" s="167" t="str">
        <v>Landfill</v>
      </c>
      <c r="E24" s="171" t="str">
        <v>Wood</v>
      </c>
      <c r="F24" s="209"/>
      <c r="G24" s="49"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49" cm="1">
        <f t="array" ref="H24">Common_InputFunctions.Utility_LookupValueInTableNumber(E24,Table_SourceData_WasteSolid_VolumeToMassConversion[Waste type w],Table_SourceData_WasteSolid_VolumeToMassConversion[VTMw])</f>
        <v>0.15</v>
      </c>
      <c r="I24" s="49" cm="1">
        <f t="array" ref="I24">WasteSolid_Equations.VEERG_10_1_1_1__2_MassOfWasteFromVolume(G24,H24)</f>
        <v>0</v>
      </c>
    </row>
    <row r="25" spans="1:9" ht="20.100000000000001" customHeight="1" x14ac:dyDescent="0.25">
      <c r="A25"/>
      <c r="D25" s="167" t="str">
        <v>Landfill</v>
      </c>
      <c r="E25" s="171" t="str">
        <v>Textiles</v>
      </c>
      <c r="F25" s="209"/>
      <c r="G25" s="49"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49" cm="1">
        <f t="array" ref="H25">Common_InputFunctions.Utility_LookupValueInTableNumber(E25,Table_SourceData_WasteSolid_VolumeToMassConversion[Waste type w],Table_SourceData_WasteSolid_VolumeToMassConversion[VTMw])</f>
        <v>0.14000000000000001</v>
      </c>
      <c r="I25" s="49" cm="1">
        <f t="array" ref="I25">WasteSolid_Equations.VEERG_10_1_1_1__2_MassOfWasteFromVolume(G25,H25)</f>
        <v>0</v>
      </c>
    </row>
    <row r="26" spans="1:9" ht="20.100000000000001" customHeight="1" x14ac:dyDescent="0.25">
      <c r="A26"/>
      <c r="D26" s="167" t="str">
        <v>Landfill</v>
      </c>
      <c r="E26" s="171" t="str">
        <v>Sludge</v>
      </c>
      <c r="F26" s="209"/>
      <c r="G26" s="49"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49" cm="1">
        <f t="array" ref="H26">Common_InputFunctions.Utility_LookupValueInTableNumber(E26,Table_SourceData_WasteSolid_VolumeToMassConversion[Waste type w],Table_SourceData_WasteSolid_VolumeToMassConversion[VTMw])</f>
        <v>0.72</v>
      </c>
      <c r="I26" s="49" cm="1">
        <f t="array" ref="I26">WasteSolid_Equations.VEERG_10_1_1_1__2_MassOfWasteFromVolume(G26,H26)</f>
        <v>0</v>
      </c>
    </row>
    <row r="27" spans="1:9" ht="20.100000000000001" customHeight="1" x14ac:dyDescent="0.25">
      <c r="A27" s="21" t="s">
        <v>77</v>
      </c>
      <c r="D27" s="167" t="str">
        <v>Landfill</v>
      </c>
      <c r="E27" s="171" t="str">
        <v>Rubber and leather</v>
      </c>
      <c r="F27" s="209"/>
      <c r="G27" s="49"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49" cm="1">
        <f t="array" ref="H27">Common_InputFunctions.Utility_LookupValueInTableNumber(E27,Table_SourceData_WasteSolid_VolumeToMassConversion[Waste type w],Table_SourceData_WasteSolid_VolumeToMassConversion[VTMw])</f>
        <v>0.14000000000000001</v>
      </c>
      <c r="I27" s="49" cm="1">
        <f t="array" ref="I27">WasteSolid_Equations.VEERG_10_1_1_1__2_MassOfWasteFromVolume(G27,H27)</f>
        <v>0</v>
      </c>
    </row>
    <row r="28" spans="1:9" ht="20.100000000000001" customHeight="1" x14ac:dyDescent="0.25">
      <c r="A28" s="16" t="str">
        <f>HYPERLINK("#'15 Scope 3'!A1", "15 Scope 3")</f>
        <v>15 Scope 3</v>
      </c>
      <c r="D28" s="167" t="str">
        <v>Landfill</v>
      </c>
      <c r="E28" s="171" t="str">
        <v>Inert waste (including concrete, metal, plastic or glass)</v>
      </c>
      <c r="F28" s="209"/>
      <c r="G28" s="49"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49" cm="1">
        <f t="array" ref="H28">Common_InputFunctions.Utility_LookupValueInTableNumber(E28,Table_SourceData_WasteSolid_VolumeToMassConversion[Waste type w],Table_SourceData_WasteSolid_VolumeToMassConversion[VTMw])</f>
        <v>0.42</v>
      </c>
      <c r="I28" s="49" cm="1">
        <f t="array" ref="I28">WasteSolid_Equations.VEERG_10_1_1_1__2_MassOfWasteFromVolume(G28,H28)</f>
        <v>0</v>
      </c>
    </row>
    <row r="29" spans="1:9" ht="20.100000000000001" customHeight="1" x14ac:dyDescent="0.25">
      <c r="A29" s="180" t="str">
        <f>HYPERLINK("#'10.1.1-2 Solid waste treatment'!A1", "10.1.1-2 Solid waste treatment")</f>
        <v>10.1.1-2 Solid waste treatment</v>
      </c>
      <c r="D29" s="167" t="str">
        <v>Landfill</v>
      </c>
      <c r="E29" s="171" t="str">
        <v>Municipal solid waste</v>
      </c>
      <c r="F29" s="209"/>
      <c r="G29" s="49"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49" cm="1">
        <f t="array" ref="H29">Common_InputFunctions.Utility_LookupValueInTableNumber(E29,Table_SourceData_WasteSolid_VolumeToMassConversion[Waste type w],Table_SourceData_WasteSolid_VolumeToMassConversion[VTMw])</f>
        <v>0.36</v>
      </c>
      <c r="I29" s="49" cm="1">
        <f t="array" ref="I29">WasteSolid_Equations.VEERG_10_1_1_1__2_MassOfWasteFromVolume(G29,H29)</f>
        <v>0</v>
      </c>
    </row>
    <row r="30" spans="1:9" ht="20.100000000000001" customHeight="1" x14ac:dyDescent="0.25">
      <c r="A30" s="16" t="str">
        <f>HYPERLINK("#'Calcs - Manure sent off-site'!A1", "Calcs - Manure sent off-site")</f>
        <v>Calcs - Manure sent off-site</v>
      </c>
      <c r="D30" s="167" t="str">
        <v>Landfill</v>
      </c>
      <c r="E30" s="171" t="str">
        <v>Commercial and industrial waste</v>
      </c>
      <c r="F30" s="209"/>
      <c r="G30" s="49"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49" cm="1">
        <f t="array" ref="H30">Common_InputFunctions.Utility_LookupValueInTableNumber(E30,Table_SourceData_WasteSolid_VolumeToMassConversion[Waste type w],Table_SourceData_WasteSolid_VolumeToMassConversion[VTMw])</f>
        <v>0.33</v>
      </c>
      <c r="I30" s="49" cm="1">
        <f t="array" ref="I30">WasteSolid_Equations.VEERG_10_1_1_1__2_MassOfWasteFromVolume(G30,H30)</f>
        <v>0</v>
      </c>
    </row>
    <row r="31" spans="1:9" ht="20.100000000000001" customHeight="1" x14ac:dyDescent="0.25">
      <c r="A31" s="16" t="str">
        <f>HYPERLINK("#'8.1.1.1-2 Transport fuel'!A1", "8.1.1.1-2 Transport fuel")</f>
        <v>8.1.1.1-2 Transport fuel</v>
      </c>
      <c r="D31" s="167" t="str">
        <v>Landfill</v>
      </c>
      <c r="E31" s="171" t="str">
        <v>Construction and demolition waste</v>
      </c>
      <c r="F31" s="209"/>
      <c r="G31" s="49"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49" cm="1">
        <f t="array" ref="H31">Common_InputFunctions.Utility_LookupValueInTableNumber(E31,Table_SourceData_WasteSolid_VolumeToMassConversion[Waste type w],Table_SourceData_WasteSolid_VolumeToMassConversion[VTMw])</f>
        <v>0.39</v>
      </c>
      <c r="I31" s="49" cm="1">
        <f t="array" ref="I31">WasteSolid_Equations.VEERG_10_1_1_1__2_MassOfWasteFromVolume(G31,H31)</f>
        <v>0</v>
      </c>
    </row>
    <row r="32" spans="1:9" ht="20.100000000000001" customHeight="1" x14ac:dyDescent="0.25">
      <c r="A32" s="16" t="str">
        <f>HYPERLINK("#'8.2.1.1-2 Stationary fuel'!A1", "8.2.1.1-2 Stationary fuel")</f>
        <v>8.2.1.1-2 Stationary fuel</v>
      </c>
      <c r="D32" s="167" t="str">
        <v>Incineration</v>
      </c>
      <c r="E32" s="171" t="str">
        <v>Food waste, green waste, wood, sludge</v>
      </c>
      <c r="F32" s="209"/>
      <c r="G32" s="49" t="s">
        <v>830</v>
      </c>
      <c r="H32" s="49" t="s">
        <v>830</v>
      </c>
      <c r="I32" s="49" t="s">
        <v>830</v>
      </c>
    </row>
    <row r="33" spans="1:9" ht="20.100000000000001" customHeight="1" x14ac:dyDescent="0.25">
      <c r="A33"/>
      <c r="D33" s="167" t="str">
        <v>Incineration</v>
      </c>
      <c r="E33" s="171" t="str">
        <v>Food waste (including animal carcasses, spoiled animal feed or crop)</v>
      </c>
      <c r="F33" s="209"/>
      <c r="G33" s="49"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49" cm="1">
        <f t="array" ref="H33">Common_InputFunctions.Utility_LookupValueInTableNumber(E33,Table_SourceData_WasteSolid_VolumeToMassConversion[Waste type w],Table_SourceData_WasteSolid_VolumeToMassConversion[VTMw])</f>
        <v>0.5</v>
      </c>
      <c r="I33" s="49" cm="1">
        <f t="array" ref="I33">WasteSolid_Equations.VEERG_10_1_1_1__2_MassOfWasteFromVolume(G33,H33)</f>
        <v>0</v>
      </c>
    </row>
    <row r="34" spans="1:9" ht="20.100000000000001" customHeight="1" x14ac:dyDescent="0.25">
      <c r="A34"/>
      <c r="D34" s="167" t="str">
        <v>Incineration</v>
      </c>
      <c r="E34" s="171" t="str">
        <v>Green waste (including crop residues or prunings)</v>
      </c>
      <c r="F34" s="209"/>
      <c r="G34" s="49"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49" cm="1">
        <f t="array" ref="H34">Common_InputFunctions.Utility_LookupValueInTableNumber(E34,Table_SourceData_WasteSolid_VolumeToMassConversion[Waste type w],Table_SourceData_WasteSolid_VolumeToMassConversion[VTMw])</f>
        <v>0.24</v>
      </c>
      <c r="I34" s="49" cm="1">
        <f t="array" ref="I34">WasteSolid_Equations.VEERG_10_1_1_1__2_MassOfWasteFromVolume(G34,H34)</f>
        <v>24</v>
      </c>
    </row>
    <row r="35" spans="1:9" ht="20.100000000000001" customHeight="1" x14ac:dyDescent="0.25">
      <c r="A35" s="222" t="s">
        <v>78</v>
      </c>
      <c r="D35" s="167" t="str">
        <v>Incineration</v>
      </c>
      <c r="E35" s="171" t="str">
        <v>Wood</v>
      </c>
      <c r="F35" s="209"/>
      <c r="G35" s="49"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49" cm="1">
        <f t="array" ref="H35">Common_InputFunctions.Utility_LookupValueInTableNumber(E35,Table_SourceData_WasteSolid_VolumeToMassConversion[Waste type w],Table_SourceData_WasteSolid_VolumeToMassConversion[VTMw])</f>
        <v>0.15</v>
      </c>
      <c r="I35" s="49" cm="1">
        <f t="array" ref="I35">WasteSolid_Equations.VEERG_10_1_1_1__2_MassOfWasteFromVolume(G35,H35)</f>
        <v>0</v>
      </c>
    </row>
    <row r="36" spans="1:9" ht="20.100000000000001" customHeight="1" x14ac:dyDescent="0.25">
      <c r="A36" s="16" t="str">
        <f>HYPERLINK("#'Constants - Scope 3'!A1", "Constants - Scope 3")</f>
        <v>Constants - Scope 3</v>
      </c>
      <c r="D36" s="167" t="str">
        <v>Incineration</v>
      </c>
      <c r="E36" s="171" t="str">
        <v>Sludge</v>
      </c>
      <c r="F36" s="209"/>
      <c r="G36" s="49"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49" cm="1">
        <f t="array" ref="H36">Common_InputFunctions.Utility_LookupValueInTableNumber(E36,Table_SourceData_WasteSolid_VolumeToMassConversion[Waste type w],Table_SourceData_WasteSolid_VolumeToMassConversion[VTMw])</f>
        <v>0.72</v>
      </c>
      <c r="I36" s="49" cm="1">
        <f t="array" ref="I36">WasteSolid_Equations.VEERG_10_1_1_1__2_MassOfWasteFromVolume(G36,H36)</f>
        <v>0</v>
      </c>
    </row>
    <row r="37" spans="1:9" ht="20.100000000000001" customHeight="1" x14ac:dyDescent="0.25">
      <c r="A37" s="16" t="str">
        <f>HYPERLINK("#'Constants - Solid Waste'!A1", "Constants - Solid Waste")</f>
        <v>Constants - Solid Waste</v>
      </c>
      <c r="D37" s="167" t="str">
        <v>Incineration</v>
      </c>
      <c r="E37" s="171" t="str">
        <v>Paper and cardboard</v>
      </c>
      <c r="F37" s="209"/>
      <c r="G37" s="49"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49" cm="1">
        <f t="array" ref="H37">Common_InputFunctions.Utility_LookupValueInTableNumber(E37,Table_SourceData_WasteSolid_VolumeToMassConversion[Waste type w],Table_SourceData_WasteSolid_VolumeToMassConversion[VTMw])</f>
        <v>0.09</v>
      </c>
      <c r="I37" s="49" cm="1">
        <f t="array" ref="I37">WasteSolid_Equations.VEERG_10_1_1_1__2_MassOfWasteFromVolume(G37,H37)</f>
        <v>4.5</v>
      </c>
    </row>
    <row r="38" spans="1:9" ht="20.100000000000001" customHeight="1" x14ac:dyDescent="0.25">
      <c r="A38" s="16" t="str">
        <f>HYPERLINK("#'Constants - Fuel'!A1", "Constants - Fuel")</f>
        <v>Constants - Fuel</v>
      </c>
      <c r="D38" s="167" t="str">
        <v>Incineration</v>
      </c>
      <c r="E38" s="171" t="str">
        <v>Textiles</v>
      </c>
      <c r="F38" s="209"/>
      <c r="G38" s="49"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49" cm="1">
        <f t="array" ref="H38">Common_InputFunctions.Utility_LookupValueInTableNumber(E38,Table_SourceData_WasteSolid_VolumeToMassConversion[Waste type w],Table_SourceData_WasteSolid_VolumeToMassConversion[VTMw])</f>
        <v>0.14000000000000001</v>
      </c>
      <c r="I38" s="49" cm="1">
        <f t="array" ref="I38">WasteSolid_Equations.VEERG_10_1_1_1__2_MassOfWasteFromVolume(G38,H38)</f>
        <v>0</v>
      </c>
    </row>
    <row r="39" spans="1:9" ht="20.100000000000001" customHeight="1" x14ac:dyDescent="0.25">
      <c r="A39" s="16" t="str">
        <f>HYPERLINK("#'Constants - Poultry'!A1", "Constants - Poultry")</f>
        <v>Constants - Poultry</v>
      </c>
      <c r="D39" s="167" t="str">
        <v>Incineration</v>
      </c>
      <c r="E39" s="171" t="str">
        <v>Rubber and leather</v>
      </c>
      <c r="F39" s="209"/>
      <c r="G39" s="49"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49" cm="1">
        <f t="array" ref="H39">Common_InputFunctions.Utility_LookupValueInTableNumber(E39,Table_SourceData_WasteSolid_VolumeToMassConversion[Waste type w],Table_SourceData_WasteSolid_VolumeToMassConversion[VTMw])</f>
        <v>0.14000000000000001</v>
      </c>
      <c r="I39" s="49" cm="1">
        <f t="array" ref="I39">WasteSolid_Equations.VEERG_10_1_1_1__2_MassOfWasteFromVolume(G39,H39)</f>
        <v>0</v>
      </c>
    </row>
    <row r="40" spans="1:9" ht="20.100000000000001" customHeight="1" x14ac:dyDescent="0.25">
      <c r="A40" s="16" t="str">
        <f>HYPERLINK("#'Constants - Swine'!A1", "Constants - Swine")</f>
        <v>Constants - Swine</v>
      </c>
      <c r="D40" s="167" t="str">
        <v>Incineration</v>
      </c>
      <c r="E40" s="167" t="str">
        <v>Inert waste (including concrete, metal, plastic or glass)</v>
      </c>
      <c r="F40" s="167"/>
      <c r="G40" s="49"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49" cm="1">
        <f t="array" ref="H40">Common_InputFunctions.Utility_LookupValueInTableNumber(E40,Table_SourceData_WasteSolid_VolumeToMassConversion[Waste type w],Table_SourceData_WasteSolid_VolumeToMassConversion[VTMw])</f>
        <v>0.42</v>
      </c>
      <c r="I40" s="49" cm="1">
        <f t="array" ref="I40">WasteSolid_Equations.VEERG_10_1_1_1__2_MassOfWasteFromVolume(G40,H40)</f>
        <v>0</v>
      </c>
    </row>
    <row r="41" spans="1:9" ht="20.100000000000001" customHeight="1" x14ac:dyDescent="0.25">
      <c r="A41" s="16" t="str">
        <f>HYPERLINK("#'Constants - Dairy'!A1", "Constants - Dairy")</f>
        <v>Constants - Dairy</v>
      </c>
      <c r="D41" s="167" t="str">
        <v>Incineration</v>
      </c>
      <c r="E41" s="171" t="str">
        <v>Municipal solid waste</v>
      </c>
      <c r="F41" s="166"/>
      <c r="G41" s="49"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49" cm="1">
        <f t="array" ref="H41">Common_InputFunctions.Utility_LookupValueInTableNumber(E41,Table_SourceData_WasteSolid_VolumeToMassConversion[Waste type w],Table_SourceData_WasteSolid_VolumeToMassConversion[VTMw])</f>
        <v>0.36</v>
      </c>
      <c r="I41" s="49" cm="1">
        <f t="array" ref="I41">WasteSolid_Equations.VEERG_10_1_1_1__2_MassOfWasteFromVolume(G41,H41)</f>
        <v>0</v>
      </c>
    </row>
    <row r="42" spans="1:9" ht="20.100000000000001" customHeight="1" x14ac:dyDescent="0.25">
      <c r="A42" s="16" t="str">
        <f>HYPERLINK("#'Constants - Pasture Beef'!A1", "Constants - Pasture Beef")</f>
        <v>Constants - Pasture Beef</v>
      </c>
      <c r="D42" s="167" t="str">
        <v>Incineration</v>
      </c>
      <c r="E42" s="171" t="str">
        <v>Commercial and industrial waste</v>
      </c>
      <c r="F42" s="166"/>
      <c r="G42" s="49"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49" cm="1">
        <f t="array" ref="H42">Common_InputFunctions.Utility_LookupValueInTableNumber(E42,Table_SourceData_WasteSolid_VolumeToMassConversion[Waste type w],Table_SourceData_WasteSolid_VolumeToMassConversion[VTMw])</f>
        <v>0.33</v>
      </c>
      <c r="I42" s="49" cm="1">
        <f t="array" ref="I42">WasteSolid_Equations.VEERG_10_1_1_1__2_MassOfWasteFromVolume(G42,H42)</f>
        <v>0</v>
      </c>
    </row>
    <row r="43" spans="1:9" ht="20.100000000000001" customHeight="1" x14ac:dyDescent="0.25">
      <c r="A43" s="16" t="str">
        <f>HYPERLINK("#'Constants - Common Livestock'!A1", "Constants - Common Livestock")</f>
        <v>Constants - Common Livestock</v>
      </c>
      <c r="D43" s="167" t="str">
        <v>Composting</v>
      </c>
      <c r="E43" s="171" t="str">
        <v>All organic waste</v>
      </c>
      <c r="F43" s="166"/>
      <c r="G43" s="49" t="s">
        <v>830</v>
      </c>
      <c r="H43" s="49" t="s">
        <v>830</v>
      </c>
      <c r="I43" s="49" t="s">
        <v>830</v>
      </c>
    </row>
    <row r="44" spans="1:9" ht="20.100000000000001" customHeight="1" x14ac:dyDescent="0.25">
      <c r="A44" s="16" t="str">
        <f>HYPERLINK("#'Constants - Fertiliser'!A1", "Constants - Fertiliser")</f>
        <v>Constants - Fertiliser</v>
      </c>
      <c r="D44" s="167" t="str">
        <v>Composting</v>
      </c>
      <c r="E44" s="171" t="str">
        <v>Food waste (including animal carcasses, spoiled animal feed or crop)</v>
      </c>
      <c r="F44" s="166"/>
      <c r="G44" s="49"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49" cm="1">
        <f t="array" ref="H44">Common_InputFunctions.Utility_LookupValueInTableNumber(E44,Table_SourceData_WasteSolid_VolumeToMassConversion[Waste type w],Table_SourceData_WasteSolid_VolumeToMassConversion[VTMw])</f>
        <v>0.5</v>
      </c>
      <c r="I44" s="49" cm="1">
        <f t="array" ref="I44">WasteSolid_Equations.VEERG_10_1_1_1__2_MassOfWasteFromVolume(G44,H44)</f>
        <v>25</v>
      </c>
    </row>
    <row r="45" spans="1:9" ht="20.100000000000001" customHeight="1" x14ac:dyDescent="0.25">
      <c r="A45" s="16" t="str">
        <f>HYPERLINK("#'Constants - Electricity'!A1", "Constants - Electricity")</f>
        <v>Constants - Electricity</v>
      </c>
      <c r="D45" s="167" t="str">
        <v>Composting</v>
      </c>
      <c r="E45" s="171" t="str">
        <v>Green waste (including crop residues or prunings)</v>
      </c>
      <c r="F45" s="166"/>
      <c r="G45" s="49"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49" cm="1">
        <f t="array" ref="H45">Common_InputFunctions.Utility_LookupValueInTableNumber(E45,Table_SourceData_WasteSolid_VolumeToMassConversion[Waste type w],Table_SourceData_WasteSolid_VolumeToMassConversion[VTMw])</f>
        <v>0.24</v>
      </c>
      <c r="I45" s="49" cm="1">
        <f t="array" ref="I45">WasteSolid_Equations.VEERG_10_1_1_1__2_MassOfWasteFromVolume(G45,H45)</f>
        <v>0</v>
      </c>
    </row>
    <row r="46" spans="1:9" ht="20.100000000000001" customHeight="1" x14ac:dyDescent="0.25">
      <c r="A46" s="16" t="str">
        <f>HYPERLINK("#'Constants - Common'!A1", "Constants - Common")</f>
        <v>Constants - Common</v>
      </c>
      <c r="D46" s="167" t="str">
        <v>Composting</v>
      </c>
      <c r="E46" s="171" t="str">
        <v>Wood</v>
      </c>
      <c r="F46" s="166"/>
      <c r="G46" s="49"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49" cm="1">
        <f t="array" ref="H46">Common_InputFunctions.Utility_LookupValueInTableNumber(E46,Table_SourceData_WasteSolid_VolumeToMassConversion[Waste type w],Table_SourceData_WasteSolid_VolumeToMassConversion[VTMw])</f>
        <v>0.15</v>
      </c>
      <c r="I46" s="49" cm="1">
        <f t="array" ref="I46">WasteSolid_Equations.VEERG_10_1_1_1__2_MassOfWasteFromVolume(G46,H46)</f>
        <v>0</v>
      </c>
    </row>
    <row r="47" spans="1:9" ht="20.100000000000001" customHeight="1" x14ac:dyDescent="0.25">
      <c r="A47"/>
      <c r="D47" s="167" t="str">
        <v>Composting</v>
      </c>
      <c r="E47" s="171" t="str">
        <v>Sludge</v>
      </c>
      <c r="F47" s="166"/>
      <c r="G47" s="49"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49" cm="1">
        <f t="array" ref="H47">Common_InputFunctions.Utility_LookupValueInTableNumber(E47,Table_SourceData_WasteSolid_VolumeToMassConversion[Waste type w],Table_SourceData_WasteSolid_VolumeToMassConversion[VTMw])</f>
        <v>0.72</v>
      </c>
      <c r="I47" s="49" cm="1">
        <f t="array" ref="I47">WasteSolid_Equations.VEERG_10_1_1_1__2_MassOfWasteFromVolume(G47,H47)</f>
        <v>0</v>
      </c>
    </row>
    <row r="48" spans="1:9" ht="20.100000000000001" customHeight="1" x14ac:dyDescent="0.25">
      <c r="A48"/>
      <c r="D48" s="167" t="str">
        <v>Composting</v>
      </c>
      <c r="E48" s="171" t="str">
        <v>Paper and cardboard</v>
      </c>
      <c r="F48" s="166"/>
      <c r="G48" s="49"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49" cm="1">
        <f t="array" ref="H48">Common_InputFunctions.Utility_LookupValueInTableNumber(E48,Table_SourceData_WasteSolid_VolumeToMassConversion[Waste type w],Table_SourceData_WasteSolid_VolumeToMassConversion[VTMw])</f>
        <v>0.09</v>
      </c>
      <c r="I48" s="49" cm="1">
        <f t="array" ref="I48">WasteSolid_Equations.VEERG_10_1_1_1__2_MassOfWasteFromVolume(G48,H48)</f>
        <v>4.5</v>
      </c>
    </row>
    <row r="49" spans="1:9" ht="20.100000000000001" customHeight="1" x14ac:dyDescent="0.25">
      <c r="A49"/>
      <c r="D49" s="167" t="str">
        <v>Anaerobic digestion</v>
      </c>
      <c r="E49" s="171" t="str">
        <v>All organic waste</v>
      </c>
      <c r="F49" s="166"/>
      <c r="G49" s="49" t="s">
        <v>830</v>
      </c>
      <c r="H49" s="49" t="s">
        <v>830</v>
      </c>
      <c r="I49" s="49" t="s">
        <v>830</v>
      </c>
    </row>
    <row r="50" spans="1:9" ht="20.100000000000001" customHeight="1" x14ac:dyDescent="0.25">
      <c r="A50"/>
      <c r="D50" s="167" t="str">
        <v>Anaerobic digestion</v>
      </c>
      <c r="E50" s="171" t="str">
        <v>Food waste (including animal carcasses, spoiled animal feed or crop)</v>
      </c>
      <c r="F50" s="166"/>
      <c r="G50" s="49"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49" cm="1">
        <f t="array" ref="H50">Common_InputFunctions.Utility_LookupValueInTableNumber(E50,Table_SourceData_WasteSolid_VolumeToMassConversion[Waste type w],Table_SourceData_WasteSolid_VolumeToMassConversion[VTMw])</f>
        <v>0.5</v>
      </c>
      <c r="I50" s="49" cm="1">
        <f t="array" ref="I50">WasteSolid_Equations.VEERG_10_1_1_1__2_MassOfWasteFromVolume(G50,H50)</f>
        <v>0</v>
      </c>
    </row>
    <row r="51" spans="1:9" ht="20.100000000000001" customHeight="1" x14ac:dyDescent="0.25">
      <c r="A51"/>
      <c r="D51" s="167" t="str">
        <v>Anaerobic digestion</v>
      </c>
      <c r="E51" s="171" t="str">
        <v>Green waste (including crop residues or prunings)</v>
      </c>
      <c r="F51" s="166"/>
      <c r="G51" s="49"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49" cm="1">
        <f t="array" ref="H51">Common_InputFunctions.Utility_LookupValueInTableNumber(E51,Table_SourceData_WasteSolid_VolumeToMassConversion[Waste type w],Table_SourceData_WasteSolid_VolumeToMassConversion[VTMw])</f>
        <v>0.24</v>
      </c>
      <c r="I51" s="49" cm="1">
        <f t="array" ref="I51">WasteSolid_Equations.VEERG_10_1_1_1__2_MassOfWasteFromVolume(G51,H51)</f>
        <v>0</v>
      </c>
    </row>
    <row r="52" spans="1:9" ht="20.100000000000001" customHeight="1" x14ac:dyDescent="0.25">
      <c r="A52"/>
      <c r="D52" s="167" t="str">
        <v>Anaerobic digestion</v>
      </c>
      <c r="E52" s="171" t="str">
        <v>Wood</v>
      </c>
      <c r="F52" s="166"/>
      <c r="G52" s="49"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49" cm="1">
        <f t="array" ref="H52">Common_InputFunctions.Utility_LookupValueInTableNumber(E52,Table_SourceData_WasteSolid_VolumeToMassConversion[Waste type w],Table_SourceData_WasteSolid_VolumeToMassConversion[VTMw])</f>
        <v>0.15</v>
      </c>
      <c r="I52" s="49" cm="1">
        <f t="array" ref="I52">WasteSolid_Equations.VEERG_10_1_1_1__2_MassOfWasteFromVolume(G52,H52)</f>
        <v>0</v>
      </c>
    </row>
    <row r="53" spans="1:9" ht="20.100000000000001" customHeight="1" x14ac:dyDescent="0.25">
      <c r="A53"/>
      <c r="D53" s="167" t="str">
        <v>Anaerobic digestion</v>
      </c>
      <c r="E53" s="171" t="str">
        <v>Sludge</v>
      </c>
      <c r="F53" s="166"/>
      <c r="G53" s="49"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49" cm="1">
        <f t="array" ref="H53">Common_InputFunctions.Utility_LookupValueInTableNumber(E53,Table_SourceData_WasteSolid_VolumeToMassConversion[Waste type w],Table_SourceData_WasteSolid_VolumeToMassConversion[VTMw])</f>
        <v>0.72</v>
      </c>
      <c r="I53" s="49" cm="1">
        <f t="array" ref="I53">WasteSolid_Equations.VEERG_10_1_1_1__2_MassOfWasteFromVolume(G53,H53)</f>
        <v>0</v>
      </c>
    </row>
    <row r="54" spans="1:9" ht="20.100000000000001" customHeight="1" x14ac:dyDescent="0.25">
      <c r="A54"/>
      <c r="D54" s="167" t="str">
        <v>Anaerobic digestion</v>
      </c>
      <c r="E54" s="171" t="str">
        <v>Paper and cardboard</v>
      </c>
      <c r="F54" s="166"/>
      <c r="G54" s="49"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49" cm="1">
        <f t="array" ref="H54">Common_InputFunctions.Utility_LookupValueInTableNumber(E54,Table_SourceData_WasteSolid_VolumeToMassConversion[Waste type w],Table_SourceData_WasteSolid_VolumeToMassConversion[VTMw])</f>
        <v>0.09</v>
      </c>
      <c r="I54" s="49" cm="1">
        <f t="array" ref="I54">WasteSolid_Equations.VEERG_10_1_1_1__2_MassOfWasteFromVolume(G54,H54)</f>
        <v>0</v>
      </c>
    </row>
    <row r="55" spans="1:9" ht="20.100000000000001" customHeight="1" x14ac:dyDescent="0.25">
      <c r="A55"/>
    </row>
    <row r="56" spans="1:9" ht="20.100000000000001" customHeight="1" x14ac:dyDescent="0.25">
      <c r="A56"/>
      <c r="D56" s="55" t="s">
        <v>786</v>
      </c>
    </row>
    <row r="57" spans="1:9" ht="20.100000000000001" customHeight="1" x14ac:dyDescent="0.25">
      <c r="A57"/>
      <c r="D57" s="56" t="s">
        <v>787</v>
      </c>
    </row>
    <row r="58" spans="1:9" ht="20.100000000000001" customHeight="1" x14ac:dyDescent="0.25">
      <c r="A58"/>
      <c r="D58" s="46" t="s">
        <v>781</v>
      </c>
      <c r="E58" s="46" t="s">
        <v>782</v>
      </c>
      <c r="F58" s="46"/>
      <c r="G58" s="46" t="s">
        <v>783</v>
      </c>
      <c r="H58" s="57" t="s">
        <v>784</v>
      </c>
      <c r="I58" s="57" t="s">
        <v>785</v>
      </c>
    </row>
    <row r="59" spans="1:9" ht="20.100000000000001" customHeight="1" x14ac:dyDescent="0.25">
      <c r="A59"/>
      <c r="D59" s="167" t="str" cm="1">
        <f t="array" ref="D59:D92">Table_SourceData_WasteSolid_WasteTreatmentEFs[Treatment type t]</f>
        <v>Landfill</v>
      </c>
      <c r="E59" s="171" t="str" cm="1">
        <f t="array" ref="E59:E92">Table_SourceData_WasteSolid_WasteTreatmentEFs[Waste type w]</f>
        <v>Food waste (including animal carcasses, spoiled animal feed or crop)</v>
      </c>
      <c r="F59" s="209"/>
      <c r="G59" s="49"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49" cm="1">
        <f t="array" ref="H59">Common_InputFunctions.Utility_LookupValueInTableNumber(E59,Table_SourceData_WasteSolid_VolumeToMassConversion[Waste type w],Table_SourceData_WasteSolid_VolumeToMassConversion[VTMw])</f>
        <v>0.5</v>
      </c>
      <c r="I59" s="49" cm="1">
        <f t="array" ref="I59">WasteSolid_Equations.VEERG_10_1_1_1__2_MassOfWasteFromVolume(G59,H59)</f>
        <v>25</v>
      </c>
    </row>
    <row r="60" spans="1:9" ht="20.100000000000001" customHeight="1" x14ac:dyDescent="0.25">
      <c r="A60"/>
      <c r="D60" s="167" t="str">
        <v>Landfill</v>
      </c>
      <c r="E60" s="171" t="str">
        <v>Paper and cardboard</v>
      </c>
      <c r="F60" s="209"/>
      <c r="G60" s="49"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49" cm="1">
        <f t="array" ref="H60">Common_InputFunctions.Utility_LookupValueInTableNumber(E60,Table_SourceData_WasteSolid_VolumeToMassConversion[Waste type w],Table_SourceData_WasteSolid_VolumeToMassConversion[VTMw])</f>
        <v>0.09</v>
      </c>
      <c r="I60" s="49" cm="1">
        <f t="array" ref="I60">WasteSolid_Equations.VEERG_10_1_1_1__2_MassOfWasteFromVolume(G60,H60)</f>
        <v>4.5</v>
      </c>
    </row>
    <row r="61" spans="1:9" ht="20.100000000000001" customHeight="1" x14ac:dyDescent="0.25">
      <c r="A61"/>
      <c r="D61" s="167" t="str">
        <v>Landfill</v>
      </c>
      <c r="E61" s="171" t="str">
        <v>Green waste (including crop residues or prunings)</v>
      </c>
      <c r="F61" s="209"/>
      <c r="G61" s="49"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49" cm="1">
        <f t="array" ref="H61">Common_InputFunctions.Utility_LookupValueInTableNumber(E61,Table_SourceData_WasteSolid_VolumeToMassConversion[Waste type w],Table_SourceData_WasteSolid_VolumeToMassConversion[VTMw])</f>
        <v>0.24</v>
      </c>
      <c r="I61" s="49" cm="1">
        <f t="array" ref="I61">WasteSolid_Equations.VEERG_10_1_1_1__2_MassOfWasteFromVolume(G61,H61)</f>
        <v>12</v>
      </c>
    </row>
    <row r="62" spans="1:9" ht="20.100000000000001" customHeight="1" x14ac:dyDescent="0.25">
      <c r="A62"/>
      <c r="D62" s="167" t="str">
        <v>Landfill</v>
      </c>
      <c r="E62" s="171" t="str">
        <v>Wood</v>
      </c>
      <c r="F62" s="209"/>
      <c r="G62" s="49"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49" cm="1">
        <f t="array" ref="H62">Common_InputFunctions.Utility_LookupValueInTableNumber(E62,Table_SourceData_WasteSolid_VolumeToMassConversion[Waste type w],Table_SourceData_WasteSolid_VolumeToMassConversion[VTMw])</f>
        <v>0.15</v>
      </c>
      <c r="I62" s="49" cm="1">
        <f t="array" ref="I62">WasteSolid_Equations.VEERG_10_1_1_1__2_MassOfWasteFromVolume(G62,H62)</f>
        <v>0</v>
      </c>
    </row>
    <row r="63" spans="1:9" ht="20.100000000000001" customHeight="1" x14ac:dyDescent="0.25">
      <c r="A63"/>
      <c r="D63" s="167" t="str">
        <v>Landfill</v>
      </c>
      <c r="E63" s="171" t="str">
        <v>Textiles</v>
      </c>
      <c r="F63" s="209"/>
      <c r="G63" s="49"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49" cm="1">
        <f t="array" ref="H63">Common_InputFunctions.Utility_LookupValueInTableNumber(E63,Table_SourceData_WasteSolid_VolumeToMassConversion[Waste type w],Table_SourceData_WasteSolid_VolumeToMassConversion[VTMw])</f>
        <v>0.14000000000000001</v>
      </c>
      <c r="I63" s="49" cm="1">
        <f t="array" ref="I63">WasteSolid_Equations.VEERG_10_1_1_1__2_MassOfWasteFromVolume(G63,H63)</f>
        <v>0</v>
      </c>
    </row>
    <row r="64" spans="1:9" ht="20.100000000000001" customHeight="1" x14ac:dyDescent="0.25">
      <c r="A64"/>
      <c r="D64" s="167" t="str">
        <v>Landfill</v>
      </c>
      <c r="E64" s="171" t="str">
        <v>Sludge</v>
      </c>
      <c r="F64" s="209"/>
      <c r="G64" s="49"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49" cm="1">
        <f t="array" ref="H64">Common_InputFunctions.Utility_LookupValueInTableNumber(E64,Table_SourceData_WasteSolid_VolumeToMassConversion[Waste type w],Table_SourceData_WasteSolid_VolumeToMassConversion[VTMw])</f>
        <v>0.72</v>
      </c>
      <c r="I64" s="49" cm="1">
        <f t="array" ref="I64">WasteSolid_Equations.VEERG_10_1_1_1__2_MassOfWasteFromVolume(G64,H64)</f>
        <v>0</v>
      </c>
    </row>
    <row r="65" spans="1:9" ht="20.100000000000001" customHeight="1" x14ac:dyDescent="0.25">
      <c r="A65"/>
      <c r="D65" s="167" t="str">
        <v>Landfill</v>
      </c>
      <c r="E65" s="171" t="str">
        <v>Rubber and leather</v>
      </c>
      <c r="F65" s="209"/>
      <c r="G65" s="49"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49" cm="1">
        <f t="array" ref="H65">Common_InputFunctions.Utility_LookupValueInTableNumber(E65,Table_SourceData_WasteSolid_VolumeToMassConversion[Waste type w],Table_SourceData_WasteSolid_VolumeToMassConversion[VTMw])</f>
        <v>0.14000000000000001</v>
      </c>
      <c r="I65" s="49" cm="1">
        <f t="array" ref="I65">WasteSolid_Equations.VEERG_10_1_1_1__2_MassOfWasteFromVolume(G65,H65)</f>
        <v>0</v>
      </c>
    </row>
    <row r="66" spans="1:9" ht="20.100000000000001" customHeight="1" x14ac:dyDescent="0.25">
      <c r="A66"/>
      <c r="D66" s="167" t="str">
        <v>Landfill</v>
      </c>
      <c r="E66" s="171" t="str">
        <v>Inert waste (including concrete, metal, plastic or glass)</v>
      </c>
      <c r="F66" s="209"/>
      <c r="G66" s="49"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49" cm="1">
        <f t="array" ref="H66">Common_InputFunctions.Utility_LookupValueInTableNumber(E66,Table_SourceData_WasteSolid_VolumeToMassConversion[Waste type w],Table_SourceData_WasteSolid_VolumeToMassConversion[VTMw])</f>
        <v>0.42</v>
      </c>
      <c r="I66" s="49" cm="1">
        <f t="array" ref="I66">WasteSolid_Equations.VEERG_10_1_1_1__2_MassOfWasteFromVolume(G66,H66)</f>
        <v>0</v>
      </c>
    </row>
    <row r="67" spans="1:9" ht="20.100000000000001" customHeight="1" x14ac:dyDescent="0.25">
      <c r="A67"/>
      <c r="D67" s="167" t="str">
        <v>Landfill</v>
      </c>
      <c r="E67" s="171" t="str">
        <v>Municipal solid waste</v>
      </c>
      <c r="F67" s="209"/>
      <c r="G67" s="49"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49" cm="1">
        <f t="array" ref="H67">Common_InputFunctions.Utility_LookupValueInTableNumber(E67,Table_SourceData_WasteSolid_VolumeToMassConversion[Waste type w],Table_SourceData_WasteSolid_VolumeToMassConversion[VTMw])</f>
        <v>0.36</v>
      </c>
      <c r="I67" s="49" cm="1">
        <f t="array" ref="I67">WasteSolid_Equations.VEERG_10_1_1_1__2_MassOfWasteFromVolume(G67,H67)</f>
        <v>0</v>
      </c>
    </row>
    <row r="68" spans="1:9" ht="20.100000000000001" customHeight="1" x14ac:dyDescent="0.25">
      <c r="A68"/>
      <c r="D68" s="167" t="str">
        <v>Landfill</v>
      </c>
      <c r="E68" s="171" t="str">
        <v>Commercial and industrial waste</v>
      </c>
      <c r="F68" s="209"/>
      <c r="G68" s="49"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49" cm="1">
        <f t="array" ref="H68">Common_InputFunctions.Utility_LookupValueInTableNumber(E68,Table_SourceData_WasteSolid_VolumeToMassConversion[Waste type w],Table_SourceData_WasteSolid_VolumeToMassConversion[VTMw])</f>
        <v>0.33</v>
      </c>
      <c r="I68" s="49" cm="1">
        <f t="array" ref="I68">WasteSolid_Equations.VEERG_10_1_1_1__2_MassOfWasteFromVolume(G68,H68)</f>
        <v>0</v>
      </c>
    </row>
    <row r="69" spans="1:9" ht="20.100000000000001" customHeight="1" x14ac:dyDescent="0.25">
      <c r="A69"/>
      <c r="D69" s="167" t="str">
        <v>Landfill</v>
      </c>
      <c r="E69" s="171" t="str">
        <v>Construction and demolition waste</v>
      </c>
      <c r="F69" s="209"/>
      <c r="G69" s="49"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49" cm="1">
        <f t="array" ref="H69">Common_InputFunctions.Utility_LookupValueInTableNumber(E69,Table_SourceData_WasteSolid_VolumeToMassConversion[Waste type w],Table_SourceData_WasteSolid_VolumeToMassConversion[VTMw])</f>
        <v>0.39</v>
      </c>
      <c r="I69" s="49" cm="1">
        <f t="array" ref="I69">WasteSolid_Equations.VEERG_10_1_1_1__2_MassOfWasteFromVolume(G69,H69)</f>
        <v>0</v>
      </c>
    </row>
    <row r="70" spans="1:9" ht="20.100000000000001" customHeight="1" x14ac:dyDescent="0.25">
      <c r="A70"/>
      <c r="D70" s="167" t="str">
        <v>Incineration</v>
      </c>
      <c r="E70" s="171" t="str">
        <v>Food waste, green waste, wood, sludge</v>
      </c>
      <c r="F70" s="209"/>
      <c r="G70" s="49" t="s">
        <v>830</v>
      </c>
      <c r="H70" s="49" t="s">
        <v>830</v>
      </c>
      <c r="I70" s="49" t="s">
        <v>830</v>
      </c>
    </row>
    <row r="71" spans="1:9" ht="20.100000000000001" customHeight="1" x14ac:dyDescent="0.25">
      <c r="A71"/>
      <c r="D71" s="167" t="str">
        <v>Incineration</v>
      </c>
      <c r="E71" s="171" t="str">
        <v>Food waste (including animal carcasses, spoiled animal feed or crop)</v>
      </c>
      <c r="F71" s="209"/>
      <c r="G71" s="49"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49" cm="1">
        <f t="array" ref="H71">Common_InputFunctions.Utility_LookupValueInTableNumber(E71,Table_SourceData_WasteSolid_VolumeToMassConversion[Waste type w],Table_SourceData_WasteSolid_VolumeToMassConversion[VTMw])</f>
        <v>0.5</v>
      </c>
      <c r="I71" s="49" cm="1">
        <f t="array" ref="I71">WasteSolid_Equations.VEERG_10_1_1_1__2_MassOfWasteFromVolume(G71,H71)</f>
        <v>0</v>
      </c>
    </row>
    <row r="72" spans="1:9" ht="20.100000000000001" customHeight="1" x14ac:dyDescent="0.25">
      <c r="A72"/>
      <c r="D72" s="167" t="str">
        <v>Incineration</v>
      </c>
      <c r="E72" s="171" t="str">
        <v>Green waste (including crop residues or prunings)</v>
      </c>
      <c r="F72" s="209"/>
      <c r="G72" s="49"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49" cm="1">
        <f t="array" ref="H72">Common_InputFunctions.Utility_LookupValueInTableNumber(E72,Table_SourceData_WasteSolid_VolumeToMassConversion[Waste type w],Table_SourceData_WasteSolid_VolumeToMassConversion[VTMw])</f>
        <v>0.24</v>
      </c>
      <c r="I72" s="49" cm="1">
        <f t="array" ref="I72">WasteSolid_Equations.VEERG_10_1_1_1__2_MassOfWasteFromVolume(G72,H72)</f>
        <v>12</v>
      </c>
    </row>
    <row r="73" spans="1:9" ht="20.100000000000001" customHeight="1" x14ac:dyDescent="0.25">
      <c r="A73"/>
      <c r="D73" s="167" t="str">
        <v>Incineration</v>
      </c>
      <c r="E73" s="171" t="str">
        <v>Wood</v>
      </c>
      <c r="F73" s="209"/>
      <c r="G73" s="49"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49" cm="1">
        <f t="array" ref="H73">Common_InputFunctions.Utility_LookupValueInTableNumber(E73,Table_SourceData_WasteSolid_VolumeToMassConversion[Waste type w],Table_SourceData_WasteSolid_VolumeToMassConversion[VTMw])</f>
        <v>0.15</v>
      </c>
      <c r="I73" s="49" cm="1">
        <f t="array" ref="I73">WasteSolid_Equations.VEERG_10_1_1_1__2_MassOfWasteFromVolume(G73,H73)</f>
        <v>0</v>
      </c>
    </row>
    <row r="74" spans="1:9" ht="20.100000000000001" customHeight="1" x14ac:dyDescent="0.25">
      <c r="A74"/>
      <c r="D74" s="167" t="str">
        <v>Incineration</v>
      </c>
      <c r="E74" s="171" t="str">
        <v>Sludge</v>
      </c>
      <c r="F74" s="209"/>
      <c r="G74" s="49"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49" cm="1">
        <f t="array" ref="H74">Common_InputFunctions.Utility_LookupValueInTableNumber(E74,Table_SourceData_WasteSolid_VolumeToMassConversion[Waste type w],Table_SourceData_WasteSolid_VolumeToMassConversion[VTMw])</f>
        <v>0.72</v>
      </c>
      <c r="I74" s="49" cm="1">
        <f t="array" ref="I74">WasteSolid_Equations.VEERG_10_1_1_1__2_MassOfWasteFromVolume(G74,H74)</f>
        <v>0</v>
      </c>
    </row>
    <row r="75" spans="1:9" ht="20.100000000000001" customHeight="1" x14ac:dyDescent="0.25">
      <c r="A75"/>
      <c r="D75" s="167" t="str">
        <v>Incineration</v>
      </c>
      <c r="E75" s="171" t="str">
        <v>Paper and cardboard</v>
      </c>
      <c r="F75" s="209"/>
      <c r="G75" s="49"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49" cm="1">
        <f t="array" ref="H75">Common_InputFunctions.Utility_LookupValueInTableNumber(E75,Table_SourceData_WasteSolid_VolumeToMassConversion[Waste type w],Table_SourceData_WasteSolid_VolumeToMassConversion[VTMw])</f>
        <v>0.09</v>
      </c>
      <c r="I75" s="49" cm="1">
        <f t="array" ref="I75">WasteSolid_Equations.VEERG_10_1_1_1__2_MassOfWasteFromVolume(G75,H75)</f>
        <v>0</v>
      </c>
    </row>
    <row r="76" spans="1:9" ht="20.100000000000001" customHeight="1" x14ac:dyDescent="0.25">
      <c r="A76"/>
      <c r="D76" s="167" t="str">
        <v>Incineration</v>
      </c>
      <c r="E76" s="171" t="str">
        <v>Textiles</v>
      </c>
      <c r="F76" s="209"/>
      <c r="G76" s="49"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49" cm="1">
        <f t="array" ref="H76">Common_InputFunctions.Utility_LookupValueInTableNumber(E76,Table_SourceData_WasteSolid_VolumeToMassConversion[Waste type w],Table_SourceData_WasteSolid_VolumeToMassConversion[VTMw])</f>
        <v>0.14000000000000001</v>
      </c>
      <c r="I76" s="49" cm="1">
        <f t="array" ref="I76">WasteSolid_Equations.VEERG_10_1_1_1__2_MassOfWasteFromVolume(G76,H76)</f>
        <v>0</v>
      </c>
    </row>
    <row r="77" spans="1:9" ht="20.100000000000001" customHeight="1" x14ac:dyDescent="0.25">
      <c r="A77"/>
      <c r="D77" s="167" t="str">
        <v>Incineration</v>
      </c>
      <c r="E77" s="171" t="str">
        <v>Rubber and leather</v>
      </c>
      <c r="F77" s="209"/>
      <c r="G77" s="49"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49" cm="1">
        <f t="array" ref="H77">Common_InputFunctions.Utility_LookupValueInTableNumber(E77,Table_SourceData_WasteSolid_VolumeToMassConversion[Waste type w],Table_SourceData_WasteSolid_VolumeToMassConversion[VTMw])</f>
        <v>0.14000000000000001</v>
      </c>
      <c r="I77" s="49" cm="1">
        <f t="array" ref="I77">WasteSolid_Equations.VEERG_10_1_1_1__2_MassOfWasteFromVolume(G77,H77)</f>
        <v>0</v>
      </c>
    </row>
    <row r="78" spans="1:9" ht="20.100000000000001" customHeight="1" x14ac:dyDescent="0.25">
      <c r="A78"/>
      <c r="D78" s="167" t="str">
        <v>Incineration</v>
      </c>
      <c r="E78" s="171" t="str">
        <v>Inert waste (including concrete, metal, plastic or glass)</v>
      </c>
      <c r="F78" s="209"/>
      <c r="G78" s="49"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49" cm="1">
        <f t="array" ref="H78">Common_InputFunctions.Utility_LookupValueInTableNumber(E78,Table_SourceData_WasteSolid_VolumeToMassConversion[Waste type w],Table_SourceData_WasteSolid_VolumeToMassConversion[VTMw])</f>
        <v>0.42</v>
      </c>
      <c r="I78" s="49" cm="1">
        <f t="array" ref="I78">WasteSolid_Equations.VEERG_10_1_1_1__2_MassOfWasteFromVolume(G78,H78)</f>
        <v>0</v>
      </c>
    </row>
    <row r="79" spans="1:9" ht="20.100000000000001" customHeight="1" x14ac:dyDescent="0.25">
      <c r="A79"/>
      <c r="D79" s="167" t="str">
        <v>Incineration</v>
      </c>
      <c r="E79" s="171" t="str">
        <v>Municipal solid waste</v>
      </c>
      <c r="F79" s="166"/>
      <c r="G79" s="49"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49" cm="1">
        <f t="array" ref="H79">Common_InputFunctions.Utility_LookupValueInTableNumber(E79,Table_SourceData_WasteSolid_VolumeToMassConversion[Waste type w],Table_SourceData_WasteSolid_VolumeToMassConversion[VTMw])</f>
        <v>0.36</v>
      </c>
      <c r="I79" s="49" cm="1">
        <f t="array" ref="I79">WasteSolid_Equations.VEERG_10_1_1_1__2_MassOfWasteFromVolume(G79,H79)</f>
        <v>0</v>
      </c>
    </row>
    <row r="80" spans="1:9" ht="20.100000000000001" customHeight="1" x14ac:dyDescent="0.25">
      <c r="A80"/>
      <c r="D80" s="167" t="str">
        <v>Incineration</v>
      </c>
      <c r="E80" s="171" t="str">
        <v>Commercial and industrial waste</v>
      </c>
      <c r="F80" s="166"/>
      <c r="G80" s="49"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49" cm="1">
        <f t="array" ref="H80">Common_InputFunctions.Utility_LookupValueInTableNumber(E80,Table_SourceData_WasteSolid_VolumeToMassConversion[Waste type w],Table_SourceData_WasteSolid_VolumeToMassConversion[VTMw])</f>
        <v>0.33</v>
      </c>
      <c r="I80" s="49" cm="1">
        <f t="array" ref="I80">WasteSolid_Equations.VEERG_10_1_1_1__2_MassOfWasteFromVolume(G80,H80)</f>
        <v>0</v>
      </c>
    </row>
    <row r="81" spans="1:12" ht="20.100000000000001" customHeight="1" x14ac:dyDescent="0.25">
      <c r="A81"/>
      <c r="D81" s="167" t="str">
        <v>Composting</v>
      </c>
      <c r="E81" s="171" t="str">
        <v>All organic waste</v>
      </c>
      <c r="F81" s="166"/>
      <c r="G81" s="49" t="s">
        <v>830</v>
      </c>
      <c r="H81" s="49" t="s">
        <v>830</v>
      </c>
      <c r="I81" s="49" t="s">
        <v>830</v>
      </c>
    </row>
    <row r="82" spans="1:12" ht="20.100000000000001" customHeight="1" x14ac:dyDescent="0.25">
      <c r="A82"/>
      <c r="D82" s="167" t="str">
        <v>Composting</v>
      </c>
      <c r="E82" s="171" t="str">
        <v>Food waste (including animal carcasses, spoiled animal feed or crop)</v>
      </c>
      <c r="F82" s="166"/>
      <c r="G82" s="49"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49" cm="1">
        <f t="array" ref="H82">Common_InputFunctions.Utility_LookupValueInTableNumber(E82,Table_SourceData_WasteSolid_VolumeToMassConversion[Waste type w],Table_SourceData_WasteSolid_VolumeToMassConversion[VTMw])</f>
        <v>0.5</v>
      </c>
      <c r="I82" s="49" cm="1">
        <f t="array" ref="I82">WasteSolid_Equations.VEERG_10_1_1_1__2_MassOfWasteFromVolume(G82,H82)</f>
        <v>0</v>
      </c>
    </row>
    <row r="83" spans="1:12" ht="20.100000000000001" customHeight="1" x14ac:dyDescent="0.25">
      <c r="A83"/>
      <c r="D83" s="167" t="str">
        <v>Composting</v>
      </c>
      <c r="E83" s="171" t="str">
        <v>Green waste (including crop residues or prunings)</v>
      </c>
      <c r="F83" s="166"/>
      <c r="G83" s="49"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49" cm="1">
        <f t="array" ref="H83">Common_InputFunctions.Utility_LookupValueInTableNumber(E83,Table_SourceData_WasteSolid_VolumeToMassConversion[Waste type w],Table_SourceData_WasteSolid_VolumeToMassConversion[VTMw])</f>
        <v>0.24</v>
      </c>
      <c r="I83" s="49" cm="1">
        <f t="array" ref="I83">WasteSolid_Equations.VEERG_10_1_1_1__2_MassOfWasteFromVolume(G83,H83)</f>
        <v>0</v>
      </c>
    </row>
    <row r="84" spans="1:12" ht="20.100000000000001" customHeight="1" x14ac:dyDescent="0.25">
      <c r="A84"/>
      <c r="D84" s="167" t="str">
        <v>Composting</v>
      </c>
      <c r="E84" s="171" t="str">
        <v>Wood</v>
      </c>
      <c r="F84" s="166"/>
      <c r="G84" s="49"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49" cm="1">
        <f t="array" ref="H84">Common_InputFunctions.Utility_LookupValueInTableNumber(E84,Table_SourceData_WasteSolid_VolumeToMassConversion[Waste type w],Table_SourceData_WasteSolid_VolumeToMassConversion[VTMw])</f>
        <v>0.15</v>
      </c>
      <c r="I84" s="49" cm="1">
        <f t="array" ref="I84">WasteSolid_Equations.VEERG_10_1_1_1__2_MassOfWasteFromVolume(G84,H84)</f>
        <v>0</v>
      </c>
    </row>
    <row r="85" spans="1:12" ht="20.100000000000001" customHeight="1" x14ac:dyDescent="0.25">
      <c r="A85"/>
      <c r="D85" s="167" t="str">
        <v>Composting</v>
      </c>
      <c r="E85" s="171" t="str">
        <v>Sludge</v>
      </c>
      <c r="F85" s="166"/>
      <c r="G85" s="49"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49" cm="1">
        <f t="array" ref="H85">Common_InputFunctions.Utility_LookupValueInTableNumber(E85,Table_SourceData_WasteSolid_VolumeToMassConversion[Waste type w],Table_SourceData_WasteSolid_VolumeToMassConversion[VTMw])</f>
        <v>0.72</v>
      </c>
      <c r="I85" s="49" cm="1">
        <f t="array" ref="I85">WasteSolid_Equations.VEERG_10_1_1_1__2_MassOfWasteFromVolume(G85,H85)</f>
        <v>0</v>
      </c>
    </row>
    <row r="86" spans="1:12" ht="20.100000000000001" customHeight="1" x14ac:dyDescent="0.25">
      <c r="A86"/>
      <c r="D86" s="167" t="str">
        <v>Composting</v>
      </c>
      <c r="E86" s="171" t="str">
        <v>Paper and cardboard</v>
      </c>
      <c r="F86" s="166"/>
      <c r="G86" s="49"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49" cm="1">
        <f t="array" ref="H86">Common_InputFunctions.Utility_LookupValueInTableNumber(E86,Table_SourceData_WasteSolid_VolumeToMassConversion[Waste type w],Table_SourceData_WasteSolid_VolumeToMassConversion[VTMw])</f>
        <v>0.09</v>
      </c>
      <c r="I86" s="49" cm="1">
        <f t="array" ref="I86">WasteSolid_Equations.VEERG_10_1_1_1__2_MassOfWasteFromVolume(G86,H86)</f>
        <v>0</v>
      </c>
    </row>
    <row r="87" spans="1:12" ht="20.100000000000001" customHeight="1" x14ac:dyDescent="0.25">
      <c r="A87"/>
      <c r="D87" s="167" t="str">
        <v>Anaerobic digestion</v>
      </c>
      <c r="E87" s="171" t="str">
        <v>All organic waste</v>
      </c>
      <c r="F87" s="166"/>
      <c r="G87" s="49" t="s">
        <v>830</v>
      </c>
      <c r="H87" s="49" t="s">
        <v>830</v>
      </c>
      <c r="I87" s="49" t="s">
        <v>830</v>
      </c>
    </row>
    <row r="88" spans="1:12" ht="20.100000000000001" customHeight="1" x14ac:dyDescent="0.25">
      <c r="A88"/>
      <c r="D88" s="167" t="str">
        <v>Anaerobic digestion</v>
      </c>
      <c r="E88" s="171" t="str">
        <v>Food waste (including animal carcasses, spoiled animal feed or crop)</v>
      </c>
      <c r="F88" s="166"/>
      <c r="G88" s="49"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49" cm="1">
        <f t="array" ref="H88">Common_InputFunctions.Utility_LookupValueInTableNumber(E88,Table_SourceData_WasteSolid_VolumeToMassConversion[Waste type w],Table_SourceData_WasteSolid_VolumeToMassConversion[VTMw])</f>
        <v>0.5</v>
      </c>
      <c r="I88" s="49" cm="1">
        <f t="array" ref="I88">WasteSolid_Equations.VEERG_10_1_1_1__2_MassOfWasteFromVolume(G88,H88)</f>
        <v>0</v>
      </c>
    </row>
    <row r="89" spans="1:12" ht="20.100000000000001" customHeight="1" x14ac:dyDescent="0.25">
      <c r="A89"/>
      <c r="D89" s="167" t="str">
        <v>Anaerobic digestion</v>
      </c>
      <c r="E89" s="171" t="str">
        <v>Green waste (including crop residues or prunings)</v>
      </c>
      <c r="F89" s="166"/>
      <c r="G89" s="49"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49" cm="1">
        <f t="array" ref="H89">Common_InputFunctions.Utility_LookupValueInTableNumber(E89,Table_SourceData_WasteSolid_VolumeToMassConversion[Waste type w],Table_SourceData_WasteSolid_VolumeToMassConversion[VTMw])</f>
        <v>0.24</v>
      </c>
      <c r="I89" s="49" cm="1">
        <f t="array" ref="I89">WasteSolid_Equations.VEERG_10_1_1_1__2_MassOfWasteFromVolume(G89,H89)</f>
        <v>0</v>
      </c>
    </row>
    <row r="90" spans="1:12" ht="20.100000000000001" customHeight="1" x14ac:dyDescent="0.25">
      <c r="A90"/>
      <c r="D90" s="167" t="str">
        <v>Anaerobic digestion</v>
      </c>
      <c r="E90" s="171" t="str">
        <v>Wood</v>
      </c>
      <c r="F90" s="166"/>
      <c r="G90" s="49"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49" cm="1">
        <f t="array" ref="H90">Common_InputFunctions.Utility_LookupValueInTableNumber(E90,Table_SourceData_WasteSolid_VolumeToMassConversion[Waste type w],Table_SourceData_WasteSolid_VolumeToMassConversion[VTMw])</f>
        <v>0.15</v>
      </c>
      <c r="I90" s="49" cm="1">
        <f t="array" ref="I90">WasteSolid_Equations.VEERG_10_1_1_1__2_MassOfWasteFromVolume(G90,H90)</f>
        <v>0</v>
      </c>
    </row>
    <row r="91" spans="1:12" ht="20.100000000000001" customHeight="1" x14ac:dyDescent="0.25">
      <c r="A91"/>
      <c r="D91" s="167" t="str">
        <v>Anaerobic digestion</v>
      </c>
      <c r="E91" s="171" t="str">
        <v>Sludge</v>
      </c>
      <c r="F91" s="166"/>
      <c r="G91" s="49"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49" cm="1">
        <f t="array" ref="H91">Common_InputFunctions.Utility_LookupValueInTableNumber(E91,Table_SourceData_WasteSolid_VolumeToMassConversion[Waste type w],Table_SourceData_WasteSolid_VolumeToMassConversion[VTMw])</f>
        <v>0.72</v>
      </c>
      <c r="I91" s="49" cm="1">
        <f t="array" ref="I91">WasteSolid_Equations.VEERG_10_1_1_1__2_MassOfWasteFromVolume(G91,H91)</f>
        <v>0</v>
      </c>
    </row>
    <row r="92" spans="1:12" ht="20.100000000000001" customHeight="1" x14ac:dyDescent="0.25">
      <c r="A92"/>
      <c r="D92" s="167" t="str">
        <v>Anaerobic digestion</v>
      </c>
      <c r="E92" s="171" t="str">
        <v>Paper and cardboard</v>
      </c>
      <c r="F92" s="166"/>
      <c r="G92" s="49"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49" cm="1">
        <f t="array" ref="H92">Common_InputFunctions.Utility_LookupValueInTableNumber(E92,Table_SourceData_WasteSolid_VolumeToMassConversion[Waste type w],Table_SourceData_WasteSolid_VolumeToMassConversion[VTMw])</f>
        <v>0.09</v>
      </c>
      <c r="I92" s="49" cm="1">
        <f t="array" ref="I92">WasteSolid_Equations.VEERG_10_1_1_1__2_MassOfWasteFromVolume(G92,H92)</f>
        <v>0</v>
      </c>
    </row>
    <row r="93" spans="1:12" ht="20.100000000000001" customHeight="1" x14ac:dyDescent="0.25">
      <c r="A93"/>
    </row>
    <row r="94" spans="1:12" ht="20.100000000000001" customHeight="1" x14ac:dyDescent="0.25">
      <c r="A94"/>
    </row>
    <row r="95" spans="1:12" ht="20.100000000000001" customHeight="1" x14ac:dyDescent="0.25">
      <c r="A95"/>
      <c r="C95" s="98"/>
      <c r="D95" s="98"/>
      <c r="E95" s="98"/>
      <c r="F95" s="98"/>
      <c r="G95" s="98"/>
      <c r="H95" s="98"/>
      <c r="I95" s="98"/>
      <c r="J95" s="98"/>
      <c r="K95" s="98"/>
      <c r="L95" s="98"/>
    </row>
    <row r="96" spans="1:12" ht="20.100000000000001" customHeight="1" x14ac:dyDescent="0.25">
      <c r="A96"/>
      <c r="D96" s="9" t="str" cm="1">
        <f t="array" ref="D96">WasteSolid_Equations.VEERG_10_1_1_1__1_EmissionsFromWasteManagement_Title()</f>
        <v>Emissions from waste management by greenhouse gas</v>
      </c>
    </row>
    <row r="97" spans="1:9" ht="20.100000000000001" customHeight="1" x14ac:dyDescent="0.25">
      <c r="A97"/>
      <c r="D97" s="11" t="str" cm="1">
        <f t="array" ref="D97">WasteSolid_Equations.VEERG_10_1_1_1__1_EmissionsFromWasteManagement_Source()</f>
        <v>VEERG 2026: 10.1.1.1, Equation (1)</v>
      </c>
    </row>
    <row r="98" spans="1:9" ht="20.100000000000001" customHeight="1" x14ac:dyDescent="0.25">
      <c r="A98"/>
      <c r="D98" s="12"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5">
      <c r="A99"/>
      <c r="D99" s="172" t="s">
        <v>616</v>
      </c>
      <c r="E99" s="172" t="str" cm="1">
        <f t="array" aca="1" ref="E99" ca="1">Common_InputFunctions.Utility_DisplayFunctionName(K116)</f>
        <v>=WasteSolid_Equations.VEERG_10_1_1_1__1_EmissionsFromWasteManagement</v>
      </c>
    </row>
    <row r="100" spans="1:9" ht="20.100000000000001" customHeight="1" x14ac:dyDescent="0.25">
      <c r="A100"/>
    </row>
    <row r="101" spans="1:9" ht="20.100000000000001" customHeight="1" x14ac:dyDescent="0.25">
      <c r="A101"/>
    </row>
    <row r="102" spans="1:9" ht="20.100000000000001" customHeight="1" x14ac:dyDescent="0.25">
      <c r="A102"/>
      <c r="D102" s="27" t="s">
        <v>617</v>
      </c>
      <c r="E102" s="8" t="str" cm="1">
        <f t="array" ref="E102">WasteSolid_Equations.VEERG_10_1_1_1__1_EmissionsFromWasteManagement_Variable()</f>
        <v>E_g</v>
      </c>
    </row>
    <row r="103" spans="1:9" ht="20.100000000000001" customHeight="1" x14ac:dyDescent="0.25">
      <c r="A103"/>
      <c r="D103" s="27" t="s">
        <v>96</v>
      </c>
      <c r="E103" s="13" t="str" cm="1">
        <f t="array" ref="E103">WasteSolid_Equations.VEERG_10_1_1_1__1_EmissionsFromWasteManagement_Unit()</f>
        <v>t CO2e</v>
      </c>
    </row>
    <row r="104" spans="1:9" ht="20.100000000000001" customHeight="1" x14ac:dyDescent="0.25">
      <c r="A104"/>
    </row>
    <row r="105" spans="1:9" ht="20.100000000000001" customHeight="1" x14ac:dyDescent="0.25">
      <c r="A105"/>
      <c r="D105" s="167" t="str" cm="1">
        <f t="array" ref="D105:E111">_xlfn.CHOOSECOLS(WasteSolid_Equations.VEERG_10_1_1_1__1_EmissionsFromWasteManagement_Arguments(),1,2)</f>
        <v>Q_wt</v>
      </c>
      <c r="E105" s="171" t="str">
        <v>quantity of solid waste of type w being sent to treatment facility t, on a wet weight basis</v>
      </c>
      <c r="F105" s="205"/>
      <c r="G105" s="166"/>
      <c r="H105" s="167" t="str" cm="1">
        <f t="array" ref="H105:I111">_xlfn.CHOOSECOLS(WasteSolid_Equations.VEERG_10_1_1_1__1_EmissionsFromWasteManagement_Arguments(),3,4)</f>
        <v>t</v>
      </c>
      <c r="I105" s="169" t="str">
        <v>Sum of Q_volwt and Q_masswt</v>
      </c>
    </row>
    <row r="106" spans="1:9" ht="20.100000000000001" customHeight="1" x14ac:dyDescent="0.25">
      <c r="A106"/>
      <c r="D106" s="167" t="str">
        <v>EF_wtg</v>
      </c>
      <c r="E106" s="171" t="str">
        <v>emission factor for greenhouse gas g for the management of waste at treatment facility t</v>
      </c>
      <c r="F106" s="205"/>
      <c r="G106" s="166"/>
      <c r="H106" s="167" t="str">
        <v>t CO2e/t</v>
      </c>
      <c r="I106" s="169" t="str">
        <v>Constant</v>
      </c>
    </row>
    <row r="107" spans="1:9" ht="20.100000000000001" customHeight="1" x14ac:dyDescent="0.25">
      <c r="A107"/>
      <c r="D107" s="167" t="str">
        <v>w</v>
      </c>
      <c r="E107" s="171" t="str">
        <v>waste type</v>
      </c>
      <c r="F107" s="205"/>
      <c r="G107" s="166"/>
      <c r="H107" s="167" t="str">
        <v/>
      </c>
      <c r="I107" s="231" t="str">
        <v>Input</v>
      </c>
    </row>
    <row r="108" spans="1:9" ht="20.100000000000001" customHeight="1" x14ac:dyDescent="0.25">
      <c r="A108"/>
      <c r="D108" s="167" t="str">
        <v>t</v>
      </c>
      <c r="E108" s="171" t="str">
        <v>treatment facility</v>
      </c>
      <c r="F108" s="205"/>
      <c r="G108" s="166"/>
      <c r="H108" s="167" t="str">
        <v/>
      </c>
      <c r="I108" s="231" t="str">
        <v>Input</v>
      </c>
    </row>
    <row r="109" spans="1:9" ht="20.100000000000001" customHeight="1" x14ac:dyDescent="0.25">
      <c r="A109"/>
      <c r="D109" s="167" t="str">
        <v>g</v>
      </c>
      <c r="E109" s="171" t="str">
        <v>greenhouse gas</v>
      </c>
      <c r="F109" s="205"/>
      <c r="G109" s="166"/>
      <c r="H109" s="167" t="str">
        <v/>
      </c>
      <c r="I109" s="231" t="str">
        <v>Input</v>
      </c>
    </row>
    <row r="110" spans="1:9" ht="20.100000000000001" customHeight="1" x14ac:dyDescent="0.25">
      <c r="A110"/>
      <c r="D110" s="167" t="str">
        <v>Q_volwt</v>
      </c>
      <c r="E110" s="171" t="str">
        <v>quantity of sold waste input as volume and converted to tonnes</v>
      </c>
      <c r="F110" s="205"/>
      <c r="G110" s="166"/>
      <c r="H110" s="167" t="str">
        <v>tonnes</v>
      </c>
      <c r="I110" s="169" t="str">
        <v>Calculated from 10.1.1.1 (2)</v>
      </c>
    </row>
    <row r="111" spans="1:9" ht="20.100000000000001" customHeight="1" x14ac:dyDescent="0.25">
      <c r="A111"/>
      <c r="D111" s="167" t="str">
        <v>Q_masswt</v>
      </c>
      <c r="E111" s="171" t="str">
        <v>quantity of solid waste input as mass</v>
      </c>
      <c r="F111" s="205"/>
      <c r="G111" s="166"/>
      <c r="H111" s="167" t="str">
        <v>tonnes</v>
      </c>
      <c r="I111" s="231" t="str">
        <v>Input</v>
      </c>
    </row>
    <row r="112" spans="1:9" ht="20.100000000000001" customHeight="1" x14ac:dyDescent="0.25">
      <c r="A112"/>
    </row>
    <row r="113" spans="1:11" ht="20.100000000000001" customHeight="1" x14ac:dyDescent="0.25">
      <c r="A113"/>
      <c r="D113" s="55" t="s">
        <v>788</v>
      </c>
    </row>
    <row r="114" spans="1:11" ht="20.100000000000001" customHeight="1" x14ac:dyDescent="0.25">
      <c r="A114"/>
      <c r="D114" s="56" t="s">
        <v>789</v>
      </c>
    </row>
    <row r="115" spans="1:11" ht="20.100000000000001" customHeight="1" x14ac:dyDescent="0.25">
      <c r="A115"/>
      <c r="D115" s="46" t="s">
        <v>781</v>
      </c>
      <c r="E115" s="46" t="s">
        <v>782</v>
      </c>
      <c r="F115" s="46"/>
      <c r="G115" s="46" t="s">
        <v>831</v>
      </c>
      <c r="H115" s="57" t="s">
        <v>832</v>
      </c>
      <c r="I115" s="57" t="s">
        <v>785</v>
      </c>
      <c r="J115" s="57" t="s">
        <v>833</v>
      </c>
      <c r="K115" s="57" t="s">
        <v>834</v>
      </c>
    </row>
    <row r="116" spans="1:11" ht="20.100000000000001" customHeight="1" x14ac:dyDescent="0.25">
      <c r="A116"/>
      <c r="D116" s="167" t="str" cm="1">
        <f t="array" ref="D116:D149">Table_SourceData_WasteSolid_WasteTreatmentEFs[Treatment type t]</f>
        <v>Landfill</v>
      </c>
      <c r="E116" s="171" t="str" cm="1">
        <f t="array" ref="E116:E149">Table_SourceData_WasteSolid_WasteTreatmentEFs[Waste type w]</f>
        <v>Food waste (including animal carcasses, spoiled animal feed or crop)</v>
      </c>
      <c r="F116" s="209"/>
      <c r="G116" s="49"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49">
        <f t="shared" ref="H116:H149" si="0">I21</f>
        <v>25</v>
      </c>
      <c r="I116" s="49">
        <f>G116+H116</f>
        <v>75</v>
      </c>
      <c r="J116" s="49" cm="1">
        <f t="array" ref="J116">Common_InputFunctions.Utility_LookupValueInTableTwoColumns(D116,E116,Table_SourceData_WasteSolid_WasteTreatmentEFs[Treatment type t],Table_SourceData_WasteSolid_WasteTreatmentEFs[Waste type w],Table_SourceData_WasteSolid_WasteTreatmentEFs[EFwt])</f>
        <v>2.1</v>
      </c>
      <c r="K116" s="49" cm="1">
        <f t="array" ref="K116">WasteSolid_Equations.VEERG_10_1_1_1__1_EmissionsFromWasteManagement(I116, J116)</f>
        <v>157.5</v>
      </c>
    </row>
    <row r="117" spans="1:11" ht="20.100000000000001" customHeight="1" x14ac:dyDescent="0.25">
      <c r="A117"/>
      <c r="D117" s="167" t="str">
        <v>Landfill</v>
      </c>
      <c r="E117" s="171" t="str">
        <v>Paper and cardboard</v>
      </c>
      <c r="F117" s="209"/>
      <c r="G117" s="49"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49">
        <f t="shared" si="0"/>
        <v>4.5</v>
      </c>
      <c r="I117" s="49">
        <f t="shared" ref="I117:I126" si="1">G117+H117</f>
        <v>54.5</v>
      </c>
      <c r="J117" s="49" cm="1">
        <f t="array" ref="J117">Common_InputFunctions.Utility_LookupValueInTableTwoColumns(D117,E117,Table_SourceData_WasteSolid_WasteTreatmentEFs[Treatment type t],Table_SourceData_WasteSolid_WasteTreatmentEFs[Waste type w],Table_SourceData_WasteSolid_WasteTreatmentEFs[EFwt])</f>
        <v>3.3</v>
      </c>
      <c r="K117" s="49" cm="1">
        <f t="array" ref="K117">WasteSolid_Equations.VEERG_10_1_1_1__1_EmissionsFromWasteManagement(I117, J117)</f>
        <v>179.85</v>
      </c>
    </row>
    <row r="118" spans="1:11" ht="20.100000000000001" customHeight="1" x14ac:dyDescent="0.25">
      <c r="A118"/>
      <c r="D118" s="167" t="str">
        <v>Landfill</v>
      </c>
      <c r="E118" s="171" t="str">
        <v>Green waste (including crop residues or prunings)</v>
      </c>
      <c r="F118" s="209"/>
      <c r="G118" s="49"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49">
        <f t="shared" si="0"/>
        <v>12</v>
      </c>
      <c r="I118" s="49">
        <f t="shared" si="1"/>
        <v>62</v>
      </c>
      <c r="J118" s="49" cm="1">
        <f t="array" ref="J118">Common_InputFunctions.Utility_LookupValueInTableTwoColumns(D118,E118,Table_SourceData_WasteSolid_WasteTreatmentEFs[Treatment type t],Table_SourceData_WasteSolid_WasteTreatmentEFs[Waste type w],Table_SourceData_WasteSolid_WasteTreatmentEFs[EFwt])</f>
        <v>1.6</v>
      </c>
      <c r="K118" s="49" cm="1">
        <f t="array" ref="K118">WasteSolid_Equations.VEERG_10_1_1_1__1_EmissionsFromWasteManagement(I118, J118)</f>
        <v>99.2</v>
      </c>
    </row>
    <row r="119" spans="1:11" ht="20.100000000000001" customHeight="1" x14ac:dyDescent="0.25">
      <c r="A119"/>
      <c r="D119" s="167" t="str">
        <v>Landfill</v>
      </c>
      <c r="E119" s="171" t="str">
        <v>Wood</v>
      </c>
      <c r="F119" s="209"/>
      <c r="G119" s="49"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49">
        <f t="shared" si="0"/>
        <v>0</v>
      </c>
      <c r="I119" s="49">
        <f t="shared" si="1"/>
        <v>0</v>
      </c>
      <c r="J119" s="49" cm="1">
        <f t="array" ref="J119">Common_InputFunctions.Utility_LookupValueInTableTwoColumns(D119,E119,Table_SourceData_WasteSolid_WasteTreatmentEFs[Treatment type t],Table_SourceData_WasteSolid_WasteTreatmentEFs[Waste type w],Table_SourceData_WasteSolid_WasteTreatmentEFs[EFwt])</f>
        <v>0.7</v>
      </c>
      <c r="K119" s="49" cm="1">
        <f t="array" ref="K119">WasteSolid_Equations.VEERG_10_1_1_1__1_EmissionsFromWasteManagement(I119, J119)</f>
        <v>0</v>
      </c>
    </row>
    <row r="120" spans="1:11" ht="20.100000000000001" customHeight="1" x14ac:dyDescent="0.25">
      <c r="A120"/>
      <c r="D120" s="167" t="str">
        <v>Landfill</v>
      </c>
      <c r="E120" s="171" t="str">
        <v>Textiles</v>
      </c>
      <c r="F120" s="209"/>
      <c r="G120" s="49"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49">
        <f t="shared" si="0"/>
        <v>0</v>
      </c>
      <c r="I120" s="49">
        <f t="shared" si="1"/>
        <v>0</v>
      </c>
      <c r="J120" s="49" cm="1">
        <f t="array" ref="J120">Common_InputFunctions.Utility_LookupValueInTableTwoColumns(D120,E120,Table_SourceData_WasteSolid_WasteTreatmentEFs[Treatment type t],Table_SourceData_WasteSolid_WasteTreatmentEFs[Waste type w],Table_SourceData_WasteSolid_WasteTreatmentEFs[EFwt])</f>
        <v>2</v>
      </c>
      <c r="K120" s="49" cm="1">
        <f t="array" ref="K120">WasteSolid_Equations.VEERG_10_1_1_1__1_EmissionsFromWasteManagement(I120, J120)</f>
        <v>0</v>
      </c>
    </row>
    <row r="121" spans="1:11" ht="20.100000000000001" customHeight="1" x14ac:dyDescent="0.25">
      <c r="A121"/>
      <c r="D121" s="167" t="str">
        <v>Landfill</v>
      </c>
      <c r="E121" s="171" t="str">
        <v>Sludge</v>
      </c>
      <c r="F121" s="209"/>
      <c r="G121" s="49"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49">
        <f t="shared" si="0"/>
        <v>0</v>
      </c>
      <c r="I121" s="49">
        <f t="shared" si="1"/>
        <v>0</v>
      </c>
      <c r="J121" s="49" cm="1">
        <f t="array" ref="J121">Common_InputFunctions.Utility_LookupValueInTableTwoColumns(D121,E121,Table_SourceData_WasteSolid_WasteTreatmentEFs[Treatment type t],Table_SourceData_WasteSolid_WasteTreatmentEFs[Waste type w],Table_SourceData_WasteSolid_WasteTreatmentEFs[EFwt])</f>
        <v>0.4</v>
      </c>
      <c r="K121" s="49" cm="1">
        <f t="array" ref="K121">WasteSolid_Equations.VEERG_10_1_1_1__1_EmissionsFromWasteManagement(I121, J121)</f>
        <v>0</v>
      </c>
    </row>
    <row r="122" spans="1:11" ht="20.100000000000001" customHeight="1" x14ac:dyDescent="0.25">
      <c r="A122"/>
      <c r="D122" s="167" t="str">
        <v>Landfill</v>
      </c>
      <c r="E122" s="171" t="str">
        <v>Rubber and leather</v>
      </c>
      <c r="F122" s="209"/>
      <c r="G122" s="49"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49">
        <f t="shared" si="0"/>
        <v>0</v>
      </c>
      <c r="I122" s="49">
        <f t="shared" si="1"/>
        <v>0</v>
      </c>
      <c r="J122" s="49" cm="1">
        <f t="array" ref="J122">Common_InputFunctions.Utility_LookupValueInTableTwoColumns(D122,E122,Table_SourceData_WasteSolid_WasteTreatmentEFs[Treatment type t],Table_SourceData_WasteSolid_WasteTreatmentEFs[Waste type w],Table_SourceData_WasteSolid_WasteTreatmentEFs[EFwt])</f>
        <v>3.3</v>
      </c>
      <c r="K122" s="49" cm="1">
        <f t="array" ref="K122">WasteSolid_Equations.VEERG_10_1_1_1__1_EmissionsFromWasteManagement(I122, J122)</f>
        <v>0</v>
      </c>
    </row>
    <row r="123" spans="1:11" ht="20.100000000000001" customHeight="1" x14ac:dyDescent="0.25">
      <c r="A123"/>
      <c r="D123" s="167" t="str">
        <v>Landfill</v>
      </c>
      <c r="E123" s="171" t="str">
        <v>Inert waste (including concrete, metal, plastic or glass)</v>
      </c>
      <c r="F123" s="209"/>
      <c r="G123" s="49"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49">
        <f t="shared" si="0"/>
        <v>0</v>
      </c>
      <c r="I123" s="49">
        <f t="shared" si="1"/>
        <v>0</v>
      </c>
      <c r="J123" s="49" cm="1">
        <f t="array" ref="J123">Common_InputFunctions.Utility_LookupValueInTableTwoColumns(D123,E123,Table_SourceData_WasteSolid_WasteTreatmentEFs[Treatment type t],Table_SourceData_WasteSolid_WasteTreatmentEFs[Waste type w],Table_SourceData_WasteSolid_WasteTreatmentEFs[EFwt])</f>
        <v>0</v>
      </c>
      <c r="K123" s="49" cm="1">
        <f t="array" ref="K123">WasteSolid_Equations.VEERG_10_1_1_1__1_EmissionsFromWasteManagement(I123, J123)</f>
        <v>0</v>
      </c>
    </row>
    <row r="124" spans="1:11" ht="20.100000000000001" customHeight="1" x14ac:dyDescent="0.25">
      <c r="A124"/>
      <c r="D124" s="167" t="str">
        <v>Landfill</v>
      </c>
      <c r="E124" s="171" t="str">
        <v>Municipal solid waste</v>
      </c>
      <c r="F124" s="209"/>
      <c r="G124" s="49"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49">
        <f t="shared" si="0"/>
        <v>0</v>
      </c>
      <c r="I124" s="49">
        <f t="shared" si="1"/>
        <v>0</v>
      </c>
      <c r="J124" s="49" cm="1">
        <f t="array" ref="J124">Common_InputFunctions.Utility_LookupValueInTableTwoColumns(D124,E124,Table_SourceData_WasteSolid_WasteTreatmentEFs[Treatment type t],Table_SourceData_WasteSolid_WasteTreatmentEFs[Waste type w],Table_SourceData_WasteSolid_WasteTreatmentEFs[EFwt])</f>
        <v>1.6</v>
      </c>
      <c r="K124" s="49" cm="1">
        <f t="array" ref="K124">WasteSolid_Equations.VEERG_10_1_1_1__1_EmissionsFromWasteManagement(I124, J124)</f>
        <v>0</v>
      </c>
    </row>
    <row r="125" spans="1:11" ht="20.100000000000001" customHeight="1" x14ac:dyDescent="0.25">
      <c r="A125"/>
      <c r="D125" s="167" t="str">
        <v>Landfill</v>
      </c>
      <c r="E125" s="171" t="str">
        <v>Commercial and industrial waste</v>
      </c>
      <c r="F125" s="209"/>
      <c r="G125" s="49"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49">
        <f t="shared" si="0"/>
        <v>0</v>
      </c>
      <c r="I125" s="49">
        <f t="shared" si="1"/>
        <v>0</v>
      </c>
      <c r="J125" s="49" cm="1">
        <f t="array" ref="J125">Common_InputFunctions.Utility_LookupValueInTableTwoColumns(D125,E125,Table_SourceData_WasteSolid_WasteTreatmentEFs[Treatment type t],Table_SourceData_WasteSolid_WasteTreatmentEFs[Waste type w],Table_SourceData_WasteSolid_WasteTreatmentEFs[EFwt])</f>
        <v>1.3</v>
      </c>
      <c r="K125" s="49" cm="1">
        <f t="array" ref="K125">WasteSolid_Equations.VEERG_10_1_1_1__1_EmissionsFromWasteManagement(I125, J125)</f>
        <v>0</v>
      </c>
    </row>
    <row r="126" spans="1:11" ht="20.100000000000001" customHeight="1" x14ac:dyDescent="0.25">
      <c r="A126"/>
      <c r="D126" s="167" t="str">
        <v>Landfill</v>
      </c>
      <c r="E126" s="171" t="str">
        <v>Construction and demolition waste</v>
      </c>
      <c r="F126" s="209"/>
      <c r="G126" s="49"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49">
        <f t="shared" si="0"/>
        <v>0</v>
      </c>
      <c r="I126" s="49">
        <f t="shared" si="1"/>
        <v>0</v>
      </c>
      <c r="J126" s="49" cm="1">
        <f t="array" ref="J126">Common_InputFunctions.Utility_LookupValueInTableTwoColumns(D126,E126,Table_SourceData_WasteSolid_WasteTreatmentEFs[Treatment type t],Table_SourceData_WasteSolid_WasteTreatmentEFs[Waste type w],Table_SourceData_WasteSolid_WasteTreatmentEFs[EFwt])</f>
        <v>0.2</v>
      </c>
      <c r="K126" s="49" cm="1">
        <f t="array" ref="K126">WasteSolid_Equations.VEERG_10_1_1_1__1_EmissionsFromWasteManagement(I126, J126)</f>
        <v>0</v>
      </c>
    </row>
    <row r="127" spans="1:11" ht="20.100000000000001" customHeight="1" x14ac:dyDescent="0.25">
      <c r="A127"/>
      <c r="D127" s="167" t="str">
        <v>Incineration</v>
      </c>
      <c r="E127" s="171" t="str">
        <v>Food waste, green waste, wood, sludge</v>
      </c>
      <c r="F127" s="209"/>
      <c r="G127" s="49" t="s">
        <v>830</v>
      </c>
      <c r="H127" s="49" t="str">
        <f t="shared" si="0"/>
        <v>Not used</v>
      </c>
      <c r="I127" s="49">
        <f>SUM(G128:G131)+SUM(H128:H131)+N("Partial sum")</f>
        <v>74</v>
      </c>
      <c r="J127" s="49" cm="1">
        <f t="array" ref="J127">Common_InputFunctions.Utility_LookupValueInTableTwoColumns(D127,E127,Table_SourceData_WasteSolid_WasteTreatmentEFs[Treatment type t],Table_SourceData_WasteSolid_WasteTreatmentEFs[Waste type w],Table_SourceData_WasteSolid_WasteTreatmentEFs[EFwt])</f>
        <v>0</v>
      </c>
      <c r="K127" s="49" cm="1">
        <f t="array" ref="K127">WasteSolid_Equations.VEERG_10_1_1_1__1_EmissionsFromWasteManagement(I127, J127)</f>
        <v>0</v>
      </c>
    </row>
    <row r="128" spans="1:11" ht="20.100000000000001" customHeight="1" x14ac:dyDescent="0.25">
      <c r="A128"/>
      <c r="D128" s="167" t="str">
        <v>Incineration</v>
      </c>
      <c r="E128" s="171" t="str">
        <v>Food waste (including animal carcasses, spoiled animal feed or crop)</v>
      </c>
      <c r="F128" s="209"/>
      <c r="G128" s="49"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49">
        <f t="shared" si="0"/>
        <v>0</v>
      </c>
      <c r="I128" s="49" t="s">
        <v>835</v>
      </c>
      <c r="J128" s="49" t="s">
        <v>830</v>
      </c>
      <c r="K128" s="49" t="s">
        <v>830</v>
      </c>
    </row>
    <row r="129" spans="1:11" ht="20.100000000000001" customHeight="1" x14ac:dyDescent="0.25">
      <c r="A129"/>
      <c r="D129" s="167" t="str">
        <v>Incineration</v>
      </c>
      <c r="E129" s="171" t="str">
        <v>Green waste (including crop residues or prunings)</v>
      </c>
      <c r="F129" s="209"/>
      <c r="G129" s="49"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49">
        <f t="shared" si="0"/>
        <v>24</v>
      </c>
      <c r="I129" s="49" t="s">
        <v>835</v>
      </c>
      <c r="J129" s="49" t="s">
        <v>830</v>
      </c>
      <c r="K129" s="49" t="s">
        <v>830</v>
      </c>
    </row>
    <row r="130" spans="1:11" ht="20.100000000000001" customHeight="1" x14ac:dyDescent="0.25">
      <c r="A130"/>
      <c r="D130" s="167" t="str">
        <v>Incineration</v>
      </c>
      <c r="E130" s="171" t="str">
        <v>Wood</v>
      </c>
      <c r="F130" s="209"/>
      <c r="G130" s="49"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49">
        <f t="shared" si="0"/>
        <v>0</v>
      </c>
      <c r="I130" s="49" t="s">
        <v>835</v>
      </c>
      <c r="J130" s="49" t="s">
        <v>830</v>
      </c>
      <c r="K130" s="49" t="s">
        <v>830</v>
      </c>
    </row>
    <row r="131" spans="1:11" ht="20.100000000000001" customHeight="1" x14ac:dyDescent="0.25">
      <c r="A131"/>
      <c r="D131" s="167" t="str">
        <v>Incineration</v>
      </c>
      <c r="E131" s="171" t="str">
        <v>Sludge</v>
      </c>
      <c r="F131" s="209"/>
      <c r="G131" s="49"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49">
        <f t="shared" si="0"/>
        <v>0</v>
      </c>
      <c r="I131" s="49" t="s">
        <v>835</v>
      </c>
      <c r="J131" s="49" t="s">
        <v>830</v>
      </c>
      <c r="K131" s="49" t="s">
        <v>830</v>
      </c>
    </row>
    <row r="132" spans="1:11" ht="20.100000000000001" customHeight="1" x14ac:dyDescent="0.25">
      <c r="A132"/>
      <c r="D132" s="167" t="str">
        <v>Incineration</v>
      </c>
      <c r="E132" s="171" t="str">
        <v>Paper and cardboard</v>
      </c>
      <c r="F132" s="209"/>
      <c r="G132" s="49"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49">
        <f t="shared" si="0"/>
        <v>4.5</v>
      </c>
      <c r="I132" s="49">
        <f>G132+H132+N("Partial sum")</f>
        <v>54.5</v>
      </c>
      <c r="J132" s="49"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49" cm="1">
        <f t="array" ref="K132">WasteSolid_Equations.VEERG_10_1_1_1__1_EmissionsFromWasteManagement(I132, J132)</f>
        <v>0.92104999999999992</v>
      </c>
    </row>
    <row r="133" spans="1:11" ht="20.100000000000001" customHeight="1" x14ac:dyDescent="0.25">
      <c r="A133"/>
      <c r="D133" s="167" t="str">
        <v>Incineration</v>
      </c>
      <c r="E133" s="171" t="str">
        <v>Textiles</v>
      </c>
      <c r="F133" s="209"/>
      <c r="G133" s="49"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49">
        <f t="shared" si="0"/>
        <v>0</v>
      </c>
      <c r="I133" s="49">
        <f t="shared" ref="I133:I137" si="2">G133+H133</f>
        <v>0</v>
      </c>
      <c r="J133" s="49"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49" cm="1">
        <f t="array" ref="K133">WasteSolid_Equations.VEERG_10_1_1_1__1_EmissionsFromWasteManagement(I133, J133)</f>
        <v>0</v>
      </c>
    </row>
    <row r="134" spans="1:11" ht="20.100000000000001" customHeight="1" x14ac:dyDescent="0.25">
      <c r="A134"/>
      <c r="D134" s="167" t="str">
        <v>Incineration</v>
      </c>
      <c r="E134" s="171" t="str">
        <v>Rubber and leather</v>
      </c>
      <c r="F134" s="209"/>
      <c r="G134" s="49"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49">
        <f t="shared" si="0"/>
        <v>0</v>
      </c>
      <c r="I134" s="49">
        <f t="shared" si="2"/>
        <v>0</v>
      </c>
      <c r="J134" s="49" cm="1">
        <f t="array" ref="J134">Common_InputFunctions.Utility_LookupValueInTableTwoColumns(D134,E134,Table_SourceData_WasteSolid_WasteTreatmentEFs[Treatment type t],Table_SourceData_WasteSolid_WasteTreatmentEFs[Waste type w],Table_SourceData_WasteSolid_WasteTreatmentEFs[EFwt])</f>
        <v>0.4919</v>
      </c>
      <c r="K134" s="49" cm="1">
        <f t="array" ref="K134">WasteSolid_Equations.VEERG_10_1_1_1__1_EmissionsFromWasteManagement(I134, J134)</f>
        <v>0</v>
      </c>
    </row>
    <row r="135" spans="1:11" ht="20.100000000000001" customHeight="1" x14ac:dyDescent="0.25">
      <c r="A135"/>
      <c r="D135" s="167" t="str">
        <v>Incineration</v>
      </c>
      <c r="E135" s="171" t="str">
        <v>Inert waste (including concrete, metal, plastic or glass)</v>
      </c>
      <c r="F135" s="209"/>
      <c r="G135" s="49"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49">
        <f t="shared" si="0"/>
        <v>0</v>
      </c>
      <c r="I135" s="49">
        <f t="shared" si="2"/>
        <v>0</v>
      </c>
      <c r="J135" s="49" cm="1">
        <f t="array" ref="J135">Common_InputFunctions.Utility_LookupValueInTableTwoColumns(D135,E135,Table_SourceData_WasteSolid_WasteTreatmentEFs[Treatment type t],Table_SourceData_WasteSolid_WasteTreatmentEFs[Waste type w],Table_SourceData_WasteSolid_WasteTreatmentEFs[EFwt])</f>
        <v>0.11</v>
      </c>
      <c r="K135" s="49" cm="1">
        <f t="array" ref="K135">WasteSolid_Equations.VEERG_10_1_1_1__1_EmissionsFromWasteManagement(I135, J135)</f>
        <v>0</v>
      </c>
    </row>
    <row r="136" spans="1:11" ht="20.100000000000001" customHeight="1" x14ac:dyDescent="0.25">
      <c r="A136"/>
      <c r="D136" s="167" t="str">
        <v>Incineration</v>
      </c>
      <c r="E136" s="171" t="str">
        <v>Municipal solid waste</v>
      </c>
      <c r="F136" s="166"/>
      <c r="G136" s="49"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49">
        <f t="shared" si="0"/>
        <v>0</v>
      </c>
      <c r="I136" s="49">
        <f t="shared" si="2"/>
        <v>0</v>
      </c>
      <c r="J136" s="49"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49" cm="1">
        <f t="array" ref="K136">WasteSolid_Equations.VEERG_10_1_1_1__1_EmissionsFromWasteManagement(I136, J136)</f>
        <v>0</v>
      </c>
    </row>
    <row r="137" spans="1:11" ht="20.100000000000001" customHeight="1" x14ac:dyDescent="0.25">
      <c r="A137"/>
      <c r="D137" s="167" t="str">
        <v>Incineration</v>
      </c>
      <c r="E137" s="171" t="str">
        <v>Commercial and industrial waste</v>
      </c>
      <c r="F137" s="166"/>
      <c r="G137" s="49"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49">
        <f t="shared" si="0"/>
        <v>0</v>
      </c>
      <c r="I137" s="49">
        <f t="shared" si="2"/>
        <v>0</v>
      </c>
      <c r="J137" s="49" cm="1">
        <f t="array" ref="J137">Common_InputFunctions.Utility_LookupValueInTableTwoColumns(D137,E137,Table_SourceData_WasteSolid_WasteTreatmentEFs[Treatment type t],Table_SourceData_WasteSolid_WasteTreatmentEFs[Waste type w],Table_SourceData_WasteSolid_WasteTreatmentEFs[EFwt])</f>
        <v>1.649</v>
      </c>
      <c r="K137" s="49" cm="1">
        <f t="array" ref="K137">WasteSolid_Equations.VEERG_10_1_1_1__1_EmissionsFromWasteManagement(I137, J137)</f>
        <v>0</v>
      </c>
    </row>
    <row r="138" spans="1:11" ht="20.100000000000001" customHeight="1" x14ac:dyDescent="0.25">
      <c r="A138"/>
      <c r="D138" s="167" t="str">
        <v>Composting</v>
      </c>
      <c r="E138" s="171" t="str">
        <v>All organic waste</v>
      </c>
      <c r="F138" s="166"/>
      <c r="G138" s="49" t="s">
        <v>830</v>
      </c>
      <c r="H138" s="49" t="str">
        <f t="shared" si="0"/>
        <v>Not used</v>
      </c>
      <c r="I138" s="49">
        <f>SUM(G139:G143)+SUM(H139:H143)+N("Partial sum")</f>
        <v>29.5</v>
      </c>
      <c r="J138" s="49"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49" cm="1">
        <f t="array" ref="K138">WasteSolid_Equations.VEERG_10_1_1_1__1_EmissionsFromWasteManagement(I138, J138)</f>
        <v>1.357</v>
      </c>
    </row>
    <row r="139" spans="1:11" ht="20.100000000000001" customHeight="1" x14ac:dyDescent="0.25">
      <c r="A139"/>
      <c r="D139" s="167" t="str">
        <v>Composting</v>
      </c>
      <c r="E139" s="171" t="str">
        <v>Food waste (including animal carcasses, spoiled animal feed or crop)</v>
      </c>
      <c r="F139" s="166"/>
      <c r="G139" s="49"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49">
        <f t="shared" si="0"/>
        <v>25</v>
      </c>
      <c r="I139" s="49" t="s">
        <v>835</v>
      </c>
      <c r="J139" s="49" t="s">
        <v>830</v>
      </c>
      <c r="K139" s="49" t="s">
        <v>830</v>
      </c>
    </row>
    <row r="140" spans="1:11" ht="20.100000000000001" customHeight="1" x14ac:dyDescent="0.25">
      <c r="A140"/>
      <c r="D140" s="167" t="str">
        <v>Composting</v>
      </c>
      <c r="E140" s="171" t="str">
        <v>Green waste (including crop residues or prunings)</v>
      </c>
      <c r="F140" s="166"/>
      <c r="G140" s="49"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49">
        <f t="shared" si="0"/>
        <v>0</v>
      </c>
      <c r="I140" s="49" t="s">
        <v>835</v>
      </c>
      <c r="J140" s="49" t="s">
        <v>830</v>
      </c>
      <c r="K140" s="49" t="s">
        <v>830</v>
      </c>
    </row>
    <row r="141" spans="1:11" ht="20.100000000000001" customHeight="1" x14ac:dyDescent="0.25">
      <c r="A141"/>
      <c r="D141" s="167" t="str">
        <v>Composting</v>
      </c>
      <c r="E141" s="171" t="str">
        <v>Wood</v>
      </c>
      <c r="F141" s="166"/>
      <c r="G141" s="49"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49">
        <f t="shared" si="0"/>
        <v>0</v>
      </c>
      <c r="I141" s="49" t="s">
        <v>835</v>
      </c>
      <c r="J141" s="49" t="s">
        <v>830</v>
      </c>
      <c r="K141" s="49" t="s">
        <v>830</v>
      </c>
    </row>
    <row r="142" spans="1:11" ht="20.100000000000001" customHeight="1" x14ac:dyDescent="0.25">
      <c r="A142"/>
      <c r="D142" s="167" t="str">
        <v>Composting</v>
      </c>
      <c r="E142" s="171" t="str">
        <v>Sludge</v>
      </c>
      <c r="F142" s="166"/>
      <c r="G142" s="49"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49">
        <f t="shared" si="0"/>
        <v>0</v>
      </c>
      <c r="I142" s="49" t="s">
        <v>835</v>
      </c>
      <c r="J142" s="49" t="s">
        <v>830</v>
      </c>
      <c r="K142" s="49" t="s">
        <v>830</v>
      </c>
    </row>
    <row r="143" spans="1:11" ht="20.100000000000001" customHeight="1" x14ac:dyDescent="0.25">
      <c r="A143"/>
      <c r="D143" s="167" t="str">
        <v>Composting</v>
      </c>
      <c r="E143" s="171" t="str">
        <v>Paper and cardboard</v>
      </c>
      <c r="F143" s="166"/>
      <c r="G143" s="49"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49">
        <f t="shared" si="0"/>
        <v>4.5</v>
      </c>
      <c r="I143" s="49" t="s">
        <v>835</v>
      </c>
      <c r="J143" s="49" t="s">
        <v>830</v>
      </c>
      <c r="K143" s="49" t="s">
        <v>830</v>
      </c>
    </row>
    <row r="144" spans="1:11" ht="20.100000000000001" customHeight="1" x14ac:dyDescent="0.25">
      <c r="A144"/>
      <c r="D144" s="167" t="str">
        <v>Anaerobic digestion</v>
      </c>
      <c r="E144" s="171" t="str">
        <v>All organic waste</v>
      </c>
      <c r="F144" s="166"/>
      <c r="G144" s="49" t="s">
        <v>830</v>
      </c>
      <c r="H144" s="49" t="str">
        <f t="shared" si="0"/>
        <v>Not used</v>
      </c>
      <c r="I144" s="49">
        <f>SUM(G145:G149)+SUM(H145:H149)+N("Partial sum")</f>
        <v>0</v>
      </c>
      <c r="J144" s="49"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49" cm="1">
        <f t="array" ref="K144">WasteSolid_Equations.VEERG_10_1_1_1__1_EmissionsFromWasteManagement(I144, J144)</f>
        <v>0</v>
      </c>
    </row>
    <row r="145" spans="1:11" ht="20.100000000000001" customHeight="1" x14ac:dyDescent="0.25">
      <c r="A145"/>
      <c r="D145" s="167" t="str">
        <v>Anaerobic digestion</v>
      </c>
      <c r="E145" s="171" t="str">
        <v>Food waste (including animal carcasses, spoiled animal feed or crop)</v>
      </c>
      <c r="F145" s="166"/>
      <c r="G145" s="49"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49">
        <f t="shared" si="0"/>
        <v>0</v>
      </c>
      <c r="I145" s="49" t="s">
        <v>835</v>
      </c>
      <c r="J145" s="49" t="s">
        <v>830</v>
      </c>
      <c r="K145" s="49" t="s">
        <v>830</v>
      </c>
    </row>
    <row r="146" spans="1:11" ht="20.100000000000001" customHeight="1" x14ac:dyDescent="0.25">
      <c r="A146"/>
      <c r="D146" s="167" t="str">
        <v>Anaerobic digestion</v>
      </c>
      <c r="E146" s="171" t="str">
        <v>Green waste (including crop residues or prunings)</v>
      </c>
      <c r="F146" s="166"/>
      <c r="G146" s="49"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49">
        <f t="shared" si="0"/>
        <v>0</v>
      </c>
      <c r="I146" s="49" t="s">
        <v>835</v>
      </c>
      <c r="J146" s="49" t="s">
        <v>830</v>
      </c>
      <c r="K146" s="49" t="s">
        <v>830</v>
      </c>
    </row>
    <row r="147" spans="1:11" ht="20.100000000000001" customHeight="1" x14ac:dyDescent="0.25">
      <c r="A147"/>
      <c r="D147" s="167" t="str">
        <v>Anaerobic digestion</v>
      </c>
      <c r="E147" s="171" t="str">
        <v>Wood</v>
      </c>
      <c r="F147" s="166"/>
      <c r="G147" s="49"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49">
        <f t="shared" si="0"/>
        <v>0</v>
      </c>
      <c r="I147" s="49" t="s">
        <v>835</v>
      </c>
      <c r="J147" s="49" t="s">
        <v>830</v>
      </c>
      <c r="K147" s="49" t="s">
        <v>830</v>
      </c>
    </row>
    <row r="148" spans="1:11" ht="20.100000000000001" customHeight="1" x14ac:dyDescent="0.25">
      <c r="A148"/>
      <c r="D148" s="167" t="str">
        <v>Anaerobic digestion</v>
      </c>
      <c r="E148" s="171" t="str">
        <v>Sludge</v>
      </c>
      <c r="F148" s="166"/>
      <c r="G148" s="49"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49">
        <f t="shared" si="0"/>
        <v>0</v>
      </c>
      <c r="I148" s="49" t="s">
        <v>835</v>
      </c>
      <c r="J148" s="49" t="s">
        <v>830</v>
      </c>
      <c r="K148" s="49" t="s">
        <v>830</v>
      </c>
    </row>
    <row r="149" spans="1:11" ht="20.100000000000001" customHeight="1" x14ac:dyDescent="0.25">
      <c r="A149"/>
      <c r="D149" s="167" t="str">
        <v>Anaerobic digestion</v>
      </c>
      <c r="E149" s="171" t="str">
        <v>Paper and cardboard</v>
      </c>
      <c r="F149" s="166"/>
      <c r="G149" s="49"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49">
        <f t="shared" si="0"/>
        <v>0</v>
      </c>
      <c r="I149" s="49" t="s">
        <v>835</v>
      </c>
      <c r="J149" s="49" t="s">
        <v>830</v>
      </c>
      <c r="K149" s="49" t="s">
        <v>830</v>
      </c>
    </row>
    <row r="150" spans="1:11" ht="20.100000000000001" customHeight="1" x14ac:dyDescent="0.25">
      <c r="A150"/>
    </row>
    <row r="151" spans="1:11" ht="20.100000000000001" customHeight="1" x14ac:dyDescent="0.25">
      <c r="A151"/>
      <c r="D151" s="176" t="s">
        <v>790</v>
      </c>
      <c r="E151" s="177">
        <f>SUM(K116:K149)</f>
        <v>438.82805000000002</v>
      </c>
      <c r="F151" s="178" t="str">
        <f>$E$103</f>
        <v>t CO2e</v>
      </c>
    </row>
    <row r="152" spans="1:11" ht="20.100000000000001" customHeight="1" x14ac:dyDescent="0.25">
      <c r="A152"/>
    </row>
    <row r="153" spans="1:11" ht="20.100000000000001" customHeight="1" x14ac:dyDescent="0.25">
      <c r="A153"/>
    </row>
    <row r="154" spans="1:11" ht="20.100000000000001" customHeight="1" x14ac:dyDescent="0.25">
      <c r="A154"/>
      <c r="D154" s="55" t="s">
        <v>791</v>
      </c>
    </row>
    <row r="155" spans="1:11" ht="20.100000000000001" customHeight="1" x14ac:dyDescent="0.25">
      <c r="A155"/>
      <c r="D155" s="56" t="s">
        <v>792</v>
      </c>
    </row>
    <row r="156" spans="1:11" ht="20.100000000000001" customHeight="1" x14ac:dyDescent="0.25">
      <c r="A156"/>
      <c r="D156" s="46" t="s">
        <v>781</v>
      </c>
      <c r="E156" s="46" t="s">
        <v>782</v>
      </c>
      <c r="F156" s="46"/>
      <c r="G156" s="46" t="s">
        <v>831</v>
      </c>
      <c r="H156" s="57" t="s">
        <v>832</v>
      </c>
      <c r="I156" s="57" t="s">
        <v>785</v>
      </c>
      <c r="J156" s="57" t="s">
        <v>833</v>
      </c>
      <c r="K156" s="57" t="s">
        <v>834</v>
      </c>
    </row>
    <row r="157" spans="1:11" ht="20.100000000000001" customHeight="1" x14ac:dyDescent="0.25">
      <c r="A157"/>
      <c r="D157" s="167" t="str" cm="1">
        <f t="array" ref="D157:D190">Table_SourceData_WasteSolid_WasteTreatmentEFs[Treatment type t]</f>
        <v>Landfill</v>
      </c>
      <c r="E157" s="171" t="str" cm="1">
        <f t="array" ref="E157:E190">Table_SourceData_WasteSolid_WasteTreatmentEFs[Waste type w]</f>
        <v>Food waste (including animal carcasses, spoiled animal feed or crop)</v>
      </c>
      <c r="F157" s="209"/>
      <c r="G157" s="49"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49">
        <f t="shared" ref="H157:H190" si="3">I59</f>
        <v>25</v>
      </c>
      <c r="I157" s="49">
        <f>G157+H157</f>
        <v>75</v>
      </c>
      <c r="J157" s="49" cm="1">
        <f t="array" ref="J157">Common_InputFunctions.Utility_LookupValueInTableTwoColumns(D157,E157,Table_SourceData_WasteSolid_WasteTreatmentEFs[Treatment type t],Table_SourceData_WasteSolid_WasteTreatmentEFs[Waste type w],Table_SourceData_WasteSolid_WasteTreatmentEFs[EFwt])</f>
        <v>2.1</v>
      </c>
      <c r="K157" s="49" cm="1">
        <f t="array" ref="K157">WasteSolid_Equations.VEERG_10_1_1_1__1_EmissionsFromWasteManagement(I157, J157)</f>
        <v>157.5</v>
      </c>
    </row>
    <row r="158" spans="1:11" ht="20.100000000000001" customHeight="1" x14ac:dyDescent="0.25">
      <c r="A158"/>
      <c r="D158" s="167" t="str">
        <v>Landfill</v>
      </c>
      <c r="E158" s="171" t="str">
        <v>Paper and cardboard</v>
      </c>
      <c r="F158" s="209"/>
      <c r="G158" s="49"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49">
        <f t="shared" si="3"/>
        <v>4.5</v>
      </c>
      <c r="I158" s="49">
        <f t="shared" ref="I158:I167" si="4">G158+H158</f>
        <v>54.5</v>
      </c>
      <c r="J158" s="49" cm="1">
        <f t="array" ref="J158">Common_InputFunctions.Utility_LookupValueInTableTwoColumns(D158,E158,Table_SourceData_WasteSolid_WasteTreatmentEFs[Treatment type t],Table_SourceData_WasteSolid_WasteTreatmentEFs[Waste type w],Table_SourceData_WasteSolid_WasteTreatmentEFs[EFwt])</f>
        <v>3.3</v>
      </c>
      <c r="K158" s="49" cm="1">
        <f t="array" ref="K158">WasteSolid_Equations.VEERG_10_1_1_1__1_EmissionsFromWasteManagement(I158, J158)</f>
        <v>179.85</v>
      </c>
    </row>
    <row r="159" spans="1:11" ht="20.100000000000001" customHeight="1" x14ac:dyDescent="0.25">
      <c r="A159"/>
      <c r="D159" s="167" t="str">
        <v>Landfill</v>
      </c>
      <c r="E159" s="171" t="str">
        <v>Green waste (including crop residues or prunings)</v>
      </c>
      <c r="F159" s="209"/>
      <c r="G159" s="49"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49">
        <f t="shared" si="3"/>
        <v>12</v>
      </c>
      <c r="I159" s="49">
        <f t="shared" si="4"/>
        <v>62</v>
      </c>
      <c r="J159" s="49" cm="1">
        <f t="array" ref="J159">Common_InputFunctions.Utility_LookupValueInTableTwoColumns(D159,E159,Table_SourceData_WasteSolid_WasteTreatmentEFs[Treatment type t],Table_SourceData_WasteSolid_WasteTreatmentEFs[Waste type w],Table_SourceData_WasteSolid_WasteTreatmentEFs[EFwt])</f>
        <v>1.6</v>
      </c>
      <c r="K159" s="49" cm="1">
        <f t="array" ref="K159">WasteSolid_Equations.VEERG_10_1_1_1__1_EmissionsFromWasteManagement(I159, J159)</f>
        <v>99.2</v>
      </c>
    </row>
    <row r="160" spans="1:11" ht="20.100000000000001" customHeight="1" x14ac:dyDescent="0.25">
      <c r="A160"/>
      <c r="D160" s="167" t="str">
        <v>Landfill</v>
      </c>
      <c r="E160" s="171" t="str">
        <v>Wood</v>
      </c>
      <c r="F160" s="209"/>
      <c r="G160" s="49"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49">
        <f t="shared" si="3"/>
        <v>0</v>
      </c>
      <c r="I160" s="49">
        <f t="shared" si="4"/>
        <v>0</v>
      </c>
      <c r="J160" s="49" cm="1">
        <f t="array" ref="J160">Common_InputFunctions.Utility_LookupValueInTableTwoColumns(D160,E160,Table_SourceData_WasteSolid_WasteTreatmentEFs[Treatment type t],Table_SourceData_WasteSolid_WasteTreatmentEFs[Waste type w],Table_SourceData_WasteSolid_WasteTreatmentEFs[EFwt])</f>
        <v>0.7</v>
      </c>
      <c r="K160" s="49" cm="1">
        <f t="array" ref="K160">WasteSolid_Equations.VEERG_10_1_1_1__1_EmissionsFromWasteManagement(I160, J160)</f>
        <v>0</v>
      </c>
    </row>
    <row r="161" spans="4:11" ht="20.100000000000001" customHeight="1" x14ac:dyDescent="0.25">
      <c r="D161" s="167" t="str">
        <v>Landfill</v>
      </c>
      <c r="E161" s="171" t="str">
        <v>Textiles</v>
      </c>
      <c r="F161" s="209"/>
      <c r="G161" s="49"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49">
        <f t="shared" si="3"/>
        <v>0</v>
      </c>
      <c r="I161" s="49">
        <f t="shared" si="4"/>
        <v>0</v>
      </c>
      <c r="J161" s="49" cm="1">
        <f t="array" ref="J161">Common_InputFunctions.Utility_LookupValueInTableTwoColumns(D161,E161,Table_SourceData_WasteSolid_WasteTreatmentEFs[Treatment type t],Table_SourceData_WasteSolid_WasteTreatmentEFs[Waste type w],Table_SourceData_WasteSolid_WasteTreatmentEFs[EFwt])</f>
        <v>2</v>
      </c>
      <c r="K161" s="49" cm="1">
        <f t="array" ref="K161">WasteSolid_Equations.VEERG_10_1_1_1__1_EmissionsFromWasteManagement(I161, J161)</f>
        <v>0</v>
      </c>
    </row>
    <row r="162" spans="4:11" ht="20.100000000000001" customHeight="1" x14ac:dyDescent="0.25">
      <c r="D162" s="167" t="str">
        <v>Landfill</v>
      </c>
      <c r="E162" s="171" t="str">
        <v>Sludge</v>
      </c>
      <c r="F162" s="209"/>
      <c r="G162" s="49"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49">
        <f t="shared" si="3"/>
        <v>0</v>
      </c>
      <c r="I162" s="49">
        <f t="shared" si="4"/>
        <v>0</v>
      </c>
      <c r="J162" s="49" cm="1">
        <f t="array" ref="J162">Common_InputFunctions.Utility_LookupValueInTableTwoColumns(D162,E162,Table_SourceData_WasteSolid_WasteTreatmentEFs[Treatment type t],Table_SourceData_WasteSolid_WasteTreatmentEFs[Waste type w],Table_SourceData_WasteSolid_WasteTreatmentEFs[EFwt])</f>
        <v>0.4</v>
      </c>
      <c r="K162" s="49" cm="1">
        <f t="array" ref="K162">WasteSolid_Equations.VEERG_10_1_1_1__1_EmissionsFromWasteManagement(I162, J162)</f>
        <v>0</v>
      </c>
    </row>
    <row r="163" spans="4:11" ht="20.100000000000001" customHeight="1" x14ac:dyDescent="0.25">
      <c r="D163" s="167" t="str">
        <v>Landfill</v>
      </c>
      <c r="E163" s="171" t="str">
        <v>Rubber and leather</v>
      </c>
      <c r="F163" s="209"/>
      <c r="G163" s="49"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49">
        <f t="shared" si="3"/>
        <v>0</v>
      </c>
      <c r="I163" s="49">
        <f t="shared" si="4"/>
        <v>0</v>
      </c>
      <c r="J163" s="49" cm="1">
        <f t="array" ref="J163">Common_InputFunctions.Utility_LookupValueInTableTwoColumns(D163,E163,Table_SourceData_WasteSolid_WasteTreatmentEFs[Treatment type t],Table_SourceData_WasteSolid_WasteTreatmentEFs[Waste type w],Table_SourceData_WasteSolid_WasteTreatmentEFs[EFwt])</f>
        <v>3.3</v>
      </c>
      <c r="K163" s="49" cm="1">
        <f t="array" ref="K163">WasteSolid_Equations.VEERG_10_1_1_1__1_EmissionsFromWasteManagement(I163, J163)</f>
        <v>0</v>
      </c>
    </row>
    <row r="164" spans="4:11" ht="20.100000000000001" customHeight="1" x14ac:dyDescent="0.25">
      <c r="D164" s="167" t="str">
        <v>Landfill</v>
      </c>
      <c r="E164" s="171" t="str">
        <v>Inert waste (including concrete, metal, plastic or glass)</v>
      </c>
      <c r="F164" s="209"/>
      <c r="G164" s="49"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49">
        <f t="shared" si="3"/>
        <v>0</v>
      </c>
      <c r="I164" s="49">
        <f t="shared" si="4"/>
        <v>0</v>
      </c>
      <c r="J164" s="49" cm="1">
        <f t="array" ref="J164">Common_InputFunctions.Utility_LookupValueInTableTwoColumns(D164,E164,Table_SourceData_WasteSolid_WasteTreatmentEFs[Treatment type t],Table_SourceData_WasteSolid_WasteTreatmentEFs[Waste type w],Table_SourceData_WasteSolid_WasteTreatmentEFs[EFwt])</f>
        <v>0</v>
      </c>
      <c r="K164" s="49" cm="1">
        <f t="array" ref="K164">WasteSolid_Equations.VEERG_10_1_1_1__1_EmissionsFromWasteManagement(I164, J164)</f>
        <v>0</v>
      </c>
    </row>
    <row r="165" spans="4:11" ht="20.100000000000001" customHeight="1" x14ac:dyDescent="0.25">
      <c r="D165" s="167" t="str">
        <v>Landfill</v>
      </c>
      <c r="E165" s="171" t="str">
        <v>Municipal solid waste</v>
      </c>
      <c r="F165" s="209"/>
      <c r="G165" s="49"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49">
        <f t="shared" si="3"/>
        <v>0</v>
      </c>
      <c r="I165" s="49">
        <f t="shared" si="4"/>
        <v>0</v>
      </c>
      <c r="J165" s="49" cm="1">
        <f t="array" ref="J165">Common_InputFunctions.Utility_LookupValueInTableTwoColumns(D165,E165,Table_SourceData_WasteSolid_WasteTreatmentEFs[Treatment type t],Table_SourceData_WasteSolid_WasteTreatmentEFs[Waste type w],Table_SourceData_WasteSolid_WasteTreatmentEFs[EFwt])</f>
        <v>1.6</v>
      </c>
      <c r="K165" s="49" cm="1">
        <f t="array" ref="K165">WasteSolid_Equations.VEERG_10_1_1_1__1_EmissionsFromWasteManagement(I165, J165)</f>
        <v>0</v>
      </c>
    </row>
    <row r="166" spans="4:11" ht="20.100000000000001" customHeight="1" x14ac:dyDescent="0.25">
      <c r="D166" s="167" t="str">
        <v>Landfill</v>
      </c>
      <c r="E166" s="171" t="str">
        <v>Commercial and industrial waste</v>
      </c>
      <c r="F166" s="209"/>
      <c r="G166" s="49"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49">
        <f t="shared" si="3"/>
        <v>0</v>
      </c>
      <c r="I166" s="49">
        <f t="shared" si="4"/>
        <v>0</v>
      </c>
      <c r="J166" s="49" cm="1">
        <f t="array" ref="J166">Common_InputFunctions.Utility_LookupValueInTableTwoColumns(D166,E166,Table_SourceData_WasteSolid_WasteTreatmentEFs[Treatment type t],Table_SourceData_WasteSolid_WasteTreatmentEFs[Waste type w],Table_SourceData_WasteSolid_WasteTreatmentEFs[EFwt])</f>
        <v>1.3</v>
      </c>
      <c r="K166" s="49" cm="1">
        <f t="array" ref="K166">WasteSolid_Equations.VEERG_10_1_1_1__1_EmissionsFromWasteManagement(I166, J166)</f>
        <v>0</v>
      </c>
    </row>
    <row r="167" spans="4:11" ht="20.100000000000001" customHeight="1" x14ac:dyDescent="0.25">
      <c r="D167" s="167" t="str">
        <v>Landfill</v>
      </c>
      <c r="E167" s="171" t="str">
        <v>Construction and demolition waste</v>
      </c>
      <c r="F167" s="209"/>
      <c r="G167" s="49"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49">
        <f t="shared" si="3"/>
        <v>0</v>
      </c>
      <c r="I167" s="49">
        <f t="shared" si="4"/>
        <v>0</v>
      </c>
      <c r="J167" s="49" cm="1">
        <f t="array" ref="J167">Common_InputFunctions.Utility_LookupValueInTableTwoColumns(D167,E167,Table_SourceData_WasteSolid_WasteTreatmentEFs[Treatment type t],Table_SourceData_WasteSolid_WasteTreatmentEFs[Waste type w],Table_SourceData_WasteSolid_WasteTreatmentEFs[EFwt])</f>
        <v>0.2</v>
      </c>
      <c r="K167" s="49" cm="1">
        <f t="array" ref="K167">WasteSolid_Equations.VEERG_10_1_1_1__1_EmissionsFromWasteManagement(I167, J167)</f>
        <v>0</v>
      </c>
    </row>
    <row r="168" spans="4:11" ht="20.100000000000001" customHeight="1" x14ac:dyDescent="0.25">
      <c r="D168" s="167" t="str">
        <v>Incineration</v>
      </c>
      <c r="E168" s="171" t="str">
        <v>Food waste, green waste, wood, sludge</v>
      </c>
      <c r="F168" s="209"/>
      <c r="G168" s="49" t="s">
        <v>830</v>
      </c>
      <c r="H168" s="49" t="str">
        <f t="shared" si="3"/>
        <v>Not used</v>
      </c>
      <c r="I168" s="49">
        <f>SUM(G169:G172)+SUM(H169:H172)+N("Partial sum")</f>
        <v>62</v>
      </c>
      <c r="J168" s="49" cm="1">
        <f t="array" ref="J168">Common_InputFunctions.Utility_LookupValueInTableTwoColumns(D168,E168,Table_SourceData_WasteSolid_WasteTreatmentEFs[Treatment type t],Table_SourceData_WasteSolid_WasteTreatmentEFs[Waste type w],Table_SourceData_WasteSolid_WasteTreatmentEFs[EFwt])</f>
        <v>0</v>
      </c>
      <c r="K168" s="49" cm="1">
        <f t="array" ref="K168">WasteSolid_Equations.VEERG_10_1_1_1__1_EmissionsFromWasteManagement(I168, J168)</f>
        <v>0</v>
      </c>
    </row>
    <row r="169" spans="4:11" ht="20.100000000000001" customHeight="1" x14ac:dyDescent="0.25">
      <c r="D169" s="167" t="str">
        <v>Incineration</v>
      </c>
      <c r="E169" s="171" t="str">
        <v>Food waste (including animal carcasses, spoiled animal feed or crop)</v>
      </c>
      <c r="F169" s="209"/>
      <c r="G169" s="49"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49">
        <f t="shared" si="3"/>
        <v>0</v>
      </c>
      <c r="I169" s="49" t="s">
        <v>835</v>
      </c>
      <c r="J169" s="49" t="s">
        <v>830</v>
      </c>
      <c r="K169" s="49" t="s">
        <v>830</v>
      </c>
    </row>
    <row r="170" spans="4:11" ht="20.100000000000001" customHeight="1" x14ac:dyDescent="0.25">
      <c r="D170" s="167" t="str">
        <v>Incineration</v>
      </c>
      <c r="E170" s="171" t="str">
        <v>Green waste (including crop residues or prunings)</v>
      </c>
      <c r="F170" s="209"/>
      <c r="G170" s="49"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49">
        <f t="shared" si="3"/>
        <v>12</v>
      </c>
      <c r="I170" s="49" t="s">
        <v>835</v>
      </c>
      <c r="J170" s="49" t="s">
        <v>830</v>
      </c>
      <c r="K170" s="49" t="s">
        <v>830</v>
      </c>
    </row>
    <row r="171" spans="4:11" ht="20.100000000000001" customHeight="1" x14ac:dyDescent="0.25">
      <c r="D171" s="167" t="str">
        <v>Incineration</v>
      </c>
      <c r="E171" s="171" t="str">
        <v>Wood</v>
      </c>
      <c r="F171" s="209"/>
      <c r="G171" s="49"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49">
        <f t="shared" si="3"/>
        <v>0</v>
      </c>
      <c r="I171" s="49" t="s">
        <v>835</v>
      </c>
      <c r="J171" s="49" t="s">
        <v>830</v>
      </c>
      <c r="K171" s="49" t="s">
        <v>830</v>
      </c>
    </row>
    <row r="172" spans="4:11" ht="20.100000000000001" customHeight="1" x14ac:dyDescent="0.25">
      <c r="D172" s="167" t="str">
        <v>Incineration</v>
      </c>
      <c r="E172" s="171" t="str">
        <v>Sludge</v>
      </c>
      <c r="F172" s="209"/>
      <c r="G172" s="49"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49">
        <f t="shared" si="3"/>
        <v>0</v>
      </c>
      <c r="I172" s="49" t="s">
        <v>835</v>
      </c>
      <c r="J172" s="49" t="s">
        <v>830</v>
      </c>
      <c r="K172" s="49" t="s">
        <v>830</v>
      </c>
    </row>
    <row r="173" spans="4:11" ht="20.100000000000001" customHeight="1" x14ac:dyDescent="0.25">
      <c r="D173" s="167" t="str">
        <v>Incineration</v>
      </c>
      <c r="E173" s="171" t="str">
        <v>Paper and cardboard</v>
      </c>
      <c r="F173" s="209"/>
      <c r="G173" s="49"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49">
        <f t="shared" si="3"/>
        <v>0</v>
      </c>
      <c r="I173" s="49">
        <f t="shared" ref="I173:I178" si="5">G173+H173</f>
        <v>0</v>
      </c>
      <c r="J173" s="49"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49" cm="1">
        <f t="array" ref="K173">WasteSolid_Equations.VEERG_10_1_1_1__1_EmissionsFromWasteManagement(I173, J173)</f>
        <v>0</v>
      </c>
    </row>
    <row r="174" spans="4:11" ht="20.100000000000001" customHeight="1" x14ac:dyDescent="0.25">
      <c r="D174" s="167" t="str">
        <v>Incineration</v>
      </c>
      <c r="E174" s="171" t="str">
        <v>Textiles</v>
      </c>
      <c r="F174" s="209"/>
      <c r="G174" s="49"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49">
        <f t="shared" si="3"/>
        <v>0</v>
      </c>
      <c r="I174" s="49">
        <f t="shared" si="5"/>
        <v>0</v>
      </c>
      <c r="J174" s="49"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49" cm="1">
        <f t="array" ref="K174">WasteSolid_Equations.VEERG_10_1_1_1__1_EmissionsFromWasteManagement(I174, J174)</f>
        <v>0</v>
      </c>
    </row>
    <row r="175" spans="4:11" ht="20.100000000000001" customHeight="1" x14ac:dyDescent="0.25">
      <c r="D175" s="167" t="str">
        <v>Incineration</v>
      </c>
      <c r="E175" s="171" t="str">
        <v>Rubber and leather</v>
      </c>
      <c r="F175" s="209"/>
      <c r="G175" s="49"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49">
        <f t="shared" si="3"/>
        <v>0</v>
      </c>
      <c r="I175" s="49">
        <f t="shared" si="5"/>
        <v>0</v>
      </c>
      <c r="J175" s="49" cm="1">
        <f t="array" ref="J175">Common_InputFunctions.Utility_LookupValueInTableTwoColumns(D175,E175,Table_SourceData_WasteSolid_WasteTreatmentEFs[Treatment type t],Table_SourceData_WasteSolid_WasteTreatmentEFs[Waste type w],Table_SourceData_WasteSolid_WasteTreatmentEFs[EFwt])</f>
        <v>0.4919</v>
      </c>
      <c r="K175" s="49" cm="1">
        <f t="array" ref="K175">WasteSolid_Equations.VEERG_10_1_1_1__1_EmissionsFromWasteManagement(I175, J175)</f>
        <v>0</v>
      </c>
    </row>
    <row r="176" spans="4:11" ht="20.100000000000001" customHeight="1" x14ac:dyDescent="0.25">
      <c r="D176" s="167" t="str">
        <v>Incineration</v>
      </c>
      <c r="E176" s="171" t="str">
        <v>Inert waste (including concrete, metal, plastic or glass)</v>
      </c>
      <c r="F176" s="209"/>
      <c r="G176" s="49"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49">
        <f t="shared" si="3"/>
        <v>0</v>
      </c>
      <c r="I176" s="49">
        <f t="shared" si="5"/>
        <v>0</v>
      </c>
      <c r="J176" s="49" cm="1">
        <f t="array" ref="J176">Common_InputFunctions.Utility_LookupValueInTableTwoColumns(D176,E176,Table_SourceData_WasteSolid_WasteTreatmentEFs[Treatment type t],Table_SourceData_WasteSolid_WasteTreatmentEFs[Waste type w],Table_SourceData_WasteSolid_WasteTreatmentEFs[EFwt])</f>
        <v>0.11</v>
      </c>
      <c r="K176" s="49" cm="1">
        <f t="array" ref="K176">WasteSolid_Equations.VEERG_10_1_1_1__1_EmissionsFromWasteManagement(I176, J176)</f>
        <v>0</v>
      </c>
    </row>
    <row r="177" spans="4:11" ht="20.100000000000001" customHeight="1" x14ac:dyDescent="0.25">
      <c r="D177" s="167" t="str">
        <v>Incineration</v>
      </c>
      <c r="E177" s="171" t="str">
        <v>Municipal solid waste</v>
      </c>
      <c r="F177" s="166"/>
      <c r="G177" s="49"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49">
        <f t="shared" si="3"/>
        <v>0</v>
      </c>
      <c r="I177" s="49">
        <f t="shared" si="5"/>
        <v>0</v>
      </c>
      <c r="J177" s="49"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49" cm="1">
        <f t="array" ref="K177">WasteSolid_Equations.VEERG_10_1_1_1__1_EmissionsFromWasteManagement(I177, J177)</f>
        <v>0</v>
      </c>
    </row>
    <row r="178" spans="4:11" ht="20.100000000000001" customHeight="1" x14ac:dyDescent="0.25">
      <c r="D178" s="167" t="str">
        <v>Incineration</v>
      </c>
      <c r="E178" s="171" t="str">
        <v>Commercial and industrial waste</v>
      </c>
      <c r="F178" s="166"/>
      <c r="G178" s="49"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49">
        <f t="shared" si="3"/>
        <v>0</v>
      </c>
      <c r="I178" s="49">
        <f t="shared" si="5"/>
        <v>0</v>
      </c>
      <c r="J178" s="49" cm="1">
        <f t="array" ref="J178">Common_InputFunctions.Utility_LookupValueInTableTwoColumns(D178,E178,Table_SourceData_WasteSolid_WasteTreatmentEFs[Treatment type t],Table_SourceData_WasteSolid_WasteTreatmentEFs[Waste type w],Table_SourceData_WasteSolid_WasteTreatmentEFs[EFwt])</f>
        <v>1.649</v>
      </c>
      <c r="K178" s="49" cm="1">
        <f t="array" ref="K178">WasteSolid_Equations.VEERG_10_1_1_1__1_EmissionsFromWasteManagement(I178, J178)</f>
        <v>0</v>
      </c>
    </row>
    <row r="179" spans="4:11" ht="20.100000000000001" customHeight="1" x14ac:dyDescent="0.25">
      <c r="D179" s="167" t="str">
        <v>Composting</v>
      </c>
      <c r="E179" s="171" t="str">
        <v>All organic waste</v>
      </c>
      <c r="F179" s="166"/>
      <c r="G179" s="49" t="s">
        <v>830</v>
      </c>
      <c r="H179" s="49" t="str">
        <f t="shared" si="3"/>
        <v>Not used</v>
      </c>
      <c r="I179" s="49">
        <f>SUM(G180:G184)+SUM(H180:H184)+N("Partial sum")</f>
        <v>100</v>
      </c>
      <c r="J179" s="49"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49" cm="1">
        <f t="array" ref="K179">WasteSolid_Equations.VEERG_10_1_1_1__1_EmissionsFromWasteManagement(I179, J179)</f>
        <v>4.5999999999999996</v>
      </c>
    </row>
    <row r="180" spans="4:11" ht="20.100000000000001" customHeight="1" x14ac:dyDescent="0.25">
      <c r="D180" s="167" t="str">
        <v>Composting</v>
      </c>
      <c r="E180" s="171" t="str">
        <v>Food waste (including animal carcasses, spoiled animal feed or crop)</v>
      </c>
      <c r="F180" s="166"/>
      <c r="G180" s="49"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49">
        <f t="shared" si="3"/>
        <v>0</v>
      </c>
      <c r="I180" s="49" t="s">
        <v>835</v>
      </c>
      <c r="J180" s="49" t="s">
        <v>830</v>
      </c>
      <c r="K180" s="49" t="s">
        <v>830</v>
      </c>
    </row>
    <row r="181" spans="4:11" ht="20.100000000000001" customHeight="1" x14ac:dyDescent="0.25">
      <c r="D181" s="167" t="str">
        <v>Composting</v>
      </c>
      <c r="E181" s="171" t="str">
        <v>Green waste (including crop residues or prunings)</v>
      </c>
      <c r="F181" s="166"/>
      <c r="G181" s="49"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49">
        <f t="shared" si="3"/>
        <v>0</v>
      </c>
      <c r="I181" s="49" t="s">
        <v>835</v>
      </c>
      <c r="J181" s="49" t="s">
        <v>830</v>
      </c>
      <c r="K181" s="49" t="s">
        <v>830</v>
      </c>
    </row>
    <row r="182" spans="4:11" ht="20.100000000000001" customHeight="1" x14ac:dyDescent="0.25">
      <c r="D182" s="167" t="str">
        <v>Composting</v>
      </c>
      <c r="E182" s="171" t="str">
        <v>Wood</v>
      </c>
      <c r="F182" s="166"/>
      <c r="G182" s="49"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49">
        <f t="shared" si="3"/>
        <v>0</v>
      </c>
      <c r="I182" s="49" t="s">
        <v>835</v>
      </c>
      <c r="J182" s="49" t="s">
        <v>830</v>
      </c>
      <c r="K182" s="49" t="s">
        <v>830</v>
      </c>
    </row>
    <row r="183" spans="4:11" ht="20.100000000000001" customHeight="1" x14ac:dyDescent="0.25">
      <c r="D183" s="167" t="str">
        <v>Composting</v>
      </c>
      <c r="E183" s="171" t="str">
        <v>Sludge</v>
      </c>
      <c r="F183" s="166"/>
      <c r="G183" s="49"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49">
        <f t="shared" si="3"/>
        <v>0</v>
      </c>
      <c r="I183" s="49" t="s">
        <v>835</v>
      </c>
      <c r="J183" s="49" t="s">
        <v>830</v>
      </c>
      <c r="K183" s="49" t="s">
        <v>830</v>
      </c>
    </row>
    <row r="184" spans="4:11" ht="20.100000000000001" customHeight="1" x14ac:dyDescent="0.25">
      <c r="D184" s="167" t="str">
        <v>Composting</v>
      </c>
      <c r="E184" s="171" t="str">
        <v>Paper and cardboard</v>
      </c>
      <c r="F184" s="166"/>
      <c r="G184" s="49"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49">
        <f t="shared" si="3"/>
        <v>0</v>
      </c>
      <c r="I184" s="49" t="s">
        <v>835</v>
      </c>
      <c r="J184" s="49" t="s">
        <v>830</v>
      </c>
      <c r="K184" s="49" t="s">
        <v>830</v>
      </c>
    </row>
    <row r="185" spans="4:11" ht="20.100000000000001" customHeight="1" x14ac:dyDescent="0.25">
      <c r="D185" s="167" t="str">
        <v>Anaerobic digestion</v>
      </c>
      <c r="E185" s="171" t="str">
        <v>All organic waste</v>
      </c>
      <c r="F185" s="166"/>
      <c r="G185" s="49" t="s">
        <v>830</v>
      </c>
      <c r="H185" s="49" t="str">
        <f t="shared" si="3"/>
        <v>Not used</v>
      </c>
      <c r="I185" s="49">
        <f>SUM(G186:G190)+SUM(H186:H190)+N("Partial sum")</f>
        <v>0</v>
      </c>
      <c r="J185" s="49"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49" cm="1">
        <f t="array" ref="K185">WasteSolid_Equations.VEERG_10_1_1_1__1_EmissionsFromWasteManagement(I185, J185)</f>
        <v>0</v>
      </c>
    </row>
    <row r="186" spans="4:11" ht="20.100000000000001" customHeight="1" x14ac:dyDescent="0.25">
      <c r="D186" s="167" t="str">
        <v>Anaerobic digestion</v>
      </c>
      <c r="E186" s="171" t="str">
        <v>Food waste (including animal carcasses, spoiled animal feed or crop)</v>
      </c>
      <c r="F186" s="166"/>
      <c r="G186" s="49"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49">
        <f t="shared" si="3"/>
        <v>0</v>
      </c>
      <c r="I186" s="49" t="s">
        <v>835</v>
      </c>
      <c r="J186" s="49" t="s">
        <v>830</v>
      </c>
      <c r="K186" s="49" t="s">
        <v>830</v>
      </c>
    </row>
    <row r="187" spans="4:11" ht="20.100000000000001" customHeight="1" x14ac:dyDescent="0.25">
      <c r="D187" s="167" t="str">
        <v>Anaerobic digestion</v>
      </c>
      <c r="E187" s="171" t="str">
        <v>Green waste (including crop residues or prunings)</v>
      </c>
      <c r="F187" s="166"/>
      <c r="G187" s="49"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49">
        <f t="shared" si="3"/>
        <v>0</v>
      </c>
      <c r="I187" s="49" t="s">
        <v>835</v>
      </c>
      <c r="J187" s="49" t="s">
        <v>830</v>
      </c>
      <c r="K187" s="49" t="s">
        <v>830</v>
      </c>
    </row>
    <row r="188" spans="4:11" ht="20.100000000000001" customHeight="1" x14ac:dyDescent="0.25">
      <c r="D188" s="167" t="str">
        <v>Anaerobic digestion</v>
      </c>
      <c r="E188" s="171" t="str">
        <v>Wood</v>
      </c>
      <c r="F188" s="166"/>
      <c r="G188" s="49"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49">
        <f t="shared" si="3"/>
        <v>0</v>
      </c>
      <c r="I188" s="49" t="s">
        <v>835</v>
      </c>
      <c r="J188" s="49" t="s">
        <v>830</v>
      </c>
      <c r="K188" s="49" t="s">
        <v>830</v>
      </c>
    </row>
    <row r="189" spans="4:11" ht="20.100000000000001" customHeight="1" x14ac:dyDescent="0.25">
      <c r="D189" s="167" t="str">
        <v>Anaerobic digestion</v>
      </c>
      <c r="E189" s="171" t="str">
        <v>Sludge</v>
      </c>
      <c r="F189" s="166"/>
      <c r="G189" s="49"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49">
        <f t="shared" si="3"/>
        <v>0</v>
      </c>
      <c r="I189" s="49" t="s">
        <v>835</v>
      </c>
      <c r="J189" s="49" t="s">
        <v>830</v>
      </c>
      <c r="K189" s="49" t="s">
        <v>830</v>
      </c>
    </row>
    <row r="190" spans="4:11" ht="20.100000000000001" customHeight="1" x14ac:dyDescent="0.25">
      <c r="D190" s="167" t="str">
        <v>Anaerobic digestion</v>
      </c>
      <c r="E190" s="171" t="str">
        <v>Paper and cardboard</v>
      </c>
      <c r="F190" s="166"/>
      <c r="G190" s="49"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49">
        <f t="shared" si="3"/>
        <v>0</v>
      </c>
      <c r="I190" s="49" t="s">
        <v>835</v>
      </c>
      <c r="J190" s="49" t="s">
        <v>830</v>
      </c>
      <c r="K190" s="49" t="s">
        <v>830</v>
      </c>
    </row>
    <row r="191" spans="4:11" ht="20.100000000000001" customHeight="1" x14ac:dyDescent="0.25"/>
    <row r="192" spans="4:11" ht="20.100000000000001" customHeight="1" x14ac:dyDescent="0.25">
      <c r="D192" s="176" t="s">
        <v>790</v>
      </c>
      <c r="E192" s="177">
        <f>SUM(K157:K190)</f>
        <v>441.15000000000003</v>
      </c>
      <c r="F192" s="178"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E269 E228" xr:uid="{F6F4D80C-951D-4E6B-933F-0EBCF74981F8}"/>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A1:U90"/>
  <sheetViews>
    <sheetView showGridLines="0" topLeftCell="C56" zoomScaleNormal="100" workbookViewId="0">
      <selection activeCell="A46" sqref="A46"/>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1:21" ht="30" customHeight="1" x14ac:dyDescent="0.35">
      <c r="A1" s="37" t="e" vm="1">
        <v>#VALUE!</v>
      </c>
      <c r="C1" s="1" t="s">
        <v>840</v>
      </c>
      <c r="D1" s="1"/>
      <c r="E1" s="1"/>
      <c r="F1" s="1"/>
      <c r="G1" s="1"/>
      <c r="H1" s="1"/>
      <c r="I1" s="1"/>
      <c r="J1" s="1"/>
      <c r="K1" s="1"/>
      <c r="M1" s="1"/>
      <c r="N1" s="1"/>
      <c r="O1" s="1"/>
      <c r="P1" s="1"/>
      <c r="Q1" s="1"/>
      <c r="R1" s="1"/>
      <c r="S1" s="1"/>
      <c r="T1" s="1"/>
      <c r="U1" s="1"/>
    </row>
    <row r="2" spans="1:21" ht="20.100000000000001" customHeight="1" x14ac:dyDescent="0.25">
      <c r="C2" s="2"/>
      <c r="D2" s="2"/>
      <c r="E2" s="2"/>
      <c r="F2" s="2"/>
      <c r="G2" s="2"/>
      <c r="H2" s="2"/>
      <c r="I2" s="2"/>
      <c r="J2" s="2"/>
      <c r="K2" s="2"/>
      <c r="M2" s="2"/>
      <c r="N2" s="2"/>
      <c r="O2" s="2"/>
      <c r="P2" s="2"/>
      <c r="Q2" s="2"/>
      <c r="R2" s="2"/>
      <c r="S2" s="2"/>
      <c r="T2" s="2"/>
      <c r="U2" s="2"/>
    </row>
    <row r="3" spans="1:21" ht="20.100000000000001" customHeight="1" x14ac:dyDescent="0.25">
      <c r="A3" s="16" t="str">
        <f>HYPERLINK("#'Overview'!A1", "Overview")</f>
        <v>Overview</v>
      </c>
      <c r="C3" s="5"/>
      <c r="D3" s="5" t="s">
        <v>400</v>
      </c>
      <c r="E3" s="5"/>
      <c r="F3" s="5"/>
      <c r="G3" s="5"/>
      <c r="H3" s="5"/>
      <c r="I3" s="5"/>
      <c r="J3" s="5"/>
      <c r="K3" s="5"/>
      <c r="M3" s="5"/>
      <c r="N3" s="5" t="s">
        <v>401</v>
      </c>
      <c r="O3" s="5"/>
      <c r="P3" s="5"/>
      <c r="Q3" s="5"/>
      <c r="R3" s="5"/>
      <c r="S3" s="5"/>
      <c r="T3" s="5"/>
      <c r="U3" s="5"/>
    </row>
    <row r="4" spans="1:21" ht="20.100000000000001" customHeight="1" x14ac:dyDescent="0.25">
      <c r="A4" s="16" t="str">
        <f>HYPERLINK("#'Results'!A1", "Results")</f>
        <v>Results</v>
      </c>
    </row>
    <row r="5" spans="1: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1:21" ht="20.100000000000001" customHeight="1" x14ac:dyDescent="0.25">
      <c r="A7" s="19" t="s">
        <v>67</v>
      </c>
      <c r="D7" s="172" t="s">
        <v>616</v>
      </c>
      <c r="E7" s="172" t="str">
        <f ca="1">Common_InputFunctions.Utility_DisplayFunctionName(VEERG_5_2_1_1__1_OrganicFertiliserApplicationN2OEmissions_Result_Method1)</f>
        <v>=Fertiliser_Equations_OrganicN2O.VEERG_5_2_1_1__1_OrganicFertiliserApplicationN2OEmissions</v>
      </c>
      <c r="N7" s="172" t="s">
        <v>616</v>
      </c>
      <c r="O7" s="172"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s="16" t="str">
        <f>HYPERLINK("#'Input - Site'!A1", "Site")</f>
        <v>Site</v>
      </c>
    </row>
    <row r="9" spans="1:21" ht="20.100000000000001" customHeight="1" x14ac:dyDescent="0.25">
      <c r="A9" s="16" t="str">
        <f>HYPERLINK("#'Input - Fuel'!A1", "Fuel")</f>
        <v>Fuel</v>
      </c>
    </row>
    <row r="10" spans="1:21" ht="20.100000000000001" customHeight="1" x14ac:dyDescent="0.25">
      <c r="A10" s="16" t="str">
        <f>HYPERLINK("#'Input - Fertiliser'!A1", "Fertiliser")</f>
        <v>Fertiliser</v>
      </c>
      <c r="D10" s="27" t="s">
        <v>617</v>
      </c>
      <c r="E10" s="8" t="str" cm="1">
        <f t="array" ref="E10">Fertiliser_Equations_OrganicN2O.VEERG_5_2_1_1__1_OrganicFertiliserApplicationN2OEmissions_Variable()</f>
        <v>E_N2O</v>
      </c>
      <c r="N10" s="27" t="s">
        <v>617</v>
      </c>
      <c r="O10" s="8" t="str" cm="1">
        <f t="array" ref="O10">Fertiliser_Equations_OrganicN2O.VEERG_5_2_1_1__1_OrganicFertiliserApplicationN2OEmissions_Variable()</f>
        <v>E_N2O</v>
      </c>
    </row>
    <row r="11" spans="1:21" ht="20.100000000000001" customHeight="1" x14ac:dyDescent="0.25">
      <c r="A11" s="16" t="str">
        <f>HYPERLINK("#'Input - Common farm inputs'!A1", "Common farm inputs")</f>
        <v>Common farm inputs</v>
      </c>
      <c r="D11" s="27" t="s">
        <v>96</v>
      </c>
      <c r="E11" s="13" t="str" cm="1">
        <f t="array" ref="E11">Fertiliser_Equations_OrganicN2O.VEERG_5_2_1_1__1_OrganicFertiliserApplicationN2OEmissions_Unit()</f>
        <v>t N2O</v>
      </c>
      <c r="N11" s="27" t="s">
        <v>96</v>
      </c>
      <c r="O11" s="13" t="str" cm="1">
        <f t="array" ref="O11">Fertiliser_Equations_OrganicN2O.VEERG_5_2_1_1__1_OrganicFertiliserApplicationN2OEmissions_Unit()</f>
        <v>t N2O</v>
      </c>
    </row>
    <row r="12" spans="1:21" ht="20.100000000000001" customHeight="1" x14ac:dyDescent="0.25">
      <c r="A12" s="16" t="str">
        <f>HYPERLINK("#'Input - Processing inputs'!A1", "Processing inputs")</f>
        <v>Processing inputs</v>
      </c>
    </row>
    <row r="13" spans="1:21" ht="20.100000000000001" customHeight="1" x14ac:dyDescent="0.25">
      <c r="A13" s="16" t="str">
        <f>HYPERLINK("#'Input - Crop pasture farm input'!A1", "Crop pasture farm input")</f>
        <v>Crop pasture farm input</v>
      </c>
      <c r="D13" s="167" t="str" cm="1">
        <f t="array" ref="D13:E17">_xlfn.CHOOSECOLS(Fertiliser_Equations_OrganicN2O.VEERG_5_2_1_1__1_OrganicFertiliserApplicationN2OEmissions_Arguments(), 1, 2)</f>
        <v>MNSoil_jf</v>
      </c>
      <c r="E13" s="171" t="str">
        <v>mass of nitrogen in organic fertiliser type f applied to production system j</v>
      </c>
      <c r="F13" s="205"/>
      <c r="G13" s="166"/>
      <c r="H13" s="167" t="str" cm="1">
        <f t="array" ref="H13:I17">_xlfn.CHOOSECOLS(Fertiliser_Equations_OrganicN2O.VEERG_5_2_1_1__1_OrganicFertiliserApplicationN2OEmissions_Arguments(), 3,4)</f>
        <v>kg N</v>
      </c>
      <c r="I13" s="169" t="str">
        <v>Calculated from 5.2.1.1 (2)</v>
      </c>
      <c r="J13" s="167">
        <f>X_Cell_ManureSentOffsite_MassNitrogenManure_Method1</f>
        <v>1000</v>
      </c>
      <c r="N13" s="167" t="str" cm="1">
        <f t="array" ref="N13:O17">_xlfn.CHOOSECOLS(Fertiliser_Equations_OrganicN2O.VEERG_5_2_1_1__1_OrganicFertiliserApplicationN2OEmissions_Arguments(), 1, 2)</f>
        <v>MNSoil_jf</v>
      </c>
      <c r="O13" s="171" t="str">
        <v>mass of nitrogen in organic fertiliser type f applied to production system j</v>
      </c>
      <c r="P13" s="205"/>
      <c r="Q13" s="166"/>
      <c r="R13" s="167" t="str" cm="1">
        <f t="array" ref="R13:S17">_xlfn.CHOOSECOLS(Fertiliser_Equations_OrganicN2O.VEERG_5_2_1_1__1_OrganicFertiliserApplicationN2OEmissions_Arguments(), 3,4)</f>
        <v>kg N</v>
      </c>
      <c r="S13" s="169" t="str">
        <v>Calculated from 5.2.1.1 (2)</v>
      </c>
      <c r="T13" s="167">
        <f>X_Cell_ManureSentOffsite_MassNitrogenManure_Method2</f>
        <v>2000</v>
      </c>
    </row>
    <row r="14" spans="1:21" ht="20.100000000000001" customHeight="1" x14ac:dyDescent="0.25">
      <c r="A14" s="16" t="str">
        <f>HYPERLINK("#'Input - Hort farm Inputs'!A1", "Hort farm Inputs")</f>
        <v>Hort farm Inputs</v>
      </c>
      <c r="D14" s="167" t="str">
        <v>EF_N2Oi</v>
      </c>
      <c r="E14" s="171" t="str">
        <v>emission factor for direct nitrous oxide emissions from organic fertiliser applied to soils and aquatic systems in climate zone i</v>
      </c>
      <c r="F14" s="205"/>
      <c r="G14" s="166"/>
      <c r="H14" s="167" t="str">
        <v>kg N2O-N/kg N</v>
      </c>
      <c r="I14" s="169" t="str">
        <v>Lookup</v>
      </c>
      <c r="J14" s="167">
        <f>Common_InputFunctions.Utility_LookupValueInTableNumber(J17, Table_SourceData_Common_EFOrganicFertCropResidues[Climate Zone],Table_SourceData_Common_EFOrganicFertCropResidues[EFNi &amp; EFN2Oi])</f>
        <v>5.0000000000000001E-3</v>
      </c>
      <c r="N14" s="167" t="str">
        <v>EF_N2Oi</v>
      </c>
      <c r="O14" s="171" t="str">
        <v>emission factor for direct nitrous oxide emissions from organic fertiliser applied to soils and aquatic systems in climate zone i</v>
      </c>
      <c r="P14" s="205"/>
      <c r="Q14" s="166"/>
      <c r="R14" s="167" t="str">
        <v>kg N2O-N/kg N</v>
      </c>
      <c r="S14" s="169" t="str">
        <v>Lookup</v>
      </c>
      <c r="T14" s="167"/>
    </row>
    <row r="15" spans="1:21" ht="20.100000000000001" customHeight="1" x14ac:dyDescent="0.25">
      <c r="A15" s="16" t="str">
        <f>HYPERLINK("#'Input - Livestock farm Inputs'!A1", "Livestock farm Inputs")</f>
        <v>Livestock farm Inputs</v>
      </c>
      <c r="D15" s="167" t="str">
        <v>C_N2O</v>
      </c>
      <c r="E15" s="171" t="str">
        <v>factor to convert elemental mass of nitrous oxide to molecular mass</v>
      </c>
      <c r="F15" s="205"/>
      <c r="G15" s="166"/>
      <c r="H15" s="167" t="str">
        <v/>
      </c>
      <c r="I15" s="169" t="str">
        <v>Constant</v>
      </c>
      <c r="J15" s="167">
        <f>Common_InputFunctions.Utility_LookupValueInTableNumber("N2O",Table_GasToMolecularConversionFactor[Gas],Table_GasToMolecularConversionFactor[Conversion factor combined])</f>
        <v>1.5714285714285714</v>
      </c>
      <c r="N15" s="167" t="str">
        <v>C_N2O</v>
      </c>
      <c r="O15" s="171" t="str">
        <v>factor to convert elemental mass of nitrous oxide to molecular mass</v>
      </c>
      <c r="P15" s="205"/>
      <c r="Q15" s="166"/>
      <c r="R15" s="167" t="str">
        <v/>
      </c>
      <c r="S15" s="169" t="str">
        <v>Constant</v>
      </c>
      <c r="T15" s="167"/>
    </row>
    <row r="16" spans="1:21" ht="20.100000000000001" customHeight="1" x14ac:dyDescent="0.25">
      <c r="A16" s="16" t="str">
        <f>HYPERLINK("#'Input - Aquaculture inputs'!A1", "Aquaculture inputs")</f>
        <v>Aquaculture inputs</v>
      </c>
      <c r="D16" s="167" t="str">
        <v>j</v>
      </c>
      <c r="E16" s="171" t="str">
        <v>Production system</v>
      </c>
      <c r="F16" s="205"/>
      <c r="G16" s="166"/>
      <c r="H16" s="167" t="str">
        <v/>
      </c>
      <c r="I16" s="168" t="str">
        <v>Input</v>
      </c>
      <c r="J16" s="167" t="str">
        <f>X_Cell_ManureSentOffsite_ManureProductionSystem</f>
        <v>Crop</v>
      </c>
      <c r="N16" s="167" t="str">
        <v>j</v>
      </c>
      <c r="O16" s="171" t="str">
        <v>Production system</v>
      </c>
      <c r="P16" s="205"/>
      <c r="Q16" s="166"/>
      <c r="R16" s="167" t="str">
        <v/>
      </c>
      <c r="S16" s="168" t="str">
        <v>Input</v>
      </c>
      <c r="T16" s="167"/>
    </row>
    <row r="17" spans="1:20" ht="20.100000000000001" customHeight="1" x14ac:dyDescent="0.25">
      <c r="A17" s="16" t="str">
        <f>HYPERLINK("#'Input - Beef cattle purchases'!A1", "Beef cattle purchases")</f>
        <v>Beef cattle purchases</v>
      </c>
      <c r="D17" s="167" t="str">
        <v>i</v>
      </c>
      <c r="E17" s="171" t="str">
        <v>Wet or dry climate zone</v>
      </c>
      <c r="F17" s="205"/>
      <c r="G17" s="166"/>
      <c r="H17" s="167" t="str">
        <v/>
      </c>
      <c r="I17" s="168" t="str">
        <v>Input</v>
      </c>
      <c r="J17" s="167" t="str">
        <f>X_Cell_Site_WetOrDryClimateZone</f>
        <v>Dry climate zone</v>
      </c>
      <c r="N17" s="167" t="str">
        <v>i</v>
      </c>
      <c r="O17" s="171" t="str">
        <v>Wet or dry climate zone</v>
      </c>
      <c r="P17" s="205"/>
      <c r="Q17" s="166"/>
      <c r="R17" s="167" t="str">
        <v/>
      </c>
      <c r="S17" s="168" t="str">
        <v>Input</v>
      </c>
      <c r="T17" s="167"/>
    </row>
    <row r="18" spans="1:20" ht="20.100000000000001" customHeight="1" x14ac:dyDescent="0.25">
      <c r="A18" s="16" t="str">
        <f>HYPERLINK("#'Input - Dairy cattle purchases'!A1", "Dairy cattle purchases")</f>
        <v>Dairy cattle purchases</v>
      </c>
    </row>
    <row r="19" spans="1:20" ht="20.100000000000001" customHeight="1" x14ac:dyDescent="0.25">
      <c r="A19" s="16" t="str">
        <f>HYPERLINK("#'Input - Pig purchases'!A1", "Pig purchases")</f>
        <v>Pig purchases</v>
      </c>
      <c r="D19" s="176" t="s">
        <v>736</v>
      </c>
      <c r="E19" s="177" cm="1">
        <f t="array" ref="E19">Fertiliser_Equations_OrganicN2O.VEERG_5_2_1_1__1_OrganicFertiliserApplicationN2OEmissions(J13,J14,J15)</f>
        <v>7.8571428571428577E-3</v>
      </c>
      <c r="F19" s="178" t="str">
        <f>$E$11</f>
        <v>t N2O</v>
      </c>
      <c r="N19" s="176" t="s">
        <v>736</v>
      </c>
      <c r="O19" s="177" cm="1">
        <f t="array" ref="O19">Fertiliser_Equations_OrganicN2O.VEERG_5_2_1_1__1_OrganicFertiliserApplicationN2OEmissions(T13,J14,J15)</f>
        <v>1.5714285714285715E-2</v>
      </c>
      <c r="P19" s="178" t="str">
        <f>$E$11</f>
        <v>t N2O</v>
      </c>
    </row>
    <row r="20" spans="1:20" ht="20.100000000000001" customHeight="1" x14ac:dyDescent="0.25">
      <c r="A20" s="16" t="str">
        <f>HYPERLINK("#'Input - Poultry purchases'!A1", "Poultry purchases")</f>
        <v>Poultry purchases</v>
      </c>
    </row>
    <row r="21" spans="1:20" ht="20.100000000000001" customHeight="1" x14ac:dyDescent="0.25">
      <c r="A21" s="16" t="str">
        <f>HYPERLINK("#'Input - Freight'!A1", "Freight")</f>
        <v>Freight</v>
      </c>
    </row>
    <row r="22" spans="1:20" ht="20.100000000000001" customHeight="1" x14ac:dyDescent="0.25">
      <c r="A22" s="16" t="str">
        <f>HYPERLINK("#'Input - Solid waste'!A1", "Solid waste")</f>
        <v>Solid waste</v>
      </c>
    </row>
    <row r="23" spans="1:20" ht="20.100000000000001" customHeight="1" x14ac:dyDescent="0.25">
      <c r="A23" s="16" t="str">
        <f>HYPERLINK("#'Input - Manure sent off-site'!A1", "Manure sent off-site")</f>
        <v>Manure sent off-site</v>
      </c>
    </row>
    <row r="24" spans="1:20" ht="20.100000000000001" customHeight="1" x14ac:dyDescent="0.25">
      <c r="A24" s="16" t="str">
        <f>HYPERLINK("#'Input - Electricity'!A1", "Electricity")</f>
        <v>Electricity</v>
      </c>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1:20" ht="20.100000000000001" customHeight="1" x14ac:dyDescent="0.25">
      <c r="D26" s="172" t="s">
        <v>616</v>
      </c>
      <c r="E26" s="172" t="str" cm="1">
        <f t="array" aca="1" ref="E26" ca="1">Common_InputFunctions.Utility_DisplayFunctionName(E35)</f>
        <v>=Fertiliser_Equations_AtmosphericDeposition.VEERG_5_4_1_3__2_MassOfNitrogenVolatilisedFromOrganicFertiliser</v>
      </c>
      <c r="N26" s="172" t="s">
        <v>616</v>
      </c>
      <c r="O26" s="172" t="str" cm="1">
        <f t="array" aca="1" ref="O26" ca="1">Common_InputFunctions.Utility_DisplayFunctionName(O35)</f>
        <v>=Fertiliser_Equations_AtmosphericDeposition.VEERG_5_4_1_3__2_MassOfNitrogenVolatilisedFromOrganicFertiliser</v>
      </c>
    </row>
    <row r="27" spans="1:20" ht="20.100000000000001" customHeight="1" x14ac:dyDescent="0.25">
      <c r="A27" s="21" t="s">
        <v>77</v>
      </c>
    </row>
    <row r="28" spans="1:20" ht="20.100000000000001" customHeight="1" x14ac:dyDescent="0.25">
      <c r="A28" s="16" t="str">
        <f>HYPERLINK("#'15 Scope 3'!A1", "15 Scope 3")</f>
        <v>15 Scope 3</v>
      </c>
    </row>
    <row r="29" spans="1:20" ht="20.100000000000001" customHeight="1" x14ac:dyDescent="0.25">
      <c r="A29" s="16" t="str">
        <f>HYPERLINK("#'10.1.1-2 Solid waste treatment'!A1", "10.1.1-2 Solid waste treatment")</f>
        <v>10.1.1-2 Solid waste treatment</v>
      </c>
      <c r="D29" s="27" t="s">
        <v>617</v>
      </c>
      <c r="E29" s="8" t="str" cm="1">
        <f t="array" ref="E29">Fertiliser_Equations_AtmosphericDeposition.VEERG_5_4_1_3__2_MassOfNitrogenVolatilisedFromOrganicFertiliser_Variable()</f>
        <v>M_volorganicjf</v>
      </c>
      <c r="N29" s="27" t="s">
        <v>617</v>
      </c>
      <c r="O29" s="8" t="str" cm="1">
        <f t="array" ref="O29">Fertiliser_Equations_AtmosphericDeposition.VEERG_5_4_1_3__2_MassOfNitrogenVolatilisedFromOrganicFertiliser_Variable()</f>
        <v>M_volorganicjf</v>
      </c>
    </row>
    <row r="30" spans="1:20" ht="20.100000000000001" customHeight="1" x14ac:dyDescent="0.25">
      <c r="A30" s="180" t="str">
        <f>HYPERLINK("#'Calcs - Manure sent off-site'!A1", "Calcs - Manure sent off-site")</f>
        <v>Calcs - Manure sent off-site</v>
      </c>
      <c r="D30" s="27" t="s">
        <v>96</v>
      </c>
      <c r="E30" s="13" t="str" cm="1">
        <f t="array" ref="E30">Fertiliser_Equations_AtmosphericDeposition.VEERG_5_4_1_3__2_MassOfNitrogenVolatilisedFromOrganicFertiliser_Unit()</f>
        <v>kg N</v>
      </c>
      <c r="N30" s="27" t="s">
        <v>96</v>
      </c>
      <c r="O30" s="13" t="str" cm="1">
        <f t="array" ref="O30">Fertiliser_Equations_AtmosphericDeposition.VEERG_5_4_1_3__2_MassOfNitrogenVolatilisedFromOrganicFertiliser_Unit()</f>
        <v>kg N</v>
      </c>
    </row>
    <row r="31" spans="1:20" ht="20.100000000000001" customHeight="1" x14ac:dyDescent="0.25">
      <c r="A31" s="16" t="str">
        <f>HYPERLINK("#'8.1.1.1-2 Transport fuel'!A1", "8.1.1.1-2 Transport fuel")</f>
        <v>8.1.1.1-2 Transport fuel</v>
      </c>
    </row>
    <row r="32" spans="1:20" ht="20.100000000000001" customHeight="1" x14ac:dyDescent="0.25">
      <c r="A32" s="16" t="str">
        <f>HYPERLINK("#'8.2.1.1-2 Stationary fuel'!A1", "8.2.1.1-2 Stationary fuel")</f>
        <v>8.2.1.1-2 Stationary fuel</v>
      </c>
      <c r="D32" s="167" t="str" cm="1">
        <f t="array" ref="D32:E33">_xlfn.CHOOSECOLS(Fertiliser_Equations_AtmosphericDeposition.VEERG_5_4_1_3__2_MassOfNitrogenVolatilisedFromOrganicFertiliser_Arguments(), 1, 2)</f>
        <v>MNSoil_jf</v>
      </c>
      <c r="E32" s="167" t="str">
        <v>mass of nitrogen in organic fertiliser type f applied to production system j</v>
      </c>
      <c r="F32" s="167"/>
      <c r="G32" s="167" t="str" cm="1">
        <f t="array" ref="G32:H33">_xlfn.CHOOSECOLS(Fertiliser_Equations_AtmosphericDeposition.VEERG_5_4_1_3__2_MassOfNitrogenVolatilisedFromOrganicFertiliser_Arguments(), 3,4)</f>
        <v>kg N</v>
      </c>
      <c r="H32" s="169" t="str">
        <v>Calculated from 5.2.1.1 (2)</v>
      </c>
      <c r="I32" s="167">
        <f>X_Cell_ManureSentOffsite_MassNitrogenManure_Method1</f>
        <v>1000</v>
      </c>
      <c r="N32" s="167" t="str" cm="1">
        <f t="array" ref="N32:O33">_xlfn.CHOOSECOLS(Fertiliser_Equations_AtmosphericDeposition.VEERG_5_4_1_3__2_MassOfNitrogenVolatilisedFromOrganicFertiliser_Arguments(), 1, 2)</f>
        <v>MNSoil_jf</v>
      </c>
      <c r="O32" s="167" t="str">
        <v>mass of nitrogen in organic fertiliser type f applied to production system j</v>
      </c>
      <c r="P32" s="167"/>
      <c r="Q32" s="167" t="str" cm="1">
        <f t="array" ref="Q32:R33">_xlfn.CHOOSECOLS(Fertiliser_Equations_AtmosphericDeposition.VEERG_5_4_1_3__2_MassOfNitrogenVolatilisedFromOrganicFertiliser_Arguments(), 3,4)</f>
        <v>kg N</v>
      </c>
      <c r="R32" s="169" t="str">
        <v>Calculated from 5.2.1.1 (2)</v>
      </c>
      <c r="S32" s="167">
        <f>X_Cell_ManureSentOffsite_MassNitrogenManure_Method2</f>
        <v>2000</v>
      </c>
    </row>
    <row r="33" spans="1:19" ht="20.100000000000001" customHeight="1" x14ac:dyDescent="0.25">
      <c r="D33" s="167" t="str">
        <v>FracGASM_soil</v>
      </c>
      <c r="E33" s="167" t="str">
        <v>fraction of organic fertiliser N that volatilises</v>
      </c>
      <c r="F33" s="167"/>
      <c r="G33" s="167" t="str">
        <v>(kg NH3-N + NOx-N)/kg N</v>
      </c>
      <c r="H33" s="169" t="str">
        <v>Constant</v>
      </c>
      <c r="I33" s="167">
        <f>Fertiliser_FracGASMSoil_Data</f>
        <v>0.21</v>
      </c>
      <c r="N33" s="167" t="str">
        <v>FracGASM_soil</v>
      </c>
      <c r="O33" s="167" t="str">
        <v>fraction of organic fertiliser N that volatilises</v>
      </c>
      <c r="P33" s="167"/>
      <c r="Q33" s="167" t="str">
        <v>(kg NH3-N + NOx-N)/kg N</v>
      </c>
      <c r="R33" s="169" t="str">
        <v>Constant</v>
      </c>
      <c r="S33" s="167"/>
    </row>
    <row r="34" spans="1:19" ht="20.100000000000001" customHeight="1" x14ac:dyDescent="0.25"/>
    <row r="35" spans="1:19" ht="20.100000000000001" customHeight="1" x14ac:dyDescent="0.25">
      <c r="A35" s="222" t="s">
        <v>78</v>
      </c>
      <c r="D35" s="174" t="s">
        <v>738</v>
      </c>
      <c r="E35" s="98" cm="1">
        <f t="array" ref="E35">Fertiliser_Equations_AtmosphericDeposition.VEERG_5_4_1_3__2_MassOfNitrogenVolatilisedFromOrganicFertiliser(I32,I33)</f>
        <v>210</v>
      </c>
      <c r="F35" s="175" t="str">
        <f>E30</f>
        <v>kg N</v>
      </c>
      <c r="N35" s="174" t="s">
        <v>738</v>
      </c>
      <c r="O35" s="98" cm="1">
        <f t="array" ref="O35">Fertiliser_Equations_AtmosphericDeposition.VEERG_5_4_1_3__2_MassOfNitrogenVolatilisedFromOrganicFertiliser(S32,I33)</f>
        <v>420</v>
      </c>
      <c r="P35" s="175" t="str">
        <f>O30</f>
        <v>kg N</v>
      </c>
    </row>
    <row r="36" spans="1:19" ht="20.100000000000001" customHeight="1" x14ac:dyDescent="0.25">
      <c r="A36" s="16" t="str">
        <f>HYPERLINK("#'Constants - Scope 3'!A1", "Constants - Scope 3")</f>
        <v>Constants - Scope 3</v>
      </c>
    </row>
    <row r="37" spans="1:19" ht="20.100000000000001" customHeight="1" x14ac:dyDescent="0.25">
      <c r="A37" s="16" t="str">
        <f>HYPERLINK("#'Constants - Solid Waste'!A1", "Constants - Solid Waste")</f>
        <v>Constants - Solid Waste</v>
      </c>
    </row>
    <row r="38" spans="1:19" ht="20.100000000000001" customHeight="1" x14ac:dyDescent="0.25">
      <c r="A38" s="16" t="str">
        <f>HYPERLINK("#'Constants - Fuel'!A1", "Constants - Fuel")</f>
        <v>Constants - Fuel</v>
      </c>
    </row>
    <row r="39" spans="1:19" ht="20.100000000000001" customHeight="1" x14ac:dyDescent="0.25">
      <c r="A39" s="16" t="str">
        <f>HYPERLINK("#'Constants - Poultry'!A1", "Constants - Poultry")</f>
        <v>Constants - Poultry</v>
      </c>
    </row>
    <row r="40" spans="1:19" ht="20.100000000000001" customHeight="1" x14ac:dyDescent="0.25">
      <c r="A40" s="16" t="str">
        <f>HYPERLINK("#'Constants - Swine'!A1", "Constants - Swine")</f>
        <v>Constants - Swine</v>
      </c>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A41" s="16" t="str">
        <f>HYPERLINK("#'Constants - Dairy'!A1", "Constants - Dairy")</f>
        <v>Constants - Dairy</v>
      </c>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1:19" ht="20.100000000000001" customHeight="1" x14ac:dyDescent="0.25">
      <c r="A42" s="16" t="str">
        <f>HYPERLINK("#'Constants - Pasture Beef'!A1", "Constants - Pasture Beef")</f>
        <v>Constants - Pasture Beef</v>
      </c>
      <c r="D42" s="172" t="s">
        <v>616</v>
      </c>
      <c r="E42" s="172" t="str">
        <f ca="1">Common_InputFunctions.Utility_DisplayFunctionName(VEERG_5_4_1_3__1_OrganicFertiliserAtmosphericDepositionN2OEmissions_Result_Method1)</f>
        <v>=Fertiliser_Equations_AtmosphericDeposition.VEERG_5_4_1_3__1_OrganicFertiliserAtmosphericDepositionN2OEmissions</v>
      </c>
      <c r="N42" s="172" t="s">
        <v>616</v>
      </c>
      <c r="O42" s="172"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c r="A43" s="16" t="str">
        <f>HYPERLINK("#'Constants - Common Livestock'!A1", "Constants - Common Livestock")</f>
        <v>Constants - Common Livestock</v>
      </c>
    </row>
    <row r="44" spans="1:19" ht="20.100000000000001" customHeight="1" x14ac:dyDescent="0.25">
      <c r="A44" s="16" t="str">
        <f>HYPERLINK("#'Constants - Fertiliser'!A1", "Constants - Fertiliser")</f>
        <v>Constants - Fertiliser</v>
      </c>
    </row>
    <row r="45" spans="1:19" ht="20.100000000000001" customHeight="1" x14ac:dyDescent="0.25">
      <c r="A45" s="16" t="str">
        <f>HYPERLINK("#'Constants - Electricity'!A1", "Constants - Electricity")</f>
        <v>Constants - Electricity</v>
      </c>
      <c r="D45" s="27" t="s">
        <v>617</v>
      </c>
      <c r="E45" s="8" t="str" cm="1">
        <f t="array" ref="E45">Fertiliser_Equations_AtmosphericDeposition.VEERG_5_4_1_3__1_OrganicFertiliserAtmosphericDepositionN2OEmissions_Variable()</f>
        <v>E_adorganic</v>
      </c>
      <c r="N45" s="27" t="s">
        <v>617</v>
      </c>
      <c r="O45" s="8" t="str" cm="1">
        <f t="array" ref="O45">Fertiliser_Equations_AtmosphericDeposition.VEERG_5_4_1_3__1_OrganicFertiliserAtmosphericDepositionN2OEmissions_Variable()</f>
        <v>E_adorganic</v>
      </c>
    </row>
    <row r="46" spans="1:19" ht="20.100000000000001" customHeight="1" x14ac:dyDescent="0.25">
      <c r="A46" s="16" t="str">
        <f>HYPERLINK("#'Constants - Common'!A1", "Constants - Common")</f>
        <v>Constants - Common</v>
      </c>
      <c r="D46" s="27" t="s">
        <v>96</v>
      </c>
      <c r="E46" s="13" t="str" cm="1">
        <f t="array" ref="E46">Fertiliser_Equations_AtmosphericDeposition.VEERG_5_4_1_3__1_OrganicFertiliserAtmosphericDepositionN2OEmissions_Unit()</f>
        <v>t N2O</v>
      </c>
      <c r="N46" s="27" t="s">
        <v>96</v>
      </c>
      <c r="O46" s="13" t="str" cm="1">
        <f t="array" ref="O46">Fertiliser_Equations_AtmosphericDeposition.VEERG_5_4_1_3__1_OrganicFertiliserAtmosphericDepositionN2OEmissions_Unit()</f>
        <v>t N2O</v>
      </c>
    </row>
    <row r="47" spans="1:19" ht="20.100000000000001" customHeight="1" x14ac:dyDescent="0.25"/>
    <row r="48" spans="1:19" ht="20.100000000000001" customHeight="1" x14ac:dyDescent="0.25">
      <c r="D48" s="167" t="str" cm="1">
        <f t="array" ref="D48:E53">_xlfn.CHOOSECOLS(Fertiliser_Equations_AtmosphericDeposition.VEERG_5_4_1_3__1_OrganicFertiliserAtmosphericDepositionN2OEmissions_Arguments(), 1, 2)</f>
        <v>M_volorganicjf</v>
      </c>
      <c r="E48" s="171" t="str">
        <v>mass of nitrogen volatilised from organic fertiliser applied to production system</v>
      </c>
      <c r="F48" s="166"/>
      <c r="G48" s="167" t="str" cm="1">
        <f t="array" ref="G48:H53">_xlfn.CHOOSECOLS(Fertiliser_Equations_AtmosphericDeposition.VEERG_5_4_1_3__1_OrganicFertiliserAtmosphericDepositionN2OEmissions_Arguments(), 3,4)</f>
        <v>kg N</v>
      </c>
      <c r="H48" s="169" t="str">
        <v>Calculated from 5.4.1.3 (2)</v>
      </c>
      <c r="I48" s="167">
        <f>E35</f>
        <v>210</v>
      </c>
      <c r="N48" s="167" t="str" cm="1">
        <f t="array" ref="N48:O53">_xlfn.CHOOSECOLS(Fertiliser_Equations_AtmosphericDeposition.VEERG_5_4_1_3__1_OrganicFertiliserAtmosphericDepositionN2OEmissions_Arguments(), 1, 2)</f>
        <v>M_volorganicjf</v>
      </c>
      <c r="O48" s="171" t="str">
        <v>mass of nitrogen volatilised from organic fertiliser applied to production system</v>
      </c>
      <c r="P48" s="166"/>
      <c r="Q48" s="167" t="str" cm="1">
        <f t="array" ref="Q48:R53">_xlfn.CHOOSECOLS(Fertiliser_Equations_AtmosphericDeposition.VEERG_5_4_1_3__1_OrganicFertiliserAtmosphericDepositionN2OEmissions_Arguments(), 3,4)</f>
        <v>kg N</v>
      </c>
      <c r="R48" s="169" t="str">
        <v>Calculated from 5.4.1.3 (2)</v>
      </c>
      <c r="S48" s="167">
        <f>O35</f>
        <v>420</v>
      </c>
    </row>
    <row r="49" spans="4:19" ht="20.100000000000001" customHeight="1" x14ac:dyDescent="0.25">
      <c r="D49" s="167" t="str">
        <v>EF_N2Oj</v>
      </c>
      <c r="E49" s="171" t="str">
        <v>emission factor for atmospheric deposition in production system j</v>
      </c>
      <c r="F49" s="166"/>
      <c r="G49" s="167" t="str">
        <v>kg N2O-N/kg N</v>
      </c>
      <c r="H49" s="169" t="str">
        <v>Constant</v>
      </c>
      <c r="I49" s="167">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67" t="str">
        <v>EF_N2Oj</v>
      </c>
      <c r="O49" s="171" t="str">
        <v>emission factor for atmospheric deposition in production system j</v>
      </c>
      <c r="P49" s="166"/>
      <c r="Q49" s="167" t="str">
        <v>kg N2O-N/kg N</v>
      </c>
      <c r="R49" s="169" t="str">
        <v>Constant</v>
      </c>
      <c r="S49" s="167"/>
    </row>
    <row r="50" spans="4:19" ht="20.100000000000001" customHeight="1" x14ac:dyDescent="0.25">
      <c r="D50" s="167" t="str">
        <v>C_N2O</v>
      </c>
      <c r="E50" s="171" t="str">
        <v>factor to convert elemental mass of nitrous oxide to molecular mass</v>
      </c>
      <c r="F50" s="166"/>
      <c r="G50" s="167" t="str">
        <v/>
      </c>
      <c r="H50" s="169" t="str">
        <v>Constant</v>
      </c>
      <c r="I50" s="206">
        <f>Common_InputFunctions.Utility_LookupValueInTableNumber("N2O",Table_GasToMolecularConversionFactor[Gas],Table_GasToMolecularConversionFactor[Conversion factor combined])</f>
        <v>1.5714285714285714</v>
      </c>
      <c r="N50" s="167" t="str">
        <v>C_N2O</v>
      </c>
      <c r="O50" s="171" t="str">
        <v>factor to convert elemental mass of nitrous oxide to molecular mass</v>
      </c>
      <c r="P50" s="166"/>
      <c r="Q50" s="167" t="str">
        <v/>
      </c>
      <c r="R50" s="169" t="str">
        <v>Constant</v>
      </c>
      <c r="S50" s="206"/>
    </row>
    <row r="51" spans="4:19" ht="20.100000000000001" customHeight="1" x14ac:dyDescent="0.25">
      <c r="D51" s="167" t="str">
        <v>j</v>
      </c>
      <c r="E51" s="171" t="str">
        <v>Production system</v>
      </c>
      <c r="F51" s="166"/>
      <c r="G51" s="167" t="str">
        <v/>
      </c>
      <c r="H51" s="168" t="str">
        <v>Input</v>
      </c>
      <c r="I51" s="167" t="str">
        <f>X_Cell_ManureSentOffsite_ManureProductionSystem</f>
        <v>Crop</v>
      </c>
      <c r="N51" s="167" t="str">
        <v>j</v>
      </c>
      <c r="O51" s="171" t="str">
        <v>Production system</v>
      </c>
      <c r="P51" s="166"/>
      <c r="Q51" s="167" t="str">
        <v/>
      </c>
      <c r="R51" s="168" t="str">
        <v>Input</v>
      </c>
      <c r="S51" s="167"/>
    </row>
    <row r="52" spans="4:19" ht="20.100000000000001" customHeight="1" x14ac:dyDescent="0.25">
      <c r="D52" s="167" t="str">
        <v>ir</v>
      </c>
      <c r="E52" s="171" t="str">
        <v>irrigation method</v>
      </c>
      <c r="F52" s="166"/>
      <c r="G52" s="167" t="str">
        <v/>
      </c>
      <c r="H52" s="168" t="str">
        <v>Input</v>
      </c>
      <c r="I52" s="167" t="str">
        <f>X_Cell_ManureSentOffsite_ManureIrrigationMethod</f>
        <v>Sprinkler irrigation</v>
      </c>
      <c r="N52" s="167" t="str">
        <v>ir</v>
      </c>
      <c r="O52" s="171" t="str">
        <v>irrigation method</v>
      </c>
      <c r="P52" s="166"/>
      <c r="Q52" s="167" t="str">
        <v/>
      </c>
      <c r="R52" s="168" t="str">
        <v>Input</v>
      </c>
      <c r="S52" s="167"/>
    </row>
    <row r="53" spans="4:19" ht="20.100000000000001" customHeight="1" x14ac:dyDescent="0.25">
      <c r="D53" s="167" t="str">
        <v>r</v>
      </c>
      <c r="E53" s="171" t="str">
        <v>rainfall region</v>
      </c>
      <c r="F53" s="166"/>
      <c r="G53" s="167" t="str">
        <v/>
      </c>
      <c r="H53" s="168" t="str">
        <v>Input</v>
      </c>
      <c r="I53" s="167" t="str">
        <f>X_Cell_Site_RainfallZone</f>
        <v>Low rainfall</v>
      </c>
      <c r="N53" s="167" t="str">
        <v>r</v>
      </c>
      <c r="O53" s="171" t="str">
        <v>rainfall region</v>
      </c>
      <c r="P53" s="166"/>
      <c r="Q53" s="167" t="str">
        <v/>
      </c>
      <c r="R53" s="168" t="str">
        <v>Input</v>
      </c>
      <c r="S53" s="167"/>
    </row>
    <row r="54" spans="4:19" ht="20.100000000000001" customHeight="1" x14ac:dyDescent="0.25"/>
    <row r="55" spans="4:19" ht="20.100000000000001" customHeight="1" x14ac:dyDescent="0.25">
      <c r="D55" s="176" t="s">
        <v>752</v>
      </c>
      <c r="E55" s="177" cm="1">
        <f t="array" ref="E55">Fertiliser_Equations_AtmosphericDeposition.VEERG_5_4_1_3__1_OrganicFertiliserAtmosphericDepositionN2OEmissions(I48,I49,I50)</f>
        <v>2.31E-3</v>
      </c>
      <c r="F55" s="178" t="str">
        <f>$E$46</f>
        <v>t N2O</v>
      </c>
      <c r="N55" s="176" t="s">
        <v>752</v>
      </c>
      <c r="O55" s="177" cm="1">
        <f t="array" ref="O55">Fertiliser_Equations_AtmosphericDeposition.VEERG_5_4_1_3__1_OrganicFertiliserAtmosphericDepositionN2OEmissions(S48,I49,I50)</f>
        <v>4.62E-3</v>
      </c>
      <c r="P55" s="178"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72" t="s">
        <v>616</v>
      </c>
      <c r="E61" s="172" t="str" cm="1">
        <f t="array" aca="1" ref="E61" ca="1">Common_InputFunctions.Utility_DisplayFunctionName(E74)</f>
        <v>=Fertiliser_Equations_LeachingAndRunoff.VEERG_5_5_1_1__3_MassOfNitrogenLeachedFromOrganicFertiliser</v>
      </c>
      <c r="N61" s="172" t="s">
        <v>616</v>
      </c>
      <c r="O61" s="172"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7" t="s">
        <v>617</v>
      </c>
      <c r="E64" s="8" t="str" cm="1">
        <f t="array" ref="E64">Fertiliser_Equations_LeachingAndRunoff.VEERG_5_5_1_1__3_MassOfNitrogenLeachedFromOrganicFertiliser_Variable()</f>
        <v>M_leachorganicj</v>
      </c>
      <c r="N64" s="27" t="s">
        <v>617</v>
      </c>
      <c r="O64" s="8" t="str" cm="1">
        <f t="array" ref="O64">Fertiliser_Equations_LeachingAndRunoff.VEERG_5_5_1_1__3_MassOfNitrogenLeachedFromOrganicFertiliser_Variable()</f>
        <v>M_leachorganicj</v>
      </c>
    </row>
    <row r="65" spans="4:19" ht="20.100000000000001" customHeight="1" x14ac:dyDescent="0.25">
      <c r="D65" s="27" t="s">
        <v>96</v>
      </c>
      <c r="E65" s="13" t="str" cm="1">
        <f t="array" ref="E65">Fertiliser_Equations_LeachingAndRunoff.VEERG_5_5_1_1__3_MassOfNitrogenLeachedFromOrganicFertiliser_Unit()</f>
        <v>kg N</v>
      </c>
      <c r="N65" s="27" t="s">
        <v>96</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67" t="str" cm="1">
        <f t="array" ref="D67:E72">_xlfn.CHOOSECOLS(Fertiliser_Equations_LeachingAndRunoff.VEERG_5_5_1_1__3_MassOfNitrogenLeachedFromOrganicFertiliser_Arguments(), 1, 2)</f>
        <v>MNSoil_jf</v>
      </c>
      <c r="E67" s="171" t="str">
        <v>mass of nitrogen in organic fertiliser</v>
      </c>
      <c r="F67" s="166"/>
      <c r="G67" s="167" t="str" cm="1">
        <f t="array" ref="G67:H72">_xlfn.CHOOSECOLS(Fertiliser_Equations_LeachingAndRunoff.VEERG_5_5_1_1__3_MassOfNitrogenLeachedFromOrganicFertiliser_Arguments(), 3,4)</f>
        <v>kg N</v>
      </c>
      <c r="H67" s="169" t="str">
        <v>Calculated from 5.2.1.1 (2)</v>
      </c>
      <c r="I67" s="167">
        <f>X_Cell_ManureSentOffsite_MassNitrogenManure_Method1</f>
        <v>1000</v>
      </c>
      <c r="N67" s="167" t="str" cm="1">
        <f t="array" ref="N67:O72">_xlfn.CHOOSECOLS(Fertiliser_Equations_LeachingAndRunoff.VEERG_5_5_1_1__3_MassOfNitrogenLeachedFromOrganicFertiliser_Arguments(), 1, 2)</f>
        <v>MNSoil_jf</v>
      </c>
      <c r="O67" s="171" t="str">
        <v>mass of nitrogen in organic fertiliser</v>
      </c>
      <c r="P67" s="166"/>
      <c r="Q67" s="167" t="str" cm="1">
        <f t="array" ref="Q67:R72">_xlfn.CHOOSECOLS(Fertiliser_Equations_LeachingAndRunoff.VEERG_5_5_1_1__3_MassOfNitrogenLeachedFromOrganicFertiliser_Arguments(), 3,4)</f>
        <v>kg N</v>
      </c>
      <c r="R67" s="169" t="str">
        <v>Calculated from 5.2.1.1 (2)</v>
      </c>
      <c r="S67" s="167">
        <f>X_Cell_ManureSentOffsite_MassNitrogenManure_Method2</f>
        <v>2000</v>
      </c>
    </row>
    <row r="68" spans="4:19" ht="20.100000000000001" customHeight="1" x14ac:dyDescent="0.25">
      <c r="D68" s="167" t="str">
        <v>FracWETj</v>
      </c>
      <c r="E68" s="171" t="str">
        <v>fraction of N available for leaching and runoff</v>
      </c>
      <c r="F68" s="166"/>
      <c r="G68" s="167" t="str">
        <v>fraction</v>
      </c>
      <c r="H68" s="169" t="str">
        <v>Constant</v>
      </c>
      <c r="I68" s="167">
        <f>Common_InputFunctions.CommonCropping_GetFracWET(I70,I72,Table_SourceData_FracWET[Is in leaching zone],Table_SourceData_FracWET[FracWET],Table_SourceData_FracWETIrrigation[Irrigation type i],Table_SourceData_FracWETIrrigation[FracWET])</f>
        <v>1</v>
      </c>
      <c r="N68" s="167" t="str">
        <v>FracWETj</v>
      </c>
      <c r="O68" s="171" t="str">
        <v>fraction of N available for leaching and runoff</v>
      </c>
      <c r="P68" s="166"/>
      <c r="Q68" s="167" t="str">
        <v>fraction</v>
      </c>
      <c r="R68" s="169" t="str">
        <v>Constant</v>
      </c>
      <c r="S68" s="167"/>
    </row>
    <row r="69" spans="4:19" ht="20.100000000000001" customHeight="1" x14ac:dyDescent="0.25">
      <c r="D69" s="167" t="str">
        <v>FracLEACH</v>
      </c>
      <c r="E69" s="171" t="str">
        <v>fraction of N that is lost through leaching and runoff</v>
      </c>
      <c r="F69" s="166"/>
      <c r="G69" s="167" t="str">
        <v>fraction</v>
      </c>
      <c r="H69" s="169" t="str">
        <v>Constant</v>
      </c>
      <c r="I69" s="167">
        <f>Fertiliser_FracLEACH_Data</f>
        <v>0.24</v>
      </c>
      <c r="N69" s="167" t="str">
        <v>FracLEACH</v>
      </c>
      <c r="O69" s="171" t="str">
        <v>fraction of N that is lost through leaching and runoff</v>
      </c>
      <c r="P69" s="166"/>
      <c r="Q69" s="167" t="str">
        <v>fraction</v>
      </c>
      <c r="R69" s="169" t="str">
        <v>Constant</v>
      </c>
      <c r="S69" s="167"/>
    </row>
    <row r="70" spans="4:19" ht="20.100000000000001" customHeight="1" x14ac:dyDescent="0.25">
      <c r="D70" s="167" t="str">
        <v>z</v>
      </c>
      <c r="E70" s="171" t="str">
        <v>location in leaching zone</v>
      </c>
      <c r="F70" s="166"/>
      <c r="G70" s="167" t="str">
        <v/>
      </c>
      <c r="H70" s="168" t="str">
        <v>Input</v>
      </c>
      <c r="I70" s="167" t="str">
        <f>X_Cell_Site_LeachingZone</f>
        <v>NO - Not in leaching zone</v>
      </c>
      <c r="N70" s="167" t="str">
        <v>z</v>
      </c>
      <c r="O70" s="171" t="str">
        <v>location in leaching zone</v>
      </c>
      <c r="P70" s="166"/>
      <c r="Q70" s="167" t="str">
        <v/>
      </c>
      <c r="R70" s="168" t="str">
        <v>Input</v>
      </c>
      <c r="S70" s="167"/>
    </row>
    <row r="71" spans="4:19" ht="20.100000000000001" customHeight="1" x14ac:dyDescent="0.25">
      <c r="D71" s="167" t="str">
        <v>j</v>
      </c>
      <c r="E71" s="171" t="str">
        <v>production system</v>
      </c>
      <c r="F71" s="166"/>
      <c r="G71" s="167" t="str">
        <v/>
      </c>
      <c r="H71" s="168" t="str">
        <v>Input</v>
      </c>
      <c r="I71" s="167" t="str">
        <f>X_Cell_ManureSentOffsite_ManureProductionSystem</f>
        <v>Crop</v>
      </c>
      <c r="N71" s="167" t="str">
        <v>j</v>
      </c>
      <c r="O71" s="171" t="str">
        <v>production system</v>
      </c>
      <c r="P71" s="166"/>
      <c r="Q71" s="167" t="str">
        <v/>
      </c>
      <c r="R71" s="168" t="str">
        <v>Input</v>
      </c>
      <c r="S71" s="167"/>
    </row>
    <row r="72" spans="4:19" ht="20.100000000000001" customHeight="1" x14ac:dyDescent="0.25">
      <c r="D72" s="167" t="str">
        <v>ir</v>
      </c>
      <c r="E72" s="171" t="str">
        <v>irrigation method</v>
      </c>
      <c r="F72" s="166"/>
      <c r="G72" s="167" t="str">
        <v/>
      </c>
      <c r="H72" s="168" t="str">
        <v>Input</v>
      </c>
      <c r="I72" s="167" t="str">
        <f>X_Cell_ManureSentOffsite_ManureIrrigationMethod</f>
        <v>Sprinkler irrigation</v>
      </c>
      <c r="N72" s="167" t="str">
        <v>ir</v>
      </c>
      <c r="O72" s="171" t="str">
        <v>irrigation method</v>
      </c>
      <c r="P72" s="166"/>
      <c r="Q72" s="167" t="str">
        <v/>
      </c>
      <c r="R72" s="168" t="str">
        <v>Input</v>
      </c>
      <c r="S72" s="167"/>
    </row>
    <row r="73" spans="4:19" ht="20.100000000000001" customHeight="1" x14ac:dyDescent="0.25"/>
    <row r="74" spans="4:19" ht="20.100000000000001" customHeight="1" x14ac:dyDescent="0.25">
      <c r="D74" s="174" t="s">
        <v>753</v>
      </c>
      <c r="E74" s="98" cm="1">
        <f t="array" ref="E74">Fertiliser_Equations_LeachingAndRunoff.VEERG_5_5_1_1__3_MassOfNitrogenLeachedFromOrganicFertiliser(I67,I68,I69)</f>
        <v>240</v>
      </c>
      <c r="F74" s="175" t="str">
        <f>$E$65</f>
        <v>kg N</v>
      </c>
      <c r="N74" s="174" t="s">
        <v>753</v>
      </c>
      <c r="O74" s="98" cm="1">
        <f t="array" ref="O74">Fertiliser_Equations_LeachingAndRunoff.VEERG_5_5_1_1__3_MassOfNitrogenLeachedFromOrganicFertiliser(S67,I68,I69)</f>
        <v>480</v>
      </c>
      <c r="P74" s="175"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72" t="s">
        <v>616</v>
      </c>
      <c r="E79" s="172" t="str">
        <f ca="1">Common_InputFunctions.Utility_DisplayFunctionName(VEERG_5_5_1_1__1_FertiliserLeachingAndRunoffN2OEmissions_Result_Method1)</f>
        <v>=Fertiliser_Equations_LeachingAndRunoff.VEERG_5_5_1_1__1_FertiliserLeachingAndRunoffN2OEmissions</v>
      </c>
      <c r="N79" s="172" t="s">
        <v>616</v>
      </c>
      <c r="O79" s="172" t="str">
        <f ca="1">Common_InputFunctions.Utility_DisplayFunctionName(VEERG_5_5_1_1__1_FertiliserLeachingAndRunoffN2OEmissions_Result_Method2)</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7" t="s">
        <v>617</v>
      </c>
      <c r="E82" s="8" t="str" cm="1">
        <f t="array" ref="E82">Fertiliser_Equations_LeachingAndRunoff.VEERG_5_5_1_1__1_FertiliserLeachingAndRunoffN2OEmissions_Variable()</f>
        <v>E_fertleach</v>
      </c>
      <c r="N82" s="27" t="s">
        <v>617</v>
      </c>
      <c r="O82" s="8" t="str" cm="1">
        <f t="array" ref="O82">Fertiliser_Equations_LeachingAndRunoff.VEERG_5_5_1_1__1_FertiliserLeachingAndRunoffN2OEmissions_Variable()</f>
        <v>E_fertleach</v>
      </c>
    </row>
    <row r="83" spans="4:20" x14ac:dyDescent="0.25">
      <c r="D83" s="27" t="s">
        <v>96</v>
      </c>
      <c r="E83" s="13" t="str" cm="1">
        <f t="array" ref="E83">Fertiliser_Equations_LeachingAndRunoff.VEERG_5_5_1_1__1_FertiliserLeachingAndRunoffN2OEmissions_Unit()</f>
        <v>t N2O</v>
      </c>
      <c r="N83" s="27" t="s">
        <v>96</v>
      </c>
      <c r="O83" s="13" t="str" cm="1">
        <f t="array" ref="O83">Fertiliser_Equations_LeachingAndRunoff.VEERG_5_5_1_1__1_FertiliserLeachingAndRunoffN2OEmissions_Unit()</f>
        <v>t N2O</v>
      </c>
    </row>
    <row r="85" spans="4:20" x14ac:dyDescent="0.25">
      <c r="D85" s="167" t="str" cm="1">
        <f t="array" ref="D85:E88">_xlfn.CHOOSECOLS(Fertiliser_Equations_LeachingAndRunoff.VEERG_5_5_1_1__1_FertiliserLeachingAndRunoffN2OEmissions_Arguments(), 1, 2)</f>
        <v>M_leachinorganicj</v>
      </c>
      <c r="E85" s="171" t="str">
        <v>mass of nitrogen lost through leaching and runoff from inorganic fertiliser application in production system j</v>
      </c>
      <c r="F85" s="205"/>
      <c r="G85" s="166"/>
      <c r="H85" s="167" t="str" cm="1">
        <f t="array" ref="H85:I88">_xlfn.CHOOSECOLS(Fertiliser_Equations_LeachingAndRunoff.VEERG_5_5_1_1__1_FertiliserLeachingAndRunoffN2OEmissions_Arguments(), 3,4)</f>
        <v>kg N</v>
      </c>
      <c r="I85" s="169" t="str">
        <v>Calculated from 5.5.1.1 (2)</v>
      </c>
      <c r="J85" s="167">
        <v>0</v>
      </c>
      <c r="N85" s="167" t="str" cm="1">
        <f t="array" ref="N85:O88">_xlfn.CHOOSECOLS(Fertiliser_Equations_LeachingAndRunoff.VEERG_5_5_1_1__1_FertiliserLeachingAndRunoffN2OEmissions_Arguments(), 1, 2)</f>
        <v>M_leachinorganicj</v>
      </c>
      <c r="O85" s="171" t="str">
        <v>mass of nitrogen lost through leaching and runoff from inorganic fertiliser application in production system j</v>
      </c>
      <c r="P85" s="205"/>
      <c r="Q85" s="166"/>
      <c r="R85" s="167" t="str" cm="1">
        <f t="array" ref="R85:S88">_xlfn.CHOOSECOLS(Fertiliser_Equations_LeachingAndRunoff.VEERG_5_5_1_1__1_FertiliserLeachingAndRunoffN2OEmissions_Arguments(), 3,4)</f>
        <v>kg N</v>
      </c>
      <c r="S85" s="169" t="str">
        <v>Calculated from 5.5.1.1 (2)</v>
      </c>
      <c r="T85" s="167"/>
    </row>
    <row r="86" spans="4:20" x14ac:dyDescent="0.25">
      <c r="D86" s="167" t="str">
        <v>M_leachorganicj</v>
      </c>
      <c r="E86" s="171" t="str">
        <v>mass of nitrogen lost through leaching and runoff from organic fertiliser application</v>
      </c>
      <c r="F86" s="205"/>
      <c r="G86" s="166"/>
      <c r="H86" s="167" t="str">
        <v>kg N</v>
      </c>
      <c r="I86" s="169" t="str">
        <v>Calculated from 5.5.1.1 (3)</v>
      </c>
      <c r="J86" s="167">
        <f>E74</f>
        <v>240</v>
      </c>
      <c r="N86" s="167" t="str">
        <v>M_leachorganicj</v>
      </c>
      <c r="O86" s="171" t="str">
        <v>mass of nitrogen lost through leaching and runoff from organic fertiliser application</v>
      </c>
      <c r="P86" s="205"/>
      <c r="Q86" s="166"/>
      <c r="R86" s="167" t="str">
        <v>kg N</v>
      </c>
      <c r="S86" s="169" t="str">
        <v>Calculated from 5.5.1.1 (3)</v>
      </c>
      <c r="T86" s="167">
        <f>O74</f>
        <v>480</v>
      </c>
    </row>
    <row r="87" spans="4:20" x14ac:dyDescent="0.25">
      <c r="D87" s="167" t="str">
        <v>EF_leach</v>
      </c>
      <c r="E87" s="171" t="str">
        <v>emission factor for nitrogen leaching and runoff</v>
      </c>
      <c r="F87" s="205"/>
      <c r="G87" s="166"/>
      <c r="H87" s="167" t="str">
        <v>kg N2O-N/kg N</v>
      </c>
      <c r="I87" s="169" t="str">
        <v>Constant</v>
      </c>
      <c r="J87" s="167">
        <f>Fertiliser_EFLeach_Data</f>
        <v>1.0999999999999999E-2</v>
      </c>
      <c r="N87" s="167" t="str">
        <v>EF_leach</v>
      </c>
      <c r="O87" s="171" t="str">
        <v>emission factor for nitrogen leaching and runoff</v>
      </c>
      <c r="P87" s="205"/>
      <c r="Q87" s="166"/>
      <c r="R87" s="167" t="str">
        <v>kg N2O-N/kg N</v>
      </c>
      <c r="S87" s="169" t="str">
        <v>Constant</v>
      </c>
      <c r="T87" s="167"/>
    </row>
    <row r="88" spans="4:20" x14ac:dyDescent="0.25">
      <c r="D88" s="167" t="str">
        <v>C_N2O</v>
      </c>
      <c r="E88" s="171" t="str">
        <v>factor to convert elemental mass of nitrous oxide to molecular mass</v>
      </c>
      <c r="F88" s="205"/>
      <c r="G88" s="166"/>
      <c r="H88" s="167" t="str">
        <v/>
      </c>
      <c r="I88" s="169" t="str">
        <v>Constant</v>
      </c>
      <c r="J88" s="206">
        <f>Common_InputFunctions.Utility_LookupValueInTableNumber("N2O",Table_GasToMolecularConversionFactor[Gas],Table_GasToMolecularConversionFactor[Conversion factor combined])</f>
        <v>1.5714285714285714</v>
      </c>
      <c r="N88" s="167" t="str">
        <v>C_N2O</v>
      </c>
      <c r="O88" s="171" t="str">
        <v>factor to convert elemental mass of nitrous oxide to molecular mass</v>
      </c>
      <c r="P88" s="205"/>
      <c r="Q88" s="166"/>
      <c r="R88" s="167" t="str">
        <v/>
      </c>
      <c r="S88" s="169" t="str">
        <v>Constant</v>
      </c>
      <c r="T88" s="206"/>
    </row>
    <row r="90" spans="4:20" ht="23.25" x14ac:dyDescent="0.25">
      <c r="D90" s="176" t="s">
        <v>754</v>
      </c>
      <c r="E90" s="177" cm="1">
        <f t="array" ref="E90">Fertiliser_Equations_LeachingAndRunoff.VEERG_5_5_1_1__1_FertiliserLeachingAndRunoffN2OEmissions(J85,J86,J87,J88)</f>
        <v>4.1485714285714277E-3</v>
      </c>
      <c r="F90" s="178" t="str">
        <f>$E$83</f>
        <v>t N2O</v>
      </c>
      <c r="N90" s="176" t="s">
        <v>754</v>
      </c>
      <c r="O90" s="177" cm="1">
        <f t="array" ref="O90">Fertiliser_Equations_LeachingAndRunoff.VEERG_5_5_1_1__1_FertiliserLeachingAndRunoffN2OEmissions(J85,T86,J87,J88)</f>
        <v>8.2971428571428554E-3</v>
      </c>
      <c r="P90" s="178" t="str">
        <f>$E$83</f>
        <v>t N2O</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73A55-1697-471B-864A-1FE8075D31B6}">
  <dimension ref="A1:R342"/>
  <sheetViews>
    <sheetView showGridLines="0" topLeftCell="E45" zoomScaleNormal="100" workbookViewId="0">
      <selection activeCell="A46" sqref="A46"/>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7" t="e" vm="1">
        <v>#VALUE!</v>
      </c>
      <c r="C1" s="1" t="s">
        <v>700</v>
      </c>
    </row>
    <row r="2" spans="1:18" s="2" customFormat="1" ht="20.100000000000001" customHeight="1" x14ac:dyDescent="0.25">
      <c r="A2"/>
    </row>
    <row r="3" spans="1:18" ht="20.100000000000001" customHeight="1" x14ac:dyDescent="0.25">
      <c r="A3" s="16" t="str">
        <f>HYPERLINK("#'Overview'!A1", "Overview")</f>
        <v>Overview</v>
      </c>
      <c r="C3" s="5"/>
      <c r="D3" s="5" t="s">
        <v>400</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2" t="s">
        <v>616</v>
      </c>
      <c r="E7" s="172" t="str" cm="1">
        <f t="array" aca="1" ref="E7" ca="1">Common_InputFunctions.Utility_DisplayFunctionName(N25)</f>
        <v>=Fuel_Equations.VEERG_8_1_1_1__1_FuelCombustionTransport</v>
      </c>
      <c r="K7" s="172" t="s">
        <v>616</v>
      </c>
      <c r="L7" s="172"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Site'!A1", "Site")</f>
        <v>Site</v>
      </c>
      <c r="E8" s="172"/>
      <c r="L8" s="172"/>
      <c r="O8" s="17"/>
      <c r="P8" s="17"/>
      <c r="Q8" s="17"/>
    </row>
    <row r="9" spans="1:18" ht="20.100000000000001" customHeight="1" x14ac:dyDescent="0.25">
      <c r="A9" s="16" t="str">
        <f>HYPERLINK("#'Input - Fuel'!A1", "Fuel")</f>
        <v>Fuel</v>
      </c>
      <c r="G9" s="11"/>
      <c r="O9" s="17"/>
      <c r="P9" s="17"/>
      <c r="Q9" s="17"/>
    </row>
    <row r="10" spans="1:18" ht="20.100000000000001" customHeight="1" x14ac:dyDescent="0.25">
      <c r="A10" s="16" t="str">
        <f>HYPERLINK("#'Input - Fertiliser'!A1", "Fertiliser")</f>
        <v>Fertiliser</v>
      </c>
      <c r="O10" s="17"/>
      <c r="P10" s="17"/>
      <c r="Q10" s="17"/>
    </row>
    <row r="11" spans="1:18" ht="20.100000000000001" customHeight="1" x14ac:dyDescent="0.25">
      <c r="A11" s="16" t="str">
        <f>HYPERLINK("#'Input - Common farm inputs'!A1", "Common farm inputs")</f>
        <v>Common farm inputs</v>
      </c>
      <c r="D11" s="27" t="s">
        <v>617</v>
      </c>
      <c r="E11" s="8" t="str" cm="1">
        <f t="array" ref="E11">Fuel_Equations.VEERG_8_1_1_1__1_FuelCombustionTransport_Variable()</f>
        <v>E_g</v>
      </c>
      <c r="K11" s="27" t="s">
        <v>617</v>
      </c>
      <c r="L11" s="8" t="str" cm="1">
        <f t="array" ref="L11">Scope3_Equations.VEERG_15_11_1_1__2_UpstreamTransportFuelEmissions_Variable()</f>
        <v>E_WTTtransq</v>
      </c>
      <c r="O11" s="17"/>
      <c r="P11" s="17"/>
      <c r="Q11" s="17"/>
    </row>
    <row r="12" spans="1:18" ht="20.100000000000001" customHeight="1" x14ac:dyDescent="0.25">
      <c r="A12" s="16" t="str">
        <f>HYPERLINK("#'Input - Processing inputs'!A1", "Processing inputs")</f>
        <v>Processing inputs</v>
      </c>
      <c r="D12" s="27" t="s">
        <v>96</v>
      </c>
      <c r="E12" s="13" t="str" cm="1">
        <f t="array" ref="E12">Fuel_Equations.VEERG_8_1_1_1__1_FuelCombustionTransport_Unit()</f>
        <v>t CO2-e</v>
      </c>
      <c r="K12" s="27" t="s">
        <v>96</v>
      </c>
      <c r="L12" s="13" t="str" cm="1">
        <f t="array" ref="L12">Scope3_Equations.VEERG_15_11_1_1__2_UpstreamTransportFuelEmissions_Unit()</f>
        <v>t CO2e</v>
      </c>
    </row>
    <row r="13" spans="1:18" ht="20.100000000000001" customHeight="1" x14ac:dyDescent="0.25">
      <c r="A13" s="16" t="str">
        <f>HYPERLINK("#'Input - Crop pasture farm input'!A1", "Crop pasture farm input")</f>
        <v>Crop pasture farm input</v>
      </c>
    </row>
    <row r="14" spans="1:18" ht="20.100000000000001" customHeight="1" x14ac:dyDescent="0.25">
      <c r="A14" s="16" t="str">
        <f>HYPERLINK("#'Input - Hort farm Inputs'!A1", "Hort farm Inputs")</f>
        <v>Hort farm Inputs</v>
      </c>
      <c r="D14" s="167" t="str" cm="1">
        <f t="array" ref="D14:E20">_xlfn.CHOOSECOLS(Fuel_Equations.VEERG_8_1_1_1__1_FuelCombustionTransport_Arguments(), 1,2)</f>
        <v>Q_Transtq</v>
      </c>
      <c r="E14" s="171" t="str">
        <v>Amount of fuel type q combusted for transport energy purposes</v>
      </c>
      <c r="F14" s="166"/>
      <c r="G14" s="167" t="str" cm="1">
        <f t="array" ref="G14:H20">_xlfn.CHOOSECOLS(Fuel_Equations.VEERG_8_1_1_1__1_FuelCombustionTransport_Arguments(), 3,4)</f>
        <v>Varies based on fuel type: kL, m3, GJ</v>
      </c>
      <c r="H14" s="231" t="str">
        <v>Input</v>
      </c>
      <c r="I14" s="170" t="str" cm="1">
        <f t="array" aca="1" ref="I14" ca="1">HYPERLINK(Common_InputFunctions.Utility_SourceHyperlink($D$22), $D$22)</f>
        <v>Table_E_g</v>
      </c>
      <c r="K14" s="167" t="str" cm="1">
        <f t="array" ref="K14:L16">_xlfn.CHOOSECOLS(Scope3_Equations.VEERG_15_11_1_1__2_UpstreamTransportFuelEmissions_Arguments(),1,2)</f>
        <v>Q_Transq</v>
      </c>
      <c r="L14" s="167" t="str">
        <v>amount of fuel q combusted for transport energy purposes</v>
      </c>
      <c r="M14" s="167"/>
      <c r="N14" s="167" t="str" cm="1">
        <f t="array" ref="N14:O16">_xlfn.CHOOSECOLS(Scope3_Equations.VEERG_15_11_1_1__2_UpstreamTransportFuelEmissions_Arguments(),3,4)</f>
        <v>kL</v>
      </c>
      <c r="O14" s="231" t="str">
        <v>Input</v>
      </c>
      <c r="P14" s="170" t="str" cm="1">
        <f t="array" aca="1" ref="P14" ca="1">HYPERLINK(Common_InputFunctions.Utility_SourceHyperlink($D$22), $D$22)</f>
        <v>Table_E_g</v>
      </c>
      <c r="Q14" s="17"/>
    </row>
    <row r="15" spans="1:18" ht="20.100000000000001" customHeight="1" x14ac:dyDescent="0.25">
      <c r="A15" s="16" t="str">
        <f>HYPERLINK("#'Input - Livestock farm Inputs'!A1", "Livestock farm Inputs")</f>
        <v>Livestock farm Inputs</v>
      </c>
      <c r="D15" s="167" t="str">
        <v>EC_Transq</v>
      </c>
      <c r="E15" s="171" t="str">
        <v>Energy content factor for transport energy purposes</v>
      </c>
      <c r="F15" s="166"/>
      <c r="G15" s="167" t="str">
        <v>GJ / unit of fuel</v>
      </c>
      <c r="H15" s="169" t="str">
        <v>Constant</v>
      </c>
      <c r="I15" s="170" t="str" cm="1">
        <f t="array" aca="1" ref="I15" ca="1">HYPERLINK(Common_InputFunctions.Utility_SourceHyperlink($D$22), $D$22)</f>
        <v>Table_E_g</v>
      </c>
      <c r="K15" s="167" t="str">
        <v>EC_Transq</v>
      </c>
      <c r="L15" s="167" t="str">
        <v>energy content factor for transport energy purposes</v>
      </c>
      <c r="M15" s="167"/>
      <c r="N15" s="167" t="str">
        <v>GJ/kL or GJ/m3</v>
      </c>
      <c r="O15" s="169" t="str">
        <v>Constant</v>
      </c>
      <c r="P15" s="170" t="str" cm="1">
        <f t="array" aca="1" ref="P15" ca="1">HYPERLINK(Common_InputFunctions.Utility_SourceHyperlink($D$22), $D$22)</f>
        <v>Table_E_g</v>
      </c>
      <c r="Q15" s="17"/>
    </row>
    <row r="16" spans="1:18" ht="20.100000000000001" customHeight="1" x14ac:dyDescent="0.25">
      <c r="A16" s="16" t="str">
        <f>HYPERLINK("#'Input - Aquaculture inputs'!A1", "Aquaculture inputs")</f>
        <v>Aquaculture inputs</v>
      </c>
      <c r="D16" s="167" t="str">
        <v>EF_Trans1tqg</v>
      </c>
      <c r="E16" s="171" t="str">
        <v>Scope 1 emission factor for transport energy purposes for each greenhouse gas</v>
      </c>
      <c r="F16" s="166"/>
      <c r="G16" s="167" t="str">
        <v>kg CO2e / GJ</v>
      </c>
      <c r="H16" s="169" t="str">
        <v>Constant</v>
      </c>
      <c r="I16" s="170" t="str" cm="1">
        <f t="array" aca="1" ref="I16" ca="1">HYPERLINK(Common_InputFunctions.Utility_SourceHyperlink($D$22), $D$22)</f>
        <v>Table_E_g</v>
      </c>
      <c r="K16" s="167" t="str">
        <v>EF_Trans3q</v>
      </c>
      <c r="L16" s="167" t="str">
        <v>scope 3 emission factor for transport energy purposes</v>
      </c>
      <c r="M16" s="167"/>
      <c r="N16" s="167" t="str">
        <v>kg CO2e/GJ</v>
      </c>
      <c r="O16" s="169" t="str">
        <v>Constant</v>
      </c>
      <c r="P16" s="170" t="str" cm="1">
        <f t="array" aca="1" ref="P16" ca="1">HYPERLINK(Common_InputFunctions.Utility_SourceHyperlink($D$22), $D$22)</f>
        <v>Table_E_g</v>
      </c>
      <c r="Q16" s="17"/>
    </row>
    <row r="17" spans="1:17" ht="20.100000000000001" customHeight="1" x14ac:dyDescent="0.25">
      <c r="A17" s="16" t="str">
        <f>HYPERLINK("#'Input - Beef cattle purchases'!A1", "Beef cattle purchases")</f>
        <v>Beef cattle purchases</v>
      </c>
      <c r="D17" s="167" t="str">
        <v>q</v>
      </c>
      <c r="E17" s="171" t="str">
        <v>Fuel type</v>
      </c>
      <c r="F17" s="166"/>
      <c r="G17" s="167" t="str">
        <v/>
      </c>
      <c r="H17" s="169" t="str">
        <v>Constant</v>
      </c>
      <c r="I17" s="170"/>
      <c r="J17" s="17"/>
      <c r="P17" s="17"/>
      <c r="Q17" s="17"/>
    </row>
    <row r="18" spans="1:17" ht="20.100000000000001" customHeight="1" x14ac:dyDescent="0.25">
      <c r="A18" s="16" t="str">
        <f>HYPERLINK("#'Input - Dairy cattle purchases'!A1", "Dairy cattle purchases")</f>
        <v>Dairy cattle purchases</v>
      </c>
      <c r="D18" s="167" t="str">
        <v>Trans</v>
      </c>
      <c r="E18" s="171" t="str">
        <v>Transport combustion</v>
      </c>
      <c r="F18" s="166"/>
      <c r="G18" s="167" t="str">
        <v/>
      </c>
      <c r="H18" s="169" t="str">
        <v>Constant</v>
      </c>
      <c r="I18" s="170"/>
      <c r="J18" s="17"/>
      <c r="L18" s="17"/>
      <c r="M18" s="17"/>
      <c r="N18" s="17"/>
      <c r="O18" s="17"/>
      <c r="P18" s="17"/>
      <c r="Q18" s="17"/>
    </row>
    <row r="19" spans="1:17" ht="20.100000000000001" customHeight="1" x14ac:dyDescent="0.25">
      <c r="A19" s="16" t="str">
        <f>HYPERLINK("#'Input - Pig purchases'!A1", "Pig purchases")</f>
        <v>Pig purchases</v>
      </c>
      <c r="D19" s="167" t="str">
        <v>g</v>
      </c>
      <c r="E19" s="171" t="str">
        <v>Greenhouse gas</v>
      </c>
      <c r="F19" s="166"/>
      <c r="G19" s="167" t="str">
        <v/>
      </c>
      <c r="H19" s="169" t="str">
        <v>Constant</v>
      </c>
      <c r="I19" s="170"/>
      <c r="J19" s="17"/>
      <c r="L19" s="17"/>
      <c r="M19" s="17"/>
      <c r="N19" s="17"/>
      <c r="O19" s="17"/>
      <c r="P19" s="17"/>
      <c r="Q19" s="17"/>
    </row>
    <row r="20" spans="1:17" ht="20.100000000000001" customHeight="1" x14ac:dyDescent="0.25">
      <c r="A20" s="16" t="str">
        <f>HYPERLINK("#'Input - Poultry purchases'!A1", "Poultry purchases")</f>
        <v>Poultry purchases</v>
      </c>
      <c r="D20" s="167" t="str">
        <v>1</v>
      </c>
      <c r="E20" s="171" t="str">
        <v>Scope 1</v>
      </c>
      <c r="F20" s="166"/>
      <c r="G20" s="167" t="str">
        <v/>
      </c>
      <c r="H20" s="169" t="str">
        <v>Constant</v>
      </c>
      <c r="I20" s="170"/>
      <c r="J20" s="17"/>
      <c r="L20" s="17"/>
      <c r="M20" s="17"/>
      <c r="N20" s="17"/>
      <c r="O20" s="17"/>
      <c r="P20" s="17"/>
      <c r="Q20" s="17"/>
    </row>
    <row r="21" spans="1:17" ht="20.100000000000001" customHeight="1" x14ac:dyDescent="0.25">
      <c r="A21" s="16" t="str">
        <f>HYPERLINK("#'Input - Freight'!A1", "Freight")</f>
        <v>Freight</v>
      </c>
      <c r="O21" s="17"/>
      <c r="P21" s="17"/>
      <c r="Q21" s="17"/>
    </row>
    <row r="22" spans="1:17" ht="20.100000000000001" customHeight="1" x14ac:dyDescent="0.25">
      <c r="A22" s="16" t="str">
        <f>HYPERLINK("#'Input - Solid waste'!A1", "Solid waste")</f>
        <v>Solid waste</v>
      </c>
      <c r="D22" s="55" t="s">
        <v>128</v>
      </c>
    </row>
    <row r="23" spans="1:17" ht="20.100000000000001" customHeight="1" x14ac:dyDescent="0.25">
      <c r="A23" s="16" t="str">
        <f>HYPERLINK("#'Input - Manure sent off-site'!A1", "Manure sent off-site")</f>
        <v>Manure sent off-site</v>
      </c>
      <c r="D23" s="56" t="s">
        <v>129</v>
      </c>
    </row>
    <row r="24" spans="1:17" ht="20.100000000000001" customHeight="1" x14ac:dyDescent="0.25">
      <c r="A24" s="16" t="str">
        <f>HYPERLINK("#'Input - Electricity'!A1", "Electricity")</f>
        <v>Electricity</v>
      </c>
      <c r="D24" s="57" t="s">
        <v>130</v>
      </c>
      <c r="E24" s="57" t="s">
        <v>131</v>
      </c>
      <c r="F24" s="57" t="s">
        <v>132</v>
      </c>
      <c r="G24" s="57" t="s">
        <v>701</v>
      </c>
      <c r="H24" s="57" t="s">
        <v>702</v>
      </c>
      <c r="I24" s="57" t="s">
        <v>703</v>
      </c>
      <c r="J24" s="57" t="s">
        <v>704</v>
      </c>
      <c r="K24" s="57" t="s">
        <v>705</v>
      </c>
      <c r="L24" s="46" t="s">
        <v>706</v>
      </c>
      <c r="M24" s="57" t="s">
        <v>707</v>
      </c>
      <c r="N24" s="57" t="s">
        <v>708</v>
      </c>
      <c r="O24" s="57" t="s">
        <v>709</v>
      </c>
      <c r="P24" s="57" t="s">
        <v>710</v>
      </c>
      <c r="Q24" s="57" t="s">
        <v>711</v>
      </c>
    </row>
    <row r="25" spans="1:17" ht="20.100000000000001" customHeight="1" x14ac:dyDescent="0.25">
      <c r="A25"/>
      <c r="D25" s="7" t="str">
        <f>Table_FuelTypesPerUse[[#Headers],[Cars and light commercial vehicles]]</f>
        <v>Cars and light commercial vehicles</v>
      </c>
      <c r="E25" s="58" t="str">
        <f>'Constants - Fuel'!$E$10</f>
        <v>Gasoline</v>
      </c>
      <c r="F25" s="58" t="str">
        <f>'Constants - Fuel'!G131</f>
        <v>Petrol</v>
      </c>
      <c r="G25" s="49" cm="1">
        <f t="array" ref="G25">IFERROR(_xlfn.XLOOKUP(1, (Table_Fuel_EFs_Transport[Fuel combusted]=$E25)*(Table_Fuel_EFs_Transport[Transport type]=$D$25), Table_Fuel_EFs_Transport[Energy Content Factor (GJ per unit of fuel)]), 0)</f>
        <v>34.200000000000003</v>
      </c>
      <c r="H25" s="49" cm="1">
        <f t="array" ref="H25">IFERROR(_xlfn.XLOOKUP(1, (Table_Fuel_EFs_Transport[Fuel combusted]=$E25)*(Table_Fuel_EFs_Transport[Transport type]=$D$25), Table_Fuel_EFs_Transport[Scope 1 Emission Factor (kg CO2 - e / GJ) CO2]), 0)</f>
        <v>67.400000000000006</v>
      </c>
      <c r="I25" s="49" cm="1">
        <f t="array" ref="I25">IFERROR(_xlfn.XLOOKUP(1, (Table_Fuel_EFs_Transport[Fuel combusted]=$E25)*(Table_Fuel_EFs_Transport[Transport type]=$D$25), Table_Fuel_EFs_Transport[Scope 1 Emission Factor (kg CO2 - e / GJ) CH4]), 0)</f>
        <v>0.02</v>
      </c>
      <c r="J25" s="49" cm="1">
        <f t="array" ref="J25">IFERROR(_xlfn.XLOOKUP(1, (Table_Fuel_EFs_Transport[Fuel combusted]=$E25)*(Table_Fuel_EFs_Transport[Transport type]=$D$25), Table_Fuel_EFs_Transport[Scope 1 Emission Factor (kg CO2 - e / GJ) N2O]), 0)</f>
        <v>0.2</v>
      </c>
      <c r="K25" s="49" cm="1">
        <f t="array" ref="K25">IFERROR(_xlfn.XLOOKUP(1, (Table_Fuel_EFs_Transport[Fuel combusted]=$E25)*(Table_Fuel_EFs_Transport[Transport type]=$D$25), Table_Fuel_EFs_Transport[Scope 3 Emission Factor (kg CO2 - e / GJ)]), 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182" cm="1">
        <f t="array" ref="N25">Fuel_Equations.VEERG_8_1_1_1__1_FuelCombustionTransport($L25,$G25,$H25)</f>
        <v>0</v>
      </c>
      <c r="O25" s="182" cm="1">
        <f t="array" ref="O25">Fuel_Equations.VEERG_8_1_1_1__1_FuelCombustionTransport($L25,$G25,$I25)</f>
        <v>0</v>
      </c>
      <c r="P25" s="182" cm="1">
        <f t="array" ref="P25">Fuel_Equations.VEERG_8_1_1_1__1_FuelCombustionTransport($L25,$G25,$J25)</f>
        <v>0</v>
      </c>
      <c r="Q25" s="182" cm="1">
        <f t="array" ref="Q25">Scope3_Equations.VEERG_15_11_1_1__2_UpstreamTransportFuelEmissions(L25,G25,K25)</f>
        <v>0</v>
      </c>
    </row>
    <row r="26" spans="1:17" ht="20.100000000000001" customHeight="1" x14ac:dyDescent="0.25">
      <c r="A26"/>
      <c r="D26" s="59" t="str">
        <f t="shared" ref="D26:D32" si="0">$D$25</f>
        <v>Cars and light commercial vehicles</v>
      </c>
      <c r="E26" s="58" t="str">
        <f>'Constants - Fuel'!$E$11</f>
        <v>Diesel oil</v>
      </c>
      <c r="F26" s="58" t="str">
        <f>'Constants - Fuel'!G132</f>
        <v>Diesel</v>
      </c>
      <c r="G26" s="49" cm="1">
        <f t="array" ref="G26">IFERROR(_xlfn.XLOOKUP(1, (Table_Fuel_EFs_Transport[Fuel combusted]=$E26)*(Table_Fuel_EFs_Transport[Transport type]=$D$25), Table_Fuel_EFs_Transport[Energy Content Factor (GJ per unit of fuel)]), 0)</f>
        <v>38.6</v>
      </c>
      <c r="H26" s="49" cm="1">
        <f t="array" ref="H26">IFERROR(_xlfn.XLOOKUP(1, (Table_Fuel_EFs_Transport[Fuel combusted]=$E26)*(Table_Fuel_EFs_Transport[Transport type]=$D$25), Table_Fuel_EFs_Transport[Scope 1 Emission Factor (kg CO2 - e / GJ) CO2]), 0)</f>
        <v>69.900000000000006</v>
      </c>
      <c r="I26" s="49" cm="1">
        <f t="array" ref="I26">IFERROR(_xlfn.XLOOKUP(1, (Table_Fuel_EFs_Transport[Fuel combusted]=$E26)*(Table_Fuel_EFs_Transport[Transport type]=$D$25), Table_Fuel_EFs_Transport[Scope 1 Emission Factor (kg CO2 - e / GJ) CH4]), 0)</f>
        <v>0.01</v>
      </c>
      <c r="J26" s="49" cm="1">
        <f t="array" ref="J26">IFERROR(_xlfn.XLOOKUP(1, (Table_Fuel_EFs_Transport[Fuel combusted]=$E26)*(Table_Fuel_EFs_Transport[Transport type]=$D$25), Table_Fuel_EFs_Transport[Scope 1 Emission Factor (kg CO2 - e / GJ) N2O]), 0)</f>
        <v>0.5</v>
      </c>
      <c r="K26" s="49" cm="1">
        <f t="array" ref="K26">IFERROR(_xlfn.XLOOKUP(1, (Table_Fuel_EFs_Transport[Fuel combusted]=$E26)*(Table_Fuel_EFs_Transport[Transport type]=$D$25), Table_Fuel_EFs_Transport[Scope 3 Emission Factor (kg CO2 - e / GJ)]), 0)</f>
        <v>17.3</v>
      </c>
      <c r="L26" s="181" cm="1">
        <f t="array" ref="L26">Fuel_InputFunctions.Fuel_TotalConsumption(Table_Input_Fuel[Amount consumed], Table_Input_Fuel[Fuel use (select)], D26, Table_Input_Fuel[Fuel type (select)],F26)</f>
        <v>10</v>
      </c>
      <c r="M26" s="181" t="str" cm="1">
        <f t="array" ref="M26">Common_InputFunctions.Utility_LookupValueInTable(F26,Table_FuelTypes_Units[Fuel type],Table_FuelTypes_Units[Unit])</f>
        <v>kL</v>
      </c>
      <c r="N26" s="182" cm="1">
        <f t="array" ref="N26">Fuel_Equations.VEERG_8_1_1_1__1_FuelCombustionTransport($L26,$G26,$H26)</f>
        <v>26.981400000000001</v>
      </c>
      <c r="O26" s="182" cm="1">
        <f t="array" ref="O26">Fuel_Equations.VEERG_8_1_1_1__1_FuelCombustionTransport($L26,$G26,$I26)</f>
        <v>3.8600000000000001E-3</v>
      </c>
      <c r="P26" s="182" cm="1">
        <f t="array" ref="P26">Fuel_Equations.VEERG_8_1_1_1__1_FuelCombustionTransport($L26,$G26,$J26)</f>
        <v>0.193</v>
      </c>
      <c r="Q26" s="182" cm="1">
        <f t="array" ref="Q26">Scope3_Equations.VEERG_15_11_1_1__2_UpstreamTransportFuelEmissions(L26,G26,K26)</f>
        <v>6.6778000000000004</v>
      </c>
    </row>
    <row r="27" spans="1:17" ht="20.100000000000001" customHeight="1" x14ac:dyDescent="0.25">
      <c r="A27" s="21" t="s">
        <v>77</v>
      </c>
      <c r="D27" s="59" t="str">
        <f t="shared" si="0"/>
        <v>Cars and light commercial vehicles</v>
      </c>
      <c r="E27" s="58" t="str">
        <f>'Constants - Fuel'!$E$12</f>
        <v>Liquefied petroleum gas (LPG)</v>
      </c>
      <c r="F27" s="58" t="str">
        <f>'Constants - Fuel'!G133</f>
        <v>Liquefied petroleum gas (LPG)</v>
      </c>
      <c r="G27" s="49" cm="1">
        <f t="array" ref="G27">IFERROR(_xlfn.XLOOKUP(1, (Table_Fuel_EFs_Transport[Fuel combusted]=$E27)*(Table_Fuel_EFs_Transport[Transport type]=$D$25), Table_Fuel_EFs_Transport[Energy Content Factor (GJ per unit of fuel)]), 0)</f>
        <v>26.2</v>
      </c>
      <c r="H27" s="49" cm="1">
        <f t="array" ref="H27">IFERROR(_xlfn.XLOOKUP(1, (Table_Fuel_EFs_Transport[Fuel combusted]=$E27)*(Table_Fuel_EFs_Transport[Transport type]=$D$25), Table_Fuel_EFs_Transport[Scope 1 Emission Factor (kg CO2 - e / GJ) CO2]), 0)</f>
        <v>60.2</v>
      </c>
      <c r="I27" s="49" cm="1">
        <f t="array" ref="I27">IFERROR(_xlfn.XLOOKUP(1, (Table_Fuel_EFs_Transport[Fuel combusted]=$E27)*(Table_Fuel_EFs_Transport[Transport type]=$D$25), Table_Fuel_EFs_Transport[Scope 1 Emission Factor (kg CO2 - e / GJ) CH4]), 0)</f>
        <v>0.5</v>
      </c>
      <c r="J27" s="49" cm="1">
        <f t="array" ref="J27">IFERROR(_xlfn.XLOOKUP(1, (Table_Fuel_EFs_Transport[Fuel combusted]=$E27)*(Table_Fuel_EFs_Transport[Transport type]=$D$25), Table_Fuel_EFs_Transport[Scope 1 Emission Factor (kg CO2 - e / GJ) N2O]), 0)</f>
        <v>0.3</v>
      </c>
      <c r="K27" s="49" cm="1">
        <f t="array" ref="K27">IFERROR(_xlfn.XLOOKUP(1, (Table_Fuel_EFs_Transport[Fuel combusted]=$E27)*(Table_Fuel_EFs_Transport[Transport type]=$D$25), Table_Fuel_EFs_Transport[Scope 3 Emission Factor (kg CO2 - e / GJ)]), 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182" cm="1">
        <f t="array" ref="N27">Fuel_Equations.VEERG_8_1_1_1__1_FuelCombustionTransport($L27,$G27,$H27)</f>
        <v>0</v>
      </c>
      <c r="O27" s="182" cm="1">
        <f t="array" ref="O27">Fuel_Equations.VEERG_8_1_1_1__1_FuelCombustionTransport($L27,$G27,$I27)</f>
        <v>0</v>
      </c>
      <c r="P27" s="182" cm="1">
        <f t="array" ref="P27">Fuel_Equations.VEERG_8_1_1_1__1_FuelCombustionTransport($L27,$G27,$J27)</f>
        <v>0</v>
      </c>
      <c r="Q27" s="182" cm="1">
        <f t="array" ref="Q27">Scope3_Equations.VEERG_15_11_1_1__2_UpstreamTransportFuelEmissions(L27,G27,K27)</f>
        <v>0</v>
      </c>
    </row>
    <row r="28" spans="1:17" ht="20.100000000000001" customHeight="1" x14ac:dyDescent="0.25">
      <c r="A28" s="16" t="str">
        <f>HYPERLINK("#'15 Scope 3'!A1", "15 Scope 3")</f>
        <v>15 Scope 3</v>
      </c>
      <c r="D28" s="59" t="str">
        <f t="shared" si="0"/>
        <v>Cars and light commercial vehicles</v>
      </c>
      <c r="E28" s="58" t="str">
        <f>'Constants - Fuel'!$E$13</f>
        <v>Fuel oil</v>
      </c>
      <c r="F28" s="58" t="str">
        <f>'Constants - Fuel'!G134</f>
        <v>Fuel oil</v>
      </c>
      <c r="G28" s="49" cm="1">
        <f t="array" ref="G28">IFERROR(_xlfn.XLOOKUP(1, (Table_Fuel_EFs_Transport[Fuel combusted]=$E28)*(Table_Fuel_EFs_Transport[Transport type]=$D$25), Table_Fuel_EFs_Transport[Energy Content Factor (GJ per unit of fuel)]), 0)</f>
        <v>39.700000000000003</v>
      </c>
      <c r="H28" s="49" cm="1">
        <f t="array" ref="H28">IFERROR(_xlfn.XLOOKUP(1, (Table_Fuel_EFs_Transport[Fuel combusted]=$E28)*(Table_Fuel_EFs_Transport[Transport type]=$D$25), Table_Fuel_EFs_Transport[Scope 1 Emission Factor (kg CO2 - e / GJ) CO2]), 0)</f>
        <v>73.599999999999994</v>
      </c>
      <c r="I28" s="49" cm="1">
        <f t="array" ref="I28">IFERROR(_xlfn.XLOOKUP(1, (Table_Fuel_EFs_Transport[Fuel combusted]=$E28)*(Table_Fuel_EFs_Transport[Transport type]=$D$25), Table_Fuel_EFs_Transport[Scope 1 Emission Factor (kg CO2 - e / GJ) CH4]), 0)</f>
        <v>0.08</v>
      </c>
      <c r="J28" s="49" cm="1">
        <f t="array" ref="J28">IFERROR(_xlfn.XLOOKUP(1, (Table_Fuel_EFs_Transport[Fuel combusted]=$E28)*(Table_Fuel_EFs_Transport[Transport type]=$D$25), Table_Fuel_EFs_Transport[Scope 1 Emission Factor (kg CO2 - e / GJ) N2O]), 0)</f>
        <v>0.5</v>
      </c>
      <c r="K28" s="49" cm="1">
        <f t="array" ref="K28">IFERROR(_xlfn.XLOOKUP(1, (Table_Fuel_EFs_Transport[Fuel combusted]=$E28)*(Table_Fuel_EFs_Transport[Transport type]=$D$25), Table_Fuel_EFs_Transport[Scope 3 Emission Factor (kg CO2 - e / GJ)]), 0)</f>
        <v>18</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182" cm="1">
        <f t="array" ref="N28">Fuel_Equations.VEERG_8_1_1_1__1_FuelCombustionTransport($L28,$G28,$H28)</f>
        <v>0</v>
      </c>
      <c r="O28" s="182" cm="1">
        <f t="array" ref="O28">Fuel_Equations.VEERG_8_1_1_1__1_FuelCombustionTransport($L28,$G28,$I28)</f>
        <v>0</v>
      </c>
      <c r="P28" s="182" cm="1">
        <f t="array" ref="P28">Fuel_Equations.VEERG_8_1_1_1__1_FuelCombustionTransport($L28,$G28,$J28)</f>
        <v>0</v>
      </c>
      <c r="Q28" s="182" cm="1">
        <f t="array" ref="Q28">Scope3_Equations.VEERG_15_11_1_1__2_UpstreamTransportFuelEmissions(L28,G28,K28)</f>
        <v>0</v>
      </c>
    </row>
    <row r="29" spans="1:17" ht="20.100000000000001" customHeight="1" x14ac:dyDescent="0.25">
      <c r="A29" s="16" t="str">
        <f>HYPERLINK("#'10.1.1-2 Solid waste treatment'!A1", "10.1.1-2 Solid waste treatment")</f>
        <v>10.1.1-2 Solid waste treatment</v>
      </c>
      <c r="D29" s="59" t="str">
        <f t="shared" si="0"/>
        <v>Cars and light commercial vehicles</v>
      </c>
      <c r="E29" s="58" t="str">
        <f>'Constants - Fuel'!$E$14</f>
        <v>Ethanol</v>
      </c>
      <c r="F29" s="58" t="str">
        <f>'Constants - Fuel'!G135</f>
        <v>Ethanol</v>
      </c>
      <c r="G29" s="49" cm="1">
        <f t="array" ref="G29">IFERROR(_xlfn.XLOOKUP(1, (Table_Fuel_EFs_Transport[Fuel combusted]=$E29)*(Table_Fuel_EFs_Transport[Transport type]=$D$25), Table_Fuel_EFs_Transport[Energy Content Factor (GJ per unit of fuel)]), 0)</f>
        <v>23.4</v>
      </c>
      <c r="H29" s="49" cm="1">
        <f t="array" ref="H29">IFERROR(_xlfn.XLOOKUP(1, (Table_Fuel_EFs_Transport[Fuel combusted]=$E29)*(Table_Fuel_EFs_Transport[Transport type]=$D$25), Table_Fuel_EFs_Transport[Scope 1 Emission Factor (kg CO2 - e / GJ) CO2]), 0)</f>
        <v>0</v>
      </c>
      <c r="I29" s="49" cm="1">
        <f t="array" ref="I29">IFERROR(_xlfn.XLOOKUP(1, (Table_Fuel_EFs_Transport[Fuel combusted]=$E29)*(Table_Fuel_EFs_Transport[Transport type]=$D$25), Table_Fuel_EFs_Transport[Scope 1 Emission Factor (kg CO2 - e / GJ) CH4]), 0)</f>
        <v>0.2</v>
      </c>
      <c r="J29" s="49" cm="1">
        <f t="array" ref="J29">IFERROR(_xlfn.XLOOKUP(1, (Table_Fuel_EFs_Transport[Fuel combusted]=$E29)*(Table_Fuel_EFs_Transport[Transport type]=$D$25), Table_Fuel_EFs_Transport[Scope 1 Emission Factor (kg CO2 - e / GJ) N2O]), 0)</f>
        <v>0.2</v>
      </c>
      <c r="K29" s="49" t="str" cm="1">
        <f t="array" ref="K29">IFERROR(_xlfn.XLOOKUP(1, (Table_Fuel_EFs_Transport[Fuel combusted]=$E29)*(Table_Fuel_EFs_Transport[Transport type]=$D$25), Table_Fuel_EFs_Transport[Scope 3 Emission Factor (kg CO2 - e / GJ)]), 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182" cm="1">
        <f t="array" ref="N29">Fuel_Equations.VEERG_8_1_1_1__1_FuelCombustionTransport($L29,$G29,$H29)</f>
        <v>0</v>
      </c>
      <c r="O29" s="182" cm="1">
        <f t="array" ref="O29">Fuel_Equations.VEERG_8_1_1_1__1_FuelCombustionTransport($L29,$G29,$I29)</f>
        <v>0</v>
      </c>
      <c r="P29" s="182" cm="1">
        <f t="array" ref="P29">Fuel_Equations.VEERG_8_1_1_1__1_FuelCombustionTransport($L29,$G29,$J29)</f>
        <v>0</v>
      </c>
      <c r="Q29" s="182" cm="1">
        <f t="array" ref="Q29">Scope3_Equations.VEERG_15_11_1_1__2_UpstreamTransportFuelEmissions(L29,G29,IF(ISNUMBER(K29),K29,0))</f>
        <v>0</v>
      </c>
    </row>
    <row r="30" spans="1:17" ht="20.100000000000001" customHeight="1" x14ac:dyDescent="0.25">
      <c r="A30" s="16" t="str">
        <f>HYPERLINK("#'Calcs - Manure sent off-site'!A1", "Calcs - Manure sent off-site")</f>
        <v>Calcs - Manure sent off-site</v>
      </c>
      <c r="D30" s="59" t="str">
        <f t="shared" si="0"/>
        <v>Cars and light commercial vehicles</v>
      </c>
      <c r="E30" s="58" t="str">
        <f>'Constants - Fuel'!$E$15</f>
        <v>Biodiesel</v>
      </c>
      <c r="F30" s="58" t="str">
        <f>'Constants - Fuel'!G136</f>
        <v>Biodiesel</v>
      </c>
      <c r="G30" s="49" cm="1">
        <f t="array" ref="G30">IFERROR(_xlfn.XLOOKUP(1, (Table_Fuel_EFs_Transport[Fuel combusted]=$E30)*(Table_Fuel_EFs_Transport[Transport type]=$D$25), Table_Fuel_EFs_Transport[Energy Content Factor (GJ per unit of fuel)]), 0)</f>
        <v>34.6</v>
      </c>
      <c r="H30" s="49" cm="1">
        <f t="array" ref="H30">IFERROR(_xlfn.XLOOKUP(1, (Table_Fuel_EFs_Transport[Fuel combusted]=$E30)*(Table_Fuel_EFs_Transport[Transport type]=$D$25), Table_Fuel_EFs_Transport[Scope 1 Emission Factor (kg CO2 - e / GJ) CO2]), 0)</f>
        <v>0</v>
      </c>
      <c r="I30" s="49" cm="1">
        <f t="array" ref="I30">IFERROR(_xlfn.XLOOKUP(1, (Table_Fuel_EFs_Transport[Fuel combusted]=$E30)*(Table_Fuel_EFs_Transport[Transport type]=$D$25), Table_Fuel_EFs_Transport[Scope 1 Emission Factor (kg CO2 - e / GJ) CH4]), 0)</f>
        <v>0.8</v>
      </c>
      <c r="J30" s="49" cm="1">
        <f t="array" ref="J30">IFERROR(_xlfn.XLOOKUP(1, (Table_Fuel_EFs_Transport[Fuel combusted]=$E30)*(Table_Fuel_EFs_Transport[Transport type]=$D$25), Table_Fuel_EFs_Transport[Scope 1 Emission Factor (kg CO2 - e / GJ) N2O]), 0)</f>
        <v>1.7</v>
      </c>
      <c r="K30" s="49" t="str" cm="1">
        <f t="array" ref="K30">IFERROR(_xlfn.XLOOKUP(1, (Table_Fuel_EFs_Transport[Fuel combusted]=$E30)*(Table_Fuel_EFs_Transport[Transport type]=$D$25), Table_Fuel_EFs_Transport[Scope 3 Emission Factor (kg CO2 - e / GJ)]), 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182" cm="1">
        <f t="array" ref="N30">Fuel_Equations.VEERG_8_1_1_1__1_FuelCombustionTransport($L30,$G30,$H30)</f>
        <v>0</v>
      </c>
      <c r="O30" s="182" cm="1">
        <f t="array" ref="O30">Fuel_Equations.VEERG_8_1_1_1__1_FuelCombustionTransport($L30,$G30,$I30)</f>
        <v>0</v>
      </c>
      <c r="P30" s="182" cm="1">
        <f t="array" ref="P30">Fuel_Equations.VEERG_8_1_1_1__1_FuelCombustionTransport($L30,$G30,$J30)</f>
        <v>0</v>
      </c>
      <c r="Q30" s="182" cm="1">
        <f t="array" ref="Q30">Scope3_Equations.VEERG_15_11_1_1__2_UpstreamTransportFuelEmissions(L30,G30,IF(ISNUMBER(K30),K30,0))</f>
        <v>0</v>
      </c>
    </row>
    <row r="31" spans="1:17" ht="20.100000000000001" customHeight="1" x14ac:dyDescent="0.25">
      <c r="A31" s="180" t="str">
        <f>HYPERLINK("#'8.1.1.1-2 Transport fuel'!A1", "8.1.1.1-2 Transport fuel")</f>
        <v>8.1.1.1-2 Transport fuel</v>
      </c>
      <c r="D31" s="59" t="str">
        <f t="shared" si="0"/>
        <v>Cars and light commercial vehicles</v>
      </c>
      <c r="E31" s="58" t="str">
        <f>'Constants - Fuel'!$E$16</f>
        <v>Renewable diesel</v>
      </c>
      <c r="F31" s="58" t="str">
        <f>'Constants - Fuel'!G137</f>
        <v>Renewable diesel</v>
      </c>
      <c r="G31" s="49" cm="1">
        <f t="array" ref="G31">IFERROR(_xlfn.XLOOKUP(1, (Table_Fuel_EFs_Transport[Fuel combusted]=$E31)*(Table_Fuel_EFs_Transport[Transport type]=$D$25), Table_Fuel_EFs_Transport[Energy Content Factor (GJ per unit of fuel)]), 0)</f>
        <v>38.6</v>
      </c>
      <c r="H31" s="49" cm="1">
        <f t="array" ref="H31">IFERROR(_xlfn.XLOOKUP(1, (Table_Fuel_EFs_Transport[Fuel combusted]=$E31)*(Table_Fuel_EFs_Transport[Transport type]=$D$25), Table_Fuel_EFs_Transport[Scope 1 Emission Factor (kg CO2 - e / GJ) CO2]), 0)</f>
        <v>0</v>
      </c>
      <c r="I31" s="49" cm="1">
        <f t="array" ref="I31">IFERROR(_xlfn.XLOOKUP(1, (Table_Fuel_EFs_Transport[Fuel combusted]=$E31)*(Table_Fuel_EFs_Transport[Transport type]=$D$25), Table_Fuel_EFs_Transport[Scope 1 Emission Factor (kg CO2 - e / GJ) CH4]), 0)</f>
        <v>0.01</v>
      </c>
      <c r="J31" s="49" cm="1">
        <f t="array" ref="J31">IFERROR(_xlfn.XLOOKUP(1, (Table_Fuel_EFs_Transport[Fuel combusted]=$E31)*(Table_Fuel_EFs_Transport[Transport type]=$D$25), Table_Fuel_EFs_Transport[Scope 1 Emission Factor (kg CO2 - e / GJ) N2O]), 0)</f>
        <v>0.5</v>
      </c>
      <c r="K31" s="49" t="str" cm="1">
        <f t="array" ref="K31">IFERROR(_xlfn.XLOOKUP(1, (Table_Fuel_EFs_Transport[Fuel combusted]=$E31)*(Table_Fuel_EFs_Transport[Transport type]=$D$25), Table_Fuel_EFs_Transport[Scope 3 Emission Factor (kg CO2 - e / GJ)]), 0)</f>
        <v>NE</v>
      </c>
      <c r="L31" s="181" cm="1">
        <f t="array" ref="L31">Fuel_InputFunctions.Fuel_TotalConsumption(Table_Input_Fuel[Amount consumed], Table_Input_Fuel[Fuel use (select)], D31, Table_Input_Fuel[Fuel type (select)],F31)</f>
        <v>0</v>
      </c>
      <c r="M31" s="181" t="str" cm="1">
        <f t="array" ref="M31">Common_InputFunctions.Utility_LookupValueInTable(F31,Table_FuelTypes_Units[Fuel type],Table_FuelTypes_Units[Unit])</f>
        <v>kL</v>
      </c>
      <c r="N31" s="182" cm="1">
        <f t="array" ref="N31">Fuel_Equations.VEERG_8_1_1_1__1_FuelCombustionTransport($L31,$G31,$H31)</f>
        <v>0</v>
      </c>
      <c r="O31" s="182" cm="1">
        <f t="array" ref="O31">Fuel_Equations.VEERG_8_1_1_1__1_FuelCombustionTransport($L31,$G31,$I31)</f>
        <v>0</v>
      </c>
      <c r="P31" s="182" cm="1">
        <f t="array" ref="P31">Fuel_Equations.VEERG_8_1_1_1__1_FuelCombustionTransport($L31,$G31,$J31)</f>
        <v>0</v>
      </c>
      <c r="Q31" s="182" cm="1">
        <f t="array" ref="Q31">Scope3_Equations.VEERG_15_11_1_1__2_UpstreamTransportFuelEmissions(L31,G31,IF(ISNUMBER(K31),K31,0))</f>
        <v>0</v>
      </c>
    </row>
    <row r="32" spans="1:17" ht="20.100000000000001" customHeight="1" x14ac:dyDescent="0.25">
      <c r="A32" s="16" t="str">
        <f>HYPERLINK("#'8.2.1.1-2 Stationary fuel'!A1", "8.2.1.1-2 Stationary fuel")</f>
        <v>8.2.1.1-2 Stationary fuel</v>
      </c>
      <c r="D32" s="59" t="str">
        <f t="shared" si="0"/>
        <v>Cars and light commercial vehicles</v>
      </c>
      <c r="E32" s="58" t="str">
        <f>'Constants - Fuel'!$E$17</f>
        <v>Other biofuels</v>
      </c>
      <c r="F32" s="58" t="str">
        <f>'Constants - Fuel'!G138</f>
        <v>Other biofuels</v>
      </c>
      <c r="G32" s="49" cm="1">
        <f t="array" ref="G32">IFERROR(_xlfn.XLOOKUP(1, (Table_Fuel_EFs_Transport[Fuel combusted]=$E32)*(Table_Fuel_EFs_Transport[Transport type]=$D$25), Table_Fuel_EFs_Transport[Energy Content Factor (GJ per unit of fuel)]), 0)</f>
        <v>23.4</v>
      </c>
      <c r="H32" s="49" cm="1">
        <f t="array" ref="H32">IFERROR(_xlfn.XLOOKUP(1, (Table_Fuel_EFs_Transport[Fuel combusted]=$E32)*(Table_Fuel_EFs_Transport[Transport type]=$D$25), Table_Fuel_EFs_Transport[Scope 1 Emission Factor (kg CO2 - e / GJ) CO2]), 0)</f>
        <v>0</v>
      </c>
      <c r="I32" s="49" cm="1">
        <f t="array" ref="I32">IFERROR(_xlfn.XLOOKUP(1, (Table_Fuel_EFs_Transport[Fuel combusted]=$E32)*(Table_Fuel_EFs_Transport[Transport type]=$D$25), Table_Fuel_EFs_Transport[Scope 1 Emission Factor (kg CO2 - e / GJ) CH4]), 0)</f>
        <v>0.8</v>
      </c>
      <c r="J32" s="49" cm="1">
        <f t="array" ref="J32">IFERROR(_xlfn.XLOOKUP(1, (Table_Fuel_EFs_Transport[Fuel combusted]=$E32)*(Table_Fuel_EFs_Transport[Transport type]=$D$25), Table_Fuel_EFs_Transport[Scope 1 Emission Factor (kg CO2 - e / GJ) N2O]), 0)</f>
        <v>1.7</v>
      </c>
      <c r="K32" s="161" t="str" cm="1">
        <f t="array" ref="K32">IFERROR(_xlfn.XLOOKUP(1, (Table_Fuel_EFs_Transport[Fuel combusted]=$E32)*(Table_Fuel_EFs_Transport[Transport type]=$D$25), Table_Fuel_EFs_Transport[Scope 3 Emission Factor (kg CO2 - e / GJ)]), 0)</f>
        <v>NE</v>
      </c>
      <c r="L32" s="183" cm="1">
        <f t="array" ref="L32">Fuel_InputFunctions.Fuel_TotalConsumption(Table_Input_Fuel[Amount consumed], Table_Input_Fuel[Fuel use (select)], D32, Table_Input_Fuel[Fuel type (select)],F32)</f>
        <v>0</v>
      </c>
      <c r="M32" s="181" t="str" cm="1">
        <f t="array" ref="M32">Common_InputFunctions.Utility_LookupValueInTable(F32,Table_FuelTypes_Units[Fuel type],Table_FuelTypes_Units[Unit])</f>
        <v>kL</v>
      </c>
      <c r="N32" s="184" cm="1">
        <f t="array" ref="N32">Fuel_Equations.VEERG_8_1_1_1__1_FuelCombustionTransport($L32,$G32,$H32)</f>
        <v>0</v>
      </c>
      <c r="O32" s="184" cm="1">
        <f t="array" ref="O32">Fuel_Equations.VEERG_8_1_1_1__1_FuelCombustionTransport($L32,$G32,$I32)</f>
        <v>0</v>
      </c>
      <c r="P32" s="184" cm="1">
        <f t="array" ref="P32">Fuel_Equations.VEERG_8_1_1_1__1_FuelCombustionTransport($L32,$G32,$J32)</f>
        <v>0</v>
      </c>
      <c r="Q32" s="182" cm="1">
        <f t="array" ref="Q32">Scope3_Equations.VEERG_15_11_1_1__2_UpstreamTransportFuelEmissions(L32,G32,IF(ISNUMBER(K32),K32,0))</f>
        <v>0</v>
      </c>
    </row>
    <row r="33" spans="1:17" ht="20.100000000000001" customHeight="1" x14ac:dyDescent="0.25">
      <c r="A33"/>
      <c r="D33" s="60" t="str">
        <f>Table_FuelTypesPerUse[[#Headers],[Off-road Agriculture and forestry equipment]]</f>
        <v>Off-road Agriculture and forestry equipment</v>
      </c>
      <c r="E33" s="61" t="str">
        <f>'Constants - Fuel'!$E$11</f>
        <v>Diesel oil</v>
      </c>
      <c r="F33" s="61" t="str">
        <f>'Constants - Fuel'!H131</f>
        <v>Diesel</v>
      </c>
      <c r="G33" s="185" cm="1">
        <f t="array" ref="G33">IFERROR(_xlfn.XLOOKUP(1, (Table_Fuel_EFs_Transport[Fuel combusted]=$E33)*(Table_Fuel_EFs_Transport[Transport type]=$D$33), Table_Fuel_EFs_Transport[Energy Content Factor (GJ per unit of fuel)]), 0)</f>
        <v>38.6</v>
      </c>
      <c r="H33" s="185" cm="1">
        <f t="array" ref="H33">IFERROR(_xlfn.XLOOKUP(1, (Table_Fuel_EFs_Transport[Fuel combusted]=$E33)*(Table_Fuel_EFs_Transport[Transport type]=$D$33), Table_Fuel_EFs_Transport[Scope 1 Emission Factor (kg CO2 - e / GJ) CO2]), 0)</f>
        <v>69.900000000000006</v>
      </c>
      <c r="I33" s="185" cm="1">
        <f t="array" ref="I33">IFERROR(_xlfn.XLOOKUP(1, (Table_Fuel_EFs_Transport[Fuel combusted]=$E33)*(Table_Fuel_EFs_Transport[Transport type]=$D$33), Table_Fuel_EFs_Transport[Scope 1 Emission Factor (kg CO2 - e / GJ) CH4]), 0)</f>
        <v>0.3</v>
      </c>
      <c r="J33" s="185" cm="1">
        <f t="array" ref="J33">IFERROR(_xlfn.XLOOKUP(1, (Table_Fuel_EFs_Transport[Fuel combusted]=$E33)*(Table_Fuel_EFs_Transport[Transport type]=$D$33), Table_Fuel_EFs_Transport[Scope 1 Emission Factor (kg CO2 - e / GJ) N2O]), 0)</f>
        <v>0.5</v>
      </c>
      <c r="K33" s="186" cm="1">
        <f t="array" ref="K33">IFERROR(_xlfn.XLOOKUP(1, (Table_Fuel_EFs_Transport[Fuel combusted]=$E33)*(Table_Fuel_EFs_Transport[Transport type]=$D$25), Table_Fuel_EFs_Transport[Scope 3 Emission Factor (kg CO2 - e / GJ)]), 0)</f>
        <v>17.3</v>
      </c>
      <c r="L33" s="187" cm="1">
        <f t="array" ref="L33">Fuel_InputFunctions.Fuel_TotalConsumption(Table_Input_Fuel[Amount consumed], Table_Input_Fuel[Fuel use (select)], D33, Table_Input_Fuel[Fuel type (select)],F33)</f>
        <v>10</v>
      </c>
      <c r="M33" s="188" t="str" cm="1">
        <f t="array" ref="M33">Common_InputFunctions.Utility_LookupValueInTable(F33,Table_FuelTypes_Units[Fuel type],Table_FuelTypes_Units[Unit])</f>
        <v>kL</v>
      </c>
      <c r="N33" s="189" cm="1">
        <f t="array" ref="N33">Fuel_Equations.VEERG_8_1_1_1__1_FuelCombustionTransport($L33,$G33,$H33)</f>
        <v>26.981400000000001</v>
      </c>
      <c r="O33" s="189" cm="1">
        <f t="array" ref="O33">Fuel_Equations.VEERG_8_1_1_1__1_FuelCombustionTransport($L33,$G33,$I33)</f>
        <v>0.1158</v>
      </c>
      <c r="P33" s="189" cm="1">
        <f t="array" ref="P33">Fuel_Equations.VEERG_8_1_1_1__1_FuelCombustionTransport($L33,$G33,$J33)</f>
        <v>0.193</v>
      </c>
      <c r="Q33" s="190" cm="1">
        <f t="array" ref="Q33">Scope3_Equations.VEERG_15_11_1_1__2_UpstreamTransportFuelEmissions(L33,G33,K33)</f>
        <v>6.6778000000000004</v>
      </c>
    </row>
    <row r="34" spans="1:17" ht="20.100000000000001" customHeight="1" x14ac:dyDescent="0.25">
      <c r="A34"/>
      <c r="D34" s="60" t="str">
        <f>Table_FuelTypesPerUse[[#Headers],[Aviation]]</f>
        <v>Aviation</v>
      </c>
      <c r="E34" s="61" t="str">
        <f>'Constants - Fuel'!$E$28</f>
        <v>Gasoline for use as fuel in an aircraft</v>
      </c>
      <c r="F34" s="61" t="str">
        <f>'Constants - Fuel'!$F$131</f>
        <v>Avgas</v>
      </c>
      <c r="G34" s="191" cm="1">
        <f t="array" ref="G34">IFERROR(_xlfn.XLOOKUP(1, (Table_Fuel_EFs_Transport[Fuel combusted]=$E34)*(Table_Fuel_EFs_Transport[Transport type]=$D$34), Table_Fuel_EFs_Transport[Energy Content Factor (GJ per unit of fuel)]), 0)</f>
        <v>33.1</v>
      </c>
      <c r="H34" s="191" cm="1">
        <f t="array" ref="H34">IFERROR(_xlfn.XLOOKUP(1, (Table_Fuel_EFs_Transport[Fuel combusted]=$E34)*(Table_Fuel_EFs_Transport[Transport type]=$D$34), Table_Fuel_EFs_Transport[Scope 1 Emission Factor (kg CO2 - e / GJ) CO2]), 0)</f>
        <v>67</v>
      </c>
      <c r="I34" s="191" cm="1">
        <f t="array" ref="I34">IFERROR(_xlfn.XLOOKUP(1, (Table_Fuel_EFs_Transport[Fuel combusted]=$E34)*(Table_Fuel_EFs_Transport[Transport type]=$D$34), Table_Fuel_EFs_Transport[Scope 1 Emission Factor (kg CO2 - e / GJ) CH4]), 0)</f>
        <v>0.06</v>
      </c>
      <c r="J34" s="191" cm="1">
        <f t="array" ref="J34">IFERROR(_xlfn.XLOOKUP(1, (Table_Fuel_EFs_Transport[Fuel combusted]=$E34)*(Table_Fuel_EFs_Transport[Transport type]=$D$34), Table_Fuel_EFs_Transport[Scope 1 Emission Factor (kg CO2 - e / GJ) N2O]), 0)</f>
        <v>0.6</v>
      </c>
      <c r="K34" s="191" cm="1">
        <f t="array" ref="K34">IFERROR(_xlfn.XLOOKUP(1, (Table_Fuel_EFs_Transport[Fuel combusted]=$E34)*(Table_Fuel_EFs_Transport[Transport type]=$D$25), Table_Fuel_EFs_Transport[Scope 3 Emission Factor (kg CO2 - e / GJ)]), 0)</f>
        <v>0</v>
      </c>
      <c r="L34" s="188" cm="1">
        <f t="array" ref="L34">Fuel_InputFunctions.Fuel_TotalConsumption(Table_Input_Fuel[Amount consumed], Table_Input_Fuel[Fuel use (select)], D34, Table_Input_Fuel[Fuel type (select)],F34)</f>
        <v>0</v>
      </c>
      <c r="M34" s="188" t="str" cm="1">
        <f t="array" ref="M34">Common_InputFunctions.Utility_LookupValueInTable(F34,Table_FuelTypes_Units[Fuel type],Table_FuelTypes_Units[Unit])</f>
        <v>kL</v>
      </c>
      <c r="N34" s="189" cm="1">
        <f t="array" ref="N34">Fuel_Equations.VEERG_8_1_1_1__1_FuelCombustionTransport($L34,$G34,$H34)</f>
        <v>0</v>
      </c>
      <c r="O34" s="189" cm="1">
        <f t="array" ref="O34">Fuel_Equations.VEERG_8_1_1_1__1_FuelCombustionTransport($L34,$G34,$I34)</f>
        <v>0</v>
      </c>
      <c r="P34" s="189" cm="1">
        <f t="array" ref="P34">Fuel_Equations.VEERG_8_1_1_1__1_FuelCombustionTransport($L34,$G34,$J34)</f>
        <v>0</v>
      </c>
      <c r="Q34" s="189" cm="1">
        <f t="array" ref="Q34">Scope3_Equations.VEERG_15_11_1_1__2_UpstreamTransportFuelEmissions(L34,G34,K34)</f>
        <v>0</v>
      </c>
    </row>
    <row r="35" spans="1:17" ht="20.100000000000001" customHeight="1" x14ac:dyDescent="0.25">
      <c r="A35" s="222" t="s">
        <v>78</v>
      </c>
      <c r="D35" s="59" t="str">
        <f>$D$34</f>
        <v>Aviation</v>
      </c>
      <c r="E35" s="58" t="str">
        <f>'Constants - Fuel'!$E$29</f>
        <v>Kerosene for use as fuel in an aircraft</v>
      </c>
      <c r="F35" s="58" t="str">
        <f>'Constants - Fuel'!$F$132</f>
        <v>Jet A1, Jet B</v>
      </c>
      <c r="G35" s="49" cm="1">
        <f t="array" ref="G35">IFERROR(_xlfn.XLOOKUP(1, (Table_Fuel_EFs_Transport[Fuel combusted]=$E35)*(Table_Fuel_EFs_Transport[Transport type]=$D$34), Table_Fuel_EFs_Transport[Energy Content Factor (GJ per unit of fuel)]), 0)</f>
        <v>36.799999999999997</v>
      </c>
      <c r="H35" s="49" cm="1">
        <f t="array" ref="H35">IFERROR(_xlfn.XLOOKUP(1, (Table_Fuel_EFs_Transport[Fuel combusted]=$E35)*(Table_Fuel_EFs_Transport[Transport type]=$D$34), Table_Fuel_EFs_Transport[Scope 1 Emission Factor (kg CO2 - e / GJ) CO2]), 0)</f>
        <v>69.599999999999994</v>
      </c>
      <c r="I35" s="49" cm="1">
        <f t="array" ref="I35">IFERROR(_xlfn.XLOOKUP(1, (Table_Fuel_EFs_Transport[Fuel combusted]=$E35)*(Table_Fuel_EFs_Transport[Transport type]=$D$34), Table_Fuel_EFs_Transport[Scope 1 Emission Factor (kg CO2 - e / GJ) CH4]), 0)</f>
        <v>0.01</v>
      </c>
      <c r="J35" s="49" cm="1">
        <f t="array" ref="J35">IFERROR(_xlfn.XLOOKUP(1, (Table_Fuel_EFs_Transport[Fuel combusted]=$E35)*(Table_Fuel_EFs_Transport[Transport type]=$D$34), Table_Fuel_EFs_Transport[Scope 1 Emission Factor (kg CO2 - e / GJ) N2O]), 0)</f>
        <v>0.6</v>
      </c>
      <c r="K35" s="49" cm="1">
        <f t="array" ref="K35">IFERROR(_xlfn.XLOOKUP(1, (Table_Fuel_EFs_Transport[Fuel combusted]=$E35)*(Table_Fuel_EFs_Transport[Transport type]=$D$25), Table_Fuel_EFs_Transport[Scope 3 Emission Factor (kg CO2 - e / GJ)]), 0)</f>
        <v>0</v>
      </c>
      <c r="L35" s="181" cm="1">
        <f t="array" ref="L35">Fuel_InputFunctions.Fuel_TotalConsumption(Table_Input_Fuel[Amount consumed], Table_Input_Fuel[Fuel use (select)], D35, Table_Input_Fuel[Fuel type (select)],F35)</f>
        <v>0</v>
      </c>
      <c r="M35" s="181" t="str" cm="1">
        <f t="array" ref="M35">Common_InputFunctions.Utility_LookupValueInTable(F35,Table_FuelTypes_Units[Fuel type],Table_FuelTypes_Units[Unit])</f>
        <v>kL</v>
      </c>
      <c r="N35" s="182" cm="1">
        <f t="array" ref="N35">Fuel_Equations.VEERG_8_1_1_1__1_FuelCombustionTransport($L35,$G35,$H35)</f>
        <v>0</v>
      </c>
      <c r="O35" s="182" cm="1">
        <f t="array" ref="O35">Fuel_Equations.VEERG_8_1_1_1__1_FuelCombustionTransport($L35,$G35,$I35)</f>
        <v>0</v>
      </c>
      <c r="P35" s="182" cm="1">
        <f t="array" ref="P35">Fuel_Equations.VEERG_8_1_1_1__1_FuelCombustionTransport($L35,$G35,$J35)</f>
        <v>0</v>
      </c>
      <c r="Q35" s="182" cm="1">
        <f t="array" ref="Q35">Scope3_Equations.VEERG_15_11_1_1__2_UpstreamTransportFuelEmissions(L35,G35,K35)</f>
        <v>0</v>
      </c>
    </row>
    <row r="36" spans="1:17" ht="20.100000000000001" customHeight="1" x14ac:dyDescent="0.25">
      <c r="A36" s="16" t="str">
        <f>HYPERLINK("#'Constants - Scope 3'!A1", "Constants - Scope 3")</f>
        <v>Constants - Scope 3</v>
      </c>
      <c r="D36" s="59" t="str">
        <f>$D$34</f>
        <v>Aviation</v>
      </c>
      <c r="E36" s="58" t="str">
        <f>'Constants - Fuel'!$E$30</f>
        <v>Renewable aviation kerosene</v>
      </c>
      <c r="F36" s="58" t="str">
        <f>'Constants - Fuel'!$F$133</f>
        <v>Renewable aviation kerosene</v>
      </c>
      <c r="G36" s="161" cm="1">
        <f t="array" ref="G36">IFERROR(_xlfn.XLOOKUP(1, (Table_Fuel_EFs_Transport[Fuel combusted]=$E36)*(Table_Fuel_EFs_Transport[Transport type]=$D$34), Table_Fuel_EFs_Transport[Energy Content Factor (GJ per unit of fuel)]), 0)</f>
        <v>36.799999999999997</v>
      </c>
      <c r="H36" s="161" cm="1">
        <f t="array" ref="H36">IFERROR(_xlfn.XLOOKUP(1, (Table_Fuel_EFs_Transport[Fuel combusted]=$E36)*(Table_Fuel_EFs_Transport[Transport type]=$D$34), Table_Fuel_EFs_Transport[Scope 1 Emission Factor (kg CO2 - e / GJ) CO2]), 0)</f>
        <v>0</v>
      </c>
      <c r="I36" s="161" cm="1">
        <f t="array" ref="I36">IFERROR(_xlfn.XLOOKUP(1, (Table_Fuel_EFs_Transport[Fuel combusted]=$E36)*(Table_Fuel_EFs_Transport[Transport type]=$D$34), Table_Fuel_EFs_Transport[Scope 1 Emission Factor (kg CO2 - e / GJ) CH4]), 0)</f>
        <v>0.01</v>
      </c>
      <c r="J36" s="161" cm="1">
        <f t="array" ref="J36">IFERROR(_xlfn.XLOOKUP(1, (Table_Fuel_EFs_Transport[Fuel combusted]=$E36)*(Table_Fuel_EFs_Transport[Transport type]=$D$34), Table_Fuel_EFs_Transport[Scope 1 Emission Factor (kg CO2 - e / GJ) N2O]), 0)</f>
        <v>0.6</v>
      </c>
      <c r="K36" s="161" cm="1">
        <f t="array" ref="K36">IFERROR(_xlfn.XLOOKUP(1, (Table_Fuel_EFs_Transport[Fuel combusted]=$E36)*(Table_Fuel_EFs_Transport[Transport type]=$D$25), Table_Fuel_EFs_Transport[Scope 3 Emission Factor (kg CO2 - e / GJ)]), 0)</f>
        <v>0</v>
      </c>
      <c r="L36" s="183" cm="1">
        <f t="array" ref="L36">Fuel_InputFunctions.Fuel_TotalConsumption(Table_Input_Fuel[Amount consumed], Table_Input_Fuel[Fuel use (select)], D36, Table_Input_Fuel[Fuel type (select)],F36)</f>
        <v>0</v>
      </c>
      <c r="M36" s="181" t="str" cm="1">
        <f t="array" ref="M36">Common_InputFunctions.Utility_LookupValueInTable(F36,Table_FuelTypes_Units[Fuel type],Table_FuelTypes_Units[Unit])</f>
        <v>kL</v>
      </c>
      <c r="N36" s="182" cm="1">
        <f t="array" ref="N36">Fuel_Equations.VEERG_8_1_1_1__1_FuelCombustionTransport($L36,$G36,$H36)</f>
        <v>0</v>
      </c>
      <c r="O36" s="182" cm="1">
        <f t="array" ref="O36">Fuel_Equations.VEERG_8_1_1_1__1_FuelCombustionTransport($L36,$G36,$I36)</f>
        <v>0</v>
      </c>
      <c r="P36" s="182" cm="1">
        <f t="array" ref="P36">Fuel_Equations.VEERG_8_1_1_1__1_FuelCombustionTransport($L36,$G36,$J36)</f>
        <v>0</v>
      </c>
      <c r="Q36" s="184" cm="1">
        <f t="array" ref="Q36">Scope3_Equations.VEERG_15_11_1_1__2_UpstreamTransportFuelEmissions(L36,G36,K36)</f>
        <v>0</v>
      </c>
    </row>
    <row r="37" spans="1:17" ht="20.100000000000001" customHeight="1" x14ac:dyDescent="0.25">
      <c r="A37" s="16" t="str">
        <f>HYPERLINK("#'Constants - Solid Waste'!A1", "Constants - Solid Waste")</f>
        <v>Constants - Solid Waste</v>
      </c>
      <c r="D37" s="60" t="str">
        <f>Table_FuelTypesPerUse[[#Headers],[Vessels]]</f>
        <v>Vessels</v>
      </c>
      <c r="E37" s="61" t="str">
        <f>'Constants - Fuel'!$E$10</f>
        <v>Gasoline</v>
      </c>
      <c r="F37" s="61" t="str">
        <f>'Constants - Fuel'!$I$131</f>
        <v>Petrol</v>
      </c>
      <c r="G37" s="191" cm="1">
        <f t="array" ref="G37">IFERROR(_xlfn.XLOOKUP(1, (Table_Fuel_EFs_Transport[Fuel combusted]=$E37)*(Table_Fuel_EFs_Transport[Transport type]=$D$37), Table_Fuel_EFs_Transport[Energy Content Factor (GJ per unit of fuel)]), 0)</f>
        <v>34.200000000000003</v>
      </c>
      <c r="H37" s="191" cm="1">
        <f t="array" ref="H37">IFERROR(_xlfn.XLOOKUP(1, (Table_Fuel_EFs_Transport[Fuel combusted]=$E37)*(Table_Fuel_EFs_Transport[Transport type]=$D$37), Table_Fuel_EFs_Transport[Scope 1 Emission Factor (kg CO2 - e / GJ) CO2]), 0)</f>
        <v>67.400000000000006</v>
      </c>
      <c r="I37" s="191" cm="1">
        <f t="array" ref="I37">IFERROR(_xlfn.XLOOKUP(1, (Table_Fuel_EFs_Transport[Fuel combusted]=$E37)*(Table_Fuel_EFs_Transport[Transport type]=$D$37), Table_Fuel_EFs_Transport[Scope 1 Emission Factor (kg CO2 - e / GJ) CH4]), 0)</f>
        <v>10.1</v>
      </c>
      <c r="J37" s="191" cm="1">
        <f t="array" ref="J37">IFERROR(_xlfn.XLOOKUP(1, (Table_Fuel_EFs_Transport[Fuel combusted]=$E37)*(Table_Fuel_EFs_Transport[Transport type]=$D$37), Table_Fuel_EFs_Transport[Scope 1 Emission Factor (kg CO2 - e / GJ) N2O]), 0)</f>
        <v>0.3</v>
      </c>
      <c r="K37" s="191" cm="1">
        <f t="array" ref="K37">IFERROR(_xlfn.XLOOKUP(1, (Table_Fuel_EFs_Transport[Fuel combusted]=$E37)*(Table_Fuel_EFs_Transport[Transport type]=$D$25), Table_Fuel_EFs_Transport[Scope 3 Emission Factor (kg CO2 - e / GJ)]), 0)</f>
        <v>17.2</v>
      </c>
      <c r="L37" s="188" cm="1">
        <f t="array" ref="L37">Fuel_InputFunctions.Fuel_TotalConsumption(Table_Input_Fuel[Amount consumed], Table_Input_Fuel[Fuel use (select)], D37, Table_Input_Fuel[Fuel type (select)],F37)</f>
        <v>0</v>
      </c>
      <c r="M37" s="192" t="str" cm="1">
        <f t="array" ref="M37">Common_InputFunctions.Utility_LookupValueInTable(F37,Table_FuelTypes_Units[Fuel type],Table_FuelTypes_Units[Unit])</f>
        <v>kL</v>
      </c>
      <c r="N37" s="189" cm="1">
        <f t="array" ref="N37">Fuel_Equations.VEERG_8_1_1_1__1_FuelCombustionTransport($L37,$G37,$H37)</f>
        <v>0</v>
      </c>
      <c r="O37" s="189" cm="1">
        <f t="array" ref="O37">Fuel_Equations.VEERG_8_1_1_1__1_FuelCombustionTransport($L37,$G37,$I37)</f>
        <v>0</v>
      </c>
      <c r="P37" s="189" cm="1">
        <f t="array" ref="P37">Fuel_Equations.VEERG_8_1_1_1__1_FuelCombustionTransport($L37,$G37,$J37)</f>
        <v>0</v>
      </c>
      <c r="Q37" s="189" cm="1">
        <f t="array" ref="Q37">Scope3_Equations.VEERG_15_11_1_1__2_UpstreamTransportFuelEmissions(L37,G37,K37)</f>
        <v>0</v>
      </c>
    </row>
    <row r="38" spans="1:17" ht="20.100000000000001" customHeight="1" x14ac:dyDescent="0.25">
      <c r="A38" s="16" t="str">
        <f>HYPERLINK("#'Constants - Fuel'!A1", "Constants - Fuel")</f>
        <v>Constants - Fuel</v>
      </c>
      <c r="D38" s="59" t="str">
        <f>$D$37</f>
        <v>Vessels</v>
      </c>
      <c r="E38" s="58" t="str">
        <f>'Constants - Fuel'!$E$11</f>
        <v>Diesel oil</v>
      </c>
      <c r="F38" s="58" t="str">
        <f>'Constants - Fuel'!$I$132</f>
        <v>Diesel</v>
      </c>
      <c r="G38" s="49" cm="1">
        <f t="array" ref="G38">IFERROR(_xlfn.XLOOKUP(1, (Table_Fuel_EFs_Transport[Fuel combusted]=$E38)*(Table_Fuel_EFs_Transport[Transport type]=$D$37), Table_Fuel_EFs_Transport[Energy Content Factor (GJ per unit of fuel)]), 0)</f>
        <v>38.6</v>
      </c>
      <c r="H38" s="49" cm="1">
        <f t="array" ref="H38">IFERROR(_xlfn.XLOOKUP(1, (Table_Fuel_EFs_Transport[Fuel combusted]=$E38)*(Table_Fuel_EFs_Transport[Transport type]=$D$37), Table_Fuel_EFs_Transport[Scope 1 Emission Factor (kg CO2 - e / GJ) CO2]), 0)</f>
        <v>69.900000000000006</v>
      </c>
      <c r="I38" s="49" cm="1">
        <f t="array" ref="I38">IFERROR(_xlfn.XLOOKUP(1, (Table_Fuel_EFs_Transport[Fuel combusted]=$E38)*(Table_Fuel_EFs_Transport[Transport type]=$D$37), Table_Fuel_EFs_Transport[Scope 1 Emission Factor (kg CO2 - e / GJ) CH4]), 0)</f>
        <v>0.2</v>
      </c>
      <c r="J38" s="49" cm="1">
        <f t="array" ref="J38">IFERROR(_xlfn.XLOOKUP(1, (Table_Fuel_EFs_Transport[Fuel combusted]=$E38)*(Table_Fuel_EFs_Transport[Transport type]=$D$37), Table_Fuel_EFs_Transport[Scope 1 Emission Factor (kg CO2 - e / GJ) N2O]), 0)</f>
        <v>0.5</v>
      </c>
      <c r="K38" s="49" cm="1">
        <f t="array" ref="K38">IFERROR(_xlfn.XLOOKUP(1, (Table_Fuel_EFs_Transport[Fuel combusted]=$E38)*(Table_Fuel_EFs_Transport[Transport type]=$D$25), Table_Fuel_EFs_Transport[Scope 3 Emission Factor (kg CO2 - e / GJ)]), 0)</f>
        <v>17.3</v>
      </c>
      <c r="L38" s="181" cm="1">
        <f t="array" ref="L38">Fuel_InputFunctions.Fuel_TotalConsumption(Table_Input_Fuel[Amount consumed], Table_Input_Fuel[Fuel use (select)], D38, Table_Input_Fuel[Fuel type (select)],F38)</f>
        <v>0</v>
      </c>
      <c r="M38" s="181" t="str" cm="1">
        <f t="array" ref="M38">Common_InputFunctions.Utility_LookupValueInTable(F38,Table_FuelTypes_Units[Fuel type],Table_FuelTypes_Units[Unit])</f>
        <v>kL</v>
      </c>
      <c r="N38" s="182" cm="1">
        <f t="array" ref="N38">Fuel_Equations.VEERG_8_1_1_1__1_FuelCombustionTransport($L38,$G38,$H38)</f>
        <v>0</v>
      </c>
      <c r="O38" s="182" cm="1">
        <f t="array" ref="O38">Fuel_Equations.VEERG_8_1_1_1__1_FuelCombustionTransport($L38,$G38,$I38)</f>
        <v>0</v>
      </c>
      <c r="P38" s="182" cm="1">
        <f t="array" ref="P38">Fuel_Equations.VEERG_8_1_1_1__1_FuelCombustionTransport($L38,$G38,$J38)</f>
        <v>0</v>
      </c>
      <c r="Q38" s="182" cm="1">
        <f t="array" ref="Q38">Scope3_Equations.VEERG_15_11_1_1__2_UpstreamTransportFuelEmissions(L38,G38,K38)</f>
        <v>0</v>
      </c>
    </row>
    <row r="39" spans="1:17" ht="20.100000000000001" customHeight="1" x14ac:dyDescent="0.25">
      <c r="A39" s="16" t="str">
        <f>HYPERLINK("#'Constants - Poultry'!A1", "Constants - Poultry")</f>
        <v>Constants - Poultry</v>
      </c>
      <c r="D39" s="59" t="str">
        <f>$D$37</f>
        <v>Vessels</v>
      </c>
      <c r="E39" s="58" t="str">
        <f>'Constants - Fuel'!E33</f>
        <v>Fuel Oil</v>
      </c>
      <c r="F39" s="58" t="str">
        <f>'Constants - Fuel'!$I$133</f>
        <v>Fuel oil</v>
      </c>
      <c r="G39" s="49" cm="1">
        <f t="array" ref="G39">IFERROR(_xlfn.XLOOKUP(1, (Table_Fuel_EFs_Transport[Fuel combusted]=$E39)*(Table_Fuel_EFs_Transport[Transport type]=$D$37), Table_Fuel_EFs_Transport[Energy Content Factor (GJ per unit of fuel)]), 0)</f>
        <v>39.700000000000003</v>
      </c>
      <c r="H39" s="49" cm="1">
        <f t="array" ref="H39">IFERROR(_xlfn.XLOOKUP(1, (Table_Fuel_EFs_Transport[Fuel combusted]=$E39)*(Table_Fuel_EFs_Transport[Transport type]=$D$37), Table_Fuel_EFs_Transport[Scope 1 Emission Factor (kg CO2 - e / GJ) CO2]), 0)</f>
        <v>73.599999999999994</v>
      </c>
      <c r="I39" s="49" cm="1">
        <f t="array" ref="I39">IFERROR(_xlfn.XLOOKUP(1, (Table_Fuel_EFs_Transport[Fuel combusted]=$E39)*(Table_Fuel_EFs_Transport[Transport type]=$D$37), Table_Fuel_EFs_Transport[Scope 1 Emission Factor (kg CO2 - e / GJ) CH4]), 0)</f>
        <v>0.2</v>
      </c>
      <c r="J39" s="49" cm="1">
        <f t="array" ref="J39">IFERROR(_xlfn.XLOOKUP(1, (Table_Fuel_EFs_Transport[Fuel combusted]=$E39)*(Table_Fuel_EFs_Transport[Transport type]=$D$37), Table_Fuel_EFs_Transport[Scope 1 Emission Factor (kg CO2 - e / GJ) N2O]), 0)</f>
        <v>0.5</v>
      </c>
      <c r="K39" s="49" cm="1">
        <f t="array" ref="K39">IFERROR(_xlfn.XLOOKUP(1, (Table_Fuel_EFs_Transport[Fuel combusted]=$E39)*(Table_Fuel_EFs_Transport[Transport type]=$D$25), Table_Fuel_EFs_Transport[Scope 3 Emission Factor (kg CO2 - e / GJ)]), 0)</f>
        <v>18</v>
      </c>
      <c r="L39" s="181" cm="1">
        <f t="array" ref="L39">Fuel_InputFunctions.Fuel_TotalConsumption(Table_Input_Fuel[Amount consumed], Table_Input_Fuel[Fuel use (select)], D39, Table_Input_Fuel[Fuel type (select)],F39)</f>
        <v>10</v>
      </c>
      <c r="M39" s="181" t="str" cm="1">
        <f t="array" ref="M39">Common_InputFunctions.Utility_LookupValueInTable(F39,Table_FuelTypes_Units[Fuel type],Table_FuelTypes_Units[Unit])</f>
        <v>kL</v>
      </c>
      <c r="N39" s="182" cm="1">
        <f t="array" ref="N39">Fuel_Equations.VEERG_8_1_1_1__1_FuelCombustionTransport($L39,$G39,$H39)</f>
        <v>29.219199999999997</v>
      </c>
      <c r="O39" s="182" cm="1">
        <f t="array" ref="O39">Fuel_Equations.VEERG_8_1_1_1__1_FuelCombustionTransport($L39,$G39,$I39)</f>
        <v>7.9400000000000012E-2</v>
      </c>
      <c r="P39" s="182" cm="1">
        <f t="array" ref="P39">Fuel_Equations.VEERG_8_1_1_1__1_FuelCombustionTransport($L39,$G39,$J39)</f>
        <v>0.19850000000000001</v>
      </c>
      <c r="Q39" s="182" cm="1">
        <f t="array" ref="Q39">Scope3_Equations.VEERG_15_11_1_1__2_UpstreamTransportFuelEmissions(L39,G39,K39)</f>
        <v>7.1459999999999999</v>
      </c>
    </row>
    <row r="40" spans="1:17" ht="20.100000000000001" customHeight="1" x14ac:dyDescent="0.25">
      <c r="A40" s="16" t="str">
        <f>HYPERLINK("#'Constants - Swine'!A1", "Constants - Swine")</f>
        <v>Constants - Swine</v>
      </c>
      <c r="H40" s="17"/>
      <c r="I40" s="17"/>
      <c r="J40" s="17"/>
      <c r="L40" s="17"/>
      <c r="M40" s="17"/>
      <c r="N40" s="17"/>
      <c r="O40" s="17"/>
      <c r="P40" s="17"/>
      <c r="Q40" s="17"/>
    </row>
    <row r="41" spans="1:17" ht="20.100000000000001" customHeight="1" x14ac:dyDescent="0.25">
      <c r="A41" s="16" t="str">
        <f>HYPERLINK("#'Constants - Dairy'!A1", "Constants - Dairy")</f>
        <v>Constants - Dairy</v>
      </c>
      <c r="H41" s="17"/>
      <c r="I41" s="17"/>
      <c r="J41" s="17"/>
      <c r="L41" s="17"/>
      <c r="M41" s="17"/>
      <c r="N41" s="17"/>
      <c r="O41" s="17"/>
      <c r="P41" s="17"/>
      <c r="Q41" s="17"/>
    </row>
    <row r="42" spans="1:17" ht="20.100000000000001" customHeight="1" x14ac:dyDescent="0.25">
      <c r="A42" s="16" t="str">
        <f>HYPERLINK("#'Constants - Pasture Beef'!A1", "Constants - Pasture Beef")</f>
        <v>Constants - Pasture Beef</v>
      </c>
      <c r="D42" s="193" t="str">
        <f>"Total scope 1 - " &amp; D25</f>
        <v>Total scope 1 - Cars and light commercial vehicles</v>
      </c>
      <c r="E42" s="194"/>
      <c r="F42" s="195"/>
    </row>
    <row r="43" spans="1:17" ht="20.100000000000001" customHeight="1" x14ac:dyDescent="0.25">
      <c r="A43" s="16" t="str">
        <f>HYPERLINK("#'Constants - Common Livestock'!A1", "Constants - Common Livestock")</f>
        <v>Constants - Common Livestock</v>
      </c>
      <c r="D43" s="7" t="s">
        <v>712</v>
      </c>
      <c r="E43" s="196">
        <f>SUM(N25:N32)+N("Partial sum")</f>
        <v>26.981400000000001</v>
      </c>
      <c r="F43" s="65" t="str">
        <f>$E$12</f>
        <v>t CO2-e</v>
      </c>
    </row>
    <row r="44" spans="1:17" ht="20.100000000000001" customHeight="1" x14ac:dyDescent="0.25">
      <c r="A44" s="16" t="str">
        <f>HYPERLINK("#'Constants - Fertiliser'!A1", "Constants - Fertiliser")</f>
        <v>Constants - Fertiliser</v>
      </c>
      <c r="D44" s="7" t="s">
        <v>713</v>
      </c>
      <c r="E44" s="196">
        <f>SUM(O25:O32)+N("Partial sum")</f>
        <v>3.8600000000000001E-3</v>
      </c>
      <c r="F44" s="65" t="str">
        <f t="shared" ref="F44:F46" si="1">$E$12</f>
        <v>t CO2-e</v>
      </c>
    </row>
    <row r="45" spans="1:17" ht="20.100000000000001" customHeight="1" x14ac:dyDescent="0.25">
      <c r="A45" s="16" t="str">
        <f>HYPERLINK("#'Constants - Electricity'!A1", "Constants - Electricity")</f>
        <v>Constants - Electricity</v>
      </c>
      <c r="D45" s="7" t="s">
        <v>714</v>
      </c>
      <c r="E45" s="196">
        <f>SUM(P25:P32)+N("Partial sum")</f>
        <v>0.193</v>
      </c>
      <c r="F45" s="65" t="str">
        <f t="shared" si="1"/>
        <v>t CO2-e</v>
      </c>
    </row>
    <row r="46" spans="1:17" ht="20.100000000000001" customHeight="1" x14ac:dyDescent="0.25">
      <c r="A46" s="16" t="str">
        <f>HYPERLINK("#'Constants - Common'!A1", "Constants - Common")</f>
        <v>Constants - Common</v>
      </c>
      <c r="D46" s="7" t="s">
        <v>715</v>
      </c>
      <c r="E46" s="196">
        <f>SUM(Q25:Q32)+N("Partial sum")</f>
        <v>6.6778000000000004</v>
      </c>
      <c r="F46" s="65" t="str">
        <f t="shared" si="1"/>
        <v>t CO2-e</v>
      </c>
    </row>
    <row r="47" spans="1:17" ht="20.100000000000001" customHeight="1" x14ac:dyDescent="0.25">
      <c r="A47"/>
      <c r="D47" s="17"/>
      <c r="E47" s="17"/>
      <c r="F47" s="17"/>
    </row>
    <row r="48" spans="1:17" ht="20.100000000000001" customHeight="1" x14ac:dyDescent="0.25">
      <c r="A48"/>
      <c r="D48" s="193" t="str">
        <f>"Total scope 1 - " &amp; D33</f>
        <v>Total scope 1 - Off-road Agriculture and forestry equipment</v>
      </c>
      <c r="E48" s="197"/>
      <c r="F48" s="195"/>
      <c r="H48" s="17"/>
      <c r="I48" s="17"/>
      <c r="J48" s="17"/>
      <c r="L48" s="17"/>
      <c r="M48" s="17"/>
      <c r="N48" s="17"/>
      <c r="O48" s="17"/>
      <c r="P48" s="17"/>
      <c r="Q48" s="17"/>
    </row>
    <row r="49" spans="1:17" ht="20.100000000000001" customHeight="1" x14ac:dyDescent="0.25">
      <c r="A49"/>
      <c r="D49" s="7" t="s">
        <v>712</v>
      </c>
      <c r="E49" s="196">
        <f>SUM(N33:N33)+N("Partial sum")</f>
        <v>26.981400000000001</v>
      </c>
      <c r="F49" s="65" t="str">
        <f t="shared" ref="F49:F52" si="2">$E$12</f>
        <v>t CO2-e</v>
      </c>
      <c r="H49" s="17"/>
      <c r="I49" s="17"/>
      <c r="J49" s="17"/>
      <c r="L49" s="17"/>
      <c r="M49" s="17"/>
      <c r="N49" s="17"/>
      <c r="O49" s="17"/>
      <c r="P49" s="17"/>
      <c r="Q49" s="17"/>
    </row>
    <row r="50" spans="1:17" ht="20.100000000000001" customHeight="1" x14ac:dyDescent="0.25">
      <c r="A50"/>
      <c r="D50" s="7" t="s">
        <v>713</v>
      </c>
      <c r="E50" s="196">
        <f>SUM(O33:O33)+N("Partial sum")</f>
        <v>0.1158</v>
      </c>
      <c r="F50" s="65" t="str">
        <f t="shared" si="2"/>
        <v>t CO2-e</v>
      </c>
      <c r="H50" s="17"/>
      <c r="I50" s="17"/>
      <c r="J50" s="17"/>
      <c r="L50" s="17"/>
      <c r="M50" s="17"/>
      <c r="N50" s="17"/>
      <c r="O50" s="17"/>
      <c r="P50" s="17"/>
      <c r="Q50" s="17"/>
    </row>
    <row r="51" spans="1:17" ht="20.100000000000001" customHeight="1" x14ac:dyDescent="0.25">
      <c r="A51"/>
      <c r="D51" s="7" t="s">
        <v>714</v>
      </c>
      <c r="E51" s="196">
        <f>SUM(P33:P33)+N("Partial sum")</f>
        <v>0.193</v>
      </c>
      <c r="F51" s="65" t="str">
        <f t="shared" si="2"/>
        <v>t CO2-e</v>
      </c>
      <c r="H51" s="17"/>
      <c r="I51" s="17"/>
      <c r="J51" s="17"/>
      <c r="L51" s="17"/>
      <c r="M51" s="17"/>
      <c r="N51" s="17"/>
      <c r="O51" s="17"/>
      <c r="P51" s="17"/>
      <c r="Q51" s="17"/>
    </row>
    <row r="52" spans="1:17" ht="20.100000000000001" customHeight="1" x14ac:dyDescent="0.25">
      <c r="A52"/>
      <c r="D52" s="7" t="s">
        <v>715</v>
      </c>
      <c r="E52" s="196">
        <f>SUM(Q33)+N("Partial sum")</f>
        <v>6.6778000000000004</v>
      </c>
      <c r="F52" s="65" t="str">
        <f t="shared" si="2"/>
        <v>t CO2-e</v>
      </c>
      <c r="H52" s="17"/>
      <c r="I52" s="17"/>
      <c r="J52" s="17"/>
      <c r="L52" s="17"/>
      <c r="M52" s="17"/>
      <c r="N52" s="17"/>
      <c r="O52" s="17"/>
      <c r="P52" s="17"/>
      <c r="Q52" s="17"/>
    </row>
    <row r="53" spans="1:17" ht="20.100000000000001" customHeight="1" x14ac:dyDescent="0.25">
      <c r="A53"/>
      <c r="D53" s="17"/>
      <c r="E53" s="198"/>
      <c r="F53" s="17"/>
      <c r="G53" s="17"/>
      <c r="H53" s="17"/>
      <c r="I53" s="17"/>
      <c r="J53" s="17"/>
      <c r="L53" s="17"/>
      <c r="M53" s="17"/>
      <c r="N53" s="17"/>
      <c r="O53" s="17"/>
      <c r="P53" s="17"/>
      <c r="Q53" s="17"/>
    </row>
    <row r="54" spans="1:17" ht="20.100000000000001" customHeight="1" x14ac:dyDescent="0.25">
      <c r="A54"/>
      <c r="D54" s="193" t="str">
        <f>"Total scope 1 - " &amp; D34</f>
        <v>Total scope 1 - Aviation</v>
      </c>
      <c r="E54" s="197"/>
      <c r="F54" s="195"/>
      <c r="G54" s="17"/>
      <c r="H54" s="17"/>
      <c r="I54" s="17"/>
      <c r="J54" s="17"/>
      <c r="L54" s="17"/>
      <c r="M54" s="17"/>
      <c r="N54" s="17"/>
      <c r="O54" s="17"/>
      <c r="P54" s="17"/>
      <c r="Q54" s="17"/>
    </row>
    <row r="55" spans="1:17" ht="20.100000000000001" customHeight="1" x14ac:dyDescent="0.25">
      <c r="A55"/>
      <c r="D55" s="7" t="s">
        <v>712</v>
      </c>
      <c r="E55" s="196">
        <f>SUM(N34:N36)+N("Partial sum")</f>
        <v>0</v>
      </c>
      <c r="F55" s="65" t="str">
        <f t="shared" ref="F55:F58" si="3">$E$12</f>
        <v>t CO2-e</v>
      </c>
      <c r="G55" s="17"/>
      <c r="H55" s="17"/>
      <c r="I55" s="17"/>
      <c r="J55" s="17"/>
      <c r="L55" s="17"/>
      <c r="M55" s="17"/>
      <c r="N55" s="17"/>
      <c r="O55" s="17"/>
      <c r="P55" s="17"/>
      <c r="Q55" s="17"/>
    </row>
    <row r="56" spans="1:17" ht="20.100000000000001" customHeight="1" x14ac:dyDescent="0.25">
      <c r="A56"/>
      <c r="D56" s="7" t="s">
        <v>713</v>
      </c>
      <c r="E56" s="196">
        <f>SUM(O34:O36)+N("Partial sum")</f>
        <v>0</v>
      </c>
      <c r="F56" s="65" t="str">
        <f t="shared" si="3"/>
        <v>t CO2-e</v>
      </c>
      <c r="G56" s="17"/>
      <c r="H56" s="17"/>
      <c r="I56" s="17"/>
      <c r="J56" s="17"/>
      <c r="L56" s="17"/>
      <c r="M56" s="17"/>
      <c r="N56" s="17"/>
      <c r="O56" s="17"/>
      <c r="P56" s="17"/>
      <c r="Q56" s="17"/>
    </row>
    <row r="57" spans="1:17" ht="20.100000000000001" customHeight="1" x14ac:dyDescent="0.25">
      <c r="A57"/>
      <c r="D57" s="7" t="s">
        <v>714</v>
      </c>
      <c r="E57" s="196">
        <f>SUM(P34:P36)+N("Partial sum")</f>
        <v>0</v>
      </c>
      <c r="F57" s="65" t="str">
        <f t="shared" si="3"/>
        <v>t CO2-e</v>
      </c>
      <c r="G57" s="17"/>
      <c r="H57" s="17"/>
      <c r="I57" s="17"/>
      <c r="J57" s="17"/>
      <c r="L57" s="17"/>
      <c r="M57" s="17"/>
      <c r="N57" s="17"/>
      <c r="O57" s="17"/>
      <c r="P57" s="17"/>
      <c r="Q57" s="17"/>
    </row>
    <row r="58" spans="1:17" ht="20.100000000000001" customHeight="1" x14ac:dyDescent="0.25">
      <c r="A58"/>
      <c r="D58" s="7" t="s">
        <v>715</v>
      </c>
      <c r="E58" s="196">
        <f>SUM(Q34:Q36)+N("Partial sum")</f>
        <v>0</v>
      </c>
      <c r="F58" s="65" t="str">
        <f t="shared" si="3"/>
        <v>t CO2-e</v>
      </c>
      <c r="G58" s="17"/>
      <c r="H58" s="17"/>
      <c r="I58" s="17"/>
      <c r="J58" s="17"/>
      <c r="L58" s="17"/>
      <c r="M58" s="17"/>
      <c r="N58" s="17"/>
      <c r="O58" s="17"/>
      <c r="P58" s="17"/>
      <c r="Q58" s="17"/>
    </row>
    <row r="59" spans="1:17" ht="20.100000000000001" customHeight="1" x14ac:dyDescent="0.25">
      <c r="A59"/>
      <c r="D59" s="17"/>
      <c r="E59" s="198"/>
      <c r="F59" s="17"/>
      <c r="G59" s="17"/>
      <c r="H59" s="17"/>
      <c r="I59" s="17"/>
      <c r="J59" s="17"/>
      <c r="L59" s="17"/>
      <c r="M59" s="17"/>
      <c r="N59" s="17"/>
      <c r="O59" s="17"/>
      <c r="P59" s="17"/>
      <c r="Q59" s="17"/>
    </row>
    <row r="60" spans="1:17" ht="20.100000000000001" customHeight="1" x14ac:dyDescent="0.25">
      <c r="A60"/>
      <c r="D60" s="193" t="str">
        <f>"Total scope 1 - " &amp; D37</f>
        <v>Total scope 1 - Vessels</v>
      </c>
      <c r="E60" s="197"/>
      <c r="F60" s="195"/>
      <c r="G60" s="17"/>
      <c r="H60" s="17"/>
      <c r="I60" s="17"/>
      <c r="J60" s="17"/>
      <c r="L60" s="17"/>
      <c r="M60" s="17"/>
      <c r="N60" s="17"/>
      <c r="O60" s="17"/>
      <c r="P60" s="17"/>
      <c r="Q60" s="17"/>
    </row>
    <row r="61" spans="1:17" ht="20.100000000000001" customHeight="1" x14ac:dyDescent="0.25">
      <c r="A61"/>
      <c r="D61" s="7" t="s">
        <v>712</v>
      </c>
      <c r="E61" s="196">
        <f>SUM(N37:N39)+N("Partial sum")</f>
        <v>29.219199999999997</v>
      </c>
      <c r="F61" s="65" t="str">
        <f t="shared" ref="F61:F64" si="4">$E$12</f>
        <v>t CO2-e</v>
      </c>
      <c r="G61" s="17"/>
      <c r="H61" s="17"/>
      <c r="I61" s="17"/>
      <c r="J61" s="17"/>
      <c r="L61" s="17"/>
      <c r="M61" s="17"/>
      <c r="N61" s="17"/>
      <c r="O61" s="17"/>
      <c r="P61" s="17"/>
      <c r="Q61" s="17"/>
    </row>
    <row r="62" spans="1:17" ht="20.100000000000001" customHeight="1" x14ac:dyDescent="0.25">
      <c r="A62"/>
      <c r="D62" s="7" t="s">
        <v>713</v>
      </c>
      <c r="E62" s="196">
        <f>SUM(O37:O39)+N("Partial sum")</f>
        <v>7.9400000000000012E-2</v>
      </c>
      <c r="F62" s="65" t="str">
        <f t="shared" si="4"/>
        <v>t CO2-e</v>
      </c>
      <c r="G62" s="17"/>
      <c r="H62" s="17"/>
      <c r="I62" s="17"/>
      <c r="J62" s="17"/>
      <c r="L62" s="17"/>
      <c r="M62" s="17"/>
      <c r="N62" s="17"/>
      <c r="O62" s="17"/>
      <c r="P62" s="17"/>
      <c r="Q62" s="17"/>
    </row>
    <row r="63" spans="1:17" ht="20.100000000000001" customHeight="1" x14ac:dyDescent="0.25">
      <c r="A63"/>
      <c r="D63" s="7" t="s">
        <v>714</v>
      </c>
      <c r="E63" s="196">
        <f>SUM(P37:P39)+N("Partial sum")</f>
        <v>0.19850000000000001</v>
      </c>
      <c r="F63" s="65" t="str">
        <f t="shared" si="4"/>
        <v>t CO2-e</v>
      </c>
      <c r="G63" s="17"/>
      <c r="H63" s="17"/>
      <c r="I63" s="17"/>
      <c r="J63" s="17"/>
      <c r="L63" s="17"/>
      <c r="M63" s="17"/>
      <c r="N63" s="17"/>
      <c r="O63" s="17"/>
      <c r="P63" s="17"/>
      <c r="Q63" s="17"/>
    </row>
    <row r="64" spans="1:17" ht="20.100000000000001" customHeight="1" x14ac:dyDescent="0.25">
      <c r="A64"/>
      <c r="D64" s="7" t="s">
        <v>715</v>
      </c>
      <c r="E64" s="196">
        <f>SUM(Q37:Q39)+N("Partial sum")</f>
        <v>7.1459999999999999</v>
      </c>
      <c r="F64" s="65" t="str">
        <f t="shared" si="4"/>
        <v>t CO2-e</v>
      </c>
      <c r="G64" s="17"/>
      <c r="H64" s="17"/>
      <c r="I64" s="17"/>
      <c r="J64" s="17"/>
      <c r="L64" s="17"/>
      <c r="M64" s="17"/>
      <c r="N64" s="17"/>
      <c r="O64" s="17"/>
      <c r="P64" s="17"/>
      <c r="Q64" s="17"/>
    </row>
    <row r="65" spans="1:17" ht="20.100000000000001" customHeight="1" x14ac:dyDescent="0.25">
      <c r="A65"/>
      <c r="G65" s="17"/>
      <c r="H65" s="17"/>
      <c r="I65" s="17"/>
      <c r="J65" s="17"/>
      <c r="L65" s="17"/>
      <c r="M65" s="17"/>
      <c r="N65" s="17"/>
      <c r="O65" s="17"/>
      <c r="P65" s="17"/>
      <c r="Q65" s="17"/>
    </row>
    <row r="66" spans="1:17" ht="20.100000000000001" customHeight="1" x14ac:dyDescent="0.25">
      <c r="A66"/>
      <c r="D66" s="193" t="s">
        <v>716</v>
      </c>
      <c r="E66" s="199"/>
      <c r="F66" s="195"/>
      <c r="G66" s="17"/>
      <c r="H66" s="17"/>
      <c r="I66" s="17"/>
      <c r="J66" s="17"/>
      <c r="L66" s="17"/>
      <c r="M66" s="17"/>
      <c r="N66" s="17"/>
      <c r="O66" s="17"/>
      <c r="P66" s="17"/>
      <c r="Q66" s="17"/>
    </row>
    <row r="67" spans="1:17" ht="20.100000000000001" customHeight="1" x14ac:dyDescent="0.25">
      <c r="A67"/>
      <c r="D67" s="7" t="s">
        <v>712</v>
      </c>
      <c r="E67" s="196">
        <f>E43+E49+E55+E61</f>
        <v>83.182000000000002</v>
      </c>
      <c r="F67" s="65" t="str">
        <f t="shared" ref="F67:F70" si="5">$E$12</f>
        <v>t CO2-e</v>
      </c>
      <c r="G67" s="17"/>
    </row>
    <row r="68" spans="1:17" ht="20.100000000000001" customHeight="1" x14ac:dyDescent="0.25">
      <c r="A68"/>
      <c r="D68" s="7" t="s">
        <v>713</v>
      </c>
      <c r="E68" s="196">
        <f t="shared" ref="E68:E70" si="6">E44+E50+E56+E62</f>
        <v>0.19906000000000001</v>
      </c>
      <c r="F68" s="65" t="str">
        <f t="shared" si="5"/>
        <v>t CO2-e</v>
      </c>
      <c r="G68" s="17"/>
    </row>
    <row r="69" spans="1:17" ht="20.100000000000001" customHeight="1" x14ac:dyDescent="0.25">
      <c r="A69"/>
      <c r="D69" s="7" t="s">
        <v>714</v>
      </c>
      <c r="E69" s="196">
        <f t="shared" si="6"/>
        <v>0.58450000000000002</v>
      </c>
      <c r="F69" s="65" t="str">
        <f t="shared" si="5"/>
        <v>t CO2-e</v>
      </c>
      <c r="G69" s="17"/>
    </row>
    <row r="70" spans="1:17" ht="20.100000000000001" customHeight="1" x14ac:dyDescent="0.25">
      <c r="A70"/>
      <c r="D70" s="7" t="s">
        <v>715</v>
      </c>
      <c r="E70" s="196">
        <f t="shared" si="6"/>
        <v>20.5016</v>
      </c>
      <c r="F70" s="65" t="str">
        <f t="shared" si="5"/>
        <v>t CO2-e</v>
      </c>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B6CED129-3650-4945-8301-02F60725FF03}"/>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089A0-1321-4DFE-8372-C5FDB549B58C}">
  <dimension ref="A1:R165"/>
  <sheetViews>
    <sheetView showGridLines="0" topLeftCell="A36" zoomScaleNormal="100" workbookViewId="0">
      <selection activeCell="A46" sqref="A46"/>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37" t="e" vm="1">
        <v>#VALUE!</v>
      </c>
      <c r="C1" s="1" t="s">
        <v>717</v>
      </c>
    </row>
    <row r="2" spans="1:18" s="2" customFormat="1" ht="20.100000000000001" customHeight="1" x14ac:dyDescent="0.25">
      <c r="A2"/>
    </row>
    <row r="3" spans="1:18" ht="20.100000000000001" customHeight="1" x14ac:dyDescent="0.25">
      <c r="A3" s="16" t="str">
        <f>HYPERLINK("#'Overview'!A1", "Overview")</f>
        <v>Overview</v>
      </c>
      <c r="C3" s="5"/>
      <c r="D3" s="5" t="s">
        <v>400</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2" t="s">
        <v>616</v>
      </c>
      <c r="E7" s="172"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Site'!A1", "Site")</f>
        <v>Site</v>
      </c>
      <c r="K8" s="172" t="s">
        <v>616</v>
      </c>
      <c r="L8" s="172" t="str" cm="1">
        <f t="array" aca="1" ref="L8" ca="1">Common_InputFunctions.Utility_DisplayFunctionName(Q25)</f>
        <v>=Fuel_Equations.VEERG_8_2_1_1__1_FuelCombustionStationary</v>
      </c>
      <c r="O8" s="17"/>
      <c r="P8" s="17"/>
      <c r="Q8" s="17"/>
      <c r="R8" s="17"/>
    </row>
    <row r="9" spans="1:18" ht="20.100000000000001" customHeight="1" x14ac:dyDescent="0.25">
      <c r="A9" s="16" t="str">
        <f>HYPERLINK("#'Input - Fuel'!A1", "Fuel")</f>
        <v>Fuel</v>
      </c>
      <c r="G9" s="11"/>
      <c r="O9" s="17"/>
      <c r="P9" s="17"/>
      <c r="Q9" s="17"/>
      <c r="R9" s="17"/>
    </row>
    <row r="10" spans="1:18" ht="20.100000000000001" customHeight="1" x14ac:dyDescent="0.25">
      <c r="A10" s="16" t="str">
        <f>HYPERLINK("#'Input - Fertiliser'!A1", "Fertiliser")</f>
        <v>Fertiliser</v>
      </c>
      <c r="O10" s="17"/>
      <c r="P10" s="17"/>
      <c r="Q10" s="17"/>
      <c r="R10" s="17"/>
    </row>
    <row r="11" spans="1:18" ht="20.100000000000001" customHeight="1" x14ac:dyDescent="0.25">
      <c r="A11" s="16" t="str">
        <f>HYPERLINK("#'Input - Common farm inputs'!A1", "Common farm inputs")</f>
        <v>Common farm inputs</v>
      </c>
      <c r="D11" s="27" t="s">
        <v>617</v>
      </c>
      <c r="E11" s="8" t="str" cm="1">
        <f t="array" ref="E11">Fuel_Equations.VEERG_8_2_1_1__1_FuelCombustionStationary_Variable()</f>
        <v>E_g</v>
      </c>
      <c r="K11" s="27" t="s">
        <v>617</v>
      </c>
      <c r="L11" s="8" t="str" cm="1">
        <f t="array" ref="L11">Scope3_Equations.VEERG_15_11_1_1__3_UpstreamStationaryFuelEmissions_Variable()</f>
        <v>E_WTTSCq</v>
      </c>
      <c r="O11" s="17"/>
      <c r="P11" s="17"/>
      <c r="Q11" s="17"/>
      <c r="R11" s="17"/>
    </row>
    <row r="12" spans="1:18" ht="20.100000000000001" customHeight="1" x14ac:dyDescent="0.25">
      <c r="A12" s="16" t="str">
        <f>HYPERLINK("#'Input - Processing inputs'!A1", "Processing inputs")</f>
        <v>Processing inputs</v>
      </c>
      <c r="D12" s="27" t="s">
        <v>96</v>
      </c>
      <c r="E12" s="13" t="str" cm="1">
        <f t="array" ref="E12">Fuel_Equations.VEERG_8_2_1_1__1_FuelCombustionStationary_Unit()</f>
        <v>t CO2-e</v>
      </c>
      <c r="K12" s="27" t="s">
        <v>96</v>
      </c>
      <c r="L12" s="13" t="str" cm="1">
        <f t="array" ref="L12">Scope3_Equations.VEERG_15_11_1_1__3_UpstreamStationaryFuelEmissions_Unit()</f>
        <v>t CO2e</v>
      </c>
    </row>
    <row r="13" spans="1:18" ht="20.100000000000001" customHeight="1" x14ac:dyDescent="0.25">
      <c r="A13" s="16" t="str">
        <f>HYPERLINK("#'Input - Crop pasture farm input'!A1", "Crop pasture farm input")</f>
        <v>Crop pasture farm input</v>
      </c>
    </row>
    <row r="14" spans="1:18" ht="20.100000000000001" customHeight="1" x14ac:dyDescent="0.25">
      <c r="A14" s="16" t="str">
        <f>HYPERLINK("#'Input - Hort farm Inputs'!A1", "Hort farm Inputs")</f>
        <v>Hort farm Inputs</v>
      </c>
      <c r="D14" s="167" t="str" cm="1">
        <f t="array" ref="D14:E20">_xlfn.CHOOSECOLS(Fuel_Equations.VEERG_8_2_1_1__1_FuelCombustionStationary_Arguments(), 1,2)</f>
        <v>Q_SCq</v>
      </c>
      <c r="E14" s="171" t="str">
        <v>Amount of fuel type q used for stationary combustion operations</v>
      </c>
      <c r="F14" s="166"/>
      <c r="G14" s="167" t="str" cm="1">
        <f t="array" ref="G14:H20">_xlfn.CHOOSECOLS(Fuel_Equations.VEERG_8_2_1_1__1_FuelCombustionStationary_Arguments(), 3,4)</f>
        <v>Varies based on fuel type: kL, m3, GJ</v>
      </c>
      <c r="H14" s="231" t="str">
        <v>Input</v>
      </c>
      <c r="I14" s="170" t="str" cm="1">
        <f t="array" aca="1" ref="I14" ca="1">HYPERLINK(Common_InputFunctions.Utility_SourceHyperlink($D$22), $D$22)</f>
        <v>Table_E_g</v>
      </c>
      <c r="K14" s="167" t="str" cm="1">
        <f t="array" ref="K14:L18">_xlfn.CHOOSECOLS(Scope3_Equations.VEERG_15_11_1_1__3_UpstreamStationaryFuelEmissions_Arguments(),1,2)</f>
        <v>Q_SCq</v>
      </c>
      <c r="L14" s="167" t="str">
        <v>amount of fuel q used for stationary combustion operations</v>
      </c>
      <c r="M14" s="167"/>
      <c r="N14" s="167" t="str" cm="1">
        <f t="array" ref="N14:O18">_xlfn.CHOOSECOLS(Scope3_Equations.VEERG_15_11_1_1__3_UpstreamStationaryFuelEmissions_Arguments(),3,4)</f>
        <v>kL</v>
      </c>
      <c r="O14" s="231" t="str">
        <v>Input</v>
      </c>
      <c r="P14" s="170" t="str" cm="1">
        <f t="array" aca="1" ref="P14" ca="1">HYPERLINK(Common_InputFunctions.Utility_SourceHyperlink($D$22), $D$22)</f>
        <v>Table_E_g</v>
      </c>
      <c r="Q14" s="17"/>
    </row>
    <row r="15" spans="1:18" ht="20.100000000000001" customHeight="1" x14ac:dyDescent="0.25">
      <c r="A15" s="16" t="str">
        <f>HYPERLINK("#'Input - Livestock farm Inputs'!A1", "Livestock farm Inputs")</f>
        <v>Livestock farm Inputs</v>
      </c>
      <c r="D15" s="167" t="str">
        <v>EC_SCq</v>
      </c>
      <c r="E15" s="171" t="str">
        <v>Energy content factor for stationary combustion operations</v>
      </c>
      <c r="F15" s="166"/>
      <c r="G15" s="167" t="str">
        <v>GJ / unit of fuel</v>
      </c>
      <c r="H15" s="169" t="str">
        <v>Constant</v>
      </c>
      <c r="I15" s="170" t="str" cm="1">
        <f t="array" aca="1" ref="I15" ca="1">HYPERLINK(Common_InputFunctions.Utility_SourceHyperlink($D$22), $D$22)</f>
        <v>Table_E_g</v>
      </c>
      <c r="K15" s="167" t="str">
        <v>EC_SCq</v>
      </c>
      <c r="L15" s="167" t="str">
        <v>energy content factor for stationary combustion operations</v>
      </c>
      <c r="M15" s="167"/>
      <c r="N15" s="167" t="str">
        <v>GJ/kL</v>
      </c>
      <c r="O15" s="169" t="str">
        <v>Constant</v>
      </c>
      <c r="P15" s="170" t="str" cm="1">
        <f t="array" aca="1" ref="P15" ca="1">HYPERLINK(Common_InputFunctions.Utility_SourceHyperlink($D$22), $D$22)</f>
        <v>Table_E_g</v>
      </c>
      <c r="Q15" s="17"/>
    </row>
    <row r="16" spans="1:18" ht="20.100000000000001" customHeight="1" x14ac:dyDescent="0.25">
      <c r="A16" s="16" t="str">
        <f>HYPERLINK("#'Input - Aquaculture inputs'!A1", "Aquaculture inputs")</f>
        <v>Aquaculture inputs</v>
      </c>
      <c r="D16" s="167" t="str">
        <v>EF_SC1qg</v>
      </c>
      <c r="E16" s="171" t="str">
        <v>Scope 1 emission factor for stationary combustion for each greenhouse gas</v>
      </c>
      <c r="F16" s="166"/>
      <c r="G16" s="167" t="str">
        <v>kg CO2e / GJ</v>
      </c>
      <c r="H16" s="169" t="str">
        <v>Constant</v>
      </c>
      <c r="I16" s="170" t="str" cm="1">
        <f t="array" aca="1" ref="I16" ca="1">HYPERLINK(Common_InputFunctions.Utility_SourceHyperlink($D$22), $D$22)</f>
        <v>Table_E_g</v>
      </c>
      <c r="K16" s="167" t="str">
        <v>EF_SC3q</v>
      </c>
      <c r="L16" s="167" t="str">
        <v>scope 3 emission factor for stationary combustion operations</v>
      </c>
      <c r="M16" s="167"/>
      <c r="N16" s="167" t="str">
        <v>kg CO2e/GJ</v>
      </c>
      <c r="O16" s="169" t="str">
        <v>Constant</v>
      </c>
      <c r="P16" s="170" t="str" cm="1">
        <f t="array" aca="1" ref="P16" ca="1">HYPERLINK(Common_InputFunctions.Utility_SourceHyperlink($D$22), $D$22)</f>
        <v>Table_E_g</v>
      </c>
      <c r="Q16" s="17"/>
    </row>
    <row r="17" spans="1:17" ht="20.100000000000001" customHeight="1" x14ac:dyDescent="0.25">
      <c r="A17" s="16" t="str">
        <f>HYPERLINK("#'Input - Beef cattle purchases'!A1", "Beef cattle purchases")</f>
        <v>Beef cattle purchases</v>
      </c>
      <c r="D17" s="167" t="str">
        <v>q</v>
      </c>
      <c r="E17" s="171" t="str">
        <v>Fuel type</v>
      </c>
      <c r="F17" s="166"/>
      <c r="G17" s="167" t="str">
        <v/>
      </c>
      <c r="H17" s="169" t="str">
        <v>Constant</v>
      </c>
      <c r="I17" s="170"/>
      <c r="J17" s="17"/>
      <c r="K17" s="167" t="str">
        <v>i</v>
      </c>
      <c r="L17" s="171" t="str">
        <v>state</v>
      </c>
      <c r="M17" s="166"/>
      <c r="N17" s="167" t="str">
        <v/>
      </c>
      <c r="O17" s="231" t="str">
        <v>Input</v>
      </c>
      <c r="P17" s="167" t="str">
        <f>X_Cell_Site_State</f>
        <v>Western Australia</v>
      </c>
      <c r="Q17" s="17"/>
    </row>
    <row r="18" spans="1:17" ht="20.100000000000001" customHeight="1" x14ac:dyDescent="0.25">
      <c r="A18" s="16" t="str">
        <f>HYPERLINK("#'Input - Dairy cattle purchases'!A1", "Dairy cattle purchases")</f>
        <v>Dairy cattle purchases</v>
      </c>
      <c r="D18" s="167" t="str">
        <v>SC</v>
      </c>
      <c r="E18" s="171" t="str">
        <v>Stationary combustion</v>
      </c>
      <c r="F18" s="166"/>
      <c r="G18" s="167" t="str">
        <v/>
      </c>
      <c r="H18" s="169" t="str">
        <v>Constant</v>
      </c>
      <c r="I18" s="170"/>
      <c r="J18" s="17"/>
      <c r="K18" s="167" t="str">
        <v>m</v>
      </c>
      <c r="L18" s="171" t="str">
        <v>metropolitan/non-metropolitan location</v>
      </c>
      <c r="M18" s="166"/>
      <c r="N18" s="167" t="str">
        <v/>
      </c>
      <c r="O18" s="231" t="str">
        <v>Input</v>
      </c>
      <c r="P18" s="167" t="str">
        <f>X_Cell_Fuel_IsMetroLocation</f>
        <v>Metro</v>
      </c>
      <c r="Q18" s="17"/>
    </row>
    <row r="19" spans="1:17" ht="20.100000000000001" customHeight="1" x14ac:dyDescent="0.25">
      <c r="A19" s="16" t="str">
        <f>HYPERLINK("#'Input - Pig purchases'!A1", "Pig purchases")</f>
        <v>Pig purchases</v>
      </c>
      <c r="D19" s="167" t="str">
        <v>g</v>
      </c>
      <c r="E19" s="171" t="str">
        <v>Greenhouse gas</v>
      </c>
      <c r="F19" s="166"/>
      <c r="G19" s="167" t="str">
        <v/>
      </c>
      <c r="H19" s="169" t="str">
        <v>Constant</v>
      </c>
      <c r="I19" s="170"/>
      <c r="J19" s="17"/>
      <c r="L19" s="17"/>
      <c r="N19" s="17"/>
      <c r="O19" s="17"/>
      <c r="P19" s="17"/>
      <c r="Q19" s="17"/>
    </row>
    <row r="20" spans="1:17" ht="20.100000000000001" customHeight="1" x14ac:dyDescent="0.25">
      <c r="A20" s="16" t="str">
        <f>HYPERLINK("#'Input - Poultry purchases'!A1", "Poultry purchases")</f>
        <v>Poultry purchases</v>
      </c>
      <c r="D20" s="167" t="str">
        <v>1</v>
      </c>
      <c r="E20" s="171" t="str">
        <v>Scope 1</v>
      </c>
      <c r="F20" s="166"/>
      <c r="G20" s="167" t="str">
        <v/>
      </c>
      <c r="H20" s="169" t="str">
        <v>Constant</v>
      </c>
      <c r="I20" s="170"/>
      <c r="J20" s="17"/>
      <c r="L20" s="17"/>
      <c r="N20" s="17"/>
      <c r="O20" s="17"/>
      <c r="P20" s="17"/>
      <c r="Q20" s="17"/>
    </row>
    <row r="21" spans="1:17" ht="20.100000000000001" customHeight="1" x14ac:dyDescent="0.25">
      <c r="A21" s="16" t="str">
        <f>HYPERLINK("#'Input - Freight'!A1", "Freight")</f>
        <v>Freight</v>
      </c>
      <c r="O21" s="17"/>
      <c r="P21" s="17"/>
      <c r="Q21" s="17"/>
    </row>
    <row r="22" spans="1:17" ht="20.100000000000001" customHeight="1" x14ac:dyDescent="0.25">
      <c r="A22" s="16" t="str">
        <f>HYPERLINK("#'Input - Solid waste'!A1", "Solid waste")</f>
        <v>Solid waste</v>
      </c>
      <c r="D22" s="55" t="s">
        <v>128</v>
      </c>
    </row>
    <row r="23" spans="1:17" ht="20.100000000000001" customHeight="1" x14ac:dyDescent="0.25">
      <c r="A23" s="16" t="str">
        <f>HYPERLINK("#'Input - Manure sent off-site'!A1", "Manure sent off-site")</f>
        <v>Manure sent off-site</v>
      </c>
      <c r="D23" s="56" t="s">
        <v>718</v>
      </c>
    </row>
    <row r="24" spans="1:17" ht="20.100000000000001" customHeight="1" x14ac:dyDescent="0.25">
      <c r="A24" s="16" t="str">
        <f>HYPERLINK("#'Input - Electricity'!A1", "Electricity")</f>
        <v>Electricity</v>
      </c>
      <c r="D24" s="57" t="s">
        <v>130</v>
      </c>
      <c r="E24" s="57" t="s">
        <v>131</v>
      </c>
      <c r="F24" s="57" t="s">
        <v>132</v>
      </c>
      <c r="G24" s="57" t="s">
        <v>719</v>
      </c>
      <c r="H24" s="57" t="s">
        <v>720</v>
      </c>
      <c r="I24" s="57" t="s">
        <v>721</v>
      </c>
      <c r="J24" s="57" t="s">
        <v>722</v>
      </c>
      <c r="K24" s="57" t="s">
        <v>723</v>
      </c>
      <c r="L24" s="46" t="s">
        <v>724</v>
      </c>
      <c r="M24" s="57" t="s">
        <v>707</v>
      </c>
      <c r="N24" s="57" t="s">
        <v>708</v>
      </c>
      <c r="O24" s="57" t="s">
        <v>709</v>
      </c>
      <c r="P24" s="57" t="s">
        <v>710</v>
      </c>
      <c r="Q24" s="57" t="s">
        <v>725</v>
      </c>
    </row>
    <row r="25" spans="1:17" ht="20.100000000000001" customHeight="1" x14ac:dyDescent="0.25">
      <c r="A25"/>
      <c r="D25" s="7" t="str">
        <f>Table_FuelTypesPerUse[[#Headers],[Generators]]</f>
        <v>Generators</v>
      </c>
      <c r="E25" s="58" t="str">
        <f>'Constants - Fuel'!$D$58</f>
        <v>Automotive gasoline / petrol (other than for use as fuel in an aircraft)</v>
      </c>
      <c r="F25" s="58" t="str">
        <f>'Constants - Fuel'!D131</f>
        <v>Petrol</v>
      </c>
      <c r="G25" s="49">
        <f>IFERROR(_xlfn.XLOOKUP($E25, Table_Fuel_EFs_StationaryLiquid[Fuel combusted], Table_Fuel_EFs_StationaryLiquid[Energy Content Factor (GJ per unit of fuel)]),0)</f>
        <v>34.200000000000003</v>
      </c>
      <c r="H25" s="49">
        <f>IFERROR(_xlfn.XLOOKUP($E25, Table_Fuel_EFs_StationaryLiquid[Fuel combusted], Table_Fuel_EFs_StationaryLiquid[Scope 1 Emission Factor (kg CO2 - e / GJ) CO2]),0)</f>
        <v>67.400000000000006</v>
      </c>
      <c r="I25" s="49">
        <f>IFERROR(_xlfn.XLOOKUP($E25, Table_Fuel_EFs_StationaryLiquid[Fuel combusted], Table_Fuel_EFs_StationaryLiquid[Scope 1 Emission Factor (kg CO2 - e / GJ) CH4]),0)</f>
        <v>0.2</v>
      </c>
      <c r="J25" s="49">
        <f>IFERROR(_xlfn.XLOOKUP($E25, Table_Fuel_EFs_StationaryLiquid[Fuel combusted], Table_Fuel_EFs_StationaryLiquid[Scope 1 Emission Factor (kg CO2 - e / GJ) N2O]),0)</f>
        <v>0.2</v>
      </c>
      <c r="K25" s="49">
        <f>IFERROR(_xlfn.XLOOKUP($E25, Table_Fuel_EFs_StationaryLiquid[Fuel combusted], Table_Fuel_EFs_StationaryLiquid[Scope 3 Emission Factor (kg CO2 - e / GJ)]),0)</f>
        <v>17.2</v>
      </c>
      <c r="L25" s="181" cm="1">
        <f t="array" ref="L25">Fuel_InputFunctions.Fuel_TotalConsumption(Table_Input_Fuel[Amount consumed], Table_Input_Fuel[Fuel use (select)], D25, Table_Input_Fuel[Fuel type (select)],F25)</f>
        <v>0</v>
      </c>
      <c r="M25" s="181" t="str" cm="1">
        <f t="array" ref="M25">Common_InputFunctions.Utility_LookupValueInTable(F25,Table_FuelTypes_Units[Fuel type],Table_FuelTypes_Units[Unit])</f>
        <v>kL</v>
      </c>
      <c r="N25" s="200" cm="1">
        <f t="array" ref="N25">Fuel_Equations.VEERG_8_2_1_1__1_FuelCombustionStationary($L25,$G25,H25)</f>
        <v>0</v>
      </c>
      <c r="O25" s="200" cm="1">
        <f t="array" ref="O25">Fuel_Equations.VEERG_8_2_1_1__1_FuelCombustionStationary($L25,$G25,I25)</f>
        <v>0</v>
      </c>
      <c r="P25" s="200" cm="1">
        <f t="array" ref="P25">Fuel_Equations.VEERG_8_2_1_1__1_FuelCombustionStationary($L25,$G25,J25)</f>
        <v>0</v>
      </c>
      <c r="Q25" s="200" cm="1">
        <f t="array" ref="Q25">Fuel_Equations.VEERG_8_2_1_1__1_FuelCombustionStationary($L25,$G25,IF(ISNUMBER(K25), K25, 0))</f>
        <v>0</v>
      </c>
    </row>
    <row r="26" spans="1:17" ht="20.100000000000001" customHeight="1" x14ac:dyDescent="0.25">
      <c r="A26"/>
      <c r="D26" s="59" t="str">
        <f t="shared" ref="D26:D31" si="0">$D$25</f>
        <v>Generators</v>
      </c>
      <c r="E26" s="58" t="str">
        <f>'Constants - Fuel'!$D$63</f>
        <v>Diesel oil</v>
      </c>
      <c r="F26" s="58" t="str">
        <f>'Constants - Fuel'!D132</f>
        <v>Diesel</v>
      </c>
      <c r="G26" s="49">
        <f>IFERROR(_xlfn.XLOOKUP($E26, Table_Fuel_EFs_StationaryLiquid[Fuel combusted], Table_Fuel_EFs_StationaryLiquid[Energy Content Factor (GJ per unit of fuel)]),0)</f>
        <v>38.6</v>
      </c>
      <c r="H26" s="49">
        <f>IFERROR(_xlfn.XLOOKUP($E26, Table_Fuel_EFs_StationaryLiquid[Fuel combusted], Table_Fuel_EFs_StationaryLiquid[Scope 1 Emission Factor (kg CO2 - e / GJ) CO2]),0)</f>
        <v>69.900000000000006</v>
      </c>
      <c r="I26" s="49">
        <f>IFERROR(_xlfn.XLOOKUP($E26, Table_Fuel_EFs_StationaryLiquid[Fuel combusted], Table_Fuel_EFs_StationaryLiquid[Scope 1 Emission Factor (kg CO2 - e / GJ) CH4]),0)</f>
        <v>0.1</v>
      </c>
      <c r="J26" s="49">
        <f>IFERROR(_xlfn.XLOOKUP($E26, Table_Fuel_EFs_StationaryLiquid[Fuel combusted], Table_Fuel_EFs_StationaryLiquid[Scope 1 Emission Factor (kg CO2 - e / GJ) N2O]),0)</f>
        <v>0.2</v>
      </c>
      <c r="K26" s="49">
        <f>IFERROR(_xlfn.XLOOKUP($E26, Table_Fuel_EFs_StationaryLiquid[Fuel combusted], Table_Fuel_EFs_StationaryLiquid[Scope 3 Emission Factor (kg CO2 - e / GJ)]),0)</f>
        <v>17.3</v>
      </c>
      <c r="L26" s="181" cm="1">
        <f t="array" ref="L26">Fuel_InputFunctions.Fuel_TotalConsumption(Table_Input_Fuel[Amount consumed], Table_Input_Fuel[Fuel use (select)], D26, Table_Input_Fuel[Fuel type (select)],F26)</f>
        <v>0</v>
      </c>
      <c r="M26" s="181" t="str" cm="1">
        <f t="array" ref="M26">Common_InputFunctions.Utility_LookupValueInTable(F26,Table_FuelTypes_Units[Fuel type],Table_FuelTypes_Units[Unit])</f>
        <v>kL</v>
      </c>
      <c r="N26" s="200" cm="1">
        <f t="array" ref="N26">Fuel_Equations.VEERG_8_2_1_1__1_FuelCombustionStationary($L26,$G26,H26)</f>
        <v>0</v>
      </c>
      <c r="O26" s="200" cm="1">
        <f t="array" ref="O26">Fuel_Equations.VEERG_8_2_1_1__1_FuelCombustionStationary($L26,$G26,I26)</f>
        <v>0</v>
      </c>
      <c r="P26" s="200" cm="1">
        <f t="array" ref="P26">Fuel_Equations.VEERG_8_2_1_1__1_FuelCombustionStationary($L26,$G26,J26)</f>
        <v>0</v>
      </c>
      <c r="Q26" s="200" cm="1">
        <f t="array" ref="Q26">Fuel_Equations.VEERG_8_2_1_1__1_FuelCombustionStationary($L26,$G26,IF(ISNUMBER(K26), K26, 0))</f>
        <v>0</v>
      </c>
    </row>
    <row r="27" spans="1:17" ht="20.100000000000001" customHeight="1" x14ac:dyDescent="0.25">
      <c r="A27" s="21" t="s">
        <v>77</v>
      </c>
      <c r="D27" s="59" t="str">
        <f t="shared" si="0"/>
        <v>Generators</v>
      </c>
      <c r="E27" s="58" t="str">
        <f>'Constants - Fuel'!$D$67</f>
        <v>Liquefied petroleum gas (LPG)</v>
      </c>
      <c r="F27" s="58" t="str">
        <f>'Constants - Fuel'!D133</f>
        <v>Liquefied petroleum gas (LPG)</v>
      </c>
      <c r="G27" s="49">
        <f>IFERROR(_xlfn.XLOOKUP($E27, Table_Fuel_EFs_StationaryLiquid[Fuel combusted], Table_Fuel_EFs_StationaryLiquid[Energy Content Factor (GJ per unit of fuel)]),0)</f>
        <v>25.7</v>
      </c>
      <c r="H27" s="49">
        <f>IFERROR(_xlfn.XLOOKUP($E27, Table_Fuel_EFs_StationaryLiquid[Fuel combusted], Table_Fuel_EFs_StationaryLiquid[Scope 1 Emission Factor (kg CO2 - e / GJ) CO2]),0)</f>
        <v>60.2</v>
      </c>
      <c r="I27" s="49">
        <f>IFERROR(_xlfn.XLOOKUP($E27, Table_Fuel_EFs_StationaryLiquid[Fuel combusted], Table_Fuel_EFs_StationaryLiquid[Scope 1 Emission Factor (kg CO2 - e / GJ) CH4]),0)</f>
        <v>0.2</v>
      </c>
      <c r="J27" s="49">
        <f>IFERROR(_xlfn.XLOOKUP($E27, Table_Fuel_EFs_StationaryLiquid[Fuel combusted], Table_Fuel_EFs_StationaryLiquid[Scope 1 Emission Factor (kg CO2 - e / GJ) N2O]),0)</f>
        <v>0.2</v>
      </c>
      <c r="K27" s="49">
        <f>IFERROR(_xlfn.XLOOKUP($E27, Table_Fuel_EFs_StationaryLiquid[Fuel combusted], Table_Fuel_EFs_StationaryLiquid[Scope 3 Emission Factor (kg CO2 - e / GJ)]),0)</f>
        <v>20.2</v>
      </c>
      <c r="L27" s="181" cm="1">
        <f t="array" ref="L27">Fuel_InputFunctions.Fuel_TotalConsumption(Table_Input_Fuel[Amount consumed], Table_Input_Fuel[Fuel use (select)], D27, Table_Input_Fuel[Fuel type (select)],F27)</f>
        <v>0</v>
      </c>
      <c r="M27" s="181" t="str" cm="1">
        <f t="array" ref="M27">Common_InputFunctions.Utility_LookupValueInTable(F27,Table_FuelTypes_Units[Fuel type],Table_FuelTypes_Units[Unit])</f>
        <v>kL</v>
      </c>
      <c r="N27" s="200" cm="1">
        <f t="array" ref="N27">Fuel_Equations.VEERG_8_2_1_1__1_FuelCombustionStationary($L27,$G27,H27)</f>
        <v>0</v>
      </c>
      <c r="O27" s="200" cm="1">
        <f t="array" ref="O27">Fuel_Equations.VEERG_8_2_1_1__1_FuelCombustionStationary($L27,$G27,I27)</f>
        <v>0</v>
      </c>
      <c r="P27" s="200" cm="1">
        <f t="array" ref="P27">Fuel_Equations.VEERG_8_2_1_1__1_FuelCombustionStationary($L27,$G27,J27)</f>
        <v>0</v>
      </c>
      <c r="Q27" s="200" cm="1">
        <f t="array" ref="Q27">Fuel_Equations.VEERG_8_2_1_1__1_FuelCombustionStationary($L27,$G27,IF(ISNUMBER(K27), K27, 0))</f>
        <v>0</v>
      </c>
    </row>
    <row r="28" spans="1:17" ht="20.100000000000001" customHeight="1" x14ac:dyDescent="0.25">
      <c r="A28" s="16" t="str">
        <f>HYPERLINK("#'15 Scope 3'!A1", "15 Scope 3")</f>
        <v>15 Scope 3</v>
      </c>
      <c r="D28" s="59" t="str">
        <f t="shared" si="0"/>
        <v>Generators</v>
      </c>
      <c r="E28" s="58" t="str">
        <f>'Constants - Fuel'!$D$73</f>
        <v>Biodiesel</v>
      </c>
      <c r="F28" s="58" t="str">
        <f>'Constants - Fuel'!D134</f>
        <v>Biodiesel</v>
      </c>
      <c r="G28" s="49">
        <f>IFERROR(_xlfn.XLOOKUP($E28, Table_Fuel_EFs_StationaryLiquid[Fuel combusted], Table_Fuel_EFs_StationaryLiquid[Energy Content Factor (GJ per unit of fuel)]),0)</f>
        <v>34.6</v>
      </c>
      <c r="H28" s="49">
        <f>IFERROR(_xlfn.XLOOKUP($E28, Table_Fuel_EFs_StationaryLiquid[Fuel combusted], Table_Fuel_EFs_StationaryLiquid[Scope 1 Emission Factor (kg CO2 - e / GJ) CO2]),0)</f>
        <v>0</v>
      </c>
      <c r="I28" s="49">
        <f>IFERROR(_xlfn.XLOOKUP($E28, Table_Fuel_EFs_StationaryLiquid[Fuel combusted], Table_Fuel_EFs_StationaryLiquid[Scope 1 Emission Factor (kg CO2 - e / GJ) CH4]),0)</f>
        <v>0.08</v>
      </c>
      <c r="J28" s="49">
        <f>IFERROR(_xlfn.XLOOKUP($E28, Table_Fuel_EFs_StationaryLiquid[Fuel combusted], Table_Fuel_EFs_StationaryLiquid[Scope 1 Emission Factor (kg CO2 - e / GJ) N2O]),0)</f>
        <v>0.2</v>
      </c>
      <c r="K28" s="49" t="str">
        <f>IFERROR(_xlfn.XLOOKUP($E28, Table_Fuel_EFs_StationaryLiquid[Fuel combusted], Table_Fuel_EFs_StationaryLiquid[Scope 3 Emission Factor (kg CO2 - e / GJ)]),0)</f>
        <v>NE</v>
      </c>
      <c r="L28" s="181" cm="1">
        <f t="array" ref="L28">Fuel_InputFunctions.Fuel_TotalConsumption(Table_Input_Fuel[Amount consumed], Table_Input_Fuel[Fuel use (select)], D28, Table_Input_Fuel[Fuel type (select)],F28)</f>
        <v>0</v>
      </c>
      <c r="M28" s="181" t="str" cm="1">
        <f t="array" ref="M28">Common_InputFunctions.Utility_LookupValueInTable(F28,Table_FuelTypes_Units[Fuel type],Table_FuelTypes_Units[Unit])</f>
        <v>kL</v>
      </c>
      <c r="N28" s="200" cm="1">
        <f t="array" ref="N28">Fuel_Equations.VEERG_8_2_1_1__1_FuelCombustionStationary($L28,$G28,H28)</f>
        <v>0</v>
      </c>
      <c r="O28" s="200" cm="1">
        <f t="array" ref="O28">Fuel_Equations.VEERG_8_2_1_1__1_FuelCombustionStationary($L28,$G28,I28)</f>
        <v>0</v>
      </c>
      <c r="P28" s="200" cm="1">
        <f t="array" ref="P28">Fuel_Equations.VEERG_8_2_1_1__1_FuelCombustionStationary($L28,$G28,J28)</f>
        <v>0</v>
      </c>
      <c r="Q28" s="200" cm="1">
        <f t="array" ref="Q28">Fuel_Equations.VEERG_8_2_1_1__1_FuelCombustionStationary($L28,$G28,IF(ISNUMBER(K28), K28, 0))</f>
        <v>0</v>
      </c>
    </row>
    <row r="29" spans="1:17" ht="20.100000000000001" customHeight="1" x14ac:dyDescent="0.25">
      <c r="A29" s="16" t="str">
        <f>HYPERLINK("#'10.1.1-2 Solid waste treatment'!A1", "10.1.1-2 Solid waste treatment")</f>
        <v>10.1.1-2 Solid waste treatment</v>
      </c>
      <c r="D29" s="59" t="str">
        <f t="shared" si="0"/>
        <v>Generators</v>
      </c>
      <c r="E29" s="58" t="str">
        <f>'Constants - Fuel'!$D$74</f>
        <v>Ethanol for use as a fuel in an internal combustion engine</v>
      </c>
      <c r="F29" s="58" t="str">
        <f>'Constants - Fuel'!D135</f>
        <v>Ethanol</v>
      </c>
      <c r="G29" s="49">
        <f>IFERROR(_xlfn.XLOOKUP($E29, Table_Fuel_EFs_StationaryLiquid[Fuel combusted], Table_Fuel_EFs_StationaryLiquid[Energy Content Factor (GJ per unit of fuel)]),0)</f>
        <v>23.4</v>
      </c>
      <c r="H29" s="49">
        <f>IFERROR(_xlfn.XLOOKUP($E29, Table_Fuel_EFs_StationaryLiquid[Fuel combusted], Table_Fuel_EFs_StationaryLiquid[Scope 1 Emission Factor (kg CO2 - e / GJ) CO2]),0)</f>
        <v>0</v>
      </c>
      <c r="I29" s="49">
        <f>IFERROR(_xlfn.XLOOKUP($E29, Table_Fuel_EFs_StationaryLiquid[Fuel combusted], Table_Fuel_EFs_StationaryLiquid[Scope 1 Emission Factor (kg CO2 - e / GJ) CH4]),0)</f>
        <v>0.08</v>
      </c>
      <c r="J29" s="49">
        <f>IFERROR(_xlfn.XLOOKUP($E29, Table_Fuel_EFs_StationaryLiquid[Fuel combusted], Table_Fuel_EFs_StationaryLiquid[Scope 1 Emission Factor (kg CO2 - e / GJ) N2O]),0)</f>
        <v>0.2</v>
      </c>
      <c r="K29" s="49" t="str">
        <f>IFERROR(_xlfn.XLOOKUP($E29, Table_Fuel_EFs_StationaryLiquid[Fuel combusted], Table_Fuel_EFs_StationaryLiquid[Scope 3 Emission Factor (kg CO2 - e / GJ)]),0)</f>
        <v>NE</v>
      </c>
      <c r="L29" s="181" cm="1">
        <f t="array" ref="L29">Fuel_InputFunctions.Fuel_TotalConsumption(Table_Input_Fuel[Amount consumed], Table_Input_Fuel[Fuel use (select)], D29, Table_Input_Fuel[Fuel type (select)],F29)</f>
        <v>0</v>
      </c>
      <c r="M29" s="181" t="str" cm="1">
        <f t="array" ref="M29">Common_InputFunctions.Utility_LookupValueInTable(F29,Table_FuelTypes_Units[Fuel type],Table_FuelTypes_Units[Unit])</f>
        <v>kL</v>
      </c>
      <c r="N29" s="200" cm="1">
        <f t="array" ref="N29">Fuel_Equations.VEERG_8_2_1_1__1_FuelCombustionStationary($L29,$G29,H29)</f>
        <v>0</v>
      </c>
      <c r="O29" s="200" cm="1">
        <f t="array" ref="O29">Fuel_Equations.VEERG_8_2_1_1__1_FuelCombustionStationary($L29,$G29,I29)</f>
        <v>0</v>
      </c>
      <c r="P29" s="200" cm="1">
        <f t="array" ref="P29">Fuel_Equations.VEERG_8_2_1_1__1_FuelCombustionStationary($L29,$G29,J29)</f>
        <v>0</v>
      </c>
      <c r="Q29" s="200" cm="1">
        <f t="array" ref="Q29">Fuel_Equations.VEERG_8_2_1_1__1_FuelCombustionStationary($L29,$G29,IF(ISNUMBER(K29), K29, 0))</f>
        <v>0</v>
      </c>
    </row>
    <row r="30" spans="1:17" ht="20.100000000000001" customHeight="1" x14ac:dyDescent="0.25">
      <c r="A30" s="16" t="str">
        <f>HYPERLINK("#'Calcs - Manure sent off-site'!A1", "Calcs - Manure sent off-site")</f>
        <v>Calcs - Manure sent off-site</v>
      </c>
      <c r="D30" s="59" t="str">
        <f t="shared" si="0"/>
        <v>Generators</v>
      </c>
      <c r="E30" s="58" t="str">
        <f>'Constants - Fuel'!$D$75</f>
        <v>Biofuels other than those mentioned in the items above and below</v>
      </c>
      <c r="F30" s="58" t="str">
        <f>'Constants - Fuel'!D136</f>
        <v>Other biofuels</v>
      </c>
      <c r="G30" s="49">
        <f>IFERROR(_xlfn.XLOOKUP($E30, Table_Fuel_EFs_StationaryLiquid[Fuel combusted], Table_Fuel_EFs_StationaryLiquid[Energy Content Factor (GJ per unit of fuel)]),0)</f>
        <v>23.4</v>
      </c>
      <c r="H30" s="49">
        <f>IFERROR(_xlfn.XLOOKUP($E30, Table_Fuel_EFs_StationaryLiquid[Fuel combusted], Table_Fuel_EFs_StationaryLiquid[Scope 1 Emission Factor (kg CO2 - e / GJ) CO2]),0)</f>
        <v>0</v>
      </c>
      <c r="I30" s="49">
        <f>IFERROR(_xlfn.XLOOKUP($E30, Table_Fuel_EFs_StationaryLiquid[Fuel combusted], Table_Fuel_EFs_StationaryLiquid[Scope 1 Emission Factor (kg CO2 - e / GJ) CH4]),0)</f>
        <v>0.08</v>
      </c>
      <c r="J30" s="49">
        <f>IFERROR(_xlfn.XLOOKUP($E30, Table_Fuel_EFs_StationaryLiquid[Fuel combusted], Table_Fuel_EFs_StationaryLiquid[Scope 1 Emission Factor (kg CO2 - e / GJ) N2O]),0)</f>
        <v>0.2</v>
      </c>
      <c r="K30" s="49" t="str">
        <f>IFERROR(_xlfn.XLOOKUP($E30, Table_Fuel_EFs_StationaryLiquid[Fuel combusted], Table_Fuel_EFs_StationaryLiquid[Scope 3 Emission Factor (kg CO2 - e / GJ)]),0)</f>
        <v>NE</v>
      </c>
      <c r="L30" s="181" cm="1">
        <f t="array" ref="L30">Fuel_InputFunctions.Fuel_TotalConsumption(Table_Input_Fuel[Amount consumed], Table_Input_Fuel[Fuel use (select)], D30, Table_Input_Fuel[Fuel type (select)],F30)</f>
        <v>0</v>
      </c>
      <c r="M30" s="181" t="str" cm="1">
        <f t="array" ref="M30">Common_InputFunctions.Utility_LookupValueInTable(F30,Table_FuelTypes_Units[Fuel type],Table_FuelTypes_Units[Unit])</f>
        <v>kL</v>
      </c>
      <c r="N30" s="200" cm="1">
        <f t="array" ref="N30">Fuel_Equations.VEERG_8_2_1_1__1_FuelCombustionStationary($L30,$G30,H30)</f>
        <v>0</v>
      </c>
      <c r="O30" s="200" cm="1">
        <f t="array" ref="O30">Fuel_Equations.VEERG_8_2_1_1__1_FuelCombustionStationary($L30,$G30,I30)</f>
        <v>0</v>
      </c>
      <c r="P30" s="200" cm="1">
        <f t="array" ref="P30">Fuel_Equations.VEERG_8_2_1_1__1_FuelCombustionStationary($L30,$G30,J30)</f>
        <v>0</v>
      </c>
      <c r="Q30" s="200" cm="1">
        <f t="array" ref="Q30">Fuel_Equations.VEERG_8_2_1_1__1_FuelCombustionStationary($L30,$G30,IF(ISNUMBER(K30), K30, 0))</f>
        <v>0</v>
      </c>
    </row>
    <row r="31" spans="1:17" ht="20.100000000000001" customHeight="1" x14ac:dyDescent="0.25">
      <c r="A31" s="16" t="str">
        <f>HYPERLINK("#'8.1.1.1-2 Transport fuel'!A1", "8.1.1.1-2 Transport fuel")</f>
        <v>8.1.1.1-2 Transport fuel</v>
      </c>
      <c r="D31" s="59" t="str">
        <f t="shared" si="0"/>
        <v>Generators</v>
      </c>
      <c r="E31" s="58" t="str">
        <f>'Constants - Fuel'!$D$77</f>
        <v>Renewable diesel</v>
      </c>
      <c r="F31" s="58" t="str">
        <f>'Constants - Fuel'!D137</f>
        <v>Renewable diesel</v>
      </c>
      <c r="G31" s="161">
        <f>IFERROR(_xlfn.XLOOKUP($E31, Table_Fuel_EFs_StationaryLiquid[Fuel combusted], Table_Fuel_EFs_StationaryLiquid[Energy Content Factor (GJ per unit of fuel)]),0)</f>
        <v>38.6</v>
      </c>
      <c r="H31" s="161">
        <f>IFERROR(_xlfn.XLOOKUP($E31, Table_Fuel_EFs_StationaryLiquid[Fuel combusted], Table_Fuel_EFs_StationaryLiquid[Scope 1 Emission Factor (kg CO2 - e / GJ) CO2]),0)</f>
        <v>0</v>
      </c>
      <c r="I31" s="161">
        <f>IFERROR(_xlfn.XLOOKUP($E31, Table_Fuel_EFs_StationaryLiquid[Fuel combusted], Table_Fuel_EFs_StationaryLiquid[Scope 1 Emission Factor (kg CO2 - e / GJ) CH4]),0)</f>
        <v>0.1</v>
      </c>
      <c r="J31" s="161">
        <f>IFERROR(_xlfn.XLOOKUP($E31, Table_Fuel_EFs_StationaryLiquid[Fuel combusted], Table_Fuel_EFs_StationaryLiquid[Scope 1 Emission Factor (kg CO2 - e / GJ) N2O]),0)</f>
        <v>0.2</v>
      </c>
      <c r="K31" s="161" t="str">
        <f>IFERROR(_xlfn.XLOOKUP($E31, Table_Fuel_EFs_StationaryLiquid[Fuel combusted], Table_Fuel_EFs_StationaryLiquid[Scope 3 Emission Factor (kg CO2 - e / GJ)]),0)</f>
        <v>NE</v>
      </c>
      <c r="L31" s="183" cm="1">
        <f t="array" ref="L31">Fuel_InputFunctions.Fuel_TotalConsumption(Table_Input_Fuel[Amount consumed], Table_Input_Fuel[Fuel use (select)], D31, Table_Input_Fuel[Fuel type (select)],F31)</f>
        <v>0</v>
      </c>
      <c r="M31" s="183" t="str" cm="1">
        <f t="array" ref="M31">Common_InputFunctions.Utility_LookupValueInTable(F31,Table_FuelTypes_Units[Fuel type],Table_FuelTypes_Units[Unit])</f>
        <v>kL</v>
      </c>
      <c r="N31" s="201" cm="1">
        <f t="array" ref="N31">Fuel_Equations.VEERG_8_2_1_1__1_FuelCombustionStationary($L31,$G31,H31)</f>
        <v>0</v>
      </c>
      <c r="O31" s="201" cm="1">
        <f t="array" ref="O31">Fuel_Equations.VEERG_8_2_1_1__1_FuelCombustionStationary($L31,$G31,I31)</f>
        <v>0</v>
      </c>
      <c r="P31" s="201" cm="1">
        <f t="array" ref="P31">Fuel_Equations.VEERG_8_2_1_1__1_FuelCombustionStationary($L31,$G31,J31)</f>
        <v>0</v>
      </c>
      <c r="Q31" s="201" cm="1">
        <f t="array" ref="Q31">Fuel_Equations.VEERG_8_2_1_1__1_FuelCombustionStationary($L31,$G31,IF(ISNUMBER(K31), K31, 0))</f>
        <v>0</v>
      </c>
    </row>
    <row r="32" spans="1:17" ht="20.100000000000001" customHeight="1" x14ac:dyDescent="0.25">
      <c r="A32" s="180" t="str">
        <f>HYPERLINK("#'8.2.1.1-2 Stationary fuel'!A1", "8.2.1.1-2 Stationary fuel")</f>
        <v>8.2.1.1-2 Stationary fuel</v>
      </c>
      <c r="D32" s="60" t="str">
        <f>Table_FuelTypesPerUse[[#Headers],[Power standalone machinery or heating]]</f>
        <v>Power standalone machinery or heating</v>
      </c>
      <c r="E32" s="61" t="str">
        <f>'Constants - Fuel'!$D$58</f>
        <v>Automotive gasoline / petrol (other than for use as fuel in an aircraft)</v>
      </c>
      <c r="F32" s="61" t="str">
        <f>'Constants - Fuel'!E131</f>
        <v>Petrol</v>
      </c>
      <c r="G32" s="191">
        <f>IFERROR(_xlfn.XLOOKUP($E32, Table_Fuel_EFs_StationaryLiquid[Fuel combusted], Table_Fuel_EFs_StationaryLiquid[Energy Content Factor (GJ per unit of fuel)]),0)</f>
        <v>34.200000000000003</v>
      </c>
      <c r="H32" s="191">
        <f>IFERROR(_xlfn.XLOOKUP($E32, Table_Fuel_EFs_StationaryLiquid[Fuel combusted], Table_Fuel_EFs_StationaryLiquid[Scope 1 Emission Factor (kg CO2 - e / GJ) CO2]),0)</f>
        <v>67.400000000000006</v>
      </c>
      <c r="I32" s="191">
        <f>IFERROR(_xlfn.XLOOKUP($E32, Table_Fuel_EFs_StationaryLiquid[Fuel combusted], Table_Fuel_EFs_StationaryLiquid[Scope 1 Emission Factor (kg CO2 - e / GJ) CH4]),0)</f>
        <v>0.2</v>
      </c>
      <c r="J32" s="191">
        <f>IFERROR(_xlfn.XLOOKUP($E32, Table_Fuel_EFs_StationaryLiquid[Fuel combusted], Table_Fuel_EFs_StationaryLiquid[Scope 1 Emission Factor (kg CO2 - e / GJ) N2O]),0)</f>
        <v>0.2</v>
      </c>
      <c r="K32" s="191">
        <f>IFERROR(_xlfn.XLOOKUP($E32, Table_Fuel_EFs_StationaryLiquid[Fuel combusted], Table_Fuel_EFs_StationaryLiquid[Scope 3 Emission Factor (kg CO2 - e / GJ)]),0)</f>
        <v>17.2</v>
      </c>
      <c r="L32" s="187" cm="1">
        <f t="array" ref="L32">Fuel_InputFunctions.Fuel_TotalConsumption(Table_Input_Fuel[Amount consumed], Table_Input_Fuel[Fuel use (select)], D32, Table_Input_Fuel[Fuel type (select)],F32)</f>
        <v>10</v>
      </c>
      <c r="M32" s="188" t="str" cm="1">
        <f t="array" ref="M32">Common_InputFunctions.Utility_LookupValueInTable(F32,Table_FuelTypes_Units[Fuel type],Table_FuelTypes_Units[Unit])</f>
        <v>kL</v>
      </c>
      <c r="N32" s="202" cm="1">
        <f t="array" ref="N32">Fuel_Equations.VEERG_8_2_1_1__1_FuelCombustionStationary($L32,$G32,H32)</f>
        <v>23.050800000000002</v>
      </c>
      <c r="O32" s="202" cm="1">
        <f t="array" ref="O32">Fuel_Equations.VEERG_8_2_1_1__1_FuelCombustionStationary($L32,$G32,I32)</f>
        <v>6.8400000000000002E-2</v>
      </c>
      <c r="P32" s="202" cm="1">
        <f t="array" ref="P32">Fuel_Equations.VEERG_8_2_1_1__1_FuelCombustionStationary($L32,$G32,J32)</f>
        <v>6.8400000000000002E-2</v>
      </c>
      <c r="Q32" s="202" cm="1">
        <f t="array" ref="Q32">Fuel_Equations.VEERG_8_2_1_1__1_FuelCombustionStationary($L32,$G32,IF(ISNUMBER(K32), K32, 0))</f>
        <v>5.8823999999999996</v>
      </c>
    </row>
    <row r="33" spans="1:17" ht="20.100000000000001" customHeight="1" x14ac:dyDescent="0.25">
      <c r="A33"/>
      <c r="D33" s="59" t="str">
        <f t="shared" ref="D33:D40" si="1">$D$32</f>
        <v>Power standalone machinery or heating</v>
      </c>
      <c r="E33" s="58" t="str">
        <f>'Constants - Fuel'!$D$63</f>
        <v>Diesel oil</v>
      </c>
      <c r="F33" s="58" t="str">
        <f>'Constants - Fuel'!E132</f>
        <v>Diesel</v>
      </c>
      <c r="G33" s="49">
        <f>IFERROR(_xlfn.XLOOKUP($E33, Table_Fuel_EFs_StationaryLiquid[Fuel combusted], Table_Fuel_EFs_StationaryLiquid[Energy Content Factor (GJ per unit of fuel)]),0)</f>
        <v>38.6</v>
      </c>
      <c r="H33" s="49">
        <f>IFERROR(_xlfn.XLOOKUP($E33, Table_Fuel_EFs_StationaryLiquid[Fuel combusted], Table_Fuel_EFs_StationaryLiquid[Scope 1 Emission Factor (kg CO2 - e / GJ) CO2]),0)</f>
        <v>69.900000000000006</v>
      </c>
      <c r="I33" s="49">
        <f>IFERROR(_xlfn.XLOOKUP($E33, Table_Fuel_EFs_StationaryLiquid[Fuel combusted], Table_Fuel_EFs_StationaryLiquid[Scope 1 Emission Factor (kg CO2 - e / GJ) CH4]),0)</f>
        <v>0.1</v>
      </c>
      <c r="J33" s="49">
        <f>IFERROR(_xlfn.XLOOKUP($E33, Table_Fuel_EFs_StationaryLiquid[Fuel combusted], Table_Fuel_EFs_StationaryLiquid[Scope 1 Emission Factor (kg CO2 - e / GJ) N2O]),0)</f>
        <v>0.2</v>
      </c>
      <c r="K33" s="49">
        <f>IFERROR(_xlfn.XLOOKUP($E33, Table_Fuel_EFs_StationaryLiquid[Fuel combusted], Table_Fuel_EFs_StationaryLiquid[Scope 3 Emission Factor (kg CO2 - e / GJ)]),0)</f>
        <v>17.3</v>
      </c>
      <c r="L33" s="49" cm="1">
        <f t="array" ref="L33">Fuel_InputFunctions.Fuel_TotalConsumption(Table_Input_Fuel[Amount consumed], Table_Input_Fuel[Fuel use (select)], D33, Table_Input_Fuel[Fuel type (select)],F33)</f>
        <v>0</v>
      </c>
      <c r="M33" s="49" t="str" cm="1">
        <f t="array" ref="M33">Common_InputFunctions.Utility_LookupValueInTable(F33,Table_FuelTypes_Units[Fuel type],Table_FuelTypes_Units[Unit])</f>
        <v>kL</v>
      </c>
      <c r="N33" s="200" cm="1">
        <f t="array" ref="N33">Fuel_Equations.VEERG_8_2_1_1__1_FuelCombustionStationary($L33,$G33,H33)</f>
        <v>0</v>
      </c>
      <c r="O33" s="200" cm="1">
        <f t="array" ref="O33">Fuel_Equations.VEERG_8_2_1_1__1_FuelCombustionStationary($L33,$G33,I33)</f>
        <v>0</v>
      </c>
      <c r="P33" s="200" cm="1">
        <f t="array" ref="P33">Fuel_Equations.VEERG_8_2_1_1__1_FuelCombustionStationary($L33,$G33,J33)</f>
        <v>0</v>
      </c>
      <c r="Q33" s="200" cm="1">
        <f t="array" ref="Q33">Fuel_Equations.VEERG_8_2_1_1__1_FuelCombustionStationary($L33,$G33,IF(ISNUMBER(K33), K33, 0))</f>
        <v>0</v>
      </c>
    </row>
    <row r="34" spans="1:17" ht="20.100000000000001" customHeight="1" x14ac:dyDescent="0.25">
      <c r="A34"/>
      <c r="D34" s="59" t="str">
        <f t="shared" si="1"/>
        <v>Power standalone machinery or heating</v>
      </c>
      <c r="E34" s="58" t="str">
        <f>'Constants - Fuel'!$D$67</f>
        <v>Liquefied petroleum gas (LPG)</v>
      </c>
      <c r="F34" s="58" t="str">
        <f>'Constants - Fuel'!E133</f>
        <v>Liquefied petroleum gas (LPG)</v>
      </c>
      <c r="G34" s="49">
        <f>IFERROR(_xlfn.XLOOKUP($E34, Table_Fuel_EFs_StationaryLiquid[Fuel combusted], Table_Fuel_EFs_StationaryLiquid[Energy Content Factor (GJ per unit of fuel)]),0)</f>
        <v>25.7</v>
      </c>
      <c r="H34" s="49">
        <f>IFERROR(_xlfn.XLOOKUP($E34, Table_Fuel_EFs_StationaryLiquid[Fuel combusted], Table_Fuel_EFs_StationaryLiquid[Scope 1 Emission Factor (kg CO2 - e / GJ) CO2]),0)</f>
        <v>60.2</v>
      </c>
      <c r="I34" s="49">
        <f>IFERROR(_xlfn.XLOOKUP($E34, Table_Fuel_EFs_StationaryLiquid[Fuel combusted], Table_Fuel_EFs_StationaryLiquid[Scope 1 Emission Factor (kg CO2 - e / GJ) CH4]),0)</f>
        <v>0.2</v>
      </c>
      <c r="J34" s="49">
        <f>IFERROR(_xlfn.XLOOKUP($E34, Table_Fuel_EFs_StationaryLiquid[Fuel combusted], Table_Fuel_EFs_StationaryLiquid[Scope 1 Emission Factor (kg CO2 - e / GJ) N2O]),0)</f>
        <v>0.2</v>
      </c>
      <c r="K34" s="49">
        <f>IFERROR(_xlfn.XLOOKUP($E34, Table_Fuel_EFs_StationaryLiquid[Fuel combusted], Table_Fuel_EFs_StationaryLiquid[Scope 3 Emission Factor (kg CO2 - e / GJ)]),0)</f>
        <v>20.2</v>
      </c>
      <c r="L34" s="49" cm="1">
        <f t="array" ref="L34">Fuel_InputFunctions.Fuel_TotalConsumption(Table_Input_Fuel[Amount consumed], Table_Input_Fuel[Fuel use (select)], D34, Table_Input_Fuel[Fuel type (select)],F34)</f>
        <v>0</v>
      </c>
      <c r="M34" s="49" t="str" cm="1">
        <f t="array" ref="M34">Common_InputFunctions.Utility_LookupValueInTable(F34,Table_FuelTypes_Units[Fuel type],Table_FuelTypes_Units[Unit])</f>
        <v>kL</v>
      </c>
      <c r="N34" s="200" cm="1">
        <f t="array" ref="N34">Fuel_Equations.VEERG_8_2_1_1__1_FuelCombustionStationary($L34,$G34,H34)</f>
        <v>0</v>
      </c>
      <c r="O34" s="200" cm="1">
        <f t="array" ref="O34">Fuel_Equations.VEERG_8_2_1_1__1_FuelCombustionStationary($L34,$G34,I34)</f>
        <v>0</v>
      </c>
      <c r="P34" s="200" cm="1">
        <f t="array" ref="P34">Fuel_Equations.VEERG_8_2_1_1__1_FuelCombustionStationary($L34,$G34,J34)</f>
        <v>0</v>
      </c>
      <c r="Q34" s="200" cm="1">
        <f t="array" ref="Q34">Fuel_Equations.VEERG_8_2_1_1__1_FuelCombustionStationary($L34,$G34,IF(ISNUMBER(K34), K34, 0))</f>
        <v>0</v>
      </c>
    </row>
    <row r="35" spans="1:17" ht="20.100000000000001" customHeight="1" x14ac:dyDescent="0.25">
      <c r="A35" s="222" t="s">
        <v>78</v>
      </c>
      <c r="D35" s="59" t="str">
        <f t="shared" si="1"/>
        <v>Power standalone machinery or heating</v>
      </c>
      <c r="E35" s="58" t="str">
        <f>'Constants - Fuel'!$D$73</f>
        <v>Biodiesel</v>
      </c>
      <c r="F35" s="58" t="str">
        <f>'Constants - Fuel'!E134</f>
        <v>Biodiesel</v>
      </c>
      <c r="G35" s="49">
        <f>IFERROR(_xlfn.XLOOKUP($E35, Table_Fuel_EFs_StationaryLiquid[Fuel combusted], Table_Fuel_EFs_StationaryLiquid[Energy Content Factor (GJ per unit of fuel)]),0)</f>
        <v>34.6</v>
      </c>
      <c r="H35" s="49">
        <f>IFERROR(_xlfn.XLOOKUP($E35, Table_Fuel_EFs_StationaryLiquid[Fuel combusted], Table_Fuel_EFs_StationaryLiquid[Scope 1 Emission Factor (kg CO2 - e / GJ) CO2]),0)</f>
        <v>0</v>
      </c>
      <c r="I35" s="49">
        <f>IFERROR(_xlfn.XLOOKUP($E35, Table_Fuel_EFs_StationaryLiquid[Fuel combusted], Table_Fuel_EFs_StationaryLiquid[Scope 1 Emission Factor (kg CO2 - e / GJ) CH4]),0)</f>
        <v>0.08</v>
      </c>
      <c r="J35" s="49">
        <f>IFERROR(_xlfn.XLOOKUP($E35, Table_Fuel_EFs_StationaryLiquid[Fuel combusted], Table_Fuel_EFs_StationaryLiquid[Scope 1 Emission Factor (kg CO2 - e / GJ) N2O]),0)</f>
        <v>0.2</v>
      </c>
      <c r="K35" s="49" t="str">
        <f>IFERROR(_xlfn.XLOOKUP($E35, Table_Fuel_EFs_StationaryLiquid[Fuel combusted], Table_Fuel_EFs_StationaryLiquid[Scope 3 Emission Factor (kg CO2 - e / GJ)]),0)</f>
        <v>NE</v>
      </c>
      <c r="L35" s="49" cm="1">
        <f t="array" ref="L35">Fuel_InputFunctions.Fuel_TotalConsumption(Table_Input_Fuel[Amount consumed], Table_Input_Fuel[Fuel use (select)], D35, Table_Input_Fuel[Fuel type (select)],F35)</f>
        <v>0</v>
      </c>
      <c r="M35" s="49" t="str" cm="1">
        <f t="array" ref="M35">Common_InputFunctions.Utility_LookupValueInTable(F35,Table_FuelTypes_Units[Fuel type],Table_FuelTypes_Units[Unit])</f>
        <v>kL</v>
      </c>
      <c r="N35" s="200" cm="1">
        <f t="array" ref="N35">Fuel_Equations.VEERG_8_2_1_1__1_FuelCombustionStationary($L35,$G35,H35)</f>
        <v>0</v>
      </c>
      <c r="O35" s="200" cm="1">
        <f t="array" ref="O35">Fuel_Equations.VEERG_8_2_1_1__1_FuelCombustionStationary($L35,$G35,I35)</f>
        <v>0</v>
      </c>
      <c r="P35" s="200" cm="1">
        <f t="array" ref="P35">Fuel_Equations.VEERG_8_2_1_1__1_FuelCombustionStationary($L35,$G35,J35)</f>
        <v>0</v>
      </c>
      <c r="Q35" s="200" cm="1">
        <f t="array" ref="Q35">Fuel_Equations.VEERG_8_2_1_1__1_FuelCombustionStationary($L35,$G35,IF(ISNUMBER(K35), K35, 0))</f>
        <v>0</v>
      </c>
    </row>
    <row r="36" spans="1:17" ht="20.100000000000001" customHeight="1" x14ac:dyDescent="0.25">
      <c r="A36" s="16" t="str">
        <f>HYPERLINK("#'Constants - Scope 3'!A1", "Constants - Scope 3")</f>
        <v>Constants - Scope 3</v>
      </c>
      <c r="D36" s="59" t="str">
        <f t="shared" si="1"/>
        <v>Power standalone machinery or heating</v>
      </c>
      <c r="E36" s="58" t="str">
        <f>'Constants - Fuel'!$D$74</f>
        <v>Ethanol for use as a fuel in an internal combustion engine</v>
      </c>
      <c r="F36" s="58" t="str">
        <f>'Constants - Fuel'!E135</f>
        <v>Ethanol</v>
      </c>
      <c r="G36" s="49">
        <f>IFERROR(_xlfn.XLOOKUP($E36, Table_Fuel_EFs_StationaryLiquid[Fuel combusted], Table_Fuel_EFs_StationaryLiquid[Energy Content Factor (GJ per unit of fuel)]),0)</f>
        <v>23.4</v>
      </c>
      <c r="H36" s="49">
        <f>IFERROR(_xlfn.XLOOKUP($E36, Table_Fuel_EFs_StationaryLiquid[Fuel combusted], Table_Fuel_EFs_StationaryLiquid[Scope 1 Emission Factor (kg CO2 - e / GJ) CO2]),0)</f>
        <v>0</v>
      </c>
      <c r="I36" s="49">
        <f>IFERROR(_xlfn.XLOOKUP($E36, Table_Fuel_EFs_StationaryLiquid[Fuel combusted], Table_Fuel_EFs_StationaryLiquid[Scope 1 Emission Factor (kg CO2 - e / GJ) CH4]),0)</f>
        <v>0.08</v>
      </c>
      <c r="J36" s="49">
        <f>IFERROR(_xlfn.XLOOKUP($E36, Table_Fuel_EFs_StationaryLiquid[Fuel combusted], Table_Fuel_EFs_StationaryLiquid[Scope 1 Emission Factor (kg CO2 - e / GJ) N2O]),0)</f>
        <v>0.2</v>
      </c>
      <c r="K36" s="49" t="str">
        <f>IFERROR(_xlfn.XLOOKUP($E36, Table_Fuel_EFs_StationaryLiquid[Fuel combusted], Table_Fuel_EFs_StationaryLiquid[Scope 3 Emission Factor (kg CO2 - e / GJ)]),0)</f>
        <v>NE</v>
      </c>
      <c r="L36" s="49" cm="1">
        <f t="array" ref="L36">Fuel_InputFunctions.Fuel_TotalConsumption(Table_Input_Fuel[Amount consumed], Table_Input_Fuel[Fuel use (select)], D36, Table_Input_Fuel[Fuel type (select)],F36)</f>
        <v>0</v>
      </c>
      <c r="M36" s="49" t="str" cm="1">
        <f t="array" ref="M36">Common_InputFunctions.Utility_LookupValueInTable(F36,Table_FuelTypes_Units[Fuel type],Table_FuelTypes_Units[Unit])</f>
        <v>kL</v>
      </c>
      <c r="N36" s="200" cm="1">
        <f t="array" ref="N36">Fuel_Equations.VEERG_8_2_1_1__1_FuelCombustionStationary($L36,$G36,H36)</f>
        <v>0</v>
      </c>
      <c r="O36" s="200" cm="1">
        <f t="array" ref="O36">Fuel_Equations.VEERG_8_2_1_1__1_FuelCombustionStationary($L36,$G36,I36)</f>
        <v>0</v>
      </c>
      <c r="P36" s="200" cm="1">
        <f t="array" ref="P36">Fuel_Equations.VEERG_8_2_1_1__1_FuelCombustionStationary($L36,$G36,J36)</f>
        <v>0</v>
      </c>
      <c r="Q36" s="200" cm="1">
        <f t="array" ref="Q36">Fuel_Equations.VEERG_8_2_1_1__1_FuelCombustionStationary($L36,$G36,IF(ISNUMBER(K36), K36, 0))</f>
        <v>0</v>
      </c>
    </row>
    <row r="37" spans="1:17" ht="20.100000000000001" customHeight="1" x14ac:dyDescent="0.25">
      <c r="A37" s="16" t="str">
        <f>HYPERLINK("#'Constants - Solid Waste'!A1", "Constants - Solid Waste")</f>
        <v>Constants - Solid Waste</v>
      </c>
      <c r="D37" s="59" t="str">
        <f t="shared" si="1"/>
        <v>Power standalone machinery or heating</v>
      </c>
      <c r="E37" s="58" t="str">
        <f>'Constants - Fuel'!$D$75</f>
        <v>Biofuels other than those mentioned in the items above and below</v>
      </c>
      <c r="F37" s="58" t="str">
        <f>'Constants - Fuel'!E136</f>
        <v>Other biofuels</v>
      </c>
      <c r="G37" s="49">
        <f>IFERROR(_xlfn.XLOOKUP($E37, Table_Fuel_EFs_StationaryLiquid[Fuel combusted], Table_Fuel_EFs_StationaryLiquid[Energy Content Factor (GJ per unit of fuel)]),0)</f>
        <v>23.4</v>
      </c>
      <c r="H37" s="49">
        <f>IFERROR(_xlfn.XLOOKUP($E37, Table_Fuel_EFs_StationaryLiquid[Fuel combusted], Table_Fuel_EFs_StationaryLiquid[Scope 1 Emission Factor (kg CO2 - e / GJ) CO2]),0)</f>
        <v>0</v>
      </c>
      <c r="I37" s="49">
        <f>IFERROR(_xlfn.XLOOKUP($E37, Table_Fuel_EFs_StationaryLiquid[Fuel combusted], Table_Fuel_EFs_StationaryLiquid[Scope 1 Emission Factor (kg CO2 - e / GJ) CH4]),0)</f>
        <v>0.08</v>
      </c>
      <c r="J37" s="49">
        <f>IFERROR(_xlfn.XLOOKUP($E37, Table_Fuel_EFs_StationaryLiquid[Fuel combusted], Table_Fuel_EFs_StationaryLiquid[Scope 1 Emission Factor (kg CO2 - e / GJ) N2O]),0)</f>
        <v>0.2</v>
      </c>
      <c r="K37" s="49" t="str">
        <f>IFERROR(_xlfn.XLOOKUP($E37, Table_Fuel_EFs_StationaryLiquid[Fuel combusted], Table_Fuel_EFs_StationaryLiquid[Scope 3 Emission Factor (kg CO2 - e / GJ)]),0)</f>
        <v>NE</v>
      </c>
      <c r="L37" s="49" cm="1">
        <f t="array" ref="L37">Fuel_InputFunctions.Fuel_TotalConsumption(Table_Input_Fuel[Amount consumed], Table_Input_Fuel[Fuel use (select)], D37, Table_Input_Fuel[Fuel type (select)],F37)</f>
        <v>0</v>
      </c>
      <c r="M37" s="49" t="str" cm="1">
        <f t="array" ref="M37">Common_InputFunctions.Utility_LookupValueInTable(F37,Table_FuelTypes_Units[Fuel type],Table_FuelTypes_Units[Unit])</f>
        <v>kL</v>
      </c>
      <c r="N37" s="200" cm="1">
        <f t="array" ref="N37">Fuel_Equations.VEERG_8_2_1_1__1_FuelCombustionStationary($L37,$G37,H37)</f>
        <v>0</v>
      </c>
      <c r="O37" s="200" cm="1">
        <f t="array" ref="O37">Fuel_Equations.VEERG_8_2_1_1__1_FuelCombustionStationary($L37,$G37,I37)</f>
        <v>0</v>
      </c>
      <c r="P37" s="200" cm="1">
        <f t="array" ref="P37">Fuel_Equations.VEERG_8_2_1_1__1_FuelCombustionStationary($L37,$G37,J37)</f>
        <v>0</v>
      </c>
      <c r="Q37" s="200" cm="1">
        <f t="array" ref="Q37">Fuel_Equations.VEERG_8_2_1_1__1_FuelCombustionStationary($L37,$G37,IF(ISNUMBER(K37), K37, 0))</f>
        <v>0</v>
      </c>
    </row>
    <row r="38" spans="1:17" ht="20.100000000000001" customHeight="1" x14ac:dyDescent="0.25">
      <c r="A38" s="16" t="str">
        <f>HYPERLINK("#'Constants - Fuel'!A1", "Constants - Fuel")</f>
        <v>Constants - Fuel</v>
      </c>
      <c r="D38" s="59" t="str">
        <f t="shared" si="1"/>
        <v>Power standalone machinery or heating</v>
      </c>
      <c r="E38" s="58" t="str">
        <f>'Constants - Fuel'!$D$77</f>
        <v>Renewable diesel</v>
      </c>
      <c r="F38" s="58" t="str">
        <f>'Constants - Fuel'!E137</f>
        <v>Renewable diesel</v>
      </c>
      <c r="G38" s="49">
        <f>IFERROR(_xlfn.XLOOKUP($E38, Table_Fuel_EFs_StationaryLiquid[Fuel combusted], Table_Fuel_EFs_StationaryLiquid[Energy Content Factor (GJ per unit of fuel)]),0)</f>
        <v>38.6</v>
      </c>
      <c r="H38" s="49">
        <f>IFERROR(_xlfn.XLOOKUP($E38, Table_Fuel_EFs_StationaryLiquid[Fuel combusted], Table_Fuel_EFs_StationaryLiquid[Scope 1 Emission Factor (kg CO2 - e / GJ) CO2]),0)</f>
        <v>0</v>
      </c>
      <c r="I38" s="49">
        <f>IFERROR(_xlfn.XLOOKUP($E38, Table_Fuel_EFs_StationaryLiquid[Fuel combusted], Table_Fuel_EFs_StationaryLiquid[Scope 1 Emission Factor (kg CO2 - e / GJ) CH4]),0)</f>
        <v>0.1</v>
      </c>
      <c r="J38" s="49">
        <f>IFERROR(_xlfn.XLOOKUP($E38, Table_Fuel_EFs_StationaryLiquid[Fuel combusted], Table_Fuel_EFs_StationaryLiquid[Scope 1 Emission Factor (kg CO2 - e / GJ) N2O]),0)</f>
        <v>0.2</v>
      </c>
      <c r="K38" s="49" t="str">
        <f>IFERROR(_xlfn.XLOOKUP($E38, Table_Fuel_EFs_StationaryLiquid[Fuel combusted], Table_Fuel_EFs_StationaryLiquid[Scope 3 Emission Factor (kg CO2 - e / GJ)]),0)</f>
        <v>NE</v>
      </c>
      <c r="L38" s="49" cm="1">
        <f t="array" ref="L38">Fuel_InputFunctions.Fuel_TotalConsumption(Table_Input_Fuel[Amount consumed], Table_Input_Fuel[Fuel use (select)], D38, Table_Input_Fuel[Fuel type (select)],F38)</f>
        <v>0</v>
      </c>
      <c r="M38" s="49" t="str" cm="1">
        <f t="array" ref="M38">Common_InputFunctions.Utility_LookupValueInTable(F38,Table_FuelTypes_Units[Fuel type],Table_FuelTypes_Units[Unit])</f>
        <v>kL</v>
      </c>
      <c r="N38" s="200" cm="1">
        <f t="array" ref="N38">Fuel_Equations.VEERG_8_2_1_1__1_FuelCombustionStationary($L38,$G38,H38)</f>
        <v>0</v>
      </c>
      <c r="O38" s="200" cm="1">
        <f t="array" ref="O38">Fuel_Equations.VEERG_8_2_1_1__1_FuelCombustionStationary($L38,$G38,I38)</f>
        <v>0</v>
      </c>
      <c r="P38" s="200" cm="1">
        <f t="array" ref="P38">Fuel_Equations.VEERG_8_2_1_1__1_FuelCombustionStationary($L38,$G38,J38)</f>
        <v>0</v>
      </c>
      <c r="Q38" s="200" cm="1">
        <f t="array" ref="Q38">Fuel_Equations.VEERG_8_2_1_1__1_FuelCombustionStationary($L38,$G38,IF(ISNUMBER(K38), K38, 0))</f>
        <v>0</v>
      </c>
    </row>
    <row r="39" spans="1:17" ht="20.100000000000001" customHeight="1" x14ac:dyDescent="0.25">
      <c r="A39" s="16" t="str">
        <f>HYPERLINK("#'Constants - Poultry'!A1", "Constants - Poultry")</f>
        <v>Constants - Poultry</v>
      </c>
      <c r="D39" s="59" t="str">
        <f t="shared" si="1"/>
        <v>Power standalone machinery or heating</v>
      </c>
      <c r="E39" s="58" t="str">
        <f>'Constants - Fuel'!$D$103</f>
        <v>Natural gas distributed in a pipeline - Gigajoules</v>
      </c>
      <c r="F39" s="58" t="str">
        <f>'Constants - Fuel'!E138</f>
        <v>Natural gas (via pipeline) in GJ</v>
      </c>
      <c r="G39" s="49">
        <f>IFERROR(_xlfn.XLOOKUP($E39, Table_Fuel_EFs_StationaryGaseous[Fuel combusted], Table_Fuel_EFs_StationaryGaseous[Energy Content Factor (GJ per unit of fuel)]),0)</f>
        <v>1</v>
      </c>
      <c r="H39" s="49">
        <f>IFERROR(_xlfn.XLOOKUP($E39, Table_Fuel_EFs_StationaryGaseous[Fuel combusted], Table_Fuel_EFs_StationaryGaseous[Scope 1 Emission Factor (kg CO2 - e / GJ) CO2]),0)</f>
        <v>51.4</v>
      </c>
      <c r="I39" s="49">
        <f>IFERROR(_xlfn.XLOOKUP($E39, Table_Fuel_EFs_StationaryGaseous[Fuel combusted], Table_Fuel_EFs_StationaryGaseous[Scope 1 Emission Factor (kg CO2 - e / GJ) CH4]),0)</f>
        <v>0.1</v>
      </c>
      <c r="J39" s="49">
        <f>IFERROR(_xlfn.XLOOKUP($E39, Table_Fuel_EFs_StationaryGaseous[Fuel combusted], Table_Fuel_EFs_StationaryGaseous[Scope 1 Emission Factor (kg CO2 - e / GJ) N2O]),0)</f>
        <v>0.03</v>
      </c>
      <c r="K39" s="49" cm="1">
        <f t="array" ref="K39">IFERROR(Common_InputFunctions.Utility_LookupValueInTableOneColumnAndHeader($P$17,$P$18,Table_Fuel_EFs_StationaryGaseous34[State or territory],Table_Fuel_EFs_StationaryGaseous34[#Headers],Table_Fuel_EFs_StationaryGaseous34[#Data]),0)</f>
        <v>4.0999999999999996</v>
      </c>
      <c r="L39" s="181" cm="1">
        <f t="array" ref="L39">Fuel_InputFunctions.Fuel_TotalConsumption(Table_Input_Fuel[Amount consumed], Table_Input_Fuel[Fuel use (select)], D39, Table_Input_Fuel[Fuel type (select)],F39)</f>
        <v>0</v>
      </c>
      <c r="M39" s="181" t="str" cm="1">
        <f t="array" ref="M39">Common_InputFunctions.Utility_LookupValueInTable(F39,Table_FuelTypes_Units[Fuel type],Table_FuelTypes_Units[Unit])</f>
        <v>GJ</v>
      </c>
      <c r="N39" s="200" cm="1">
        <f t="array" ref="N39">Fuel_Equations.VEERG_8_2_1_1__1_FuelCombustionStationary($L39,$G39,H39)</f>
        <v>0</v>
      </c>
      <c r="O39" s="200" cm="1">
        <f t="array" ref="O39">Fuel_Equations.VEERG_8_2_1_1__1_FuelCombustionStationary($L39,$G39,I39)</f>
        <v>0</v>
      </c>
      <c r="P39" s="200" cm="1">
        <f t="array" ref="P39">Fuel_Equations.VEERG_8_2_1_1__1_FuelCombustionStationary($L39,$G39,J39)</f>
        <v>0</v>
      </c>
      <c r="Q39" s="200" cm="1">
        <f t="array" ref="Q39">Fuel_Equations.VEERG_8_2_1_1__1_FuelCombustionStationary($L39,$G39,IF(ISNUMBER(K39), K39, 0))</f>
        <v>0</v>
      </c>
    </row>
    <row r="40" spans="1:17" ht="20.100000000000001" customHeight="1" x14ac:dyDescent="0.25">
      <c r="A40" s="16" t="str">
        <f>HYPERLINK("#'Constants - Swine'!A1", "Constants - Swine")</f>
        <v>Constants - Swine</v>
      </c>
      <c r="D40" s="59" t="str">
        <f t="shared" si="1"/>
        <v>Power standalone machinery or heating</v>
      </c>
      <c r="E40" s="58" t="str">
        <f>'Constants - Fuel'!$D$104</f>
        <v>Town gas - Gigajoules</v>
      </c>
      <c r="F40" s="58" t="str">
        <f>'Constants - Fuel'!E139</f>
        <v>Town gas in GJ</v>
      </c>
      <c r="G40" s="49">
        <f>IFERROR(_xlfn.XLOOKUP($E40, Table_Fuel_EFs_StationaryGaseous[Fuel combusted], Table_Fuel_EFs_StationaryGaseous[Energy Content Factor (GJ per unit of fuel)]),0)</f>
        <v>1</v>
      </c>
      <c r="H40" s="49">
        <f>IFERROR(_xlfn.XLOOKUP($E40, Table_Fuel_EFs_StationaryGaseous[Fuel combusted], Table_Fuel_EFs_StationaryGaseous[Scope 1 Emission Factor (kg CO2 - e / GJ) CO2]),0)</f>
        <v>60.2</v>
      </c>
      <c r="I40" s="49">
        <f>IFERROR(_xlfn.XLOOKUP($E40, Table_Fuel_EFs_StationaryGaseous[Fuel combusted], Table_Fuel_EFs_StationaryGaseous[Scope 1 Emission Factor (kg CO2 - e / GJ) CH4]),0)</f>
        <v>0.04</v>
      </c>
      <c r="J40" s="49">
        <f>IFERROR(_xlfn.XLOOKUP($E40, Table_Fuel_EFs_StationaryGaseous[Fuel combusted], Table_Fuel_EFs_StationaryGaseous[Scope 1 Emission Factor (kg CO2 - e / GJ) N2O]),0)</f>
        <v>0.03</v>
      </c>
      <c r="K40" s="49" cm="1">
        <f t="array" ref="K40">IFERROR(Common_InputFunctions.Utility_LookupValueInTableOneColumnAndHeader($P$17,$P$18,Table_Fuel_EFs_StationaryGaseous34[State or territory],Table_Fuel_EFs_StationaryGaseous34[#Headers],Table_Fuel_EFs_StationaryGaseous34[#Data]),0)</f>
        <v>4.0999999999999996</v>
      </c>
      <c r="L40" s="181" cm="1">
        <f t="array" ref="L40">Fuel_InputFunctions.Fuel_TotalConsumption(Table_Input_Fuel[Amount consumed], Table_Input_Fuel[Fuel use (select)], D40, Table_Input_Fuel[Fuel type (select)],F40)</f>
        <v>100</v>
      </c>
      <c r="M40" s="181" t="str" cm="1">
        <f t="array" ref="M40">Common_InputFunctions.Utility_LookupValueInTable(F40,Table_FuelTypes_Units[Fuel type],Table_FuelTypes_Units[Unit])</f>
        <v>GJ</v>
      </c>
      <c r="N40" s="200" cm="1">
        <f t="array" ref="N40">Fuel_Equations.VEERG_8_2_1_1__1_FuelCombustionStationary($L40,$G40,H40)</f>
        <v>6.0200000000000005</v>
      </c>
      <c r="O40" s="200" cm="1">
        <f t="array" ref="O40">Fuel_Equations.VEERG_8_2_1_1__1_FuelCombustionStationary($L40,$G40,I40)</f>
        <v>4.0000000000000001E-3</v>
      </c>
      <c r="P40" s="200" cm="1">
        <f t="array" ref="P40">Fuel_Equations.VEERG_8_2_1_1__1_FuelCombustionStationary($L40,$G40,J40)</f>
        <v>3.0000000000000001E-3</v>
      </c>
      <c r="Q40" s="200" cm="1">
        <f t="array" ref="Q40">Fuel_Equations.VEERG_8_2_1_1__1_FuelCombustionStationary($L40,$G40,IF(ISNUMBER(K40), K40, 0))</f>
        <v>0.41</v>
      </c>
    </row>
    <row r="41" spans="1:17" ht="20.100000000000001" customHeight="1" x14ac:dyDescent="0.25">
      <c r="A41" s="16" t="str">
        <f>HYPERLINK("#'Constants - Dairy'!A1", "Constants - Dairy")</f>
        <v>Constants - Dairy</v>
      </c>
    </row>
    <row r="42" spans="1:17" ht="20.100000000000001" customHeight="1" x14ac:dyDescent="0.25">
      <c r="A42" s="16" t="str">
        <f>HYPERLINK("#'Constants - Pasture Beef'!A1", "Constants - Pasture Beef")</f>
        <v>Constants - Pasture Beef</v>
      </c>
      <c r="D42" s="193" t="str">
        <f>"Total scope 1 - " &amp; D25</f>
        <v>Total scope 1 - Generators</v>
      </c>
      <c r="E42" s="194"/>
      <c r="F42" s="195"/>
    </row>
    <row r="43" spans="1:17" ht="20.100000000000001" customHeight="1" x14ac:dyDescent="0.25">
      <c r="A43" s="16" t="str">
        <f>HYPERLINK("#'Constants - Common Livestock'!A1", "Constants - Common Livestock")</f>
        <v>Constants - Common Livestock</v>
      </c>
      <c r="D43" s="7" t="s">
        <v>712</v>
      </c>
      <c r="E43" s="196">
        <f>SUM(N25:N31)+N("Partial sum")</f>
        <v>0</v>
      </c>
      <c r="F43" s="65" t="str">
        <f>$E$12</f>
        <v>t CO2-e</v>
      </c>
    </row>
    <row r="44" spans="1:17" ht="20.100000000000001" customHeight="1" x14ac:dyDescent="0.25">
      <c r="A44" s="16" t="str">
        <f>HYPERLINK("#'Constants - Fertiliser'!A1", "Constants - Fertiliser")</f>
        <v>Constants - Fertiliser</v>
      </c>
      <c r="D44" s="7" t="s">
        <v>713</v>
      </c>
      <c r="E44" s="196">
        <f>SUM(O25:O31)+N("Partial sum")</f>
        <v>0</v>
      </c>
      <c r="F44" s="65" t="str">
        <f t="shared" ref="F44:F46" si="2">$E$12</f>
        <v>t CO2-e</v>
      </c>
    </row>
    <row r="45" spans="1:17" ht="20.100000000000001" customHeight="1" x14ac:dyDescent="0.25">
      <c r="A45" s="16" t="str">
        <f>HYPERLINK("#'Constants - Electricity'!A1", "Constants - Electricity")</f>
        <v>Constants - Electricity</v>
      </c>
      <c r="D45" s="7" t="s">
        <v>714</v>
      </c>
      <c r="E45" s="196">
        <f>SUM(P25:P31)+N("Partial sum")</f>
        <v>0</v>
      </c>
      <c r="F45" s="65" t="str">
        <f t="shared" si="2"/>
        <v>t CO2-e</v>
      </c>
    </row>
    <row r="46" spans="1:17" ht="20.100000000000001" customHeight="1" x14ac:dyDescent="0.25">
      <c r="A46" s="16" t="str">
        <f>HYPERLINK("#'Constants - Common'!A1", "Constants - Common")</f>
        <v>Constants - Common</v>
      </c>
      <c r="D46" s="7" t="s">
        <v>715</v>
      </c>
      <c r="E46" s="196">
        <f>SUM(Q25:Q31)+N("Partial sum")</f>
        <v>0</v>
      </c>
      <c r="F46" s="65" t="str">
        <f t="shared" si="2"/>
        <v>t CO2-e</v>
      </c>
    </row>
    <row r="47" spans="1:17" ht="20.100000000000001" customHeight="1" x14ac:dyDescent="0.25">
      <c r="A47"/>
      <c r="H47" s="17"/>
      <c r="I47" s="17"/>
      <c r="J47" s="17"/>
      <c r="L47" s="17"/>
      <c r="N47" s="17"/>
      <c r="O47" s="17"/>
      <c r="P47" s="17"/>
      <c r="Q47" s="17"/>
    </row>
    <row r="48" spans="1:17" ht="20.100000000000001" customHeight="1" x14ac:dyDescent="0.25">
      <c r="A48"/>
      <c r="D48" s="193" t="str">
        <f>"Total scope 1 - " &amp; D32</f>
        <v>Total scope 1 - Power standalone machinery or heating</v>
      </c>
      <c r="E48" s="197"/>
      <c r="F48" s="195"/>
      <c r="H48" s="17"/>
      <c r="I48" s="17"/>
      <c r="J48" s="17"/>
      <c r="L48" s="17"/>
      <c r="N48" s="17"/>
      <c r="O48" s="17"/>
      <c r="P48" s="17"/>
      <c r="Q48" s="17"/>
    </row>
    <row r="49" spans="1:17" ht="20.100000000000001" customHeight="1" x14ac:dyDescent="0.25">
      <c r="A49"/>
      <c r="D49" s="7" t="s">
        <v>712</v>
      </c>
      <c r="E49" s="196">
        <f>SUM(N32:N40)+N("Partial sum")</f>
        <v>29.070800000000002</v>
      </c>
      <c r="F49" s="65" t="str">
        <f t="shared" ref="F49:F52" si="3">$E$12</f>
        <v>t CO2-e</v>
      </c>
      <c r="H49" s="17"/>
      <c r="I49" s="17"/>
      <c r="J49" s="17"/>
      <c r="L49" s="17"/>
      <c r="N49" s="17"/>
      <c r="O49" s="17"/>
      <c r="P49" s="17"/>
      <c r="Q49" s="17"/>
    </row>
    <row r="50" spans="1:17" ht="20.100000000000001" customHeight="1" x14ac:dyDescent="0.25">
      <c r="A50"/>
      <c r="D50" s="7" t="s">
        <v>713</v>
      </c>
      <c r="E50" s="196">
        <f>SUM(O32:O40)+N("Partial sum")</f>
        <v>7.2400000000000006E-2</v>
      </c>
      <c r="F50" s="65" t="str">
        <f t="shared" si="3"/>
        <v>t CO2-e</v>
      </c>
      <c r="H50" s="17"/>
      <c r="I50" s="17"/>
      <c r="J50" s="17"/>
      <c r="L50" s="17"/>
      <c r="N50" s="17"/>
      <c r="O50" s="17"/>
      <c r="P50" s="17"/>
      <c r="Q50" s="17"/>
    </row>
    <row r="51" spans="1:17" ht="20.100000000000001" customHeight="1" x14ac:dyDescent="0.25">
      <c r="A51"/>
      <c r="D51" s="7" t="s">
        <v>714</v>
      </c>
      <c r="E51" s="196">
        <f>SUM(P32:P40)+N("Partial sum")</f>
        <v>7.1400000000000005E-2</v>
      </c>
      <c r="F51" s="65" t="str">
        <f t="shared" si="3"/>
        <v>t CO2-e</v>
      </c>
      <c r="H51" s="17"/>
      <c r="I51" s="17"/>
      <c r="J51" s="17"/>
      <c r="L51" s="17"/>
      <c r="N51" s="17"/>
      <c r="O51" s="17"/>
      <c r="P51" s="17"/>
      <c r="Q51" s="17"/>
    </row>
    <row r="52" spans="1:17" ht="20.100000000000001" customHeight="1" x14ac:dyDescent="0.25">
      <c r="A52"/>
      <c r="D52" s="7" t="s">
        <v>715</v>
      </c>
      <c r="E52" s="196">
        <f>SUM(Q32:Q40)+N("Partial sum")</f>
        <v>6.2923999999999998</v>
      </c>
      <c r="F52" s="65" t="str">
        <f t="shared" si="3"/>
        <v>t CO2-e</v>
      </c>
      <c r="G52" s="17"/>
      <c r="H52" s="17"/>
      <c r="I52" s="17"/>
      <c r="J52" s="17"/>
      <c r="L52" s="17"/>
      <c r="N52" s="17"/>
      <c r="O52" s="17"/>
      <c r="P52" s="17"/>
      <c r="Q52" s="17"/>
    </row>
    <row r="53" spans="1:17" ht="20.100000000000001" customHeight="1" x14ac:dyDescent="0.25">
      <c r="A53"/>
      <c r="G53" s="17"/>
      <c r="H53" s="17"/>
      <c r="I53" s="17"/>
      <c r="J53" s="17"/>
      <c r="L53" s="17"/>
      <c r="N53" s="17"/>
      <c r="O53" s="17"/>
      <c r="P53" s="17"/>
      <c r="Q53" s="17"/>
    </row>
    <row r="54" spans="1:17" ht="20.100000000000001" customHeight="1" x14ac:dyDescent="0.25">
      <c r="A54"/>
      <c r="D54" s="193" t="s">
        <v>726</v>
      </c>
      <c r="E54" s="197"/>
      <c r="F54" s="195"/>
      <c r="G54" s="17"/>
      <c r="H54" s="17"/>
      <c r="I54" s="17"/>
      <c r="J54" s="17"/>
      <c r="L54" s="17"/>
      <c r="N54" s="17"/>
      <c r="O54" s="17"/>
      <c r="P54" s="17"/>
      <c r="Q54" s="17"/>
    </row>
    <row r="55" spans="1:17" ht="20.100000000000001" customHeight="1" x14ac:dyDescent="0.25">
      <c r="A55"/>
      <c r="D55" s="7" t="s">
        <v>712</v>
      </c>
      <c r="E55" s="196">
        <f>E43+E49</f>
        <v>29.070800000000002</v>
      </c>
      <c r="F55" s="65" t="str">
        <f t="shared" ref="F55:F58" si="4">$E$12</f>
        <v>t CO2-e</v>
      </c>
      <c r="G55" s="17"/>
      <c r="H55" s="17"/>
      <c r="I55" s="17"/>
      <c r="J55" s="17"/>
      <c r="L55" s="17"/>
      <c r="N55" s="17"/>
      <c r="O55" s="17"/>
      <c r="P55" s="17"/>
      <c r="Q55" s="17"/>
    </row>
    <row r="56" spans="1:17" ht="20.100000000000001" customHeight="1" x14ac:dyDescent="0.25">
      <c r="A56"/>
      <c r="D56" s="7" t="s">
        <v>713</v>
      </c>
      <c r="E56" s="196">
        <f>E44+E50</f>
        <v>7.2400000000000006E-2</v>
      </c>
      <c r="F56" s="65" t="str">
        <f t="shared" si="4"/>
        <v>t CO2-e</v>
      </c>
      <c r="H56" s="17"/>
    </row>
    <row r="57" spans="1:17" ht="20.100000000000001" customHeight="1" x14ac:dyDescent="0.25">
      <c r="A57"/>
      <c r="D57" s="7" t="s">
        <v>714</v>
      </c>
      <c r="E57" s="196">
        <f>E45+E51</f>
        <v>7.1400000000000005E-2</v>
      </c>
      <c r="F57" s="65" t="str">
        <f t="shared" si="4"/>
        <v>t CO2-e</v>
      </c>
      <c r="G57" s="17"/>
      <c r="H57" s="17"/>
      <c r="I57" s="17"/>
      <c r="J57" s="17"/>
      <c r="L57" s="17"/>
      <c r="N57" s="17"/>
      <c r="O57" s="17"/>
      <c r="P57" s="17"/>
      <c r="Q57" s="17"/>
    </row>
    <row r="58" spans="1:17" ht="20.100000000000001" customHeight="1" x14ac:dyDescent="0.25">
      <c r="A58"/>
      <c r="D58" s="7" t="s">
        <v>715</v>
      </c>
      <c r="E58" s="196">
        <f>E46+E52</f>
        <v>6.2923999999999998</v>
      </c>
      <c r="F58" s="65" t="str">
        <f t="shared" si="4"/>
        <v>t CO2-e</v>
      </c>
      <c r="G58" s="17"/>
      <c r="H58" s="17"/>
      <c r="I58" s="17"/>
      <c r="J58" s="17"/>
      <c r="L58" s="17"/>
      <c r="N58" s="17"/>
      <c r="O58" s="17"/>
      <c r="P58" s="17"/>
      <c r="Q58" s="17"/>
    </row>
    <row r="59" spans="1:17" ht="20.100000000000001" customHeight="1" x14ac:dyDescent="0.25">
      <c r="A59"/>
      <c r="G59" s="17"/>
      <c r="H59" s="17"/>
      <c r="I59" s="17"/>
      <c r="J59" s="17"/>
      <c r="L59" s="17"/>
      <c r="N59" s="17"/>
      <c r="O59" s="17"/>
      <c r="P59" s="17"/>
      <c r="Q59" s="17"/>
    </row>
    <row r="60" spans="1:17" ht="20.100000000000001" customHeight="1" x14ac:dyDescent="0.25">
      <c r="A60"/>
      <c r="G60" s="17"/>
      <c r="H60" s="17"/>
      <c r="I60" s="17"/>
      <c r="J60" s="17"/>
      <c r="L60" s="17"/>
      <c r="N60" s="17"/>
      <c r="O60" s="17"/>
      <c r="P60" s="17"/>
      <c r="Q60" s="17"/>
    </row>
    <row r="61" spans="1:17" ht="20.100000000000001" customHeight="1" x14ac:dyDescent="0.25">
      <c r="A61"/>
      <c r="G61" s="17"/>
      <c r="H61" s="17"/>
      <c r="I61" s="17"/>
      <c r="J61" s="17"/>
      <c r="L61" s="17"/>
      <c r="N61" s="17"/>
      <c r="O61" s="17"/>
      <c r="P61" s="17"/>
      <c r="Q61" s="17"/>
    </row>
    <row r="62" spans="1:17" ht="20.100000000000001" customHeight="1" x14ac:dyDescent="0.25">
      <c r="A62"/>
      <c r="G62" s="17"/>
      <c r="H62" s="17"/>
      <c r="I62" s="17"/>
      <c r="J62" s="17"/>
      <c r="L62" s="17"/>
      <c r="N62" s="17"/>
      <c r="O62" s="17"/>
      <c r="P62" s="17"/>
      <c r="Q62" s="17"/>
    </row>
    <row r="63" spans="1:17" ht="20.100000000000001" customHeight="1" x14ac:dyDescent="0.25">
      <c r="A63"/>
      <c r="G63" s="17"/>
      <c r="H63" s="17"/>
      <c r="I63" s="17"/>
      <c r="J63" s="17"/>
      <c r="L63" s="17"/>
      <c r="N63" s="17"/>
      <c r="O63" s="17"/>
      <c r="P63" s="17"/>
      <c r="Q63" s="17"/>
    </row>
    <row r="64" spans="1:17" ht="20.100000000000001" customHeight="1" x14ac:dyDescent="0.25">
      <c r="A64"/>
      <c r="G64" s="17"/>
      <c r="H64" s="17"/>
      <c r="I64" s="17"/>
      <c r="J64" s="17"/>
      <c r="L64" s="17"/>
      <c r="N64" s="17"/>
      <c r="O64" s="17"/>
      <c r="P64" s="17"/>
      <c r="Q64" s="17"/>
    </row>
    <row r="65" spans="1:17" ht="20.100000000000001" customHeight="1" x14ac:dyDescent="0.25">
      <c r="A65"/>
      <c r="G65" s="17"/>
      <c r="H65" s="17"/>
      <c r="I65" s="17"/>
      <c r="J65" s="17"/>
      <c r="L65" s="17"/>
      <c r="N65" s="17"/>
      <c r="O65" s="17"/>
      <c r="P65" s="17"/>
      <c r="Q65" s="17"/>
    </row>
    <row r="66" spans="1:17" ht="20.100000000000001" customHeight="1" x14ac:dyDescent="0.25">
      <c r="A66"/>
      <c r="G66" s="17"/>
      <c r="H66" s="17"/>
      <c r="I66" s="17"/>
      <c r="J66" s="17"/>
      <c r="L66" s="17"/>
      <c r="N66" s="17"/>
      <c r="O66" s="17"/>
      <c r="P66" s="17"/>
      <c r="Q66" s="17"/>
    </row>
    <row r="67" spans="1:17" ht="20.100000000000001" customHeight="1" x14ac:dyDescent="0.25">
      <c r="A67"/>
      <c r="G67" s="17"/>
    </row>
    <row r="68" spans="1:17" ht="20.100000000000001" customHeight="1" x14ac:dyDescent="0.25">
      <c r="A68"/>
      <c r="G68" s="17"/>
    </row>
    <row r="69" spans="1:17" ht="20.100000000000001" customHeight="1" x14ac:dyDescent="0.25">
      <c r="A69"/>
      <c r="G69" s="17"/>
    </row>
    <row r="70" spans="1:17" ht="20.100000000000001" customHeight="1" x14ac:dyDescent="0.25">
      <c r="A70"/>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A1:Q238"/>
  <sheetViews>
    <sheetView showGridLines="0" topLeftCell="A90" zoomScaleNormal="100" workbookViewId="0">
      <selection activeCell="A46" sqref="A46"/>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1:17" ht="30" customHeight="1" x14ac:dyDescent="0.35">
      <c r="A1" s="37" t="e" vm="1">
        <v>#VALUE!</v>
      </c>
      <c r="C1"/>
      <c r="D1"/>
      <c r="E1"/>
      <c r="F1"/>
      <c r="G1"/>
      <c r="H1"/>
      <c r="I1"/>
      <c r="J1"/>
      <c r="K1"/>
      <c r="L1"/>
      <c r="M1"/>
      <c r="N1"/>
      <c r="O1"/>
      <c r="P1"/>
      <c r="Q1"/>
    </row>
    <row r="2" spans="1:17" ht="20.100000000000001" customHeight="1" x14ac:dyDescent="0.25">
      <c r="C2"/>
      <c r="D2"/>
      <c r="E2"/>
      <c r="F2"/>
      <c r="G2"/>
      <c r="H2"/>
      <c r="I2"/>
      <c r="J2"/>
      <c r="K2"/>
      <c r="L2"/>
      <c r="M2"/>
      <c r="N2"/>
      <c r="O2"/>
      <c r="P2"/>
      <c r="Q2"/>
    </row>
    <row r="3" spans="1:17" ht="20.100000000000001" customHeight="1" x14ac:dyDescent="0.25">
      <c r="A3" s="16" t="str">
        <f>HYPERLINK("#'Overview'!A1", "Overview")</f>
        <v>Overview</v>
      </c>
    </row>
    <row r="4" spans="1:17" ht="20.100000000000001" customHeight="1" x14ac:dyDescent="0.25">
      <c r="A4" s="16" t="str">
        <f>HYPERLINK("#'Results'!A1", "Results")</f>
        <v>Results</v>
      </c>
    </row>
    <row r="5" spans="1:17" ht="20.100000000000001" customHeight="1" x14ac:dyDescent="0.25"/>
    <row r="6" spans="1:17" ht="20.100000000000001" customHeight="1" x14ac:dyDescent="0.25"/>
    <row r="7" spans="1:17" ht="20.100000000000001" customHeight="1" x14ac:dyDescent="0.25">
      <c r="A7" s="19" t="s">
        <v>67</v>
      </c>
    </row>
    <row r="8" spans="1:17" ht="20.100000000000001" customHeight="1" x14ac:dyDescent="0.25">
      <c r="A8" s="16" t="str">
        <f>HYPERLINK("#'Input - Site'!A1", "Site")</f>
        <v>Site</v>
      </c>
    </row>
    <row r="9" spans="1:17" ht="20.100000000000001" customHeight="1" x14ac:dyDescent="0.25">
      <c r="A9" s="16" t="str">
        <f>HYPERLINK("#'Input - Fuel'!A1", "Fuel")</f>
        <v>Fuel</v>
      </c>
    </row>
    <row r="10" spans="1:17" ht="20.100000000000001" customHeight="1" x14ac:dyDescent="0.25">
      <c r="A10" s="16" t="str">
        <f>HYPERLINK("#'Input - Fertiliser'!A1", "Fertiliser")</f>
        <v>Fertiliser</v>
      </c>
    </row>
    <row r="11" spans="1:17" ht="20.100000000000001" customHeight="1" x14ac:dyDescent="0.25">
      <c r="A11" s="16" t="str">
        <f>HYPERLINK("#'Input - Common farm inputs'!A1", "Common farm inputs")</f>
        <v>Common farm inputs</v>
      </c>
    </row>
    <row r="12" spans="1:17" ht="20.100000000000001" customHeight="1" x14ac:dyDescent="0.25">
      <c r="A12" s="16" t="str">
        <f>HYPERLINK("#'Input - Processing inputs'!A1", "Processing inputs")</f>
        <v>Processing inputs</v>
      </c>
    </row>
    <row r="13" spans="1:17" ht="20.100000000000001" customHeight="1" x14ac:dyDescent="0.25">
      <c r="A13" s="16" t="str">
        <f>HYPERLINK("#'Input - Crop pasture farm input'!A1", "Crop pasture farm input")</f>
        <v>Crop pasture farm input</v>
      </c>
    </row>
    <row r="14" spans="1:17" ht="20.100000000000001" customHeight="1" x14ac:dyDescent="0.25">
      <c r="A14" s="16" t="str">
        <f>HYPERLINK("#'Input - Hort farm Inputs'!A1", "Hort farm Inputs")</f>
        <v>Hort farm Inputs</v>
      </c>
    </row>
    <row r="15" spans="1:17" ht="20.100000000000001" customHeight="1" x14ac:dyDescent="0.25">
      <c r="A15" s="16" t="str">
        <f>HYPERLINK("#'Input - Livestock farm Inputs'!A1", "Livestock farm Inputs")</f>
        <v>Livestock farm Inputs</v>
      </c>
    </row>
    <row r="16" spans="1:17" ht="20.100000000000001" customHeight="1" x14ac:dyDescent="0.25">
      <c r="A16" s="16" t="str">
        <f>HYPERLINK("#'Input - Aquaculture inputs'!A1", "Aquaculture inputs")</f>
        <v>Aquaculture inputs</v>
      </c>
    </row>
    <row r="17" spans="1:11" ht="20.100000000000001" customHeight="1" x14ac:dyDescent="0.25">
      <c r="A17" s="16" t="str">
        <f>HYPERLINK("#'Input - Beef cattle purchases'!A1", "Beef cattle purchases")</f>
        <v>Beef cattle purchases</v>
      </c>
    </row>
    <row r="18" spans="1:11" ht="20.100000000000001" customHeight="1" x14ac:dyDescent="0.25">
      <c r="A18" s="16" t="str">
        <f>HYPERLINK("#'Input - Dairy cattle purchases'!A1", "Dairy cattle purchases")</f>
        <v>Dairy cattle purchases</v>
      </c>
    </row>
    <row r="19" spans="1:11" ht="20.100000000000001" customHeight="1" x14ac:dyDescent="0.25">
      <c r="A19" s="16" t="str">
        <f>HYPERLINK("#'Input - Pig purchases'!A1", "Pig purchases")</f>
        <v>Pig purchases</v>
      </c>
    </row>
    <row r="20" spans="1:11" ht="20.100000000000001" customHeight="1" x14ac:dyDescent="0.25">
      <c r="A20" s="16" t="str">
        <f>HYPERLINK("#'Input - Poultry purchases'!A1", "Poultry purchases")</f>
        <v>Poultry purchases</v>
      </c>
    </row>
    <row r="21" spans="1:11" ht="20.100000000000001" customHeight="1" x14ac:dyDescent="0.25">
      <c r="A21" s="16" t="str">
        <f>HYPERLINK("#'Input - Freight'!A1", "Freight")</f>
        <v>Freight</v>
      </c>
    </row>
    <row r="22" spans="1:11" ht="20.100000000000001" customHeight="1" x14ac:dyDescent="0.25">
      <c r="A22" s="16" t="str">
        <f>HYPERLINK("#'Input - Solid waste'!A1", "Solid waste")</f>
        <v>Solid waste</v>
      </c>
    </row>
    <row r="23" spans="1:11" ht="20.100000000000001" customHeight="1" x14ac:dyDescent="0.25">
      <c r="A23" s="16" t="str">
        <f>HYPERLINK("#'Input - Manure sent off-site'!A1", "Manure sent off-site")</f>
        <v>Manure sent off-site</v>
      </c>
    </row>
    <row r="24" spans="1:11" ht="20.100000000000001" customHeight="1" x14ac:dyDescent="0.25">
      <c r="A24" s="16" t="str">
        <f>HYPERLINK("#'Input - Electricity'!A1", "Electricity")</f>
        <v>Electricity</v>
      </c>
    </row>
    <row r="25" spans="1:11" ht="20.100000000000001" customHeight="1" x14ac:dyDescent="0.25"/>
    <row r="26" spans="1:11" ht="20.100000000000001" customHeight="1" x14ac:dyDescent="0.25"/>
    <row r="27" spans="1:11" ht="20.100000000000001" customHeight="1" x14ac:dyDescent="0.25">
      <c r="A27" s="21" t="s">
        <v>77</v>
      </c>
    </row>
    <row r="28" spans="1:11" ht="20.100000000000001" customHeight="1" x14ac:dyDescent="0.25">
      <c r="A28" s="16" t="str">
        <f>HYPERLINK("#'15 Scope 3'!A1", "15 Scope 3")</f>
        <v>15 Scope 3</v>
      </c>
    </row>
    <row r="29" spans="1:11" ht="20.100000000000001" customHeight="1" x14ac:dyDescent="0.25">
      <c r="A29" s="16" t="str">
        <f>HYPERLINK("#'10.1.1-2 Solid waste treatment'!A1", "10.1.1-2 Solid waste treatment")</f>
        <v>10.1.1-2 Solid waste treatment</v>
      </c>
    </row>
    <row r="30" spans="1:11" ht="20.100000000000001" customHeight="1" x14ac:dyDescent="0.25">
      <c r="A30" s="16" t="str">
        <f>HYPERLINK("#'Calcs - Manure sent off-site'!A1", "Calcs - Manure sent off-site")</f>
        <v>Calcs - Manure sent off-site</v>
      </c>
    </row>
    <row r="31" spans="1:11" ht="20.100000000000001" customHeight="1" x14ac:dyDescent="0.25">
      <c r="A31" s="16" t="str">
        <f>HYPERLINK("#'8.1.1.1-2 Transport fuel'!A1", "8.1.1.1-2 Transport fuel")</f>
        <v>8.1.1.1-2 Transport fuel</v>
      </c>
    </row>
    <row r="32" spans="1:11" ht="20.100000000000001" customHeight="1" x14ac:dyDescent="0.25">
      <c r="A32" s="16" t="str">
        <f>HYPERLINK("#'8.2.1.1-2 Stationary fuel'!A1", "8.2.1.1-2 Stationary fuel")</f>
        <v>8.2.1.1-2 Stationary fuel</v>
      </c>
      <c r="D32" s="9" t="s">
        <v>349</v>
      </c>
      <c r="K32" s="8" t="s">
        <v>420</v>
      </c>
    </row>
    <row r="33" spans="1:12" ht="20.100000000000001" customHeight="1" x14ac:dyDescent="0.25">
      <c r="D33" s="10" t="s">
        <v>307</v>
      </c>
      <c r="E33" s="10" t="s">
        <v>208</v>
      </c>
      <c r="F33" s="10" t="s">
        <v>308</v>
      </c>
      <c r="G33" s="10" t="s">
        <v>274</v>
      </c>
      <c r="H33" s="10" t="s">
        <v>275</v>
      </c>
      <c r="I33" s="10" t="s">
        <v>350</v>
      </c>
      <c r="K33" s="10" t="s">
        <v>374</v>
      </c>
      <c r="L33" s="10" t="s">
        <v>503</v>
      </c>
    </row>
    <row r="34" spans="1:12"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304</v>
      </c>
      <c r="L34" s="10" t="s">
        <v>325</v>
      </c>
    </row>
    <row r="35" spans="1:12" ht="20.100000000000001" customHeight="1" x14ac:dyDescent="0.25">
      <c r="A35" s="222" t="s">
        <v>78</v>
      </c>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325</v>
      </c>
      <c r="L35" s="10" t="s">
        <v>325</v>
      </c>
    </row>
    <row r="36" spans="1:12" ht="20.100000000000001" customHeight="1" x14ac:dyDescent="0.25">
      <c r="A36" s="23" t="str">
        <f>HYPERLINK("#'Constants - Scope 3'!A1", "Constants - Scope 3")</f>
        <v>Constants - Scope 3</v>
      </c>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381</v>
      </c>
      <c r="L36" s="10" t="s">
        <v>381</v>
      </c>
    </row>
    <row r="37" spans="1:12" ht="20.100000000000001" customHeight="1" x14ac:dyDescent="0.25">
      <c r="A37" s="16" t="str">
        <f>HYPERLINK("#'Constants - Solid Waste'!A1", "Constants - Solid Waste")</f>
        <v>Constants - Solid Waste</v>
      </c>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378</v>
      </c>
      <c r="L37" s="10" t="s">
        <v>378</v>
      </c>
    </row>
    <row r="38" spans="1:12" ht="20.100000000000001" customHeight="1" x14ac:dyDescent="0.25">
      <c r="A38" s="16" t="str">
        <f>HYPERLINK("#'Constants - Fuel'!A1", "Constants - Fuel")</f>
        <v>Constants - Fuel</v>
      </c>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331</v>
      </c>
      <c r="L38" s="10" t="s">
        <v>331</v>
      </c>
    </row>
    <row r="39" spans="1:12" ht="20.100000000000001" customHeight="1" x14ac:dyDescent="0.25">
      <c r="A39" s="16" t="str">
        <f>HYPERLINK("#'Constants - Poultry'!A1", "Constants - Poultry")</f>
        <v>Constants - Poultry</v>
      </c>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424</v>
      </c>
      <c r="L39" s="10" t="s">
        <v>332</v>
      </c>
    </row>
    <row r="40" spans="1:12" ht="20.100000000000001" customHeight="1" x14ac:dyDescent="0.25">
      <c r="A40" s="16" t="str">
        <f>HYPERLINK("#'Constants - Swine'!A1", "Constants - Swine")</f>
        <v>Constants - Swine</v>
      </c>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423</v>
      </c>
      <c r="L40" s="10" t="s">
        <v>332</v>
      </c>
    </row>
    <row r="41" spans="1:12" ht="20.100000000000001" customHeight="1" x14ac:dyDescent="0.25">
      <c r="A41" s="16" t="str">
        <f>HYPERLINK("#'Constants - Dairy'!A1", "Constants - Dairy")</f>
        <v>Constants - Dairy</v>
      </c>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425</v>
      </c>
      <c r="L41" s="10" t="s">
        <v>332</v>
      </c>
    </row>
    <row r="42" spans="1:12" ht="20.100000000000001" customHeight="1" x14ac:dyDescent="0.25">
      <c r="A42" s="16" t="str">
        <f>HYPERLINK("#'Constants - Pasture Beef'!A1", "Constants - Pasture Beef")</f>
        <v>Constants - Pasture Beef</v>
      </c>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426</v>
      </c>
      <c r="L42" s="10" t="s">
        <v>422</v>
      </c>
    </row>
    <row r="43" spans="1:12" ht="20.100000000000001" customHeight="1" x14ac:dyDescent="0.25">
      <c r="A43" s="16" t="str">
        <f>HYPERLINK("#'Constants - Common Livestock'!A1", "Constants - Common Livestock")</f>
        <v>Constants - Common Livestock</v>
      </c>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427</v>
      </c>
      <c r="L43" s="10" t="s">
        <v>422</v>
      </c>
    </row>
    <row r="44" spans="1:12" ht="20.100000000000001" customHeight="1" x14ac:dyDescent="0.25">
      <c r="A44" s="16" t="str">
        <f>HYPERLINK("#'Constants - Fertiliser'!A1", "Constants - Fertiliser")</f>
        <v>Constants - Fertiliser</v>
      </c>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428</v>
      </c>
      <c r="L44" s="10" t="s">
        <v>422</v>
      </c>
    </row>
    <row r="45" spans="1:12" ht="20.100000000000001" customHeight="1" x14ac:dyDescent="0.25">
      <c r="A45" s="16" t="str">
        <f>HYPERLINK("#'Constants - Electricity'!A1", "Constants - Electricity")</f>
        <v>Constants - Electricity</v>
      </c>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429</v>
      </c>
      <c r="L45" s="10" t="s">
        <v>326</v>
      </c>
    </row>
    <row r="46" spans="1:12" ht="20.100000000000001" customHeight="1" x14ac:dyDescent="0.25">
      <c r="A46" s="16" t="str">
        <f>HYPERLINK("#'Constants - Common'!A1", "Constants - Common")</f>
        <v>Constants - Common</v>
      </c>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430</v>
      </c>
      <c r="L46" s="10" t="s">
        <v>326</v>
      </c>
    </row>
    <row r="47" spans="1: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431</v>
      </c>
      <c r="L47" s="10" t="s">
        <v>326</v>
      </c>
    </row>
    <row r="48" spans="1: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432</v>
      </c>
      <c r="L48" s="10" t="s">
        <v>326</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324</v>
      </c>
      <c r="L49" s="8" t="s">
        <v>324</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352</v>
      </c>
    </row>
    <row r="77" spans="4:9" ht="20.100000000000001" customHeight="1" x14ac:dyDescent="0.25">
      <c r="D77" s="10" t="s">
        <v>307</v>
      </c>
      <c r="E77" s="10" t="s">
        <v>208</v>
      </c>
      <c r="F77" s="10" t="s">
        <v>308</v>
      </c>
      <c r="G77" s="10" t="s">
        <v>274</v>
      </c>
      <c r="H77" s="10" t="s">
        <v>275</v>
      </c>
      <c r="I77" s="10" t="s">
        <v>350</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307</v>
      </c>
      <c r="E82" s="10" t="s">
        <v>208</v>
      </c>
      <c r="F82" s="10" t="s">
        <v>308</v>
      </c>
      <c r="G82" s="10" t="s">
        <v>274</v>
      </c>
      <c r="H82" s="10" t="s">
        <v>275</v>
      </c>
      <c r="I82" s="10" t="s">
        <v>350</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353</v>
      </c>
    </row>
    <row r="89" spans="4:16" ht="20.100000000000001" customHeight="1" x14ac:dyDescent="0.25">
      <c r="D89" s="10" t="s">
        <v>307</v>
      </c>
      <c r="E89" s="10" t="s">
        <v>208</v>
      </c>
      <c r="F89" s="10" t="s">
        <v>308</v>
      </c>
      <c r="G89" s="10" t="s">
        <v>274</v>
      </c>
      <c r="H89" s="10" t="s">
        <v>275</v>
      </c>
      <c r="I89" s="10" t="s">
        <v>350</v>
      </c>
      <c r="K89" s="10" t="s">
        <v>208</v>
      </c>
      <c r="L89" s="10" t="s">
        <v>374</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208</v>
      </c>
      <c r="O90" s="10" t="s">
        <v>374</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208</v>
      </c>
      <c r="L98" s="10" t="s">
        <v>374</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208</v>
      </c>
      <c r="O105" s="10" t="s">
        <v>374</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208</v>
      </c>
      <c r="L110" s="10" t="s">
        <v>374</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208</v>
      </c>
      <c r="O118" s="10" t="s">
        <v>374</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208</v>
      </c>
      <c r="L125" s="10" t="s">
        <v>374</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208</v>
      </c>
      <c r="O131" s="10" t="s">
        <v>374</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208</v>
      </c>
      <c r="L138" s="10" t="s">
        <v>374</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208</v>
      </c>
      <c r="O144" s="10" t="s">
        <v>374</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3" t="s">
        <v>208</v>
      </c>
      <c r="L151" s="153" t="s">
        <v>374</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208</v>
      </c>
      <c r="O152" s="10" t="s">
        <v>374</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208</v>
      </c>
      <c r="L153" s="10" t="s">
        <v>374</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208</v>
      </c>
      <c r="O154" s="10" t="s">
        <v>374</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208</v>
      </c>
      <c r="L155" s="10" t="s">
        <v>374</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208</v>
      </c>
      <c r="O156" s="10" t="s">
        <v>374</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208</v>
      </c>
      <c r="L157" s="10" t="s">
        <v>374</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208</v>
      </c>
      <c r="O158" s="10" t="s">
        <v>374</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307</v>
      </c>
      <c r="E161" s="10" t="s">
        <v>208</v>
      </c>
      <c r="F161" s="10" t="s">
        <v>308</v>
      </c>
      <c r="G161" s="10" t="s">
        <v>274</v>
      </c>
      <c r="H161" s="10" t="s">
        <v>275</v>
      </c>
      <c r="I161" s="10" t="s">
        <v>350</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307</v>
      </c>
      <c r="E167" s="10" t="s">
        <v>208</v>
      </c>
      <c r="F167" s="10" t="s">
        <v>308</v>
      </c>
      <c r="G167" s="10" t="s">
        <v>274</v>
      </c>
      <c r="H167" s="10" t="s">
        <v>275</v>
      </c>
      <c r="I167" s="10" t="s">
        <v>350</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338</v>
      </c>
    </row>
    <row r="173" spans="4:13" ht="20.100000000000001" customHeight="1" x14ac:dyDescent="0.25">
      <c r="D173" s="10" t="s">
        <v>307</v>
      </c>
      <c r="E173" s="10" t="s">
        <v>208</v>
      </c>
      <c r="F173" s="10" t="s">
        <v>308</v>
      </c>
      <c r="G173" s="10" t="s">
        <v>272</v>
      </c>
      <c r="H173" s="10" t="s">
        <v>168</v>
      </c>
      <c r="I173" s="10" t="s">
        <v>169</v>
      </c>
      <c r="J173" s="10" t="s">
        <v>273</v>
      </c>
      <c r="K173" s="10" t="s">
        <v>274</v>
      </c>
      <c r="L173" s="10" t="s">
        <v>275</v>
      </c>
      <c r="M173" s="10" t="s">
        <v>350</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354</v>
      </c>
      <c r="N200" s="10"/>
      <c r="O200" s="10"/>
      <c r="P200" s="10"/>
    </row>
    <row r="201" spans="4:16" ht="20.100000000000001" customHeight="1" x14ac:dyDescent="0.25">
      <c r="D201" s="10" t="s">
        <v>307</v>
      </c>
      <c r="E201" s="10" t="s">
        <v>208</v>
      </c>
      <c r="F201" s="10" t="s">
        <v>308</v>
      </c>
      <c r="G201" s="10" t="s">
        <v>274</v>
      </c>
      <c r="H201" s="10" t="s">
        <v>275</v>
      </c>
      <c r="I201" s="10" t="s">
        <v>350</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355</v>
      </c>
    </row>
    <row r="212" spans="4:16" ht="20.100000000000001" customHeight="1" x14ac:dyDescent="0.25">
      <c r="D212" s="10" t="s">
        <v>307</v>
      </c>
      <c r="E212" s="10" t="s">
        <v>208</v>
      </c>
      <c r="F212" s="10" t="s">
        <v>308</v>
      </c>
      <c r="G212" s="10" t="s">
        <v>274</v>
      </c>
      <c r="H212" s="10" t="s">
        <v>275</v>
      </c>
      <c r="I212" s="10" t="s">
        <v>350</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356</v>
      </c>
    </row>
    <row r="219" spans="4:16" ht="20.100000000000001" customHeight="1" x14ac:dyDescent="0.25">
      <c r="D219" s="10" t="s">
        <v>307</v>
      </c>
      <c r="E219" s="10" t="s">
        <v>208</v>
      </c>
      <c r="F219" s="10" t="s">
        <v>308</v>
      </c>
      <c r="G219" s="10" t="s">
        <v>274</v>
      </c>
      <c r="H219" s="10" t="s">
        <v>275</v>
      </c>
      <c r="I219" s="10" t="s">
        <v>350</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357</v>
      </c>
    </row>
    <row r="234" spans="4:9" ht="20.100000000000001" customHeight="1" x14ac:dyDescent="0.25">
      <c r="D234" s="10" t="s">
        <v>307</v>
      </c>
      <c r="E234" s="10" t="s">
        <v>208</v>
      </c>
      <c r="F234" s="10" t="s">
        <v>308</v>
      </c>
      <c r="G234" s="10" t="s">
        <v>274</v>
      </c>
      <c r="H234" s="10" t="s">
        <v>275</v>
      </c>
      <c r="I234" s="10" t="s">
        <v>350</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D5AB1-C375-4A45-B62F-B3A5AB5F6EF8}">
  <sheetPr>
    <tabColor theme="2" tint="-0.499984740745262"/>
  </sheetPr>
  <dimension ref="A1:AI165"/>
  <sheetViews>
    <sheetView showGridLines="0" topLeftCell="A29" zoomScaleNormal="100" workbookViewId="0">
      <selection activeCell="A46" sqref="A46"/>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757</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WasteSolid_SourceData.Waste_EmissionFactorsForWasteTreatment_Title()</f>
        <v>Emission factors for wastes disposed of at different treatment facilities</v>
      </c>
    </row>
    <row r="6" spans="1:35" ht="20.100000000000001" customHeight="1" x14ac:dyDescent="0.25">
      <c r="A6"/>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Site'!A1", "Site")</f>
        <v>Site</v>
      </c>
      <c r="D8" s="12" t="str">
        <v>Fixed typo 'paper and carboard' to 'paper and cardboard'</v>
      </c>
    </row>
    <row r="9" spans="1:35" ht="20.100000000000001" customHeight="1" x14ac:dyDescent="0.25">
      <c r="A9" s="16" t="str">
        <f>HYPERLINK("#'Input - Fuel'!A1", "Fuel")</f>
        <v>Fuel</v>
      </c>
      <c r="D9" s="12" t="str">
        <v>Fixed typo 'prunnings' to 'prunings'</v>
      </c>
    </row>
    <row r="10" spans="1:35" ht="20.100000000000001" customHeight="1" x14ac:dyDescent="0.25">
      <c r="A10" s="16" t="str">
        <f>HYPERLINK("#'Input - Fertiliser'!A1", "Fertiliser")</f>
        <v>Fertiliser</v>
      </c>
      <c r="D10" s="12" t="str">
        <v>Added EF source column with specific references</v>
      </c>
    </row>
    <row r="11" spans="1:35" ht="20.100000000000001" customHeight="1" x14ac:dyDescent="0.25">
      <c r="A11" s="16" t="str">
        <f>HYPERLINK("#'Input - Common farm inputs'!A1", "Common farm inputs")</f>
        <v>Common farm inputs</v>
      </c>
      <c r="D11" s="12" t="str">
        <v>Added sub-categories for 'Incineration: Food waste, green waste, wood, sludge' in order to use volume to mass conversion factor values</v>
      </c>
    </row>
    <row r="12" spans="1:35" ht="20.100000000000001" customHeight="1" x14ac:dyDescent="0.25">
      <c r="A12" s="16" t="str">
        <f>HYPERLINK("#'Input - Processing inputs'!A1", "Processing inputs")</f>
        <v>Processing inputs</v>
      </c>
      <c r="D12" s="12" t="str">
        <v>Added sub-categories for 'Composting: All organic waste' in order to use volume to mass conversion factor values</v>
      </c>
    </row>
    <row r="13" spans="1:35" ht="20.100000000000001" customHeight="1" x14ac:dyDescent="0.25">
      <c r="A13" s="16" t="str">
        <f>HYPERLINK("#'Input - Crop pasture farm input'!A1", "Crop pasture farm input")</f>
        <v>Crop pasture farm input</v>
      </c>
      <c r="D13" s="12" t="str">
        <v>Added sub-categories for 'Anaerobic digestion: All organic waste' in order to use volume to mass conversion factor values</v>
      </c>
    </row>
    <row r="14" spans="1:35" ht="20.100000000000001" customHeight="1" x14ac:dyDescent="0.25">
      <c r="A14" s="16" t="str">
        <f>HYPERLINK("#'Input - Hort farm Inputs'!A1", "Hort farm Inputs")</f>
        <v>Hort farm Inputs</v>
      </c>
      <c r="D14" s="8" t="str" cm="1">
        <f t="array" ref="D14">WasteSolid_SourceData.Waste_EmissionFactorsForWasteTreatment_Variable()</f>
        <v>EFwt</v>
      </c>
    </row>
    <row r="15" spans="1:35" ht="20.100000000000001" customHeight="1" x14ac:dyDescent="0.25">
      <c r="A15" s="16" t="str">
        <f>HYPERLINK("#'Input - Livestock farm Inputs'!A1", "Livestock farm Inputs")</f>
        <v>Livestock farm Inputs</v>
      </c>
      <c r="D15" s="13" t="str" cm="1">
        <f t="array" ref="D15">WasteSolid_SourceData.Waste_EmissionFactorsForWasteTreatment_Unit()</f>
        <v>t CO2e / t</v>
      </c>
      <c r="I15" s="8" t="s">
        <v>758</v>
      </c>
      <c r="K15" s="8" t="s">
        <v>759</v>
      </c>
      <c r="M15" s="8" t="s">
        <v>760</v>
      </c>
      <c r="O15" s="8" t="s">
        <v>761</v>
      </c>
    </row>
    <row r="16" spans="1:35" ht="20.100000000000001" customHeight="1" x14ac:dyDescent="0.25">
      <c r="A16" s="16" t="str">
        <f>HYPERLINK("#'Input - Aquaculture inputs'!A1", "Aquaculture inputs")</f>
        <v>Aquaculture inputs</v>
      </c>
      <c r="D16" s="10" t="s">
        <v>762</v>
      </c>
      <c r="E16" s="10" t="s">
        <v>763</v>
      </c>
      <c r="F16" s="10" t="s">
        <v>764</v>
      </c>
      <c r="G16" s="10" t="s">
        <v>765</v>
      </c>
      <c r="I16" s="10" t="s">
        <v>763</v>
      </c>
      <c r="K16" s="160" t="s">
        <v>763</v>
      </c>
      <c r="M16" s="160" t="s">
        <v>763</v>
      </c>
      <c r="O16" s="160" t="s">
        <v>763</v>
      </c>
    </row>
    <row r="17" spans="1:15" ht="20.100000000000001" customHeight="1" x14ac:dyDescent="0.25">
      <c r="A17" s="16" t="str">
        <f>HYPERLINK("#'Input - Beef cattle purchases'!A1", "Beef cattle purchases")</f>
        <v>Beef cattle purchases</v>
      </c>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A18" s="16" t="str">
        <f>HYPERLINK("#'Input - Dairy cattle purchases'!A1", "Dairy cattle purchases")</f>
        <v>Dairy cattle purchases</v>
      </c>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A19" s="16" t="str">
        <f>HYPERLINK("#'Input - Pig purchases'!A1", "Pig purchases")</f>
        <v>Pig purchases</v>
      </c>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s="16" t="str">
        <f>HYPERLINK("#'Input - Poultry purchases'!A1", "Poultry purchases")</f>
        <v>Poultry purchases</v>
      </c>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s="16" t="str">
        <f>HYPERLINK("#'Input - Freight'!A1", "Freight")</f>
        <v>Freight</v>
      </c>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A22" s="16" t="str">
        <f>HYPERLINK("#'Input - Solid waste'!A1", "Solid waste")</f>
        <v>Solid waste</v>
      </c>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t="str">
        <f>HYPERLINK("#'Input - Manure sent off-site'!A1", "Manure sent off-site")</f>
        <v>Manure sent off-site</v>
      </c>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A24" s="16" t="str">
        <f>HYPERLINK("#'Input - Electricity'!A1", "Electricity")</f>
        <v>Electricity</v>
      </c>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A25"/>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A26"/>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A27" s="21" t="s">
        <v>77</v>
      </c>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A28" s="16" t="str">
        <f>HYPERLINK("#'15 Scope 3'!A1", "15 Scope 3")</f>
        <v>15 Scope 3</v>
      </c>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16" t="str">
        <f>HYPERLINK("#'10.1.1-2 Solid waste treatment'!A1", "10.1.1-2 Solid waste treatment")</f>
        <v>10.1.1-2 Solid waste treatment</v>
      </c>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16" t="str">
        <f>HYPERLINK("#'Calcs - Manure sent off-site'!A1", "Calcs - Manure sent off-site")</f>
        <v>Calcs - Manure sent off-site</v>
      </c>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16" t="str">
        <f>HYPERLINK("#'8.1.1.1-2 Transport fuel'!A1", "8.1.1.1-2 Transport fuel")</f>
        <v>8.1.1.1-2 Transport fuel</v>
      </c>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16" t="str">
        <f>HYPERLINK("#'8.2.1.1-2 Stationary fuel'!A1", "8.2.1.1-2 Stationary fuel")</f>
        <v>8.2.1.1-2 Stationary fuel</v>
      </c>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222" t="s">
        <v>78</v>
      </c>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16" t="str">
        <f>HYPERLINK("#'Constants - Scope 3'!A1", "Constants - Scope 3")</f>
        <v>Constants - Scope 3</v>
      </c>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23" t="str">
        <f>HYPERLINK("#'Constants - Solid Waste'!A1", "Constants - Solid Waste")</f>
        <v>Constants - Solid Waste</v>
      </c>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20"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16" t="str">
        <f>HYPERLINK("#'Constants - Fuel'!A1", "Constants - Fuel")</f>
        <v>Constants - Fuel</v>
      </c>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20"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A39" s="16" t="str">
        <f>HYPERLINK("#'Constants - Poultry'!A1", "Constants - Poultry")</f>
        <v>Constants - Poultry</v>
      </c>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20"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A40" s="16" t="str">
        <f>HYPERLINK("#'Constants - Swine'!A1", "Constants - Swine")</f>
        <v>Constants - Swine</v>
      </c>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20"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s="16" t="str">
        <f>HYPERLINK("#'Constants - Dairy'!A1", "Constants - Dairy")</f>
        <v>Constants - Dairy</v>
      </c>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20"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s="16" t="str">
        <f>HYPERLINK("#'Constants - Pasture Beef'!A1", "Constants - Pasture Beef")</f>
        <v>Constants - Pasture Beef</v>
      </c>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20"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s="16" t="str">
        <f>HYPERLINK("#'Constants - Common Livestock'!A1", "Constants - Common Livestock")</f>
        <v>Constants - Common Livestock</v>
      </c>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20"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s="16" t="str">
        <f>HYPERLINK("#'Constants - Fertiliser'!A1", "Constants - Fertiliser")</f>
        <v>Constants - Fertiliser</v>
      </c>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20"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s="16" t="str">
        <f>HYPERLINK("#'Constants - Electricity'!A1", "Constants - Electricity")</f>
        <v>Constants - Electricity</v>
      </c>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20"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A46" s="16" t="str">
        <f>HYPERLINK("#'Constants - Common'!A1", "Constants - Common")</f>
        <v>Constants - Common</v>
      </c>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20"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A47"/>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20"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A48"/>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20"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20"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A50"/>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20"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c r="A51"/>
    </row>
    <row r="52" spans="1:7" ht="20.100000000000001" customHeight="1" x14ac:dyDescent="0.25">
      <c r="A52"/>
      <c r="D52" s="9" t="str" cm="1">
        <f t="array" ref="D52">WasteSolid_SourceData.Waste_WasteVolumeToMassConversion_Title()</f>
        <v>Volume to mass conversion factor for various waste types</v>
      </c>
    </row>
    <row r="53" spans="1:7" ht="20.100000000000001" customHeight="1" x14ac:dyDescent="0.25">
      <c r="A53"/>
      <c r="D53" s="11" t="str" cm="1">
        <f t="array" ref="D53">WasteSolid_SourceData.Waste_WasteVolumeToMassConversion_Source()</f>
        <v>VEERG 2026: Table A.4.1.2</v>
      </c>
    </row>
    <row r="54" spans="1:7" ht="20.100000000000001" customHeight="1" x14ac:dyDescent="0.25">
      <c r="A54"/>
      <c r="D54" s="12" t="str" cm="1">
        <f t="array" ref="D54">WasteSolid_SourceData.Waste_WasteVolumeToMassConversion_Variation()</f>
        <v>VARIATION OF SOURCE: Changed column header CFw to VTMw to match title variable.</v>
      </c>
    </row>
    <row r="55" spans="1:7" ht="20.100000000000001" customHeight="1" x14ac:dyDescent="0.25">
      <c r="A55"/>
      <c r="D55" s="8" t="str" cm="1">
        <f t="array" ref="D55">WasteSolid_SourceData.Waste_WasteVolumeToMassConversion_Variable()</f>
        <v>VTMw</v>
      </c>
    </row>
    <row r="56" spans="1:7" ht="20.100000000000001" customHeight="1" x14ac:dyDescent="0.25">
      <c r="A56"/>
      <c r="D56" s="13" t="str" cm="1">
        <f t="array" ref="D56">WasteSolid_SourceData.Waste_WasteVolumeToMassConversion_Unit()</f>
        <v>t/m3</v>
      </c>
    </row>
    <row r="57" spans="1:7" ht="20.100000000000001" customHeight="1" x14ac:dyDescent="0.25">
      <c r="A57"/>
      <c r="D57" s="10" t="s">
        <v>763</v>
      </c>
      <c r="E57" s="10" t="s">
        <v>766</v>
      </c>
    </row>
    <row r="58" spans="1:7" ht="20.100000000000001" customHeight="1" x14ac:dyDescent="0.25">
      <c r="A58"/>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A59"/>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A60"/>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A61"/>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A62"/>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A63"/>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A64"/>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A6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A66"/>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A67"/>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A68"/>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c r="A69"/>
    </row>
    <row r="70" spans="1:5" ht="20.100000000000001" customHeight="1" x14ac:dyDescent="0.25">
      <c r="A70"/>
    </row>
    <row r="71" spans="1:5" ht="20.100000000000001" customHeight="1" x14ac:dyDescent="0.25">
      <c r="A71"/>
    </row>
    <row r="72" spans="1:5" ht="20.100000000000001" customHeight="1" x14ac:dyDescent="0.25">
      <c r="A72"/>
    </row>
    <row r="73" spans="1:5" ht="20.100000000000001" customHeight="1" x14ac:dyDescent="0.25">
      <c r="A73"/>
    </row>
    <row r="74" spans="1:5" ht="20.100000000000001" customHeight="1" x14ac:dyDescent="0.25">
      <c r="A74"/>
    </row>
    <row r="75" spans="1:5" ht="20.100000000000001" customHeight="1" x14ac:dyDescent="0.25">
      <c r="A75"/>
    </row>
    <row r="76" spans="1:5" ht="20.100000000000001" customHeight="1" x14ac:dyDescent="0.25">
      <c r="A76"/>
    </row>
    <row r="77" spans="1:5" ht="20.100000000000001" customHeight="1" x14ac:dyDescent="0.25">
      <c r="A77"/>
    </row>
    <row r="78" spans="1:5" ht="20.100000000000001" customHeight="1" x14ac:dyDescent="0.25">
      <c r="A78"/>
    </row>
    <row r="79" spans="1:5" ht="20.100000000000001" customHeight="1" x14ac:dyDescent="0.25">
      <c r="A79"/>
    </row>
    <row r="80" spans="1:5"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AC29-CE40-412B-ADB3-08F2582F3FE4}">
  <dimension ref="A1:AI165"/>
  <sheetViews>
    <sheetView showGridLines="0" topLeftCell="A138" zoomScaleNormal="100" workbookViewId="0">
      <selection activeCell="A46" sqref="A46"/>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66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Site'!A1", "Site")</f>
        <v>Site</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t="str">
        <f>HYPERLINK("#'Input - Fuel'!A1", "Fuel")</f>
        <v>Fuel</v>
      </c>
      <c r="D9" s="20" t="s">
        <v>68</v>
      </c>
      <c r="E9" s="20" t="s">
        <v>69</v>
      </c>
      <c r="F9" s="20" t="s">
        <v>70</v>
      </c>
      <c r="G9" s="20" t="s">
        <v>71</v>
      </c>
      <c r="H9" s="20" t="s">
        <v>72</v>
      </c>
      <c r="I9" s="20" t="s">
        <v>73</v>
      </c>
      <c r="J9" s="20" t="s">
        <v>74</v>
      </c>
      <c r="K9" s="20" t="s">
        <v>75</v>
      </c>
      <c r="L9" s="20" t="s">
        <v>76</v>
      </c>
    </row>
    <row r="10" spans="1:35" ht="20.100000000000001" customHeight="1" x14ac:dyDescent="0.25">
      <c r="A10" s="16" t="str">
        <f>HYPERLINK("#'Input - Fertiliser'!A1", "Fertiliser")</f>
        <v>Fertiliser</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HYPERLINK("#'Input - Common farm inputs'!A1", "Common farm inputs")</f>
        <v>Common farm inputs</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HYPERLINK("#'Input - Processing inputs'!A1", "Processing inputs")</f>
        <v>Processing inputs</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HYPERLINK("#'Input - Crop pasture farm input'!A1", "Crop pasture farm input")</f>
        <v>Crop pasture farm input</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t="str">
        <f>HYPERLINK("#'Input - Hort farm Inputs'!A1", "Hort farm Inputs")</f>
        <v>Hort farm Inputs</v>
      </c>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16" t="str">
        <f>HYPERLINK("#'Input - Livestock farm Inputs'!A1", "Livestock farm Inputs")</f>
        <v>Livestock farm Inputs</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16" t="str">
        <f>HYPERLINK("#'Input - Aquaculture inputs'!A1", "Aquaculture inputs")</f>
        <v>Aquaculture inputs</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HYPERLINK("#'Input - Beef cattle purchases'!A1", "Beef cattle purchases")</f>
        <v>Beef cattle purchases</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A18" s="16" t="str">
        <f>HYPERLINK("#'Input - Dairy cattle purchases'!A1", "Dairy cattle purchases")</f>
        <v>Dairy cattle purchases</v>
      </c>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A19" s="16" t="str">
        <f>HYPERLINK("#'Input - Pig purchases'!A1", "Pig purchases")</f>
        <v>Pig purchases</v>
      </c>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t="str">
        <f>HYPERLINK("#'Input - Poultry purchases'!A1", "Poultry purchases")</f>
        <v>Poultry purchases</v>
      </c>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t="str">
        <f>HYPERLINK("#'Input - Freight'!A1", "Freight")</f>
        <v>Freight</v>
      </c>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A22" s="16" t="str">
        <f>HYPERLINK("#'Input - Solid waste'!A1", "Solid waste")</f>
        <v>Solid waste</v>
      </c>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t="str">
        <f>HYPERLINK("#'Input - Manure sent off-site'!A1", "Manure sent off-site")</f>
        <v>Manure sent off-site</v>
      </c>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A24" s="16" t="str">
        <f>HYPERLINK("#'Input - Electricity'!A1", "Electricity")</f>
        <v>Electricity</v>
      </c>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A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A26"/>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A27" s="21" t="s">
        <v>77</v>
      </c>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A28" s="16" t="str">
        <f>HYPERLINK("#'15 Scope 3'!A1", "15 Scope 3")</f>
        <v>15 Scope 3</v>
      </c>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A29" s="16" t="str">
        <f>HYPERLINK("#'10.1.1-2 Solid waste treatment'!A1", "10.1.1-2 Solid waste treatment")</f>
        <v>10.1.1-2 Solid waste treatment</v>
      </c>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A30" s="16" t="str">
        <f>HYPERLINK("#'Calcs - Manure sent off-site'!A1", "Calcs - Manure sent off-site")</f>
        <v>Calcs - Manure sent off-site</v>
      </c>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A31" s="16" t="str">
        <f>HYPERLINK("#'8.1.1.1-2 Transport fuel'!A1", "8.1.1.1-2 Transport fuel")</f>
        <v>8.1.1.1-2 Transport fuel</v>
      </c>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A32" s="16" t="str">
        <f>HYPERLINK("#'8.2.1.1-2 Stationary fuel'!A1", "8.2.1.1-2 Stationary fuel")</f>
        <v>8.2.1.1-2 Stationary fuel</v>
      </c>
      <c r="D32" s="24" t="str" cm="1">
        <f t="array" ref="D32">Common_InputFunctions.Utility_DisplayArrayInTable(Fuel_SourceData.Fuel_Scope1Scope3EmissionFactorsTransport_Data(), Table_Fuel_EFs_Transport[[#Headers],[Transport type]], 0)</f>
        <v>Vessels</v>
      </c>
      <c r="E32" s="24" t="str" cm="1">
        <f t="array" ref="E32">Common_InputFunctions.Utility_DisplayArrayInTable(Fuel_SourceData.Fuel_Scope1Scope3EmissionFactorsTransport_Data(), Table_Fuel_EFs_Transport[[#Headers],[Transport type]], 0)</f>
        <v>Diesel oil</v>
      </c>
      <c r="F32" s="24" cm="1">
        <f t="array" ref="F32">Common_InputFunctions.Utility_DisplayArrayInTable(Fuel_SourceData.Fuel_Scope1Scope3EmissionFactorsTransport_Data(), Table_Fuel_EFs_Transport[[#Headers],[Transport type]], 0)</f>
        <v>38.6</v>
      </c>
      <c r="G32" s="24" t="str" cm="1">
        <f t="array" ref="G32">Common_InputFunctions.Utility_DisplayArrayInTable(Fuel_SourceData.Fuel_Scope1Scope3EmissionFactorsTransport_Data(), Table_Fuel_EFs_Transport[[#Headers],[Transport type]], 0)</f>
        <v>kL</v>
      </c>
      <c r="H32" s="24" cm="1">
        <f t="array" ref="H32">Common_InputFunctions.Utility_DisplayArrayInTable(Fuel_SourceData.Fuel_Scope1Scope3EmissionFactorsTransport_Data(), Table_Fuel_EFs_Transport[[#Headers],[Transport type]], 0)</f>
        <v>69.900000000000006</v>
      </c>
      <c r="I32" s="24" cm="1">
        <f t="array" ref="I32">Common_InputFunctions.Utility_DisplayArrayInTable(Fuel_SourceData.Fuel_Scope1Scope3EmissionFactorsTransport_Data(), Table_Fuel_EFs_Transport[[#Headers],[Transport type]], 0)</f>
        <v>0.2</v>
      </c>
      <c r="J32" s="24" cm="1">
        <f t="array" ref="J32">Common_InputFunctions.Utility_DisplayArrayInTable(Fuel_SourceData.Fuel_Scope1Scope3EmissionFactorsTransport_Data(), Table_Fuel_EFs_Transport[[#Headers],[Transport type]], 0)</f>
        <v>0.5</v>
      </c>
      <c r="K32" s="24" t="str" cm="1">
        <f t="array" ref="K32">Common_InputFunctions.Utility_DisplayArrayInTable(Fuel_SourceData.Fuel_Scope1Scope3EmissionFactorsTransport_Data(), Table_Fuel_EFs_Transport[[#Headers],[Transport type]], 0)</f>
        <v/>
      </c>
      <c r="L32" s="24" cm="1">
        <f t="array" ref="L32">Common_InputFunctions.Utility_DisplayArrayInTable(Fuel_SourceData.Fuel_Scope1Scope3EmissionFactorsTransport_Data(), Table_Fuel_EFs_Transport[[#Headers],[Transport type]], 0)</f>
        <v>17.3</v>
      </c>
    </row>
    <row r="33" spans="1:12" ht="20.100000000000001" customHeight="1" x14ac:dyDescent="0.25">
      <c r="A33"/>
      <c r="D33" s="24" t="str" cm="1">
        <f t="array" ref="D33">Common_InputFunctions.Utility_DisplayArrayInTable(Fuel_SourceData.Fuel_Scope1Scope3EmissionFactorsTransport_Data(), Table_Fuel_EFs_Transport[[#Headers],[Transport type]], 0)</f>
        <v>Vessels</v>
      </c>
      <c r="E33" s="24" t="str" cm="1">
        <f t="array" ref="E33">Common_InputFunctions.Utility_DisplayArrayInTable(Fuel_SourceData.Fuel_Scope1Scope3EmissionFactorsTransport_Data(), Table_Fuel_EFs_Transport[[#Headers],[Transport type]], 0)</f>
        <v>Fuel Oil</v>
      </c>
      <c r="F33" s="24" cm="1">
        <f t="array" ref="F33">Common_InputFunctions.Utility_DisplayArrayInTable(Fuel_SourceData.Fuel_Scope1Scope3EmissionFactorsTransport_Data(), Table_Fuel_EFs_Transport[[#Headers],[Transport type]], 0)</f>
        <v>39.700000000000003</v>
      </c>
      <c r="G33" s="24" t="str" cm="1">
        <f t="array" ref="G33">Common_InputFunctions.Utility_DisplayArrayInTable(Fuel_SourceData.Fuel_Scope1Scope3EmissionFactorsTransport_Data(), Table_Fuel_EFs_Transport[[#Headers],[Transport type]], 0)</f>
        <v>kL</v>
      </c>
      <c r="H33" s="24" cm="1">
        <f t="array" ref="H33">Common_InputFunctions.Utility_DisplayArrayInTable(Fuel_SourceData.Fuel_Scope1Scope3EmissionFactorsTransport_Data(), Table_Fuel_EFs_Transport[[#Headers],[Transport type]], 0)</f>
        <v>73.599999999999994</v>
      </c>
      <c r="I33" s="24" cm="1">
        <f t="array" ref="I33">Common_InputFunctions.Utility_DisplayArrayInTable(Fuel_SourceData.Fuel_Scope1Scope3EmissionFactorsTransport_Data(), Table_Fuel_EFs_Transport[[#Headers],[Transport type]], 0)</f>
        <v>0.2</v>
      </c>
      <c r="J33" s="24" cm="1">
        <f t="array" ref="J33">Common_InputFunctions.Utility_DisplayArrayInTable(Fuel_SourceData.Fuel_Scope1Scope3EmissionFactorsTransport_Data(), Table_Fuel_EFs_Transport[[#Headers],[Transport type]], 0)</f>
        <v>0.5</v>
      </c>
      <c r="K33" s="24" t="str" cm="1">
        <f t="array" ref="K33">Common_InputFunctions.Utility_DisplayArrayInTable(Fuel_SourceData.Fuel_Scope1Scope3EmissionFactorsTransport_Data(), Table_Fuel_EFs_Transport[[#Headers],[Transport type]], 0)</f>
        <v/>
      </c>
      <c r="L33" s="24" cm="1">
        <f t="array" ref="L33">Common_InputFunctions.Utility_DisplayArrayInTable(Fuel_SourceData.Fuel_Scope1Scope3EmissionFactorsTransport_Data(), Table_Fuel_EFs_Transport[[#Headers],[Transport type]], 0)</f>
        <v>18</v>
      </c>
    </row>
    <row r="34" spans="1:12" ht="20.100000000000001" customHeight="1" x14ac:dyDescent="0.25">
      <c r="A34"/>
      <c r="D34" s="24" t="str" cm="1">
        <f t="array" ref="D34">Common_InputFunctions.Utility_DisplayArrayInTable(Fuel_SourceData.Fuel_Scope1Scope3EmissionFactorsTransport_Data(), Table_Fuel_EFs_Transport[[#Headers],[Transport type]], 0)</f>
        <v>Off-road Agriculture and forestry equipment</v>
      </c>
      <c r="E34" s="24" t="str" cm="1">
        <f t="array" ref="E34">Common_InputFunctions.Utility_DisplayArrayInTable(Fuel_SourceData.Fuel_Scope1Scope3EmissionFactorsTransport_Data(), Table_Fuel_EFs_Transport[[#Headers],[Transport type]], 0)</f>
        <v>Diesel oil</v>
      </c>
      <c r="F34" s="24" cm="1">
        <f t="array" ref="F34">Common_InputFunctions.Utility_DisplayArrayInTable(Fuel_SourceData.Fuel_Scope1Scope3EmissionFactorsTransport_Data(), Table_Fuel_EFs_Transport[[#Headers],[Transport type]], 0)</f>
        <v>38.6</v>
      </c>
      <c r="G34" s="24" t="str" cm="1">
        <f t="array" ref="G34">Common_InputFunctions.Utility_DisplayArrayInTable(Fuel_SourceData.Fuel_Scope1Scope3EmissionFactorsTransport_Data(), Table_Fuel_EFs_Transport[[#Headers],[Transport type]], 0)</f>
        <v>kL</v>
      </c>
      <c r="H34" s="24" cm="1">
        <f t="array" ref="H34">Common_InputFunctions.Utility_DisplayArrayInTable(Fuel_SourceData.Fuel_Scope1Scope3EmissionFactorsTransport_Data(), Table_Fuel_EFs_Transport[[#Headers],[Transport type]], 0)</f>
        <v>69.900000000000006</v>
      </c>
      <c r="I34" s="24" cm="1">
        <f t="array" ref="I34">Common_InputFunctions.Utility_DisplayArrayInTable(Fuel_SourceData.Fuel_Scope1Scope3EmissionFactorsTransport_Data(), Table_Fuel_EFs_Transport[[#Headers],[Transport type]], 0)</f>
        <v>0.3</v>
      </c>
      <c r="J34" s="24" cm="1">
        <f t="array" ref="J34">Common_InputFunctions.Utility_DisplayArrayInTable(Fuel_SourceData.Fuel_Scope1Scope3EmissionFactorsTransport_Data(), Table_Fuel_EFs_Transport[[#Headers],[Transport type]], 0)</f>
        <v>0.5</v>
      </c>
      <c r="K34" s="24" t="str" cm="1">
        <f t="array" ref="K34">Common_InputFunctions.Utility_DisplayArrayInTable(Fuel_SourceData.Fuel_Scope1Scope3EmissionFactorsTransport_Data(), Table_Fuel_EFs_Transport[[#Headers],[Transport type]], 0)</f>
        <v/>
      </c>
      <c r="L34" s="24" cm="1">
        <f t="array" ref="L34">Common_InputFunctions.Utility_DisplayArrayInTable(Fuel_SourceData.Fuel_Scope1Scope3EmissionFactorsTransport_Data(), Table_Fuel_EFs_Transport[[#Headers],[Transport type]], 0)</f>
        <v>17.3</v>
      </c>
    </row>
    <row r="35" spans="1:12" ht="20.100000000000001" customHeight="1" x14ac:dyDescent="0.25">
      <c r="A35" s="222" t="s">
        <v>78</v>
      </c>
    </row>
    <row r="36" spans="1:12" ht="20.100000000000001" customHeight="1" x14ac:dyDescent="0.25">
      <c r="A36" s="16" t="str">
        <f>HYPERLINK("#'Constants - Scope 3'!A1", "Constants - Scope 3")</f>
        <v>Constants - Scope 3</v>
      </c>
    </row>
    <row r="37" spans="1:12" ht="20.100000000000001" customHeight="1" x14ac:dyDescent="0.25">
      <c r="A37" s="16" t="str">
        <f>HYPERLINK("#'Constants - Solid Waste'!A1", "Constants - Solid Waste")</f>
        <v>Constants - Solid Waste</v>
      </c>
      <c r="D37" s="9" t="str" cm="1">
        <f t="array" ref="D37">Fuel_SourceData.Fuel_Scope1Scope3EmissionFactorsTransportOffRoad_Title()</f>
        <v>Fuel scope 1 and 3 emission factors - Off-road equipment and vessels</v>
      </c>
    </row>
    <row r="38" spans="1:12" ht="20.100000000000001" customHeight="1" x14ac:dyDescent="0.25">
      <c r="A38" s="23" t="str">
        <f>HYPERLINK("#'Constants - Fuel'!A1", "Constants - Fuel")</f>
        <v>Constants - Fuel</v>
      </c>
      <c r="D38" s="11" t="str" cm="1">
        <f t="array" ref="D38">Fuel_SourceData.Fuel_Scope1Scope3EmissionFactorsTransportOffRoad_Source()</f>
        <v>VEERG 2026: Table A.4.2.1</v>
      </c>
    </row>
    <row r="39" spans="1:12" ht="20.100000000000001" customHeight="1" x14ac:dyDescent="0.25">
      <c r="A39" s="16" t="str">
        <f>HYPERLINK("#'Constants - Poultry'!A1", "Constants - Poultry")</f>
        <v>Constants - Poultry</v>
      </c>
      <c r="D39" s="10" t="s">
        <v>79</v>
      </c>
      <c r="E39" s="10" t="s">
        <v>80</v>
      </c>
      <c r="F39" s="10" t="s">
        <v>81</v>
      </c>
      <c r="G39" s="10" t="s">
        <v>82</v>
      </c>
      <c r="H39" s="10" t="s">
        <v>83</v>
      </c>
      <c r="I39" s="10" t="s">
        <v>84</v>
      </c>
      <c r="J39" s="10" t="s">
        <v>85</v>
      </c>
    </row>
    <row r="40" spans="1:12" ht="20.100000000000001" customHeight="1" x14ac:dyDescent="0.25">
      <c r="A40" s="16" t="str">
        <f>HYPERLINK("#'Constants - Swine'!A1", "Constants - Swine")</f>
        <v>Constants - Swine</v>
      </c>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16" t="str">
        <f>HYPERLINK("#'Constants - Dairy'!A1", "Constants - Dairy")</f>
        <v>Constants - Dairy</v>
      </c>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16" t="str">
        <f>HYPERLINK("#'Constants - Pasture Beef'!A1", "Constants - Pasture Beef")</f>
        <v>Constants - Pasture Beef</v>
      </c>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16" t="str">
        <f>HYPERLINK("#'Constants - Common Livestock'!A1", "Constants - Common Livestock")</f>
        <v>Constants - Common Livestock</v>
      </c>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16" t="str">
        <f>HYPERLINK("#'Constants - Fertiliser'!A1", "Constants - Fertiliser")</f>
        <v>Constants - Fertiliser</v>
      </c>
    </row>
    <row r="45" spans="1:12" ht="20.100000000000001" customHeight="1" x14ac:dyDescent="0.25">
      <c r="A45" s="16" t="str">
        <f>HYPERLINK("#'Constants - Electricity'!A1", "Constants - Electricity")</f>
        <v>Constants - Electricity</v>
      </c>
    </row>
    <row r="46" spans="1:12" ht="20.100000000000001" customHeight="1" x14ac:dyDescent="0.25">
      <c r="A46" s="16" t="str">
        <f>HYPERLINK("#'Constants - Common'!A1", "Constants - Common")</f>
        <v>Constants - Common</v>
      </c>
    </row>
    <row r="47" spans="1:12" ht="20.100000000000001" customHeight="1" x14ac:dyDescent="0.25">
      <c r="A47"/>
    </row>
    <row r="48" spans="1:12" ht="20.100000000000001" customHeight="1" x14ac:dyDescent="0.25">
      <c r="A48"/>
    </row>
    <row r="49" spans="1:12" ht="20.100000000000001" customHeight="1" x14ac:dyDescent="0.25">
      <c r="A49"/>
      <c r="D49" s="9" t="str" cm="1">
        <f t="array" ref="D49">Fuel_SourceData.Fuel_Scope1Scope3EmissionFactorsStationaryLiquid_Title()</f>
        <v>Fuel scope 1 and 3 emission factors - Stationary liquid fuels</v>
      </c>
      <c r="E49" s="17"/>
      <c r="F49" s="17"/>
      <c r="G49" s="17"/>
      <c r="H49" s="17"/>
      <c r="I49" s="17"/>
      <c r="J49" s="17"/>
      <c r="K49" s="17"/>
      <c r="L49" s="17"/>
    </row>
    <row r="50" spans="1:12" ht="20.100000000000001" customHeight="1" x14ac:dyDescent="0.25">
      <c r="A50"/>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1:12" ht="20.100000000000001" customHeight="1" x14ac:dyDescent="0.25">
      <c r="A51"/>
      <c r="D51" s="11" t="str" cm="1">
        <f t="array" ref="D51">Fuel_SourceData.Fuel_Scope1Scope3EmissionFactorsStationaryLiquid_Source()</f>
        <v>Australian National Greenhouse Accounts Factors 2025 - Table 8</v>
      </c>
      <c r="E51" s="17"/>
      <c r="F51" s="17"/>
      <c r="G51" s="17"/>
      <c r="H51" s="17"/>
      <c r="I51" s="17"/>
      <c r="J51" s="17"/>
      <c r="K51" s="17"/>
      <c r="L51" s="17"/>
    </row>
    <row r="52" spans="1:12" ht="20.100000000000001" customHeight="1" x14ac:dyDescent="0.25">
      <c r="A52"/>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1:12" ht="20.100000000000001" customHeight="1" x14ac:dyDescent="0.25">
      <c r="A53"/>
      <c r="D53" s="25" t="s">
        <v>69</v>
      </c>
      <c r="E53" s="20" t="s">
        <v>70</v>
      </c>
      <c r="F53" s="25" t="s">
        <v>71</v>
      </c>
      <c r="G53" s="20" t="s">
        <v>72</v>
      </c>
      <c r="H53" s="20" t="s">
        <v>73</v>
      </c>
      <c r="I53" s="20" t="s">
        <v>74</v>
      </c>
      <c r="J53" s="20" t="s">
        <v>75</v>
      </c>
      <c r="K53" s="20" t="s">
        <v>76</v>
      </c>
      <c r="L53" s="17"/>
    </row>
    <row r="54" spans="1:12" ht="20.100000000000001" customHeight="1" x14ac:dyDescent="0.25">
      <c r="A54"/>
      <c r="D54" s="2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6" cm="1">
        <f t="array" ref="E54">Common_InputFunctions.Utility_DisplayArrayInTable(Fuel_SourceData.Fuel_Scope1Scope3EmissionFactorsStationaryLiquid_Data(), Table_Fuel_EFs_StationaryLiquid[[#Headers],[Fuel combusted]],0)</f>
        <v>38.799999999999997</v>
      </c>
      <c r="F54" s="26" t="str" cm="1">
        <f t="array" ref="F54">Common_InputFunctions.Utility_DisplayArrayInTable(Fuel_SourceData.Fuel_Scope1Scope3EmissionFactorsStationaryLiquid_Data(), Table_Fuel_EFs_StationaryLiquid[[#Headers],[Fuel combusted]],0)</f>
        <v>kl</v>
      </c>
      <c r="G54" s="26" cm="1">
        <f t="array" ref="G54">Common_InputFunctions.Utility_DisplayArrayInTable(Fuel_SourceData.Fuel_Scope1Scope3EmissionFactorsStationaryLiquid_Data(), Table_Fuel_EFs_StationaryLiquid[[#Headers],[Fuel combusted]],0)</f>
        <v>13.9</v>
      </c>
      <c r="H54" s="26" cm="1">
        <f t="array" ref="H54">Common_InputFunctions.Utility_DisplayArrayInTable(Fuel_SourceData.Fuel_Scope1Scope3EmissionFactorsStationaryLiquid_Data(), Table_Fuel_EFs_StationaryLiquid[[#Headers],[Fuel combusted]],0)</f>
        <v>0</v>
      </c>
      <c r="I54" s="26" cm="1">
        <f t="array" ref="I54">Common_InputFunctions.Utility_DisplayArrayInTable(Fuel_SourceData.Fuel_Scope1Scope3EmissionFactorsStationaryLiquid_Data(), Table_Fuel_EFs_StationaryLiquid[[#Headers],[Fuel combusted]],0)</f>
        <v>0</v>
      </c>
      <c r="J54" s="26" cm="1">
        <f t="array" ref="J54">Common_InputFunctions.Utility_DisplayArrayInTable(Fuel_SourceData.Fuel_Scope1Scope3EmissionFactorsStationaryLiquid_Data(), Table_Fuel_EFs_StationaryLiquid[[#Headers],[Fuel combusted]],0)</f>
        <v>13.9</v>
      </c>
      <c r="K54" s="26" cm="1">
        <f t="array" ref="K54">Common_InputFunctions.Utility_DisplayArrayInTable(Fuel_SourceData.Fuel_Scope1Scope3EmissionFactorsStationaryLiquid_Data(), Table_Fuel_EFs_StationaryLiquid[[#Headers],[Fuel combusted]],0)</f>
        <v>18</v>
      </c>
      <c r="L54" s="17"/>
    </row>
    <row r="55" spans="1:12" ht="20.100000000000001" customHeight="1" x14ac:dyDescent="0.25">
      <c r="A55"/>
      <c r="D55" s="26" t="str" cm="1">
        <f t="array" ref="D55">Common_InputFunctions.Utility_DisplayArrayInTable(Fuel_SourceData.Fuel_Scope1Scope3EmissionFactorsStationaryLiquid_Data(), Table_Fuel_EFs_StationaryLiquid[[#Headers],[Fuel combusted]],0)</f>
        <v>Petroleum based greases</v>
      </c>
      <c r="E55" s="26" cm="1">
        <f t="array" ref="E55">Common_InputFunctions.Utility_DisplayArrayInTable(Fuel_SourceData.Fuel_Scope1Scope3EmissionFactorsStationaryLiquid_Data(), Table_Fuel_EFs_StationaryLiquid[[#Headers],[Fuel combusted]],0)</f>
        <v>38.799999999999997</v>
      </c>
      <c r="F55" s="26" t="str" cm="1">
        <f t="array" ref="F55">Common_InputFunctions.Utility_DisplayArrayInTable(Fuel_SourceData.Fuel_Scope1Scope3EmissionFactorsStationaryLiquid_Data(), Table_Fuel_EFs_StationaryLiquid[[#Headers],[Fuel combusted]],0)</f>
        <v>kl</v>
      </c>
      <c r="G55" s="26" cm="1">
        <f t="array" ref="G55">Common_InputFunctions.Utility_DisplayArrayInTable(Fuel_SourceData.Fuel_Scope1Scope3EmissionFactorsStationaryLiquid_Data(), Table_Fuel_EFs_StationaryLiquid[[#Headers],[Fuel combusted]],0)</f>
        <v>3.5</v>
      </c>
      <c r="H55" s="26" cm="1">
        <f t="array" ref="H55">Common_InputFunctions.Utility_DisplayArrayInTable(Fuel_SourceData.Fuel_Scope1Scope3EmissionFactorsStationaryLiquid_Data(), Table_Fuel_EFs_StationaryLiquid[[#Headers],[Fuel combusted]],0)</f>
        <v>0</v>
      </c>
      <c r="I55" s="26" cm="1">
        <f t="array" ref="I55">Common_InputFunctions.Utility_DisplayArrayInTable(Fuel_SourceData.Fuel_Scope1Scope3EmissionFactorsStationaryLiquid_Data(), Table_Fuel_EFs_StationaryLiquid[[#Headers],[Fuel combusted]],0)</f>
        <v>0</v>
      </c>
      <c r="J55" s="26" cm="1">
        <f t="array" ref="J55">Common_InputFunctions.Utility_DisplayArrayInTable(Fuel_SourceData.Fuel_Scope1Scope3EmissionFactorsStationaryLiquid_Data(), Table_Fuel_EFs_StationaryLiquid[[#Headers],[Fuel combusted]],0)</f>
        <v>3.5</v>
      </c>
      <c r="K55" s="26" cm="1">
        <f t="array" ref="K55">Common_InputFunctions.Utility_DisplayArrayInTable(Fuel_SourceData.Fuel_Scope1Scope3EmissionFactorsStationaryLiquid_Data(), Table_Fuel_EFs_StationaryLiquid[[#Headers],[Fuel combusted]],0)</f>
        <v>18</v>
      </c>
      <c r="L55" s="17"/>
    </row>
    <row r="56" spans="1:12" ht="20.100000000000001" customHeight="1" x14ac:dyDescent="0.25">
      <c r="A56"/>
      <c r="D56" s="26" t="str" cm="1">
        <f t="array" ref="D56">Common_InputFunctions.Utility_DisplayArrayInTable(Fuel_SourceData.Fuel_Scope1Scope3EmissionFactorsStationaryLiquid_Data(), Table_Fuel_EFs_StationaryLiquid[[#Headers],[Fuel combusted]],0)</f>
        <v>Crude oil including crude oil condensates</v>
      </c>
      <c r="E56" s="26" cm="1">
        <f t="array" ref="E56">Common_InputFunctions.Utility_DisplayArrayInTable(Fuel_SourceData.Fuel_Scope1Scope3EmissionFactorsStationaryLiquid_Data(), Table_Fuel_EFs_StationaryLiquid[[#Headers],[Fuel combusted]],0)</f>
        <v>45.3</v>
      </c>
      <c r="F56" s="26" t="str" cm="1">
        <f t="array" ref="F56">Common_InputFunctions.Utility_DisplayArrayInTable(Fuel_SourceData.Fuel_Scope1Scope3EmissionFactorsStationaryLiquid_Data(), Table_Fuel_EFs_StationaryLiquid[[#Headers],[Fuel combusted]],0)</f>
        <v>t</v>
      </c>
      <c r="G56" s="26" cm="1">
        <f t="array" ref="G56">Common_InputFunctions.Utility_DisplayArrayInTable(Fuel_SourceData.Fuel_Scope1Scope3EmissionFactorsStationaryLiquid_Data(), Table_Fuel_EFs_StationaryLiquid[[#Headers],[Fuel combusted]],0)</f>
        <v>69.599999999999994</v>
      </c>
      <c r="H56" s="26" cm="1">
        <f t="array" ref="H56">Common_InputFunctions.Utility_DisplayArrayInTable(Fuel_SourceData.Fuel_Scope1Scope3EmissionFactorsStationaryLiquid_Data(), Table_Fuel_EFs_StationaryLiquid[[#Headers],[Fuel combusted]],0)</f>
        <v>0.08</v>
      </c>
      <c r="I56" s="26" cm="1">
        <f t="array" ref="I56">Common_InputFunctions.Utility_DisplayArrayInTable(Fuel_SourceData.Fuel_Scope1Scope3EmissionFactorsStationaryLiquid_Data(), Table_Fuel_EFs_StationaryLiquid[[#Headers],[Fuel combusted]],0)</f>
        <v>0.2</v>
      </c>
      <c r="J56" s="26" cm="1">
        <f t="array" ref="J56">Common_InputFunctions.Utility_DisplayArrayInTable(Fuel_SourceData.Fuel_Scope1Scope3EmissionFactorsStationaryLiquid_Data(), Table_Fuel_EFs_StationaryLiquid[[#Headers],[Fuel combusted]],0)</f>
        <v>69.88</v>
      </c>
      <c r="K56" s="26" t="str" cm="1">
        <f t="array" ref="K56">Common_InputFunctions.Utility_DisplayArrayInTable(Fuel_SourceData.Fuel_Scope1Scope3EmissionFactorsStationaryLiquid_Data(), Table_Fuel_EFs_StationaryLiquid[[#Headers],[Fuel combusted]],0)</f>
        <v>NE</v>
      </c>
      <c r="L56" s="17"/>
    </row>
    <row r="57" spans="1:12" ht="20.100000000000001" customHeight="1" x14ac:dyDescent="0.25">
      <c r="A57"/>
      <c r="D57" s="26" t="str" cm="1">
        <f t="array" ref="D57">Common_InputFunctions.Utility_DisplayArrayInTable(Fuel_SourceData.Fuel_Scope1Scope3EmissionFactorsStationaryLiquid_Data(), Table_Fuel_EFs_StationaryLiquid[[#Headers],[Fuel combusted]],0)</f>
        <v>Other natural gas liquids</v>
      </c>
      <c r="E57" s="26" cm="1">
        <f t="array" ref="E57">Common_InputFunctions.Utility_DisplayArrayInTable(Fuel_SourceData.Fuel_Scope1Scope3EmissionFactorsStationaryLiquid_Data(), Table_Fuel_EFs_StationaryLiquid[[#Headers],[Fuel combusted]],0)</f>
        <v>46.5</v>
      </c>
      <c r="F57" s="26" t="str" cm="1">
        <f t="array" ref="F57">Common_InputFunctions.Utility_DisplayArrayInTable(Fuel_SourceData.Fuel_Scope1Scope3EmissionFactorsStationaryLiquid_Data(), Table_Fuel_EFs_StationaryLiquid[[#Headers],[Fuel combusted]],0)</f>
        <v>t</v>
      </c>
      <c r="G57" s="26" cm="1">
        <f t="array" ref="G57">Common_InputFunctions.Utility_DisplayArrayInTable(Fuel_SourceData.Fuel_Scope1Scope3EmissionFactorsStationaryLiquid_Data(), Table_Fuel_EFs_StationaryLiquid[[#Headers],[Fuel combusted]],0)</f>
        <v>61</v>
      </c>
      <c r="H57" s="26" cm="1">
        <f t="array" ref="H57">Common_InputFunctions.Utility_DisplayArrayInTable(Fuel_SourceData.Fuel_Scope1Scope3EmissionFactorsStationaryLiquid_Data(), Table_Fuel_EFs_StationaryLiquid[[#Headers],[Fuel combusted]],0)</f>
        <v>0.08</v>
      </c>
      <c r="I57" s="26" cm="1">
        <f t="array" ref="I57">Common_InputFunctions.Utility_DisplayArrayInTable(Fuel_SourceData.Fuel_Scope1Scope3EmissionFactorsStationaryLiquid_Data(), Table_Fuel_EFs_StationaryLiquid[[#Headers],[Fuel combusted]],0)</f>
        <v>0.2</v>
      </c>
      <c r="J57" s="26" cm="1">
        <f t="array" ref="J57">Common_InputFunctions.Utility_DisplayArrayInTable(Fuel_SourceData.Fuel_Scope1Scope3EmissionFactorsStationaryLiquid_Data(), Table_Fuel_EFs_StationaryLiquid[[#Headers],[Fuel combusted]],0)</f>
        <v>61.28</v>
      </c>
      <c r="K57" s="26" t="str" cm="1">
        <f t="array" ref="K57">Common_InputFunctions.Utility_DisplayArrayInTable(Fuel_SourceData.Fuel_Scope1Scope3EmissionFactorsStationaryLiquid_Data(), Table_Fuel_EFs_StationaryLiquid[[#Headers],[Fuel combusted]],0)</f>
        <v>NE</v>
      </c>
      <c r="L57" s="17"/>
    </row>
    <row r="58" spans="1:12" ht="20.100000000000001" customHeight="1" x14ac:dyDescent="0.25">
      <c r="A58"/>
      <c r="D58" s="2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6" cm="1">
        <f t="array" ref="E58">Common_InputFunctions.Utility_DisplayArrayInTable(Fuel_SourceData.Fuel_Scope1Scope3EmissionFactorsStationaryLiquid_Data(), Table_Fuel_EFs_StationaryLiquid[[#Headers],[Fuel combusted]],0)</f>
        <v>34.200000000000003</v>
      </c>
      <c r="F58" s="26" t="str" cm="1">
        <f t="array" ref="F58">Common_InputFunctions.Utility_DisplayArrayInTable(Fuel_SourceData.Fuel_Scope1Scope3EmissionFactorsStationaryLiquid_Data(), Table_Fuel_EFs_StationaryLiquid[[#Headers],[Fuel combusted]],0)</f>
        <v>kL</v>
      </c>
      <c r="G58" s="26" cm="1">
        <f t="array" ref="G58">Common_InputFunctions.Utility_DisplayArrayInTable(Fuel_SourceData.Fuel_Scope1Scope3EmissionFactorsStationaryLiquid_Data(), Table_Fuel_EFs_StationaryLiquid[[#Headers],[Fuel combusted]],0)</f>
        <v>67.400000000000006</v>
      </c>
      <c r="H58" s="26" cm="1">
        <f t="array" ref="H58">Common_InputFunctions.Utility_DisplayArrayInTable(Fuel_SourceData.Fuel_Scope1Scope3EmissionFactorsStationaryLiquid_Data(), Table_Fuel_EFs_StationaryLiquid[[#Headers],[Fuel combusted]],0)</f>
        <v>0.2</v>
      </c>
      <c r="I58" s="26" cm="1">
        <f t="array" ref="I58">Common_InputFunctions.Utility_DisplayArrayInTable(Fuel_SourceData.Fuel_Scope1Scope3EmissionFactorsStationaryLiquid_Data(), Table_Fuel_EFs_StationaryLiquid[[#Headers],[Fuel combusted]],0)</f>
        <v>0.2</v>
      </c>
      <c r="J58" s="26" cm="1">
        <f t="array" ref="J58">Common_InputFunctions.Utility_DisplayArrayInTable(Fuel_SourceData.Fuel_Scope1Scope3EmissionFactorsStationaryLiquid_Data(), Table_Fuel_EFs_StationaryLiquid[[#Headers],[Fuel combusted]],0)</f>
        <v>67.8</v>
      </c>
      <c r="K58" s="26" cm="1">
        <f t="array" ref="K58">Common_InputFunctions.Utility_DisplayArrayInTable(Fuel_SourceData.Fuel_Scope1Scope3EmissionFactorsStationaryLiquid_Data(), Table_Fuel_EFs_StationaryLiquid[[#Headers],[Fuel combusted]],0)</f>
        <v>17.2</v>
      </c>
      <c r="L58" s="17"/>
    </row>
    <row r="59" spans="1:12" ht="20.100000000000001" customHeight="1" x14ac:dyDescent="0.25">
      <c r="A59"/>
      <c r="D59" s="26" t="str" cm="1">
        <f t="array" ref="D59">Common_InputFunctions.Utility_DisplayArrayInTable(Fuel_SourceData.Fuel_Scope1Scope3EmissionFactorsStationaryLiquid_Data(), Table_Fuel_EFs_StationaryLiquid[[#Headers],[Fuel combusted]],0)</f>
        <v>Aviation gasoline</v>
      </c>
      <c r="E59" s="26" cm="1">
        <f t="array" ref="E59">Common_InputFunctions.Utility_DisplayArrayInTable(Fuel_SourceData.Fuel_Scope1Scope3EmissionFactorsStationaryLiquid_Data(), Table_Fuel_EFs_StationaryLiquid[[#Headers],[Fuel combusted]],0)</f>
        <v>33.1</v>
      </c>
      <c r="F59" s="26" t="str" cm="1">
        <f t="array" ref="F59">Common_InputFunctions.Utility_DisplayArrayInTable(Fuel_SourceData.Fuel_Scope1Scope3EmissionFactorsStationaryLiquid_Data(), Table_Fuel_EFs_StationaryLiquid[[#Headers],[Fuel combusted]],0)</f>
        <v>kL</v>
      </c>
      <c r="G59" s="26" cm="1">
        <f t="array" ref="G59">Common_InputFunctions.Utility_DisplayArrayInTable(Fuel_SourceData.Fuel_Scope1Scope3EmissionFactorsStationaryLiquid_Data(), Table_Fuel_EFs_StationaryLiquid[[#Headers],[Fuel combusted]],0)</f>
        <v>67</v>
      </c>
      <c r="H59" s="26" cm="1">
        <f t="array" ref="H59">Common_InputFunctions.Utility_DisplayArrayInTable(Fuel_SourceData.Fuel_Scope1Scope3EmissionFactorsStationaryLiquid_Data(), Table_Fuel_EFs_StationaryLiquid[[#Headers],[Fuel combusted]],0)</f>
        <v>0.2</v>
      </c>
      <c r="I59" s="26" cm="1">
        <f t="array" ref="I59">Common_InputFunctions.Utility_DisplayArrayInTable(Fuel_SourceData.Fuel_Scope1Scope3EmissionFactorsStationaryLiquid_Data(), Table_Fuel_EFs_StationaryLiquid[[#Headers],[Fuel combusted]],0)</f>
        <v>0.2</v>
      </c>
      <c r="J59" s="26" cm="1">
        <f t="array" ref="J59">Common_InputFunctions.Utility_DisplayArrayInTable(Fuel_SourceData.Fuel_Scope1Scope3EmissionFactorsStationaryLiquid_Data(), Table_Fuel_EFs_StationaryLiquid[[#Headers],[Fuel combusted]],0)</f>
        <v>67.400000000000006</v>
      </c>
      <c r="K59" s="26" cm="1">
        <f t="array" ref="K59">Common_InputFunctions.Utility_DisplayArrayInTable(Fuel_SourceData.Fuel_Scope1Scope3EmissionFactorsStationaryLiquid_Data(), Table_Fuel_EFs_StationaryLiquid[[#Headers],[Fuel combusted]],0)</f>
        <v>18</v>
      </c>
      <c r="L59" s="17"/>
    </row>
    <row r="60" spans="1:12" ht="20.100000000000001" customHeight="1" x14ac:dyDescent="0.25">
      <c r="A60"/>
      <c r="D60" s="26" t="str" cm="1">
        <f t="array" ref="D60">Common_InputFunctions.Utility_DisplayArrayInTable(Fuel_SourceData.Fuel_Scope1Scope3EmissionFactorsStationaryLiquid_Data(), Table_Fuel_EFs_StationaryLiquid[[#Headers],[Fuel combusted]],0)</f>
        <v>Kerosene (other than for use as fuel in an aircraft)</v>
      </c>
      <c r="E60" s="26" cm="1">
        <f t="array" ref="E60">Common_InputFunctions.Utility_DisplayArrayInTable(Fuel_SourceData.Fuel_Scope1Scope3EmissionFactorsStationaryLiquid_Data(), Table_Fuel_EFs_StationaryLiquid[[#Headers],[Fuel combusted]],0)</f>
        <v>37.5</v>
      </c>
      <c r="F60" s="26" t="str" cm="1">
        <f t="array" ref="F60">Common_InputFunctions.Utility_DisplayArrayInTable(Fuel_SourceData.Fuel_Scope1Scope3EmissionFactorsStationaryLiquid_Data(), Table_Fuel_EFs_StationaryLiquid[[#Headers],[Fuel combusted]],0)</f>
        <v>kL</v>
      </c>
      <c r="G60" s="26" cm="1">
        <f t="array" ref="G60">Common_InputFunctions.Utility_DisplayArrayInTable(Fuel_SourceData.Fuel_Scope1Scope3EmissionFactorsStationaryLiquid_Data(), Table_Fuel_EFs_StationaryLiquid[[#Headers],[Fuel combusted]],0)</f>
        <v>68.900000000000006</v>
      </c>
      <c r="H60" s="26" cm="1">
        <f t="array" ref="H60">Common_InputFunctions.Utility_DisplayArrayInTable(Fuel_SourceData.Fuel_Scope1Scope3EmissionFactorsStationaryLiquid_Data(), Table_Fuel_EFs_StationaryLiquid[[#Headers],[Fuel combusted]],0)</f>
        <v>0.01</v>
      </c>
      <c r="I60" s="26" cm="1">
        <f t="array" ref="I60">Common_InputFunctions.Utility_DisplayArrayInTable(Fuel_SourceData.Fuel_Scope1Scope3EmissionFactorsStationaryLiquid_Data(), Table_Fuel_EFs_StationaryLiquid[[#Headers],[Fuel combusted]],0)</f>
        <v>0.2</v>
      </c>
      <c r="J60" s="26" cm="1">
        <f t="array" ref="J60">Common_InputFunctions.Utility_DisplayArrayInTable(Fuel_SourceData.Fuel_Scope1Scope3EmissionFactorsStationaryLiquid_Data(), Table_Fuel_EFs_StationaryLiquid[[#Headers],[Fuel combusted]],0)</f>
        <v>69.11</v>
      </c>
      <c r="K60" s="26" cm="1">
        <f t="array" ref="K60">Common_InputFunctions.Utility_DisplayArrayInTable(Fuel_SourceData.Fuel_Scope1Scope3EmissionFactorsStationaryLiquid_Data(), Table_Fuel_EFs_StationaryLiquid[[#Headers],[Fuel combusted]],0)</f>
        <v>18</v>
      </c>
      <c r="L60" s="17"/>
    </row>
    <row r="61" spans="1:12" ht="20.100000000000001" customHeight="1" x14ac:dyDescent="0.25">
      <c r="A61"/>
      <c r="D61" s="26" t="str" cm="1">
        <f t="array" ref="D61">Common_InputFunctions.Utility_DisplayArrayInTable(Fuel_SourceData.Fuel_Scope1Scope3EmissionFactorsStationaryLiquid_Data(), Table_Fuel_EFs_StationaryLiquid[[#Headers],[Fuel combusted]],0)</f>
        <v>Aviation turbine fuel / kerosene</v>
      </c>
      <c r="E61" s="26" cm="1">
        <f t="array" ref="E61">Common_InputFunctions.Utility_DisplayArrayInTable(Fuel_SourceData.Fuel_Scope1Scope3EmissionFactorsStationaryLiquid_Data(), Table_Fuel_EFs_StationaryLiquid[[#Headers],[Fuel combusted]],0)</f>
        <v>36.799999999999997</v>
      </c>
      <c r="F61" s="26" t="str" cm="1">
        <f t="array" ref="F61">Common_InputFunctions.Utility_DisplayArrayInTable(Fuel_SourceData.Fuel_Scope1Scope3EmissionFactorsStationaryLiquid_Data(), Table_Fuel_EFs_StationaryLiquid[[#Headers],[Fuel combusted]],0)</f>
        <v>kL</v>
      </c>
      <c r="G61" s="26" cm="1">
        <f t="array" ref="G61">Common_InputFunctions.Utility_DisplayArrayInTable(Fuel_SourceData.Fuel_Scope1Scope3EmissionFactorsStationaryLiquid_Data(), Table_Fuel_EFs_StationaryLiquid[[#Headers],[Fuel combusted]],0)</f>
        <v>69.599999999999994</v>
      </c>
      <c r="H61" s="26" cm="1">
        <f t="array" ref="H61">Common_InputFunctions.Utility_DisplayArrayInTable(Fuel_SourceData.Fuel_Scope1Scope3EmissionFactorsStationaryLiquid_Data(), Table_Fuel_EFs_StationaryLiquid[[#Headers],[Fuel combusted]],0)</f>
        <v>0.02</v>
      </c>
      <c r="I61" s="26" cm="1">
        <f t="array" ref="I61">Common_InputFunctions.Utility_DisplayArrayInTable(Fuel_SourceData.Fuel_Scope1Scope3EmissionFactorsStationaryLiquid_Data(), Table_Fuel_EFs_StationaryLiquid[[#Headers],[Fuel combusted]],0)</f>
        <v>0.2</v>
      </c>
      <c r="J61" s="26" cm="1">
        <f t="array" ref="J61">Common_InputFunctions.Utility_DisplayArrayInTable(Fuel_SourceData.Fuel_Scope1Scope3EmissionFactorsStationaryLiquid_Data(), Table_Fuel_EFs_StationaryLiquid[[#Headers],[Fuel combusted]],0)</f>
        <v>69.819999999999993</v>
      </c>
      <c r="K61" s="26" cm="1">
        <f t="array" ref="K61">Common_InputFunctions.Utility_DisplayArrayInTable(Fuel_SourceData.Fuel_Scope1Scope3EmissionFactorsStationaryLiquid_Data(), Table_Fuel_EFs_StationaryLiquid[[#Headers],[Fuel combusted]],0)</f>
        <v>18</v>
      </c>
      <c r="L61" s="17"/>
    </row>
    <row r="62" spans="1:12" ht="20.100000000000001" customHeight="1" x14ac:dyDescent="0.25">
      <c r="A62"/>
      <c r="D62" s="26" t="str" cm="1">
        <f t="array" ref="D62">Common_InputFunctions.Utility_DisplayArrayInTable(Fuel_SourceData.Fuel_Scope1Scope3EmissionFactorsStationaryLiquid_Data(), Table_Fuel_EFs_StationaryLiquid[[#Headers],[Fuel combusted]],0)</f>
        <v>Heating oil</v>
      </c>
      <c r="E62" s="26" cm="1">
        <f t="array" ref="E62">Common_InputFunctions.Utility_DisplayArrayInTable(Fuel_SourceData.Fuel_Scope1Scope3EmissionFactorsStationaryLiquid_Data(), Table_Fuel_EFs_StationaryLiquid[[#Headers],[Fuel combusted]],0)</f>
        <v>37.299999999999997</v>
      </c>
      <c r="F62" s="26" t="str" cm="1">
        <f t="array" ref="F62">Common_InputFunctions.Utility_DisplayArrayInTable(Fuel_SourceData.Fuel_Scope1Scope3EmissionFactorsStationaryLiquid_Data(), Table_Fuel_EFs_StationaryLiquid[[#Headers],[Fuel combusted]],0)</f>
        <v>kL</v>
      </c>
      <c r="G62" s="26" cm="1">
        <f t="array" ref="G62">Common_InputFunctions.Utility_DisplayArrayInTable(Fuel_SourceData.Fuel_Scope1Scope3EmissionFactorsStationaryLiquid_Data(), Table_Fuel_EFs_StationaryLiquid[[#Headers],[Fuel combusted]],0)</f>
        <v>69.5</v>
      </c>
      <c r="H62" s="26" cm="1">
        <f t="array" ref="H62">Common_InputFunctions.Utility_DisplayArrayInTable(Fuel_SourceData.Fuel_Scope1Scope3EmissionFactorsStationaryLiquid_Data(), Table_Fuel_EFs_StationaryLiquid[[#Headers],[Fuel combusted]],0)</f>
        <v>0.03</v>
      </c>
      <c r="I62" s="26" cm="1">
        <f t="array" ref="I62">Common_InputFunctions.Utility_DisplayArrayInTable(Fuel_SourceData.Fuel_Scope1Scope3EmissionFactorsStationaryLiquid_Data(), Table_Fuel_EFs_StationaryLiquid[[#Headers],[Fuel combusted]],0)</f>
        <v>0.2</v>
      </c>
      <c r="J62" s="26" cm="1">
        <f t="array" ref="J62">Common_InputFunctions.Utility_DisplayArrayInTable(Fuel_SourceData.Fuel_Scope1Scope3EmissionFactorsStationaryLiquid_Data(), Table_Fuel_EFs_StationaryLiquid[[#Headers],[Fuel combusted]],0)</f>
        <v>69.73</v>
      </c>
      <c r="K62" s="26" cm="1">
        <f t="array" ref="K62">Common_InputFunctions.Utility_DisplayArrayInTable(Fuel_SourceData.Fuel_Scope1Scope3EmissionFactorsStationaryLiquid_Data(), Table_Fuel_EFs_StationaryLiquid[[#Headers],[Fuel combusted]],0)</f>
        <v>18</v>
      </c>
      <c r="L62" s="17"/>
    </row>
    <row r="63" spans="1:12" ht="20.100000000000001" customHeight="1" x14ac:dyDescent="0.25">
      <c r="A63"/>
      <c r="D63" s="26" t="str" cm="1">
        <f t="array" ref="D63">Common_InputFunctions.Utility_DisplayArrayInTable(Fuel_SourceData.Fuel_Scope1Scope3EmissionFactorsStationaryLiquid_Data(), Table_Fuel_EFs_StationaryLiquid[[#Headers],[Fuel combusted]],0)</f>
        <v>Diesel oil</v>
      </c>
      <c r="E63" s="26" cm="1">
        <f t="array" ref="E63">Common_InputFunctions.Utility_DisplayArrayInTable(Fuel_SourceData.Fuel_Scope1Scope3EmissionFactorsStationaryLiquid_Data(), Table_Fuel_EFs_StationaryLiquid[[#Headers],[Fuel combusted]],0)</f>
        <v>38.6</v>
      </c>
      <c r="F63" s="26" t="str" cm="1">
        <f t="array" ref="F63">Common_InputFunctions.Utility_DisplayArrayInTable(Fuel_SourceData.Fuel_Scope1Scope3EmissionFactorsStationaryLiquid_Data(), Table_Fuel_EFs_StationaryLiquid[[#Headers],[Fuel combusted]],0)</f>
        <v>kL</v>
      </c>
      <c r="G63" s="26" cm="1">
        <f t="array" ref="G63">Common_InputFunctions.Utility_DisplayArrayInTable(Fuel_SourceData.Fuel_Scope1Scope3EmissionFactorsStationaryLiquid_Data(), Table_Fuel_EFs_StationaryLiquid[[#Headers],[Fuel combusted]],0)</f>
        <v>69.900000000000006</v>
      </c>
      <c r="H63" s="26" cm="1">
        <f t="array" ref="H63">Common_InputFunctions.Utility_DisplayArrayInTable(Fuel_SourceData.Fuel_Scope1Scope3EmissionFactorsStationaryLiquid_Data(), Table_Fuel_EFs_StationaryLiquid[[#Headers],[Fuel combusted]],0)</f>
        <v>0.1</v>
      </c>
      <c r="I63" s="26" cm="1">
        <f t="array" ref="I63">Common_InputFunctions.Utility_DisplayArrayInTable(Fuel_SourceData.Fuel_Scope1Scope3EmissionFactorsStationaryLiquid_Data(), Table_Fuel_EFs_StationaryLiquid[[#Headers],[Fuel combusted]],0)</f>
        <v>0.2</v>
      </c>
      <c r="J63" s="26" cm="1">
        <f t="array" ref="J63">Common_InputFunctions.Utility_DisplayArrayInTable(Fuel_SourceData.Fuel_Scope1Scope3EmissionFactorsStationaryLiquid_Data(), Table_Fuel_EFs_StationaryLiquid[[#Headers],[Fuel combusted]],0)</f>
        <v>70.2</v>
      </c>
      <c r="K63" s="26" cm="1">
        <f t="array" ref="K63">Common_InputFunctions.Utility_DisplayArrayInTable(Fuel_SourceData.Fuel_Scope1Scope3EmissionFactorsStationaryLiquid_Data(), Table_Fuel_EFs_StationaryLiquid[[#Headers],[Fuel combusted]],0)</f>
        <v>17.3</v>
      </c>
      <c r="L63" s="17"/>
    </row>
    <row r="64" spans="1:12" ht="20.100000000000001" customHeight="1" x14ac:dyDescent="0.25">
      <c r="A64"/>
      <c r="D64" s="26" t="str" cm="1">
        <f t="array" ref="D64">Common_InputFunctions.Utility_DisplayArrayInTable(Fuel_SourceData.Fuel_Scope1Scope3EmissionFactorsStationaryLiquid_Data(), Table_Fuel_EFs_StationaryLiquid[[#Headers],[Fuel combusted]],0)</f>
        <v>Fuel oil</v>
      </c>
      <c r="E64" s="26" cm="1">
        <f t="array" ref="E64">Common_InputFunctions.Utility_DisplayArrayInTable(Fuel_SourceData.Fuel_Scope1Scope3EmissionFactorsStationaryLiquid_Data(), Table_Fuel_EFs_StationaryLiquid[[#Headers],[Fuel combusted]],0)</f>
        <v>39.700000000000003</v>
      </c>
      <c r="F64" s="26" t="str" cm="1">
        <f t="array" ref="F64">Common_InputFunctions.Utility_DisplayArrayInTable(Fuel_SourceData.Fuel_Scope1Scope3EmissionFactorsStationaryLiquid_Data(), Table_Fuel_EFs_StationaryLiquid[[#Headers],[Fuel combusted]],0)</f>
        <v>kL</v>
      </c>
      <c r="G64" s="26" cm="1">
        <f t="array" ref="G64">Common_InputFunctions.Utility_DisplayArrayInTable(Fuel_SourceData.Fuel_Scope1Scope3EmissionFactorsStationaryLiquid_Data(), Table_Fuel_EFs_StationaryLiquid[[#Headers],[Fuel combusted]],0)</f>
        <v>73.599999999999994</v>
      </c>
      <c r="H64" s="26" cm="1">
        <f t="array" ref="H64">Common_InputFunctions.Utility_DisplayArrayInTable(Fuel_SourceData.Fuel_Scope1Scope3EmissionFactorsStationaryLiquid_Data(), Table_Fuel_EFs_StationaryLiquid[[#Headers],[Fuel combusted]],0)</f>
        <v>0.04</v>
      </c>
      <c r="I64" s="26" cm="1">
        <f t="array" ref="I64">Common_InputFunctions.Utility_DisplayArrayInTable(Fuel_SourceData.Fuel_Scope1Scope3EmissionFactorsStationaryLiquid_Data(), Table_Fuel_EFs_StationaryLiquid[[#Headers],[Fuel combusted]],0)</f>
        <v>0.2</v>
      </c>
      <c r="J64" s="26" cm="1">
        <f t="array" ref="J64">Common_InputFunctions.Utility_DisplayArrayInTable(Fuel_SourceData.Fuel_Scope1Scope3EmissionFactorsStationaryLiquid_Data(), Table_Fuel_EFs_StationaryLiquid[[#Headers],[Fuel combusted]],0)</f>
        <v>73.84</v>
      </c>
      <c r="K64" s="26" cm="1">
        <f t="array" ref="K64">Common_InputFunctions.Utility_DisplayArrayInTable(Fuel_SourceData.Fuel_Scope1Scope3EmissionFactorsStationaryLiquid_Data(), Table_Fuel_EFs_StationaryLiquid[[#Headers],[Fuel combusted]],0)</f>
        <v>18</v>
      </c>
      <c r="L64" s="17"/>
    </row>
    <row r="65" spans="1:13" ht="20.100000000000001" customHeight="1" x14ac:dyDescent="0.25">
      <c r="A65"/>
      <c r="D65" s="26" t="str" cm="1">
        <f t="array" ref="D65">Common_InputFunctions.Utility_DisplayArrayInTable(Fuel_SourceData.Fuel_Scope1Scope3EmissionFactorsStationaryLiquid_Data(), Table_Fuel_EFs_StationaryLiquid[[#Headers],[Fuel combusted]],0)</f>
        <v>Liquefied aromatic hydrocarbons</v>
      </c>
      <c r="E65" s="26" cm="1">
        <f t="array" ref="E65">Common_InputFunctions.Utility_DisplayArrayInTable(Fuel_SourceData.Fuel_Scope1Scope3EmissionFactorsStationaryLiquid_Data(), Table_Fuel_EFs_StationaryLiquid[[#Headers],[Fuel combusted]],0)</f>
        <v>34.4</v>
      </c>
      <c r="F65" s="26" t="str" cm="1">
        <f t="array" ref="F65">Common_InputFunctions.Utility_DisplayArrayInTable(Fuel_SourceData.Fuel_Scope1Scope3EmissionFactorsStationaryLiquid_Data(), Table_Fuel_EFs_StationaryLiquid[[#Headers],[Fuel combusted]],0)</f>
        <v>kL</v>
      </c>
      <c r="G65" s="26" cm="1">
        <f t="array" ref="G65">Common_InputFunctions.Utility_DisplayArrayInTable(Fuel_SourceData.Fuel_Scope1Scope3EmissionFactorsStationaryLiquid_Data(), Table_Fuel_EFs_StationaryLiquid[[#Headers],[Fuel combusted]],0)</f>
        <v>69.7</v>
      </c>
      <c r="H65" s="26" cm="1">
        <f t="array" ref="H65">Common_InputFunctions.Utility_DisplayArrayInTable(Fuel_SourceData.Fuel_Scope1Scope3EmissionFactorsStationaryLiquid_Data(), Table_Fuel_EFs_StationaryLiquid[[#Headers],[Fuel combusted]],0)</f>
        <v>0.03</v>
      </c>
      <c r="I65" s="26" cm="1">
        <f t="array" ref="I65">Common_InputFunctions.Utility_DisplayArrayInTable(Fuel_SourceData.Fuel_Scope1Scope3EmissionFactorsStationaryLiquid_Data(), Table_Fuel_EFs_StationaryLiquid[[#Headers],[Fuel combusted]],0)</f>
        <v>0.2</v>
      </c>
      <c r="J65" s="26" cm="1">
        <f t="array" ref="J65">Common_InputFunctions.Utility_DisplayArrayInTable(Fuel_SourceData.Fuel_Scope1Scope3EmissionFactorsStationaryLiquid_Data(), Table_Fuel_EFs_StationaryLiquid[[#Headers],[Fuel combusted]],0)</f>
        <v>69.930000000000007</v>
      </c>
      <c r="K65" s="26" cm="1">
        <f t="array" ref="K65">Common_InputFunctions.Utility_DisplayArrayInTable(Fuel_SourceData.Fuel_Scope1Scope3EmissionFactorsStationaryLiquid_Data(), Table_Fuel_EFs_StationaryLiquid[[#Headers],[Fuel combusted]],0)</f>
        <v>18</v>
      </c>
      <c r="L65" s="17"/>
    </row>
    <row r="66" spans="1:13" ht="20.100000000000001" customHeight="1" x14ac:dyDescent="0.25">
      <c r="A66"/>
      <c r="D66" s="26" t="str" cm="1">
        <f t="array" ref="D66">Common_InputFunctions.Utility_DisplayArrayInTable(Fuel_SourceData.Fuel_Scope1Scope3EmissionFactorsStationaryLiquid_Data(), Table_Fuel_EFs_StationaryLiquid[[#Headers],[Fuel combusted]],0)</f>
        <v>Solvents: mineral turpentine or white spirits</v>
      </c>
      <c r="E66" s="26" cm="1">
        <f t="array" ref="E66">Common_InputFunctions.Utility_DisplayArrayInTable(Fuel_SourceData.Fuel_Scope1Scope3EmissionFactorsStationaryLiquid_Data(), Table_Fuel_EFs_StationaryLiquid[[#Headers],[Fuel combusted]],0)</f>
        <v>34.4</v>
      </c>
      <c r="F66" s="26" t="str" cm="1">
        <f t="array" ref="F66">Common_InputFunctions.Utility_DisplayArrayInTable(Fuel_SourceData.Fuel_Scope1Scope3EmissionFactorsStationaryLiquid_Data(), Table_Fuel_EFs_StationaryLiquid[[#Headers],[Fuel combusted]],0)</f>
        <v>kL</v>
      </c>
      <c r="G66" s="26" cm="1">
        <f t="array" ref="G66">Common_InputFunctions.Utility_DisplayArrayInTable(Fuel_SourceData.Fuel_Scope1Scope3EmissionFactorsStationaryLiquid_Data(), Table_Fuel_EFs_StationaryLiquid[[#Headers],[Fuel combusted]],0)</f>
        <v>69.7</v>
      </c>
      <c r="H66" s="26" cm="1">
        <f t="array" ref="H66">Common_InputFunctions.Utility_DisplayArrayInTable(Fuel_SourceData.Fuel_Scope1Scope3EmissionFactorsStationaryLiquid_Data(), Table_Fuel_EFs_StationaryLiquid[[#Headers],[Fuel combusted]],0)</f>
        <v>0.03</v>
      </c>
      <c r="I66" s="26" cm="1">
        <f t="array" ref="I66">Common_InputFunctions.Utility_DisplayArrayInTable(Fuel_SourceData.Fuel_Scope1Scope3EmissionFactorsStationaryLiquid_Data(), Table_Fuel_EFs_StationaryLiquid[[#Headers],[Fuel combusted]],0)</f>
        <v>0.2</v>
      </c>
      <c r="J66" s="26" cm="1">
        <f t="array" ref="J66">Common_InputFunctions.Utility_DisplayArrayInTable(Fuel_SourceData.Fuel_Scope1Scope3EmissionFactorsStationaryLiquid_Data(), Table_Fuel_EFs_StationaryLiquid[[#Headers],[Fuel combusted]],0)</f>
        <v>69.930000000000007</v>
      </c>
      <c r="K66" s="26" cm="1">
        <f t="array" ref="K66">Common_InputFunctions.Utility_DisplayArrayInTable(Fuel_SourceData.Fuel_Scope1Scope3EmissionFactorsStationaryLiquid_Data(), Table_Fuel_EFs_StationaryLiquid[[#Headers],[Fuel combusted]],0)</f>
        <v>18</v>
      </c>
      <c r="L66" s="17"/>
    </row>
    <row r="67" spans="1:13" ht="20.100000000000001" customHeight="1" x14ac:dyDescent="0.25">
      <c r="A67"/>
      <c r="D67" s="26" t="str" cm="1">
        <f t="array" ref="D67">Common_InputFunctions.Utility_DisplayArrayInTable(Fuel_SourceData.Fuel_Scope1Scope3EmissionFactorsStationaryLiquid_Data(), Table_Fuel_EFs_StationaryLiquid[[#Headers],[Fuel combusted]],0)</f>
        <v>Liquefied petroleum gas (LPG)</v>
      </c>
      <c r="E67" s="26" cm="1">
        <f t="array" ref="E67">Common_InputFunctions.Utility_DisplayArrayInTable(Fuel_SourceData.Fuel_Scope1Scope3EmissionFactorsStationaryLiquid_Data(), Table_Fuel_EFs_StationaryLiquid[[#Headers],[Fuel combusted]],0)</f>
        <v>25.7</v>
      </c>
      <c r="F67" s="26" t="str" cm="1">
        <f t="array" ref="F67">Common_InputFunctions.Utility_DisplayArrayInTable(Fuel_SourceData.Fuel_Scope1Scope3EmissionFactorsStationaryLiquid_Data(), Table_Fuel_EFs_StationaryLiquid[[#Headers],[Fuel combusted]],0)</f>
        <v>kL</v>
      </c>
      <c r="G67" s="26" cm="1">
        <f t="array" ref="G67">Common_InputFunctions.Utility_DisplayArrayInTable(Fuel_SourceData.Fuel_Scope1Scope3EmissionFactorsStationaryLiquid_Data(), Table_Fuel_EFs_StationaryLiquid[[#Headers],[Fuel combusted]],0)</f>
        <v>60.2</v>
      </c>
      <c r="H67" s="26" cm="1">
        <f t="array" ref="H67">Common_InputFunctions.Utility_DisplayArrayInTable(Fuel_SourceData.Fuel_Scope1Scope3EmissionFactorsStationaryLiquid_Data(), Table_Fuel_EFs_StationaryLiquid[[#Headers],[Fuel combusted]],0)</f>
        <v>0.2</v>
      </c>
      <c r="I67" s="26" cm="1">
        <f t="array" ref="I67">Common_InputFunctions.Utility_DisplayArrayInTable(Fuel_SourceData.Fuel_Scope1Scope3EmissionFactorsStationaryLiquid_Data(), Table_Fuel_EFs_StationaryLiquid[[#Headers],[Fuel combusted]],0)</f>
        <v>0.2</v>
      </c>
      <c r="J67" s="26" cm="1">
        <f t="array" ref="J67">Common_InputFunctions.Utility_DisplayArrayInTable(Fuel_SourceData.Fuel_Scope1Scope3EmissionFactorsStationaryLiquid_Data(), Table_Fuel_EFs_StationaryLiquid[[#Headers],[Fuel combusted]],0)</f>
        <v>60.6</v>
      </c>
      <c r="K67" s="26" cm="1">
        <f t="array" ref="K67">Common_InputFunctions.Utility_DisplayArrayInTable(Fuel_SourceData.Fuel_Scope1Scope3EmissionFactorsStationaryLiquid_Data(), Table_Fuel_EFs_StationaryLiquid[[#Headers],[Fuel combusted]],0)</f>
        <v>20.2</v>
      </c>
      <c r="L67" s="17"/>
    </row>
    <row r="68" spans="1:13" ht="20.100000000000001" customHeight="1" x14ac:dyDescent="0.25">
      <c r="A68"/>
      <c r="D68" s="26" t="str" cm="1">
        <f t="array" ref="D68">Common_InputFunctions.Utility_DisplayArrayInTable(Fuel_SourceData.Fuel_Scope1Scope3EmissionFactorsStationaryLiquid_Data(), Table_Fuel_EFs_StationaryLiquid[[#Headers],[Fuel combusted]],0)</f>
        <v>Naphtha</v>
      </c>
      <c r="E68" s="26" cm="1">
        <f t="array" ref="E68">Common_InputFunctions.Utility_DisplayArrayInTable(Fuel_SourceData.Fuel_Scope1Scope3EmissionFactorsStationaryLiquid_Data(), Table_Fuel_EFs_StationaryLiquid[[#Headers],[Fuel combusted]],0)</f>
        <v>31.4</v>
      </c>
      <c r="F68" s="26" t="str" cm="1">
        <f t="array" ref="F68">Common_InputFunctions.Utility_DisplayArrayInTable(Fuel_SourceData.Fuel_Scope1Scope3EmissionFactorsStationaryLiquid_Data(), Table_Fuel_EFs_StationaryLiquid[[#Headers],[Fuel combusted]],0)</f>
        <v>kL</v>
      </c>
      <c r="G68" s="26" cm="1">
        <f t="array" ref="G68">Common_InputFunctions.Utility_DisplayArrayInTable(Fuel_SourceData.Fuel_Scope1Scope3EmissionFactorsStationaryLiquid_Data(), Table_Fuel_EFs_StationaryLiquid[[#Headers],[Fuel combusted]],0)</f>
        <v>69.8</v>
      </c>
      <c r="H68" s="26" cm="1">
        <f t="array" ref="H68">Common_InputFunctions.Utility_DisplayArrayInTable(Fuel_SourceData.Fuel_Scope1Scope3EmissionFactorsStationaryLiquid_Data(), Table_Fuel_EFs_StationaryLiquid[[#Headers],[Fuel combusted]],0)</f>
        <v>0.01</v>
      </c>
      <c r="I68" s="26" cm="1">
        <f t="array" ref="I68">Common_InputFunctions.Utility_DisplayArrayInTable(Fuel_SourceData.Fuel_Scope1Scope3EmissionFactorsStationaryLiquid_Data(), Table_Fuel_EFs_StationaryLiquid[[#Headers],[Fuel combusted]],0)</f>
        <v>0.01</v>
      </c>
      <c r="J68" s="26" cm="1">
        <f t="array" ref="J68">Common_InputFunctions.Utility_DisplayArrayInTable(Fuel_SourceData.Fuel_Scope1Scope3EmissionFactorsStationaryLiquid_Data(), Table_Fuel_EFs_StationaryLiquid[[#Headers],[Fuel combusted]],0)</f>
        <v>69.819999999999993</v>
      </c>
      <c r="K68" s="26" cm="1">
        <f t="array" ref="K68">Common_InputFunctions.Utility_DisplayArrayInTable(Fuel_SourceData.Fuel_Scope1Scope3EmissionFactorsStationaryLiquid_Data(), Table_Fuel_EFs_StationaryLiquid[[#Headers],[Fuel combusted]],0)</f>
        <v>18</v>
      </c>
      <c r="L68" s="17"/>
    </row>
    <row r="69" spans="1:13" ht="20.100000000000001" customHeight="1" x14ac:dyDescent="0.25">
      <c r="A69"/>
      <c r="D69" s="26" t="str" cm="1">
        <f t="array" ref="D69">Common_InputFunctions.Utility_DisplayArrayInTable(Fuel_SourceData.Fuel_Scope1Scope3EmissionFactorsStationaryLiquid_Data(), Table_Fuel_EFs_StationaryLiquid[[#Headers],[Fuel combusted]],0)</f>
        <v>Petroleum coke</v>
      </c>
      <c r="E69" s="26" cm="1">
        <f t="array" ref="E69">Common_InputFunctions.Utility_DisplayArrayInTable(Fuel_SourceData.Fuel_Scope1Scope3EmissionFactorsStationaryLiquid_Data(), Table_Fuel_EFs_StationaryLiquid[[#Headers],[Fuel combusted]],0)</f>
        <v>34.200000000000003</v>
      </c>
      <c r="F69" s="26" t="str" cm="1">
        <f t="array" ref="F69">Common_InputFunctions.Utility_DisplayArrayInTable(Fuel_SourceData.Fuel_Scope1Scope3EmissionFactorsStationaryLiquid_Data(), Table_Fuel_EFs_StationaryLiquid[[#Headers],[Fuel combusted]],0)</f>
        <v>t</v>
      </c>
      <c r="G69" s="26" cm="1">
        <f t="array" ref="G69">Common_InputFunctions.Utility_DisplayArrayInTable(Fuel_SourceData.Fuel_Scope1Scope3EmissionFactorsStationaryLiquid_Data(), Table_Fuel_EFs_StationaryLiquid[[#Headers],[Fuel combusted]],0)</f>
        <v>92.6</v>
      </c>
      <c r="H69" s="26" cm="1">
        <f t="array" ref="H69">Common_InputFunctions.Utility_DisplayArrayInTable(Fuel_SourceData.Fuel_Scope1Scope3EmissionFactorsStationaryLiquid_Data(), Table_Fuel_EFs_StationaryLiquid[[#Headers],[Fuel combusted]],0)</f>
        <v>0.08</v>
      </c>
      <c r="I69" s="26" cm="1">
        <f t="array" ref="I69">Common_InputFunctions.Utility_DisplayArrayInTable(Fuel_SourceData.Fuel_Scope1Scope3EmissionFactorsStationaryLiquid_Data(), Table_Fuel_EFs_StationaryLiquid[[#Headers],[Fuel combusted]],0)</f>
        <v>0.2</v>
      </c>
      <c r="J69" s="26" cm="1">
        <f t="array" ref="J69">Common_InputFunctions.Utility_DisplayArrayInTable(Fuel_SourceData.Fuel_Scope1Scope3EmissionFactorsStationaryLiquid_Data(), Table_Fuel_EFs_StationaryLiquid[[#Headers],[Fuel combusted]],0)</f>
        <v>92.88</v>
      </c>
      <c r="K69" s="26" cm="1">
        <f t="array" ref="K69">Common_InputFunctions.Utility_DisplayArrayInTable(Fuel_SourceData.Fuel_Scope1Scope3EmissionFactorsStationaryLiquid_Data(), Table_Fuel_EFs_StationaryLiquid[[#Headers],[Fuel combusted]],0)</f>
        <v>18</v>
      </c>
      <c r="L69" s="17"/>
    </row>
    <row r="70" spans="1:13" ht="20.100000000000001" customHeight="1" x14ac:dyDescent="0.25">
      <c r="A70"/>
      <c r="D70" s="26" t="str" cm="1">
        <f t="array" ref="D70">Common_InputFunctions.Utility_DisplayArrayInTable(Fuel_SourceData.Fuel_Scope1Scope3EmissionFactorsStationaryLiquid_Data(), Table_Fuel_EFs_StationaryLiquid[[#Headers],[Fuel combusted]],0)</f>
        <v>Refinery gas and liquids</v>
      </c>
      <c r="E70" s="26" cm="1">
        <f t="array" ref="E70">Common_InputFunctions.Utility_DisplayArrayInTable(Fuel_SourceData.Fuel_Scope1Scope3EmissionFactorsStationaryLiquid_Data(), Table_Fuel_EFs_StationaryLiquid[[#Headers],[Fuel combusted]],0)</f>
        <v>42.9</v>
      </c>
      <c r="F70" s="26" t="str" cm="1">
        <f t="array" ref="F70">Common_InputFunctions.Utility_DisplayArrayInTable(Fuel_SourceData.Fuel_Scope1Scope3EmissionFactorsStationaryLiquid_Data(), Table_Fuel_EFs_StationaryLiquid[[#Headers],[Fuel combusted]],0)</f>
        <v>t</v>
      </c>
      <c r="G70" s="26" cm="1">
        <f t="array" ref="G70">Common_InputFunctions.Utility_DisplayArrayInTable(Fuel_SourceData.Fuel_Scope1Scope3EmissionFactorsStationaryLiquid_Data(), Table_Fuel_EFs_StationaryLiquid[[#Headers],[Fuel combusted]],0)</f>
        <v>54.7</v>
      </c>
      <c r="H70" s="26" cm="1">
        <f t="array" ref="H70">Common_InputFunctions.Utility_DisplayArrayInTable(Fuel_SourceData.Fuel_Scope1Scope3EmissionFactorsStationaryLiquid_Data(), Table_Fuel_EFs_StationaryLiquid[[#Headers],[Fuel combusted]],0)</f>
        <v>0.03</v>
      </c>
      <c r="I70" s="26" cm="1">
        <f t="array" ref="I70">Common_InputFunctions.Utility_DisplayArrayInTable(Fuel_SourceData.Fuel_Scope1Scope3EmissionFactorsStationaryLiquid_Data(), Table_Fuel_EFs_StationaryLiquid[[#Headers],[Fuel combusted]],0)</f>
        <v>0.03</v>
      </c>
      <c r="J70" s="26" cm="1">
        <f t="array" ref="J70">Common_InputFunctions.Utility_DisplayArrayInTable(Fuel_SourceData.Fuel_Scope1Scope3EmissionFactorsStationaryLiquid_Data(), Table_Fuel_EFs_StationaryLiquid[[#Headers],[Fuel combusted]],0)</f>
        <v>54.76</v>
      </c>
      <c r="K70" s="26" cm="1">
        <f t="array" ref="K70">Common_InputFunctions.Utility_DisplayArrayInTable(Fuel_SourceData.Fuel_Scope1Scope3EmissionFactorsStationaryLiquid_Data(), Table_Fuel_EFs_StationaryLiquid[[#Headers],[Fuel combusted]],0)</f>
        <v>18</v>
      </c>
      <c r="L70" s="17"/>
    </row>
    <row r="71" spans="1:13" ht="20.100000000000001" customHeight="1" x14ac:dyDescent="0.25">
      <c r="A71"/>
      <c r="D71" s="26" t="str" cm="1">
        <f t="array" ref="D71">Common_InputFunctions.Utility_DisplayArrayInTable(Fuel_SourceData.Fuel_Scope1Scope3EmissionFactorsStationaryLiquid_Data(), Table_Fuel_EFs_StationaryLiquid[[#Headers],[Fuel combusted]],0)</f>
        <v>Refinery coke</v>
      </c>
      <c r="E71" s="26" cm="1">
        <f t="array" ref="E71">Common_InputFunctions.Utility_DisplayArrayInTable(Fuel_SourceData.Fuel_Scope1Scope3EmissionFactorsStationaryLiquid_Data(), Table_Fuel_EFs_StationaryLiquid[[#Headers],[Fuel combusted]],0)</f>
        <v>34.200000000000003</v>
      </c>
      <c r="F71" s="26" t="str" cm="1">
        <f t="array" ref="F71">Common_InputFunctions.Utility_DisplayArrayInTable(Fuel_SourceData.Fuel_Scope1Scope3EmissionFactorsStationaryLiquid_Data(), Table_Fuel_EFs_StationaryLiquid[[#Headers],[Fuel combusted]],0)</f>
        <v>t</v>
      </c>
      <c r="G71" s="26" cm="1">
        <f t="array" ref="G71">Common_InputFunctions.Utility_DisplayArrayInTable(Fuel_SourceData.Fuel_Scope1Scope3EmissionFactorsStationaryLiquid_Data(), Table_Fuel_EFs_StationaryLiquid[[#Headers],[Fuel combusted]],0)</f>
        <v>92.6</v>
      </c>
      <c r="H71" s="26" cm="1">
        <f t="array" ref="H71">Common_InputFunctions.Utility_DisplayArrayInTable(Fuel_SourceData.Fuel_Scope1Scope3EmissionFactorsStationaryLiquid_Data(), Table_Fuel_EFs_StationaryLiquid[[#Headers],[Fuel combusted]],0)</f>
        <v>0.08</v>
      </c>
      <c r="I71" s="26" cm="1">
        <f t="array" ref="I71">Common_InputFunctions.Utility_DisplayArrayInTable(Fuel_SourceData.Fuel_Scope1Scope3EmissionFactorsStationaryLiquid_Data(), Table_Fuel_EFs_StationaryLiquid[[#Headers],[Fuel combusted]],0)</f>
        <v>0.2</v>
      </c>
      <c r="J71" s="26" cm="1">
        <f t="array" ref="J71">Common_InputFunctions.Utility_DisplayArrayInTable(Fuel_SourceData.Fuel_Scope1Scope3EmissionFactorsStationaryLiquid_Data(), Table_Fuel_EFs_StationaryLiquid[[#Headers],[Fuel combusted]],0)</f>
        <v>92.88</v>
      </c>
      <c r="K71" s="26" cm="1">
        <f t="array" ref="K71">Common_InputFunctions.Utility_DisplayArrayInTable(Fuel_SourceData.Fuel_Scope1Scope3EmissionFactorsStationaryLiquid_Data(), Table_Fuel_EFs_StationaryLiquid[[#Headers],[Fuel combusted]],0)</f>
        <v>18</v>
      </c>
      <c r="L71" s="17"/>
    </row>
    <row r="72" spans="1:13" ht="20.100000000000001" customHeight="1" x14ac:dyDescent="0.25">
      <c r="A72"/>
      <c r="D72" s="26" t="str" cm="1">
        <f t="array" ref="D72">Common_InputFunctions.Utility_DisplayArrayInTable(Fuel_SourceData.Fuel_Scope1Scope3EmissionFactorsStationaryLiquid_Data(), Table_Fuel_EFs_StationaryLiquid[[#Headers],[Fuel combusted]],0)</f>
        <v>Petroleum based products other than mentioned in the items above</v>
      </c>
      <c r="E72" s="26" cm="1">
        <f t="array" ref="E72">Common_InputFunctions.Utility_DisplayArrayInTable(Fuel_SourceData.Fuel_Scope1Scope3EmissionFactorsStationaryLiquid_Data(), Table_Fuel_EFs_StationaryLiquid[[#Headers],[Fuel combusted]],0)</f>
        <v>34.4</v>
      </c>
      <c r="F72" s="26" t="str" cm="1">
        <f t="array" ref="F72">Common_InputFunctions.Utility_DisplayArrayInTable(Fuel_SourceData.Fuel_Scope1Scope3EmissionFactorsStationaryLiquid_Data(), Table_Fuel_EFs_StationaryLiquid[[#Headers],[Fuel combusted]],0)</f>
        <v>kL</v>
      </c>
      <c r="G72" s="26" cm="1">
        <f t="array" ref="G72">Common_InputFunctions.Utility_DisplayArrayInTable(Fuel_SourceData.Fuel_Scope1Scope3EmissionFactorsStationaryLiquid_Data(), Table_Fuel_EFs_StationaryLiquid[[#Headers],[Fuel combusted]],0)</f>
        <v>69.8</v>
      </c>
      <c r="H72" s="26" cm="1">
        <f t="array" ref="H72">Common_InputFunctions.Utility_DisplayArrayInTable(Fuel_SourceData.Fuel_Scope1Scope3EmissionFactorsStationaryLiquid_Data(), Table_Fuel_EFs_StationaryLiquid[[#Headers],[Fuel combusted]],0)</f>
        <v>0.02</v>
      </c>
      <c r="I72" s="26" cm="1">
        <f t="array" ref="I72">Common_InputFunctions.Utility_DisplayArrayInTable(Fuel_SourceData.Fuel_Scope1Scope3EmissionFactorsStationaryLiquid_Data(), Table_Fuel_EFs_StationaryLiquid[[#Headers],[Fuel combusted]],0)</f>
        <v>0.1</v>
      </c>
      <c r="J72" s="26" cm="1">
        <f t="array" ref="J72">Common_InputFunctions.Utility_DisplayArrayInTable(Fuel_SourceData.Fuel_Scope1Scope3EmissionFactorsStationaryLiquid_Data(), Table_Fuel_EFs_StationaryLiquid[[#Headers],[Fuel combusted]],0)</f>
        <v>69.92</v>
      </c>
      <c r="K72" s="26" cm="1">
        <f t="array" ref="K72">Common_InputFunctions.Utility_DisplayArrayInTable(Fuel_SourceData.Fuel_Scope1Scope3EmissionFactorsStationaryLiquid_Data(), Table_Fuel_EFs_StationaryLiquid[[#Headers],[Fuel combusted]],0)</f>
        <v>18</v>
      </c>
      <c r="L72" s="17"/>
    </row>
    <row r="73" spans="1:13" ht="20.100000000000001" customHeight="1" x14ac:dyDescent="0.25">
      <c r="A73"/>
      <c r="D73" s="26" t="str" cm="1">
        <f t="array" ref="D73">Common_InputFunctions.Utility_DisplayArrayInTable(Fuel_SourceData.Fuel_Scope1Scope3EmissionFactorsStationaryLiquid_Data(), Table_Fuel_EFs_StationaryLiquid[[#Headers],[Fuel combusted]],0)</f>
        <v>Biodiesel</v>
      </c>
      <c r="E73" s="26" cm="1">
        <f t="array" ref="E73">Common_InputFunctions.Utility_DisplayArrayInTable(Fuel_SourceData.Fuel_Scope1Scope3EmissionFactorsStationaryLiquid_Data(), Table_Fuel_EFs_StationaryLiquid[[#Headers],[Fuel combusted]],0)</f>
        <v>34.6</v>
      </c>
      <c r="F73" s="26" t="str" cm="1">
        <f t="array" ref="F73">Common_InputFunctions.Utility_DisplayArrayInTable(Fuel_SourceData.Fuel_Scope1Scope3EmissionFactorsStationaryLiquid_Data(), Table_Fuel_EFs_StationaryLiquid[[#Headers],[Fuel combusted]],0)</f>
        <v>kL</v>
      </c>
      <c r="G73" s="26" cm="1">
        <f t="array" ref="G73">Common_InputFunctions.Utility_DisplayArrayInTable(Fuel_SourceData.Fuel_Scope1Scope3EmissionFactorsStationaryLiquid_Data(), Table_Fuel_EFs_StationaryLiquid[[#Headers],[Fuel combusted]],0)</f>
        <v>0</v>
      </c>
      <c r="H73" s="26" cm="1">
        <f t="array" ref="H73">Common_InputFunctions.Utility_DisplayArrayInTable(Fuel_SourceData.Fuel_Scope1Scope3EmissionFactorsStationaryLiquid_Data(), Table_Fuel_EFs_StationaryLiquid[[#Headers],[Fuel combusted]],0)</f>
        <v>0.08</v>
      </c>
      <c r="I73" s="26" cm="1">
        <f t="array" ref="I73">Common_InputFunctions.Utility_DisplayArrayInTable(Fuel_SourceData.Fuel_Scope1Scope3EmissionFactorsStationaryLiquid_Data(), Table_Fuel_EFs_StationaryLiquid[[#Headers],[Fuel combusted]],0)</f>
        <v>0.2</v>
      </c>
      <c r="J73" s="26" cm="1">
        <f t="array" ref="J73">Common_InputFunctions.Utility_DisplayArrayInTable(Fuel_SourceData.Fuel_Scope1Scope3EmissionFactorsStationaryLiquid_Data(), Table_Fuel_EFs_StationaryLiquid[[#Headers],[Fuel combusted]],0)</f>
        <v>0.28000000000000003</v>
      </c>
      <c r="K73" s="26" t="str" cm="1">
        <f t="array" ref="K73">Common_InputFunctions.Utility_DisplayArrayInTable(Fuel_SourceData.Fuel_Scope1Scope3EmissionFactorsStationaryLiquid_Data(), Table_Fuel_EFs_StationaryLiquid[[#Headers],[Fuel combusted]],0)</f>
        <v>NE</v>
      </c>
      <c r="L73" s="17"/>
    </row>
    <row r="74" spans="1:13" ht="20.100000000000001" customHeight="1" x14ac:dyDescent="0.25">
      <c r="A74"/>
      <c r="D74" s="26" t="str" cm="1">
        <f t="array" ref="D74">Common_InputFunctions.Utility_DisplayArrayInTable(Fuel_SourceData.Fuel_Scope1Scope3EmissionFactorsStationaryLiquid_Data(), Table_Fuel_EFs_StationaryLiquid[[#Headers],[Fuel combusted]],0)</f>
        <v>Ethanol for use as a fuel in an internal combustion engine</v>
      </c>
      <c r="E74" s="26" cm="1">
        <f t="array" ref="E74">Common_InputFunctions.Utility_DisplayArrayInTable(Fuel_SourceData.Fuel_Scope1Scope3EmissionFactorsStationaryLiquid_Data(), Table_Fuel_EFs_StationaryLiquid[[#Headers],[Fuel combusted]],0)</f>
        <v>23.4</v>
      </c>
      <c r="F74" s="26" t="str" cm="1">
        <f t="array" ref="F74">Common_InputFunctions.Utility_DisplayArrayInTable(Fuel_SourceData.Fuel_Scope1Scope3EmissionFactorsStationaryLiquid_Data(), Table_Fuel_EFs_StationaryLiquid[[#Headers],[Fuel combusted]],0)</f>
        <v>kL</v>
      </c>
      <c r="G74" s="26" cm="1">
        <f t="array" ref="G74">Common_InputFunctions.Utility_DisplayArrayInTable(Fuel_SourceData.Fuel_Scope1Scope3EmissionFactorsStationaryLiquid_Data(), Table_Fuel_EFs_StationaryLiquid[[#Headers],[Fuel combusted]],0)</f>
        <v>0</v>
      </c>
      <c r="H74" s="26" cm="1">
        <f t="array" ref="H74">Common_InputFunctions.Utility_DisplayArrayInTable(Fuel_SourceData.Fuel_Scope1Scope3EmissionFactorsStationaryLiquid_Data(), Table_Fuel_EFs_StationaryLiquid[[#Headers],[Fuel combusted]],0)</f>
        <v>0.08</v>
      </c>
      <c r="I74" s="26" cm="1">
        <f t="array" ref="I74">Common_InputFunctions.Utility_DisplayArrayInTable(Fuel_SourceData.Fuel_Scope1Scope3EmissionFactorsStationaryLiquid_Data(), Table_Fuel_EFs_StationaryLiquid[[#Headers],[Fuel combusted]],0)</f>
        <v>0.2</v>
      </c>
      <c r="J74" s="26" cm="1">
        <f t="array" ref="J74">Common_InputFunctions.Utility_DisplayArrayInTable(Fuel_SourceData.Fuel_Scope1Scope3EmissionFactorsStationaryLiquid_Data(), Table_Fuel_EFs_StationaryLiquid[[#Headers],[Fuel combusted]],0)</f>
        <v>0.28000000000000003</v>
      </c>
      <c r="K74" s="26" t="str" cm="1">
        <f t="array" ref="K74">Common_InputFunctions.Utility_DisplayArrayInTable(Fuel_SourceData.Fuel_Scope1Scope3EmissionFactorsStationaryLiquid_Data(), Table_Fuel_EFs_StationaryLiquid[[#Headers],[Fuel combusted]],0)</f>
        <v>NE</v>
      </c>
      <c r="L74" s="17"/>
    </row>
    <row r="75" spans="1:13" ht="20.100000000000001" customHeight="1" x14ac:dyDescent="0.25">
      <c r="A75"/>
      <c r="D75" s="26" t="str" cm="1">
        <f t="array" ref="D75">Common_InputFunctions.Utility_DisplayArrayInTable(Fuel_SourceData.Fuel_Scope1Scope3EmissionFactorsStationaryLiquid_Data(), Table_Fuel_EFs_StationaryLiquid[[#Headers],[Fuel combusted]],0)</f>
        <v>Biofuels other than those mentioned in the items above and below</v>
      </c>
      <c r="E75" s="26" cm="1">
        <f t="array" ref="E75">Common_InputFunctions.Utility_DisplayArrayInTable(Fuel_SourceData.Fuel_Scope1Scope3EmissionFactorsStationaryLiquid_Data(), Table_Fuel_EFs_StationaryLiquid[[#Headers],[Fuel combusted]],0)</f>
        <v>23.4</v>
      </c>
      <c r="F75" s="26" t="str" cm="1">
        <f t="array" ref="F75">Common_InputFunctions.Utility_DisplayArrayInTable(Fuel_SourceData.Fuel_Scope1Scope3EmissionFactorsStationaryLiquid_Data(), Table_Fuel_EFs_StationaryLiquid[[#Headers],[Fuel combusted]],0)</f>
        <v>kL</v>
      </c>
      <c r="G75" s="26" cm="1">
        <f t="array" ref="G75">Common_InputFunctions.Utility_DisplayArrayInTable(Fuel_SourceData.Fuel_Scope1Scope3EmissionFactorsStationaryLiquid_Data(), Table_Fuel_EFs_StationaryLiquid[[#Headers],[Fuel combusted]],0)</f>
        <v>0</v>
      </c>
      <c r="H75" s="26" cm="1">
        <f t="array" ref="H75">Common_InputFunctions.Utility_DisplayArrayInTable(Fuel_SourceData.Fuel_Scope1Scope3EmissionFactorsStationaryLiquid_Data(), Table_Fuel_EFs_StationaryLiquid[[#Headers],[Fuel combusted]],0)</f>
        <v>0.08</v>
      </c>
      <c r="I75" s="26" cm="1">
        <f t="array" ref="I75">Common_InputFunctions.Utility_DisplayArrayInTable(Fuel_SourceData.Fuel_Scope1Scope3EmissionFactorsStationaryLiquid_Data(), Table_Fuel_EFs_StationaryLiquid[[#Headers],[Fuel combusted]],0)</f>
        <v>0.2</v>
      </c>
      <c r="J75" s="26" cm="1">
        <f t="array" ref="J75">Common_InputFunctions.Utility_DisplayArrayInTable(Fuel_SourceData.Fuel_Scope1Scope3EmissionFactorsStationaryLiquid_Data(), Table_Fuel_EFs_StationaryLiquid[[#Headers],[Fuel combusted]],0)</f>
        <v>0.28000000000000003</v>
      </c>
      <c r="K75" s="26" t="str" cm="1">
        <f t="array" ref="K75">Common_InputFunctions.Utility_DisplayArrayInTable(Fuel_SourceData.Fuel_Scope1Scope3EmissionFactorsStationaryLiquid_Data(), Table_Fuel_EFs_StationaryLiquid[[#Headers],[Fuel combusted]],0)</f>
        <v>NE</v>
      </c>
      <c r="L75" s="17"/>
    </row>
    <row r="76" spans="1:13" ht="20.100000000000001" customHeight="1" x14ac:dyDescent="0.25">
      <c r="A76"/>
      <c r="D76" s="26" t="str" cm="1">
        <f t="array" ref="D76">Common_InputFunctions.Utility_DisplayArrayInTable(Fuel_SourceData.Fuel_Scope1Scope3EmissionFactorsStationaryLiquid_Data(), Table_Fuel_EFs_StationaryLiquid[[#Headers],[Fuel combusted]],0)</f>
        <v>Renewable aviation kerosene</v>
      </c>
      <c r="E76" s="26" cm="1">
        <f t="array" ref="E76">Common_InputFunctions.Utility_DisplayArrayInTable(Fuel_SourceData.Fuel_Scope1Scope3EmissionFactorsStationaryLiquid_Data(), Table_Fuel_EFs_StationaryLiquid[[#Headers],[Fuel combusted]],0)</f>
        <v>36.799999999999997</v>
      </c>
      <c r="F76" s="26" t="str" cm="1">
        <f t="array" ref="F76">Common_InputFunctions.Utility_DisplayArrayInTable(Fuel_SourceData.Fuel_Scope1Scope3EmissionFactorsStationaryLiquid_Data(), Table_Fuel_EFs_StationaryLiquid[[#Headers],[Fuel combusted]],0)</f>
        <v>kL</v>
      </c>
      <c r="G76" s="26" cm="1">
        <f t="array" ref="G76">Common_InputFunctions.Utility_DisplayArrayInTable(Fuel_SourceData.Fuel_Scope1Scope3EmissionFactorsStationaryLiquid_Data(), Table_Fuel_EFs_StationaryLiquid[[#Headers],[Fuel combusted]],0)</f>
        <v>0</v>
      </c>
      <c r="H76" s="26" cm="1">
        <f t="array" ref="H76">Common_InputFunctions.Utility_DisplayArrayInTable(Fuel_SourceData.Fuel_Scope1Scope3EmissionFactorsStationaryLiquid_Data(), Table_Fuel_EFs_StationaryLiquid[[#Headers],[Fuel combusted]],0)</f>
        <v>0.02</v>
      </c>
      <c r="I76" s="26" cm="1">
        <f t="array" ref="I76">Common_InputFunctions.Utility_DisplayArrayInTable(Fuel_SourceData.Fuel_Scope1Scope3EmissionFactorsStationaryLiquid_Data(), Table_Fuel_EFs_StationaryLiquid[[#Headers],[Fuel combusted]],0)</f>
        <v>0.2</v>
      </c>
      <c r="J76" s="26" cm="1">
        <f t="array" ref="J76">Common_InputFunctions.Utility_DisplayArrayInTable(Fuel_SourceData.Fuel_Scope1Scope3EmissionFactorsStationaryLiquid_Data(), Table_Fuel_EFs_StationaryLiquid[[#Headers],[Fuel combusted]],0)</f>
        <v>0.22</v>
      </c>
      <c r="K76" s="26" t="str" cm="1">
        <f t="array" ref="K76">Common_InputFunctions.Utility_DisplayArrayInTable(Fuel_SourceData.Fuel_Scope1Scope3EmissionFactorsStationaryLiquid_Data(), Table_Fuel_EFs_StationaryLiquid[[#Headers],[Fuel combusted]],0)</f>
        <v>NE</v>
      </c>
      <c r="L76" s="17"/>
    </row>
    <row r="77" spans="1:13" ht="20.100000000000001" customHeight="1" x14ac:dyDescent="0.25">
      <c r="A77"/>
      <c r="D77" s="26" t="str" cm="1">
        <f t="array" ref="D77">Common_InputFunctions.Utility_DisplayArrayInTable(Fuel_SourceData.Fuel_Scope1Scope3EmissionFactorsStationaryLiquid_Data(), Table_Fuel_EFs_StationaryLiquid[[#Headers],[Fuel combusted]],0)</f>
        <v>Renewable diesel</v>
      </c>
      <c r="E77" s="26" cm="1">
        <f t="array" ref="E77">Common_InputFunctions.Utility_DisplayArrayInTable(Fuel_SourceData.Fuel_Scope1Scope3EmissionFactorsStationaryLiquid_Data(), Table_Fuel_EFs_StationaryLiquid[[#Headers],[Fuel combusted]],0)</f>
        <v>38.6</v>
      </c>
      <c r="F77" s="26" t="str" cm="1">
        <f t="array" ref="F77">Common_InputFunctions.Utility_DisplayArrayInTable(Fuel_SourceData.Fuel_Scope1Scope3EmissionFactorsStationaryLiquid_Data(), Table_Fuel_EFs_StationaryLiquid[[#Headers],[Fuel combusted]],0)</f>
        <v>kL</v>
      </c>
      <c r="G77" s="26" cm="1">
        <f t="array" ref="G77">Common_InputFunctions.Utility_DisplayArrayInTable(Fuel_SourceData.Fuel_Scope1Scope3EmissionFactorsStationaryLiquid_Data(), Table_Fuel_EFs_StationaryLiquid[[#Headers],[Fuel combusted]],0)</f>
        <v>0</v>
      </c>
      <c r="H77" s="26" cm="1">
        <f t="array" ref="H77">Common_InputFunctions.Utility_DisplayArrayInTable(Fuel_SourceData.Fuel_Scope1Scope3EmissionFactorsStationaryLiquid_Data(), Table_Fuel_EFs_StationaryLiquid[[#Headers],[Fuel combusted]],0)</f>
        <v>0.1</v>
      </c>
      <c r="I77" s="26" cm="1">
        <f t="array" ref="I77">Common_InputFunctions.Utility_DisplayArrayInTable(Fuel_SourceData.Fuel_Scope1Scope3EmissionFactorsStationaryLiquid_Data(), Table_Fuel_EFs_StationaryLiquid[[#Headers],[Fuel combusted]],0)</f>
        <v>0.2</v>
      </c>
      <c r="J77" s="26" cm="1">
        <f t="array" ref="J77">Common_InputFunctions.Utility_DisplayArrayInTable(Fuel_SourceData.Fuel_Scope1Scope3EmissionFactorsStationaryLiquid_Data(), Table_Fuel_EFs_StationaryLiquid[[#Headers],[Fuel combusted]],0)</f>
        <v>0.3</v>
      </c>
      <c r="K77" s="26" t="str" cm="1">
        <f t="array" ref="K77">Common_InputFunctions.Utility_DisplayArrayInTable(Fuel_SourceData.Fuel_Scope1Scope3EmissionFactorsStationaryLiquid_Data(), Table_Fuel_EFs_StationaryLiquid[[#Headers],[Fuel combusted]],0)</f>
        <v>NE</v>
      </c>
      <c r="L77" s="17"/>
    </row>
    <row r="78" spans="1:13" ht="20.100000000000001" customHeight="1" x14ac:dyDescent="0.25">
      <c r="A78"/>
      <c r="D78" s="17"/>
      <c r="E78" s="17"/>
      <c r="F78" s="17"/>
      <c r="G78" s="17"/>
      <c r="H78" s="17"/>
      <c r="I78" s="17"/>
      <c r="J78" s="17"/>
      <c r="K78" s="17"/>
      <c r="L78" s="17"/>
    </row>
    <row r="79" spans="1:13" ht="20.100000000000001" customHeight="1" x14ac:dyDescent="0.25">
      <c r="A79"/>
      <c r="D79" s="17"/>
      <c r="E79" s="17"/>
      <c r="F79" s="17"/>
      <c r="G79" s="17"/>
      <c r="H79" s="17"/>
      <c r="I79" s="17"/>
      <c r="J79" s="17"/>
      <c r="K79" s="17"/>
      <c r="L79" s="17"/>
      <c r="M79" s="17"/>
    </row>
    <row r="80" spans="1:13" ht="20.100000000000001" customHeight="1" x14ac:dyDescent="0.25">
      <c r="A80"/>
      <c r="D80" s="17"/>
      <c r="E80" s="17"/>
      <c r="F80" s="17"/>
      <c r="G80" s="17"/>
      <c r="H80" s="17"/>
      <c r="I80" s="17"/>
      <c r="J80" s="17"/>
      <c r="K80" s="17"/>
      <c r="L80" s="17"/>
      <c r="M80" s="17"/>
    </row>
    <row r="81" spans="1:12" ht="20.100000000000001" customHeight="1" x14ac:dyDescent="0.25">
      <c r="A81"/>
      <c r="D81" s="9" t="str" cm="1">
        <f t="array" ref="D81">Fuel_SourceData.Fuel_Scope1EmissionFactorsStationaryGaseous_Title()</f>
        <v>Fuel scope 1 emission factors - Stationary gaseous fuels</v>
      </c>
      <c r="E81" s="17"/>
      <c r="F81" s="17"/>
      <c r="G81" s="17"/>
      <c r="H81" s="17"/>
      <c r="I81" s="17"/>
      <c r="J81" s="17"/>
      <c r="K81" s="17"/>
      <c r="L81" s="17"/>
    </row>
    <row r="82" spans="1:12" ht="20.100000000000001" customHeight="1" x14ac:dyDescent="0.25">
      <c r="A82"/>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1:12" ht="20.100000000000001" customHeight="1" x14ac:dyDescent="0.25">
      <c r="A83"/>
      <c r="D83" s="11" t="str" cm="1">
        <f t="array" ref="D83">Fuel_SourceData.Fuel_Scope1EmissionFactorsStationaryGaseous_Source()</f>
        <v>Australian National Greenhouse Accounts Factors 2025 - Table 5</v>
      </c>
      <c r="E83" s="17"/>
      <c r="F83" s="17"/>
      <c r="G83" s="17"/>
      <c r="H83" s="17"/>
      <c r="I83" s="17"/>
      <c r="J83" s="17"/>
      <c r="K83" s="17"/>
      <c r="L83" s="17"/>
    </row>
    <row r="84" spans="1:12" ht="20.100000000000001" customHeight="1" x14ac:dyDescent="0.25">
      <c r="A84"/>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1:12" ht="20.100000000000001" customHeight="1" x14ac:dyDescent="0.25">
      <c r="A85"/>
      <c r="D85" s="17"/>
      <c r="E85" s="17"/>
      <c r="F85" s="17"/>
      <c r="G85" s="17"/>
      <c r="H85" s="17"/>
      <c r="I85" s="17"/>
      <c r="J85" s="17"/>
      <c r="K85" s="17"/>
      <c r="L85" s="17"/>
    </row>
    <row r="86" spans="1:12" ht="20.100000000000001" customHeight="1" x14ac:dyDescent="0.25">
      <c r="A86"/>
      <c r="D86" s="25" t="s">
        <v>69</v>
      </c>
      <c r="E86" s="20" t="s">
        <v>70</v>
      </c>
      <c r="F86" s="25" t="s">
        <v>71</v>
      </c>
      <c r="G86" s="20" t="s">
        <v>72</v>
      </c>
      <c r="H86" s="20" t="s">
        <v>73</v>
      </c>
      <c r="I86" s="20" t="s">
        <v>74</v>
      </c>
      <c r="J86" s="20" t="s">
        <v>75</v>
      </c>
      <c r="K86" s="17"/>
      <c r="L86" s="17"/>
    </row>
    <row r="87" spans="1:12" ht="20.100000000000001" customHeight="1" x14ac:dyDescent="0.25">
      <c r="A87"/>
      <c r="D87" s="26" t="str" cm="1">
        <f t="array" ref="D87">Common_InputFunctions.Utility_DisplayArrayInTable(Fuel_SourceData.Fuel_Scope1EmissionFactorsStationaryGaseous_Data(), Table_Fuel_EFs_StationaryGaseous[[#Headers],[Fuel combusted]],0)</f>
        <v>Natural gas distributed in a pipeline</v>
      </c>
      <c r="E87" s="26" cm="1">
        <f t="array" ref="E87">Common_InputFunctions.Utility_DisplayArrayInTable(Fuel_SourceData.Fuel_Scope1EmissionFactorsStationaryGaseous_Data(), Table_Fuel_EFs_StationaryGaseous[[#Headers],[Fuel combusted]],0)</f>
        <v>3.9300000000000002E-2</v>
      </c>
      <c r="F87" s="26" t="str" cm="1">
        <f t="array" ref="F87">Common_InputFunctions.Utility_DisplayArrayInTable(Fuel_SourceData.Fuel_Scope1EmissionFactorsStationaryGaseous_Data(), Table_Fuel_EFs_StationaryGaseous[[#Headers],[Fuel combusted]],0)</f>
        <v>m3</v>
      </c>
      <c r="G87" s="26" cm="1">
        <f t="array" ref="G87">Common_InputFunctions.Utility_DisplayArrayInTable(Fuel_SourceData.Fuel_Scope1EmissionFactorsStationaryGaseous_Data(), Table_Fuel_EFs_StationaryGaseous[[#Headers],[Fuel combusted]],0)</f>
        <v>51.4</v>
      </c>
      <c r="H87" s="26" cm="1">
        <f t="array" ref="H87">Common_InputFunctions.Utility_DisplayArrayInTable(Fuel_SourceData.Fuel_Scope1EmissionFactorsStationaryGaseous_Data(), Table_Fuel_EFs_StationaryGaseous[[#Headers],[Fuel combusted]],0)</f>
        <v>0.1</v>
      </c>
      <c r="I87" s="26" cm="1">
        <f t="array" ref="I87">Common_InputFunctions.Utility_DisplayArrayInTable(Fuel_SourceData.Fuel_Scope1EmissionFactorsStationaryGaseous_Data(), Table_Fuel_EFs_StationaryGaseous[[#Headers],[Fuel combusted]],0)</f>
        <v>0.03</v>
      </c>
      <c r="J87" s="26" cm="1">
        <f t="array" ref="J87">Common_InputFunctions.Utility_DisplayArrayInTable(Fuel_SourceData.Fuel_Scope1EmissionFactorsStationaryGaseous_Data(), Table_Fuel_EFs_StationaryGaseous[[#Headers],[Fuel combusted]],0)</f>
        <v>51.53</v>
      </c>
      <c r="K87" s="17"/>
      <c r="L87" s="17"/>
    </row>
    <row r="88" spans="1:12" ht="20.100000000000001" customHeight="1" x14ac:dyDescent="0.25">
      <c r="A88"/>
      <c r="D88" s="26" t="str" cm="1">
        <f t="array" ref="D88">Common_InputFunctions.Utility_DisplayArrayInTable(Fuel_SourceData.Fuel_Scope1EmissionFactorsStationaryGaseous_Data(), Table_Fuel_EFs_StationaryGaseous[[#Headers],[Fuel combusted]],0)</f>
        <v>Coal seam methane that is captured for combustion</v>
      </c>
      <c r="E88" s="26" cm="1">
        <f t="array" ref="E88">Common_InputFunctions.Utility_DisplayArrayInTable(Fuel_SourceData.Fuel_Scope1EmissionFactorsStationaryGaseous_Data(), Table_Fuel_EFs_StationaryGaseous[[#Headers],[Fuel combusted]],0)</f>
        <v>3.7699999999999997E-2</v>
      </c>
      <c r="F88" s="26" t="str" cm="1">
        <f t="array" ref="F88">Common_InputFunctions.Utility_DisplayArrayInTable(Fuel_SourceData.Fuel_Scope1EmissionFactorsStationaryGaseous_Data(), Table_Fuel_EFs_StationaryGaseous[[#Headers],[Fuel combusted]],0)</f>
        <v>m3</v>
      </c>
      <c r="G88" s="26" cm="1">
        <f t="array" ref="G88">Common_InputFunctions.Utility_DisplayArrayInTable(Fuel_SourceData.Fuel_Scope1EmissionFactorsStationaryGaseous_Data(), Table_Fuel_EFs_StationaryGaseous[[#Headers],[Fuel combusted]],0)</f>
        <v>51.4</v>
      </c>
      <c r="H88" s="26" cm="1">
        <f t="array" ref="H88">Common_InputFunctions.Utility_DisplayArrayInTable(Fuel_SourceData.Fuel_Scope1EmissionFactorsStationaryGaseous_Data(), Table_Fuel_EFs_StationaryGaseous[[#Headers],[Fuel combusted]],0)</f>
        <v>0.2</v>
      </c>
      <c r="I88" s="26" cm="1">
        <f t="array" ref="I88">Common_InputFunctions.Utility_DisplayArrayInTable(Fuel_SourceData.Fuel_Scope1EmissionFactorsStationaryGaseous_Data(), Table_Fuel_EFs_StationaryGaseous[[#Headers],[Fuel combusted]],0)</f>
        <v>0.03</v>
      </c>
      <c r="J88" s="26" cm="1">
        <f t="array" ref="J88">Common_InputFunctions.Utility_DisplayArrayInTable(Fuel_SourceData.Fuel_Scope1EmissionFactorsStationaryGaseous_Data(), Table_Fuel_EFs_StationaryGaseous[[#Headers],[Fuel combusted]],0)</f>
        <v>51.63</v>
      </c>
      <c r="K88" s="17"/>
      <c r="L88" s="17"/>
    </row>
    <row r="89" spans="1:12" ht="20.100000000000001" customHeight="1" x14ac:dyDescent="0.25">
      <c r="A89"/>
      <c r="D89" s="26" t="str" cm="1">
        <f t="array" ref="D89">Common_InputFunctions.Utility_DisplayArrayInTable(Fuel_SourceData.Fuel_Scope1EmissionFactorsStationaryGaseous_Data(), Table_Fuel_EFs_StationaryGaseous[[#Headers],[Fuel combusted]],0)</f>
        <v>Coal mine waste gas that is captured for combustion</v>
      </c>
      <c r="E89" s="26" cm="1">
        <f t="array" ref="E89">Common_InputFunctions.Utility_DisplayArrayInTable(Fuel_SourceData.Fuel_Scope1EmissionFactorsStationaryGaseous_Data(), Table_Fuel_EFs_StationaryGaseous[[#Headers],[Fuel combusted]],0)</f>
        <v>3.7699999999999997E-2</v>
      </c>
      <c r="F89" s="26" t="str" cm="1">
        <f t="array" ref="F89">Common_InputFunctions.Utility_DisplayArrayInTable(Fuel_SourceData.Fuel_Scope1EmissionFactorsStationaryGaseous_Data(), Table_Fuel_EFs_StationaryGaseous[[#Headers],[Fuel combusted]],0)</f>
        <v>m3</v>
      </c>
      <c r="G89" s="26" cm="1">
        <f t="array" ref="G89">Common_InputFunctions.Utility_DisplayArrayInTable(Fuel_SourceData.Fuel_Scope1EmissionFactorsStationaryGaseous_Data(), Table_Fuel_EFs_StationaryGaseous[[#Headers],[Fuel combusted]],0)</f>
        <v>51.9</v>
      </c>
      <c r="H89" s="26" cm="1">
        <f t="array" ref="H89">Common_InputFunctions.Utility_DisplayArrayInTable(Fuel_SourceData.Fuel_Scope1EmissionFactorsStationaryGaseous_Data(), Table_Fuel_EFs_StationaryGaseous[[#Headers],[Fuel combusted]],0)</f>
        <v>4.5999999999999996</v>
      </c>
      <c r="I89" s="26" cm="1">
        <f t="array" ref="I89">Common_InputFunctions.Utility_DisplayArrayInTable(Fuel_SourceData.Fuel_Scope1EmissionFactorsStationaryGaseous_Data(), Table_Fuel_EFs_StationaryGaseous[[#Headers],[Fuel combusted]],0)</f>
        <v>0.3</v>
      </c>
      <c r="J89" s="26" cm="1">
        <f t="array" ref="J89">Common_InputFunctions.Utility_DisplayArrayInTable(Fuel_SourceData.Fuel_Scope1EmissionFactorsStationaryGaseous_Data(), Table_Fuel_EFs_StationaryGaseous[[#Headers],[Fuel combusted]],0)</f>
        <v>56.8</v>
      </c>
      <c r="K89" s="17"/>
      <c r="L89" s="17"/>
    </row>
    <row r="90" spans="1:12" ht="20.100000000000001" customHeight="1" x14ac:dyDescent="0.25">
      <c r="A90"/>
      <c r="D90" s="26" t="str" cm="1">
        <f t="array" ref="D90">Common_InputFunctions.Utility_DisplayArrayInTable(Fuel_SourceData.Fuel_Scope1EmissionFactorsStationaryGaseous_Data(), Table_Fuel_EFs_StationaryGaseous[[#Headers],[Fuel combusted]],0)</f>
        <v>Compressed natural gas(reverting to standard conditions)</v>
      </c>
      <c r="E90" s="26" cm="1">
        <f t="array" ref="E90">Common_InputFunctions.Utility_DisplayArrayInTable(Fuel_SourceData.Fuel_Scope1EmissionFactorsStationaryGaseous_Data(), Table_Fuel_EFs_StationaryGaseous[[#Headers],[Fuel combusted]],0)</f>
        <v>3.9300000000000002E-2</v>
      </c>
      <c r="F90" s="26" t="str" cm="1">
        <f t="array" ref="F90">Common_InputFunctions.Utility_DisplayArrayInTable(Fuel_SourceData.Fuel_Scope1EmissionFactorsStationaryGaseous_Data(), Table_Fuel_EFs_StationaryGaseous[[#Headers],[Fuel combusted]],0)</f>
        <v>m3</v>
      </c>
      <c r="G90" s="26" cm="1">
        <f t="array" ref="G90">Common_InputFunctions.Utility_DisplayArrayInTable(Fuel_SourceData.Fuel_Scope1EmissionFactorsStationaryGaseous_Data(), Table_Fuel_EFs_StationaryGaseous[[#Headers],[Fuel combusted]],0)</f>
        <v>51.4</v>
      </c>
      <c r="H90" s="26" cm="1">
        <f t="array" ref="H90">Common_InputFunctions.Utility_DisplayArrayInTable(Fuel_SourceData.Fuel_Scope1EmissionFactorsStationaryGaseous_Data(), Table_Fuel_EFs_StationaryGaseous[[#Headers],[Fuel combusted]],0)</f>
        <v>0.1</v>
      </c>
      <c r="I90" s="26" cm="1">
        <f t="array" ref="I90">Common_InputFunctions.Utility_DisplayArrayInTable(Fuel_SourceData.Fuel_Scope1EmissionFactorsStationaryGaseous_Data(), Table_Fuel_EFs_StationaryGaseous[[#Headers],[Fuel combusted]],0)</f>
        <v>0.03</v>
      </c>
      <c r="J90" s="26" cm="1">
        <f t="array" ref="J90">Common_InputFunctions.Utility_DisplayArrayInTable(Fuel_SourceData.Fuel_Scope1EmissionFactorsStationaryGaseous_Data(), Table_Fuel_EFs_StationaryGaseous[[#Headers],[Fuel combusted]],0)</f>
        <v>51.53</v>
      </c>
      <c r="K90" s="17"/>
      <c r="L90" s="17"/>
    </row>
    <row r="91" spans="1:12" ht="20.100000000000001" customHeight="1" x14ac:dyDescent="0.25">
      <c r="A91"/>
      <c r="D91" s="26" t="str" cm="1">
        <f t="array" ref="D91">Common_InputFunctions.Utility_DisplayArrayInTable(Fuel_SourceData.Fuel_Scope1EmissionFactorsStationaryGaseous_Data(), Table_Fuel_EFs_StationaryGaseous[[#Headers],[Fuel combusted]],0)</f>
        <v>Unprocessed natural gas</v>
      </c>
      <c r="E91" s="26" cm="1">
        <f t="array" ref="E91">Common_InputFunctions.Utility_DisplayArrayInTable(Fuel_SourceData.Fuel_Scope1EmissionFactorsStationaryGaseous_Data(), Table_Fuel_EFs_StationaryGaseous[[#Headers],[Fuel combusted]],0)</f>
        <v>3.9300000000000002E-2</v>
      </c>
      <c r="F91" s="26" t="str" cm="1">
        <f t="array" ref="F91">Common_InputFunctions.Utility_DisplayArrayInTable(Fuel_SourceData.Fuel_Scope1EmissionFactorsStationaryGaseous_Data(), Table_Fuel_EFs_StationaryGaseous[[#Headers],[Fuel combusted]],0)</f>
        <v>m3</v>
      </c>
      <c r="G91" s="26" cm="1">
        <f t="array" ref="G91">Common_InputFunctions.Utility_DisplayArrayInTable(Fuel_SourceData.Fuel_Scope1EmissionFactorsStationaryGaseous_Data(), Table_Fuel_EFs_StationaryGaseous[[#Headers],[Fuel combusted]],0)</f>
        <v>51.4</v>
      </c>
      <c r="H91" s="26" cm="1">
        <f t="array" ref="H91">Common_InputFunctions.Utility_DisplayArrayInTable(Fuel_SourceData.Fuel_Scope1EmissionFactorsStationaryGaseous_Data(), Table_Fuel_EFs_StationaryGaseous[[#Headers],[Fuel combusted]],0)</f>
        <v>0.1</v>
      </c>
      <c r="I91" s="26" cm="1">
        <f t="array" ref="I91">Common_InputFunctions.Utility_DisplayArrayInTable(Fuel_SourceData.Fuel_Scope1EmissionFactorsStationaryGaseous_Data(), Table_Fuel_EFs_StationaryGaseous[[#Headers],[Fuel combusted]],0)</f>
        <v>0.03</v>
      </c>
      <c r="J91" s="26" cm="1">
        <f t="array" ref="J91">Common_InputFunctions.Utility_DisplayArrayInTable(Fuel_SourceData.Fuel_Scope1EmissionFactorsStationaryGaseous_Data(), Table_Fuel_EFs_StationaryGaseous[[#Headers],[Fuel combusted]],0)</f>
        <v>51.53</v>
      </c>
      <c r="K91" s="17"/>
      <c r="L91" s="17"/>
    </row>
    <row r="92" spans="1:12" ht="20.100000000000001" customHeight="1" x14ac:dyDescent="0.25">
      <c r="A92"/>
      <c r="D92" s="26" t="str" cm="1">
        <f t="array" ref="D92">Common_InputFunctions.Utility_DisplayArrayInTable(Fuel_SourceData.Fuel_Scope1EmissionFactorsStationaryGaseous_Data(), Table_Fuel_EFs_StationaryGaseous[[#Headers],[Fuel combusted]],0)</f>
        <v>Ethane</v>
      </c>
      <c r="E92" s="26" cm="1">
        <f t="array" ref="E92">Common_InputFunctions.Utility_DisplayArrayInTable(Fuel_SourceData.Fuel_Scope1EmissionFactorsStationaryGaseous_Data(), Table_Fuel_EFs_StationaryGaseous[[#Headers],[Fuel combusted]],0)</f>
        <v>6.2899999999999998E-2</v>
      </c>
      <c r="F92" s="26" t="str" cm="1">
        <f t="array" ref="F92">Common_InputFunctions.Utility_DisplayArrayInTable(Fuel_SourceData.Fuel_Scope1EmissionFactorsStationaryGaseous_Data(), Table_Fuel_EFs_StationaryGaseous[[#Headers],[Fuel combusted]],0)</f>
        <v>m3</v>
      </c>
      <c r="G92" s="26" cm="1">
        <f t="array" ref="G92">Common_InputFunctions.Utility_DisplayArrayInTable(Fuel_SourceData.Fuel_Scope1EmissionFactorsStationaryGaseous_Data(), Table_Fuel_EFs_StationaryGaseous[[#Headers],[Fuel combusted]],0)</f>
        <v>56.5</v>
      </c>
      <c r="H92" s="26" cm="1">
        <f t="array" ref="H92">Common_InputFunctions.Utility_DisplayArrayInTable(Fuel_SourceData.Fuel_Scope1EmissionFactorsStationaryGaseous_Data(), Table_Fuel_EFs_StationaryGaseous[[#Headers],[Fuel combusted]],0)</f>
        <v>0.03</v>
      </c>
      <c r="I92" s="26" cm="1">
        <f t="array" ref="I92">Common_InputFunctions.Utility_DisplayArrayInTable(Fuel_SourceData.Fuel_Scope1EmissionFactorsStationaryGaseous_Data(), Table_Fuel_EFs_StationaryGaseous[[#Headers],[Fuel combusted]],0)</f>
        <v>0.03</v>
      </c>
      <c r="J92" s="26" cm="1">
        <f t="array" ref="J92">Common_InputFunctions.Utility_DisplayArrayInTable(Fuel_SourceData.Fuel_Scope1EmissionFactorsStationaryGaseous_Data(), Table_Fuel_EFs_StationaryGaseous[[#Headers],[Fuel combusted]],0)</f>
        <v>56.56</v>
      </c>
      <c r="K92" s="17"/>
      <c r="L92" s="17"/>
    </row>
    <row r="93" spans="1:12" ht="20.100000000000001" customHeight="1" x14ac:dyDescent="0.25">
      <c r="A93"/>
      <c r="D93" s="26" t="str" cm="1">
        <f t="array" ref="D93">Common_InputFunctions.Utility_DisplayArrayInTable(Fuel_SourceData.Fuel_Scope1EmissionFactorsStationaryGaseous_Data(), Table_Fuel_EFs_StationaryGaseous[[#Headers],[Fuel combusted]],0)</f>
        <v>Coke oven gas</v>
      </c>
      <c r="E93" s="26" cm="1">
        <f t="array" ref="E93">Common_InputFunctions.Utility_DisplayArrayInTable(Fuel_SourceData.Fuel_Scope1EmissionFactorsStationaryGaseous_Data(), Table_Fuel_EFs_StationaryGaseous[[#Headers],[Fuel combusted]],0)</f>
        <v>1.8100000000000002E-2</v>
      </c>
      <c r="F93" s="26" t="str" cm="1">
        <f t="array" ref="F93">Common_InputFunctions.Utility_DisplayArrayInTable(Fuel_SourceData.Fuel_Scope1EmissionFactorsStationaryGaseous_Data(), Table_Fuel_EFs_StationaryGaseous[[#Headers],[Fuel combusted]],0)</f>
        <v>m3</v>
      </c>
      <c r="G93" s="26" cm="1">
        <f t="array" ref="G93">Common_InputFunctions.Utility_DisplayArrayInTable(Fuel_SourceData.Fuel_Scope1EmissionFactorsStationaryGaseous_Data(), Table_Fuel_EFs_StationaryGaseous[[#Headers],[Fuel combusted]],0)</f>
        <v>37</v>
      </c>
      <c r="H93" s="26" cm="1">
        <f t="array" ref="H93">Common_InputFunctions.Utility_DisplayArrayInTable(Fuel_SourceData.Fuel_Scope1EmissionFactorsStationaryGaseous_Data(), Table_Fuel_EFs_StationaryGaseous[[#Headers],[Fuel combusted]],0)</f>
        <v>0.03</v>
      </c>
      <c r="I93" s="26" cm="1">
        <f t="array" ref="I93">Common_InputFunctions.Utility_DisplayArrayInTable(Fuel_SourceData.Fuel_Scope1EmissionFactorsStationaryGaseous_Data(), Table_Fuel_EFs_StationaryGaseous[[#Headers],[Fuel combusted]],0)</f>
        <v>0.05</v>
      </c>
      <c r="J93" s="26" cm="1">
        <f t="array" ref="J93">Common_InputFunctions.Utility_DisplayArrayInTable(Fuel_SourceData.Fuel_Scope1EmissionFactorsStationaryGaseous_Data(), Table_Fuel_EFs_StationaryGaseous[[#Headers],[Fuel combusted]],0)</f>
        <v>37.08</v>
      </c>
      <c r="K93" s="17"/>
      <c r="L93" s="17"/>
    </row>
    <row r="94" spans="1:12" ht="20.100000000000001" customHeight="1" x14ac:dyDescent="0.25">
      <c r="A94"/>
      <c r="D94" s="26" t="str" cm="1">
        <f t="array" ref="D94">Common_InputFunctions.Utility_DisplayArrayInTable(Fuel_SourceData.Fuel_Scope1EmissionFactorsStationaryGaseous_Data(), Table_Fuel_EFs_StationaryGaseous[[#Headers],[Fuel combusted]],0)</f>
        <v>Blast furnace gas</v>
      </c>
      <c r="E94" s="26" cm="1">
        <f t="array" ref="E94">Common_InputFunctions.Utility_DisplayArrayInTable(Fuel_SourceData.Fuel_Scope1EmissionFactorsStationaryGaseous_Data(), Table_Fuel_EFs_StationaryGaseous[[#Headers],[Fuel combusted]],0)</f>
        <v>4.0000000000000001E-3</v>
      </c>
      <c r="F94" s="26" t="str" cm="1">
        <f t="array" ref="F94">Common_InputFunctions.Utility_DisplayArrayInTable(Fuel_SourceData.Fuel_Scope1EmissionFactorsStationaryGaseous_Data(), Table_Fuel_EFs_StationaryGaseous[[#Headers],[Fuel combusted]],0)</f>
        <v>m3</v>
      </c>
      <c r="G94" s="26" cm="1">
        <f t="array" ref="G94">Common_InputFunctions.Utility_DisplayArrayInTable(Fuel_SourceData.Fuel_Scope1EmissionFactorsStationaryGaseous_Data(), Table_Fuel_EFs_StationaryGaseous[[#Headers],[Fuel combusted]],0)</f>
        <v>234</v>
      </c>
      <c r="H94" s="26" cm="1">
        <f t="array" ref="H94">Common_InputFunctions.Utility_DisplayArrayInTable(Fuel_SourceData.Fuel_Scope1EmissionFactorsStationaryGaseous_Data(), Table_Fuel_EFs_StationaryGaseous[[#Headers],[Fuel combusted]],0)</f>
        <v>0.03</v>
      </c>
      <c r="I94" s="26" cm="1">
        <f t="array" ref="I94">Common_InputFunctions.Utility_DisplayArrayInTable(Fuel_SourceData.Fuel_Scope1EmissionFactorsStationaryGaseous_Data(), Table_Fuel_EFs_StationaryGaseous[[#Headers],[Fuel combusted]],0)</f>
        <v>0.02</v>
      </c>
      <c r="J94" s="26" cm="1">
        <f t="array" ref="J94">Common_InputFunctions.Utility_DisplayArrayInTable(Fuel_SourceData.Fuel_Scope1EmissionFactorsStationaryGaseous_Data(), Table_Fuel_EFs_StationaryGaseous[[#Headers],[Fuel combusted]],0)</f>
        <v>234.05</v>
      </c>
      <c r="K94" s="17"/>
      <c r="L94" s="17"/>
    </row>
    <row r="95" spans="1:12" ht="20.100000000000001" customHeight="1" x14ac:dyDescent="0.25">
      <c r="A95"/>
      <c r="D95" s="26" t="str" cm="1">
        <f t="array" ref="D95">Common_InputFunctions.Utility_DisplayArrayInTable(Fuel_SourceData.Fuel_Scope1EmissionFactorsStationaryGaseous_Data(), Table_Fuel_EFs_StationaryGaseous[[#Headers],[Fuel combusted]],0)</f>
        <v>Town gas</v>
      </c>
      <c r="E95" s="26" cm="1">
        <f t="array" ref="E95">Common_InputFunctions.Utility_DisplayArrayInTable(Fuel_SourceData.Fuel_Scope1EmissionFactorsStationaryGaseous_Data(), Table_Fuel_EFs_StationaryGaseous[[#Headers],[Fuel combusted]],0)</f>
        <v>3.9E-2</v>
      </c>
      <c r="F95" s="26" t="str" cm="1">
        <f t="array" ref="F95">Common_InputFunctions.Utility_DisplayArrayInTable(Fuel_SourceData.Fuel_Scope1EmissionFactorsStationaryGaseous_Data(), Table_Fuel_EFs_StationaryGaseous[[#Headers],[Fuel combusted]],0)</f>
        <v>m3</v>
      </c>
      <c r="G95" s="26" cm="1">
        <f t="array" ref="G95">Common_InputFunctions.Utility_DisplayArrayInTable(Fuel_SourceData.Fuel_Scope1EmissionFactorsStationaryGaseous_Data(), Table_Fuel_EFs_StationaryGaseous[[#Headers],[Fuel combusted]],0)</f>
        <v>60.2</v>
      </c>
      <c r="H95" s="26" cm="1">
        <f t="array" ref="H95">Common_InputFunctions.Utility_DisplayArrayInTable(Fuel_SourceData.Fuel_Scope1EmissionFactorsStationaryGaseous_Data(), Table_Fuel_EFs_StationaryGaseous[[#Headers],[Fuel combusted]],0)</f>
        <v>0.04</v>
      </c>
      <c r="I95" s="26" cm="1">
        <f t="array" ref="I95">Common_InputFunctions.Utility_DisplayArrayInTable(Fuel_SourceData.Fuel_Scope1EmissionFactorsStationaryGaseous_Data(), Table_Fuel_EFs_StationaryGaseous[[#Headers],[Fuel combusted]],0)</f>
        <v>0.03</v>
      </c>
      <c r="J95" s="26" cm="1">
        <f t="array" ref="J95">Common_InputFunctions.Utility_DisplayArrayInTable(Fuel_SourceData.Fuel_Scope1EmissionFactorsStationaryGaseous_Data(), Table_Fuel_EFs_StationaryGaseous[[#Headers],[Fuel combusted]],0)</f>
        <v>60.27</v>
      </c>
      <c r="K95" s="17"/>
      <c r="L95" s="17"/>
    </row>
    <row r="96" spans="1:12" ht="20.100000000000001" customHeight="1" x14ac:dyDescent="0.25">
      <c r="A96"/>
      <c r="D96" s="26" t="str" cm="1">
        <f t="array" ref="D96">Common_InputFunctions.Utility_DisplayArrayInTable(Fuel_SourceData.Fuel_Scope1EmissionFactorsStationaryGaseous_Data(), Table_Fuel_EFs_StationaryGaseous[[#Headers],[Fuel combusted]],0)</f>
        <v>Liquefied natural gas</v>
      </c>
      <c r="E96" s="26" cm="1">
        <f t="array" ref="E96">Common_InputFunctions.Utility_DisplayArrayInTable(Fuel_SourceData.Fuel_Scope1EmissionFactorsStationaryGaseous_Data(), Table_Fuel_EFs_StationaryGaseous[[#Headers],[Fuel combusted]],0)</f>
        <v>25.3</v>
      </c>
      <c r="F96" s="26" t="str" cm="1">
        <f t="array" ref="F96">Common_InputFunctions.Utility_DisplayArrayInTable(Fuel_SourceData.Fuel_Scope1EmissionFactorsStationaryGaseous_Data(), Table_Fuel_EFs_StationaryGaseous[[#Headers],[Fuel combusted]],0)</f>
        <v>kL</v>
      </c>
      <c r="G96" s="26" cm="1">
        <f t="array" ref="G96">Common_InputFunctions.Utility_DisplayArrayInTable(Fuel_SourceData.Fuel_Scope1EmissionFactorsStationaryGaseous_Data(), Table_Fuel_EFs_StationaryGaseous[[#Headers],[Fuel combusted]],0)</f>
        <v>51.4</v>
      </c>
      <c r="H96" s="26" cm="1">
        <f t="array" ref="H96">Common_InputFunctions.Utility_DisplayArrayInTable(Fuel_SourceData.Fuel_Scope1EmissionFactorsStationaryGaseous_Data(), Table_Fuel_EFs_StationaryGaseous[[#Headers],[Fuel combusted]],0)</f>
        <v>0.1</v>
      </c>
      <c r="I96" s="26" cm="1">
        <f t="array" ref="I96">Common_InputFunctions.Utility_DisplayArrayInTable(Fuel_SourceData.Fuel_Scope1EmissionFactorsStationaryGaseous_Data(), Table_Fuel_EFs_StationaryGaseous[[#Headers],[Fuel combusted]],0)</f>
        <v>0.03</v>
      </c>
      <c r="J96" s="26" cm="1">
        <f t="array" ref="J96">Common_InputFunctions.Utility_DisplayArrayInTable(Fuel_SourceData.Fuel_Scope1EmissionFactorsStationaryGaseous_Data(), Table_Fuel_EFs_StationaryGaseous[[#Headers],[Fuel combusted]],0)</f>
        <v>51.53</v>
      </c>
      <c r="K96" s="17"/>
      <c r="L96" s="17"/>
    </row>
    <row r="97" spans="1:13" ht="20.100000000000001" customHeight="1" x14ac:dyDescent="0.25">
      <c r="A97"/>
      <c r="D97" s="26" t="str" cm="1">
        <f t="array" ref="D97">Common_InputFunctions.Utility_DisplayArrayInTable(Fuel_SourceData.Fuel_Scope1EmissionFactorsStationaryGaseous_Data(), Table_Fuel_EFs_StationaryGaseous[[#Headers],[Fuel combusted]],0)</f>
        <v>Gaseous fossil fuels other than those mentioned in the items above</v>
      </c>
      <c r="E97" s="26" cm="1">
        <f t="array" ref="E97">Common_InputFunctions.Utility_DisplayArrayInTable(Fuel_SourceData.Fuel_Scope1EmissionFactorsStationaryGaseous_Data(), Table_Fuel_EFs_StationaryGaseous[[#Headers],[Fuel combusted]],0)</f>
        <v>3.9E-2</v>
      </c>
      <c r="F97" s="26" t="str" cm="1">
        <f t="array" ref="F97">Common_InputFunctions.Utility_DisplayArrayInTable(Fuel_SourceData.Fuel_Scope1EmissionFactorsStationaryGaseous_Data(), Table_Fuel_EFs_StationaryGaseous[[#Headers],[Fuel combusted]],0)</f>
        <v>m3</v>
      </c>
      <c r="G97" s="26" cm="1">
        <f t="array" ref="G97">Common_InputFunctions.Utility_DisplayArrayInTable(Fuel_SourceData.Fuel_Scope1EmissionFactorsStationaryGaseous_Data(), Table_Fuel_EFs_StationaryGaseous[[#Headers],[Fuel combusted]],0)</f>
        <v>51.4</v>
      </c>
      <c r="H97" s="26" cm="1">
        <f t="array" ref="H97">Common_InputFunctions.Utility_DisplayArrayInTable(Fuel_SourceData.Fuel_Scope1EmissionFactorsStationaryGaseous_Data(), Table_Fuel_EFs_StationaryGaseous[[#Headers],[Fuel combusted]],0)</f>
        <v>0.1</v>
      </c>
      <c r="I97" s="26" cm="1">
        <f t="array" ref="I97">Common_InputFunctions.Utility_DisplayArrayInTable(Fuel_SourceData.Fuel_Scope1EmissionFactorsStationaryGaseous_Data(), Table_Fuel_EFs_StationaryGaseous[[#Headers],[Fuel combusted]],0)</f>
        <v>0.03</v>
      </c>
      <c r="J97" s="26" cm="1">
        <f t="array" ref="J97">Common_InputFunctions.Utility_DisplayArrayInTable(Fuel_SourceData.Fuel_Scope1EmissionFactorsStationaryGaseous_Data(), Table_Fuel_EFs_StationaryGaseous[[#Headers],[Fuel combusted]],0)</f>
        <v>51.53</v>
      </c>
      <c r="K97" s="17"/>
      <c r="L97" s="17"/>
    </row>
    <row r="98" spans="1:13" ht="20.100000000000001" customHeight="1" x14ac:dyDescent="0.25">
      <c r="A98"/>
      <c r="D98" s="26" t="str" cm="1">
        <f t="array" ref="D98">Common_InputFunctions.Utility_DisplayArrayInTable(Fuel_SourceData.Fuel_Scope1EmissionFactorsStationaryGaseous_Data(), Table_Fuel_EFs_StationaryGaseous[[#Headers],[Fuel combusted]],0)</f>
        <v>Landfill biogas that is captured for combustion (methane only)</v>
      </c>
      <c r="E98" s="26" cm="1">
        <f t="array" ref="E98">Common_InputFunctions.Utility_DisplayArrayInTable(Fuel_SourceData.Fuel_Scope1EmissionFactorsStationaryGaseous_Data(), Table_Fuel_EFs_StationaryGaseous[[#Headers],[Fuel combusted]],0)</f>
        <v>3.7699999999999997E-2</v>
      </c>
      <c r="F98" s="26" t="str" cm="1">
        <f t="array" ref="F98">Common_InputFunctions.Utility_DisplayArrayInTable(Fuel_SourceData.Fuel_Scope1EmissionFactorsStationaryGaseous_Data(), Table_Fuel_EFs_StationaryGaseous[[#Headers],[Fuel combusted]],0)</f>
        <v>m3</v>
      </c>
      <c r="G98" s="26" cm="1">
        <f t="array" ref="G98">Common_InputFunctions.Utility_DisplayArrayInTable(Fuel_SourceData.Fuel_Scope1EmissionFactorsStationaryGaseous_Data(), Table_Fuel_EFs_StationaryGaseous[[#Headers],[Fuel combusted]],0)</f>
        <v>0</v>
      </c>
      <c r="H98" s="26" cm="1">
        <f t="array" ref="H98">Common_InputFunctions.Utility_DisplayArrayInTable(Fuel_SourceData.Fuel_Scope1EmissionFactorsStationaryGaseous_Data(), Table_Fuel_EFs_StationaryGaseous[[#Headers],[Fuel combusted]],0)</f>
        <v>6.4</v>
      </c>
      <c r="I98" s="26" cm="1">
        <f t="array" ref="I98">Common_InputFunctions.Utility_DisplayArrayInTable(Fuel_SourceData.Fuel_Scope1EmissionFactorsStationaryGaseous_Data(), Table_Fuel_EFs_StationaryGaseous[[#Headers],[Fuel combusted]],0)</f>
        <v>0.03</v>
      </c>
      <c r="J98" s="26" cm="1">
        <f t="array" ref="J98">Common_InputFunctions.Utility_DisplayArrayInTable(Fuel_SourceData.Fuel_Scope1EmissionFactorsStationaryGaseous_Data(), Table_Fuel_EFs_StationaryGaseous[[#Headers],[Fuel combusted]],0)</f>
        <v>6.43</v>
      </c>
      <c r="K98" s="17"/>
      <c r="L98" s="17"/>
    </row>
    <row r="99" spans="1:13" ht="20.100000000000001" customHeight="1" x14ac:dyDescent="0.25">
      <c r="A99"/>
      <c r="D99" s="26" t="str" cm="1">
        <f t="array" ref="D99">Common_InputFunctions.Utility_DisplayArrayInTable(Fuel_SourceData.Fuel_Scope1EmissionFactorsStationaryGaseous_Data(), Table_Fuel_EFs_StationaryGaseous[[#Headers],[Fuel combusted]],0)</f>
        <v>Sludge biogas that is captured for combustion (methane only)</v>
      </c>
      <c r="E99" s="26" cm="1">
        <f t="array" ref="E99">Common_InputFunctions.Utility_DisplayArrayInTable(Fuel_SourceData.Fuel_Scope1EmissionFactorsStationaryGaseous_Data(), Table_Fuel_EFs_StationaryGaseous[[#Headers],[Fuel combusted]],0)</f>
        <v>3.7699999999999997E-2</v>
      </c>
      <c r="F99" s="26" t="str" cm="1">
        <f t="array" ref="F99">Common_InputFunctions.Utility_DisplayArrayInTable(Fuel_SourceData.Fuel_Scope1EmissionFactorsStationaryGaseous_Data(), Table_Fuel_EFs_StationaryGaseous[[#Headers],[Fuel combusted]],0)</f>
        <v>m3</v>
      </c>
      <c r="G99" s="26" cm="1">
        <f t="array" ref="G99">Common_InputFunctions.Utility_DisplayArrayInTable(Fuel_SourceData.Fuel_Scope1EmissionFactorsStationaryGaseous_Data(), Table_Fuel_EFs_StationaryGaseous[[#Headers],[Fuel combusted]],0)</f>
        <v>0</v>
      </c>
      <c r="H99" s="26" cm="1">
        <f t="array" ref="H99">Common_InputFunctions.Utility_DisplayArrayInTable(Fuel_SourceData.Fuel_Scope1EmissionFactorsStationaryGaseous_Data(), Table_Fuel_EFs_StationaryGaseous[[#Headers],[Fuel combusted]],0)</f>
        <v>6.4</v>
      </c>
      <c r="I99" s="26" cm="1">
        <f t="array" ref="I99">Common_InputFunctions.Utility_DisplayArrayInTable(Fuel_SourceData.Fuel_Scope1EmissionFactorsStationaryGaseous_Data(), Table_Fuel_EFs_StationaryGaseous[[#Headers],[Fuel combusted]],0)</f>
        <v>0.03</v>
      </c>
      <c r="J99" s="26" cm="1">
        <f t="array" ref="J99">Common_InputFunctions.Utility_DisplayArrayInTable(Fuel_SourceData.Fuel_Scope1EmissionFactorsStationaryGaseous_Data(), Table_Fuel_EFs_StationaryGaseous[[#Headers],[Fuel combusted]],0)</f>
        <v>6.43</v>
      </c>
      <c r="K99" s="17"/>
      <c r="L99" s="17"/>
    </row>
    <row r="100" spans="1:13" ht="20.100000000000001" customHeight="1" x14ac:dyDescent="0.25">
      <c r="A100"/>
      <c r="D100" s="2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6" cm="1">
        <f t="array" ref="E100">Common_InputFunctions.Utility_DisplayArrayInTable(Fuel_SourceData.Fuel_Scope1EmissionFactorsStationaryGaseous_Data(), Table_Fuel_EFs_StationaryGaseous[[#Headers],[Fuel combusted]],0)</f>
        <v>3.6999999999999998E-2</v>
      </c>
      <c r="F100" s="26" t="str" cm="1">
        <f t="array" ref="F100">Common_InputFunctions.Utility_DisplayArrayInTable(Fuel_SourceData.Fuel_Scope1EmissionFactorsStationaryGaseous_Data(), Table_Fuel_EFs_StationaryGaseous[[#Headers],[Fuel combusted]],0)</f>
        <v>m3</v>
      </c>
      <c r="G100" s="26" cm="1">
        <f t="array" ref="G100">Common_InputFunctions.Utility_DisplayArrayInTable(Fuel_SourceData.Fuel_Scope1EmissionFactorsStationaryGaseous_Data(), Table_Fuel_EFs_StationaryGaseous[[#Headers],[Fuel combusted]],0)</f>
        <v>0</v>
      </c>
      <c r="H100" s="26" cm="1">
        <f t="array" ref="H100">Common_InputFunctions.Utility_DisplayArrayInTable(Fuel_SourceData.Fuel_Scope1EmissionFactorsStationaryGaseous_Data(), Table_Fuel_EFs_StationaryGaseous[[#Headers],[Fuel combusted]],0)</f>
        <v>6.4</v>
      </c>
      <c r="I100" s="26" cm="1">
        <f t="array" ref="I100">Common_InputFunctions.Utility_DisplayArrayInTable(Fuel_SourceData.Fuel_Scope1EmissionFactorsStationaryGaseous_Data(), Table_Fuel_EFs_StationaryGaseous[[#Headers],[Fuel combusted]],0)</f>
        <v>0.03</v>
      </c>
      <c r="J100" s="26" cm="1">
        <f t="array" ref="J100">Common_InputFunctions.Utility_DisplayArrayInTable(Fuel_SourceData.Fuel_Scope1EmissionFactorsStationaryGaseous_Data(), Table_Fuel_EFs_StationaryGaseous[[#Headers],[Fuel combusted]],0)</f>
        <v>6.43</v>
      </c>
      <c r="K100" s="17"/>
      <c r="L100" s="17"/>
    </row>
    <row r="101" spans="1:13" ht="20.100000000000001" customHeight="1" x14ac:dyDescent="0.25">
      <c r="A101"/>
      <c r="D101" s="26" t="str" cm="1">
        <f t="array" ref="D101">Common_InputFunctions.Utility_DisplayArrayInTable(Fuel_SourceData.Fuel_Scope1EmissionFactorsStationaryGaseous_Data(), Table_Fuel_EFs_StationaryGaseous[[#Headers],[Fuel combusted]],0)</f>
        <v>Biomethane</v>
      </c>
      <c r="E101" s="26" cm="1">
        <f t="array" ref="E101">Common_InputFunctions.Utility_DisplayArrayInTable(Fuel_SourceData.Fuel_Scope1EmissionFactorsStationaryGaseous_Data(), Table_Fuel_EFs_StationaryGaseous[[#Headers],[Fuel combusted]],0)</f>
        <v>3.9300000000000002E-2</v>
      </c>
      <c r="F101" s="26" t="str" cm="1">
        <f t="array" ref="F101">Common_InputFunctions.Utility_DisplayArrayInTable(Fuel_SourceData.Fuel_Scope1EmissionFactorsStationaryGaseous_Data(), Table_Fuel_EFs_StationaryGaseous[[#Headers],[Fuel combusted]],0)</f>
        <v>m3</v>
      </c>
      <c r="G101" s="26" cm="1">
        <f t="array" ref="G101">Common_InputFunctions.Utility_DisplayArrayInTable(Fuel_SourceData.Fuel_Scope1EmissionFactorsStationaryGaseous_Data(), Table_Fuel_EFs_StationaryGaseous[[#Headers],[Fuel combusted]],0)</f>
        <v>0</v>
      </c>
      <c r="H101" s="26" cm="1">
        <f t="array" ref="H101">Common_InputFunctions.Utility_DisplayArrayInTable(Fuel_SourceData.Fuel_Scope1EmissionFactorsStationaryGaseous_Data(), Table_Fuel_EFs_StationaryGaseous[[#Headers],[Fuel combusted]],0)</f>
        <v>0.1</v>
      </c>
      <c r="I101" s="26" cm="1">
        <f t="array" ref="I101">Common_InputFunctions.Utility_DisplayArrayInTable(Fuel_SourceData.Fuel_Scope1EmissionFactorsStationaryGaseous_Data(), Table_Fuel_EFs_StationaryGaseous[[#Headers],[Fuel combusted]],0)</f>
        <v>0.03</v>
      </c>
      <c r="J101" s="26" cm="1">
        <f t="array" ref="J101">Common_InputFunctions.Utility_DisplayArrayInTable(Fuel_SourceData.Fuel_Scope1EmissionFactorsStationaryGaseous_Data(), Table_Fuel_EFs_StationaryGaseous[[#Headers],[Fuel combusted]],0)</f>
        <v>0.13</v>
      </c>
      <c r="K101" s="17"/>
      <c r="L101" s="17"/>
    </row>
    <row r="102" spans="1:13" ht="20.100000000000001" customHeight="1" x14ac:dyDescent="0.25">
      <c r="A102"/>
      <c r="D102" s="26" t="str" cm="1">
        <f t="array" ref="D102">Common_InputFunctions.Utility_DisplayArrayInTable(Fuel_SourceData.Fuel_Scope1EmissionFactorsStationaryGaseous_Data(), Table_Fuel_EFs_StationaryGaseous[[#Headers],[Fuel combusted]],0)</f>
        <v>Hydrogen</v>
      </c>
      <c r="E102" s="26" cm="1">
        <f t="array" ref="E102">Common_InputFunctions.Utility_DisplayArrayInTable(Fuel_SourceData.Fuel_Scope1EmissionFactorsStationaryGaseous_Data(), Table_Fuel_EFs_StationaryGaseous[[#Headers],[Fuel combusted]],0)</f>
        <v>1.2200000000000001E-2</v>
      </c>
      <c r="F102" s="26" t="str" cm="1">
        <f t="array" ref="F102">Common_InputFunctions.Utility_DisplayArrayInTable(Fuel_SourceData.Fuel_Scope1EmissionFactorsStationaryGaseous_Data(), Table_Fuel_EFs_StationaryGaseous[[#Headers],[Fuel combusted]],0)</f>
        <v>m3</v>
      </c>
      <c r="G102" s="26" cm="1">
        <f t="array" ref="G102">Common_InputFunctions.Utility_DisplayArrayInTable(Fuel_SourceData.Fuel_Scope1EmissionFactorsStationaryGaseous_Data(), Table_Fuel_EFs_StationaryGaseous[[#Headers],[Fuel combusted]],0)</f>
        <v>0</v>
      </c>
      <c r="H102" s="26" cm="1">
        <f t="array" ref="H102">Common_InputFunctions.Utility_DisplayArrayInTable(Fuel_SourceData.Fuel_Scope1EmissionFactorsStationaryGaseous_Data(), Table_Fuel_EFs_StationaryGaseous[[#Headers],[Fuel combusted]],0)</f>
        <v>0</v>
      </c>
      <c r="I102" s="26" cm="1">
        <f t="array" ref="I102">Common_InputFunctions.Utility_DisplayArrayInTable(Fuel_SourceData.Fuel_Scope1EmissionFactorsStationaryGaseous_Data(), Table_Fuel_EFs_StationaryGaseous[[#Headers],[Fuel combusted]],0)</f>
        <v>0.5</v>
      </c>
      <c r="J102" s="26" cm="1">
        <f t="array" ref="J102">Common_InputFunctions.Utility_DisplayArrayInTable(Fuel_SourceData.Fuel_Scope1EmissionFactorsStationaryGaseous_Data(), Table_Fuel_EFs_StationaryGaseous[[#Headers],[Fuel combusted]],0)</f>
        <v>0.5</v>
      </c>
      <c r="K102" s="17"/>
      <c r="L102" s="17"/>
    </row>
    <row r="103" spans="1:13" ht="20.100000000000001" customHeight="1" x14ac:dyDescent="0.25">
      <c r="A103"/>
      <c r="D103" s="26" t="str" cm="1">
        <f t="array" ref="D103">Common_InputFunctions.Utility_DisplayArrayInTable(Fuel_SourceData.Fuel_Scope1EmissionFactorsStationaryGaseous_Data(), Table_Fuel_EFs_StationaryGaseous[[#Headers],[Fuel combusted]],0)</f>
        <v>Natural gas distributed in a pipeline - Gigajoules</v>
      </c>
      <c r="E103" s="26" cm="1">
        <f t="array" ref="E103">Common_InputFunctions.Utility_DisplayArrayInTable(Fuel_SourceData.Fuel_Scope1EmissionFactorsStationaryGaseous_Data(), Table_Fuel_EFs_StationaryGaseous[[#Headers],[Fuel combusted]],0)</f>
        <v>1</v>
      </c>
      <c r="F103" s="26" t="str" cm="1">
        <f t="array" ref="F103">Common_InputFunctions.Utility_DisplayArrayInTable(Fuel_SourceData.Fuel_Scope1EmissionFactorsStationaryGaseous_Data(), Table_Fuel_EFs_StationaryGaseous[[#Headers],[Fuel combusted]],0)</f>
        <v>GJ</v>
      </c>
      <c r="G103" s="26" cm="1">
        <f t="array" ref="G103">Common_InputFunctions.Utility_DisplayArrayInTable(Fuel_SourceData.Fuel_Scope1EmissionFactorsStationaryGaseous_Data(), Table_Fuel_EFs_StationaryGaseous[[#Headers],[Fuel combusted]],0)</f>
        <v>51.4</v>
      </c>
      <c r="H103" s="26" cm="1">
        <f t="array" ref="H103">Common_InputFunctions.Utility_DisplayArrayInTable(Fuel_SourceData.Fuel_Scope1EmissionFactorsStationaryGaseous_Data(), Table_Fuel_EFs_StationaryGaseous[[#Headers],[Fuel combusted]],0)</f>
        <v>0.1</v>
      </c>
      <c r="I103" s="26" cm="1">
        <f t="array" ref="I103">Common_InputFunctions.Utility_DisplayArrayInTable(Fuel_SourceData.Fuel_Scope1EmissionFactorsStationaryGaseous_Data(), Table_Fuel_EFs_StationaryGaseous[[#Headers],[Fuel combusted]],0)</f>
        <v>0.03</v>
      </c>
      <c r="J103" s="26" cm="1">
        <f t="array" ref="J103">Common_InputFunctions.Utility_DisplayArrayInTable(Fuel_SourceData.Fuel_Scope1EmissionFactorsStationaryGaseous_Data(), Table_Fuel_EFs_StationaryGaseous[[#Headers],[Fuel combusted]],0)</f>
        <v>51.53</v>
      </c>
      <c r="K103" s="17"/>
      <c r="L103" s="17"/>
    </row>
    <row r="104" spans="1:13" ht="20.100000000000001" customHeight="1" x14ac:dyDescent="0.25">
      <c r="A104"/>
      <c r="D104" s="26" t="str" cm="1">
        <f t="array" ref="D104">Common_InputFunctions.Utility_DisplayArrayInTable(Fuel_SourceData.Fuel_Scope1EmissionFactorsStationaryGaseous_Data(), Table_Fuel_EFs_StationaryGaseous[[#Headers],[Fuel combusted]],0)</f>
        <v>Town gas - Gigajoules</v>
      </c>
      <c r="E104" s="26" cm="1">
        <f t="array" ref="E104">Common_InputFunctions.Utility_DisplayArrayInTable(Fuel_SourceData.Fuel_Scope1EmissionFactorsStationaryGaseous_Data(), Table_Fuel_EFs_StationaryGaseous[[#Headers],[Fuel combusted]],0)</f>
        <v>1</v>
      </c>
      <c r="F104" s="26" t="str" cm="1">
        <f t="array" ref="F104">Common_InputFunctions.Utility_DisplayArrayInTable(Fuel_SourceData.Fuel_Scope1EmissionFactorsStationaryGaseous_Data(), Table_Fuel_EFs_StationaryGaseous[[#Headers],[Fuel combusted]],0)</f>
        <v>GJ</v>
      </c>
      <c r="G104" s="26" cm="1">
        <f t="array" ref="G104">Common_InputFunctions.Utility_DisplayArrayInTable(Fuel_SourceData.Fuel_Scope1EmissionFactorsStationaryGaseous_Data(), Table_Fuel_EFs_StationaryGaseous[[#Headers],[Fuel combusted]],0)</f>
        <v>60.2</v>
      </c>
      <c r="H104" s="26" cm="1">
        <f t="array" ref="H104">Common_InputFunctions.Utility_DisplayArrayInTable(Fuel_SourceData.Fuel_Scope1EmissionFactorsStationaryGaseous_Data(), Table_Fuel_EFs_StationaryGaseous[[#Headers],[Fuel combusted]],0)</f>
        <v>0.04</v>
      </c>
      <c r="I104" s="26" cm="1">
        <f t="array" ref="I104">Common_InputFunctions.Utility_DisplayArrayInTable(Fuel_SourceData.Fuel_Scope1EmissionFactorsStationaryGaseous_Data(), Table_Fuel_EFs_StationaryGaseous[[#Headers],[Fuel combusted]],0)</f>
        <v>0.03</v>
      </c>
      <c r="J104" s="26" cm="1">
        <f t="array" ref="J104">Common_InputFunctions.Utility_DisplayArrayInTable(Fuel_SourceData.Fuel_Scope1EmissionFactorsStationaryGaseous_Data(), Table_Fuel_EFs_StationaryGaseous[[#Headers],[Fuel combusted]],0)</f>
        <v>60.27</v>
      </c>
      <c r="K104" s="17"/>
      <c r="L104" s="17"/>
    </row>
    <row r="105" spans="1:13" ht="20.100000000000001" customHeight="1" x14ac:dyDescent="0.25">
      <c r="A105"/>
      <c r="D105" s="17"/>
      <c r="E105" s="17"/>
      <c r="F105" s="17"/>
      <c r="G105" s="17"/>
      <c r="H105" s="17"/>
      <c r="I105" s="17"/>
      <c r="J105" s="17"/>
      <c r="K105" s="17"/>
      <c r="L105" s="17"/>
      <c r="M105" s="17"/>
    </row>
    <row r="106" spans="1:13" ht="20.100000000000001" customHeight="1" x14ac:dyDescent="0.25">
      <c r="A106"/>
      <c r="D106" s="17"/>
      <c r="E106" s="17"/>
      <c r="F106" s="17"/>
      <c r="G106" s="17"/>
      <c r="H106" s="17"/>
      <c r="I106" s="17"/>
      <c r="J106" s="17"/>
      <c r="K106" s="17"/>
      <c r="L106" s="17"/>
      <c r="M106" s="17"/>
    </row>
    <row r="107" spans="1:13" ht="20.100000000000001" customHeight="1" x14ac:dyDescent="0.25">
      <c r="A107"/>
      <c r="D107" s="9" t="str" cm="1">
        <f t="array" ref="D107">Fuel_SourceData.Fuel_Scope3EmissionFactorsStationaryGaseous_Title()</f>
        <v>Fuel scope 3 emission factors - Stationary gaseous fuels</v>
      </c>
      <c r="E107" s="17"/>
      <c r="F107" s="17"/>
      <c r="G107" s="17"/>
      <c r="H107" s="17"/>
      <c r="I107" s="17"/>
      <c r="J107" s="17"/>
      <c r="K107" s="17"/>
      <c r="L107" s="17"/>
    </row>
    <row r="108" spans="1:13" ht="20.100000000000001" customHeight="1" x14ac:dyDescent="0.25">
      <c r="A108"/>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1:13" ht="20.100000000000001" customHeight="1" x14ac:dyDescent="0.25">
      <c r="A109"/>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1:13" ht="20.100000000000001" customHeight="1" x14ac:dyDescent="0.25">
      <c r="A110"/>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1:13" ht="20.100000000000001" customHeight="1" x14ac:dyDescent="0.25">
      <c r="A111"/>
      <c r="D111" s="17"/>
      <c r="E111" s="17"/>
      <c r="F111" s="17"/>
      <c r="G111" s="17"/>
      <c r="H111" s="17"/>
      <c r="I111" s="17"/>
      <c r="J111" s="17"/>
      <c r="K111" s="17"/>
      <c r="L111" s="17"/>
    </row>
    <row r="112" spans="1:13" ht="20.100000000000001" customHeight="1" x14ac:dyDescent="0.25">
      <c r="A112"/>
      <c r="D112" s="25" t="s">
        <v>86</v>
      </c>
      <c r="E112" s="20" t="s">
        <v>698</v>
      </c>
      <c r="F112" s="20" t="s">
        <v>699</v>
      </c>
      <c r="G112" s="17"/>
      <c r="H112" s="27" t="s">
        <v>87</v>
      </c>
      <c r="I112" s="17"/>
      <c r="J112" s="17"/>
      <c r="K112" s="17"/>
      <c r="L112" s="17"/>
    </row>
    <row r="113" spans="1:13" ht="20.100000000000001" customHeight="1" x14ac:dyDescent="0.25">
      <c r="A113"/>
      <c r="D113" s="28" t="str" cm="1">
        <f t="array" ref="D113">Common_InputFunctions.Utility_DisplayArrayInTable(Fuel_SourceData.Fuel_Scope3EmissionFactorsStationaryGaseous_Data(), Table_Fuel_EFs_StationaryGaseous34[[#Headers],[State or territory]],0)</f>
        <v>New South Wales</v>
      </c>
      <c r="E113" s="28" cm="1">
        <f t="array" ref="E113">Common_InputFunctions.Utility_DisplayArrayInTable(Fuel_SourceData.Fuel_Scope3EmissionFactorsStationaryGaseous_Data(), Table_Fuel_EFs_StationaryGaseous34[[#Headers],[State or territory]],0)</f>
        <v>13.1</v>
      </c>
      <c r="F113" s="28" cm="1">
        <f t="array" ref="F113">Common_InputFunctions.Utility_DisplayArrayInTable(Fuel_SourceData.Fuel_Scope3EmissionFactorsStationaryGaseous_Data(), Table_Fuel_EFs_StationaryGaseous34[[#Headers],[State or territory]],0)</f>
        <v>14</v>
      </c>
      <c r="G113" s="29"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1:13" ht="20.100000000000001" customHeight="1" x14ac:dyDescent="0.25">
      <c r="A114"/>
      <c r="D114" s="28" t="str" cm="1">
        <f t="array" ref="D114">Common_InputFunctions.Utility_DisplayArrayInTable(Fuel_SourceData.Fuel_Scope3EmissionFactorsStationaryGaseous_Data(), Table_Fuel_EFs_StationaryGaseous34[[#Headers],[State or territory]],0)</f>
        <v>ACT</v>
      </c>
      <c r="E114" s="28" cm="1">
        <f t="array" ref="E114">Common_InputFunctions.Utility_DisplayArrayInTable(Fuel_SourceData.Fuel_Scope3EmissionFactorsStationaryGaseous_Data(), Table_Fuel_EFs_StationaryGaseous34[[#Headers],[State or territory]],0)</f>
        <v>13.1</v>
      </c>
      <c r="F114" s="28" cm="1">
        <f t="array" ref="F114">Common_InputFunctions.Utility_DisplayArrayInTable(Fuel_SourceData.Fuel_Scope3EmissionFactorsStationaryGaseous_Data(), Table_Fuel_EFs_StationaryGaseous34[[#Headers],[State or territory]],0)</f>
        <v>14</v>
      </c>
      <c r="G114" s="29" t="str">
        <v/>
      </c>
      <c r="H114" s="8" t="str">
        <v>Gas reaches end users either from the metro distribution networks or direct from the high - pressure distribution pipelines.</v>
      </c>
      <c r="I114" s="17"/>
      <c r="J114" s="17"/>
      <c r="K114" s="17"/>
      <c r="L114" s="17"/>
    </row>
    <row r="115" spans="1:13" ht="20.100000000000001" customHeight="1" x14ac:dyDescent="0.25">
      <c r="A115"/>
      <c r="D115" s="28" t="str" cm="1">
        <f t="array" ref="D115">Common_InputFunctions.Utility_DisplayArrayInTable(Fuel_SourceData.Fuel_Scope3EmissionFactorsStationaryGaseous_Data(), Table_Fuel_EFs_StationaryGaseous34[[#Headers],[State or territory]],0)</f>
        <v>Victoria</v>
      </c>
      <c r="E115" s="28" cm="1">
        <f t="array" ref="E115">Common_InputFunctions.Utility_DisplayArrayInTable(Fuel_SourceData.Fuel_Scope3EmissionFactorsStationaryGaseous_Data(), Table_Fuel_EFs_StationaryGaseous34[[#Headers],[State or territory]],0)</f>
        <v>4</v>
      </c>
      <c r="F115" s="28" cm="1">
        <f t="array" ref="F115">Common_InputFunctions.Utility_DisplayArrayInTable(Fuel_SourceData.Fuel_Scope3EmissionFactorsStationaryGaseous_Data(), Table_Fuel_EFs_StationaryGaseous34[[#Headers],[State or territory]],0)</f>
        <v>4</v>
      </c>
      <c r="G115" s="29" t="str">
        <v/>
      </c>
      <c r="H115" s="8" t="str">
        <v>Households and commercial users tend to be served by the former, and electricity generators and large industrial plants from the latter.</v>
      </c>
      <c r="I115" s="17"/>
      <c r="J115" s="17"/>
      <c r="K115" s="17"/>
      <c r="L115" s="17"/>
    </row>
    <row r="116" spans="1:13" ht="20.100000000000001" customHeight="1" x14ac:dyDescent="0.25">
      <c r="A116"/>
      <c r="D116" s="28" t="str" cm="1">
        <f t="array" ref="D116">Common_InputFunctions.Utility_DisplayArrayInTable(Fuel_SourceData.Fuel_Scope3EmissionFactorsStationaryGaseous_Data(), Table_Fuel_EFs_StationaryGaseous34[[#Headers],[State or territory]],0)</f>
        <v>Queensland</v>
      </c>
      <c r="E116" s="28" cm="1">
        <f t="array" ref="E116">Common_InputFunctions.Utility_DisplayArrayInTable(Fuel_SourceData.Fuel_Scope3EmissionFactorsStationaryGaseous_Data(), Table_Fuel_EFs_StationaryGaseous34[[#Headers],[State or territory]],0)</f>
        <v>8.8000000000000007</v>
      </c>
      <c r="F116" s="28" cm="1">
        <f t="array" ref="F116">Common_InputFunctions.Utility_DisplayArrayInTable(Fuel_SourceData.Fuel_Scope3EmissionFactorsStationaryGaseous_Data(), Table_Fuel_EFs_StationaryGaseous34[[#Headers],[State or territory]],0)</f>
        <v>7.9</v>
      </c>
      <c r="G116" s="29" t="str">
        <v>-</v>
      </c>
      <c r="H116" s="8" t="str">
        <v>Metro is defined as located on or east of the dividing range in NSW, including Canberra and Queanbeyan, Melbourne, Brisbane, Adelaide or Perth.</v>
      </c>
      <c r="I116" s="17"/>
      <c r="J116" s="17"/>
      <c r="K116" s="17"/>
      <c r="L116" s="17"/>
    </row>
    <row r="117" spans="1:13" ht="20.100000000000001" customHeight="1" x14ac:dyDescent="0.25">
      <c r="A117"/>
      <c r="D117" s="28" t="str" cm="1">
        <f t="array" ref="D117">Common_InputFunctions.Utility_DisplayArrayInTable(Fuel_SourceData.Fuel_Scope3EmissionFactorsStationaryGaseous_Data(), Table_Fuel_EFs_StationaryGaseous34[[#Headers],[State or territory]],0)</f>
        <v>South Australia</v>
      </c>
      <c r="E117" s="28" cm="1">
        <f t="array" ref="E117">Common_InputFunctions.Utility_DisplayArrayInTable(Fuel_SourceData.Fuel_Scope3EmissionFactorsStationaryGaseous_Data(), Table_Fuel_EFs_StationaryGaseous34[[#Headers],[State or territory]],0)</f>
        <v>10.7</v>
      </c>
      <c r="F117" s="28" cm="1">
        <f t="array" ref="F117">Common_InputFunctions.Utility_DisplayArrayInTable(Fuel_SourceData.Fuel_Scope3EmissionFactorsStationaryGaseous_Data(), Table_Fuel_EFs_StationaryGaseous34[[#Headers],[State or territory]],0)</f>
        <v>10.6</v>
      </c>
      <c r="G117" s="29" t="str">
        <v/>
      </c>
      <c r="H117" s="8" t="str">
        <v>Otherwise, the non - metro factor should be used.</v>
      </c>
      <c r="I117" s="17"/>
      <c r="J117" s="17"/>
      <c r="K117" s="17"/>
      <c r="L117" s="17"/>
    </row>
    <row r="118" spans="1:13" ht="20.100000000000001" customHeight="1" x14ac:dyDescent="0.25">
      <c r="A118"/>
      <c r="D118" s="28" t="str" cm="1">
        <f t="array" ref="D118">Common_InputFunctions.Utility_DisplayArrayInTable(Fuel_SourceData.Fuel_Scope3EmissionFactorsStationaryGaseous_Data(), Table_Fuel_EFs_StationaryGaseous34[[#Headers],[State or territory]],0)</f>
        <v>Western Australia</v>
      </c>
      <c r="E118" s="28" cm="1">
        <f t="array" ref="E118">Common_InputFunctions.Utility_DisplayArrayInTable(Fuel_SourceData.Fuel_Scope3EmissionFactorsStationaryGaseous_Data(), Table_Fuel_EFs_StationaryGaseous34[[#Headers],[State or territory]],0)</f>
        <v>4.0999999999999996</v>
      </c>
      <c r="F118" s="28" cm="1">
        <f t="array" ref="F118">Common_InputFunctions.Utility_DisplayArrayInTable(Fuel_SourceData.Fuel_Scope3EmissionFactorsStationaryGaseous_Data(), Table_Fuel_EFs_StationaryGaseous34[[#Headers],[State or territory]],0)</f>
        <v>4</v>
      </c>
      <c r="G118" s="29" t="str">
        <v>-</v>
      </c>
      <c r="H118" s="8" t="str">
        <v>Factors are calculated for all natural gas distributed in a pipeline which may include coal seam methane.</v>
      </c>
      <c r="I118" s="17"/>
      <c r="J118" s="17"/>
      <c r="K118" s="17"/>
      <c r="L118" s="17"/>
    </row>
    <row r="119" spans="1:13" ht="20.100000000000001" customHeight="1" x14ac:dyDescent="0.25">
      <c r="A119"/>
      <c r="D119" s="28" t="str" cm="1">
        <f t="array" ref="D119">Common_InputFunctions.Utility_DisplayArrayInTable(Fuel_SourceData.Fuel_Scope3EmissionFactorsStationaryGaseous_Data(), Table_Fuel_EFs_StationaryGaseous34[[#Headers],[State or territory]],0)</f>
        <v>Tasmania</v>
      </c>
      <c r="E119" s="28" cm="1">
        <f t="array" ref="E119">Common_InputFunctions.Utility_DisplayArrayInTable(Fuel_SourceData.Fuel_Scope3EmissionFactorsStationaryGaseous_Data(), Table_Fuel_EFs_StationaryGaseous34[[#Headers],[State or territory]],0)</f>
        <v>4</v>
      </c>
      <c r="F119" s="28" cm="1">
        <f t="array" ref="F119">Common_InputFunctions.Utility_DisplayArrayInTable(Fuel_SourceData.Fuel_Scope3EmissionFactorsStationaryGaseous_Data(), Table_Fuel_EFs_StationaryGaseous34[[#Headers],[State or territory]],0)</f>
        <v>4</v>
      </c>
      <c r="G119" s="29" t="str">
        <v>-</v>
      </c>
      <c r="H119" s="8" t="str">
        <v>Table 6 is not applicable to ethane. See Table 7 Indirect (Scope 3) emissions from the consumption of ethane.</v>
      </c>
      <c r="I119" s="17"/>
      <c r="J119" s="17"/>
      <c r="K119" s="17"/>
      <c r="L119" s="17"/>
    </row>
    <row r="120" spans="1:13" ht="20.100000000000001" customHeight="1" x14ac:dyDescent="0.25">
      <c r="A120"/>
      <c r="D120" s="28" t="str" cm="1">
        <f t="array" ref="D120">Common_InputFunctions.Utility_DisplayArrayInTable(Fuel_SourceData.Fuel_Scope3EmissionFactorsStationaryGaseous_Data(), Table_Fuel_EFs_StationaryGaseous34[[#Headers],[State or territory]],0)</f>
        <v>Northern Territory</v>
      </c>
      <c r="E120" s="28" cm="1">
        <f t="array" ref="E120">Common_InputFunctions.Utility_DisplayArrayInTable(Fuel_SourceData.Fuel_Scope3EmissionFactorsStationaryGaseous_Data(), Table_Fuel_EFs_StationaryGaseous34[[#Headers],[State or territory]],0)</f>
        <v>4.0999999999999996</v>
      </c>
      <c r="F120" s="28" cm="1">
        <f t="array" ref="F120">Common_InputFunctions.Utility_DisplayArrayInTable(Fuel_SourceData.Fuel_Scope3EmissionFactorsStationaryGaseous_Data(), Table_Fuel_EFs_StationaryGaseous34[[#Headers],[State or territory]],0)</f>
        <v>4</v>
      </c>
      <c r="G120" s="29" t="str">
        <v>-</v>
      </c>
      <c r="H120" s="8" t="str">
        <v>C = Confidential. Scope 3 emission factors for Tasmania and the Northern Territory are not available due to confidentiality constraints that arise</v>
      </c>
      <c r="I120" s="17"/>
      <c r="J120" s="17"/>
      <c r="K120" s="17"/>
      <c r="L120" s="17"/>
    </row>
    <row r="121" spans="1:13" ht="20.100000000000001" customHeight="1" x14ac:dyDescent="0.25">
      <c r="A121"/>
      <c r="D121" s="14"/>
      <c r="E121" s="14"/>
      <c r="F121" s="14"/>
      <c r="G121" s="29" t="str">
        <v/>
      </c>
      <c r="H121" s="8" t="str">
        <v>from the use of a limited number of NGER data inputs. It is suggested that for Tasmania the use of the Victorian emission factors is appropriate,</v>
      </c>
      <c r="I121" s="17"/>
      <c r="J121" s="17"/>
      <c r="K121" s="17"/>
      <c r="L121" s="17"/>
    </row>
    <row r="122" spans="1:13" ht="20.100000000000001" customHeight="1" x14ac:dyDescent="0.25">
      <c r="A122"/>
      <c r="D122" s="17"/>
      <c r="F122" s="30"/>
      <c r="G122" s="29" t="str">
        <v/>
      </c>
      <c r="H122" s="8" t="str">
        <v>while for Northern Territory the use of the Western Australian emission factors is appropriate.</v>
      </c>
      <c r="I122" s="17"/>
      <c r="J122" s="17"/>
      <c r="K122" s="17"/>
      <c r="L122" s="17"/>
    </row>
    <row r="123" spans="1:13" ht="20.100000000000001" customHeight="1" x14ac:dyDescent="0.25">
      <c r="A123"/>
      <c r="D123" s="31"/>
      <c r="F123" s="30"/>
      <c r="G123" s="29" t="str">
        <v>-</v>
      </c>
      <c r="H123" s="8" t="str">
        <v>Scope 3 emission factors do not include fugitive emission leakage from low pressure natural gas distribution pipeline networks while those from high pressure</v>
      </c>
      <c r="I123" s="17"/>
      <c r="J123" s="17"/>
      <c r="K123" s="17"/>
      <c r="L123" s="17"/>
    </row>
    <row r="124" spans="1:13" ht="20.100000000000001" customHeight="1" x14ac:dyDescent="0.25">
      <c r="A124"/>
      <c r="D124" s="31"/>
      <c r="F124" s="30"/>
      <c r="G124" s="17" t="str">
        <v/>
      </c>
      <c r="H124" s="8" t="str">
        <v>gas networks are considered negligible.</v>
      </c>
      <c r="I124" s="17"/>
      <c r="J124" s="17"/>
      <c r="K124" s="17"/>
      <c r="L124" s="17"/>
    </row>
    <row r="125" spans="1:13" ht="20.100000000000001" customHeight="1" x14ac:dyDescent="0.25">
      <c r="A125"/>
      <c r="D125" s="31"/>
      <c r="F125" s="30"/>
      <c r="G125" s="17"/>
      <c r="H125" s="17"/>
      <c r="I125" s="17"/>
      <c r="J125" s="17"/>
      <c r="K125" s="17"/>
      <c r="L125" s="17"/>
    </row>
    <row r="126" spans="1:13" ht="20.100000000000001" customHeight="1" x14ac:dyDescent="0.25">
      <c r="A126"/>
      <c r="D126" s="17"/>
      <c r="E126" s="17"/>
      <c r="F126" s="17"/>
      <c r="G126" s="17"/>
      <c r="H126" s="17"/>
      <c r="I126" s="17"/>
      <c r="J126" s="17"/>
      <c r="K126" s="17"/>
      <c r="L126" s="17"/>
      <c r="M126" s="17"/>
    </row>
    <row r="127" spans="1:13" ht="20.100000000000001" customHeight="1" x14ac:dyDescent="0.25">
      <c r="A127"/>
      <c r="D127" s="17"/>
      <c r="E127" s="17"/>
      <c r="F127" s="17"/>
      <c r="G127" s="17"/>
      <c r="H127" s="17"/>
      <c r="I127" s="17"/>
      <c r="J127" s="17"/>
      <c r="K127" s="17"/>
      <c r="L127" s="17"/>
      <c r="M127" s="17"/>
    </row>
    <row r="128" spans="1:13" ht="20.100000000000001" customHeight="1" x14ac:dyDescent="0.25">
      <c r="A128"/>
      <c r="D128" s="17"/>
      <c r="E128" s="17"/>
      <c r="F128" s="17"/>
      <c r="G128" s="17"/>
      <c r="H128" s="17"/>
      <c r="I128" s="17"/>
      <c r="J128" s="17"/>
      <c r="K128" s="17"/>
      <c r="L128" s="17"/>
      <c r="M128" s="17"/>
    </row>
    <row r="129" spans="1:33" ht="20.100000000000001" customHeight="1" x14ac:dyDescent="0.25">
      <c r="A129"/>
      <c r="D129" s="32"/>
      <c r="E129" s="17"/>
      <c r="F129" s="17"/>
      <c r="G129" s="17"/>
      <c r="H129" s="17"/>
      <c r="I129" s="17"/>
      <c r="J129" s="17"/>
      <c r="K129" s="17"/>
      <c r="L129" s="17"/>
    </row>
    <row r="130" spans="1:33" ht="20.100000000000001" customHeight="1" x14ac:dyDescent="0.25">
      <c r="A130"/>
      <c r="D130" s="33" t="s">
        <v>88</v>
      </c>
      <c r="E130" s="33" t="s">
        <v>89</v>
      </c>
      <c r="F130" s="33" t="s">
        <v>90</v>
      </c>
      <c r="G130" s="33" t="s">
        <v>91</v>
      </c>
      <c r="H130" s="33" t="s">
        <v>92</v>
      </c>
      <c r="I130" s="33" t="s">
        <v>93</v>
      </c>
      <c r="J130" s="17"/>
      <c r="K130" s="17"/>
      <c r="L130" s="17"/>
    </row>
    <row r="131" spans="1:33" ht="20.100000000000001" customHeight="1" x14ac:dyDescent="0.25">
      <c r="A131"/>
      <c r="D131" s="34" t="str">
        <f>$D$143</f>
        <v>Petrol</v>
      </c>
      <c r="E131" s="34" t="str">
        <f>$D$143</f>
        <v>Petrol</v>
      </c>
      <c r="F131" s="34" t="str">
        <f>$D$150</f>
        <v>Avgas</v>
      </c>
      <c r="G131" s="34" t="str">
        <f>$D$143</f>
        <v>Petrol</v>
      </c>
      <c r="H131" s="34" t="str">
        <f>$D$144</f>
        <v>Diesel</v>
      </c>
      <c r="I131" s="34" t="str">
        <f>$D$143</f>
        <v>Petrol</v>
      </c>
      <c r="J131" s="17"/>
      <c r="K131" s="17"/>
      <c r="L131" s="17"/>
    </row>
    <row r="132" spans="1:33" ht="20.100000000000001" customHeight="1" x14ac:dyDescent="0.25">
      <c r="A132"/>
      <c r="D132" s="34" t="str">
        <f>$D$144</f>
        <v>Diesel</v>
      </c>
      <c r="E132" s="34" t="str">
        <f>$D$144</f>
        <v>Diesel</v>
      </c>
      <c r="F132" s="34" t="str">
        <f>$D$151</f>
        <v>Jet A1, Jet B</v>
      </c>
      <c r="G132" s="34" t="str">
        <f>$D$144</f>
        <v>Diesel</v>
      </c>
      <c r="H132" s="34"/>
      <c r="I132" s="34" t="str">
        <f>$D$144</f>
        <v>Diesel</v>
      </c>
      <c r="J132" s="17"/>
      <c r="K132" s="17"/>
      <c r="L132" s="17"/>
    </row>
    <row r="133" spans="1:33" ht="20.100000000000001" customHeight="1" x14ac:dyDescent="0.25">
      <c r="A133"/>
      <c r="D133" s="34" t="str">
        <f>$D$145</f>
        <v>Liquefied petroleum gas (LPG)</v>
      </c>
      <c r="E133" s="34" t="str">
        <f>$D$145</f>
        <v>Liquefied petroleum gas (LPG)</v>
      </c>
      <c r="F133" s="34" t="str">
        <f>$D$152</f>
        <v>Renewable aviation kerosene</v>
      </c>
      <c r="G133" s="34" t="str">
        <f>$D$145</f>
        <v>Liquefied petroleum gas (LPG)</v>
      </c>
      <c r="H133" s="34"/>
      <c r="I133" s="34" t="s">
        <v>94</v>
      </c>
      <c r="J133" s="17"/>
      <c r="K133" s="17"/>
      <c r="L133" s="17"/>
    </row>
    <row r="134" spans="1:33" ht="20.100000000000001" customHeight="1" x14ac:dyDescent="0.25">
      <c r="A134"/>
      <c r="D134" s="34" t="str">
        <f>$D$146</f>
        <v>Biodiesel</v>
      </c>
      <c r="E134" s="34" t="str">
        <f>$D$146</f>
        <v>Biodiesel</v>
      </c>
      <c r="F134" s="33"/>
      <c r="G134" s="34" t="str">
        <f>$D$160</f>
        <v>Fuel oil</v>
      </c>
      <c r="H134" s="34"/>
      <c r="I134" s="34"/>
      <c r="J134" s="17"/>
      <c r="K134" s="17"/>
      <c r="L134" s="17"/>
    </row>
    <row r="135" spans="1:33" ht="20.100000000000001" customHeight="1" x14ac:dyDescent="0.25">
      <c r="A135"/>
      <c r="D135" s="34" t="str">
        <f>$D$147</f>
        <v>Ethanol</v>
      </c>
      <c r="E135" s="34" t="str">
        <f>$D$147</f>
        <v>Ethanol</v>
      </c>
      <c r="F135" s="33"/>
      <c r="G135" s="34" t="str">
        <f>$D$147</f>
        <v>Ethanol</v>
      </c>
      <c r="H135" s="34"/>
      <c r="I135" s="34"/>
      <c r="J135" s="17"/>
      <c r="K135" s="17"/>
      <c r="L135" s="17"/>
    </row>
    <row r="136" spans="1:33" ht="20.100000000000001" customHeight="1" x14ac:dyDescent="0.25">
      <c r="A136"/>
      <c r="D136" s="34" t="str">
        <f>$D$148</f>
        <v>Other biofuels</v>
      </c>
      <c r="E136" s="34" t="str">
        <f>$D$148</f>
        <v>Other biofuels</v>
      </c>
      <c r="F136" s="33"/>
      <c r="G136" s="34" t="str">
        <f>$D$146</f>
        <v>Biodiesel</v>
      </c>
      <c r="H136" s="34"/>
      <c r="I136" s="34"/>
      <c r="J136" s="17"/>
      <c r="K136" s="17"/>
      <c r="L136" s="17"/>
    </row>
    <row r="137" spans="1:33" ht="20.100000000000001" customHeight="1" x14ac:dyDescent="0.25">
      <c r="A137"/>
      <c r="D137" s="34" t="str">
        <f>$D$149</f>
        <v>Renewable diesel</v>
      </c>
      <c r="E137" s="34" t="str">
        <f>$D$149</f>
        <v>Renewable diesel</v>
      </c>
      <c r="F137" s="33"/>
      <c r="G137" s="34" t="str">
        <f>$D$149</f>
        <v>Renewable diesel</v>
      </c>
      <c r="H137" s="34"/>
      <c r="I137" s="34"/>
      <c r="J137" s="17"/>
      <c r="K137" s="17"/>
      <c r="L137" s="17"/>
    </row>
    <row r="138" spans="1:33" ht="20.100000000000001" customHeight="1" x14ac:dyDescent="0.25">
      <c r="A138"/>
      <c r="D138" s="33"/>
      <c r="E138" s="35" t="str">
        <f>$D$161</f>
        <v>Natural gas (via pipeline) in GJ</v>
      </c>
      <c r="F138" s="35"/>
      <c r="G138" s="34" t="str">
        <f>$D$148</f>
        <v>Other biofuels</v>
      </c>
      <c r="H138" s="34"/>
      <c r="I138" s="34"/>
      <c r="J138" s="17"/>
      <c r="K138" s="17"/>
      <c r="L138" s="17"/>
    </row>
    <row r="139" spans="1:33" ht="20.100000000000001" customHeight="1" x14ac:dyDescent="0.25">
      <c r="A139"/>
      <c r="D139" s="35"/>
      <c r="E139" s="35" t="str">
        <f>$D$162</f>
        <v>Town gas in GJ</v>
      </c>
      <c r="F139" s="35"/>
      <c r="G139" s="35"/>
      <c r="H139" s="35"/>
      <c r="I139" s="35"/>
      <c r="J139" s="17"/>
      <c r="K139" s="17"/>
      <c r="L139" s="17"/>
    </row>
    <row r="140" spans="1:33" ht="20.100000000000001" customHeight="1" x14ac:dyDescent="0.25">
      <c r="A140"/>
      <c r="D140" s="17"/>
      <c r="E140" s="17"/>
      <c r="F140" s="17"/>
      <c r="G140" s="17"/>
      <c r="H140" s="17"/>
      <c r="I140" s="17"/>
      <c r="J140" s="17"/>
      <c r="K140" s="17"/>
      <c r="L140" s="17"/>
    </row>
    <row r="141" spans="1:33" ht="20.100000000000001" customHeight="1" x14ac:dyDescent="0.25">
      <c r="A141"/>
      <c r="D141" s="17"/>
      <c r="E141" s="17"/>
      <c r="F141" s="17"/>
      <c r="G141" s="17"/>
      <c r="H141" s="17"/>
      <c r="I141" s="17"/>
      <c r="J141" s="17"/>
      <c r="K141" s="17"/>
      <c r="L141" s="17"/>
    </row>
    <row r="142" spans="1:33" ht="20.100000000000001" customHeight="1" x14ac:dyDescent="0.25">
      <c r="A142"/>
      <c r="D142" s="3" t="s">
        <v>95</v>
      </c>
      <c r="E142" s="3" t="s">
        <v>96</v>
      </c>
      <c r="F142" s="3" t="s">
        <v>955</v>
      </c>
      <c r="G142" s="17"/>
      <c r="H142" s="17"/>
      <c r="I142" s="17"/>
      <c r="J142" s="17"/>
      <c r="K142" s="17"/>
      <c r="L142" s="17"/>
      <c r="M142" s="17"/>
      <c r="AG142" s="8"/>
    </row>
    <row r="143" spans="1:33" ht="20.100000000000001" customHeight="1" x14ac:dyDescent="0.25">
      <c r="A143"/>
      <c r="D143" s="34" t="s">
        <v>97</v>
      </c>
      <c r="E143" s="3" t="s">
        <v>98</v>
      </c>
      <c r="F143" s="3" t="s">
        <v>956</v>
      </c>
      <c r="G143" s="17"/>
      <c r="H143" s="17"/>
      <c r="I143" s="17"/>
      <c r="J143" s="17"/>
      <c r="K143" s="17"/>
      <c r="L143" s="17"/>
      <c r="M143" s="17"/>
      <c r="AG143" s="8"/>
    </row>
    <row r="144" spans="1:33" ht="20.100000000000001" customHeight="1" x14ac:dyDescent="0.25">
      <c r="A144"/>
      <c r="D144" s="34" t="s">
        <v>99</v>
      </c>
      <c r="E144" s="3" t="s">
        <v>98</v>
      </c>
      <c r="F144" s="3" t="s">
        <v>956</v>
      </c>
      <c r="G144" s="17"/>
      <c r="H144" s="17"/>
      <c r="I144" s="17"/>
      <c r="J144" s="17"/>
      <c r="K144" s="17"/>
      <c r="L144" s="17"/>
      <c r="M144" s="17"/>
      <c r="AG144" s="8"/>
    </row>
    <row r="145" spans="1:33" ht="20.100000000000001" customHeight="1" x14ac:dyDescent="0.25">
      <c r="A145"/>
      <c r="D145" s="34" t="s">
        <v>100</v>
      </c>
      <c r="E145" s="3" t="s">
        <v>98</v>
      </c>
      <c r="F145" s="3" t="s">
        <v>956</v>
      </c>
      <c r="G145" s="17"/>
      <c r="H145" s="17"/>
      <c r="I145" s="17"/>
      <c r="J145" s="17"/>
      <c r="K145" s="17"/>
      <c r="L145" s="17"/>
      <c r="M145" s="17"/>
      <c r="AG145" s="8"/>
    </row>
    <row r="146" spans="1:33" ht="20.100000000000001" customHeight="1" x14ac:dyDescent="0.25">
      <c r="A146"/>
      <c r="D146" s="34" t="s">
        <v>101</v>
      </c>
      <c r="E146" s="3" t="s">
        <v>98</v>
      </c>
      <c r="F146" s="3" t="s">
        <v>956</v>
      </c>
      <c r="G146" s="17"/>
      <c r="H146" s="17"/>
      <c r="I146" s="17"/>
      <c r="J146" s="17"/>
      <c r="K146" s="17"/>
      <c r="L146" s="17"/>
      <c r="M146" s="17"/>
      <c r="AG146" s="8"/>
    </row>
    <row r="147" spans="1:33" ht="20.100000000000001" customHeight="1" x14ac:dyDescent="0.25">
      <c r="A147"/>
      <c r="D147" s="34" t="s">
        <v>102</v>
      </c>
      <c r="E147" s="3" t="s">
        <v>98</v>
      </c>
      <c r="F147" s="3" t="s">
        <v>956</v>
      </c>
      <c r="G147" s="17"/>
      <c r="H147" s="17"/>
      <c r="I147" s="17"/>
      <c r="J147" s="17"/>
      <c r="K147" s="17"/>
      <c r="L147" s="17"/>
      <c r="M147" s="17"/>
      <c r="AG147" s="8"/>
    </row>
    <row r="148" spans="1:33" ht="20.100000000000001" customHeight="1" x14ac:dyDescent="0.25">
      <c r="A148"/>
      <c r="D148" s="34" t="s">
        <v>103</v>
      </c>
      <c r="E148" s="3" t="s">
        <v>98</v>
      </c>
      <c r="F148" s="3" t="s">
        <v>956</v>
      </c>
      <c r="G148" s="17"/>
      <c r="H148" s="17"/>
      <c r="I148" s="17"/>
      <c r="J148" s="17"/>
      <c r="K148" s="17"/>
      <c r="L148" s="17"/>
      <c r="M148" s="17"/>
      <c r="AG148" s="8"/>
    </row>
    <row r="149" spans="1:33" ht="20.100000000000001" customHeight="1" x14ac:dyDescent="0.25">
      <c r="A149"/>
      <c r="D149" s="34" t="s">
        <v>104</v>
      </c>
      <c r="E149" s="3" t="s">
        <v>98</v>
      </c>
      <c r="F149" s="3" t="s">
        <v>956</v>
      </c>
      <c r="G149" s="17"/>
      <c r="H149" s="17"/>
      <c r="I149" s="17"/>
      <c r="J149" s="17"/>
      <c r="K149" s="17"/>
      <c r="L149" s="17"/>
      <c r="M149" s="17"/>
      <c r="AG149" s="8"/>
    </row>
    <row r="150" spans="1:33" ht="20.100000000000001" customHeight="1" x14ac:dyDescent="0.25">
      <c r="A150"/>
      <c r="D150" s="34" t="s">
        <v>105</v>
      </c>
      <c r="E150" s="3" t="s">
        <v>98</v>
      </c>
      <c r="F150" s="3" t="s">
        <v>956</v>
      </c>
      <c r="G150" s="17"/>
      <c r="H150" s="17"/>
      <c r="I150" s="17"/>
      <c r="J150" s="17"/>
      <c r="K150" s="17"/>
      <c r="L150" s="17"/>
      <c r="M150" s="17"/>
      <c r="AG150" s="8"/>
    </row>
    <row r="151" spans="1:33" ht="20.100000000000001" customHeight="1" x14ac:dyDescent="0.25">
      <c r="A151"/>
      <c r="D151" s="34" t="s">
        <v>106</v>
      </c>
      <c r="E151" s="3" t="s">
        <v>98</v>
      </c>
      <c r="F151" s="3" t="s">
        <v>956</v>
      </c>
      <c r="G151" s="17"/>
      <c r="H151" s="17"/>
      <c r="I151" s="17"/>
      <c r="J151" s="17"/>
      <c r="K151" s="17"/>
      <c r="L151" s="17"/>
      <c r="M151" s="17"/>
      <c r="AG151" s="8"/>
    </row>
    <row r="152" spans="1:33" ht="20.100000000000001" customHeight="1" x14ac:dyDescent="0.25">
      <c r="A152"/>
      <c r="D152" s="36" t="s">
        <v>107</v>
      </c>
      <c r="E152" s="14" t="s">
        <v>98</v>
      </c>
      <c r="F152" s="3" t="s">
        <v>956</v>
      </c>
      <c r="G152" s="17"/>
      <c r="H152" s="17"/>
      <c r="I152" s="17"/>
      <c r="J152" s="17"/>
      <c r="K152" s="17"/>
      <c r="L152" s="17"/>
      <c r="M152" s="17"/>
      <c r="AG152" s="8"/>
    </row>
    <row r="153" spans="1:33" ht="20.100000000000001" customHeight="1" x14ac:dyDescent="0.25">
      <c r="A153"/>
      <c r="D153" s="36" t="s">
        <v>108</v>
      </c>
      <c r="E153" s="14" t="s">
        <v>98</v>
      </c>
      <c r="F153" s="3" t="s">
        <v>956</v>
      </c>
      <c r="G153" s="17"/>
      <c r="H153" s="17"/>
      <c r="I153" s="17"/>
      <c r="J153" s="17"/>
      <c r="K153" s="17"/>
      <c r="L153" s="17"/>
      <c r="M153" s="17"/>
      <c r="AG153" s="8"/>
    </row>
    <row r="154" spans="1:33" ht="20.100000000000001" customHeight="1" x14ac:dyDescent="0.25">
      <c r="A154"/>
      <c r="D154" s="36" t="s">
        <v>109</v>
      </c>
      <c r="E154" s="14" t="s">
        <v>98</v>
      </c>
      <c r="F154" s="3" t="s">
        <v>956</v>
      </c>
      <c r="G154" s="17"/>
      <c r="H154" s="17"/>
      <c r="I154" s="17"/>
      <c r="J154" s="17"/>
      <c r="K154" s="17"/>
      <c r="L154" s="17"/>
      <c r="M154" s="17"/>
      <c r="AG154" s="8"/>
    </row>
    <row r="155" spans="1:33" ht="20.100000000000001" customHeight="1" x14ac:dyDescent="0.25">
      <c r="A155"/>
      <c r="D155" s="36" t="s">
        <v>110</v>
      </c>
      <c r="E155" s="14" t="s">
        <v>98</v>
      </c>
      <c r="F155" s="3" t="s">
        <v>956</v>
      </c>
      <c r="G155" s="17"/>
      <c r="H155" s="17"/>
      <c r="I155" s="17"/>
      <c r="J155" s="17"/>
      <c r="K155" s="17"/>
      <c r="L155" s="17"/>
      <c r="M155" s="17"/>
      <c r="AG155" s="8"/>
    </row>
    <row r="156" spans="1:33" ht="20.100000000000001" customHeight="1" x14ac:dyDescent="0.25">
      <c r="A156"/>
      <c r="D156" s="36" t="s">
        <v>111</v>
      </c>
      <c r="E156" s="14" t="s">
        <v>98</v>
      </c>
      <c r="F156" s="3" t="s">
        <v>956</v>
      </c>
      <c r="G156" s="17"/>
      <c r="H156" s="17"/>
      <c r="I156" s="17"/>
      <c r="J156" s="17"/>
      <c r="K156" s="17"/>
      <c r="L156" s="17"/>
      <c r="M156" s="17"/>
      <c r="AG156" s="8"/>
    </row>
    <row r="157" spans="1:33" ht="20.100000000000001" customHeight="1" x14ac:dyDescent="0.25">
      <c r="A157"/>
      <c r="D157" s="36" t="s">
        <v>112</v>
      </c>
      <c r="E157" s="14" t="s">
        <v>98</v>
      </c>
      <c r="F157" s="3" t="s">
        <v>956</v>
      </c>
      <c r="G157" s="17"/>
      <c r="H157" s="17"/>
      <c r="I157" s="17"/>
      <c r="J157" s="17"/>
      <c r="K157" s="17"/>
      <c r="L157" s="17"/>
      <c r="M157" s="17"/>
      <c r="AG157" s="8"/>
    </row>
    <row r="158" spans="1:33" ht="20.100000000000001" customHeight="1" x14ac:dyDescent="0.25">
      <c r="A158"/>
      <c r="D158" s="36" t="s">
        <v>113</v>
      </c>
      <c r="E158" s="14" t="s">
        <v>98</v>
      </c>
      <c r="F158" s="3" t="s">
        <v>956</v>
      </c>
      <c r="G158" s="17"/>
      <c r="H158" s="17"/>
      <c r="I158" s="17"/>
      <c r="J158" s="17"/>
      <c r="K158" s="17"/>
      <c r="L158" s="17"/>
      <c r="M158" s="17"/>
      <c r="AG158" s="8"/>
    </row>
    <row r="159" spans="1:33" ht="20.100000000000001" customHeight="1" x14ac:dyDescent="0.25">
      <c r="A159"/>
      <c r="D159" s="36" t="s">
        <v>114</v>
      </c>
      <c r="E159" s="14" t="s">
        <v>98</v>
      </c>
      <c r="F159" s="3" t="s">
        <v>956</v>
      </c>
      <c r="G159" s="17"/>
      <c r="H159" s="17"/>
      <c r="I159" s="17"/>
      <c r="J159" s="17"/>
      <c r="K159" s="17"/>
      <c r="L159" s="17"/>
      <c r="M159" s="17"/>
      <c r="AG159" s="8"/>
    </row>
    <row r="160" spans="1:33" ht="20.100000000000001" customHeight="1" x14ac:dyDescent="0.25">
      <c r="A160"/>
      <c r="D160" s="36" t="s">
        <v>94</v>
      </c>
      <c r="E160" s="14" t="s">
        <v>98</v>
      </c>
      <c r="F160" s="3" t="s">
        <v>956</v>
      </c>
      <c r="G160" s="17"/>
      <c r="H160" s="17"/>
      <c r="I160" s="17"/>
      <c r="J160" s="17"/>
      <c r="K160" s="17"/>
      <c r="L160" s="17"/>
      <c r="M160" s="17"/>
      <c r="AG160" s="8"/>
    </row>
    <row r="161" spans="4:33" ht="20.100000000000001" customHeight="1" x14ac:dyDescent="0.25">
      <c r="D161" s="35" t="s">
        <v>115</v>
      </c>
      <c r="E161" s="17" t="s">
        <v>116</v>
      </c>
      <c r="F161" s="17" t="s">
        <v>116</v>
      </c>
      <c r="G161" s="17"/>
      <c r="H161" s="17"/>
      <c r="I161" s="17"/>
      <c r="J161" s="17"/>
      <c r="K161" s="17"/>
      <c r="L161" s="17"/>
      <c r="M161" s="17"/>
      <c r="AG161" s="8"/>
    </row>
    <row r="162" spans="4:33" ht="20.100000000000001" customHeight="1" x14ac:dyDescent="0.25">
      <c r="D162" s="17" t="s">
        <v>117</v>
      </c>
      <c r="E162" s="17" t="s">
        <v>116</v>
      </c>
      <c r="F162" s="17" t="s">
        <v>116</v>
      </c>
      <c r="G162" s="17"/>
      <c r="H162" s="17"/>
      <c r="I162" s="17"/>
      <c r="J162" s="17"/>
      <c r="K162" s="17"/>
      <c r="L162" s="17"/>
      <c r="M162" s="17"/>
      <c r="AG162" s="8"/>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1C3C-2AF6-4838-A9E5-E2C924445FA9}">
  <sheetPr>
    <tabColor theme="2" tint="-0.499984740745262"/>
  </sheetPr>
  <dimension ref="A1:W452"/>
  <sheetViews>
    <sheetView showGridLines="0" topLeftCell="A27" zoomScaleNormal="100" workbookViewId="0">
      <selection activeCell="A46" sqref="A46"/>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561</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tr" cm="1">
        <f t="array" ref="D5">SourceData_Poultry.SourceData_Poultry_DietProperties_Title()</f>
        <v>Poultry - Diet properties</v>
      </c>
      <c r="M5" s="8"/>
    </row>
    <row r="6" spans="1:21" ht="20.100000000000001" customHeight="1" x14ac:dyDescent="0.25">
      <c r="A6"/>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562</v>
      </c>
      <c r="E8" s="10" t="s">
        <v>563</v>
      </c>
      <c r="F8" s="10" t="s">
        <v>564</v>
      </c>
      <c r="G8" s="10" t="s">
        <v>565</v>
      </c>
      <c r="H8" s="10" t="s">
        <v>566</v>
      </c>
      <c r="M8" s="8"/>
    </row>
    <row r="9" spans="1:21" ht="20.100000000000001" customHeight="1" x14ac:dyDescent="0.25">
      <c r="A9" s="16" t="str">
        <f>HYPERLINK("#'Input - Fuel'!A1", "Fuel")</f>
        <v>Fuel</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t="str">
        <f>HYPERLINK("#'Input - Fertiliser'!A1", "Fertiliser")</f>
        <v>Fertiliser</v>
      </c>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16" t="str">
        <f>HYPERLINK("#'Input - Common farm inputs'!A1", "Common farm inputs")</f>
        <v>Common farm inputs</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HYPERLINK("#'Input - Processing inputs'!A1", "Processing inputs")</f>
        <v>Processing inputs</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HYPERLINK("#'Input - Crop pasture farm input'!A1", "Crop pasture farm input")</f>
        <v>Crop pasture farm input</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HYPERLINK("#'Input - Hort farm Inputs'!A1", "Hort farm Inputs")</f>
        <v>Hort farm Inputs</v>
      </c>
      <c r="M14" s="8"/>
    </row>
    <row r="15" spans="1:21" ht="20.100000000000001" customHeight="1" x14ac:dyDescent="0.25">
      <c r="A15" s="16" t="str">
        <f>HYPERLINK("#'Input - Livestock farm Inputs'!A1", "Livestock farm Inputs")</f>
        <v>Livestock farm Inputs</v>
      </c>
      <c r="M15" s="8"/>
    </row>
    <row r="16" spans="1:21" ht="20.100000000000001" customHeight="1" x14ac:dyDescent="0.25">
      <c r="A16" s="16" t="str">
        <f>HYPERLINK("#'Input - Aquaculture inputs'!A1", "Aquaculture inputs")</f>
        <v>Aquaculture inputs</v>
      </c>
      <c r="M16" s="8"/>
    </row>
    <row r="17" spans="1:13" ht="20.100000000000001" customHeight="1" x14ac:dyDescent="0.25">
      <c r="A17" s="16" t="str">
        <f>HYPERLINK("#'Input - Beef cattle purchases'!A1", "Beef cattle purchases")</f>
        <v>Beef cattle purchases</v>
      </c>
      <c r="D17" s="9" t="str" cm="1">
        <f t="array" ref="D17">SourceData_Poultry.SourceData_Poultry_MethaneEmissionsPotential_Title()</f>
        <v>Poultry - Methane emissions potential per class</v>
      </c>
      <c r="M17" s="8"/>
    </row>
    <row r="18" spans="1:13" ht="20.100000000000001" customHeight="1" x14ac:dyDescent="0.25">
      <c r="A18" s="16" t="str">
        <f>HYPERLINK("#'Input - Dairy cattle purchases'!A1", "Dairy cattle purchases")</f>
        <v>Dairy cattle purchases</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HYPERLINK("#'Input - Pig purchases'!A1", "Pig purchases")</f>
        <v>Pig purchases</v>
      </c>
      <c r="D19" s="10" t="s">
        <v>567</v>
      </c>
      <c r="E19" s="10" t="s">
        <v>568</v>
      </c>
      <c r="M19" s="8"/>
    </row>
    <row r="20" spans="1:13" ht="20.100000000000001" customHeight="1" x14ac:dyDescent="0.25">
      <c r="A20" s="16" t="str">
        <f>HYPERLINK("#'Input - Poultry purchases'!A1", "Poultry purchases")</f>
        <v>Poultry purchases</v>
      </c>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16" t="str">
        <f>HYPERLINK("#'Input - Freight'!A1", "Freight")</f>
        <v>Freight</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16" t="str">
        <f>HYPERLINK("#'Input - Solid waste'!A1", "Solid waste")</f>
        <v>Solid waste</v>
      </c>
      <c r="M22" s="8"/>
    </row>
    <row r="23" spans="1:13" ht="20.100000000000001" customHeight="1" x14ac:dyDescent="0.25">
      <c r="A23" s="16" t="str">
        <f>HYPERLINK("#'Input - Manure sent off-site'!A1", "Manure sent off-site")</f>
        <v>Manure sent off-site</v>
      </c>
      <c r="M23" s="8"/>
    </row>
    <row r="24" spans="1:13" ht="20.100000000000001" customHeight="1" x14ac:dyDescent="0.25">
      <c r="A24" s="16" t="str">
        <f>HYPERLINK("#'Input - Electricity'!A1", "Electricity")</f>
        <v>Electricity</v>
      </c>
      <c r="M24" s="8"/>
    </row>
    <row r="25" spans="1:13" ht="20.100000000000001" customHeight="1" x14ac:dyDescent="0.25">
      <c r="A25"/>
      <c r="M25" s="8"/>
    </row>
    <row r="26" spans="1:13" ht="20.100000000000001" customHeight="1" x14ac:dyDescent="0.25">
      <c r="A26"/>
      <c r="D26" s="9" t="s">
        <v>569</v>
      </c>
      <c r="G26" s="9" t="s">
        <v>570</v>
      </c>
      <c r="J26" s="9" t="s">
        <v>571</v>
      </c>
      <c r="M26" s="8"/>
    </row>
    <row r="27" spans="1:13" ht="20.100000000000001" customHeight="1" x14ac:dyDescent="0.25">
      <c r="A27" s="21" t="s">
        <v>77</v>
      </c>
      <c r="M27" s="8"/>
    </row>
    <row r="28" spans="1:13" ht="20.100000000000001" customHeight="1" x14ac:dyDescent="0.25">
      <c r="A28" s="16" t="str">
        <f>HYPERLINK("#'15 Scope 3'!A1", "15 Scope 3")</f>
        <v>15 Scope 3</v>
      </c>
      <c r="D28" s="159" t="s">
        <v>512</v>
      </c>
      <c r="E28" s="10" t="s">
        <v>318</v>
      </c>
      <c r="G28" s="159" t="s">
        <v>512</v>
      </c>
      <c r="H28" s="10" t="s">
        <v>318</v>
      </c>
      <c r="J28" s="159" t="s">
        <v>512</v>
      </c>
      <c r="K28" s="10" t="s">
        <v>318</v>
      </c>
      <c r="M28" s="8"/>
    </row>
    <row r="29" spans="1:13" ht="20.100000000000001" customHeight="1" x14ac:dyDescent="0.25">
      <c r="A29" s="16" t="str">
        <f>HYPERLINK("#'10.1.1-2 Solid waste treatment'!A1", "10.1.1-2 Solid waste treatment")</f>
        <v>10.1.1-2 Solid waste treatment</v>
      </c>
      <c r="D29" s="10" t="s">
        <v>58</v>
      </c>
      <c r="E29" s="10" t="s">
        <v>572</v>
      </c>
      <c r="G29" s="10" t="s">
        <v>58</v>
      </c>
      <c r="H29" s="10" t="s">
        <v>572</v>
      </c>
      <c r="J29" s="10" t="s">
        <v>55</v>
      </c>
      <c r="K29" s="10" t="s">
        <v>573</v>
      </c>
      <c r="M29" s="8"/>
    </row>
    <row r="30" spans="1:13" ht="20.100000000000001" customHeight="1" x14ac:dyDescent="0.25">
      <c r="A30" s="16" t="str">
        <f>HYPERLINK("#'Calcs - Manure sent off-site'!A1", "Calcs - Manure sent off-site")</f>
        <v>Calcs - Manure sent off-site</v>
      </c>
      <c r="D30" s="10" t="s">
        <v>574</v>
      </c>
      <c r="E30" s="10" t="s">
        <v>575</v>
      </c>
      <c r="G30" s="10" t="s">
        <v>574</v>
      </c>
      <c r="H30" s="10" t="s">
        <v>575</v>
      </c>
      <c r="J30" s="10" t="s">
        <v>54</v>
      </c>
      <c r="K30" s="10" t="s">
        <v>576</v>
      </c>
      <c r="M30" s="8"/>
    </row>
    <row r="31" spans="1:13" ht="20.100000000000001" customHeight="1" x14ac:dyDescent="0.25">
      <c r="A31" s="16" t="str">
        <f>HYPERLINK("#'8.1.1.1-2 Transport fuel'!A1", "8.1.1.1-2 Transport fuel")</f>
        <v>8.1.1.1-2 Transport fuel</v>
      </c>
      <c r="D31" s="10" t="s">
        <v>577</v>
      </c>
      <c r="E31" s="10" t="s">
        <v>578</v>
      </c>
      <c r="G31" s="10" t="s">
        <v>577</v>
      </c>
      <c r="H31" s="10" t="s">
        <v>578</v>
      </c>
      <c r="J31" s="8" t="s">
        <v>51</v>
      </c>
      <c r="K31" s="8" t="s">
        <v>579</v>
      </c>
      <c r="M31" s="8"/>
    </row>
    <row r="32" spans="1:13" ht="20.100000000000001" customHeight="1" x14ac:dyDescent="0.25">
      <c r="A32" s="16" t="str">
        <f>HYPERLINK("#'8.2.1.1-2 Stationary fuel'!A1", "8.2.1.1-2 Stationary fuel")</f>
        <v>8.2.1.1-2 Stationary fuel</v>
      </c>
      <c r="D32" s="10" t="s">
        <v>62</v>
      </c>
      <c r="E32" s="10" t="s">
        <v>580</v>
      </c>
      <c r="G32" s="10" t="s">
        <v>62</v>
      </c>
      <c r="H32" s="10" t="s">
        <v>580</v>
      </c>
      <c r="J32" s="10" t="s">
        <v>60</v>
      </c>
      <c r="K32" s="10" t="s">
        <v>581</v>
      </c>
      <c r="M32" s="8"/>
    </row>
    <row r="33" spans="1:13" ht="20.100000000000001" customHeight="1" x14ac:dyDescent="0.25">
      <c r="A33"/>
      <c r="D33" s="10" t="s">
        <v>55</v>
      </c>
      <c r="E33" s="10" t="s">
        <v>573</v>
      </c>
      <c r="G33" s="8" t="s">
        <v>582</v>
      </c>
      <c r="H33" s="10" t="s">
        <v>582</v>
      </c>
      <c r="J33" s="10" t="s">
        <v>61</v>
      </c>
      <c r="K33" s="10" t="s">
        <v>583</v>
      </c>
      <c r="M33" s="8"/>
    </row>
    <row r="34" spans="1:13" ht="20.100000000000001" customHeight="1" x14ac:dyDescent="0.25">
      <c r="A34"/>
      <c r="D34" s="10" t="s">
        <v>54</v>
      </c>
      <c r="E34" s="10" t="s">
        <v>576</v>
      </c>
      <c r="J34" s="8" t="s">
        <v>582</v>
      </c>
      <c r="K34" s="10" t="s">
        <v>582</v>
      </c>
      <c r="M34" s="8"/>
    </row>
    <row r="35" spans="1:13" ht="20.100000000000001" customHeight="1" x14ac:dyDescent="0.25">
      <c r="A35" s="222" t="s">
        <v>78</v>
      </c>
      <c r="D35" s="8" t="s">
        <v>51</v>
      </c>
      <c r="E35" s="8" t="s">
        <v>579</v>
      </c>
      <c r="M35" s="8"/>
    </row>
    <row r="36" spans="1:13" ht="20.100000000000001" customHeight="1" x14ac:dyDescent="0.25">
      <c r="A36" s="16" t="str">
        <f>HYPERLINK("#'Constants - Scope 3'!A1", "Constants - Scope 3")</f>
        <v>Constants - Scope 3</v>
      </c>
      <c r="D36" s="10" t="s">
        <v>60</v>
      </c>
      <c r="E36" s="10" t="s">
        <v>581</v>
      </c>
      <c r="M36" s="8"/>
    </row>
    <row r="37" spans="1:13" ht="20.100000000000001" customHeight="1" x14ac:dyDescent="0.25">
      <c r="A37" s="16" t="str">
        <f>HYPERLINK("#'Constants - Solid Waste'!A1", "Constants - Solid Waste")</f>
        <v>Constants - Solid Waste</v>
      </c>
      <c r="D37" s="10" t="s">
        <v>61</v>
      </c>
      <c r="E37" s="10" t="s">
        <v>583</v>
      </c>
      <c r="M37" s="8"/>
    </row>
    <row r="38" spans="1:13" ht="20.100000000000001" customHeight="1" x14ac:dyDescent="0.25">
      <c r="A38" s="16" t="str">
        <f>HYPERLINK("#'Constants - Fuel'!A1", "Constants - Fuel")</f>
        <v>Constants - Fuel</v>
      </c>
      <c r="D38" s="8" t="s">
        <v>582</v>
      </c>
      <c r="E38" s="10" t="s">
        <v>582</v>
      </c>
      <c r="M38" s="8"/>
    </row>
    <row r="39" spans="1:13" ht="20.100000000000001" customHeight="1" x14ac:dyDescent="0.25">
      <c r="A39" s="23" t="str">
        <f>HYPERLINK("#'Constants - Poultry'!A1", "Constants - Poultry")</f>
        <v>Constants - Poultry</v>
      </c>
      <c r="M39" s="8"/>
    </row>
    <row r="40" spans="1:13" ht="20.100000000000001" customHeight="1" x14ac:dyDescent="0.25">
      <c r="A40" s="16" t="str">
        <f>HYPERLINK("#'Constants - Swine'!A1", "Constants - Swine")</f>
        <v>Constants - Swine</v>
      </c>
      <c r="M40" s="8"/>
    </row>
    <row r="41" spans="1:13" ht="20.100000000000001" customHeight="1" x14ac:dyDescent="0.25">
      <c r="A41" s="16" t="str">
        <f>HYPERLINK("#'Constants - Dairy'!A1", "Constants - Dairy")</f>
        <v>Constants - Dairy</v>
      </c>
      <c r="M41" s="8"/>
    </row>
    <row r="42" spans="1:13" ht="20.100000000000001" customHeight="1" x14ac:dyDescent="0.25">
      <c r="A42" s="16" t="str">
        <f>HYPERLINK("#'Constants - Pasture Beef'!A1", "Constants - Pasture Beef")</f>
        <v>Constants - Pasture Beef</v>
      </c>
      <c r="D42" s="9" t="s">
        <v>584</v>
      </c>
      <c r="G42" s="9" t="s">
        <v>968</v>
      </c>
      <c r="J42" s="9" t="s">
        <v>142</v>
      </c>
      <c r="M42" s="8"/>
    </row>
    <row r="43" spans="1:13" ht="20.100000000000001" customHeight="1" x14ac:dyDescent="0.25">
      <c r="A43" s="16" t="str">
        <f>HYPERLINK("#'Constants - Common Livestock'!A1", "Constants - Common Livestock")</f>
        <v>Constants - Common Livestock</v>
      </c>
      <c r="M43" s="8"/>
    </row>
    <row r="44" spans="1:13" ht="20.100000000000001" customHeight="1" x14ac:dyDescent="0.25">
      <c r="A44" s="16" t="str">
        <f>HYPERLINK("#'Constants - Fertiliser'!A1", "Constants - Fertiliser")</f>
        <v>Constants - Fertiliser</v>
      </c>
      <c r="D44" s="10" t="s">
        <v>144</v>
      </c>
      <c r="G44" s="10" t="s">
        <v>144</v>
      </c>
      <c r="J44" s="10" t="s">
        <v>43</v>
      </c>
      <c r="M44" s="8"/>
    </row>
    <row r="45" spans="1:13" ht="20.100000000000001" customHeight="1" x14ac:dyDescent="0.25">
      <c r="A45" s="16" t="str">
        <f>HYPERLINK("#'Constants - Electricity'!A1", "Constants - Electricity")</f>
        <v>Constants - Electricity</v>
      </c>
      <c r="D45" s="10" t="str" cm="1">
        <f t="array" ref="D45">Common_InputFunctions.Utility_DisplayArrayInTable(SourceData_Poultry.SourceData_Poultry_ProductionSystems_Data(), Table_SourceData_Poultry_ProductionSystems[[#Headers],[Production system]], 0)</f>
        <v>Free range</v>
      </c>
      <c r="G45" s="10" t="str">
        <f>'Constants - Common'!$F$187</f>
        <v>Pasture</v>
      </c>
      <c r="J45" s="10" t="s">
        <v>147</v>
      </c>
      <c r="M45" s="8"/>
    </row>
    <row r="46" spans="1:13" ht="20.100000000000001" customHeight="1" x14ac:dyDescent="0.25">
      <c r="A46" s="16" t="str">
        <f>HYPERLINK("#'Constants - Common'!A1", "Constants - Common")</f>
        <v>Constants - Common</v>
      </c>
      <c r="D46" s="8" t="str" cm="1">
        <f t="array" ref="D46">Common_InputFunctions.Utility_DisplayArrayInTable(SourceData_Poultry.SourceData_Poultry_ProductionSystems_Data(), Table_SourceData_Poultry_ProductionSystems[[#Headers],[Production system]], 0)</f>
        <v>Barn</v>
      </c>
      <c r="G46" s="8" t="str">
        <f>'Constants - Common'!$F$188</f>
        <v>Crop</v>
      </c>
      <c r="J46" s="10" t="s">
        <v>151</v>
      </c>
      <c r="M46" s="8"/>
    </row>
    <row r="47" spans="1:13" ht="20.100000000000001" customHeight="1" x14ac:dyDescent="0.25">
      <c r="A47"/>
      <c r="D47" s="8" t="str" cm="1">
        <f t="array" ref="D47">Common_InputFunctions.Utility_DisplayArrayInTable(SourceData_Poultry.SourceData_Poultry_ProductionSystems_Data(), Table_SourceData_Poultry_ProductionSystems[[#Headers],[Production system]], 0)</f>
        <v>Cage</v>
      </c>
      <c r="J47" s="8" t="s">
        <v>154</v>
      </c>
      <c r="M47" s="8"/>
    </row>
    <row r="48" spans="1:13" ht="20.100000000000001" customHeight="1" x14ac:dyDescent="0.25">
      <c r="A48"/>
      <c r="J48" s="8" t="s">
        <v>157</v>
      </c>
      <c r="M48" s="8"/>
    </row>
    <row r="49" spans="1:14" ht="20.100000000000001" customHeight="1" x14ac:dyDescent="0.25">
      <c r="A49"/>
      <c r="J49" s="8" t="s">
        <v>159</v>
      </c>
      <c r="M49" s="8"/>
    </row>
    <row r="50" spans="1:14" ht="20.100000000000001" customHeight="1" x14ac:dyDescent="0.25">
      <c r="A50"/>
      <c r="M50" s="8"/>
    </row>
    <row r="51" spans="1:14" ht="20.100000000000001" customHeight="1" x14ac:dyDescent="0.25">
      <c r="A51"/>
      <c r="D51" s="9" t="str" cm="1">
        <f t="array" ref="D51">SourceData_Poultry.SourceData_Poultry_MCF_Title()</f>
        <v>Poultry - MCFs</v>
      </c>
      <c r="M51" s="8"/>
    </row>
    <row r="52" spans="1:14" ht="20.100000000000001" customHeight="1" x14ac:dyDescent="0.25">
      <c r="A52"/>
      <c r="D52" s="11" t="str" cm="1">
        <f t="array" ref="D52">SourceData_Poultry.SourceData_Poultry_MCF_Source()</f>
        <v>VEERG 2026: Table A.1.7.4: Poultry - MCFs</v>
      </c>
      <c r="M52" s="8"/>
    </row>
    <row r="53" spans="1:14" ht="20.100000000000001" customHeight="1" x14ac:dyDescent="0.25">
      <c r="A53"/>
      <c r="D53" s="12" t="str" cm="1">
        <f t="array" ref="D53:D57">SourceData_Poultry.SourceData_Poultry_MCF_Variation()</f>
        <v>VARIATION ON SOURCE:</v>
      </c>
      <c r="M53" s="8"/>
    </row>
    <row r="54" spans="1:14" ht="20.100000000000001" customHeight="1" x14ac:dyDescent="0.25">
      <c r="A54"/>
      <c r="D54" s="12" t="str">
        <v>Split NSW and ACT into separate states. Split QLD and NT into separate states.</v>
      </c>
      <c r="M54" s="8"/>
    </row>
    <row r="55" spans="1:14" ht="20.100000000000001" customHeight="1" x14ac:dyDescent="0.25">
      <c r="A55"/>
      <c r="D55" s="12" t="str">
        <v>Included values for each state when 'All states' value is given.</v>
      </c>
      <c r="M55" s="8"/>
    </row>
    <row r="56" spans="1:14" ht="20.100000000000001" customHeight="1" x14ac:dyDescent="0.25">
      <c r="A56"/>
      <c r="D56" s="12" t="str">
        <v>Added 'NIR definition' column with MMS names that match NIR definitions.</v>
      </c>
      <c r="M56" s="8"/>
    </row>
    <row r="57" spans="1:14" ht="20.100000000000001" customHeight="1" x14ac:dyDescent="0.25">
      <c r="A57"/>
      <c r="D57" s="12" t="str">
        <v>Duplicated 'Poultry manure without litter' row for NIR MMS 'Belt manure removal' and 'Manure stored in house'</v>
      </c>
      <c r="M57" s="8"/>
    </row>
    <row r="58" spans="1:14" ht="20.100000000000001" customHeight="1" x14ac:dyDescent="0.25">
      <c r="A58"/>
      <c r="M58" s="8"/>
    </row>
    <row r="59" spans="1:14" ht="20.100000000000001" customHeight="1" x14ac:dyDescent="0.25">
      <c r="A59"/>
      <c r="D59" s="10" t="s">
        <v>520</v>
      </c>
      <c r="E59" s="10" t="s">
        <v>585</v>
      </c>
      <c r="F59" s="10" t="s">
        <v>325</v>
      </c>
      <c r="G59" s="10" t="s">
        <v>304</v>
      </c>
      <c r="H59" s="10" t="s">
        <v>326</v>
      </c>
      <c r="I59" s="10" t="s">
        <v>422</v>
      </c>
      <c r="J59" s="10" t="s">
        <v>331</v>
      </c>
      <c r="K59" s="10" t="s">
        <v>381</v>
      </c>
      <c r="L59" s="10" t="s">
        <v>332</v>
      </c>
      <c r="M59" s="10" t="s">
        <v>378</v>
      </c>
      <c r="N59" s="10" t="s">
        <v>537</v>
      </c>
    </row>
    <row r="60" spans="1:14" ht="20.100000000000001" customHeight="1" x14ac:dyDescent="0.25">
      <c r="A60"/>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1:14" ht="20.100000000000001" customHeight="1" x14ac:dyDescent="0.25">
      <c r="A61"/>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1:14" ht="20.100000000000001" customHeight="1" x14ac:dyDescent="0.25">
      <c r="A62"/>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1:14" ht="20.100000000000001" customHeight="1" x14ac:dyDescent="0.25">
      <c r="A63"/>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1:14" ht="20.100000000000001" customHeight="1" x14ac:dyDescent="0.25">
      <c r="A64"/>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1:22" ht="20.100000000000001" customHeight="1" x14ac:dyDescent="0.25">
      <c r="A6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1:22" ht="20.100000000000001" customHeight="1" x14ac:dyDescent="0.25">
      <c r="A66"/>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1:22" ht="20.100000000000001" customHeight="1" x14ac:dyDescent="0.25">
      <c r="A67"/>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1:22" ht="20.100000000000001" customHeight="1" x14ac:dyDescent="0.25">
      <c r="A68"/>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1:22" ht="20.100000000000001" customHeight="1" x14ac:dyDescent="0.25">
      <c r="A69"/>
      <c r="M69" s="8"/>
    </row>
    <row r="70" spans="1:22" ht="20.100000000000001" customHeight="1" x14ac:dyDescent="0.25">
      <c r="A70"/>
      <c r="M70" s="8"/>
    </row>
    <row r="71" spans="1:22" ht="20.100000000000001" customHeight="1" x14ac:dyDescent="0.25">
      <c r="A71"/>
      <c r="M71" s="8"/>
      <c r="V71" s="8"/>
    </row>
    <row r="72" spans="1:22" ht="20.100000000000001" customHeight="1" x14ac:dyDescent="0.25">
      <c r="A72"/>
      <c r="D72" s="9" t="str" cm="1">
        <f t="array" ref="D72">SourceData_Poultry.SourceData_Poultry_VSL_Title()</f>
        <v>Poultry - Fraction of volatile solids lost in the primary MMS</v>
      </c>
      <c r="M72" s="8"/>
      <c r="V72" s="8"/>
    </row>
    <row r="73" spans="1:22" ht="20.100000000000001" customHeight="1" x14ac:dyDescent="0.25">
      <c r="A73"/>
      <c r="D73" s="11" t="str" cm="1">
        <f t="array" ref="D73">SourceData_Poultry.SourceData_Poultry_VSL_Source()</f>
        <v>VEERG 2026: 4.6.2.3 CONSTANT</v>
      </c>
      <c r="M73" s="8"/>
      <c r="V73" s="8"/>
    </row>
    <row r="74" spans="1:22" ht="20.100000000000001" customHeight="1" x14ac:dyDescent="0.25">
      <c r="A74"/>
      <c r="D74" s="12" t="str" cm="1">
        <f t="array" ref="D74">SourceData_Poultry.SourceData_Poultry_VSL_Variation()</f>
        <v>VARIATION ON SOURCE: Table generated from line items. Added 'NIR definition column'.</v>
      </c>
      <c r="M74" s="8"/>
      <c r="V74" s="8"/>
    </row>
    <row r="75" spans="1:22" ht="20.100000000000001" customHeight="1" x14ac:dyDescent="0.25">
      <c r="A75"/>
      <c r="D75" s="10" t="s">
        <v>512</v>
      </c>
      <c r="E75" s="10" t="s">
        <v>543</v>
      </c>
      <c r="F75" s="10" t="s">
        <v>537</v>
      </c>
      <c r="M75" s="8"/>
      <c r="V75" s="8"/>
    </row>
    <row r="76" spans="1:22" ht="20.100000000000001" customHeight="1" x14ac:dyDescent="0.25">
      <c r="A76"/>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1:22" ht="20.100000000000001" customHeight="1" x14ac:dyDescent="0.25">
      <c r="A77"/>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1:22" ht="20.100000000000001" customHeight="1" x14ac:dyDescent="0.25">
      <c r="A78"/>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1:22" ht="20.100000000000001" customHeight="1" x14ac:dyDescent="0.25">
      <c r="A79"/>
      <c r="M79" s="8"/>
      <c r="V79" s="8"/>
    </row>
    <row r="80" spans="1:22" ht="20.100000000000001" customHeight="1" x14ac:dyDescent="0.25">
      <c r="A80"/>
      <c r="M80" s="8"/>
      <c r="V80" s="8"/>
    </row>
    <row r="81" spans="1:23" ht="20.100000000000001" customHeight="1" x14ac:dyDescent="0.25">
      <c r="A81"/>
      <c r="D81" s="9" t="str" cm="1">
        <f t="array" ref="D81">SourceData_Poultry.SourceData_Poultry_FracGASMmT_Title()</f>
        <v>Poultry - Fraction of N volatilised by MMS ((kg NH3-N + NOx-N)/kgN) (FracGASMmT)</v>
      </c>
      <c r="M81" s="8"/>
      <c r="V81" s="8"/>
    </row>
    <row r="82" spans="1:23" ht="20.100000000000001" customHeight="1" x14ac:dyDescent="0.25">
      <c r="A82"/>
      <c r="D82" s="11" t="str" cm="1">
        <f t="array" ref="D82">SourceData_Poultry.SourceData_Poultry_FracGASMmT_Source()</f>
        <v>VEERG 2026: Table A.1.7.2</v>
      </c>
      <c r="M82" s="8"/>
      <c r="V82" s="8"/>
    </row>
    <row r="83" spans="1:23" ht="20.100000000000001" customHeight="1" x14ac:dyDescent="0.25">
      <c r="A83"/>
      <c r="D83" s="12" t="str" cm="1">
        <f t="array" ref="D83">SourceData_Poultry.SourceData_Poultry_FracGASMmT_Variation()</f>
        <v>VARIATION ON SOURCE: Added 'NIR definition column'.</v>
      </c>
      <c r="M83" s="8"/>
    </row>
    <row r="84" spans="1:23" ht="20.100000000000001" customHeight="1" x14ac:dyDescent="0.25">
      <c r="A84"/>
      <c r="D84" s="10" t="s">
        <v>549</v>
      </c>
      <c r="E84" s="10" t="s">
        <v>550</v>
      </c>
      <c r="F84" s="10" t="s">
        <v>521</v>
      </c>
      <c r="M84" s="8"/>
    </row>
    <row r="85" spans="1:23" ht="20.100000000000001" customHeight="1" x14ac:dyDescent="0.25">
      <c r="A8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1:23" ht="20.100000000000001" customHeight="1" x14ac:dyDescent="0.25">
      <c r="A86"/>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1:23" ht="20.100000000000001" customHeight="1" x14ac:dyDescent="0.25">
      <c r="A87"/>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1:23" ht="20.100000000000001" customHeight="1" x14ac:dyDescent="0.25">
      <c r="A88"/>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1:23" ht="20.100000000000001" customHeight="1" x14ac:dyDescent="0.25">
      <c r="A89"/>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1:23" ht="20.100000000000001" customHeight="1" x14ac:dyDescent="0.25">
      <c r="A90"/>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1:23" ht="20.100000000000001" customHeight="1" x14ac:dyDescent="0.25">
      <c r="A91"/>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1:23" ht="20.100000000000001" customHeight="1" x14ac:dyDescent="0.25">
      <c r="A92"/>
      <c r="M92" s="8"/>
      <c r="V92" s="8"/>
    </row>
    <row r="93" spans="1:23" ht="20.100000000000001" customHeight="1" x14ac:dyDescent="0.25">
      <c r="A93"/>
      <c r="M93" s="8"/>
      <c r="V93" s="8"/>
    </row>
    <row r="94" spans="1:23" ht="20.100000000000001" customHeight="1" x14ac:dyDescent="0.25">
      <c r="A94"/>
      <c r="D94" s="9" t="str" cm="1">
        <f t="array" ref="D94">SourceData_Poultry.SourceData_Poultry_EFmT_Title()</f>
        <v>Poultry - Nitrous oxide EFs by MMS (kgN2O-N/kgN) (EFmT)</v>
      </c>
      <c r="M94" s="8"/>
    </row>
    <row r="95" spans="1:23" ht="20.100000000000001" customHeight="1" x14ac:dyDescent="0.25">
      <c r="A95"/>
      <c r="D95" s="11" t="str" cm="1">
        <f t="array" ref="D95">SourceData_Poultry.SourceData_Poultry_EFmT_Source()</f>
        <v>VEERG 2026: Table A.1.7.3</v>
      </c>
      <c r="M95" s="8"/>
    </row>
    <row r="96" spans="1:23" ht="20.100000000000001" customHeight="1" x14ac:dyDescent="0.25">
      <c r="A96"/>
      <c r="D96" s="12" t="str" cm="1">
        <f t="array" ref="D96">SourceData_Poultry.SourceData_Poultry_EFmT_Variation()</f>
        <v>VARIATION ON SOURCE: Added 'NIR definition column'. Duplicated 'Poultry manure without litter' row for NIR MMS 'Belt manure removal' and 'Manure stored in house'.</v>
      </c>
      <c r="M96" s="8"/>
    </row>
    <row r="97" spans="1:13" ht="20.100000000000001" customHeight="1" x14ac:dyDescent="0.25">
      <c r="A97"/>
      <c r="D97" s="10" t="s">
        <v>549</v>
      </c>
      <c r="E97" s="10" t="s">
        <v>551</v>
      </c>
      <c r="F97" s="10" t="s">
        <v>521</v>
      </c>
      <c r="M97" s="8"/>
    </row>
    <row r="98" spans="1:13" ht="20.100000000000001" customHeight="1" x14ac:dyDescent="0.25">
      <c r="A98"/>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1:13" ht="20.100000000000001" customHeight="1" x14ac:dyDescent="0.25">
      <c r="A99"/>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1:13" ht="20.100000000000001" customHeight="1" x14ac:dyDescent="0.25">
      <c r="A100"/>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1:13" ht="20.100000000000001" customHeight="1" x14ac:dyDescent="0.25">
      <c r="A101"/>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1:13" ht="20.100000000000001" customHeight="1" x14ac:dyDescent="0.25">
      <c r="A102"/>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1:13" ht="20.100000000000001" customHeight="1" x14ac:dyDescent="0.25">
      <c r="A103"/>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1:13" ht="20.100000000000001" customHeight="1" x14ac:dyDescent="0.25">
      <c r="A104"/>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1:13" ht="20.100000000000001" customHeight="1" x14ac:dyDescent="0.25">
      <c r="A10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SourceData_Poultry.SourceData_Poultry_FractionOfNitrogenLostThroughLeachingAndRunoff_Title()</f>
        <v>Fraction of N that is lost through leaching and runoff</v>
      </c>
      <c r="M108" s="8"/>
    </row>
    <row r="109" spans="1:13" ht="20.100000000000001" customHeight="1" x14ac:dyDescent="0.25">
      <c r="A109"/>
      <c r="D109" s="11" t="str" cm="1">
        <f t="array" ref="D109">SourceData_Poultry.SourceData_Poultry_FractionOfNitrogenLostThroughLeachingAndRunoff_Source()</f>
        <v>VEERG 2026: 4.6.2.3 CONSTANTS</v>
      </c>
      <c r="M109" s="8"/>
    </row>
    <row r="110" spans="1:13" ht="20.100000000000001" customHeight="1" x14ac:dyDescent="0.25">
      <c r="A110"/>
      <c r="D110" s="27"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1:13" ht="20.100000000000001" customHeight="1" x14ac:dyDescent="0.25">
      <c r="A111"/>
      <c r="M111" s="8"/>
    </row>
    <row r="112" spans="1:13" ht="20.100000000000001" customHeight="1" x14ac:dyDescent="0.25">
      <c r="A112"/>
      <c r="D112" s="9" t="str" cm="1">
        <f t="array" ref="D112">SourceData_Poultry.SourceData_Poultry_FracGAMSSoil_Title()</f>
        <v>Fraction of nitrogen volatilised from urine and faeces deposited on pasture</v>
      </c>
      <c r="M112" s="8"/>
    </row>
    <row r="113" spans="1:22" ht="20.100000000000001" customHeight="1" x14ac:dyDescent="0.25">
      <c r="A113"/>
      <c r="D113" s="11" t="str" cm="1">
        <f t="array" ref="D113">SourceData_Poultry.SourceData_Poultry_FracGAMSSoil_Source()</f>
        <v>VEERG 2026: 4.6.2.3 CONSTANTS</v>
      </c>
      <c r="M113" s="8"/>
    </row>
    <row r="114" spans="1:22" ht="20.100000000000001" customHeight="1" x14ac:dyDescent="0.25">
      <c r="A114"/>
      <c r="D114" s="12" t="str" cm="1">
        <f t="array" ref="D114">SourceData_Poultry.SourceData_Poultry_FracGAMSSoil_Variation()</f>
        <v>VARIATION ON SOURCE: This constant is not documented in the draft, used the same value of 0.21 as all other livestock.</v>
      </c>
      <c r="M114" s="8"/>
    </row>
    <row r="115" spans="1:22" ht="20.100000000000001" customHeight="1" x14ac:dyDescent="0.25">
      <c r="A115"/>
      <c r="D115" s="27"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1:22" ht="20.100000000000001" customHeight="1" x14ac:dyDescent="0.25">
      <c r="A116"/>
      <c r="M116" s="8"/>
      <c r="V116" s="8"/>
    </row>
    <row r="117" spans="1:22" ht="20.100000000000001" customHeight="1" x14ac:dyDescent="0.25">
      <c r="A117"/>
      <c r="D117" s="9" t="str" cm="1">
        <f t="array" ref="D117">SourceData_Poultry.SourceData_Poultry_Liveweights_Title()</f>
        <v>Poultry - Liveweights (Wco) (kg)</v>
      </c>
      <c r="M117" s="8"/>
      <c r="V117" s="8"/>
    </row>
    <row r="118" spans="1:22" ht="20.100000000000001" customHeight="1" x14ac:dyDescent="0.25">
      <c r="A118"/>
      <c r="D118" s="11" t="str" cm="1">
        <f t="array" ref="D118">SourceData_Poultry.SourceData_Poultry_Liveweights_Source()</f>
        <v>VEERG 2026: Table A.1.7.5</v>
      </c>
      <c r="M118" s="8"/>
    </row>
    <row r="119" spans="1:22" ht="20.100000000000001" customHeight="1" x14ac:dyDescent="0.25">
      <c r="A119"/>
      <c r="D119" s="10" t="s">
        <v>586</v>
      </c>
      <c r="E119" s="10" t="s">
        <v>553</v>
      </c>
      <c r="M119" s="8"/>
    </row>
    <row r="120" spans="1:22" ht="20.100000000000001" customHeight="1" x14ac:dyDescent="0.25">
      <c r="A120"/>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1:22" ht="20.100000000000001" customHeight="1" x14ac:dyDescent="0.25">
      <c r="A121"/>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1:22" ht="20.100000000000001" customHeight="1" x14ac:dyDescent="0.25">
      <c r="A122"/>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1:22" ht="20.100000000000001" customHeight="1" x14ac:dyDescent="0.25">
      <c r="A123"/>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1:22" ht="20.100000000000001" customHeight="1" x14ac:dyDescent="0.25">
      <c r="A124"/>
      <c r="M124" s="8"/>
    </row>
    <row r="125" spans="1:22" ht="20.100000000000001" customHeight="1" x14ac:dyDescent="0.25">
      <c r="A125"/>
      <c r="M125" s="8"/>
      <c r="V125" s="8"/>
    </row>
    <row r="126" spans="1:22" ht="20.100000000000001" customHeight="1" x14ac:dyDescent="0.25">
      <c r="A126"/>
      <c r="M126" s="8"/>
      <c r="V126" s="8"/>
    </row>
    <row r="127" spans="1:22" ht="20.100000000000001" customHeight="1" x14ac:dyDescent="0.25">
      <c r="A127"/>
      <c r="M127" s="8"/>
      <c r="V127" s="8"/>
    </row>
    <row r="128" spans="1:22" ht="20.100000000000001" customHeight="1" x14ac:dyDescent="0.25">
      <c r="A128"/>
      <c r="M128" s="8"/>
      <c r="V128" s="8"/>
    </row>
    <row r="129" spans="1:22" ht="20.100000000000001" customHeight="1" x14ac:dyDescent="0.25">
      <c r="A129"/>
      <c r="M129" s="8"/>
      <c r="V129" s="8"/>
    </row>
    <row r="130" spans="1:22" ht="20.100000000000001" customHeight="1" x14ac:dyDescent="0.25">
      <c r="A130"/>
      <c r="M130" s="8"/>
      <c r="V130" s="8"/>
    </row>
    <row r="131" spans="1:22" ht="20.100000000000001" customHeight="1" x14ac:dyDescent="0.25">
      <c r="A131"/>
      <c r="M131" s="8"/>
    </row>
    <row r="132" spans="1:22" ht="20.100000000000001" customHeight="1" x14ac:dyDescent="0.25">
      <c r="A132"/>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C965B-3E83-43A5-AEAB-FBD184478E02}">
  <dimension ref="A1:W452"/>
  <sheetViews>
    <sheetView showGridLines="0" topLeftCell="A102" zoomScaleNormal="100" workbookViewId="0">
      <selection activeCell="A46" sqref="A46"/>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533</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M5" s="8"/>
    </row>
    <row r="6" spans="1:21" ht="20.100000000000001" customHeight="1" x14ac:dyDescent="0.25">
      <c r="A6"/>
      <c r="D6" s="9" t="s">
        <v>534</v>
      </c>
      <c r="G6" s="9" t="s">
        <v>142</v>
      </c>
      <c r="M6" s="8"/>
    </row>
    <row r="7" spans="1:21" ht="20.100000000000001" customHeight="1" x14ac:dyDescent="0.25">
      <c r="A7" s="19" t="s">
        <v>67</v>
      </c>
      <c r="M7" s="8"/>
    </row>
    <row r="8" spans="1:21" ht="20.100000000000001" customHeight="1" x14ac:dyDescent="0.25">
      <c r="A8" s="16" t="str">
        <f>HYPERLINK("#'Input - Site'!A1", "Site")</f>
        <v>Site</v>
      </c>
      <c r="D8" s="10" t="s">
        <v>144</v>
      </c>
      <c r="G8" s="10" t="s">
        <v>43</v>
      </c>
      <c r="M8" s="8"/>
    </row>
    <row r="9" spans="1:21" ht="20.100000000000001" customHeight="1" x14ac:dyDescent="0.25">
      <c r="A9" s="16" t="str">
        <f>HYPERLINK("#'Input - Fuel'!A1", "Fuel")</f>
        <v>Fuel</v>
      </c>
      <c r="D9" s="10" t="s">
        <v>146</v>
      </c>
      <c r="G9" s="10" t="s">
        <v>147</v>
      </c>
      <c r="M9" s="8"/>
    </row>
    <row r="10" spans="1:21" ht="20.100000000000001" customHeight="1" x14ac:dyDescent="0.25">
      <c r="A10" s="16" t="str">
        <f>HYPERLINK("#'Input - Fertiliser'!A1", "Fertiliser")</f>
        <v>Fertiliser</v>
      </c>
      <c r="D10" s="8" t="s">
        <v>149</v>
      </c>
      <c r="G10" s="10" t="s">
        <v>151</v>
      </c>
      <c r="M10" s="8"/>
    </row>
    <row r="11" spans="1:21" ht="20.100000000000001" customHeight="1" x14ac:dyDescent="0.25">
      <c r="A11" s="16" t="str">
        <f>HYPERLINK("#'Input - Common farm inputs'!A1", "Common farm inputs")</f>
        <v>Common farm inputs</v>
      </c>
      <c r="G11" s="8" t="s">
        <v>154</v>
      </c>
      <c r="M11" s="8"/>
    </row>
    <row r="12" spans="1:21" ht="20.100000000000001" customHeight="1" x14ac:dyDescent="0.25">
      <c r="A12" s="16" t="str">
        <f>HYPERLINK("#'Input - Processing inputs'!A1", "Processing inputs")</f>
        <v>Processing inputs</v>
      </c>
      <c r="G12" s="8" t="s">
        <v>157</v>
      </c>
      <c r="M12" s="8"/>
    </row>
    <row r="13" spans="1:21" ht="20.100000000000001" customHeight="1" x14ac:dyDescent="0.25">
      <c r="A13" s="16" t="str">
        <f>HYPERLINK("#'Input - Crop pasture farm input'!A1", "Crop pasture farm input")</f>
        <v>Crop pasture farm input</v>
      </c>
      <c r="G13" s="8" t="s">
        <v>159</v>
      </c>
      <c r="M13" s="8"/>
    </row>
    <row r="14" spans="1:21" ht="20.100000000000001" customHeight="1" x14ac:dyDescent="0.25">
      <c r="A14" s="16" t="str">
        <f>HYPERLINK("#'Input - Hort farm Inputs'!A1", "Hort farm Inputs")</f>
        <v>Hort farm Inputs</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HYPERLINK("#'Input - Livestock farm Inputs'!A1", "Livestock farm Inputs")</f>
        <v>Livestock farm Inputs</v>
      </c>
      <c r="D15" s="11" t="str" cm="1">
        <f t="array" ref="D15">SourceData_Swine.SourceData_Swine_FracLEACH_DrylotMMS_Source()</f>
        <v>VEERG 2026: 4.5.2.3 CONSTANT</v>
      </c>
      <c r="M15" s="8"/>
    </row>
    <row r="16" spans="1:21" ht="20.100000000000001" customHeight="1" x14ac:dyDescent="0.25">
      <c r="A16" s="16" t="str">
        <f>HYPERLINK("#'Input - Aquaculture inputs'!A1", "Aquaculture inputs")</f>
        <v>Aquaculture inputs</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s="16" t="str">
        <f>HYPERLINK("#'Input - Beef cattle purchases'!A1", "Beef cattle purchases")</f>
        <v>Beef cattle purchases</v>
      </c>
      <c r="D17" s="27"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16" t="str">
        <f>HYPERLINK("#'Input - Dairy cattle purchases'!A1", "Dairy cattle purchases")</f>
        <v>Dairy cattle purchases</v>
      </c>
      <c r="M18" s="8"/>
    </row>
    <row r="19" spans="1:13" ht="20.100000000000001" customHeight="1" x14ac:dyDescent="0.25">
      <c r="A19" s="16" t="str">
        <f>HYPERLINK("#'Input - Pig purchases'!A1", "Pig purchases")</f>
        <v>Pig purchases</v>
      </c>
      <c r="D19" s="9" t="str" cm="1">
        <f t="array" ref="D19">SourceData_Swine.SourceData_Swine_MethaneVolatileSolidsEmissionsPotential_Title()</f>
        <v>Emissions potential of methane per kilogram of volatile solids</v>
      </c>
      <c r="M19" s="8"/>
    </row>
    <row r="20" spans="1:13" ht="20.100000000000001" customHeight="1" x14ac:dyDescent="0.25">
      <c r="A20" s="16" t="str">
        <f>HYPERLINK("#'Input - Poultry purchases'!A1", "Poultry purchases")</f>
        <v>Poultry purchases</v>
      </c>
      <c r="D20" s="11" t="str" cm="1">
        <f t="array" ref="D20">SourceData_Swine.SourceData_Swine_MethaneVolatileSolidsEmissionsPotential_Source()</f>
        <v>IPCC (2019), Chapter 10 [4]</v>
      </c>
      <c r="M20" s="8"/>
    </row>
    <row r="21" spans="1:13" ht="20.100000000000001" customHeight="1" x14ac:dyDescent="0.25">
      <c r="A21" s="16" t="str">
        <f>HYPERLINK("#'Input - Freight'!A1", "Freight")</f>
        <v>Freight</v>
      </c>
      <c r="D21" s="27"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16" t="str">
        <f>HYPERLINK("#'Input - Solid waste'!A1", "Solid waste")</f>
        <v>Solid waste</v>
      </c>
      <c r="M22" s="8"/>
    </row>
    <row r="23" spans="1:13" ht="20.100000000000001" customHeight="1" x14ac:dyDescent="0.25">
      <c r="A23" s="16" t="str">
        <f>HYPERLINK("#'Input - Manure sent off-site'!A1", "Manure sent off-site")</f>
        <v>Manure sent off-site</v>
      </c>
      <c r="M23" s="8"/>
    </row>
    <row r="24" spans="1:13" ht="20.100000000000001" customHeight="1" x14ac:dyDescent="0.25">
      <c r="A24" s="16" t="str">
        <f>HYPERLINK("#'Input - Electricity'!A1", "Electricity")</f>
        <v>Electricity</v>
      </c>
      <c r="D24" s="9" t="str" cm="1">
        <f t="array" ref="D24">SourceData_Swine.SourceData_Swine_MMS_MCFs_Title()</f>
        <v>Methane conversion factor for temperature zone and manure management system.</v>
      </c>
      <c r="H24" s="157" t="s">
        <v>535</v>
      </c>
      <c r="M24" s="8"/>
    </row>
    <row r="25" spans="1:13" ht="20.100000000000001" customHeight="1" x14ac:dyDescent="0.25">
      <c r="A25"/>
      <c r="D25" s="11" t="str" cm="1">
        <f t="array" ref="D25">SourceData_Swine.SourceData_Swine_MMS_MCFs_Source()</f>
        <v>VEERG 2026: Table A.1.6.4: Swine - MCFs (MCFim)</v>
      </c>
      <c r="H25" s="157" t="s">
        <v>536</v>
      </c>
      <c r="M25" s="8"/>
    </row>
    <row r="26" spans="1:13" ht="20.100000000000001" customHeight="1" x14ac:dyDescent="0.25">
      <c r="A26"/>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A27" s="21" t="s">
        <v>77</v>
      </c>
      <c r="M27" s="8"/>
    </row>
    <row r="28" spans="1:13" ht="20.100000000000001" customHeight="1" x14ac:dyDescent="0.25">
      <c r="A28" s="16" t="str">
        <f>HYPERLINK("#'15 Scope 3'!A1", "15 Scope 3")</f>
        <v>15 Scope 3</v>
      </c>
      <c r="D28" s="10" t="s">
        <v>512</v>
      </c>
      <c r="E28" s="10" t="s">
        <v>325</v>
      </c>
      <c r="F28" s="10" t="s">
        <v>304</v>
      </c>
      <c r="G28" s="10" t="s">
        <v>326</v>
      </c>
      <c r="H28" s="10" t="s">
        <v>422</v>
      </c>
      <c r="I28" s="10" t="s">
        <v>381</v>
      </c>
      <c r="J28" s="10" t="s">
        <v>378</v>
      </c>
      <c r="K28" s="10" t="s">
        <v>331</v>
      </c>
      <c r="L28" s="10" t="s">
        <v>332</v>
      </c>
      <c r="M28" s="10" t="s">
        <v>537</v>
      </c>
    </row>
    <row r="29" spans="1:13" ht="20.100000000000001" customHeight="1" x14ac:dyDescent="0.25">
      <c r="A29" s="16" t="str">
        <f>HYPERLINK("#'10.1.1-2 Solid waste treatment'!A1", "10.1.1-2 Solid waste treatment")</f>
        <v>10.1.1-2 Solid waste treatment</v>
      </c>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A30" s="16" t="str">
        <f>HYPERLINK("#'Calcs - Manure sent off-site'!A1", "Calcs - Manure sent off-site")</f>
        <v>Calcs - Manure sent off-site</v>
      </c>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A31" s="16" t="str">
        <f>HYPERLINK("#'8.1.1.1-2 Transport fuel'!A1", "8.1.1.1-2 Transport fuel")</f>
        <v>8.1.1.1-2 Transport fuel</v>
      </c>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A32" s="16" t="str">
        <f>HYPERLINK("#'8.2.1.1-2 Stationary fuel'!A1", "8.2.1.1-2 Stationary fuel")</f>
        <v>8.2.1.1-2 Stationary fuel</v>
      </c>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1:13" ht="20.100000000000001" customHeight="1" x14ac:dyDescent="0.25">
      <c r="A33"/>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1:13" ht="20.100000000000001" customHeight="1" x14ac:dyDescent="0.25">
      <c r="A34"/>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1:13" ht="20.100000000000001" customHeight="1" x14ac:dyDescent="0.25">
      <c r="A35" s="222" t="s">
        <v>78</v>
      </c>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1:13" ht="20.100000000000001" customHeight="1" x14ac:dyDescent="0.25">
      <c r="A36" s="16" t="str">
        <f>HYPERLINK("#'Constants - Scope 3'!A1", "Constants - Scope 3")</f>
        <v>Constants - Scope 3</v>
      </c>
      <c r="M36" s="8"/>
    </row>
    <row r="37" spans="1:13" ht="20.100000000000001" customHeight="1" x14ac:dyDescent="0.25">
      <c r="A37" s="16" t="str">
        <f>HYPERLINK("#'Constants - Solid Waste'!A1", "Constants - Solid Waste")</f>
        <v>Constants - Solid Waste</v>
      </c>
      <c r="M37" s="8"/>
    </row>
    <row r="38" spans="1:13" ht="20.100000000000001" customHeight="1" x14ac:dyDescent="0.25">
      <c r="A38" s="16" t="str">
        <f>HYPERLINK("#'Constants - Fuel'!A1", "Constants - Fuel")</f>
        <v>Constants - Fuel</v>
      </c>
      <c r="D38" s="9" t="s">
        <v>538</v>
      </c>
      <c r="G38" s="9" t="s">
        <v>539</v>
      </c>
      <c r="K38" s="9" t="s">
        <v>540</v>
      </c>
      <c r="M38" s="8"/>
    </row>
    <row r="39" spans="1:13" ht="20.100000000000001" customHeight="1" x14ac:dyDescent="0.25">
      <c r="A39" s="16" t="str">
        <f>HYPERLINK("#'Constants - Poultry'!A1", "Constants - Poultry")</f>
        <v>Constants - Poultry</v>
      </c>
      <c r="M39" s="8"/>
    </row>
    <row r="40" spans="1:13" ht="20.100000000000001" customHeight="1" x14ac:dyDescent="0.25">
      <c r="A40" s="23" t="str">
        <f>HYPERLINK("#'Constants - Swine'!A1", "Constants - Swine")</f>
        <v>Constants - Swine</v>
      </c>
      <c r="D40" s="159" t="s">
        <v>512</v>
      </c>
      <c r="E40" s="10" t="s">
        <v>318</v>
      </c>
      <c r="G40" s="159" t="s">
        <v>512</v>
      </c>
      <c r="H40" s="10" t="s">
        <v>318</v>
      </c>
      <c r="K40" s="159" t="s">
        <v>512</v>
      </c>
      <c r="L40" s="10" t="s">
        <v>318</v>
      </c>
      <c r="M40" s="8"/>
    </row>
    <row r="41" spans="1:13" ht="20.100000000000001" customHeight="1" x14ac:dyDescent="0.25">
      <c r="A41" s="16" t="str">
        <f>HYPERLINK("#'Constants - Dairy'!A1", "Constants - Dairy")</f>
        <v>Constants - Dairy</v>
      </c>
      <c r="D41" s="10" t="s">
        <v>50</v>
      </c>
      <c r="E41" s="10" t="s">
        <v>970</v>
      </c>
      <c r="G41" s="10" t="s">
        <v>50</v>
      </c>
      <c r="H41" s="10" t="s">
        <v>970</v>
      </c>
      <c r="K41" s="10" t="s">
        <v>50</v>
      </c>
      <c r="L41" s="10" t="s">
        <v>970</v>
      </c>
      <c r="M41" s="8"/>
    </row>
    <row r="42" spans="1:13" ht="20.100000000000001" customHeight="1" x14ac:dyDescent="0.25">
      <c r="A42" s="16" t="str">
        <f>HYPERLINK("#'Constants - Pasture Beef'!A1", "Constants - Pasture Beef")</f>
        <v>Constants - Pasture Beef</v>
      </c>
      <c r="D42" s="10" t="s">
        <v>55</v>
      </c>
      <c r="E42" s="10" t="s">
        <v>573</v>
      </c>
      <c r="G42" s="10" t="s">
        <v>971</v>
      </c>
      <c r="H42" s="10" t="s">
        <v>972</v>
      </c>
      <c r="K42" s="10" t="s">
        <v>55</v>
      </c>
      <c r="L42" s="10" t="s">
        <v>573</v>
      </c>
      <c r="M42" s="8"/>
    </row>
    <row r="43" spans="1:13" ht="20.100000000000001" customHeight="1" x14ac:dyDescent="0.25">
      <c r="A43" s="16" t="str">
        <f>HYPERLINK("#'Constants - Common Livestock'!A1", "Constants - Common Livestock")</f>
        <v>Constants - Common Livestock</v>
      </c>
      <c r="D43" s="10" t="s">
        <v>971</v>
      </c>
      <c r="E43" s="10" t="s">
        <v>972</v>
      </c>
      <c r="G43" s="10" t="s">
        <v>51</v>
      </c>
      <c r="H43" s="10" t="s">
        <v>579</v>
      </c>
      <c r="K43" s="10" t="s">
        <v>971</v>
      </c>
      <c r="L43" s="10" t="s">
        <v>972</v>
      </c>
      <c r="M43" s="8"/>
    </row>
    <row r="44" spans="1:13" ht="20.100000000000001" customHeight="1" x14ac:dyDescent="0.25">
      <c r="A44" s="16" t="str">
        <f>HYPERLINK("#'Constants - Fertiliser'!A1", "Constants - Fertiliser")</f>
        <v>Constants - Fertiliser</v>
      </c>
      <c r="D44" s="10" t="s">
        <v>51</v>
      </c>
      <c r="E44" s="10" t="s">
        <v>579</v>
      </c>
      <c r="G44" s="10" t="s">
        <v>57</v>
      </c>
      <c r="H44" s="10" t="s">
        <v>973</v>
      </c>
      <c r="K44" s="10" t="s">
        <v>51</v>
      </c>
      <c r="L44" s="10" t="s">
        <v>579</v>
      </c>
      <c r="M44" s="8"/>
    </row>
    <row r="45" spans="1:13" ht="20.100000000000001" customHeight="1" x14ac:dyDescent="0.25">
      <c r="A45" s="16" t="str">
        <f>HYPERLINK("#'Constants - Electricity'!A1", "Constants - Electricity")</f>
        <v>Constants - Electricity</v>
      </c>
      <c r="D45" s="10" t="s">
        <v>57</v>
      </c>
      <c r="E45" s="10" t="s">
        <v>973</v>
      </c>
      <c r="G45" s="10" t="s">
        <v>56</v>
      </c>
      <c r="H45" s="10" t="s">
        <v>974</v>
      </c>
      <c r="K45" s="10" t="s">
        <v>57</v>
      </c>
      <c r="L45" s="10" t="s">
        <v>973</v>
      </c>
      <c r="M45" s="8"/>
    </row>
    <row r="46" spans="1:13" ht="20.100000000000001" customHeight="1" x14ac:dyDescent="0.25">
      <c r="A46" s="16" t="str">
        <f>HYPERLINK("#'Constants - Common'!A1", "Constants - Common")</f>
        <v>Constants - Common</v>
      </c>
      <c r="D46" s="10" t="s">
        <v>56</v>
      </c>
      <c r="E46" s="10" t="s">
        <v>974</v>
      </c>
      <c r="K46" s="10" t="s">
        <v>56</v>
      </c>
      <c r="L46" s="10" t="s">
        <v>974</v>
      </c>
      <c r="M46" s="8"/>
    </row>
    <row r="47" spans="1:13" ht="20.100000000000001" customHeight="1" x14ac:dyDescent="0.25">
      <c r="A47"/>
      <c r="D47" s="10" t="s">
        <v>61</v>
      </c>
      <c r="E47" s="10" t="s">
        <v>583</v>
      </c>
      <c r="M47" s="8"/>
    </row>
    <row r="48" spans="1:13" ht="20.100000000000001" customHeight="1" x14ac:dyDescent="0.25">
      <c r="A48"/>
      <c r="M48" s="8"/>
    </row>
    <row r="49" spans="1:13" ht="20.100000000000001" customHeight="1" x14ac:dyDescent="0.25">
      <c r="A49"/>
      <c r="M49" s="8"/>
    </row>
    <row r="50" spans="1:13" ht="20.100000000000001" customHeight="1" x14ac:dyDescent="0.25">
      <c r="A50"/>
      <c r="M50" s="8"/>
    </row>
    <row r="51" spans="1:13" ht="20.100000000000001" customHeight="1" x14ac:dyDescent="0.25">
      <c r="A51"/>
      <c r="D51" s="9" t="s">
        <v>541</v>
      </c>
      <c r="G51" s="9" t="s">
        <v>542</v>
      </c>
      <c r="M51" s="8"/>
    </row>
    <row r="52" spans="1:13" ht="20.100000000000001" customHeight="1" x14ac:dyDescent="0.25">
      <c r="A52"/>
      <c r="M52" s="8"/>
    </row>
    <row r="53" spans="1:13" ht="20.100000000000001" customHeight="1" x14ac:dyDescent="0.25">
      <c r="A53"/>
      <c r="D53" s="159" t="s">
        <v>512</v>
      </c>
      <c r="E53" s="10" t="s">
        <v>543</v>
      </c>
      <c r="G53" s="10" t="s">
        <v>144</v>
      </c>
      <c r="M53" s="8"/>
    </row>
    <row r="54" spans="1:13" ht="20.100000000000001" customHeight="1" x14ac:dyDescent="0.25">
      <c r="A54"/>
      <c r="D54" s="10" t="s">
        <v>50</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A55"/>
      <c r="D55" s="10" t="s">
        <v>55</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A56"/>
      <c r="D56" s="10" t="s">
        <v>971</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A57"/>
      <c r="D57" s="10" t="s">
        <v>51</v>
      </c>
      <c r="E57" s="10">
        <v>0.75</v>
      </c>
      <c r="M57" s="8"/>
    </row>
    <row r="58" spans="1:13" ht="20.100000000000001" customHeight="1" x14ac:dyDescent="0.25">
      <c r="A58"/>
      <c r="D58" s="10" t="s">
        <v>57</v>
      </c>
      <c r="E58" s="10">
        <v>0.05</v>
      </c>
      <c r="M58" s="8"/>
    </row>
    <row r="59" spans="1:13" ht="20.100000000000001" customHeight="1" x14ac:dyDescent="0.25">
      <c r="A59"/>
      <c r="D59" s="10" t="s">
        <v>56</v>
      </c>
      <c r="E59" s="10">
        <v>0</v>
      </c>
      <c r="M59" s="8"/>
    </row>
    <row r="60" spans="1:13" ht="20.100000000000001" customHeight="1" x14ac:dyDescent="0.25">
      <c r="A60"/>
      <c r="D60" s="10" t="s">
        <v>61</v>
      </c>
      <c r="E60" s="10">
        <v>0</v>
      </c>
      <c r="M60" s="8"/>
    </row>
    <row r="61" spans="1:13" ht="20.100000000000001" customHeight="1" x14ac:dyDescent="0.25">
      <c r="A61"/>
      <c r="M61" s="8"/>
    </row>
    <row r="62" spans="1:13" ht="20.100000000000001" customHeight="1" x14ac:dyDescent="0.25">
      <c r="A62"/>
      <c r="M62" s="8"/>
    </row>
    <row r="63" spans="1:13" ht="20.100000000000001" customHeight="1" x14ac:dyDescent="0.25">
      <c r="A63"/>
      <c r="D63" s="9" t="str" cm="1">
        <f t="array" ref="D63">SourceData_Swine.SourceData_Swine_VolatileSolids_Title()</f>
        <v>Swine - Volatile solids (VSj) - 2020 to 2024</v>
      </c>
      <c r="M63" s="8"/>
    </row>
    <row r="64" spans="1:13" ht="20.100000000000001" customHeight="1" x14ac:dyDescent="0.25">
      <c r="A64"/>
      <c r="D64" s="11" t="str" cm="1">
        <f t="array" ref="D64">SourceData_Swine.SourceData_Swine_VolatileSolids_Source()</f>
        <v>VEERG 2026: Table A.1.6.1: Swine - Intake and manure characteristics derived from PigBal</v>
      </c>
      <c r="M64" s="8"/>
    </row>
    <row r="65" spans="1:22" ht="20.100000000000001" customHeight="1" x14ac:dyDescent="0.25">
      <c r="A65"/>
      <c r="D65" s="12" t="str" cm="1">
        <f t="array" ref="D65">SourceData_Swine.SourceData_Swine_VolatileSolids_Variation()</f>
        <v>VARIATION ON SOURCE DATA: Only uses data for 2020-2024. Use 'Slaughter pigs' data for 'Other j=4' class.</v>
      </c>
      <c r="M65" s="8"/>
    </row>
    <row r="66" spans="1:22" ht="20.100000000000001" customHeight="1" x14ac:dyDescent="0.25">
      <c r="A66"/>
      <c r="M66" s="8"/>
    </row>
    <row r="67" spans="1:22" ht="20.100000000000001" customHeight="1" x14ac:dyDescent="0.25">
      <c r="A67"/>
      <c r="D67" s="10" t="s">
        <v>311</v>
      </c>
      <c r="E67" s="10" t="s">
        <v>544</v>
      </c>
      <c r="M67" s="8"/>
    </row>
    <row r="68" spans="1:22" ht="20.100000000000001" customHeight="1" x14ac:dyDescent="0.25">
      <c r="A68"/>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1:22" ht="20.100000000000001" customHeight="1" x14ac:dyDescent="0.25">
      <c r="A69"/>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1:22" ht="20.100000000000001" customHeight="1" x14ac:dyDescent="0.25">
      <c r="A70"/>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1:22" ht="20.100000000000001" customHeight="1" x14ac:dyDescent="0.25">
      <c r="A71"/>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1:22" ht="20.100000000000001" customHeight="1" x14ac:dyDescent="0.25">
      <c r="A72"/>
      <c r="M72" s="8"/>
      <c r="V72" s="8"/>
    </row>
    <row r="73" spans="1:22" ht="20.100000000000001" customHeight="1" x14ac:dyDescent="0.25">
      <c r="A73"/>
      <c r="M73" s="8"/>
      <c r="V73" s="8"/>
    </row>
    <row r="74" spans="1:22" ht="20.100000000000001" customHeight="1" x14ac:dyDescent="0.25">
      <c r="A74"/>
      <c r="D74" s="9" t="str" cm="1">
        <f t="array" ref="D74">SourceData_Swine.SourceData_Swine_FeedIntake_Title()</f>
        <v>Swine - Feed intake - ingested as fed  (Ij) - 2020 to 2024</v>
      </c>
      <c r="M74" s="8"/>
      <c r="V74" s="8"/>
    </row>
    <row r="75" spans="1:22" ht="20.100000000000001" customHeight="1" x14ac:dyDescent="0.25">
      <c r="A75"/>
      <c r="D75" s="11" t="str" cm="1">
        <f t="array" ref="D75">SourceData_Swine.SourceData_Swine_FeedIntake_Source()</f>
        <v>VEERG 2026: Table A.1.6.1: Swine - Intake and manure characteristics derived from PigBal</v>
      </c>
      <c r="M75" s="8"/>
      <c r="V75" s="8"/>
    </row>
    <row r="76" spans="1:22" ht="20.100000000000001" customHeight="1" x14ac:dyDescent="0.25">
      <c r="A76"/>
      <c r="D76" s="12" t="str" cm="1">
        <f t="array" ref="D76">SourceData_Swine.SourceData_Swine_FeedIntake_Variation()</f>
        <v>VARIATION ON SOURCE DATA: Only uses data for 2020-2024. Use 'Slaughter pigs' data for 'Other j=4' class.</v>
      </c>
      <c r="M76" s="8"/>
      <c r="V76" s="8"/>
    </row>
    <row r="77" spans="1:22" ht="20.100000000000001" customHeight="1" x14ac:dyDescent="0.25">
      <c r="A77"/>
      <c r="M77" s="8"/>
      <c r="V77" s="8"/>
    </row>
    <row r="78" spans="1:22" ht="20.100000000000001" customHeight="1" x14ac:dyDescent="0.25">
      <c r="A78"/>
      <c r="D78" s="10" t="s">
        <v>311</v>
      </c>
      <c r="E78" s="10" t="s">
        <v>545</v>
      </c>
      <c r="M78" s="8"/>
      <c r="V78" s="8"/>
    </row>
    <row r="79" spans="1:22" ht="20.100000000000001" customHeight="1" x14ac:dyDescent="0.25">
      <c r="A79"/>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1:22" ht="20.100000000000001" customHeight="1" x14ac:dyDescent="0.25">
      <c r="A80"/>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1:23" ht="20.100000000000001" customHeight="1" x14ac:dyDescent="0.25">
      <c r="A81"/>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1:23" ht="20.100000000000001" customHeight="1" x14ac:dyDescent="0.25">
      <c r="A82"/>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1:23" ht="20.100000000000001" customHeight="1" x14ac:dyDescent="0.25">
      <c r="A83"/>
      <c r="M83" s="8"/>
    </row>
    <row r="84" spans="1:23" ht="20.100000000000001" customHeight="1" x14ac:dyDescent="0.25">
      <c r="A84"/>
      <c r="M84" s="8"/>
    </row>
    <row r="85" spans="1:23" ht="20.100000000000001" customHeight="1" x14ac:dyDescent="0.25">
      <c r="A85"/>
      <c r="D85" s="9" t="str" cm="1">
        <f t="array" ref="D85">SourceData_Swine.SourceData_Swine_NitrogenInWaste_Title()</f>
        <v>Swine - Nitrogen in waste (NWj) - 2020 to 2024</v>
      </c>
      <c r="M85" s="8"/>
      <c r="V85" s="8"/>
    </row>
    <row r="86" spans="1:23" ht="20.100000000000001" customHeight="1" x14ac:dyDescent="0.25">
      <c r="A86"/>
      <c r="D86" s="11" t="str" cm="1">
        <f t="array" ref="D86">SourceData_Swine.SourceData_Swine_NitrogenInWaste_Source()</f>
        <v>VEERG 2026: Table A.1.6.1: Swine - Intake and manure characteristics derived from PigBal</v>
      </c>
      <c r="M86" s="8"/>
      <c r="V86" s="8"/>
    </row>
    <row r="87" spans="1:23" ht="20.100000000000001" customHeight="1" x14ac:dyDescent="0.25">
      <c r="A87"/>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1:23" ht="20.100000000000001" customHeight="1" x14ac:dyDescent="0.25">
      <c r="A88"/>
      <c r="M88" s="8"/>
      <c r="V88" s="8"/>
    </row>
    <row r="89" spans="1:23" ht="20.100000000000001" customHeight="1" x14ac:dyDescent="0.25">
      <c r="A89"/>
      <c r="D89" s="10" t="s">
        <v>311</v>
      </c>
      <c r="E89" s="10" t="s">
        <v>546</v>
      </c>
      <c r="F89" s="10" t="s">
        <v>547</v>
      </c>
      <c r="G89" s="10" t="s">
        <v>548</v>
      </c>
      <c r="M89" s="8"/>
      <c r="V89" s="8"/>
      <c r="W89" s="8"/>
    </row>
    <row r="90" spans="1:23" ht="20.100000000000001" customHeight="1" x14ac:dyDescent="0.25">
      <c r="A90"/>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1:23" ht="20.100000000000001" customHeight="1" x14ac:dyDescent="0.25">
      <c r="A91"/>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1:23" ht="20.100000000000001" customHeight="1" x14ac:dyDescent="0.25">
      <c r="A92"/>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1:23" ht="20.100000000000001" customHeight="1" x14ac:dyDescent="0.25">
      <c r="A93"/>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1:23" ht="20.100000000000001" customHeight="1" x14ac:dyDescent="0.25">
      <c r="A94"/>
      <c r="M94" s="8"/>
    </row>
    <row r="95" spans="1:23" ht="20.100000000000001" customHeight="1" x14ac:dyDescent="0.25">
      <c r="A95"/>
      <c r="M95" s="8"/>
    </row>
    <row r="96" spans="1:23" ht="20.100000000000001" customHeight="1" x14ac:dyDescent="0.25">
      <c r="A96"/>
      <c r="D96" s="9" t="str" cm="1">
        <f t="array" ref="D96">SourceData_Swine.SourceData_Swine_FractionNVolatilised_Title()</f>
        <v>Swine - Fraction of nitrogen volatilised (FracGASMmT)</v>
      </c>
      <c r="M96" s="8"/>
    </row>
    <row r="97" spans="1:13" ht="20.100000000000001" customHeight="1" x14ac:dyDescent="0.25">
      <c r="A97"/>
      <c r="D97" s="11" t="str" cm="1">
        <f t="array" ref="D97">SourceData_Swine.SourceData_Swine_FractionNVolatilised_Source()</f>
        <v>VEERG 2026: Table A.1.6.2: Swine - Fraction of N volatilised by MMS ((kg NH3-N + NOx-N)/kgN) (FracGASMmT)</v>
      </c>
      <c r="M97" s="8"/>
    </row>
    <row r="98" spans="1:13" ht="20.100000000000001" customHeight="1" x14ac:dyDescent="0.25">
      <c r="A98"/>
      <c r="D98" s="12" t="str" cm="1">
        <f t="array" ref="D98">SourceData_Swine.SourceData_Swine_FractionNVolatilised_Variation()</f>
        <v>VARIATION ON SOURCE DATA: Added 'NIR reference column to aid lookup.</v>
      </c>
      <c r="M98" s="8"/>
    </row>
    <row r="99" spans="1:13" ht="20.100000000000001" customHeight="1" x14ac:dyDescent="0.25">
      <c r="A99"/>
      <c r="D99" s="10" t="s">
        <v>549</v>
      </c>
      <c r="E99" s="10" t="s">
        <v>550</v>
      </c>
      <c r="F99" s="10" t="s">
        <v>521</v>
      </c>
      <c r="M99" s="8"/>
    </row>
    <row r="100" spans="1:13" ht="20.100000000000001" customHeight="1" x14ac:dyDescent="0.25">
      <c r="A100"/>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1:13" ht="20.100000000000001" customHeight="1" x14ac:dyDescent="0.25">
      <c r="A101"/>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1:13" ht="20.100000000000001" customHeight="1" x14ac:dyDescent="0.25">
      <c r="A102"/>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1:13" ht="20.100000000000001" customHeight="1" x14ac:dyDescent="0.25">
      <c r="A103"/>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1:13" ht="20.100000000000001" customHeight="1" x14ac:dyDescent="0.25">
      <c r="A104"/>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1:13" ht="20.100000000000001" customHeight="1" x14ac:dyDescent="0.25">
      <c r="A10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SourceData_Swine.SourceData_Swine_NitrousOxideEFs_Title()</f>
        <v>Swine - Nitrous oxide EFs by MMS (EFmT)</v>
      </c>
      <c r="M108" s="8"/>
    </row>
    <row r="109" spans="1:13" ht="20.100000000000001" customHeight="1" x14ac:dyDescent="0.25">
      <c r="A109"/>
      <c r="D109" s="11" t="str" cm="1">
        <f t="array" ref="D109">SourceData_Swine.SourceData_Swine_NitrousOxideEFs_Source()</f>
        <v>VEERG 2026: Table A.1.6.3: Swine - Nitrous oxide EFs by MMS (kgN2O-N/kgN) (EFmT)</v>
      </c>
      <c r="M109" s="8"/>
    </row>
    <row r="110" spans="1:13" ht="20.100000000000001" customHeight="1" x14ac:dyDescent="0.25">
      <c r="A110"/>
      <c r="D110" s="12" t="str" cm="1">
        <f t="array" ref="D110">SourceData_Swine.SourceData_Swine_NitrousOxideEFs_Variation()</f>
        <v>VARIATION ON SOURCE DATA: Added 'NIR reference column to aid lookup.</v>
      </c>
      <c r="M110" s="8"/>
    </row>
    <row r="111" spans="1:13" ht="20.100000000000001" customHeight="1" x14ac:dyDescent="0.25">
      <c r="A111"/>
      <c r="D111" s="10" t="s">
        <v>549</v>
      </c>
      <c r="E111" s="10" t="s">
        <v>551</v>
      </c>
      <c r="F111" s="10" t="s">
        <v>521</v>
      </c>
      <c r="M111" s="8"/>
    </row>
    <row r="112" spans="1:13" ht="20.100000000000001" customHeight="1" x14ac:dyDescent="0.25">
      <c r="A112"/>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A113"/>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A114"/>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A11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A116"/>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A118"/>
      <c r="M118" s="8"/>
    </row>
    <row r="119" spans="1:22" ht="20.100000000000001" customHeight="1" x14ac:dyDescent="0.25">
      <c r="A119"/>
      <c r="M119" s="8"/>
    </row>
    <row r="120" spans="1:22" ht="20.100000000000001" customHeight="1" x14ac:dyDescent="0.25">
      <c r="A120"/>
      <c r="D120" s="9" t="str" cm="1">
        <f t="array" ref="D120">SourceData_Swine.SourceData_Swine_MegajoulesPerKilogramMethane_Title()</f>
        <v>Megajoules per kilogram of methane</v>
      </c>
      <c r="M120" s="8"/>
    </row>
    <row r="121" spans="1:22" ht="20.100000000000001" customHeight="1" x14ac:dyDescent="0.25">
      <c r="A121"/>
      <c r="D121" s="11" t="str" cm="1">
        <f t="array" ref="D121">SourceData_Swine.SourceData_Swine_MegajoulesPerKilogramMethane_Source()</f>
        <v>VEERG 2026: 3.5.2.3 CONSTANT</v>
      </c>
      <c r="M121" s="8"/>
    </row>
    <row r="122" spans="1:22" ht="20.100000000000001" customHeight="1" x14ac:dyDescent="0.25">
      <c r="A122"/>
      <c r="D122" s="27"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A123"/>
      <c r="M123" s="8"/>
    </row>
    <row r="124" spans="1:22" ht="20.100000000000001" customHeight="1" x14ac:dyDescent="0.25">
      <c r="A124"/>
      <c r="M124" s="8"/>
    </row>
    <row r="125" spans="1:22" ht="20.100000000000001" customHeight="1" x14ac:dyDescent="0.25">
      <c r="A125"/>
      <c r="D125" s="9" t="str" cm="1">
        <f t="array" ref="D125">SourceData_Swine.SourceData_Swine_AverageLiveweight_Title()</f>
        <v>Swine - Average liveweight (inventory defaults) (kg) (Wco)</v>
      </c>
      <c r="M125" s="8"/>
      <c r="V125" s="8"/>
    </row>
    <row r="126" spans="1:22" ht="20.100000000000001" customHeight="1" x14ac:dyDescent="0.25">
      <c r="A126"/>
      <c r="D126" s="11" t="str" cm="1">
        <f t="array" ref="D126">SourceData_Swine.SourceData_Swine_AverageLiveweight_Source()</f>
        <v>VEERG 2026: Table A.1.6.5: Swine - Average liveweight (inventory defaults) (kg) (Wco)</v>
      </c>
      <c r="M126" s="8"/>
      <c r="V126" s="8"/>
    </row>
    <row r="127" spans="1:22" ht="20.100000000000001" customHeight="1" x14ac:dyDescent="0.25">
      <c r="A127"/>
      <c r="D127" s="10" t="s">
        <v>552</v>
      </c>
      <c r="E127" s="10" t="s">
        <v>553</v>
      </c>
      <c r="M127" s="8"/>
      <c r="V127" s="8"/>
    </row>
    <row r="128" spans="1:22" ht="20.100000000000001" customHeight="1" x14ac:dyDescent="0.25">
      <c r="A128"/>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1:22" ht="20.100000000000001" customHeight="1" x14ac:dyDescent="0.25">
      <c r="A129"/>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1:22" ht="20.100000000000001" customHeight="1" x14ac:dyDescent="0.25">
      <c r="A130"/>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1:22" ht="20.100000000000001" customHeight="1" x14ac:dyDescent="0.25">
      <c r="A131"/>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1:22" ht="20.100000000000001" customHeight="1" x14ac:dyDescent="0.25">
      <c r="A132"/>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51B4-AD4D-4B01-92F6-10B103D060F9}">
  <dimension ref="A1:V288"/>
  <sheetViews>
    <sheetView showGridLines="0" topLeftCell="H1" zoomScaleNormal="100" workbookViewId="0">
      <selection activeCell="A46" sqref="A46"/>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509</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510</v>
      </c>
      <c r="G5" s="9" t="s">
        <v>511</v>
      </c>
      <c r="J5" s="9" t="s">
        <v>142</v>
      </c>
      <c r="L5" s="9" t="s">
        <v>964</v>
      </c>
      <c r="M5" s="8"/>
    </row>
    <row r="6" spans="1:21" ht="20.100000000000001" customHeight="1" x14ac:dyDescent="0.25">
      <c r="A6"/>
      <c r="L6" s="8" t="s">
        <v>965</v>
      </c>
      <c r="M6" s="8"/>
    </row>
    <row r="7" spans="1:21" ht="20.100000000000001" customHeight="1" x14ac:dyDescent="0.25">
      <c r="A7" s="19" t="s">
        <v>67</v>
      </c>
      <c r="D7" s="159" t="s">
        <v>512</v>
      </c>
      <c r="E7" s="10" t="s">
        <v>318</v>
      </c>
      <c r="G7" s="10" t="s">
        <v>144</v>
      </c>
      <c r="J7" s="10" t="s">
        <v>43</v>
      </c>
      <c r="L7" s="10" t="s">
        <v>276</v>
      </c>
      <c r="M7" s="8"/>
    </row>
    <row r="8" spans="1:21" ht="20.100000000000001" customHeight="1" x14ac:dyDescent="0.25">
      <c r="A8" s="16" t="str">
        <f>HYPERLINK("#'Input - Site'!A1", "Site")</f>
        <v>Site</v>
      </c>
      <c r="D8" s="10" t="str">
        <f>'Constants - Common Livestock'!$E$10</f>
        <v>Anaerobic lagoon</v>
      </c>
      <c r="E8" s="10" t="str">
        <f>'Constants - Common Livestock'!$F$10</f>
        <v>Anaerobic lagoon (m=1)</v>
      </c>
      <c r="G8" s="10" t="str">
        <f>'Constants - Common'!$F$187</f>
        <v>Pasture</v>
      </c>
      <c r="J8" s="10" t="s">
        <v>147</v>
      </c>
      <c r="L8" s="10" t="s">
        <v>504</v>
      </c>
      <c r="M8" s="8"/>
    </row>
    <row r="9" spans="1:21" ht="20.100000000000001" customHeight="1" x14ac:dyDescent="0.25">
      <c r="A9" s="16" t="str">
        <f>HYPERLINK("#'Input - Fuel'!A1", "Fuel")</f>
        <v>Fuel</v>
      </c>
      <c r="D9" s="10" t="str">
        <f>'Constants - Common Livestock'!$E$13</f>
        <v>Sump and dispersal system</v>
      </c>
      <c r="E9" s="10" t="str">
        <f>'Constants - Common Livestock'!$F$13</f>
        <v>Sump and dispersal system (m=3a)</v>
      </c>
      <c r="G9" s="8" t="str">
        <f>'Constants - Common'!$F$188</f>
        <v>Crop</v>
      </c>
      <c r="J9" s="10" t="s">
        <v>151</v>
      </c>
      <c r="L9" s="10" t="s">
        <v>966</v>
      </c>
      <c r="M9" s="8"/>
    </row>
    <row r="10" spans="1:21" ht="20.100000000000001" customHeight="1" x14ac:dyDescent="0.25">
      <c r="A10" s="16" t="str">
        <f>HYPERLINK("#'Input - Fertiliser'!A1", "Fertiliser")</f>
        <v>Fertiliser</v>
      </c>
      <c r="D10" s="10" t="str">
        <f>'Constants - Common Livestock'!$E$14</f>
        <v>Drains to paddock</v>
      </c>
      <c r="E10" s="10" t="str">
        <f>'Constants - Common Livestock'!$F$14</f>
        <v>Drains to paddock (m=3b)</v>
      </c>
      <c r="J10" s="8" t="s">
        <v>154</v>
      </c>
      <c r="L10" s="10" t="s">
        <v>967</v>
      </c>
      <c r="M10" s="8"/>
    </row>
    <row r="11" spans="1:21" ht="20.100000000000001" customHeight="1" x14ac:dyDescent="0.25">
      <c r="A11" s="16" t="str">
        <f>HYPERLINK("#'Input - Common farm inputs'!A1", "Common farm inputs")</f>
        <v>Common farm inputs</v>
      </c>
      <c r="D11" s="10" t="str">
        <f>'Constants - Common Livestock'!$E$15</f>
        <v>Solid storage</v>
      </c>
      <c r="E11" s="10" t="str">
        <f>'Constants - Common Livestock'!$F$15</f>
        <v>Solid storage (m=4)</v>
      </c>
      <c r="J11" s="8" t="s">
        <v>157</v>
      </c>
      <c r="L11" s="10" t="s">
        <v>472</v>
      </c>
      <c r="M11" s="8"/>
    </row>
    <row r="12" spans="1:21" ht="20.100000000000001" customHeight="1" x14ac:dyDescent="0.25">
      <c r="A12" s="16" t="str">
        <f>HYPERLINK("#'Input - Processing inputs'!A1", "Processing inputs")</f>
        <v>Processing inputs</v>
      </c>
      <c r="J12" s="8" t="s">
        <v>159</v>
      </c>
      <c r="L12" s="10" t="s">
        <v>471</v>
      </c>
      <c r="M12" s="8"/>
    </row>
    <row r="13" spans="1:21" ht="20.100000000000001" customHeight="1" x14ac:dyDescent="0.25">
      <c r="A13" s="16" t="str">
        <f>HYPERLINK("#'Input - Crop pasture farm input'!A1", "Crop pasture farm input")</f>
        <v>Crop pasture farm input</v>
      </c>
      <c r="M13" s="8"/>
    </row>
    <row r="14" spans="1:21" ht="20.100000000000001" customHeight="1" x14ac:dyDescent="0.25">
      <c r="A14" s="16" t="str">
        <f>HYPERLINK("#'Input - Hort farm Inputs'!A1", "Hort farm Inputs")</f>
        <v>Hort farm Inputs</v>
      </c>
      <c r="M14" s="8"/>
    </row>
    <row r="15" spans="1:21" ht="20.100000000000001" customHeight="1" x14ac:dyDescent="0.25">
      <c r="A15" s="16" t="str">
        <f>HYPERLINK("#'Input - Livestock farm Inputs'!A1", "Livestock farm Inputs")</f>
        <v>Livestock farm Inputs</v>
      </c>
      <c r="M15" s="8"/>
    </row>
    <row r="16" spans="1:21" ht="20.100000000000001" customHeight="1" x14ac:dyDescent="0.25">
      <c r="A16" s="16" t="str">
        <f>HYPERLINK("#'Input - Aquaculture inputs'!A1", "Aquaculture inputs")</f>
        <v>Aquaculture inputs</v>
      </c>
      <c r="D16" s="9" t="str" cm="1">
        <f t="array" ref="D16">SourceData_Dairy.SourceData_Dairy_LiveweightCowsAndHeifers_Title()</f>
        <v>Table A.1.3.1: Dairy cattle - Liveweight (kg) - Cows and Heifers (Wj)</v>
      </c>
      <c r="M16" s="8"/>
    </row>
    <row r="17" spans="1:13" ht="20.100000000000001" customHeight="1" x14ac:dyDescent="0.25">
      <c r="A17" s="16" t="str">
        <f>HYPERLINK("#'Input - Beef cattle purchases'!A1", "Beef cattle purchases")</f>
        <v>Beef cattle purchases</v>
      </c>
      <c r="D17" s="11" t="str" cm="1">
        <f t="array" ref="D17">SourceData_Dairy.SourceData_Dairy_LiveweightCowsAndHeifers_Source()</f>
        <v>VEERG 2026: Table A.1.3.1</v>
      </c>
      <c r="M17" s="8"/>
    </row>
    <row r="18" spans="1:13" ht="20.100000000000001" customHeight="1" x14ac:dyDescent="0.25">
      <c r="A18" s="16" t="str">
        <f>HYPERLINK("#'Input - Dairy cattle purchases'!A1", "Dairy cattle purchases")</f>
        <v>Dairy cattle purchases</v>
      </c>
      <c r="D18" s="8" t="str" cm="1">
        <f t="array" ref="D18">SourceData_Dairy.SourceData_Dairy_LiveweightCowsAndHeifers_Variable()</f>
        <v>Wj</v>
      </c>
      <c r="M18" s="8"/>
    </row>
    <row r="19" spans="1:13" ht="20.100000000000001" customHeight="1" x14ac:dyDescent="0.25">
      <c r="A19" s="16" t="str">
        <f>HYPERLINK("#'Input - Pig purchases'!A1", "Pig purchases")</f>
        <v>Pig purchases</v>
      </c>
      <c r="D19" s="13" t="str" cm="1">
        <f t="array" ref="D19">SourceData_Dairy.SourceData_Dairy_LiveweightCowsAndHeifers_Unit()</f>
        <v>kg</v>
      </c>
      <c r="M19" s="8"/>
    </row>
    <row r="20" spans="1:13" ht="20.100000000000001" customHeight="1" x14ac:dyDescent="0.25">
      <c r="A20" s="16" t="str">
        <f>HYPERLINK("#'Input - Poultry purchases'!A1", "Poultry purchases")</f>
        <v>Poultry purchases</v>
      </c>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A21" s="16" t="str">
        <f>HYPERLINK("#'Input - Freight'!A1", "Freight")</f>
        <v>Freight</v>
      </c>
      <c r="D21" s="10" t="s">
        <v>491</v>
      </c>
      <c r="E21" s="10" t="s">
        <v>504</v>
      </c>
      <c r="F21" s="10" t="s">
        <v>513</v>
      </c>
      <c r="G21" s="10" t="s">
        <v>505</v>
      </c>
      <c r="M21" s="8"/>
    </row>
    <row r="22" spans="1:13" ht="20.100000000000001" customHeight="1" x14ac:dyDescent="0.25">
      <c r="A22" s="16" t="str">
        <f>HYPERLINK("#'Input - Solid waste'!A1", "Solid waste")</f>
        <v>Solid waste</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HYPERLINK("#'Input - Manure sent off-site'!A1", "Manure sent off-site")</f>
        <v>Manure sent off-site</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HYPERLINK("#'Input - Electricity'!A1", "Electricity")</f>
        <v>Electricity</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A26"/>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A27" s="21" t="s">
        <v>77</v>
      </c>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A28" s="16" t="str">
        <f>HYPERLINK("#'15 Scope 3'!A1", "15 Scope 3")</f>
        <v>15 Scope 3</v>
      </c>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A29" s="16" t="str">
        <f>HYPERLINK("#'10.1.1-2 Solid waste treatment'!A1", "10.1.1-2 Solid waste treatment")</f>
        <v>10.1.1-2 Solid waste treatment</v>
      </c>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A30" s="16" t="str">
        <f>HYPERLINK("#'Calcs - Manure sent off-site'!A1", "Calcs - Manure sent off-site")</f>
        <v>Calcs - Manure sent off-site</v>
      </c>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A31" s="16" t="str">
        <f>HYPERLINK("#'8.1.1.1-2 Transport fuel'!A1", "8.1.1.1-2 Transport fuel")</f>
        <v>8.1.1.1-2 Transport fuel</v>
      </c>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A32" s="16" t="str">
        <f>HYPERLINK("#'8.2.1.1-2 Stationary fuel'!A1", "8.2.1.1-2 Stationary fuel")</f>
        <v>8.2.1.1-2 Stationary fuel</v>
      </c>
      <c r="M32" s="8"/>
    </row>
    <row r="33" spans="1:13" ht="20.100000000000001" customHeight="1" x14ac:dyDescent="0.25">
      <c r="A33"/>
      <c r="M33" s="8"/>
    </row>
    <row r="34" spans="1:13" ht="20.100000000000001" customHeight="1" x14ac:dyDescent="0.25">
      <c r="A34"/>
      <c r="D34" s="9" t="str" cm="1">
        <f t="array" ref="D34">SourceData_Dairy.SourceData_Dairy_LiveweightBulls_Title()</f>
        <v>Table A.1.3.2: Dairy cattle - Liveweight (kg) - Bulls (Wj)</v>
      </c>
      <c r="M34" s="8"/>
    </row>
    <row r="35" spans="1:13" ht="20.100000000000001" customHeight="1" x14ac:dyDescent="0.25">
      <c r="A35" s="222" t="s">
        <v>78</v>
      </c>
      <c r="D35" s="11" t="str" cm="1">
        <f t="array" ref="D35">SourceData_Dairy.SourceData_Dairy_LiveweightBulls_Source()</f>
        <v>VEERG 2026: Table A.1.3.2</v>
      </c>
      <c r="M35" s="8"/>
    </row>
    <row r="36" spans="1:13" ht="20.100000000000001" customHeight="1" x14ac:dyDescent="0.25">
      <c r="A36" s="16" t="str">
        <f>HYPERLINK("#'Constants - Scope 3'!A1", "Constants - Scope 3")</f>
        <v>Constants - Scope 3</v>
      </c>
      <c r="D36" s="8" t="str" cm="1">
        <f t="array" ref="D36">SourceData_Dairy.SourceData_Dairy_LiveweightBulls_Variable()</f>
        <v>Wj</v>
      </c>
      <c r="M36" s="8"/>
    </row>
    <row r="37" spans="1:13" ht="20.100000000000001" customHeight="1" x14ac:dyDescent="0.25">
      <c r="A37" s="16" t="str">
        <f>HYPERLINK("#'Constants - Solid Waste'!A1", "Constants - Solid Waste")</f>
        <v>Constants - Solid Waste</v>
      </c>
      <c r="D37" s="13" t="str" cm="1">
        <f t="array" ref="D37">SourceData_Dairy.SourceData_Dairy_LiveweightBulls_Unit()</f>
        <v>kg</v>
      </c>
      <c r="M37" s="8"/>
    </row>
    <row r="38" spans="1:13" ht="20.100000000000001" customHeight="1" x14ac:dyDescent="0.25">
      <c r="A38" s="16" t="str">
        <f>HYPERLINK("#'Constants - Fuel'!A1", "Constants - Fuel")</f>
        <v>Constants - Fuel</v>
      </c>
      <c r="D38" s="10" t="s">
        <v>491</v>
      </c>
      <c r="E38" s="10" t="s">
        <v>514</v>
      </c>
      <c r="F38" s="10" t="s">
        <v>515</v>
      </c>
      <c r="M38" s="8"/>
    </row>
    <row r="39" spans="1:13" ht="20.100000000000001" customHeight="1" x14ac:dyDescent="0.25">
      <c r="A39" s="16" t="str">
        <f>HYPERLINK("#'Constants - Poultry'!A1", "Constants - Poultry")</f>
        <v>Constants - Poultry</v>
      </c>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1:13" ht="20.100000000000001" customHeight="1" x14ac:dyDescent="0.25">
      <c r="A40" s="16" t="str">
        <f>HYPERLINK("#'Constants - Swine'!A1", "Constants - Swine")</f>
        <v>Constants - Swine</v>
      </c>
      <c r="M40" s="8"/>
    </row>
    <row r="41" spans="1:13" ht="20.100000000000001" customHeight="1" x14ac:dyDescent="0.25">
      <c r="A41" s="23" t="str">
        <f>HYPERLINK("#'Constants - Dairy'!A1", "Constants - Dairy")</f>
        <v>Constants - Dairy</v>
      </c>
      <c r="M41" s="8"/>
    </row>
    <row r="42" spans="1:13" ht="20.100000000000001" customHeight="1" x14ac:dyDescent="0.25">
      <c r="A42" s="16" t="str">
        <f>HYPERLINK("#'Constants - Pasture Beef'!A1", "Constants - Pasture Beef")</f>
        <v>Constants - Pasture Beef</v>
      </c>
      <c r="D42" s="9" t="str" cm="1">
        <f t="array" ref="D42">SourceData_Dairy.SourceData_Dairy_LiveweightGain_Title()</f>
        <v>Table A.1.3.3: Dairy cattle - Liveweight gain (kg) (LWGj)</v>
      </c>
      <c r="M42" s="8"/>
    </row>
    <row r="43" spans="1:13" ht="20.100000000000001" customHeight="1" x14ac:dyDescent="0.25">
      <c r="A43" s="16" t="str">
        <f>HYPERLINK("#'Constants - Common Livestock'!A1", "Constants - Common Livestock")</f>
        <v>Constants - Common Livestock</v>
      </c>
      <c r="D43" s="11" t="str" cm="1">
        <f t="array" ref="D43">SourceData_Dairy.SourceData_Dairy_LiveweightGain_Source()</f>
        <v>VEERG 2026: Table A.1.3.3</v>
      </c>
      <c r="M43" s="8"/>
    </row>
    <row r="44" spans="1:13" ht="20.100000000000001" customHeight="1" x14ac:dyDescent="0.25">
      <c r="A44" s="16" t="str">
        <f>HYPERLINK("#'Constants - Fertiliser'!A1", "Constants - Fertiliser")</f>
        <v>Constants - Fertiliser</v>
      </c>
      <c r="D44" s="8" t="str" cm="1">
        <f t="array" ref="D44">SourceData_Dairy.SourceData_Dairy_LiveweightGain_Variable()</f>
        <v>LWGj</v>
      </c>
      <c r="M44" s="8"/>
    </row>
    <row r="45" spans="1:13" ht="20.100000000000001" customHeight="1" x14ac:dyDescent="0.25">
      <c r="A45" s="16" t="str">
        <f>HYPERLINK("#'Constants - Electricity'!A1", "Constants - Electricity")</f>
        <v>Constants - Electricity</v>
      </c>
      <c r="D45" s="13" t="str" cm="1">
        <f t="array" ref="D45">SourceData_Dairy.SourceData_Dairy_LiveweightGain_Unit()</f>
        <v>kg</v>
      </c>
      <c r="M45" s="8"/>
    </row>
    <row r="46" spans="1:13" ht="20.100000000000001" customHeight="1" x14ac:dyDescent="0.25">
      <c r="A46" s="16" t="str">
        <f>HYPERLINK("#'Constants - Common'!A1", "Constants - Common")</f>
        <v>Constants - Common</v>
      </c>
      <c r="D46" s="10" t="s">
        <v>504</v>
      </c>
      <c r="E46" s="10" t="s">
        <v>513</v>
      </c>
      <c r="F46" s="10" t="s">
        <v>505</v>
      </c>
      <c r="G46" s="10" t="s">
        <v>514</v>
      </c>
      <c r="H46" s="10" t="s">
        <v>515</v>
      </c>
      <c r="M46" s="8"/>
    </row>
    <row r="47" spans="1:13" ht="20.100000000000001" customHeight="1" x14ac:dyDescent="0.25">
      <c r="A47"/>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1:13" ht="20.100000000000001" customHeight="1" x14ac:dyDescent="0.25">
      <c r="A48"/>
      <c r="M48" s="8"/>
    </row>
    <row r="49" spans="1:13" ht="20.100000000000001" customHeight="1" x14ac:dyDescent="0.25">
      <c r="A49"/>
      <c r="M49" s="8"/>
    </row>
    <row r="50" spans="1:13" ht="20.100000000000001" customHeight="1" x14ac:dyDescent="0.25">
      <c r="A50"/>
      <c r="D50" s="9" t="str" cm="1">
        <f t="array" ref="D50">SourceData_Dairy.SourceData_Dairy_ReferenceWeights_Title()</f>
        <v>Table A.1.3.4: Dairy cattle - Reference weights (kg) (WRj)</v>
      </c>
      <c r="M50" s="8"/>
    </row>
    <row r="51" spans="1:13" ht="20.100000000000001" customHeight="1" x14ac:dyDescent="0.25">
      <c r="A51"/>
      <c r="D51" s="11" t="str" cm="1">
        <f t="array" ref="D51">SourceData_Dairy.SourceData_Dairy_ReferenceWeights_Source()</f>
        <v>VEERG 2026: Table A.1.3.4</v>
      </c>
      <c r="M51" s="8"/>
    </row>
    <row r="52" spans="1:13" ht="20.100000000000001" customHeight="1" x14ac:dyDescent="0.25">
      <c r="A52"/>
      <c r="D52" s="8" t="str" cm="1">
        <f t="array" ref="D52">SourceData_Dairy.SourceData_Dairy_ReferenceWeights_Variable()</f>
        <v>WRj</v>
      </c>
      <c r="M52" s="8"/>
    </row>
    <row r="53" spans="1:13" ht="20.100000000000001" customHeight="1" x14ac:dyDescent="0.25">
      <c r="A53"/>
      <c r="D53" s="13" t="str" cm="1">
        <f t="array" ref="D53">SourceData_Dairy.SourceData_Dairy_ReferenceWeights_Unit()</f>
        <v>kg</v>
      </c>
      <c r="M53" s="8"/>
    </row>
    <row r="54" spans="1:13" ht="20.100000000000001" customHeight="1" x14ac:dyDescent="0.25">
      <c r="A54"/>
      <c r="D54" s="160" t="s">
        <v>504</v>
      </c>
      <c r="E54" s="160" t="s">
        <v>513</v>
      </c>
      <c r="F54" s="160" t="s">
        <v>505</v>
      </c>
      <c r="G54" s="160" t="s">
        <v>514</v>
      </c>
      <c r="H54" s="160" t="s">
        <v>515</v>
      </c>
      <c r="M54" s="8"/>
    </row>
    <row r="55" spans="1:13" ht="20.100000000000001" customHeight="1" x14ac:dyDescent="0.25">
      <c r="A55"/>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A56"/>
      <c r="M56" s="8"/>
    </row>
    <row r="57" spans="1:13" ht="20.100000000000001" customHeight="1" x14ac:dyDescent="0.25">
      <c r="A57"/>
      <c r="M57" s="8"/>
    </row>
    <row r="58" spans="1:13" ht="20.100000000000001" customHeight="1" x14ac:dyDescent="0.25">
      <c r="A58"/>
      <c r="D58" s="9" t="str" cm="1">
        <f t="array" ref="D58">SourceData_Dairy.SourceData_Dairy_PreWeanedCalves_Title()</f>
        <v>Table A.1.3.5: Dairy cattle - Data for pre - weaned calves</v>
      </c>
      <c r="M58" s="8"/>
    </row>
    <row r="59" spans="1:13" ht="20.100000000000001" customHeight="1" x14ac:dyDescent="0.25">
      <c r="A59"/>
      <c r="D59" s="11" t="str" cm="1">
        <f t="array" ref="D59">SourceData_Dairy.SourceData_Dairy_PreWeanedCalves_Source()</f>
        <v>VEERG 2026: Table A.1.3.5</v>
      </c>
      <c r="M59" s="8"/>
    </row>
    <row r="60" spans="1:13" ht="20.100000000000001" customHeight="1" x14ac:dyDescent="0.25">
      <c r="A60"/>
      <c r="D60" s="8" t="str" cm="1">
        <f t="array" ref="D60">SourceData_Dairy.SourceData_Dairy_PreWeanedCalves_Variable()</f>
        <v>VSj=3,5; NPWj=3,5</v>
      </c>
      <c r="M60" s="8"/>
    </row>
    <row r="61" spans="1:13" ht="20.100000000000001" customHeight="1" x14ac:dyDescent="0.25">
      <c r="A61"/>
      <c r="D61" s="13" t="str" cm="1">
        <f t="array" ref="D61">SourceData_Dairy.SourceData_Dairy_PreWeanedCalves_Unit()</f>
        <v>kg/day</v>
      </c>
      <c r="M61" s="8"/>
    </row>
    <row r="62" spans="1:13" ht="20.100000000000001" customHeight="1" x14ac:dyDescent="0.25">
      <c r="A62"/>
      <c r="D62" s="10" t="s">
        <v>516</v>
      </c>
      <c r="E62" s="10" t="s">
        <v>517</v>
      </c>
      <c r="F62" s="10" t="s">
        <v>518</v>
      </c>
      <c r="G62" s="10" t="s">
        <v>519</v>
      </c>
      <c r="M62" s="8"/>
    </row>
    <row r="63" spans="1:13" ht="20.100000000000001" customHeight="1" x14ac:dyDescent="0.25">
      <c r="A63"/>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A64"/>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A65"/>
      <c r="M65" s="8"/>
    </row>
    <row r="66" spans="1:22" ht="20.100000000000001" customHeight="1" x14ac:dyDescent="0.25">
      <c r="A66"/>
      <c r="M66" s="8"/>
    </row>
    <row r="67" spans="1:22" ht="20.100000000000001" customHeight="1" x14ac:dyDescent="0.25">
      <c r="A67"/>
      <c r="D67" s="9" t="str" cm="1">
        <f t="array" ref="D67">SourceData_Dairy.SourceData_Dairy_MCF_Title()</f>
        <v>Table A.1.3.6: Dairy cattle - Dairy cattle - MCFs (fraction) (MCFjm)</v>
      </c>
      <c r="M67" s="8"/>
    </row>
    <row r="68" spans="1:22" ht="20.100000000000001" customHeight="1" x14ac:dyDescent="0.25">
      <c r="A68"/>
      <c r="D68" s="11" t="str" cm="1">
        <f t="array" ref="D68">SourceData_Dairy.SourceData_Dairy_MCF_Source()</f>
        <v>VEERG 2026: Table A.1.3.6</v>
      </c>
      <c r="M68" s="8"/>
    </row>
    <row r="69" spans="1:22" ht="20.100000000000001" customHeight="1" x14ac:dyDescent="0.25">
      <c r="A69"/>
      <c r="D69" s="8" t="str" cm="1">
        <f t="array" ref="D69">SourceData_Dairy.SourceData_Dairy_MCF_Variable()</f>
        <v>MCFjm</v>
      </c>
      <c r="M69" s="8"/>
    </row>
    <row r="70" spans="1:22" ht="20.100000000000001" customHeight="1" x14ac:dyDescent="0.25">
      <c r="A70"/>
      <c r="D70" s="13" t="str" cm="1">
        <f t="array" ref="D70">SourceData_Dairy.SourceData_Dairy_MCF_Unit()</f>
        <v>fraction</v>
      </c>
      <c r="M70" s="8"/>
    </row>
    <row r="71" spans="1:22" ht="20.100000000000001" customHeight="1" x14ac:dyDescent="0.25">
      <c r="A71"/>
      <c r="D71" s="12" t="str" cm="1">
        <f t="array" ref="D71">SourceData_Dairy.SourceData_Dairy_MCF_Variation()</f>
        <v>VARIATION OF SOURCE: Added 'NIR reference' column to aid lookup</v>
      </c>
      <c r="M71" s="8"/>
      <c r="V71" s="8"/>
    </row>
    <row r="72" spans="1:22" ht="20.100000000000001" customHeight="1" x14ac:dyDescent="0.25">
      <c r="A72"/>
      <c r="D72" s="10" t="s">
        <v>520</v>
      </c>
      <c r="E72" s="10" t="s">
        <v>304</v>
      </c>
      <c r="F72" s="10" t="s">
        <v>325</v>
      </c>
      <c r="G72" s="10" t="s">
        <v>422</v>
      </c>
      <c r="H72" s="10" t="s">
        <v>326</v>
      </c>
      <c r="I72" s="10" t="s">
        <v>381</v>
      </c>
      <c r="J72" s="10" t="s">
        <v>378</v>
      </c>
      <c r="K72" s="10" t="s">
        <v>331</v>
      </c>
      <c r="L72" s="10" t="s">
        <v>332</v>
      </c>
      <c r="M72" s="10" t="s">
        <v>521</v>
      </c>
      <c r="V72" s="8"/>
    </row>
    <row r="73" spans="1:22" ht="20.100000000000001" customHeight="1" x14ac:dyDescent="0.25">
      <c r="A73"/>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A74"/>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A7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A76"/>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A77"/>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A78"/>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c r="M79" s="8"/>
    </row>
    <row r="80" spans="1:22" ht="20.100000000000001" customHeight="1" x14ac:dyDescent="0.25">
      <c r="A80"/>
      <c r="M80" s="8"/>
    </row>
    <row r="81" spans="1:22" ht="20.100000000000001" customHeight="1" x14ac:dyDescent="0.25">
      <c r="A81"/>
      <c r="D81" s="9" t="str" cm="1">
        <f t="array" ref="D81">SourceData_Dairy.SourceData_Dairy_NitrousOxideEFsAndFracGASM_Title()</f>
        <v>Table A.1.3.7: Dairy cattle - Nitrous oxide EFs and fraction of N volatilised by MMS</v>
      </c>
      <c r="M81" s="8"/>
    </row>
    <row r="82" spans="1:22" ht="20.100000000000001" customHeight="1" x14ac:dyDescent="0.25">
      <c r="A82"/>
      <c r="D82" s="11" t="str" cm="1">
        <f t="array" ref="D82">SourceData_Dairy.SourceData_Dairy_NitrousOxideEFsAndFracGASM_Source()</f>
        <v>VEERG 2026: Table A.1.3.7</v>
      </c>
      <c r="M82" s="8"/>
    </row>
    <row r="83" spans="1:22" ht="20.100000000000001" customHeight="1" x14ac:dyDescent="0.25">
      <c r="A83"/>
      <c r="D83" s="8" t="str" cm="1">
        <f t="array" ref="D83">SourceData_Dairy.SourceData_Dairy_NitrousOxideEFsAndFracGASM_Variable()</f>
        <v>EFm; FracGASMm</v>
      </c>
      <c r="M83" s="8"/>
    </row>
    <row r="84" spans="1:22" ht="20.100000000000001" customHeight="1" x14ac:dyDescent="0.25">
      <c r="A84"/>
      <c r="D84" s="13" t="str" cm="1">
        <f t="array" ref="D84">SourceData_Dairy.SourceData_Dairy_NitrousOxideEFsAndFracGASM_Unit()</f>
        <v>kg N2O-N/kg N excreted</v>
      </c>
      <c r="M84" s="8"/>
    </row>
    <row r="85" spans="1:22" ht="20.100000000000001" customHeight="1" x14ac:dyDescent="0.25">
      <c r="A85"/>
      <c r="D85" s="12" t="str" cm="1">
        <f t="array" ref="D85">SourceData_Dairy.SourceData_Dairy_NitrousOxideEFsAndFracGASM_Variation()</f>
        <v>VARIATION OF SOURCE: Added 'NIR reference' column to aid lookup</v>
      </c>
      <c r="M85" s="8"/>
      <c r="V85" s="8"/>
    </row>
    <row r="86" spans="1:22" ht="20.100000000000001" customHeight="1" x14ac:dyDescent="0.25">
      <c r="A86"/>
      <c r="D86" s="10" t="s">
        <v>520</v>
      </c>
      <c r="E86" s="10" t="s">
        <v>522</v>
      </c>
      <c r="F86" s="10" t="s">
        <v>523</v>
      </c>
      <c r="G86" s="10" t="s">
        <v>521</v>
      </c>
      <c r="M86" s="8"/>
      <c r="V86" s="8"/>
    </row>
    <row r="87" spans="1:22" ht="20.100000000000001" customHeight="1" x14ac:dyDescent="0.25">
      <c r="A87"/>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1:22" ht="20.100000000000001" customHeight="1" x14ac:dyDescent="0.25">
      <c r="A88"/>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1:22" ht="20.100000000000001" customHeight="1" x14ac:dyDescent="0.25">
      <c r="A89"/>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1:22" ht="20.100000000000001" customHeight="1" x14ac:dyDescent="0.25">
      <c r="A90"/>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1:22" ht="20.100000000000001" customHeight="1" x14ac:dyDescent="0.25">
      <c r="A91"/>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1:22" ht="20.100000000000001" customHeight="1" x14ac:dyDescent="0.25">
      <c r="A92"/>
      <c r="M92" s="8"/>
    </row>
    <row r="93" spans="1:22" ht="20.100000000000001" customHeight="1" x14ac:dyDescent="0.25">
      <c r="A93"/>
      <c r="M93" s="8"/>
    </row>
    <row r="94" spans="1:22" ht="20.100000000000001" customHeight="1" x14ac:dyDescent="0.25">
      <c r="A94"/>
      <c r="D94" s="9" t="str" cm="1">
        <f t="array" ref="D94">SourceData_Dairy.SourceData_Dairy_MethaneProductionPreWeanedCalves_Title()</f>
        <v>Table A.1.3.8: Dairy cattle - Methane production for pre-weaned heifer and bull calves (kg CH4/head/day) (MPWENTERIC,j=3,5)</v>
      </c>
      <c r="M94" s="8"/>
    </row>
    <row r="95" spans="1:22" ht="20.100000000000001" customHeight="1" x14ac:dyDescent="0.25">
      <c r="A95"/>
      <c r="D95" s="11" t="str" cm="1">
        <f t="array" ref="D95">SourceData_Dairy.SourceData_Dairy_MethaneProductionPreWeanedCalves_Source()</f>
        <v>VEERG 2026: Table A.1.3.8</v>
      </c>
      <c r="M95" s="8"/>
    </row>
    <row r="96" spans="1:22" ht="20.100000000000001" customHeight="1" x14ac:dyDescent="0.25">
      <c r="A96"/>
      <c r="D96" s="8" t="str" cm="1">
        <f t="array" ref="D96">SourceData_Dairy.SourceData_Dairy_MethaneProductionPreWeanedCalves_Variable()</f>
        <v>MPWENTERIC,j=3,5</v>
      </c>
      <c r="M96" s="8"/>
    </row>
    <row r="97" spans="1:13" ht="20.100000000000001" customHeight="1" x14ac:dyDescent="0.25">
      <c r="A97"/>
      <c r="D97" s="13" t="str" cm="1">
        <f t="array" ref="D97">SourceData_Dairy.SourceData_Dairy_MethaneProductionPreWeanedCalves_Unit()</f>
        <v>kg CH4/head/day</v>
      </c>
      <c r="M97" s="8"/>
    </row>
    <row r="98" spans="1:13" ht="20.100000000000001" customHeight="1" x14ac:dyDescent="0.25">
      <c r="A98"/>
      <c r="D98" s="10" t="s">
        <v>516</v>
      </c>
      <c r="E98" s="10" t="s">
        <v>524</v>
      </c>
      <c r="M98" s="8"/>
    </row>
    <row r="99" spans="1:13" ht="20.100000000000001" customHeight="1" x14ac:dyDescent="0.25">
      <c r="A99"/>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A100"/>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A101"/>
      <c r="M101" s="8"/>
    </row>
    <row r="102" spans="1:13" ht="20.100000000000001" customHeight="1" x14ac:dyDescent="0.25">
      <c r="A102"/>
      <c r="M102" s="8"/>
    </row>
    <row r="103" spans="1:13" ht="20.100000000000001" customHeight="1" x14ac:dyDescent="0.25">
      <c r="A103"/>
      <c r="D103" s="9" t="str" cm="1">
        <f t="array" ref="D103">SourceData_Dairy.SourceData_Dairy_IncreasedMetabolicRateMilk_Title()</f>
        <v>Table A.1.3.9: Dairy cattle - Increased metabolic rate when producing milk (MRj)</v>
      </c>
      <c r="M103" s="8"/>
    </row>
    <row r="104" spans="1:13" ht="20.100000000000001" customHeight="1" x14ac:dyDescent="0.25">
      <c r="A104"/>
      <c r="D104" s="11" t="str" cm="1">
        <f t="array" ref="D104">SourceData_Dairy.SourceData_Dairy_IncreasedMetabolicRateMilk_Source()</f>
        <v>VEERG 2026: Table A.1.3.9</v>
      </c>
      <c r="M104" s="8"/>
    </row>
    <row r="105" spans="1:13" ht="20.100000000000001" customHeight="1" x14ac:dyDescent="0.25">
      <c r="A105"/>
      <c r="D105" s="8" t="str" cm="1">
        <f t="array" ref="D105">SourceData_Dairy.SourceData_Dairy_IncreasedMetabolicRateMilk_Variable()</f>
        <v>MRj</v>
      </c>
      <c r="M105" s="8"/>
    </row>
    <row r="106" spans="1:13" ht="20.100000000000001" customHeight="1" x14ac:dyDescent="0.25">
      <c r="A106"/>
      <c r="D106" s="13" t="str" cm="1">
        <f t="array" ref="D106">SourceData_Dairy.SourceData_Dairy_IncreasedMetabolicRateMilk_Unit()</f>
        <v/>
      </c>
      <c r="M106" s="8"/>
    </row>
    <row r="107" spans="1:13" ht="20.100000000000001" customHeight="1" x14ac:dyDescent="0.25">
      <c r="A107"/>
      <c r="D107" s="10" t="s">
        <v>516</v>
      </c>
      <c r="E107" s="10" t="s">
        <v>525</v>
      </c>
      <c r="M107" s="8"/>
    </row>
    <row r="108" spans="1:13" ht="20.100000000000001" customHeight="1" x14ac:dyDescent="0.25">
      <c r="A108"/>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A109"/>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A110"/>
      <c r="M110" s="8"/>
    </row>
    <row r="111" spans="1:13" ht="20.100000000000001" customHeight="1" x14ac:dyDescent="0.25">
      <c r="A111"/>
      <c r="M111" s="8"/>
    </row>
    <row r="112" spans="1:13" ht="20.100000000000001" customHeight="1" x14ac:dyDescent="0.25">
      <c r="A112"/>
      <c r="D112" s="9" t="str" cm="1">
        <f t="array" ref="D112">SourceData_Dairy.SourceData_Dairy_FractionVolatileSolidsVoidedMMS_Title()</f>
        <v>Table A.1.3.10: Dairy cattle - Fraction of volatile solids voided to each manure management system (fraction) (MMSjm)</v>
      </c>
      <c r="M112" s="8"/>
    </row>
    <row r="113" spans="1:22" ht="20.100000000000001" customHeight="1" x14ac:dyDescent="0.25">
      <c r="A113"/>
      <c r="D113" s="11" t="str" cm="1">
        <f t="array" ref="D113">SourceData_Dairy.SourceData_Dairy_FractionVolatileSolidsVoidedMMS_Source()</f>
        <v>VEERG 2026: Table A.1.3.10</v>
      </c>
      <c r="M113" s="8"/>
    </row>
    <row r="114" spans="1:22" ht="20.100000000000001" customHeight="1" x14ac:dyDescent="0.25">
      <c r="A114"/>
      <c r="D114" s="8" t="str" cm="1">
        <f t="array" ref="D114">SourceData_Dairy.SourceData_Dairy_FractionVolatileSolidsVoidedMMS_Variable()</f>
        <v>MMSjm</v>
      </c>
      <c r="M114" s="8"/>
    </row>
    <row r="115" spans="1:22" ht="20.100000000000001" customHeight="1" x14ac:dyDescent="0.25">
      <c r="A115"/>
      <c r="D115" s="13" t="str" cm="1">
        <f t="array" ref="D115">SourceData_Dairy.SourceData_Dairy_FractionVolatileSolidsVoidedMMS_Unit()</f>
        <v>fraction</v>
      </c>
      <c r="M115" s="8"/>
      <c r="V115" s="8"/>
    </row>
    <row r="116" spans="1:22" ht="20.100000000000001" customHeight="1" x14ac:dyDescent="0.25">
      <c r="A116"/>
      <c r="D116" s="10" t="s">
        <v>526</v>
      </c>
      <c r="E116" s="10" t="s">
        <v>146</v>
      </c>
      <c r="F116" s="10" t="s">
        <v>527</v>
      </c>
      <c r="G116" s="10" t="s">
        <v>528</v>
      </c>
      <c r="M116" s="8"/>
      <c r="V116" s="8"/>
    </row>
    <row r="117" spans="1:22" ht="20.100000000000001" customHeight="1" x14ac:dyDescent="0.25">
      <c r="A117"/>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1:22" ht="20.100000000000001" customHeight="1" x14ac:dyDescent="0.25">
      <c r="A118"/>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1:22" ht="20.100000000000001" customHeight="1" x14ac:dyDescent="0.25">
      <c r="A119"/>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1:22" ht="20.100000000000001" customHeight="1" x14ac:dyDescent="0.25">
      <c r="A120"/>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1:22" ht="20.100000000000001" customHeight="1" x14ac:dyDescent="0.25">
      <c r="A121"/>
      <c r="M121" s="8"/>
    </row>
    <row r="122" spans="1:22" ht="20.100000000000001" customHeight="1" x14ac:dyDescent="0.25">
      <c r="A122"/>
      <c r="M122" s="8"/>
    </row>
    <row r="123" spans="1:22" ht="20.100000000000001" customHeight="1" x14ac:dyDescent="0.25">
      <c r="A123"/>
      <c r="D123" s="9" t="str" cm="1">
        <f t="array" ref="D123">SourceData_Dairy.SourceData_Dairy_EFNitrousOxidePerMMS_Title()</f>
        <v>Table A.1.3.11: Dairy cattle - EF for nitrous oxide per MMS (kg N2O-N/kg N) (EFm)</v>
      </c>
      <c r="M123" s="8"/>
    </row>
    <row r="124" spans="1:22" ht="20.100000000000001" customHeight="1" x14ac:dyDescent="0.25">
      <c r="A124"/>
      <c r="D124" s="11" t="str" cm="1">
        <f t="array" ref="D124">SourceData_Dairy.SourceData_Dairy_EFNitrousOxidePerMMS_Source()</f>
        <v>VEERG 2026: Table A.1.3.11</v>
      </c>
      <c r="M124" s="8"/>
    </row>
    <row r="125" spans="1:22" ht="20.100000000000001" customHeight="1" x14ac:dyDescent="0.25">
      <c r="A125"/>
      <c r="D125" s="8" t="str" cm="1">
        <f t="array" ref="D125">SourceData_Dairy.SourceData_Dairy_EFNitrousOxidePerMMS_Variable()</f>
        <v>EFm</v>
      </c>
      <c r="M125" s="8"/>
      <c r="V125" s="8"/>
    </row>
    <row r="126" spans="1:22" ht="20.100000000000001" customHeight="1" x14ac:dyDescent="0.25">
      <c r="A126"/>
      <c r="D126" s="13" t="str" cm="1">
        <f t="array" ref="D126">SourceData_Dairy.SourceData_Dairy_EFNitrousOxidePerMMS_Unit()</f>
        <v>kg N2O-N/kg N</v>
      </c>
      <c r="M126" s="8"/>
      <c r="V126" s="8"/>
    </row>
    <row r="127" spans="1:22" ht="20.100000000000001" customHeight="1" x14ac:dyDescent="0.25">
      <c r="A127"/>
      <c r="D127" s="12" t="str" cm="1">
        <f t="array" ref="D127">SourceData_Dairy.SourceData_Dairy_EFNitrousOxidePerMMS_Variation()</f>
        <v>VARIATION OF SOURCE: Added 'NIR reference' column to aid lookup</v>
      </c>
      <c r="M127" s="8"/>
      <c r="V127" s="8"/>
    </row>
    <row r="128" spans="1:22" ht="20.100000000000001" customHeight="1" x14ac:dyDescent="0.25">
      <c r="A128"/>
      <c r="D128" s="10" t="s">
        <v>520</v>
      </c>
      <c r="E128" s="10" t="s">
        <v>522</v>
      </c>
      <c r="F128" s="10" t="s">
        <v>521</v>
      </c>
      <c r="G128" s="157" t="s">
        <v>529</v>
      </c>
      <c r="M128" s="8"/>
      <c r="N128" s="14"/>
      <c r="V128" s="8"/>
    </row>
    <row r="129" spans="1:22" ht="20.100000000000001" customHeight="1" x14ac:dyDescent="0.25">
      <c r="A129"/>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A130"/>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A131"/>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A132"/>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A133"/>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A134"/>
      <c r="M134" s="14"/>
    </row>
    <row r="135" spans="1:22" ht="20.100000000000001" customHeight="1" x14ac:dyDescent="0.25">
      <c r="A135"/>
      <c r="M135" s="14"/>
    </row>
    <row r="136" spans="1:22" ht="20.100000000000001" customHeight="1" x14ac:dyDescent="0.25">
      <c r="A136"/>
      <c r="D136" s="9" t="str" cm="1">
        <f t="array" ref="D136">SourceData_Dairy.SourceData_Dairy_DurationOfStay_Title()</f>
        <v>Duration of stay for each dairy cattle input class</v>
      </c>
      <c r="M136" s="14"/>
    </row>
    <row r="137" spans="1:22" ht="20.100000000000001" customHeight="1" x14ac:dyDescent="0.25">
      <c r="A137"/>
      <c r="D137" s="11" t="str" cm="1">
        <f t="array" ref="D137">SourceData_Dairy.SourceData_Dairy_DurationOfStay_Source()</f>
        <v>VEERG 2026: 4.3.2.2	DATA (METHOD 1 AND 2 OPTIONS)</v>
      </c>
      <c r="M137" s="14"/>
    </row>
    <row r="138" spans="1:22" ht="20.100000000000001" customHeight="1" x14ac:dyDescent="0.25">
      <c r="A138"/>
      <c r="D138" s="8" t="str" cm="1">
        <f t="array" ref="D138">SourceData_Dairy.SourceData_Dairy_DurationOfStay_Variable()</f>
        <v>D</v>
      </c>
      <c r="M138" s="14"/>
    </row>
    <row r="139" spans="1:22" ht="20.100000000000001" customHeight="1" x14ac:dyDescent="0.25">
      <c r="A139"/>
      <c r="D139" s="13" t="str" cm="1">
        <f t="array" ref="D139">SourceData_Dairy.SourceData_Dairy_DurationOfStay_Unit()</f>
        <v>days</v>
      </c>
      <c r="M139" s="14"/>
    </row>
    <row r="140" spans="1:22" ht="20.100000000000001" customHeight="1" x14ac:dyDescent="0.25">
      <c r="A140"/>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A141"/>
      <c r="D141" s="10" t="s">
        <v>516</v>
      </c>
      <c r="E141" s="10" t="s">
        <v>530</v>
      </c>
      <c r="F141" s="10" t="s">
        <v>531</v>
      </c>
      <c r="M141" s="14"/>
    </row>
    <row r="142" spans="1:22" ht="20.100000000000001" customHeight="1" x14ac:dyDescent="0.25">
      <c r="A142"/>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A143"/>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A144"/>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1:13" ht="20.100000000000001" customHeight="1" x14ac:dyDescent="0.25">
      <c r="A14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1:13" ht="20.100000000000001" customHeight="1" x14ac:dyDescent="0.25">
      <c r="A146"/>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1:13" ht="20.100000000000001" customHeight="1" x14ac:dyDescent="0.25">
      <c r="A147"/>
      <c r="M147" s="14"/>
    </row>
    <row r="148" spans="1:13" ht="20.100000000000001" customHeight="1" x14ac:dyDescent="0.25">
      <c r="A148"/>
      <c r="M148" s="14"/>
    </row>
    <row r="149" spans="1:13" ht="20.100000000000001" customHeight="1" x14ac:dyDescent="0.25">
      <c r="A149"/>
      <c r="D149" s="9" t="str" cm="1">
        <f t="array" ref="D149">SourceData_Dairy.SourceData_Dairy_CrudeProtein_Title()</f>
        <v>Crude protein content of feed intake</v>
      </c>
      <c r="M149" s="14"/>
    </row>
    <row r="150" spans="1:13" ht="20.100000000000001" customHeight="1" x14ac:dyDescent="0.25">
      <c r="A150"/>
      <c r="D150" s="11" t="str" cm="1">
        <f t="array" ref="D150">SourceData_Dairy.SourceData_Dairy_CrudeProtein_Source()</f>
        <v>VEERG 2026: 4.3.2.2	DATA (METHOD 1 AND 2 OPTIONS)</v>
      </c>
      <c r="M150" s="14"/>
    </row>
    <row r="151" spans="1:13" ht="20.100000000000001" customHeight="1" x14ac:dyDescent="0.25">
      <c r="A151"/>
      <c r="D151" s="8" t="str" cm="1">
        <f t="array" ref="D151">SourceData_Dairy.SourceData_Dairy_CrudeProtein_Variable()</f>
        <v>CP</v>
      </c>
      <c r="M151" s="14"/>
    </row>
    <row r="152" spans="1:13" ht="20.100000000000001" customHeight="1" x14ac:dyDescent="0.25">
      <c r="A152"/>
      <c r="D152" s="13" t="str" cm="1">
        <f t="array" ref="D152">SourceData_Dairy.SourceData_Dairy_CrudeProtein_Unit()</f>
        <v>fraction</v>
      </c>
      <c r="M152" s="14"/>
    </row>
    <row r="153" spans="1:13" ht="20.100000000000001" customHeight="1" x14ac:dyDescent="0.25">
      <c r="A153"/>
      <c r="D153" s="27" cm="1">
        <f t="array" ref="D153">SourceData_Dairy.SourceData_Dairy_CrudeProtein_Data()</f>
        <v>0.2</v>
      </c>
      <c r="M153" s="14"/>
    </row>
    <row r="154" spans="1:13" ht="20.100000000000001" customHeight="1" x14ac:dyDescent="0.25">
      <c r="A154"/>
      <c r="M154" s="14"/>
    </row>
    <row r="155" spans="1:13" ht="20.100000000000001" customHeight="1" x14ac:dyDescent="0.25">
      <c r="A155"/>
      <c r="M155" s="14"/>
    </row>
    <row r="156" spans="1:13" ht="20.100000000000001" customHeight="1" x14ac:dyDescent="0.25">
      <c r="A156"/>
      <c r="D156" s="9" t="str" cm="1">
        <f t="array" ref="D156">SourceData_Dairy.SourceData_Dairy_DryMatterDigestibility_Title()</f>
        <v>Dry matter digestibility</v>
      </c>
      <c r="M156" s="14"/>
    </row>
    <row r="157" spans="1:13" ht="20.100000000000001" customHeight="1" x14ac:dyDescent="0.25">
      <c r="A157"/>
      <c r="D157" s="11" t="str" cm="1">
        <f t="array" ref="D157">SourceData_Dairy.SourceData_Dairy_DryMatterDigestibility_Source()</f>
        <v>VEERG 2026: 3.3.2.2	DATA (METHOD 1 AND 2 OPTIONS)</v>
      </c>
      <c r="M157" s="14"/>
    </row>
    <row r="158" spans="1:13" ht="20.100000000000001" customHeight="1" x14ac:dyDescent="0.25">
      <c r="A158"/>
      <c r="D158" s="8" t="str" cm="1">
        <f t="array" ref="D158">SourceData_Dairy.SourceData_Dairy_DryMatterDigestibility_Variable()</f>
        <v>DMD</v>
      </c>
      <c r="M158" s="14"/>
    </row>
    <row r="159" spans="1:13" ht="20.100000000000001" customHeight="1" x14ac:dyDescent="0.25">
      <c r="A159"/>
      <c r="D159" s="13" t="str" cm="1">
        <f t="array" ref="D159">SourceData_Dairy.SourceData_Dairy_DryMatterDigestibility_Unit()</f>
        <v>fraction</v>
      </c>
      <c r="M159" s="14"/>
    </row>
    <row r="160" spans="1:13" ht="20.100000000000001" customHeight="1" x14ac:dyDescent="0.25">
      <c r="A160"/>
      <c r="D160" s="27"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7"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3" t="str">
        <f>HYPERLINK("#A1", "▲ Back to top")</f>
        <v>▲ Back to top</v>
      </c>
      <c r="D174" s="27"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7"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7"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7"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7"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7"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SourceData_Dairy.SourceData_Dairy_FractionOfNitrogenLostThroughLeachingAndRunoffSolidStorage_Title()</f>
        <v>Fraction of nitrogen lost through leaching and runoff for solid storage MMS only</v>
      </c>
      <c r="M211" s="14"/>
    </row>
    <row r="212" spans="1:13" x14ac:dyDescent="0.25">
      <c r="D212" s="11" t="str" cm="1">
        <f t="array" ref="D212">SourceData_Dairy.SourceData_Dairy_FractionOfNitrogenLostThroughLeachingAndRunoffSolidStorage_Source()</f>
        <v>VEERG 2026: 4.3.2.3 CONSTANTS</v>
      </c>
      <c r="M212" s="14"/>
    </row>
    <row r="213" spans="1:13" x14ac:dyDescent="0.25">
      <c r="D213" s="8" t="str" cm="1">
        <f t="array" ref="D213">SourceData_Dairy.SourceData_Dairy_FractionOfNitrogenLostThroughLeachingAndRunoffSolidStorage_Variable()</f>
        <v>Frac_LEACH_MS</v>
      </c>
      <c r="M213" s="14"/>
    </row>
    <row r="214" spans="1:13" x14ac:dyDescent="0.25">
      <c r="D214" s="13" t="str" cm="1">
        <f t="array" ref="D214">SourceData_Dairy.SourceData_Dairy_FractionOfNitrogenLostThroughLeachingAndRunoffSolidStorage_Unit()</f>
        <v>Fraction</v>
      </c>
      <c r="M214" s="14"/>
    </row>
    <row r="215" spans="1:13" x14ac:dyDescent="0.25">
      <c r="A215" s="53" t="str">
        <f>HYPERLINK("#A1", "▲ Back to top")</f>
        <v>▲ Back to top</v>
      </c>
      <c r="D215" s="27" cm="1">
        <f t="array" ref="D215">SourceData_Dairy.SourceData_Dairy_FractionOfNitrogenLostThroughLeachingAndRunoffSolidStorage_Data()</f>
        <v>0.02</v>
      </c>
      <c r="M215" s="14"/>
    </row>
    <row r="216" spans="1:13" x14ac:dyDescent="0.25">
      <c r="M216" s="14"/>
    </row>
    <row r="217" spans="1:13" ht="23.25" x14ac:dyDescent="0.25">
      <c r="D217" s="9" t="str" cm="1">
        <f t="array" ref="D217">SourceData_Dairy.SourceData_Dairy_FracGASMSoil_Title()</f>
        <v>Fraction of nitrogen volatilized from urine and faeces deposited on pasture</v>
      </c>
      <c r="M217" s="14"/>
    </row>
    <row r="218" spans="1:13" x14ac:dyDescent="0.25">
      <c r="D218" s="11" t="str" cm="1">
        <f t="array" ref="D218">SourceData_Dairy.SourceData_Dairy_FracGASMSoil_Source()</f>
        <v>VEERG 2026: 4.3.2.3 CONSTANTS</v>
      </c>
      <c r="M218" s="14"/>
    </row>
    <row r="219" spans="1:13" x14ac:dyDescent="0.25">
      <c r="D219" s="8" t="str" cm="1">
        <f t="array" ref="D219">SourceData_Dairy.SourceData_Dairy_FracGASMSoil_Variable()</f>
        <v>FracGASMsoil</v>
      </c>
      <c r="M219" s="14"/>
    </row>
    <row r="220" spans="1:13" x14ac:dyDescent="0.25">
      <c r="D220" s="13" t="str" cm="1">
        <f t="array" ref="D220">SourceData_Dairy.SourceData_Dairy_FracGASMSoil_Unit()</f>
        <v>(kg NH3-N + NOx-N)/kg N</v>
      </c>
      <c r="M220" s="14"/>
    </row>
    <row r="221" spans="1:13" x14ac:dyDescent="0.25">
      <c r="D221" s="27" cm="1">
        <f t="array" ref="D221">SourceData_Dairy.SourceData_Dairy_FracGASMSoil_Data()</f>
        <v>0.21</v>
      </c>
      <c r="M221" s="14"/>
    </row>
    <row r="222" spans="1:13" x14ac:dyDescent="0.25">
      <c r="M222" s="14"/>
    </row>
    <row r="223" spans="1:13" ht="23.25" x14ac:dyDescent="0.25">
      <c r="D223" s="9" t="str" cm="1">
        <f t="array" ref="D223">SourceData_Dairy.SourceData_Dairy_FatContentInMilk_Title()</f>
        <v>Fat content in fat and protein corrected milk</v>
      </c>
      <c r="M223" s="14"/>
    </row>
    <row r="224" spans="1:13" x14ac:dyDescent="0.25">
      <c r="D224" s="11" t="str" cm="1">
        <f t="array" ref="D224">SourceData_Dairy.SourceData_Dairy_FatContentInMilk_Source()</f>
        <v>VEERG 2026: 3.3.2.2 DATA (METHOD 1 AND 2 OPTIONS)</v>
      </c>
      <c r="M224" s="14"/>
    </row>
    <row r="225" spans="4:13" x14ac:dyDescent="0.25">
      <c r="D225" s="8" t="str" cm="1">
        <f t="array" ref="D225">SourceData_Dairy.SourceData_Dairy_FatContentInMilk_Variable()</f>
        <v>FC_j</v>
      </c>
      <c r="M225" s="14"/>
    </row>
    <row r="226" spans="4:13" x14ac:dyDescent="0.25">
      <c r="D226" s="13" t="str" cm="1">
        <f t="array" ref="D226">SourceData_Dairy.SourceData_Dairy_FatContentInMilk_Unit()</f>
        <v>percent</v>
      </c>
      <c r="M226" s="14"/>
    </row>
    <row r="227" spans="4:13" x14ac:dyDescent="0.25">
      <c r="D227" s="27" cm="1">
        <f t="array" ref="D227">SourceData_Dairy.SourceData_Dairy_FatContentInMilk_Data()</f>
        <v>4</v>
      </c>
      <c r="M227" s="14"/>
    </row>
    <row r="228" spans="4:13" x14ac:dyDescent="0.25">
      <c r="M228" s="14"/>
    </row>
    <row r="229" spans="4:13" ht="23.25" x14ac:dyDescent="0.25">
      <c r="D229" s="9" t="str" cm="1">
        <f t="array" ref="D229">SourceData_Dairy.SourceData_Dairy_ProteinContentInMilk_Title()</f>
        <v>Protein content in fat and protein corrected milk</v>
      </c>
      <c r="M229" s="14"/>
    </row>
    <row r="230" spans="4:13" x14ac:dyDescent="0.25">
      <c r="D230" s="11" t="str" cm="1">
        <f t="array" ref="D230">SourceData_Dairy.SourceData_Dairy_ProteinContentInMilk_Source()</f>
        <v>VEERG 2026: 3.3.2.2 DATA (METHOD 1 AND 2 OPTIONS)</v>
      </c>
      <c r="M230" s="14"/>
    </row>
    <row r="231" spans="4:13" x14ac:dyDescent="0.25">
      <c r="D231" s="8" t="str" cm="1">
        <f t="array" ref="D231">SourceData_Dairy.SourceData_Dairy_ProteinContentInMilk_Variable()</f>
        <v>PC_j</v>
      </c>
      <c r="M231" s="14"/>
    </row>
    <row r="232" spans="4:13" x14ac:dyDescent="0.25">
      <c r="D232" s="13" t="str" cm="1">
        <f t="array" ref="D232">SourceData_Dairy.SourceData_Dairy_ProteinContentInMilk_Unit()</f>
        <v>percent</v>
      </c>
      <c r="M232" s="14"/>
    </row>
    <row r="233" spans="4:13" x14ac:dyDescent="0.25">
      <c r="D233" s="27" cm="1">
        <f t="array" ref="D233">SourceData_Dairy.SourceData_Dairy_ProteinContentInMilk_Data()</f>
        <v>3.3</v>
      </c>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77208-5EDA-498A-8703-EBA42E3D8844}">
  <dimension ref="A1:V483"/>
  <sheetViews>
    <sheetView showGridLines="0" topLeftCell="A360" zoomScaleNormal="100" workbookViewId="0">
      <selection activeCell="A46" sqref="A46"/>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433</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434</v>
      </c>
      <c r="G5" s="9" t="s">
        <v>142</v>
      </c>
      <c r="M5" s="8" t="s">
        <v>435</v>
      </c>
      <c r="O5" s="8" t="s">
        <v>436</v>
      </c>
      <c r="Q5" s="8" t="s">
        <v>437</v>
      </c>
      <c r="S5" s="8" t="s">
        <v>438</v>
      </c>
    </row>
    <row r="6" spans="1:21" ht="20.100000000000001" customHeight="1" x14ac:dyDescent="0.25">
      <c r="A6"/>
      <c r="M6" s="8"/>
    </row>
    <row r="7" spans="1:21" ht="20.100000000000001" customHeight="1" x14ac:dyDescent="0.25">
      <c r="A7" s="19" t="s">
        <v>67</v>
      </c>
      <c r="D7" s="10" t="s">
        <v>144</v>
      </c>
      <c r="G7" s="10" t="s">
        <v>43</v>
      </c>
      <c r="M7" s="3" t="s">
        <v>374</v>
      </c>
      <c r="O7" s="10" t="s">
        <v>374</v>
      </c>
      <c r="Q7" s="10" t="s">
        <v>374</v>
      </c>
      <c r="S7" s="10" t="s">
        <v>374</v>
      </c>
    </row>
    <row r="8" spans="1:21" ht="20.100000000000001" customHeight="1" x14ac:dyDescent="0.25">
      <c r="A8" s="16" t="str">
        <f>HYPERLINK("#'Input - Site'!A1", "Site")</f>
        <v>Site</v>
      </c>
      <c r="D8" s="10" t="str">
        <f>'Constants - Common'!$F$187</f>
        <v>Pasture</v>
      </c>
      <c r="G8" s="10" t="s">
        <v>147</v>
      </c>
      <c r="M8" s="10" t="s">
        <v>439</v>
      </c>
      <c r="O8" s="10" t="s">
        <v>440</v>
      </c>
      <c r="Q8" s="10" t="s">
        <v>441</v>
      </c>
      <c r="S8" s="10" t="s">
        <v>421</v>
      </c>
    </row>
    <row r="9" spans="1:21" ht="20.100000000000001" customHeight="1" x14ac:dyDescent="0.25">
      <c r="A9" s="16" t="str">
        <f>HYPERLINK("#'Input - Fuel'!A1", "Fuel")</f>
        <v>Fuel</v>
      </c>
      <c r="D9" s="8" t="str">
        <f>'Constants - Common'!$F$188</f>
        <v>Crop</v>
      </c>
      <c r="G9" s="10" t="s">
        <v>151</v>
      </c>
      <c r="M9" s="10" t="s">
        <v>442</v>
      </c>
      <c r="O9" s="10" t="s">
        <v>443</v>
      </c>
      <c r="Q9" s="10" t="s">
        <v>444</v>
      </c>
    </row>
    <row r="10" spans="1:21" ht="20.100000000000001" customHeight="1" x14ac:dyDescent="0.25">
      <c r="A10" s="16" t="str">
        <f>HYPERLINK("#'Input - Fertiliser'!A1", "Fertiliser")</f>
        <v>Fertiliser</v>
      </c>
      <c r="G10" s="8" t="s">
        <v>154</v>
      </c>
      <c r="M10" s="10" t="s">
        <v>445</v>
      </c>
      <c r="O10" s="10" t="s">
        <v>446</v>
      </c>
      <c r="Q10" s="10" t="s">
        <v>447</v>
      </c>
      <c r="S10" s="8" t="s">
        <v>448</v>
      </c>
    </row>
    <row r="11" spans="1:21" ht="20.100000000000001" customHeight="1" x14ac:dyDescent="0.25">
      <c r="A11" s="16" t="str">
        <f>HYPERLINK("#'Input - Common farm inputs'!A1", "Common farm inputs")</f>
        <v>Common farm inputs</v>
      </c>
      <c r="G11" s="8" t="s">
        <v>157</v>
      </c>
      <c r="M11" s="8"/>
      <c r="Q11" s="10" t="s">
        <v>449</v>
      </c>
    </row>
    <row r="12" spans="1:21" ht="20.100000000000001" customHeight="1" x14ac:dyDescent="0.25">
      <c r="A12" s="16" t="str">
        <f>HYPERLINK("#'Input - Processing inputs'!A1", "Processing inputs")</f>
        <v>Processing inputs</v>
      </c>
      <c r="G12" s="8" t="s">
        <v>159</v>
      </c>
      <c r="M12" s="8"/>
      <c r="S12" s="10" t="s">
        <v>374</v>
      </c>
    </row>
    <row r="13" spans="1:21" ht="20.100000000000001" customHeight="1" x14ac:dyDescent="0.25">
      <c r="A13" s="16" t="str">
        <f>HYPERLINK("#'Input - Crop pasture farm input'!A1", "Crop pasture farm input")</f>
        <v>Crop pasture farm input</v>
      </c>
      <c r="M13" s="8"/>
      <c r="S13" s="10" t="s">
        <v>421</v>
      </c>
    </row>
    <row r="14" spans="1:21" ht="20.100000000000001" customHeight="1" x14ac:dyDescent="0.25">
      <c r="A14" s="16" t="str">
        <f>HYPERLINK("#'Input - Hort farm Inputs'!A1", "Hort farm Inputs")</f>
        <v>Hort farm Inputs</v>
      </c>
      <c r="D14" s="9" t="str" cm="1">
        <f t="array" ref="D14">SourceData_PastureBeef.SourceData_PastureBeef_Liveweight_Title()</f>
        <v>Beef pasture cattle - Liveweight (kg) (Wjkl)</v>
      </c>
      <c r="M14" s="8"/>
    </row>
    <row r="15" spans="1:21" ht="20.100000000000001" customHeight="1" x14ac:dyDescent="0.25">
      <c r="A15" s="16" t="str">
        <f>HYPERLINK("#'Input - Livestock farm Inputs'!A1", "Livestock farm Inputs")</f>
        <v>Livestock farm Inputs</v>
      </c>
      <c r="D15" s="11" t="str" cm="1">
        <f t="array" ref="D15">SourceData_PastureBeef.SourceData_PastureBeef_Liveweight_Source()</f>
        <v>VEERG 2026: Table A.1.2.1</v>
      </c>
      <c r="M15" s="8"/>
      <c r="S15" s="8" t="s">
        <v>450</v>
      </c>
    </row>
    <row r="16" spans="1:21" ht="20.100000000000001" customHeight="1" x14ac:dyDescent="0.25">
      <c r="A16" s="16" t="str">
        <f>HYPERLINK("#'Input - Aquaculture inputs'!A1", "Aquaculture inputs")</f>
        <v>Aquaculture inputs</v>
      </c>
      <c r="D16" s="8" t="str" cm="1">
        <f t="array" ref="D16">SourceData_PastureBeef.SourceData_PastureBeef_Liveweight_Variable()</f>
        <v>Wjkl</v>
      </c>
      <c r="M16" s="8"/>
    </row>
    <row r="17" spans="1:19" ht="20.100000000000001" customHeight="1" x14ac:dyDescent="0.25">
      <c r="A17" s="16" t="str">
        <f>HYPERLINK("#'Input - Beef cattle purchases'!A1", "Beef cattle purchases")</f>
        <v>Beef cattle purchases</v>
      </c>
      <c r="D17" s="13" t="str" cm="1">
        <f t="array" ref="D17">SourceData_PastureBeef.SourceData_PastureBeef_Liveweight_Unit()</f>
        <v>kg</v>
      </c>
      <c r="M17" s="8"/>
      <c r="O17" s="8" t="s">
        <v>502</v>
      </c>
      <c r="S17" s="10" t="s">
        <v>374</v>
      </c>
    </row>
    <row r="18" spans="1:19" ht="20.100000000000001" customHeight="1" x14ac:dyDescent="0.25">
      <c r="A18" s="16" t="str">
        <f>HYPERLINK("#'Input - Dairy cattle purchases'!A1", "Dairy cattle purchases")</f>
        <v>Dairy cattle purchases</v>
      </c>
      <c r="D18" s="10" t="s">
        <v>269</v>
      </c>
      <c r="E18" s="10" t="s">
        <v>374</v>
      </c>
      <c r="F18" s="10" t="s">
        <v>47</v>
      </c>
      <c r="G18" s="10" t="s">
        <v>451</v>
      </c>
      <c r="H18" s="10" t="s">
        <v>452</v>
      </c>
      <c r="I18" s="10" t="s">
        <v>453</v>
      </c>
      <c r="J18" s="10" t="s">
        <v>454</v>
      </c>
      <c r="K18" s="10" t="s">
        <v>455</v>
      </c>
      <c r="L18" s="10" t="s">
        <v>456</v>
      </c>
      <c r="M18" s="10" t="s">
        <v>457</v>
      </c>
      <c r="O18" s="10" t="s">
        <v>276</v>
      </c>
      <c r="S18" s="10" t="s">
        <v>421</v>
      </c>
    </row>
    <row r="19" spans="1:19" ht="20.100000000000001" customHeight="1" x14ac:dyDescent="0.25">
      <c r="A19" s="16" t="str">
        <f>HYPERLINK("#'Input - Pig purchases'!A1", "Pig purchases")</f>
        <v>Pig purchases</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3" t="s">
        <v>471</v>
      </c>
    </row>
    <row r="20" spans="1:19" ht="20.100000000000001" customHeight="1" x14ac:dyDescent="0.25">
      <c r="A20" s="16" t="str">
        <f>HYPERLINK("#'Input - Poultry purchases'!A1", "Poultry purchases")</f>
        <v>Poultry purchases</v>
      </c>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3" t="s">
        <v>472</v>
      </c>
      <c r="S20" s="8" t="s">
        <v>458</v>
      </c>
    </row>
    <row r="21" spans="1:19" ht="20.100000000000001" customHeight="1" x14ac:dyDescent="0.25">
      <c r="A21" s="16" t="str">
        <f>HYPERLINK("#'Input - Freight'!A1", "Freight")</f>
        <v>Freight</v>
      </c>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3" t="s">
        <v>473</v>
      </c>
    </row>
    <row r="22" spans="1:19" ht="20.100000000000001" customHeight="1" x14ac:dyDescent="0.25">
      <c r="A22" s="16" t="str">
        <f>HYPERLINK("#'Input - Solid waste'!A1", "Solid waste")</f>
        <v>Solid waste</v>
      </c>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3" t="s">
        <v>474</v>
      </c>
      <c r="S22" s="10" t="s">
        <v>374</v>
      </c>
    </row>
    <row r="23" spans="1:19" ht="20.100000000000001" customHeight="1" x14ac:dyDescent="0.25">
      <c r="A23" s="16" t="str">
        <f>HYPERLINK("#'Input - Manure sent off-site'!A1", "Manure sent off-site")</f>
        <v>Manure sent off-site</v>
      </c>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3" t="s">
        <v>475</v>
      </c>
      <c r="S23" s="10" t="s">
        <v>421</v>
      </c>
    </row>
    <row r="24" spans="1:19" ht="20.100000000000001" customHeight="1" x14ac:dyDescent="0.25">
      <c r="A24" s="16" t="str">
        <f>HYPERLINK("#'Input - Electricity'!A1", "Electricity")</f>
        <v>Electricity</v>
      </c>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3" t="s">
        <v>476</v>
      </c>
    </row>
    <row r="25" spans="1:19" ht="20.100000000000001" customHeight="1" x14ac:dyDescent="0.25">
      <c r="A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3" t="s">
        <v>477</v>
      </c>
      <c r="S25" s="8" t="s">
        <v>459</v>
      </c>
    </row>
    <row r="26" spans="1:19" ht="20.100000000000001" customHeight="1" x14ac:dyDescent="0.25">
      <c r="A26"/>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3" t="s">
        <v>478</v>
      </c>
    </row>
    <row r="27" spans="1:19" ht="20.100000000000001" customHeight="1" x14ac:dyDescent="0.25">
      <c r="A27" s="21" t="s">
        <v>77</v>
      </c>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3" t="s">
        <v>479</v>
      </c>
      <c r="S27" s="10" t="s">
        <v>374</v>
      </c>
    </row>
    <row r="28" spans="1:19" ht="20.100000000000001" customHeight="1" x14ac:dyDescent="0.25">
      <c r="A28" s="16" t="str">
        <f>HYPERLINK("#'15 Scope 3'!A1", "15 Scope 3")</f>
        <v>15 Scope 3</v>
      </c>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3" t="s">
        <v>480</v>
      </c>
      <c r="S28" s="10" t="s">
        <v>421</v>
      </c>
    </row>
    <row r="29" spans="1:19" ht="20.100000000000001" customHeight="1" x14ac:dyDescent="0.25">
      <c r="A29" s="16" t="str">
        <f>HYPERLINK("#'10.1.1-2 Solid waste treatment'!A1", "10.1.1-2 Solid waste treatment")</f>
        <v>10.1.1-2 Solid waste treatment</v>
      </c>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A30" s="16" t="str">
        <f>HYPERLINK("#'Calcs - Manure sent off-site'!A1", "Calcs - Manure sent off-site")</f>
        <v>Calcs - Manure sent off-site</v>
      </c>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A31" s="16" t="str">
        <f>HYPERLINK("#'8.1.1.1-2 Transport fuel'!A1", "8.1.1.1-2 Transport fuel")</f>
        <v>8.1.1.1-2 Transport fuel</v>
      </c>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c r="O31" s="8" t="s">
        <v>420</v>
      </c>
    </row>
    <row r="32" spans="1:19" ht="20.100000000000001" customHeight="1" x14ac:dyDescent="0.25">
      <c r="A32" s="16" t="str">
        <f>HYPERLINK("#'8.2.1.1-2 Stationary fuel'!A1", "8.2.1.1-2 Stationary fuel")</f>
        <v>8.2.1.1-2 Stationary fuel</v>
      </c>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c r="O32" s="10" t="s">
        <v>374</v>
      </c>
      <c r="P32" s="10" t="s">
        <v>503</v>
      </c>
    </row>
    <row r="33" spans="1:16" ht="20.100000000000001" customHeight="1" x14ac:dyDescent="0.25">
      <c r="A33"/>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c r="O33" s="10" t="s">
        <v>304</v>
      </c>
      <c r="P33" s="10" t="s">
        <v>325</v>
      </c>
    </row>
    <row r="34" spans="1:16" ht="20.100000000000001" customHeight="1" x14ac:dyDescent="0.25">
      <c r="A34"/>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c r="O34" s="10" t="s">
        <v>325</v>
      </c>
      <c r="P34" s="10" t="s">
        <v>325</v>
      </c>
    </row>
    <row r="35" spans="1:16" ht="20.100000000000001" customHeight="1" x14ac:dyDescent="0.25">
      <c r="A35" s="222" t="s">
        <v>78</v>
      </c>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c r="O35" s="10" t="s">
        <v>381</v>
      </c>
      <c r="P35" s="10" t="s">
        <v>381</v>
      </c>
    </row>
    <row r="36" spans="1:16" ht="20.100000000000001" customHeight="1" x14ac:dyDescent="0.25">
      <c r="A36" s="16" t="str">
        <f>HYPERLINK("#'Constants - Scope 3'!A1", "Constants - Scope 3")</f>
        <v>Constants - Scope 3</v>
      </c>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c r="O36" s="10" t="s">
        <v>378</v>
      </c>
      <c r="P36" s="10" t="s">
        <v>378</v>
      </c>
    </row>
    <row r="37" spans="1:16" ht="20.100000000000001" customHeight="1" x14ac:dyDescent="0.25">
      <c r="A37" s="16" t="str">
        <f>HYPERLINK("#'Constants - Solid Waste'!A1", "Constants - Solid Waste")</f>
        <v>Constants - Solid Waste</v>
      </c>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c r="O37" s="10" t="s">
        <v>331</v>
      </c>
      <c r="P37" s="10" t="s">
        <v>331</v>
      </c>
    </row>
    <row r="38" spans="1:16" ht="20.100000000000001" customHeight="1" x14ac:dyDescent="0.25">
      <c r="A38" s="16" t="str">
        <f>HYPERLINK("#'Constants - Fuel'!A1", "Constants - Fuel")</f>
        <v>Constants - Fuel</v>
      </c>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c r="O38" s="10" t="s">
        <v>424</v>
      </c>
      <c r="P38" s="10" t="s">
        <v>332</v>
      </c>
    </row>
    <row r="39" spans="1:16" ht="20.100000000000001" customHeight="1" x14ac:dyDescent="0.25">
      <c r="A39" s="16" t="str">
        <f>HYPERLINK("#'Constants - Poultry'!A1", "Constants - Poultry")</f>
        <v>Constants - Poultry</v>
      </c>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c r="O39" s="10" t="s">
        <v>423</v>
      </c>
      <c r="P39" s="10" t="s">
        <v>332</v>
      </c>
    </row>
    <row r="40" spans="1:16" ht="20.100000000000001" customHeight="1" x14ac:dyDescent="0.25">
      <c r="A40" s="16" t="str">
        <f>HYPERLINK("#'Constants - Swine'!A1", "Constants - Swine")</f>
        <v>Constants - Swine</v>
      </c>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c r="O40" s="10" t="s">
        <v>425</v>
      </c>
      <c r="P40" s="10" t="s">
        <v>332</v>
      </c>
    </row>
    <row r="41" spans="1:16" ht="20.100000000000001" customHeight="1" x14ac:dyDescent="0.25">
      <c r="A41" s="16" t="str">
        <f>HYPERLINK("#'Constants - Dairy'!A1", "Constants - Dairy")</f>
        <v>Constants - Dairy</v>
      </c>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c r="O41" s="10" t="s">
        <v>426</v>
      </c>
      <c r="P41" s="10" t="s">
        <v>422</v>
      </c>
    </row>
    <row r="42" spans="1:16" ht="20.100000000000001" customHeight="1" x14ac:dyDescent="0.25">
      <c r="A42" s="23" t="str">
        <f>HYPERLINK("#'Constants - Pasture Beef'!A1", "Constants - Pasture Beef")</f>
        <v>Constants - Pasture Beef</v>
      </c>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c r="O42" s="10" t="s">
        <v>427</v>
      </c>
      <c r="P42" s="10" t="s">
        <v>422</v>
      </c>
    </row>
    <row r="43" spans="1:16" ht="20.100000000000001" customHeight="1" x14ac:dyDescent="0.25">
      <c r="A43" s="16" t="str">
        <f>HYPERLINK("#'Constants - Common Livestock'!A1", "Constants - Common Livestock")</f>
        <v>Constants - Common Livestock</v>
      </c>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c r="O43" s="10" t="s">
        <v>428</v>
      </c>
      <c r="P43" s="10" t="s">
        <v>422</v>
      </c>
    </row>
    <row r="44" spans="1:16" ht="20.100000000000001" customHeight="1" x14ac:dyDescent="0.25">
      <c r="A44" s="16" t="str">
        <f>HYPERLINK("#'Constants - Fertiliser'!A1", "Constants - Fertiliser")</f>
        <v>Constants - Fertiliser</v>
      </c>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c r="O44" s="10" t="s">
        <v>429</v>
      </c>
      <c r="P44" s="10" t="s">
        <v>326</v>
      </c>
    </row>
    <row r="45" spans="1:16" ht="20.100000000000001" customHeight="1" x14ac:dyDescent="0.25">
      <c r="A45" s="16" t="str">
        <f>HYPERLINK("#'Constants - Electricity'!A1", "Constants - Electricity")</f>
        <v>Constants - Electricity</v>
      </c>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c r="O45" s="10" t="s">
        <v>430</v>
      </c>
      <c r="P45" s="10" t="s">
        <v>326</v>
      </c>
    </row>
    <row r="46" spans="1:16" ht="20.100000000000001" customHeight="1" x14ac:dyDescent="0.25">
      <c r="A46" s="16" t="str">
        <f>HYPERLINK("#'Constants - Common'!A1", "Constants - Common")</f>
        <v>Constants - Common</v>
      </c>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c r="O46" s="10" t="s">
        <v>431</v>
      </c>
      <c r="P46" s="10" t="s">
        <v>326</v>
      </c>
    </row>
    <row r="47" spans="1:16" ht="20.100000000000001" customHeight="1" x14ac:dyDescent="0.25">
      <c r="A47"/>
      <c r="M47" s="8"/>
      <c r="O47" s="10" t="s">
        <v>432</v>
      </c>
      <c r="P47" s="10" t="s">
        <v>326</v>
      </c>
    </row>
    <row r="48" spans="1:16" ht="20.100000000000001" customHeight="1" x14ac:dyDescent="0.25">
      <c r="A48"/>
      <c r="M48" s="8"/>
      <c r="O48" s="8" t="s">
        <v>324</v>
      </c>
      <c r="P48" s="8" t="s">
        <v>324</v>
      </c>
    </row>
    <row r="49" spans="1:16" ht="20.100000000000001" customHeight="1" x14ac:dyDescent="0.25">
      <c r="A49"/>
      <c r="D49" s="9" t="str" cm="1">
        <f t="array" ref="D49">SourceData_PastureBeef.SourceData_PastureBeef_LiveweightNTQLD_Title()</f>
        <v>Beef pasture cattle - Liveweight (kg) (Wjkl) for NT and QLD</v>
      </c>
      <c r="M49" s="8"/>
    </row>
    <row r="50" spans="1:16" ht="20.100000000000001" customHeight="1" x14ac:dyDescent="0.25">
      <c r="A50"/>
      <c r="D50" s="11" t="str" cm="1">
        <f t="array" ref="D50">SourceData_PastureBeef.SourceData_PastureBeef_LiveweightNTQLD_Source()</f>
        <v>VEERG 2026: Table A.1.2.2</v>
      </c>
      <c r="M50" s="8"/>
    </row>
    <row r="51" spans="1:16" ht="20.100000000000001" customHeight="1" x14ac:dyDescent="0.25">
      <c r="A51"/>
      <c r="D51" s="8" t="str" cm="1">
        <f t="array" ref="D51">SourceData_PastureBeef.SourceData_PastureBeef_LiveweightNTQLD_Variable()</f>
        <v>Wjkl</v>
      </c>
      <c r="M51" s="8"/>
    </row>
    <row r="52" spans="1:16" ht="20.100000000000001" customHeight="1" x14ac:dyDescent="0.25">
      <c r="A52"/>
      <c r="D52" s="13" t="str" cm="1">
        <f t="array" ref="D52">SourceData_PastureBeef.SourceData_PastureBeef_LiveweightNTQLD_Unit()</f>
        <v>kg</v>
      </c>
      <c r="M52" s="8"/>
    </row>
    <row r="53" spans="1:16" ht="20.100000000000001" customHeight="1" x14ac:dyDescent="0.25">
      <c r="A53"/>
      <c r="D53" s="10" t="s">
        <v>269</v>
      </c>
      <c r="E53" s="10" t="s">
        <v>374</v>
      </c>
      <c r="F53" s="10" t="s">
        <v>47</v>
      </c>
      <c r="G53" s="10" t="s">
        <v>460</v>
      </c>
      <c r="H53" s="10" t="s">
        <v>461</v>
      </c>
      <c r="I53" s="10" t="s">
        <v>462</v>
      </c>
      <c r="J53" s="10" t="s">
        <v>463</v>
      </c>
      <c r="K53" s="10" t="s">
        <v>464</v>
      </c>
      <c r="L53" s="10" t="s">
        <v>465</v>
      </c>
      <c r="M53" s="10" t="s">
        <v>466</v>
      </c>
      <c r="N53" s="10" t="s">
        <v>467</v>
      </c>
      <c r="O53" s="10" t="s">
        <v>468</v>
      </c>
      <c r="P53" s="10" t="s">
        <v>469</v>
      </c>
    </row>
    <row r="54" spans="1:16" ht="20.100000000000001" customHeight="1" x14ac:dyDescent="0.25">
      <c r="A54"/>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A61"/>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A62"/>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A63"/>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A64"/>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1:22" ht="20.100000000000001" customHeight="1" x14ac:dyDescent="0.25">
      <c r="A6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1:22" ht="20.100000000000001" customHeight="1" x14ac:dyDescent="0.25">
      <c r="A66"/>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1:22" ht="20.100000000000001" customHeight="1" x14ac:dyDescent="0.25">
      <c r="A67"/>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1:22" ht="20.100000000000001" customHeight="1" x14ac:dyDescent="0.25">
      <c r="A68"/>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1:22" ht="20.100000000000001" customHeight="1" x14ac:dyDescent="0.25">
      <c r="A69"/>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1:22" ht="20.100000000000001" customHeight="1" x14ac:dyDescent="0.25">
      <c r="A70"/>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1:22" ht="20.100000000000001" customHeight="1" x14ac:dyDescent="0.25">
      <c r="A71"/>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1:22" ht="20.100000000000001" customHeight="1" x14ac:dyDescent="0.25">
      <c r="A72"/>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1:22" ht="20.100000000000001" customHeight="1" x14ac:dyDescent="0.25">
      <c r="A73"/>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1:22" ht="20.100000000000001" customHeight="1" x14ac:dyDescent="0.25">
      <c r="A74"/>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1:22" ht="20.100000000000001" customHeight="1" x14ac:dyDescent="0.25">
      <c r="A7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1:22" ht="20.100000000000001" customHeight="1" x14ac:dyDescent="0.25">
      <c r="A76"/>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1:22" ht="20.100000000000001" customHeight="1" x14ac:dyDescent="0.25">
      <c r="A77"/>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1:22" ht="20.100000000000001" customHeight="1" x14ac:dyDescent="0.25">
      <c r="A78"/>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1:22" ht="20.100000000000001" customHeight="1" x14ac:dyDescent="0.25">
      <c r="A79"/>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1:22" ht="20.100000000000001" customHeight="1" x14ac:dyDescent="0.25">
      <c r="A80"/>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1:22" ht="20.100000000000001" customHeight="1" x14ac:dyDescent="0.25">
      <c r="A81"/>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1:22" ht="20.100000000000001" customHeight="1" x14ac:dyDescent="0.25">
      <c r="A82"/>
      <c r="M82" s="8"/>
    </row>
    <row r="83" spans="1:22" ht="20.100000000000001" customHeight="1" x14ac:dyDescent="0.25">
      <c r="A83"/>
      <c r="M83" s="8"/>
    </row>
    <row r="84" spans="1:22" ht="20.100000000000001" customHeight="1" x14ac:dyDescent="0.25">
      <c r="A84"/>
      <c r="D84" s="9" t="s">
        <v>470</v>
      </c>
      <c r="M84" s="8"/>
    </row>
    <row r="85" spans="1:22" ht="20.100000000000001" customHeight="1" x14ac:dyDescent="0.25">
      <c r="A85"/>
      <c r="D85" s="10" t="s">
        <v>269</v>
      </c>
      <c r="E85" s="10" t="s">
        <v>374</v>
      </c>
      <c r="F85" s="10" t="s">
        <v>47</v>
      </c>
      <c r="G85" s="156" t="s">
        <v>471</v>
      </c>
      <c r="H85" s="156" t="s">
        <v>472</v>
      </c>
      <c r="I85" s="156" t="s">
        <v>473</v>
      </c>
      <c r="J85" s="156" t="s">
        <v>474</v>
      </c>
      <c r="K85" s="156" t="s">
        <v>475</v>
      </c>
      <c r="L85" s="156" t="s">
        <v>476</v>
      </c>
      <c r="M85" s="156" t="s">
        <v>477</v>
      </c>
      <c r="N85" s="156" t="s">
        <v>478</v>
      </c>
      <c r="O85" s="156" t="s">
        <v>479</v>
      </c>
      <c r="P85" s="156" t="s">
        <v>480</v>
      </c>
      <c r="V85" s="8"/>
    </row>
    <row r="86" spans="1:22" ht="20.100000000000001" customHeight="1" x14ac:dyDescent="0.25">
      <c r="A86"/>
      <c r="D86" s="10" t="s">
        <v>304</v>
      </c>
      <c r="E86" s="10" t="s">
        <v>421</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1:22" ht="20.100000000000001" customHeight="1" x14ac:dyDescent="0.25">
      <c r="A87"/>
      <c r="D87" s="10" t="s">
        <v>304</v>
      </c>
      <c r="E87" s="10" t="s">
        <v>421</v>
      </c>
      <c r="F87" s="10" t="s">
        <v>481</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1:22" ht="20.100000000000001" customHeight="1" x14ac:dyDescent="0.25">
      <c r="A88"/>
      <c r="D88" s="10" t="s">
        <v>304</v>
      </c>
      <c r="E88" s="10" t="s">
        <v>421</v>
      </c>
      <c r="F88" s="10" t="s">
        <v>482</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1:22" ht="20.100000000000001" customHeight="1" x14ac:dyDescent="0.25">
      <c r="A89"/>
      <c r="D89" s="10" t="s">
        <v>304</v>
      </c>
      <c r="E89" s="10" t="s">
        <v>421</v>
      </c>
      <c r="F89" s="10" t="s">
        <v>483</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1:22" ht="20.100000000000001" customHeight="1" x14ac:dyDescent="0.25">
      <c r="A90"/>
      <c r="D90" s="10" t="s">
        <v>325</v>
      </c>
      <c r="E90" s="10" t="s">
        <v>421</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1:22" ht="20.100000000000001" customHeight="1" x14ac:dyDescent="0.25">
      <c r="A91"/>
      <c r="D91" s="10" t="s">
        <v>325</v>
      </c>
      <c r="E91" s="10" t="s">
        <v>421</v>
      </c>
      <c r="F91" s="10" t="s">
        <v>481</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1:22" ht="20.100000000000001" customHeight="1" x14ac:dyDescent="0.25">
      <c r="A92"/>
      <c r="D92" s="10" t="s">
        <v>325</v>
      </c>
      <c r="E92" s="10" t="s">
        <v>421</v>
      </c>
      <c r="F92" s="10" t="s">
        <v>482</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1:22" ht="20.100000000000001" customHeight="1" x14ac:dyDescent="0.25">
      <c r="A93"/>
      <c r="D93" s="10" t="s">
        <v>325</v>
      </c>
      <c r="E93" s="10" t="s">
        <v>421</v>
      </c>
      <c r="F93" s="10" t="s">
        <v>483</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1:22" ht="20.100000000000001" customHeight="1" x14ac:dyDescent="0.25">
      <c r="A94"/>
      <c r="D94" s="10" t="s">
        <v>381</v>
      </c>
      <c r="E94" s="10" t="s">
        <v>421</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1:22" ht="20.100000000000001" customHeight="1" x14ac:dyDescent="0.25">
      <c r="A95"/>
      <c r="D95" s="10" t="s">
        <v>381</v>
      </c>
      <c r="E95" s="10" t="s">
        <v>421</v>
      </c>
      <c r="F95" s="10" t="s">
        <v>481</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1:22" ht="20.100000000000001" customHeight="1" x14ac:dyDescent="0.25">
      <c r="A96"/>
      <c r="D96" s="10" t="s">
        <v>381</v>
      </c>
      <c r="E96" s="10" t="s">
        <v>421</v>
      </c>
      <c r="F96" s="10" t="s">
        <v>482</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1:16" ht="20.100000000000001" customHeight="1" x14ac:dyDescent="0.25">
      <c r="A97"/>
      <c r="D97" s="10" t="s">
        <v>381</v>
      </c>
      <c r="E97" s="10" t="s">
        <v>421</v>
      </c>
      <c r="F97" s="10" t="s">
        <v>483</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1:16" ht="20.100000000000001" customHeight="1" x14ac:dyDescent="0.25">
      <c r="A98"/>
      <c r="D98" s="10" t="s">
        <v>378</v>
      </c>
      <c r="E98" s="10" t="s">
        <v>421</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1:16" ht="20.100000000000001" customHeight="1" x14ac:dyDescent="0.25">
      <c r="A99"/>
      <c r="D99" s="10" t="s">
        <v>378</v>
      </c>
      <c r="E99" s="10" t="s">
        <v>421</v>
      </c>
      <c r="F99" s="10" t="s">
        <v>481</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1:16" ht="20.100000000000001" customHeight="1" x14ac:dyDescent="0.25">
      <c r="A100"/>
      <c r="D100" s="10" t="s">
        <v>378</v>
      </c>
      <c r="E100" s="10" t="s">
        <v>421</v>
      </c>
      <c r="F100" s="10" t="s">
        <v>482</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1:16" ht="20.100000000000001" customHeight="1" x14ac:dyDescent="0.25">
      <c r="A101"/>
      <c r="D101" s="10" t="s">
        <v>378</v>
      </c>
      <c r="E101" s="10" t="s">
        <v>421</v>
      </c>
      <c r="F101" s="10" t="s">
        <v>483</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1:16" ht="20.100000000000001" customHeight="1" x14ac:dyDescent="0.25">
      <c r="A102"/>
      <c r="D102" s="10" t="s">
        <v>331</v>
      </c>
      <c r="E102" s="10" t="s">
        <v>421</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1:16" ht="20.100000000000001" customHeight="1" x14ac:dyDescent="0.25">
      <c r="A103"/>
      <c r="D103" s="10" t="s">
        <v>331</v>
      </c>
      <c r="E103" s="10" t="s">
        <v>421</v>
      </c>
      <c r="F103" s="10" t="s">
        <v>481</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1:16" ht="20.100000000000001" customHeight="1" x14ac:dyDescent="0.25">
      <c r="A104"/>
      <c r="D104" s="10" t="s">
        <v>331</v>
      </c>
      <c r="E104" s="10" t="s">
        <v>421</v>
      </c>
      <c r="F104" s="10" t="s">
        <v>482</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1:16" ht="20.100000000000001" customHeight="1" x14ac:dyDescent="0.25">
      <c r="A105"/>
      <c r="D105" s="10" t="s">
        <v>331</v>
      </c>
      <c r="E105" s="10" t="s">
        <v>421</v>
      </c>
      <c r="F105" s="10" t="s">
        <v>483</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1:16" ht="20.100000000000001" customHeight="1" x14ac:dyDescent="0.25">
      <c r="A106"/>
      <c r="D106" s="10" t="s">
        <v>332</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1:16" ht="20.100000000000001" customHeight="1" x14ac:dyDescent="0.25">
      <c r="A107"/>
      <c r="D107" s="10" t="s">
        <v>332</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1:16" ht="20.100000000000001" customHeight="1" x14ac:dyDescent="0.25">
      <c r="A108"/>
      <c r="D108" s="10" t="s">
        <v>332</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1:16" ht="20.100000000000001" customHeight="1" x14ac:dyDescent="0.25">
      <c r="A109"/>
      <c r="D109" s="10" t="s">
        <v>332</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1:16" ht="20.100000000000001" customHeight="1" x14ac:dyDescent="0.25">
      <c r="A110"/>
      <c r="D110" s="10" t="s">
        <v>332</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1:16" ht="20.100000000000001" customHeight="1" x14ac:dyDescent="0.25">
      <c r="A111"/>
      <c r="D111" s="10" t="s">
        <v>332</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1:16" ht="20.100000000000001" customHeight="1" x14ac:dyDescent="0.25">
      <c r="A112"/>
      <c r="D112" s="10" t="s">
        <v>332</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1:22" ht="20.100000000000001" customHeight="1" x14ac:dyDescent="0.25">
      <c r="A113"/>
      <c r="D113" s="10" t="s">
        <v>332</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1:22" ht="20.100000000000001" customHeight="1" x14ac:dyDescent="0.25">
      <c r="A114"/>
      <c r="D114" s="10" t="s">
        <v>332</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1:22" ht="20.100000000000001" customHeight="1" x14ac:dyDescent="0.25">
      <c r="A115"/>
      <c r="D115" s="10" t="s">
        <v>332</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1:22" ht="20.100000000000001" customHeight="1" x14ac:dyDescent="0.25">
      <c r="A116"/>
      <c r="D116" s="10" t="s">
        <v>332</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1:22" ht="20.100000000000001" customHeight="1" x14ac:dyDescent="0.25">
      <c r="A117"/>
      <c r="D117" s="10" t="s">
        <v>332</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1:22" ht="20.100000000000001" customHeight="1" x14ac:dyDescent="0.25">
      <c r="A118"/>
      <c r="D118" s="10" t="s">
        <v>422</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1:22" ht="20.100000000000001" customHeight="1" x14ac:dyDescent="0.25">
      <c r="A119"/>
      <c r="D119" s="10" t="s">
        <v>422</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1:22" ht="20.100000000000001" customHeight="1" x14ac:dyDescent="0.25">
      <c r="A120"/>
      <c r="D120" s="10" t="s">
        <v>422</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1:22" ht="20.100000000000001" customHeight="1" x14ac:dyDescent="0.25">
      <c r="A121"/>
      <c r="D121" s="10" t="s">
        <v>422</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1:22" ht="20.100000000000001" customHeight="1" x14ac:dyDescent="0.25">
      <c r="A122"/>
      <c r="D122" s="10" t="s">
        <v>422</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1:22" ht="20.100000000000001" customHeight="1" x14ac:dyDescent="0.25">
      <c r="A123"/>
      <c r="D123" s="10" t="s">
        <v>422</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1:22" ht="20.100000000000001" customHeight="1" x14ac:dyDescent="0.25">
      <c r="A124"/>
      <c r="D124" s="10" t="s">
        <v>422</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1:22" ht="20.100000000000001" customHeight="1" x14ac:dyDescent="0.25">
      <c r="A125"/>
      <c r="D125" s="10" t="s">
        <v>422</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1:22" ht="20.100000000000001" customHeight="1" x14ac:dyDescent="0.25">
      <c r="A126"/>
      <c r="D126" s="10" t="s">
        <v>422</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1:22" ht="20.100000000000001" customHeight="1" x14ac:dyDescent="0.25">
      <c r="A127"/>
      <c r="D127" s="10" t="s">
        <v>422</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1:22" ht="20.100000000000001" customHeight="1" x14ac:dyDescent="0.25">
      <c r="A128"/>
      <c r="D128" s="10" t="s">
        <v>422</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1:22" ht="20.100000000000001" customHeight="1" x14ac:dyDescent="0.25">
      <c r="A129"/>
      <c r="D129" s="10" t="s">
        <v>422</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1:22" ht="20.100000000000001" customHeight="1" x14ac:dyDescent="0.25">
      <c r="A130"/>
      <c r="D130" s="10" t="s">
        <v>326</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1:22" ht="20.100000000000001" customHeight="1" x14ac:dyDescent="0.25">
      <c r="A131"/>
      <c r="D131" s="10" t="s">
        <v>326</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1:22" ht="20.100000000000001" customHeight="1" x14ac:dyDescent="0.25">
      <c r="A132"/>
      <c r="D132" s="10" t="s">
        <v>326</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1:22" ht="20.100000000000001" customHeight="1" x14ac:dyDescent="0.25">
      <c r="A133"/>
      <c r="D133" s="10" t="s">
        <v>326</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1:22" ht="20.100000000000001" customHeight="1" x14ac:dyDescent="0.25">
      <c r="A134"/>
      <c r="D134" s="10" t="s">
        <v>326</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1:22" ht="20.100000000000001" customHeight="1" x14ac:dyDescent="0.25">
      <c r="A135"/>
      <c r="D135" s="10" t="s">
        <v>326</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1:22" ht="20.100000000000001" customHeight="1" x14ac:dyDescent="0.25">
      <c r="A136"/>
      <c r="D136" s="10" t="s">
        <v>326</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1:22" ht="20.100000000000001" customHeight="1" x14ac:dyDescent="0.25">
      <c r="A137"/>
      <c r="D137" s="10" t="s">
        <v>326</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1:22" ht="20.100000000000001" customHeight="1" x14ac:dyDescent="0.25">
      <c r="A138"/>
      <c r="D138" s="10" t="s">
        <v>326</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1:22" ht="20.100000000000001" customHeight="1" x14ac:dyDescent="0.25">
      <c r="A139"/>
      <c r="D139" s="10" t="s">
        <v>326</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1:22" ht="20.100000000000001" customHeight="1" x14ac:dyDescent="0.25">
      <c r="A140"/>
      <c r="D140" s="10" t="s">
        <v>326</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1:22" ht="20.100000000000001" customHeight="1" x14ac:dyDescent="0.25">
      <c r="A141"/>
      <c r="D141" s="10" t="s">
        <v>326</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1:22" ht="20.100000000000001" customHeight="1" x14ac:dyDescent="0.25">
      <c r="A142"/>
      <c r="D142" s="10" t="s">
        <v>326</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1:22" ht="20.100000000000001" customHeight="1" x14ac:dyDescent="0.25">
      <c r="A143"/>
      <c r="D143" s="10" t="s">
        <v>326</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1:22" ht="20.100000000000001" customHeight="1" x14ac:dyDescent="0.25">
      <c r="A144"/>
      <c r="D144" s="10" t="s">
        <v>326</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1:16" ht="20.100000000000001" customHeight="1" x14ac:dyDescent="0.25">
      <c r="A145"/>
      <c r="D145" s="10" t="s">
        <v>326</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1:16" ht="20.100000000000001" customHeight="1" x14ac:dyDescent="0.25">
      <c r="A146"/>
      <c r="D146" s="8" t="s">
        <v>324</v>
      </c>
      <c r="E146" s="8" t="s">
        <v>421</v>
      </c>
      <c r="F146" s="8" t="str">
        <f>F142</f>
        <v>Spring</v>
      </c>
      <c r="G146" s="8">
        <f t="shared" ref="G146:P149"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1:16" ht="20.100000000000001" customHeight="1" x14ac:dyDescent="0.25">
      <c r="A147"/>
      <c r="D147" s="8" t="s">
        <v>324</v>
      </c>
      <c r="E147" s="8" t="s">
        <v>421</v>
      </c>
      <c r="F147" s="8" t="str">
        <f>F143</f>
        <v>Summer</v>
      </c>
      <c r="G147" s="8">
        <f t="shared" si="30"/>
        <v>193</v>
      </c>
      <c r="H147" s="8">
        <f t="shared" si="30"/>
        <v>660.33333333333337</v>
      </c>
      <c r="I147" s="8">
        <f t="shared" si="30"/>
        <v>156.33333333333334</v>
      </c>
      <c r="J147" s="8">
        <f t="shared" si="30"/>
        <v>309.73333333333335</v>
      </c>
      <c r="K147" s="8">
        <f t="shared" si="30"/>
        <v>417.4</v>
      </c>
      <c r="L147" s="8">
        <f t="shared" si="30"/>
        <v>458.53333333333336</v>
      </c>
      <c r="M147" s="8">
        <f t="shared" si="30"/>
        <v>162</v>
      </c>
      <c r="N147" s="8">
        <f t="shared" si="30"/>
        <v>353.46666666666664</v>
      </c>
      <c r="O147" s="8">
        <f t="shared" si="30"/>
        <v>428.42857142857144</v>
      </c>
      <c r="P147" s="8">
        <f t="shared" si="30"/>
        <v>472.61538461538464</v>
      </c>
    </row>
    <row r="148" spans="1:16" ht="20.100000000000001" customHeight="1" x14ac:dyDescent="0.25">
      <c r="A148"/>
      <c r="D148" s="8" t="s">
        <v>324</v>
      </c>
      <c r="E148" s="8" t="s">
        <v>421</v>
      </c>
      <c r="F148" s="8" t="str">
        <f>F144</f>
        <v>Autumn</v>
      </c>
      <c r="G148" s="8">
        <f t="shared" si="30"/>
        <v>170.66666666666666</v>
      </c>
      <c r="H148" s="8">
        <f t="shared" si="30"/>
        <v>654.26666666666665</v>
      </c>
      <c r="I148" s="8">
        <f t="shared" si="30"/>
        <v>161.53333333333333</v>
      </c>
      <c r="J148" s="8">
        <f t="shared" si="30"/>
        <v>307.93333333333334</v>
      </c>
      <c r="K148" s="8">
        <f t="shared" si="30"/>
        <v>419.66666666666669</v>
      </c>
      <c r="L148" s="8">
        <f t="shared" si="30"/>
        <v>454.06666666666666</v>
      </c>
      <c r="M148" s="8">
        <f t="shared" si="30"/>
        <v>169.86666666666667</v>
      </c>
      <c r="N148" s="8">
        <f t="shared" si="30"/>
        <v>363.13333333333333</v>
      </c>
      <c r="O148" s="8">
        <f t="shared" si="30"/>
        <v>430.14285714285717</v>
      </c>
      <c r="P148" s="8">
        <f t="shared" si="30"/>
        <v>479.69230769230768</v>
      </c>
    </row>
    <row r="149" spans="1:16" ht="20.100000000000001" customHeight="1" x14ac:dyDescent="0.25">
      <c r="A149"/>
      <c r="D149" s="8" t="s">
        <v>324</v>
      </c>
      <c r="E149" s="8" t="s">
        <v>421</v>
      </c>
      <c r="F149" s="8" t="str">
        <f>F145</f>
        <v>Winter</v>
      </c>
      <c r="G149" s="8">
        <f t="shared" si="30"/>
        <v>214.53333333333333</v>
      </c>
      <c r="H149" s="8">
        <f t="shared" si="30"/>
        <v>650.5333333333333</v>
      </c>
      <c r="I149" s="8">
        <f t="shared" si="30"/>
        <v>196.53333333333333</v>
      </c>
      <c r="J149" s="8">
        <f t="shared" si="30"/>
        <v>333.6</v>
      </c>
      <c r="K149" s="8">
        <f t="shared" si="30"/>
        <v>427.4</v>
      </c>
      <c r="L149" s="8">
        <f t="shared" si="30"/>
        <v>453.33333333333331</v>
      </c>
      <c r="M149" s="8">
        <f t="shared" si="30"/>
        <v>207.26666666666668</v>
      </c>
      <c r="N149" s="8">
        <f t="shared" si="30"/>
        <v>381.93333333333334</v>
      </c>
      <c r="O149" s="8">
        <f t="shared" si="30"/>
        <v>438.28571428571428</v>
      </c>
      <c r="P149" s="8">
        <f t="shared" si="30"/>
        <v>479.38461538461536</v>
      </c>
    </row>
    <row r="150" spans="1:16" ht="20.100000000000001" customHeight="1" x14ac:dyDescent="0.25">
      <c r="A150"/>
      <c r="D150" s="9" t="str" cm="1">
        <f t="array" ref="D150">SourceData_PastureBeef.SourceData_PastureBeef_LiveweightGain_Title()</f>
        <v>Beef pasture cattle - Liveweight gain (kg) (LWGjkl)</v>
      </c>
      <c r="M150" s="8"/>
    </row>
    <row r="151" spans="1:16" ht="20.100000000000001" customHeight="1" x14ac:dyDescent="0.25">
      <c r="A151"/>
      <c r="D151" s="11" t="str" cm="1">
        <f t="array" ref="D151">SourceData_PastureBeef.SourceData_PastureBeef_LiveweightGain_Source()</f>
        <v>VEERG 2026: Table A.1.2.3</v>
      </c>
      <c r="M151" s="8"/>
    </row>
    <row r="152" spans="1:16" ht="20.100000000000001" customHeight="1" x14ac:dyDescent="0.25">
      <c r="A152"/>
      <c r="D152" s="8" t="str" cm="1">
        <f t="array" ref="D152">SourceData_PastureBeef.SourceData_PastureBeef_LiveweightGain_Variable()</f>
        <v>LWGjkl</v>
      </c>
      <c r="M152" s="8"/>
    </row>
    <row r="153" spans="1:16" ht="20.100000000000001" customHeight="1" x14ac:dyDescent="0.25">
      <c r="A153"/>
      <c r="D153" s="13" t="str" cm="1">
        <f t="array" ref="D153">SourceData_PastureBeef.SourceData_PastureBeef_LiveweightGain_Unit()</f>
        <v>kg</v>
      </c>
      <c r="M153" s="8"/>
    </row>
    <row r="154" spans="1:16" ht="20.100000000000001" customHeight="1" x14ac:dyDescent="0.25">
      <c r="A154"/>
      <c r="D154" s="10" t="s">
        <v>269</v>
      </c>
      <c r="E154" s="10" t="s">
        <v>374</v>
      </c>
      <c r="F154" s="10" t="s">
        <v>47</v>
      </c>
      <c r="G154" s="10" t="s">
        <v>460</v>
      </c>
      <c r="H154" s="10" t="s">
        <v>461</v>
      </c>
      <c r="I154" s="10" t="s">
        <v>484</v>
      </c>
      <c r="J154" s="10" t="s">
        <v>454</v>
      </c>
      <c r="K154" s="10" t="s">
        <v>485</v>
      </c>
      <c r="L154" s="10" t="s">
        <v>466</v>
      </c>
      <c r="M154" s="10" t="s">
        <v>486</v>
      </c>
    </row>
    <row r="155" spans="1:16" ht="20.100000000000001" customHeight="1" x14ac:dyDescent="0.25">
      <c r="A15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1:16" ht="20.100000000000001" customHeight="1" x14ac:dyDescent="0.25">
      <c r="A156"/>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1:16" ht="20.100000000000001" customHeight="1" x14ac:dyDescent="0.25">
      <c r="A157"/>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1:16" ht="20.100000000000001" customHeight="1" x14ac:dyDescent="0.25">
      <c r="A158"/>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1:16" ht="20.100000000000001" customHeight="1" x14ac:dyDescent="0.25">
      <c r="A159"/>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1:16" ht="20.100000000000001" customHeight="1" x14ac:dyDescent="0.25">
      <c r="A160"/>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269</v>
      </c>
      <c r="E189" s="10" t="s">
        <v>374</v>
      </c>
      <c r="F189" s="10" t="s">
        <v>47</v>
      </c>
      <c r="G189" s="10" t="s">
        <v>460</v>
      </c>
      <c r="H189" s="10" t="s">
        <v>461</v>
      </c>
      <c r="I189" s="10" t="s">
        <v>484</v>
      </c>
      <c r="J189" s="10" t="s">
        <v>454</v>
      </c>
      <c r="K189" s="10" t="s">
        <v>487</v>
      </c>
      <c r="L189" s="10" t="s">
        <v>488</v>
      </c>
      <c r="M189" s="10" t="s">
        <v>466</v>
      </c>
      <c r="N189" s="10" t="s">
        <v>467</v>
      </c>
      <c r="O189" s="10" t="s">
        <v>468</v>
      </c>
      <c r="P189" s="10" t="s">
        <v>469</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470</v>
      </c>
      <c r="M220" s="8"/>
    </row>
    <row r="221" spans="4:16" x14ac:dyDescent="0.25">
      <c r="M221" s="8"/>
    </row>
    <row r="222" spans="4:16" x14ac:dyDescent="0.25">
      <c r="D222" s="10" t="s">
        <v>269</v>
      </c>
      <c r="E222" s="10" t="s">
        <v>374</v>
      </c>
      <c r="F222" s="10" t="s">
        <v>47</v>
      </c>
      <c r="G222" s="156" t="s">
        <v>471</v>
      </c>
      <c r="H222" s="156" t="s">
        <v>472</v>
      </c>
      <c r="I222" s="156" t="s">
        <v>473</v>
      </c>
      <c r="J222" s="156" t="s">
        <v>474</v>
      </c>
      <c r="K222" s="156" t="s">
        <v>475</v>
      </c>
      <c r="L222" s="156" t="s">
        <v>476</v>
      </c>
      <c r="M222" s="156" t="s">
        <v>477</v>
      </c>
      <c r="N222" s="156" t="s">
        <v>478</v>
      </c>
      <c r="O222" s="156" t="s">
        <v>479</v>
      </c>
      <c r="P222" s="156" t="s">
        <v>480</v>
      </c>
    </row>
    <row r="223" spans="4:16" x14ac:dyDescent="0.25">
      <c r="D223" s="10" t="s">
        <v>304</v>
      </c>
      <c r="E223" s="10" t="s">
        <v>421</v>
      </c>
      <c r="F223" s="10" t="str">
        <f>F155</f>
        <v>Spring</v>
      </c>
      <c r="G223" s="10">
        <f>G155</f>
        <v>0.5</v>
      </c>
      <c r="H223" s="10">
        <f t="shared" ref="H223:J223" si="31">H155</f>
        <v>0.2</v>
      </c>
      <c r="I223" s="10">
        <f t="shared" si="31"/>
        <v>0.5</v>
      </c>
      <c r="J223" s="10">
        <f t="shared" si="31"/>
        <v>0.4</v>
      </c>
      <c r="K223" s="10">
        <f>K155</f>
        <v>0.3</v>
      </c>
      <c r="L223" s="10">
        <f>K155</f>
        <v>0.3</v>
      </c>
      <c r="M223" s="10">
        <f>L155</f>
        <v>0.5</v>
      </c>
      <c r="N223" s="10">
        <f>M155</f>
        <v>0.4</v>
      </c>
      <c r="O223" s="10">
        <f>M155</f>
        <v>0.4</v>
      </c>
      <c r="P223" s="10">
        <f>M155</f>
        <v>0.4</v>
      </c>
    </row>
    <row r="224" spans="4:16" x14ac:dyDescent="0.25">
      <c r="D224" s="10" t="s">
        <v>304</v>
      </c>
      <c r="E224" s="10" t="s">
        <v>421</v>
      </c>
      <c r="F224" s="10" t="str">
        <f t="shared" ref="F224:K226" si="32">F156</f>
        <v>Summer</v>
      </c>
      <c r="G224" s="10">
        <f t="shared" si="32"/>
        <v>1</v>
      </c>
      <c r="H224" s="10">
        <f t="shared" si="32"/>
        <v>0.4</v>
      </c>
      <c r="I224" s="10">
        <f t="shared" si="32"/>
        <v>0.9</v>
      </c>
      <c r="J224" s="10">
        <f t="shared" si="32"/>
        <v>0.7</v>
      </c>
      <c r="K224" s="10">
        <f t="shared" si="32"/>
        <v>0.3</v>
      </c>
      <c r="L224" s="10">
        <f t="shared" ref="L224:N226" si="33">K156</f>
        <v>0.3</v>
      </c>
      <c r="M224" s="10">
        <f t="shared" si="33"/>
        <v>0.9</v>
      </c>
      <c r="N224" s="10">
        <f t="shared" si="33"/>
        <v>0.4</v>
      </c>
      <c r="O224" s="10">
        <f t="shared" ref="O224:O226" si="34">M156</f>
        <v>0.4</v>
      </c>
      <c r="P224" s="10">
        <f t="shared" ref="P224:P226" si="35">M156</f>
        <v>0.4</v>
      </c>
    </row>
    <row r="225" spans="4:16" x14ac:dyDescent="0.25">
      <c r="D225" s="10" t="s">
        <v>304</v>
      </c>
      <c r="E225" s="10" t="s">
        <v>421</v>
      </c>
      <c r="F225" s="10" t="str">
        <f t="shared" si="32"/>
        <v>Autumn</v>
      </c>
      <c r="G225" s="10">
        <f t="shared" si="32"/>
        <v>0.8</v>
      </c>
      <c r="H225" s="10">
        <f t="shared" si="32"/>
        <v>0.3</v>
      </c>
      <c r="I225" s="10">
        <f t="shared" si="32"/>
        <v>0.7</v>
      </c>
      <c r="J225" s="10">
        <f t="shared" si="32"/>
        <v>0.3</v>
      </c>
      <c r="K225" s="10">
        <f t="shared" si="32"/>
        <v>0.2</v>
      </c>
      <c r="L225" s="10">
        <f t="shared" si="33"/>
        <v>0.2</v>
      </c>
      <c r="M225" s="10">
        <f t="shared" si="33"/>
        <v>0.7</v>
      </c>
      <c r="N225" s="10">
        <f t="shared" si="33"/>
        <v>0.3</v>
      </c>
      <c r="O225" s="10">
        <f t="shared" si="34"/>
        <v>0.3</v>
      </c>
      <c r="P225" s="10">
        <f t="shared" si="35"/>
        <v>0.3</v>
      </c>
    </row>
    <row r="226" spans="4:16" x14ac:dyDescent="0.25">
      <c r="D226" s="10" t="s">
        <v>304</v>
      </c>
      <c r="E226" s="10" t="s">
        <v>421</v>
      </c>
      <c r="F226" s="10" t="str">
        <f t="shared" si="32"/>
        <v>Winter</v>
      </c>
      <c r="G226" s="10">
        <f t="shared" si="32"/>
        <v>0.4</v>
      </c>
      <c r="H226" s="10">
        <f t="shared" si="32"/>
        <v>0.1</v>
      </c>
      <c r="I226" s="10">
        <f t="shared" si="32"/>
        <v>0.4</v>
      </c>
      <c r="J226" s="10">
        <f t="shared" si="32"/>
        <v>0.2</v>
      </c>
      <c r="K226" s="10">
        <f t="shared" si="32"/>
        <v>0.1</v>
      </c>
      <c r="L226" s="10">
        <f t="shared" si="33"/>
        <v>0.1</v>
      </c>
      <c r="M226" s="10">
        <f t="shared" si="33"/>
        <v>0.4</v>
      </c>
      <c r="N226" s="10">
        <f t="shared" si="33"/>
        <v>0.1</v>
      </c>
      <c r="O226" s="10">
        <f t="shared" si="34"/>
        <v>0.1</v>
      </c>
      <c r="P226" s="10">
        <f t="shared" si="35"/>
        <v>0.1</v>
      </c>
    </row>
    <row r="227" spans="4:16" x14ac:dyDescent="0.25">
      <c r="D227" s="10" t="s">
        <v>325</v>
      </c>
      <c r="E227" s="10" t="s">
        <v>421</v>
      </c>
      <c r="F227" s="10" t="str">
        <f>F155</f>
        <v>Spring</v>
      </c>
      <c r="G227" s="10">
        <f>G155</f>
        <v>0.5</v>
      </c>
      <c r="H227" s="10">
        <f t="shared" ref="H227:J227" si="36">H155</f>
        <v>0.2</v>
      </c>
      <c r="I227" s="10">
        <f t="shared" si="36"/>
        <v>0.5</v>
      </c>
      <c r="J227" s="10">
        <f t="shared" si="36"/>
        <v>0.4</v>
      </c>
      <c r="K227" s="10">
        <f>K155</f>
        <v>0.3</v>
      </c>
      <c r="L227" s="10">
        <f>K155</f>
        <v>0.3</v>
      </c>
      <c r="M227" s="10">
        <f t="shared" ref="M227" si="37">L155</f>
        <v>0.5</v>
      </c>
      <c r="N227" s="10">
        <f>M155</f>
        <v>0.4</v>
      </c>
      <c r="O227" s="10">
        <f>M155</f>
        <v>0.4</v>
      </c>
      <c r="P227" s="10">
        <f>M155</f>
        <v>0.4</v>
      </c>
    </row>
    <row r="228" spans="4:16" x14ac:dyDescent="0.25">
      <c r="D228" s="10" t="s">
        <v>325</v>
      </c>
      <c r="E228" s="10" t="s">
        <v>421</v>
      </c>
      <c r="F228" s="10" t="str">
        <f t="shared" ref="F228:K231" si="38">F156</f>
        <v>Summer</v>
      </c>
      <c r="G228" s="10">
        <f t="shared" si="38"/>
        <v>1</v>
      </c>
      <c r="H228" s="10">
        <f t="shared" si="38"/>
        <v>0.4</v>
      </c>
      <c r="I228" s="10">
        <f t="shared" si="38"/>
        <v>0.9</v>
      </c>
      <c r="J228" s="10">
        <f t="shared" si="38"/>
        <v>0.7</v>
      </c>
      <c r="K228" s="10">
        <f t="shared" si="38"/>
        <v>0.3</v>
      </c>
      <c r="L228" s="10">
        <f t="shared" ref="L228:N231" si="39">K156</f>
        <v>0.3</v>
      </c>
      <c r="M228" s="10">
        <f t="shared" si="39"/>
        <v>0.9</v>
      </c>
      <c r="N228" s="10">
        <f t="shared" si="39"/>
        <v>0.4</v>
      </c>
      <c r="O228" s="10">
        <f t="shared" ref="O228:O230" si="40">M156</f>
        <v>0.4</v>
      </c>
      <c r="P228" s="10">
        <f t="shared" ref="P228:P230" si="41">M156</f>
        <v>0.4</v>
      </c>
    </row>
    <row r="229" spans="4:16" x14ac:dyDescent="0.25">
      <c r="D229" s="10" t="s">
        <v>325</v>
      </c>
      <c r="E229" s="10" t="s">
        <v>421</v>
      </c>
      <c r="F229" s="10" t="str">
        <f t="shared" si="38"/>
        <v>Autumn</v>
      </c>
      <c r="G229" s="10">
        <f t="shared" si="38"/>
        <v>0.8</v>
      </c>
      <c r="H229" s="10">
        <f t="shared" si="38"/>
        <v>0.3</v>
      </c>
      <c r="I229" s="10">
        <f t="shared" si="38"/>
        <v>0.7</v>
      </c>
      <c r="J229" s="10">
        <f t="shared" si="38"/>
        <v>0.3</v>
      </c>
      <c r="K229" s="10">
        <f t="shared" si="38"/>
        <v>0.2</v>
      </c>
      <c r="L229" s="10">
        <f t="shared" si="39"/>
        <v>0.2</v>
      </c>
      <c r="M229" s="10">
        <f t="shared" si="39"/>
        <v>0.7</v>
      </c>
      <c r="N229" s="10">
        <f t="shared" si="39"/>
        <v>0.3</v>
      </c>
      <c r="O229" s="10">
        <f t="shared" si="40"/>
        <v>0.3</v>
      </c>
      <c r="P229" s="10">
        <f t="shared" si="41"/>
        <v>0.3</v>
      </c>
    </row>
    <row r="230" spans="4:16" x14ac:dyDescent="0.25">
      <c r="D230" s="10" t="s">
        <v>325</v>
      </c>
      <c r="E230" s="10" t="s">
        <v>421</v>
      </c>
      <c r="F230" s="10" t="str">
        <f t="shared" si="38"/>
        <v>Winter</v>
      </c>
      <c r="G230" s="10">
        <f t="shared" si="38"/>
        <v>0.4</v>
      </c>
      <c r="H230" s="10">
        <f t="shared" si="38"/>
        <v>0.1</v>
      </c>
      <c r="I230" s="10">
        <f t="shared" si="38"/>
        <v>0.4</v>
      </c>
      <c r="J230" s="10">
        <f t="shared" si="38"/>
        <v>0.2</v>
      </c>
      <c r="K230" s="10">
        <f t="shared" si="38"/>
        <v>0.1</v>
      </c>
      <c r="L230" s="10">
        <f t="shared" si="39"/>
        <v>0.1</v>
      </c>
      <c r="M230" s="10">
        <f t="shared" si="39"/>
        <v>0.4</v>
      </c>
      <c r="N230" s="10">
        <f t="shared" si="39"/>
        <v>0.1</v>
      </c>
      <c r="O230" s="10">
        <f t="shared" si="40"/>
        <v>0.1</v>
      </c>
      <c r="P230" s="10">
        <f t="shared" si="41"/>
        <v>0.1</v>
      </c>
    </row>
    <row r="231" spans="4:16" x14ac:dyDescent="0.25">
      <c r="D231" s="10" t="s">
        <v>381</v>
      </c>
      <c r="E231" s="10" t="s">
        <v>421</v>
      </c>
      <c r="F231" s="10" t="str">
        <f>F159</f>
        <v>Spring</v>
      </c>
      <c r="G231" s="10">
        <f>G159</f>
        <v>0.99</v>
      </c>
      <c r="H231" s="10">
        <f t="shared" si="38"/>
        <v>1.1000000000000001</v>
      </c>
      <c r="I231" s="10">
        <f t="shared" si="38"/>
        <v>0.88</v>
      </c>
      <c r="J231" s="10">
        <f t="shared" si="38"/>
        <v>0.55000000000000004</v>
      </c>
      <c r="K231" s="10">
        <f>K159</f>
        <v>0.55000000000000004</v>
      </c>
      <c r="L231" s="10">
        <f>K159</f>
        <v>0.55000000000000004</v>
      </c>
      <c r="M231" s="10">
        <f t="shared" si="39"/>
        <v>0.88</v>
      </c>
      <c r="N231" s="10">
        <f>M159</f>
        <v>0.22</v>
      </c>
      <c r="O231" s="10">
        <f>M159</f>
        <v>0.22</v>
      </c>
      <c r="P231" s="10">
        <f>M159</f>
        <v>0.22</v>
      </c>
    </row>
    <row r="232" spans="4:16" x14ac:dyDescent="0.25">
      <c r="D232" s="10" t="s">
        <v>381</v>
      </c>
      <c r="E232" s="10" t="s">
        <v>421</v>
      </c>
      <c r="F232" s="10" t="str">
        <f t="shared" ref="F232:K247" si="42">F160</f>
        <v>Summer</v>
      </c>
      <c r="G232" s="10">
        <f t="shared" si="42"/>
        <v>0.77</v>
      </c>
      <c r="H232" s="10">
        <f t="shared" si="42"/>
        <v>0</v>
      </c>
      <c r="I232" s="10">
        <f t="shared" si="42"/>
        <v>0.66</v>
      </c>
      <c r="J232" s="10">
        <f t="shared" si="42"/>
        <v>0.22</v>
      </c>
      <c r="K232" s="10">
        <f t="shared" si="42"/>
        <v>0</v>
      </c>
      <c r="L232" s="10">
        <f t="shared" ref="L232:N247" si="43">K160</f>
        <v>0</v>
      </c>
      <c r="M232" s="10">
        <f t="shared" si="43"/>
        <v>0.66</v>
      </c>
      <c r="N232" s="10">
        <f t="shared" si="43"/>
        <v>0</v>
      </c>
      <c r="O232" s="10">
        <f t="shared" ref="O232:O254" si="44">M160</f>
        <v>0</v>
      </c>
      <c r="P232" s="10">
        <f t="shared" ref="P232:P254" si="45">M160</f>
        <v>0</v>
      </c>
    </row>
    <row r="233" spans="4:16" x14ac:dyDescent="0.25">
      <c r="D233" s="10" t="s">
        <v>381</v>
      </c>
      <c r="E233" s="10" t="s">
        <v>421</v>
      </c>
      <c r="F233" s="10" t="str">
        <f t="shared" si="42"/>
        <v>Autumn</v>
      </c>
      <c r="G233" s="10">
        <f t="shared" si="42"/>
        <v>0.9</v>
      </c>
      <c r="H233" s="10">
        <f t="shared" si="42"/>
        <v>-1.1000000000000001</v>
      </c>
      <c r="I233" s="10">
        <f t="shared" si="42"/>
        <v>0.7</v>
      </c>
      <c r="J233" s="10">
        <f t="shared" si="42"/>
        <v>0.22</v>
      </c>
      <c r="K233" s="10">
        <f t="shared" si="42"/>
        <v>-0.55000000000000004</v>
      </c>
      <c r="L233" s="10">
        <f t="shared" si="43"/>
        <v>-0.55000000000000004</v>
      </c>
      <c r="M233" s="10">
        <f t="shared" si="43"/>
        <v>0.8</v>
      </c>
      <c r="N233" s="10">
        <f t="shared" si="43"/>
        <v>-0.22</v>
      </c>
      <c r="O233" s="10">
        <f t="shared" si="44"/>
        <v>-0.22</v>
      </c>
      <c r="P233" s="10">
        <f t="shared" si="45"/>
        <v>-0.22</v>
      </c>
    </row>
    <row r="234" spans="4:16" x14ac:dyDescent="0.25">
      <c r="D234" s="10" t="s">
        <v>381</v>
      </c>
      <c r="E234" s="10" t="s">
        <v>421</v>
      </c>
      <c r="F234" s="10" t="str">
        <f t="shared" si="42"/>
        <v>Winter</v>
      </c>
      <c r="G234" s="10">
        <f t="shared" si="42"/>
        <v>0.88</v>
      </c>
      <c r="H234" s="10">
        <f t="shared" si="42"/>
        <v>0</v>
      </c>
      <c r="I234" s="10">
        <f t="shared" si="42"/>
        <v>0.77</v>
      </c>
      <c r="J234" s="10">
        <f t="shared" si="42"/>
        <v>0.55000000000000004</v>
      </c>
      <c r="K234" s="10">
        <f t="shared" si="42"/>
        <v>0</v>
      </c>
      <c r="L234" s="10">
        <f t="shared" si="43"/>
        <v>0</v>
      </c>
      <c r="M234" s="10">
        <f t="shared" si="43"/>
        <v>0.82</v>
      </c>
      <c r="N234" s="10">
        <f t="shared" si="43"/>
        <v>0</v>
      </c>
      <c r="O234" s="10">
        <f t="shared" si="44"/>
        <v>0</v>
      </c>
      <c r="P234" s="10">
        <f t="shared" si="45"/>
        <v>0</v>
      </c>
    </row>
    <row r="235" spans="4:16" x14ac:dyDescent="0.25">
      <c r="D235" s="10" t="s">
        <v>378</v>
      </c>
      <c r="E235" s="10" t="s">
        <v>421</v>
      </c>
      <c r="F235" s="10" t="str">
        <f t="shared" si="42"/>
        <v>Spring</v>
      </c>
      <c r="G235" s="10">
        <f t="shared" si="42"/>
        <v>1</v>
      </c>
      <c r="H235" s="10">
        <f t="shared" si="42"/>
        <v>0.5</v>
      </c>
      <c r="I235" s="10">
        <f t="shared" si="42"/>
        <v>1</v>
      </c>
      <c r="J235" s="10">
        <f t="shared" si="42"/>
        <v>1</v>
      </c>
      <c r="K235" s="10">
        <f t="shared" si="42"/>
        <v>-0.44</v>
      </c>
      <c r="L235" s="10">
        <f t="shared" si="43"/>
        <v>-0.44</v>
      </c>
      <c r="M235" s="10">
        <f t="shared" si="43"/>
        <v>1</v>
      </c>
      <c r="N235" s="10">
        <f t="shared" si="43"/>
        <v>0.5</v>
      </c>
      <c r="O235" s="10">
        <f t="shared" si="44"/>
        <v>0.5</v>
      </c>
      <c r="P235" s="10">
        <f t="shared" si="45"/>
        <v>0.5</v>
      </c>
    </row>
    <row r="236" spans="4:16" x14ac:dyDescent="0.25">
      <c r="D236" s="10" t="s">
        <v>378</v>
      </c>
      <c r="E236" s="10" t="s">
        <v>421</v>
      </c>
      <c r="F236" s="10" t="str">
        <f t="shared" si="42"/>
        <v>Summer</v>
      </c>
      <c r="G236" s="10">
        <f t="shared" si="42"/>
        <v>0.82</v>
      </c>
      <c r="H236" s="10">
        <f t="shared" si="42"/>
        <v>0.55000000000000004</v>
      </c>
      <c r="I236" s="10">
        <f t="shared" si="42"/>
        <v>0.71</v>
      </c>
      <c r="J236" s="10">
        <f t="shared" si="42"/>
        <v>0.55000000000000004</v>
      </c>
      <c r="K236" s="10">
        <f t="shared" si="42"/>
        <v>0.99</v>
      </c>
      <c r="L236" s="10">
        <f t="shared" si="43"/>
        <v>0.99</v>
      </c>
      <c r="M236" s="10">
        <f t="shared" si="43"/>
        <v>0.77</v>
      </c>
      <c r="N236" s="10">
        <f t="shared" si="43"/>
        <v>0.5</v>
      </c>
      <c r="O236" s="10">
        <f t="shared" si="44"/>
        <v>0.5</v>
      </c>
      <c r="P236" s="10">
        <f t="shared" si="45"/>
        <v>0.5</v>
      </c>
    </row>
    <row r="237" spans="4:16" x14ac:dyDescent="0.25">
      <c r="D237" s="10" t="s">
        <v>378</v>
      </c>
      <c r="E237" s="10" t="s">
        <v>421</v>
      </c>
      <c r="F237" s="10" t="str">
        <f t="shared" si="42"/>
        <v>Autumn</v>
      </c>
      <c r="G237" s="10">
        <f t="shared" si="42"/>
        <v>0.77</v>
      </c>
      <c r="H237" s="10">
        <f t="shared" si="42"/>
        <v>0.5</v>
      </c>
      <c r="I237" s="10">
        <f t="shared" si="42"/>
        <v>0.55000000000000004</v>
      </c>
      <c r="J237" s="10">
        <f t="shared" si="42"/>
        <v>0.11</v>
      </c>
      <c r="K237" s="10">
        <f t="shared" si="42"/>
        <v>-0.33</v>
      </c>
      <c r="L237" s="10">
        <f t="shared" si="43"/>
        <v>-0.33</v>
      </c>
      <c r="M237" s="10">
        <f t="shared" si="43"/>
        <v>0.6</v>
      </c>
      <c r="N237" s="10">
        <f t="shared" si="43"/>
        <v>0.33</v>
      </c>
      <c r="O237" s="10">
        <f t="shared" si="44"/>
        <v>0.33</v>
      </c>
      <c r="P237" s="10">
        <f t="shared" si="45"/>
        <v>0.33</v>
      </c>
    </row>
    <row r="238" spans="4:16" x14ac:dyDescent="0.25">
      <c r="D238" s="10" t="s">
        <v>378</v>
      </c>
      <c r="E238" s="10" t="s">
        <v>421</v>
      </c>
      <c r="F238" s="10" t="str">
        <f t="shared" si="42"/>
        <v>Winter</v>
      </c>
      <c r="G238" s="10">
        <f t="shared" si="42"/>
        <v>0.11</v>
      </c>
      <c r="H238" s="10">
        <f t="shared" si="42"/>
        <v>-0.27</v>
      </c>
      <c r="I238" s="10">
        <f t="shared" si="42"/>
        <v>0.11</v>
      </c>
      <c r="J238" s="10">
        <f t="shared" si="42"/>
        <v>0.22</v>
      </c>
      <c r="K238" s="10">
        <f t="shared" si="42"/>
        <v>-0.44</v>
      </c>
      <c r="L238" s="10">
        <f t="shared" si="43"/>
        <v>-0.44</v>
      </c>
      <c r="M238" s="10">
        <f t="shared" si="43"/>
        <v>0.16</v>
      </c>
      <c r="N238" s="10">
        <f t="shared" si="43"/>
        <v>-0.22</v>
      </c>
      <c r="O238" s="10">
        <f t="shared" si="44"/>
        <v>-0.22</v>
      </c>
      <c r="P238" s="10">
        <f t="shared" si="45"/>
        <v>-0.22</v>
      </c>
    </row>
    <row r="239" spans="4:16" x14ac:dyDescent="0.25">
      <c r="D239" s="10" t="s">
        <v>331</v>
      </c>
      <c r="E239" s="10" t="s">
        <v>421</v>
      </c>
      <c r="F239" s="10" t="str">
        <f t="shared" si="42"/>
        <v>Spring</v>
      </c>
      <c r="G239" s="10">
        <f t="shared" si="42"/>
        <v>1.1000000000000001</v>
      </c>
      <c r="H239" s="10">
        <f t="shared" si="42"/>
        <v>1.1000000000000001</v>
      </c>
      <c r="I239" s="10">
        <f t="shared" si="42"/>
        <v>1.1000000000000001</v>
      </c>
      <c r="J239" s="10">
        <f t="shared" si="42"/>
        <v>0.99</v>
      </c>
      <c r="K239" s="10">
        <f t="shared" si="42"/>
        <v>0.99</v>
      </c>
      <c r="L239" s="10">
        <f t="shared" si="43"/>
        <v>0.99</v>
      </c>
      <c r="M239" s="10">
        <f t="shared" si="43"/>
        <v>1.1000000000000001</v>
      </c>
      <c r="N239" s="10">
        <f t="shared" si="43"/>
        <v>0.77</v>
      </c>
      <c r="O239" s="10">
        <f t="shared" si="44"/>
        <v>0.77</v>
      </c>
      <c r="P239" s="10">
        <f t="shared" si="45"/>
        <v>0.77</v>
      </c>
    </row>
    <row r="240" spans="4:16" x14ac:dyDescent="0.25">
      <c r="D240" s="10" t="s">
        <v>331</v>
      </c>
      <c r="E240" s="10" t="s">
        <v>421</v>
      </c>
      <c r="F240" s="10" t="str">
        <f t="shared" si="42"/>
        <v>Summer</v>
      </c>
      <c r="G240" s="10">
        <f t="shared" si="42"/>
        <v>0.33</v>
      </c>
      <c r="H240" s="10">
        <f t="shared" si="42"/>
        <v>0.33</v>
      </c>
      <c r="I240" s="10">
        <f t="shared" si="42"/>
        <v>0.22</v>
      </c>
      <c r="J240" s="10">
        <f t="shared" si="42"/>
        <v>0.33</v>
      </c>
      <c r="K240" s="10">
        <f t="shared" si="42"/>
        <v>-0.1</v>
      </c>
      <c r="L240" s="10">
        <f t="shared" si="43"/>
        <v>-0.1</v>
      </c>
      <c r="M240" s="10">
        <f t="shared" si="43"/>
        <v>0.33</v>
      </c>
      <c r="N240" s="10">
        <f t="shared" si="43"/>
        <v>0.11</v>
      </c>
      <c r="O240" s="10">
        <f t="shared" si="44"/>
        <v>0.11</v>
      </c>
      <c r="P240" s="10">
        <f t="shared" si="45"/>
        <v>0.11</v>
      </c>
    </row>
    <row r="241" spans="4:16" x14ac:dyDescent="0.25">
      <c r="D241" s="10" t="s">
        <v>331</v>
      </c>
      <c r="E241" s="10" t="s">
        <v>421</v>
      </c>
      <c r="F241" s="10" t="str">
        <f t="shared" si="42"/>
        <v>Autumn</v>
      </c>
      <c r="G241" s="10">
        <f t="shared" si="42"/>
        <v>0.5</v>
      </c>
      <c r="H241" s="10">
        <f t="shared" si="42"/>
        <v>0.2</v>
      </c>
      <c r="I241" s="10">
        <f t="shared" si="42"/>
        <v>0.55000000000000004</v>
      </c>
      <c r="J241" s="10">
        <f t="shared" si="42"/>
        <v>0.44</v>
      </c>
      <c r="K241" s="10">
        <f t="shared" si="42"/>
        <v>0.2</v>
      </c>
      <c r="L241" s="10">
        <f t="shared" si="43"/>
        <v>0.2</v>
      </c>
      <c r="M241" s="10">
        <f t="shared" si="43"/>
        <v>0.55000000000000004</v>
      </c>
      <c r="N241" s="10">
        <f t="shared" si="43"/>
        <v>0.2</v>
      </c>
      <c r="O241" s="10">
        <f t="shared" si="44"/>
        <v>0.2</v>
      </c>
      <c r="P241" s="10">
        <f t="shared" si="45"/>
        <v>0.2</v>
      </c>
    </row>
    <row r="242" spans="4:16" x14ac:dyDescent="0.25">
      <c r="D242" s="10" t="s">
        <v>331</v>
      </c>
      <c r="E242" s="10" t="s">
        <v>421</v>
      </c>
      <c r="F242" s="10" t="str">
        <f t="shared" si="42"/>
        <v>Winter</v>
      </c>
      <c r="G242" s="10">
        <f t="shared" si="42"/>
        <v>0.55000000000000004</v>
      </c>
      <c r="H242" s="10">
        <f t="shared" si="42"/>
        <v>0.22</v>
      </c>
      <c r="I242" s="10">
        <f t="shared" si="42"/>
        <v>0.49</v>
      </c>
      <c r="J242" s="10">
        <f t="shared" si="42"/>
        <v>0.22</v>
      </c>
      <c r="K242" s="10">
        <f t="shared" si="42"/>
        <v>0.22</v>
      </c>
      <c r="L242" s="10">
        <f t="shared" si="43"/>
        <v>0.22</v>
      </c>
      <c r="M242" s="10">
        <f t="shared" si="43"/>
        <v>0.49</v>
      </c>
      <c r="N242" s="10">
        <f t="shared" si="43"/>
        <v>0.33</v>
      </c>
      <c r="O242" s="10">
        <f t="shared" si="44"/>
        <v>0.33</v>
      </c>
      <c r="P242" s="10">
        <f t="shared" si="45"/>
        <v>0.33</v>
      </c>
    </row>
    <row r="243" spans="4:16" x14ac:dyDescent="0.25">
      <c r="D243" s="10" t="s">
        <v>332</v>
      </c>
      <c r="E243" s="10" t="str">
        <f>E171</f>
        <v>South West</v>
      </c>
      <c r="F243" s="10" t="str">
        <f t="shared" si="42"/>
        <v>Spring</v>
      </c>
      <c r="G243" s="10">
        <f t="shared" si="42"/>
        <v>1.64</v>
      </c>
      <c r="H243" s="10">
        <f t="shared" si="42"/>
        <v>1.1000000000000001</v>
      </c>
      <c r="I243" s="10">
        <f t="shared" si="42"/>
        <v>1.21</v>
      </c>
      <c r="J243" s="10">
        <f t="shared" si="42"/>
        <v>0.99</v>
      </c>
      <c r="K243" s="10">
        <f t="shared" si="42"/>
        <v>0.66</v>
      </c>
      <c r="L243" s="10">
        <f t="shared" si="43"/>
        <v>0.66</v>
      </c>
      <c r="M243" s="10">
        <f t="shared" si="43"/>
        <v>1.42</v>
      </c>
      <c r="N243" s="10">
        <f t="shared" si="43"/>
        <v>1.1000000000000001</v>
      </c>
      <c r="O243" s="10">
        <f t="shared" si="44"/>
        <v>1.1000000000000001</v>
      </c>
      <c r="P243" s="10">
        <f t="shared" si="45"/>
        <v>1.1000000000000001</v>
      </c>
    </row>
    <row r="244" spans="4:16" x14ac:dyDescent="0.25">
      <c r="D244" s="10" t="s">
        <v>332</v>
      </c>
      <c r="E244" s="10" t="str">
        <f t="shared" ref="E244:K254" si="46">E172</f>
        <v>South West</v>
      </c>
      <c r="F244" s="10" t="str">
        <f t="shared" si="42"/>
        <v>Summer</v>
      </c>
      <c r="G244" s="10">
        <f t="shared" si="42"/>
        <v>0.44</v>
      </c>
      <c r="H244" s="10">
        <f t="shared" si="42"/>
        <v>-0.22</v>
      </c>
      <c r="I244" s="10">
        <f t="shared" si="42"/>
        <v>0.44</v>
      </c>
      <c r="J244" s="10">
        <f t="shared" si="42"/>
        <v>0.33</v>
      </c>
      <c r="K244" s="10">
        <f t="shared" si="42"/>
        <v>-0.22</v>
      </c>
      <c r="L244" s="10">
        <f t="shared" si="43"/>
        <v>-0.22</v>
      </c>
      <c r="M244" s="10">
        <f t="shared" si="43"/>
        <v>0.44</v>
      </c>
      <c r="N244" s="10">
        <f t="shared" si="43"/>
        <v>-0.11</v>
      </c>
      <c r="O244" s="10">
        <f t="shared" si="44"/>
        <v>-0.11</v>
      </c>
      <c r="P244" s="10">
        <f t="shared" si="45"/>
        <v>-0.11</v>
      </c>
    </row>
    <row r="245" spans="4:16" x14ac:dyDescent="0.25">
      <c r="D245" s="10" t="s">
        <v>332</v>
      </c>
      <c r="E245" s="10" t="str">
        <f t="shared" si="46"/>
        <v>South West</v>
      </c>
      <c r="F245" s="10" t="str">
        <f t="shared" si="42"/>
        <v>Autumn</v>
      </c>
      <c r="G245" s="10">
        <f t="shared" si="42"/>
        <v>0.6</v>
      </c>
      <c r="H245" s="10">
        <f t="shared" si="42"/>
        <v>0</v>
      </c>
      <c r="I245" s="10">
        <f t="shared" si="42"/>
        <v>0.6</v>
      </c>
      <c r="J245" s="10">
        <f t="shared" si="42"/>
        <v>0.22</v>
      </c>
      <c r="K245" s="10">
        <f t="shared" si="42"/>
        <v>-0.55000000000000004</v>
      </c>
      <c r="L245" s="10">
        <f t="shared" si="43"/>
        <v>-0.55000000000000004</v>
      </c>
      <c r="M245" s="10">
        <f t="shared" si="43"/>
        <v>0.6</v>
      </c>
      <c r="N245" s="10">
        <f t="shared" si="43"/>
        <v>0</v>
      </c>
      <c r="O245" s="10">
        <f t="shared" si="44"/>
        <v>0</v>
      </c>
      <c r="P245" s="10">
        <f t="shared" si="45"/>
        <v>0</v>
      </c>
    </row>
    <row r="246" spans="4:16" x14ac:dyDescent="0.25">
      <c r="D246" s="10" t="s">
        <v>332</v>
      </c>
      <c r="E246" s="10" t="str">
        <f t="shared" si="46"/>
        <v>South West</v>
      </c>
      <c r="F246" s="10" t="str">
        <f t="shared" si="42"/>
        <v>Winter</v>
      </c>
      <c r="G246" s="10">
        <f t="shared" si="42"/>
        <v>0.99</v>
      </c>
      <c r="H246" s="10">
        <f t="shared" si="42"/>
        <v>0.22</v>
      </c>
      <c r="I246" s="10">
        <f t="shared" si="42"/>
        <v>0.77</v>
      </c>
      <c r="J246" s="10">
        <f t="shared" si="42"/>
        <v>0.11</v>
      </c>
      <c r="K246" s="10">
        <f t="shared" si="42"/>
        <v>0.11</v>
      </c>
      <c r="L246" s="10">
        <f t="shared" si="43"/>
        <v>0.11</v>
      </c>
      <c r="M246" s="10">
        <f t="shared" si="43"/>
        <v>0.77</v>
      </c>
      <c r="N246" s="10">
        <f t="shared" si="43"/>
        <v>0.44</v>
      </c>
      <c r="O246" s="10">
        <f t="shared" si="44"/>
        <v>0.44</v>
      </c>
      <c r="P246" s="10">
        <f t="shared" si="45"/>
        <v>0.44</v>
      </c>
    </row>
    <row r="247" spans="4:16" x14ac:dyDescent="0.25">
      <c r="D247" s="10" t="s">
        <v>332</v>
      </c>
      <c r="E247" s="10" t="str">
        <f t="shared" si="46"/>
        <v>Pilbara</v>
      </c>
      <c r="F247" s="10" t="str">
        <f t="shared" si="42"/>
        <v>Spring</v>
      </c>
      <c r="G247" s="10">
        <f t="shared" si="42"/>
        <v>0.7</v>
      </c>
      <c r="H247" s="10">
        <f t="shared" si="42"/>
        <v>-0.55000000000000004</v>
      </c>
      <c r="I247" s="10">
        <f t="shared" si="42"/>
        <v>0.7</v>
      </c>
      <c r="J247" s="10">
        <f t="shared" si="42"/>
        <v>0.22</v>
      </c>
      <c r="K247" s="10">
        <f t="shared" si="42"/>
        <v>-0.22</v>
      </c>
      <c r="L247" s="10">
        <f t="shared" si="43"/>
        <v>-0.22</v>
      </c>
      <c r="M247" s="10">
        <f t="shared" si="43"/>
        <v>0.7</v>
      </c>
      <c r="N247" s="10">
        <f t="shared" si="43"/>
        <v>-0.22</v>
      </c>
      <c r="O247" s="10">
        <f t="shared" si="44"/>
        <v>-0.22</v>
      </c>
      <c r="P247" s="10">
        <f t="shared" si="45"/>
        <v>-0.22</v>
      </c>
    </row>
    <row r="248" spans="4:16" x14ac:dyDescent="0.25">
      <c r="D248" s="10" t="s">
        <v>332</v>
      </c>
      <c r="E248" s="10" t="str">
        <f t="shared" si="46"/>
        <v>Pilbara</v>
      </c>
      <c r="F248" s="10" t="str">
        <f t="shared" si="46"/>
        <v>Summer</v>
      </c>
      <c r="G248" s="10">
        <f t="shared" si="46"/>
        <v>0.77</v>
      </c>
      <c r="H248" s="10">
        <f t="shared" si="46"/>
        <v>0.55000000000000004</v>
      </c>
      <c r="I248" s="10">
        <f t="shared" si="46"/>
        <v>0.77</v>
      </c>
      <c r="J248" s="10">
        <f t="shared" si="46"/>
        <v>0.66</v>
      </c>
      <c r="K248" s="10">
        <f t="shared" si="46"/>
        <v>0.55000000000000004</v>
      </c>
      <c r="L248" s="10">
        <f t="shared" ref="L248:N254" si="47">K176</f>
        <v>0.55000000000000004</v>
      </c>
      <c r="M248" s="10">
        <f t="shared" si="47"/>
        <v>0.77</v>
      </c>
      <c r="N248" s="10">
        <f t="shared" si="47"/>
        <v>0.33</v>
      </c>
      <c r="O248" s="10">
        <f t="shared" si="44"/>
        <v>0.33</v>
      </c>
      <c r="P248" s="10">
        <f t="shared" si="45"/>
        <v>0.33</v>
      </c>
    </row>
    <row r="249" spans="4:16" x14ac:dyDescent="0.25">
      <c r="D249" s="10" t="s">
        <v>332</v>
      </c>
      <c r="E249" s="10" t="str">
        <f t="shared" si="46"/>
        <v>Pilbara</v>
      </c>
      <c r="F249" s="10" t="str">
        <f t="shared" si="46"/>
        <v>Autumn</v>
      </c>
      <c r="G249" s="10">
        <f t="shared" si="46"/>
        <v>0.88</v>
      </c>
      <c r="H249" s="10">
        <f t="shared" si="46"/>
        <v>0.55000000000000004</v>
      </c>
      <c r="I249" s="10">
        <f t="shared" si="46"/>
        <v>0.88</v>
      </c>
      <c r="J249" s="10">
        <f t="shared" si="46"/>
        <v>0.22</v>
      </c>
      <c r="K249" s="10">
        <f t="shared" si="46"/>
        <v>0.22</v>
      </c>
      <c r="L249" s="10">
        <f t="shared" si="47"/>
        <v>0.22</v>
      </c>
      <c r="M249" s="10">
        <f t="shared" si="47"/>
        <v>0.88</v>
      </c>
      <c r="N249" s="10">
        <f t="shared" si="47"/>
        <v>0.22</v>
      </c>
      <c r="O249" s="10">
        <f t="shared" si="44"/>
        <v>0.22</v>
      </c>
      <c r="P249" s="10">
        <f t="shared" si="45"/>
        <v>0.22</v>
      </c>
    </row>
    <row r="250" spans="4:16" x14ac:dyDescent="0.25">
      <c r="D250" s="10" t="s">
        <v>332</v>
      </c>
      <c r="E250" s="10" t="str">
        <f t="shared" si="46"/>
        <v>Pilbara</v>
      </c>
      <c r="F250" s="10" t="str">
        <f t="shared" si="46"/>
        <v>Winter</v>
      </c>
      <c r="G250" s="10">
        <f t="shared" si="46"/>
        <v>0.22</v>
      </c>
      <c r="H250" s="10">
        <f t="shared" si="46"/>
        <v>-0.55000000000000004</v>
      </c>
      <c r="I250" s="10">
        <f t="shared" si="46"/>
        <v>0.22</v>
      </c>
      <c r="J250" s="10">
        <f t="shared" si="46"/>
        <v>0.11</v>
      </c>
      <c r="K250" s="10">
        <f t="shared" si="46"/>
        <v>-0.22</v>
      </c>
      <c r="L250" s="10">
        <f t="shared" si="47"/>
        <v>-0.22</v>
      </c>
      <c r="M250" s="10">
        <f t="shared" si="47"/>
        <v>0.22</v>
      </c>
      <c r="N250" s="10">
        <f t="shared" si="47"/>
        <v>-0.33</v>
      </c>
      <c r="O250" s="10">
        <f t="shared" si="44"/>
        <v>-0.33</v>
      </c>
      <c r="P250" s="10">
        <f t="shared" si="45"/>
        <v>-0.33</v>
      </c>
    </row>
    <row r="251" spans="4:16" x14ac:dyDescent="0.25">
      <c r="D251" s="10" t="s">
        <v>332</v>
      </c>
      <c r="E251" s="10" t="str">
        <f t="shared" si="46"/>
        <v>Kimberley</v>
      </c>
      <c r="F251" s="10" t="str">
        <f t="shared" si="46"/>
        <v>Spring</v>
      </c>
      <c r="G251" s="10">
        <f t="shared" si="46"/>
        <v>0.22</v>
      </c>
      <c r="H251" s="10">
        <f t="shared" si="46"/>
        <v>-0.55000000000000004</v>
      </c>
      <c r="I251" s="10">
        <f t="shared" si="46"/>
        <v>0.33</v>
      </c>
      <c r="J251" s="10">
        <f t="shared" si="46"/>
        <v>0.22</v>
      </c>
      <c r="K251" s="10">
        <f t="shared" si="46"/>
        <v>-0.33</v>
      </c>
      <c r="L251" s="10">
        <f t="shared" si="47"/>
        <v>-0.33</v>
      </c>
      <c r="M251" s="10">
        <f t="shared" si="47"/>
        <v>0.22</v>
      </c>
      <c r="N251" s="10">
        <f t="shared" si="47"/>
        <v>-0.55000000000000004</v>
      </c>
      <c r="O251" s="10">
        <f t="shared" si="44"/>
        <v>-0.55000000000000004</v>
      </c>
      <c r="P251" s="10">
        <f t="shared" si="45"/>
        <v>-0.55000000000000004</v>
      </c>
    </row>
    <row r="252" spans="4:16" x14ac:dyDescent="0.25">
      <c r="D252" s="10" t="s">
        <v>332</v>
      </c>
      <c r="E252" s="10" t="str">
        <f t="shared" si="46"/>
        <v>Kimberley</v>
      </c>
      <c r="F252" s="10" t="str">
        <f t="shared" si="46"/>
        <v>Summer</v>
      </c>
      <c r="G252" s="10">
        <f t="shared" si="46"/>
        <v>0.8</v>
      </c>
      <c r="H252" s="10">
        <f t="shared" si="46"/>
        <v>0.55000000000000004</v>
      </c>
      <c r="I252" s="10">
        <f t="shared" si="46"/>
        <v>0.7</v>
      </c>
      <c r="J252" s="10">
        <f t="shared" si="46"/>
        <v>0.44</v>
      </c>
      <c r="K252" s="10">
        <f t="shared" si="46"/>
        <v>0.66</v>
      </c>
      <c r="L252" s="10">
        <f t="shared" si="47"/>
        <v>0.66</v>
      </c>
      <c r="M252" s="10">
        <f t="shared" si="47"/>
        <v>0.8</v>
      </c>
      <c r="N252" s="10">
        <f t="shared" si="47"/>
        <v>0.55000000000000004</v>
      </c>
      <c r="O252" s="10">
        <f t="shared" si="44"/>
        <v>0.55000000000000004</v>
      </c>
      <c r="P252" s="10">
        <f t="shared" si="45"/>
        <v>0.55000000000000004</v>
      </c>
    </row>
    <row r="253" spans="4:16" x14ac:dyDescent="0.25">
      <c r="D253" s="10" t="s">
        <v>332</v>
      </c>
      <c r="E253" s="10" t="str">
        <f t="shared" si="46"/>
        <v>Kimberley</v>
      </c>
      <c r="F253" s="10" t="str">
        <f t="shared" si="46"/>
        <v>Autumn</v>
      </c>
      <c r="G253" s="10">
        <f t="shared" si="46"/>
        <v>0.66</v>
      </c>
      <c r="H253" s="10">
        <f t="shared" si="46"/>
        <v>0.55000000000000004</v>
      </c>
      <c r="I253" s="10">
        <f t="shared" si="46"/>
        <v>0.55000000000000004</v>
      </c>
      <c r="J253" s="10">
        <f t="shared" si="46"/>
        <v>0.55000000000000004</v>
      </c>
      <c r="K253" s="10">
        <f t="shared" si="46"/>
        <v>0.11</v>
      </c>
      <c r="L253" s="10">
        <f t="shared" si="47"/>
        <v>0.11</v>
      </c>
      <c r="M253" s="10">
        <f t="shared" si="47"/>
        <v>0.66</v>
      </c>
      <c r="N253" s="10">
        <f t="shared" si="47"/>
        <v>0.55000000000000004</v>
      </c>
      <c r="O253" s="10">
        <f t="shared" si="44"/>
        <v>0.55000000000000004</v>
      </c>
      <c r="P253" s="10">
        <f t="shared" si="45"/>
        <v>0.55000000000000004</v>
      </c>
    </row>
    <row r="254" spans="4:16" x14ac:dyDescent="0.25">
      <c r="D254" s="10" t="s">
        <v>332</v>
      </c>
      <c r="E254" s="10" t="str">
        <f t="shared" si="46"/>
        <v>Kimberley</v>
      </c>
      <c r="F254" s="10" t="str">
        <f t="shared" si="46"/>
        <v>Winter</v>
      </c>
      <c r="G254" s="10">
        <f t="shared" si="46"/>
        <v>0.33</v>
      </c>
      <c r="H254" s="10">
        <f t="shared" si="46"/>
        <v>-0.55000000000000004</v>
      </c>
      <c r="I254" s="10">
        <f t="shared" si="46"/>
        <v>0.11</v>
      </c>
      <c r="J254" s="10">
        <f t="shared" si="46"/>
        <v>0.11</v>
      </c>
      <c r="K254" s="10">
        <f t="shared" si="46"/>
        <v>-0.44</v>
      </c>
      <c r="L254" s="10">
        <f t="shared" si="47"/>
        <v>-0.44</v>
      </c>
      <c r="M254" s="10">
        <f t="shared" si="47"/>
        <v>0.33</v>
      </c>
      <c r="N254" s="10">
        <f t="shared" si="47"/>
        <v>-0.55000000000000004</v>
      </c>
      <c r="O254" s="10">
        <f t="shared" si="44"/>
        <v>-0.55000000000000004</v>
      </c>
      <c r="P254" s="10">
        <f t="shared" si="45"/>
        <v>-0.55000000000000004</v>
      </c>
    </row>
    <row r="255" spans="4:16" x14ac:dyDescent="0.25">
      <c r="D255" s="10" t="s">
        <v>422</v>
      </c>
      <c r="E255" s="10" t="str">
        <f>E190</f>
        <v>Alice Springs</v>
      </c>
      <c r="F255" s="10" t="str">
        <f>F190</f>
        <v>Spring</v>
      </c>
      <c r="G255" s="10">
        <f>G190</f>
        <v>0.22</v>
      </c>
      <c r="H255" s="10">
        <f t="shared" ref="H255:P255" si="48">H190</f>
        <v>-0.23</v>
      </c>
      <c r="I255" s="10">
        <f t="shared" si="48"/>
        <v>0.25</v>
      </c>
      <c r="J255" s="10">
        <f t="shared" si="48"/>
        <v>0.17</v>
      </c>
      <c r="K255" s="10">
        <f t="shared" si="48"/>
        <v>0.18</v>
      </c>
      <c r="L255" s="10">
        <f t="shared" si="48"/>
        <v>-0.28000000000000003</v>
      </c>
      <c r="M255" s="10">
        <f t="shared" si="48"/>
        <v>0.32</v>
      </c>
      <c r="N255" s="10">
        <f t="shared" si="48"/>
        <v>0.24</v>
      </c>
      <c r="O255" s="10">
        <f t="shared" si="48"/>
        <v>0.25</v>
      </c>
      <c r="P255" s="10">
        <f t="shared" si="48"/>
        <v>-0.05</v>
      </c>
    </row>
    <row r="256" spans="4:16" x14ac:dyDescent="0.25">
      <c r="D256" s="10" t="s">
        <v>422</v>
      </c>
      <c r="E256" s="10" t="str">
        <f t="shared" ref="E256:P271" si="49">E191</f>
        <v>Alice Springs</v>
      </c>
      <c r="F256" s="10" t="str">
        <f t="shared" si="49"/>
        <v>Summer</v>
      </c>
      <c r="G256" s="10">
        <f t="shared" si="49"/>
        <v>0.66</v>
      </c>
      <c r="H256" s="10">
        <f t="shared" si="49"/>
        <v>0.2</v>
      </c>
      <c r="I256" s="10">
        <f t="shared" si="49"/>
        <v>0.62</v>
      </c>
      <c r="J256" s="10">
        <f t="shared" si="49"/>
        <v>0.54</v>
      </c>
      <c r="K256" s="10">
        <f t="shared" si="49"/>
        <v>0.38</v>
      </c>
      <c r="L256" s="10">
        <f t="shared" si="49"/>
        <v>0.27</v>
      </c>
      <c r="M256" s="10">
        <f t="shared" si="49"/>
        <v>0.75</v>
      </c>
      <c r="N256" s="10">
        <f t="shared" si="49"/>
        <v>0.64</v>
      </c>
      <c r="O256" s="10">
        <f t="shared" si="49"/>
        <v>0.55000000000000004</v>
      </c>
      <c r="P256" s="10">
        <f t="shared" si="49"/>
        <v>0.48</v>
      </c>
    </row>
    <row r="257" spans="4:16" x14ac:dyDescent="0.25">
      <c r="D257" s="10" t="s">
        <v>422</v>
      </c>
      <c r="E257" s="10" t="str">
        <f t="shared" si="49"/>
        <v>Alice Springs</v>
      </c>
      <c r="F257" s="10" t="str">
        <f t="shared" si="49"/>
        <v>Autumn</v>
      </c>
      <c r="G257" s="10">
        <f t="shared" si="49"/>
        <v>0.49</v>
      </c>
      <c r="H257" s="10">
        <f t="shared" si="49"/>
        <v>0.13</v>
      </c>
      <c r="I257" s="10">
        <f t="shared" si="49"/>
        <v>0.54</v>
      </c>
      <c r="J257" s="10">
        <f t="shared" si="49"/>
        <v>0.45</v>
      </c>
      <c r="K257" s="10">
        <f t="shared" si="49"/>
        <v>0.35</v>
      </c>
      <c r="L257" s="10">
        <f t="shared" si="49"/>
        <v>0.15</v>
      </c>
      <c r="M257" s="10">
        <f t="shared" si="49"/>
        <v>0.63</v>
      </c>
      <c r="N257" s="10">
        <f t="shared" si="49"/>
        <v>0.54</v>
      </c>
      <c r="O257" s="10">
        <f t="shared" si="49"/>
        <v>0.42</v>
      </c>
      <c r="P257" s="10">
        <f t="shared" si="49"/>
        <v>0.26</v>
      </c>
    </row>
    <row r="258" spans="4:16" x14ac:dyDescent="0.25">
      <c r="D258" s="10" t="s">
        <v>422</v>
      </c>
      <c r="E258" s="10" t="str">
        <f t="shared" si="49"/>
        <v>Alice Springs</v>
      </c>
      <c r="F258" s="10" t="str">
        <f t="shared" si="49"/>
        <v>Winter</v>
      </c>
      <c r="G258" s="10">
        <f t="shared" si="49"/>
        <v>0.27</v>
      </c>
      <c r="H258" s="10">
        <f t="shared" si="49"/>
        <v>-0.8</v>
      </c>
      <c r="I258" s="10">
        <f t="shared" si="49"/>
        <v>0.22</v>
      </c>
      <c r="J258" s="10">
        <f t="shared" si="49"/>
        <v>0.09</v>
      </c>
      <c r="K258" s="10">
        <f t="shared" si="49"/>
        <v>0.12</v>
      </c>
      <c r="L258" s="10">
        <f t="shared" si="49"/>
        <v>0.02</v>
      </c>
      <c r="M258" s="10">
        <f t="shared" si="49"/>
        <v>0.25</v>
      </c>
      <c r="N258" s="10">
        <f t="shared" si="49"/>
        <v>0.18</v>
      </c>
      <c r="O258" s="10">
        <f t="shared" si="49"/>
        <v>0.12</v>
      </c>
      <c r="P258" s="10">
        <f t="shared" si="49"/>
        <v>0.03</v>
      </c>
    </row>
    <row r="259" spans="4:16" x14ac:dyDescent="0.25">
      <c r="D259" s="10" t="s">
        <v>422</v>
      </c>
      <c r="E259" s="10" t="str">
        <f t="shared" si="49"/>
        <v>Barkly</v>
      </c>
      <c r="F259" s="10" t="str">
        <f t="shared" si="49"/>
        <v>Spring</v>
      </c>
      <c r="G259" s="10">
        <f t="shared" si="49"/>
        <v>0.22</v>
      </c>
      <c r="H259" s="10">
        <f t="shared" si="49"/>
        <v>-0.44</v>
      </c>
      <c r="I259" s="10">
        <f t="shared" si="49"/>
        <v>0.2</v>
      </c>
      <c r="J259" s="10">
        <f t="shared" si="49"/>
        <v>0.21</v>
      </c>
      <c r="K259" s="10">
        <f t="shared" si="49"/>
        <v>0.18</v>
      </c>
      <c r="L259" s="10">
        <f t="shared" si="49"/>
        <v>0.01</v>
      </c>
      <c r="M259" s="10">
        <f t="shared" si="49"/>
        <v>0.12</v>
      </c>
      <c r="N259" s="10">
        <f t="shared" si="49"/>
        <v>0.09</v>
      </c>
      <c r="O259" s="10" t="str">
        <f t="shared" si="49"/>
        <v>NO</v>
      </c>
      <c r="P259" s="10" t="str">
        <f t="shared" si="49"/>
        <v>NO</v>
      </c>
    </row>
    <row r="260" spans="4:16" x14ac:dyDescent="0.25">
      <c r="D260" s="10" t="s">
        <v>422</v>
      </c>
      <c r="E260" s="10" t="str">
        <f t="shared" si="49"/>
        <v>Barkly</v>
      </c>
      <c r="F260" s="10" t="str">
        <f t="shared" si="49"/>
        <v>Summer</v>
      </c>
      <c r="G260" s="10">
        <f t="shared" si="49"/>
        <v>0.66</v>
      </c>
      <c r="H260" s="10">
        <f t="shared" si="49"/>
        <v>0.22</v>
      </c>
      <c r="I260" s="10">
        <f t="shared" si="49"/>
        <v>0.68</v>
      </c>
      <c r="J260" s="10">
        <f t="shared" si="49"/>
        <v>0.22</v>
      </c>
      <c r="K260" s="10">
        <f t="shared" si="49"/>
        <v>0.24</v>
      </c>
      <c r="L260" s="10">
        <f t="shared" si="49"/>
        <v>0.25</v>
      </c>
      <c r="M260" s="10">
        <f t="shared" si="49"/>
        <v>0.64</v>
      </c>
      <c r="N260" s="10">
        <f t="shared" si="49"/>
        <v>0.37</v>
      </c>
      <c r="O260" s="10" t="str">
        <f t="shared" si="49"/>
        <v>NO</v>
      </c>
      <c r="P260" s="10" t="str">
        <f t="shared" si="49"/>
        <v>NO</v>
      </c>
    </row>
    <row r="261" spans="4:16" x14ac:dyDescent="0.25">
      <c r="D261" s="10" t="s">
        <v>422</v>
      </c>
      <c r="E261" s="10" t="str">
        <f t="shared" si="49"/>
        <v>Barkly</v>
      </c>
      <c r="F261" s="10" t="str">
        <f t="shared" si="49"/>
        <v>Autumn</v>
      </c>
      <c r="G261" s="10">
        <f t="shared" si="49"/>
        <v>0.49</v>
      </c>
      <c r="H261" s="10">
        <f t="shared" si="49"/>
        <v>0.05</v>
      </c>
      <c r="I261" s="10">
        <f t="shared" si="49"/>
        <v>0.64</v>
      </c>
      <c r="J261" s="10">
        <f t="shared" si="49"/>
        <v>0.25</v>
      </c>
      <c r="K261" s="10">
        <f t="shared" si="49"/>
        <v>0.28999999999999998</v>
      </c>
      <c r="L261" s="10">
        <f t="shared" si="49"/>
        <v>0.12</v>
      </c>
      <c r="M261" s="10">
        <f t="shared" si="49"/>
        <v>0.56999999999999995</v>
      </c>
      <c r="N261" s="10">
        <f t="shared" si="49"/>
        <v>0.49</v>
      </c>
      <c r="O261" s="10" t="str">
        <f t="shared" si="49"/>
        <v>NO</v>
      </c>
      <c r="P261" s="10" t="str">
        <f t="shared" si="49"/>
        <v>NO</v>
      </c>
    </row>
    <row r="262" spans="4:16" x14ac:dyDescent="0.25">
      <c r="D262" s="10" t="s">
        <v>422</v>
      </c>
      <c r="E262" s="10" t="str">
        <f t="shared" si="49"/>
        <v>Barkly</v>
      </c>
      <c r="F262" s="10" t="str">
        <f t="shared" si="49"/>
        <v>Winter</v>
      </c>
      <c r="G262" s="10">
        <f t="shared" si="49"/>
        <v>0.27</v>
      </c>
      <c r="H262" s="10">
        <f t="shared" si="49"/>
        <v>-0.27</v>
      </c>
      <c r="I262" s="10">
        <f t="shared" si="49"/>
        <v>0.31</v>
      </c>
      <c r="J262" s="10">
        <f t="shared" si="49"/>
        <v>0.28999999999999998</v>
      </c>
      <c r="K262" s="10">
        <f t="shared" si="49"/>
        <v>0.19</v>
      </c>
      <c r="L262" s="10">
        <f t="shared" si="49"/>
        <v>0.04</v>
      </c>
      <c r="M262" s="10">
        <f t="shared" si="49"/>
        <v>0.26</v>
      </c>
      <c r="N262" s="10">
        <f t="shared" si="49"/>
        <v>0.28000000000000003</v>
      </c>
      <c r="O262" s="10" t="str">
        <f t="shared" si="49"/>
        <v>NO</v>
      </c>
      <c r="P262" s="10" t="str">
        <f t="shared" si="49"/>
        <v>NO</v>
      </c>
    </row>
    <row r="263" spans="4:16" x14ac:dyDescent="0.25">
      <c r="D263" s="10" t="s">
        <v>422</v>
      </c>
      <c r="E263" s="10" t="str">
        <f t="shared" si="49"/>
        <v>Northern</v>
      </c>
      <c r="F263" s="10" t="str">
        <f t="shared" si="49"/>
        <v>Spring</v>
      </c>
      <c r="G263" s="10">
        <f t="shared" si="49"/>
        <v>0.22</v>
      </c>
      <c r="H263" s="10">
        <f t="shared" si="49"/>
        <v>-0.44</v>
      </c>
      <c r="I263" s="10">
        <f t="shared" si="49"/>
        <v>0</v>
      </c>
      <c r="J263" s="10">
        <f t="shared" si="49"/>
        <v>0.15</v>
      </c>
      <c r="K263" s="10">
        <f t="shared" si="49"/>
        <v>0.08</v>
      </c>
      <c r="L263" s="10">
        <f t="shared" si="49"/>
        <v>0.17</v>
      </c>
      <c r="M263" s="10">
        <f t="shared" si="49"/>
        <v>0.06</v>
      </c>
      <c r="N263" s="10">
        <f t="shared" si="49"/>
        <v>0.02</v>
      </c>
      <c r="O263" s="10">
        <f t="shared" si="49"/>
        <v>-0.14000000000000001</v>
      </c>
      <c r="P263" s="10" t="str">
        <f t="shared" si="49"/>
        <v>NO</v>
      </c>
    </row>
    <row r="264" spans="4:16" x14ac:dyDescent="0.25">
      <c r="D264" s="10" t="s">
        <v>422</v>
      </c>
      <c r="E264" s="10" t="str">
        <f t="shared" si="49"/>
        <v>Northern</v>
      </c>
      <c r="F264" s="10" t="str">
        <f t="shared" si="49"/>
        <v>Summer</v>
      </c>
      <c r="G264" s="10">
        <f t="shared" si="49"/>
        <v>0.66</v>
      </c>
      <c r="H264" s="10">
        <f t="shared" si="49"/>
        <v>0.22</v>
      </c>
      <c r="I264" s="10">
        <f t="shared" si="49"/>
        <v>0.79</v>
      </c>
      <c r="J264" s="10">
        <f t="shared" si="49"/>
        <v>0.4</v>
      </c>
      <c r="K264" s="10">
        <f t="shared" si="49"/>
        <v>0.38</v>
      </c>
      <c r="L264" s="10">
        <f t="shared" si="49"/>
        <v>0.27</v>
      </c>
      <c r="M264" s="10">
        <f t="shared" si="49"/>
        <v>0.8</v>
      </c>
      <c r="N264" s="10">
        <f t="shared" si="49"/>
        <v>0.16</v>
      </c>
      <c r="O264" s="10">
        <f t="shared" si="49"/>
        <v>0.3</v>
      </c>
      <c r="P264" s="10" t="str">
        <f t="shared" si="49"/>
        <v>NO</v>
      </c>
    </row>
    <row r="265" spans="4:16" x14ac:dyDescent="0.25">
      <c r="D265" s="10" t="s">
        <v>422</v>
      </c>
      <c r="E265" s="10" t="str">
        <f t="shared" si="49"/>
        <v>Northern</v>
      </c>
      <c r="F265" s="10" t="str">
        <f t="shared" si="49"/>
        <v>Autumn</v>
      </c>
      <c r="G265" s="10">
        <f t="shared" si="49"/>
        <v>0.49</v>
      </c>
      <c r="H265" s="10">
        <f t="shared" si="49"/>
        <v>0.05</v>
      </c>
      <c r="I265" s="10">
        <f t="shared" si="49"/>
        <v>0.55000000000000004</v>
      </c>
      <c r="J265" s="10">
        <f t="shared" si="49"/>
        <v>0.38</v>
      </c>
      <c r="K265" s="10">
        <f t="shared" si="49"/>
        <v>0.36</v>
      </c>
      <c r="L265" s="10">
        <f t="shared" si="49"/>
        <v>0.06</v>
      </c>
      <c r="M265" s="10">
        <f t="shared" si="49"/>
        <v>0.57999999999999996</v>
      </c>
      <c r="N265" s="10">
        <f t="shared" si="49"/>
        <v>0.23</v>
      </c>
      <c r="O265" s="10">
        <f t="shared" si="49"/>
        <v>0.4</v>
      </c>
      <c r="P265" s="10" t="str">
        <f t="shared" si="49"/>
        <v>NO</v>
      </c>
    </row>
    <row r="266" spans="4:16" x14ac:dyDescent="0.25">
      <c r="D266" s="10" t="s">
        <v>422</v>
      </c>
      <c r="E266" s="10" t="str">
        <f t="shared" si="49"/>
        <v>Northern</v>
      </c>
      <c r="F266" s="10" t="str">
        <f t="shared" si="49"/>
        <v>Winter</v>
      </c>
      <c r="G266" s="10">
        <f t="shared" si="49"/>
        <v>0.27</v>
      </c>
      <c r="H266" s="10">
        <f t="shared" si="49"/>
        <v>-0.27</v>
      </c>
      <c r="I266" s="10">
        <f t="shared" si="49"/>
        <v>0.02</v>
      </c>
      <c r="J266" s="10">
        <f t="shared" si="49"/>
        <v>0.09</v>
      </c>
      <c r="K266" s="10">
        <f t="shared" si="49"/>
        <v>0.16</v>
      </c>
      <c r="L266" s="10">
        <f t="shared" si="49"/>
        <v>-0.04</v>
      </c>
      <c r="M266" s="10">
        <f t="shared" si="49"/>
        <v>0.21</v>
      </c>
      <c r="N266" s="10">
        <f t="shared" si="49"/>
        <v>0.03</v>
      </c>
      <c r="O266" s="10">
        <f t="shared" si="49"/>
        <v>0.11</v>
      </c>
      <c r="P266" s="10" t="str">
        <f t="shared" si="49"/>
        <v>NO</v>
      </c>
    </row>
    <row r="267" spans="4:16" x14ac:dyDescent="0.25">
      <c r="D267" s="10" t="s">
        <v>326</v>
      </c>
      <c r="E267" s="10" t="str">
        <f t="shared" si="49"/>
        <v>High</v>
      </c>
      <c r="F267" s="10" t="str">
        <f t="shared" si="49"/>
        <v>Spring</v>
      </c>
      <c r="G267" s="10">
        <f t="shared" si="49"/>
        <v>0.27</v>
      </c>
      <c r="H267" s="10">
        <f t="shared" si="49"/>
        <v>-0.19</v>
      </c>
      <c r="I267" s="10">
        <f t="shared" si="49"/>
        <v>0.38</v>
      </c>
      <c r="J267" s="10">
        <f t="shared" si="49"/>
        <v>0.25</v>
      </c>
      <c r="K267" s="10">
        <f t="shared" si="49"/>
        <v>7.0000000000000007E-2</v>
      </c>
      <c r="L267" s="10">
        <f t="shared" si="49"/>
        <v>0.05</v>
      </c>
      <c r="M267" s="10">
        <f t="shared" si="49"/>
        <v>0.52</v>
      </c>
      <c r="N267" s="10">
        <f t="shared" si="49"/>
        <v>0.55000000000000004</v>
      </c>
      <c r="O267" s="10">
        <f t="shared" si="49"/>
        <v>0.19</v>
      </c>
      <c r="P267" s="10">
        <f t="shared" si="49"/>
        <v>0.6</v>
      </c>
    </row>
    <row r="268" spans="4:16" x14ac:dyDescent="0.25">
      <c r="D268" s="10" t="s">
        <v>326</v>
      </c>
      <c r="E268" s="10" t="str">
        <f t="shared" si="49"/>
        <v>High</v>
      </c>
      <c r="F268" s="10" t="str">
        <f t="shared" si="49"/>
        <v>Summer</v>
      </c>
      <c r="G268" s="10">
        <f t="shared" si="49"/>
        <v>0.16</v>
      </c>
      <c r="H268" s="10">
        <f t="shared" si="49"/>
        <v>0.16</v>
      </c>
      <c r="I268" s="10">
        <f t="shared" si="49"/>
        <v>0.8</v>
      </c>
      <c r="J268" s="10">
        <f t="shared" si="49"/>
        <v>0.56999999999999995</v>
      </c>
      <c r="K268" s="10">
        <f t="shared" si="49"/>
        <v>0.76</v>
      </c>
      <c r="L268" s="10">
        <f t="shared" si="49"/>
        <v>0.49</v>
      </c>
      <c r="M268" s="10">
        <f t="shared" si="49"/>
        <v>0.84</v>
      </c>
      <c r="N268" s="10">
        <f t="shared" si="49"/>
        <v>0.51</v>
      </c>
      <c r="O268" s="10">
        <f t="shared" si="49"/>
        <v>0.36</v>
      </c>
      <c r="P268" s="10">
        <f t="shared" si="49"/>
        <v>0.17</v>
      </c>
    </row>
    <row r="269" spans="4:16" x14ac:dyDescent="0.25">
      <c r="D269" s="10" t="s">
        <v>326</v>
      </c>
      <c r="E269" s="10" t="str">
        <f t="shared" si="49"/>
        <v>High</v>
      </c>
      <c r="F269" s="10" t="str">
        <f t="shared" si="49"/>
        <v>Autumn</v>
      </c>
      <c r="G269" s="10">
        <f t="shared" si="49"/>
        <v>0.45</v>
      </c>
      <c r="H269" s="10">
        <f t="shared" si="49"/>
        <v>0.1</v>
      </c>
      <c r="I269" s="10">
        <f t="shared" si="49"/>
        <v>0.49</v>
      </c>
      <c r="J269" s="10">
        <f t="shared" si="49"/>
        <v>0.41</v>
      </c>
      <c r="K269" s="10">
        <f t="shared" si="49"/>
        <v>0.4</v>
      </c>
      <c r="L269" s="10">
        <f t="shared" si="49"/>
        <v>0.17</v>
      </c>
      <c r="M269" s="10">
        <f t="shared" si="49"/>
        <v>0.54</v>
      </c>
      <c r="N269" s="10">
        <f t="shared" si="49"/>
        <v>0.64</v>
      </c>
      <c r="O269" s="10">
        <f t="shared" si="49"/>
        <v>-0.05</v>
      </c>
      <c r="P269" s="10">
        <f t="shared" si="49"/>
        <v>0.32</v>
      </c>
    </row>
    <row r="270" spans="4:16" x14ac:dyDescent="0.25">
      <c r="D270" s="10" t="s">
        <v>326</v>
      </c>
      <c r="E270" s="10" t="str">
        <f t="shared" si="49"/>
        <v>High</v>
      </c>
      <c r="F270" s="10" t="str">
        <f t="shared" si="49"/>
        <v>Winter</v>
      </c>
      <c r="G270" s="10">
        <f t="shared" si="49"/>
        <v>0.51</v>
      </c>
      <c r="H270" s="10">
        <f t="shared" si="49"/>
        <v>-7.0000000000000007E-2</v>
      </c>
      <c r="I270" s="10">
        <f t="shared" si="49"/>
        <v>0.13</v>
      </c>
      <c r="J270" s="10">
        <f t="shared" si="49"/>
        <v>-0.09</v>
      </c>
      <c r="K270" s="10">
        <f t="shared" si="49"/>
        <v>-0.13</v>
      </c>
      <c r="L270" s="10">
        <f t="shared" si="49"/>
        <v>7.0000000000000007E-2</v>
      </c>
      <c r="M270" s="10">
        <f t="shared" si="49"/>
        <v>0.25</v>
      </c>
      <c r="N270" s="10">
        <f t="shared" si="49"/>
        <v>0.71</v>
      </c>
      <c r="O270" s="10">
        <f t="shared" si="49"/>
        <v>0.17</v>
      </c>
      <c r="P270" s="10">
        <f t="shared" si="49"/>
        <v>0.43</v>
      </c>
    </row>
    <row r="271" spans="4:16" x14ac:dyDescent="0.25">
      <c r="D271" s="10" t="s">
        <v>326</v>
      </c>
      <c r="E271" s="10" t="str">
        <f t="shared" si="49"/>
        <v>Moderate/High</v>
      </c>
      <c r="F271" s="10" t="str">
        <f t="shared" si="49"/>
        <v>Spring</v>
      </c>
      <c r="G271" s="10">
        <f t="shared" si="49"/>
        <v>-0.12</v>
      </c>
      <c r="H271" s="10">
        <f t="shared" si="49"/>
        <v>-0.19</v>
      </c>
      <c r="I271" s="10">
        <f t="shared" si="49"/>
        <v>0.41</v>
      </c>
      <c r="J271" s="10">
        <f t="shared" si="49"/>
        <v>0.09</v>
      </c>
      <c r="K271" s="10">
        <f t="shared" si="49"/>
        <v>0.41</v>
      </c>
      <c r="L271" s="10">
        <f t="shared" si="49"/>
        <v>-0.19</v>
      </c>
      <c r="M271" s="10">
        <f t="shared" si="49"/>
        <v>7.0000000000000007E-2</v>
      </c>
      <c r="N271" s="10">
        <f t="shared" si="49"/>
        <v>1.07</v>
      </c>
      <c r="O271" s="10">
        <f t="shared" si="49"/>
        <v>-0.08</v>
      </c>
      <c r="P271" s="10">
        <f t="shared" si="49"/>
        <v>0</v>
      </c>
    </row>
    <row r="272" spans="4:16" x14ac:dyDescent="0.25">
      <c r="D272" s="10" t="s">
        <v>326</v>
      </c>
      <c r="E272" s="10" t="str">
        <f t="shared" ref="E272:P282" si="50">E207</f>
        <v>Moderate/High</v>
      </c>
      <c r="F272" s="10" t="str">
        <f t="shared" si="50"/>
        <v>Summer</v>
      </c>
      <c r="G272" s="10">
        <f t="shared" si="50"/>
        <v>0.65</v>
      </c>
      <c r="H272" s="10">
        <f t="shared" si="50"/>
        <v>0.19</v>
      </c>
      <c r="I272" s="10">
        <f t="shared" si="50"/>
        <v>0.65</v>
      </c>
      <c r="J272" s="10">
        <f t="shared" si="50"/>
        <v>0.51</v>
      </c>
      <c r="K272" s="10">
        <f t="shared" si="50"/>
        <v>0.18</v>
      </c>
      <c r="L272" s="10">
        <f t="shared" si="50"/>
        <v>0.63</v>
      </c>
      <c r="M272" s="10">
        <f t="shared" si="50"/>
        <v>1.3</v>
      </c>
      <c r="N272" s="10">
        <f t="shared" si="50"/>
        <v>0.48</v>
      </c>
      <c r="O272" s="10">
        <f t="shared" si="50"/>
        <v>1.1200000000000001</v>
      </c>
      <c r="P272" s="10">
        <f t="shared" si="50"/>
        <v>0.38</v>
      </c>
    </row>
    <row r="273" spans="4:16" x14ac:dyDescent="0.25">
      <c r="D273" s="10" t="s">
        <v>326</v>
      </c>
      <c r="E273" s="10" t="str">
        <f t="shared" si="50"/>
        <v>Moderate/High</v>
      </c>
      <c r="F273" s="10" t="str">
        <f t="shared" si="50"/>
        <v>Autumn</v>
      </c>
      <c r="G273" s="10">
        <f t="shared" si="50"/>
        <v>0.7</v>
      </c>
      <c r="H273" s="10">
        <f t="shared" si="50"/>
        <v>0.13</v>
      </c>
      <c r="I273" s="10">
        <f t="shared" si="50"/>
        <v>0.52</v>
      </c>
      <c r="J273" s="10">
        <f t="shared" si="50"/>
        <v>0.34</v>
      </c>
      <c r="K273" s="10">
        <f t="shared" si="50"/>
        <v>0.02</v>
      </c>
      <c r="L273" s="10">
        <f t="shared" si="50"/>
        <v>0.04</v>
      </c>
      <c r="M273" s="10">
        <f t="shared" si="50"/>
        <v>0.77</v>
      </c>
      <c r="N273" s="10">
        <f t="shared" si="50"/>
        <v>0.42</v>
      </c>
      <c r="O273" s="10">
        <f t="shared" si="50"/>
        <v>0.12</v>
      </c>
      <c r="P273" s="10">
        <f t="shared" si="50"/>
        <v>0.74</v>
      </c>
    </row>
    <row r="274" spans="4:16" x14ac:dyDescent="0.25">
      <c r="D274" s="10" t="s">
        <v>326</v>
      </c>
      <c r="E274" s="10" t="str">
        <f t="shared" si="50"/>
        <v>Moderate/High</v>
      </c>
      <c r="F274" s="10" t="str">
        <f t="shared" si="50"/>
        <v>Winter</v>
      </c>
      <c r="G274" s="10">
        <f t="shared" si="50"/>
        <v>0.32</v>
      </c>
      <c r="H274" s="10">
        <f t="shared" si="50"/>
        <v>-0.06</v>
      </c>
      <c r="I274" s="10">
        <f t="shared" si="50"/>
        <v>0.25</v>
      </c>
      <c r="J274" s="10">
        <f t="shared" si="50"/>
        <v>0.19</v>
      </c>
      <c r="K274" s="10">
        <f t="shared" si="50"/>
        <v>-0.1</v>
      </c>
      <c r="L274" s="10">
        <f t="shared" si="50"/>
        <v>-0.02</v>
      </c>
      <c r="M274" s="10">
        <f t="shared" si="50"/>
        <v>0.02</v>
      </c>
      <c r="N274" s="10">
        <f t="shared" si="50"/>
        <v>0.23</v>
      </c>
      <c r="O274" s="10">
        <f t="shared" si="50"/>
        <v>-0.13</v>
      </c>
      <c r="P274" s="10">
        <f t="shared" si="50"/>
        <v>0</v>
      </c>
    </row>
    <row r="275" spans="4:16" x14ac:dyDescent="0.25">
      <c r="D275" s="10" t="s">
        <v>326</v>
      </c>
      <c r="E275" s="10" t="str">
        <f t="shared" si="50"/>
        <v>Moderate/Low</v>
      </c>
      <c r="F275" s="10" t="str">
        <f t="shared" si="50"/>
        <v>Spring</v>
      </c>
      <c r="G275" s="10">
        <f t="shared" si="50"/>
        <v>0.62</v>
      </c>
      <c r="H275" s="10">
        <f t="shared" si="50"/>
        <v>-0.19</v>
      </c>
      <c r="I275" s="10">
        <f t="shared" si="50"/>
        <v>0.37</v>
      </c>
      <c r="J275" s="10">
        <f t="shared" si="50"/>
        <v>0.41</v>
      </c>
      <c r="K275" s="10">
        <f t="shared" si="50"/>
        <v>0.06</v>
      </c>
      <c r="L275" s="10">
        <f t="shared" si="50"/>
        <v>-0.02</v>
      </c>
      <c r="M275" s="10">
        <f t="shared" si="50"/>
        <v>0.47</v>
      </c>
      <c r="N275" s="10">
        <f t="shared" si="50"/>
        <v>0.44</v>
      </c>
      <c r="O275" s="10">
        <f t="shared" si="50"/>
        <v>0.3</v>
      </c>
      <c r="P275" s="10">
        <f t="shared" si="50"/>
        <v>0.13</v>
      </c>
    </row>
    <row r="276" spans="4:16" x14ac:dyDescent="0.25">
      <c r="D276" s="10" t="s">
        <v>326</v>
      </c>
      <c r="E276" s="10" t="str">
        <f t="shared" si="50"/>
        <v>Moderate/Low</v>
      </c>
      <c r="F276" s="10" t="str">
        <f t="shared" si="50"/>
        <v>Summer</v>
      </c>
      <c r="G276" s="10">
        <f t="shared" si="50"/>
        <v>0.05</v>
      </c>
      <c r="H276" s="10">
        <f t="shared" si="50"/>
        <v>0.19</v>
      </c>
      <c r="I276" s="10">
        <f t="shared" si="50"/>
        <v>0.31</v>
      </c>
      <c r="J276" s="10">
        <f t="shared" si="50"/>
        <v>0.54</v>
      </c>
      <c r="K276" s="10">
        <f t="shared" si="50"/>
        <v>0.53</v>
      </c>
      <c r="L276" s="10">
        <f t="shared" si="50"/>
        <v>0.15</v>
      </c>
      <c r="M276" s="10">
        <f t="shared" si="50"/>
        <v>0.28000000000000003</v>
      </c>
      <c r="N276" s="10">
        <f t="shared" si="50"/>
        <v>0.56999999999999995</v>
      </c>
      <c r="O276" s="10">
        <f t="shared" si="50"/>
        <v>0.42</v>
      </c>
      <c r="P276" s="10">
        <f t="shared" si="50"/>
        <v>0.4</v>
      </c>
    </row>
    <row r="277" spans="4:16" x14ac:dyDescent="0.25">
      <c r="D277" s="10" t="s">
        <v>326</v>
      </c>
      <c r="E277" s="10" t="str">
        <f t="shared" si="50"/>
        <v>Moderate/Low</v>
      </c>
      <c r="F277" s="10" t="str">
        <f t="shared" si="50"/>
        <v>Autumn</v>
      </c>
      <c r="G277" s="10">
        <f t="shared" si="50"/>
        <v>0.33</v>
      </c>
      <c r="H277" s="10">
        <f t="shared" si="50"/>
        <v>0.13</v>
      </c>
      <c r="I277" s="10">
        <f t="shared" si="50"/>
        <v>0.39</v>
      </c>
      <c r="J277" s="10">
        <f t="shared" si="50"/>
        <v>0.36</v>
      </c>
      <c r="K277" s="10">
        <f t="shared" si="50"/>
        <v>0.26</v>
      </c>
      <c r="L277" s="10">
        <f t="shared" si="50"/>
        <v>0.11</v>
      </c>
      <c r="M277" s="10">
        <f t="shared" si="50"/>
        <v>0.4</v>
      </c>
      <c r="N277" s="10">
        <f t="shared" si="50"/>
        <v>0.44</v>
      </c>
      <c r="O277" s="10">
        <f t="shared" si="50"/>
        <v>0.37</v>
      </c>
      <c r="P277" s="10">
        <f t="shared" si="50"/>
        <v>-0.01</v>
      </c>
    </row>
    <row r="278" spans="4:16" x14ac:dyDescent="0.25">
      <c r="D278" s="10" t="s">
        <v>326</v>
      </c>
      <c r="E278" s="10" t="str">
        <f t="shared" si="50"/>
        <v>Moderate/Low</v>
      </c>
      <c r="F278" s="10" t="str">
        <f t="shared" si="50"/>
        <v>Winter</v>
      </c>
      <c r="G278" s="10">
        <f t="shared" si="50"/>
        <v>0.61</v>
      </c>
      <c r="H278" s="10">
        <f t="shared" si="50"/>
        <v>-0.06</v>
      </c>
      <c r="I278" s="10">
        <f t="shared" si="50"/>
        <v>0.21</v>
      </c>
      <c r="J278" s="10">
        <f t="shared" si="50"/>
        <v>0.18</v>
      </c>
      <c r="K278" s="10">
        <f t="shared" si="50"/>
        <v>0.12</v>
      </c>
      <c r="L278" s="10">
        <f t="shared" si="50"/>
        <v>0.06</v>
      </c>
      <c r="M278" s="10">
        <f t="shared" si="50"/>
        <v>0.28999999999999998</v>
      </c>
      <c r="N278" s="10">
        <f t="shared" si="50"/>
        <v>0.41</v>
      </c>
      <c r="O278" s="10">
        <f t="shared" si="50"/>
        <v>0.41</v>
      </c>
      <c r="P278" s="10">
        <f t="shared" si="50"/>
        <v>-0.15</v>
      </c>
    </row>
    <row r="279" spans="4:16" x14ac:dyDescent="0.25">
      <c r="D279" s="10" t="s">
        <v>326</v>
      </c>
      <c r="E279" s="10" t="str">
        <f t="shared" si="50"/>
        <v>Low</v>
      </c>
      <c r="F279" s="10" t="str">
        <f t="shared" si="50"/>
        <v>Spring</v>
      </c>
      <c r="G279" s="10">
        <f t="shared" si="50"/>
        <v>-0.2</v>
      </c>
      <c r="H279" s="10">
        <f t="shared" si="50"/>
        <v>0.02</v>
      </c>
      <c r="I279" s="10">
        <f t="shared" si="50"/>
        <v>0.24</v>
      </c>
      <c r="J279" s="10">
        <f t="shared" si="50"/>
        <v>0.3</v>
      </c>
      <c r="K279" s="10">
        <f t="shared" si="50"/>
        <v>0.23</v>
      </c>
      <c r="L279" s="10">
        <f t="shared" si="50"/>
        <v>-0.05</v>
      </c>
      <c r="M279" s="10">
        <f t="shared" si="50"/>
        <v>0.34</v>
      </c>
      <c r="N279" s="10">
        <f t="shared" si="50"/>
        <v>0.3</v>
      </c>
      <c r="O279" s="10">
        <f t="shared" si="50"/>
        <v>0.56999999999999995</v>
      </c>
      <c r="P279" s="10">
        <f t="shared" si="50"/>
        <v>0.52</v>
      </c>
    </row>
    <row r="280" spans="4:16" x14ac:dyDescent="0.25">
      <c r="D280" s="10" t="s">
        <v>326</v>
      </c>
      <c r="E280" s="10" t="str">
        <f t="shared" si="50"/>
        <v>Low</v>
      </c>
      <c r="F280" s="10" t="str">
        <f t="shared" si="50"/>
        <v>Summer</v>
      </c>
      <c r="G280" s="10">
        <f t="shared" si="50"/>
        <v>0.62</v>
      </c>
      <c r="H280" s="10">
        <f t="shared" si="50"/>
        <v>0.21</v>
      </c>
      <c r="I280" s="10">
        <f t="shared" si="50"/>
        <v>0.25</v>
      </c>
      <c r="J280" s="10">
        <f t="shared" si="50"/>
        <v>0.32</v>
      </c>
      <c r="K280" s="10">
        <f t="shared" si="50"/>
        <v>0.47</v>
      </c>
      <c r="L280" s="10">
        <f t="shared" si="50"/>
        <v>0.31</v>
      </c>
      <c r="M280" s="10">
        <f t="shared" si="50"/>
        <v>0.14000000000000001</v>
      </c>
      <c r="N280" s="10">
        <f t="shared" si="50"/>
        <v>0.4</v>
      </c>
      <c r="O280" s="10">
        <f t="shared" si="50"/>
        <v>0.26</v>
      </c>
      <c r="P280" s="10">
        <f t="shared" si="50"/>
        <v>0.43</v>
      </c>
    </row>
    <row r="281" spans="4:16" x14ac:dyDescent="0.25">
      <c r="D281" s="10" t="s">
        <v>326</v>
      </c>
      <c r="E281" s="10" t="str">
        <f t="shared" si="50"/>
        <v>Low</v>
      </c>
      <c r="F281" s="10" t="str">
        <f t="shared" si="50"/>
        <v>Autumn</v>
      </c>
      <c r="G281" s="10">
        <f t="shared" si="50"/>
        <v>0.4</v>
      </c>
      <c r="H281" s="10">
        <f t="shared" si="50"/>
        <v>0.13</v>
      </c>
      <c r="I281" s="10">
        <f t="shared" si="50"/>
        <v>0.12</v>
      </c>
      <c r="J281" s="10">
        <f t="shared" si="50"/>
        <v>0.27</v>
      </c>
      <c r="K281" s="10">
        <f t="shared" si="50"/>
        <v>0.3</v>
      </c>
      <c r="L281" s="10">
        <f t="shared" si="50"/>
        <v>0.08</v>
      </c>
      <c r="M281" s="10">
        <f t="shared" si="50"/>
        <v>0.13</v>
      </c>
      <c r="N281" s="10">
        <f t="shared" si="50"/>
        <v>0.24</v>
      </c>
      <c r="O281" s="10">
        <f t="shared" si="50"/>
        <v>0.15</v>
      </c>
      <c r="P281" s="10">
        <f t="shared" si="50"/>
        <v>0.21</v>
      </c>
    </row>
    <row r="282" spans="4:16" x14ac:dyDescent="0.25">
      <c r="D282" s="10" t="s">
        <v>326</v>
      </c>
      <c r="E282" s="10" t="str">
        <f t="shared" si="50"/>
        <v>Low</v>
      </c>
      <c r="F282" s="10" t="str">
        <f t="shared" si="50"/>
        <v>Winter</v>
      </c>
      <c r="G282" s="10">
        <f t="shared" si="50"/>
        <v>0.08</v>
      </c>
      <c r="H282" s="10">
        <f t="shared" si="50"/>
        <v>0.04</v>
      </c>
      <c r="I282" s="10">
        <f t="shared" si="50"/>
        <v>0.06</v>
      </c>
      <c r="J282" s="10">
        <f t="shared" si="50"/>
        <v>0.18</v>
      </c>
      <c r="K282" s="10">
        <f t="shared" si="50"/>
        <v>0.11</v>
      </c>
      <c r="L282" s="10">
        <f t="shared" si="50"/>
        <v>-7.0000000000000007E-2</v>
      </c>
      <c r="M282" s="10">
        <f t="shared" si="50"/>
        <v>0.13</v>
      </c>
      <c r="N282" s="10">
        <f t="shared" si="50"/>
        <v>0.16</v>
      </c>
      <c r="O282" s="10">
        <f t="shared" si="50"/>
        <v>0.4</v>
      </c>
      <c r="P282" s="10">
        <f t="shared" si="50"/>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269</v>
      </c>
      <c r="E290" s="10" t="s">
        <v>374</v>
      </c>
      <c r="F290" s="10" t="s">
        <v>489</v>
      </c>
      <c r="G290" s="10" t="s">
        <v>481</v>
      </c>
      <c r="H290" s="10" t="s">
        <v>482</v>
      </c>
      <c r="I290" s="10" t="s">
        <v>483</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269</v>
      </c>
      <c r="E313" s="10" t="s">
        <v>374</v>
      </c>
      <c r="F313" s="10" t="s">
        <v>489</v>
      </c>
      <c r="G313" s="10" t="s">
        <v>481</v>
      </c>
      <c r="H313" s="10" t="s">
        <v>482</v>
      </c>
      <c r="I313" s="10" t="s">
        <v>483</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490</v>
      </c>
      <c r="M333" s="8"/>
    </row>
    <row r="334" spans="4:13" x14ac:dyDescent="0.25">
      <c r="D334" s="10" t="s">
        <v>491</v>
      </c>
      <c r="E334" s="10" t="s">
        <v>47</v>
      </c>
      <c r="F334" s="10" t="s">
        <v>492</v>
      </c>
      <c r="G334" s="10" t="s">
        <v>493</v>
      </c>
      <c r="I334" s="10" t="s">
        <v>491</v>
      </c>
      <c r="J334" s="10" t="s">
        <v>47</v>
      </c>
      <c r="K334" s="10" t="s">
        <v>492</v>
      </c>
      <c r="L334" s="10" t="s">
        <v>493</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494</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495</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494</v>
      </c>
      <c r="K337" s="10">
        <f>F340</f>
        <v>1.3</v>
      </c>
      <c r="L337" s="10">
        <f t="shared" ref="L337:L338" si="51">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495</v>
      </c>
      <c r="K338" s="10">
        <f t="shared" ref="K338" si="52">F341</f>
        <v>1.1000000000000001</v>
      </c>
      <c r="L338" s="10">
        <f t="shared" si="51"/>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269</v>
      </c>
      <c r="E350" s="10" t="s">
        <v>496</v>
      </c>
      <c r="F350" s="10" t="s">
        <v>497</v>
      </c>
      <c r="G350" s="10" t="s">
        <v>462</v>
      </c>
      <c r="H350" s="10" t="s">
        <v>463</v>
      </c>
      <c r="I350" s="10" t="s">
        <v>498</v>
      </c>
      <c r="J350" s="10" t="s">
        <v>466</v>
      </c>
      <c r="K350" s="10" t="s">
        <v>486</v>
      </c>
      <c r="L350" s="10" t="s">
        <v>499</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269</v>
      </c>
      <c r="E361" s="156" t="s">
        <v>471</v>
      </c>
      <c r="F361" s="156" t="s">
        <v>472</v>
      </c>
      <c r="G361" s="156" t="s">
        <v>473</v>
      </c>
      <c r="H361" s="156" t="s">
        <v>474</v>
      </c>
      <c r="I361" s="156" t="s">
        <v>475</v>
      </c>
      <c r="J361" s="156" t="s">
        <v>476</v>
      </c>
      <c r="K361" s="156" t="s">
        <v>477</v>
      </c>
      <c r="L361" s="156" t="s">
        <v>478</v>
      </c>
      <c r="M361" s="156" t="s">
        <v>479</v>
      </c>
      <c r="N361" s="156" t="s">
        <v>480</v>
      </c>
      <c r="O361" s="10" t="s">
        <v>499</v>
      </c>
    </row>
    <row r="362" spans="4:15" x14ac:dyDescent="0.25">
      <c r="D362" s="10" t="str">
        <f>D351</f>
        <v>ACT</v>
      </c>
      <c r="E362" s="10">
        <f t="shared" ref="E362:H362" si="53">E351</f>
        <v>700</v>
      </c>
      <c r="F362" s="10">
        <f t="shared" si="53"/>
        <v>700</v>
      </c>
      <c r="G362" s="10">
        <f t="shared" si="53"/>
        <v>500</v>
      </c>
      <c r="H362" s="10">
        <f t="shared" si="53"/>
        <v>500</v>
      </c>
      <c r="I362" s="10">
        <f>I351</f>
        <v>500</v>
      </c>
      <c r="J362" s="10">
        <f>I351</f>
        <v>500</v>
      </c>
      <c r="K362" s="10">
        <f t="shared" ref="K362" si="54">J351</f>
        <v>600</v>
      </c>
      <c r="L362" s="10">
        <f>K351</f>
        <v>600</v>
      </c>
      <c r="M362" s="10">
        <f>K351</f>
        <v>600</v>
      </c>
      <c r="N362" s="10">
        <f>K351</f>
        <v>600</v>
      </c>
      <c r="O362" s="10" t="str">
        <f>L351</f>
        <v>ACT</v>
      </c>
    </row>
    <row r="363" spans="4:15" x14ac:dyDescent="0.25">
      <c r="D363" s="10" t="str">
        <f t="shared" ref="D363:I369" si="55">D352</f>
        <v>NSW</v>
      </c>
      <c r="E363" s="10">
        <f t="shared" si="55"/>
        <v>700</v>
      </c>
      <c r="F363" s="10">
        <f t="shared" si="55"/>
        <v>700</v>
      </c>
      <c r="G363" s="10">
        <f t="shared" si="55"/>
        <v>500</v>
      </c>
      <c r="H363" s="10">
        <f t="shared" si="55"/>
        <v>500</v>
      </c>
      <c r="I363" s="10">
        <f t="shared" si="55"/>
        <v>500</v>
      </c>
      <c r="J363" s="10">
        <f t="shared" ref="J363:L369" si="56">I352</f>
        <v>500</v>
      </c>
      <c r="K363" s="10">
        <f t="shared" si="56"/>
        <v>600</v>
      </c>
      <c r="L363" s="10">
        <f t="shared" si="56"/>
        <v>600</v>
      </c>
      <c r="M363" s="10">
        <f t="shared" ref="M363:M369" si="57">K352</f>
        <v>600</v>
      </c>
      <c r="N363" s="10">
        <f t="shared" ref="N363:O369" si="58">K352</f>
        <v>600</v>
      </c>
      <c r="O363" s="10" t="str">
        <f t="shared" si="58"/>
        <v>NSW</v>
      </c>
    </row>
    <row r="364" spans="4:15" x14ac:dyDescent="0.25">
      <c r="D364" s="10" t="str">
        <f t="shared" si="55"/>
        <v>Northern Territory</v>
      </c>
      <c r="E364" s="10">
        <f t="shared" si="55"/>
        <v>770</v>
      </c>
      <c r="F364" s="10">
        <f t="shared" si="55"/>
        <v>770</v>
      </c>
      <c r="G364" s="10">
        <f t="shared" si="55"/>
        <v>550</v>
      </c>
      <c r="H364" s="10">
        <f t="shared" si="55"/>
        <v>550</v>
      </c>
      <c r="I364" s="10">
        <f t="shared" si="55"/>
        <v>550</v>
      </c>
      <c r="J364" s="10">
        <f t="shared" si="56"/>
        <v>550</v>
      </c>
      <c r="K364" s="10">
        <f t="shared" si="56"/>
        <v>660</v>
      </c>
      <c r="L364" s="10">
        <f t="shared" si="56"/>
        <v>660</v>
      </c>
      <c r="M364" s="10">
        <f t="shared" si="57"/>
        <v>660</v>
      </c>
      <c r="N364" s="10">
        <f t="shared" si="58"/>
        <v>660</v>
      </c>
      <c r="O364" s="10" t="str">
        <f t="shared" si="58"/>
        <v>NT</v>
      </c>
    </row>
    <row r="365" spans="4:15" x14ac:dyDescent="0.25">
      <c r="D365" s="10" t="str">
        <f t="shared" si="55"/>
        <v>Queensland</v>
      </c>
      <c r="E365" s="10">
        <f t="shared" si="55"/>
        <v>770</v>
      </c>
      <c r="F365" s="10">
        <f t="shared" si="55"/>
        <v>770</v>
      </c>
      <c r="G365" s="10">
        <f t="shared" si="55"/>
        <v>550</v>
      </c>
      <c r="H365" s="10">
        <f t="shared" si="55"/>
        <v>550</v>
      </c>
      <c r="I365" s="10">
        <f t="shared" si="55"/>
        <v>550</v>
      </c>
      <c r="J365" s="10">
        <f t="shared" si="56"/>
        <v>550</v>
      </c>
      <c r="K365" s="10">
        <f t="shared" si="56"/>
        <v>660</v>
      </c>
      <c r="L365" s="10">
        <f t="shared" si="56"/>
        <v>660</v>
      </c>
      <c r="M365" s="10">
        <f t="shared" si="57"/>
        <v>660</v>
      </c>
      <c r="N365" s="10">
        <f t="shared" si="58"/>
        <v>660</v>
      </c>
      <c r="O365" s="10" t="str">
        <f t="shared" si="58"/>
        <v>QLD</v>
      </c>
    </row>
    <row r="366" spans="4:15" x14ac:dyDescent="0.25">
      <c r="D366" s="10" t="str">
        <f t="shared" si="55"/>
        <v>South Australia</v>
      </c>
      <c r="E366" s="10">
        <f t="shared" si="55"/>
        <v>770</v>
      </c>
      <c r="F366" s="10">
        <f t="shared" si="55"/>
        <v>770</v>
      </c>
      <c r="G366" s="10">
        <f t="shared" si="55"/>
        <v>550</v>
      </c>
      <c r="H366" s="10">
        <f t="shared" si="55"/>
        <v>550</v>
      </c>
      <c r="I366" s="10">
        <f t="shared" si="55"/>
        <v>550</v>
      </c>
      <c r="J366" s="10">
        <f t="shared" si="56"/>
        <v>550</v>
      </c>
      <c r="K366" s="10">
        <f t="shared" si="56"/>
        <v>660</v>
      </c>
      <c r="L366" s="10">
        <f t="shared" si="56"/>
        <v>660</v>
      </c>
      <c r="M366" s="10">
        <f t="shared" si="57"/>
        <v>660</v>
      </c>
      <c r="N366" s="10">
        <f t="shared" si="58"/>
        <v>660</v>
      </c>
      <c r="O366" s="10" t="str">
        <f t="shared" si="58"/>
        <v>SA</v>
      </c>
    </row>
    <row r="367" spans="4:15" x14ac:dyDescent="0.25">
      <c r="D367" s="10" t="str">
        <f t="shared" si="55"/>
        <v>Tasmania</v>
      </c>
      <c r="E367" s="10">
        <f t="shared" si="55"/>
        <v>770</v>
      </c>
      <c r="F367" s="10">
        <f t="shared" si="55"/>
        <v>770</v>
      </c>
      <c r="G367" s="10">
        <f t="shared" si="55"/>
        <v>550</v>
      </c>
      <c r="H367" s="10">
        <f t="shared" si="55"/>
        <v>550</v>
      </c>
      <c r="I367" s="10">
        <f t="shared" si="55"/>
        <v>550</v>
      </c>
      <c r="J367" s="10">
        <f t="shared" si="56"/>
        <v>550</v>
      </c>
      <c r="K367" s="10">
        <f t="shared" si="56"/>
        <v>660</v>
      </c>
      <c r="L367" s="10">
        <f t="shared" si="56"/>
        <v>660</v>
      </c>
      <c r="M367" s="10">
        <f t="shared" si="57"/>
        <v>660</v>
      </c>
      <c r="N367" s="10">
        <f t="shared" si="58"/>
        <v>660</v>
      </c>
      <c r="O367" s="10" t="str">
        <f t="shared" si="58"/>
        <v>TAS</v>
      </c>
    </row>
    <row r="368" spans="4:15" x14ac:dyDescent="0.25">
      <c r="D368" s="10" t="str">
        <f t="shared" si="55"/>
        <v>Victoria</v>
      </c>
      <c r="E368" s="10">
        <f t="shared" si="55"/>
        <v>770</v>
      </c>
      <c r="F368" s="10">
        <f t="shared" si="55"/>
        <v>770</v>
      </c>
      <c r="G368" s="10">
        <f t="shared" si="55"/>
        <v>550</v>
      </c>
      <c r="H368" s="10">
        <f t="shared" si="55"/>
        <v>550</v>
      </c>
      <c r="I368" s="10">
        <f t="shared" si="55"/>
        <v>550</v>
      </c>
      <c r="J368" s="10">
        <f t="shared" si="56"/>
        <v>550</v>
      </c>
      <c r="K368" s="10">
        <f t="shared" si="56"/>
        <v>660</v>
      </c>
      <c r="L368" s="10">
        <f t="shared" si="56"/>
        <v>660</v>
      </c>
      <c r="M368" s="10">
        <f t="shared" si="57"/>
        <v>660</v>
      </c>
      <c r="N368" s="10">
        <f t="shared" si="58"/>
        <v>660</v>
      </c>
      <c r="O368" s="10" t="str">
        <f t="shared" si="58"/>
        <v>VIC</v>
      </c>
    </row>
    <row r="369" spans="4:15" x14ac:dyDescent="0.25">
      <c r="D369" s="10" t="str">
        <f t="shared" si="55"/>
        <v>Western Australia</v>
      </c>
      <c r="E369" s="10">
        <f t="shared" si="55"/>
        <v>770</v>
      </c>
      <c r="F369" s="10">
        <f t="shared" si="55"/>
        <v>770</v>
      </c>
      <c r="G369" s="10">
        <f t="shared" si="55"/>
        <v>550</v>
      </c>
      <c r="H369" s="10">
        <f t="shared" si="55"/>
        <v>550</v>
      </c>
      <c r="I369" s="10">
        <f t="shared" si="55"/>
        <v>550</v>
      </c>
      <c r="J369" s="10">
        <f t="shared" si="56"/>
        <v>550</v>
      </c>
      <c r="K369" s="10">
        <f t="shared" si="56"/>
        <v>660</v>
      </c>
      <c r="L369" s="10">
        <f t="shared" si="56"/>
        <v>660</v>
      </c>
      <c r="M369" s="10">
        <f t="shared" si="57"/>
        <v>660</v>
      </c>
      <c r="N369" s="10">
        <f t="shared" si="58"/>
        <v>660</v>
      </c>
      <c r="O369" s="10" t="str">
        <f t="shared" si="58"/>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57" t="s">
        <v>500</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269</v>
      </c>
      <c r="E377" s="10" t="s">
        <v>374</v>
      </c>
      <c r="F377" s="10" t="s">
        <v>62</v>
      </c>
      <c r="G377" s="10" t="s">
        <v>501</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269</v>
      </c>
      <c r="E400" s="10" t="s">
        <v>374</v>
      </c>
      <c r="F400" s="10" t="s">
        <v>62</v>
      </c>
      <c r="G400" s="10" t="s">
        <v>501</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7"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7"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7"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7" cm="1">
        <f t="array" ref="D440">SourceData_PastureBeef.SourceData_PastureBeef_FracLEACH_Data()</f>
        <v>0.24</v>
      </c>
      <c r="M440" s="8"/>
    </row>
    <row r="441" spans="4:13" x14ac:dyDescent="0.25">
      <c r="M441" s="8"/>
    </row>
    <row r="442" spans="4:13" ht="15" customHeight="1" x14ac:dyDescent="0.25">
      <c r="D442" s="10" t="s">
        <v>307</v>
      </c>
      <c r="E442" s="10" t="s">
        <v>208</v>
      </c>
      <c r="F442" s="10" t="s">
        <v>308</v>
      </c>
      <c r="G442" s="10" t="s">
        <v>274</v>
      </c>
      <c r="H442" s="10" t="s">
        <v>275</v>
      </c>
      <c r="I442" s="10" t="s">
        <v>350</v>
      </c>
      <c r="M442" s="8"/>
    </row>
    <row r="443" spans="4:13" x14ac:dyDescent="0.25">
      <c r="D443" s="10" t="str" cm="1">
        <f t="array" ref="D443">Common_InputFunctions.Utility_DisplayArrayInTable(Scope3_SourceData.Scope3_Livestock_Data(), Table_SourceData_Scope3_Animals192[[#Headers],[Category]], 0, 2)</f>
        <v>Beef cattle</v>
      </c>
      <c r="E443" s="10" t="str" cm="1">
        <f t="array" ref="E443">Common_InputFunctions.Utility_DisplayArrayInTable(Scope3_SourceData.Scope3_Livestock_Data(), Table_SourceData_Scope3_Animals192[[#Headers],[Category]], 0, 2)</f>
        <v>Cattle, for manufacturing beef</v>
      </c>
      <c r="F443" s="10" t="str" cm="1">
        <f t="array" ref="F443">Common_InputFunctions.Utility_DisplayArrayInTable(Scope3_SourceData.Scope3_Livestock_Data(), Table_SourceData_Scope3_Animals192[[#Headers],[Category]], 0, 2)</f>
        <v>Australia</v>
      </c>
      <c r="G443" s="10" t="str" cm="1">
        <f t="array" ref="G443">Common_InputFunctions.Utility_DisplayArrayInTable(Scope3_SourceData.Scope3_Livestock_Data(), Table_SourceData_Scope3_Animals192[[#Headers],[Category]], 0, 2)</f>
        <v>kg liveweight</v>
      </c>
      <c r="H443" s="10" cm="1">
        <f t="array" ref="H443">Common_InputFunctions.Utility_DisplayArrayInTable(Scope3_SourceData.Scope3_Livestock_Data(), Table_SourceData_Scope3_Animals192[[#Headers],[Category]], 0, 2)</f>
        <v>11</v>
      </c>
      <c r="I443" s="10" t="str" cm="1">
        <f t="array" ref="I443">Common_InputFunctions.Utility_DisplayArrayInTable(Scope3_SourceData.Scope3_Livestock_Data(), Table_SourceData_Scope3_Animals192[[#Headers],[Category]], 0, 2)</f>
        <v>at market</v>
      </c>
      <c r="M443" s="8"/>
    </row>
    <row r="444" spans="4:13" x14ac:dyDescent="0.25">
      <c r="D444" s="10" t="str" cm="1">
        <f t="array" ref="D444">Common_InputFunctions.Utility_DisplayArrayInTable(Scope3_SourceData.Scope3_Livestock_Data(), Table_SourceData_Scope3_Animals192[[#Headers],[Category]], 0, 2)</f>
        <v>Beef cattle</v>
      </c>
      <c r="E444" s="10" t="str" cm="1">
        <f t="array" ref="E444">Common_InputFunctions.Utility_DisplayArrayInTable(Scope3_SourceData.Scope3_Livestock_Data(), Table_SourceData_Scope3_Animals192[[#Headers],[Category]], 0, 2)</f>
        <v>Cattle, for manufacturing beef</v>
      </c>
      <c r="F444" s="10" t="str" cm="1">
        <f t="array" ref="F444">Common_InputFunctions.Utility_DisplayArrayInTable(Scope3_SourceData.Scope3_Livestock_Data(), Table_SourceData_Scope3_Animals192[[#Headers],[Category]], 0, 2)</f>
        <v>NSW</v>
      </c>
      <c r="G444" s="10" t="str" cm="1">
        <f t="array" ref="G444">Common_InputFunctions.Utility_DisplayArrayInTable(Scope3_SourceData.Scope3_Livestock_Data(), Table_SourceData_Scope3_Animals192[[#Headers],[Category]], 0, 2)</f>
        <v>kg liveweight</v>
      </c>
      <c r="H444" s="10" cm="1">
        <f t="array" ref="H444">Common_InputFunctions.Utility_DisplayArrayInTable(Scope3_SourceData.Scope3_Livestock_Data(), Table_SourceData_Scope3_Animals192[[#Headers],[Category]], 0, 2)</f>
        <v>8.2100000000000009</v>
      </c>
      <c r="I444" s="10" t="str" cm="1">
        <f t="array" ref="I444">Common_InputFunctions.Utility_DisplayArrayInTable(Scope3_SourceData.Scope3_Livestock_Data(), Table_SourceData_Scope3_Animals192[[#Headers],[Category]], 0, 2)</f>
        <v>at market</v>
      </c>
      <c r="M444" s="8"/>
    </row>
    <row r="445" spans="4:13" x14ac:dyDescent="0.25">
      <c r="D445" s="10" t="str" cm="1">
        <f t="array" ref="D445">Common_InputFunctions.Utility_DisplayArrayInTable(Scope3_SourceData.Scope3_Livestock_Data(), Table_SourceData_Scope3_Animals192[[#Headers],[Category]], 0, 2)</f>
        <v>Beef cattle</v>
      </c>
      <c r="E445" s="10" t="str" cm="1">
        <f t="array" ref="E445">Common_InputFunctions.Utility_DisplayArrayInTable(Scope3_SourceData.Scope3_Livestock_Data(), Table_SourceData_Scope3_Animals192[[#Headers],[Category]], 0, 2)</f>
        <v>Cattle, for manufacturing beef</v>
      </c>
      <c r="F445" s="10" t="str" cm="1">
        <f t="array" ref="F445">Common_InputFunctions.Utility_DisplayArrayInTable(Scope3_SourceData.Scope3_Livestock_Data(), Table_SourceData_Scope3_Animals192[[#Headers],[Category]], 0, 2)</f>
        <v>NT</v>
      </c>
      <c r="G445" s="10" t="str" cm="1">
        <f t="array" ref="G445">Common_InputFunctions.Utility_DisplayArrayInTable(Scope3_SourceData.Scope3_Livestock_Data(), Table_SourceData_Scope3_Animals192[[#Headers],[Category]], 0, 2)</f>
        <v>kg liveweight</v>
      </c>
      <c r="H445" s="10" cm="1">
        <f t="array" ref="H445">Common_InputFunctions.Utility_DisplayArrayInTable(Scope3_SourceData.Scope3_Livestock_Data(), Table_SourceData_Scope3_Animals192[[#Headers],[Category]], 0, 2)</f>
        <v>12.2</v>
      </c>
      <c r="I445" s="10" t="str" cm="1">
        <f t="array" ref="I445">Common_InputFunctions.Utility_DisplayArrayInTable(Scope3_SourceData.Scope3_Livestock_Data(), Table_SourceData_Scope3_Animals192[[#Headers],[Category]], 0, 2)</f>
        <v>at market</v>
      </c>
      <c r="M445" s="8"/>
    </row>
    <row r="446" spans="4:13" x14ac:dyDescent="0.25">
      <c r="D446" s="10" t="str" cm="1">
        <f t="array" ref="D446">Common_InputFunctions.Utility_DisplayArrayInTable(Scope3_SourceData.Scope3_Livestock_Data(), Table_SourceData_Scope3_Animals192[[#Headers],[Category]], 0, 2)</f>
        <v>Beef cattle</v>
      </c>
      <c r="E446" s="10" t="str" cm="1">
        <f t="array" ref="E446">Common_InputFunctions.Utility_DisplayArrayInTable(Scope3_SourceData.Scope3_Livestock_Data(), Table_SourceData_Scope3_Animals192[[#Headers],[Category]], 0, 2)</f>
        <v>Cattle, for manufacturing beef</v>
      </c>
      <c r="F446" s="10" t="str" cm="1">
        <f t="array" ref="F446">Common_InputFunctions.Utility_DisplayArrayInTable(Scope3_SourceData.Scope3_Livestock_Data(), Table_SourceData_Scope3_Animals192[[#Headers],[Category]], 0, 2)</f>
        <v>QLD</v>
      </c>
      <c r="G446" s="10" t="str" cm="1">
        <f t="array" ref="G446">Common_InputFunctions.Utility_DisplayArrayInTable(Scope3_SourceData.Scope3_Livestock_Data(), Table_SourceData_Scope3_Animals192[[#Headers],[Category]], 0, 2)</f>
        <v>kg liveweight</v>
      </c>
      <c r="H446" s="10" cm="1">
        <f t="array" ref="H446">Common_InputFunctions.Utility_DisplayArrayInTable(Scope3_SourceData.Scope3_Livestock_Data(), Table_SourceData_Scope3_Animals192[[#Headers],[Category]], 0, 2)</f>
        <v>10.9</v>
      </c>
      <c r="I446" s="10" t="str" cm="1">
        <f t="array" ref="I446">Common_InputFunctions.Utility_DisplayArrayInTable(Scope3_SourceData.Scope3_Livestock_Data(), Table_SourceData_Scope3_Animals192[[#Headers],[Category]], 0, 2)</f>
        <v>at market</v>
      </c>
      <c r="M446" s="8"/>
    </row>
    <row r="447" spans="4:13" x14ac:dyDescent="0.25">
      <c r="D447" s="10" t="str" cm="1">
        <f t="array" ref="D447">Common_InputFunctions.Utility_DisplayArrayInTable(Scope3_SourceData.Scope3_Livestock_Data(), Table_SourceData_Scope3_Animals192[[#Headers],[Category]], 0, 2)</f>
        <v>Beef cattle</v>
      </c>
      <c r="E447" s="10" t="str" cm="1">
        <f t="array" ref="E447">Common_InputFunctions.Utility_DisplayArrayInTable(Scope3_SourceData.Scope3_Livestock_Data(), Table_SourceData_Scope3_Animals192[[#Headers],[Category]], 0, 2)</f>
        <v>Cattle, for manufacturing beef</v>
      </c>
      <c r="F447" s="10" t="str" cm="1">
        <f t="array" ref="F447">Common_InputFunctions.Utility_DisplayArrayInTable(Scope3_SourceData.Scope3_Livestock_Data(), Table_SourceData_Scope3_Animals192[[#Headers],[Category]], 0, 2)</f>
        <v>SA</v>
      </c>
      <c r="G447" s="10" t="str" cm="1">
        <f t="array" ref="G447">Common_InputFunctions.Utility_DisplayArrayInTable(Scope3_SourceData.Scope3_Livestock_Data(), Table_SourceData_Scope3_Animals192[[#Headers],[Category]], 0, 2)</f>
        <v>kg liveweight</v>
      </c>
      <c r="H447" s="10" cm="1">
        <f t="array" ref="H447">Common_InputFunctions.Utility_DisplayArrayInTable(Scope3_SourceData.Scope3_Livestock_Data(), Table_SourceData_Scope3_Animals192[[#Headers],[Category]], 0, 2)</f>
        <v>7.63</v>
      </c>
      <c r="I447" s="10" t="str" cm="1">
        <f t="array" ref="I447">Common_InputFunctions.Utility_DisplayArrayInTable(Scope3_SourceData.Scope3_Livestock_Data(), Table_SourceData_Scope3_Animals192[[#Headers],[Category]], 0, 2)</f>
        <v>at market</v>
      </c>
      <c r="M447" s="8"/>
    </row>
    <row r="448" spans="4:13" x14ac:dyDescent="0.25">
      <c r="D448" s="10" t="str" cm="1">
        <f t="array" ref="D448">Common_InputFunctions.Utility_DisplayArrayInTable(Scope3_SourceData.Scope3_Livestock_Data(), Table_SourceData_Scope3_Animals192[[#Headers],[Category]], 0, 2)</f>
        <v>Beef cattle</v>
      </c>
      <c r="E448" s="10" t="str" cm="1">
        <f t="array" ref="E448">Common_InputFunctions.Utility_DisplayArrayInTable(Scope3_SourceData.Scope3_Livestock_Data(), Table_SourceData_Scope3_Animals192[[#Headers],[Category]], 0, 2)</f>
        <v>Cattle, for manufacturing beef</v>
      </c>
      <c r="F448" s="10" t="str" cm="1">
        <f t="array" ref="F448">Common_InputFunctions.Utility_DisplayArrayInTable(Scope3_SourceData.Scope3_Livestock_Data(), Table_SourceData_Scope3_Animals192[[#Headers],[Category]], 0, 2)</f>
        <v>TAS</v>
      </c>
      <c r="G448" s="10" t="str" cm="1">
        <f t="array" ref="G448">Common_InputFunctions.Utility_DisplayArrayInTable(Scope3_SourceData.Scope3_Livestock_Data(), Table_SourceData_Scope3_Animals192[[#Headers],[Category]], 0, 2)</f>
        <v>kg liveweight</v>
      </c>
      <c r="H448" s="10" cm="1">
        <f t="array" ref="H448">Common_InputFunctions.Utility_DisplayArrayInTable(Scope3_SourceData.Scope3_Livestock_Data(), Table_SourceData_Scope3_Animals192[[#Headers],[Category]], 0, 2)</f>
        <v>8.75</v>
      </c>
      <c r="I448" s="10" t="str" cm="1">
        <f t="array" ref="I448">Common_InputFunctions.Utility_DisplayArrayInTable(Scope3_SourceData.Scope3_Livestock_Data(), Table_SourceData_Scope3_Animals192[[#Headers],[Category]], 0, 2)</f>
        <v>at market</v>
      </c>
      <c r="M448" s="8"/>
    </row>
    <row r="449" spans="4:13" x14ac:dyDescent="0.25">
      <c r="D449" s="10" t="str" cm="1">
        <f t="array" ref="D449">Common_InputFunctions.Utility_DisplayArrayInTable(Scope3_SourceData.Scope3_Livestock_Data(), Table_SourceData_Scope3_Animals192[[#Headers],[Category]], 0, 2)</f>
        <v>Beef cattle</v>
      </c>
      <c r="E449" s="10" t="str" cm="1">
        <f t="array" ref="E449">Common_InputFunctions.Utility_DisplayArrayInTable(Scope3_SourceData.Scope3_Livestock_Data(), Table_SourceData_Scope3_Animals192[[#Headers],[Category]], 0, 2)</f>
        <v>Cattle, for manufacturing beef</v>
      </c>
      <c r="F449" s="10" t="str" cm="1">
        <f t="array" ref="F449">Common_InputFunctions.Utility_DisplayArrayInTable(Scope3_SourceData.Scope3_Livestock_Data(), Table_SourceData_Scope3_Animals192[[#Headers],[Category]], 0, 2)</f>
        <v>VIC</v>
      </c>
      <c r="G449" s="10" t="str" cm="1">
        <f t="array" ref="G449">Common_InputFunctions.Utility_DisplayArrayInTable(Scope3_SourceData.Scope3_Livestock_Data(), Table_SourceData_Scope3_Animals192[[#Headers],[Category]], 0, 2)</f>
        <v>kg liveweight</v>
      </c>
      <c r="H449" s="10" cm="1">
        <f t="array" ref="H449">Common_InputFunctions.Utility_DisplayArrayInTable(Scope3_SourceData.Scope3_Livestock_Data(), Table_SourceData_Scope3_Animals192[[#Headers],[Category]], 0, 2)</f>
        <v>8.17</v>
      </c>
      <c r="I449" s="10" t="str" cm="1">
        <f t="array" ref="I449">Common_InputFunctions.Utility_DisplayArrayInTable(Scope3_SourceData.Scope3_Livestock_Data(), Table_SourceData_Scope3_Animals192[[#Headers],[Category]], 0, 2)</f>
        <v>at market</v>
      </c>
      <c r="M449" s="8"/>
    </row>
    <row r="450" spans="4:13" x14ac:dyDescent="0.25">
      <c r="D450" s="10" t="str" cm="1">
        <f t="array" ref="D450">Common_InputFunctions.Utility_DisplayArrayInTable(Scope3_SourceData.Scope3_Livestock_Data(), Table_SourceData_Scope3_Animals192[[#Headers],[Category]], 0, 2)</f>
        <v>Beef cattle</v>
      </c>
      <c r="E450" s="10" t="str" cm="1">
        <f t="array" ref="E450">Common_InputFunctions.Utility_DisplayArrayInTable(Scope3_SourceData.Scope3_Livestock_Data(), Table_SourceData_Scope3_Animals192[[#Headers],[Category]], 0, 2)</f>
        <v>Cattle, for manufacturing beef</v>
      </c>
      <c r="F450" s="10" t="str" cm="1">
        <f t="array" ref="F450">Common_InputFunctions.Utility_DisplayArrayInTable(Scope3_SourceData.Scope3_Livestock_Data(), Table_SourceData_Scope3_Animals192[[#Headers],[Category]], 0, 2)</f>
        <v>WA</v>
      </c>
      <c r="G450" s="10" t="str" cm="1">
        <f t="array" ref="G450">Common_InputFunctions.Utility_DisplayArrayInTable(Scope3_SourceData.Scope3_Livestock_Data(), Table_SourceData_Scope3_Animals192[[#Headers],[Category]], 0, 2)</f>
        <v>kg liveweight</v>
      </c>
      <c r="H450" s="10" cm="1">
        <f t="array" ref="H450">Common_InputFunctions.Utility_DisplayArrayInTable(Scope3_SourceData.Scope3_Livestock_Data(), Table_SourceData_Scope3_Animals192[[#Headers],[Category]], 0, 2)</f>
        <v>13.1</v>
      </c>
      <c r="I450" s="10" t="str" cm="1">
        <f t="array" ref="I450">Common_InputFunctions.Utility_DisplayArrayInTable(Scope3_SourceData.Scope3_Livestock_Data(), Table_SourceData_Scope3_Animals192[[#Headers],[Category]], 0, 2)</f>
        <v>at market</v>
      </c>
      <c r="M450" s="8"/>
    </row>
    <row r="451" spans="4:13" x14ac:dyDescent="0.25">
      <c r="D451" s="10" t="str" cm="1">
        <f t="array" ref="D451">Common_InputFunctions.Utility_DisplayArrayInTable(Scope3_SourceData.Scope3_Livestock_Data(), Table_SourceData_Scope3_Animals192[[#Headers],[Category]], 0, 2)</f>
        <v>Beef cattle</v>
      </c>
      <c r="E451" s="10" t="str" cm="1">
        <f t="array" ref="E451">Common_InputFunctions.Utility_DisplayArrayInTable(Scope3_SourceData.Scope3_Livestock_Data(), Table_SourceData_Scope3_Animals192[[#Headers],[Category]], 0, 2)</f>
        <v>Cattle, for prime beef</v>
      </c>
      <c r="F451" s="10" t="str" cm="1">
        <f t="array" ref="F451">Common_InputFunctions.Utility_DisplayArrayInTable(Scope3_SourceData.Scope3_Livestock_Data(), Table_SourceData_Scope3_Animals192[[#Headers],[Category]], 0, 2)</f>
        <v>Australia</v>
      </c>
      <c r="G451" s="10" t="str" cm="1">
        <f t="array" ref="G451">Common_InputFunctions.Utility_DisplayArrayInTable(Scope3_SourceData.Scope3_Livestock_Data(), Table_SourceData_Scope3_Animals192[[#Headers],[Category]], 0, 2)</f>
        <v>kg liveweight</v>
      </c>
      <c r="H451" s="10" cm="1">
        <f t="array" ref="H451">Common_InputFunctions.Utility_DisplayArrayInTable(Scope3_SourceData.Scope3_Livestock_Data(), Table_SourceData_Scope3_Animals192[[#Headers],[Category]], 0, 2)</f>
        <v>14.5</v>
      </c>
      <c r="I451" s="10" t="str" cm="1">
        <f t="array" ref="I451">Common_InputFunctions.Utility_DisplayArrayInTable(Scope3_SourceData.Scope3_Livestock_Data(), Table_SourceData_Scope3_Animals192[[#Headers],[Category]], 0, 2)</f>
        <v>at market</v>
      </c>
      <c r="M451" s="8"/>
    </row>
    <row r="452" spans="4:13" x14ac:dyDescent="0.25">
      <c r="D452" s="10" t="str" cm="1">
        <f t="array" ref="D452">Common_InputFunctions.Utility_DisplayArrayInTable(Scope3_SourceData.Scope3_Livestock_Data(), Table_SourceData_Scope3_Animals192[[#Headers],[Category]], 0, 2)</f>
        <v>Beef cattle</v>
      </c>
      <c r="E452" s="10" t="str" cm="1">
        <f t="array" ref="E452">Common_InputFunctions.Utility_DisplayArrayInTable(Scope3_SourceData.Scope3_Livestock_Data(), Table_SourceData_Scope3_Animals192[[#Headers],[Category]], 0, 2)</f>
        <v>Cattle, for prime beef</v>
      </c>
      <c r="F452" s="10" t="str" cm="1">
        <f t="array" ref="F452">Common_InputFunctions.Utility_DisplayArrayInTable(Scope3_SourceData.Scope3_Livestock_Data(), Table_SourceData_Scope3_Animals192[[#Headers],[Category]], 0, 2)</f>
        <v>NSW</v>
      </c>
      <c r="G452" s="10" t="str" cm="1">
        <f t="array" ref="G452">Common_InputFunctions.Utility_DisplayArrayInTable(Scope3_SourceData.Scope3_Livestock_Data(), Table_SourceData_Scope3_Animals192[[#Headers],[Category]], 0, 2)</f>
        <v>kg liveweight</v>
      </c>
      <c r="H452" s="10" cm="1">
        <f t="array" ref="H452">Common_InputFunctions.Utility_DisplayArrayInTable(Scope3_SourceData.Scope3_Livestock_Data(), Table_SourceData_Scope3_Animals192[[#Headers],[Category]], 0, 2)</f>
        <v>11.3</v>
      </c>
      <c r="I452" s="10" t="str" cm="1">
        <f t="array" ref="I452">Common_InputFunctions.Utility_DisplayArrayInTable(Scope3_SourceData.Scope3_Livestock_Data(), Table_SourceData_Scope3_Animals192[[#Headers],[Category]], 0, 2)</f>
        <v>at market</v>
      </c>
      <c r="M452" s="8"/>
    </row>
    <row r="453" spans="4:13" x14ac:dyDescent="0.25">
      <c r="D453" s="10" t="str" cm="1">
        <f t="array" ref="D453">Common_InputFunctions.Utility_DisplayArrayInTable(Scope3_SourceData.Scope3_Livestock_Data(), Table_SourceData_Scope3_Animals192[[#Headers],[Category]], 0, 2)</f>
        <v>Beef cattle</v>
      </c>
      <c r="E453" s="10" t="str" cm="1">
        <f t="array" ref="E453">Common_InputFunctions.Utility_DisplayArrayInTable(Scope3_SourceData.Scope3_Livestock_Data(), Table_SourceData_Scope3_Animals192[[#Headers],[Category]], 0, 2)</f>
        <v>Cattle, for prime beef</v>
      </c>
      <c r="F453" s="10" t="str" cm="1">
        <f t="array" ref="F453">Common_InputFunctions.Utility_DisplayArrayInTable(Scope3_SourceData.Scope3_Livestock_Data(), Table_SourceData_Scope3_Animals192[[#Headers],[Category]], 0, 2)</f>
        <v>NT</v>
      </c>
      <c r="G453" s="10" t="str" cm="1">
        <f t="array" ref="G453">Common_InputFunctions.Utility_DisplayArrayInTable(Scope3_SourceData.Scope3_Livestock_Data(), Table_SourceData_Scope3_Animals192[[#Headers],[Category]], 0, 2)</f>
        <v>kg liveweight</v>
      </c>
      <c r="H453" s="10" cm="1">
        <f t="array" ref="H453">Common_InputFunctions.Utility_DisplayArrayInTable(Scope3_SourceData.Scope3_Livestock_Data(), Table_SourceData_Scope3_Animals192[[#Headers],[Category]], 0, 2)</f>
        <v>18.899999999999999</v>
      </c>
      <c r="I453" s="10" t="str" cm="1">
        <f t="array" ref="I453">Common_InputFunctions.Utility_DisplayArrayInTable(Scope3_SourceData.Scope3_Livestock_Data(), Table_SourceData_Scope3_Animals192[[#Headers],[Category]], 0, 2)</f>
        <v>at market</v>
      </c>
      <c r="M453" s="8"/>
    </row>
    <row r="454" spans="4:13" x14ac:dyDescent="0.25">
      <c r="D454" s="10" t="str" cm="1">
        <f t="array" ref="D454">Common_InputFunctions.Utility_DisplayArrayInTable(Scope3_SourceData.Scope3_Livestock_Data(), Table_SourceData_Scope3_Animals192[[#Headers],[Category]], 0, 2)</f>
        <v>Beef cattle</v>
      </c>
      <c r="E454" s="10" t="str" cm="1">
        <f t="array" ref="E454">Common_InputFunctions.Utility_DisplayArrayInTable(Scope3_SourceData.Scope3_Livestock_Data(), Table_SourceData_Scope3_Animals192[[#Headers],[Category]], 0, 2)</f>
        <v>Cattle, for prime beef</v>
      </c>
      <c r="F454" s="10" t="str" cm="1">
        <f t="array" ref="F454">Common_InputFunctions.Utility_DisplayArrayInTable(Scope3_SourceData.Scope3_Livestock_Data(), Table_SourceData_Scope3_Animals192[[#Headers],[Category]], 0, 2)</f>
        <v>QLD</v>
      </c>
      <c r="G454" s="10" t="str" cm="1">
        <f t="array" ref="G454">Common_InputFunctions.Utility_DisplayArrayInTable(Scope3_SourceData.Scope3_Livestock_Data(), Table_SourceData_Scope3_Animals192[[#Headers],[Category]], 0, 2)</f>
        <v>kg liveweight</v>
      </c>
      <c r="H454" s="10" cm="1">
        <f t="array" ref="H454">Common_InputFunctions.Utility_DisplayArrayInTable(Scope3_SourceData.Scope3_Livestock_Data(), Table_SourceData_Scope3_Animals192[[#Headers],[Category]], 0, 2)</f>
        <v>13.9</v>
      </c>
      <c r="I454" s="10" t="str" cm="1">
        <f t="array" ref="I454">Common_InputFunctions.Utility_DisplayArrayInTable(Scope3_SourceData.Scope3_Livestock_Data(), Table_SourceData_Scope3_Animals192[[#Headers],[Category]], 0, 2)</f>
        <v>at market</v>
      </c>
      <c r="M454" s="8"/>
    </row>
    <row r="455" spans="4:13" x14ac:dyDescent="0.25">
      <c r="D455" s="10" t="str" cm="1">
        <f t="array" ref="D455">Common_InputFunctions.Utility_DisplayArrayInTable(Scope3_SourceData.Scope3_Livestock_Data(), Table_SourceData_Scope3_Animals192[[#Headers],[Category]], 0, 2)</f>
        <v>Beef cattle</v>
      </c>
      <c r="E455" s="10" t="str" cm="1">
        <f t="array" ref="E455">Common_InputFunctions.Utility_DisplayArrayInTable(Scope3_SourceData.Scope3_Livestock_Data(), Table_SourceData_Scope3_Animals192[[#Headers],[Category]], 0, 2)</f>
        <v>Cattle, for prime beef</v>
      </c>
      <c r="F455" s="10" t="str" cm="1">
        <f t="array" ref="F455">Common_InputFunctions.Utility_DisplayArrayInTable(Scope3_SourceData.Scope3_Livestock_Data(), Table_SourceData_Scope3_Animals192[[#Headers],[Category]], 0, 2)</f>
        <v>SA</v>
      </c>
      <c r="G455" s="10" t="str" cm="1">
        <f t="array" ref="G455">Common_InputFunctions.Utility_DisplayArrayInTable(Scope3_SourceData.Scope3_Livestock_Data(), Table_SourceData_Scope3_Animals192[[#Headers],[Category]], 0, 2)</f>
        <v>kg liveweight</v>
      </c>
      <c r="H455" s="10" cm="1">
        <f t="array" ref="H455">Common_InputFunctions.Utility_DisplayArrayInTable(Scope3_SourceData.Scope3_Livestock_Data(), Table_SourceData_Scope3_Animals192[[#Headers],[Category]], 0, 2)</f>
        <v>12.3</v>
      </c>
      <c r="I455" s="10" t="str" cm="1">
        <f t="array" ref="I455">Common_InputFunctions.Utility_DisplayArrayInTable(Scope3_SourceData.Scope3_Livestock_Data(), Table_SourceData_Scope3_Animals192[[#Headers],[Category]], 0, 2)</f>
        <v>at market</v>
      </c>
    </row>
    <row r="456" spans="4:13" x14ac:dyDescent="0.25">
      <c r="D456" s="10" t="str" cm="1">
        <f t="array" ref="D456">Common_InputFunctions.Utility_DisplayArrayInTable(Scope3_SourceData.Scope3_Livestock_Data(), Table_SourceData_Scope3_Animals192[[#Headers],[Category]], 0, 2)</f>
        <v>Beef cattle</v>
      </c>
      <c r="E456" s="10" t="str" cm="1">
        <f t="array" ref="E456">Common_InputFunctions.Utility_DisplayArrayInTable(Scope3_SourceData.Scope3_Livestock_Data(), Table_SourceData_Scope3_Animals192[[#Headers],[Category]], 0, 2)</f>
        <v>Cattle, for prime beef</v>
      </c>
      <c r="F456" s="10" t="str" cm="1">
        <f t="array" ref="F456">Common_InputFunctions.Utility_DisplayArrayInTable(Scope3_SourceData.Scope3_Livestock_Data(), Table_SourceData_Scope3_Animals192[[#Headers],[Category]], 0, 2)</f>
        <v>TAS</v>
      </c>
      <c r="G456" s="10" t="str" cm="1">
        <f t="array" ref="G456">Common_InputFunctions.Utility_DisplayArrayInTable(Scope3_SourceData.Scope3_Livestock_Data(), Table_SourceData_Scope3_Animals192[[#Headers],[Category]], 0, 2)</f>
        <v>kg liveweight</v>
      </c>
      <c r="H456" s="10" cm="1">
        <f t="array" ref="H456">Common_InputFunctions.Utility_DisplayArrayInTable(Scope3_SourceData.Scope3_Livestock_Data(), Table_SourceData_Scope3_Animals192[[#Headers],[Category]], 0, 2)</f>
        <v>11.5</v>
      </c>
      <c r="I456" s="10" t="str" cm="1">
        <f t="array" ref="I456">Common_InputFunctions.Utility_DisplayArrayInTable(Scope3_SourceData.Scope3_Livestock_Data(), Table_SourceData_Scope3_Animals192[[#Headers],[Category]], 0, 2)</f>
        <v>at market</v>
      </c>
    </row>
    <row r="457" spans="4:13" x14ac:dyDescent="0.25">
      <c r="D457" s="10" t="str" cm="1">
        <f t="array" ref="D457">Common_InputFunctions.Utility_DisplayArrayInTable(Scope3_SourceData.Scope3_Livestock_Data(), Table_SourceData_Scope3_Animals192[[#Headers],[Category]], 0, 2)</f>
        <v>Beef cattle</v>
      </c>
      <c r="E457" s="10" t="str" cm="1">
        <f t="array" ref="E457">Common_InputFunctions.Utility_DisplayArrayInTable(Scope3_SourceData.Scope3_Livestock_Data(), Table_SourceData_Scope3_Animals192[[#Headers],[Category]], 0, 2)</f>
        <v>Cattle, for prime beef</v>
      </c>
      <c r="F457" s="10" t="str" cm="1">
        <f t="array" ref="F457">Common_InputFunctions.Utility_DisplayArrayInTable(Scope3_SourceData.Scope3_Livestock_Data(), Table_SourceData_Scope3_Animals192[[#Headers],[Category]], 0, 2)</f>
        <v>VIC</v>
      </c>
      <c r="G457" s="10" t="str" cm="1">
        <f t="array" ref="G457">Common_InputFunctions.Utility_DisplayArrayInTable(Scope3_SourceData.Scope3_Livestock_Data(), Table_SourceData_Scope3_Animals192[[#Headers],[Category]], 0, 2)</f>
        <v>kg liveweight</v>
      </c>
      <c r="H457" s="10" cm="1">
        <f t="array" ref="H457">Common_InputFunctions.Utility_DisplayArrayInTable(Scope3_SourceData.Scope3_Livestock_Data(), Table_SourceData_Scope3_Animals192[[#Headers],[Category]], 0, 2)</f>
        <v>11.5</v>
      </c>
      <c r="I457" s="10" t="str" cm="1">
        <f t="array" ref="I457">Common_InputFunctions.Utility_DisplayArrayInTable(Scope3_SourceData.Scope3_Livestock_Data(), Table_SourceData_Scope3_Animals192[[#Headers],[Category]], 0, 2)</f>
        <v>at market</v>
      </c>
    </row>
    <row r="458" spans="4:13" x14ac:dyDescent="0.25">
      <c r="D458" s="10" t="str" cm="1">
        <f t="array" ref="D458">Common_InputFunctions.Utility_DisplayArrayInTable(Scope3_SourceData.Scope3_Livestock_Data(), Table_SourceData_Scope3_Animals192[[#Headers],[Category]], 0, 2)</f>
        <v>Beef cattle</v>
      </c>
      <c r="E458" s="10" t="str" cm="1">
        <f t="array" ref="E458">Common_InputFunctions.Utility_DisplayArrayInTable(Scope3_SourceData.Scope3_Livestock_Data(), Table_SourceData_Scope3_Animals192[[#Headers],[Category]], 0, 2)</f>
        <v>Cattle, for prime beef</v>
      </c>
      <c r="F458" s="10" t="str" cm="1">
        <f t="array" ref="F458">Common_InputFunctions.Utility_DisplayArrayInTable(Scope3_SourceData.Scope3_Livestock_Data(), Table_SourceData_Scope3_Animals192[[#Headers],[Category]], 0, 2)</f>
        <v>WA</v>
      </c>
      <c r="G458" s="10" t="str" cm="1">
        <f t="array" ref="G458">Common_InputFunctions.Utility_DisplayArrayInTable(Scope3_SourceData.Scope3_Livestock_Data(), Table_SourceData_Scope3_Animals192[[#Headers],[Category]], 0, 2)</f>
        <v>kg liveweight</v>
      </c>
      <c r="H458" s="10" cm="1">
        <f t="array" ref="H458">Common_InputFunctions.Utility_DisplayArrayInTable(Scope3_SourceData.Scope3_Livestock_Data(), Table_SourceData_Scope3_Animals192[[#Headers],[Category]], 0, 2)</f>
        <v>20.8</v>
      </c>
      <c r="I458" s="10" t="str" cm="1">
        <f t="array" ref="I458">Common_InputFunctions.Utility_DisplayArrayInTable(Scope3_SourceData.Scope3_Livestock_Data(), Table_SourceData_Scope3_Animals192[[#Headers],[Category]], 0, 2)</f>
        <v>at market</v>
      </c>
    </row>
    <row r="459" spans="4:13" x14ac:dyDescent="0.25">
      <c r="D459" s="10" t="str" cm="1">
        <f t="array" ref="D459">Common_InputFunctions.Utility_DisplayArrayInTable(Scope3_SourceData.Scope3_Livestock_Data(), Table_SourceData_Scope3_Animals192[[#Headers],[Category]], 0, 2)</f>
        <v>Beef cattle</v>
      </c>
      <c r="E459" s="10" t="str" cm="1">
        <f t="array" ref="E459">Common_InputFunctions.Utility_DisplayArrayInTable(Scope3_SourceData.Scope3_Livestock_Data(), Table_SourceData_Scope3_Animals192[[#Headers],[Category]], 0, 2)</f>
        <v>Cattle, weaners</v>
      </c>
      <c r="F459" s="10" t="str" cm="1">
        <f t="array" ref="F459">Common_InputFunctions.Utility_DisplayArrayInTable(Scope3_SourceData.Scope3_Livestock_Data(), Table_SourceData_Scope3_Animals192[[#Headers],[Category]], 0, 2)</f>
        <v>Australia</v>
      </c>
      <c r="G459" s="10" t="str" cm="1">
        <f t="array" ref="G459">Common_InputFunctions.Utility_DisplayArrayInTable(Scope3_SourceData.Scope3_Livestock_Data(), Table_SourceData_Scope3_Animals192[[#Headers],[Category]], 0, 2)</f>
        <v>kg liveweight</v>
      </c>
      <c r="H459" s="10" cm="1">
        <f t="array" ref="H459">Common_InputFunctions.Utility_DisplayArrayInTable(Scope3_SourceData.Scope3_Livestock_Data(), Table_SourceData_Scope3_Animals192[[#Headers],[Category]], 0, 2)</f>
        <v>15.5</v>
      </c>
      <c r="I459" s="10" t="str" cm="1">
        <f t="array" ref="I459">Common_InputFunctions.Utility_DisplayArrayInTable(Scope3_SourceData.Scope3_Livestock_Data(), Table_SourceData_Scope3_Animals192[[#Headers],[Category]], 0, 2)</f>
        <v>at market</v>
      </c>
    </row>
    <row r="460" spans="4:13" x14ac:dyDescent="0.25">
      <c r="D460" s="10" t="str" cm="1">
        <f t="array" ref="D460">Common_InputFunctions.Utility_DisplayArrayInTable(Scope3_SourceData.Scope3_Livestock_Data(), Table_SourceData_Scope3_Animals192[[#Headers],[Category]], 0, 2)</f>
        <v>Beef cattle</v>
      </c>
      <c r="E460" s="10" t="str" cm="1">
        <f t="array" ref="E460">Common_InputFunctions.Utility_DisplayArrayInTable(Scope3_SourceData.Scope3_Livestock_Data(), Table_SourceData_Scope3_Animals192[[#Headers],[Category]], 0, 2)</f>
        <v>Cattle, weaners</v>
      </c>
      <c r="F460" s="10" t="str" cm="1">
        <f t="array" ref="F460">Common_InputFunctions.Utility_DisplayArrayInTable(Scope3_SourceData.Scope3_Livestock_Data(), Table_SourceData_Scope3_Animals192[[#Headers],[Category]], 0, 2)</f>
        <v>NSW</v>
      </c>
      <c r="G460" s="10" t="str" cm="1">
        <f t="array" ref="G460">Common_InputFunctions.Utility_DisplayArrayInTable(Scope3_SourceData.Scope3_Livestock_Data(), Table_SourceData_Scope3_Animals192[[#Headers],[Category]], 0, 2)</f>
        <v>kg liveweight</v>
      </c>
      <c r="H460" s="10" cm="1">
        <f t="array" ref="H460">Common_InputFunctions.Utility_DisplayArrayInTable(Scope3_SourceData.Scope3_Livestock_Data(), Table_SourceData_Scope3_Animals192[[#Headers],[Category]], 0, 2)</f>
        <v>12.7</v>
      </c>
      <c r="I460" s="10" t="str" cm="1">
        <f t="array" ref="I460">Common_InputFunctions.Utility_DisplayArrayInTable(Scope3_SourceData.Scope3_Livestock_Data(), Table_SourceData_Scope3_Animals192[[#Headers],[Category]], 0, 2)</f>
        <v>at market</v>
      </c>
    </row>
    <row r="461" spans="4:13" x14ac:dyDescent="0.25">
      <c r="D461" s="10" t="str" cm="1">
        <f t="array" ref="D461">Common_InputFunctions.Utility_DisplayArrayInTable(Scope3_SourceData.Scope3_Livestock_Data(), Table_SourceData_Scope3_Animals192[[#Headers],[Category]], 0, 2)</f>
        <v>Beef cattle</v>
      </c>
      <c r="E461" s="10" t="str" cm="1">
        <f t="array" ref="E461">Common_InputFunctions.Utility_DisplayArrayInTable(Scope3_SourceData.Scope3_Livestock_Data(), Table_SourceData_Scope3_Animals192[[#Headers],[Category]], 0, 2)</f>
        <v>Cattle, weaners</v>
      </c>
      <c r="F461" s="10" t="str" cm="1">
        <f t="array" ref="F461">Common_InputFunctions.Utility_DisplayArrayInTable(Scope3_SourceData.Scope3_Livestock_Data(), Table_SourceData_Scope3_Animals192[[#Headers],[Category]], 0, 2)</f>
        <v>NT</v>
      </c>
      <c r="G461" s="10" t="str" cm="1">
        <f t="array" ref="G461">Common_InputFunctions.Utility_DisplayArrayInTable(Scope3_SourceData.Scope3_Livestock_Data(), Table_SourceData_Scope3_Animals192[[#Headers],[Category]], 0, 2)</f>
        <v>kg liveweight</v>
      </c>
      <c r="H461" s="10" cm="1">
        <f t="array" ref="H461">Common_InputFunctions.Utility_DisplayArrayInTable(Scope3_SourceData.Scope3_Livestock_Data(), Table_SourceData_Scope3_Animals192[[#Headers],[Category]], 0, 2)</f>
        <v>19.100000000000001</v>
      </c>
      <c r="I461" s="10" t="str" cm="1">
        <f t="array" ref="I461">Common_InputFunctions.Utility_DisplayArrayInTable(Scope3_SourceData.Scope3_Livestock_Data(), Table_SourceData_Scope3_Animals192[[#Headers],[Category]], 0, 2)</f>
        <v>at market</v>
      </c>
    </row>
    <row r="462" spans="4:13" x14ac:dyDescent="0.25">
      <c r="D462" s="10" t="str" cm="1">
        <f t="array" ref="D462">Common_InputFunctions.Utility_DisplayArrayInTable(Scope3_SourceData.Scope3_Livestock_Data(), Table_SourceData_Scope3_Animals192[[#Headers],[Category]], 0, 2)</f>
        <v>Beef cattle</v>
      </c>
      <c r="E462" s="10" t="str" cm="1">
        <f t="array" ref="E462">Common_InputFunctions.Utility_DisplayArrayInTable(Scope3_SourceData.Scope3_Livestock_Data(), Table_SourceData_Scope3_Animals192[[#Headers],[Category]], 0, 2)</f>
        <v>Cattle, weaners</v>
      </c>
      <c r="F462" s="10" t="str" cm="1">
        <f t="array" ref="F462">Common_InputFunctions.Utility_DisplayArrayInTable(Scope3_SourceData.Scope3_Livestock_Data(), Table_SourceData_Scope3_Animals192[[#Headers],[Category]], 0, 2)</f>
        <v>QLD</v>
      </c>
      <c r="G462" s="10" t="str" cm="1">
        <f t="array" ref="G462">Common_InputFunctions.Utility_DisplayArrayInTable(Scope3_SourceData.Scope3_Livestock_Data(), Table_SourceData_Scope3_Animals192[[#Headers],[Category]], 0, 2)</f>
        <v>kg liveweight</v>
      </c>
      <c r="H462" s="10" cm="1">
        <f t="array" ref="H462">Common_InputFunctions.Utility_DisplayArrayInTable(Scope3_SourceData.Scope3_Livestock_Data(), Table_SourceData_Scope3_Animals192[[#Headers],[Category]], 0, 2)</f>
        <v>20.5</v>
      </c>
      <c r="I462" s="10" t="str" cm="1">
        <f t="array" ref="I462">Common_InputFunctions.Utility_DisplayArrayInTable(Scope3_SourceData.Scope3_Livestock_Data(), Table_SourceData_Scope3_Animals192[[#Headers],[Category]], 0, 2)</f>
        <v>at market</v>
      </c>
    </row>
    <row r="463" spans="4:13" x14ac:dyDescent="0.25">
      <c r="D463" s="10" t="str" cm="1">
        <f t="array" ref="D463">Common_InputFunctions.Utility_DisplayArrayInTable(Scope3_SourceData.Scope3_Livestock_Data(), Table_SourceData_Scope3_Animals192[[#Headers],[Category]], 0, 2)</f>
        <v>Beef cattle</v>
      </c>
      <c r="E463" s="10" t="str" cm="1">
        <f t="array" ref="E463">Common_InputFunctions.Utility_DisplayArrayInTable(Scope3_SourceData.Scope3_Livestock_Data(), Table_SourceData_Scope3_Animals192[[#Headers],[Category]], 0, 2)</f>
        <v>Cattle, weaners</v>
      </c>
      <c r="F463" s="10" t="str" cm="1">
        <f t="array" ref="F463">Common_InputFunctions.Utility_DisplayArrayInTable(Scope3_SourceData.Scope3_Livestock_Data(), Table_SourceData_Scope3_Animals192[[#Headers],[Category]], 0, 2)</f>
        <v>SA</v>
      </c>
      <c r="G463" s="10" t="str" cm="1">
        <f t="array" ref="G463">Common_InputFunctions.Utility_DisplayArrayInTable(Scope3_SourceData.Scope3_Livestock_Data(), Table_SourceData_Scope3_Animals192[[#Headers],[Category]], 0, 2)</f>
        <v>kg liveweight</v>
      </c>
      <c r="H463" s="10" cm="1">
        <f t="array" ref="H463">Common_InputFunctions.Utility_DisplayArrayInTable(Scope3_SourceData.Scope3_Livestock_Data(), Table_SourceData_Scope3_Animals192[[#Headers],[Category]], 0, 2)</f>
        <v>10.8</v>
      </c>
      <c r="I463" s="10" t="str" cm="1">
        <f t="array" ref="I463">Common_InputFunctions.Utility_DisplayArrayInTable(Scope3_SourceData.Scope3_Livestock_Data(), Table_SourceData_Scope3_Animals192[[#Headers],[Category]], 0, 2)</f>
        <v>at market</v>
      </c>
    </row>
    <row r="464" spans="4:13" x14ac:dyDescent="0.25">
      <c r="D464" s="10" t="str" cm="1">
        <f t="array" ref="D464">Common_InputFunctions.Utility_DisplayArrayInTable(Scope3_SourceData.Scope3_Livestock_Data(), Table_SourceData_Scope3_Animals192[[#Headers],[Category]], 0, 2)</f>
        <v>Beef cattle</v>
      </c>
      <c r="E464" s="10" t="str" cm="1">
        <f t="array" ref="E464">Common_InputFunctions.Utility_DisplayArrayInTable(Scope3_SourceData.Scope3_Livestock_Data(), Table_SourceData_Scope3_Animals192[[#Headers],[Category]], 0, 2)</f>
        <v>Cattle, weaners</v>
      </c>
      <c r="F464" s="10" t="str" cm="1">
        <f t="array" ref="F464">Common_InputFunctions.Utility_DisplayArrayInTable(Scope3_SourceData.Scope3_Livestock_Data(), Table_SourceData_Scope3_Animals192[[#Headers],[Category]], 0, 2)</f>
        <v>TAS</v>
      </c>
      <c r="G464" s="10" t="str" cm="1">
        <f t="array" ref="G464">Common_InputFunctions.Utility_DisplayArrayInTable(Scope3_SourceData.Scope3_Livestock_Data(), Table_SourceData_Scope3_Animals192[[#Headers],[Category]], 0, 2)</f>
        <v>kg liveweight</v>
      </c>
      <c r="H464" s="10" cm="1">
        <f t="array" ref="H464">Common_InputFunctions.Utility_DisplayArrayInTable(Scope3_SourceData.Scope3_Livestock_Data(), Table_SourceData_Scope3_Animals192[[#Headers],[Category]], 0, 2)</f>
        <v>13.4</v>
      </c>
      <c r="I464" s="10" t="str" cm="1">
        <f t="array" ref="I464">Common_InputFunctions.Utility_DisplayArrayInTable(Scope3_SourceData.Scope3_Livestock_Data(), Table_SourceData_Scope3_Animals192[[#Headers],[Category]], 0, 2)</f>
        <v>at market</v>
      </c>
    </row>
    <row r="465" spans="4:9" x14ac:dyDescent="0.25">
      <c r="D465" s="10" t="str" cm="1">
        <f t="array" ref="D465">Common_InputFunctions.Utility_DisplayArrayInTable(Scope3_SourceData.Scope3_Livestock_Data(), Table_SourceData_Scope3_Animals192[[#Headers],[Category]], 0, 2)</f>
        <v>Beef cattle</v>
      </c>
      <c r="E465" s="10" t="str" cm="1">
        <f t="array" ref="E465">Common_InputFunctions.Utility_DisplayArrayInTable(Scope3_SourceData.Scope3_Livestock_Data(), Table_SourceData_Scope3_Animals192[[#Headers],[Category]], 0, 2)</f>
        <v>Cattle, weaners</v>
      </c>
      <c r="F465" s="10" t="str" cm="1">
        <f t="array" ref="F465">Common_InputFunctions.Utility_DisplayArrayInTable(Scope3_SourceData.Scope3_Livestock_Data(), Table_SourceData_Scope3_Animals192[[#Headers],[Category]], 0, 2)</f>
        <v>VIC</v>
      </c>
      <c r="G465" s="10" t="str" cm="1">
        <f t="array" ref="G465">Common_InputFunctions.Utility_DisplayArrayInTable(Scope3_SourceData.Scope3_Livestock_Data(), Table_SourceData_Scope3_Animals192[[#Headers],[Category]], 0, 2)</f>
        <v>kg liveweight</v>
      </c>
      <c r="H465" s="10" cm="1">
        <f t="array" ref="H465">Common_InputFunctions.Utility_DisplayArrayInTable(Scope3_SourceData.Scope3_Livestock_Data(), Table_SourceData_Scope3_Animals192[[#Headers],[Category]], 0, 2)</f>
        <v>12</v>
      </c>
      <c r="I465" s="10" t="str" cm="1">
        <f t="array" ref="I465">Common_InputFunctions.Utility_DisplayArrayInTable(Scope3_SourceData.Scope3_Livestock_Data(), Table_SourceData_Scope3_Animals192[[#Headers],[Category]], 0, 2)</f>
        <v>at market</v>
      </c>
    </row>
    <row r="466" spans="4:9" x14ac:dyDescent="0.25">
      <c r="D466" s="10" t="str" cm="1">
        <f t="array" ref="D466">Common_InputFunctions.Utility_DisplayArrayInTable(Scope3_SourceData.Scope3_Livestock_Data(), Table_SourceData_Scope3_Animals192[[#Headers],[Category]], 0, 2)</f>
        <v>Beef cattle</v>
      </c>
      <c r="E466" s="10" t="str" cm="1">
        <f t="array" ref="E466">Common_InputFunctions.Utility_DisplayArrayInTable(Scope3_SourceData.Scope3_Livestock_Data(), Table_SourceData_Scope3_Animals192[[#Headers],[Category]], 0, 2)</f>
        <v>Cattle, weaners</v>
      </c>
      <c r="F466" s="10" t="str" cm="1">
        <f t="array" ref="F466">Common_InputFunctions.Utility_DisplayArrayInTable(Scope3_SourceData.Scope3_Livestock_Data(), Table_SourceData_Scope3_Animals192[[#Headers],[Category]], 0, 2)</f>
        <v>WA</v>
      </c>
      <c r="G466" s="10" t="str" cm="1">
        <f t="array" ref="G466">Common_InputFunctions.Utility_DisplayArrayInTable(Scope3_SourceData.Scope3_Livestock_Data(), Table_SourceData_Scope3_Animals192[[#Headers],[Category]], 0, 2)</f>
        <v>kg liveweight</v>
      </c>
      <c r="H466" s="10" cm="1">
        <f t="array" ref="H466">Common_InputFunctions.Utility_DisplayArrayInTable(Scope3_SourceData.Scope3_Livestock_Data(), Table_SourceData_Scope3_Animals192[[#Headers],[Category]], 0, 2)</f>
        <v>12.4</v>
      </c>
      <c r="I466" s="10" t="str" cm="1">
        <f t="array" ref="I466">Common_InputFunctions.Utility_DisplayArrayInTable(Scope3_SourceData.Scope3_Livestock_Data(), Table_SourceData_Scope3_Animals192[[#Headers],[Category]], 0, 2)</f>
        <v>at market</v>
      </c>
    </row>
    <row r="467" spans="4:9" x14ac:dyDescent="0.25">
      <c r="D467" s="10" t="str" cm="1">
        <f t="array" ref="D467">Common_InputFunctions.Utility_DisplayArrayInTable(Scope3_SourceData.Scope3_Livestock_Data(), Table_SourceData_Scope3_Animals192[[#Headers],[Category]], 0, 2)</f>
        <v>Chickens</v>
      </c>
      <c r="E467" s="10" t="str" cm="1">
        <f t="array" ref="E467">Common_InputFunctions.Utility_DisplayArrayInTable(Scope3_SourceData.Scope3_Livestock_Data(), Table_SourceData_Scope3_Animals192[[#Headers],[Category]], 0, 2)</f>
        <v>Chickens</v>
      </c>
      <c r="F467" s="10" t="str" cm="1">
        <f t="array" ref="F467">Common_InputFunctions.Utility_DisplayArrayInTable(Scope3_SourceData.Scope3_Livestock_Data(), Table_SourceData_Scope3_Animals192[[#Headers],[Category]], 0, 2)</f>
        <v>Australia</v>
      </c>
      <c r="G467" s="10" t="str" cm="1">
        <f t="array" ref="G467">Common_InputFunctions.Utility_DisplayArrayInTable(Scope3_SourceData.Scope3_Livestock_Data(), Table_SourceData_Scope3_Animals192[[#Headers],[Category]], 0, 2)</f>
        <v>kg liveweight</v>
      </c>
      <c r="H467" s="10" cm="1">
        <f t="array" ref="H467">Common_InputFunctions.Utility_DisplayArrayInTable(Scope3_SourceData.Scope3_Livestock_Data(), Table_SourceData_Scope3_Animals192[[#Headers],[Category]], 0, 2)</f>
        <v>1.36</v>
      </c>
      <c r="I467" s="10" t="str" cm="1">
        <f t="array" ref="I467">Common_InputFunctions.Utility_DisplayArrayInTable(Scope3_SourceData.Scope3_Livestock_Data(), Table_SourceData_Scope3_Animals192[[#Headers],[Category]], 0, 2)</f>
        <v>at market</v>
      </c>
    </row>
    <row r="468" spans="4:9" x14ac:dyDescent="0.25">
      <c r="D468" s="10" t="str" cm="1">
        <f t="array" ref="D468">Common_InputFunctions.Utility_DisplayArrayInTable(Scope3_SourceData.Scope3_Livestock_Data(), Table_SourceData_Scope3_Animals192[[#Headers],[Category]], 0, 2)</f>
        <v>Dairy cattle</v>
      </c>
      <c r="E468" s="10" t="str" cm="1">
        <f t="array" ref="E468">Common_InputFunctions.Utility_DisplayArrayInTable(Scope3_SourceData.Scope3_Livestock_Data(), Table_SourceData_Scope3_Animals192[[#Headers],[Category]], 0, 2)</f>
        <v>Dairy cows</v>
      </c>
      <c r="F468" s="10" t="str" cm="1">
        <f t="array" ref="F468">Common_InputFunctions.Utility_DisplayArrayInTable(Scope3_SourceData.Scope3_Livestock_Data(), Table_SourceData_Scope3_Animals192[[#Headers],[Category]], 0, 2)</f>
        <v>VIC</v>
      </c>
      <c r="G468" s="10" t="str" cm="1">
        <f t="array" ref="G468">Common_InputFunctions.Utility_DisplayArrayInTable(Scope3_SourceData.Scope3_Livestock_Data(), Table_SourceData_Scope3_Animals192[[#Headers],[Category]], 0, 2)</f>
        <v>kg liveweight</v>
      </c>
      <c r="H468" s="10" cm="1">
        <f t="array" ref="H468">Common_InputFunctions.Utility_DisplayArrayInTable(Scope3_SourceData.Scope3_Livestock_Data(), Table_SourceData_Scope3_Animals192[[#Headers],[Category]], 0, 2)</f>
        <v>4.41</v>
      </c>
      <c r="I468" s="10" t="str" cm="1">
        <f t="array" ref="I468">Common_InputFunctions.Utility_DisplayArrayInTable(Scope3_SourceData.Scope3_Livestock_Data(), Table_SourceData_Scope3_Animals192[[#Headers],[Category]], 0, 2)</f>
        <v>at market</v>
      </c>
    </row>
    <row r="469" spans="4:9" x14ac:dyDescent="0.25">
      <c r="D469" s="10" t="str" cm="1">
        <f t="array" ref="D469">Common_InputFunctions.Utility_DisplayArrayInTable(Scope3_SourceData.Scope3_Livestock_Data(), Table_SourceData_Scope3_Animals192[[#Headers],[Category]], 0, 2)</f>
        <v>Pigs</v>
      </c>
      <c r="E469" s="10" t="str" cm="1">
        <f t="array" ref="E469">Common_InputFunctions.Utility_DisplayArrayInTable(Scope3_SourceData.Scope3_Livestock_Data(), Table_SourceData_Scope3_Animals192[[#Headers],[Category]], 0, 2)</f>
        <v>Pigs</v>
      </c>
      <c r="F469" s="10" t="str" cm="1">
        <f t="array" ref="F469">Common_InputFunctions.Utility_DisplayArrayInTable(Scope3_SourceData.Scope3_Livestock_Data(), Table_SourceData_Scope3_Animals192[[#Headers],[Category]], 0, 2)</f>
        <v>Australia</v>
      </c>
      <c r="G469" s="10" t="str" cm="1">
        <f t="array" ref="G469">Common_InputFunctions.Utility_DisplayArrayInTable(Scope3_SourceData.Scope3_Livestock_Data(), Table_SourceData_Scope3_Animals192[[#Headers],[Category]], 0, 2)</f>
        <v>kg liveweight</v>
      </c>
      <c r="H469" s="10" cm="1">
        <f t="array" ref="H469">Common_InputFunctions.Utility_DisplayArrayInTable(Scope3_SourceData.Scope3_Livestock_Data(), Table_SourceData_Scope3_Animals192[[#Headers],[Category]], 0, 2)</f>
        <v>3.38</v>
      </c>
      <c r="I469" s="10" t="str" cm="1">
        <f t="array" ref="I469">Common_InputFunctions.Utility_DisplayArrayInTable(Scope3_SourceData.Scope3_Livestock_Data(), Table_SourceData_Scope3_Animals192[[#Headers],[Category]], 0, 2)</f>
        <v>at market</v>
      </c>
    </row>
    <row r="470" spans="4:9" x14ac:dyDescent="0.25">
      <c r="D470" s="10" t="str" cm="1">
        <f t="array" ref="D470">Common_InputFunctions.Utility_DisplayArrayInTable(Scope3_SourceData.Scope3_Livestock_Data(), Table_SourceData_Scope3_Animals192[[#Headers],[Category]], 0, 2)</f>
        <v>Sheep</v>
      </c>
      <c r="E470" s="10" t="str" cm="1">
        <f t="array" ref="E470">Common_InputFunctions.Utility_DisplayArrayInTable(Scope3_SourceData.Scope3_Livestock_Data(), Table_SourceData_Scope3_Animals192[[#Headers],[Category]], 0, 2)</f>
        <v>Sheep, for mutton</v>
      </c>
      <c r="F470" s="10" t="str" cm="1">
        <f t="array" ref="F470">Common_InputFunctions.Utility_DisplayArrayInTable(Scope3_SourceData.Scope3_Livestock_Data(), Table_SourceData_Scope3_Animals192[[#Headers],[Category]], 0, 2)</f>
        <v>Australia</v>
      </c>
      <c r="G470" s="10" t="str" cm="1">
        <f t="array" ref="G470">Common_InputFunctions.Utility_DisplayArrayInTable(Scope3_SourceData.Scope3_Livestock_Data(), Table_SourceData_Scope3_Animals192[[#Headers],[Category]], 0, 2)</f>
        <v>kg liveweight</v>
      </c>
      <c r="H470" s="10" cm="1">
        <f t="array" ref="H470">Common_InputFunctions.Utility_DisplayArrayInTable(Scope3_SourceData.Scope3_Livestock_Data(), Table_SourceData_Scope3_Animals192[[#Headers],[Category]], 0, 2)</f>
        <v>6.81</v>
      </c>
      <c r="I470" s="10" t="str" cm="1">
        <f t="array" ref="I470">Common_InputFunctions.Utility_DisplayArrayInTable(Scope3_SourceData.Scope3_Livestock_Data(), Table_SourceData_Scope3_Animals192[[#Headers],[Category]], 0, 2)</f>
        <v>at market</v>
      </c>
    </row>
    <row r="471" spans="4:9" x14ac:dyDescent="0.25">
      <c r="D471" s="10" t="str" cm="1">
        <f t="array" ref="D471">Common_InputFunctions.Utility_DisplayArrayInTable(Scope3_SourceData.Scope3_Livestock_Data(), Table_SourceData_Scope3_Animals192[[#Headers],[Category]], 0, 2)</f>
        <v>Sheep</v>
      </c>
      <c r="E471" s="10" t="str" cm="1">
        <f t="array" ref="E471">Common_InputFunctions.Utility_DisplayArrayInTable(Scope3_SourceData.Scope3_Livestock_Data(), Table_SourceData_Scope3_Animals192[[#Headers],[Category]], 0, 2)</f>
        <v>Sheep, for mutton</v>
      </c>
      <c r="F471" s="10" t="str" cm="1">
        <f t="array" ref="F471">Common_InputFunctions.Utility_DisplayArrayInTable(Scope3_SourceData.Scope3_Livestock_Data(), Table_SourceData_Scope3_Animals192[[#Headers],[Category]], 0, 2)</f>
        <v>NSW</v>
      </c>
      <c r="G471" s="10" t="str" cm="1">
        <f t="array" ref="G471">Common_InputFunctions.Utility_DisplayArrayInTable(Scope3_SourceData.Scope3_Livestock_Data(), Table_SourceData_Scope3_Animals192[[#Headers],[Category]], 0, 2)</f>
        <v>kg liveweight</v>
      </c>
      <c r="H471" s="10" cm="1">
        <f t="array" ref="H471">Common_InputFunctions.Utility_DisplayArrayInTable(Scope3_SourceData.Scope3_Livestock_Data(), Table_SourceData_Scope3_Animals192[[#Headers],[Category]], 0, 2)</f>
        <v>2.2599999999999998</v>
      </c>
      <c r="I471" s="10" t="str" cm="1">
        <f t="array" ref="I471">Common_InputFunctions.Utility_DisplayArrayInTable(Scope3_SourceData.Scope3_Livestock_Data(), Table_SourceData_Scope3_Animals192[[#Headers],[Category]], 0, 2)</f>
        <v>at market</v>
      </c>
    </row>
    <row r="472" spans="4:9" x14ac:dyDescent="0.25">
      <c r="D472" s="10" t="str" cm="1">
        <f t="array" ref="D472">Common_InputFunctions.Utility_DisplayArrayInTable(Scope3_SourceData.Scope3_Livestock_Data(), Table_SourceData_Scope3_Animals192[[#Headers],[Category]], 0, 2)</f>
        <v>Sheep</v>
      </c>
      <c r="E472" s="10" t="str" cm="1">
        <f t="array" ref="E472">Common_InputFunctions.Utility_DisplayArrayInTable(Scope3_SourceData.Scope3_Livestock_Data(), Table_SourceData_Scope3_Animals192[[#Headers],[Category]], 0, 2)</f>
        <v>Sheep, for mutton</v>
      </c>
      <c r="F472" s="10" t="str" cm="1">
        <f t="array" ref="F472">Common_InputFunctions.Utility_DisplayArrayInTable(Scope3_SourceData.Scope3_Livestock_Data(), Table_SourceData_Scope3_Animals192[[#Headers],[Category]], 0, 2)</f>
        <v>QLD</v>
      </c>
      <c r="G472" s="10" t="str" cm="1">
        <f t="array" ref="G472">Common_InputFunctions.Utility_DisplayArrayInTable(Scope3_SourceData.Scope3_Livestock_Data(), Table_SourceData_Scope3_Animals192[[#Headers],[Category]], 0, 2)</f>
        <v>kg liveweight</v>
      </c>
      <c r="H472" s="10" cm="1">
        <f t="array" ref="H472">Common_InputFunctions.Utility_DisplayArrayInTable(Scope3_SourceData.Scope3_Livestock_Data(), Table_SourceData_Scope3_Animals192[[#Headers],[Category]], 0, 2)</f>
        <v>6.33</v>
      </c>
      <c r="I472" s="10" t="str" cm="1">
        <f t="array" ref="I472">Common_InputFunctions.Utility_DisplayArrayInTable(Scope3_SourceData.Scope3_Livestock_Data(), Table_SourceData_Scope3_Animals192[[#Headers],[Category]], 0, 2)</f>
        <v>at market</v>
      </c>
    </row>
    <row r="473" spans="4:9" x14ac:dyDescent="0.25">
      <c r="D473" s="10" t="str" cm="1">
        <f t="array" ref="D473">Common_InputFunctions.Utility_DisplayArrayInTable(Scope3_SourceData.Scope3_Livestock_Data(), Table_SourceData_Scope3_Animals192[[#Headers],[Category]], 0, 2)</f>
        <v>Sheep</v>
      </c>
      <c r="E473" s="10" t="str" cm="1">
        <f t="array" ref="E473">Common_InputFunctions.Utility_DisplayArrayInTable(Scope3_SourceData.Scope3_Livestock_Data(), Table_SourceData_Scope3_Animals192[[#Headers],[Category]], 0, 2)</f>
        <v>Sheep, for mutton</v>
      </c>
      <c r="F473" s="10" t="str" cm="1">
        <f t="array" ref="F473">Common_InputFunctions.Utility_DisplayArrayInTable(Scope3_SourceData.Scope3_Livestock_Data(), Table_SourceData_Scope3_Animals192[[#Headers],[Category]], 0, 2)</f>
        <v>SA</v>
      </c>
      <c r="G473" s="10" t="str" cm="1">
        <f t="array" ref="G473">Common_InputFunctions.Utility_DisplayArrayInTable(Scope3_SourceData.Scope3_Livestock_Data(), Table_SourceData_Scope3_Animals192[[#Headers],[Category]], 0, 2)</f>
        <v>kg liveweight</v>
      </c>
      <c r="H473" s="10" cm="1">
        <f t="array" ref="H473">Common_InputFunctions.Utility_DisplayArrayInTable(Scope3_SourceData.Scope3_Livestock_Data(), Table_SourceData_Scope3_Animals192[[#Headers],[Category]], 0, 2)</f>
        <v>6.18</v>
      </c>
      <c r="I473" s="10" t="str" cm="1">
        <f t="array" ref="I473">Common_InputFunctions.Utility_DisplayArrayInTable(Scope3_SourceData.Scope3_Livestock_Data(), Table_SourceData_Scope3_Animals192[[#Headers],[Category]], 0, 2)</f>
        <v>at market</v>
      </c>
    </row>
    <row r="474" spans="4:9" x14ac:dyDescent="0.25">
      <c r="D474" s="10" t="str" cm="1">
        <f t="array" ref="D474">Common_InputFunctions.Utility_DisplayArrayInTable(Scope3_SourceData.Scope3_Livestock_Data(), Table_SourceData_Scope3_Animals192[[#Headers],[Category]], 0, 2)</f>
        <v>Sheep</v>
      </c>
      <c r="E474" s="10" t="str" cm="1">
        <f t="array" ref="E474">Common_InputFunctions.Utility_DisplayArrayInTable(Scope3_SourceData.Scope3_Livestock_Data(), Table_SourceData_Scope3_Animals192[[#Headers],[Category]], 0, 2)</f>
        <v>Sheep, for mutton</v>
      </c>
      <c r="F474" s="10" t="str" cm="1">
        <f t="array" ref="F474">Common_InputFunctions.Utility_DisplayArrayInTable(Scope3_SourceData.Scope3_Livestock_Data(), Table_SourceData_Scope3_Animals192[[#Headers],[Category]], 0, 2)</f>
        <v>TAS</v>
      </c>
      <c r="G474" s="10" t="str" cm="1">
        <f t="array" ref="G474">Common_InputFunctions.Utility_DisplayArrayInTable(Scope3_SourceData.Scope3_Livestock_Data(), Table_SourceData_Scope3_Animals192[[#Headers],[Category]], 0, 2)</f>
        <v>kg liveweight</v>
      </c>
      <c r="H474" s="10" cm="1">
        <f t="array" ref="H474">Common_InputFunctions.Utility_DisplayArrayInTable(Scope3_SourceData.Scope3_Livestock_Data(), Table_SourceData_Scope3_Animals192[[#Headers],[Category]], 0, 2)</f>
        <v>7.5</v>
      </c>
      <c r="I474" s="10" t="str" cm="1">
        <f t="array" ref="I474">Common_InputFunctions.Utility_DisplayArrayInTable(Scope3_SourceData.Scope3_Livestock_Data(), Table_SourceData_Scope3_Animals192[[#Headers],[Category]], 0, 2)</f>
        <v>at market</v>
      </c>
    </row>
    <row r="475" spans="4:9" x14ac:dyDescent="0.25">
      <c r="D475" s="10" t="str" cm="1">
        <f t="array" ref="D475">Common_InputFunctions.Utility_DisplayArrayInTable(Scope3_SourceData.Scope3_Livestock_Data(), Table_SourceData_Scope3_Animals192[[#Headers],[Category]], 0, 2)</f>
        <v>Sheep</v>
      </c>
      <c r="E475" s="10" t="str" cm="1">
        <f t="array" ref="E475">Common_InputFunctions.Utility_DisplayArrayInTable(Scope3_SourceData.Scope3_Livestock_Data(), Table_SourceData_Scope3_Animals192[[#Headers],[Category]], 0, 2)</f>
        <v>Sheep, for mutton</v>
      </c>
      <c r="F475" s="10" t="str" cm="1">
        <f t="array" ref="F475">Common_InputFunctions.Utility_DisplayArrayInTable(Scope3_SourceData.Scope3_Livestock_Data(), Table_SourceData_Scope3_Animals192[[#Headers],[Category]], 0, 2)</f>
        <v>VIC</v>
      </c>
      <c r="G475" s="10" t="str" cm="1">
        <f t="array" ref="G475">Common_InputFunctions.Utility_DisplayArrayInTable(Scope3_SourceData.Scope3_Livestock_Data(), Table_SourceData_Scope3_Animals192[[#Headers],[Category]], 0, 2)</f>
        <v>kg liveweight</v>
      </c>
      <c r="H475" s="10" cm="1">
        <f t="array" ref="H475">Common_InputFunctions.Utility_DisplayArrayInTable(Scope3_SourceData.Scope3_Livestock_Data(), Table_SourceData_Scope3_Animals192[[#Headers],[Category]], 0, 2)</f>
        <v>8.08</v>
      </c>
      <c r="I475" s="10" t="str" cm="1">
        <f t="array" ref="I475">Common_InputFunctions.Utility_DisplayArrayInTable(Scope3_SourceData.Scope3_Livestock_Data(), Table_SourceData_Scope3_Animals192[[#Headers],[Category]], 0, 2)</f>
        <v>at market</v>
      </c>
    </row>
    <row r="476" spans="4:9" x14ac:dyDescent="0.25">
      <c r="D476" s="10" t="str" cm="1">
        <f t="array" ref="D476">Common_InputFunctions.Utility_DisplayArrayInTable(Scope3_SourceData.Scope3_Livestock_Data(), Table_SourceData_Scope3_Animals192[[#Headers],[Category]], 0, 2)</f>
        <v>Sheep</v>
      </c>
      <c r="E476" s="10" t="str" cm="1">
        <f t="array" ref="E476">Common_InputFunctions.Utility_DisplayArrayInTable(Scope3_SourceData.Scope3_Livestock_Data(), Table_SourceData_Scope3_Animals192[[#Headers],[Category]], 0, 2)</f>
        <v>Sheep, for mutton</v>
      </c>
      <c r="F476" s="10" t="str" cm="1">
        <f t="array" ref="F476">Common_InputFunctions.Utility_DisplayArrayInTable(Scope3_SourceData.Scope3_Livestock_Data(), Table_SourceData_Scope3_Animals192[[#Headers],[Category]], 0, 2)</f>
        <v>WA</v>
      </c>
      <c r="G476" s="10" t="str" cm="1">
        <f t="array" ref="G476">Common_InputFunctions.Utility_DisplayArrayInTable(Scope3_SourceData.Scope3_Livestock_Data(), Table_SourceData_Scope3_Animals192[[#Headers],[Category]], 0, 2)</f>
        <v>kg liveweight</v>
      </c>
      <c r="H476" s="10" cm="1">
        <f t="array" ref="H476">Common_InputFunctions.Utility_DisplayArrayInTable(Scope3_SourceData.Scope3_Livestock_Data(), Table_SourceData_Scope3_Animals192[[#Headers],[Category]], 0, 2)</f>
        <v>5.45</v>
      </c>
      <c r="I476" s="10" t="str" cm="1">
        <f t="array" ref="I476">Common_InputFunctions.Utility_DisplayArrayInTable(Scope3_SourceData.Scope3_Livestock_Data(), Table_SourceData_Scope3_Animals192[[#Headers],[Category]], 0, 2)</f>
        <v>at market</v>
      </c>
    </row>
    <row r="477" spans="4:9" x14ac:dyDescent="0.25">
      <c r="D477" s="10" t="str" cm="1">
        <f t="array" ref="D477">Common_InputFunctions.Utility_DisplayArrayInTable(Scope3_SourceData.Scope3_Livestock_Data(), Table_SourceData_Scope3_Animals192[[#Headers],[Category]], 0, 2)</f>
        <v>Sheep</v>
      </c>
      <c r="E477" s="10" t="str" cm="1">
        <f t="array" ref="E477">Common_InputFunctions.Utility_DisplayArrayInTable(Scope3_SourceData.Scope3_Livestock_Data(), Table_SourceData_Scope3_Animals192[[#Headers],[Category]], 0, 2)</f>
        <v>Sheep, for prime lamb</v>
      </c>
      <c r="F477" s="10" t="str" cm="1">
        <f t="array" ref="F477">Common_InputFunctions.Utility_DisplayArrayInTable(Scope3_SourceData.Scope3_Livestock_Data(), Table_SourceData_Scope3_Animals192[[#Headers],[Category]], 0, 2)</f>
        <v>Australia</v>
      </c>
      <c r="G477" s="10" t="str" cm="1">
        <f t="array" ref="G477">Common_InputFunctions.Utility_DisplayArrayInTable(Scope3_SourceData.Scope3_Livestock_Data(), Table_SourceData_Scope3_Animals192[[#Headers],[Category]], 0, 2)</f>
        <v>kg liveweight</v>
      </c>
      <c r="H477" s="10" cm="1">
        <f t="array" ref="H477">Common_InputFunctions.Utility_DisplayArrayInTable(Scope3_SourceData.Scope3_Livestock_Data(), Table_SourceData_Scope3_Animals192[[#Headers],[Category]], 0, 2)</f>
        <v>7.15</v>
      </c>
      <c r="I477" s="10" t="str" cm="1">
        <f t="array" ref="I477">Common_InputFunctions.Utility_DisplayArrayInTable(Scope3_SourceData.Scope3_Livestock_Data(), Table_SourceData_Scope3_Animals192[[#Headers],[Category]], 0, 2)</f>
        <v>at market</v>
      </c>
    </row>
    <row r="478" spans="4:9" x14ac:dyDescent="0.25">
      <c r="D478" s="10" t="str" cm="1">
        <f t="array" ref="D478">Common_InputFunctions.Utility_DisplayArrayInTable(Scope3_SourceData.Scope3_Livestock_Data(), Table_SourceData_Scope3_Animals192[[#Headers],[Category]], 0, 2)</f>
        <v>Sheep</v>
      </c>
      <c r="E478" s="10" t="str" cm="1">
        <f t="array" ref="E478">Common_InputFunctions.Utility_DisplayArrayInTable(Scope3_SourceData.Scope3_Livestock_Data(), Table_SourceData_Scope3_Animals192[[#Headers],[Category]], 0, 2)</f>
        <v>Sheep, for prime lamb</v>
      </c>
      <c r="F478" s="10" t="str" cm="1">
        <f t="array" ref="F478">Common_InputFunctions.Utility_DisplayArrayInTable(Scope3_SourceData.Scope3_Livestock_Data(), Table_SourceData_Scope3_Animals192[[#Headers],[Category]], 0, 2)</f>
        <v>NSW</v>
      </c>
      <c r="G478" s="10" t="str" cm="1">
        <f t="array" ref="G478">Common_InputFunctions.Utility_DisplayArrayInTable(Scope3_SourceData.Scope3_Livestock_Data(), Table_SourceData_Scope3_Animals192[[#Headers],[Category]], 0, 2)</f>
        <v>kg liveweight</v>
      </c>
      <c r="H478" s="10" cm="1">
        <f t="array" ref="H478">Common_InputFunctions.Utility_DisplayArrayInTable(Scope3_SourceData.Scope3_Livestock_Data(), Table_SourceData_Scope3_Animals192[[#Headers],[Category]], 0, 2)</f>
        <v>8.2899999999999991</v>
      </c>
      <c r="I478" s="10" t="str" cm="1">
        <f t="array" ref="I478">Common_InputFunctions.Utility_DisplayArrayInTable(Scope3_SourceData.Scope3_Livestock_Data(), Table_SourceData_Scope3_Animals192[[#Headers],[Category]], 0, 2)</f>
        <v>at market</v>
      </c>
    </row>
    <row r="479" spans="4:9" x14ac:dyDescent="0.25">
      <c r="D479" s="10" t="str" cm="1">
        <f t="array" ref="D479">Common_InputFunctions.Utility_DisplayArrayInTable(Scope3_SourceData.Scope3_Livestock_Data(), Table_SourceData_Scope3_Animals192[[#Headers],[Category]], 0, 2)</f>
        <v>Sheep</v>
      </c>
      <c r="E479" s="10" t="str" cm="1">
        <f t="array" ref="E479">Common_InputFunctions.Utility_DisplayArrayInTable(Scope3_SourceData.Scope3_Livestock_Data(), Table_SourceData_Scope3_Animals192[[#Headers],[Category]], 0, 2)</f>
        <v>Sheep, for prime lamb</v>
      </c>
      <c r="F479" s="10" t="str" cm="1">
        <f t="array" ref="F479">Common_InputFunctions.Utility_DisplayArrayInTable(Scope3_SourceData.Scope3_Livestock_Data(), Table_SourceData_Scope3_Animals192[[#Headers],[Category]], 0, 2)</f>
        <v>QLD</v>
      </c>
      <c r="G479" s="10" t="str" cm="1">
        <f t="array" ref="G479">Common_InputFunctions.Utility_DisplayArrayInTable(Scope3_SourceData.Scope3_Livestock_Data(), Table_SourceData_Scope3_Animals192[[#Headers],[Category]], 0, 2)</f>
        <v>kg liveweight</v>
      </c>
      <c r="H479" s="10" cm="1">
        <f t="array" ref="H479">Common_InputFunctions.Utility_DisplayArrayInTable(Scope3_SourceData.Scope3_Livestock_Data(), Table_SourceData_Scope3_Animals192[[#Headers],[Category]], 0, 2)</f>
        <v>6.39</v>
      </c>
      <c r="I479" s="10" t="str" cm="1">
        <f t="array" ref="I479">Common_InputFunctions.Utility_DisplayArrayInTable(Scope3_SourceData.Scope3_Livestock_Data(), Table_SourceData_Scope3_Animals192[[#Headers],[Category]], 0, 2)</f>
        <v>at market</v>
      </c>
    </row>
    <row r="480" spans="4:9" x14ac:dyDescent="0.25">
      <c r="D480" s="10" t="str" cm="1">
        <f t="array" ref="D480">Common_InputFunctions.Utility_DisplayArrayInTable(Scope3_SourceData.Scope3_Livestock_Data(), Table_SourceData_Scope3_Animals192[[#Headers],[Category]], 0, 2)</f>
        <v>Sheep</v>
      </c>
      <c r="E480" s="10" t="str" cm="1">
        <f t="array" ref="E480">Common_InputFunctions.Utility_DisplayArrayInTable(Scope3_SourceData.Scope3_Livestock_Data(), Table_SourceData_Scope3_Animals192[[#Headers],[Category]], 0, 2)</f>
        <v>Sheep, for prime lamb</v>
      </c>
      <c r="F480" s="10" t="str" cm="1">
        <f t="array" ref="F480">Common_InputFunctions.Utility_DisplayArrayInTable(Scope3_SourceData.Scope3_Livestock_Data(), Table_SourceData_Scope3_Animals192[[#Headers],[Category]], 0, 2)</f>
        <v>SA</v>
      </c>
      <c r="G480" s="10" t="str" cm="1">
        <f t="array" ref="G480">Common_InputFunctions.Utility_DisplayArrayInTable(Scope3_SourceData.Scope3_Livestock_Data(), Table_SourceData_Scope3_Animals192[[#Headers],[Category]], 0, 2)</f>
        <v>kg liveweight</v>
      </c>
      <c r="H480" s="10" cm="1">
        <f t="array" ref="H480">Common_InputFunctions.Utility_DisplayArrayInTable(Scope3_SourceData.Scope3_Livestock_Data(), Table_SourceData_Scope3_Animals192[[#Headers],[Category]], 0, 2)</f>
        <v>6.87</v>
      </c>
      <c r="I480" s="10" t="str" cm="1">
        <f t="array" ref="I480">Common_InputFunctions.Utility_DisplayArrayInTable(Scope3_SourceData.Scope3_Livestock_Data(), Table_SourceData_Scope3_Animals192[[#Headers],[Category]], 0, 2)</f>
        <v>at market</v>
      </c>
    </row>
    <row r="481" spans="4:9" x14ac:dyDescent="0.25">
      <c r="D481" s="10" t="str" cm="1">
        <f t="array" ref="D481">Common_InputFunctions.Utility_DisplayArrayInTable(Scope3_SourceData.Scope3_Livestock_Data(), Table_SourceData_Scope3_Animals192[[#Headers],[Category]], 0, 2)</f>
        <v>Sheep</v>
      </c>
      <c r="E481" s="10" t="str" cm="1">
        <f t="array" ref="E481">Common_InputFunctions.Utility_DisplayArrayInTable(Scope3_SourceData.Scope3_Livestock_Data(), Table_SourceData_Scope3_Animals192[[#Headers],[Category]], 0, 2)</f>
        <v>Sheep, for prime lamb</v>
      </c>
      <c r="F481" s="10" t="str" cm="1">
        <f t="array" ref="F481">Common_InputFunctions.Utility_DisplayArrayInTable(Scope3_SourceData.Scope3_Livestock_Data(), Table_SourceData_Scope3_Animals192[[#Headers],[Category]], 0, 2)</f>
        <v>TAS</v>
      </c>
      <c r="G481" s="10" t="str" cm="1">
        <f t="array" ref="G481">Common_InputFunctions.Utility_DisplayArrayInTable(Scope3_SourceData.Scope3_Livestock_Data(), Table_SourceData_Scope3_Animals192[[#Headers],[Category]], 0, 2)</f>
        <v>kg liveweight</v>
      </c>
      <c r="H481" s="10" cm="1">
        <f t="array" ref="H481">Common_InputFunctions.Utility_DisplayArrayInTable(Scope3_SourceData.Scope3_Livestock_Data(), Table_SourceData_Scope3_Animals192[[#Headers],[Category]], 0, 2)</f>
        <v>8.66</v>
      </c>
      <c r="I481" s="10" t="str" cm="1">
        <f t="array" ref="I481">Common_InputFunctions.Utility_DisplayArrayInTable(Scope3_SourceData.Scope3_Livestock_Data(), Table_SourceData_Scope3_Animals192[[#Headers],[Category]], 0, 2)</f>
        <v>at market</v>
      </c>
    </row>
    <row r="482" spans="4:9" x14ac:dyDescent="0.25">
      <c r="D482" s="10" t="str" cm="1">
        <f t="array" ref="D482">Common_InputFunctions.Utility_DisplayArrayInTable(Scope3_SourceData.Scope3_Livestock_Data(), Table_SourceData_Scope3_Animals192[[#Headers],[Category]], 0, 2)</f>
        <v>Sheep</v>
      </c>
      <c r="E482" s="10" t="str" cm="1">
        <f t="array" ref="E482">Common_InputFunctions.Utility_DisplayArrayInTable(Scope3_SourceData.Scope3_Livestock_Data(), Table_SourceData_Scope3_Animals192[[#Headers],[Category]], 0, 2)</f>
        <v>Sheep, for prime lamb</v>
      </c>
      <c r="F482" s="10" t="str" cm="1">
        <f t="array" ref="F482">Common_InputFunctions.Utility_DisplayArrayInTable(Scope3_SourceData.Scope3_Livestock_Data(), Table_SourceData_Scope3_Animals192[[#Headers],[Category]], 0, 2)</f>
        <v>VIC</v>
      </c>
      <c r="G482" s="10" t="str" cm="1">
        <f t="array" ref="G482">Common_InputFunctions.Utility_DisplayArrayInTable(Scope3_SourceData.Scope3_Livestock_Data(), Table_SourceData_Scope3_Animals192[[#Headers],[Category]], 0, 2)</f>
        <v>kg liveweight</v>
      </c>
      <c r="H482" s="10" cm="1">
        <f t="array" ref="H482">Common_InputFunctions.Utility_DisplayArrayInTable(Scope3_SourceData.Scope3_Livestock_Data(), Table_SourceData_Scope3_Animals192[[#Headers],[Category]], 0, 2)</f>
        <v>10</v>
      </c>
      <c r="I482" s="10" t="str" cm="1">
        <f t="array" ref="I482">Common_InputFunctions.Utility_DisplayArrayInTable(Scope3_SourceData.Scope3_Livestock_Data(), Table_SourceData_Scope3_Animals192[[#Headers],[Category]], 0, 2)</f>
        <v>at market</v>
      </c>
    </row>
    <row r="483" spans="4:9" x14ac:dyDescent="0.25">
      <c r="D483" s="10" t="str" cm="1">
        <f t="array" ref="D483">Common_InputFunctions.Utility_DisplayArrayInTable(Scope3_SourceData.Scope3_Livestock_Data(), Table_SourceData_Scope3_Animals192[[#Headers],[Category]], 0, 2)</f>
        <v>Sheep</v>
      </c>
      <c r="E483" s="10" t="str" cm="1">
        <f t="array" ref="E483">Common_InputFunctions.Utility_DisplayArrayInTable(Scope3_SourceData.Scope3_Livestock_Data(), Table_SourceData_Scope3_Animals192[[#Headers],[Category]], 0, 2)</f>
        <v>Sheep, for prime lamb</v>
      </c>
      <c r="F483" s="10" t="str" cm="1">
        <f t="array" ref="F483">Common_InputFunctions.Utility_DisplayArrayInTable(Scope3_SourceData.Scope3_Livestock_Data(), Table_SourceData_Scope3_Animals192[[#Headers],[Category]], 0, 2)</f>
        <v>WA</v>
      </c>
      <c r="G483" s="10" t="str" cm="1">
        <f t="array" ref="G483">Common_InputFunctions.Utility_DisplayArrayInTable(Scope3_SourceData.Scope3_Livestock_Data(), Table_SourceData_Scope3_Animals192[[#Headers],[Category]], 0, 2)</f>
        <v>kg liveweight</v>
      </c>
      <c r="H483" s="10" cm="1">
        <f t="array" ref="H483">Common_InputFunctions.Utility_DisplayArrayInTable(Scope3_SourceData.Scope3_Livestock_Data(), Table_SourceData_Scope3_Animals192[[#Headers],[Category]], 0, 2)</f>
        <v>5.67</v>
      </c>
      <c r="I483" s="10" t="str" cm="1">
        <f t="array" ref="I483">Common_InputFunctions.Utility_DisplayArrayInTable(Scope3_SourceData.Scope3_Livestock_Data(), Table_SourceData_Scope3_Animals192[[#Headers],[Category]],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A2243-52C9-4B0B-8D59-6CB40CEDEBF9}">
  <dimension ref="A1:M160"/>
  <sheetViews>
    <sheetView showGridLines="0" topLeftCell="A10" zoomScaleNormal="100" workbookViewId="0">
      <selection activeCell="A45" sqref="A45"/>
    </sheetView>
  </sheetViews>
  <sheetFormatPr defaultRowHeight="15.75" x14ac:dyDescent="0.25"/>
  <cols>
    <col min="1" max="1" width="26.875" style="3" customWidth="1"/>
    <col min="2" max="2" width="4.125" style="3" customWidth="1"/>
    <col min="3" max="3" width="4.125" style="8" customWidth="1"/>
    <col min="4" max="8" width="26.875" style="8" customWidth="1"/>
    <col min="9" max="9" width="27" style="8" customWidth="1"/>
    <col min="10" max="13" width="26.875" style="8" customWidth="1"/>
    <col min="14" max="16" width="26.875" style="3" customWidth="1"/>
    <col min="17" max="16384" width="9" style="3"/>
  </cols>
  <sheetData>
    <row r="1" spans="1:13" ht="30" customHeight="1" x14ac:dyDescent="0.35">
      <c r="A1" s="37" t="e" vm="1">
        <v>#VALUE!</v>
      </c>
      <c r="C1" s="1" t="s">
        <v>969</v>
      </c>
      <c r="D1" s="1"/>
      <c r="E1" s="1"/>
      <c r="F1" s="1"/>
      <c r="G1" s="1"/>
      <c r="H1" s="1"/>
      <c r="I1" s="1"/>
      <c r="J1" s="1"/>
      <c r="K1" s="1"/>
      <c r="L1" s="1"/>
      <c r="M1" s="1"/>
    </row>
    <row r="2" spans="1:13" ht="20.100000000000001" customHeight="1" x14ac:dyDescent="0.25">
      <c r="A2"/>
      <c r="C2" s="2"/>
      <c r="D2" s="2"/>
      <c r="E2" s="2"/>
      <c r="F2" s="2"/>
      <c r="G2" s="2"/>
      <c r="H2" s="2"/>
      <c r="I2" s="2"/>
      <c r="J2" s="2"/>
      <c r="K2" s="2"/>
      <c r="L2" s="2"/>
      <c r="M2" s="2"/>
    </row>
    <row r="3" spans="1:13" ht="20.100000000000001" customHeight="1" x14ac:dyDescent="0.25">
      <c r="A3" s="16" t="str">
        <f>HYPERLINK("#'Overview'!A1", "Overview")</f>
        <v>Overview</v>
      </c>
      <c r="C3" s="5"/>
      <c r="D3" s="5"/>
      <c r="E3" s="5"/>
      <c r="F3" s="5"/>
      <c r="G3" s="5"/>
      <c r="H3" s="5"/>
      <c r="I3" s="5"/>
      <c r="J3" s="5"/>
      <c r="K3" s="5"/>
      <c r="L3" s="5"/>
      <c r="M3" s="5"/>
    </row>
    <row r="4" spans="1:13" ht="20.100000000000001" customHeight="1" x14ac:dyDescent="0.25">
      <c r="A4" s="16" t="str">
        <f>HYPERLINK("#'Results'!A1", "Results")</f>
        <v>Results</v>
      </c>
    </row>
    <row r="5" spans="1:13" ht="20.100000000000001" customHeight="1" x14ac:dyDescent="0.25">
      <c r="A5"/>
    </row>
    <row r="6" spans="1:13" ht="20.100000000000001" customHeight="1" x14ac:dyDescent="0.25">
      <c r="A6"/>
      <c r="D6" s="9" t="str" cm="1">
        <f t="array" ref="D6">CommonLivestock_SourceData.SourceData_Livestock_Common_SymbolsMMS_Title()</f>
        <v>Table 5.12 Additional symbols used in algorithms for manure related emissions</v>
      </c>
      <c r="E6" s="7"/>
      <c r="F6" s="7"/>
      <c r="G6" s="7"/>
      <c r="H6" s="7"/>
    </row>
    <row r="7" spans="1:13" ht="20.100000000000001" customHeight="1" x14ac:dyDescent="0.25">
      <c r="A7" s="19" t="s">
        <v>67</v>
      </c>
      <c r="D7" s="7" t="str" cm="1">
        <f t="array" ref="D7">CommonLivestock_SourceData.SourceData_Livestock_Common_SymbolsMMS_Vairable()</f>
        <v>MMS</v>
      </c>
      <c r="E7" s="7"/>
      <c r="F7" s="7"/>
      <c r="G7" s="7"/>
      <c r="H7" s="7"/>
    </row>
    <row r="8" spans="1:13" ht="20.100000000000001" customHeight="1" x14ac:dyDescent="0.25">
      <c r="A8" s="16" t="str">
        <f>HYPERLINK("#'Input - Site'!A1", "Site")</f>
        <v>Site</v>
      </c>
      <c r="D8" s="11" t="str" cm="1">
        <f t="array" ref="D8">CommonLivestock_SourceData.SourceData_Livestock_Common_SymbolsMMS_Source()</f>
        <v>National Inventory Report 2023 Volume 1: Table 5.12</v>
      </c>
      <c r="E8" s="7"/>
      <c r="F8" s="7"/>
      <c r="G8" s="7"/>
      <c r="H8" s="7"/>
    </row>
    <row r="9" spans="1:13" ht="20.100000000000001" customHeight="1" x14ac:dyDescent="0.25">
      <c r="A9" s="16" t="str">
        <f>HYPERLINK("#'Input - Fuel'!A1", "Fuel")</f>
        <v>Fuel</v>
      </c>
      <c r="D9" s="15" t="s">
        <v>316</v>
      </c>
      <c r="E9" s="10" t="s">
        <v>317</v>
      </c>
      <c r="F9" s="10" t="s">
        <v>318</v>
      </c>
      <c r="G9" s="7"/>
    </row>
    <row r="10" spans="1:13" ht="20.100000000000001" customHeight="1" x14ac:dyDescent="0.25">
      <c r="A10" s="16" t="str">
        <f>HYPERLINK("#'Input - Fertiliser'!A1", "Fertiliser")</f>
        <v>Fertiliser</v>
      </c>
      <c r="D10" s="15" t="str" cm="1">
        <f t="array" ref="D10">Common_InputFunctions.Utility_DisplayArrayInTable(CommonLivestock_SourceData.SourceData_Livestock_Common_SymbolsMMS_Data(), Table_Data_MMSSymbols[[#Headers],[Symbol]], 0)</f>
        <v>1</v>
      </c>
      <c r="E10" s="15" t="str" cm="1">
        <f t="array" ref="E10">Common_InputFunctions.Utility_DisplayArrayInTable(CommonLivestock_SourceData.SourceData_Livestock_Common_SymbolsMMS_Data(), Table_Data_MMSSymbols[[#Headers],[Symbol]], 0)</f>
        <v>Anaerobic lagoon</v>
      </c>
      <c r="F10" s="15" t="str" cm="1">
        <f t="array" ref="F10">Common_InputFunctions.Utility_DisplayArrayInTable(CommonLivestock_SourceData.SourceData_Livestock_Common_SymbolsMMS_Data(), Table_Data_MMSSymbols[[#Headers],[Symbol]], 0)</f>
        <v>Anaerobic lagoon (m=1)</v>
      </c>
      <c r="G10" s="7"/>
    </row>
    <row r="11" spans="1:13" ht="20.100000000000001" customHeight="1" x14ac:dyDescent="0.25">
      <c r="A11" s="16" t="str">
        <f>HYPERLINK("#'Input - Common farm inputs'!A1", "Common farm inputs")</f>
        <v>Common farm inputs</v>
      </c>
      <c r="D11" s="15" t="str" cm="1">
        <f t="array" ref="D11">Common_InputFunctions.Utility_DisplayArrayInTable(CommonLivestock_SourceData.SourceData_Livestock_Common_SymbolsMMS_Data(), Table_Data_MMSSymbols[[#Headers],[Symbol]], 0)</f>
        <v>2</v>
      </c>
      <c r="E11" s="15" t="str" cm="1">
        <f t="array" ref="E11">Common_InputFunctions.Utility_DisplayArrayInTable(CommonLivestock_SourceData.SourceData_Livestock_Common_SymbolsMMS_Data(), Table_Data_MMSSymbols[[#Headers],[Symbol]], 0)</f>
        <v>Liquid systems</v>
      </c>
      <c r="F11" s="15" t="str" cm="1">
        <f t="array" ref="F11">Common_InputFunctions.Utility_DisplayArrayInTable(CommonLivestock_SourceData.SourceData_Livestock_Common_SymbolsMMS_Data(), Table_Data_MMSSymbols[[#Headers],[Symbol]], 0)</f>
        <v>Liquid systems (m=2)</v>
      </c>
      <c r="G11" s="7"/>
    </row>
    <row r="12" spans="1:13" ht="20.100000000000001" customHeight="1" x14ac:dyDescent="0.25">
      <c r="A12" s="16" t="str">
        <f>HYPERLINK("#'Input - Processing inputs'!A1", "Processing inputs")</f>
        <v>Processing inputs</v>
      </c>
      <c r="D12" s="10" t="str" cm="1">
        <f t="array" ref="D12">Common_InputFunctions.Utility_DisplayArrayInTable(CommonLivestock_SourceData.SourceData_Livestock_Common_SymbolsMMS_Data(), Table_Data_MMSSymbols[[#Headers],[Symbol]], 0)</f>
        <v>3</v>
      </c>
      <c r="E12" s="10" t="str" cm="1">
        <f t="array" ref="E12">Common_InputFunctions.Utility_DisplayArrayInTable(CommonLivestock_SourceData.SourceData_Livestock_Common_SymbolsMMS_Data(), Table_Data_MMSSymbols[[#Headers],[Symbol]], 0)</f>
        <v>Daily spread</v>
      </c>
      <c r="F12" s="10" t="str" cm="1">
        <f t="array" ref="F12">Common_InputFunctions.Utility_DisplayArrayInTable(CommonLivestock_SourceData.SourceData_Livestock_Common_SymbolsMMS_Data(), Table_Data_MMSSymbols[[#Headers],[Symbol]], 0)</f>
        <v>Daily spread (m=3)</v>
      </c>
      <c r="G12" s="7"/>
    </row>
    <row r="13" spans="1:13" ht="20.100000000000001" customHeight="1" x14ac:dyDescent="0.25">
      <c r="A13" s="16" t="str">
        <f>HYPERLINK("#'Input - Crop pasture farm input'!A1", "Crop pasture farm input")</f>
        <v>Crop pasture farm input</v>
      </c>
      <c r="D13" s="10" t="str" cm="1">
        <f t="array" ref="D13">Common_InputFunctions.Utility_DisplayArrayInTable(CommonLivestock_SourceData.SourceData_Livestock_Common_SymbolsMMS_Data(), Table_Data_MMSSymbols[[#Headers],[Symbol]], 0)</f>
        <v>3a</v>
      </c>
      <c r="E13" s="10" t="str" cm="1">
        <f t="array" ref="E13">Common_InputFunctions.Utility_DisplayArrayInTable(CommonLivestock_SourceData.SourceData_Livestock_Common_SymbolsMMS_Data(), Table_Data_MMSSymbols[[#Headers],[Symbol]], 0)</f>
        <v>Sump and dispersal system</v>
      </c>
      <c r="F13" s="10" t="str" cm="1">
        <f t="array" ref="F13">Common_InputFunctions.Utility_DisplayArrayInTable(CommonLivestock_SourceData.SourceData_Livestock_Common_SymbolsMMS_Data(), Table_Data_MMSSymbols[[#Headers],[Symbol]], 0)</f>
        <v>Sump and dispersal system (m=3a)</v>
      </c>
      <c r="G13" s="7"/>
    </row>
    <row r="14" spans="1:13" ht="20.100000000000001" customHeight="1" x14ac:dyDescent="0.25">
      <c r="A14" s="16" t="str">
        <f>HYPERLINK("#'Input - Hort farm Inputs'!A1", "Hort farm Inputs")</f>
        <v>Hort farm Inputs</v>
      </c>
      <c r="D14" s="10" t="str" cm="1">
        <f t="array" ref="D14">Common_InputFunctions.Utility_DisplayArrayInTable(CommonLivestock_SourceData.SourceData_Livestock_Common_SymbolsMMS_Data(), Table_Data_MMSSymbols[[#Headers],[Symbol]], 0)</f>
        <v>3b</v>
      </c>
      <c r="E14" s="10" t="str" cm="1">
        <f t="array" ref="E14">Common_InputFunctions.Utility_DisplayArrayInTable(CommonLivestock_SourceData.SourceData_Livestock_Common_SymbolsMMS_Data(), Table_Data_MMSSymbols[[#Headers],[Symbol]], 0)</f>
        <v>Drains to paddock</v>
      </c>
      <c r="F14" s="10" t="str" cm="1">
        <f t="array" ref="F14">Common_InputFunctions.Utility_DisplayArrayInTable(CommonLivestock_SourceData.SourceData_Livestock_Common_SymbolsMMS_Data(), Table_Data_MMSSymbols[[#Headers],[Symbol]], 0)</f>
        <v>Drains to paddock (m=3b)</v>
      </c>
      <c r="G14" s="7"/>
    </row>
    <row r="15" spans="1:13" ht="20.100000000000001" customHeight="1" x14ac:dyDescent="0.25">
      <c r="A15" s="16" t="str">
        <f>HYPERLINK("#'Input - Livestock farm Inputs'!A1", "Livestock farm Inputs")</f>
        <v>Livestock farm Inputs</v>
      </c>
      <c r="D15" s="10" t="str" cm="1">
        <f t="array" ref="D15">Common_InputFunctions.Utility_DisplayArrayInTable(CommonLivestock_SourceData.SourceData_Livestock_Common_SymbolsMMS_Data(), Table_Data_MMSSymbols[[#Headers],[Symbol]], 0)</f>
        <v>4</v>
      </c>
      <c r="E15" s="10" t="str" cm="1">
        <f t="array" ref="E15">Common_InputFunctions.Utility_DisplayArrayInTable(CommonLivestock_SourceData.SourceData_Livestock_Common_SymbolsMMS_Data(), Table_Data_MMSSymbols[[#Headers],[Symbol]], 0)</f>
        <v>Solid storage</v>
      </c>
      <c r="F15" s="10" t="str" cm="1">
        <f t="array" ref="F15">Common_InputFunctions.Utility_DisplayArrayInTable(CommonLivestock_SourceData.SourceData_Livestock_Common_SymbolsMMS_Data(), Table_Data_MMSSymbols[[#Headers],[Symbol]], 0)</f>
        <v>Solid storage (m=4)</v>
      </c>
      <c r="G15" s="7"/>
    </row>
    <row r="16" spans="1:13" ht="20.100000000000001" customHeight="1" x14ac:dyDescent="0.25">
      <c r="A16" s="16" t="str">
        <f>HYPERLINK("#'Input - Aquaculture inputs'!A1", "Aquaculture inputs")</f>
        <v>Aquaculture inputs</v>
      </c>
      <c r="D16" s="10" t="str" cm="1">
        <f t="array" ref="D16">Common_InputFunctions.Utility_DisplayArrayInTable(CommonLivestock_SourceData.SourceData_Livestock_Common_SymbolsMMS_Data(), Table_Data_MMSSymbols[[#Headers],[Symbol]], 0)</f>
        <v>5</v>
      </c>
      <c r="E16" s="10" t="str" cm="1">
        <f t="array" ref="E16">Common_InputFunctions.Utility_DisplayArrayInTable(CommonLivestock_SourceData.SourceData_Livestock_Common_SymbolsMMS_Data(), Table_Data_MMSSymbols[[#Headers],[Symbol]], 0)</f>
        <v>Drylot (feed pad)</v>
      </c>
      <c r="F16" s="10" t="str" cm="1">
        <f t="array" ref="F16">Common_InputFunctions.Utility_DisplayArrayInTable(CommonLivestock_SourceData.SourceData_Livestock_Common_SymbolsMMS_Data(), Table_Data_MMSSymbols[[#Headers],[Symbol]], 0)</f>
        <v>Drylot (feed pad) (m=5)</v>
      </c>
      <c r="G16" s="7"/>
    </row>
    <row r="17" spans="1:8" ht="20.100000000000001" customHeight="1" x14ac:dyDescent="0.25">
      <c r="A17" s="16" t="str">
        <f>HYPERLINK("#'Input - Beef cattle purchases'!A1", "Beef cattle purchases")</f>
        <v>Beef cattle purchases</v>
      </c>
      <c r="D17" s="10" t="str" cm="1">
        <f t="array" ref="D17">Common_InputFunctions.Utility_DisplayArrayInTable(CommonLivestock_SourceData.SourceData_Livestock_Common_SymbolsMMS_Data(), Table_Data_MMSSymbols[[#Headers],[Symbol]], 0)</f>
        <v>6</v>
      </c>
      <c r="E17" s="10" t="str" cm="1">
        <f t="array" ref="E17">Common_InputFunctions.Utility_DisplayArrayInTable(CommonLivestock_SourceData.SourceData_Livestock_Common_SymbolsMMS_Data(), Table_Data_MMSSymbols[[#Headers],[Symbol]], 0)</f>
        <v>Composting (passive windrow)</v>
      </c>
      <c r="F17" s="10" t="str" cm="1">
        <f t="array" ref="F17">Common_InputFunctions.Utility_DisplayArrayInTable(CommonLivestock_SourceData.SourceData_Livestock_Common_SymbolsMMS_Data(), Table_Data_MMSSymbols[[#Headers],[Symbol]], 0)</f>
        <v>Composting (passive windrow) (m=6)</v>
      </c>
      <c r="G17" s="7"/>
    </row>
    <row r="18" spans="1:8" ht="20.100000000000001" customHeight="1" x14ac:dyDescent="0.25">
      <c r="A18" s="16" t="str">
        <f>HYPERLINK("#'Input - Dairy cattle purchases'!A1", "Dairy cattle purchases")</f>
        <v>Dairy cattle purchases</v>
      </c>
      <c r="D18" s="10" t="str" cm="1">
        <f t="array" ref="D18">Common_InputFunctions.Utility_DisplayArrayInTable(CommonLivestock_SourceData.SourceData_Livestock_Common_SymbolsMMS_Data(), Table_Data_MMSSymbols[[#Headers],[Symbol]], 0)</f>
        <v>7</v>
      </c>
      <c r="E18" s="10" t="str" cm="1">
        <f t="array" ref="E18">Common_InputFunctions.Utility_DisplayArrayInTable(CommonLivestock_SourceData.SourceData_Livestock_Common_SymbolsMMS_Data(), Table_Data_MMSSymbols[[#Headers],[Symbol]], 0)</f>
        <v>Digester / covered lagoons</v>
      </c>
      <c r="F18" s="10" t="str" cm="1">
        <f t="array" ref="F18">Common_InputFunctions.Utility_DisplayArrayInTable(CommonLivestock_SourceData.SourceData_Livestock_Common_SymbolsMMS_Data(), Table_Data_MMSSymbols[[#Headers],[Symbol]], 0)</f>
        <v>Digester / covered lagoons (m=7)</v>
      </c>
      <c r="G18" s="7"/>
    </row>
    <row r="19" spans="1:8" ht="20.100000000000001" customHeight="1" x14ac:dyDescent="0.25">
      <c r="A19" s="16" t="str">
        <f>HYPERLINK("#'Input - Pig purchases'!A1", "Pig purchases")</f>
        <v>Pig purchases</v>
      </c>
      <c r="D19" s="10" t="str" cm="1">
        <f t="array" ref="D19">Common_InputFunctions.Utility_DisplayArrayInTable(CommonLivestock_SourceData.SourceData_Livestock_Common_SymbolsMMS_Data(), Table_Data_MMSSymbols[[#Headers],[Symbol]], 0)</f>
        <v>8</v>
      </c>
      <c r="E19" s="10" t="str" cm="1">
        <f t="array" ref="E19">Common_InputFunctions.Utility_DisplayArrayInTable(CommonLivestock_SourceData.SourceData_Livestock_Common_SymbolsMMS_Data(), Table_Data_MMSSymbols[[#Headers],[Symbol]], 0)</f>
        <v>Deep litter</v>
      </c>
      <c r="F19" s="10" t="str" cm="1">
        <f t="array" ref="F19">Common_InputFunctions.Utility_DisplayArrayInTable(CommonLivestock_SourceData.SourceData_Livestock_Common_SymbolsMMS_Data(), Table_Data_MMSSymbols[[#Headers],[Symbol]], 0)</f>
        <v>Deep litter (m=8)</v>
      </c>
      <c r="G19" s="7"/>
    </row>
    <row r="20" spans="1:8" ht="20.100000000000001" customHeight="1" x14ac:dyDescent="0.25">
      <c r="A20" s="16" t="str">
        <f>HYPERLINK("#'Input - Poultry purchases'!A1", "Poultry purchases")</f>
        <v>Poultry purchases</v>
      </c>
      <c r="D20" s="10" t="str" cm="1">
        <f t="array" ref="D20">Common_InputFunctions.Utility_DisplayArrayInTable(CommonLivestock_SourceData.SourceData_Livestock_Common_SymbolsMMS_Data(), Table_Data_MMSSymbols[[#Headers],[Symbol]], 0)</f>
        <v>9</v>
      </c>
      <c r="E20" s="10" t="str" cm="1">
        <f t="array" ref="E20">Common_InputFunctions.Utility_DisplayArrayInTable(CommonLivestock_SourceData.SourceData_Livestock_Common_SymbolsMMS_Data(), Table_Data_MMSSymbols[[#Headers],[Symbol]], 0)</f>
        <v>Pit storage</v>
      </c>
      <c r="F20" s="10" t="str" cm="1">
        <f t="array" ref="F20">Common_InputFunctions.Utility_DisplayArrayInTable(CommonLivestock_SourceData.SourceData_Livestock_Common_SymbolsMMS_Data(), Table_Data_MMSSymbols[[#Headers],[Symbol]], 0)</f>
        <v>Pit storage (m=9)</v>
      </c>
      <c r="G20" s="7"/>
    </row>
    <row r="21" spans="1:8" ht="20.100000000000001" customHeight="1" x14ac:dyDescent="0.25">
      <c r="A21" s="16" t="str">
        <f>HYPERLINK("#'Input - Freight'!A1", "Freight")</f>
        <v>Freight</v>
      </c>
      <c r="D21" s="10" t="str" cm="1">
        <f t="array" ref="D21">Common_InputFunctions.Utility_DisplayArrayInTable(CommonLivestock_SourceData.SourceData_Livestock_Common_SymbolsMMS_Data(), Table_Data_MMSSymbols[[#Headers],[Symbol]], 0)</f>
        <v>10</v>
      </c>
      <c r="E21" s="10" t="str" cm="1">
        <f t="array" ref="E21">Common_InputFunctions.Utility_DisplayArrayInTable(CommonLivestock_SourceData.SourceData_Livestock_Common_SymbolsMMS_Data(), Table_Data_MMSSymbols[[#Headers],[Symbol]], 0)</f>
        <v>Poultry manure with bedding</v>
      </c>
      <c r="F21" s="10" t="str" cm="1">
        <f t="array" ref="F21">Common_InputFunctions.Utility_DisplayArrayInTable(CommonLivestock_SourceData.SourceData_Livestock_Common_SymbolsMMS_Data(), Table_Data_MMSSymbols[[#Headers],[Symbol]], 0)</f>
        <v>Poultry manure with bedding (m=10)</v>
      </c>
      <c r="G21" s="7"/>
    </row>
    <row r="22" spans="1:8" ht="20.100000000000001" customHeight="1" x14ac:dyDescent="0.25">
      <c r="A22" s="16" t="str">
        <f>HYPERLINK("#'Input - Solid waste'!A1", "Solid waste")</f>
        <v>Solid waste</v>
      </c>
      <c r="D22" s="10" t="str" cm="1">
        <f t="array" ref="D22">Common_InputFunctions.Utility_DisplayArrayInTable(CommonLivestock_SourceData.SourceData_Livestock_Common_SymbolsMMS_Data(), Table_Data_MMSSymbols[[#Headers],[Symbol]], 0)</f>
        <v>11</v>
      </c>
      <c r="E22" s="10" t="str" cm="1">
        <f t="array" ref="E22">Common_InputFunctions.Utility_DisplayArrayInTable(CommonLivestock_SourceData.SourceData_Livestock_Common_SymbolsMMS_Data(), Table_Data_MMSSymbols[[#Headers],[Symbol]], 0)</f>
        <v>Poultry manure without bedding</v>
      </c>
      <c r="F22" s="10" t="str" cm="1">
        <f t="array" ref="F22">Common_InputFunctions.Utility_DisplayArrayInTable(CommonLivestock_SourceData.SourceData_Livestock_Common_SymbolsMMS_Data(), Table_Data_MMSSymbols[[#Headers],[Symbol]], 0)</f>
        <v>Poultry manure without bedding (m=11)</v>
      </c>
      <c r="G22" s="7"/>
    </row>
    <row r="23" spans="1:8" ht="20.100000000000001" customHeight="1" x14ac:dyDescent="0.25">
      <c r="A23" s="16" t="str">
        <f>HYPERLINK("#'Input - Manure sent off-site'!A1", "Manure sent off-site")</f>
        <v>Manure sent off-site</v>
      </c>
      <c r="D23" s="10" t="str" cm="1">
        <f t="array" ref="D23">Common_InputFunctions.Utility_DisplayArrayInTable(CommonLivestock_SourceData.SourceData_Livestock_Common_SymbolsMMS_Data(), Table_Data_MMSSymbols[[#Headers],[Symbol]], 0)</f>
        <v>11a</v>
      </c>
      <c r="E23" s="10" t="str" cm="1">
        <f t="array" ref="E23">Common_InputFunctions.Utility_DisplayArrayInTable(CommonLivestock_SourceData.SourceData_Livestock_Common_SymbolsMMS_Data(), Table_Data_MMSSymbols[[#Headers],[Symbol]], 0)</f>
        <v>Belt manure removal</v>
      </c>
      <c r="F23" s="10" t="str" cm="1">
        <f t="array" ref="F23">Common_InputFunctions.Utility_DisplayArrayInTable(CommonLivestock_SourceData.SourceData_Livestock_Common_SymbolsMMS_Data(), Table_Data_MMSSymbols[[#Headers],[Symbol]], 0)</f>
        <v>Belt manure removal (m=11a)</v>
      </c>
      <c r="G23" s="7"/>
    </row>
    <row r="24" spans="1:8" ht="20.100000000000001" customHeight="1" x14ac:dyDescent="0.25">
      <c r="A24" s="16" t="str">
        <f>HYPERLINK("#'Input - Electricity'!A1", "Electricity")</f>
        <v>Electricity</v>
      </c>
      <c r="D24" s="10" t="str" cm="1">
        <f t="array" ref="D24">Common_InputFunctions.Utility_DisplayArrayInTable(CommonLivestock_SourceData.SourceData_Livestock_Common_SymbolsMMS_Data(), Table_Data_MMSSymbols[[#Headers],[Symbol]], 0)</f>
        <v>11b</v>
      </c>
      <c r="E24" s="10" t="str" cm="1">
        <f t="array" ref="E24">Common_InputFunctions.Utility_DisplayArrayInTable(CommonLivestock_SourceData.SourceData_Livestock_Common_SymbolsMMS_Data(), Table_Data_MMSSymbols[[#Headers],[Symbol]], 0)</f>
        <v>Manure stored in house</v>
      </c>
      <c r="F24" s="10" t="str" cm="1">
        <f t="array" ref="F24">Common_InputFunctions.Utility_DisplayArrayInTable(CommonLivestock_SourceData.SourceData_Livestock_Common_SymbolsMMS_Data(), Table_Data_MMSSymbols[[#Headers],[Symbol]], 0)</f>
        <v>Manure stored in house (m=11b)</v>
      </c>
      <c r="G24" s="7"/>
    </row>
    <row r="25" spans="1:8" ht="20.100000000000001" customHeight="1" x14ac:dyDescent="0.25">
      <c r="A25"/>
      <c r="D25" s="10" t="str" cm="1">
        <f t="array" ref="D25">Common_InputFunctions.Utility_DisplayArrayInTable(CommonLivestock_SourceData.SourceData_Livestock_Common_SymbolsMMS_Data(), Table_Data_MMSSymbols[[#Headers],[Symbol]], 0)</f>
        <v>12</v>
      </c>
      <c r="E25" s="10" t="str" cm="1">
        <f t="array" ref="E25">Common_InputFunctions.Utility_DisplayArrayInTable(CommonLivestock_SourceData.SourceData_Livestock_Common_SymbolsMMS_Data(), Table_Data_MMSSymbols[[#Headers],[Symbol]], 0)</f>
        <v>Direct processing</v>
      </c>
      <c r="F25" s="10" t="str" cm="1">
        <f t="array" ref="F25">Common_InputFunctions.Utility_DisplayArrayInTable(CommonLivestock_SourceData.SourceData_Livestock_Common_SymbolsMMS_Data(), Table_Data_MMSSymbols[[#Headers],[Symbol]], 0)</f>
        <v>Direct processing (m=12)</v>
      </c>
      <c r="G25" s="7"/>
    </row>
    <row r="26" spans="1:8" ht="20.100000000000001" customHeight="1" x14ac:dyDescent="0.25">
      <c r="A26"/>
      <c r="D26" s="10" t="str" cm="1">
        <f t="array" ref="D26">Common_InputFunctions.Utility_DisplayArrayInTable(CommonLivestock_SourceData.SourceData_Livestock_Common_SymbolsMMS_Data(), Table_Data_MMSSymbols[[#Headers],[Symbol]], 0)</f>
        <v>13</v>
      </c>
      <c r="E26" s="10" t="str" cm="1">
        <f t="array" ref="E26">Common_InputFunctions.Utility_DisplayArrayInTable(CommonLivestock_SourceData.SourceData_Livestock_Common_SymbolsMMS_Data(), Table_Data_MMSSymbols[[#Headers],[Symbol]], 0)</f>
        <v>Direct application</v>
      </c>
      <c r="F26" s="10" t="str" cm="1">
        <f t="array" ref="F26">Common_InputFunctions.Utility_DisplayArrayInTable(CommonLivestock_SourceData.SourceData_Livestock_Common_SymbolsMMS_Data(), Table_Data_MMSSymbols[[#Headers],[Symbol]], 0)</f>
        <v>Direct application (m=13)</v>
      </c>
      <c r="G26" s="7"/>
    </row>
    <row r="27" spans="1:8" ht="20.100000000000001" customHeight="1" x14ac:dyDescent="0.25">
      <c r="A27" s="21" t="s">
        <v>77</v>
      </c>
      <c r="D27" s="10" t="str" cm="1">
        <f t="array" ref="D27">Common_InputFunctions.Utility_DisplayArrayInTable(CommonLivestock_SourceData.SourceData_Livestock_Common_SymbolsMMS_Data(), Table_Data_MMSSymbols[[#Headers],[Symbol]], 0)</f>
        <v>14</v>
      </c>
      <c r="E27" s="10" t="str" cm="1">
        <f t="array" ref="E27">Common_InputFunctions.Utility_DisplayArrayInTable(CommonLivestock_SourceData.SourceData_Livestock_Common_SymbolsMMS_Data(), Table_Data_MMSSymbols[[#Headers],[Symbol]], 0)</f>
        <v>Pasture range and paddock</v>
      </c>
      <c r="F27" s="10" t="str" cm="1">
        <f t="array" ref="F27">Common_InputFunctions.Utility_DisplayArrayInTable(CommonLivestock_SourceData.SourceData_Livestock_Common_SymbolsMMS_Data(), Table_Data_MMSSymbols[[#Headers],[Symbol]], 0)</f>
        <v>Pasture range and paddock (m=14)</v>
      </c>
      <c r="G27" s="7"/>
    </row>
    <row r="28" spans="1:8" ht="20.100000000000001" customHeight="1" x14ac:dyDescent="0.25">
      <c r="A28" s="16" t="str">
        <f>HYPERLINK("#'15 Scope 3'!A1", "15 Scope 3")</f>
        <v>15 Scope 3</v>
      </c>
      <c r="G28" s="7"/>
      <c r="H28" s="7"/>
    </row>
    <row r="29" spans="1:8" ht="20.100000000000001" customHeight="1" x14ac:dyDescent="0.25">
      <c r="A29" s="16" t="str">
        <f>HYPERLINK("#'10.1.1-2 Solid waste treatment'!A1", "10.1.1-2 Solid waste treatment")</f>
        <v>10.1.1-2 Solid waste treatment</v>
      </c>
      <c r="D29" s="9" t="str" cm="1">
        <f t="array" ref="D29">CommonLivestock_SourceData.SourceData_Livestock_Product_BeefCattle_Title()</f>
        <v>Beef cattle products for scope 3</v>
      </c>
    </row>
    <row r="30" spans="1:8" ht="20.100000000000001" customHeight="1" x14ac:dyDescent="0.25">
      <c r="A30" s="16" t="str">
        <f>HYPERLINK("#'Calcs - Manure sent off-site'!A1", "Calcs - Manure sent off-site")</f>
        <v>Calcs - Manure sent off-site</v>
      </c>
      <c r="D30" s="11"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16" t="str">
        <f>HYPERLINK("#'8.1.1.1-2 Transport fuel'!A1", "8.1.1.1-2 Transport fuel")</f>
        <v>8.1.1.1-2 Transport fuel</v>
      </c>
      <c r="D31" s="10" t="s">
        <v>208</v>
      </c>
      <c r="E31" s="10" t="s">
        <v>319</v>
      </c>
      <c r="F31" s="8" t="s">
        <v>320</v>
      </c>
    </row>
    <row r="32" spans="1:8" ht="20.100000000000001" customHeight="1" x14ac:dyDescent="0.25">
      <c r="A32" s="16" t="str">
        <f>HYPERLINK("#'8.2.1.1-2 Stationary fuel'!A1", "8.2.1.1-2 Stationary fuel")</f>
        <v>8.2.1.1-2 Stationary fuel</v>
      </c>
      <c r="D32" s="10" t="str" cm="1">
        <f t="array" ref="D32">Common_InputFunctions.Utility_DisplayArrayInTable(CommonLivestock_SourceData.SourceData_Livestock_Product_BeefCattle_Data(),Table_SourceData_LivestockProduct_Beefcattle[[#Headers],[Product]],0)</f>
        <v>Cattle, for manufacturing beef</v>
      </c>
      <c r="E32" s="1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c r="D33" s="8" t="str" cm="1">
        <f t="array" ref="D33">Common_InputFunctions.Utility_DisplayArrayInTable(CommonLivestock_SourceData.SourceData_Livestock_Product_BeefCattle_Data(),Table_SourceData_LivestockProduct_Beefcattle[[#Headers],[Product]],0)</f>
        <v>Cattle, for prime beef</v>
      </c>
      <c r="E33" s="1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c r="D34" s="8" t="str" cm="1">
        <f t="array" ref="D34">Common_InputFunctions.Utility_DisplayArrayInTable(CommonLivestock_SourceData.SourceData_Livestock_Product_BeefCattle_Data(),Table_SourceData_LivestockProduct_Beefcattle[[#Headers],[Product]],0)</f>
        <v>Cattle, weaners</v>
      </c>
      <c r="E34" s="1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A35" s="222" t="s">
        <v>78</v>
      </c>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A36" s="16" t="str">
        <f>HYPERLINK("#'Constants - Scope 3'!A1", "Constants - Scope 3")</f>
        <v>Constants - Scope 3</v>
      </c>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16" t="str">
        <f>HYPERLINK("#'Constants - Solid Waste'!A1", "Constants - Solid Waste")</f>
        <v>Constants - Solid Waste</v>
      </c>
      <c r="D37" s="8" t="str" cm="1">
        <f t="array" ref="D37">Common_InputFunctions.Utility_DisplayArrayInTable(CommonLivestock_SourceData.SourceData_Livestock_Product_BeefCattle_Data(),Table_SourceData_LivestockProduct_Beefcattle[[#Headers],[Product]],0)</f>
        <v/>
      </c>
      <c r="E37" s="1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16" t="str">
        <f>HYPERLINK("#'Constants - Fuel'!A1", "Constants - Fuel")</f>
        <v>Constants - Fuel</v>
      </c>
      <c r="D38" s="8" t="str" cm="1">
        <f t="array" ref="D38">Common_InputFunctions.Utility_DisplayArrayInTable(CommonLivestock_SourceData.SourceData_Livestock_Product_BeefCattle_Data(),Table_SourceData_LivestockProduct_Beefcattle[[#Headers],[Product]],0)</f>
        <v/>
      </c>
      <c r="E38" s="1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s="16" t="str">
        <f>HYPERLINK("#'Constants - Poultry'!A1", "Constants - Poultry")</f>
        <v>Constants - Poultry</v>
      </c>
      <c r="D39" s="8" t="str" cm="1">
        <f t="array" ref="D39">Common_InputFunctions.Utility_DisplayArrayInTable(CommonLivestock_SourceData.SourceData_Livestock_Product_BeefCattle_Data(),Table_SourceData_LivestockProduct_Beefcattle[[#Headers],[Product]],0)</f>
        <v/>
      </c>
      <c r="E39" s="1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s="16" t="str">
        <f>HYPERLINK("#'Constants - Swine'!A1", "Constants - Swine")</f>
        <v>Constants - Swine</v>
      </c>
    </row>
    <row r="41" spans="1:6" ht="20.100000000000001" customHeight="1" x14ac:dyDescent="0.25">
      <c r="A41" s="16" t="str">
        <f>HYPERLINK("#'Constants - Dairy'!A1", "Constants - Dairy")</f>
        <v>Constants - Dairy</v>
      </c>
      <c r="D41" s="9" t="str" cm="1">
        <f t="array" ref="D41">CommonLivestock_SourceData.SourceData_Livestock_Product_Sheep_Title()</f>
        <v>Sheep products for scope 3</v>
      </c>
    </row>
    <row r="42" spans="1:6" ht="20.100000000000001" customHeight="1" x14ac:dyDescent="0.25">
      <c r="A42" s="16" t="str">
        <f>HYPERLINK("#'Constants - Pasture Beef'!A1", "Constants - Pasture Beef")</f>
        <v>Constants - Pasture Beef</v>
      </c>
      <c r="D42" s="11"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s="23" t="str">
        <f>HYPERLINK("#'Constants - Common Livestock'!A1", "Constants - Common Livestock")</f>
        <v>Constants - Common Livestock</v>
      </c>
      <c r="D43" s="10" t="s">
        <v>208</v>
      </c>
      <c r="E43" s="10" t="s">
        <v>319</v>
      </c>
      <c r="F43" s="8" t="s">
        <v>321</v>
      </c>
    </row>
    <row r="44" spans="1:6" ht="20.100000000000001" customHeight="1" x14ac:dyDescent="0.25">
      <c r="A44" s="16" t="str">
        <f>HYPERLINK("#'Constants - Fertiliser'!A1", "Constants - Fertiliser")</f>
        <v>Constants - Fertiliser</v>
      </c>
      <c r="D44" s="10" t="str" cm="1">
        <f t="array" ref="D44">Common_InputFunctions.Utility_DisplayArrayInTable(CommonLivestock_SourceData.SourceData_Livestock_Product_Sheep_Data(),Table_SourceData_LivestockProduct_Sheep[[#Headers],[Product]],0)</f>
        <v>Sheep, for mutton</v>
      </c>
      <c r="E44" s="1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s="16" t="str">
        <f>HYPERLINK("#'Constants - Electricity'!A1", "Constants - Electricity")</f>
        <v>Constants - Electricity</v>
      </c>
      <c r="D45" s="10" t="str" cm="1">
        <f t="array" ref="D45">Common_InputFunctions.Utility_DisplayArrayInTable(CommonLivestock_SourceData.SourceData_Livestock_Product_Sheep_Data(),Table_SourceData_LivestockProduct_Sheep[[#Headers],[Product]],0)</f>
        <v>Sheep, for prime lamb</v>
      </c>
      <c r="E45" s="1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s="16" t="str">
        <f>HYPERLINK("#'Constants - Common'!A1", "Constants - Common")</f>
        <v>Constants - Common</v>
      </c>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QLD</v>
      </c>
    </row>
    <row r="47" spans="1:6" ht="20.100000000000001" customHeight="1" x14ac:dyDescent="0.25">
      <c r="A47"/>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SA</v>
      </c>
    </row>
    <row r="48" spans="1:6" ht="20.100000000000001" customHeight="1" x14ac:dyDescent="0.25">
      <c r="A48"/>
      <c r="D48" s="10" t="str" cm="1">
        <f t="array" ref="D48">Common_InputFunctions.Utility_DisplayArrayInTable(CommonLivestock_SourceData.SourceData_Livestock_Product_Sheep_Data(),Table_SourceData_LivestockProduct_Sheep[[#Headers],[Product]],0)</f>
        <v/>
      </c>
      <c r="E48" s="10" t="str" cm="1">
        <f t="array" ref="E48">Common_InputFunctions.Utility_DisplayArrayInTable(CommonLivestock_SourceData.SourceData_Livestock_Product_Sheep_Data(),Table_SourceData_LivestockProduct_Sheep[[#Headers],[Product]],0)</f>
        <v>TAS</v>
      </c>
    </row>
    <row r="49" spans="1:6" ht="20.100000000000001" customHeight="1" x14ac:dyDescent="0.25">
      <c r="A49"/>
      <c r="D49" s="10" t="str" cm="1">
        <f t="array" ref="D49">Common_InputFunctions.Utility_DisplayArrayInTable(CommonLivestock_SourceData.SourceData_Livestock_Product_Sheep_Data(),Table_SourceData_LivestockProduct_Sheep[[#Headers],[Product]],0)</f>
        <v/>
      </c>
      <c r="E49" s="10" t="str" cm="1">
        <f t="array" ref="E49">Common_InputFunctions.Utility_DisplayArrayInTable(CommonLivestock_SourceData.SourceData_Livestock_Product_Sheep_Data(),Table_SourceData_LivestockProduct_Sheep[[#Headers],[Product]],0)</f>
        <v>VIC</v>
      </c>
    </row>
    <row r="50" spans="1:6" ht="20.100000000000001" customHeight="1" x14ac:dyDescent="0.25">
      <c r="A50"/>
      <c r="D50" s="10" t="str" cm="1">
        <f t="array" ref="D50">Common_InputFunctions.Utility_DisplayArrayInTable(CommonLivestock_SourceData.SourceData_Livestock_Product_Sheep_Data(),Table_SourceData_LivestockProduct_Sheep[[#Headers],[Product]],0)</f>
        <v/>
      </c>
      <c r="E50" s="10" t="str" cm="1">
        <f t="array" ref="E50">Common_InputFunctions.Utility_DisplayArrayInTable(CommonLivestock_SourceData.SourceData_Livestock_Product_Sheep_Data(),Table_SourceData_LivestockProduct_Sheep[[#Headers],[Product]],0)</f>
        <v>WA</v>
      </c>
    </row>
    <row r="51" spans="1:6" ht="20.100000000000001" customHeight="1" x14ac:dyDescent="0.25">
      <c r="A51"/>
    </row>
    <row r="52" spans="1:6" ht="20.100000000000001" customHeight="1" x14ac:dyDescent="0.25">
      <c r="A52"/>
      <c r="D52" s="9" t="str" cm="1">
        <f t="array" ref="D52">CommonLivestock_SourceData.SourceData_Livestock_Product_Chickens_Title()</f>
        <v>Chickens products for scope 3</v>
      </c>
    </row>
    <row r="53" spans="1:6" ht="20.100000000000001" customHeight="1" x14ac:dyDescent="0.25">
      <c r="A53"/>
      <c r="D53" s="11"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100000000000001" customHeight="1" x14ac:dyDescent="0.25">
      <c r="A54"/>
      <c r="D54" s="10" t="s">
        <v>208</v>
      </c>
      <c r="E54" s="10" t="s">
        <v>319</v>
      </c>
      <c r="F54" s="8" t="s">
        <v>327</v>
      </c>
    </row>
    <row r="55" spans="1:6" ht="20.100000000000001" customHeight="1" x14ac:dyDescent="0.25">
      <c r="A55"/>
      <c r="D55" s="10" t="str" cm="1">
        <f t="array" ref="D55">Common_InputFunctions.Utility_DisplayArrayInTable(CommonLivestock_SourceData.SourceData_Livestock_Product_Chickens_Data(),Table_SourceData_LivestockProduct_Chickens[[#Headers],[Product]],0)</f>
        <v>Chickens</v>
      </c>
      <c r="E55" s="10" t="str" cm="1">
        <f t="array" ref="E55">Common_InputFunctions.Utility_DisplayArrayInTable(CommonLivestock_SourceData.SourceData_Livestock_Product_Chickens_Data(),Table_SourceData_LivestockProduct_Chickens[[#Headers],[Product]],0)</f>
        <v>Australia</v>
      </c>
    </row>
    <row r="56" spans="1:6" ht="20.100000000000001" customHeight="1" x14ac:dyDescent="0.25">
      <c r="A56"/>
    </row>
    <row r="57" spans="1:6" ht="20.100000000000001" customHeight="1" x14ac:dyDescent="0.25">
      <c r="A57"/>
      <c r="D57" s="9" t="str" cm="1">
        <f t="array" ref="D57">CommonLivestock_SourceData.SourceData_Livestock_Product_Dairycattle_Title()</f>
        <v>Dairy cattle products for scope 3</v>
      </c>
    </row>
    <row r="58" spans="1:6" ht="20.100000000000001" customHeight="1" x14ac:dyDescent="0.25">
      <c r="A58"/>
      <c r="D58" s="11"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100000000000001" customHeight="1" x14ac:dyDescent="0.25">
      <c r="A59"/>
      <c r="D59" s="10" t="s">
        <v>208</v>
      </c>
      <c r="E59" s="10" t="s">
        <v>319</v>
      </c>
      <c r="F59" s="8" t="s">
        <v>328</v>
      </c>
    </row>
    <row r="60" spans="1:6" ht="20.100000000000001" customHeight="1" x14ac:dyDescent="0.25">
      <c r="A60"/>
      <c r="D60" s="10" t="str" cm="1">
        <f t="array" ref="D60">Common_InputFunctions.Utility_DisplayArrayInTable(CommonLivestock_SourceData.SourceData_Livestock_Product_Dairycattle_Data(),Table_SourceData_LivestockProduct_Dairycattle[[#Headers],[Product]],0)</f>
        <v>Dairy cows</v>
      </c>
      <c r="E60" s="10" t="str" cm="1">
        <f t="array" ref="E60">Common_InputFunctions.Utility_DisplayArrayInTable(CommonLivestock_SourceData.SourceData_Livestock_Product_Dairycattle_Data(),Table_SourceData_LivestockProduct_Dairycattle[[#Headers],[Product]],0)</f>
        <v>VIC</v>
      </c>
    </row>
    <row r="61" spans="1:6" ht="20.100000000000001" customHeight="1" x14ac:dyDescent="0.25">
      <c r="A61"/>
    </row>
    <row r="62" spans="1:6" ht="20.100000000000001" customHeight="1" x14ac:dyDescent="0.25">
      <c r="A62"/>
      <c r="D62" s="9" t="str" cm="1">
        <f t="array" ref="D62">CommonLivestock_SourceData.SourceData_Livestock_Product_Pigs_Title()</f>
        <v>Pigs products for scope 3</v>
      </c>
    </row>
    <row r="63" spans="1:6" ht="20.100000000000001" customHeight="1" x14ac:dyDescent="0.25">
      <c r="A63"/>
      <c r="D63" s="11" t="str" cm="1">
        <f t="array" ref="D63">CommonLivestock_SourceData.SourceData_Livestock_Product_Pigs_Source()</f>
        <v>Lifecycles. (2026). Greenhouse Gas Emission Intensities for Material Inputs to Australian Agriculture, Fisheries and Forestry. Version 48. doi 10.5281/zenodo.19656580</v>
      </c>
    </row>
    <row r="64" spans="1:6" x14ac:dyDescent="0.25">
      <c r="A64"/>
      <c r="D64" s="10" t="s">
        <v>208</v>
      </c>
      <c r="E64" s="10" t="s">
        <v>319</v>
      </c>
      <c r="F64" s="8" t="s">
        <v>329</v>
      </c>
    </row>
    <row r="65" spans="1:5" x14ac:dyDescent="0.25">
      <c r="A65"/>
      <c r="D65" s="10" t="str" cm="1">
        <f t="array" ref="D65">Common_InputFunctions.Utility_DisplayArrayInTable(CommonLivestock_SourceData.SourceData_Livestock_Product_Pigs_Data(),Table_SourceData_LivestockProduct_Pigs[[#Headers],[Product]],0)</f>
        <v>Pigs</v>
      </c>
      <c r="E65" s="10" t="str" cm="1">
        <f t="array" ref="E65">Common_InputFunctions.Utility_DisplayArrayInTable(CommonLivestock_SourceData.SourceData_Livestock_Product_Pigs_Data(),Table_SourceData_LivestockProduct_Pigs[[#Headers],[Product]],0)</f>
        <v>Australia</v>
      </c>
    </row>
    <row r="66" spans="1:5" x14ac:dyDescent="0.25">
      <c r="A66"/>
    </row>
    <row r="67" spans="1:5" x14ac:dyDescent="0.25">
      <c r="A67"/>
    </row>
    <row r="68" spans="1:5" x14ac:dyDescent="0.25">
      <c r="A68"/>
    </row>
    <row r="69" spans="1:5" x14ac:dyDescent="0.25">
      <c r="A69"/>
    </row>
    <row r="70" spans="1:5" x14ac:dyDescent="0.25">
      <c r="A70"/>
    </row>
    <row r="71" spans="1:5" x14ac:dyDescent="0.25">
      <c r="A71"/>
    </row>
    <row r="72" spans="1:5" x14ac:dyDescent="0.25">
      <c r="A72"/>
    </row>
    <row r="73" spans="1:5" x14ac:dyDescent="0.25">
      <c r="A73"/>
    </row>
    <row r="74" spans="1:5" x14ac:dyDescent="0.25">
      <c r="A74"/>
    </row>
    <row r="75" spans="1:5" x14ac:dyDescent="0.25">
      <c r="A75"/>
    </row>
    <row r="76" spans="1:5" x14ac:dyDescent="0.25">
      <c r="A76"/>
    </row>
    <row r="77" spans="1:5" x14ac:dyDescent="0.25">
      <c r="A77"/>
    </row>
    <row r="78" spans="1:5" x14ac:dyDescent="0.25">
      <c r="A78"/>
    </row>
    <row r="79" spans="1:5" x14ac:dyDescent="0.25">
      <c r="A79"/>
    </row>
    <row r="80" spans="1:5"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F148E-FE0A-4EDC-9A7E-07EB8A3DDCFA}">
  <dimension ref="A1:AM223"/>
  <sheetViews>
    <sheetView showGridLines="0" topLeftCell="A126" zoomScaleNormal="100" workbookViewId="0">
      <selection activeCell="A46" sqref="A46"/>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4" width="18.125" style="8" customWidth="1"/>
    <col min="35" max="36" width="9" style="8"/>
    <col min="37" max="16384" width="9" style="3"/>
  </cols>
  <sheetData>
    <row r="1" spans="1:36" s="1" customFormat="1" ht="30" customHeight="1" x14ac:dyDescent="0.35">
      <c r="A1" s="37" t="e" vm="1">
        <v>#VALUE!</v>
      </c>
      <c r="C1" s="1" t="s">
        <v>133</v>
      </c>
      <c r="AF1" s="8"/>
      <c r="AG1" s="8"/>
      <c r="AH1" s="8"/>
      <c r="AI1" s="8"/>
      <c r="AJ1" s="8"/>
    </row>
    <row r="2" spans="1:36" s="2" customFormat="1" ht="20.100000000000001" customHeight="1" x14ac:dyDescent="0.25">
      <c r="A2"/>
      <c r="AF2" s="8"/>
      <c r="AG2" s="8"/>
      <c r="AH2" s="8"/>
      <c r="AI2" s="8"/>
      <c r="AJ2" s="8"/>
    </row>
    <row r="3" spans="1:36"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row>
    <row r="4" spans="1:36" ht="20.100000000000001" customHeight="1" x14ac:dyDescent="0.25">
      <c r="A4" s="16" t="str">
        <f>HYPERLINK("#'Results'!A1", "Results")</f>
        <v>Results</v>
      </c>
    </row>
    <row r="5" spans="1:36" ht="20.100000000000001" customHeight="1" x14ac:dyDescent="0.25">
      <c r="A5"/>
      <c r="D5" s="9" t="str" cm="1">
        <f t="array" ref="D5">Fertiliser_SourceData.Fertiliser_ChemicalCompoundElements_Title()</f>
        <v>Common inorganic fertilisers</v>
      </c>
      <c r="E5" s="17"/>
      <c r="F5" s="17"/>
      <c r="G5" s="17"/>
      <c r="H5" s="17"/>
      <c r="I5" s="17"/>
      <c r="J5" s="17"/>
    </row>
    <row r="6" spans="1:36" ht="20.100000000000001" customHeight="1" x14ac:dyDescent="0.25">
      <c r="A6"/>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5">
      <c r="A7" s="19" t="s">
        <v>67</v>
      </c>
      <c r="D7" s="12" t="str" cm="1">
        <f t="array" ref="D7:D18">Fertiliser_SourceData.Fertiliser_ChemicalCompoundElements_Variation()</f>
        <v>VARIATION ON SOURCE</v>
      </c>
    </row>
    <row r="8" spans="1:36"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6" ht="20.100000000000001" customHeight="1" x14ac:dyDescent="0.25">
      <c r="A9" s="16" t="str">
        <f>HYPERLINK("#'Input - Fuel'!A1", "Fuel")</f>
        <v>Fuel</v>
      </c>
      <c r="D9" s="12" t="str">
        <v>Added extra fertiliser types and generic chemical compounds to allow for custom NPKS blends</v>
      </c>
    </row>
    <row r="10" spans="1:36" ht="20.100000000000001" customHeight="1" x14ac:dyDescent="0.25">
      <c r="A10" s="16" t="str">
        <f>HYPERLINK("#'Input - Fertiliser'!A1", "Fertiliser")</f>
        <v>Fertiliser</v>
      </c>
      <c r="D10" s="12" t="str">
        <v>Added extra 'Scope 3 definition' column to allow mapping with scope 3 data</v>
      </c>
    </row>
    <row r="11" spans="1:36" ht="20.100000000000001" customHeight="1" x14ac:dyDescent="0.25">
      <c r="A11" s="16" t="str">
        <f>HYPERLINK("#'Input - Common farm inputs'!A1", "Common farm inputs")</f>
        <v>Common farm inputs</v>
      </c>
      <c r="D11" s="12" t="str">
        <v>Added 'Source' column</v>
      </c>
    </row>
    <row r="12" spans="1:36" ht="20.100000000000001" customHeight="1" x14ac:dyDescent="0.25">
      <c r="A12" s="16" t="str">
        <f>HYPERLINK("#'Input - Processing inputs'!A1", "Processing inputs")</f>
        <v>Processing inputs</v>
      </c>
      <c r="D12" s="12" t="str">
        <v>Combined data from Table A.2.2.3 and Table A.2.2.4 into one table to aid lookup.</v>
      </c>
    </row>
    <row r="13" spans="1:36" ht="20.100000000000001" customHeight="1" x14ac:dyDescent="0.25">
      <c r="A13" s="16" t="str">
        <f>HYPERLINK("#'Input - Crop pasture farm input'!A1", "Crop pasture farm input")</f>
        <v>Crop pasture farm input</v>
      </c>
      <c r="D13" s="12" t="str">
        <v>Excluded 'References' column</v>
      </c>
    </row>
    <row r="14" spans="1:36" ht="20.100000000000001" customHeight="1" x14ac:dyDescent="0.25">
      <c r="A14" s="16" t="str">
        <f>HYPERLINK("#'Input - Hort farm Inputs'!A1", "Hort farm Inputs")</f>
        <v>Hort farm Inputs</v>
      </c>
      <c r="D14" s="12" t="str">
        <v>Excluded 'Ammonium sulfate' as it is a duplicate of 'Sulphate of ammonia (SOA)'</v>
      </c>
    </row>
    <row r="15" spans="1:36" ht="20.100000000000001" customHeight="1" x14ac:dyDescent="0.25">
      <c r="A15" s="16" t="str">
        <f>HYPERLINK("#'Input - Livestock farm Inputs'!A1", "Livestock farm Inputs")</f>
        <v>Livestock farm Inputs</v>
      </c>
      <c r="D15" s="12" t="str">
        <v>Excluded 'Calcium nitrate' as no scope 3 value available.</v>
      </c>
    </row>
    <row r="16" spans="1:36" ht="20.100000000000001" customHeight="1" x14ac:dyDescent="0.25">
      <c r="A16" s="16" t="str">
        <f>HYPERLINK("#'Input - Aquaculture inputs'!A1", "Aquaculture inputs")</f>
        <v>Aquaculture inputs</v>
      </c>
      <c r="D16" s="12" t="str">
        <v>Set 'Nitrogen - Generic' basis as 'Urea-based fertilisers, as urea is the most commonly used form of nitrogen in Australian fertilisers</v>
      </c>
    </row>
    <row r="17" spans="1:22" ht="20.100000000000001" customHeight="1" x14ac:dyDescent="0.25">
      <c r="A17" s="16" t="str">
        <f>HYPERLINK("#'Input - Beef cattle purchases'!A1", "Beef cattle purchases")</f>
        <v>Beef cattle purchases</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A18" s="16" t="str">
        <f>HYPERLINK("#'Input - Dairy cattle purchases'!A1", "Dairy cattle purchases")</f>
        <v>Dairy cattle purchases</v>
      </c>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6" t="str">
        <f>HYPERLINK("#'Input - Pig purchases'!A1", "Pig purchases")</f>
        <v>Pig purchases</v>
      </c>
      <c r="D19" s="3" t="s">
        <v>134</v>
      </c>
      <c r="E19" s="3" t="s">
        <v>135</v>
      </c>
      <c r="F19" s="3" t="s">
        <v>136</v>
      </c>
      <c r="G19" s="3" t="s">
        <v>137</v>
      </c>
      <c r="H19" s="3" t="s">
        <v>138</v>
      </c>
      <c r="I19" s="3" t="s">
        <v>139</v>
      </c>
      <c r="K19" s="10" t="s">
        <v>134</v>
      </c>
      <c r="L19" s="10" t="s">
        <v>135</v>
      </c>
      <c r="Q19" s="10" t="s">
        <v>134</v>
      </c>
      <c r="R19" s="10" t="s">
        <v>135</v>
      </c>
      <c r="V19" s="10" t="s">
        <v>139</v>
      </c>
    </row>
    <row r="20" spans="1:22" ht="20.100000000000001" customHeight="1" x14ac:dyDescent="0.25">
      <c r="A20" s="16" t="str">
        <f>HYPERLINK("#'Input - Poultry purchases'!A1", "Poultry purchases")</f>
        <v>Poultry purchases</v>
      </c>
      <c r="D20" s="62" t="str" cm="1">
        <f t="array" ref="D20">Common_InputFunctions.Utility_DisplayArrayInTable(Fertiliser_SourceData.Fertiliser_ChemicalCompoundElements_Data(),Table_Fertiliser_ChemicalCompounds[[#Headers],[Fertiliser type f]], 0)</f>
        <v>Monoammonium phosphate (MAP)</v>
      </c>
      <c r="E20" s="62" cm="1">
        <f t="array" ref="E20">Common_InputFunctions.Utility_DisplayArrayInTable(Fertiliser_SourceData.Fertiliser_ChemicalCompoundElements_Data(),Table_Fertiliser_ChemicalCompounds[[#Headers],[Fertiliser type f]], 0)</f>
        <v>0.1</v>
      </c>
      <c r="F20" s="62" cm="1">
        <f t="array" ref="F20">Common_InputFunctions.Utility_DisplayArrayInTable(Fertiliser_SourceData.Fertiliser_ChemicalCompoundElements_Data(),Table_Fertiliser_ChemicalCompounds[[#Headers],[Fertiliser type f]], 0)</f>
        <v>0</v>
      </c>
      <c r="G20" s="62" t="str" cm="1">
        <f t="array" ref="G20">Common_InputFunctions.Utility_DisplayArrayInTable(Fertiliser_SourceData.Fertiliser_ChemicalCompoundElements_Data(),Table_Fertiliser_ChemicalCompounds[[#Headers],[Fertiliser type f]], 0)</f>
        <v>Ammonium-based fertilisers</v>
      </c>
      <c r="H20" s="62" t="str" cm="1">
        <f t="array" ref="H20">Common_InputFunctions.Utility_DisplayArrayInTable(Fertiliser_SourceData.Fertiliser_ChemicalCompoundElements_Data(),Table_Fertiliser_ChemicalCompounds[[#Headers],[Fertiliser type f]], 0)</f>
        <v>Monoammonium phosphate (MAP)</v>
      </c>
      <c r="I20" s="62"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HYPERLINK("#'Input - Freight'!A1", "Freight")</f>
        <v>Freight</v>
      </c>
      <c r="D21" s="62" t="str" cm="1">
        <f t="array" ref="D21">Common_InputFunctions.Utility_DisplayArrayInTable(Fertiliser_SourceData.Fertiliser_ChemicalCompoundElements_Data(),Table_Fertiliser_ChemicalCompounds[[#Headers],[Fertiliser type f]], 0)</f>
        <v>Diammonium phosphate (DAP)</v>
      </c>
      <c r="E21" s="62" cm="1">
        <f t="array" ref="E21">Common_InputFunctions.Utility_DisplayArrayInTable(Fertiliser_SourceData.Fertiliser_ChemicalCompoundElements_Data(),Table_Fertiliser_ChemicalCompounds[[#Headers],[Fertiliser type f]], 0)</f>
        <v>0.18</v>
      </c>
      <c r="F21" s="62" cm="1">
        <f t="array" ref="F21">Common_InputFunctions.Utility_DisplayArrayInTable(Fertiliser_SourceData.Fertiliser_ChemicalCompoundElements_Data(),Table_Fertiliser_ChemicalCompounds[[#Headers],[Fertiliser type f]], 0)</f>
        <v>0</v>
      </c>
      <c r="G21" s="62" t="str" cm="1">
        <f t="array" ref="G21">Common_InputFunctions.Utility_DisplayArrayInTable(Fertiliser_SourceData.Fertiliser_ChemicalCompoundElements_Data(),Table_Fertiliser_ChemicalCompounds[[#Headers],[Fertiliser type f]], 0)</f>
        <v>Ammonium-based fertilisers</v>
      </c>
      <c r="H21" s="62" t="str" cm="1">
        <f t="array" ref="H21">Common_InputFunctions.Utility_DisplayArrayInTable(Fertiliser_SourceData.Fertiliser_ChemicalCompoundElements_Data(),Table_Fertiliser_ChemicalCompounds[[#Headers],[Fertiliser type f]], 0)</f>
        <v>Diammonium phosphate (DAP)</v>
      </c>
      <c r="I21" s="62"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6" t="str">
        <f>HYPERLINK("#'Input - Solid waste'!A1", "Solid waste")</f>
        <v>Solid waste</v>
      </c>
      <c r="D22" s="62" t="str" cm="1">
        <f t="array" ref="D22">Common_InputFunctions.Utility_DisplayArrayInTable(Fertiliser_SourceData.Fertiliser_ChemicalCompoundElements_Data(),Table_Fertiliser_ChemicalCompounds[[#Headers],[Fertiliser type f]], 0)</f>
        <v>Urea</v>
      </c>
      <c r="E22" s="62" cm="1">
        <f t="array" ref="E22">Common_InputFunctions.Utility_DisplayArrayInTable(Fertiliser_SourceData.Fertiliser_ChemicalCompoundElements_Data(),Table_Fertiliser_ChemicalCompounds[[#Headers],[Fertiliser type f]], 0)</f>
        <v>0.46</v>
      </c>
      <c r="F22" s="62" cm="1">
        <f t="array" ref="F22">Common_InputFunctions.Utility_DisplayArrayInTable(Fertiliser_SourceData.Fertiliser_ChemicalCompoundElements_Data(),Table_Fertiliser_ChemicalCompounds[[#Headers],[Fertiliser type f]], 0)</f>
        <v>1</v>
      </c>
      <c r="G22" s="62" t="str" cm="1">
        <f t="array" ref="G22">Common_InputFunctions.Utility_DisplayArrayInTable(Fertiliser_SourceData.Fertiliser_ChemicalCompoundElements_Data(),Table_Fertiliser_ChemicalCompounds[[#Headers],[Fertiliser type f]], 0)</f>
        <v>Urea-based fertilisers</v>
      </c>
      <c r="H22" s="62" t="str" cm="1">
        <f t="array" ref="H22">Common_InputFunctions.Utility_DisplayArrayInTable(Fertiliser_SourceData.Fertiliser_ChemicalCompoundElements_Data(),Table_Fertiliser_ChemicalCompounds[[#Headers],[Fertiliser type f]], 0)</f>
        <v>Urea</v>
      </c>
      <c r="I22" s="62"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t="str">
        <f>HYPERLINK("#'Input - Manure sent off-site'!A1", "Manure sent off-site")</f>
        <v>Manure sent off-site</v>
      </c>
      <c r="D23" s="62" t="str" cm="1">
        <f t="array" ref="D23">Common_InputFunctions.Utility_DisplayArrayInTable(Fertiliser_SourceData.Fertiliser_ChemicalCompoundElements_Data(),Table_Fertiliser_ChemicalCompounds[[#Headers],[Fertiliser type f]], 0)</f>
        <v>Sulphate of ammonia (SOA)</v>
      </c>
      <c r="E23" s="62" cm="1">
        <f t="array" ref="E23">Common_InputFunctions.Utility_DisplayArrayInTable(Fertiliser_SourceData.Fertiliser_ChemicalCompoundElements_Data(),Table_Fertiliser_ChemicalCompounds[[#Headers],[Fertiliser type f]], 0)</f>
        <v>0.21</v>
      </c>
      <c r="F23" s="62" cm="1">
        <f t="array" ref="F23">Common_InputFunctions.Utility_DisplayArrayInTable(Fertiliser_SourceData.Fertiliser_ChemicalCompoundElements_Data(),Table_Fertiliser_ChemicalCompounds[[#Headers],[Fertiliser type f]], 0)</f>
        <v>0</v>
      </c>
      <c r="G23" s="62" t="str" cm="1">
        <f t="array" ref="G23">Common_InputFunctions.Utility_DisplayArrayInTable(Fertiliser_SourceData.Fertiliser_ChemicalCompoundElements_Data(),Table_Fertiliser_ChemicalCompounds[[#Headers],[Fertiliser type f]], 0)</f>
        <v>Ammonium-based fertilisers</v>
      </c>
      <c r="H23" s="62" t="str" cm="1">
        <f t="array" ref="H23">Common_InputFunctions.Utility_DisplayArrayInTable(Fertiliser_SourceData.Fertiliser_ChemicalCompoundElements_Data(),Table_Fertiliser_ChemicalCompounds[[#Headers],[Fertiliser type f]], 0)</f>
        <v>Sulphate of ammonia (SOA)</v>
      </c>
      <c r="I23" s="62"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6" t="str">
        <f>HYPERLINK("#'Input - Electricity'!A1", "Electricity")</f>
        <v>Electricity</v>
      </c>
      <c r="D24" s="62" t="str" cm="1">
        <f t="array" ref="D24">Common_InputFunctions.Utility_DisplayArrayInTable(Fertiliser_SourceData.Fertiliser_ChemicalCompoundElements_Data(),Table_Fertiliser_ChemicalCompounds[[#Headers],[Fertiliser type f]], 0)</f>
        <v>Urea-ammonium nitrate (UAN)</v>
      </c>
      <c r="E24" s="62" cm="1">
        <f t="array" ref="E24">Common_InputFunctions.Utility_DisplayArrayInTable(Fertiliser_SourceData.Fertiliser_ChemicalCompoundElements_Data(),Table_Fertiliser_ChemicalCompounds[[#Headers],[Fertiliser type f]], 0)</f>
        <v>0.32</v>
      </c>
      <c r="F24" s="62" cm="1">
        <f t="array" ref="F24">Common_InputFunctions.Utility_DisplayArrayInTable(Fertiliser_SourceData.Fertiliser_ChemicalCompoundElements_Data(),Table_Fertiliser_ChemicalCompounds[[#Headers],[Fertiliser type f]], 0)</f>
        <v>0.35</v>
      </c>
      <c r="G24" s="62" t="str" cm="1">
        <f t="array" ref="G24">Common_InputFunctions.Utility_DisplayArrayInTable(Fertiliser_SourceData.Fertiliser_ChemicalCompoundElements_Data(),Table_Fertiliser_ChemicalCompounds[[#Headers],[Fertiliser type f]], 0)</f>
        <v>Urea-based fertilisers</v>
      </c>
      <c r="H24" s="62" t="str" cm="1">
        <f t="array" ref="H24">Common_InputFunctions.Utility_DisplayArrayInTable(Fertiliser_SourceData.Fertiliser_ChemicalCompoundElements_Data(),Table_Fertiliser_ChemicalCompounds[[#Headers],[Fertiliser type f]], 0)</f>
        <v>Urea-ammonium nitrate (UAN)</v>
      </c>
      <c r="I24" s="62"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A25"/>
      <c r="D25" s="62" t="str" cm="1">
        <f t="array" ref="D25">Common_InputFunctions.Utility_DisplayArrayInTable(Fertiliser_SourceData.Fertiliser_ChemicalCompoundElements_Data(),Table_Fertiliser_ChemicalCompounds[[#Headers],[Fertiliser type f]], 0)</f>
        <v>Ammonium nitrate (AN)</v>
      </c>
      <c r="E25" s="62" cm="1">
        <f t="array" ref="E25">Common_InputFunctions.Utility_DisplayArrayInTable(Fertiliser_SourceData.Fertiliser_ChemicalCompoundElements_Data(),Table_Fertiliser_ChemicalCompounds[[#Headers],[Fertiliser type f]], 0)</f>
        <v>0.33700000000000002</v>
      </c>
      <c r="F25" s="62" cm="1">
        <f t="array" ref="F25">Common_InputFunctions.Utility_DisplayArrayInTable(Fertiliser_SourceData.Fertiliser_ChemicalCompoundElements_Data(),Table_Fertiliser_ChemicalCompounds[[#Headers],[Fertiliser type f]], 0)</f>
        <v>0</v>
      </c>
      <c r="G25" s="62" t="str" cm="1">
        <f t="array" ref="G25">Common_InputFunctions.Utility_DisplayArrayInTable(Fertiliser_SourceData.Fertiliser_ChemicalCompoundElements_Data(),Table_Fertiliser_ChemicalCompounds[[#Headers],[Fertiliser type f]], 0)</f>
        <v>Ammonium-nitrate based fertilisers</v>
      </c>
      <c r="H25" s="62" t="str" cm="1">
        <f t="array" ref="H25">Common_InputFunctions.Utility_DisplayArrayInTable(Fertiliser_SourceData.Fertiliser_ChemicalCompoundElements_Data(),Table_Fertiliser_ChemicalCompounds[[#Headers],[Fertiliser type f]], 0)</f>
        <v>Ammonium nitrate (AN)</v>
      </c>
      <c r="I25" s="62"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A26"/>
      <c r="D26" s="62" t="str" cm="1">
        <f t="array" ref="D26">Common_InputFunctions.Utility_DisplayArrayInTable(Fertiliser_SourceData.Fertiliser_ChemicalCompoundElements_Data(),Table_Fertiliser_ChemicalCompounds[[#Headers],[Fertiliser type f]], 0)</f>
        <v>Calcium ammonium nitrate (CAN)</v>
      </c>
      <c r="E26" s="62" cm="1">
        <f t="array" ref="E26">Common_InputFunctions.Utility_DisplayArrayInTable(Fertiliser_SourceData.Fertiliser_ChemicalCompoundElements_Data(),Table_Fertiliser_ChemicalCompounds[[#Headers],[Fertiliser type f]], 0)</f>
        <v>0.27</v>
      </c>
      <c r="F26" s="62" cm="1">
        <f t="array" ref="F26">Common_InputFunctions.Utility_DisplayArrayInTable(Fertiliser_SourceData.Fertiliser_ChemicalCompoundElements_Data(),Table_Fertiliser_ChemicalCompounds[[#Headers],[Fertiliser type f]], 0)</f>
        <v>0</v>
      </c>
      <c r="G26" s="62" t="str" cm="1">
        <f t="array" ref="G26">Common_InputFunctions.Utility_DisplayArrayInTable(Fertiliser_SourceData.Fertiliser_ChemicalCompoundElements_Data(),Table_Fertiliser_ChemicalCompounds[[#Headers],[Fertiliser type f]], 0)</f>
        <v>Ammonium-nitrate based fertilisers</v>
      </c>
      <c r="H26" s="62" t="str" cm="1">
        <f t="array" ref="H26">Common_InputFunctions.Utility_DisplayArrayInTable(Fertiliser_SourceData.Fertiliser_ChemicalCompoundElements_Data(),Table_Fertiliser_ChemicalCompounds[[#Headers],[Fertiliser type f]], 0)</f>
        <v>Calcium ammonium nitrate (CAN)</v>
      </c>
      <c r="I26" s="62"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A27" s="21" t="s">
        <v>77</v>
      </c>
      <c r="D27" s="62" t="str" cm="1">
        <f t="array" ref="D27">Common_InputFunctions.Utility_DisplayArrayInTable(Fertiliser_SourceData.Fertiliser_ChemicalCompoundElements_Data(),Table_Fertiliser_ChemicalCompounds[[#Headers],[Fertiliser type f]], 0)</f>
        <v>Nitrogen - Ammoniacal</v>
      </c>
      <c r="E27" s="62" cm="1">
        <f t="array" ref="E27">Common_InputFunctions.Utility_DisplayArrayInTable(Fertiliser_SourceData.Fertiliser_ChemicalCompoundElements_Data(),Table_Fertiliser_ChemicalCompounds[[#Headers],[Fertiliser type f]], 0)</f>
        <v>1</v>
      </c>
      <c r="F27" s="62" cm="1">
        <f t="array" ref="F27">Common_InputFunctions.Utility_DisplayArrayInTable(Fertiliser_SourceData.Fertiliser_ChemicalCompoundElements_Data(),Table_Fertiliser_ChemicalCompounds[[#Headers],[Fertiliser type f]], 0)</f>
        <v>0</v>
      </c>
      <c r="G27" s="62" t="str" cm="1">
        <f t="array" ref="G27">Common_InputFunctions.Utility_DisplayArrayInTable(Fertiliser_SourceData.Fertiliser_ChemicalCompoundElements_Data(),Table_Fertiliser_ChemicalCompounds[[#Headers],[Fertiliser type f]], 0)</f>
        <v>Ammonium-based fertilisers</v>
      </c>
      <c r="H27" s="62" t="str" cm="1">
        <f t="array" ref="H27">Common_InputFunctions.Utility_DisplayArrayInTable(Fertiliser_SourceData.Fertiliser_ChemicalCompoundElements_Data(),Table_Fertiliser_ChemicalCompounds[[#Headers],[Fertiliser type f]], 0)</f>
        <v>Nitrogen - Ammoniacal</v>
      </c>
      <c r="I27" s="62"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A28" s="16" t="str">
        <f>HYPERLINK("#'15 Scope 3'!A1", "15 Scope 3")</f>
        <v>15 Scope 3</v>
      </c>
      <c r="D28" s="62" t="str" cm="1">
        <f t="array" ref="D28">Common_InputFunctions.Utility_DisplayArrayInTable(Fertiliser_SourceData.Fertiliser_ChemicalCompoundElements_Data(),Table_Fertiliser_ChemicalCompounds[[#Headers],[Fertiliser type f]], 0)</f>
        <v>Nitrogen - Nitrate</v>
      </c>
      <c r="E28" s="62" cm="1">
        <f t="array" ref="E28">Common_InputFunctions.Utility_DisplayArrayInTable(Fertiliser_SourceData.Fertiliser_ChemicalCompoundElements_Data(),Table_Fertiliser_ChemicalCompounds[[#Headers],[Fertiliser type f]], 0)</f>
        <v>1</v>
      </c>
      <c r="F28" s="62" cm="1">
        <f t="array" ref="F28">Common_InputFunctions.Utility_DisplayArrayInTable(Fertiliser_SourceData.Fertiliser_ChemicalCompoundElements_Data(),Table_Fertiliser_ChemicalCompounds[[#Headers],[Fertiliser type f]], 0)</f>
        <v>0</v>
      </c>
      <c r="G28" s="62" t="str" cm="1">
        <f t="array" ref="G28">Common_InputFunctions.Utility_DisplayArrayInTable(Fertiliser_SourceData.Fertiliser_ChemicalCompoundElements_Data(),Table_Fertiliser_ChemicalCompounds[[#Headers],[Fertiliser type f]], 0)</f>
        <v>Nitrate-based fertilisers</v>
      </c>
      <c r="H28" s="62" t="str" cm="1">
        <f t="array" ref="H28">Common_InputFunctions.Utility_DisplayArrayInTable(Fertiliser_SourceData.Fertiliser_ChemicalCompoundElements_Data(),Table_Fertiliser_ChemicalCompounds[[#Headers],[Fertiliser type f]], 0)</f>
        <v>Nitrogen from Nitrate</v>
      </c>
      <c r="I28" s="62"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A29" s="16" t="str">
        <f>HYPERLINK("#'10.1.1-2 Solid waste treatment'!A1", "10.1.1-2 Solid waste treatment")</f>
        <v>10.1.1-2 Solid waste treatment</v>
      </c>
      <c r="D29" s="62" t="str" cm="1">
        <f t="array" ref="D29">Common_InputFunctions.Utility_DisplayArrayInTable(Fertiliser_SourceData.Fertiliser_ChemicalCompoundElements_Data(),Table_Fertiliser_ChemicalCompounds[[#Headers],[Fertiliser type f]], 0)</f>
        <v>Nitrogen - Generic</v>
      </c>
      <c r="E29" s="62" cm="1">
        <f t="array" ref="E29">Common_InputFunctions.Utility_DisplayArrayInTable(Fertiliser_SourceData.Fertiliser_ChemicalCompoundElements_Data(),Table_Fertiliser_ChemicalCompounds[[#Headers],[Fertiliser type f]], 0)</f>
        <v>1</v>
      </c>
      <c r="F29" s="62" cm="1">
        <f t="array" ref="F29">Common_InputFunctions.Utility_DisplayArrayInTable(Fertiliser_SourceData.Fertiliser_ChemicalCompoundElements_Data(),Table_Fertiliser_ChemicalCompounds[[#Headers],[Fertiliser type f]], 0)</f>
        <v>0</v>
      </c>
      <c r="G29" s="62" t="str" cm="1">
        <f t="array" ref="G29">Common_InputFunctions.Utility_DisplayArrayInTable(Fertiliser_SourceData.Fertiliser_ChemicalCompoundElements_Data(),Table_Fertiliser_ChemicalCompounds[[#Headers],[Fertiliser type f]], 0)</f>
        <v>Urea-based fertilisers</v>
      </c>
      <c r="H29" s="62" t="str" cm="1">
        <f t="array" ref="H29">Common_InputFunctions.Utility_DisplayArrayInTable(Fertiliser_SourceData.Fertiliser_ChemicalCompoundElements_Data(),Table_Fertiliser_ChemicalCompounds[[#Headers],[Fertiliser type f]], 0)</f>
        <v>Nitrogen from fertiliser</v>
      </c>
      <c r="I29" s="6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16" t="str">
        <f>HYPERLINK("#'Calcs - Manure sent off-site'!A1", "Calcs - Manure sent off-site")</f>
        <v>Calcs - Manure sent off-site</v>
      </c>
      <c r="D30" s="62" t="str" cm="1">
        <f t="array" ref="D30">Common_InputFunctions.Utility_DisplayArrayInTable(Fertiliser_SourceData.Fertiliser_ChemicalCompoundElements_Data(),Table_Fertiliser_ChemicalCompounds[[#Headers],[Fertiliser type f]], 0)</f>
        <v>Phosphorus - Generic</v>
      </c>
      <c r="E30" s="62" cm="1">
        <f t="array" ref="E30">Common_InputFunctions.Utility_DisplayArrayInTable(Fertiliser_SourceData.Fertiliser_ChemicalCompoundElements_Data(),Table_Fertiliser_ChemicalCompounds[[#Headers],[Fertiliser type f]], 0)</f>
        <v>0</v>
      </c>
      <c r="F30" s="62" cm="1">
        <f t="array" ref="F30">Common_InputFunctions.Utility_DisplayArrayInTable(Fertiliser_SourceData.Fertiliser_ChemicalCompoundElements_Data(),Table_Fertiliser_ChemicalCompounds[[#Headers],[Fertiliser type f]], 0)</f>
        <v>0</v>
      </c>
      <c r="G30" s="62" t="str" cm="1">
        <f t="array" ref="G30">Common_InputFunctions.Utility_DisplayArrayInTable(Fertiliser_SourceData.Fertiliser_ChemicalCompoundElements_Data(),Table_Fertiliser_ChemicalCompounds[[#Headers],[Fertiliser type f]], 0)</f>
        <v>Other fertilisers</v>
      </c>
      <c r="H30" s="62" t="str" cm="1">
        <f t="array" ref="H30">Common_InputFunctions.Utility_DisplayArrayInTable(Fertiliser_SourceData.Fertiliser_ChemicalCompoundElements_Data(),Table_Fertiliser_ChemicalCompounds[[#Headers],[Fertiliser type f]], 0)</f>
        <v>Phosphorus from fertiliser</v>
      </c>
      <c r="I30" s="6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16" t="str">
        <f>HYPERLINK("#'8.1.1.1-2 Transport fuel'!A1", "8.1.1.1-2 Transport fuel")</f>
        <v>8.1.1.1-2 Transport fuel</v>
      </c>
      <c r="D31" s="62" t="str" cm="1">
        <f t="array" ref="D31">Common_InputFunctions.Utility_DisplayArrayInTable(Fertiliser_SourceData.Fertiliser_ChemicalCompoundElements_Data(),Table_Fertiliser_ChemicalCompounds[[#Headers],[Fertiliser type f]], 0)</f>
        <v>Potassium - Generic</v>
      </c>
      <c r="E31" s="62" cm="1">
        <f t="array" ref="E31">Common_InputFunctions.Utility_DisplayArrayInTable(Fertiliser_SourceData.Fertiliser_ChemicalCompoundElements_Data(),Table_Fertiliser_ChemicalCompounds[[#Headers],[Fertiliser type f]], 0)</f>
        <v>0</v>
      </c>
      <c r="F31" s="62" cm="1">
        <f t="array" ref="F31">Common_InputFunctions.Utility_DisplayArrayInTable(Fertiliser_SourceData.Fertiliser_ChemicalCompoundElements_Data(),Table_Fertiliser_ChemicalCompounds[[#Headers],[Fertiliser type f]], 0)</f>
        <v>0</v>
      </c>
      <c r="G31" s="62" t="str" cm="1">
        <f t="array" ref="G31">Common_InputFunctions.Utility_DisplayArrayInTable(Fertiliser_SourceData.Fertiliser_ChemicalCompoundElements_Data(),Table_Fertiliser_ChemicalCompounds[[#Headers],[Fertiliser type f]], 0)</f>
        <v>Other fertilisers</v>
      </c>
      <c r="H31" s="62" t="str" cm="1">
        <f t="array" ref="H31">Common_InputFunctions.Utility_DisplayArrayInTable(Fertiliser_SourceData.Fertiliser_ChemicalCompoundElements_Data(),Table_Fertiliser_ChemicalCompounds[[#Headers],[Fertiliser type f]], 0)</f>
        <v>Potassium from fertiliser</v>
      </c>
      <c r="I31" s="6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16" t="str">
        <f>HYPERLINK("#'8.2.1.1-2 Stationary fuel'!A1", "8.2.1.1-2 Stationary fuel")</f>
        <v>8.2.1.1-2 Stationary fuel</v>
      </c>
      <c r="D32" s="62" t="str" cm="1">
        <f t="array" ref="D32">Common_InputFunctions.Utility_DisplayArrayInTable(Fertiliser_SourceData.Fertiliser_ChemicalCompoundElements_Data(),Table_Fertiliser_ChemicalCompounds[[#Headers],[Fertiliser type f]], 0)</f>
        <v>Sulfur - Generic</v>
      </c>
      <c r="E32" s="62" cm="1">
        <f t="array" ref="E32">Common_InputFunctions.Utility_DisplayArrayInTable(Fertiliser_SourceData.Fertiliser_ChemicalCompoundElements_Data(),Table_Fertiliser_ChemicalCompounds[[#Headers],[Fertiliser type f]], 0)</f>
        <v>0</v>
      </c>
      <c r="F32" s="62" cm="1">
        <f t="array" ref="F32">Common_InputFunctions.Utility_DisplayArrayInTable(Fertiliser_SourceData.Fertiliser_ChemicalCompoundElements_Data(),Table_Fertiliser_ChemicalCompounds[[#Headers],[Fertiliser type f]], 0)</f>
        <v>0</v>
      </c>
      <c r="G32" s="62" t="str" cm="1">
        <f t="array" ref="G32">Common_InputFunctions.Utility_DisplayArrayInTable(Fertiliser_SourceData.Fertiliser_ChemicalCompoundElements_Data(),Table_Fertiliser_ChemicalCompounds[[#Headers],[Fertiliser type f]], 0)</f>
        <v>Other fertilisers</v>
      </c>
      <c r="H32" s="62" t="str" cm="1">
        <f t="array" ref="H32">Common_InputFunctions.Utility_DisplayArrayInTable(Fertiliser_SourceData.Fertiliser_ChemicalCompoundElements_Data(),Table_Fertiliser_ChemicalCompounds[[#Headers],[Fertiliser type f]], 0)</f>
        <v>Sulfur from fertiliser</v>
      </c>
      <c r="I32" s="6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c r="D33" s="62" t="str" cm="1">
        <f t="array" ref="D33">Common_InputFunctions.Utility_DisplayArrayInTable(Fertiliser_SourceData.Fertiliser_ChemicalCompoundElements_Data(),Table_Fertiliser_ChemicalCompounds[[#Headers],[Fertiliser type f]], 0)</f>
        <v>Zinc - Generic</v>
      </c>
      <c r="E33" s="62" cm="1">
        <f t="array" ref="E33">Common_InputFunctions.Utility_DisplayArrayInTable(Fertiliser_SourceData.Fertiliser_ChemicalCompoundElements_Data(),Table_Fertiliser_ChemicalCompounds[[#Headers],[Fertiliser type f]], 0)</f>
        <v>0</v>
      </c>
      <c r="F33" s="62" cm="1">
        <f t="array" ref="F33">Common_InputFunctions.Utility_DisplayArrayInTable(Fertiliser_SourceData.Fertiliser_ChemicalCompoundElements_Data(),Table_Fertiliser_ChemicalCompounds[[#Headers],[Fertiliser type f]], 0)</f>
        <v>0</v>
      </c>
      <c r="G33" s="62" t="str" cm="1">
        <f t="array" ref="G33">Common_InputFunctions.Utility_DisplayArrayInTable(Fertiliser_SourceData.Fertiliser_ChemicalCompoundElements_Data(),Table_Fertiliser_ChemicalCompounds[[#Headers],[Fertiliser type f]], 0)</f>
        <v>Other fertilisers</v>
      </c>
      <c r="H33" s="62" t="str" cm="1">
        <f t="array" ref="H33">Common_InputFunctions.Utility_DisplayArrayInTable(Fertiliser_SourceData.Fertiliser_ChemicalCompoundElements_Data(),Table_Fertiliser_ChemicalCompounds[[#Headers],[Fertiliser type f]], 0)</f>
        <v>Zinc from fertiliser</v>
      </c>
      <c r="I33" s="6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c r="D34" s="62" t="str" cm="1">
        <f t="array" ref="D34">Common_InputFunctions.Utility_DisplayArrayInTable(Fertiliser_SourceData.Fertiliser_ChemicalCompoundElements_Data(),Table_Fertiliser_ChemicalCompounds[[#Headers],[Fertiliser type f]], 0)</f>
        <v>Muriate of potash (MOP)</v>
      </c>
      <c r="E34" s="62" cm="1">
        <f t="array" ref="E34">Common_InputFunctions.Utility_DisplayArrayInTable(Fertiliser_SourceData.Fertiliser_ChemicalCompoundElements_Data(),Table_Fertiliser_ChemicalCompounds[[#Headers],[Fertiliser type f]], 0)</f>
        <v>0</v>
      </c>
      <c r="F34" s="62" cm="1">
        <f t="array" ref="F34">Common_InputFunctions.Utility_DisplayArrayInTable(Fertiliser_SourceData.Fertiliser_ChemicalCompoundElements_Data(),Table_Fertiliser_ChemicalCompounds[[#Headers],[Fertiliser type f]], 0)</f>
        <v>0</v>
      </c>
      <c r="G34" s="62" t="str" cm="1">
        <f t="array" ref="G34">Common_InputFunctions.Utility_DisplayArrayInTable(Fertiliser_SourceData.Fertiliser_ChemicalCompoundElements_Data(),Table_Fertiliser_ChemicalCompounds[[#Headers],[Fertiliser type f]], 0)</f>
        <v>Other fertilisers</v>
      </c>
      <c r="H34" s="62" t="str" cm="1">
        <f t="array" ref="H34">Common_InputFunctions.Utility_DisplayArrayInTable(Fertiliser_SourceData.Fertiliser_ChemicalCompoundElements_Data(),Table_Fertiliser_ChemicalCompounds[[#Headers],[Fertiliser type f]], 0)</f>
        <v>Muriate of potash (MOP)</v>
      </c>
      <c r="I34" s="6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222" t="s">
        <v>78</v>
      </c>
      <c r="D35" s="62" t="str" cm="1">
        <f t="array" ref="D35">Common_InputFunctions.Utility_DisplayArrayInTable(Fertiliser_SourceData.Fertiliser_ChemicalCompoundElements_Data(),Table_Fertiliser_ChemicalCompounds[[#Headers],[Fertiliser type f]], 0)</f>
        <v>Double superphosphate</v>
      </c>
      <c r="E35" s="62" cm="1">
        <f t="array" ref="E35">Common_InputFunctions.Utility_DisplayArrayInTable(Fertiliser_SourceData.Fertiliser_ChemicalCompoundElements_Data(),Table_Fertiliser_ChemicalCompounds[[#Headers],[Fertiliser type f]], 0)</f>
        <v>0</v>
      </c>
      <c r="F35" s="62" cm="1">
        <f t="array" ref="F35">Common_InputFunctions.Utility_DisplayArrayInTable(Fertiliser_SourceData.Fertiliser_ChemicalCompoundElements_Data(),Table_Fertiliser_ChemicalCompounds[[#Headers],[Fertiliser type f]], 0)</f>
        <v>0</v>
      </c>
      <c r="G35" s="62" t="str" cm="1">
        <f t="array" ref="G35">Common_InputFunctions.Utility_DisplayArrayInTable(Fertiliser_SourceData.Fertiliser_ChemicalCompoundElements_Data(),Table_Fertiliser_ChemicalCompounds[[#Headers],[Fertiliser type f]], 0)</f>
        <v>Other fertilisers</v>
      </c>
      <c r="H35" s="62" t="str" cm="1">
        <f t="array" ref="H35">Common_InputFunctions.Utility_DisplayArrayInTable(Fertiliser_SourceData.Fertiliser_ChemicalCompoundElements_Data(),Table_Fertiliser_ChemicalCompounds[[#Headers],[Fertiliser type f]], 0)</f>
        <v>Double superphosphate</v>
      </c>
      <c r="I35" s="6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16" t="str">
        <f>HYPERLINK("#'Constants - Scope 3'!A1", "Constants - Scope 3")</f>
        <v>Constants - Scope 3</v>
      </c>
      <c r="D36" s="62" t="str" cm="1">
        <f t="array" ref="D36">Common_InputFunctions.Utility_DisplayArrayInTable(Fertiliser_SourceData.Fertiliser_ChemicalCompoundElements_Data(),Table_Fertiliser_ChemicalCompounds[[#Headers],[Fertiliser type f]], 0)</f>
        <v>Single superphosphate (SSP)</v>
      </c>
      <c r="E36" s="62" cm="1">
        <f t="array" ref="E36">Common_InputFunctions.Utility_DisplayArrayInTable(Fertiliser_SourceData.Fertiliser_ChemicalCompoundElements_Data(),Table_Fertiliser_ChemicalCompounds[[#Headers],[Fertiliser type f]], 0)</f>
        <v>0</v>
      </c>
      <c r="F36" s="62" cm="1">
        <f t="array" ref="F36">Common_InputFunctions.Utility_DisplayArrayInTable(Fertiliser_SourceData.Fertiliser_ChemicalCompoundElements_Data(),Table_Fertiliser_ChemicalCompounds[[#Headers],[Fertiliser type f]], 0)</f>
        <v>0</v>
      </c>
      <c r="G36" s="62" t="str" cm="1">
        <f t="array" ref="G36">Common_InputFunctions.Utility_DisplayArrayInTable(Fertiliser_SourceData.Fertiliser_ChemicalCompoundElements_Data(),Table_Fertiliser_ChemicalCompounds[[#Headers],[Fertiliser type f]], 0)</f>
        <v>Other fertilisers</v>
      </c>
      <c r="H36" s="62" t="str" cm="1">
        <f t="array" ref="H36">Common_InputFunctions.Utility_DisplayArrayInTable(Fertiliser_SourceData.Fertiliser_ChemicalCompoundElements_Data(),Table_Fertiliser_ChemicalCompounds[[#Headers],[Fertiliser type f]], 0)</f>
        <v>Single superphosphate (SSP)</v>
      </c>
      <c r="I36" s="6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16" t="str">
        <f>HYPERLINK("#'Constants - Solid Waste'!A1", "Constants - Solid Waste")</f>
        <v>Constants - Solid Waste</v>
      </c>
      <c r="D37" s="62" t="str" cm="1">
        <f t="array" ref="D37">Common_InputFunctions.Utility_DisplayArrayInTable(Fertiliser_SourceData.Fertiliser_ChemicalCompoundElements_Data(),Table_Fertiliser_ChemicalCompounds[[#Headers],[Fertiliser type f]], 0)</f>
        <v>Ammonia</v>
      </c>
      <c r="E37" s="62" cm="1">
        <f t="array" ref="E37">Common_InputFunctions.Utility_DisplayArrayInTable(Fertiliser_SourceData.Fertiliser_ChemicalCompoundElements_Data(),Table_Fertiliser_ChemicalCompounds[[#Headers],[Fertiliser type f]], 0)</f>
        <v>0.82350000000000001</v>
      </c>
      <c r="F37" s="62" cm="1">
        <f t="array" ref="F37">Common_InputFunctions.Utility_DisplayArrayInTable(Fertiliser_SourceData.Fertiliser_ChemicalCompoundElements_Data(),Table_Fertiliser_ChemicalCompounds[[#Headers],[Fertiliser type f]], 0)</f>
        <v>0</v>
      </c>
      <c r="G37" s="62" t="str" cm="1">
        <f t="array" ref="G37">Common_InputFunctions.Utility_DisplayArrayInTable(Fertiliser_SourceData.Fertiliser_ChemicalCompoundElements_Data(),Table_Fertiliser_ChemicalCompounds[[#Headers],[Fertiliser type f]], 0)</f>
        <v>Ammonium-based fertilisers</v>
      </c>
      <c r="H37" s="62" t="str" cm="1">
        <f t="array" ref="H37">Common_InputFunctions.Utility_DisplayArrayInTable(Fertiliser_SourceData.Fertiliser_ChemicalCompoundElements_Data(),Table_Fertiliser_ChemicalCompounds[[#Headers],[Fertiliser type f]], 0)</f>
        <v>Ammonia</v>
      </c>
      <c r="I37" s="6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16" t="str">
        <f>HYPERLINK("#'Constants - Fuel'!A1", "Constants - Fuel")</f>
        <v>Constants - Fuel</v>
      </c>
      <c r="D38" s="10" t="str" cm="1">
        <f t="array" ref="D38">Common_InputFunctions.Utility_DisplayArrayInTable(Fertiliser_SourceData.Fertiliser_ChemicalCompoundElements_Data(),Table_Fertiliser_ChemicalCompounds[[#Headers],[Fertiliser type f]], 0)</f>
        <v>Calcium nitrate</v>
      </c>
      <c r="E38" s="10" cm="1">
        <f t="array" ref="E38">Common_InputFunctions.Utility_DisplayArrayInTable(Fertiliser_SourceData.Fertiliser_ChemicalCompoundElements_Data(),Table_Fertiliser_ChemicalCompounds[[#Headers],[Fertiliser type f]], 0)</f>
        <v>0.155</v>
      </c>
      <c r="F38" s="10" cm="1">
        <f t="array" ref="F38">Common_InputFunctions.Utility_DisplayArrayInTable(Fertiliser_SourceData.Fertiliser_ChemicalCompoundElements_Data(),Table_Fertiliser_ChemicalCompounds[[#Headers],[Fertiliser type f]], 0)</f>
        <v>0</v>
      </c>
      <c r="G38" s="10" t="str" cm="1">
        <f t="array" ref="G38">Common_InputFunctions.Utility_DisplayArrayInTable(Fertiliser_SourceData.Fertiliser_ChemicalCompoundElements_Data(),Table_Fertiliser_ChemicalCompounds[[#Headers],[Fertiliser type f]], 0)</f>
        <v>Nitrate-based fertilisers</v>
      </c>
      <c r="H38" s="10" t="str" cm="1">
        <f t="array" ref="H38">Common_InputFunctions.Utility_DisplayArrayInTable(Fertiliser_SourceData.Fertiliser_ChemicalCompoundElements_Data(),Table_Fertiliser_ChemicalCompounds[[#Headers],[Fertiliser type f]], 0)</f>
        <v>Calcium nitrate</v>
      </c>
      <c r="I38" s="1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16" t="str">
        <f>HYPERLINK("#'Constants - Poultry'!A1", "Constants - Poultry")</f>
        <v>Constants - Poultry</v>
      </c>
    </row>
    <row r="40" spans="1:10" ht="20.100000000000001" customHeight="1" x14ac:dyDescent="0.25">
      <c r="A40" s="16" t="str">
        <f>HYPERLINK("#'Constants - Swine'!A1", "Constants - Swine")</f>
        <v>Constants - Swine</v>
      </c>
      <c r="D40" s="9" t="s">
        <v>140</v>
      </c>
      <c r="F40" s="9" t="s">
        <v>141</v>
      </c>
      <c r="H40" s="9" t="s">
        <v>142</v>
      </c>
      <c r="J40" s="9" t="s">
        <v>143</v>
      </c>
    </row>
    <row r="41" spans="1:10" ht="20.100000000000001" customHeight="1" x14ac:dyDescent="0.25">
      <c r="A41" s="16" t="str">
        <f>HYPERLINK("#'Constants - Dairy'!A1", "Constants - Dairy")</f>
        <v>Constants - Dairy</v>
      </c>
      <c r="D41" s="10" t="s">
        <v>144</v>
      </c>
      <c r="F41" s="10" t="s">
        <v>144</v>
      </c>
      <c r="H41" s="10" t="s">
        <v>43</v>
      </c>
      <c r="J41" s="10" t="s">
        <v>145</v>
      </c>
    </row>
    <row r="42" spans="1:10" ht="20.100000000000001" customHeight="1" x14ac:dyDescent="0.25">
      <c r="A42" s="16" t="str">
        <f>HYPERLINK("#'Constants - Pasture Beef'!A1", "Constants - Pasture Beef")</f>
        <v>Constants - Pasture Beef</v>
      </c>
      <c r="D42" s="10" t="s">
        <v>146</v>
      </c>
      <c r="F42" s="10" t="s">
        <v>146</v>
      </c>
      <c r="H42" s="10" t="s">
        <v>147</v>
      </c>
      <c r="J42" s="10" t="s">
        <v>148</v>
      </c>
    </row>
    <row r="43" spans="1:10" ht="20.100000000000001" customHeight="1" x14ac:dyDescent="0.25">
      <c r="A43" s="16" t="str">
        <f>HYPERLINK("#'Constants - Common Livestock'!A1", "Constants - Common Livestock")</f>
        <v>Constants - Common Livestock</v>
      </c>
      <c r="D43" s="8" t="s">
        <v>149</v>
      </c>
      <c r="F43" s="8" t="s">
        <v>150</v>
      </c>
      <c r="H43" s="10" t="s">
        <v>151</v>
      </c>
      <c r="J43" s="8" t="s">
        <v>152</v>
      </c>
    </row>
    <row r="44" spans="1:10" ht="20.100000000000001" customHeight="1" x14ac:dyDescent="0.25">
      <c r="A44" s="23" t="str">
        <f>HYPERLINK("#'Constants - Fertiliser'!A1", "Constants - Fertiliser")</f>
        <v>Constants - Fertiliser</v>
      </c>
      <c r="F44" s="8" t="s">
        <v>153</v>
      </c>
      <c r="H44" s="8" t="s">
        <v>154</v>
      </c>
      <c r="J44" s="8" t="s">
        <v>155</v>
      </c>
    </row>
    <row r="45" spans="1:10" ht="20.100000000000001" customHeight="1" x14ac:dyDescent="0.25">
      <c r="A45" s="16" t="str">
        <f>HYPERLINK("#'Constants - Electricity'!A1", "Constants - Electricity")</f>
        <v>Constants - Electricity</v>
      </c>
      <c r="F45" s="8" t="s">
        <v>156</v>
      </c>
      <c r="H45" s="8" t="s">
        <v>157</v>
      </c>
      <c r="J45" s="8" t="s">
        <v>158</v>
      </c>
    </row>
    <row r="46" spans="1:10" ht="20.100000000000001" customHeight="1" x14ac:dyDescent="0.25">
      <c r="A46" s="16" t="str">
        <f>HYPERLINK("#'Constants - Common'!A1", "Constants - Common")</f>
        <v>Constants - Common</v>
      </c>
      <c r="H46" s="8" t="s">
        <v>159</v>
      </c>
      <c r="J46" s="8" t="s">
        <v>160</v>
      </c>
    </row>
    <row r="47" spans="1:10" ht="20.100000000000001" customHeight="1" x14ac:dyDescent="0.25">
      <c r="A47"/>
    </row>
    <row r="48" spans="1:10" ht="20.100000000000001" customHeight="1" x14ac:dyDescent="0.25">
      <c r="A48"/>
      <c r="D48" s="9" t="str" cm="1">
        <f t="array" ref="D48">Fertiliser_SourceData.Fertiliser_FracGASF_Title()</f>
        <v>Fraction of inorganic fertiliser that volatilises as NH3 and NOx</v>
      </c>
      <c r="G48" s="17"/>
    </row>
    <row r="49" spans="1:8" ht="20.100000000000001" customHeight="1" x14ac:dyDescent="0.25">
      <c r="A49"/>
      <c r="D49" s="11" t="str" cm="1">
        <f t="array" ref="D49">Fertiliser_SourceData.Fertiliser_FracGASF_Source()</f>
        <v>Table A.2.2.6: Fraction of inorganic fertiliser f that volatilises as NH3 and NOx ((kg NH3-N + NOx-N)/kg N) (FracGASFf)</v>
      </c>
      <c r="G49" s="17"/>
    </row>
    <row r="50" spans="1:8" ht="20.100000000000001" customHeight="1" x14ac:dyDescent="0.25">
      <c r="A50"/>
      <c r="D50" s="10" t="s">
        <v>134</v>
      </c>
      <c r="E50" s="10" t="s">
        <v>161</v>
      </c>
      <c r="G50" s="17"/>
    </row>
    <row r="51" spans="1:8" ht="20.100000000000001" customHeight="1" x14ac:dyDescent="0.25">
      <c r="A51"/>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1:8" ht="20.100000000000001" customHeight="1" x14ac:dyDescent="0.25">
      <c r="A52"/>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1:8" ht="20.100000000000001" customHeight="1" x14ac:dyDescent="0.25">
      <c r="A53"/>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1:8" ht="20.100000000000001" customHeight="1" x14ac:dyDescent="0.25">
      <c r="A54"/>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1:8" ht="20.100000000000001" customHeight="1" x14ac:dyDescent="0.25">
      <c r="A5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1:8" ht="20.100000000000001" customHeight="1" x14ac:dyDescent="0.25">
      <c r="A56"/>
    </row>
    <row r="57" spans="1:8" ht="20.100000000000001" customHeight="1" x14ac:dyDescent="0.25">
      <c r="A57"/>
    </row>
    <row r="58" spans="1:8" ht="20.100000000000001" customHeight="1" x14ac:dyDescent="0.25">
      <c r="A58"/>
      <c r="D58" s="9" t="str" cm="1">
        <f t="array" ref="D58">Fertiliser_SourceData.Fertiliser_EFUreaCO2_Title()</f>
        <v>Emission factor for carbon emissions from urea application</v>
      </c>
    </row>
    <row r="59" spans="1:8" ht="20.100000000000001" customHeight="1" x14ac:dyDescent="0.25">
      <c r="A59"/>
      <c r="D59" s="11" t="str" cm="1">
        <f t="array" ref="D59">Fertiliser_SourceData.Fertiliser_EFUreaCO2_Source()</f>
        <v>VEERG 2026: 5.1.2.2 Constant Parameters</v>
      </c>
    </row>
    <row r="60" spans="1:8" ht="20.100000000000001" customHeight="1" x14ac:dyDescent="0.25">
      <c r="A60"/>
      <c r="D60" s="27"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9" t="str" cm="1">
        <f t="array" ref="D63">Fertiliser_SourceData.Fertiliser_LimeDolomiteGypsumConstants_Title()</f>
        <v>Constants for lime, dolomite and gypsum</v>
      </c>
    </row>
    <row r="64" spans="1:8" ht="20.100000000000001" customHeight="1" x14ac:dyDescent="0.25">
      <c r="A64"/>
      <c r="D64" s="11" t="str" cm="1">
        <f t="array" ref="D64">Fertiliser_SourceData.Fertiliser_LimeDolomiteGypsumConstants_Source()</f>
        <v>VEERG 2026: 5.3.2.3 Constant Parameters</v>
      </c>
    </row>
    <row r="65" spans="1:6" ht="20.100000000000001" customHeight="1" x14ac:dyDescent="0.25">
      <c r="A65"/>
      <c r="D65" s="10" t="s">
        <v>162</v>
      </c>
      <c r="E65" s="10" t="s">
        <v>163</v>
      </c>
      <c r="F65" s="10" t="s">
        <v>164</v>
      </c>
    </row>
    <row r="66" spans="1:6" ht="20.100000000000001" customHeight="1" x14ac:dyDescent="0.25">
      <c r="A66"/>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9" t="str" cm="1">
        <f t="array" ref="D71">Fertiliser_SourceData.Fertiliser_FracGASMSoil_Title()</f>
        <v>Fraction of organic fertiliser that volatilises as NH3 and NOx</v>
      </c>
    </row>
    <row r="72" spans="1:6" ht="20.100000000000001" customHeight="1" x14ac:dyDescent="0.25">
      <c r="A72"/>
      <c r="D72" s="11" t="str" cm="1">
        <f t="array" ref="D72">Fertiliser_SourceData.Fertiliser_FracGASMSoil_Source()</f>
        <v>VEERG 2026: 5.4.2.3 Constant Parameters</v>
      </c>
    </row>
    <row r="73" spans="1:6" ht="20.100000000000001" customHeight="1" x14ac:dyDescent="0.25">
      <c r="A73"/>
      <c r="D73" s="27"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9" t="str" cm="1">
        <f t="array" ref="D76">Fertiliser_SourceData.Fertiliser_FracLEACH_Title()</f>
        <v>Fraction of nitrogen that is lost through leaching and runoff</v>
      </c>
    </row>
    <row r="77" spans="1:6" ht="20.100000000000001" customHeight="1" x14ac:dyDescent="0.25">
      <c r="A77"/>
      <c r="D77" s="11" t="str" cm="1">
        <f t="array" ref="D77">Fertiliser_SourceData.Fertiliser_FracLEACH_Source()</f>
        <v>VEERG 2026: 5.5.2.3 Constant Parameters</v>
      </c>
    </row>
    <row r="78" spans="1:6" ht="20.100000000000001" customHeight="1" x14ac:dyDescent="0.25">
      <c r="A78"/>
      <c r="D78" s="27"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1:6" ht="20.100000000000001" customHeight="1" x14ac:dyDescent="0.25">
      <c r="A79"/>
    </row>
    <row r="80" spans="1:6" ht="20.100000000000001" customHeight="1" x14ac:dyDescent="0.25">
      <c r="A80"/>
    </row>
    <row r="81" spans="1:39" ht="20.100000000000001" customHeight="1" x14ac:dyDescent="0.25">
      <c r="A81"/>
      <c r="D81" s="9" t="str" cm="1">
        <f t="array" ref="D81">Fertiliser_SourceData.Fertiliser_EFLeach_Title()</f>
        <v>Emission factor for nitrogen leaching and runoff</v>
      </c>
    </row>
    <row r="82" spans="1:39" ht="20.100000000000001" customHeight="1" x14ac:dyDescent="0.25">
      <c r="A82"/>
      <c r="D82" s="11" t="str" cm="1">
        <f t="array" ref="D82">Fertiliser_SourceData.Fertiliser_EFLeach_Source()</f>
        <v>VEERG 2026: 5.5.2.3 Constant Parameters</v>
      </c>
    </row>
    <row r="83" spans="1:39" ht="20.100000000000001" customHeight="1" x14ac:dyDescent="0.25">
      <c r="A83"/>
      <c r="D83" s="27"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1:39" ht="20.100000000000001" customHeight="1" x14ac:dyDescent="0.25">
      <c r="A84"/>
    </row>
    <row r="85" spans="1:39" ht="20.100000000000001" customHeight="1" x14ac:dyDescent="0.25">
      <c r="A85"/>
    </row>
    <row r="86" spans="1:39" ht="20.100000000000001" customHeight="1" x14ac:dyDescent="0.25">
      <c r="A86"/>
      <c r="N86" s="8" t="s">
        <v>957</v>
      </c>
    </row>
    <row r="87" spans="1:39" ht="20.100000000000001" customHeight="1" x14ac:dyDescent="0.25">
      <c r="A87"/>
      <c r="D87" s="9" t="s">
        <v>165</v>
      </c>
      <c r="E87" s="17"/>
      <c r="F87" s="17"/>
      <c r="G87" s="17"/>
      <c r="H87" s="17"/>
      <c r="I87" s="17"/>
      <c r="J87" s="17"/>
      <c r="K87" s="17"/>
      <c r="L87" s="17"/>
      <c r="N87" s="17" t="s">
        <v>957</v>
      </c>
      <c r="O87" s="17"/>
      <c r="P87" s="17"/>
      <c r="Q87" s="17"/>
      <c r="R87" s="17"/>
      <c r="S87" s="17"/>
      <c r="T87" s="17"/>
      <c r="U87" s="17"/>
    </row>
    <row r="88" spans="1:39" ht="20.100000000000001" customHeight="1" x14ac:dyDescent="0.25">
      <c r="A88"/>
      <c r="D88" s="17"/>
    </row>
    <row r="89" spans="1:39" ht="20.100000000000001" customHeight="1" x14ac:dyDescent="0.25">
      <c r="A89"/>
      <c r="D89" s="63" t="s">
        <v>166</v>
      </c>
      <c r="E89" s="10" t="s">
        <v>208</v>
      </c>
      <c r="F89" s="10" t="s">
        <v>96</v>
      </c>
      <c r="G89" s="64" t="s">
        <v>306</v>
      </c>
      <c r="H89" s="64" t="s">
        <v>958</v>
      </c>
      <c r="I89" s="64" t="s">
        <v>168</v>
      </c>
      <c r="J89" s="64" t="s">
        <v>169</v>
      </c>
      <c r="K89" s="64" t="s">
        <v>959</v>
      </c>
      <c r="L89" s="64" t="s">
        <v>960</v>
      </c>
      <c r="M89" s="64" t="s">
        <v>961</v>
      </c>
      <c r="N89" s="64" t="s">
        <v>962</v>
      </c>
      <c r="O89" s="64" t="s">
        <v>170</v>
      </c>
      <c r="P89" s="64" t="s">
        <v>171</v>
      </c>
      <c r="Q89" s="10" t="s">
        <v>172</v>
      </c>
      <c r="R89" s="10" t="s">
        <v>173</v>
      </c>
      <c r="S89" s="10" t="s">
        <v>174</v>
      </c>
      <c r="T89" s="10" t="s">
        <v>175</v>
      </c>
      <c r="U89" s="64" t="s">
        <v>176</v>
      </c>
      <c r="V89" s="64" t="s">
        <v>177</v>
      </c>
      <c r="W89" s="10" t="s">
        <v>178</v>
      </c>
      <c r="X89" s="64" t="s">
        <v>179</v>
      </c>
      <c r="Y89" s="64" t="s">
        <v>180</v>
      </c>
      <c r="Z89" s="64" t="s">
        <v>181</v>
      </c>
      <c r="AA89" s="64" t="s">
        <v>182</v>
      </c>
      <c r="AB89" s="64" t="s">
        <v>183</v>
      </c>
      <c r="AC89" s="10" t="s">
        <v>184</v>
      </c>
      <c r="AD89" s="10" t="s">
        <v>185</v>
      </c>
      <c r="AE89" s="10" t="s">
        <v>186</v>
      </c>
      <c r="AF89" s="10" t="s">
        <v>187</v>
      </c>
      <c r="AG89" s="10" t="s">
        <v>963</v>
      </c>
      <c r="AH89" s="10" t="s">
        <v>188</v>
      </c>
      <c r="AK89" s="8"/>
      <c r="AL89" s="8"/>
      <c r="AM89" s="8"/>
    </row>
    <row r="90" spans="1:39" ht="20.100000000000001" customHeight="1" x14ac:dyDescent="0.25">
      <c r="A90"/>
      <c r="D90" s="62" t="str" cm="1">
        <f t="array" ref="D90">Common_InputFunctions.Utility_DisplayArrayInTable(Fertiliser_SourceData.Fertiliser_Products_Data1(), FertiliserProducts[[#Headers],[Company]],1)</f>
        <v>Include or exclude</v>
      </c>
      <c r="E90" s="62" t="str" cm="1">
        <f t="array" ref="E90">Common_InputFunctions.Utility_DisplayArrayInTable(Fertiliser_SourceData.Fertiliser_Products_Data1(), FertiliserProducts[[#Headers],[Company]],1)</f>
        <v>Notes</v>
      </c>
      <c r="F90" s="62" t="str" cm="1">
        <f t="array" ref="F90">Common_InputFunctions.Utility_DisplayArrayInTable(Fertiliser_SourceData.Fertiliser_Products_Data1(), FertiliserProducts[[#Headers],[Company]],1)</f>
        <v>Company</v>
      </c>
      <c r="G90" s="62" t="str" cm="1">
        <f t="array" ref="G90">Common_InputFunctions.Utility_DisplayArrayInTable(Fertiliser_SourceData.Fertiliser_Products_Data1(), FertiliserProducts[[#Headers],[Company]],1)</f>
        <v>Product Name</v>
      </c>
      <c r="H90" s="62" t="str" cm="1">
        <f t="array" ref="H90">Common_InputFunctions.Utility_DisplayArrayInTable(Fertiliser_SourceData.Fertiliser_Products_Data1(), FertiliserProducts[[#Headers],[Company]],1)</f>
        <v>Link</v>
      </c>
      <c r="I90" s="62" t="str" cm="1">
        <f t="array" ref="I90">Common_InputFunctions.Utility_DisplayArrayInTable(Fertiliser_SourceData.Fertiliser_Products_Data1(), FertiliserProducts[[#Headers],[Company]],1)</f>
        <v>Data source</v>
      </c>
      <c r="J90" s="62" t="str" cm="1">
        <f t="array" ref="J90">Common_InputFunctions.Utility_DisplayArrayInTable(Fertiliser_SourceData.Fertiliser_Products_Data1(), FertiliserProducts[[#Headers],[Company]],1)</f>
        <v>Source images</v>
      </c>
      <c r="K90" s="62" t="str" cm="1">
        <f t="array" ref="K90">Common_InputFunctions.Utility_DisplayArrayInTable(Fertiliser_SourceData.Fertiliser_Products_Data1(), FertiliserProducts[[#Headers],[Company]],1)</f>
        <v>Unit</v>
      </c>
      <c r="L90" s="62" t="str" cm="1">
        <f t="array" ref="L90">Common_InputFunctions.Utility_DisplayArrayInTable(Fertiliser_SourceData.Fertiliser_Products_Data1(), FertiliserProducts[[#Headers],[Company]],1)</f>
        <v>Density (l to kg)</v>
      </c>
      <c r="M90" s="62" t="str" cm="1">
        <f t="array" ref="M90">Common_InputFunctions.Utility_DisplayArrayInTable(Fertiliser_SourceData.Fertiliser_Products_Data1(), FertiliserProducts[[#Headers],[Company]],1)</f>
        <v>Urea source</v>
      </c>
      <c r="N90" s="62" t="str" cm="1">
        <f t="array" ref="N90">Common_InputFunctions.Utility_DisplayArrayInTable(Fertiliser_SourceData.Fertiliser_Products_Data1(), FertiliserProducts[[#Headers],[Company]],1)</f>
        <v>Ammonia source</v>
      </c>
      <c r="O90" s="62" t="str" cm="1">
        <f t="array" ref="O90">Common_InputFunctions.Utility_DisplayArrayInTable(Fertiliser_SourceData.Fertiliser_Products_Data1(), FertiliserProducts[[#Headers],[Company]],1)</f>
        <v>Ingredient 1</v>
      </c>
      <c r="P90" s="62" t="str" cm="1">
        <f t="array" ref="P90">Common_InputFunctions.Utility_DisplayArrayInTable(Fertiliser_SourceData.Fertiliser_Products_Data1(), FertiliserProducts[[#Headers],[Company]],1)</f>
        <v>Ingredient 1 percent</v>
      </c>
      <c r="Q90" s="62" t="str" cm="1">
        <f t="array" ref="Q90">Common_InputFunctions.Utility_DisplayArrayInTable(Fertiliser_SourceData.Fertiliser_Products_Data1(), FertiliserProducts[[#Headers],[Company]],1)</f>
        <v>Ingredient 2</v>
      </c>
      <c r="R90" s="62" t="str" cm="1">
        <f t="array" ref="R90">Common_InputFunctions.Utility_DisplayArrayInTable(Fertiliser_SourceData.Fertiliser_Products_Data1(), FertiliserProducts[[#Headers],[Company]],1)</f>
        <v>Ingredient 2 percent</v>
      </c>
      <c r="S90" s="62" t="str" cm="1">
        <f t="array" ref="S90">Common_InputFunctions.Utility_DisplayArrayInTable(Fertiliser_SourceData.Fertiliser_Products_Data1(), FertiliserProducts[[#Headers],[Company]],1)</f>
        <v>Ingredient 3</v>
      </c>
      <c r="T90" s="62" t="str" cm="1">
        <f t="array" ref="T90">Common_InputFunctions.Utility_DisplayArrayInTable(Fertiliser_SourceData.Fertiliser_Products_Data1(), FertiliserProducts[[#Headers],[Company]],1)</f>
        <v>Ingredient 3 percent</v>
      </c>
      <c r="U90" s="62" t="str" cm="1">
        <f t="array" ref="U90">Common_InputFunctions.Utility_DisplayArrayInTable(Fertiliser_SourceData.Fertiliser_Products_Data1(), FertiliserProducts[[#Headers],[Company]],1)</f>
        <v>Ingredient 4</v>
      </c>
      <c r="V90" s="62" t="str" cm="1">
        <f t="array" ref="V90">Common_InputFunctions.Utility_DisplayArrayInTable(Fertiliser_SourceData.Fertiliser_Products_Data1(), FertiliserProducts[[#Headers],[Company]],1)</f>
        <v>Ingredient 4 percent</v>
      </c>
      <c r="W90" s="62" t="str" cm="1">
        <f t="array" ref="W90">Common_InputFunctions.Utility_DisplayArrayInTable(Fertiliser_SourceData.Fertiliser_Products_Data1(), FertiliserProducts[[#Headers],[Company]],1)</f>
        <v>Ingredient 5</v>
      </c>
      <c r="X90" s="62" t="str" cm="1">
        <f t="array" ref="X90">Common_InputFunctions.Utility_DisplayArrayInTable(Fertiliser_SourceData.Fertiliser_Products_Data1(), FertiliserProducts[[#Headers],[Company]],1)</f>
        <v>Ingredient 5 percent</v>
      </c>
      <c r="Y90" s="62" t="str" cm="1">
        <f t="array" ref="Y90">Common_InputFunctions.Utility_DisplayArrayInTable(Fertiliser_SourceData.Fertiliser_Products_Data1(), FertiliserProducts[[#Headers],[Company]],1)</f>
        <v>Ingredient 6</v>
      </c>
      <c r="Z90" s="62" t="str" cm="1">
        <f t="array" ref="Z90">Common_InputFunctions.Utility_DisplayArrayInTable(Fertiliser_SourceData.Fertiliser_Products_Data1(), FertiliserProducts[[#Headers],[Company]],1)</f>
        <v>Ingredient 6 percent</v>
      </c>
      <c r="AA90" s="62" t="str" cm="1">
        <f t="array" ref="AA90">Common_InputFunctions.Utility_DisplayArrayInTable(Fertiliser_SourceData.Fertiliser_Products_Data1(), FertiliserProducts[[#Headers],[Company]],1)</f>
        <v>Ingredient 7</v>
      </c>
      <c r="AB90" s="62" t="str" cm="1">
        <f t="array" ref="AB90">Common_InputFunctions.Utility_DisplayArrayInTable(Fertiliser_SourceData.Fertiliser_Products_Data1(), FertiliserProducts[[#Headers],[Company]],1)</f>
        <v>Ingredient 7 percent</v>
      </c>
      <c r="AC90" s="62" t="str" cm="1">
        <f t="array" ref="AC90">Common_InputFunctions.Utility_DisplayArrayInTable(Fertiliser_SourceData.Fertiliser_Products_Data1(), FertiliserProducts[[#Headers],[Company]],1)</f>
        <v>Ingredient 8</v>
      </c>
      <c r="AD90" s="62" t="str" cm="1">
        <f t="array" ref="AD90">Common_InputFunctions.Utility_DisplayArrayInTable(Fertiliser_SourceData.Fertiliser_Products_Data1(), FertiliserProducts[[#Headers],[Company]],1)</f>
        <v>Ingredient 8 percent</v>
      </c>
      <c r="AE90" s="62" t="str" cm="1">
        <f t="array" ref="AE90">Common_InputFunctions.Utility_DisplayArrayInTable(Fertiliser_SourceData.Fertiliser_Products_Data1(), FertiliserProducts[[#Headers],[Company]],1)</f>
        <v>Ingredient 9</v>
      </c>
      <c r="AF90" s="62" t="str" cm="1">
        <f t="array" ref="AF90">Common_InputFunctions.Utility_DisplayArrayInTable(Fertiliser_SourceData.Fertiliser_Products_Data1(), FertiliserProducts[[#Headers],[Company]],1)</f>
        <v>Ingredient 9 percent</v>
      </c>
      <c r="AG90" s="62" t="str" cm="1">
        <f t="array" ref="AG90">Common_InputFunctions.Utility_DisplayArrayInTable(Fertiliser_SourceData.Fertiliser_Products_Data1(), FertiliserProducts[[#Headers],[Company]],1)</f>
        <v>Ingredient 10</v>
      </c>
      <c r="AH90" s="62" t="str" cm="1">
        <f t="array" ref="AH90">Common_InputFunctions.Utility_DisplayArrayInTable(Fertiliser_SourceData.Fertiliser_Products_Data1(), FertiliserProducts[[#Headers],[Company]],1)</f>
        <v>Ingredient 10 percent</v>
      </c>
      <c r="AK90" s="8"/>
      <c r="AL90" s="8"/>
      <c r="AM90" s="8"/>
    </row>
    <row r="91" spans="1:39" ht="20.100000000000001" customHeight="1" x14ac:dyDescent="0.25">
      <c r="A91"/>
      <c r="D91" s="62" t="str" cm="1">
        <f t="array" ref="D91">Common_InputFunctions.Utility_DisplayArrayInTable(Fertiliser_SourceData.Fertiliser_Products_Data1(), FertiliserProducts[[#Headers],[Company]],1)</f>
        <v>Include</v>
      </c>
      <c r="E91" s="62" t="str" cm="1">
        <f t="array" ref="E91">Common_InputFunctions.Utility_DisplayArrayInTable(Fertiliser_SourceData.Fertiliser_Products_Data1(), FertiliserProducts[[#Headers],[Company]],1)</f>
        <v/>
      </c>
      <c r="F91" s="62" t="str" cm="1">
        <f t="array" ref="F91">Common_InputFunctions.Utility_DisplayArrayInTable(Fertiliser_SourceData.Fertiliser_Products_Data1(), FertiliserProducts[[#Headers],[Company]],1)</f>
        <v>Campbells fertilisers Australia</v>
      </c>
      <c r="G91" s="62" t="str" cm="1">
        <f t="array" ref="G91">Common_InputFunctions.Utility_DisplayArrayInTable(Fertiliser_SourceData.Fertiliser_Products_Data1(), FertiliserProducts[[#Headers],[Company]],1)</f>
        <v>Aqua Finish</v>
      </c>
      <c r="H91" s="62" t="str" cm="1">
        <f t="array" ref="H91">Common_InputFunctions.Utility_DisplayArrayInTable(Fertiliser_SourceData.Fertiliser_Products_Data1(), FertiliserProducts[[#Headers],[Company]],1)</f>
        <v>Aqua Finish - Campbells Fertilisers Australasia</v>
      </c>
      <c r="I91" s="62" t="str" cm="1">
        <f t="array" ref="I91">Common_InputFunctions.Utility_DisplayArrayInTable(Fertiliser_SourceData.Fertiliser_Products_Data1(), FertiliserProducts[[#Headers],[Company]],1)</f>
        <v>Website</v>
      </c>
      <c r="J91" s="62" t="str" cm="1">
        <f t="array" ref="J91">Common_InputFunctions.Utility_DisplayArrayInTable(Fertiliser_SourceData.Fertiliser_Products_Data1(), FertiliserProducts[[#Headers],[Company]],1)</f>
        <v/>
      </c>
      <c r="K91" s="62" t="str" cm="1">
        <f t="array" ref="K91">Common_InputFunctions.Utility_DisplayArrayInTable(Fertiliser_SourceData.Fertiliser_Products_Data1(), FertiliserProducts[[#Headers],[Company]],1)</f>
        <v>L</v>
      </c>
      <c r="L91" s="62" cm="1">
        <f t="array" ref="L91">Common_InputFunctions.Utility_DisplayArrayInTable(Fertiliser_SourceData.Fertiliser_Products_Data1(), FertiliserProducts[[#Headers],[Company]],1)</f>
        <v>1.26</v>
      </c>
      <c r="M91" s="62" t="str" cm="1">
        <f t="array" ref="M91">Common_InputFunctions.Utility_DisplayArrayInTable(Fertiliser_SourceData.Fertiliser_Products_Data1(), FertiliserProducts[[#Headers],[Company]],1)</f>
        <v/>
      </c>
      <c r="N91" s="62" t="str" cm="1">
        <f t="array" ref="N91">Common_InputFunctions.Utility_DisplayArrayInTable(Fertiliser_SourceData.Fertiliser_Products_Data1(), FertiliserProducts[[#Headers],[Company]],1)</f>
        <v/>
      </c>
      <c r="O91" s="62" t="str" cm="1">
        <f t="array" ref="O91">Common_InputFunctions.Utility_DisplayArrayInTable(Fertiliser_SourceData.Fertiliser_Products_Data1(), FertiliserProducts[[#Headers],[Company]],1)</f>
        <v>Potassium - Generic</v>
      </c>
      <c r="P91" s="62" cm="1">
        <f t="array" ref="P91">Common_InputFunctions.Utility_DisplayArrayInTable(Fertiliser_SourceData.Fertiliser_Products_Data1(), FertiliserProducts[[#Headers],[Company]],1)</f>
        <v>0.22500000000000001</v>
      </c>
      <c r="Q91" s="62" t="str" cm="1">
        <f t="array" ref="Q91">Common_InputFunctions.Utility_DisplayArrayInTable(Fertiliser_SourceData.Fertiliser_Products_Data1(), FertiliserProducts[[#Headers],[Company]],1)</f>
        <v>Phosphorus - Generic</v>
      </c>
      <c r="R91" s="62" cm="1">
        <f t="array" ref="R91">Common_InputFunctions.Utility_DisplayArrayInTable(Fertiliser_SourceData.Fertiliser_Products_Data1(), FertiliserProducts[[#Headers],[Company]],1)</f>
        <v>0.04</v>
      </c>
      <c r="S91" s="62" t="str" cm="1">
        <f t="array" ref="S91">Common_InputFunctions.Utility_DisplayArrayInTable(Fertiliser_SourceData.Fertiliser_Products_Data1(), FertiliserProducts[[#Headers],[Company]],1)</f>
        <v>Nitrogen - Generic</v>
      </c>
      <c r="T91" s="62" cm="1">
        <f t="array" ref="T91">Common_InputFunctions.Utility_DisplayArrayInTable(Fertiliser_SourceData.Fertiliser_Products_Data1(), FertiliserProducts[[#Headers],[Company]],1)</f>
        <v>2.5999999999999999E-2</v>
      </c>
      <c r="U91" s="62" t="str" cm="1">
        <f t="array" ref="U91">Common_InputFunctions.Utility_DisplayArrayInTable(Fertiliser_SourceData.Fertiliser_Products_Data1(), FertiliserProducts[[#Headers],[Company]],1)</f>
        <v/>
      </c>
      <c r="V91" s="62" t="str" cm="1">
        <f t="array" ref="V91">Common_InputFunctions.Utility_DisplayArrayInTable(Fertiliser_SourceData.Fertiliser_Products_Data1(), FertiliserProducts[[#Headers],[Company]],1)</f>
        <v/>
      </c>
      <c r="W91" s="62" t="str" cm="1">
        <f t="array" ref="W91">Common_InputFunctions.Utility_DisplayArrayInTable(Fertiliser_SourceData.Fertiliser_Products_Data1(), FertiliserProducts[[#Headers],[Company]],1)</f>
        <v/>
      </c>
      <c r="X91" s="62" t="str" cm="1">
        <f t="array" ref="X91">Common_InputFunctions.Utility_DisplayArrayInTable(Fertiliser_SourceData.Fertiliser_Products_Data1(), FertiliserProducts[[#Headers],[Company]],1)</f>
        <v/>
      </c>
      <c r="Y91" s="62" t="str" cm="1">
        <f t="array" ref="Y91">Common_InputFunctions.Utility_DisplayArrayInTable(Fertiliser_SourceData.Fertiliser_Products_Data1(), FertiliserProducts[[#Headers],[Company]],1)</f>
        <v/>
      </c>
      <c r="Z91" s="62" t="str" cm="1">
        <f t="array" ref="Z91">Common_InputFunctions.Utility_DisplayArrayInTable(Fertiliser_SourceData.Fertiliser_Products_Data1(), FertiliserProducts[[#Headers],[Company]],1)</f>
        <v/>
      </c>
      <c r="AA91" s="62" t="str" cm="1">
        <f t="array" ref="AA91">Common_InputFunctions.Utility_DisplayArrayInTable(Fertiliser_SourceData.Fertiliser_Products_Data1(), FertiliserProducts[[#Headers],[Company]],1)</f>
        <v/>
      </c>
      <c r="AB91" s="62" t="str" cm="1">
        <f t="array" ref="AB91">Common_InputFunctions.Utility_DisplayArrayInTable(Fertiliser_SourceData.Fertiliser_Products_Data1(), FertiliserProducts[[#Headers],[Company]],1)</f>
        <v/>
      </c>
      <c r="AC91" s="62" t="str" cm="1">
        <f t="array" ref="AC91">Common_InputFunctions.Utility_DisplayArrayInTable(Fertiliser_SourceData.Fertiliser_Products_Data1(), FertiliserProducts[[#Headers],[Company]],1)</f>
        <v/>
      </c>
      <c r="AD91" s="62" t="str" cm="1">
        <f t="array" ref="AD91">Common_InputFunctions.Utility_DisplayArrayInTable(Fertiliser_SourceData.Fertiliser_Products_Data1(), FertiliserProducts[[#Headers],[Company]],1)</f>
        <v/>
      </c>
      <c r="AE91" s="62" t="str" cm="1">
        <f t="array" ref="AE91">Common_InputFunctions.Utility_DisplayArrayInTable(Fertiliser_SourceData.Fertiliser_Products_Data1(), FertiliserProducts[[#Headers],[Company]],1)</f>
        <v/>
      </c>
      <c r="AF91" s="62" t="str" cm="1">
        <f t="array" ref="AF91">Common_InputFunctions.Utility_DisplayArrayInTable(Fertiliser_SourceData.Fertiliser_Products_Data1(), FertiliserProducts[[#Headers],[Company]],1)</f>
        <v/>
      </c>
      <c r="AG91" s="62" t="str" cm="1">
        <f t="array" ref="AG91">Common_InputFunctions.Utility_DisplayArrayInTable(Fertiliser_SourceData.Fertiliser_Products_Data1(), FertiliserProducts[[#Headers],[Company]],1)</f>
        <v/>
      </c>
      <c r="AH91" s="62" t="str" cm="1">
        <f t="array" ref="AH91">Common_InputFunctions.Utility_DisplayArrayInTable(Fertiliser_SourceData.Fertiliser_Products_Data1(), FertiliserProducts[[#Headers],[Company]],1)</f>
        <v/>
      </c>
      <c r="AK91" s="8"/>
      <c r="AL91" s="8"/>
      <c r="AM91" s="8"/>
    </row>
    <row r="92" spans="1:39" ht="20.100000000000001" customHeight="1" x14ac:dyDescent="0.25">
      <c r="A92"/>
      <c r="D92" s="62" t="str" cm="1">
        <f t="array" ref="D92">Common_InputFunctions.Utility_DisplayArrayInTable(Fertiliser_SourceData.Fertiliser_Products_Data1(), FertiliserProducts[[#Headers],[Company]],1)</f>
        <v>Include</v>
      </c>
      <c r="E92" s="62" t="str" cm="1">
        <f t="array" ref="E92">Common_InputFunctions.Utility_DisplayArrayInTable(Fertiliser_SourceData.Fertiliser_Products_Data1(), FertiliserProducts[[#Headers],[Company]],1)</f>
        <v/>
      </c>
      <c r="F92" s="62" t="str" cm="1">
        <f t="array" ref="F92">Common_InputFunctions.Utility_DisplayArrayInTable(Fertiliser_SourceData.Fertiliser_Products_Data1(), FertiliserProducts[[#Headers],[Company]],1)</f>
        <v>Campbells fertilisers Australia</v>
      </c>
      <c r="G92" s="62" t="str" cm="1">
        <f t="array" ref="G92">Common_InputFunctions.Utility_DisplayArrayInTable(Fertiliser_SourceData.Fertiliser_Products_Data1(), FertiliserProducts[[#Headers],[Company]],1)</f>
        <v>Aqua Grow</v>
      </c>
      <c r="H92" s="62" t="str" cm="1">
        <f t="array" ref="H92">Common_InputFunctions.Utility_DisplayArrayInTable(Fertiliser_SourceData.Fertiliser_Products_Data1(), FertiliserProducts[[#Headers],[Company]],1)</f>
        <v>Aqua Grow - Campbells Fertilisers Australasia</v>
      </c>
      <c r="I92" s="62" t="str" cm="1">
        <f t="array" ref="I92">Common_InputFunctions.Utility_DisplayArrayInTable(Fertiliser_SourceData.Fertiliser_Products_Data1(), FertiliserProducts[[#Headers],[Company]],1)</f>
        <v>Website</v>
      </c>
      <c r="J92" s="62" t="str" cm="1">
        <f t="array" ref="J92">Common_InputFunctions.Utility_DisplayArrayInTable(Fertiliser_SourceData.Fertiliser_Products_Data1(), FertiliserProducts[[#Headers],[Company]],1)</f>
        <v/>
      </c>
      <c r="K92" s="62" t="str" cm="1">
        <f t="array" ref="K92">Common_InputFunctions.Utility_DisplayArrayInTable(Fertiliser_SourceData.Fertiliser_Products_Data1(), FertiliserProducts[[#Headers],[Company]],1)</f>
        <v>L</v>
      </c>
      <c r="L92" s="62" cm="1">
        <f t="array" ref="L92">Common_InputFunctions.Utility_DisplayArrayInTable(Fertiliser_SourceData.Fertiliser_Products_Data1(), FertiliserProducts[[#Headers],[Company]],1)</f>
        <v>1.26</v>
      </c>
      <c r="M92" s="62" t="str" cm="1">
        <f t="array" ref="M92">Common_InputFunctions.Utility_DisplayArrayInTable(Fertiliser_SourceData.Fertiliser_Products_Data1(), FertiliserProducts[[#Headers],[Company]],1)</f>
        <v/>
      </c>
      <c r="N92" s="62" t="str" cm="1">
        <f t="array" ref="N92">Common_InputFunctions.Utility_DisplayArrayInTable(Fertiliser_SourceData.Fertiliser_Products_Data1(), FertiliserProducts[[#Headers],[Company]],1)</f>
        <v/>
      </c>
      <c r="O92" s="62" t="str" cm="1">
        <f t="array" ref="O92">Common_InputFunctions.Utility_DisplayArrayInTable(Fertiliser_SourceData.Fertiliser_Products_Data1(), FertiliserProducts[[#Headers],[Company]],1)</f>
        <v>Potassium - Generic</v>
      </c>
      <c r="P92" s="62" cm="1">
        <f t="array" ref="P92">Common_InputFunctions.Utility_DisplayArrayInTable(Fertiliser_SourceData.Fertiliser_Products_Data1(), FertiliserProducts[[#Headers],[Company]],1)</f>
        <v>0.105</v>
      </c>
      <c r="Q92" s="62" t="str" cm="1">
        <f t="array" ref="Q92">Common_InputFunctions.Utility_DisplayArrayInTable(Fertiliser_SourceData.Fertiliser_Products_Data1(), FertiliserProducts[[#Headers],[Company]],1)</f>
        <v>Nitrogen - Generic</v>
      </c>
      <c r="R92" s="62" cm="1">
        <f t="array" ref="R92">Common_InputFunctions.Utility_DisplayArrayInTable(Fertiliser_SourceData.Fertiliser_Products_Data1(), FertiliserProducts[[#Headers],[Company]],1)</f>
        <v>9.6000000000000002E-2</v>
      </c>
      <c r="S92" s="62" t="str" cm="1">
        <f t="array" ref="S92">Common_InputFunctions.Utility_DisplayArrayInTable(Fertiliser_SourceData.Fertiliser_Products_Data1(), FertiliserProducts[[#Headers],[Company]],1)</f>
        <v>Phosphorus - Generic</v>
      </c>
      <c r="T92" s="62" cm="1">
        <f t="array" ref="T92">Common_InputFunctions.Utility_DisplayArrayInTable(Fertiliser_SourceData.Fertiliser_Products_Data1(), FertiliserProducts[[#Headers],[Company]],1)</f>
        <v>0.05</v>
      </c>
      <c r="U92" s="62" t="str" cm="1">
        <f t="array" ref="U92">Common_InputFunctions.Utility_DisplayArrayInTable(Fertiliser_SourceData.Fertiliser_Products_Data1(), FertiliserProducts[[#Headers],[Company]],1)</f>
        <v/>
      </c>
      <c r="V92" s="62" t="str" cm="1">
        <f t="array" ref="V92">Common_InputFunctions.Utility_DisplayArrayInTable(Fertiliser_SourceData.Fertiliser_Products_Data1(), FertiliserProducts[[#Headers],[Company]],1)</f>
        <v/>
      </c>
      <c r="W92" s="62" t="str" cm="1">
        <f t="array" ref="W92">Common_InputFunctions.Utility_DisplayArrayInTable(Fertiliser_SourceData.Fertiliser_Products_Data1(), FertiliserProducts[[#Headers],[Company]],1)</f>
        <v/>
      </c>
      <c r="X92" s="62" t="str" cm="1">
        <f t="array" ref="X92">Common_InputFunctions.Utility_DisplayArrayInTable(Fertiliser_SourceData.Fertiliser_Products_Data1(), FertiliserProducts[[#Headers],[Company]],1)</f>
        <v/>
      </c>
      <c r="Y92" s="62" t="str" cm="1">
        <f t="array" ref="Y92">Common_InputFunctions.Utility_DisplayArrayInTable(Fertiliser_SourceData.Fertiliser_Products_Data1(), FertiliserProducts[[#Headers],[Company]],1)</f>
        <v/>
      </c>
      <c r="Z92" s="62" t="str" cm="1">
        <f t="array" ref="Z92">Common_InputFunctions.Utility_DisplayArrayInTable(Fertiliser_SourceData.Fertiliser_Products_Data1(), FertiliserProducts[[#Headers],[Company]],1)</f>
        <v/>
      </c>
      <c r="AA92" s="62" t="str" cm="1">
        <f t="array" ref="AA92">Common_InputFunctions.Utility_DisplayArrayInTable(Fertiliser_SourceData.Fertiliser_Products_Data1(), FertiliserProducts[[#Headers],[Company]],1)</f>
        <v/>
      </c>
      <c r="AB92" s="62" t="str" cm="1">
        <f t="array" ref="AB92">Common_InputFunctions.Utility_DisplayArrayInTable(Fertiliser_SourceData.Fertiliser_Products_Data1(), FertiliserProducts[[#Headers],[Company]],1)</f>
        <v/>
      </c>
      <c r="AC92" s="62" t="str" cm="1">
        <f t="array" ref="AC92">Common_InputFunctions.Utility_DisplayArrayInTable(Fertiliser_SourceData.Fertiliser_Products_Data1(), FertiliserProducts[[#Headers],[Company]],1)</f>
        <v/>
      </c>
      <c r="AD92" s="62" t="str" cm="1">
        <f t="array" ref="AD92">Common_InputFunctions.Utility_DisplayArrayInTable(Fertiliser_SourceData.Fertiliser_Products_Data1(), FertiliserProducts[[#Headers],[Company]],1)</f>
        <v/>
      </c>
      <c r="AE92" s="62" t="str" cm="1">
        <f t="array" ref="AE92">Common_InputFunctions.Utility_DisplayArrayInTable(Fertiliser_SourceData.Fertiliser_Products_Data1(), FertiliserProducts[[#Headers],[Company]],1)</f>
        <v/>
      </c>
      <c r="AF92" s="62" t="str" cm="1">
        <f t="array" ref="AF92">Common_InputFunctions.Utility_DisplayArrayInTable(Fertiliser_SourceData.Fertiliser_Products_Data1(), FertiliserProducts[[#Headers],[Company]],1)</f>
        <v/>
      </c>
      <c r="AG92" s="62" t="str" cm="1">
        <f t="array" ref="AG92">Common_InputFunctions.Utility_DisplayArrayInTable(Fertiliser_SourceData.Fertiliser_Products_Data1(), FertiliserProducts[[#Headers],[Company]],1)</f>
        <v/>
      </c>
      <c r="AH92" s="62" t="str" cm="1">
        <f t="array" ref="AH92">Common_InputFunctions.Utility_DisplayArrayInTable(Fertiliser_SourceData.Fertiliser_Products_Data1(), FertiliserProducts[[#Headers],[Company]],1)</f>
        <v/>
      </c>
      <c r="AK92" s="8"/>
      <c r="AL92" s="8"/>
      <c r="AM92" s="8"/>
    </row>
    <row r="93" spans="1:39" ht="20.100000000000001" customHeight="1" x14ac:dyDescent="0.25">
      <c r="A93"/>
      <c r="D93" s="62" t="str" cm="1">
        <f t="array" ref="D93">Common_InputFunctions.Utility_DisplayArrayInTable(Fertiliser_SourceData.Fertiliser_Products_Data1(), FertiliserProducts[[#Headers],[Company]],1)</f>
        <v>Include</v>
      </c>
      <c r="E93" s="62" t="str" cm="1">
        <f t="array" ref="E93">Common_InputFunctions.Utility_DisplayArrayInTable(Fertiliser_SourceData.Fertiliser_Products_Data1(), FertiliserProducts[[#Headers],[Company]],1)</f>
        <v/>
      </c>
      <c r="F93" s="62" t="str" cm="1">
        <f t="array" ref="F93">Common_InputFunctions.Utility_DisplayArrayInTable(Fertiliser_SourceData.Fertiliser_Products_Data1(), FertiliserProducts[[#Headers],[Company]],1)</f>
        <v>Campbells fertilisers Australia</v>
      </c>
      <c r="G93" s="62" t="str" cm="1">
        <f t="array" ref="G93">Common_InputFunctions.Utility_DisplayArrayInTable(Fertiliser_SourceData.Fertiliser_Products_Data1(), FertiliserProducts[[#Headers],[Company]],1)</f>
        <v>Aqua Nitro AN</v>
      </c>
      <c r="H93" s="62" t="str" cm="1">
        <f t="array" ref="H93">Common_InputFunctions.Utility_DisplayArrayInTable(Fertiliser_SourceData.Fertiliser_Products_Data1(), FertiliserProducts[[#Headers],[Company]],1)</f>
        <v>Aqua Nitro AN - Campbells Fertilisers Australasia</v>
      </c>
      <c r="I93" s="62" t="str" cm="1">
        <f t="array" ref="I93">Common_InputFunctions.Utility_DisplayArrayInTable(Fertiliser_SourceData.Fertiliser_Products_Data1(), FertiliserProducts[[#Headers],[Company]],1)</f>
        <v>Website. Brochure</v>
      </c>
      <c r="J93" s="62" t="str" cm="1">
        <f t="array" ref="J93">Common_InputFunctions.Utility_DisplayArrayInTable(Fertiliser_SourceData.Fertiliser_Products_Data1(), FertiliserProducts[[#Headers],[Company]],1)</f>
        <v/>
      </c>
      <c r="K93" s="62" t="str" cm="1">
        <f t="array" ref="K93">Common_InputFunctions.Utility_DisplayArrayInTable(Fertiliser_SourceData.Fertiliser_Products_Data1(), FertiliserProducts[[#Headers],[Company]],1)</f>
        <v>L</v>
      </c>
      <c r="L93" s="62" cm="1">
        <f t="array" ref="L93">Common_InputFunctions.Utility_DisplayArrayInTable(Fertiliser_SourceData.Fertiliser_Products_Data1(), FertiliserProducts[[#Headers],[Company]],1)</f>
        <v>1.24</v>
      </c>
      <c r="M93" s="62" t="str" cm="1">
        <f t="array" ref="M93">Common_InputFunctions.Utility_DisplayArrayInTable(Fertiliser_SourceData.Fertiliser_Products_Data1(), FertiliserProducts[[#Headers],[Company]],1)</f>
        <v/>
      </c>
      <c r="N93" s="62" t="str" cm="1">
        <f t="array" ref="N93">Common_InputFunctions.Utility_DisplayArrayInTable(Fertiliser_SourceData.Fertiliser_Products_Data1(), FertiliserProducts[[#Headers],[Company]],1)</f>
        <v/>
      </c>
      <c r="O93" s="62" t="str" cm="1">
        <f t="array" ref="O93">Common_InputFunctions.Utility_DisplayArrayInTable(Fertiliser_SourceData.Fertiliser_Products_Data1(), FertiliserProducts[[#Headers],[Company]],1)</f>
        <v>Nitrogen - Ammoniacal</v>
      </c>
      <c r="P93" s="62" cm="1">
        <f t="array" ref="P93">Common_InputFunctions.Utility_DisplayArrayInTable(Fertiliser_SourceData.Fertiliser_Products_Data1(), FertiliserProducts[[#Headers],[Company]],1)</f>
        <v>0.223</v>
      </c>
      <c r="Q93" s="62" t="str" cm="1">
        <f t="array" ref="Q93">Common_InputFunctions.Utility_DisplayArrayInTable(Fertiliser_SourceData.Fertiliser_Products_Data1(), FertiliserProducts[[#Headers],[Company]],1)</f>
        <v/>
      </c>
      <c r="R93" s="62" t="str" cm="1">
        <f t="array" ref="R93">Common_InputFunctions.Utility_DisplayArrayInTable(Fertiliser_SourceData.Fertiliser_Products_Data1(), FertiliserProducts[[#Headers],[Company]],1)</f>
        <v/>
      </c>
      <c r="S93" s="62" t="str" cm="1">
        <f t="array" ref="S93">Common_InputFunctions.Utility_DisplayArrayInTable(Fertiliser_SourceData.Fertiliser_Products_Data1(), FertiliserProducts[[#Headers],[Company]],1)</f>
        <v/>
      </c>
      <c r="T93" s="62" t="str" cm="1">
        <f t="array" ref="T93">Common_InputFunctions.Utility_DisplayArrayInTable(Fertiliser_SourceData.Fertiliser_Products_Data1(), FertiliserProducts[[#Headers],[Company]],1)</f>
        <v/>
      </c>
      <c r="U93" s="62" t="str" cm="1">
        <f t="array" ref="U93">Common_InputFunctions.Utility_DisplayArrayInTable(Fertiliser_SourceData.Fertiliser_Products_Data1(), FertiliserProducts[[#Headers],[Company]],1)</f>
        <v/>
      </c>
      <c r="V93" s="62" t="str" cm="1">
        <f t="array" ref="V93">Common_InputFunctions.Utility_DisplayArrayInTable(Fertiliser_SourceData.Fertiliser_Products_Data1(), FertiliserProducts[[#Headers],[Company]],1)</f>
        <v/>
      </c>
      <c r="W93" s="62" t="str" cm="1">
        <f t="array" ref="W93">Common_InputFunctions.Utility_DisplayArrayInTable(Fertiliser_SourceData.Fertiliser_Products_Data1(), FertiliserProducts[[#Headers],[Company]],1)</f>
        <v/>
      </c>
      <c r="X93" s="62" t="str" cm="1">
        <f t="array" ref="X93">Common_InputFunctions.Utility_DisplayArrayInTable(Fertiliser_SourceData.Fertiliser_Products_Data1(), FertiliserProducts[[#Headers],[Company]],1)</f>
        <v/>
      </c>
      <c r="Y93" s="62" t="str" cm="1">
        <f t="array" ref="Y93">Common_InputFunctions.Utility_DisplayArrayInTable(Fertiliser_SourceData.Fertiliser_Products_Data1(), FertiliserProducts[[#Headers],[Company]],1)</f>
        <v/>
      </c>
      <c r="Z93" s="62" t="str" cm="1">
        <f t="array" ref="Z93">Common_InputFunctions.Utility_DisplayArrayInTable(Fertiliser_SourceData.Fertiliser_Products_Data1(), FertiliserProducts[[#Headers],[Company]],1)</f>
        <v/>
      </c>
      <c r="AA93" s="62" t="str" cm="1">
        <f t="array" ref="AA93">Common_InputFunctions.Utility_DisplayArrayInTable(Fertiliser_SourceData.Fertiliser_Products_Data1(), FertiliserProducts[[#Headers],[Company]],1)</f>
        <v/>
      </c>
      <c r="AB93" s="62" t="str" cm="1">
        <f t="array" ref="AB93">Common_InputFunctions.Utility_DisplayArrayInTable(Fertiliser_SourceData.Fertiliser_Products_Data1(), FertiliserProducts[[#Headers],[Company]],1)</f>
        <v/>
      </c>
      <c r="AC93" s="62" t="str" cm="1">
        <f t="array" ref="AC93">Common_InputFunctions.Utility_DisplayArrayInTable(Fertiliser_SourceData.Fertiliser_Products_Data1(), FertiliserProducts[[#Headers],[Company]],1)</f>
        <v/>
      </c>
      <c r="AD93" s="62" t="str" cm="1">
        <f t="array" ref="AD93">Common_InputFunctions.Utility_DisplayArrayInTable(Fertiliser_SourceData.Fertiliser_Products_Data1(), FertiliserProducts[[#Headers],[Company]],1)</f>
        <v/>
      </c>
      <c r="AE93" s="62" t="str" cm="1">
        <f t="array" ref="AE93">Common_InputFunctions.Utility_DisplayArrayInTable(Fertiliser_SourceData.Fertiliser_Products_Data1(), FertiliserProducts[[#Headers],[Company]],1)</f>
        <v/>
      </c>
      <c r="AF93" s="62" t="str" cm="1">
        <f t="array" ref="AF93">Common_InputFunctions.Utility_DisplayArrayInTable(Fertiliser_SourceData.Fertiliser_Products_Data1(), FertiliserProducts[[#Headers],[Company]],1)</f>
        <v/>
      </c>
      <c r="AG93" s="62" t="str" cm="1">
        <f t="array" ref="AG93">Common_InputFunctions.Utility_DisplayArrayInTable(Fertiliser_SourceData.Fertiliser_Products_Data1(), FertiliserProducts[[#Headers],[Company]],1)</f>
        <v/>
      </c>
      <c r="AH93" s="62" t="str" cm="1">
        <f t="array" ref="AH93">Common_InputFunctions.Utility_DisplayArrayInTable(Fertiliser_SourceData.Fertiliser_Products_Data1(), FertiliserProducts[[#Headers],[Company]],1)</f>
        <v/>
      </c>
      <c r="AK93" s="8"/>
      <c r="AL93" s="8"/>
      <c r="AM93" s="8"/>
    </row>
    <row r="94" spans="1:39" ht="20.100000000000001" customHeight="1" x14ac:dyDescent="0.25">
      <c r="A94"/>
      <c r="D94" s="62" t="str" cm="1">
        <f t="array" ref="D94">Common_InputFunctions.Utility_DisplayArrayInTable(Fertiliser_SourceData.Fertiliser_Products_Data1(), FertiliserProducts[[#Headers],[Company]],1)</f>
        <v>Include</v>
      </c>
      <c r="E94" s="62" t="str" cm="1">
        <f t="array" ref="E94">Common_InputFunctions.Utility_DisplayArrayInTable(Fertiliser_SourceData.Fertiliser_Products_Data1(), FertiliserProducts[[#Headers],[Company]],1)</f>
        <v>Use Lime EF for calcium</v>
      </c>
      <c r="F94" s="62" t="str" cm="1">
        <f t="array" ref="F94">Common_InputFunctions.Utility_DisplayArrayInTable(Fertiliser_SourceData.Fertiliser_Products_Data1(), FertiliserProducts[[#Headers],[Company]],1)</f>
        <v>Campbells fertilisers Australia</v>
      </c>
      <c r="G94" s="62" t="str" cm="1">
        <f t="array" ref="G94">Common_InputFunctions.Utility_DisplayArrayInTable(Fertiliser_SourceData.Fertiliser_Products_Data1(), FertiliserProducts[[#Headers],[Company]],1)</f>
        <v>Aqua NitroCal</v>
      </c>
      <c r="H94" s="62" t="str" cm="1">
        <f t="array" ref="H94">Common_InputFunctions.Utility_DisplayArrayInTable(Fertiliser_SourceData.Fertiliser_Products_Data1(), FertiliserProducts[[#Headers],[Company]],1)</f>
        <v>Aqua NitroCal - Campbells Fertilisers Australasia</v>
      </c>
      <c r="I94" s="62" t="str" cm="1">
        <f t="array" ref="I94">Common_InputFunctions.Utility_DisplayArrayInTable(Fertiliser_SourceData.Fertiliser_Products_Data1(), FertiliserProducts[[#Headers],[Company]],1)</f>
        <v>Website SDS</v>
      </c>
      <c r="J94" s="62" t="str" cm="1">
        <f t="array" ref="J94">Common_InputFunctions.Utility_DisplayArrayInTable(Fertiliser_SourceData.Fertiliser_Products_Data1(), FertiliserProducts[[#Headers],[Company]],1)</f>
        <v/>
      </c>
      <c r="K94" s="62" t="str" cm="1">
        <f t="array" ref="K94">Common_InputFunctions.Utility_DisplayArrayInTable(Fertiliser_SourceData.Fertiliser_Products_Data1(), FertiliserProducts[[#Headers],[Company]],1)</f>
        <v>L</v>
      </c>
      <c r="L94" s="62" cm="1">
        <f t="array" ref="L94">Common_InputFunctions.Utility_DisplayArrayInTable(Fertiliser_SourceData.Fertiliser_Products_Data1(), FertiliserProducts[[#Headers],[Company]],1)</f>
        <v>1.5</v>
      </c>
      <c r="M94" s="62" t="str" cm="1">
        <f t="array" ref="M94">Common_InputFunctions.Utility_DisplayArrayInTable(Fertiliser_SourceData.Fertiliser_Products_Data1(), FertiliserProducts[[#Headers],[Company]],1)</f>
        <v/>
      </c>
      <c r="N94" s="62" t="str" cm="1">
        <f t="array" ref="N94">Common_InputFunctions.Utility_DisplayArrayInTable(Fertiliser_SourceData.Fertiliser_Products_Data1(), FertiliserProducts[[#Headers],[Company]],1)</f>
        <v/>
      </c>
      <c r="O94" s="62" t="str" cm="1">
        <f t="array" ref="O94">Common_InputFunctions.Utility_DisplayArrayInTable(Fertiliser_SourceData.Fertiliser_Products_Data1(), FertiliserProducts[[#Headers],[Company]],1)</f>
        <v>Calcium - Generic</v>
      </c>
      <c r="P94" s="62" cm="1">
        <f t="array" ref="P94">Common_InputFunctions.Utility_DisplayArrayInTable(Fertiliser_SourceData.Fertiliser_Products_Data1(), FertiliserProducts[[#Headers],[Company]],1)</f>
        <v>0.16200000000000001</v>
      </c>
      <c r="Q94" s="62" t="str" cm="1">
        <f t="array" ref="Q94">Common_InputFunctions.Utility_DisplayArrayInTable(Fertiliser_SourceData.Fertiliser_Products_Data1(), FertiliserProducts[[#Headers],[Company]],1)</f>
        <v>Nitrogen - Nitrate</v>
      </c>
      <c r="R94" s="62" cm="1">
        <f t="array" ref="R94">Common_InputFunctions.Utility_DisplayArrayInTable(Fertiliser_SourceData.Fertiliser_Products_Data1(), FertiliserProducts[[#Headers],[Company]],1)</f>
        <v>0.13200000000000001</v>
      </c>
      <c r="S94" s="62" t="str" cm="1">
        <f t="array" ref="S94">Common_InputFunctions.Utility_DisplayArrayInTable(Fertiliser_SourceData.Fertiliser_Products_Data1(), FertiliserProducts[[#Headers],[Company]],1)</f>
        <v/>
      </c>
      <c r="T94" s="62" t="str" cm="1">
        <f t="array" ref="T94">Common_InputFunctions.Utility_DisplayArrayInTable(Fertiliser_SourceData.Fertiliser_Products_Data1(), FertiliserProducts[[#Headers],[Company]],1)</f>
        <v/>
      </c>
      <c r="U94" s="62" t="str" cm="1">
        <f t="array" ref="U94">Common_InputFunctions.Utility_DisplayArrayInTable(Fertiliser_SourceData.Fertiliser_Products_Data1(), FertiliserProducts[[#Headers],[Company]],1)</f>
        <v/>
      </c>
      <c r="V94" s="62" t="str" cm="1">
        <f t="array" ref="V94">Common_InputFunctions.Utility_DisplayArrayInTable(Fertiliser_SourceData.Fertiliser_Products_Data1(), FertiliserProducts[[#Headers],[Company]],1)</f>
        <v/>
      </c>
      <c r="W94" s="62" t="str" cm="1">
        <f t="array" ref="W94">Common_InputFunctions.Utility_DisplayArrayInTable(Fertiliser_SourceData.Fertiliser_Products_Data1(), FertiliserProducts[[#Headers],[Company]],1)</f>
        <v/>
      </c>
      <c r="X94" s="62" t="str" cm="1">
        <f t="array" ref="X94">Common_InputFunctions.Utility_DisplayArrayInTable(Fertiliser_SourceData.Fertiliser_Products_Data1(), FertiliserProducts[[#Headers],[Company]],1)</f>
        <v/>
      </c>
      <c r="Y94" s="62" t="str" cm="1">
        <f t="array" ref="Y94">Common_InputFunctions.Utility_DisplayArrayInTable(Fertiliser_SourceData.Fertiliser_Products_Data1(), FertiliserProducts[[#Headers],[Company]],1)</f>
        <v/>
      </c>
      <c r="Z94" s="62" t="str" cm="1">
        <f t="array" ref="Z94">Common_InputFunctions.Utility_DisplayArrayInTable(Fertiliser_SourceData.Fertiliser_Products_Data1(), FertiliserProducts[[#Headers],[Company]],1)</f>
        <v/>
      </c>
      <c r="AA94" s="62" t="str" cm="1">
        <f t="array" ref="AA94">Common_InputFunctions.Utility_DisplayArrayInTable(Fertiliser_SourceData.Fertiliser_Products_Data1(), FertiliserProducts[[#Headers],[Company]],1)</f>
        <v/>
      </c>
      <c r="AB94" s="62" t="str" cm="1">
        <f t="array" ref="AB94">Common_InputFunctions.Utility_DisplayArrayInTable(Fertiliser_SourceData.Fertiliser_Products_Data1(), FertiliserProducts[[#Headers],[Company]],1)</f>
        <v/>
      </c>
      <c r="AC94" s="62" t="str" cm="1">
        <f t="array" ref="AC94">Common_InputFunctions.Utility_DisplayArrayInTable(Fertiliser_SourceData.Fertiliser_Products_Data1(), FertiliserProducts[[#Headers],[Company]],1)</f>
        <v/>
      </c>
      <c r="AD94" s="62" t="str" cm="1">
        <f t="array" ref="AD94">Common_InputFunctions.Utility_DisplayArrayInTable(Fertiliser_SourceData.Fertiliser_Products_Data1(), FertiliserProducts[[#Headers],[Company]],1)</f>
        <v/>
      </c>
      <c r="AE94" s="62" t="str" cm="1">
        <f t="array" ref="AE94">Common_InputFunctions.Utility_DisplayArrayInTable(Fertiliser_SourceData.Fertiliser_Products_Data1(), FertiliserProducts[[#Headers],[Company]],1)</f>
        <v/>
      </c>
      <c r="AF94" s="62" t="str" cm="1">
        <f t="array" ref="AF94">Common_InputFunctions.Utility_DisplayArrayInTable(Fertiliser_SourceData.Fertiliser_Products_Data1(), FertiliserProducts[[#Headers],[Company]],1)</f>
        <v/>
      </c>
      <c r="AG94" s="62" t="str" cm="1">
        <f t="array" ref="AG94">Common_InputFunctions.Utility_DisplayArrayInTable(Fertiliser_SourceData.Fertiliser_Products_Data1(), FertiliserProducts[[#Headers],[Company]],1)</f>
        <v/>
      </c>
      <c r="AH94" s="62" t="str" cm="1">
        <f t="array" ref="AH94">Common_InputFunctions.Utility_DisplayArrayInTable(Fertiliser_SourceData.Fertiliser_Products_Data1(), FertiliserProducts[[#Headers],[Company]],1)</f>
        <v/>
      </c>
      <c r="AK94" s="8"/>
      <c r="AL94" s="8"/>
      <c r="AM94" s="8"/>
    </row>
    <row r="95" spans="1:39" ht="20.100000000000001" customHeight="1" x14ac:dyDescent="0.25">
      <c r="A95"/>
      <c r="D95" s="62" t="str" cm="1">
        <f t="array" ref="D95">Common_InputFunctions.Utility_DisplayArrayInTable(Fertiliser_SourceData.Fertiliser_Products_Data1(), FertiliserProducts[[#Headers],[Company]],1)</f>
        <v>Include</v>
      </c>
      <c r="E95" s="62" t="str" cm="1">
        <f t="array" ref="E95">Common_InputFunctions.Utility_DisplayArrayInTable(Fertiliser_SourceData.Fertiliser_Products_Data1(), FertiliserProducts[[#Headers],[Company]],1)</f>
        <v>Use Lime EF for calcium</v>
      </c>
      <c r="F95" s="62" t="str" cm="1">
        <f t="array" ref="F95">Common_InputFunctions.Utility_DisplayArrayInTable(Fertiliser_SourceData.Fertiliser_Products_Data1(), FertiliserProducts[[#Headers],[Company]],1)</f>
        <v>Campbells fertilisers Australia</v>
      </c>
      <c r="G95" s="62" t="str" cm="1">
        <f t="array" ref="G95">Common_InputFunctions.Utility_DisplayArrayInTable(Fertiliser_SourceData.Fertiliser_Products_Data1(), FertiliserProducts[[#Headers],[Company]],1)</f>
        <v>Aqua NitroCal (VI)</v>
      </c>
      <c r="H95" s="62" t="str" cm="1">
        <f t="array" ref="H95">Common_InputFunctions.Utility_DisplayArrayInTable(Fertiliser_SourceData.Fertiliser_Products_Data1(), FertiliserProducts[[#Headers],[Company]],1)</f>
        <v>Aqua NitroCal (VI) - Campbells Fertilisers Australasia</v>
      </c>
      <c r="I95" s="62" t="str" cm="1">
        <f t="array" ref="I95">Common_InputFunctions.Utility_DisplayArrayInTable(Fertiliser_SourceData.Fertiliser_Products_Data1(), FertiliserProducts[[#Headers],[Company]],1)</f>
        <v>Website SDS</v>
      </c>
      <c r="J95" s="62" t="str" cm="1">
        <f t="array" ref="J95">Common_InputFunctions.Utility_DisplayArrayInTable(Fertiliser_SourceData.Fertiliser_Products_Data1(), FertiliserProducts[[#Headers],[Company]],1)</f>
        <v/>
      </c>
      <c r="K95" s="62" t="str" cm="1">
        <f t="array" ref="K95">Common_InputFunctions.Utility_DisplayArrayInTable(Fertiliser_SourceData.Fertiliser_Products_Data1(), FertiliserProducts[[#Headers],[Company]],1)</f>
        <v>L</v>
      </c>
      <c r="L95" s="62" cm="1">
        <f t="array" ref="L95">Common_InputFunctions.Utility_DisplayArrayInTable(Fertiliser_SourceData.Fertiliser_Products_Data1(), FertiliserProducts[[#Headers],[Company]],1)</f>
        <v>1.5</v>
      </c>
      <c r="M95" s="62" t="str" cm="1">
        <f t="array" ref="M95">Common_InputFunctions.Utility_DisplayArrayInTable(Fertiliser_SourceData.Fertiliser_Products_Data1(), FertiliserProducts[[#Headers],[Company]],1)</f>
        <v/>
      </c>
      <c r="N95" s="62" t="str" cm="1">
        <f t="array" ref="N95">Common_InputFunctions.Utility_DisplayArrayInTable(Fertiliser_SourceData.Fertiliser_Products_Data1(), FertiliserProducts[[#Headers],[Company]],1)</f>
        <v/>
      </c>
      <c r="O95" s="62" t="str" cm="1">
        <f t="array" ref="O95">Common_InputFunctions.Utility_DisplayArrayInTable(Fertiliser_SourceData.Fertiliser_Products_Data1(), FertiliserProducts[[#Headers],[Company]],1)</f>
        <v>Calcium - Generic</v>
      </c>
      <c r="P95" s="62" cm="1">
        <f t="array" ref="P95">Common_InputFunctions.Utility_DisplayArrayInTable(Fertiliser_SourceData.Fertiliser_Products_Data1(), FertiliserProducts[[#Headers],[Company]],1)</f>
        <v>0.187</v>
      </c>
      <c r="Q95" s="62" t="str" cm="1">
        <f t="array" ref="Q95">Common_InputFunctions.Utility_DisplayArrayInTable(Fertiliser_SourceData.Fertiliser_Products_Data1(), FertiliserProducts[[#Headers],[Company]],1)</f>
        <v>Nitrogen - Nitrate</v>
      </c>
      <c r="R95" s="62" cm="1">
        <f t="array" ref="R95">Common_InputFunctions.Utility_DisplayArrayInTable(Fertiliser_SourceData.Fertiliser_Products_Data1(), FertiliserProducts[[#Headers],[Company]],1)</f>
        <v>0.13200000000000001</v>
      </c>
      <c r="S95" s="62" t="str" cm="1">
        <f t="array" ref="S95">Common_InputFunctions.Utility_DisplayArrayInTable(Fertiliser_SourceData.Fertiliser_Products_Data1(), FertiliserProducts[[#Headers],[Company]],1)</f>
        <v/>
      </c>
      <c r="T95" s="62" t="str" cm="1">
        <f t="array" ref="T95">Common_InputFunctions.Utility_DisplayArrayInTable(Fertiliser_SourceData.Fertiliser_Products_Data1(), FertiliserProducts[[#Headers],[Company]],1)</f>
        <v/>
      </c>
      <c r="U95" s="62" t="str" cm="1">
        <f t="array" ref="U95">Common_InputFunctions.Utility_DisplayArrayInTable(Fertiliser_SourceData.Fertiliser_Products_Data1(), FertiliserProducts[[#Headers],[Company]],1)</f>
        <v/>
      </c>
      <c r="V95" s="62" t="str" cm="1">
        <f t="array" ref="V95">Common_InputFunctions.Utility_DisplayArrayInTable(Fertiliser_SourceData.Fertiliser_Products_Data1(), FertiliserProducts[[#Headers],[Company]],1)</f>
        <v/>
      </c>
      <c r="W95" s="62" t="str" cm="1">
        <f t="array" ref="W95">Common_InputFunctions.Utility_DisplayArrayInTable(Fertiliser_SourceData.Fertiliser_Products_Data1(), FertiliserProducts[[#Headers],[Company]],1)</f>
        <v/>
      </c>
      <c r="X95" s="62" t="str" cm="1">
        <f t="array" ref="X95">Common_InputFunctions.Utility_DisplayArrayInTable(Fertiliser_SourceData.Fertiliser_Products_Data1(), FertiliserProducts[[#Headers],[Company]],1)</f>
        <v/>
      </c>
      <c r="Y95" s="62" t="str" cm="1">
        <f t="array" ref="Y95">Common_InputFunctions.Utility_DisplayArrayInTable(Fertiliser_SourceData.Fertiliser_Products_Data1(), FertiliserProducts[[#Headers],[Company]],1)</f>
        <v/>
      </c>
      <c r="Z95" s="62" t="str" cm="1">
        <f t="array" ref="Z95">Common_InputFunctions.Utility_DisplayArrayInTable(Fertiliser_SourceData.Fertiliser_Products_Data1(), FertiliserProducts[[#Headers],[Company]],1)</f>
        <v/>
      </c>
      <c r="AA95" s="62" t="str" cm="1">
        <f t="array" ref="AA95">Common_InputFunctions.Utility_DisplayArrayInTable(Fertiliser_SourceData.Fertiliser_Products_Data1(), FertiliserProducts[[#Headers],[Company]],1)</f>
        <v/>
      </c>
      <c r="AB95" s="62" t="str" cm="1">
        <f t="array" ref="AB95">Common_InputFunctions.Utility_DisplayArrayInTable(Fertiliser_SourceData.Fertiliser_Products_Data1(), FertiliserProducts[[#Headers],[Company]],1)</f>
        <v/>
      </c>
      <c r="AC95" s="62" t="str" cm="1">
        <f t="array" ref="AC95">Common_InputFunctions.Utility_DisplayArrayInTable(Fertiliser_SourceData.Fertiliser_Products_Data1(), FertiliserProducts[[#Headers],[Company]],1)</f>
        <v/>
      </c>
      <c r="AD95" s="62" t="str" cm="1">
        <f t="array" ref="AD95">Common_InputFunctions.Utility_DisplayArrayInTable(Fertiliser_SourceData.Fertiliser_Products_Data1(), FertiliserProducts[[#Headers],[Company]],1)</f>
        <v/>
      </c>
      <c r="AE95" s="62" t="str" cm="1">
        <f t="array" ref="AE95">Common_InputFunctions.Utility_DisplayArrayInTable(Fertiliser_SourceData.Fertiliser_Products_Data1(), FertiliserProducts[[#Headers],[Company]],1)</f>
        <v/>
      </c>
      <c r="AF95" s="62" t="str" cm="1">
        <f t="array" ref="AF95">Common_InputFunctions.Utility_DisplayArrayInTable(Fertiliser_SourceData.Fertiliser_Products_Data1(), FertiliserProducts[[#Headers],[Company]],1)</f>
        <v/>
      </c>
      <c r="AG95" s="62" t="str" cm="1">
        <f t="array" ref="AG95">Common_InputFunctions.Utility_DisplayArrayInTable(Fertiliser_SourceData.Fertiliser_Products_Data1(), FertiliserProducts[[#Headers],[Company]],1)</f>
        <v/>
      </c>
      <c r="AH95" s="62" t="str" cm="1">
        <f t="array" ref="AH95">Common_InputFunctions.Utility_DisplayArrayInTable(Fertiliser_SourceData.Fertiliser_Products_Data1(), FertiliserProducts[[#Headers],[Company]],1)</f>
        <v/>
      </c>
      <c r="AK95" s="8"/>
      <c r="AL95" s="8"/>
      <c r="AM95" s="8"/>
    </row>
    <row r="96" spans="1:39" ht="20.100000000000001" customHeight="1" x14ac:dyDescent="0.25">
      <c r="A96"/>
      <c r="D96" s="62" t="str" cm="1">
        <f t="array" ref="D96">Common_InputFunctions.Utility_DisplayArrayInTable(Fertiliser_SourceData.Fertiliser_Products_Data1(), FertiliserProducts[[#Headers],[Company]],1)</f>
        <v>Include</v>
      </c>
      <c r="E96" s="62" t="str" cm="1">
        <f t="array" ref="E96">Common_InputFunctions.Utility_DisplayArrayInTable(Fertiliser_SourceData.Fertiliser_Products_Data1(), FertiliserProducts[[#Headers],[Company]],1)</f>
        <v>Use Lime EF for calcium</v>
      </c>
      <c r="F96" s="62" t="str" cm="1">
        <f t="array" ref="F96">Common_InputFunctions.Utility_DisplayArrayInTable(Fertiliser_SourceData.Fertiliser_Products_Data1(), FertiliserProducts[[#Headers],[Company]],1)</f>
        <v>Campbells fertilisers Australia</v>
      </c>
      <c r="G96" s="62" t="str" cm="1">
        <f t="array" ref="G96">Common_InputFunctions.Utility_DisplayArrayInTable(Fertiliser_SourceData.Fertiliser_Products_Data1(), FertiliserProducts[[#Headers],[Company]],1)</f>
        <v>Aqua NitroCal Ultimate</v>
      </c>
      <c r="H96" s="62" t="str" cm="1">
        <f t="array" ref="H96">Common_InputFunctions.Utility_DisplayArrayInTable(Fertiliser_SourceData.Fertiliser_Products_Data1(), FertiliserProducts[[#Headers],[Company]],1)</f>
        <v>Aqua NitroCal Ultimate - Campbells Fertilisers Australasia</v>
      </c>
      <c r="I96" s="62" t="str" cm="1">
        <f t="array" ref="I96">Common_InputFunctions.Utility_DisplayArrayInTable(Fertiliser_SourceData.Fertiliser_Products_Data1(), FertiliserProducts[[#Headers],[Company]],1)</f>
        <v>Website SDS</v>
      </c>
      <c r="J96" s="62" t="str" cm="1">
        <f t="array" ref="J96">Common_InputFunctions.Utility_DisplayArrayInTable(Fertiliser_SourceData.Fertiliser_Products_Data1(), FertiliserProducts[[#Headers],[Company]],1)</f>
        <v/>
      </c>
      <c r="K96" s="62" t="str" cm="1">
        <f t="array" ref="K96">Common_InputFunctions.Utility_DisplayArrayInTable(Fertiliser_SourceData.Fertiliser_Products_Data1(), FertiliserProducts[[#Headers],[Company]],1)</f>
        <v>L</v>
      </c>
      <c r="L96" s="62" cm="1">
        <f t="array" ref="L96">Common_InputFunctions.Utility_DisplayArrayInTable(Fertiliser_SourceData.Fertiliser_Products_Data1(), FertiliserProducts[[#Headers],[Company]],1)</f>
        <v>1.5</v>
      </c>
      <c r="M96" s="62" t="str" cm="1">
        <f t="array" ref="M96">Common_InputFunctions.Utility_DisplayArrayInTable(Fertiliser_SourceData.Fertiliser_Products_Data1(), FertiliserProducts[[#Headers],[Company]],1)</f>
        <v/>
      </c>
      <c r="N96" s="62" t="str" cm="1">
        <f t="array" ref="N96">Common_InputFunctions.Utility_DisplayArrayInTable(Fertiliser_SourceData.Fertiliser_Products_Data1(), FertiliserProducts[[#Headers],[Company]],1)</f>
        <v/>
      </c>
      <c r="O96" s="62" t="str" cm="1">
        <f t="array" ref="O96">Common_InputFunctions.Utility_DisplayArrayInTable(Fertiliser_SourceData.Fertiliser_Products_Data1(), FertiliserProducts[[#Headers],[Company]],1)</f>
        <v>Calcium - Generic</v>
      </c>
      <c r="P96" s="62" cm="1">
        <f t="array" ref="P96">Common_InputFunctions.Utility_DisplayArrayInTable(Fertiliser_SourceData.Fertiliser_Products_Data1(), FertiliserProducts[[#Headers],[Company]],1)</f>
        <v>0.183</v>
      </c>
      <c r="Q96" s="62" t="str" cm="1">
        <f t="array" ref="Q96">Common_InputFunctions.Utility_DisplayArrayInTable(Fertiliser_SourceData.Fertiliser_Products_Data1(), FertiliserProducts[[#Headers],[Company]],1)</f>
        <v>Nitrogen  - Nitrate</v>
      </c>
      <c r="R96" s="62" cm="1">
        <f t="array" ref="R96">Common_InputFunctions.Utility_DisplayArrayInTable(Fertiliser_SourceData.Fertiliser_Products_Data1(), FertiliserProducts[[#Headers],[Company]],1)</f>
        <v>0.13200000000000001</v>
      </c>
      <c r="S96" s="62" t="str" cm="1">
        <f t="array" ref="S96">Common_InputFunctions.Utility_DisplayArrayInTable(Fertiliser_SourceData.Fertiliser_Products_Data1(), FertiliserProducts[[#Headers],[Company]],1)</f>
        <v/>
      </c>
      <c r="T96" s="62" t="str" cm="1">
        <f t="array" ref="T96">Common_InputFunctions.Utility_DisplayArrayInTable(Fertiliser_SourceData.Fertiliser_Products_Data1(), FertiliserProducts[[#Headers],[Company]],1)</f>
        <v/>
      </c>
      <c r="U96" s="62" t="str" cm="1">
        <f t="array" ref="U96">Common_InputFunctions.Utility_DisplayArrayInTable(Fertiliser_SourceData.Fertiliser_Products_Data1(), FertiliserProducts[[#Headers],[Company]],1)</f>
        <v/>
      </c>
      <c r="V96" s="62" t="str" cm="1">
        <f t="array" ref="V96">Common_InputFunctions.Utility_DisplayArrayInTable(Fertiliser_SourceData.Fertiliser_Products_Data1(), FertiliserProducts[[#Headers],[Company]],1)</f>
        <v/>
      </c>
      <c r="W96" s="62" t="str" cm="1">
        <f t="array" ref="W96">Common_InputFunctions.Utility_DisplayArrayInTable(Fertiliser_SourceData.Fertiliser_Products_Data1(), FertiliserProducts[[#Headers],[Company]],1)</f>
        <v/>
      </c>
      <c r="X96" s="62" t="str" cm="1">
        <f t="array" ref="X96">Common_InputFunctions.Utility_DisplayArrayInTable(Fertiliser_SourceData.Fertiliser_Products_Data1(), FertiliserProducts[[#Headers],[Company]],1)</f>
        <v/>
      </c>
      <c r="Y96" s="62" t="str" cm="1">
        <f t="array" ref="Y96">Common_InputFunctions.Utility_DisplayArrayInTable(Fertiliser_SourceData.Fertiliser_Products_Data1(), FertiliserProducts[[#Headers],[Company]],1)</f>
        <v/>
      </c>
      <c r="Z96" s="62" t="str" cm="1">
        <f t="array" ref="Z96">Common_InputFunctions.Utility_DisplayArrayInTable(Fertiliser_SourceData.Fertiliser_Products_Data1(), FertiliserProducts[[#Headers],[Company]],1)</f>
        <v/>
      </c>
      <c r="AA96" s="62" t="str" cm="1">
        <f t="array" ref="AA96">Common_InputFunctions.Utility_DisplayArrayInTable(Fertiliser_SourceData.Fertiliser_Products_Data1(), FertiliserProducts[[#Headers],[Company]],1)</f>
        <v/>
      </c>
      <c r="AB96" s="62" t="str" cm="1">
        <f t="array" ref="AB96">Common_InputFunctions.Utility_DisplayArrayInTable(Fertiliser_SourceData.Fertiliser_Products_Data1(), FertiliserProducts[[#Headers],[Company]],1)</f>
        <v/>
      </c>
      <c r="AC96" s="62" t="str" cm="1">
        <f t="array" ref="AC96">Common_InputFunctions.Utility_DisplayArrayInTable(Fertiliser_SourceData.Fertiliser_Products_Data1(), FertiliserProducts[[#Headers],[Company]],1)</f>
        <v/>
      </c>
      <c r="AD96" s="62" t="str" cm="1">
        <f t="array" ref="AD96">Common_InputFunctions.Utility_DisplayArrayInTable(Fertiliser_SourceData.Fertiliser_Products_Data1(), FertiliserProducts[[#Headers],[Company]],1)</f>
        <v/>
      </c>
      <c r="AE96" s="62" t="str" cm="1">
        <f t="array" ref="AE96">Common_InputFunctions.Utility_DisplayArrayInTable(Fertiliser_SourceData.Fertiliser_Products_Data1(), FertiliserProducts[[#Headers],[Company]],1)</f>
        <v/>
      </c>
      <c r="AF96" s="62" t="str" cm="1">
        <f t="array" ref="AF96">Common_InputFunctions.Utility_DisplayArrayInTable(Fertiliser_SourceData.Fertiliser_Products_Data1(), FertiliserProducts[[#Headers],[Company]],1)</f>
        <v/>
      </c>
      <c r="AG96" s="62" t="str" cm="1">
        <f t="array" ref="AG96">Common_InputFunctions.Utility_DisplayArrayInTable(Fertiliser_SourceData.Fertiliser_Products_Data1(), FertiliserProducts[[#Headers],[Company]],1)</f>
        <v/>
      </c>
      <c r="AH96" s="62" t="str" cm="1">
        <f t="array" ref="AH96">Common_InputFunctions.Utility_DisplayArrayInTable(Fertiliser_SourceData.Fertiliser_Products_Data1(), FertiliserProducts[[#Headers],[Company]],1)</f>
        <v/>
      </c>
      <c r="AK96" s="8"/>
      <c r="AL96" s="8"/>
      <c r="AM96" s="8"/>
    </row>
    <row r="97" spans="1:39" ht="20.100000000000001" customHeight="1" x14ac:dyDescent="0.25">
      <c r="A97"/>
      <c r="D97" s="62" t="str" cm="1">
        <f t="array" ref="D97">Common_InputFunctions.Utility_DisplayArrayInTable(Fertiliser_SourceData.Fertiliser_Products_Data1(), FertiliserProducts[[#Headers],[Company]],1)</f>
        <v>Include</v>
      </c>
      <c r="E97" s="62" t="str" cm="1">
        <f t="array" ref="E97">Common_InputFunctions.Utility_DisplayArrayInTable(Fertiliser_SourceData.Fertiliser_Products_Data1(), FertiliserProducts[[#Headers],[Company]],1)</f>
        <v/>
      </c>
      <c r="F97" s="62" t="str" cm="1">
        <f t="array" ref="F97">Common_InputFunctions.Utility_DisplayArrayInTable(Fertiliser_SourceData.Fertiliser_Products_Data1(), FertiliserProducts[[#Headers],[Company]],1)</f>
        <v>Campbells fertilisers Australia</v>
      </c>
      <c r="G97" s="62" t="str" cm="1">
        <f t="array" ref="G97">Common_InputFunctions.Utility_DisplayArrayInTable(Fertiliser_SourceData.Fertiliser_Products_Data1(), FertiliserProducts[[#Headers],[Company]],1)</f>
        <v>Aqua Start</v>
      </c>
      <c r="H97" s="62" t="str" cm="1">
        <f t="array" ref="H97">Common_InputFunctions.Utility_DisplayArrayInTable(Fertiliser_SourceData.Fertiliser_Products_Data1(), FertiliserProducts[[#Headers],[Company]],1)</f>
        <v>Aqua Start - Campbells Fertilisers Australasia</v>
      </c>
      <c r="I97" s="62" t="str" cm="1">
        <f t="array" ref="I97">Common_InputFunctions.Utility_DisplayArrayInTable(Fertiliser_SourceData.Fertiliser_Products_Data1(), FertiliserProducts[[#Headers],[Company]],1)</f>
        <v>Website SDS</v>
      </c>
      <c r="J97" s="62" t="str" cm="1">
        <f t="array" ref="J97">Common_InputFunctions.Utility_DisplayArrayInTable(Fertiliser_SourceData.Fertiliser_Products_Data1(), FertiliserProducts[[#Headers],[Company]],1)</f>
        <v/>
      </c>
      <c r="K97" s="62" t="str" cm="1">
        <f t="array" ref="K97">Common_InputFunctions.Utility_DisplayArrayInTable(Fertiliser_SourceData.Fertiliser_Products_Data1(), FertiliserProducts[[#Headers],[Company]],1)</f>
        <v>L</v>
      </c>
      <c r="L97" s="62" cm="1">
        <f t="array" ref="L97">Common_InputFunctions.Utility_DisplayArrayInTable(Fertiliser_SourceData.Fertiliser_Products_Data1(), FertiliserProducts[[#Headers],[Company]],1)</f>
        <v>1.25</v>
      </c>
      <c r="M97" s="62" t="str" cm="1">
        <f t="array" ref="M97">Common_InputFunctions.Utility_DisplayArrayInTable(Fertiliser_SourceData.Fertiliser_Products_Data1(), FertiliserProducts[[#Headers],[Company]],1)</f>
        <v/>
      </c>
      <c r="N97" s="62" t="str" cm="1">
        <f t="array" ref="N97">Common_InputFunctions.Utility_DisplayArrayInTable(Fertiliser_SourceData.Fertiliser_Products_Data1(), FertiliserProducts[[#Headers],[Company]],1)</f>
        <v/>
      </c>
      <c r="O97" s="62" t="str" cm="1">
        <f t="array" ref="O97">Common_InputFunctions.Utility_DisplayArrayInTable(Fertiliser_SourceData.Fertiliser_Products_Data1(), FertiliserProducts[[#Headers],[Company]],1)</f>
        <v>Nitrogen - Generic</v>
      </c>
      <c r="P97" s="62" cm="1">
        <f t="array" ref="P97">Common_InputFunctions.Utility_DisplayArrayInTable(Fertiliser_SourceData.Fertiliser_Products_Data1(), FertiliserProducts[[#Headers],[Company]],1)</f>
        <v>0.10299999999999999</v>
      </c>
      <c r="Q97" s="62" t="str" cm="1">
        <f t="array" ref="Q97">Common_InputFunctions.Utility_DisplayArrayInTable(Fertiliser_SourceData.Fertiliser_Products_Data1(), FertiliserProducts[[#Headers],[Company]],1)</f>
        <v>Phosphorus - Generic</v>
      </c>
      <c r="R97" s="62" cm="1">
        <f t="array" ref="R97">Common_InputFunctions.Utility_DisplayArrayInTable(Fertiliser_SourceData.Fertiliser_Products_Data1(), FertiliserProducts[[#Headers],[Company]],1)</f>
        <v>0.1</v>
      </c>
      <c r="S97" s="62" t="str" cm="1">
        <f t="array" ref="S97">Common_InputFunctions.Utility_DisplayArrayInTable(Fertiliser_SourceData.Fertiliser_Products_Data1(), FertiliserProducts[[#Headers],[Company]],1)</f>
        <v>Potassium - Generic</v>
      </c>
      <c r="T97" s="62" cm="1">
        <f t="array" ref="T97">Common_InputFunctions.Utility_DisplayArrayInTable(Fertiliser_SourceData.Fertiliser_Products_Data1(), FertiliserProducts[[#Headers],[Company]],1)</f>
        <v>3.4000000000000002E-2</v>
      </c>
      <c r="U97" s="62" t="str" cm="1">
        <f t="array" ref="U97">Common_InputFunctions.Utility_DisplayArrayInTable(Fertiliser_SourceData.Fertiliser_Products_Data1(), FertiliserProducts[[#Headers],[Company]],1)</f>
        <v/>
      </c>
      <c r="V97" s="62" t="str" cm="1">
        <f t="array" ref="V97">Common_InputFunctions.Utility_DisplayArrayInTable(Fertiliser_SourceData.Fertiliser_Products_Data1(), FertiliserProducts[[#Headers],[Company]],1)</f>
        <v/>
      </c>
      <c r="W97" s="62" t="str" cm="1">
        <f t="array" ref="W97">Common_InputFunctions.Utility_DisplayArrayInTable(Fertiliser_SourceData.Fertiliser_Products_Data1(), FertiliserProducts[[#Headers],[Company]],1)</f>
        <v/>
      </c>
      <c r="X97" s="62" t="str" cm="1">
        <f t="array" ref="X97">Common_InputFunctions.Utility_DisplayArrayInTable(Fertiliser_SourceData.Fertiliser_Products_Data1(), FertiliserProducts[[#Headers],[Company]],1)</f>
        <v/>
      </c>
      <c r="Y97" s="62" t="str" cm="1">
        <f t="array" ref="Y97">Common_InputFunctions.Utility_DisplayArrayInTable(Fertiliser_SourceData.Fertiliser_Products_Data1(), FertiliserProducts[[#Headers],[Company]],1)</f>
        <v/>
      </c>
      <c r="Z97" s="62" t="str" cm="1">
        <f t="array" ref="Z97">Common_InputFunctions.Utility_DisplayArrayInTable(Fertiliser_SourceData.Fertiliser_Products_Data1(), FertiliserProducts[[#Headers],[Company]],1)</f>
        <v/>
      </c>
      <c r="AA97" s="62" t="str" cm="1">
        <f t="array" ref="AA97">Common_InputFunctions.Utility_DisplayArrayInTable(Fertiliser_SourceData.Fertiliser_Products_Data1(), FertiliserProducts[[#Headers],[Company]],1)</f>
        <v/>
      </c>
      <c r="AB97" s="62" t="str" cm="1">
        <f t="array" ref="AB97">Common_InputFunctions.Utility_DisplayArrayInTable(Fertiliser_SourceData.Fertiliser_Products_Data1(), FertiliserProducts[[#Headers],[Company]],1)</f>
        <v/>
      </c>
      <c r="AC97" s="62" t="str" cm="1">
        <f t="array" ref="AC97">Common_InputFunctions.Utility_DisplayArrayInTable(Fertiliser_SourceData.Fertiliser_Products_Data1(), FertiliserProducts[[#Headers],[Company]],1)</f>
        <v/>
      </c>
      <c r="AD97" s="62" t="str" cm="1">
        <f t="array" ref="AD97">Common_InputFunctions.Utility_DisplayArrayInTable(Fertiliser_SourceData.Fertiliser_Products_Data1(), FertiliserProducts[[#Headers],[Company]],1)</f>
        <v/>
      </c>
      <c r="AE97" s="62" t="str" cm="1">
        <f t="array" ref="AE97">Common_InputFunctions.Utility_DisplayArrayInTable(Fertiliser_SourceData.Fertiliser_Products_Data1(), FertiliserProducts[[#Headers],[Company]],1)</f>
        <v/>
      </c>
      <c r="AF97" s="62" t="str" cm="1">
        <f t="array" ref="AF97">Common_InputFunctions.Utility_DisplayArrayInTable(Fertiliser_SourceData.Fertiliser_Products_Data1(), FertiliserProducts[[#Headers],[Company]],1)</f>
        <v/>
      </c>
      <c r="AG97" s="62" t="str" cm="1">
        <f t="array" ref="AG97">Common_InputFunctions.Utility_DisplayArrayInTable(Fertiliser_SourceData.Fertiliser_Products_Data1(), FertiliserProducts[[#Headers],[Company]],1)</f>
        <v/>
      </c>
      <c r="AH97" s="62" t="str" cm="1">
        <f t="array" ref="AH97">Common_InputFunctions.Utility_DisplayArrayInTable(Fertiliser_SourceData.Fertiliser_Products_Data1(), FertiliserProducts[[#Headers],[Company]],1)</f>
        <v/>
      </c>
      <c r="AK97" s="8"/>
      <c r="AL97" s="8"/>
      <c r="AM97" s="8"/>
    </row>
    <row r="98" spans="1:39" ht="20.100000000000001" customHeight="1" x14ac:dyDescent="0.25">
      <c r="A98"/>
      <c r="D98" s="62" t="str" cm="1">
        <f t="array" ref="D98">Common_InputFunctions.Utility_DisplayArrayInTable(Fertiliser_SourceData.Fertiliser_Products_Data1(), FertiliserProducts[[#Headers],[Company]],1)</f>
        <v>Include</v>
      </c>
      <c r="E98" s="62" t="str" cm="1">
        <f t="array" ref="E98">Common_InputFunctions.Utility_DisplayArrayInTable(Fertiliser_SourceData.Fertiliser_Products_Data1(), FertiliserProducts[[#Headers],[Company]],1)</f>
        <v/>
      </c>
      <c r="F98" s="62" t="str" cm="1">
        <f t="array" ref="F98">Common_InputFunctions.Utility_DisplayArrayInTable(Fertiliser_SourceData.Fertiliser_Products_Data1(), FertiliserProducts[[#Headers],[Company]],1)</f>
        <v>Campbells fertilisers Australia</v>
      </c>
      <c r="G98" s="62" t="str" cm="1">
        <f t="array" ref="G98">Common_InputFunctions.Utility_DisplayArrayInTable(Fertiliser_SourceData.Fertiliser_Products_Data1(), FertiliserProducts[[#Headers],[Company]],1)</f>
        <v>Aqua Thio-Complete</v>
      </c>
      <c r="H98" s="62" t="str" cm="1">
        <f t="array" ref="H98">Common_InputFunctions.Utility_DisplayArrayInTable(Fertiliser_SourceData.Fertiliser_Products_Data1(), FertiliserProducts[[#Headers],[Company]],1)</f>
        <v>Aqua Thio-Complete - Campbells Fertilisers Australasia</v>
      </c>
      <c r="I98" s="62" t="str" cm="1">
        <f t="array" ref="I98">Common_InputFunctions.Utility_DisplayArrayInTable(Fertiliser_SourceData.Fertiliser_Products_Data1(), FertiliserProducts[[#Headers],[Company]],1)</f>
        <v>Website SDS</v>
      </c>
      <c r="J98" s="62" t="str" cm="1">
        <f t="array" ref="J98">Common_InputFunctions.Utility_DisplayArrayInTable(Fertiliser_SourceData.Fertiliser_Products_Data1(), FertiliserProducts[[#Headers],[Company]],1)</f>
        <v/>
      </c>
      <c r="K98" s="62" t="str" cm="1">
        <f t="array" ref="K98">Common_InputFunctions.Utility_DisplayArrayInTable(Fertiliser_SourceData.Fertiliser_Products_Data1(), FertiliserProducts[[#Headers],[Company]],1)</f>
        <v>L</v>
      </c>
      <c r="L98" s="62" cm="1">
        <f t="array" ref="L98">Common_InputFunctions.Utility_DisplayArrayInTable(Fertiliser_SourceData.Fertiliser_Products_Data1(), FertiliserProducts[[#Headers],[Company]],1)</f>
        <v>1.43</v>
      </c>
      <c r="M98" s="62" t="str" cm="1">
        <f t="array" ref="M98">Common_InputFunctions.Utility_DisplayArrayInTable(Fertiliser_SourceData.Fertiliser_Products_Data1(), FertiliserProducts[[#Headers],[Company]],1)</f>
        <v/>
      </c>
      <c r="N98" s="62" t="str" cm="1">
        <f t="array" ref="N98">Common_InputFunctions.Utility_DisplayArrayInTable(Fertiliser_SourceData.Fertiliser_Products_Data1(), FertiliserProducts[[#Headers],[Company]],1)</f>
        <v/>
      </c>
      <c r="O98" s="62" t="str" cm="1">
        <f t="array" ref="O98">Common_InputFunctions.Utility_DisplayArrayInTable(Fertiliser_SourceData.Fertiliser_Products_Data1(), FertiliserProducts[[#Headers],[Company]],1)</f>
        <v>Potassium - Generic</v>
      </c>
      <c r="P98" s="62" cm="1">
        <f t="array" ref="P98">Common_InputFunctions.Utility_DisplayArrayInTable(Fertiliser_SourceData.Fertiliser_Products_Data1(), FertiliserProducts[[#Headers],[Company]],1)</f>
        <v>0.22500000000000001</v>
      </c>
      <c r="Q98" s="62" t="str" cm="1">
        <f t="array" ref="Q98">Common_InputFunctions.Utility_DisplayArrayInTable(Fertiliser_SourceData.Fertiliser_Products_Data1(), FertiliserProducts[[#Headers],[Company]],1)</f>
        <v>Phosphorus - Generic</v>
      </c>
      <c r="R98" s="62" cm="1">
        <f t="array" ref="R98">Common_InputFunctions.Utility_DisplayArrayInTable(Fertiliser_SourceData.Fertiliser_Products_Data1(), FertiliserProducts[[#Headers],[Company]],1)</f>
        <v>3.7999999999999999E-2</v>
      </c>
      <c r="S98" s="62" t="str" cm="1">
        <f t="array" ref="S98">Common_InputFunctions.Utility_DisplayArrayInTable(Fertiliser_SourceData.Fertiliser_Products_Data1(), FertiliserProducts[[#Headers],[Company]],1)</f>
        <v>Nitrogen - Generic</v>
      </c>
      <c r="T98" s="62" cm="1">
        <f t="array" ref="T98">Common_InputFunctions.Utility_DisplayArrayInTable(Fertiliser_SourceData.Fertiliser_Products_Data1(), FertiliserProducts[[#Headers],[Company]],1)</f>
        <v>2.5000000000000001E-2</v>
      </c>
      <c r="U98" s="62" t="str" cm="1">
        <f t="array" ref="U98">Common_InputFunctions.Utility_DisplayArrayInTable(Fertiliser_SourceData.Fertiliser_Products_Data1(), FertiliserProducts[[#Headers],[Company]],1)</f>
        <v/>
      </c>
      <c r="V98" s="62" t="str" cm="1">
        <f t="array" ref="V98">Common_InputFunctions.Utility_DisplayArrayInTable(Fertiliser_SourceData.Fertiliser_Products_Data1(), FertiliserProducts[[#Headers],[Company]],1)</f>
        <v/>
      </c>
      <c r="W98" s="62" t="str" cm="1">
        <f t="array" ref="W98">Common_InputFunctions.Utility_DisplayArrayInTable(Fertiliser_SourceData.Fertiliser_Products_Data1(), FertiliserProducts[[#Headers],[Company]],1)</f>
        <v/>
      </c>
      <c r="X98" s="62" t="str" cm="1">
        <f t="array" ref="X98">Common_InputFunctions.Utility_DisplayArrayInTable(Fertiliser_SourceData.Fertiliser_Products_Data1(), FertiliserProducts[[#Headers],[Company]],1)</f>
        <v/>
      </c>
      <c r="Y98" s="62" t="str" cm="1">
        <f t="array" ref="Y98">Common_InputFunctions.Utility_DisplayArrayInTable(Fertiliser_SourceData.Fertiliser_Products_Data1(), FertiliserProducts[[#Headers],[Company]],1)</f>
        <v/>
      </c>
      <c r="Z98" s="62" t="str" cm="1">
        <f t="array" ref="Z98">Common_InputFunctions.Utility_DisplayArrayInTable(Fertiliser_SourceData.Fertiliser_Products_Data1(), FertiliserProducts[[#Headers],[Company]],1)</f>
        <v/>
      </c>
      <c r="AA98" s="62" t="str" cm="1">
        <f t="array" ref="AA98">Common_InputFunctions.Utility_DisplayArrayInTable(Fertiliser_SourceData.Fertiliser_Products_Data1(), FertiliserProducts[[#Headers],[Company]],1)</f>
        <v/>
      </c>
      <c r="AB98" s="62" t="str" cm="1">
        <f t="array" ref="AB98">Common_InputFunctions.Utility_DisplayArrayInTable(Fertiliser_SourceData.Fertiliser_Products_Data1(), FertiliserProducts[[#Headers],[Company]],1)</f>
        <v/>
      </c>
      <c r="AC98" s="62" t="str" cm="1">
        <f t="array" ref="AC98">Common_InputFunctions.Utility_DisplayArrayInTable(Fertiliser_SourceData.Fertiliser_Products_Data1(), FertiliserProducts[[#Headers],[Company]],1)</f>
        <v/>
      </c>
      <c r="AD98" s="62" t="str" cm="1">
        <f t="array" ref="AD98">Common_InputFunctions.Utility_DisplayArrayInTable(Fertiliser_SourceData.Fertiliser_Products_Data1(), FertiliserProducts[[#Headers],[Company]],1)</f>
        <v/>
      </c>
      <c r="AE98" s="62" t="str" cm="1">
        <f t="array" ref="AE98">Common_InputFunctions.Utility_DisplayArrayInTable(Fertiliser_SourceData.Fertiliser_Products_Data1(), FertiliserProducts[[#Headers],[Company]],1)</f>
        <v/>
      </c>
      <c r="AF98" s="62" t="str" cm="1">
        <f t="array" ref="AF98">Common_InputFunctions.Utility_DisplayArrayInTable(Fertiliser_SourceData.Fertiliser_Products_Data1(), FertiliserProducts[[#Headers],[Company]],1)</f>
        <v/>
      </c>
      <c r="AG98" s="62" t="str" cm="1">
        <f t="array" ref="AG98">Common_InputFunctions.Utility_DisplayArrayInTable(Fertiliser_SourceData.Fertiliser_Products_Data1(), FertiliserProducts[[#Headers],[Company]],1)</f>
        <v/>
      </c>
      <c r="AH98" s="62" t="str" cm="1">
        <f t="array" ref="AH98">Common_InputFunctions.Utility_DisplayArrayInTable(Fertiliser_SourceData.Fertiliser_Products_Data1(), FertiliserProducts[[#Headers],[Company]],1)</f>
        <v/>
      </c>
      <c r="AK98" s="8"/>
      <c r="AL98" s="8"/>
      <c r="AM98" s="8"/>
    </row>
    <row r="99" spans="1:39" ht="20.100000000000001" customHeight="1" x14ac:dyDescent="0.25">
      <c r="A99"/>
      <c r="D99" s="62" t="str" cm="1">
        <f t="array" ref="D99">Common_InputFunctions.Utility_DisplayArrayInTable(Fertiliser_SourceData.Fertiliser_Products_Data1(), FertiliserProducts[[#Headers],[Company]],1)</f>
        <v>Include</v>
      </c>
      <c r="E99" s="62" t="str" cm="1">
        <f t="array" ref="E99">Common_InputFunctions.Utility_DisplayArrayInTable(Fertiliser_SourceData.Fertiliser_Products_Data1(), FertiliserProducts[[#Headers],[Company]],1)</f>
        <v/>
      </c>
      <c r="F99" s="62" t="str" cm="1">
        <f t="array" ref="F99">Common_InputFunctions.Utility_DisplayArrayInTable(Fertiliser_SourceData.Fertiliser_Products_Data1(), FertiliserProducts[[#Headers],[Company]],1)</f>
        <v>Campbells fertilisers Australia</v>
      </c>
      <c r="G99" s="62" t="str" cm="1">
        <f t="array" ref="G99">Common_InputFunctions.Utility_DisplayArrayInTable(Fertiliser_SourceData.Fertiliser_Products_Data1(), FertiliserProducts[[#Headers],[Company]],1)</f>
        <v>Aqua Thio-Emerge</v>
      </c>
      <c r="H99" s="62" t="str" cm="1">
        <f t="array" ref="H99">Common_InputFunctions.Utility_DisplayArrayInTable(Fertiliser_SourceData.Fertiliser_Products_Data1(), FertiliserProducts[[#Headers],[Company]],1)</f>
        <v>Aqua Thio-Emerge - Campbells Fertilisers Australasia</v>
      </c>
      <c r="I99" s="62" t="str" cm="1">
        <f t="array" ref="I99">Common_InputFunctions.Utility_DisplayArrayInTable(Fertiliser_SourceData.Fertiliser_Products_Data1(), FertiliserProducts[[#Headers],[Company]],1)</f>
        <v>Website SDS</v>
      </c>
      <c r="J99" s="62" t="str" cm="1">
        <f t="array" ref="J99">Common_InputFunctions.Utility_DisplayArrayInTable(Fertiliser_SourceData.Fertiliser_Products_Data1(), FertiliserProducts[[#Headers],[Company]],1)</f>
        <v/>
      </c>
      <c r="K99" s="62" t="str" cm="1">
        <f t="array" ref="K99">Common_InputFunctions.Utility_DisplayArrayInTable(Fertiliser_SourceData.Fertiliser_Products_Data1(), FertiliserProducts[[#Headers],[Company]],1)</f>
        <v>L</v>
      </c>
      <c r="L99" s="62" cm="1">
        <f t="array" ref="L99">Common_InputFunctions.Utility_DisplayArrayInTable(Fertiliser_SourceData.Fertiliser_Products_Data1(), FertiliserProducts[[#Headers],[Company]],1)</f>
        <v>1.29</v>
      </c>
      <c r="M99" s="62" t="str" cm="1">
        <f t="array" ref="M99">Common_InputFunctions.Utility_DisplayArrayInTable(Fertiliser_SourceData.Fertiliser_Products_Data1(), FertiliserProducts[[#Headers],[Company]],1)</f>
        <v/>
      </c>
      <c r="N99" s="62" t="str" cm="1">
        <f t="array" ref="N99">Common_InputFunctions.Utility_DisplayArrayInTable(Fertiliser_SourceData.Fertiliser_Products_Data1(), FertiliserProducts[[#Headers],[Company]],1)</f>
        <v/>
      </c>
      <c r="O99" s="62" t="str" cm="1">
        <f t="array" ref="O99">Common_InputFunctions.Utility_DisplayArrayInTable(Fertiliser_SourceData.Fertiliser_Products_Data1(), FertiliserProducts[[#Headers],[Company]],1)</f>
        <v>Nitrogen - Generic</v>
      </c>
      <c r="P99" s="62" cm="1">
        <f t="array" ref="P99">Common_InputFunctions.Utility_DisplayArrayInTable(Fertiliser_SourceData.Fertiliser_Products_Data1(), FertiliserProducts[[#Headers],[Company]],1)</f>
        <v>0.105</v>
      </c>
      <c r="Q99" s="62" t="str" cm="1">
        <f t="array" ref="Q99">Common_InputFunctions.Utility_DisplayArrayInTable(Fertiliser_SourceData.Fertiliser_Products_Data1(), FertiliserProducts[[#Headers],[Company]],1)</f>
        <v>Phosphorus - Generic</v>
      </c>
      <c r="R99" s="62" cm="1">
        <f t="array" ref="R99">Common_InputFunctions.Utility_DisplayArrayInTable(Fertiliser_SourceData.Fertiliser_Products_Data1(), FertiliserProducts[[#Headers],[Company]],1)</f>
        <v>9.4E-2</v>
      </c>
      <c r="S99" s="62" t="str" cm="1">
        <f t="array" ref="S99">Common_InputFunctions.Utility_DisplayArrayInTable(Fertiliser_SourceData.Fertiliser_Products_Data1(), FertiliserProducts[[#Headers],[Company]],1)</f>
        <v>Potassium - Generic</v>
      </c>
      <c r="T99" s="62" cm="1">
        <f t="array" ref="T99">Common_InputFunctions.Utility_DisplayArrayInTable(Fertiliser_SourceData.Fertiliser_Products_Data1(), FertiliserProducts[[#Headers],[Company]],1)</f>
        <v>0.04</v>
      </c>
      <c r="U99" s="62" t="str" cm="1">
        <f t="array" ref="U99">Common_InputFunctions.Utility_DisplayArrayInTable(Fertiliser_SourceData.Fertiliser_Products_Data1(), FertiliserProducts[[#Headers],[Company]],1)</f>
        <v>Sulfur - Generic</v>
      </c>
      <c r="V99" s="62" cm="1">
        <f t="array" ref="V99">Common_InputFunctions.Utility_DisplayArrayInTable(Fertiliser_SourceData.Fertiliser_Products_Data1(), FertiliserProducts[[#Headers],[Company]],1)</f>
        <v>0.03</v>
      </c>
      <c r="W99" s="62" t="str" cm="1">
        <f t="array" ref="W99">Common_InputFunctions.Utility_DisplayArrayInTable(Fertiliser_SourceData.Fertiliser_Products_Data1(), FertiliserProducts[[#Headers],[Company]],1)</f>
        <v/>
      </c>
      <c r="X99" s="62" t="str" cm="1">
        <f t="array" ref="X99">Common_InputFunctions.Utility_DisplayArrayInTable(Fertiliser_SourceData.Fertiliser_Products_Data1(), FertiliserProducts[[#Headers],[Company]],1)</f>
        <v/>
      </c>
      <c r="Y99" s="62" t="str" cm="1">
        <f t="array" ref="Y99">Common_InputFunctions.Utility_DisplayArrayInTable(Fertiliser_SourceData.Fertiliser_Products_Data1(), FertiliserProducts[[#Headers],[Company]],1)</f>
        <v/>
      </c>
      <c r="Z99" s="62" t="str" cm="1">
        <f t="array" ref="Z99">Common_InputFunctions.Utility_DisplayArrayInTable(Fertiliser_SourceData.Fertiliser_Products_Data1(), FertiliserProducts[[#Headers],[Company]],1)</f>
        <v/>
      </c>
      <c r="AA99" s="62" t="str" cm="1">
        <f t="array" ref="AA99">Common_InputFunctions.Utility_DisplayArrayInTable(Fertiliser_SourceData.Fertiliser_Products_Data1(), FertiliserProducts[[#Headers],[Company]],1)</f>
        <v/>
      </c>
      <c r="AB99" s="62" t="str" cm="1">
        <f t="array" ref="AB99">Common_InputFunctions.Utility_DisplayArrayInTable(Fertiliser_SourceData.Fertiliser_Products_Data1(), FertiliserProducts[[#Headers],[Company]],1)</f>
        <v/>
      </c>
      <c r="AC99" s="62" t="str" cm="1">
        <f t="array" ref="AC99">Common_InputFunctions.Utility_DisplayArrayInTable(Fertiliser_SourceData.Fertiliser_Products_Data1(), FertiliserProducts[[#Headers],[Company]],1)</f>
        <v/>
      </c>
      <c r="AD99" s="62" t="str" cm="1">
        <f t="array" ref="AD99">Common_InputFunctions.Utility_DisplayArrayInTable(Fertiliser_SourceData.Fertiliser_Products_Data1(), FertiliserProducts[[#Headers],[Company]],1)</f>
        <v/>
      </c>
      <c r="AE99" s="62" t="str" cm="1">
        <f t="array" ref="AE99">Common_InputFunctions.Utility_DisplayArrayInTable(Fertiliser_SourceData.Fertiliser_Products_Data1(), FertiliserProducts[[#Headers],[Company]],1)</f>
        <v/>
      </c>
      <c r="AF99" s="62" t="str" cm="1">
        <f t="array" ref="AF99">Common_InputFunctions.Utility_DisplayArrayInTable(Fertiliser_SourceData.Fertiliser_Products_Data1(), FertiliserProducts[[#Headers],[Company]],1)</f>
        <v/>
      </c>
      <c r="AG99" s="62" t="str" cm="1">
        <f t="array" ref="AG99">Common_InputFunctions.Utility_DisplayArrayInTable(Fertiliser_SourceData.Fertiliser_Products_Data1(), FertiliserProducts[[#Headers],[Company]],1)</f>
        <v/>
      </c>
      <c r="AH99" s="62" t="str" cm="1">
        <f t="array" ref="AH99">Common_InputFunctions.Utility_DisplayArrayInTable(Fertiliser_SourceData.Fertiliser_Products_Data1(), FertiliserProducts[[#Headers],[Company]],1)</f>
        <v/>
      </c>
      <c r="AK99" s="8"/>
      <c r="AL99" s="8"/>
      <c r="AM99" s="8"/>
    </row>
    <row r="100" spans="1:39" ht="20.100000000000001" customHeight="1" x14ac:dyDescent="0.25">
      <c r="A100"/>
      <c r="D100" s="62" t="str" cm="1">
        <f t="array" ref="D100">Common_InputFunctions.Utility_DisplayArrayInTable(Fertiliser_SourceData.Fertiliser_Products_Data1(), FertiliserProducts[[#Headers],[Company]],1)</f>
        <v>Include</v>
      </c>
      <c r="E100" s="62" t="str" cm="1">
        <f t="array" ref="E100">Common_InputFunctions.Utility_DisplayArrayInTable(Fertiliser_SourceData.Fertiliser_Products_Data1(), FertiliserProducts[[#Headers],[Company]],1)</f>
        <v/>
      </c>
      <c r="F100" s="62" t="str" cm="1">
        <f t="array" ref="F100">Common_InputFunctions.Utility_DisplayArrayInTable(Fertiliser_SourceData.Fertiliser_Products_Data1(), FertiliserProducts[[#Headers],[Company]],1)</f>
        <v>Campbells fertilisers Australia</v>
      </c>
      <c r="G100" s="62" t="str" cm="1">
        <f t="array" ref="G100">Common_InputFunctions.Utility_DisplayArrayInTable(Fertiliser_SourceData.Fertiliser_Products_Data1(), FertiliserProducts[[#Headers],[Company]],1)</f>
        <v>Aqua Thio-Flourish</v>
      </c>
      <c r="H100" s="62" t="str" cm="1">
        <f t="array" ref="H100">Common_InputFunctions.Utility_DisplayArrayInTable(Fertiliser_SourceData.Fertiliser_Products_Data1(), FertiliserProducts[[#Headers],[Company]],1)</f>
        <v>Aqua Thio-Flourish - Campbells Fertilisers Australasia</v>
      </c>
      <c r="I100" s="62" t="str" cm="1">
        <f t="array" ref="I100">Common_InputFunctions.Utility_DisplayArrayInTable(Fertiliser_SourceData.Fertiliser_Products_Data1(), FertiliserProducts[[#Headers],[Company]],1)</f>
        <v>Website SDS</v>
      </c>
      <c r="J100" s="62" t="str" cm="1">
        <f t="array" ref="J100">Common_InputFunctions.Utility_DisplayArrayInTable(Fertiliser_SourceData.Fertiliser_Products_Data1(), FertiliserProducts[[#Headers],[Company]],1)</f>
        <v/>
      </c>
      <c r="K100" s="62" t="str" cm="1">
        <f t="array" ref="K100">Common_InputFunctions.Utility_DisplayArrayInTable(Fertiliser_SourceData.Fertiliser_Products_Data1(), FertiliserProducts[[#Headers],[Company]],1)</f>
        <v>L</v>
      </c>
      <c r="L100" s="62" cm="1">
        <f t="array" ref="L100">Common_InputFunctions.Utility_DisplayArrayInTable(Fertiliser_SourceData.Fertiliser_Products_Data1(), FertiliserProducts[[#Headers],[Company]],1)</f>
        <v>1.32</v>
      </c>
      <c r="M100" s="62" t="str" cm="1">
        <f t="array" ref="M100">Common_InputFunctions.Utility_DisplayArrayInTable(Fertiliser_SourceData.Fertiliser_Products_Data1(), FertiliserProducts[[#Headers],[Company]],1)</f>
        <v/>
      </c>
      <c r="N100" s="62" t="str" cm="1">
        <f t="array" ref="N100">Common_InputFunctions.Utility_DisplayArrayInTable(Fertiliser_SourceData.Fertiliser_Products_Data1(), FertiliserProducts[[#Headers],[Company]],1)</f>
        <v/>
      </c>
      <c r="O100" s="62" t="str" cm="1">
        <f t="array" ref="O100">Common_InputFunctions.Utility_DisplayArrayInTable(Fertiliser_SourceData.Fertiliser_Products_Data1(), FertiliserProducts[[#Headers],[Company]],1)</f>
        <v>Potassium - Generic</v>
      </c>
      <c r="P100" s="62" cm="1">
        <f t="array" ref="P100">Common_InputFunctions.Utility_DisplayArrayInTable(Fertiliser_SourceData.Fertiliser_Products_Data1(), FertiliserProducts[[#Headers],[Company]],1)</f>
        <v>0.108</v>
      </c>
      <c r="Q100" s="62" t="str" cm="1">
        <f t="array" ref="Q100">Common_InputFunctions.Utility_DisplayArrayInTable(Fertiliser_SourceData.Fertiliser_Products_Data1(), FertiliserProducts[[#Headers],[Company]],1)</f>
        <v>Nitrogen - Generic</v>
      </c>
      <c r="R100" s="62" cm="1">
        <f t="array" ref="R100">Common_InputFunctions.Utility_DisplayArrayInTable(Fertiliser_SourceData.Fertiliser_Products_Data1(), FertiliserProducts[[#Headers],[Company]],1)</f>
        <v>9.5000000000000001E-2</v>
      </c>
      <c r="S100" s="62" t="str" cm="1">
        <f t="array" ref="S100">Common_InputFunctions.Utility_DisplayArrayInTable(Fertiliser_SourceData.Fertiliser_Products_Data1(), FertiliserProducts[[#Headers],[Company]],1)</f>
        <v>Sulfur - Generic</v>
      </c>
      <c r="T100" s="62" cm="1">
        <f t="array" ref="T100">Common_InputFunctions.Utility_DisplayArrayInTable(Fertiliser_SourceData.Fertiliser_Products_Data1(), FertiliserProducts[[#Headers],[Company]],1)</f>
        <v>8.1000000000000003E-2</v>
      </c>
      <c r="U100" s="62" t="str" cm="1">
        <f t="array" ref="U100">Common_InputFunctions.Utility_DisplayArrayInTable(Fertiliser_SourceData.Fertiliser_Products_Data1(), FertiliserProducts[[#Headers],[Company]],1)</f>
        <v>Phosphorus - Generic</v>
      </c>
      <c r="V100" s="62" cm="1">
        <f t="array" ref="V100">Common_InputFunctions.Utility_DisplayArrayInTable(Fertiliser_SourceData.Fertiliser_Products_Data1(), FertiliserProducts[[#Headers],[Company]],1)</f>
        <v>4.7E-2</v>
      </c>
      <c r="W100" s="62" t="str" cm="1">
        <f t="array" ref="W100">Common_InputFunctions.Utility_DisplayArrayInTable(Fertiliser_SourceData.Fertiliser_Products_Data1(), FertiliserProducts[[#Headers],[Company]],1)</f>
        <v/>
      </c>
      <c r="X100" s="62" t="str" cm="1">
        <f t="array" ref="X100">Common_InputFunctions.Utility_DisplayArrayInTable(Fertiliser_SourceData.Fertiliser_Products_Data1(), FertiliserProducts[[#Headers],[Company]],1)</f>
        <v/>
      </c>
      <c r="Y100" s="62" t="str" cm="1">
        <f t="array" ref="Y100">Common_InputFunctions.Utility_DisplayArrayInTable(Fertiliser_SourceData.Fertiliser_Products_Data1(), FertiliserProducts[[#Headers],[Company]],1)</f>
        <v/>
      </c>
      <c r="Z100" s="62" t="str" cm="1">
        <f t="array" ref="Z100">Common_InputFunctions.Utility_DisplayArrayInTable(Fertiliser_SourceData.Fertiliser_Products_Data1(), FertiliserProducts[[#Headers],[Company]],1)</f>
        <v/>
      </c>
      <c r="AA100" s="62" t="str" cm="1">
        <f t="array" ref="AA100">Common_InputFunctions.Utility_DisplayArrayInTable(Fertiliser_SourceData.Fertiliser_Products_Data1(), FertiliserProducts[[#Headers],[Company]],1)</f>
        <v/>
      </c>
      <c r="AB100" s="62" t="str" cm="1">
        <f t="array" ref="AB100">Common_InputFunctions.Utility_DisplayArrayInTable(Fertiliser_SourceData.Fertiliser_Products_Data1(), FertiliserProducts[[#Headers],[Company]],1)</f>
        <v/>
      </c>
      <c r="AC100" s="62" t="str" cm="1">
        <f t="array" ref="AC100">Common_InputFunctions.Utility_DisplayArrayInTable(Fertiliser_SourceData.Fertiliser_Products_Data1(), FertiliserProducts[[#Headers],[Company]],1)</f>
        <v/>
      </c>
      <c r="AD100" s="62" t="str" cm="1">
        <f t="array" ref="AD100">Common_InputFunctions.Utility_DisplayArrayInTable(Fertiliser_SourceData.Fertiliser_Products_Data1(), FertiliserProducts[[#Headers],[Company]],1)</f>
        <v/>
      </c>
      <c r="AE100" s="62" t="str" cm="1">
        <f t="array" ref="AE100">Common_InputFunctions.Utility_DisplayArrayInTable(Fertiliser_SourceData.Fertiliser_Products_Data1(), FertiliserProducts[[#Headers],[Company]],1)</f>
        <v/>
      </c>
      <c r="AF100" s="62" t="str" cm="1">
        <f t="array" ref="AF100">Common_InputFunctions.Utility_DisplayArrayInTable(Fertiliser_SourceData.Fertiliser_Products_Data1(), FertiliserProducts[[#Headers],[Company]],1)</f>
        <v/>
      </c>
      <c r="AG100" s="62" t="str" cm="1">
        <f t="array" ref="AG100">Common_InputFunctions.Utility_DisplayArrayInTable(Fertiliser_SourceData.Fertiliser_Products_Data1(), FertiliserProducts[[#Headers],[Company]],1)</f>
        <v/>
      </c>
      <c r="AH100" s="62" t="str" cm="1">
        <f t="array" ref="AH100">Common_InputFunctions.Utility_DisplayArrayInTable(Fertiliser_SourceData.Fertiliser_Products_Data1(), FertiliserProducts[[#Headers],[Company]],1)</f>
        <v/>
      </c>
      <c r="AK100" s="8"/>
      <c r="AL100" s="8"/>
      <c r="AM100" s="8"/>
    </row>
    <row r="101" spans="1:39" ht="20.100000000000001" customHeight="1" x14ac:dyDescent="0.25">
      <c r="A101"/>
      <c r="D101" s="62" t="str" cm="1">
        <f t="array" ref="D101">Common_InputFunctions.Utility_DisplayArrayInTable(Fertiliser_SourceData.Fertiliser_Products_Data1(), FertiliserProducts[[#Headers],[Company]],1)</f>
        <v>Exclude - Not relevant</v>
      </c>
      <c r="E101" s="62" t="str" cm="1">
        <f t="array" ref="E101">Common_InputFunctions.Utility_DisplayArrayInTable(Fertiliser_SourceData.Fertiliser_Products_Data1(), FertiliserProducts[[#Headers],[Company]],1)</f>
        <v/>
      </c>
      <c r="F101" s="62" t="str" cm="1">
        <f t="array" ref="F101">Common_InputFunctions.Utility_DisplayArrayInTable(Fertiliser_SourceData.Fertiliser_Products_Data1(), FertiliserProducts[[#Headers],[Company]],1)</f>
        <v>Campbells fertilisers Australia</v>
      </c>
      <c r="G101" s="62" t="str" cm="1">
        <f t="array" ref="G101">Common_InputFunctions.Utility_DisplayArrayInTable(Fertiliser_SourceData.Fertiliser_Products_Data1(), FertiliserProducts[[#Headers],[Company]],1)</f>
        <v>Asco Fol Plus</v>
      </c>
      <c r="H101" s="62" t="str" cm="1">
        <f t="array" ref="H101">Common_InputFunctions.Utility_DisplayArrayInTable(Fertiliser_SourceData.Fertiliser_Products_Data1(), FertiliserProducts[[#Headers],[Company]],1)</f>
        <v>Asco Fol Plus - Campbells Fertilisers Australasia</v>
      </c>
      <c r="I101" s="62" t="str" cm="1">
        <f t="array" ref="I101">Common_InputFunctions.Utility_DisplayArrayInTable(Fertiliser_SourceData.Fertiliser_Products_Data1(), FertiliserProducts[[#Headers],[Company]],1)</f>
        <v/>
      </c>
      <c r="J101" s="62" t="str" cm="1">
        <f t="array" ref="J101">Common_InputFunctions.Utility_DisplayArrayInTable(Fertiliser_SourceData.Fertiliser_Products_Data1(), FertiliserProducts[[#Headers],[Company]],1)</f>
        <v>Organic - Do not include</v>
      </c>
      <c r="K101" s="62" t="str" cm="1">
        <f t="array" ref="K101">Common_InputFunctions.Utility_DisplayArrayInTable(Fertiliser_SourceData.Fertiliser_Products_Data1(), FertiliserProducts[[#Headers],[Company]],1)</f>
        <v/>
      </c>
      <c r="L101" s="62" t="str" cm="1">
        <f t="array" ref="L101">Common_InputFunctions.Utility_DisplayArrayInTable(Fertiliser_SourceData.Fertiliser_Products_Data1(), FertiliserProducts[[#Headers],[Company]],1)</f>
        <v/>
      </c>
      <c r="M101" s="62" t="str" cm="1">
        <f t="array" ref="M101">Common_InputFunctions.Utility_DisplayArrayInTable(Fertiliser_SourceData.Fertiliser_Products_Data1(), FertiliserProducts[[#Headers],[Company]],1)</f>
        <v/>
      </c>
      <c r="N101" s="62" t="str" cm="1">
        <f t="array" ref="N101">Common_InputFunctions.Utility_DisplayArrayInTable(Fertiliser_SourceData.Fertiliser_Products_Data1(), FertiliserProducts[[#Headers],[Company]],1)</f>
        <v/>
      </c>
      <c r="O101" s="62" t="str" cm="1">
        <f t="array" ref="O101">Common_InputFunctions.Utility_DisplayArrayInTable(Fertiliser_SourceData.Fertiliser_Products_Data1(), FertiliserProducts[[#Headers],[Company]],1)</f>
        <v/>
      </c>
      <c r="P101" s="62" t="str" cm="1">
        <f t="array" ref="P101">Common_InputFunctions.Utility_DisplayArrayInTable(Fertiliser_SourceData.Fertiliser_Products_Data1(), FertiliserProducts[[#Headers],[Company]],1)</f>
        <v/>
      </c>
      <c r="Q101" s="62" t="str" cm="1">
        <f t="array" ref="Q101">Common_InputFunctions.Utility_DisplayArrayInTable(Fertiliser_SourceData.Fertiliser_Products_Data1(), FertiliserProducts[[#Headers],[Company]],1)</f>
        <v/>
      </c>
      <c r="R101" s="62" t="str" cm="1">
        <f t="array" ref="R101">Common_InputFunctions.Utility_DisplayArrayInTable(Fertiliser_SourceData.Fertiliser_Products_Data1(), FertiliserProducts[[#Headers],[Company]],1)</f>
        <v/>
      </c>
      <c r="S101" s="62" t="str" cm="1">
        <f t="array" ref="S101">Common_InputFunctions.Utility_DisplayArrayInTable(Fertiliser_SourceData.Fertiliser_Products_Data1(), FertiliserProducts[[#Headers],[Company]],1)</f>
        <v/>
      </c>
      <c r="T101" s="62" t="str" cm="1">
        <f t="array" ref="T101">Common_InputFunctions.Utility_DisplayArrayInTable(Fertiliser_SourceData.Fertiliser_Products_Data1(), FertiliserProducts[[#Headers],[Company]],1)</f>
        <v/>
      </c>
      <c r="U101" s="62" t="str" cm="1">
        <f t="array" ref="U101">Common_InputFunctions.Utility_DisplayArrayInTable(Fertiliser_SourceData.Fertiliser_Products_Data1(), FertiliserProducts[[#Headers],[Company]],1)</f>
        <v/>
      </c>
      <c r="V101" s="62" t="str" cm="1">
        <f t="array" ref="V101">Common_InputFunctions.Utility_DisplayArrayInTable(Fertiliser_SourceData.Fertiliser_Products_Data1(), FertiliserProducts[[#Headers],[Company]],1)</f>
        <v/>
      </c>
      <c r="W101" s="62" t="str" cm="1">
        <f t="array" ref="W101">Common_InputFunctions.Utility_DisplayArrayInTable(Fertiliser_SourceData.Fertiliser_Products_Data1(), FertiliserProducts[[#Headers],[Company]],1)</f>
        <v/>
      </c>
      <c r="X101" s="62" t="str" cm="1">
        <f t="array" ref="X101">Common_InputFunctions.Utility_DisplayArrayInTable(Fertiliser_SourceData.Fertiliser_Products_Data1(), FertiliserProducts[[#Headers],[Company]],1)</f>
        <v/>
      </c>
      <c r="Y101" s="62" t="str" cm="1">
        <f t="array" ref="Y101">Common_InputFunctions.Utility_DisplayArrayInTable(Fertiliser_SourceData.Fertiliser_Products_Data1(), FertiliserProducts[[#Headers],[Company]],1)</f>
        <v/>
      </c>
      <c r="Z101" s="62" t="str" cm="1">
        <f t="array" ref="Z101">Common_InputFunctions.Utility_DisplayArrayInTable(Fertiliser_SourceData.Fertiliser_Products_Data1(), FertiliserProducts[[#Headers],[Company]],1)</f>
        <v/>
      </c>
      <c r="AA101" s="62" t="str" cm="1">
        <f t="array" ref="AA101">Common_InputFunctions.Utility_DisplayArrayInTable(Fertiliser_SourceData.Fertiliser_Products_Data1(), FertiliserProducts[[#Headers],[Company]],1)</f>
        <v/>
      </c>
      <c r="AB101" s="62" t="str" cm="1">
        <f t="array" ref="AB101">Common_InputFunctions.Utility_DisplayArrayInTable(Fertiliser_SourceData.Fertiliser_Products_Data1(), FertiliserProducts[[#Headers],[Company]],1)</f>
        <v/>
      </c>
      <c r="AC101" s="62" t="str" cm="1">
        <f t="array" ref="AC101">Common_InputFunctions.Utility_DisplayArrayInTable(Fertiliser_SourceData.Fertiliser_Products_Data1(), FertiliserProducts[[#Headers],[Company]],1)</f>
        <v/>
      </c>
      <c r="AD101" s="62" t="str" cm="1">
        <f t="array" ref="AD101">Common_InputFunctions.Utility_DisplayArrayInTable(Fertiliser_SourceData.Fertiliser_Products_Data1(), FertiliserProducts[[#Headers],[Company]],1)</f>
        <v/>
      </c>
      <c r="AE101" s="62" t="str" cm="1">
        <f t="array" ref="AE101">Common_InputFunctions.Utility_DisplayArrayInTable(Fertiliser_SourceData.Fertiliser_Products_Data1(), FertiliserProducts[[#Headers],[Company]],1)</f>
        <v/>
      </c>
      <c r="AF101" s="62" t="str" cm="1">
        <f t="array" ref="AF101">Common_InputFunctions.Utility_DisplayArrayInTable(Fertiliser_SourceData.Fertiliser_Products_Data1(), FertiliserProducts[[#Headers],[Company]],1)</f>
        <v/>
      </c>
      <c r="AG101" s="62" t="str" cm="1">
        <f t="array" ref="AG101">Common_InputFunctions.Utility_DisplayArrayInTable(Fertiliser_SourceData.Fertiliser_Products_Data1(), FertiliserProducts[[#Headers],[Company]],1)</f>
        <v/>
      </c>
      <c r="AH101" s="62" t="str" cm="1">
        <f t="array" ref="AH101">Common_InputFunctions.Utility_DisplayArrayInTable(Fertiliser_SourceData.Fertiliser_Products_Data1(), FertiliserProducts[[#Headers],[Company]],1)</f>
        <v/>
      </c>
      <c r="AK101" s="8"/>
      <c r="AL101" s="8"/>
      <c r="AM101" s="8"/>
    </row>
    <row r="102" spans="1:39" ht="20.100000000000001" customHeight="1" x14ac:dyDescent="0.25">
      <c r="A102"/>
      <c r="D102" s="62" t="str" cm="1">
        <f t="array" ref="D102">Common_InputFunctions.Utility_DisplayArrayInTable(Fertiliser_SourceData.Fertiliser_Products_Data1(), FertiliserProducts[[#Headers],[Company]],1)</f>
        <v>Exclude - Not relevant</v>
      </c>
      <c r="E102" s="62" t="str" cm="1">
        <f t="array" ref="E102">Common_InputFunctions.Utility_DisplayArrayInTable(Fertiliser_SourceData.Fertiliser_Products_Data1(), FertiliserProducts[[#Headers],[Company]],1)</f>
        <v/>
      </c>
      <c r="F102" s="62" t="str" cm="1">
        <f t="array" ref="F102">Common_InputFunctions.Utility_DisplayArrayInTable(Fertiliser_SourceData.Fertiliser_Products_Data1(), FertiliserProducts[[#Headers],[Company]],1)</f>
        <v>Campbells fertilisers Australia</v>
      </c>
      <c r="G102" s="62" t="str" cm="1">
        <f t="array" ref="G102">Common_InputFunctions.Utility_DisplayArrayInTable(Fertiliser_SourceData.Fertiliser_Products_Data1(), FertiliserProducts[[#Headers],[Company]],1)</f>
        <v>Asco Plus</v>
      </c>
      <c r="H102" s="62" t="str" cm="1">
        <f t="array" ref="H102">Common_InputFunctions.Utility_DisplayArrayInTable(Fertiliser_SourceData.Fertiliser_Products_Data1(), FertiliserProducts[[#Headers],[Company]],1)</f>
        <v>Asco Plus - Campbells Fertilisers Australasia</v>
      </c>
      <c r="I102" s="62" t="str" cm="1">
        <f t="array" ref="I102">Common_InputFunctions.Utility_DisplayArrayInTable(Fertiliser_SourceData.Fertiliser_Products_Data1(), FertiliserProducts[[#Headers],[Company]],1)</f>
        <v/>
      </c>
      <c r="J102" s="62" t="str" cm="1">
        <f t="array" ref="J102">Common_InputFunctions.Utility_DisplayArrayInTable(Fertiliser_SourceData.Fertiliser_Products_Data1(), FertiliserProducts[[#Headers],[Company]],1)</f>
        <v>Organic - Do not include</v>
      </c>
      <c r="K102" s="62" t="str" cm="1">
        <f t="array" ref="K102">Common_InputFunctions.Utility_DisplayArrayInTable(Fertiliser_SourceData.Fertiliser_Products_Data1(), FertiliserProducts[[#Headers],[Company]],1)</f>
        <v/>
      </c>
      <c r="L102" s="62" t="str" cm="1">
        <f t="array" ref="L102">Common_InputFunctions.Utility_DisplayArrayInTable(Fertiliser_SourceData.Fertiliser_Products_Data1(), FertiliserProducts[[#Headers],[Company]],1)</f>
        <v/>
      </c>
      <c r="M102" s="62" t="str" cm="1">
        <f t="array" ref="M102">Common_InputFunctions.Utility_DisplayArrayInTable(Fertiliser_SourceData.Fertiliser_Products_Data1(), FertiliserProducts[[#Headers],[Company]],1)</f>
        <v/>
      </c>
      <c r="N102" s="62" t="str" cm="1">
        <f t="array" ref="N102">Common_InputFunctions.Utility_DisplayArrayInTable(Fertiliser_SourceData.Fertiliser_Products_Data1(), FertiliserProducts[[#Headers],[Company]],1)</f>
        <v/>
      </c>
      <c r="O102" s="62" t="str" cm="1">
        <f t="array" ref="O102">Common_InputFunctions.Utility_DisplayArrayInTable(Fertiliser_SourceData.Fertiliser_Products_Data1(), FertiliserProducts[[#Headers],[Company]],1)</f>
        <v/>
      </c>
      <c r="P102" s="62" t="str" cm="1">
        <f t="array" ref="P102">Common_InputFunctions.Utility_DisplayArrayInTable(Fertiliser_SourceData.Fertiliser_Products_Data1(), FertiliserProducts[[#Headers],[Company]],1)</f>
        <v/>
      </c>
      <c r="Q102" s="62" t="str" cm="1">
        <f t="array" ref="Q102">Common_InputFunctions.Utility_DisplayArrayInTable(Fertiliser_SourceData.Fertiliser_Products_Data1(), FertiliserProducts[[#Headers],[Company]],1)</f>
        <v/>
      </c>
      <c r="R102" s="62" t="str" cm="1">
        <f t="array" ref="R102">Common_InputFunctions.Utility_DisplayArrayInTable(Fertiliser_SourceData.Fertiliser_Products_Data1(), FertiliserProducts[[#Headers],[Company]],1)</f>
        <v/>
      </c>
      <c r="S102" s="62" t="str" cm="1">
        <f t="array" ref="S102">Common_InputFunctions.Utility_DisplayArrayInTable(Fertiliser_SourceData.Fertiliser_Products_Data1(), FertiliserProducts[[#Headers],[Company]],1)</f>
        <v/>
      </c>
      <c r="T102" s="62" t="str" cm="1">
        <f t="array" ref="T102">Common_InputFunctions.Utility_DisplayArrayInTable(Fertiliser_SourceData.Fertiliser_Products_Data1(), FertiliserProducts[[#Headers],[Company]],1)</f>
        <v/>
      </c>
      <c r="U102" s="62" t="str" cm="1">
        <f t="array" ref="U102">Common_InputFunctions.Utility_DisplayArrayInTable(Fertiliser_SourceData.Fertiliser_Products_Data1(), FertiliserProducts[[#Headers],[Company]],1)</f>
        <v/>
      </c>
      <c r="V102" s="62" t="str" cm="1">
        <f t="array" ref="V102">Common_InputFunctions.Utility_DisplayArrayInTable(Fertiliser_SourceData.Fertiliser_Products_Data1(), FertiliserProducts[[#Headers],[Company]],1)</f>
        <v/>
      </c>
      <c r="W102" s="62" t="str" cm="1">
        <f t="array" ref="W102">Common_InputFunctions.Utility_DisplayArrayInTable(Fertiliser_SourceData.Fertiliser_Products_Data1(), FertiliserProducts[[#Headers],[Company]],1)</f>
        <v/>
      </c>
      <c r="X102" s="62" t="str" cm="1">
        <f t="array" ref="X102">Common_InputFunctions.Utility_DisplayArrayInTable(Fertiliser_SourceData.Fertiliser_Products_Data1(), FertiliserProducts[[#Headers],[Company]],1)</f>
        <v/>
      </c>
      <c r="Y102" s="62" t="str" cm="1">
        <f t="array" ref="Y102">Common_InputFunctions.Utility_DisplayArrayInTable(Fertiliser_SourceData.Fertiliser_Products_Data1(), FertiliserProducts[[#Headers],[Company]],1)</f>
        <v/>
      </c>
      <c r="Z102" s="62" t="str" cm="1">
        <f t="array" ref="Z102">Common_InputFunctions.Utility_DisplayArrayInTable(Fertiliser_SourceData.Fertiliser_Products_Data1(), FertiliserProducts[[#Headers],[Company]],1)</f>
        <v/>
      </c>
      <c r="AA102" s="62" t="str" cm="1">
        <f t="array" ref="AA102">Common_InputFunctions.Utility_DisplayArrayInTable(Fertiliser_SourceData.Fertiliser_Products_Data1(), FertiliserProducts[[#Headers],[Company]],1)</f>
        <v/>
      </c>
      <c r="AB102" s="62" t="str" cm="1">
        <f t="array" ref="AB102">Common_InputFunctions.Utility_DisplayArrayInTable(Fertiliser_SourceData.Fertiliser_Products_Data1(), FertiliserProducts[[#Headers],[Company]],1)</f>
        <v/>
      </c>
      <c r="AC102" s="62" t="str" cm="1">
        <f t="array" ref="AC102">Common_InputFunctions.Utility_DisplayArrayInTable(Fertiliser_SourceData.Fertiliser_Products_Data1(), FertiliserProducts[[#Headers],[Company]],1)</f>
        <v/>
      </c>
      <c r="AD102" s="62" t="str" cm="1">
        <f t="array" ref="AD102">Common_InputFunctions.Utility_DisplayArrayInTable(Fertiliser_SourceData.Fertiliser_Products_Data1(), FertiliserProducts[[#Headers],[Company]],1)</f>
        <v/>
      </c>
      <c r="AE102" s="62" t="str" cm="1">
        <f t="array" ref="AE102">Common_InputFunctions.Utility_DisplayArrayInTable(Fertiliser_SourceData.Fertiliser_Products_Data1(), FertiliserProducts[[#Headers],[Company]],1)</f>
        <v/>
      </c>
      <c r="AF102" s="62" t="str" cm="1">
        <f t="array" ref="AF102">Common_InputFunctions.Utility_DisplayArrayInTable(Fertiliser_SourceData.Fertiliser_Products_Data1(), FertiliserProducts[[#Headers],[Company]],1)</f>
        <v/>
      </c>
      <c r="AG102" s="62" t="str" cm="1">
        <f t="array" ref="AG102">Common_InputFunctions.Utility_DisplayArrayInTable(Fertiliser_SourceData.Fertiliser_Products_Data1(), FertiliserProducts[[#Headers],[Company]],1)</f>
        <v/>
      </c>
      <c r="AH102" s="62" t="str" cm="1">
        <f t="array" ref="AH102">Common_InputFunctions.Utility_DisplayArrayInTable(Fertiliser_SourceData.Fertiliser_Products_Data1(), FertiliserProducts[[#Headers],[Company]],1)</f>
        <v/>
      </c>
      <c r="AK102" s="8"/>
      <c r="AL102" s="8"/>
      <c r="AM102" s="8"/>
    </row>
    <row r="103" spans="1:39" ht="20.100000000000001" customHeight="1" x14ac:dyDescent="0.25">
      <c r="A103"/>
      <c r="D103" s="62" t="str" cm="1">
        <f t="array" ref="D103">Common_InputFunctions.Utility_DisplayArrayInTable(Fertiliser_SourceData.Fertiliser_Products_Data1(), FertiliserProducts[[#Headers],[Company]],1)</f>
        <v>Exclude - Not relevant</v>
      </c>
      <c r="E103" s="62" t="str" cm="1">
        <f t="array" ref="E103">Common_InputFunctions.Utility_DisplayArrayInTable(Fertiliser_SourceData.Fertiliser_Products_Data1(), FertiliserProducts[[#Headers],[Company]],1)</f>
        <v/>
      </c>
      <c r="F103" s="62" t="str" cm="1">
        <f t="array" ref="F103">Common_InputFunctions.Utility_DisplayArrayInTable(Fertiliser_SourceData.Fertiliser_Products_Data1(), FertiliserProducts[[#Headers],[Company]],1)</f>
        <v>Campbells fertilisers Australia</v>
      </c>
      <c r="G103" s="62" t="str" cm="1">
        <f t="array" ref="G103">Common_InputFunctions.Utility_DisplayArrayInTable(Fertiliser_SourceData.Fertiliser_Products_Data1(), FertiliserProducts[[#Headers],[Company]],1)</f>
        <v>Asco Rhizo Plus</v>
      </c>
      <c r="H103" s="62" t="str" cm="1">
        <f t="array" ref="H103">Common_InputFunctions.Utility_DisplayArrayInTable(Fertiliser_SourceData.Fertiliser_Products_Data1(), FertiliserProducts[[#Headers],[Company]],1)</f>
        <v>Asco Rhizo Plus - Campbells Fertilisers Australasia</v>
      </c>
      <c r="I103" s="62" t="str" cm="1">
        <f t="array" ref="I103">Common_InputFunctions.Utility_DisplayArrayInTable(Fertiliser_SourceData.Fertiliser_Products_Data1(), FertiliserProducts[[#Headers],[Company]],1)</f>
        <v/>
      </c>
      <c r="J103" s="62" t="str" cm="1">
        <f t="array" ref="J103">Common_InputFunctions.Utility_DisplayArrayInTable(Fertiliser_SourceData.Fertiliser_Products_Data1(), FertiliserProducts[[#Headers],[Company]],1)</f>
        <v>Biostimulant - Do not include</v>
      </c>
      <c r="K103" s="62" t="str" cm="1">
        <f t="array" ref="K103">Common_InputFunctions.Utility_DisplayArrayInTable(Fertiliser_SourceData.Fertiliser_Products_Data1(), FertiliserProducts[[#Headers],[Company]],1)</f>
        <v/>
      </c>
      <c r="L103" s="62" t="str" cm="1">
        <f t="array" ref="L103">Common_InputFunctions.Utility_DisplayArrayInTable(Fertiliser_SourceData.Fertiliser_Products_Data1(), FertiliserProducts[[#Headers],[Company]],1)</f>
        <v/>
      </c>
      <c r="M103" s="62" t="str" cm="1">
        <f t="array" ref="M103">Common_InputFunctions.Utility_DisplayArrayInTable(Fertiliser_SourceData.Fertiliser_Products_Data1(), FertiliserProducts[[#Headers],[Company]],1)</f>
        <v/>
      </c>
      <c r="N103" s="62" t="str" cm="1">
        <f t="array" ref="N103">Common_InputFunctions.Utility_DisplayArrayInTable(Fertiliser_SourceData.Fertiliser_Products_Data1(), FertiliserProducts[[#Headers],[Company]],1)</f>
        <v/>
      </c>
      <c r="O103" s="62" t="str" cm="1">
        <f t="array" ref="O103">Common_InputFunctions.Utility_DisplayArrayInTable(Fertiliser_SourceData.Fertiliser_Products_Data1(), FertiliserProducts[[#Headers],[Company]],1)</f>
        <v/>
      </c>
      <c r="P103" s="62" t="str" cm="1">
        <f t="array" ref="P103">Common_InputFunctions.Utility_DisplayArrayInTable(Fertiliser_SourceData.Fertiliser_Products_Data1(), FertiliserProducts[[#Headers],[Company]],1)</f>
        <v/>
      </c>
      <c r="Q103" s="62" t="str" cm="1">
        <f t="array" ref="Q103">Common_InputFunctions.Utility_DisplayArrayInTable(Fertiliser_SourceData.Fertiliser_Products_Data1(), FertiliserProducts[[#Headers],[Company]],1)</f>
        <v/>
      </c>
      <c r="R103" s="62" t="str" cm="1">
        <f t="array" ref="R103">Common_InputFunctions.Utility_DisplayArrayInTable(Fertiliser_SourceData.Fertiliser_Products_Data1(), FertiliserProducts[[#Headers],[Company]],1)</f>
        <v/>
      </c>
      <c r="S103" s="62" t="str" cm="1">
        <f t="array" ref="S103">Common_InputFunctions.Utility_DisplayArrayInTable(Fertiliser_SourceData.Fertiliser_Products_Data1(), FertiliserProducts[[#Headers],[Company]],1)</f>
        <v/>
      </c>
      <c r="T103" s="62" t="str" cm="1">
        <f t="array" ref="T103">Common_InputFunctions.Utility_DisplayArrayInTable(Fertiliser_SourceData.Fertiliser_Products_Data1(), FertiliserProducts[[#Headers],[Company]],1)</f>
        <v/>
      </c>
      <c r="U103" s="62" t="str" cm="1">
        <f t="array" ref="U103">Common_InputFunctions.Utility_DisplayArrayInTable(Fertiliser_SourceData.Fertiliser_Products_Data1(), FertiliserProducts[[#Headers],[Company]],1)</f>
        <v/>
      </c>
      <c r="V103" s="62" t="str" cm="1">
        <f t="array" ref="V103">Common_InputFunctions.Utility_DisplayArrayInTable(Fertiliser_SourceData.Fertiliser_Products_Data1(), FertiliserProducts[[#Headers],[Company]],1)</f>
        <v/>
      </c>
      <c r="W103" s="62" t="str" cm="1">
        <f t="array" ref="W103">Common_InputFunctions.Utility_DisplayArrayInTable(Fertiliser_SourceData.Fertiliser_Products_Data1(), FertiliserProducts[[#Headers],[Company]],1)</f>
        <v/>
      </c>
      <c r="X103" s="62" t="str" cm="1">
        <f t="array" ref="X103">Common_InputFunctions.Utility_DisplayArrayInTable(Fertiliser_SourceData.Fertiliser_Products_Data1(), FertiliserProducts[[#Headers],[Company]],1)</f>
        <v/>
      </c>
      <c r="Y103" s="62" t="str" cm="1">
        <f t="array" ref="Y103">Common_InputFunctions.Utility_DisplayArrayInTable(Fertiliser_SourceData.Fertiliser_Products_Data1(), FertiliserProducts[[#Headers],[Company]],1)</f>
        <v/>
      </c>
      <c r="Z103" s="62" t="str" cm="1">
        <f t="array" ref="Z103">Common_InputFunctions.Utility_DisplayArrayInTable(Fertiliser_SourceData.Fertiliser_Products_Data1(), FertiliserProducts[[#Headers],[Company]],1)</f>
        <v/>
      </c>
      <c r="AA103" s="62" t="str" cm="1">
        <f t="array" ref="AA103">Common_InputFunctions.Utility_DisplayArrayInTable(Fertiliser_SourceData.Fertiliser_Products_Data1(), FertiliserProducts[[#Headers],[Company]],1)</f>
        <v/>
      </c>
      <c r="AB103" s="62" t="str" cm="1">
        <f t="array" ref="AB103">Common_InputFunctions.Utility_DisplayArrayInTable(Fertiliser_SourceData.Fertiliser_Products_Data1(), FertiliserProducts[[#Headers],[Company]],1)</f>
        <v/>
      </c>
      <c r="AC103" s="62" t="str" cm="1">
        <f t="array" ref="AC103">Common_InputFunctions.Utility_DisplayArrayInTable(Fertiliser_SourceData.Fertiliser_Products_Data1(), FertiliserProducts[[#Headers],[Company]],1)</f>
        <v/>
      </c>
      <c r="AD103" s="62" t="str" cm="1">
        <f t="array" ref="AD103">Common_InputFunctions.Utility_DisplayArrayInTable(Fertiliser_SourceData.Fertiliser_Products_Data1(), FertiliserProducts[[#Headers],[Company]],1)</f>
        <v/>
      </c>
      <c r="AE103" s="62" t="str" cm="1">
        <f t="array" ref="AE103">Common_InputFunctions.Utility_DisplayArrayInTable(Fertiliser_SourceData.Fertiliser_Products_Data1(), FertiliserProducts[[#Headers],[Company]],1)</f>
        <v/>
      </c>
      <c r="AF103" s="62" t="str" cm="1">
        <f t="array" ref="AF103">Common_InputFunctions.Utility_DisplayArrayInTable(Fertiliser_SourceData.Fertiliser_Products_Data1(), FertiliserProducts[[#Headers],[Company]],1)</f>
        <v/>
      </c>
      <c r="AG103" s="62" t="str" cm="1">
        <f t="array" ref="AG103">Common_InputFunctions.Utility_DisplayArrayInTable(Fertiliser_SourceData.Fertiliser_Products_Data1(), FertiliserProducts[[#Headers],[Company]],1)</f>
        <v/>
      </c>
      <c r="AH103" s="62" t="str" cm="1">
        <f t="array" ref="AH103">Common_InputFunctions.Utility_DisplayArrayInTable(Fertiliser_SourceData.Fertiliser_Products_Data1(), FertiliserProducts[[#Headers],[Company]],1)</f>
        <v/>
      </c>
      <c r="AK103" s="8"/>
      <c r="AL103" s="8"/>
      <c r="AM103" s="8"/>
    </row>
    <row r="104" spans="1:39" ht="20.100000000000001" customHeight="1" x14ac:dyDescent="0.25">
      <c r="A104"/>
      <c r="D104" s="62" t="str" cm="1">
        <f t="array" ref="D104">Common_InputFunctions.Utility_DisplayArrayInTable(Fertiliser_SourceData.Fertiliser_Products_Data1(), FertiliserProducts[[#Headers],[Company]],1)</f>
        <v>Exclude - Not relevant</v>
      </c>
      <c r="E104" s="62" t="str" cm="1">
        <f t="array" ref="E104">Common_InputFunctions.Utility_DisplayArrayInTable(Fertiliser_SourceData.Fertiliser_Products_Data1(), FertiliserProducts[[#Headers],[Company]],1)</f>
        <v/>
      </c>
      <c r="F104" s="62" t="str" cm="1">
        <f t="array" ref="F104">Common_InputFunctions.Utility_DisplayArrayInTable(Fertiliser_SourceData.Fertiliser_Products_Data1(), FertiliserProducts[[#Headers],[Company]],1)</f>
        <v>Campbells fertilisers Australia</v>
      </c>
      <c r="G104" s="62" t="str" cm="1">
        <f t="array" ref="G104">Common_InputFunctions.Utility_DisplayArrayInTable(Fertiliser_SourceData.Fertiliser_Products_Data1(), FertiliserProducts[[#Headers],[Company]],1)</f>
        <v>Benefit PZ</v>
      </c>
      <c r="H104" s="62" t="str" cm="1">
        <f t="array" ref="H104">Common_InputFunctions.Utility_DisplayArrayInTable(Fertiliser_SourceData.Fertiliser_Products_Data1(), FertiliserProducts[[#Headers],[Company]],1)</f>
        <v>Benefit PZ - Campbells Fertilisers Australasia</v>
      </c>
      <c r="I104" s="62" t="str" cm="1">
        <f t="array" ref="I104">Common_InputFunctions.Utility_DisplayArrayInTable(Fertiliser_SourceData.Fertiliser_Products_Data1(), FertiliserProducts[[#Headers],[Company]],1)</f>
        <v/>
      </c>
      <c r="J104" s="62" t="str" cm="1">
        <f t="array" ref="J104">Common_InputFunctions.Utility_DisplayArrayInTable(Fertiliser_SourceData.Fertiliser_Products_Data1(), FertiliserProducts[[#Headers],[Company]],1)</f>
        <v>Not fertiliser - Do not include</v>
      </c>
      <c r="K104" s="62" t="str" cm="1">
        <f t="array" ref="K104">Common_InputFunctions.Utility_DisplayArrayInTable(Fertiliser_SourceData.Fertiliser_Products_Data1(), FertiliserProducts[[#Headers],[Company]],1)</f>
        <v/>
      </c>
      <c r="L104" s="62" t="str" cm="1">
        <f t="array" ref="L104">Common_InputFunctions.Utility_DisplayArrayInTable(Fertiliser_SourceData.Fertiliser_Products_Data1(), FertiliserProducts[[#Headers],[Company]],1)</f>
        <v/>
      </c>
      <c r="M104" s="62" t="str" cm="1">
        <f t="array" ref="M104">Common_InputFunctions.Utility_DisplayArrayInTable(Fertiliser_SourceData.Fertiliser_Products_Data1(), FertiliserProducts[[#Headers],[Company]],1)</f>
        <v/>
      </c>
      <c r="N104" s="62" t="str" cm="1">
        <f t="array" ref="N104">Common_InputFunctions.Utility_DisplayArrayInTable(Fertiliser_SourceData.Fertiliser_Products_Data1(), FertiliserProducts[[#Headers],[Company]],1)</f>
        <v/>
      </c>
      <c r="O104" s="62" t="str" cm="1">
        <f t="array" ref="O104">Common_InputFunctions.Utility_DisplayArrayInTable(Fertiliser_SourceData.Fertiliser_Products_Data1(), FertiliserProducts[[#Headers],[Company]],1)</f>
        <v/>
      </c>
      <c r="P104" s="62" t="str" cm="1">
        <f t="array" ref="P104">Common_InputFunctions.Utility_DisplayArrayInTable(Fertiliser_SourceData.Fertiliser_Products_Data1(), FertiliserProducts[[#Headers],[Company]],1)</f>
        <v/>
      </c>
      <c r="Q104" s="62" t="str" cm="1">
        <f t="array" ref="Q104">Common_InputFunctions.Utility_DisplayArrayInTable(Fertiliser_SourceData.Fertiliser_Products_Data1(), FertiliserProducts[[#Headers],[Company]],1)</f>
        <v/>
      </c>
      <c r="R104" s="62" t="str" cm="1">
        <f t="array" ref="R104">Common_InputFunctions.Utility_DisplayArrayInTable(Fertiliser_SourceData.Fertiliser_Products_Data1(), FertiliserProducts[[#Headers],[Company]],1)</f>
        <v/>
      </c>
      <c r="S104" s="62" t="str" cm="1">
        <f t="array" ref="S104">Common_InputFunctions.Utility_DisplayArrayInTable(Fertiliser_SourceData.Fertiliser_Products_Data1(), FertiliserProducts[[#Headers],[Company]],1)</f>
        <v/>
      </c>
      <c r="T104" s="62" t="str" cm="1">
        <f t="array" ref="T104">Common_InputFunctions.Utility_DisplayArrayInTable(Fertiliser_SourceData.Fertiliser_Products_Data1(), FertiliserProducts[[#Headers],[Company]],1)</f>
        <v/>
      </c>
      <c r="U104" s="62" t="str" cm="1">
        <f t="array" ref="U104">Common_InputFunctions.Utility_DisplayArrayInTable(Fertiliser_SourceData.Fertiliser_Products_Data1(), FertiliserProducts[[#Headers],[Company]],1)</f>
        <v/>
      </c>
      <c r="V104" s="62" t="str" cm="1">
        <f t="array" ref="V104">Common_InputFunctions.Utility_DisplayArrayInTable(Fertiliser_SourceData.Fertiliser_Products_Data1(), FertiliserProducts[[#Headers],[Company]],1)</f>
        <v/>
      </c>
      <c r="W104" s="62" t="str" cm="1">
        <f t="array" ref="W104">Common_InputFunctions.Utility_DisplayArrayInTable(Fertiliser_SourceData.Fertiliser_Products_Data1(), FertiliserProducts[[#Headers],[Company]],1)</f>
        <v/>
      </c>
      <c r="X104" s="62" t="str" cm="1">
        <f t="array" ref="X104">Common_InputFunctions.Utility_DisplayArrayInTable(Fertiliser_SourceData.Fertiliser_Products_Data1(), FertiliserProducts[[#Headers],[Company]],1)</f>
        <v/>
      </c>
      <c r="Y104" s="62" t="str" cm="1">
        <f t="array" ref="Y104">Common_InputFunctions.Utility_DisplayArrayInTable(Fertiliser_SourceData.Fertiliser_Products_Data1(), FertiliserProducts[[#Headers],[Company]],1)</f>
        <v/>
      </c>
      <c r="Z104" s="62" t="str" cm="1">
        <f t="array" ref="Z104">Common_InputFunctions.Utility_DisplayArrayInTable(Fertiliser_SourceData.Fertiliser_Products_Data1(), FertiliserProducts[[#Headers],[Company]],1)</f>
        <v/>
      </c>
      <c r="AA104" s="62" t="str" cm="1">
        <f t="array" ref="AA104">Common_InputFunctions.Utility_DisplayArrayInTable(Fertiliser_SourceData.Fertiliser_Products_Data1(), FertiliserProducts[[#Headers],[Company]],1)</f>
        <v/>
      </c>
      <c r="AB104" s="62" t="str" cm="1">
        <f t="array" ref="AB104">Common_InputFunctions.Utility_DisplayArrayInTable(Fertiliser_SourceData.Fertiliser_Products_Data1(), FertiliserProducts[[#Headers],[Company]],1)</f>
        <v/>
      </c>
      <c r="AC104" s="62" t="str" cm="1">
        <f t="array" ref="AC104">Common_InputFunctions.Utility_DisplayArrayInTable(Fertiliser_SourceData.Fertiliser_Products_Data1(), FertiliserProducts[[#Headers],[Company]],1)</f>
        <v/>
      </c>
      <c r="AD104" s="62" t="str" cm="1">
        <f t="array" ref="AD104">Common_InputFunctions.Utility_DisplayArrayInTable(Fertiliser_SourceData.Fertiliser_Products_Data1(), FertiliserProducts[[#Headers],[Company]],1)</f>
        <v/>
      </c>
      <c r="AE104" s="62" t="str" cm="1">
        <f t="array" ref="AE104">Common_InputFunctions.Utility_DisplayArrayInTable(Fertiliser_SourceData.Fertiliser_Products_Data1(), FertiliserProducts[[#Headers],[Company]],1)</f>
        <v/>
      </c>
      <c r="AF104" s="62" t="str" cm="1">
        <f t="array" ref="AF104">Common_InputFunctions.Utility_DisplayArrayInTable(Fertiliser_SourceData.Fertiliser_Products_Data1(), FertiliserProducts[[#Headers],[Company]],1)</f>
        <v/>
      </c>
      <c r="AG104" s="62" t="str" cm="1">
        <f t="array" ref="AG104">Common_InputFunctions.Utility_DisplayArrayInTable(Fertiliser_SourceData.Fertiliser_Products_Data1(), FertiliserProducts[[#Headers],[Company]],1)</f>
        <v/>
      </c>
      <c r="AH104" s="62" t="str" cm="1">
        <f t="array" ref="AH104">Common_InputFunctions.Utility_DisplayArrayInTable(Fertiliser_SourceData.Fertiliser_Products_Data1(), FertiliserProducts[[#Headers],[Company]],1)</f>
        <v/>
      </c>
      <c r="AK104" s="8"/>
      <c r="AL104" s="8"/>
      <c r="AM104" s="8"/>
    </row>
    <row r="105" spans="1:39" ht="20.100000000000001" customHeight="1" x14ac:dyDescent="0.25">
      <c r="A105"/>
      <c r="D105" s="62" t="str" cm="1">
        <f t="array" ref="D105">Common_InputFunctions.Utility_DisplayArrayInTable(Fertiliser_SourceData.Fertiliser_Products_Data1(), FertiliserProducts[[#Headers],[Company]],1)</f>
        <v>Include - Absent ingredients &lt; 2%</v>
      </c>
      <c r="E105" s="62" t="str" cm="1">
        <f t="array" ref="E105">Common_InputFunctions.Utility_DisplayArrayInTable(Fertiliser_SourceData.Fertiliser_Products_Data1(), FertiliserProducts[[#Headers],[Company]],1)</f>
        <v>Amount of urea calculated from urea nitrogen amount</v>
      </c>
      <c r="F105" s="62" t="str" cm="1">
        <f t="array" ref="F105">Common_InputFunctions.Utility_DisplayArrayInTable(Fertiliser_SourceData.Fertiliser_Products_Data1(), FertiliserProducts[[#Headers],[Company]],1)</f>
        <v>Campbells fertilisers Australia</v>
      </c>
      <c r="G105" s="62" t="str" cm="1">
        <f t="array" ref="G105">Common_InputFunctions.Utility_DisplayArrayInTable(Fertiliser_SourceData.Fertiliser_Products_Data1(), FertiliserProducts[[#Headers],[Company]],1)</f>
        <v>Boost-It</v>
      </c>
      <c r="H105" s="62" t="str" cm="1">
        <f t="array" ref="H105">Common_InputFunctions.Utility_DisplayArrayInTable(Fertiliser_SourceData.Fertiliser_Products_Data1(), FertiliserProducts[[#Headers],[Company]],1)</f>
        <v>Boost-It - Campbells Fertilisers Australasia</v>
      </c>
      <c r="I105" s="62" t="str" cm="1">
        <f t="array" ref="I105">Common_InputFunctions.Utility_DisplayArrayInTable(Fertiliser_SourceData.Fertiliser_Products_Data1(), FertiliserProducts[[#Headers],[Company]],1)</f>
        <v>Website SDS</v>
      </c>
      <c r="J105" s="62" t="str" cm="1">
        <f t="array" ref="J105">Common_InputFunctions.Utility_DisplayArrayInTable(Fertiliser_SourceData.Fertiliser_Products_Data1(), FertiliserProducts[[#Headers],[Company]],1)</f>
        <v/>
      </c>
      <c r="K105" s="62" t="str" cm="1">
        <f t="array" ref="K105">Common_InputFunctions.Utility_DisplayArrayInTable(Fertiliser_SourceData.Fertiliser_Products_Data1(), FertiliserProducts[[#Headers],[Company]],1)</f>
        <v>kg</v>
      </c>
      <c r="L105" s="62" cm="1">
        <f t="array" ref="L105">Common_InputFunctions.Utility_DisplayArrayInTable(Fertiliser_SourceData.Fertiliser_Products_Data1(), FertiliserProducts[[#Headers],[Company]],1)</f>
        <v>1</v>
      </c>
      <c r="M105" s="62" t="str" cm="1">
        <f t="array" ref="M105">Common_InputFunctions.Utility_DisplayArrayInTable(Fertiliser_SourceData.Fertiliser_Products_Data1(), FertiliserProducts[[#Headers],[Company]],1)</f>
        <v/>
      </c>
      <c r="N105" s="62" t="str" cm="1">
        <f t="array" ref="N105">Common_InputFunctions.Utility_DisplayArrayInTable(Fertiliser_SourceData.Fertiliser_Products_Data1(), FertiliserProducts[[#Headers],[Company]],1)</f>
        <v/>
      </c>
      <c r="O105" s="62" t="str" cm="1">
        <f t="array" ref="O105">Common_InputFunctions.Utility_DisplayArrayInTable(Fertiliser_SourceData.Fertiliser_Products_Data1(), FertiliserProducts[[#Headers],[Company]],1)</f>
        <v>Urea</v>
      </c>
      <c r="P105" s="62" cm="1">
        <f t="array" ref="P105">Common_InputFunctions.Utility_DisplayArrayInTable(Fertiliser_SourceData.Fertiliser_Products_Data1(), FertiliserProducts[[#Headers],[Company]],1)</f>
        <v>0.52173913000000005</v>
      </c>
      <c r="Q105" s="62" t="str" cm="1">
        <f t="array" ref="Q105">Common_InputFunctions.Utility_DisplayArrayInTable(Fertiliser_SourceData.Fertiliser_Products_Data1(), FertiliserProducts[[#Headers],[Company]],1)</f>
        <v>Potassium - Generic</v>
      </c>
      <c r="R105" s="62" cm="1">
        <f t="array" ref="R105">Common_InputFunctions.Utility_DisplayArrayInTable(Fertiliser_SourceData.Fertiliser_Products_Data1(), FertiliserProducts[[#Headers],[Company]],1)</f>
        <v>0.08</v>
      </c>
      <c r="S105" s="62" t="str" cm="1">
        <f t="array" ref="S105">Common_InputFunctions.Utility_DisplayArrayInTable(Fertiliser_SourceData.Fertiliser_Products_Data1(), FertiliserProducts[[#Headers],[Company]],1)</f>
        <v>Sulfur - Generic</v>
      </c>
      <c r="T105" s="62" cm="1">
        <f t="array" ref="T105">Common_InputFunctions.Utility_DisplayArrayInTable(Fertiliser_SourceData.Fertiliser_Products_Data1(), FertiliserProducts[[#Headers],[Company]],1)</f>
        <v>5.2999999999999999E-2</v>
      </c>
      <c r="U105" s="62" t="str" cm="1">
        <f t="array" ref="U105">Common_InputFunctions.Utility_DisplayArrayInTable(Fertiliser_SourceData.Fertiliser_Products_Data1(), FertiliserProducts[[#Headers],[Company]],1)</f>
        <v>Phosphorus - Generic</v>
      </c>
      <c r="V105" s="62" cm="1">
        <f t="array" ref="V105">Common_InputFunctions.Utility_DisplayArrayInTable(Fertiliser_SourceData.Fertiliser_Products_Data1(), FertiliserProducts[[#Headers],[Company]],1)</f>
        <v>5.1999999999999998E-2</v>
      </c>
      <c r="W105" s="62" t="str" cm="1">
        <f t="array" ref="W105">Common_InputFunctions.Utility_DisplayArrayInTable(Fertiliser_SourceData.Fertiliser_Products_Data1(), FertiliserProducts[[#Headers],[Company]],1)</f>
        <v>Magnesium</v>
      </c>
      <c r="X105" s="62" cm="1">
        <f t="array" ref="X105">Common_InputFunctions.Utility_DisplayArrayInTable(Fertiliser_SourceData.Fertiliser_Products_Data1(), FertiliserProducts[[#Headers],[Company]],1)</f>
        <v>1.2999999999999999E-2</v>
      </c>
      <c r="Y105" s="62" t="str" cm="1">
        <f t="array" ref="Y105">Common_InputFunctions.Utility_DisplayArrayInTable(Fertiliser_SourceData.Fertiliser_Products_Data1(), FertiliserProducts[[#Headers],[Company]],1)</f>
        <v>Zinc</v>
      </c>
      <c r="Z105" s="62" cm="1">
        <f t="array" ref="Z105">Common_InputFunctions.Utility_DisplayArrayInTable(Fertiliser_SourceData.Fertiliser_Products_Data1(), FertiliserProducts[[#Headers],[Company]],1)</f>
        <v>2E-3</v>
      </c>
      <c r="AA105" s="62" t="str" cm="1">
        <f t="array" ref="AA105">Common_InputFunctions.Utility_DisplayArrayInTable(Fertiliser_SourceData.Fertiliser_Products_Data1(), FertiliserProducts[[#Headers],[Company]],1)</f>
        <v>Manganese</v>
      </c>
      <c r="AB105" s="62" cm="1">
        <f t="array" ref="AB105">Common_InputFunctions.Utility_DisplayArrayInTable(Fertiliser_SourceData.Fertiliser_Products_Data1(), FertiliserProducts[[#Headers],[Company]],1)</f>
        <v>3.5000000000000001E-3</v>
      </c>
      <c r="AC105" s="62" t="str" cm="1">
        <f t="array" ref="AC105">Common_InputFunctions.Utility_DisplayArrayInTable(Fertiliser_SourceData.Fertiliser_Products_Data1(), FertiliserProducts[[#Headers],[Company]],1)</f>
        <v>Iron</v>
      </c>
      <c r="AD105" s="62" cm="1">
        <f t="array" ref="AD105">Common_InputFunctions.Utility_DisplayArrayInTable(Fertiliser_SourceData.Fertiliser_Products_Data1(), FertiliserProducts[[#Headers],[Company]],1)</f>
        <v>1.2999999999999999E-3</v>
      </c>
      <c r="AE105" s="62" t="str" cm="1">
        <f t="array" ref="AE105">Common_InputFunctions.Utility_DisplayArrayInTable(Fertiliser_SourceData.Fertiliser_Products_Data1(), FertiliserProducts[[#Headers],[Company]],1)</f>
        <v>Copper</v>
      </c>
      <c r="AF105" s="62" cm="1">
        <f t="array" ref="AF105">Common_InputFunctions.Utility_DisplayArrayInTable(Fertiliser_SourceData.Fertiliser_Products_Data1(), FertiliserProducts[[#Headers],[Company]],1)</f>
        <v>6.9999999999999999E-4</v>
      </c>
      <c r="AG105" s="62" t="str" cm="1">
        <f t="array" ref="AG105">Common_InputFunctions.Utility_DisplayArrayInTable(Fertiliser_SourceData.Fertiliser_Products_Data1(), FertiliserProducts[[#Headers],[Company]],1)</f>
        <v>Boron</v>
      </c>
      <c r="AH105" s="62" cm="1">
        <f t="array" ref="AH105">Common_InputFunctions.Utility_DisplayArrayInTable(Fertiliser_SourceData.Fertiliser_Products_Data1(), FertiliserProducts[[#Headers],[Company]],1)</f>
        <v>6.9999999999999999E-4</v>
      </c>
      <c r="AK105" s="8"/>
      <c r="AL105" s="8"/>
      <c r="AM105" s="8"/>
    </row>
    <row r="106" spans="1:39" ht="20.100000000000001" customHeight="1" x14ac:dyDescent="0.25">
      <c r="A106"/>
      <c r="D106" s="62" t="str" cm="1">
        <f t="array" ref="D106">Common_InputFunctions.Utility_DisplayArrayInTable(Fertiliser_SourceData.Fertiliser_Products_Data1(), FertiliserProducts[[#Headers],[Company]],1)</f>
        <v>Exclude - Not relevant</v>
      </c>
      <c r="E106" s="62" t="str" cm="1">
        <f t="array" ref="E106">Common_InputFunctions.Utility_DisplayArrayInTable(Fertiliser_SourceData.Fertiliser_Products_Data1(), FertiliserProducts[[#Headers],[Company]],1)</f>
        <v/>
      </c>
      <c r="F106" s="62" t="str" cm="1">
        <f t="array" ref="F106">Common_InputFunctions.Utility_DisplayArrayInTable(Fertiliser_SourceData.Fertiliser_Products_Data1(), FertiliserProducts[[#Headers],[Company]],1)</f>
        <v>Campbells fertilisers Australia</v>
      </c>
      <c r="G106" s="62" t="str" cm="1">
        <f t="array" ref="G106">Common_InputFunctions.Utility_DisplayArrayInTable(Fertiliser_SourceData.Fertiliser_Products_Data1(), FertiliserProducts[[#Headers],[Company]],1)</f>
        <v>Boroplus</v>
      </c>
      <c r="H106" s="62" t="str" cm="1">
        <f t="array" ref="H106">Common_InputFunctions.Utility_DisplayArrayInTable(Fertiliser_SourceData.Fertiliser_Products_Data1(), FertiliserProducts[[#Headers],[Company]],1)</f>
        <v>Boroplus - Campbells Fertilisers Australasia</v>
      </c>
      <c r="I106" s="62" t="str" cm="1">
        <f t="array" ref="I106">Common_InputFunctions.Utility_DisplayArrayInTable(Fertiliser_SourceData.Fertiliser_Products_Data1(), FertiliserProducts[[#Headers],[Company]],1)</f>
        <v/>
      </c>
      <c r="J106" s="62" t="str" cm="1">
        <f t="array" ref="J106">Common_InputFunctions.Utility_DisplayArrayInTable(Fertiliser_SourceData.Fertiliser_Products_Data1(), FertiliserProducts[[#Headers],[Company]],1)</f>
        <v>Not fertiliser - Do not include</v>
      </c>
      <c r="K106" s="62" t="str" cm="1">
        <f t="array" ref="K106">Common_InputFunctions.Utility_DisplayArrayInTable(Fertiliser_SourceData.Fertiliser_Products_Data1(), FertiliserProducts[[#Headers],[Company]],1)</f>
        <v/>
      </c>
      <c r="L106" s="62" t="str" cm="1">
        <f t="array" ref="L106">Common_InputFunctions.Utility_DisplayArrayInTable(Fertiliser_SourceData.Fertiliser_Products_Data1(), FertiliserProducts[[#Headers],[Company]],1)</f>
        <v/>
      </c>
      <c r="M106" s="62" t="str" cm="1">
        <f t="array" ref="M106">Common_InputFunctions.Utility_DisplayArrayInTable(Fertiliser_SourceData.Fertiliser_Products_Data1(), FertiliserProducts[[#Headers],[Company]],1)</f>
        <v/>
      </c>
      <c r="N106" s="62" t="str" cm="1">
        <f t="array" ref="N106">Common_InputFunctions.Utility_DisplayArrayInTable(Fertiliser_SourceData.Fertiliser_Products_Data1(), FertiliserProducts[[#Headers],[Company]],1)</f>
        <v/>
      </c>
      <c r="O106" s="62" t="str" cm="1">
        <f t="array" ref="O106">Common_InputFunctions.Utility_DisplayArrayInTable(Fertiliser_SourceData.Fertiliser_Products_Data1(), FertiliserProducts[[#Headers],[Company]],1)</f>
        <v/>
      </c>
      <c r="P106" s="62" t="str" cm="1">
        <f t="array" ref="P106">Common_InputFunctions.Utility_DisplayArrayInTable(Fertiliser_SourceData.Fertiliser_Products_Data1(), FertiliserProducts[[#Headers],[Company]],1)</f>
        <v/>
      </c>
      <c r="Q106" s="62" t="str" cm="1">
        <f t="array" ref="Q106">Common_InputFunctions.Utility_DisplayArrayInTable(Fertiliser_SourceData.Fertiliser_Products_Data1(), FertiliserProducts[[#Headers],[Company]],1)</f>
        <v/>
      </c>
      <c r="R106" s="62" t="str" cm="1">
        <f t="array" ref="R106">Common_InputFunctions.Utility_DisplayArrayInTable(Fertiliser_SourceData.Fertiliser_Products_Data1(), FertiliserProducts[[#Headers],[Company]],1)</f>
        <v/>
      </c>
      <c r="S106" s="62" t="str" cm="1">
        <f t="array" ref="S106">Common_InputFunctions.Utility_DisplayArrayInTable(Fertiliser_SourceData.Fertiliser_Products_Data1(), FertiliserProducts[[#Headers],[Company]],1)</f>
        <v/>
      </c>
      <c r="T106" s="62" t="str" cm="1">
        <f t="array" ref="T106">Common_InputFunctions.Utility_DisplayArrayInTable(Fertiliser_SourceData.Fertiliser_Products_Data1(), FertiliserProducts[[#Headers],[Company]],1)</f>
        <v/>
      </c>
      <c r="U106" s="62" t="str" cm="1">
        <f t="array" ref="U106">Common_InputFunctions.Utility_DisplayArrayInTable(Fertiliser_SourceData.Fertiliser_Products_Data1(), FertiliserProducts[[#Headers],[Company]],1)</f>
        <v/>
      </c>
      <c r="V106" s="62" t="str" cm="1">
        <f t="array" ref="V106">Common_InputFunctions.Utility_DisplayArrayInTable(Fertiliser_SourceData.Fertiliser_Products_Data1(), FertiliserProducts[[#Headers],[Company]],1)</f>
        <v/>
      </c>
      <c r="W106" s="62" t="str" cm="1">
        <f t="array" ref="W106">Common_InputFunctions.Utility_DisplayArrayInTable(Fertiliser_SourceData.Fertiliser_Products_Data1(), FertiliserProducts[[#Headers],[Company]],1)</f>
        <v/>
      </c>
      <c r="X106" s="62" t="str" cm="1">
        <f t="array" ref="X106">Common_InputFunctions.Utility_DisplayArrayInTable(Fertiliser_SourceData.Fertiliser_Products_Data1(), FertiliserProducts[[#Headers],[Company]],1)</f>
        <v/>
      </c>
      <c r="Y106" s="62" t="str" cm="1">
        <f t="array" ref="Y106">Common_InputFunctions.Utility_DisplayArrayInTable(Fertiliser_SourceData.Fertiliser_Products_Data1(), FertiliserProducts[[#Headers],[Company]],1)</f>
        <v/>
      </c>
      <c r="Z106" s="62" t="str" cm="1">
        <f t="array" ref="Z106">Common_InputFunctions.Utility_DisplayArrayInTable(Fertiliser_SourceData.Fertiliser_Products_Data1(), FertiliserProducts[[#Headers],[Company]],1)</f>
        <v/>
      </c>
      <c r="AA106" s="62" t="str" cm="1">
        <f t="array" ref="AA106">Common_InputFunctions.Utility_DisplayArrayInTable(Fertiliser_SourceData.Fertiliser_Products_Data1(), FertiliserProducts[[#Headers],[Company]],1)</f>
        <v/>
      </c>
      <c r="AB106" s="62" t="str" cm="1">
        <f t="array" ref="AB106">Common_InputFunctions.Utility_DisplayArrayInTable(Fertiliser_SourceData.Fertiliser_Products_Data1(), FertiliserProducts[[#Headers],[Company]],1)</f>
        <v/>
      </c>
      <c r="AC106" s="62" t="str" cm="1">
        <f t="array" ref="AC106">Common_InputFunctions.Utility_DisplayArrayInTable(Fertiliser_SourceData.Fertiliser_Products_Data1(), FertiliserProducts[[#Headers],[Company]],1)</f>
        <v/>
      </c>
      <c r="AD106" s="62" t="str" cm="1">
        <f t="array" ref="AD106">Common_InputFunctions.Utility_DisplayArrayInTable(Fertiliser_SourceData.Fertiliser_Products_Data1(), FertiliserProducts[[#Headers],[Company]],1)</f>
        <v/>
      </c>
      <c r="AE106" s="62" t="str" cm="1">
        <f t="array" ref="AE106">Common_InputFunctions.Utility_DisplayArrayInTable(Fertiliser_SourceData.Fertiliser_Products_Data1(), FertiliserProducts[[#Headers],[Company]],1)</f>
        <v/>
      </c>
      <c r="AF106" s="62" t="str" cm="1">
        <f t="array" ref="AF106">Common_InputFunctions.Utility_DisplayArrayInTable(Fertiliser_SourceData.Fertiliser_Products_Data1(), FertiliserProducts[[#Headers],[Company]],1)</f>
        <v/>
      </c>
      <c r="AG106" s="62" t="str" cm="1">
        <f t="array" ref="AG106">Common_InputFunctions.Utility_DisplayArrayInTable(Fertiliser_SourceData.Fertiliser_Products_Data1(), FertiliserProducts[[#Headers],[Company]],1)</f>
        <v/>
      </c>
      <c r="AH106" s="62" t="str" cm="1">
        <f t="array" ref="AH106">Common_InputFunctions.Utility_DisplayArrayInTable(Fertiliser_SourceData.Fertiliser_Products_Data1(), FertiliserProducts[[#Headers],[Company]],1)</f>
        <v/>
      </c>
      <c r="AK106" s="8"/>
      <c r="AL106" s="8"/>
      <c r="AM106" s="8"/>
    </row>
    <row r="107" spans="1:39" ht="20.100000000000001" customHeight="1" x14ac:dyDescent="0.25">
      <c r="A107"/>
      <c r="D107" s="62" t="str" cm="1">
        <f t="array" ref="D107">Common_InputFunctions.Utility_DisplayArrayInTable(Fertiliser_SourceData.Fertiliser_Products_Data1(), FertiliserProducts[[#Headers],[Company]],1)</f>
        <v>Exclude - Not relevant</v>
      </c>
      <c r="E107" s="62" t="str" cm="1">
        <f t="array" ref="E107">Common_InputFunctions.Utility_DisplayArrayInTable(Fertiliser_SourceData.Fertiliser_Products_Data1(), FertiliserProducts[[#Headers],[Company]],1)</f>
        <v/>
      </c>
      <c r="F107" s="62" t="str" cm="1">
        <f t="array" ref="F107">Common_InputFunctions.Utility_DisplayArrayInTable(Fertiliser_SourceData.Fertiliser_Products_Data1(), FertiliserProducts[[#Headers],[Company]],1)</f>
        <v>Campbells fertilisers Australia</v>
      </c>
      <c r="G107" s="62" t="str" cm="1">
        <f t="array" ref="G107">Common_InputFunctions.Utility_DisplayArrayInTable(Fertiliser_SourceData.Fertiliser_Products_Data1(), FertiliserProducts[[#Headers],[Company]],1)</f>
        <v>Brevisol Range</v>
      </c>
      <c r="H107" s="62" t="str" cm="1">
        <f t="array" ref="H107">Common_InputFunctions.Utility_DisplayArrayInTable(Fertiliser_SourceData.Fertiliser_Products_Data1(), FertiliserProducts[[#Headers],[Company]],1)</f>
        <v>BreviSol Range - Campbells Fertilisers Australasia</v>
      </c>
      <c r="I107" s="62" t="str" cm="1">
        <f t="array" ref="I107">Common_InputFunctions.Utility_DisplayArrayInTable(Fertiliser_SourceData.Fertiliser_Products_Data1(), FertiliserProducts[[#Headers],[Company]],1)</f>
        <v/>
      </c>
      <c r="J107" s="62" t="str" cm="1">
        <f t="array" ref="J107">Common_InputFunctions.Utility_DisplayArrayInTable(Fertiliser_SourceData.Fertiliser_Products_Data1(), FertiliserProducts[[#Headers],[Company]],1)</f>
        <v>Not fertiliser - Do not include</v>
      </c>
      <c r="K107" s="62" t="str" cm="1">
        <f t="array" ref="K107">Common_InputFunctions.Utility_DisplayArrayInTable(Fertiliser_SourceData.Fertiliser_Products_Data1(), FertiliserProducts[[#Headers],[Company]],1)</f>
        <v/>
      </c>
      <c r="L107" s="62" t="str" cm="1">
        <f t="array" ref="L107">Common_InputFunctions.Utility_DisplayArrayInTable(Fertiliser_SourceData.Fertiliser_Products_Data1(), FertiliserProducts[[#Headers],[Company]],1)</f>
        <v/>
      </c>
      <c r="M107" s="62" t="str" cm="1">
        <f t="array" ref="M107">Common_InputFunctions.Utility_DisplayArrayInTable(Fertiliser_SourceData.Fertiliser_Products_Data1(), FertiliserProducts[[#Headers],[Company]],1)</f>
        <v/>
      </c>
      <c r="N107" s="62" t="str" cm="1">
        <f t="array" ref="N107">Common_InputFunctions.Utility_DisplayArrayInTable(Fertiliser_SourceData.Fertiliser_Products_Data1(), FertiliserProducts[[#Headers],[Company]],1)</f>
        <v/>
      </c>
      <c r="O107" s="62" t="str" cm="1">
        <f t="array" ref="O107">Common_InputFunctions.Utility_DisplayArrayInTable(Fertiliser_SourceData.Fertiliser_Products_Data1(), FertiliserProducts[[#Headers],[Company]],1)</f>
        <v/>
      </c>
      <c r="P107" s="62" t="str" cm="1">
        <f t="array" ref="P107">Common_InputFunctions.Utility_DisplayArrayInTable(Fertiliser_SourceData.Fertiliser_Products_Data1(), FertiliserProducts[[#Headers],[Company]],1)</f>
        <v/>
      </c>
      <c r="Q107" s="62" t="str" cm="1">
        <f t="array" ref="Q107">Common_InputFunctions.Utility_DisplayArrayInTable(Fertiliser_SourceData.Fertiliser_Products_Data1(), FertiliserProducts[[#Headers],[Company]],1)</f>
        <v/>
      </c>
      <c r="R107" s="62" t="str" cm="1">
        <f t="array" ref="R107">Common_InputFunctions.Utility_DisplayArrayInTable(Fertiliser_SourceData.Fertiliser_Products_Data1(), FertiliserProducts[[#Headers],[Company]],1)</f>
        <v/>
      </c>
      <c r="S107" s="62" t="str" cm="1">
        <f t="array" ref="S107">Common_InputFunctions.Utility_DisplayArrayInTable(Fertiliser_SourceData.Fertiliser_Products_Data1(), FertiliserProducts[[#Headers],[Company]],1)</f>
        <v/>
      </c>
      <c r="T107" s="62" t="str" cm="1">
        <f t="array" ref="T107">Common_InputFunctions.Utility_DisplayArrayInTable(Fertiliser_SourceData.Fertiliser_Products_Data1(), FertiliserProducts[[#Headers],[Company]],1)</f>
        <v/>
      </c>
      <c r="U107" s="62" t="str" cm="1">
        <f t="array" ref="U107">Common_InputFunctions.Utility_DisplayArrayInTable(Fertiliser_SourceData.Fertiliser_Products_Data1(), FertiliserProducts[[#Headers],[Company]],1)</f>
        <v/>
      </c>
      <c r="V107" s="62" t="str" cm="1">
        <f t="array" ref="V107">Common_InputFunctions.Utility_DisplayArrayInTable(Fertiliser_SourceData.Fertiliser_Products_Data1(), FertiliserProducts[[#Headers],[Company]],1)</f>
        <v/>
      </c>
      <c r="W107" s="62" t="str" cm="1">
        <f t="array" ref="W107">Common_InputFunctions.Utility_DisplayArrayInTable(Fertiliser_SourceData.Fertiliser_Products_Data1(), FertiliserProducts[[#Headers],[Company]],1)</f>
        <v/>
      </c>
      <c r="X107" s="62" t="str" cm="1">
        <f t="array" ref="X107">Common_InputFunctions.Utility_DisplayArrayInTable(Fertiliser_SourceData.Fertiliser_Products_Data1(), FertiliserProducts[[#Headers],[Company]],1)</f>
        <v/>
      </c>
      <c r="Y107" s="62" t="str" cm="1">
        <f t="array" ref="Y107">Common_InputFunctions.Utility_DisplayArrayInTable(Fertiliser_SourceData.Fertiliser_Products_Data1(), FertiliserProducts[[#Headers],[Company]],1)</f>
        <v/>
      </c>
      <c r="Z107" s="62" t="str" cm="1">
        <f t="array" ref="Z107">Common_InputFunctions.Utility_DisplayArrayInTable(Fertiliser_SourceData.Fertiliser_Products_Data1(), FertiliserProducts[[#Headers],[Company]],1)</f>
        <v/>
      </c>
      <c r="AA107" s="62" t="str" cm="1">
        <f t="array" ref="AA107">Common_InputFunctions.Utility_DisplayArrayInTable(Fertiliser_SourceData.Fertiliser_Products_Data1(), FertiliserProducts[[#Headers],[Company]],1)</f>
        <v/>
      </c>
      <c r="AB107" s="62" t="str" cm="1">
        <f t="array" ref="AB107">Common_InputFunctions.Utility_DisplayArrayInTable(Fertiliser_SourceData.Fertiliser_Products_Data1(), FertiliserProducts[[#Headers],[Company]],1)</f>
        <v/>
      </c>
      <c r="AC107" s="62" t="str" cm="1">
        <f t="array" ref="AC107">Common_InputFunctions.Utility_DisplayArrayInTable(Fertiliser_SourceData.Fertiliser_Products_Data1(), FertiliserProducts[[#Headers],[Company]],1)</f>
        <v/>
      </c>
      <c r="AD107" s="62" t="str" cm="1">
        <f t="array" ref="AD107">Common_InputFunctions.Utility_DisplayArrayInTable(Fertiliser_SourceData.Fertiliser_Products_Data1(), FertiliserProducts[[#Headers],[Company]],1)</f>
        <v/>
      </c>
      <c r="AE107" s="62" t="str" cm="1">
        <f t="array" ref="AE107">Common_InputFunctions.Utility_DisplayArrayInTable(Fertiliser_SourceData.Fertiliser_Products_Data1(), FertiliserProducts[[#Headers],[Company]],1)</f>
        <v/>
      </c>
      <c r="AF107" s="62" t="str" cm="1">
        <f t="array" ref="AF107">Common_InputFunctions.Utility_DisplayArrayInTable(Fertiliser_SourceData.Fertiliser_Products_Data1(), FertiliserProducts[[#Headers],[Company]],1)</f>
        <v/>
      </c>
      <c r="AG107" s="62" t="str" cm="1">
        <f t="array" ref="AG107">Common_InputFunctions.Utility_DisplayArrayInTable(Fertiliser_SourceData.Fertiliser_Products_Data1(), FertiliserProducts[[#Headers],[Company]],1)</f>
        <v/>
      </c>
      <c r="AH107" s="62" t="str" cm="1">
        <f t="array" ref="AH107">Common_InputFunctions.Utility_DisplayArrayInTable(Fertiliser_SourceData.Fertiliser_Products_Data1(), FertiliserProducts[[#Headers],[Company]],1)</f>
        <v/>
      </c>
      <c r="AK107" s="8"/>
      <c r="AL107" s="8"/>
      <c r="AM107" s="8"/>
    </row>
    <row r="108" spans="1:39" ht="20.100000000000001" customHeight="1" x14ac:dyDescent="0.25">
      <c r="A108"/>
      <c r="D108" s="62" t="str" cm="1">
        <f t="array" ref="D108">Common_InputFunctions.Utility_DisplayArrayInTable(Fertiliser_SourceData.Fertiliser_Products_Data1(), FertiliserProducts[[#Headers],[Company]],1)</f>
        <v>Exclude - Not relevant</v>
      </c>
      <c r="E108" s="62" t="str" cm="1">
        <f t="array" ref="E108">Common_InputFunctions.Utility_DisplayArrayInTable(Fertiliser_SourceData.Fertiliser_Products_Data1(), FertiliserProducts[[#Headers],[Company]],1)</f>
        <v/>
      </c>
      <c r="F108" s="62" t="str" cm="1">
        <f t="array" ref="F108">Common_InputFunctions.Utility_DisplayArrayInTable(Fertiliser_SourceData.Fertiliser_Products_Data1(), FertiliserProducts[[#Headers],[Company]],1)</f>
        <v>Campbells fertilisers Australia</v>
      </c>
      <c r="G108" s="62" t="str" cm="1">
        <f t="array" ref="G108">Common_InputFunctions.Utility_DisplayArrayInTable(Fertiliser_SourceData.Fertiliser_Products_Data1(), FertiliserProducts[[#Headers],[Company]],1)</f>
        <v>Brexil Line</v>
      </c>
      <c r="H108" s="62" t="str" cm="1">
        <f t="array" ref="H108">Common_InputFunctions.Utility_DisplayArrayInTable(Fertiliser_SourceData.Fertiliser_Products_Data1(), FertiliserProducts[[#Headers],[Company]],1)</f>
        <v>Brexil Line - Campbells Fertilisers Australasia</v>
      </c>
      <c r="I108" s="62" t="str" cm="1">
        <f t="array" ref="I108">Common_InputFunctions.Utility_DisplayArrayInTable(Fertiliser_SourceData.Fertiliser_Products_Data1(), FertiliserProducts[[#Headers],[Company]],1)</f>
        <v/>
      </c>
      <c r="J108" s="62" t="str" cm="1">
        <f t="array" ref="J108">Common_InputFunctions.Utility_DisplayArrayInTable(Fertiliser_SourceData.Fertiliser_Products_Data1(), FertiliserProducts[[#Headers],[Company]],1)</f>
        <v>Not fertiliser - Do not include</v>
      </c>
      <c r="K108" s="62" t="str" cm="1">
        <f t="array" ref="K108">Common_InputFunctions.Utility_DisplayArrayInTable(Fertiliser_SourceData.Fertiliser_Products_Data1(), FertiliserProducts[[#Headers],[Company]],1)</f>
        <v/>
      </c>
      <c r="L108" s="62" t="str" cm="1">
        <f t="array" ref="L108">Common_InputFunctions.Utility_DisplayArrayInTable(Fertiliser_SourceData.Fertiliser_Products_Data1(), FertiliserProducts[[#Headers],[Company]],1)</f>
        <v/>
      </c>
      <c r="M108" s="62" t="str" cm="1">
        <f t="array" ref="M108">Common_InputFunctions.Utility_DisplayArrayInTable(Fertiliser_SourceData.Fertiliser_Products_Data1(), FertiliserProducts[[#Headers],[Company]],1)</f>
        <v/>
      </c>
      <c r="N108" s="62" t="str" cm="1">
        <f t="array" ref="N108">Common_InputFunctions.Utility_DisplayArrayInTable(Fertiliser_SourceData.Fertiliser_Products_Data1(), FertiliserProducts[[#Headers],[Company]],1)</f>
        <v/>
      </c>
      <c r="O108" s="62" t="str" cm="1">
        <f t="array" ref="O108">Common_InputFunctions.Utility_DisplayArrayInTable(Fertiliser_SourceData.Fertiliser_Products_Data1(), FertiliserProducts[[#Headers],[Company]],1)</f>
        <v/>
      </c>
      <c r="P108" s="62" t="str" cm="1">
        <f t="array" ref="P108">Common_InputFunctions.Utility_DisplayArrayInTable(Fertiliser_SourceData.Fertiliser_Products_Data1(), FertiliserProducts[[#Headers],[Company]],1)</f>
        <v/>
      </c>
      <c r="Q108" s="62" t="str" cm="1">
        <f t="array" ref="Q108">Common_InputFunctions.Utility_DisplayArrayInTable(Fertiliser_SourceData.Fertiliser_Products_Data1(), FertiliserProducts[[#Headers],[Company]],1)</f>
        <v/>
      </c>
      <c r="R108" s="62" t="str" cm="1">
        <f t="array" ref="R108">Common_InputFunctions.Utility_DisplayArrayInTable(Fertiliser_SourceData.Fertiliser_Products_Data1(), FertiliserProducts[[#Headers],[Company]],1)</f>
        <v/>
      </c>
      <c r="S108" s="62" t="str" cm="1">
        <f t="array" ref="S108">Common_InputFunctions.Utility_DisplayArrayInTable(Fertiliser_SourceData.Fertiliser_Products_Data1(), FertiliserProducts[[#Headers],[Company]],1)</f>
        <v/>
      </c>
      <c r="T108" s="62" t="str" cm="1">
        <f t="array" ref="T108">Common_InputFunctions.Utility_DisplayArrayInTable(Fertiliser_SourceData.Fertiliser_Products_Data1(), FertiliserProducts[[#Headers],[Company]],1)</f>
        <v/>
      </c>
      <c r="U108" s="62" t="str" cm="1">
        <f t="array" ref="U108">Common_InputFunctions.Utility_DisplayArrayInTable(Fertiliser_SourceData.Fertiliser_Products_Data1(), FertiliserProducts[[#Headers],[Company]],1)</f>
        <v/>
      </c>
      <c r="V108" s="62" t="str" cm="1">
        <f t="array" ref="V108">Common_InputFunctions.Utility_DisplayArrayInTable(Fertiliser_SourceData.Fertiliser_Products_Data1(), FertiliserProducts[[#Headers],[Company]],1)</f>
        <v/>
      </c>
      <c r="W108" s="62" t="str" cm="1">
        <f t="array" ref="W108">Common_InputFunctions.Utility_DisplayArrayInTable(Fertiliser_SourceData.Fertiliser_Products_Data1(), FertiliserProducts[[#Headers],[Company]],1)</f>
        <v/>
      </c>
      <c r="X108" s="62" t="str" cm="1">
        <f t="array" ref="X108">Common_InputFunctions.Utility_DisplayArrayInTable(Fertiliser_SourceData.Fertiliser_Products_Data1(), FertiliserProducts[[#Headers],[Company]],1)</f>
        <v/>
      </c>
      <c r="Y108" s="62" t="str" cm="1">
        <f t="array" ref="Y108">Common_InputFunctions.Utility_DisplayArrayInTable(Fertiliser_SourceData.Fertiliser_Products_Data1(), FertiliserProducts[[#Headers],[Company]],1)</f>
        <v/>
      </c>
      <c r="Z108" s="62" t="str" cm="1">
        <f t="array" ref="Z108">Common_InputFunctions.Utility_DisplayArrayInTable(Fertiliser_SourceData.Fertiliser_Products_Data1(), FertiliserProducts[[#Headers],[Company]],1)</f>
        <v/>
      </c>
      <c r="AA108" s="62" t="str" cm="1">
        <f t="array" ref="AA108">Common_InputFunctions.Utility_DisplayArrayInTable(Fertiliser_SourceData.Fertiliser_Products_Data1(), FertiliserProducts[[#Headers],[Company]],1)</f>
        <v/>
      </c>
      <c r="AB108" s="62" t="str" cm="1">
        <f t="array" ref="AB108">Common_InputFunctions.Utility_DisplayArrayInTable(Fertiliser_SourceData.Fertiliser_Products_Data1(), FertiliserProducts[[#Headers],[Company]],1)</f>
        <v/>
      </c>
      <c r="AC108" s="62" t="str" cm="1">
        <f t="array" ref="AC108">Common_InputFunctions.Utility_DisplayArrayInTable(Fertiliser_SourceData.Fertiliser_Products_Data1(), FertiliserProducts[[#Headers],[Company]],1)</f>
        <v/>
      </c>
      <c r="AD108" s="62" t="str" cm="1">
        <f t="array" ref="AD108">Common_InputFunctions.Utility_DisplayArrayInTable(Fertiliser_SourceData.Fertiliser_Products_Data1(), FertiliserProducts[[#Headers],[Company]],1)</f>
        <v/>
      </c>
      <c r="AE108" s="62" t="str" cm="1">
        <f t="array" ref="AE108">Common_InputFunctions.Utility_DisplayArrayInTable(Fertiliser_SourceData.Fertiliser_Products_Data1(), FertiliserProducts[[#Headers],[Company]],1)</f>
        <v/>
      </c>
      <c r="AF108" s="62" t="str" cm="1">
        <f t="array" ref="AF108">Common_InputFunctions.Utility_DisplayArrayInTable(Fertiliser_SourceData.Fertiliser_Products_Data1(), FertiliserProducts[[#Headers],[Company]],1)</f>
        <v/>
      </c>
      <c r="AG108" s="62" t="str" cm="1">
        <f t="array" ref="AG108">Common_InputFunctions.Utility_DisplayArrayInTable(Fertiliser_SourceData.Fertiliser_Products_Data1(), FertiliserProducts[[#Headers],[Company]],1)</f>
        <v/>
      </c>
      <c r="AH108" s="62" t="str" cm="1">
        <f t="array" ref="AH108">Common_InputFunctions.Utility_DisplayArrayInTable(Fertiliser_SourceData.Fertiliser_Products_Data1(), FertiliserProducts[[#Headers],[Company]],1)</f>
        <v/>
      </c>
      <c r="AK108" s="8"/>
      <c r="AL108" s="8"/>
      <c r="AM108" s="8"/>
    </row>
    <row r="109" spans="1:39" ht="20.100000000000001" customHeight="1" x14ac:dyDescent="0.25">
      <c r="A109"/>
      <c r="D109" s="62" t="str" cm="1">
        <f t="array" ref="D109">Common_InputFunctions.Utility_DisplayArrayInTable(Fertiliser_SourceData.Fertiliser_Products_Data1(), FertiliserProducts[[#Headers],[Company]],1)</f>
        <v>Include</v>
      </c>
      <c r="E109" s="62" t="str" cm="1">
        <f t="array" ref="E109">Common_InputFunctions.Utility_DisplayArrayInTable(Fertiliser_SourceData.Fertiliser_Products_Data1(), FertiliserProducts[[#Headers],[Company]],1)</f>
        <v/>
      </c>
      <c r="F109" s="62" t="str" cm="1">
        <f t="array" ref="F109">Common_InputFunctions.Utility_DisplayArrayInTable(Fertiliser_SourceData.Fertiliser_Products_Data1(), FertiliserProducts[[#Headers],[Company]],1)</f>
        <v>Campbells fertilisers Australia</v>
      </c>
      <c r="G109" s="62" t="str" cm="1">
        <f t="array" ref="G109">Common_InputFunctions.Utility_DisplayArrayInTable(Fertiliser_SourceData.Fertiliser_Products_Data1(), FertiliserProducts[[#Headers],[Company]],1)</f>
        <v>Bronze</v>
      </c>
      <c r="H109" s="62" t="str" cm="1">
        <f t="array" ref="H109">Common_InputFunctions.Utility_DisplayArrayInTable(Fertiliser_SourceData.Fertiliser_Products_Data1(), FertiliserProducts[[#Headers],[Company]],1)</f>
        <v>Bronze - Campbells Fertilisers Australasia</v>
      </c>
      <c r="I109" s="62" t="str" cm="1">
        <f t="array" ref="I109">Common_InputFunctions.Utility_DisplayArrayInTable(Fertiliser_SourceData.Fertiliser_Products_Data1(), FertiliserProducts[[#Headers],[Company]],1)</f>
        <v>Website</v>
      </c>
      <c r="J109" s="62" t="str" cm="1">
        <f t="array" ref="J109">Common_InputFunctions.Utility_DisplayArrayInTable(Fertiliser_SourceData.Fertiliser_Products_Data1(), FertiliserProducts[[#Headers],[Company]],1)</f>
        <v/>
      </c>
      <c r="K109" s="62" t="str" cm="1">
        <f t="array" ref="K109">Common_InputFunctions.Utility_DisplayArrayInTable(Fertiliser_SourceData.Fertiliser_Products_Data1(), FertiliserProducts[[#Headers],[Company]],1)</f>
        <v>kg</v>
      </c>
      <c r="L109" s="62" t="str" cm="1">
        <f t="array" ref="L109">Common_InputFunctions.Utility_DisplayArrayInTable(Fertiliser_SourceData.Fertiliser_Products_Data1(), FertiliserProducts[[#Headers],[Company]],1)</f>
        <v/>
      </c>
      <c r="M109" s="62" t="str" cm="1">
        <f t="array" ref="M109">Common_InputFunctions.Utility_DisplayArrayInTable(Fertiliser_SourceData.Fertiliser_Products_Data1(), FertiliserProducts[[#Headers],[Company]],1)</f>
        <v/>
      </c>
      <c r="N109" s="62" t="str" cm="1">
        <f t="array" ref="N109">Common_InputFunctions.Utility_DisplayArrayInTable(Fertiliser_SourceData.Fertiliser_Products_Data1(), FertiliserProducts[[#Headers],[Company]],1)</f>
        <v/>
      </c>
      <c r="O109" s="62" t="str" cm="1">
        <f t="array" ref="O109">Common_InputFunctions.Utility_DisplayArrayInTable(Fertiliser_SourceData.Fertiliser_Products_Data1(), FertiliserProducts[[#Headers],[Company]],1)</f>
        <v>Muriate of Potash (MOP)</v>
      </c>
      <c r="P109" s="62" cm="1">
        <f t="array" ref="P109">Common_InputFunctions.Utility_DisplayArrayInTable(Fertiliser_SourceData.Fertiliser_Products_Data1(), FertiliserProducts[[#Headers],[Company]],1)</f>
        <v>0.23200000000000001</v>
      </c>
      <c r="Q109" s="62" t="str" cm="1">
        <f t="array" ref="Q109">Common_InputFunctions.Utility_DisplayArrayInTable(Fertiliser_SourceData.Fertiliser_Products_Data1(), FertiliserProducts[[#Headers],[Company]],1)</f>
        <v>Nitrogen - Generic</v>
      </c>
      <c r="R109" s="62" cm="1">
        <f t="array" ref="R109">Common_InputFunctions.Utility_DisplayArrayInTable(Fertiliser_SourceData.Fertiliser_Products_Data1(), FertiliserProducts[[#Headers],[Company]],1)</f>
        <v>0.17</v>
      </c>
      <c r="S109" s="62" t="str" cm="1">
        <f t="array" ref="S109">Common_InputFunctions.Utility_DisplayArrayInTable(Fertiliser_SourceData.Fertiliser_Products_Data1(), FertiliserProducts[[#Headers],[Company]],1)</f>
        <v>Sulfur - Generic</v>
      </c>
      <c r="T109" s="62" cm="1">
        <f t="array" ref="T109">Common_InputFunctions.Utility_DisplayArrayInTable(Fertiliser_SourceData.Fertiliser_Products_Data1(), FertiliserProducts[[#Headers],[Company]],1)</f>
        <v>5.0000000000000001E-3</v>
      </c>
      <c r="U109" s="62" t="str" cm="1">
        <f t="array" ref="U109">Common_InputFunctions.Utility_DisplayArrayInTable(Fertiliser_SourceData.Fertiliser_Products_Data1(), FertiliserProducts[[#Headers],[Company]],1)</f>
        <v>Magnesium</v>
      </c>
      <c r="V109" s="62" cm="1">
        <f t="array" ref="V109">Common_InputFunctions.Utility_DisplayArrayInTable(Fertiliser_SourceData.Fertiliser_Products_Data1(), FertiliserProducts[[#Headers],[Company]],1)</f>
        <v>2.3999999999999998E-3</v>
      </c>
      <c r="W109" s="62" t="str" cm="1">
        <f t="array" ref="W109">Common_InputFunctions.Utility_DisplayArrayInTable(Fertiliser_SourceData.Fertiliser_Products_Data1(), FertiliserProducts[[#Headers],[Company]],1)</f>
        <v>Phosphorus - Generic</v>
      </c>
      <c r="X109" s="62" cm="1">
        <f t="array" ref="X109">Common_InputFunctions.Utility_DisplayArrayInTable(Fertiliser_SourceData.Fertiliser_Products_Data1(), FertiliserProducts[[#Headers],[Company]],1)</f>
        <v>4.0000000000000002E-4</v>
      </c>
      <c r="Y109" s="62" t="str" cm="1">
        <f t="array" ref="Y109">Common_InputFunctions.Utility_DisplayArrayInTable(Fertiliser_SourceData.Fertiliser_Products_Data1(), FertiliserProducts[[#Headers],[Company]],1)</f>
        <v/>
      </c>
      <c r="Z109" s="62" t="str" cm="1">
        <f t="array" ref="Z109">Common_InputFunctions.Utility_DisplayArrayInTable(Fertiliser_SourceData.Fertiliser_Products_Data1(), FertiliserProducts[[#Headers],[Company]],1)</f>
        <v/>
      </c>
      <c r="AA109" s="62" t="str" cm="1">
        <f t="array" ref="AA109">Common_InputFunctions.Utility_DisplayArrayInTable(Fertiliser_SourceData.Fertiliser_Products_Data1(), FertiliserProducts[[#Headers],[Company]],1)</f>
        <v/>
      </c>
      <c r="AB109" s="62" t="str" cm="1">
        <f t="array" ref="AB109">Common_InputFunctions.Utility_DisplayArrayInTable(Fertiliser_SourceData.Fertiliser_Products_Data1(), FertiliserProducts[[#Headers],[Company]],1)</f>
        <v/>
      </c>
      <c r="AC109" s="62" t="str" cm="1">
        <f t="array" ref="AC109">Common_InputFunctions.Utility_DisplayArrayInTable(Fertiliser_SourceData.Fertiliser_Products_Data1(), FertiliserProducts[[#Headers],[Company]],1)</f>
        <v/>
      </c>
      <c r="AD109" s="62" t="str" cm="1">
        <f t="array" ref="AD109">Common_InputFunctions.Utility_DisplayArrayInTable(Fertiliser_SourceData.Fertiliser_Products_Data1(), FertiliserProducts[[#Headers],[Company]],1)</f>
        <v/>
      </c>
      <c r="AE109" s="62" t="str" cm="1">
        <f t="array" ref="AE109">Common_InputFunctions.Utility_DisplayArrayInTable(Fertiliser_SourceData.Fertiliser_Products_Data1(), FertiliserProducts[[#Headers],[Company]],1)</f>
        <v/>
      </c>
      <c r="AF109" s="62" t="str" cm="1">
        <f t="array" ref="AF109">Common_InputFunctions.Utility_DisplayArrayInTable(Fertiliser_SourceData.Fertiliser_Products_Data1(), FertiliserProducts[[#Headers],[Company]],1)</f>
        <v/>
      </c>
      <c r="AG109" s="62" t="str" cm="1">
        <f t="array" ref="AG109">Common_InputFunctions.Utility_DisplayArrayInTable(Fertiliser_SourceData.Fertiliser_Products_Data1(), FertiliserProducts[[#Headers],[Company]],1)</f>
        <v/>
      </c>
      <c r="AH109" s="62" t="str" cm="1">
        <f t="array" ref="AH109">Common_InputFunctions.Utility_DisplayArrayInTable(Fertiliser_SourceData.Fertiliser_Products_Data1(), FertiliserProducts[[#Headers],[Company]],1)</f>
        <v/>
      </c>
      <c r="AK109" s="8"/>
      <c r="AL109" s="8"/>
      <c r="AM109" s="8"/>
    </row>
    <row r="110" spans="1:39" ht="20.100000000000001" customHeight="1" x14ac:dyDescent="0.25">
      <c r="A110"/>
      <c r="D110" s="62" t="str" cm="1">
        <f t="array" ref="D110">Common_InputFunctions.Utility_DisplayArrayInTable(Fertiliser_SourceData.Fertiliser_Products_Data1(), FertiliserProducts[[#Headers],[Company]],1)</f>
        <v>Exclude - Absent ingredients &gt; 2%</v>
      </c>
      <c r="E110" s="62" t="str" cm="1">
        <f t="array" ref="E110">Common_InputFunctions.Utility_DisplayArrayInTable(Fertiliser_SourceData.Fertiliser_Products_Data1(), FertiliserProducts[[#Headers],[Company]],1)</f>
        <v/>
      </c>
      <c r="F110" s="62" t="str" cm="1">
        <f t="array" ref="F110">Common_InputFunctions.Utility_DisplayArrayInTable(Fertiliser_SourceData.Fertiliser_Products_Data1(), FertiliserProducts[[#Headers],[Company]],1)</f>
        <v>Campbells fertilisers Australia</v>
      </c>
      <c r="G110" s="62" t="str" cm="1">
        <f t="array" ref="G110">Common_InputFunctions.Utility_DisplayArrayInTable(Fertiliser_SourceData.Fertiliser_Products_Data1(), FertiliserProducts[[#Headers],[Company]],1)</f>
        <v>Bud-Wiser Dry</v>
      </c>
      <c r="H110" s="62" t="str" cm="1">
        <f t="array" ref="H110">Common_InputFunctions.Utility_DisplayArrayInTable(Fertiliser_SourceData.Fertiliser_Products_Data1(), FertiliserProducts[[#Headers],[Company]],1)</f>
        <v>Bud-Wiser Dry - Campbells Fertilisers Australasia</v>
      </c>
      <c r="I110" s="62" t="str" cm="1">
        <f t="array" ref="I110">Common_InputFunctions.Utility_DisplayArrayInTable(Fertiliser_SourceData.Fertiliser_Products_Data1(), FertiliserProducts[[#Headers],[Company]],1)</f>
        <v/>
      </c>
      <c r="J110" s="62" t="str" cm="1">
        <f t="array" ref="J110">Common_InputFunctions.Utility_DisplayArrayInTable(Fertiliser_SourceData.Fertiliser_Products_Data1(), FertiliserProducts[[#Headers],[Company]],1)</f>
        <v/>
      </c>
      <c r="K110" s="62" t="str" cm="1">
        <f t="array" ref="K110">Common_InputFunctions.Utility_DisplayArrayInTable(Fertiliser_SourceData.Fertiliser_Products_Data1(), FertiliserProducts[[#Headers],[Company]],1)</f>
        <v>kg</v>
      </c>
      <c r="L110" s="62" t="str" cm="1">
        <f t="array" ref="L110">Common_InputFunctions.Utility_DisplayArrayInTable(Fertiliser_SourceData.Fertiliser_Products_Data1(), FertiliserProducts[[#Headers],[Company]],1)</f>
        <v/>
      </c>
      <c r="M110" s="62" t="str" cm="1">
        <f t="array" ref="M110">Common_InputFunctions.Utility_DisplayArrayInTable(Fertiliser_SourceData.Fertiliser_Products_Data1(), FertiliserProducts[[#Headers],[Company]],1)</f>
        <v/>
      </c>
      <c r="N110" s="62" t="str" cm="1">
        <f t="array" ref="N110">Common_InputFunctions.Utility_DisplayArrayInTable(Fertiliser_SourceData.Fertiliser_Products_Data1(), FertiliserProducts[[#Headers],[Company]],1)</f>
        <v/>
      </c>
      <c r="O110" s="62" t="str" cm="1">
        <f t="array" ref="O110">Common_InputFunctions.Utility_DisplayArrayInTable(Fertiliser_SourceData.Fertiliser_Products_Data1(), FertiliserProducts[[#Headers],[Company]],1)</f>
        <v>Sulfur - Generic</v>
      </c>
      <c r="P110" s="62" cm="1">
        <f t="array" ref="P110">Common_InputFunctions.Utility_DisplayArrayInTable(Fertiliser_SourceData.Fertiliser_Products_Data1(), FertiliserProducts[[#Headers],[Company]],1)</f>
        <v>9.4E-2</v>
      </c>
      <c r="Q110" s="62" t="str" cm="1">
        <f t="array" ref="Q110">Common_InputFunctions.Utility_DisplayArrayInTable(Fertiliser_SourceData.Fertiliser_Products_Data1(), FertiliserProducts[[#Headers],[Company]],1)</f>
        <v>Magnesium</v>
      </c>
      <c r="R110" s="62" cm="1">
        <f t="array" ref="R110">Common_InputFunctions.Utility_DisplayArrayInTable(Fertiliser_SourceData.Fertiliser_Products_Data1(), FertiliserProducts[[#Headers],[Company]],1)</f>
        <v>0.06</v>
      </c>
      <c r="S110" s="62" t="str" cm="1">
        <f t="array" ref="S110">Common_InputFunctions.Utility_DisplayArrayInTable(Fertiliser_SourceData.Fertiliser_Products_Data1(), FertiliserProducts[[#Headers],[Company]],1)</f>
        <v>Boron</v>
      </c>
      <c r="T110" s="62" cm="1">
        <f t="array" ref="T110">Common_InputFunctions.Utility_DisplayArrayInTable(Fertiliser_SourceData.Fertiliser_Products_Data1(), FertiliserProducts[[#Headers],[Company]],1)</f>
        <v>4.4999999999999998E-2</v>
      </c>
      <c r="U110" s="62" t="str" cm="1">
        <f t="array" ref="U110">Common_InputFunctions.Utility_DisplayArrayInTable(Fertiliser_SourceData.Fertiliser_Products_Data1(), FertiliserProducts[[#Headers],[Company]],1)</f>
        <v>Zinc</v>
      </c>
      <c r="V110" s="62" cm="1">
        <f t="array" ref="V110">Common_InputFunctions.Utility_DisplayArrayInTable(Fertiliser_SourceData.Fertiliser_Products_Data1(), FertiliserProducts[[#Headers],[Company]],1)</f>
        <v>2.7E-2</v>
      </c>
      <c r="W110" s="62" t="str" cm="1">
        <f t="array" ref="W110">Common_InputFunctions.Utility_DisplayArrayInTable(Fertiliser_SourceData.Fertiliser_Products_Data1(), FertiliserProducts[[#Headers],[Company]],1)</f>
        <v/>
      </c>
      <c r="X110" s="62" t="str" cm="1">
        <f t="array" ref="X110">Common_InputFunctions.Utility_DisplayArrayInTable(Fertiliser_SourceData.Fertiliser_Products_Data1(), FertiliserProducts[[#Headers],[Company]],1)</f>
        <v/>
      </c>
      <c r="Y110" s="62" t="str" cm="1">
        <f t="array" ref="Y110">Common_InputFunctions.Utility_DisplayArrayInTable(Fertiliser_SourceData.Fertiliser_Products_Data1(), FertiliserProducts[[#Headers],[Company]],1)</f>
        <v/>
      </c>
      <c r="Z110" s="62" t="str" cm="1">
        <f t="array" ref="Z110">Common_InputFunctions.Utility_DisplayArrayInTable(Fertiliser_SourceData.Fertiliser_Products_Data1(), FertiliserProducts[[#Headers],[Company]],1)</f>
        <v/>
      </c>
      <c r="AA110" s="62" t="str" cm="1">
        <f t="array" ref="AA110">Common_InputFunctions.Utility_DisplayArrayInTable(Fertiliser_SourceData.Fertiliser_Products_Data1(), FertiliserProducts[[#Headers],[Company]],1)</f>
        <v/>
      </c>
      <c r="AB110" s="62" t="str" cm="1">
        <f t="array" ref="AB110">Common_InputFunctions.Utility_DisplayArrayInTable(Fertiliser_SourceData.Fertiliser_Products_Data1(), FertiliserProducts[[#Headers],[Company]],1)</f>
        <v/>
      </c>
      <c r="AC110" s="62" t="str" cm="1">
        <f t="array" ref="AC110">Common_InputFunctions.Utility_DisplayArrayInTable(Fertiliser_SourceData.Fertiliser_Products_Data1(), FertiliserProducts[[#Headers],[Company]],1)</f>
        <v/>
      </c>
      <c r="AD110" s="62" t="str" cm="1">
        <f t="array" ref="AD110">Common_InputFunctions.Utility_DisplayArrayInTable(Fertiliser_SourceData.Fertiliser_Products_Data1(), FertiliserProducts[[#Headers],[Company]],1)</f>
        <v/>
      </c>
      <c r="AE110" s="62" t="str" cm="1">
        <f t="array" ref="AE110">Common_InputFunctions.Utility_DisplayArrayInTable(Fertiliser_SourceData.Fertiliser_Products_Data1(), FertiliserProducts[[#Headers],[Company]],1)</f>
        <v/>
      </c>
      <c r="AF110" s="62" t="str" cm="1">
        <f t="array" ref="AF110">Common_InputFunctions.Utility_DisplayArrayInTable(Fertiliser_SourceData.Fertiliser_Products_Data1(), FertiliserProducts[[#Headers],[Company]],1)</f>
        <v/>
      </c>
      <c r="AG110" s="62" t="str" cm="1">
        <f t="array" ref="AG110">Common_InputFunctions.Utility_DisplayArrayInTable(Fertiliser_SourceData.Fertiliser_Products_Data1(), FertiliserProducts[[#Headers],[Company]],1)</f>
        <v/>
      </c>
      <c r="AH110" s="62" t="str" cm="1">
        <f t="array" ref="AH110">Common_InputFunctions.Utility_DisplayArrayInTable(Fertiliser_SourceData.Fertiliser_Products_Data1(), FertiliserProducts[[#Headers],[Company]],1)</f>
        <v/>
      </c>
      <c r="AK110" s="8"/>
      <c r="AL110" s="8"/>
      <c r="AM110" s="8"/>
    </row>
    <row r="111" spans="1:39" ht="20.100000000000001" customHeight="1" x14ac:dyDescent="0.25">
      <c r="A111"/>
      <c r="D111" s="62" t="str" cm="1">
        <f t="array" ref="D111">Common_InputFunctions.Utility_DisplayArrayInTable(Fertiliser_SourceData.Fertiliser_Products_Data1(), FertiliserProducts[[#Headers],[Company]],1)</f>
        <v>Exclude - Not relevant</v>
      </c>
      <c r="E111" s="62" t="str" cm="1">
        <f t="array" ref="E111">Common_InputFunctions.Utility_DisplayArrayInTable(Fertiliser_SourceData.Fertiliser_Products_Data1(), FertiliserProducts[[#Headers],[Company]],1)</f>
        <v/>
      </c>
      <c r="F111" s="62" t="str" cm="1">
        <f t="array" ref="F111">Common_InputFunctions.Utility_DisplayArrayInTable(Fertiliser_SourceData.Fertiliser_Products_Data1(), FertiliserProducts[[#Headers],[Company]],1)</f>
        <v>Campbells fertilisers Australia</v>
      </c>
      <c r="G111" s="62" t="str" cm="1">
        <f t="array" ref="G111">Common_InputFunctions.Utility_DisplayArrayInTable(Fertiliser_SourceData.Fertiliser_Products_Data1(), FertiliserProducts[[#Headers],[Company]],1)</f>
        <v>Calbit C</v>
      </c>
      <c r="H111" s="62" t="str" cm="1">
        <f t="array" ref="H111">Common_InputFunctions.Utility_DisplayArrayInTable(Fertiliser_SourceData.Fertiliser_Products_Data1(), FertiliserProducts[[#Headers],[Company]],1)</f>
        <v>Calbit C - Campbells Fertilisers Australasia</v>
      </c>
      <c r="I111" s="62" t="str" cm="1">
        <f t="array" ref="I111">Common_InputFunctions.Utility_DisplayArrayInTable(Fertiliser_SourceData.Fertiliser_Products_Data1(), FertiliserProducts[[#Headers],[Company]],1)</f>
        <v/>
      </c>
      <c r="J111" s="62" t="str" cm="1">
        <f t="array" ref="J111">Common_InputFunctions.Utility_DisplayArrayInTable(Fertiliser_SourceData.Fertiliser_Products_Data1(), FertiliserProducts[[#Headers],[Company]],1)</f>
        <v>Not fertiliser - Do not include</v>
      </c>
      <c r="K111" s="62" t="str" cm="1">
        <f t="array" ref="K111">Common_InputFunctions.Utility_DisplayArrayInTable(Fertiliser_SourceData.Fertiliser_Products_Data1(), FertiliserProducts[[#Headers],[Company]],1)</f>
        <v>L</v>
      </c>
      <c r="L111" s="62" t="str" cm="1">
        <f t="array" ref="L111">Common_InputFunctions.Utility_DisplayArrayInTable(Fertiliser_SourceData.Fertiliser_Products_Data1(), FertiliserProducts[[#Headers],[Company]],1)</f>
        <v/>
      </c>
      <c r="M111" s="62" t="str" cm="1">
        <f t="array" ref="M111">Common_InputFunctions.Utility_DisplayArrayInTable(Fertiliser_SourceData.Fertiliser_Products_Data1(), FertiliserProducts[[#Headers],[Company]],1)</f>
        <v/>
      </c>
      <c r="N111" s="62" t="str" cm="1">
        <f t="array" ref="N111">Common_InputFunctions.Utility_DisplayArrayInTable(Fertiliser_SourceData.Fertiliser_Products_Data1(), FertiliserProducts[[#Headers],[Company]],1)</f>
        <v/>
      </c>
      <c r="O111" s="62" t="str" cm="1">
        <f t="array" ref="O111">Common_InputFunctions.Utility_DisplayArrayInTable(Fertiliser_SourceData.Fertiliser_Products_Data1(), FertiliserProducts[[#Headers],[Company]],1)</f>
        <v/>
      </c>
      <c r="P111" s="62" t="str" cm="1">
        <f t="array" ref="P111">Common_InputFunctions.Utility_DisplayArrayInTable(Fertiliser_SourceData.Fertiliser_Products_Data1(), FertiliserProducts[[#Headers],[Company]],1)</f>
        <v/>
      </c>
      <c r="Q111" s="62" t="str" cm="1">
        <f t="array" ref="Q111">Common_InputFunctions.Utility_DisplayArrayInTable(Fertiliser_SourceData.Fertiliser_Products_Data1(), FertiliserProducts[[#Headers],[Company]],1)</f>
        <v/>
      </c>
      <c r="R111" s="62" t="str" cm="1">
        <f t="array" ref="R111">Common_InputFunctions.Utility_DisplayArrayInTable(Fertiliser_SourceData.Fertiliser_Products_Data1(), FertiliserProducts[[#Headers],[Company]],1)</f>
        <v/>
      </c>
      <c r="S111" s="62" t="str" cm="1">
        <f t="array" ref="S111">Common_InputFunctions.Utility_DisplayArrayInTable(Fertiliser_SourceData.Fertiliser_Products_Data1(), FertiliserProducts[[#Headers],[Company]],1)</f>
        <v/>
      </c>
      <c r="T111" s="62" t="str" cm="1">
        <f t="array" ref="T111">Common_InputFunctions.Utility_DisplayArrayInTable(Fertiliser_SourceData.Fertiliser_Products_Data1(), FertiliserProducts[[#Headers],[Company]],1)</f>
        <v/>
      </c>
      <c r="U111" s="62" t="str" cm="1">
        <f t="array" ref="U111">Common_InputFunctions.Utility_DisplayArrayInTable(Fertiliser_SourceData.Fertiliser_Products_Data1(), FertiliserProducts[[#Headers],[Company]],1)</f>
        <v/>
      </c>
      <c r="V111" s="62" t="str" cm="1">
        <f t="array" ref="V111">Common_InputFunctions.Utility_DisplayArrayInTable(Fertiliser_SourceData.Fertiliser_Products_Data1(), FertiliserProducts[[#Headers],[Company]],1)</f>
        <v/>
      </c>
      <c r="W111" s="62" t="str" cm="1">
        <f t="array" ref="W111">Common_InputFunctions.Utility_DisplayArrayInTable(Fertiliser_SourceData.Fertiliser_Products_Data1(), FertiliserProducts[[#Headers],[Company]],1)</f>
        <v/>
      </c>
      <c r="X111" s="62" t="str" cm="1">
        <f t="array" ref="X111">Common_InputFunctions.Utility_DisplayArrayInTable(Fertiliser_SourceData.Fertiliser_Products_Data1(), FertiliserProducts[[#Headers],[Company]],1)</f>
        <v/>
      </c>
      <c r="Y111" s="62" t="str" cm="1">
        <f t="array" ref="Y111">Common_InputFunctions.Utility_DisplayArrayInTable(Fertiliser_SourceData.Fertiliser_Products_Data1(), FertiliserProducts[[#Headers],[Company]],1)</f>
        <v/>
      </c>
      <c r="Z111" s="62" t="str" cm="1">
        <f t="array" ref="Z111">Common_InputFunctions.Utility_DisplayArrayInTable(Fertiliser_SourceData.Fertiliser_Products_Data1(), FertiliserProducts[[#Headers],[Company]],1)</f>
        <v/>
      </c>
      <c r="AA111" s="62" t="str" cm="1">
        <f t="array" ref="AA111">Common_InputFunctions.Utility_DisplayArrayInTable(Fertiliser_SourceData.Fertiliser_Products_Data1(), FertiliserProducts[[#Headers],[Company]],1)</f>
        <v/>
      </c>
      <c r="AB111" s="62" t="str" cm="1">
        <f t="array" ref="AB111">Common_InputFunctions.Utility_DisplayArrayInTable(Fertiliser_SourceData.Fertiliser_Products_Data1(), FertiliserProducts[[#Headers],[Company]],1)</f>
        <v/>
      </c>
      <c r="AC111" s="62" t="str" cm="1">
        <f t="array" ref="AC111">Common_InputFunctions.Utility_DisplayArrayInTable(Fertiliser_SourceData.Fertiliser_Products_Data1(), FertiliserProducts[[#Headers],[Company]],1)</f>
        <v/>
      </c>
      <c r="AD111" s="62" t="str" cm="1">
        <f t="array" ref="AD111">Common_InputFunctions.Utility_DisplayArrayInTable(Fertiliser_SourceData.Fertiliser_Products_Data1(), FertiliserProducts[[#Headers],[Company]],1)</f>
        <v/>
      </c>
      <c r="AE111" s="62" t="str" cm="1">
        <f t="array" ref="AE111">Common_InputFunctions.Utility_DisplayArrayInTable(Fertiliser_SourceData.Fertiliser_Products_Data1(), FertiliserProducts[[#Headers],[Company]],1)</f>
        <v/>
      </c>
      <c r="AF111" s="62" t="str" cm="1">
        <f t="array" ref="AF111">Common_InputFunctions.Utility_DisplayArrayInTable(Fertiliser_SourceData.Fertiliser_Products_Data1(), FertiliserProducts[[#Headers],[Company]],1)</f>
        <v/>
      </c>
      <c r="AG111" s="62" t="str" cm="1">
        <f t="array" ref="AG111">Common_InputFunctions.Utility_DisplayArrayInTable(Fertiliser_SourceData.Fertiliser_Products_Data1(), FertiliserProducts[[#Headers],[Company]],1)</f>
        <v/>
      </c>
      <c r="AH111" s="62" t="str" cm="1">
        <f t="array" ref="AH111">Common_InputFunctions.Utility_DisplayArrayInTable(Fertiliser_SourceData.Fertiliser_Products_Data1(), FertiliserProducts[[#Headers],[Company]],1)</f>
        <v/>
      </c>
      <c r="AK111" s="8"/>
      <c r="AL111" s="8"/>
      <c r="AM111" s="8"/>
    </row>
    <row r="112" spans="1:39" ht="20.100000000000001" customHeight="1" x14ac:dyDescent="0.25">
      <c r="A112"/>
      <c r="D112" s="62" t="str" cm="1">
        <f t="array" ref="D112">Common_InputFunctions.Utility_DisplayArrayInTable(Fertiliser_SourceData.Fertiliser_Products_Data1(), FertiliserProducts[[#Headers],[Company]],1)</f>
        <v>Exclude - Not relevant</v>
      </c>
      <c r="E112" s="62" t="str" cm="1">
        <f t="array" ref="E112">Common_InputFunctions.Utility_DisplayArrayInTable(Fertiliser_SourceData.Fertiliser_Products_Data1(), FertiliserProducts[[#Headers],[Company]],1)</f>
        <v/>
      </c>
      <c r="F112" s="62" t="str" cm="1">
        <f t="array" ref="F112">Common_InputFunctions.Utility_DisplayArrayInTable(Fertiliser_SourceData.Fertiliser_Products_Data1(), FertiliserProducts[[#Headers],[Company]],1)</f>
        <v>Campbells fertilisers Australia</v>
      </c>
      <c r="G112" s="62" t="str" cm="1">
        <f t="array" ref="G112">Common_InputFunctions.Utility_DisplayArrayInTable(Fertiliser_SourceData.Fertiliser_Products_Data1(), FertiliserProducts[[#Headers],[Company]],1)</f>
        <v>Calcium 175</v>
      </c>
      <c r="H112" s="62" t="str" cm="1">
        <f t="array" ref="H112">Common_InputFunctions.Utility_DisplayArrayInTable(Fertiliser_SourceData.Fertiliser_Products_Data1(), FertiliserProducts[[#Headers],[Company]],1)</f>
        <v>Calcium 175 - Campbells Fertilisers Australasia</v>
      </c>
      <c r="I112" s="62" t="str" cm="1">
        <f t="array" ref="I112">Common_InputFunctions.Utility_DisplayArrayInTable(Fertiliser_SourceData.Fertiliser_Products_Data1(), FertiliserProducts[[#Headers],[Company]],1)</f>
        <v/>
      </c>
      <c r="J112" s="62" t="str" cm="1">
        <f t="array" ref="J112">Common_InputFunctions.Utility_DisplayArrayInTable(Fertiliser_SourceData.Fertiliser_Products_Data1(), FertiliserProducts[[#Headers],[Company]],1)</f>
        <v>Not fertiliser - Do not include</v>
      </c>
      <c r="K112" s="62" t="str" cm="1">
        <f t="array" ref="K112">Common_InputFunctions.Utility_DisplayArrayInTable(Fertiliser_SourceData.Fertiliser_Products_Data1(), FertiliserProducts[[#Headers],[Company]],1)</f>
        <v>L</v>
      </c>
      <c r="L112" s="62" t="str" cm="1">
        <f t="array" ref="L112">Common_InputFunctions.Utility_DisplayArrayInTable(Fertiliser_SourceData.Fertiliser_Products_Data1(), FertiliserProducts[[#Headers],[Company]],1)</f>
        <v/>
      </c>
      <c r="M112" s="62" t="str" cm="1">
        <f t="array" ref="M112">Common_InputFunctions.Utility_DisplayArrayInTable(Fertiliser_SourceData.Fertiliser_Products_Data1(), FertiliserProducts[[#Headers],[Company]],1)</f>
        <v/>
      </c>
      <c r="N112" s="62" t="str" cm="1">
        <f t="array" ref="N112">Common_InputFunctions.Utility_DisplayArrayInTable(Fertiliser_SourceData.Fertiliser_Products_Data1(), FertiliserProducts[[#Headers],[Company]],1)</f>
        <v/>
      </c>
      <c r="O112" s="62" t="str" cm="1">
        <f t="array" ref="O112">Common_InputFunctions.Utility_DisplayArrayInTable(Fertiliser_SourceData.Fertiliser_Products_Data1(), FertiliserProducts[[#Headers],[Company]],1)</f>
        <v/>
      </c>
      <c r="P112" s="62" t="str" cm="1">
        <f t="array" ref="P112">Common_InputFunctions.Utility_DisplayArrayInTable(Fertiliser_SourceData.Fertiliser_Products_Data1(), FertiliserProducts[[#Headers],[Company]],1)</f>
        <v/>
      </c>
      <c r="Q112" s="62" t="str" cm="1">
        <f t="array" ref="Q112">Common_InputFunctions.Utility_DisplayArrayInTable(Fertiliser_SourceData.Fertiliser_Products_Data1(), FertiliserProducts[[#Headers],[Company]],1)</f>
        <v/>
      </c>
      <c r="R112" s="62" t="str" cm="1">
        <f t="array" ref="R112">Common_InputFunctions.Utility_DisplayArrayInTable(Fertiliser_SourceData.Fertiliser_Products_Data1(), FertiliserProducts[[#Headers],[Company]],1)</f>
        <v/>
      </c>
      <c r="S112" s="62" t="str" cm="1">
        <f t="array" ref="S112">Common_InputFunctions.Utility_DisplayArrayInTable(Fertiliser_SourceData.Fertiliser_Products_Data1(), FertiliserProducts[[#Headers],[Company]],1)</f>
        <v/>
      </c>
      <c r="T112" s="62" t="str" cm="1">
        <f t="array" ref="T112">Common_InputFunctions.Utility_DisplayArrayInTable(Fertiliser_SourceData.Fertiliser_Products_Data1(), FertiliserProducts[[#Headers],[Company]],1)</f>
        <v/>
      </c>
      <c r="U112" s="62" t="str" cm="1">
        <f t="array" ref="U112">Common_InputFunctions.Utility_DisplayArrayInTable(Fertiliser_SourceData.Fertiliser_Products_Data1(), FertiliserProducts[[#Headers],[Company]],1)</f>
        <v/>
      </c>
      <c r="V112" s="62" t="str" cm="1">
        <f t="array" ref="V112">Common_InputFunctions.Utility_DisplayArrayInTable(Fertiliser_SourceData.Fertiliser_Products_Data1(), FertiliserProducts[[#Headers],[Company]],1)</f>
        <v/>
      </c>
      <c r="W112" s="62" t="str" cm="1">
        <f t="array" ref="W112">Common_InputFunctions.Utility_DisplayArrayInTable(Fertiliser_SourceData.Fertiliser_Products_Data1(), FertiliserProducts[[#Headers],[Company]],1)</f>
        <v/>
      </c>
      <c r="X112" s="62" t="str" cm="1">
        <f t="array" ref="X112">Common_InputFunctions.Utility_DisplayArrayInTable(Fertiliser_SourceData.Fertiliser_Products_Data1(), FertiliserProducts[[#Headers],[Company]],1)</f>
        <v/>
      </c>
      <c r="Y112" s="62" t="str" cm="1">
        <f t="array" ref="Y112">Common_InputFunctions.Utility_DisplayArrayInTable(Fertiliser_SourceData.Fertiliser_Products_Data1(), FertiliserProducts[[#Headers],[Company]],1)</f>
        <v/>
      </c>
      <c r="Z112" s="62" t="str" cm="1">
        <f t="array" ref="Z112">Common_InputFunctions.Utility_DisplayArrayInTable(Fertiliser_SourceData.Fertiliser_Products_Data1(), FertiliserProducts[[#Headers],[Company]],1)</f>
        <v/>
      </c>
      <c r="AA112" s="62" t="str" cm="1">
        <f t="array" ref="AA112">Common_InputFunctions.Utility_DisplayArrayInTable(Fertiliser_SourceData.Fertiliser_Products_Data1(), FertiliserProducts[[#Headers],[Company]],1)</f>
        <v/>
      </c>
      <c r="AB112" s="62" t="str" cm="1">
        <f t="array" ref="AB112">Common_InputFunctions.Utility_DisplayArrayInTable(Fertiliser_SourceData.Fertiliser_Products_Data1(), FertiliserProducts[[#Headers],[Company]],1)</f>
        <v/>
      </c>
      <c r="AC112" s="62" t="str" cm="1">
        <f t="array" ref="AC112">Common_InputFunctions.Utility_DisplayArrayInTable(Fertiliser_SourceData.Fertiliser_Products_Data1(), FertiliserProducts[[#Headers],[Company]],1)</f>
        <v/>
      </c>
      <c r="AD112" s="62" t="str" cm="1">
        <f t="array" ref="AD112">Common_InputFunctions.Utility_DisplayArrayInTable(Fertiliser_SourceData.Fertiliser_Products_Data1(), FertiliserProducts[[#Headers],[Company]],1)</f>
        <v/>
      </c>
      <c r="AE112" s="62" t="str" cm="1">
        <f t="array" ref="AE112">Common_InputFunctions.Utility_DisplayArrayInTable(Fertiliser_SourceData.Fertiliser_Products_Data1(), FertiliserProducts[[#Headers],[Company]],1)</f>
        <v/>
      </c>
      <c r="AF112" s="62" t="str" cm="1">
        <f t="array" ref="AF112">Common_InputFunctions.Utility_DisplayArrayInTable(Fertiliser_SourceData.Fertiliser_Products_Data1(), FertiliserProducts[[#Headers],[Company]],1)</f>
        <v/>
      </c>
      <c r="AG112" s="62" t="str" cm="1">
        <f t="array" ref="AG112">Common_InputFunctions.Utility_DisplayArrayInTable(Fertiliser_SourceData.Fertiliser_Products_Data1(), FertiliserProducts[[#Headers],[Company]],1)</f>
        <v/>
      </c>
      <c r="AH112" s="62" t="str" cm="1">
        <f t="array" ref="AH112">Common_InputFunctions.Utility_DisplayArrayInTable(Fertiliser_SourceData.Fertiliser_Products_Data1(), FertiliserProducts[[#Headers],[Company]],1)</f>
        <v/>
      </c>
      <c r="AK112" s="8"/>
      <c r="AL112" s="8"/>
      <c r="AM112" s="8"/>
    </row>
    <row r="113" spans="1:39" ht="20.100000000000001" customHeight="1" x14ac:dyDescent="0.25">
      <c r="A113"/>
      <c r="D113" s="62" t="str" cm="1">
        <f t="array" ref="D113">Common_InputFunctions.Utility_DisplayArrayInTable(Fertiliser_SourceData.Fertiliser_Products_Data1(), FertiliserProducts[[#Headers],[Company]],1)</f>
        <v>Include</v>
      </c>
      <c r="E113" s="62" t="str" cm="1">
        <f t="array" ref="E113">Common_InputFunctions.Utility_DisplayArrayInTable(Fertiliser_SourceData.Fertiliser_Products_Data1(), FertiliserProducts[[#Headers],[Company]],1)</f>
        <v>Use Lime EF for calcium</v>
      </c>
      <c r="F113" s="62" t="str" cm="1">
        <f t="array" ref="F113">Common_InputFunctions.Utility_DisplayArrayInTable(Fertiliser_SourceData.Fertiliser_Products_Data1(), FertiliserProducts[[#Headers],[Company]],1)</f>
        <v>Campbells fertilisers Australia</v>
      </c>
      <c r="G113" s="62" t="str" cm="1">
        <f t="array" ref="G113">Common_InputFunctions.Utility_DisplayArrayInTable(Fertiliser_SourceData.Fertiliser_Products_Data1(), FertiliserProducts[[#Headers],[Company]],1)</f>
        <v>CalPhos</v>
      </c>
      <c r="H113" s="62" t="str" cm="1">
        <f t="array" ref="H113">Common_InputFunctions.Utility_DisplayArrayInTable(Fertiliser_SourceData.Fertiliser_Products_Data1(), FertiliserProducts[[#Headers],[Company]],1)</f>
        <v>Calphos - Campbells Fertilisers Australasia</v>
      </c>
      <c r="I113" s="62" t="str" cm="1">
        <f t="array" ref="I113">Common_InputFunctions.Utility_DisplayArrayInTable(Fertiliser_SourceData.Fertiliser_Products_Data1(), FertiliserProducts[[#Headers],[Company]],1)</f>
        <v>Website</v>
      </c>
      <c r="J113" s="62" t="str" cm="1">
        <f t="array" ref="J113">Common_InputFunctions.Utility_DisplayArrayInTable(Fertiliser_SourceData.Fertiliser_Products_Data1(), FertiliserProducts[[#Headers],[Company]],1)</f>
        <v/>
      </c>
      <c r="K113" s="62" t="str" cm="1">
        <f t="array" ref="K113">Common_InputFunctions.Utility_DisplayArrayInTable(Fertiliser_SourceData.Fertiliser_Products_Data1(), FertiliserProducts[[#Headers],[Company]],1)</f>
        <v>L</v>
      </c>
      <c r="L113" s="62" cm="1">
        <f t="array" ref="L113">Common_InputFunctions.Utility_DisplayArrayInTable(Fertiliser_SourceData.Fertiliser_Products_Data1(), FertiliserProducts[[#Headers],[Company]],1)</f>
        <v>1.2849999999999999</v>
      </c>
      <c r="M113" s="62" t="str" cm="1">
        <f t="array" ref="M113">Common_InputFunctions.Utility_DisplayArrayInTable(Fertiliser_SourceData.Fertiliser_Products_Data1(), FertiliserProducts[[#Headers],[Company]],1)</f>
        <v/>
      </c>
      <c r="N113" s="62" t="str" cm="1">
        <f t="array" ref="N113">Common_InputFunctions.Utility_DisplayArrayInTable(Fertiliser_SourceData.Fertiliser_Products_Data1(), FertiliserProducts[[#Headers],[Company]],1)</f>
        <v/>
      </c>
      <c r="O113" s="62" t="str" cm="1">
        <f t="array" ref="O113">Common_InputFunctions.Utility_DisplayArrayInTable(Fertiliser_SourceData.Fertiliser_Products_Data1(), FertiliserProducts[[#Headers],[Company]],1)</f>
        <v>Phosphorus - Generic</v>
      </c>
      <c r="P113" s="62" cm="1">
        <f t="array" ref="P113">Common_InputFunctions.Utility_DisplayArrayInTable(Fertiliser_SourceData.Fertiliser_Products_Data1(), FertiliserProducts[[#Headers],[Company]],1)</f>
        <v>0.13500000000000001</v>
      </c>
      <c r="Q113" s="62" t="str" cm="1">
        <f t="array" ref="Q113">Common_InputFunctions.Utility_DisplayArrayInTable(Fertiliser_SourceData.Fertiliser_Products_Data1(), FertiliserProducts[[#Headers],[Company]],1)</f>
        <v>Calcium - Generic</v>
      </c>
      <c r="R113" s="62" cm="1">
        <f t="array" ref="R113">Common_InputFunctions.Utility_DisplayArrayInTable(Fertiliser_SourceData.Fertiliser_Products_Data1(), FertiliserProducts[[#Headers],[Company]],1)</f>
        <v>0.04</v>
      </c>
      <c r="S113" s="62" t="str" cm="1">
        <f t="array" ref="S113">Common_InputFunctions.Utility_DisplayArrayInTable(Fertiliser_SourceData.Fertiliser_Products_Data1(), FertiliserProducts[[#Headers],[Company]],1)</f>
        <v/>
      </c>
      <c r="T113" s="62" t="str" cm="1">
        <f t="array" ref="T113">Common_InputFunctions.Utility_DisplayArrayInTable(Fertiliser_SourceData.Fertiliser_Products_Data1(), FertiliserProducts[[#Headers],[Company]],1)</f>
        <v/>
      </c>
      <c r="U113" s="62" t="str" cm="1">
        <f t="array" ref="U113">Common_InputFunctions.Utility_DisplayArrayInTable(Fertiliser_SourceData.Fertiliser_Products_Data1(), FertiliserProducts[[#Headers],[Company]],1)</f>
        <v/>
      </c>
      <c r="V113" s="62" t="str" cm="1">
        <f t="array" ref="V113">Common_InputFunctions.Utility_DisplayArrayInTable(Fertiliser_SourceData.Fertiliser_Products_Data1(), FertiliserProducts[[#Headers],[Company]],1)</f>
        <v/>
      </c>
      <c r="W113" s="62" t="str" cm="1">
        <f t="array" ref="W113">Common_InputFunctions.Utility_DisplayArrayInTable(Fertiliser_SourceData.Fertiliser_Products_Data1(), FertiliserProducts[[#Headers],[Company]],1)</f>
        <v/>
      </c>
      <c r="X113" s="62" t="str" cm="1">
        <f t="array" ref="X113">Common_InputFunctions.Utility_DisplayArrayInTable(Fertiliser_SourceData.Fertiliser_Products_Data1(), FertiliserProducts[[#Headers],[Company]],1)</f>
        <v/>
      </c>
      <c r="Y113" s="62" t="str" cm="1">
        <f t="array" ref="Y113">Common_InputFunctions.Utility_DisplayArrayInTable(Fertiliser_SourceData.Fertiliser_Products_Data1(), FertiliserProducts[[#Headers],[Company]],1)</f>
        <v/>
      </c>
      <c r="Z113" s="62" t="str" cm="1">
        <f t="array" ref="Z113">Common_InputFunctions.Utility_DisplayArrayInTable(Fertiliser_SourceData.Fertiliser_Products_Data1(), FertiliserProducts[[#Headers],[Company]],1)</f>
        <v/>
      </c>
      <c r="AA113" s="62" t="str" cm="1">
        <f t="array" ref="AA113">Common_InputFunctions.Utility_DisplayArrayInTable(Fertiliser_SourceData.Fertiliser_Products_Data1(), FertiliserProducts[[#Headers],[Company]],1)</f>
        <v/>
      </c>
      <c r="AB113" s="62" t="str" cm="1">
        <f t="array" ref="AB113">Common_InputFunctions.Utility_DisplayArrayInTable(Fertiliser_SourceData.Fertiliser_Products_Data1(), FertiliserProducts[[#Headers],[Company]],1)</f>
        <v/>
      </c>
      <c r="AC113" s="62" t="str" cm="1">
        <f t="array" ref="AC113">Common_InputFunctions.Utility_DisplayArrayInTable(Fertiliser_SourceData.Fertiliser_Products_Data1(), FertiliserProducts[[#Headers],[Company]],1)</f>
        <v/>
      </c>
      <c r="AD113" s="62" t="str" cm="1">
        <f t="array" ref="AD113">Common_InputFunctions.Utility_DisplayArrayInTable(Fertiliser_SourceData.Fertiliser_Products_Data1(), FertiliserProducts[[#Headers],[Company]],1)</f>
        <v/>
      </c>
      <c r="AE113" s="62" t="str" cm="1">
        <f t="array" ref="AE113">Common_InputFunctions.Utility_DisplayArrayInTable(Fertiliser_SourceData.Fertiliser_Products_Data1(), FertiliserProducts[[#Headers],[Company]],1)</f>
        <v/>
      </c>
      <c r="AF113" s="62" t="str" cm="1">
        <f t="array" ref="AF113">Common_InputFunctions.Utility_DisplayArrayInTable(Fertiliser_SourceData.Fertiliser_Products_Data1(), FertiliserProducts[[#Headers],[Company]],1)</f>
        <v/>
      </c>
      <c r="AG113" s="62" t="str" cm="1">
        <f t="array" ref="AG113">Common_InputFunctions.Utility_DisplayArrayInTable(Fertiliser_SourceData.Fertiliser_Products_Data1(), FertiliserProducts[[#Headers],[Company]],1)</f>
        <v/>
      </c>
      <c r="AH113" s="62" t="str" cm="1">
        <f t="array" ref="AH113">Common_InputFunctions.Utility_DisplayArrayInTable(Fertiliser_SourceData.Fertiliser_Products_Data1(), FertiliserProducts[[#Headers],[Company]],1)</f>
        <v/>
      </c>
      <c r="AK113" s="8"/>
      <c r="AL113" s="8"/>
      <c r="AM113" s="8"/>
    </row>
    <row r="114" spans="1:39" ht="20.100000000000001" customHeight="1" x14ac:dyDescent="0.25">
      <c r="A114"/>
      <c r="D114" s="62" t="str" cm="1">
        <f t="array" ref="D114">Common_InputFunctions.Utility_DisplayArrayInTable(Fertiliser_SourceData.Fertiliser_Products_Data1(), FertiliserProducts[[#Headers],[Company]],1)</f>
        <v/>
      </c>
      <c r="E114" s="62" t="str" cm="1">
        <f t="array" ref="E114">Common_InputFunctions.Utility_DisplayArrayInTable(Fertiliser_SourceData.Fertiliser_Products_Data1(), FertiliserProducts[[#Headers],[Company]],1)</f>
        <v/>
      </c>
      <c r="F114" s="62" t="str" cm="1">
        <f t="array" ref="F114">Common_InputFunctions.Utility_DisplayArrayInTable(Fertiliser_SourceData.Fertiliser_Products_Data1(), FertiliserProducts[[#Headers],[Company]],1)</f>
        <v/>
      </c>
      <c r="G114" s="62" t="str" cm="1">
        <f t="array" ref="G114">Common_InputFunctions.Utility_DisplayArrayInTable(Fertiliser_SourceData.Fertiliser_Products_Data1(), FertiliserProducts[[#Headers],[Company]],1)</f>
        <v/>
      </c>
      <c r="H114" s="62" t="str" cm="1">
        <f t="array" ref="H114">Common_InputFunctions.Utility_DisplayArrayInTable(Fertiliser_SourceData.Fertiliser_Products_Data1(), FertiliserProducts[[#Headers],[Company]],1)</f>
        <v/>
      </c>
      <c r="I114" s="62" t="str" cm="1">
        <f t="array" ref="I114">Common_InputFunctions.Utility_DisplayArrayInTable(Fertiliser_SourceData.Fertiliser_Products_Data1(), FertiliserProducts[[#Headers],[Company]],1)</f>
        <v/>
      </c>
      <c r="J114" s="62" t="str" cm="1">
        <f t="array" ref="J114">Common_InputFunctions.Utility_DisplayArrayInTable(Fertiliser_SourceData.Fertiliser_Products_Data1(), FertiliserProducts[[#Headers],[Company]],1)</f>
        <v/>
      </c>
      <c r="K114" s="62" t="str" cm="1">
        <f t="array" ref="K114">Common_InputFunctions.Utility_DisplayArrayInTable(Fertiliser_SourceData.Fertiliser_Products_Data1(), FertiliserProducts[[#Headers],[Company]],1)</f>
        <v/>
      </c>
      <c r="L114" s="62" t="str" cm="1">
        <f t="array" ref="L114">Common_InputFunctions.Utility_DisplayArrayInTable(Fertiliser_SourceData.Fertiliser_Products_Data1(), FertiliserProducts[[#Headers],[Company]],1)</f>
        <v/>
      </c>
      <c r="M114" s="62" t="str" cm="1">
        <f t="array" ref="M114">Common_InputFunctions.Utility_DisplayArrayInTable(Fertiliser_SourceData.Fertiliser_Products_Data1(), FertiliserProducts[[#Headers],[Company]],1)</f>
        <v/>
      </c>
      <c r="N114" s="62" t="str" cm="1">
        <f t="array" ref="N114">Common_InputFunctions.Utility_DisplayArrayInTable(Fertiliser_SourceData.Fertiliser_Products_Data1(), FertiliserProducts[[#Headers],[Company]],1)</f>
        <v/>
      </c>
      <c r="O114" s="62" t="str" cm="1">
        <f t="array" ref="O114">Common_InputFunctions.Utility_DisplayArrayInTable(Fertiliser_SourceData.Fertiliser_Products_Data1(), FertiliserProducts[[#Headers],[Company]],1)</f>
        <v/>
      </c>
      <c r="P114" s="62" t="str" cm="1">
        <f t="array" ref="P114">Common_InputFunctions.Utility_DisplayArrayInTable(Fertiliser_SourceData.Fertiliser_Products_Data1(), FertiliserProducts[[#Headers],[Company]],1)</f>
        <v/>
      </c>
      <c r="Q114" s="62" t="str" cm="1">
        <f t="array" ref="Q114">Common_InputFunctions.Utility_DisplayArrayInTable(Fertiliser_SourceData.Fertiliser_Products_Data1(), FertiliserProducts[[#Headers],[Company]],1)</f>
        <v/>
      </c>
      <c r="R114" s="62" t="str" cm="1">
        <f t="array" ref="R114">Common_InputFunctions.Utility_DisplayArrayInTable(Fertiliser_SourceData.Fertiliser_Products_Data1(), FertiliserProducts[[#Headers],[Company]],1)</f>
        <v/>
      </c>
      <c r="S114" s="62" t="str" cm="1">
        <f t="array" ref="S114">Common_InputFunctions.Utility_DisplayArrayInTable(Fertiliser_SourceData.Fertiliser_Products_Data1(), FertiliserProducts[[#Headers],[Company]],1)</f>
        <v/>
      </c>
      <c r="T114" s="62" t="str" cm="1">
        <f t="array" ref="T114">Common_InputFunctions.Utility_DisplayArrayInTable(Fertiliser_SourceData.Fertiliser_Products_Data1(), FertiliserProducts[[#Headers],[Company]],1)</f>
        <v/>
      </c>
      <c r="U114" s="62" t="str" cm="1">
        <f t="array" ref="U114">Common_InputFunctions.Utility_DisplayArrayInTable(Fertiliser_SourceData.Fertiliser_Products_Data1(), FertiliserProducts[[#Headers],[Company]],1)</f>
        <v/>
      </c>
      <c r="V114" s="62" t="str" cm="1">
        <f t="array" ref="V114">Common_InputFunctions.Utility_DisplayArrayInTable(Fertiliser_SourceData.Fertiliser_Products_Data1(), FertiliserProducts[[#Headers],[Company]],1)</f>
        <v/>
      </c>
      <c r="W114" s="62" t="str" cm="1">
        <f t="array" ref="W114">Common_InputFunctions.Utility_DisplayArrayInTable(Fertiliser_SourceData.Fertiliser_Products_Data1(), FertiliserProducts[[#Headers],[Company]],1)</f>
        <v/>
      </c>
      <c r="X114" s="62" t="str" cm="1">
        <f t="array" ref="X114">Common_InputFunctions.Utility_DisplayArrayInTable(Fertiliser_SourceData.Fertiliser_Products_Data1(), FertiliserProducts[[#Headers],[Company]],1)</f>
        <v/>
      </c>
      <c r="Y114" s="62" t="str" cm="1">
        <f t="array" ref="Y114">Common_InputFunctions.Utility_DisplayArrayInTable(Fertiliser_SourceData.Fertiliser_Products_Data1(), FertiliserProducts[[#Headers],[Company]],1)</f>
        <v/>
      </c>
      <c r="Z114" s="62" t="str" cm="1">
        <f t="array" ref="Z114">Common_InputFunctions.Utility_DisplayArrayInTable(Fertiliser_SourceData.Fertiliser_Products_Data1(), FertiliserProducts[[#Headers],[Company]],1)</f>
        <v/>
      </c>
      <c r="AA114" s="62" t="str" cm="1">
        <f t="array" ref="AA114">Common_InputFunctions.Utility_DisplayArrayInTable(Fertiliser_SourceData.Fertiliser_Products_Data1(), FertiliserProducts[[#Headers],[Company]],1)</f>
        <v/>
      </c>
      <c r="AB114" s="62" t="str" cm="1">
        <f t="array" ref="AB114">Common_InputFunctions.Utility_DisplayArrayInTable(Fertiliser_SourceData.Fertiliser_Products_Data1(), FertiliserProducts[[#Headers],[Company]],1)</f>
        <v/>
      </c>
      <c r="AC114" s="62" t="str" cm="1">
        <f t="array" ref="AC114">Common_InputFunctions.Utility_DisplayArrayInTable(Fertiliser_SourceData.Fertiliser_Products_Data1(), FertiliserProducts[[#Headers],[Company]],1)</f>
        <v/>
      </c>
      <c r="AD114" s="62" t="str" cm="1">
        <f t="array" ref="AD114">Common_InputFunctions.Utility_DisplayArrayInTable(Fertiliser_SourceData.Fertiliser_Products_Data1(), FertiliserProducts[[#Headers],[Company]],1)</f>
        <v/>
      </c>
      <c r="AE114" s="62" t="str" cm="1">
        <f t="array" ref="AE114">Common_InputFunctions.Utility_DisplayArrayInTable(Fertiliser_SourceData.Fertiliser_Products_Data1(), FertiliserProducts[[#Headers],[Company]],1)</f>
        <v/>
      </c>
      <c r="AF114" s="62" t="str" cm="1">
        <f t="array" ref="AF114">Common_InputFunctions.Utility_DisplayArrayInTable(Fertiliser_SourceData.Fertiliser_Products_Data1(), FertiliserProducts[[#Headers],[Company]],1)</f>
        <v/>
      </c>
      <c r="AG114" s="62" t="str" cm="1">
        <f t="array" ref="AG114">Common_InputFunctions.Utility_DisplayArrayInTable(Fertiliser_SourceData.Fertiliser_Products_Data1(), FertiliserProducts[[#Headers],[Company]],1)</f>
        <v/>
      </c>
      <c r="AH114" s="62" t="str" cm="1">
        <f t="array" ref="AH114">Common_InputFunctions.Utility_DisplayArrayInTable(Fertiliser_SourceData.Fertiliser_Products_Data1(), FertiliserProducts[[#Headers],[Company]],1)</f>
        <v/>
      </c>
      <c r="AK114" s="8"/>
      <c r="AL114" s="8"/>
      <c r="AM114" s="8"/>
    </row>
    <row r="115" spans="1:39" ht="20.100000000000001" customHeight="1" x14ac:dyDescent="0.25">
      <c r="A115"/>
      <c r="D115" s="62" t="str" cm="1">
        <f t="array" ref="D115">Common_InputFunctions.Utility_DisplayArrayInTable(Fertiliser_SourceData.Fertiliser_Products_Data1(), FertiliserProducts[[#Headers],[Company]],1)</f>
        <v/>
      </c>
      <c r="E115" s="62" t="str" cm="1">
        <f t="array" ref="E115">Common_InputFunctions.Utility_DisplayArrayInTable(Fertiliser_SourceData.Fertiliser_Products_Data1(), FertiliserProducts[[#Headers],[Company]],1)</f>
        <v/>
      </c>
      <c r="F115" s="62" t="str" cm="1">
        <f t="array" ref="F115">Common_InputFunctions.Utility_DisplayArrayInTable(Fertiliser_SourceData.Fertiliser_Products_Data1(), FertiliserProducts[[#Headers],[Company]],1)</f>
        <v/>
      </c>
      <c r="G115" s="62" t="str" cm="1">
        <f t="array" ref="G115">Common_InputFunctions.Utility_DisplayArrayInTable(Fertiliser_SourceData.Fertiliser_Products_Data1(), FertiliserProducts[[#Headers],[Company]],1)</f>
        <v/>
      </c>
      <c r="H115" s="62" t="str" cm="1">
        <f t="array" ref="H115">Common_InputFunctions.Utility_DisplayArrayInTable(Fertiliser_SourceData.Fertiliser_Products_Data1(), FertiliserProducts[[#Headers],[Company]],1)</f>
        <v/>
      </c>
      <c r="I115" s="62" t="str" cm="1">
        <f t="array" ref="I115">Common_InputFunctions.Utility_DisplayArrayInTable(Fertiliser_SourceData.Fertiliser_Products_Data1(), FertiliserProducts[[#Headers],[Company]],1)</f>
        <v/>
      </c>
      <c r="J115" s="62" t="str" cm="1">
        <f t="array" ref="J115">Common_InputFunctions.Utility_DisplayArrayInTable(Fertiliser_SourceData.Fertiliser_Products_Data1(), FertiliserProducts[[#Headers],[Company]],1)</f>
        <v/>
      </c>
      <c r="K115" s="62" t="str" cm="1">
        <f t="array" ref="K115">Common_InputFunctions.Utility_DisplayArrayInTable(Fertiliser_SourceData.Fertiliser_Products_Data1(), FertiliserProducts[[#Headers],[Company]],1)</f>
        <v/>
      </c>
      <c r="L115" s="62" t="str" cm="1">
        <f t="array" ref="L115">Common_InputFunctions.Utility_DisplayArrayInTable(Fertiliser_SourceData.Fertiliser_Products_Data1(), FertiliserProducts[[#Headers],[Company]],1)</f>
        <v/>
      </c>
      <c r="M115" s="62" t="str" cm="1">
        <f t="array" ref="M115">Common_InputFunctions.Utility_DisplayArrayInTable(Fertiliser_SourceData.Fertiliser_Products_Data1(), FertiliserProducts[[#Headers],[Company]],1)</f>
        <v/>
      </c>
      <c r="N115" s="62" t="str" cm="1">
        <f t="array" ref="N115">Common_InputFunctions.Utility_DisplayArrayInTable(Fertiliser_SourceData.Fertiliser_Products_Data1(), FertiliserProducts[[#Headers],[Company]],1)</f>
        <v/>
      </c>
      <c r="O115" s="62" t="str" cm="1">
        <f t="array" ref="O115">Common_InputFunctions.Utility_DisplayArrayInTable(Fertiliser_SourceData.Fertiliser_Products_Data1(), FertiliserProducts[[#Headers],[Company]],1)</f>
        <v/>
      </c>
      <c r="P115" s="62" t="str" cm="1">
        <f t="array" ref="P115">Common_InputFunctions.Utility_DisplayArrayInTable(Fertiliser_SourceData.Fertiliser_Products_Data1(), FertiliserProducts[[#Headers],[Company]],1)</f>
        <v/>
      </c>
      <c r="Q115" s="62" t="str" cm="1">
        <f t="array" ref="Q115">Common_InputFunctions.Utility_DisplayArrayInTable(Fertiliser_SourceData.Fertiliser_Products_Data1(), FertiliserProducts[[#Headers],[Company]],1)</f>
        <v/>
      </c>
      <c r="R115" s="62" t="str" cm="1">
        <f t="array" ref="R115">Common_InputFunctions.Utility_DisplayArrayInTable(Fertiliser_SourceData.Fertiliser_Products_Data1(), FertiliserProducts[[#Headers],[Company]],1)</f>
        <v/>
      </c>
      <c r="S115" s="62" t="str" cm="1">
        <f t="array" ref="S115">Common_InputFunctions.Utility_DisplayArrayInTable(Fertiliser_SourceData.Fertiliser_Products_Data1(), FertiliserProducts[[#Headers],[Company]],1)</f>
        <v/>
      </c>
      <c r="T115" s="62" t="str" cm="1">
        <f t="array" ref="T115">Common_InputFunctions.Utility_DisplayArrayInTable(Fertiliser_SourceData.Fertiliser_Products_Data1(), FertiliserProducts[[#Headers],[Company]],1)</f>
        <v/>
      </c>
      <c r="U115" s="62" t="str" cm="1">
        <f t="array" ref="U115">Common_InputFunctions.Utility_DisplayArrayInTable(Fertiliser_SourceData.Fertiliser_Products_Data1(), FertiliserProducts[[#Headers],[Company]],1)</f>
        <v/>
      </c>
      <c r="V115" s="62" t="str" cm="1">
        <f t="array" ref="V115">Common_InputFunctions.Utility_DisplayArrayInTable(Fertiliser_SourceData.Fertiliser_Products_Data1(), FertiliserProducts[[#Headers],[Company]],1)</f>
        <v/>
      </c>
      <c r="W115" s="62" t="str" cm="1">
        <f t="array" ref="W115">Common_InputFunctions.Utility_DisplayArrayInTable(Fertiliser_SourceData.Fertiliser_Products_Data1(), FertiliserProducts[[#Headers],[Company]],1)</f>
        <v/>
      </c>
      <c r="X115" s="62" t="str" cm="1">
        <f t="array" ref="X115">Common_InputFunctions.Utility_DisplayArrayInTable(Fertiliser_SourceData.Fertiliser_Products_Data1(), FertiliserProducts[[#Headers],[Company]],1)</f>
        <v/>
      </c>
      <c r="Y115" s="62" t="str" cm="1">
        <f t="array" ref="Y115">Common_InputFunctions.Utility_DisplayArrayInTable(Fertiliser_SourceData.Fertiliser_Products_Data1(), FertiliserProducts[[#Headers],[Company]],1)</f>
        <v/>
      </c>
      <c r="Z115" s="62" t="str" cm="1">
        <f t="array" ref="Z115">Common_InputFunctions.Utility_DisplayArrayInTable(Fertiliser_SourceData.Fertiliser_Products_Data1(), FertiliserProducts[[#Headers],[Company]],1)</f>
        <v/>
      </c>
      <c r="AA115" s="62" t="str" cm="1">
        <f t="array" ref="AA115">Common_InputFunctions.Utility_DisplayArrayInTable(Fertiliser_SourceData.Fertiliser_Products_Data1(), FertiliserProducts[[#Headers],[Company]],1)</f>
        <v/>
      </c>
      <c r="AB115" s="62" t="str" cm="1">
        <f t="array" ref="AB115">Common_InputFunctions.Utility_DisplayArrayInTable(Fertiliser_SourceData.Fertiliser_Products_Data1(), FertiliserProducts[[#Headers],[Company]],1)</f>
        <v/>
      </c>
      <c r="AC115" s="62" t="str" cm="1">
        <f t="array" ref="AC115">Common_InputFunctions.Utility_DisplayArrayInTable(Fertiliser_SourceData.Fertiliser_Products_Data1(), FertiliserProducts[[#Headers],[Company]],1)</f>
        <v/>
      </c>
      <c r="AD115" s="62" t="str" cm="1">
        <f t="array" ref="AD115">Common_InputFunctions.Utility_DisplayArrayInTable(Fertiliser_SourceData.Fertiliser_Products_Data1(), FertiliserProducts[[#Headers],[Company]],1)</f>
        <v/>
      </c>
      <c r="AE115" s="62" t="str" cm="1">
        <f t="array" ref="AE115">Common_InputFunctions.Utility_DisplayArrayInTable(Fertiliser_SourceData.Fertiliser_Products_Data1(), FertiliserProducts[[#Headers],[Company]],1)</f>
        <v/>
      </c>
      <c r="AF115" s="62" t="str" cm="1">
        <f t="array" ref="AF115">Common_InputFunctions.Utility_DisplayArrayInTable(Fertiliser_SourceData.Fertiliser_Products_Data1(), FertiliserProducts[[#Headers],[Company]],1)</f>
        <v/>
      </c>
      <c r="AG115" s="62" t="str" cm="1">
        <f t="array" ref="AG115">Common_InputFunctions.Utility_DisplayArrayInTable(Fertiliser_SourceData.Fertiliser_Products_Data1(), FertiliserProducts[[#Headers],[Company]],1)</f>
        <v/>
      </c>
      <c r="AH115" s="62" t="str" cm="1">
        <f t="array" ref="AH115">Common_InputFunctions.Utility_DisplayArrayInTable(Fertiliser_SourceData.Fertiliser_Products_Data1(), FertiliserProducts[[#Headers],[Company]],1)</f>
        <v/>
      </c>
      <c r="AK115" s="8"/>
      <c r="AL115" s="8"/>
      <c r="AM115" s="8"/>
    </row>
    <row r="116" spans="1:39" ht="20.100000000000001" customHeight="1" x14ac:dyDescent="0.25">
      <c r="A116"/>
      <c r="D116" s="62" t="str" cm="1">
        <f t="array" ref="D116">Common_InputFunctions.Utility_DisplayArrayInTable(Fertiliser_SourceData.Fertiliser_Products_Data1(), FertiliserProducts[[#Headers],[Company]],1)</f>
        <v/>
      </c>
      <c r="E116" s="62" t="str" cm="1">
        <f t="array" ref="E116">Common_InputFunctions.Utility_DisplayArrayInTable(Fertiliser_SourceData.Fertiliser_Products_Data1(), FertiliserProducts[[#Headers],[Company]],1)</f>
        <v/>
      </c>
      <c r="F116" s="62" t="str" cm="1">
        <f t="array" ref="F116">Common_InputFunctions.Utility_DisplayArrayInTable(Fertiliser_SourceData.Fertiliser_Products_Data1(), FertiliserProducts[[#Headers],[Company]],1)</f>
        <v/>
      </c>
      <c r="G116" s="62" t="str" cm="1">
        <f t="array" ref="G116">Common_InputFunctions.Utility_DisplayArrayInTable(Fertiliser_SourceData.Fertiliser_Products_Data1(), FertiliserProducts[[#Headers],[Company]],1)</f>
        <v/>
      </c>
      <c r="H116" s="62" t="str" cm="1">
        <f t="array" ref="H116">Common_InputFunctions.Utility_DisplayArrayInTable(Fertiliser_SourceData.Fertiliser_Products_Data1(), FertiliserProducts[[#Headers],[Company]],1)</f>
        <v/>
      </c>
      <c r="I116" s="62" t="str" cm="1">
        <f t="array" ref="I116">Common_InputFunctions.Utility_DisplayArrayInTable(Fertiliser_SourceData.Fertiliser_Products_Data1(), FertiliserProducts[[#Headers],[Company]],1)</f>
        <v/>
      </c>
      <c r="J116" s="62" t="str" cm="1">
        <f t="array" ref="J116">Common_InputFunctions.Utility_DisplayArrayInTable(Fertiliser_SourceData.Fertiliser_Products_Data1(), FertiliserProducts[[#Headers],[Company]],1)</f>
        <v/>
      </c>
      <c r="K116" s="62" t="str" cm="1">
        <f t="array" ref="K116">Common_InputFunctions.Utility_DisplayArrayInTable(Fertiliser_SourceData.Fertiliser_Products_Data1(), FertiliserProducts[[#Headers],[Company]],1)</f>
        <v/>
      </c>
      <c r="L116" s="62" t="str" cm="1">
        <f t="array" ref="L116">Common_InputFunctions.Utility_DisplayArrayInTable(Fertiliser_SourceData.Fertiliser_Products_Data1(), FertiliserProducts[[#Headers],[Company]],1)</f>
        <v/>
      </c>
      <c r="M116" s="62" t="str" cm="1">
        <f t="array" ref="M116">Common_InputFunctions.Utility_DisplayArrayInTable(Fertiliser_SourceData.Fertiliser_Products_Data1(), FertiliserProducts[[#Headers],[Company]],1)</f>
        <v/>
      </c>
      <c r="N116" s="62" t="str" cm="1">
        <f t="array" ref="N116">Common_InputFunctions.Utility_DisplayArrayInTable(Fertiliser_SourceData.Fertiliser_Products_Data1(), FertiliserProducts[[#Headers],[Company]],1)</f>
        <v/>
      </c>
      <c r="O116" s="62" t="str" cm="1">
        <f t="array" ref="O116">Common_InputFunctions.Utility_DisplayArrayInTable(Fertiliser_SourceData.Fertiliser_Products_Data1(), FertiliserProducts[[#Headers],[Company]],1)</f>
        <v/>
      </c>
      <c r="P116" s="62" t="str" cm="1">
        <f t="array" ref="P116">Common_InputFunctions.Utility_DisplayArrayInTable(Fertiliser_SourceData.Fertiliser_Products_Data1(), FertiliserProducts[[#Headers],[Company]],1)</f>
        <v/>
      </c>
      <c r="Q116" s="62" t="str" cm="1">
        <f t="array" ref="Q116">Common_InputFunctions.Utility_DisplayArrayInTable(Fertiliser_SourceData.Fertiliser_Products_Data1(), FertiliserProducts[[#Headers],[Company]],1)</f>
        <v/>
      </c>
      <c r="R116" s="62" t="str" cm="1">
        <f t="array" ref="R116">Common_InputFunctions.Utility_DisplayArrayInTable(Fertiliser_SourceData.Fertiliser_Products_Data1(), FertiliserProducts[[#Headers],[Company]],1)</f>
        <v/>
      </c>
      <c r="S116" s="62" t="str" cm="1">
        <f t="array" ref="S116">Common_InputFunctions.Utility_DisplayArrayInTable(Fertiliser_SourceData.Fertiliser_Products_Data1(), FertiliserProducts[[#Headers],[Company]],1)</f>
        <v/>
      </c>
      <c r="T116" s="62" t="str" cm="1">
        <f t="array" ref="T116">Common_InputFunctions.Utility_DisplayArrayInTable(Fertiliser_SourceData.Fertiliser_Products_Data1(), FertiliserProducts[[#Headers],[Company]],1)</f>
        <v/>
      </c>
      <c r="U116" s="62" t="str" cm="1">
        <f t="array" ref="U116">Common_InputFunctions.Utility_DisplayArrayInTable(Fertiliser_SourceData.Fertiliser_Products_Data1(), FertiliserProducts[[#Headers],[Company]],1)</f>
        <v/>
      </c>
      <c r="V116" s="62" t="str" cm="1">
        <f t="array" ref="V116">Common_InputFunctions.Utility_DisplayArrayInTable(Fertiliser_SourceData.Fertiliser_Products_Data1(), FertiliserProducts[[#Headers],[Company]],1)</f>
        <v/>
      </c>
      <c r="W116" s="62" t="str" cm="1">
        <f t="array" ref="W116">Common_InputFunctions.Utility_DisplayArrayInTable(Fertiliser_SourceData.Fertiliser_Products_Data1(), FertiliserProducts[[#Headers],[Company]],1)</f>
        <v/>
      </c>
      <c r="X116" s="62" t="str" cm="1">
        <f t="array" ref="X116">Common_InputFunctions.Utility_DisplayArrayInTable(Fertiliser_SourceData.Fertiliser_Products_Data1(), FertiliserProducts[[#Headers],[Company]],1)</f>
        <v/>
      </c>
      <c r="Y116" s="62" t="str" cm="1">
        <f t="array" ref="Y116">Common_InputFunctions.Utility_DisplayArrayInTable(Fertiliser_SourceData.Fertiliser_Products_Data1(), FertiliserProducts[[#Headers],[Company]],1)</f>
        <v/>
      </c>
      <c r="Z116" s="62" t="str" cm="1">
        <f t="array" ref="Z116">Common_InputFunctions.Utility_DisplayArrayInTable(Fertiliser_SourceData.Fertiliser_Products_Data1(), FertiliserProducts[[#Headers],[Company]],1)</f>
        <v/>
      </c>
      <c r="AA116" s="62" t="str" cm="1">
        <f t="array" ref="AA116">Common_InputFunctions.Utility_DisplayArrayInTable(Fertiliser_SourceData.Fertiliser_Products_Data1(), FertiliserProducts[[#Headers],[Company]],1)</f>
        <v/>
      </c>
      <c r="AB116" s="62" t="str" cm="1">
        <f t="array" ref="AB116">Common_InputFunctions.Utility_DisplayArrayInTable(Fertiliser_SourceData.Fertiliser_Products_Data1(), FertiliserProducts[[#Headers],[Company]],1)</f>
        <v/>
      </c>
      <c r="AC116" s="62" t="str" cm="1">
        <f t="array" ref="AC116">Common_InputFunctions.Utility_DisplayArrayInTable(Fertiliser_SourceData.Fertiliser_Products_Data1(), FertiliserProducts[[#Headers],[Company]],1)</f>
        <v/>
      </c>
      <c r="AD116" s="62" t="str" cm="1">
        <f t="array" ref="AD116">Common_InputFunctions.Utility_DisplayArrayInTable(Fertiliser_SourceData.Fertiliser_Products_Data1(), FertiliserProducts[[#Headers],[Company]],1)</f>
        <v/>
      </c>
      <c r="AE116" s="62" t="str" cm="1">
        <f t="array" ref="AE116">Common_InputFunctions.Utility_DisplayArrayInTable(Fertiliser_SourceData.Fertiliser_Products_Data1(), FertiliserProducts[[#Headers],[Company]],1)</f>
        <v/>
      </c>
      <c r="AF116" s="62" t="str" cm="1">
        <f t="array" ref="AF116">Common_InputFunctions.Utility_DisplayArrayInTable(Fertiliser_SourceData.Fertiliser_Products_Data1(), FertiliserProducts[[#Headers],[Company]],1)</f>
        <v/>
      </c>
      <c r="AG116" s="62" t="str" cm="1">
        <f t="array" ref="AG116">Common_InputFunctions.Utility_DisplayArrayInTable(Fertiliser_SourceData.Fertiliser_Products_Data1(), FertiliserProducts[[#Headers],[Company]],1)</f>
        <v/>
      </c>
      <c r="AH116" s="62" t="str" cm="1">
        <f t="array" ref="AH116">Common_InputFunctions.Utility_DisplayArrayInTable(Fertiliser_SourceData.Fertiliser_Products_Data1(), FertiliserProducts[[#Headers],[Company]],1)</f>
        <v/>
      </c>
      <c r="AK116" s="8"/>
      <c r="AL116" s="8"/>
      <c r="AM116" s="8"/>
    </row>
    <row r="117" spans="1:39" ht="20.100000000000001" customHeight="1" x14ac:dyDescent="0.25">
      <c r="A117"/>
      <c r="D117" s="62" t="str" cm="1">
        <f t="array" ref="D117">Common_InputFunctions.Utility_DisplayArrayInTable(Fertiliser_SourceData.Fertiliser_Products_Data1(), FertiliserProducts[[#Headers],[Company]],1)</f>
        <v/>
      </c>
      <c r="E117" s="62" t="str" cm="1">
        <f t="array" ref="E117">Common_InputFunctions.Utility_DisplayArrayInTable(Fertiliser_SourceData.Fertiliser_Products_Data1(), FertiliserProducts[[#Headers],[Company]],1)</f>
        <v/>
      </c>
      <c r="F117" s="62" t="str" cm="1">
        <f t="array" ref="F117">Common_InputFunctions.Utility_DisplayArrayInTable(Fertiliser_SourceData.Fertiliser_Products_Data1(), FertiliserProducts[[#Headers],[Company]],1)</f>
        <v/>
      </c>
      <c r="G117" s="62" t="str" cm="1">
        <f t="array" ref="G117">Common_InputFunctions.Utility_DisplayArrayInTable(Fertiliser_SourceData.Fertiliser_Products_Data1(), FertiliserProducts[[#Headers],[Company]],1)</f>
        <v/>
      </c>
      <c r="H117" s="62" t="str" cm="1">
        <f t="array" ref="H117">Common_InputFunctions.Utility_DisplayArrayInTable(Fertiliser_SourceData.Fertiliser_Products_Data1(), FertiliserProducts[[#Headers],[Company]],1)</f>
        <v/>
      </c>
      <c r="I117" s="62" t="str" cm="1">
        <f t="array" ref="I117">Common_InputFunctions.Utility_DisplayArrayInTable(Fertiliser_SourceData.Fertiliser_Products_Data1(), FertiliserProducts[[#Headers],[Company]],1)</f>
        <v/>
      </c>
      <c r="J117" s="62" t="str" cm="1">
        <f t="array" ref="J117">Common_InputFunctions.Utility_DisplayArrayInTable(Fertiliser_SourceData.Fertiliser_Products_Data1(), FertiliserProducts[[#Headers],[Company]],1)</f>
        <v/>
      </c>
      <c r="K117" s="62" t="str" cm="1">
        <f t="array" ref="K117">Common_InputFunctions.Utility_DisplayArrayInTable(Fertiliser_SourceData.Fertiliser_Products_Data1(), FertiliserProducts[[#Headers],[Company]],1)</f>
        <v/>
      </c>
      <c r="L117" s="62" t="str" cm="1">
        <f t="array" ref="L117">Common_InputFunctions.Utility_DisplayArrayInTable(Fertiliser_SourceData.Fertiliser_Products_Data1(), FertiliserProducts[[#Headers],[Company]],1)</f>
        <v/>
      </c>
      <c r="M117" s="62" t="str" cm="1">
        <f t="array" ref="M117">Common_InputFunctions.Utility_DisplayArrayInTable(Fertiliser_SourceData.Fertiliser_Products_Data1(), FertiliserProducts[[#Headers],[Company]],1)</f>
        <v/>
      </c>
      <c r="N117" s="62" t="str" cm="1">
        <f t="array" ref="N117">Common_InputFunctions.Utility_DisplayArrayInTable(Fertiliser_SourceData.Fertiliser_Products_Data1(), FertiliserProducts[[#Headers],[Company]],1)</f>
        <v/>
      </c>
      <c r="O117" s="62" t="str" cm="1">
        <f t="array" ref="O117">Common_InputFunctions.Utility_DisplayArrayInTable(Fertiliser_SourceData.Fertiliser_Products_Data1(), FertiliserProducts[[#Headers],[Company]],1)</f>
        <v/>
      </c>
      <c r="P117" s="62" t="str" cm="1">
        <f t="array" ref="P117">Common_InputFunctions.Utility_DisplayArrayInTable(Fertiliser_SourceData.Fertiliser_Products_Data1(), FertiliserProducts[[#Headers],[Company]],1)</f>
        <v/>
      </c>
      <c r="Q117" s="62" t="str" cm="1">
        <f t="array" ref="Q117">Common_InputFunctions.Utility_DisplayArrayInTable(Fertiliser_SourceData.Fertiliser_Products_Data1(), FertiliserProducts[[#Headers],[Company]],1)</f>
        <v/>
      </c>
      <c r="R117" s="62" t="str" cm="1">
        <f t="array" ref="R117">Common_InputFunctions.Utility_DisplayArrayInTable(Fertiliser_SourceData.Fertiliser_Products_Data1(), FertiliserProducts[[#Headers],[Company]],1)</f>
        <v/>
      </c>
      <c r="S117" s="62" t="str" cm="1">
        <f t="array" ref="S117">Common_InputFunctions.Utility_DisplayArrayInTable(Fertiliser_SourceData.Fertiliser_Products_Data1(), FertiliserProducts[[#Headers],[Company]],1)</f>
        <v/>
      </c>
      <c r="T117" s="62" t="str" cm="1">
        <f t="array" ref="T117">Common_InputFunctions.Utility_DisplayArrayInTable(Fertiliser_SourceData.Fertiliser_Products_Data1(), FertiliserProducts[[#Headers],[Company]],1)</f>
        <v/>
      </c>
      <c r="U117" s="62" t="str" cm="1">
        <f t="array" ref="U117">Common_InputFunctions.Utility_DisplayArrayInTable(Fertiliser_SourceData.Fertiliser_Products_Data1(), FertiliserProducts[[#Headers],[Company]],1)</f>
        <v/>
      </c>
      <c r="V117" s="62" t="str" cm="1">
        <f t="array" ref="V117">Common_InputFunctions.Utility_DisplayArrayInTable(Fertiliser_SourceData.Fertiliser_Products_Data1(), FertiliserProducts[[#Headers],[Company]],1)</f>
        <v/>
      </c>
      <c r="W117" s="62" t="str" cm="1">
        <f t="array" ref="W117">Common_InputFunctions.Utility_DisplayArrayInTable(Fertiliser_SourceData.Fertiliser_Products_Data1(), FertiliserProducts[[#Headers],[Company]],1)</f>
        <v/>
      </c>
      <c r="X117" s="62" t="str" cm="1">
        <f t="array" ref="X117">Common_InputFunctions.Utility_DisplayArrayInTable(Fertiliser_SourceData.Fertiliser_Products_Data1(), FertiliserProducts[[#Headers],[Company]],1)</f>
        <v/>
      </c>
      <c r="Y117" s="62" t="str" cm="1">
        <f t="array" ref="Y117">Common_InputFunctions.Utility_DisplayArrayInTable(Fertiliser_SourceData.Fertiliser_Products_Data1(), FertiliserProducts[[#Headers],[Company]],1)</f>
        <v/>
      </c>
      <c r="Z117" s="62" t="str" cm="1">
        <f t="array" ref="Z117">Common_InputFunctions.Utility_DisplayArrayInTable(Fertiliser_SourceData.Fertiliser_Products_Data1(), FertiliserProducts[[#Headers],[Company]],1)</f>
        <v/>
      </c>
      <c r="AA117" s="62" t="str" cm="1">
        <f t="array" ref="AA117">Common_InputFunctions.Utility_DisplayArrayInTable(Fertiliser_SourceData.Fertiliser_Products_Data1(), FertiliserProducts[[#Headers],[Company]],1)</f>
        <v/>
      </c>
      <c r="AB117" s="62" t="str" cm="1">
        <f t="array" ref="AB117">Common_InputFunctions.Utility_DisplayArrayInTable(Fertiliser_SourceData.Fertiliser_Products_Data1(), FertiliserProducts[[#Headers],[Company]],1)</f>
        <v/>
      </c>
      <c r="AC117" s="62" t="str" cm="1">
        <f t="array" ref="AC117">Common_InputFunctions.Utility_DisplayArrayInTable(Fertiliser_SourceData.Fertiliser_Products_Data1(), FertiliserProducts[[#Headers],[Company]],1)</f>
        <v/>
      </c>
      <c r="AD117" s="62" t="str" cm="1">
        <f t="array" ref="AD117">Common_InputFunctions.Utility_DisplayArrayInTable(Fertiliser_SourceData.Fertiliser_Products_Data1(), FertiliserProducts[[#Headers],[Company]],1)</f>
        <v/>
      </c>
      <c r="AE117" s="62" t="str" cm="1">
        <f t="array" ref="AE117">Common_InputFunctions.Utility_DisplayArrayInTable(Fertiliser_SourceData.Fertiliser_Products_Data1(), FertiliserProducts[[#Headers],[Company]],1)</f>
        <v/>
      </c>
      <c r="AF117" s="62" t="str" cm="1">
        <f t="array" ref="AF117">Common_InputFunctions.Utility_DisplayArrayInTable(Fertiliser_SourceData.Fertiliser_Products_Data1(), FertiliserProducts[[#Headers],[Company]],1)</f>
        <v/>
      </c>
      <c r="AG117" s="62" t="str" cm="1">
        <f t="array" ref="AG117">Common_InputFunctions.Utility_DisplayArrayInTable(Fertiliser_SourceData.Fertiliser_Products_Data1(), FertiliserProducts[[#Headers],[Company]],1)</f>
        <v/>
      </c>
      <c r="AH117" s="62" t="str" cm="1">
        <f t="array" ref="AH117">Common_InputFunctions.Utility_DisplayArrayInTable(Fertiliser_SourceData.Fertiliser_Products_Data1(), FertiliserProducts[[#Headers],[Company]],1)</f>
        <v/>
      </c>
      <c r="AK117" s="8"/>
      <c r="AL117" s="8"/>
      <c r="AM117" s="8"/>
    </row>
    <row r="118" spans="1:39" ht="20.100000000000001" customHeight="1" x14ac:dyDescent="0.25">
      <c r="A118"/>
      <c r="D118" s="62" t="str" cm="1">
        <f t="array" ref="D118">Common_InputFunctions.Utility_DisplayArrayInTable(Fertiliser_SourceData.Fertiliser_Products_Data1(), FertiliserProducts[[#Headers],[Company]],1)</f>
        <v/>
      </c>
      <c r="E118" s="62" t="str" cm="1">
        <f t="array" ref="E118">Common_InputFunctions.Utility_DisplayArrayInTable(Fertiliser_SourceData.Fertiliser_Products_Data1(), FertiliserProducts[[#Headers],[Company]],1)</f>
        <v/>
      </c>
      <c r="F118" s="62" t="str" cm="1">
        <f t="array" ref="F118">Common_InputFunctions.Utility_DisplayArrayInTable(Fertiliser_SourceData.Fertiliser_Products_Data1(), FertiliserProducts[[#Headers],[Company]],1)</f>
        <v/>
      </c>
      <c r="G118" s="62" t="str" cm="1">
        <f t="array" ref="G118">Common_InputFunctions.Utility_DisplayArrayInTable(Fertiliser_SourceData.Fertiliser_Products_Data1(), FertiliserProducts[[#Headers],[Company]],1)</f>
        <v/>
      </c>
      <c r="H118" s="62" t="str" cm="1">
        <f t="array" ref="H118">Common_InputFunctions.Utility_DisplayArrayInTable(Fertiliser_SourceData.Fertiliser_Products_Data1(), FertiliserProducts[[#Headers],[Company]],1)</f>
        <v/>
      </c>
      <c r="I118" s="62" t="str" cm="1">
        <f t="array" ref="I118">Common_InputFunctions.Utility_DisplayArrayInTable(Fertiliser_SourceData.Fertiliser_Products_Data1(), FertiliserProducts[[#Headers],[Company]],1)</f>
        <v/>
      </c>
      <c r="J118" s="62" t="str" cm="1">
        <f t="array" ref="J118">Common_InputFunctions.Utility_DisplayArrayInTable(Fertiliser_SourceData.Fertiliser_Products_Data1(), FertiliserProducts[[#Headers],[Company]],1)</f>
        <v/>
      </c>
      <c r="K118" s="62" t="str" cm="1">
        <f t="array" ref="K118">Common_InputFunctions.Utility_DisplayArrayInTable(Fertiliser_SourceData.Fertiliser_Products_Data1(), FertiliserProducts[[#Headers],[Company]],1)</f>
        <v/>
      </c>
      <c r="L118" s="62" t="str" cm="1">
        <f t="array" ref="L118">Common_InputFunctions.Utility_DisplayArrayInTable(Fertiliser_SourceData.Fertiliser_Products_Data1(), FertiliserProducts[[#Headers],[Company]],1)</f>
        <v/>
      </c>
      <c r="M118" s="62" t="str" cm="1">
        <f t="array" ref="M118">Common_InputFunctions.Utility_DisplayArrayInTable(Fertiliser_SourceData.Fertiliser_Products_Data1(), FertiliserProducts[[#Headers],[Company]],1)</f>
        <v/>
      </c>
      <c r="N118" s="62" t="str" cm="1">
        <f t="array" ref="N118">Common_InputFunctions.Utility_DisplayArrayInTable(Fertiliser_SourceData.Fertiliser_Products_Data1(), FertiliserProducts[[#Headers],[Company]],1)</f>
        <v/>
      </c>
      <c r="O118" s="62" t="str" cm="1">
        <f t="array" ref="O118">Common_InputFunctions.Utility_DisplayArrayInTable(Fertiliser_SourceData.Fertiliser_Products_Data1(), FertiliserProducts[[#Headers],[Company]],1)</f>
        <v/>
      </c>
      <c r="P118" s="62" t="str" cm="1">
        <f t="array" ref="P118">Common_InputFunctions.Utility_DisplayArrayInTable(Fertiliser_SourceData.Fertiliser_Products_Data1(), FertiliserProducts[[#Headers],[Company]],1)</f>
        <v/>
      </c>
      <c r="Q118" s="62" t="str" cm="1">
        <f t="array" ref="Q118">Common_InputFunctions.Utility_DisplayArrayInTable(Fertiliser_SourceData.Fertiliser_Products_Data1(), FertiliserProducts[[#Headers],[Company]],1)</f>
        <v/>
      </c>
      <c r="R118" s="62" t="str" cm="1">
        <f t="array" ref="R118">Common_InputFunctions.Utility_DisplayArrayInTable(Fertiliser_SourceData.Fertiliser_Products_Data1(), FertiliserProducts[[#Headers],[Company]],1)</f>
        <v/>
      </c>
      <c r="S118" s="62" t="str" cm="1">
        <f t="array" ref="S118">Common_InputFunctions.Utility_DisplayArrayInTable(Fertiliser_SourceData.Fertiliser_Products_Data1(), FertiliserProducts[[#Headers],[Company]],1)</f>
        <v/>
      </c>
      <c r="T118" s="62" t="str" cm="1">
        <f t="array" ref="T118">Common_InputFunctions.Utility_DisplayArrayInTable(Fertiliser_SourceData.Fertiliser_Products_Data1(), FertiliserProducts[[#Headers],[Company]],1)</f>
        <v/>
      </c>
      <c r="U118" s="62" t="str" cm="1">
        <f t="array" ref="U118">Common_InputFunctions.Utility_DisplayArrayInTable(Fertiliser_SourceData.Fertiliser_Products_Data1(), FertiliserProducts[[#Headers],[Company]],1)</f>
        <v/>
      </c>
      <c r="V118" s="62" t="str" cm="1">
        <f t="array" ref="V118">Common_InputFunctions.Utility_DisplayArrayInTable(Fertiliser_SourceData.Fertiliser_Products_Data1(), FertiliserProducts[[#Headers],[Company]],1)</f>
        <v/>
      </c>
      <c r="W118" s="62" t="str" cm="1">
        <f t="array" ref="W118">Common_InputFunctions.Utility_DisplayArrayInTable(Fertiliser_SourceData.Fertiliser_Products_Data1(), FertiliserProducts[[#Headers],[Company]],1)</f>
        <v/>
      </c>
      <c r="X118" s="62" t="str" cm="1">
        <f t="array" ref="X118">Common_InputFunctions.Utility_DisplayArrayInTable(Fertiliser_SourceData.Fertiliser_Products_Data1(), FertiliserProducts[[#Headers],[Company]],1)</f>
        <v/>
      </c>
      <c r="Y118" s="62" t="str" cm="1">
        <f t="array" ref="Y118">Common_InputFunctions.Utility_DisplayArrayInTable(Fertiliser_SourceData.Fertiliser_Products_Data1(), FertiliserProducts[[#Headers],[Company]],1)</f>
        <v/>
      </c>
      <c r="Z118" s="62" t="str" cm="1">
        <f t="array" ref="Z118">Common_InputFunctions.Utility_DisplayArrayInTable(Fertiliser_SourceData.Fertiliser_Products_Data1(), FertiliserProducts[[#Headers],[Company]],1)</f>
        <v/>
      </c>
      <c r="AA118" s="62" t="str" cm="1">
        <f t="array" ref="AA118">Common_InputFunctions.Utility_DisplayArrayInTable(Fertiliser_SourceData.Fertiliser_Products_Data1(), FertiliserProducts[[#Headers],[Company]],1)</f>
        <v/>
      </c>
      <c r="AB118" s="62" t="str" cm="1">
        <f t="array" ref="AB118">Common_InputFunctions.Utility_DisplayArrayInTable(Fertiliser_SourceData.Fertiliser_Products_Data1(), FertiliserProducts[[#Headers],[Company]],1)</f>
        <v/>
      </c>
      <c r="AC118" s="62" t="str" cm="1">
        <f t="array" ref="AC118">Common_InputFunctions.Utility_DisplayArrayInTable(Fertiliser_SourceData.Fertiliser_Products_Data1(), FertiliserProducts[[#Headers],[Company]],1)</f>
        <v/>
      </c>
      <c r="AD118" s="62" t="str" cm="1">
        <f t="array" ref="AD118">Common_InputFunctions.Utility_DisplayArrayInTable(Fertiliser_SourceData.Fertiliser_Products_Data1(), FertiliserProducts[[#Headers],[Company]],1)</f>
        <v/>
      </c>
      <c r="AE118" s="62" t="str" cm="1">
        <f t="array" ref="AE118">Common_InputFunctions.Utility_DisplayArrayInTable(Fertiliser_SourceData.Fertiliser_Products_Data1(), FertiliserProducts[[#Headers],[Company]],1)</f>
        <v/>
      </c>
      <c r="AF118" s="62" t="str" cm="1">
        <f t="array" ref="AF118">Common_InputFunctions.Utility_DisplayArrayInTable(Fertiliser_SourceData.Fertiliser_Products_Data1(), FertiliserProducts[[#Headers],[Company]],1)</f>
        <v/>
      </c>
      <c r="AG118" s="62" t="str" cm="1">
        <f t="array" ref="AG118">Common_InputFunctions.Utility_DisplayArrayInTable(Fertiliser_SourceData.Fertiliser_Products_Data1(), FertiliserProducts[[#Headers],[Company]],1)</f>
        <v/>
      </c>
      <c r="AH118" s="62" t="str" cm="1">
        <f t="array" ref="AH118">Common_InputFunctions.Utility_DisplayArrayInTable(Fertiliser_SourceData.Fertiliser_Products_Data1(), FertiliserProducts[[#Headers],[Company]],1)</f>
        <v/>
      </c>
      <c r="AK118" s="8"/>
      <c r="AL118" s="8"/>
      <c r="AM118" s="8"/>
    </row>
    <row r="119" spans="1:39" ht="20.100000000000001" customHeight="1" x14ac:dyDescent="0.25">
      <c r="A119"/>
      <c r="D119" s="62" t="str" cm="1">
        <f t="array" ref="D119">Common_InputFunctions.Utility_DisplayArrayInTable(Fertiliser_SourceData.Fertiliser_Products_Data1(), FertiliserProducts[[#Headers],[Company]],1)</f>
        <v/>
      </c>
      <c r="E119" s="62" t="str" cm="1">
        <f t="array" ref="E119">Common_InputFunctions.Utility_DisplayArrayInTable(Fertiliser_SourceData.Fertiliser_Products_Data1(), FertiliserProducts[[#Headers],[Company]],1)</f>
        <v/>
      </c>
      <c r="F119" s="62" t="str" cm="1">
        <f t="array" ref="F119">Common_InputFunctions.Utility_DisplayArrayInTable(Fertiliser_SourceData.Fertiliser_Products_Data1(), FertiliserProducts[[#Headers],[Company]],1)</f>
        <v/>
      </c>
      <c r="G119" s="62" t="str" cm="1">
        <f t="array" ref="G119">Common_InputFunctions.Utility_DisplayArrayInTable(Fertiliser_SourceData.Fertiliser_Products_Data1(), FertiliserProducts[[#Headers],[Company]],1)</f>
        <v/>
      </c>
      <c r="H119" s="62" t="str" cm="1">
        <f t="array" ref="H119">Common_InputFunctions.Utility_DisplayArrayInTable(Fertiliser_SourceData.Fertiliser_Products_Data1(), FertiliserProducts[[#Headers],[Company]],1)</f>
        <v/>
      </c>
      <c r="I119" s="62" t="str" cm="1">
        <f t="array" ref="I119">Common_InputFunctions.Utility_DisplayArrayInTable(Fertiliser_SourceData.Fertiliser_Products_Data1(), FertiliserProducts[[#Headers],[Company]],1)</f>
        <v/>
      </c>
      <c r="J119" s="62" t="str" cm="1">
        <f t="array" ref="J119">Common_InputFunctions.Utility_DisplayArrayInTable(Fertiliser_SourceData.Fertiliser_Products_Data1(), FertiliserProducts[[#Headers],[Company]],1)</f>
        <v/>
      </c>
      <c r="K119" s="62" t="str" cm="1">
        <f t="array" ref="K119">Common_InputFunctions.Utility_DisplayArrayInTable(Fertiliser_SourceData.Fertiliser_Products_Data1(), FertiliserProducts[[#Headers],[Company]],1)</f>
        <v/>
      </c>
      <c r="L119" s="62" t="str" cm="1">
        <f t="array" ref="L119">Common_InputFunctions.Utility_DisplayArrayInTable(Fertiliser_SourceData.Fertiliser_Products_Data1(), FertiliserProducts[[#Headers],[Company]],1)</f>
        <v/>
      </c>
      <c r="M119" s="62" t="str" cm="1">
        <f t="array" ref="M119">Common_InputFunctions.Utility_DisplayArrayInTable(Fertiliser_SourceData.Fertiliser_Products_Data1(), FertiliserProducts[[#Headers],[Company]],1)</f>
        <v/>
      </c>
      <c r="N119" s="62" t="str" cm="1">
        <f t="array" ref="N119">Common_InputFunctions.Utility_DisplayArrayInTable(Fertiliser_SourceData.Fertiliser_Products_Data1(), FertiliserProducts[[#Headers],[Company]],1)</f>
        <v/>
      </c>
      <c r="O119" s="62" t="str" cm="1">
        <f t="array" ref="O119">Common_InputFunctions.Utility_DisplayArrayInTable(Fertiliser_SourceData.Fertiliser_Products_Data1(), FertiliserProducts[[#Headers],[Company]],1)</f>
        <v/>
      </c>
      <c r="P119" s="62" t="str" cm="1">
        <f t="array" ref="P119">Common_InputFunctions.Utility_DisplayArrayInTable(Fertiliser_SourceData.Fertiliser_Products_Data1(), FertiliserProducts[[#Headers],[Company]],1)</f>
        <v/>
      </c>
      <c r="Q119" s="62" t="str" cm="1">
        <f t="array" ref="Q119">Common_InputFunctions.Utility_DisplayArrayInTable(Fertiliser_SourceData.Fertiliser_Products_Data1(), FertiliserProducts[[#Headers],[Company]],1)</f>
        <v/>
      </c>
      <c r="R119" s="62" t="str" cm="1">
        <f t="array" ref="R119">Common_InputFunctions.Utility_DisplayArrayInTable(Fertiliser_SourceData.Fertiliser_Products_Data1(), FertiliserProducts[[#Headers],[Company]],1)</f>
        <v/>
      </c>
      <c r="S119" s="62" t="str" cm="1">
        <f t="array" ref="S119">Common_InputFunctions.Utility_DisplayArrayInTable(Fertiliser_SourceData.Fertiliser_Products_Data1(), FertiliserProducts[[#Headers],[Company]],1)</f>
        <v/>
      </c>
      <c r="T119" s="62" t="str" cm="1">
        <f t="array" ref="T119">Common_InputFunctions.Utility_DisplayArrayInTable(Fertiliser_SourceData.Fertiliser_Products_Data1(), FertiliserProducts[[#Headers],[Company]],1)</f>
        <v/>
      </c>
      <c r="U119" s="62" t="str" cm="1">
        <f t="array" ref="U119">Common_InputFunctions.Utility_DisplayArrayInTable(Fertiliser_SourceData.Fertiliser_Products_Data1(), FertiliserProducts[[#Headers],[Company]],1)</f>
        <v/>
      </c>
      <c r="V119" s="62" t="str" cm="1">
        <f t="array" ref="V119">Common_InputFunctions.Utility_DisplayArrayInTable(Fertiliser_SourceData.Fertiliser_Products_Data1(), FertiliserProducts[[#Headers],[Company]],1)</f>
        <v/>
      </c>
      <c r="W119" s="62" t="str" cm="1">
        <f t="array" ref="W119">Common_InputFunctions.Utility_DisplayArrayInTable(Fertiliser_SourceData.Fertiliser_Products_Data1(), FertiliserProducts[[#Headers],[Company]],1)</f>
        <v/>
      </c>
      <c r="X119" s="62" t="str" cm="1">
        <f t="array" ref="X119">Common_InputFunctions.Utility_DisplayArrayInTable(Fertiliser_SourceData.Fertiliser_Products_Data1(), FertiliserProducts[[#Headers],[Company]],1)</f>
        <v/>
      </c>
      <c r="Y119" s="62" t="str" cm="1">
        <f t="array" ref="Y119">Common_InputFunctions.Utility_DisplayArrayInTable(Fertiliser_SourceData.Fertiliser_Products_Data1(), FertiliserProducts[[#Headers],[Company]],1)</f>
        <v/>
      </c>
      <c r="Z119" s="62" t="str" cm="1">
        <f t="array" ref="Z119">Common_InputFunctions.Utility_DisplayArrayInTable(Fertiliser_SourceData.Fertiliser_Products_Data1(), FertiliserProducts[[#Headers],[Company]],1)</f>
        <v/>
      </c>
      <c r="AA119" s="62" t="str" cm="1">
        <f t="array" ref="AA119">Common_InputFunctions.Utility_DisplayArrayInTable(Fertiliser_SourceData.Fertiliser_Products_Data1(), FertiliserProducts[[#Headers],[Company]],1)</f>
        <v/>
      </c>
      <c r="AB119" s="62" t="str" cm="1">
        <f t="array" ref="AB119">Common_InputFunctions.Utility_DisplayArrayInTable(Fertiliser_SourceData.Fertiliser_Products_Data1(), FertiliserProducts[[#Headers],[Company]],1)</f>
        <v/>
      </c>
      <c r="AC119" s="62" t="str" cm="1">
        <f t="array" ref="AC119">Common_InputFunctions.Utility_DisplayArrayInTable(Fertiliser_SourceData.Fertiliser_Products_Data1(), FertiliserProducts[[#Headers],[Company]],1)</f>
        <v/>
      </c>
      <c r="AD119" s="62" t="str" cm="1">
        <f t="array" ref="AD119">Common_InputFunctions.Utility_DisplayArrayInTable(Fertiliser_SourceData.Fertiliser_Products_Data1(), FertiliserProducts[[#Headers],[Company]],1)</f>
        <v/>
      </c>
      <c r="AE119" s="62" t="str" cm="1">
        <f t="array" ref="AE119">Common_InputFunctions.Utility_DisplayArrayInTable(Fertiliser_SourceData.Fertiliser_Products_Data1(), FertiliserProducts[[#Headers],[Company]],1)</f>
        <v/>
      </c>
      <c r="AF119" s="62" t="str" cm="1">
        <f t="array" ref="AF119">Common_InputFunctions.Utility_DisplayArrayInTable(Fertiliser_SourceData.Fertiliser_Products_Data1(), FertiliserProducts[[#Headers],[Company]],1)</f>
        <v/>
      </c>
      <c r="AG119" s="62" t="str" cm="1">
        <f t="array" ref="AG119">Common_InputFunctions.Utility_DisplayArrayInTable(Fertiliser_SourceData.Fertiliser_Products_Data1(), FertiliserProducts[[#Headers],[Company]],1)</f>
        <v/>
      </c>
      <c r="AH119" s="62" t="str" cm="1">
        <f t="array" ref="AH119">Common_InputFunctions.Utility_DisplayArrayInTable(Fertiliser_SourceData.Fertiliser_Products_Data1(), FertiliserProducts[[#Headers],[Company]],1)</f>
        <v/>
      </c>
      <c r="AK119" s="8"/>
      <c r="AL119" s="8"/>
      <c r="AM119" s="8"/>
    </row>
    <row r="120" spans="1:39" ht="20.100000000000001" customHeight="1" x14ac:dyDescent="0.25">
      <c r="A120"/>
      <c r="D120" s="62" t="str" cm="1">
        <f t="array" ref="D120">Common_InputFunctions.Utility_DisplayArrayInTable(Fertiliser_SourceData.Fertiliser_Products_Data2(), FertiliserProducts[[#Headers],[Company]],31)</f>
        <v>Product</v>
      </c>
      <c r="E120" s="62" t="str" cm="1">
        <f t="array" ref="E120">Common_InputFunctions.Utility_DisplayArrayInTable(Fertiliser_SourceData.Fertiliser_Products_Data2(), FertiliserProducts[[#Headers],[Company]],31)</f>
        <v>Ingredient 1</v>
      </c>
      <c r="F120" s="62" t="str" cm="1">
        <f t="array" ref="F120">Common_InputFunctions.Utility_DisplayArrayInTable(Fertiliser_SourceData.Fertiliser_Products_Data2(), FertiliserProducts[[#Headers],[Company]],31)</f>
        <v>Ingredient 1 percent</v>
      </c>
      <c r="G120" s="62" t="str" cm="1">
        <f t="array" ref="G120">Common_InputFunctions.Utility_DisplayArrayInTable(Fertiliser_SourceData.Fertiliser_Products_Data2(), FertiliserProducts[[#Headers],[Company]],31)</f>
        <v>Ingredient 1 source</v>
      </c>
      <c r="H120" s="62" t="str" cm="1">
        <f t="array" ref="H120">Common_InputFunctions.Utility_DisplayArrayInTable(Fertiliser_SourceData.Fertiliser_Products_Data2(), FertiliserProducts[[#Headers],[Company]],31)</f>
        <v>Ingredient 2</v>
      </c>
      <c r="I120" s="62" t="str" cm="1">
        <f t="array" ref="I120">Common_InputFunctions.Utility_DisplayArrayInTable(Fertiliser_SourceData.Fertiliser_Products_Data2(), FertiliserProducts[[#Headers],[Company]],31)</f>
        <v>Ingredient 2 percent</v>
      </c>
      <c r="J120" s="62" t="str" cm="1">
        <f t="array" ref="J120">Common_InputFunctions.Utility_DisplayArrayInTable(Fertiliser_SourceData.Fertiliser_Products_Data2(), FertiliserProducts[[#Headers],[Company]],31)</f>
        <v>Ingredient 2 source</v>
      </c>
      <c r="K120" s="62" t="str" cm="1">
        <f t="array" ref="K120">Common_InputFunctions.Utility_DisplayArrayInTable(Fertiliser_SourceData.Fertiliser_Products_Data2(), FertiliserProducts[[#Headers],[Company]],31)</f>
        <v>Ingredient 3</v>
      </c>
      <c r="L120" s="62" t="str" cm="1">
        <f t="array" ref="L120">Common_InputFunctions.Utility_DisplayArrayInTable(Fertiliser_SourceData.Fertiliser_Products_Data2(), FertiliserProducts[[#Headers],[Company]],31)</f>
        <v>Ingredient 3 percent</v>
      </c>
      <c r="M120" s="62" t="str" cm="1">
        <f t="array" ref="M120">Common_InputFunctions.Utility_DisplayArrayInTable(Fertiliser_SourceData.Fertiliser_Products_Data2(), FertiliserProducts[[#Headers],[Company]],31)</f>
        <v>Ingredient 3 source</v>
      </c>
      <c r="N120" s="62" t="str" cm="1">
        <f t="array" ref="N120">Common_InputFunctions.Utility_DisplayArrayInTable(Fertiliser_SourceData.Fertiliser_Products_Data2(), FertiliserProducts[[#Headers],[Company]],31)</f>
        <v>Ingredient 4</v>
      </c>
      <c r="O120" s="62" t="str" cm="1">
        <f t="array" ref="O120">Common_InputFunctions.Utility_DisplayArrayInTable(Fertiliser_SourceData.Fertiliser_Products_Data2(), FertiliserProducts[[#Headers],[Company]],31)</f>
        <v>Ingredient 4 percent</v>
      </c>
      <c r="P120" s="62" t="str" cm="1">
        <f t="array" ref="P120">Common_InputFunctions.Utility_DisplayArrayInTable(Fertiliser_SourceData.Fertiliser_Products_Data2(), FertiliserProducts[[#Headers],[Company]],31)</f>
        <v>Ingredient 4 source</v>
      </c>
      <c r="Q120" s="62" t="str" cm="1">
        <f t="array" ref="Q120">Common_InputFunctions.Utility_DisplayArrayInTable(Fertiliser_SourceData.Fertiliser_Products_Data2(), FertiliserProducts[[#Headers],[Company]],31)</f>
        <v>Ingredient 5</v>
      </c>
      <c r="R120" s="62" t="str" cm="1">
        <f t="array" ref="R120">Common_InputFunctions.Utility_DisplayArrayInTable(Fertiliser_SourceData.Fertiliser_Products_Data2(), FertiliserProducts[[#Headers],[Company]],31)</f>
        <v>Ingredient 5 percent</v>
      </c>
      <c r="S120" s="62" t="str" cm="1">
        <f t="array" ref="S120">Common_InputFunctions.Utility_DisplayArrayInTable(Fertiliser_SourceData.Fertiliser_Products_Data2(), FertiliserProducts[[#Headers],[Company]],31)</f>
        <v>Ingredient 5 source</v>
      </c>
      <c r="T120" s="62" t="str" cm="1">
        <f t="array" ref="T120">Common_InputFunctions.Utility_DisplayArrayInTable(Fertiliser_SourceData.Fertiliser_Products_Data2(), FertiliserProducts[[#Headers],[Company]],31)</f>
        <v>Ingredient 6</v>
      </c>
      <c r="U120" s="62" t="str" cm="1">
        <f t="array" ref="U120">Common_InputFunctions.Utility_DisplayArrayInTable(Fertiliser_SourceData.Fertiliser_Products_Data2(), FertiliserProducts[[#Headers],[Company]],31)</f>
        <v>Ingredient 6 percent</v>
      </c>
      <c r="V120" s="62" t="str" cm="1">
        <f t="array" ref="V120">Common_InputFunctions.Utility_DisplayArrayInTable(Fertiliser_SourceData.Fertiliser_Products_Data2(), FertiliserProducts[[#Headers],[Company]],31)</f>
        <v>Ingredient 6 source</v>
      </c>
      <c r="W120" s="62" t="str" cm="1">
        <f t="array" ref="W120">Common_InputFunctions.Utility_DisplayArrayInTable(Fertiliser_SourceData.Fertiliser_Products_Data2(), FertiliserProducts[[#Headers],[Company]],31)</f>
        <v>Product info link</v>
      </c>
      <c r="X120" s="62" t="str" cm="1">
        <f t="array" ref="X120">Common_InputFunctions.Utility_DisplayArrayInTable(Fertiliser_SourceData.Fertiliser_Products_Data2(), FertiliserProducts[[#Headers],[Company]],31)</f>
        <v/>
      </c>
      <c r="Y120" s="62" t="str" cm="1">
        <f t="array" ref="Y120">Common_InputFunctions.Utility_DisplayArrayInTable(Fertiliser_SourceData.Fertiliser_Products_Data2(), FertiliserProducts[[#Headers],[Company]],31)</f>
        <v/>
      </c>
      <c r="Z120" s="62" t="str" cm="1">
        <f t="array" ref="Z120">Common_InputFunctions.Utility_DisplayArrayInTable(Fertiliser_SourceData.Fertiliser_Products_Data2(), FertiliserProducts[[#Headers],[Company]],31)</f>
        <v/>
      </c>
      <c r="AA120" s="62" t="str" cm="1">
        <f t="array" ref="AA120">Common_InputFunctions.Utility_DisplayArrayInTable(Fertiliser_SourceData.Fertiliser_Products_Data2(), FertiliserProducts[[#Headers],[Company]],31)</f>
        <v/>
      </c>
      <c r="AB120" s="62" t="str" cm="1">
        <f t="array" ref="AB120">Common_InputFunctions.Utility_DisplayArrayInTable(Fertiliser_SourceData.Fertiliser_Products_Data2(), FertiliserProducts[[#Headers],[Company]],31)</f>
        <v/>
      </c>
      <c r="AC120" s="62" t="str" cm="1">
        <f t="array" ref="AC120">Common_InputFunctions.Utility_DisplayArrayInTable(Fertiliser_SourceData.Fertiliser_Products_Data2(), FertiliserProducts[[#Headers],[Company]],31)</f>
        <v/>
      </c>
      <c r="AD120" s="62" t="str" cm="1">
        <f t="array" ref="AD120">Common_InputFunctions.Utility_DisplayArrayInTable(Fertiliser_SourceData.Fertiliser_Products_Data2(), FertiliserProducts[[#Headers],[Company]],31)</f>
        <v/>
      </c>
      <c r="AE120" s="62" t="str" cm="1">
        <f t="array" ref="AE120">Common_InputFunctions.Utility_DisplayArrayInTable(Fertiliser_SourceData.Fertiliser_Products_Data2(), FertiliserProducts[[#Headers],[Company]],31)</f>
        <v/>
      </c>
      <c r="AF120" s="62" t="str" cm="1">
        <f t="array" ref="AF120">Common_InputFunctions.Utility_DisplayArrayInTable(Fertiliser_SourceData.Fertiliser_Products_Data2(), FertiliserProducts[[#Headers],[Company]],31)</f>
        <v/>
      </c>
      <c r="AG120" s="62" t="str" cm="1">
        <f t="array" ref="AG120">Common_InputFunctions.Utility_DisplayArrayInTable(Fertiliser_SourceData.Fertiliser_Products_Data2(), FertiliserProducts[[#Headers],[Company]],31)</f>
        <v/>
      </c>
      <c r="AH120" s="62" t="str" cm="1">
        <f t="array" ref="AH120">Common_InputFunctions.Utility_DisplayArrayInTable(Fertiliser_SourceData.Fertiliser_Products_Data2(), FertiliserProducts[[#Headers],[Company]],31)</f>
        <v/>
      </c>
      <c r="AK120" s="8"/>
      <c r="AL120" s="8"/>
      <c r="AM120" s="8"/>
    </row>
    <row r="121" spans="1:39" ht="20.100000000000001" customHeight="1" x14ac:dyDescent="0.25">
      <c r="A121"/>
      <c r="D121" s="62" t="str" cm="1">
        <f t="array" ref="D121">Common_InputFunctions.Utility_DisplayArrayInTable(Fertiliser_SourceData.Fertiliser_Products_Data2(), FertiliserProducts[[#Headers],[Company]],31)</f>
        <v>Manganese Sulphate</v>
      </c>
      <c r="E121" s="62" t="str" cm="1">
        <f t="array" ref="E121">Common_InputFunctions.Utility_DisplayArrayInTable(Fertiliser_SourceData.Fertiliser_Products_Data2(), FertiliserProducts[[#Headers],[Company]],31)</f>
        <v/>
      </c>
      <c r="F121" s="62" t="str" cm="1">
        <f t="array" ref="F121">Common_InputFunctions.Utility_DisplayArrayInTable(Fertiliser_SourceData.Fertiliser_Products_Data2(), FertiliserProducts[[#Headers],[Company]],31)</f>
        <v/>
      </c>
      <c r="G121" s="62" t="str" cm="1">
        <f t="array" ref="G121">Common_InputFunctions.Utility_DisplayArrayInTable(Fertiliser_SourceData.Fertiliser_Products_Data2(), FertiliserProducts[[#Headers],[Company]],31)</f>
        <v/>
      </c>
      <c r="H121" s="62" t="str" cm="1">
        <f t="array" ref="H121">Common_InputFunctions.Utility_DisplayArrayInTable(Fertiliser_SourceData.Fertiliser_Products_Data2(), FertiliserProducts[[#Headers],[Company]],31)</f>
        <v/>
      </c>
      <c r="I121" s="62" t="str" cm="1">
        <f t="array" ref="I121">Common_InputFunctions.Utility_DisplayArrayInTable(Fertiliser_SourceData.Fertiliser_Products_Data2(), FertiliserProducts[[#Headers],[Company]],31)</f>
        <v/>
      </c>
      <c r="J121" s="62" t="str" cm="1">
        <f t="array" ref="J121">Common_InputFunctions.Utility_DisplayArrayInTable(Fertiliser_SourceData.Fertiliser_Products_Data2(), FertiliserProducts[[#Headers],[Company]],31)</f>
        <v/>
      </c>
      <c r="K121" s="62" t="str" cm="1">
        <f t="array" ref="K121">Common_InputFunctions.Utility_DisplayArrayInTable(Fertiliser_SourceData.Fertiliser_Products_Data2(), FertiliserProducts[[#Headers],[Company]],31)</f>
        <v/>
      </c>
      <c r="L121" s="62" t="str" cm="1">
        <f t="array" ref="L121">Common_InputFunctions.Utility_DisplayArrayInTable(Fertiliser_SourceData.Fertiliser_Products_Data2(), FertiliserProducts[[#Headers],[Company]],31)</f>
        <v/>
      </c>
      <c r="M121" s="62" t="str" cm="1">
        <f t="array" ref="M121">Common_InputFunctions.Utility_DisplayArrayInTable(Fertiliser_SourceData.Fertiliser_Products_Data2(), FertiliserProducts[[#Headers],[Company]],31)</f>
        <v/>
      </c>
      <c r="N121" s="62" t="str" cm="1">
        <f t="array" ref="N121">Common_InputFunctions.Utility_DisplayArrayInTable(Fertiliser_SourceData.Fertiliser_Products_Data2(), FertiliserProducts[[#Headers],[Company]],31)</f>
        <v/>
      </c>
      <c r="O121" s="62" t="str" cm="1">
        <f t="array" ref="O121">Common_InputFunctions.Utility_DisplayArrayInTable(Fertiliser_SourceData.Fertiliser_Products_Data2(), FertiliserProducts[[#Headers],[Company]],31)</f>
        <v/>
      </c>
      <c r="P121" s="62" t="str" cm="1">
        <f t="array" ref="P121">Common_InputFunctions.Utility_DisplayArrayInTable(Fertiliser_SourceData.Fertiliser_Products_Data2(), FertiliserProducts[[#Headers],[Company]],31)</f>
        <v/>
      </c>
      <c r="Q121" s="62" t="str" cm="1">
        <f t="array" ref="Q121">Common_InputFunctions.Utility_DisplayArrayInTable(Fertiliser_SourceData.Fertiliser_Products_Data2(), FertiliserProducts[[#Headers],[Company]],31)</f>
        <v/>
      </c>
      <c r="R121" s="62" t="str" cm="1">
        <f t="array" ref="R121">Common_InputFunctions.Utility_DisplayArrayInTable(Fertiliser_SourceData.Fertiliser_Products_Data2(), FertiliserProducts[[#Headers],[Company]],31)</f>
        <v/>
      </c>
      <c r="S121" s="62" t="str" cm="1">
        <f t="array" ref="S121">Common_InputFunctions.Utility_DisplayArrayInTable(Fertiliser_SourceData.Fertiliser_Products_Data2(), FertiliserProducts[[#Headers],[Company]],31)</f>
        <v/>
      </c>
      <c r="T121" s="62" t="str" cm="1">
        <f t="array" ref="T121">Common_InputFunctions.Utility_DisplayArrayInTable(Fertiliser_SourceData.Fertiliser_Products_Data2(), FertiliserProducts[[#Headers],[Company]],31)</f>
        <v/>
      </c>
      <c r="U121" s="62" t="str" cm="1">
        <f t="array" ref="U121">Common_InputFunctions.Utility_DisplayArrayInTable(Fertiliser_SourceData.Fertiliser_Products_Data2(), FertiliserProducts[[#Headers],[Company]],31)</f>
        <v/>
      </c>
      <c r="V121" s="62" t="str" cm="1">
        <f t="array" ref="V121">Common_InputFunctions.Utility_DisplayArrayInTable(Fertiliser_SourceData.Fertiliser_Products_Data2(), FertiliserProducts[[#Headers],[Company]],31)</f>
        <v/>
      </c>
      <c r="W121" s="62" t="str" cm="1">
        <f t="array" ref="W121">Common_InputFunctions.Utility_DisplayArrayInTable(Fertiliser_SourceData.Fertiliser_Products_Data2(), FertiliserProducts[[#Headers],[Company]],31)</f>
        <v>Incitec Pivot Fertilisers</v>
      </c>
      <c r="X121" s="62" t="str" cm="1">
        <f t="array" ref="X121">Common_InputFunctions.Utility_DisplayArrayInTable(Fertiliser_SourceData.Fertiliser_Products_Data2(), FertiliserProducts[[#Headers],[Company]],31)</f>
        <v/>
      </c>
      <c r="Y121" s="62" t="str" cm="1">
        <f t="array" ref="Y121">Common_InputFunctions.Utility_DisplayArrayInTable(Fertiliser_SourceData.Fertiliser_Products_Data2(), FertiliserProducts[[#Headers],[Company]],31)</f>
        <v/>
      </c>
      <c r="Z121" s="62" t="str" cm="1">
        <f t="array" ref="Z121">Common_InputFunctions.Utility_DisplayArrayInTable(Fertiliser_SourceData.Fertiliser_Products_Data2(), FertiliserProducts[[#Headers],[Company]],31)</f>
        <v/>
      </c>
      <c r="AA121" s="62" t="str" cm="1">
        <f t="array" ref="AA121">Common_InputFunctions.Utility_DisplayArrayInTable(Fertiliser_SourceData.Fertiliser_Products_Data2(), FertiliserProducts[[#Headers],[Company]],31)</f>
        <v/>
      </c>
      <c r="AB121" s="62" t="str" cm="1">
        <f t="array" ref="AB121">Common_InputFunctions.Utility_DisplayArrayInTable(Fertiliser_SourceData.Fertiliser_Products_Data2(), FertiliserProducts[[#Headers],[Company]],31)</f>
        <v/>
      </c>
      <c r="AC121" s="62" t="str" cm="1">
        <f t="array" ref="AC121">Common_InputFunctions.Utility_DisplayArrayInTable(Fertiliser_SourceData.Fertiliser_Products_Data2(), FertiliserProducts[[#Headers],[Company]],31)</f>
        <v/>
      </c>
      <c r="AD121" s="62" t="str" cm="1">
        <f t="array" ref="AD121">Common_InputFunctions.Utility_DisplayArrayInTable(Fertiliser_SourceData.Fertiliser_Products_Data2(), FertiliserProducts[[#Headers],[Company]],31)</f>
        <v/>
      </c>
      <c r="AE121" s="62" t="str" cm="1">
        <f t="array" ref="AE121">Common_InputFunctions.Utility_DisplayArrayInTable(Fertiliser_SourceData.Fertiliser_Products_Data2(), FertiliserProducts[[#Headers],[Company]],31)</f>
        <v/>
      </c>
      <c r="AF121" s="62" t="str" cm="1">
        <f t="array" ref="AF121">Common_InputFunctions.Utility_DisplayArrayInTable(Fertiliser_SourceData.Fertiliser_Products_Data2(), FertiliserProducts[[#Headers],[Company]],31)</f>
        <v/>
      </c>
      <c r="AG121" s="62" t="str" cm="1">
        <f t="array" ref="AG121">Common_InputFunctions.Utility_DisplayArrayInTable(Fertiliser_SourceData.Fertiliser_Products_Data2(), FertiliserProducts[[#Headers],[Company]],31)</f>
        <v/>
      </c>
      <c r="AH121" s="62" t="str" cm="1">
        <f t="array" ref="AH121">Common_InputFunctions.Utility_DisplayArrayInTable(Fertiliser_SourceData.Fertiliser_Products_Data2(), FertiliserProducts[[#Headers],[Company]],31)</f>
        <v/>
      </c>
      <c r="AK121" s="8"/>
      <c r="AL121" s="8"/>
      <c r="AM121" s="8"/>
    </row>
    <row r="122" spans="1:39" ht="20.100000000000001" customHeight="1" x14ac:dyDescent="0.25">
      <c r="A122"/>
      <c r="D122" s="62" t="str" cm="1">
        <f t="array" ref="D122">Common_InputFunctions.Utility_DisplayArrayInTable(Fertiliser_SourceData.Fertiliser_Products_Data2(), FertiliserProducts[[#Headers],[Company]],31)</f>
        <v>MAP</v>
      </c>
      <c r="E122" s="62" t="str" cm="1">
        <f t="array" ref="E122">Common_InputFunctions.Utility_DisplayArrayInTable(Fertiliser_SourceData.Fertiliser_Products_Data2(), FertiliserProducts[[#Headers],[Company]],31)</f>
        <v/>
      </c>
      <c r="F122" s="62" t="str" cm="1">
        <f t="array" ref="F122">Common_InputFunctions.Utility_DisplayArrayInTable(Fertiliser_SourceData.Fertiliser_Products_Data2(), FertiliserProducts[[#Headers],[Company]],31)</f>
        <v/>
      </c>
      <c r="G122" s="62" t="str" cm="1">
        <f t="array" ref="G122">Common_InputFunctions.Utility_DisplayArrayInTable(Fertiliser_SourceData.Fertiliser_Products_Data2(), FertiliserProducts[[#Headers],[Company]],31)</f>
        <v/>
      </c>
      <c r="H122" s="62" t="str" cm="1">
        <f t="array" ref="H122">Common_InputFunctions.Utility_DisplayArrayInTable(Fertiliser_SourceData.Fertiliser_Products_Data2(), FertiliserProducts[[#Headers],[Company]],31)</f>
        <v/>
      </c>
      <c r="I122" s="62" t="str" cm="1">
        <f t="array" ref="I122">Common_InputFunctions.Utility_DisplayArrayInTable(Fertiliser_SourceData.Fertiliser_Products_Data2(), FertiliserProducts[[#Headers],[Company]],31)</f>
        <v/>
      </c>
      <c r="J122" s="62" t="str" cm="1">
        <f t="array" ref="J122">Common_InputFunctions.Utility_DisplayArrayInTable(Fertiliser_SourceData.Fertiliser_Products_Data2(), FertiliserProducts[[#Headers],[Company]],31)</f>
        <v/>
      </c>
      <c r="K122" s="62" t="str" cm="1">
        <f t="array" ref="K122">Common_InputFunctions.Utility_DisplayArrayInTable(Fertiliser_SourceData.Fertiliser_Products_Data2(), FertiliserProducts[[#Headers],[Company]],31)</f>
        <v/>
      </c>
      <c r="L122" s="62" t="str" cm="1">
        <f t="array" ref="L122">Common_InputFunctions.Utility_DisplayArrayInTable(Fertiliser_SourceData.Fertiliser_Products_Data2(), FertiliserProducts[[#Headers],[Company]],31)</f>
        <v/>
      </c>
      <c r="M122" s="62" t="str" cm="1">
        <f t="array" ref="M122">Common_InputFunctions.Utility_DisplayArrayInTable(Fertiliser_SourceData.Fertiliser_Products_Data2(), FertiliserProducts[[#Headers],[Company]],31)</f>
        <v/>
      </c>
      <c r="N122" s="62" t="str" cm="1">
        <f t="array" ref="N122">Common_InputFunctions.Utility_DisplayArrayInTable(Fertiliser_SourceData.Fertiliser_Products_Data2(), FertiliserProducts[[#Headers],[Company]],31)</f>
        <v/>
      </c>
      <c r="O122" s="62" t="str" cm="1">
        <f t="array" ref="O122">Common_InputFunctions.Utility_DisplayArrayInTable(Fertiliser_SourceData.Fertiliser_Products_Data2(), FertiliserProducts[[#Headers],[Company]],31)</f>
        <v/>
      </c>
      <c r="P122" s="62" t="str" cm="1">
        <f t="array" ref="P122">Common_InputFunctions.Utility_DisplayArrayInTable(Fertiliser_SourceData.Fertiliser_Products_Data2(), FertiliserProducts[[#Headers],[Company]],31)</f>
        <v/>
      </c>
      <c r="Q122" s="62" t="str" cm="1">
        <f t="array" ref="Q122">Common_InputFunctions.Utility_DisplayArrayInTable(Fertiliser_SourceData.Fertiliser_Products_Data2(), FertiliserProducts[[#Headers],[Company]],31)</f>
        <v/>
      </c>
      <c r="R122" s="62" t="str" cm="1">
        <f t="array" ref="R122">Common_InputFunctions.Utility_DisplayArrayInTable(Fertiliser_SourceData.Fertiliser_Products_Data2(), FertiliserProducts[[#Headers],[Company]],31)</f>
        <v/>
      </c>
      <c r="S122" s="62" t="str" cm="1">
        <f t="array" ref="S122">Common_InputFunctions.Utility_DisplayArrayInTable(Fertiliser_SourceData.Fertiliser_Products_Data2(), FertiliserProducts[[#Headers],[Company]],31)</f>
        <v/>
      </c>
      <c r="T122" s="62" t="str" cm="1">
        <f t="array" ref="T122">Common_InputFunctions.Utility_DisplayArrayInTable(Fertiliser_SourceData.Fertiliser_Products_Data2(), FertiliserProducts[[#Headers],[Company]],31)</f>
        <v/>
      </c>
      <c r="U122" s="62" t="str" cm="1">
        <f t="array" ref="U122">Common_InputFunctions.Utility_DisplayArrayInTable(Fertiliser_SourceData.Fertiliser_Products_Data2(), FertiliserProducts[[#Headers],[Company]],31)</f>
        <v/>
      </c>
      <c r="V122" s="62" t="str" cm="1">
        <f t="array" ref="V122">Common_InputFunctions.Utility_DisplayArrayInTable(Fertiliser_SourceData.Fertiliser_Products_Data2(), FertiliserProducts[[#Headers],[Company]],31)</f>
        <v/>
      </c>
      <c r="W122" s="62" t="str" cm="1">
        <f t="array" ref="W122">Common_InputFunctions.Utility_DisplayArrayInTable(Fertiliser_SourceData.Fertiliser_Products_Data2(), FertiliserProducts[[#Headers],[Company]],31)</f>
        <v>Incitec Pivot Fertilisers</v>
      </c>
      <c r="X122" s="62" t="str" cm="1">
        <f t="array" ref="X122">Common_InputFunctions.Utility_DisplayArrayInTable(Fertiliser_SourceData.Fertiliser_Products_Data2(), FertiliserProducts[[#Headers],[Company]],31)</f>
        <v/>
      </c>
      <c r="Y122" s="62" t="str" cm="1">
        <f t="array" ref="Y122">Common_InputFunctions.Utility_DisplayArrayInTable(Fertiliser_SourceData.Fertiliser_Products_Data2(), FertiliserProducts[[#Headers],[Company]],31)</f>
        <v/>
      </c>
      <c r="Z122" s="62" t="str" cm="1">
        <f t="array" ref="Z122">Common_InputFunctions.Utility_DisplayArrayInTable(Fertiliser_SourceData.Fertiliser_Products_Data2(), FertiliserProducts[[#Headers],[Company]],31)</f>
        <v/>
      </c>
      <c r="AA122" s="62" t="str" cm="1">
        <f t="array" ref="AA122">Common_InputFunctions.Utility_DisplayArrayInTable(Fertiliser_SourceData.Fertiliser_Products_Data2(), FertiliserProducts[[#Headers],[Company]],31)</f>
        <v/>
      </c>
      <c r="AB122" s="62" t="str" cm="1">
        <f t="array" ref="AB122">Common_InputFunctions.Utility_DisplayArrayInTable(Fertiliser_SourceData.Fertiliser_Products_Data2(), FertiliserProducts[[#Headers],[Company]],31)</f>
        <v/>
      </c>
      <c r="AC122" s="62" t="str" cm="1">
        <f t="array" ref="AC122">Common_InputFunctions.Utility_DisplayArrayInTable(Fertiliser_SourceData.Fertiliser_Products_Data2(), FertiliserProducts[[#Headers],[Company]],31)</f>
        <v/>
      </c>
      <c r="AD122" s="62" t="str" cm="1">
        <f t="array" ref="AD122">Common_InputFunctions.Utility_DisplayArrayInTable(Fertiliser_SourceData.Fertiliser_Products_Data2(), FertiliserProducts[[#Headers],[Company]],31)</f>
        <v/>
      </c>
      <c r="AE122" s="62" t="str" cm="1">
        <f t="array" ref="AE122">Common_InputFunctions.Utility_DisplayArrayInTable(Fertiliser_SourceData.Fertiliser_Products_Data2(), FertiliserProducts[[#Headers],[Company]],31)</f>
        <v/>
      </c>
      <c r="AF122" s="62" t="str" cm="1">
        <f t="array" ref="AF122">Common_InputFunctions.Utility_DisplayArrayInTable(Fertiliser_SourceData.Fertiliser_Products_Data2(), FertiliserProducts[[#Headers],[Company]],31)</f>
        <v/>
      </c>
      <c r="AG122" s="62" t="str" cm="1">
        <f t="array" ref="AG122">Common_InputFunctions.Utility_DisplayArrayInTable(Fertiliser_SourceData.Fertiliser_Products_Data2(), FertiliserProducts[[#Headers],[Company]],31)</f>
        <v/>
      </c>
      <c r="AH122" s="62" t="str" cm="1">
        <f t="array" ref="AH122">Common_InputFunctions.Utility_DisplayArrayInTable(Fertiliser_SourceData.Fertiliser_Products_Data2(), FertiliserProducts[[#Headers],[Company]],31)</f>
        <v/>
      </c>
      <c r="AK122" s="8"/>
      <c r="AL122" s="8"/>
      <c r="AM122" s="8"/>
    </row>
    <row r="123" spans="1:39" ht="20.100000000000001" customHeight="1" x14ac:dyDescent="0.25">
      <c r="A123"/>
      <c r="D123" s="62" t="str" cm="1">
        <f t="array" ref="D123">Common_InputFunctions.Utility_DisplayArrayInTable(Fertiliser_SourceData.Fertiliser_Products_Data2(), FertiliserProducts[[#Headers],[Company]],31)</f>
        <v>MAP Impact</v>
      </c>
      <c r="E123" s="62" t="str" cm="1">
        <f t="array" ref="E123">Common_InputFunctions.Utility_DisplayArrayInTable(Fertiliser_SourceData.Fertiliser_Products_Data2(), FertiliserProducts[[#Headers],[Company]],31)</f>
        <v/>
      </c>
      <c r="F123" s="62" t="str" cm="1">
        <f t="array" ref="F123">Common_InputFunctions.Utility_DisplayArrayInTable(Fertiliser_SourceData.Fertiliser_Products_Data2(), FertiliserProducts[[#Headers],[Company]],31)</f>
        <v/>
      </c>
      <c r="G123" s="62" t="str" cm="1">
        <f t="array" ref="G123">Common_InputFunctions.Utility_DisplayArrayInTable(Fertiliser_SourceData.Fertiliser_Products_Data2(), FertiliserProducts[[#Headers],[Company]],31)</f>
        <v/>
      </c>
      <c r="H123" s="62" t="str" cm="1">
        <f t="array" ref="H123">Common_InputFunctions.Utility_DisplayArrayInTable(Fertiliser_SourceData.Fertiliser_Products_Data2(), FertiliserProducts[[#Headers],[Company]],31)</f>
        <v/>
      </c>
      <c r="I123" s="62" t="str" cm="1">
        <f t="array" ref="I123">Common_InputFunctions.Utility_DisplayArrayInTable(Fertiliser_SourceData.Fertiliser_Products_Data2(), FertiliserProducts[[#Headers],[Company]],31)</f>
        <v/>
      </c>
      <c r="J123" s="62" t="str" cm="1">
        <f t="array" ref="J123">Common_InputFunctions.Utility_DisplayArrayInTable(Fertiliser_SourceData.Fertiliser_Products_Data2(), FertiliserProducts[[#Headers],[Company]],31)</f>
        <v/>
      </c>
      <c r="K123" s="62" t="str" cm="1">
        <f t="array" ref="K123">Common_InputFunctions.Utility_DisplayArrayInTable(Fertiliser_SourceData.Fertiliser_Products_Data2(), FertiliserProducts[[#Headers],[Company]],31)</f>
        <v/>
      </c>
      <c r="L123" s="62" t="str" cm="1">
        <f t="array" ref="L123">Common_InputFunctions.Utility_DisplayArrayInTable(Fertiliser_SourceData.Fertiliser_Products_Data2(), FertiliserProducts[[#Headers],[Company]],31)</f>
        <v/>
      </c>
      <c r="M123" s="62" t="str" cm="1">
        <f t="array" ref="M123">Common_InputFunctions.Utility_DisplayArrayInTable(Fertiliser_SourceData.Fertiliser_Products_Data2(), FertiliserProducts[[#Headers],[Company]],31)</f>
        <v/>
      </c>
      <c r="N123" s="62" t="str" cm="1">
        <f t="array" ref="N123">Common_InputFunctions.Utility_DisplayArrayInTable(Fertiliser_SourceData.Fertiliser_Products_Data2(), FertiliserProducts[[#Headers],[Company]],31)</f>
        <v/>
      </c>
      <c r="O123" s="62" t="str" cm="1">
        <f t="array" ref="O123">Common_InputFunctions.Utility_DisplayArrayInTable(Fertiliser_SourceData.Fertiliser_Products_Data2(), FertiliserProducts[[#Headers],[Company]],31)</f>
        <v/>
      </c>
      <c r="P123" s="62" t="str" cm="1">
        <f t="array" ref="P123">Common_InputFunctions.Utility_DisplayArrayInTable(Fertiliser_SourceData.Fertiliser_Products_Data2(), FertiliserProducts[[#Headers],[Company]],31)</f>
        <v/>
      </c>
      <c r="Q123" s="62" t="str" cm="1">
        <f t="array" ref="Q123">Common_InputFunctions.Utility_DisplayArrayInTable(Fertiliser_SourceData.Fertiliser_Products_Data2(), FertiliserProducts[[#Headers],[Company]],31)</f>
        <v/>
      </c>
      <c r="R123" s="62" t="str" cm="1">
        <f t="array" ref="R123">Common_InputFunctions.Utility_DisplayArrayInTable(Fertiliser_SourceData.Fertiliser_Products_Data2(), FertiliserProducts[[#Headers],[Company]],31)</f>
        <v/>
      </c>
      <c r="S123" s="62" t="str" cm="1">
        <f t="array" ref="S123">Common_InputFunctions.Utility_DisplayArrayInTable(Fertiliser_SourceData.Fertiliser_Products_Data2(), FertiliserProducts[[#Headers],[Company]],31)</f>
        <v/>
      </c>
      <c r="T123" s="62" t="str" cm="1">
        <f t="array" ref="T123">Common_InputFunctions.Utility_DisplayArrayInTable(Fertiliser_SourceData.Fertiliser_Products_Data2(), FertiliserProducts[[#Headers],[Company]],31)</f>
        <v/>
      </c>
      <c r="U123" s="62" t="str" cm="1">
        <f t="array" ref="U123">Common_InputFunctions.Utility_DisplayArrayInTable(Fertiliser_SourceData.Fertiliser_Products_Data2(), FertiliserProducts[[#Headers],[Company]],31)</f>
        <v/>
      </c>
      <c r="V123" s="62" t="str" cm="1">
        <f t="array" ref="V123">Common_InputFunctions.Utility_DisplayArrayInTable(Fertiliser_SourceData.Fertiliser_Products_Data2(), FertiliserProducts[[#Headers],[Company]],31)</f>
        <v/>
      </c>
      <c r="W123" s="62" t="str" cm="1">
        <f t="array" ref="W123">Common_InputFunctions.Utility_DisplayArrayInTable(Fertiliser_SourceData.Fertiliser_Products_Data2(), FertiliserProducts[[#Headers],[Company]],31)</f>
        <v>Impact fertilisers</v>
      </c>
      <c r="X123" s="62" t="str" cm="1">
        <f t="array" ref="X123">Common_InputFunctions.Utility_DisplayArrayInTable(Fertiliser_SourceData.Fertiliser_Products_Data2(), FertiliserProducts[[#Headers],[Company]],31)</f>
        <v/>
      </c>
      <c r="Y123" s="62" t="str" cm="1">
        <f t="array" ref="Y123">Common_InputFunctions.Utility_DisplayArrayInTable(Fertiliser_SourceData.Fertiliser_Products_Data2(), FertiliserProducts[[#Headers],[Company]],31)</f>
        <v/>
      </c>
      <c r="Z123" s="62" t="str" cm="1">
        <f t="array" ref="Z123">Common_InputFunctions.Utility_DisplayArrayInTable(Fertiliser_SourceData.Fertiliser_Products_Data2(), FertiliserProducts[[#Headers],[Company]],31)</f>
        <v/>
      </c>
      <c r="AA123" s="62" t="str" cm="1">
        <f t="array" ref="AA123">Common_InputFunctions.Utility_DisplayArrayInTable(Fertiliser_SourceData.Fertiliser_Products_Data2(), FertiliserProducts[[#Headers],[Company]],31)</f>
        <v/>
      </c>
      <c r="AB123" s="62" t="str" cm="1">
        <f t="array" ref="AB123">Common_InputFunctions.Utility_DisplayArrayInTable(Fertiliser_SourceData.Fertiliser_Products_Data2(), FertiliserProducts[[#Headers],[Company]],31)</f>
        <v/>
      </c>
      <c r="AC123" s="62" t="str" cm="1">
        <f t="array" ref="AC123">Common_InputFunctions.Utility_DisplayArrayInTable(Fertiliser_SourceData.Fertiliser_Products_Data2(), FertiliserProducts[[#Headers],[Company]],31)</f>
        <v/>
      </c>
      <c r="AD123" s="62" t="str" cm="1">
        <f t="array" ref="AD123">Common_InputFunctions.Utility_DisplayArrayInTable(Fertiliser_SourceData.Fertiliser_Products_Data2(), FertiliserProducts[[#Headers],[Company]],31)</f>
        <v/>
      </c>
      <c r="AE123" s="62" t="str" cm="1">
        <f t="array" ref="AE123">Common_InputFunctions.Utility_DisplayArrayInTable(Fertiliser_SourceData.Fertiliser_Products_Data2(), FertiliserProducts[[#Headers],[Company]],31)</f>
        <v/>
      </c>
      <c r="AF123" s="62" t="str" cm="1">
        <f t="array" ref="AF123">Common_InputFunctions.Utility_DisplayArrayInTable(Fertiliser_SourceData.Fertiliser_Products_Data2(), FertiliserProducts[[#Headers],[Company]],31)</f>
        <v/>
      </c>
      <c r="AG123" s="62" t="str" cm="1">
        <f t="array" ref="AG123">Common_InputFunctions.Utility_DisplayArrayInTable(Fertiliser_SourceData.Fertiliser_Products_Data2(), FertiliserProducts[[#Headers],[Company]],31)</f>
        <v/>
      </c>
      <c r="AH123" s="62" t="str" cm="1">
        <f t="array" ref="AH123">Common_InputFunctions.Utility_DisplayArrayInTable(Fertiliser_SourceData.Fertiliser_Products_Data2(), FertiliserProducts[[#Headers],[Company]],31)</f>
        <v/>
      </c>
      <c r="AK123" s="8"/>
      <c r="AL123" s="8"/>
      <c r="AM123" s="8"/>
    </row>
    <row r="124" spans="1:39" ht="20.100000000000001" customHeight="1" x14ac:dyDescent="0.25">
      <c r="A124"/>
      <c r="D124" s="62" t="str" cm="1">
        <f t="array" ref="D124">Common_InputFunctions.Utility_DisplayArrayInTable(Fertiliser_SourceData.Fertiliser_Products_Data2(), FertiliserProducts[[#Headers],[Company]],31)</f>
        <v>MAPSZC</v>
      </c>
      <c r="E124" s="62" t="str" cm="1">
        <f t="array" ref="E124">Common_InputFunctions.Utility_DisplayArrayInTable(Fertiliser_SourceData.Fertiliser_Products_Data2(), FertiliserProducts[[#Headers],[Company]],31)</f>
        <v/>
      </c>
      <c r="F124" s="62" t="str" cm="1">
        <f t="array" ref="F124">Common_InputFunctions.Utility_DisplayArrayInTable(Fertiliser_SourceData.Fertiliser_Products_Data2(), FertiliserProducts[[#Headers],[Company]],31)</f>
        <v/>
      </c>
      <c r="G124" s="62" t="str" cm="1">
        <f t="array" ref="G124">Common_InputFunctions.Utility_DisplayArrayInTable(Fertiliser_SourceData.Fertiliser_Products_Data2(), FertiliserProducts[[#Headers],[Company]],31)</f>
        <v/>
      </c>
      <c r="H124" s="62" t="str" cm="1">
        <f t="array" ref="H124">Common_InputFunctions.Utility_DisplayArrayInTable(Fertiliser_SourceData.Fertiliser_Products_Data2(), FertiliserProducts[[#Headers],[Company]],31)</f>
        <v/>
      </c>
      <c r="I124" s="62" t="str" cm="1">
        <f t="array" ref="I124">Common_InputFunctions.Utility_DisplayArrayInTable(Fertiliser_SourceData.Fertiliser_Products_Data2(), FertiliserProducts[[#Headers],[Company]],31)</f>
        <v/>
      </c>
      <c r="J124" s="62" t="str" cm="1">
        <f t="array" ref="J124">Common_InputFunctions.Utility_DisplayArrayInTable(Fertiliser_SourceData.Fertiliser_Products_Data2(), FertiliserProducts[[#Headers],[Company]],31)</f>
        <v/>
      </c>
      <c r="K124" s="62" t="str" cm="1">
        <f t="array" ref="K124">Common_InputFunctions.Utility_DisplayArrayInTable(Fertiliser_SourceData.Fertiliser_Products_Data2(), FertiliserProducts[[#Headers],[Company]],31)</f>
        <v/>
      </c>
      <c r="L124" s="62" t="str" cm="1">
        <f t="array" ref="L124">Common_InputFunctions.Utility_DisplayArrayInTable(Fertiliser_SourceData.Fertiliser_Products_Data2(), FertiliserProducts[[#Headers],[Company]],31)</f>
        <v/>
      </c>
      <c r="M124" s="62" t="str" cm="1">
        <f t="array" ref="M124">Common_InputFunctions.Utility_DisplayArrayInTable(Fertiliser_SourceData.Fertiliser_Products_Data2(), FertiliserProducts[[#Headers],[Company]],31)</f>
        <v/>
      </c>
      <c r="N124" s="62" t="str" cm="1">
        <f t="array" ref="N124">Common_InputFunctions.Utility_DisplayArrayInTable(Fertiliser_SourceData.Fertiliser_Products_Data2(), FertiliserProducts[[#Headers],[Company]],31)</f>
        <v/>
      </c>
      <c r="O124" s="62" t="str" cm="1">
        <f t="array" ref="O124">Common_InputFunctions.Utility_DisplayArrayInTable(Fertiliser_SourceData.Fertiliser_Products_Data2(), FertiliserProducts[[#Headers],[Company]],31)</f>
        <v/>
      </c>
      <c r="P124" s="62" t="str" cm="1">
        <f t="array" ref="P124">Common_InputFunctions.Utility_DisplayArrayInTable(Fertiliser_SourceData.Fertiliser_Products_Data2(), FertiliserProducts[[#Headers],[Company]],31)</f>
        <v/>
      </c>
      <c r="Q124" s="62" t="str" cm="1">
        <f t="array" ref="Q124">Common_InputFunctions.Utility_DisplayArrayInTable(Fertiliser_SourceData.Fertiliser_Products_Data2(), FertiliserProducts[[#Headers],[Company]],31)</f>
        <v/>
      </c>
      <c r="R124" s="62" t="str" cm="1">
        <f t="array" ref="R124">Common_InputFunctions.Utility_DisplayArrayInTable(Fertiliser_SourceData.Fertiliser_Products_Data2(), FertiliserProducts[[#Headers],[Company]],31)</f>
        <v/>
      </c>
      <c r="S124" s="62" t="str" cm="1">
        <f t="array" ref="S124">Common_InputFunctions.Utility_DisplayArrayInTable(Fertiliser_SourceData.Fertiliser_Products_Data2(), FertiliserProducts[[#Headers],[Company]],31)</f>
        <v/>
      </c>
      <c r="T124" s="62" t="str" cm="1">
        <f t="array" ref="T124">Common_InputFunctions.Utility_DisplayArrayInTable(Fertiliser_SourceData.Fertiliser_Products_Data2(), FertiliserProducts[[#Headers],[Company]],31)</f>
        <v/>
      </c>
      <c r="U124" s="62" t="str" cm="1">
        <f t="array" ref="U124">Common_InputFunctions.Utility_DisplayArrayInTable(Fertiliser_SourceData.Fertiliser_Products_Data2(), FertiliserProducts[[#Headers],[Company]],31)</f>
        <v/>
      </c>
      <c r="V124" s="62" t="str" cm="1">
        <f t="array" ref="V124">Common_InputFunctions.Utility_DisplayArrayInTable(Fertiliser_SourceData.Fertiliser_Products_Data2(), FertiliserProducts[[#Headers],[Company]],31)</f>
        <v/>
      </c>
      <c r="W124" s="62" t="str" cm="1">
        <f t="array" ref="W124">Common_InputFunctions.Utility_DisplayArrayInTable(Fertiliser_SourceData.Fertiliser_Products_Data2(), FertiliserProducts[[#Headers],[Company]],31)</f>
        <v>Summit Fertilizers</v>
      </c>
      <c r="X124" s="62" t="str" cm="1">
        <f t="array" ref="X124">Common_InputFunctions.Utility_DisplayArrayInTable(Fertiliser_SourceData.Fertiliser_Products_Data2(), FertiliserProducts[[#Headers],[Company]],31)</f>
        <v/>
      </c>
      <c r="Y124" s="62" t="str" cm="1">
        <f t="array" ref="Y124">Common_InputFunctions.Utility_DisplayArrayInTable(Fertiliser_SourceData.Fertiliser_Products_Data2(), FertiliserProducts[[#Headers],[Company]],31)</f>
        <v/>
      </c>
      <c r="Z124" s="62" t="str" cm="1">
        <f t="array" ref="Z124">Common_InputFunctions.Utility_DisplayArrayInTable(Fertiliser_SourceData.Fertiliser_Products_Data2(), FertiliserProducts[[#Headers],[Company]],31)</f>
        <v/>
      </c>
      <c r="AA124" s="62" t="str" cm="1">
        <f t="array" ref="AA124">Common_InputFunctions.Utility_DisplayArrayInTable(Fertiliser_SourceData.Fertiliser_Products_Data2(), FertiliserProducts[[#Headers],[Company]],31)</f>
        <v/>
      </c>
      <c r="AB124" s="62" t="str" cm="1">
        <f t="array" ref="AB124">Common_InputFunctions.Utility_DisplayArrayInTable(Fertiliser_SourceData.Fertiliser_Products_Data2(), FertiliserProducts[[#Headers],[Company]],31)</f>
        <v/>
      </c>
      <c r="AC124" s="62" t="str" cm="1">
        <f t="array" ref="AC124">Common_InputFunctions.Utility_DisplayArrayInTable(Fertiliser_SourceData.Fertiliser_Products_Data2(), FertiliserProducts[[#Headers],[Company]],31)</f>
        <v/>
      </c>
      <c r="AD124" s="62" t="str" cm="1">
        <f t="array" ref="AD124">Common_InputFunctions.Utility_DisplayArrayInTable(Fertiliser_SourceData.Fertiliser_Products_Data2(), FertiliserProducts[[#Headers],[Company]],31)</f>
        <v/>
      </c>
      <c r="AE124" s="62" t="str" cm="1">
        <f t="array" ref="AE124">Common_InputFunctions.Utility_DisplayArrayInTable(Fertiliser_SourceData.Fertiliser_Products_Data2(), FertiliserProducts[[#Headers],[Company]],31)</f>
        <v/>
      </c>
      <c r="AF124" s="62" t="str" cm="1">
        <f t="array" ref="AF124">Common_InputFunctions.Utility_DisplayArrayInTable(Fertiliser_SourceData.Fertiliser_Products_Data2(), FertiliserProducts[[#Headers],[Company]],31)</f>
        <v/>
      </c>
      <c r="AG124" s="62" t="str" cm="1">
        <f t="array" ref="AG124">Common_InputFunctions.Utility_DisplayArrayInTable(Fertiliser_SourceData.Fertiliser_Products_Data2(), FertiliserProducts[[#Headers],[Company]],31)</f>
        <v/>
      </c>
      <c r="AH124" s="62" t="str" cm="1">
        <f t="array" ref="AH124">Common_InputFunctions.Utility_DisplayArrayInTable(Fertiliser_SourceData.Fertiliser_Products_Data2(), FertiliserProducts[[#Headers],[Company]],31)</f>
        <v/>
      </c>
      <c r="AK124" s="8"/>
      <c r="AL124" s="8"/>
      <c r="AM124" s="8"/>
    </row>
    <row r="125" spans="1:39" ht="20.100000000000001" customHeight="1" x14ac:dyDescent="0.25">
      <c r="A125"/>
      <c r="D125" s="62" t="str" cm="1">
        <f t="array" ref="D125">Common_InputFunctions.Utility_DisplayArrayInTable(Fertiliser_SourceData.Fertiliser_Products_Data2(), FertiliserProducts[[#Headers],[Company]],31)</f>
        <v>Maximum N-Pact 29-0-0</v>
      </c>
      <c r="E125" s="62" t="str" cm="1">
        <f t="array" ref="E125">Common_InputFunctions.Utility_DisplayArrayInTable(Fertiliser_SourceData.Fertiliser_Products_Data2(), FertiliserProducts[[#Headers],[Company]],31)</f>
        <v/>
      </c>
      <c r="F125" s="62" t="str" cm="1">
        <f t="array" ref="F125">Common_InputFunctions.Utility_DisplayArrayInTable(Fertiliser_SourceData.Fertiliser_Products_Data2(), FertiliserProducts[[#Headers],[Company]],31)</f>
        <v/>
      </c>
      <c r="G125" s="62" t="str" cm="1">
        <f t="array" ref="G125">Common_InputFunctions.Utility_DisplayArrayInTable(Fertiliser_SourceData.Fertiliser_Products_Data2(), FertiliserProducts[[#Headers],[Company]],31)</f>
        <v/>
      </c>
      <c r="H125" s="62" t="str" cm="1">
        <f t="array" ref="H125">Common_InputFunctions.Utility_DisplayArrayInTable(Fertiliser_SourceData.Fertiliser_Products_Data2(), FertiliserProducts[[#Headers],[Company]],31)</f>
        <v/>
      </c>
      <c r="I125" s="62" t="str" cm="1">
        <f t="array" ref="I125">Common_InputFunctions.Utility_DisplayArrayInTable(Fertiliser_SourceData.Fertiliser_Products_Data2(), FertiliserProducts[[#Headers],[Company]],31)</f>
        <v/>
      </c>
      <c r="J125" s="62" t="str" cm="1">
        <f t="array" ref="J125">Common_InputFunctions.Utility_DisplayArrayInTable(Fertiliser_SourceData.Fertiliser_Products_Data2(), FertiliserProducts[[#Headers],[Company]],31)</f>
        <v/>
      </c>
      <c r="K125" s="62" t="str" cm="1">
        <f t="array" ref="K125">Common_InputFunctions.Utility_DisplayArrayInTable(Fertiliser_SourceData.Fertiliser_Products_Data2(), FertiliserProducts[[#Headers],[Company]],31)</f>
        <v/>
      </c>
      <c r="L125" s="62" t="str" cm="1">
        <f t="array" ref="L125">Common_InputFunctions.Utility_DisplayArrayInTable(Fertiliser_SourceData.Fertiliser_Products_Data2(), FertiliserProducts[[#Headers],[Company]],31)</f>
        <v/>
      </c>
      <c r="M125" s="62" t="str" cm="1">
        <f t="array" ref="M125">Common_InputFunctions.Utility_DisplayArrayInTable(Fertiliser_SourceData.Fertiliser_Products_Data2(), FertiliserProducts[[#Headers],[Company]],31)</f>
        <v/>
      </c>
      <c r="N125" s="62" t="str" cm="1">
        <f t="array" ref="N125">Common_InputFunctions.Utility_DisplayArrayInTable(Fertiliser_SourceData.Fertiliser_Products_Data2(), FertiliserProducts[[#Headers],[Company]],31)</f>
        <v/>
      </c>
      <c r="O125" s="62" t="str" cm="1">
        <f t="array" ref="O125">Common_InputFunctions.Utility_DisplayArrayInTable(Fertiliser_SourceData.Fertiliser_Products_Data2(), FertiliserProducts[[#Headers],[Company]],31)</f>
        <v/>
      </c>
      <c r="P125" s="62" t="str" cm="1">
        <f t="array" ref="P125">Common_InputFunctions.Utility_DisplayArrayInTable(Fertiliser_SourceData.Fertiliser_Products_Data2(), FertiliserProducts[[#Headers],[Company]],31)</f>
        <v/>
      </c>
      <c r="Q125" s="62" t="str" cm="1">
        <f t="array" ref="Q125">Common_InputFunctions.Utility_DisplayArrayInTable(Fertiliser_SourceData.Fertiliser_Products_Data2(), FertiliserProducts[[#Headers],[Company]],31)</f>
        <v/>
      </c>
      <c r="R125" s="62" t="str" cm="1">
        <f t="array" ref="R125">Common_InputFunctions.Utility_DisplayArrayInTable(Fertiliser_SourceData.Fertiliser_Products_Data2(), FertiliserProducts[[#Headers],[Company]],31)</f>
        <v/>
      </c>
      <c r="S125" s="62" t="str" cm="1">
        <f t="array" ref="S125">Common_InputFunctions.Utility_DisplayArrayInTable(Fertiliser_SourceData.Fertiliser_Products_Data2(), FertiliserProducts[[#Headers],[Company]],31)</f>
        <v/>
      </c>
      <c r="T125" s="62" t="str" cm="1">
        <f t="array" ref="T125">Common_InputFunctions.Utility_DisplayArrayInTable(Fertiliser_SourceData.Fertiliser_Products_Data2(), FertiliserProducts[[#Headers],[Company]],31)</f>
        <v/>
      </c>
      <c r="U125" s="62" t="str" cm="1">
        <f t="array" ref="U125">Common_InputFunctions.Utility_DisplayArrayInTable(Fertiliser_SourceData.Fertiliser_Products_Data2(), FertiliserProducts[[#Headers],[Company]],31)</f>
        <v/>
      </c>
      <c r="V125" s="62" t="str" cm="1">
        <f t="array" ref="V125">Common_InputFunctions.Utility_DisplayArrayInTable(Fertiliser_SourceData.Fertiliser_Products_Data2(), FertiliserProducts[[#Headers],[Company]],31)</f>
        <v/>
      </c>
      <c r="W125" s="62" t="str" cm="1">
        <f t="array" ref="W125">Common_InputFunctions.Utility_DisplayArrayInTable(Fertiliser_SourceData.Fertiliser_Products_Data2(), FertiliserProducts[[#Headers],[Company]],31)</f>
        <v>Maximum N-Pact | Loveland (lovelandagriproducts.com.au)</v>
      </c>
      <c r="X125" s="62" t="str" cm="1">
        <f t="array" ref="X125">Common_InputFunctions.Utility_DisplayArrayInTable(Fertiliser_SourceData.Fertiliser_Products_Data2(), FertiliserProducts[[#Headers],[Company]],31)</f>
        <v/>
      </c>
      <c r="Y125" s="62" t="str" cm="1">
        <f t="array" ref="Y125">Common_InputFunctions.Utility_DisplayArrayInTable(Fertiliser_SourceData.Fertiliser_Products_Data2(), FertiliserProducts[[#Headers],[Company]],31)</f>
        <v/>
      </c>
      <c r="Z125" s="62" t="str" cm="1">
        <f t="array" ref="Z125">Common_InputFunctions.Utility_DisplayArrayInTable(Fertiliser_SourceData.Fertiliser_Products_Data2(), FertiliserProducts[[#Headers],[Company]],31)</f>
        <v/>
      </c>
      <c r="AA125" s="62" t="str" cm="1">
        <f t="array" ref="AA125">Common_InputFunctions.Utility_DisplayArrayInTable(Fertiliser_SourceData.Fertiliser_Products_Data2(), FertiliserProducts[[#Headers],[Company]],31)</f>
        <v/>
      </c>
      <c r="AB125" s="62" t="str" cm="1">
        <f t="array" ref="AB125">Common_InputFunctions.Utility_DisplayArrayInTable(Fertiliser_SourceData.Fertiliser_Products_Data2(), FertiliserProducts[[#Headers],[Company]],31)</f>
        <v/>
      </c>
      <c r="AC125" s="62" t="str" cm="1">
        <f t="array" ref="AC125">Common_InputFunctions.Utility_DisplayArrayInTable(Fertiliser_SourceData.Fertiliser_Products_Data2(), FertiliserProducts[[#Headers],[Company]],31)</f>
        <v/>
      </c>
      <c r="AD125" s="62" t="str" cm="1">
        <f t="array" ref="AD125">Common_InputFunctions.Utility_DisplayArrayInTable(Fertiliser_SourceData.Fertiliser_Products_Data2(), FertiliserProducts[[#Headers],[Company]],31)</f>
        <v/>
      </c>
      <c r="AE125" s="62" t="str" cm="1">
        <f t="array" ref="AE125">Common_InputFunctions.Utility_DisplayArrayInTable(Fertiliser_SourceData.Fertiliser_Products_Data2(), FertiliserProducts[[#Headers],[Company]],31)</f>
        <v/>
      </c>
      <c r="AF125" s="62" t="str" cm="1">
        <f t="array" ref="AF125">Common_InputFunctions.Utility_DisplayArrayInTable(Fertiliser_SourceData.Fertiliser_Products_Data2(), FertiliserProducts[[#Headers],[Company]],31)</f>
        <v/>
      </c>
      <c r="AG125" s="62" t="str" cm="1">
        <f t="array" ref="AG125">Common_InputFunctions.Utility_DisplayArrayInTable(Fertiliser_SourceData.Fertiliser_Products_Data2(), FertiliserProducts[[#Headers],[Company]],31)</f>
        <v/>
      </c>
      <c r="AH125" s="62" t="str" cm="1">
        <f t="array" ref="AH125">Common_InputFunctions.Utility_DisplayArrayInTable(Fertiliser_SourceData.Fertiliser_Products_Data2(), FertiliserProducts[[#Headers],[Company]],31)</f>
        <v/>
      </c>
      <c r="AK125" s="8"/>
      <c r="AL125" s="8"/>
      <c r="AM125" s="8"/>
    </row>
    <row r="126" spans="1:39" ht="20.100000000000001" customHeight="1" x14ac:dyDescent="0.25">
      <c r="A126"/>
      <c r="D126" s="62" t="str" cm="1">
        <f t="array" ref="D126">Common_InputFunctions.Utility_DisplayArrayInTable(Fertiliser_SourceData.Fertiliser_Products_Data2(), FertiliserProducts[[#Headers],[Company]],31)</f>
        <v>Microsol 12-6-44</v>
      </c>
      <c r="E126" s="62" t="str" cm="1">
        <f t="array" ref="E126">Common_InputFunctions.Utility_DisplayArrayInTable(Fertiliser_SourceData.Fertiliser_Products_Data2(), FertiliserProducts[[#Headers],[Company]],31)</f>
        <v/>
      </c>
      <c r="F126" s="62" t="str" cm="1">
        <f t="array" ref="F126">Common_InputFunctions.Utility_DisplayArrayInTable(Fertiliser_SourceData.Fertiliser_Products_Data2(), FertiliserProducts[[#Headers],[Company]],31)</f>
        <v/>
      </c>
      <c r="G126" s="62" t="str" cm="1">
        <f t="array" ref="G126">Common_InputFunctions.Utility_DisplayArrayInTable(Fertiliser_SourceData.Fertiliser_Products_Data2(), FertiliserProducts[[#Headers],[Company]],31)</f>
        <v/>
      </c>
      <c r="H126" s="62" t="str" cm="1">
        <f t="array" ref="H126">Common_InputFunctions.Utility_DisplayArrayInTable(Fertiliser_SourceData.Fertiliser_Products_Data2(), FertiliserProducts[[#Headers],[Company]],31)</f>
        <v/>
      </c>
      <c r="I126" s="62" t="str" cm="1">
        <f t="array" ref="I126">Common_InputFunctions.Utility_DisplayArrayInTable(Fertiliser_SourceData.Fertiliser_Products_Data2(), FertiliserProducts[[#Headers],[Company]],31)</f>
        <v/>
      </c>
      <c r="J126" s="62" t="str" cm="1">
        <f t="array" ref="J126">Common_InputFunctions.Utility_DisplayArrayInTable(Fertiliser_SourceData.Fertiliser_Products_Data2(), FertiliserProducts[[#Headers],[Company]],31)</f>
        <v/>
      </c>
      <c r="K126" s="62" t="str" cm="1">
        <f t="array" ref="K126">Common_InputFunctions.Utility_DisplayArrayInTable(Fertiliser_SourceData.Fertiliser_Products_Data2(), FertiliserProducts[[#Headers],[Company]],31)</f>
        <v/>
      </c>
      <c r="L126" s="62" t="str" cm="1">
        <f t="array" ref="L126">Common_InputFunctions.Utility_DisplayArrayInTable(Fertiliser_SourceData.Fertiliser_Products_Data2(), FertiliserProducts[[#Headers],[Company]],31)</f>
        <v/>
      </c>
      <c r="M126" s="62" t="str" cm="1">
        <f t="array" ref="M126">Common_InputFunctions.Utility_DisplayArrayInTable(Fertiliser_SourceData.Fertiliser_Products_Data2(), FertiliserProducts[[#Headers],[Company]],31)</f>
        <v/>
      </c>
      <c r="N126" s="62" t="str" cm="1">
        <f t="array" ref="N126">Common_InputFunctions.Utility_DisplayArrayInTable(Fertiliser_SourceData.Fertiliser_Products_Data2(), FertiliserProducts[[#Headers],[Company]],31)</f>
        <v/>
      </c>
      <c r="O126" s="62" t="str" cm="1">
        <f t="array" ref="O126">Common_InputFunctions.Utility_DisplayArrayInTable(Fertiliser_SourceData.Fertiliser_Products_Data2(), FertiliserProducts[[#Headers],[Company]],31)</f>
        <v/>
      </c>
      <c r="P126" s="62" t="str" cm="1">
        <f t="array" ref="P126">Common_InputFunctions.Utility_DisplayArrayInTable(Fertiliser_SourceData.Fertiliser_Products_Data2(), FertiliserProducts[[#Headers],[Company]],31)</f>
        <v/>
      </c>
      <c r="Q126" s="62" t="str" cm="1">
        <f t="array" ref="Q126">Common_InputFunctions.Utility_DisplayArrayInTable(Fertiliser_SourceData.Fertiliser_Products_Data2(), FertiliserProducts[[#Headers],[Company]],31)</f>
        <v/>
      </c>
      <c r="R126" s="62" t="str" cm="1">
        <f t="array" ref="R126">Common_InputFunctions.Utility_DisplayArrayInTable(Fertiliser_SourceData.Fertiliser_Products_Data2(), FertiliserProducts[[#Headers],[Company]],31)</f>
        <v/>
      </c>
      <c r="S126" s="62" t="str" cm="1">
        <f t="array" ref="S126">Common_InputFunctions.Utility_DisplayArrayInTable(Fertiliser_SourceData.Fertiliser_Products_Data2(), FertiliserProducts[[#Headers],[Company]],31)</f>
        <v/>
      </c>
      <c r="T126" s="62" t="str" cm="1">
        <f t="array" ref="T126">Common_InputFunctions.Utility_DisplayArrayInTable(Fertiliser_SourceData.Fertiliser_Products_Data2(), FertiliserProducts[[#Headers],[Company]],31)</f>
        <v/>
      </c>
      <c r="U126" s="62" t="str" cm="1">
        <f t="array" ref="U126">Common_InputFunctions.Utility_DisplayArrayInTable(Fertiliser_SourceData.Fertiliser_Products_Data2(), FertiliserProducts[[#Headers],[Company]],31)</f>
        <v/>
      </c>
      <c r="V126" s="62" t="str" cm="1">
        <f t="array" ref="V126">Common_InputFunctions.Utility_DisplayArrayInTable(Fertiliser_SourceData.Fertiliser_Products_Data2(), FertiliserProducts[[#Headers],[Company]],31)</f>
        <v/>
      </c>
      <c r="W126" s="62" t="str" cm="1">
        <f t="array" ref="W126">Common_InputFunctions.Utility_DisplayArrayInTable(Fertiliser_SourceData.Fertiliser_Products_Data2(), FertiliserProducts[[#Headers],[Company]],31)</f>
        <v>Rigbytaylor Microsol Range</v>
      </c>
      <c r="X126" s="62" t="str" cm="1">
        <f t="array" ref="X126">Common_InputFunctions.Utility_DisplayArrayInTable(Fertiliser_SourceData.Fertiliser_Products_Data2(), FertiliserProducts[[#Headers],[Company]],31)</f>
        <v/>
      </c>
      <c r="Y126" s="62" t="str" cm="1">
        <f t="array" ref="Y126">Common_InputFunctions.Utility_DisplayArrayInTable(Fertiliser_SourceData.Fertiliser_Products_Data2(), FertiliserProducts[[#Headers],[Company]],31)</f>
        <v/>
      </c>
      <c r="Z126" s="62" t="str" cm="1">
        <f t="array" ref="Z126">Common_InputFunctions.Utility_DisplayArrayInTable(Fertiliser_SourceData.Fertiliser_Products_Data2(), FertiliserProducts[[#Headers],[Company]],31)</f>
        <v/>
      </c>
      <c r="AA126" s="62" t="str" cm="1">
        <f t="array" ref="AA126">Common_InputFunctions.Utility_DisplayArrayInTable(Fertiliser_SourceData.Fertiliser_Products_Data2(), FertiliserProducts[[#Headers],[Company]],31)</f>
        <v/>
      </c>
      <c r="AB126" s="62" t="str" cm="1">
        <f t="array" ref="AB126">Common_InputFunctions.Utility_DisplayArrayInTable(Fertiliser_SourceData.Fertiliser_Products_Data2(), FertiliserProducts[[#Headers],[Company]],31)</f>
        <v/>
      </c>
      <c r="AC126" s="62" t="str" cm="1">
        <f t="array" ref="AC126">Common_InputFunctions.Utility_DisplayArrayInTable(Fertiliser_SourceData.Fertiliser_Products_Data2(), FertiliserProducts[[#Headers],[Company]],31)</f>
        <v/>
      </c>
      <c r="AD126" s="62" t="str" cm="1">
        <f t="array" ref="AD126">Common_InputFunctions.Utility_DisplayArrayInTable(Fertiliser_SourceData.Fertiliser_Products_Data2(), FertiliserProducts[[#Headers],[Company]],31)</f>
        <v/>
      </c>
      <c r="AE126" s="62" t="str" cm="1">
        <f t="array" ref="AE126">Common_InputFunctions.Utility_DisplayArrayInTable(Fertiliser_SourceData.Fertiliser_Products_Data2(), FertiliserProducts[[#Headers],[Company]],31)</f>
        <v/>
      </c>
      <c r="AF126" s="62" t="str" cm="1">
        <f t="array" ref="AF126">Common_InputFunctions.Utility_DisplayArrayInTable(Fertiliser_SourceData.Fertiliser_Products_Data2(), FertiliserProducts[[#Headers],[Company]],31)</f>
        <v/>
      </c>
      <c r="AG126" s="62" t="str" cm="1">
        <f t="array" ref="AG126">Common_InputFunctions.Utility_DisplayArrayInTable(Fertiliser_SourceData.Fertiliser_Products_Data2(), FertiliserProducts[[#Headers],[Company]],31)</f>
        <v/>
      </c>
      <c r="AH126" s="62" t="str" cm="1">
        <f t="array" ref="AH126">Common_InputFunctions.Utility_DisplayArrayInTable(Fertiliser_SourceData.Fertiliser_Products_Data2(), FertiliserProducts[[#Headers],[Company]],31)</f>
        <v/>
      </c>
      <c r="AK126" s="8"/>
      <c r="AL126" s="8"/>
      <c r="AM126" s="8"/>
    </row>
    <row r="127" spans="1:39" ht="20.100000000000001" customHeight="1" x14ac:dyDescent="0.25">
      <c r="A127"/>
      <c r="D127" s="62" t="str" cm="1">
        <f t="array" ref="D127">Common_InputFunctions.Utility_DisplayArrayInTable(Fertiliser_SourceData.Fertiliser_Products_Data2(), FertiliserProducts[[#Headers],[Company]],31)</f>
        <v>Microsol 16-32-16</v>
      </c>
      <c r="E127" s="62" t="str" cm="1">
        <f t="array" ref="E127">Common_InputFunctions.Utility_DisplayArrayInTable(Fertiliser_SourceData.Fertiliser_Products_Data2(), FertiliserProducts[[#Headers],[Company]],31)</f>
        <v/>
      </c>
      <c r="F127" s="62" t="str" cm="1">
        <f t="array" ref="F127">Common_InputFunctions.Utility_DisplayArrayInTable(Fertiliser_SourceData.Fertiliser_Products_Data2(), FertiliserProducts[[#Headers],[Company]],31)</f>
        <v/>
      </c>
      <c r="G127" s="62" t="str" cm="1">
        <f t="array" ref="G127">Common_InputFunctions.Utility_DisplayArrayInTable(Fertiliser_SourceData.Fertiliser_Products_Data2(), FertiliserProducts[[#Headers],[Company]],31)</f>
        <v/>
      </c>
      <c r="H127" s="62" t="str" cm="1">
        <f t="array" ref="H127">Common_InputFunctions.Utility_DisplayArrayInTable(Fertiliser_SourceData.Fertiliser_Products_Data2(), FertiliserProducts[[#Headers],[Company]],31)</f>
        <v/>
      </c>
      <c r="I127" s="62" t="str" cm="1">
        <f t="array" ref="I127">Common_InputFunctions.Utility_DisplayArrayInTable(Fertiliser_SourceData.Fertiliser_Products_Data2(), FertiliserProducts[[#Headers],[Company]],31)</f>
        <v/>
      </c>
      <c r="J127" s="62" t="str" cm="1">
        <f t="array" ref="J127">Common_InputFunctions.Utility_DisplayArrayInTable(Fertiliser_SourceData.Fertiliser_Products_Data2(), FertiliserProducts[[#Headers],[Company]],31)</f>
        <v/>
      </c>
      <c r="K127" s="62" t="str" cm="1">
        <f t="array" ref="K127">Common_InputFunctions.Utility_DisplayArrayInTable(Fertiliser_SourceData.Fertiliser_Products_Data2(), FertiliserProducts[[#Headers],[Company]],31)</f>
        <v/>
      </c>
      <c r="L127" s="62" t="str" cm="1">
        <f t="array" ref="L127">Common_InputFunctions.Utility_DisplayArrayInTable(Fertiliser_SourceData.Fertiliser_Products_Data2(), FertiliserProducts[[#Headers],[Company]],31)</f>
        <v/>
      </c>
      <c r="M127" s="62" t="str" cm="1">
        <f t="array" ref="M127">Common_InputFunctions.Utility_DisplayArrayInTable(Fertiliser_SourceData.Fertiliser_Products_Data2(), FertiliserProducts[[#Headers],[Company]],31)</f>
        <v/>
      </c>
      <c r="N127" s="62" t="str" cm="1">
        <f t="array" ref="N127">Common_InputFunctions.Utility_DisplayArrayInTable(Fertiliser_SourceData.Fertiliser_Products_Data2(), FertiliserProducts[[#Headers],[Company]],31)</f>
        <v/>
      </c>
      <c r="O127" s="62" t="str" cm="1">
        <f t="array" ref="O127">Common_InputFunctions.Utility_DisplayArrayInTable(Fertiliser_SourceData.Fertiliser_Products_Data2(), FertiliserProducts[[#Headers],[Company]],31)</f>
        <v/>
      </c>
      <c r="P127" s="62" t="str" cm="1">
        <f t="array" ref="P127">Common_InputFunctions.Utility_DisplayArrayInTable(Fertiliser_SourceData.Fertiliser_Products_Data2(), FertiliserProducts[[#Headers],[Company]],31)</f>
        <v/>
      </c>
      <c r="Q127" s="62" t="str" cm="1">
        <f t="array" ref="Q127">Common_InputFunctions.Utility_DisplayArrayInTable(Fertiliser_SourceData.Fertiliser_Products_Data2(), FertiliserProducts[[#Headers],[Company]],31)</f>
        <v/>
      </c>
      <c r="R127" s="62" t="str" cm="1">
        <f t="array" ref="R127">Common_InputFunctions.Utility_DisplayArrayInTable(Fertiliser_SourceData.Fertiliser_Products_Data2(), FertiliserProducts[[#Headers],[Company]],31)</f>
        <v/>
      </c>
      <c r="S127" s="62" t="str" cm="1">
        <f t="array" ref="S127">Common_InputFunctions.Utility_DisplayArrayInTable(Fertiliser_SourceData.Fertiliser_Products_Data2(), FertiliserProducts[[#Headers],[Company]],31)</f>
        <v/>
      </c>
      <c r="T127" s="62" t="str" cm="1">
        <f t="array" ref="T127">Common_InputFunctions.Utility_DisplayArrayInTable(Fertiliser_SourceData.Fertiliser_Products_Data2(), FertiliserProducts[[#Headers],[Company]],31)</f>
        <v/>
      </c>
      <c r="U127" s="62" t="str" cm="1">
        <f t="array" ref="U127">Common_InputFunctions.Utility_DisplayArrayInTable(Fertiliser_SourceData.Fertiliser_Products_Data2(), FertiliserProducts[[#Headers],[Company]],31)</f>
        <v/>
      </c>
      <c r="V127" s="62" t="str" cm="1">
        <f t="array" ref="V127">Common_InputFunctions.Utility_DisplayArrayInTable(Fertiliser_SourceData.Fertiliser_Products_Data2(), FertiliserProducts[[#Headers],[Company]],31)</f>
        <v/>
      </c>
      <c r="W127" s="62" t="str" cm="1">
        <f t="array" ref="W127">Common_InputFunctions.Utility_DisplayArrayInTable(Fertiliser_SourceData.Fertiliser_Products_Data2(), FertiliserProducts[[#Headers],[Company]],31)</f>
        <v>Rigbytaylor Microsol Range</v>
      </c>
      <c r="X127" s="62" t="str" cm="1">
        <f t="array" ref="X127">Common_InputFunctions.Utility_DisplayArrayInTable(Fertiliser_SourceData.Fertiliser_Products_Data2(), FertiliserProducts[[#Headers],[Company]],31)</f>
        <v/>
      </c>
      <c r="Y127" s="62" t="str" cm="1">
        <f t="array" ref="Y127">Common_InputFunctions.Utility_DisplayArrayInTable(Fertiliser_SourceData.Fertiliser_Products_Data2(), FertiliserProducts[[#Headers],[Company]],31)</f>
        <v/>
      </c>
      <c r="Z127" s="62" t="str" cm="1">
        <f t="array" ref="Z127">Common_InputFunctions.Utility_DisplayArrayInTable(Fertiliser_SourceData.Fertiliser_Products_Data2(), FertiliserProducts[[#Headers],[Company]],31)</f>
        <v/>
      </c>
      <c r="AA127" s="62" t="str" cm="1">
        <f t="array" ref="AA127">Common_InputFunctions.Utility_DisplayArrayInTable(Fertiliser_SourceData.Fertiliser_Products_Data2(), FertiliserProducts[[#Headers],[Company]],31)</f>
        <v/>
      </c>
      <c r="AB127" s="62" t="str" cm="1">
        <f t="array" ref="AB127">Common_InputFunctions.Utility_DisplayArrayInTable(Fertiliser_SourceData.Fertiliser_Products_Data2(), FertiliserProducts[[#Headers],[Company]],31)</f>
        <v/>
      </c>
      <c r="AC127" s="62" t="str" cm="1">
        <f t="array" ref="AC127">Common_InputFunctions.Utility_DisplayArrayInTable(Fertiliser_SourceData.Fertiliser_Products_Data2(), FertiliserProducts[[#Headers],[Company]],31)</f>
        <v/>
      </c>
      <c r="AD127" s="62" t="str" cm="1">
        <f t="array" ref="AD127">Common_InputFunctions.Utility_DisplayArrayInTable(Fertiliser_SourceData.Fertiliser_Products_Data2(), FertiliserProducts[[#Headers],[Company]],31)</f>
        <v/>
      </c>
      <c r="AE127" s="62" t="str" cm="1">
        <f t="array" ref="AE127">Common_InputFunctions.Utility_DisplayArrayInTable(Fertiliser_SourceData.Fertiliser_Products_Data2(), FertiliserProducts[[#Headers],[Company]],31)</f>
        <v/>
      </c>
      <c r="AF127" s="62" t="str" cm="1">
        <f t="array" ref="AF127">Common_InputFunctions.Utility_DisplayArrayInTable(Fertiliser_SourceData.Fertiliser_Products_Data2(), FertiliserProducts[[#Headers],[Company]],31)</f>
        <v/>
      </c>
      <c r="AG127" s="62" t="str" cm="1">
        <f t="array" ref="AG127">Common_InputFunctions.Utility_DisplayArrayInTable(Fertiliser_SourceData.Fertiliser_Products_Data2(), FertiliserProducts[[#Headers],[Company]],31)</f>
        <v/>
      </c>
      <c r="AH127" s="62" t="str" cm="1">
        <f t="array" ref="AH127">Common_InputFunctions.Utility_DisplayArrayInTable(Fertiliser_SourceData.Fertiliser_Products_Data2(), FertiliserProducts[[#Headers],[Company]],31)</f>
        <v/>
      </c>
      <c r="AK127" s="8"/>
      <c r="AL127" s="8"/>
      <c r="AM127" s="8"/>
    </row>
    <row r="128" spans="1:39" ht="20.100000000000001" customHeight="1" x14ac:dyDescent="0.25">
      <c r="A128"/>
      <c r="D128" s="62" t="str" cm="1">
        <f t="array" ref="D128">Common_InputFunctions.Utility_DisplayArrayInTable(Fertiliser_SourceData.Fertiliser_Products_Data2(), FertiliserProducts[[#Headers],[Company]],31)</f>
        <v>Microsol 25-5-10</v>
      </c>
      <c r="E128" s="62" t="str" cm="1">
        <f t="array" ref="E128">Common_InputFunctions.Utility_DisplayArrayInTable(Fertiliser_SourceData.Fertiliser_Products_Data2(), FertiliserProducts[[#Headers],[Company]],31)</f>
        <v/>
      </c>
      <c r="F128" s="62" t="str" cm="1">
        <f t="array" ref="F128">Common_InputFunctions.Utility_DisplayArrayInTable(Fertiliser_SourceData.Fertiliser_Products_Data2(), FertiliserProducts[[#Headers],[Company]],31)</f>
        <v/>
      </c>
      <c r="G128" s="62" t="str" cm="1">
        <f t="array" ref="G128">Common_InputFunctions.Utility_DisplayArrayInTable(Fertiliser_SourceData.Fertiliser_Products_Data2(), FertiliserProducts[[#Headers],[Company]],31)</f>
        <v/>
      </c>
      <c r="H128" s="62" t="str" cm="1">
        <f t="array" ref="H128">Common_InputFunctions.Utility_DisplayArrayInTable(Fertiliser_SourceData.Fertiliser_Products_Data2(), FertiliserProducts[[#Headers],[Company]],31)</f>
        <v/>
      </c>
      <c r="I128" s="62" t="str" cm="1">
        <f t="array" ref="I128">Common_InputFunctions.Utility_DisplayArrayInTable(Fertiliser_SourceData.Fertiliser_Products_Data2(), FertiliserProducts[[#Headers],[Company]],31)</f>
        <v/>
      </c>
      <c r="J128" s="62" t="str" cm="1">
        <f t="array" ref="J128">Common_InputFunctions.Utility_DisplayArrayInTable(Fertiliser_SourceData.Fertiliser_Products_Data2(), FertiliserProducts[[#Headers],[Company]],31)</f>
        <v/>
      </c>
      <c r="K128" s="62" t="str" cm="1">
        <f t="array" ref="K128">Common_InputFunctions.Utility_DisplayArrayInTable(Fertiliser_SourceData.Fertiliser_Products_Data2(), FertiliserProducts[[#Headers],[Company]],31)</f>
        <v/>
      </c>
      <c r="L128" s="62" t="str" cm="1">
        <f t="array" ref="L128">Common_InputFunctions.Utility_DisplayArrayInTable(Fertiliser_SourceData.Fertiliser_Products_Data2(), FertiliserProducts[[#Headers],[Company]],31)</f>
        <v/>
      </c>
      <c r="M128" s="62" t="str" cm="1">
        <f t="array" ref="M128">Common_InputFunctions.Utility_DisplayArrayInTable(Fertiliser_SourceData.Fertiliser_Products_Data2(), FertiliserProducts[[#Headers],[Company]],31)</f>
        <v/>
      </c>
      <c r="N128" s="62" t="str" cm="1">
        <f t="array" ref="N128">Common_InputFunctions.Utility_DisplayArrayInTable(Fertiliser_SourceData.Fertiliser_Products_Data2(), FertiliserProducts[[#Headers],[Company]],31)</f>
        <v/>
      </c>
      <c r="O128" s="62" t="str" cm="1">
        <f t="array" ref="O128">Common_InputFunctions.Utility_DisplayArrayInTable(Fertiliser_SourceData.Fertiliser_Products_Data2(), FertiliserProducts[[#Headers],[Company]],31)</f>
        <v/>
      </c>
      <c r="P128" s="62" t="str" cm="1">
        <f t="array" ref="P128">Common_InputFunctions.Utility_DisplayArrayInTable(Fertiliser_SourceData.Fertiliser_Products_Data2(), FertiliserProducts[[#Headers],[Company]],31)</f>
        <v/>
      </c>
      <c r="Q128" s="62" t="str" cm="1">
        <f t="array" ref="Q128">Common_InputFunctions.Utility_DisplayArrayInTable(Fertiliser_SourceData.Fertiliser_Products_Data2(), FertiliserProducts[[#Headers],[Company]],31)</f>
        <v/>
      </c>
      <c r="R128" s="62" t="str" cm="1">
        <f t="array" ref="R128">Common_InputFunctions.Utility_DisplayArrayInTable(Fertiliser_SourceData.Fertiliser_Products_Data2(), FertiliserProducts[[#Headers],[Company]],31)</f>
        <v/>
      </c>
      <c r="S128" s="62" t="str" cm="1">
        <f t="array" ref="S128">Common_InputFunctions.Utility_DisplayArrayInTable(Fertiliser_SourceData.Fertiliser_Products_Data2(), FertiliserProducts[[#Headers],[Company]],31)</f>
        <v/>
      </c>
      <c r="T128" s="62" t="str" cm="1">
        <f t="array" ref="T128">Common_InputFunctions.Utility_DisplayArrayInTable(Fertiliser_SourceData.Fertiliser_Products_Data2(), FertiliserProducts[[#Headers],[Company]],31)</f>
        <v/>
      </c>
      <c r="U128" s="62" t="str" cm="1">
        <f t="array" ref="U128">Common_InputFunctions.Utility_DisplayArrayInTable(Fertiliser_SourceData.Fertiliser_Products_Data2(), FertiliserProducts[[#Headers],[Company]],31)</f>
        <v/>
      </c>
      <c r="V128" s="62" t="str" cm="1">
        <f t="array" ref="V128">Common_InputFunctions.Utility_DisplayArrayInTable(Fertiliser_SourceData.Fertiliser_Products_Data2(), FertiliserProducts[[#Headers],[Company]],31)</f>
        <v/>
      </c>
      <c r="W128" s="62" t="str" cm="1">
        <f t="array" ref="W128">Common_InputFunctions.Utility_DisplayArrayInTable(Fertiliser_SourceData.Fertiliser_Products_Data2(), FertiliserProducts[[#Headers],[Company]],31)</f>
        <v>Rigbytaylor Microsol Range</v>
      </c>
      <c r="X128" s="62" t="str" cm="1">
        <f t="array" ref="X128">Common_InputFunctions.Utility_DisplayArrayInTable(Fertiliser_SourceData.Fertiliser_Products_Data2(), FertiliserProducts[[#Headers],[Company]],31)</f>
        <v/>
      </c>
      <c r="Y128" s="62" t="str" cm="1">
        <f t="array" ref="Y128">Common_InputFunctions.Utility_DisplayArrayInTable(Fertiliser_SourceData.Fertiliser_Products_Data2(), FertiliserProducts[[#Headers],[Company]],31)</f>
        <v/>
      </c>
      <c r="Z128" s="62" t="str" cm="1">
        <f t="array" ref="Z128">Common_InputFunctions.Utility_DisplayArrayInTable(Fertiliser_SourceData.Fertiliser_Products_Data2(), FertiliserProducts[[#Headers],[Company]],31)</f>
        <v/>
      </c>
      <c r="AA128" s="62" t="str" cm="1">
        <f t="array" ref="AA128">Common_InputFunctions.Utility_DisplayArrayInTable(Fertiliser_SourceData.Fertiliser_Products_Data2(), FertiliserProducts[[#Headers],[Company]],31)</f>
        <v/>
      </c>
      <c r="AB128" s="62" t="str" cm="1">
        <f t="array" ref="AB128">Common_InputFunctions.Utility_DisplayArrayInTable(Fertiliser_SourceData.Fertiliser_Products_Data2(), FertiliserProducts[[#Headers],[Company]],31)</f>
        <v/>
      </c>
      <c r="AC128" s="62" t="str" cm="1">
        <f t="array" ref="AC128">Common_InputFunctions.Utility_DisplayArrayInTable(Fertiliser_SourceData.Fertiliser_Products_Data2(), FertiliserProducts[[#Headers],[Company]],31)</f>
        <v/>
      </c>
      <c r="AD128" s="62" t="str" cm="1">
        <f t="array" ref="AD128">Common_InputFunctions.Utility_DisplayArrayInTable(Fertiliser_SourceData.Fertiliser_Products_Data2(), FertiliserProducts[[#Headers],[Company]],31)</f>
        <v/>
      </c>
      <c r="AE128" s="62" t="str" cm="1">
        <f t="array" ref="AE128">Common_InputFunctions.Utility_DisplayArrayInTable(Fertiliser_SourceData.Fertiliser_Products_Data2(), FertiliserProducts[[#Headers],[Company]],31)</f>
        <v/>
      </c>
      <c r="AF128" s="62" t="str" cm="1">
        <f t="array" ref="AF128">Common_InputFunctions.Utility_DisplayArrayInTable(Fertiliser_SourceData.Fertiliser_Products_Data2(), FertiliserProducts[[#Headers],[Company]],31)</f>
        <v/>
      </c>
      <c r="AG128" s="62" t="str" cm="1">
        <f t="array" ref="AG128">Common_InputFunctions.Utility_DisplayArrayInTable(Fertiliser_SourceData.Fertiliser_Products_Data2(), FertiliserProducts[[#Headers],[Company]],31)</f>
        <v/>
      </c>
      <c r="AH128" s="62" t="str" cm="1">
        <f t="array" ref="AH128">Common_InputFunctions.Utility_DisplayArrayInTable(Fertiliser_SourceData.Fertiliser_Products_Data2(), FertiliserProducts[[#Headers],[Company]],31)</f>
        <v/>
      </c>
      <c r="AK128" s="8"/>
      <c r="AL128" s="8"/>
      <c r="AM128" s="8"/>
    </row>
    <row r="129" spans="1:39" ht="20.100000000000001" customHeight="1" x14ac:dyDescent="0.25">
      <c r="A129"/>
      <c r="D129" s="62" t="str" cm="1">
        <f t="array" ref="D129">Common_InputFunctions.Utility_DisplayArrayInTable(Fertiliser_SourceData.Fertiliser_Products_Data2(), FertiliserProducts[[#Headers],[Company]],31)</f>
        <v>Microsol 28-0-14</v>
      </c>
      <c r="E129" s="62" t="str" cm="1">
        <f t="array" ref="E129">Common_InputFunctions.Utility_DisplayArrayInTable(Fertiliser_SourceData.Fertiliser_Products_Data2(), FertiliserProducts[[#Headers],[Company]],31)</f>
        <v/>
      </c>
      <c r="F129" s="62" t="str" cm="1">
        <f t="array" ref="F129">Common_InputFunctions.Utility_DisplayArrayInTable(Fertiliser_SourceData.Fertiliser_Products_Data2(), FertiliserProducts[[#Headers],[Company]],31)</f>
        <v/>
      </c>
      <c r="G129" s="62" t="str" cm="1">
        <f t="array" ref="G129">Common_InputFunctions.Utility_DisplayArrayInTable(Fertiliser_SourceData.Fertiliser_Products_Data2(), FertiliserProducts[[#Headers],[Company]],31)</f>
        <v/>
      </c>
      <c r="H129" s="62" t="str" cm="1">
        <f t="array" ref="H129">Common_InputFunctions.Utility_DisplayArrayInTable(Fertiliser_SourceData.Fertiliser_Products_Data2(), FertiliserProducts[[#Headers],[Company]],31)</f>
        <v/>
      </c>
      <c r="I129" s="62" t="str" cm="1">
        <f t="array" ref="I129">Common_InputFunctions.Utility_DisplayArrayInTable(Fertiliser_SourceData.Fertiliser_Products_Data2(), FertiliserProducts[[#Headers],[Company]],31)</f>
        <v/>
      </c>
      <c r="J129" s="62" t="str" cm="1">
        <f t="array" ref="J129">Common_InputFunctions.Utility_DisplayArrayInTable(Fertiliser_SourceData.Fertiliser_Products_Data2(), FertiliserProducts[[#Headers],[Company]],31)</f>
        <v/>
      </c>
      <c r="K129" s="62" t="str" cm="1">
        <f t="array" ref="K129">Common_InputFunctions.Utility_DisplayArrayInTable(Fertiliser_SourceData.Fertiliser_Products_Data2(), FertiliserProducts[[#Headers],[Company]],31)</f>
        <v/>
      </c>
      <c r="L129" s="62" t="str" cm="1">
        <f t="array" ref="L129">Common_InputFunctions.Utility_DisplayArrayInTable(Fertiliser_SourceData.Fertiliser_Products_Data2(), FertiliserProducts[[#Headers],[Company]],31)</f>
        <v/>
      </c>
      <c r="M129" s="62" t="str" cm="1">
        <f t="array" ref="M129">Common_InputFunctions.Utility_DisplayArrayInTable(Fertiliser_SourceData.Fertiliser_Products_Data2(), FertiliserProducts[[#Headers],[Company]],31)</f>
        <v/>
      </c>
      <c r="N129" s="62" t="str" cm="1">
        <f t="array" ref="N129">Common_InputFunctions.Utility_DisplayArrayInTable(Fertiliser_SourceData.Fertiliser_Products_Data2(), FertiliserProducts[[#Headers],[Company]],31)</f>
        <v/>
      </c>
      <c r="O129" s="62" t="str" cm="1">
        <f t="array" ref="O129">Common_InputFunctions.Utility_DisplayArrayInTable(Fertiliser_SourceData.Fertiliser_Products_Data2(), FertiliserProducts[[#Headers],[Company]],31)</f>
        <v/>
      </c>
      <c r="P129" s="62" t="str" cm="1">
        <f t="array" ref="P129">Common_InputFunctions.Utility_DisplayArrayInTable(Fertiliser_SourceData.Fertiliser_Products_Data2(), FertiliserProducts[[#Headers],[Company]],31)</f>
        <v/>
      </c>
      <c r="Q129" s="62" t="str" cm="1">
        <f t="array" ref="Q129">Common_InputFunctions.Utility_DisplayArrayInTable(Fertiliser_SourceData.Fertiliser_Products_Data2(), FertiliserProducts[[#Headers],[Company]],31)</f>
        <v/>
      </c>
      <c r="R129" s="62" t="str" cm="1">
        <f t="array" ref="R129">Common_InputFunctions.Utility_DisplayArrayInTable(Fertiliser_SourceData.Fertiliser_Products_Data2(), FertiliserProducts[[#Headers],[Company]],31)</f>
        <v/>
      </c>
      <c r="S129" s="62" t="str" cm="1">
        <f t="array" ref="S129">Common_InputFunctions.Utility_DisplayArrayInTable(Fertiliser_SourceData.Fertiliser_Products_Data2(), FertiliserProducts[[#Headers],[Company]],31)</f>
        <v/>
      </c>
      <c r="T129" s="62" t="str" cm="1">
        <f t="array" ref="T129">Common_InputFunctions.Utility_DisplayArrayInTable(Fertiliser_SourceData.Fertiliser_Products_Data2(), FertiliserProducts[[#Headers],[Company]],31)</f>
        <v/>
      </c>
      <c r="U129" s="62" t="str" cm="1">
        <f t="array" ref="U129">Common_InputFunctions.Utility_DisplayArrayInTable(Fertiliser_SourceData.Fertiliser_Products_Data2(), FertiliserProducts[[#Headers],[Company]],31)</f>
        <v/>
      </c>
      <c r="V129" s="62" t="str" cm="1">
        <f t="array" ref="V129">Common_InputFunctions.Utility_DisplayArrayInTable(Fertiliser_SourceData.Fertiliser_Products_Data2(), FertiliserProducts[[#Headers],[Company]],31)</f>
        <v/>
      </c>
      <c r="W129" s="62" t="str" cm="1">
        <f t="array" ref="W129">Common_InputFunctions.Utility_DisplayArrayInTable(Fertiliser_SourceData.Fertiliser_Products_Data2(), FertiliserProducts[[#Headers],[Company]],31)</f>
        <v>Rigbytaylor Microsol Range</v>
      </c>
      <c r="X129" s="62" t="str" cm="1">
        <f t="array" ref="X129">Common_InputFunctions.Utility_DisplayArrayInTable(Fertiliser_SourceData.Fertiliser_Products_Data2(), FertiliserProducts[[#Headers],[Company]],31)</f>
        <v/>
      </c>
      <c r="Y129" s="62" t="str" cm="1">
        <f t="array" ref="Y129">Common_InputFunctions.Utility_DisplayArrayInTable(Fertiliser_SourceData.Fertiliser_Products_Data2(), FertiliserProducts[[#Headers],[Company]],31)</f>
        <v/>
      </c>
      <c r="Z129" s="62" t="str" cm="1">
        <f t="array" ref="Z129">Common_InputFunctions.Utility_DisplayArrayInTable(Fertiliser_SourceData.Fertiliser_Products_Data2(), FertiliserProducts[[#Headers],[Company]],31)</f>
        <v/>
      </c>
      <c r="AA129" s="62" t="str" cm="1">
        <f t="array" ref="AA129">Common_InputFunctions.Utility_DisplayArrayInTable(Fertiliser_SourceData.Fertiliser_Products_Data2(), FertiliserProducts[[#Headers],[Company]],31)</f>
        <v/>
      </c>
      <c r="AB129" s="62" t="str" cm="1">
        <f t="array" ref="AB129">Common_InputFunctions.Utility_DisplayArrayInTable(Fertiliser_SourceData.Fertiliser_Products_Data2(), FertiliserProducts[[#Headers],[Company]],31)</f>
        <v/>
      </c>
      <c r="AC129" s="62" t="str" cm="1">
        <f t="array" ref="AC129">Common_InputFunctions.Utility_DisplayArrayInTable(Fertiliser_SourceData.Fertiliser_Products_Data2(), FertiliserProducts[[#Headers],[Company]],31)</f>
        <v/>
      </c>
      <c r="AD129" s="62" t="str" cm="1">
        <f t="array" ref="AD129">Common_InputFunctions.Utility_DisplayArrayInTable(Fertiliser_SourceData.Fertiliser_Products_Data2(), FertiliserProducts[[#Headers],[Company]],31)</f>
        <v/>
      </c>
      <c r="AE129" s="62" t="str" cm="1">
        <f t="array" ref="AE129">Common_InputFunctions.Utility_DisplayArrayInTable(Fertiliser_SourceData.Fertiliser_Products_Data2(), FertiliserProducts[[#Headers],[Company]],31)</f>
        <v/>
      </c>
      <c r="AF129" s="62" t="str" cm="1">
        <f t="array" ref="AF129">Common_InputFunctions.Utility_DisplayArrayInTable(Fertiliser_SourceData.Fertiliser_Products_Data2(), FertiliserProducts[[#Headers],[Company]],31)</f>
        <v/>
      </c>
      <c r="AG129" s="62" t="str" cm="1">
        <f t="array" ref="AG129">Common_InputFunctions.Utility_DisplayArrayInTable(Fertiliser_SourceData.Fertiliser_Products_Data2(), FertiliserProducts[[#Headers],[Company]],31)</f>
        <v/>
      </c>
      <c r="AH129" s="62" t="str" cm="1">
        <f t="array" ref="AH129">Common_InputFunctions.Utility_DisplayArrayInTable(Fertiliser_SourceData.Fertiliser_Products_Data2(), FertiliserProducts[[#Headers],[Company]],31)</f>
        <v/>
      </c>
      <c r="AK129" s="8"/>
      <c r="AL129" s="8"/>
      <c r="AM129" s="8"/>
    </row>
    <row r="130" spans="1:39" ht="20.100000000000001" customHeight="1" x14ac:dyDescent="0.25">
      <c r="A130"/>
      <c r="D130" s="62" t="str" cm="1">
        <f t="array" ref="D130">Common_InputFunctions.Utility_DisplayArrayInTable(Fertiliser_SourceData.Fertiliser_Products_Data2(), FertiliserProducts[[#Headers],[Company]],31)</f>
        <v>Mono Potassium Phosphate MKP</v>
      </c>
      <c r="E130" s="62" t="str" cm="1">
        <f t="array" ref="E130">Common_InputFunctions.Utility_DisplayArrayInTable(Fertiliser_SourceData.Fertiliser_Products_Data2(), FertiliserProducts[[#Headers],[Company]],31)</f>
        <v/>
      </c>
      <c r="F130" s="62" t="str" cm="1">
        <f t="array" ref="F130">Common_InputFunctions.Utility_DisplayArrayInTable(Fertiliser_SourceData.Fertiliser_Products_Data2(), FertiliserProducts[[#Headers],[Company]],31)</f>
        <v/>
      </c>
      <c r="G130" s="62" t="str" cm="1">
        <f t="array" ref="G130">Common_InputFunctions.Utility_DisplayArrayInTable(Fertiliser_SourceData.Fertiliser_Products_Data2(), FertiliserProducts[[#Headers],[Company]],31)</f>
        <v/>
      </c>
      <c r="H130" s="62" t="str" cm="1">
        <f t="array" ref="H130">Common_InputFunctions.Utility_DisplayArrayInTable(Fertiliser_SourceData.Fertiliser_Products_Data2(), FertiliserProducts[[#Headers],[Company]],31)</f>
        <v/>
      </c>
      <c r="I130" s="62" t="str" cm="1">
        <f t="array" ref="I130">Common_InputFunctions.Utility_DisplayArrayInTable(Fertiliser_SourceData.Fertiliser_Products_Data2(), FertiliserProducts[[#Headers],[Company]],31)</f>
        <v/>
      </c>
      <c r="J130" s="62" t="str" cm="1">
        <f t="array" ref="J130">Common_InputFunctions.Utility_DisplayArrayInTable(Fertiliser_SourceData.Fertiliser_Products_Data2(), FertiliserProducts[[#Headers],[Company]],31)</f>
        <v/>
      </c>
      <c r="K130" s="62" t="str" cm="1">
        <f t="array" ref="K130">Common_InputFunctions.Utility_DisplayArrayInTable(Fertiliser_SourceData.Fertiliser_Products_Data2(), FertiliserProducts[[#Headers],[Company]],31)</f>
        <v/>
      </c>
      <c r="L130" s="62" t="str" cm="1">
        <f t="array" ref="L130">Common_InputFunctions.Utility_DisplayArrayInTable(Fertiliser_SourceData.Fertiliser_Products_Data2(), FertiliserProducts[[#Headers],[Company]],31)</f>
        <v/>
      </c>
      <c r="M130" s="62" t="str" cm="1">
        <f t="array" ref="M130">Common_InputFunctions.Utility_DisplayArrayInTable(Fertiliser_SourceData.Fertiliser_Products_Data2(), FertiliserProducts[[#Headers],[Company]],31)</f>
        <v/>
      </c>
      <c r="N130" s="62" t="str" cm="1">
        <f t="array" ref="N130">Common_InputFunctions.Utility_DisplayArrayInTable(Fertiliser_SourceData.Fertiliser_Products_Data2(), FertiliserProducts[[#Headers],[Company]],31)</f>
        <v/>
      </c>
      <c r="O130" s="62" t="str" cm="1">
        <f t="array" ref="O130">Common_InputFunctions.Utility_DisplayArrayInTable(Fertiliser_SourceData.Fertiliser_Products_Data2(), FertiliserProducts[[#Headers],[Company]],31)</f>
        <v/>
      </c>
      <c r="P130" s="62" t="str" cm="1">
        <f t="array" ref="P130">Common_InputFunctions.Utility_DisplayArrayInTable(Fertiliser_SourceData.Fertiliser_Products_Data2(), FertiliserProducts[[#Headers],[Company]],31)</f>
        <v/>
      </c>
      <c r="Q130" s="62" t="str" cm="1">
        <f t="array" ref="Q130">Common_InputFunctions.Utility_DisplayArrayInTable(Fertiliser_SourceData.Fertiliser_Products_Data2(), FertiliserProducts[[#Headers],[Company]],31)</f>
        <v/>
      </c>
      <c r="R130" s="62" t="str" cm="1">
        <f t="array" ref="R130">Common_InputFunctions.Utility_DisplayArrayInTable(Fertiliser_SourceData.Fertiliser_Products_Data2(), FertiliserProducts[[#Headers],[Company]],31)</f>
        <v/>
      </c>
      <c r="S130" s="62" t="str" cm="1">
        <f t="array" ref="S130">Common_InputFunctions.Utility_DisplayArrayInTable(Fertiliser_SourceData.Fertiliser_Products_Data2(), FertiliserProducts[[#Headers],[Company]],31)</f>
        <v/>
      </c>
      <c r="T130" s="62" t="str" cm="1">
        <f t="array" ref="T130">Common_InputFunctions.Utility_DisplayArrayInTable(Fertiliser_SourceData.Fertiliser_Products_Data2(), FertiliserProducts[[#Headers],[Company]],31)</f>
        <v/>
      </c>
      <c r="U130" s="62" t="str" cm="1">
        <f t="array" ref="U130">Common_InputFunctions.Utility_DisplayArrayInTable(Fertiliser_SourceData.Fertiliser_Products_Data2(), FertiliserProducts[[#Headers],[Company]],31)</f>
        <v/>
      </c>
      <c r="V130" s="62" t="str" cm="1">
        <f t="array" ref="V130">Common_InputFunctions.Utility_DisplayArrayInTable(Fertiliser_SourceData.Fertiliser_Products_Data2(), FertiliserProducts[[#Headers],[Company]],31)</f>
        <v/>
      </c>
      <c r="W130" s="62" t="str" cm="1">
        <f t="array" ref="W130">Common_InputFunctions.Utility_DisplayArrayInTable(Fertiliser_SourceData.Fertiliser_Products_Data2(), FertiliserProducts[[#Headers],[Company]],31)</f>
        <v>Swancrop</v>
      </c>
      <c r="X130" s="62" t="str" cm="1">
        <f t="array" ref="X130">Common_InputFunctions.Utility_DisplayArrayInTable(Fertiliser_SourceData.Fertiliser_Products_Data2(), FertiliserProducts[[#Headers],[Company]],31)</f>
        <v/>
      </c>
      <c r="Y130" s="62" t="str" cm="1">
        <f t="array" ref="Y130">Common_InputFunctions.Utility_DisplayArrayInTable(Fertiliser_SourceData.Fertiliser_Products_Data2(), FertiliserProducts[[#Headers],[Company]],31)</f>
        <v/>
      </c>
      <c r="Z130" s="62" t="str" cm="1">
        <f t="array" ref="Z130">Common_InputFunctions.Utility_DisplayArrayInTable(Fertiliser_SourceData.Fertiliser_Products_Data2(), FertiliserProducts[[#Headers],[Company]],31)</f>
        <v/>
      </c>
      <c r="AA130" s="62" t="str" cm="1">
        <f t="array" ref="AA130">Common_InputFunctions.Utility_DisplayArrayInTable(Fertiliser_SourceData.Fertiliser_Products_Data2(), FertiliserProducts[[#Headers],[Company]],31)</f>
        <v/>
      </c>
      <c r="AB130" s="62" t="str" cm="1">
        <f t="array" ref="AB130">Common_InputFunctions.Utility_DisplayArrayInTable(Fertiliser_SourceData.Fertiliser_Products_Data2(), FertiliserProducts[[#Headers],[Company]],31)</f>
        <v/>
      </c>
      <c r="AC130" s="62" t="str" cm="1">
        <f t="array" ref="AC130">Common_InputFunctions.Utility_DisplayArrayInTable(Fertiliser_SourceData.Fertiliser_Products_Data2(), FertiliserProducts[[#Headers],[Company]],31)</f>
        <v/>
      </c>
      <c r="AD130" s="62" t="str" cm="1">
        <f t="array" ref="AD130">Common_InputFunctions.Utility_DisplayArrayInTable(Fertiliser_SourceData.Fertiliser_Products_Data2(), FertiliserProducts[[#Headers],[Company]],31)</f>
        <v/>
      </c>
      <c r="AE130" s="62" t="str" cm="1">
        <f t="array" ref="AE130">Common_InputFunctions.Utility_DisplayArrayInTable(Fertiliser_SourceData.Fertiliser_Products_Data2(), FertiliserProducts[[#Headers],[Company]],31)</f>
        <v/>
      </c>
      <c r="AF130" s="62" t="str" cm="1">
        <f t="array" ref="AF130">Common_InputFunctions.Utility_DisplayArrayInTable(Fertiliser_SourceData.Fertiliser_Products_Data2(), FertiliserProducts[[#Headers],[Company]],31)</f>
        <v/>
      </c>
      <c r="AG130" s="62" t="str" cm="1">
        <f t="array" ref="AG130">Common_InputFunctions.Utility_DisplayArrayInTable(Fertiliser_SourceData.Fertiliser_Products_Data2(), FertiliserProducts[[#Headers],[Company]],31)</f>
        <v/>
      </c>
      <c r="AH130" s="62" t="str" cm="1">
        <f t="array" ref="AH130">Common_InputFunctions.Utility_DisplayArrayInTable(Fertiliser_SourceData.Fertiliser_Products_Data2(), FertiliserProducts[[#Headers],[Company]],31)</f>
        <v/>
      </c>
      <c r="AK130" s="8"/>
      <c r="AL130" s="8"/>
      <c r="AM130" s="8"/>
    </row>
    <row r="131" spans="1:39" ht="20.100000000000001" customHeight="1" x14ac:dyDescent="0.25">
      <c r="A131"/>
      <c r="D131" s="62" t="str" cm="1">
        <f t="array" ref="D131">Common_InputFunctions.Utility_DisplayArrayInTable(Fertiliser_SourceData.Fertiliser_Products_Data2(), FertiliserProducts[[#Headers],[Company]],31)</f>
        <v>Muriate Of Potash MOP</v>
      </c>
      <c r="E131" s="62" t="str" cm="1">
        <f t="array" ref="E131">Common_InputFunctions.Utility_DisplayArrayInTable(Fertiliser_SourceData.Fertiliser_Products_Data2(), FertiliserProducts[[#Headers],[Company]],31)</f>
        <v/>
      </c>
      <c r="F131" s="62" t="str" cm="1">
        <f t="array" ref="F131">Common_InputFunctions.Utility_DisplayArrayInTable(Fertiliser_SourceData.Fertiliser_Products_Data2(), FertiliserProducts[[#Headers],[Company]],31)</f>
        <v/>
      </c>
      <c r="G131" s="62" t="str" cm="1">
        <f t="array" ref="G131">Common_InputFunctions.Utility_DisplayArrayInTable(Fertiliser_SourceData.Fertiliser_Products_Data2(), FertiliserProducts[[#Headers],[Company]],31)</f>
        <v/>
      </c>
      <c r="H131" s="62" t="str" cm="1">
        <f t="array" ref="H131">Common_InputFunctions.Utility_DisplayArrayInTable(Fertiliser_SourceData.Fertiliser_Products_Data2(), FertiliserProducts[[#Headers],[Company]],31)</f>
        <v/>
      </c>
      <c r="I131" s="62" t="str" cm="1">
        <f t="array" ref="I131">Common_InputFunctions.Utility_DisplayArrayInTable(Fertiliser_SourceData.Fertiliser_Products_Data2(), FertiliserProducts[[#Headers],[Company]],31)</f>
        <v/>
      </c>
      <c r="J131" s="62" t="str" cm="1">
        <f t="array" ref="J131">Common_InputFunctions.Utility_DisplayArrayInTable(Fertiliser_SourceData.Fertiliser_Products_Data2(), FertiliserProducts[[#Headers],[Company]],31)</f>
        <v/>
      </c>
      <c r="K131" s="62" t="str" cm="1">
        <f t="array" ref="K131">Common_InputFunctions.Utility_DisplayArrayInTable(Fertiliser_SourceData.Fertiliser_Products_Data2(), FertiliserProducts[[#Headers],[Company]],31)</f>
        <v/>
      </c>
      <c r="L131" s="62" t="str" cm="1">
        <f t="array" ref="L131">Common_InputFunctions.Utility_DisplayArrayInTable(Fertiliser_SourceData.Fertiliser_Products_Data2(), FertiliserProducts[[#Headers],[Company]],31)</f>
        <v/>
      </c>
      <c r="M131" s="62" t="str" cm="1">
        <f t="array" ref="M131">Common_InputFunctions.Utility_DisplayArrayInTable(Fertiliser_SourceData.Fertiliser_Products_Data2(), FertiliserProducts[[#Headers],[Company]],31)</f>
        <v/>
      </c>
      <c r="N131" s="62" t="str" cm="1">
        <f t="array" ref="N131">Common_InputFunctions.Utility_DisplayArrayInTable(Fertiliser_SourceData.Fertiliser_Products_Data2(), FertiliserProducts[[#Headers],[Company]],31)</f>
        <v/>
      </c>
      <c r="O131" s="62" t="str" cm="1">
        <f t="array" ref="O131">Common_InputFunctions.Utility_DisplayArrayInTable(Fertiliser_SourceData.Fertiliser_Products_Data2(), FertiliserProducts[[#Headers],[Company]],31)</f>
        <v/>
      </c>
      <c r="P131" s="62" t="str" cm="1">
        <f t="array" ref="P131">Common_InputFunctions.Utility_DisplayArrayInTable(Fertiliser_SourceData.Fertiliser_Products_Data2(), FertiliserProducts[[#Headers],[Company]],31)</f>
        <v/>
      </c>
      <c r="Q131" s="62" t="str" cm="1">
        <f t="array" ref="Q131">Common_InputFunctions.Utility_DisplayArrayInTable(Fertiliser_SourceData.Fertiliser_Products_Data2(), FertiliserProducts[[#Headers],[Company]],31)</f>
        <v/>
      </c>
      <c r="R131" s="62" t="str" cm="1">
        <f t="array" ref="R131">Common_InputFunctions.Utility_DisplayArrayInTable(Fertiliser_SourceData.Fertiliser_Products_Data2(), FertiliserProducts[[#Headers],[Company]],31)</f>
        <v/>
      </c>
      <c r="S131" s="62" t="str" cm="1">
        <f t="array" ref="S131">Common_InputFunctions.Utility_DisplayArrayInTable(Fertiliser_SourceData.Fertiliser_Products_Data2(), FertiliserProducts[[#Headers],[Company]],31)</f>
        <v/>
      </c>
      <c r="T131" s="62" t="str" cm="1">
        <f t="array" ref="T131">Common_InputFunctions.Utility_DisplayArrayInTable(Fertiliser_SourceData.Fertiliser_Products_Data2(), FertiliserProducts[[#Headers],[Company]],31)</f>
        <v/>
      </c>
      <c r="U131" s="62" t="str" cm="1">
        <f t="array" ref="U131">Common_InputFunctions.Utility_DisplayArrayInTable(Fertiliser_SourceData.Fertiliser_Products_Data2(), FertiliserProducts[[#Headers],[Company]],31)</f>
        <v/>
      </c>
      <c r="V131" s="62" t="str" cm="1">
        <f t="array" ref="V131">Common_InputFunctions.Utility_DisplayArrayInTable(Fertiliser_SourceData.Fertiliser_Products_Data2(), FertiliserProducts[[#Headers],[Company]],31)</f>
        <v/>
      </c>
      <c r="W131" s="62" t="str" cm="1">
        <f t="array" ref="W131">Common_InputFunctions.Utility_DisplayArrayInTable(Fertiliser_SourceData.Fertiliser_Products_Data2(), FertiliserProducts[[#Headers],[Company]],31)</f>
        <v>MountCompass Fertilisers Blends</v>
      </c>
      <c r="X131" s="62" t="str" cm="1">
        <f t="array" ref="X131">Common_InputFunctions.Utility_DisplayArrayInTable(Fertiliser_SourceData.Fertiliser_Products_Data2(), FertiliserProducts[[#Headers],[Company]],31)</f>
        <v/>
      </c>
      <c r="Y131" s="62" t="str" cm="1">
        <f t="array" ref="Y131">Common_InputFunctions.Utility_DisplayArrayInTable(Fertiliser_SourceData.Fertiliser_Products_Data2(), FertiliserProducts[[#Headers],[Company]],31)</f>
        <v/>
      </c>
      <c r="Z131" s="62" t="str" cm="1">
        <f t="array" ref="Z131">Common_InputFunctions.Utility_DisplayArrayInTable(Fertiliser_SourceData.Fertiliser_Products_Data2(), FertiliserProducts[[#Headers],[Company]],31)</f>
        <v/>
      </c>
      <c r="AA131" s="62" t="str" cm="1">
        <f t="array" ref="AA131">Common_InputFunctions.Utility_DisplayArrayInTable(Fertiliser_SourceData.Fertiliser_Products_Data2(), FertiliserProducts[[#Headers],[Company]],31)</f>
        <v/>
      </c>
      <c r="AB131" s="62" t="str" cm="1">
        <f t="array" ref="AB131">Common_InputFunctions.Utility_DisplayArrayInTable(Fertiliser_SourceData.Fertiliser_Products_Data2(), FertiliserProducts[[#Headers],[Company]],31)</f>
        <v/>
      </c>
      <c r="AC131" s="62" t="str" cm="1">
        <f t="array" ref="AC131">Common_InputFunctions.Utility_DisplayArrayInTable(Fertiliser_SourceData.Fertiliser_Products_Data2(), FertiliserProducts[[#Headers],[Company]],31)</f>
        <v/>
      </c>
      <c r="AD131" s="62" t="str" cm="1">
        <f t="array" ref="AD131">Common_InputFunctions.Utility_DisplayArrayInTable(Fertiliser_SourceData.Fertiliser_Products_Data2(), FertiliserProducts[[#Headers],[Company]],31)</f>
        <v/>
      </c>
      <c r="AE131" s="62" t="str" cm="1">
        <f t="array" ref="AE131">Common_InputFunctions.Utility_DisplayArrayInTable(Fertiliser_SourceData.Fertiliser_Products_Data2(), FertiliserProducts[[#Headers],[Company]],31)</f>
        <v/>
      </c>
      <c r="AF131" s="62" t="str" cm="1">
        <f t="array" ref="AF131">Common_InputFunctions.Utility_DisplayArrayInTable(Fertiliser_SourceData.Fertiliser_Products_Data2(), FertiliserProducts[[#Headers],[Company]],31)</f>
        <v/>
      </c>
      <c r="AG131" s="62" t="str" cm="1">
        <f t="array" ref="AG131">Common_InputFunctions.Utility_DisplayArrayInTable(Fertiliser_SourceData.Fertiliser_Products_Data2(), FertiliserProducts[[#Headers],[Company]],31)</f>
        <v/>
      </c>
      <c r="AH131" s="62" t="str" cm="1">
        <f t="array" ref="AH131">Common_InputFunctions.Utility_DisplayArrayInTable(Fertiliser_SourceData.Fertiliser_Products_Data2(), FertiliserProducts[[#Headers],[Company]],31)</f>
        <v/>
      </c>
      <c r="AK131" s="8"/>
      <c r="AL131" s="8"/>
      <c r="AM131" s="8"/>
    </row>
    <row r="132" spans="1:39" ht="20.100000000000001" customHeight="1" x14ac:dyDescent="0.25">
      <c r="A132"/>
      <c r="D132" s="62" t="str" cm="1">
        <f t="array" ref="D132">Common_InputFunctions.Utility_DisplayArrayInTable(Fertiliser_SourceData.Fertiliser_Products_Data2(), FertiliserProducts[[#Headers],[Company]],31)</f>
        <v>NitroPlus</v>
      </c>
      <c r="E132" s="62" t="str" cm="1">
        <f t="array" ref="E132">Common_InputFunctions.Utility_DisplayArrayInTable(Fertiliser_SourceData.Fertiliser_Products_Data2(), FertiliserProducts[[#Headers],[Company]],31)</f>
        <v/>
      </c>
      <c r="F132" s="62" t="str" cm="1">
        <f t="array" ref="F132">Common_InputFunctions.Utility_DisplayArrayInTable(Fertiliser_SourceData.Fertiliser_Products_Data2(), FertiliserProducts[[#Headers],[Company]],31)</f>
        <v/>
      </c>
      <c r="G132" s="62" t="str" cm="1">
        <f t="array" ref="G132">Common_InputFunctions.Utility_DisplayArrayInTable(Fertiliser_SourceData.Fertiliser_Products_Data2(), FertiliserProducts[[#Headers],[Company]],31)</f>
        <v/>
      </c>
      <c r="H132" s="62" t="str" cm="1">
        <f t="array" ref="H132">Common_InputFunctions.Utility_DisplayArrayInTable(Fertiliser_SourceData.Fertiliser_Products_Data2(), FertiliserProducts[[#Headers],[Company]],31)</f>
        <v/>
      </c>
      <c r="I132" s="62" t="str" cm="1">
        <f t="array" ref="I132">Common_InputFunctions.Utility_DisplayArrayInTable(Fertiliser_SourceData.Fertiliser_Products_Data2(), FertiliserProducts[[#Headers],[Company]],31)</f>
        <v/>
      </c>
      <c r="J132" s="62" t="str" cm="1">
        <f t="array" ref="J132">Common_InputFunctions.Utility_DisplayArrayInTable(Fertiliser_SourceData.Fertiliser_Products_Data2(), FertiliserProducts[[#Headers],[Company]],31)</f>
        <v/>
      </c>
      <c r="K132" s="62" t="str" cm="1">
        <f t="array" ref="K132">Common_InputFunctions.Utility_DisplayArrayInTable(Fertiliser_SourceData.Fertiliser_Products_Data2(), FertiliserProducts[[#Headers],[Company]],31)</f>
        <v/>
      </c>
      <c r="L132" s="62" t="str" cm="1">
        <f t="array" ref="L132">Common_InputFunctions.Utility_DisplayArrayInTable(Fertiliser_SourceData.Fertiliser_Products_Data2(), FertiliserProducts[[#Headers],[Company]],31)</f>
        <v/>
      </c>
      <c r="M132" s="62" t="str" cm="1">
        <f t="array" ref="M132">Common_InputFunctions.Utility_DisplayArrayInTable(Fertiliser_SourceData.Fertiliser_Products_Data2(), FertiliserProducts[[#Headers],[Company]],31)</f>
        <v/>
      </c>
      <c r="N132" s="62" t="str" cm="1">
        <f t="array" ref="N132">Common_InputFunctions.Utility_DisplayArrayInTable(Fertiliser_SourceData.Fertiliser_Products_Data2(), FertiliserProducts[[#Headers],[Company]],31)</f>
        <v/>
      </c>
      <c r="O132" s="62" t="str" cm="1">
        <f t="array" ref="O132">Common_InputFunctions.Utility_DisplayArrayInTable(Fertiliser_SourceData.Fertiliser_Products_Data2(), FertiliserProducts[[#Headers],[Company]],31)</f>
        <v/>
      </c>
      <c r="P132" s="62" t="str" cm="1">
        <f t="array" ref="P132">Common_InputFunctions.Utility_DisplayArrayInTable(Fertiliser_SourceData.Fertiliser_Products_Data2(), FertiliserProducts[[#Headers],[Company]],31)</f>
        <v/>
      </c>
      <c r="Q132" s="62" t="str" cm="1">
        <f t="array" ref="Q132">Common_InputFunctions.Utility_DisplayArrayInTable(Fertiliser_SourceData.Fertiliser_Products_Data2(), FertiliserProducts[[#Headers],[Company]],31)</f>
        <v/>
      </c>
      <c r="R132" s="62" t="str" cm="1">
        <f t="array" ref="R132">Common_InputFunctions.Utility_DisplayArrayInTable(Fertiliser_SourceData.Fertiliser_Products_Data2(), FertiliserProducts[[#Headers],[Company]],31)</f>
        <v/>
      </c>
      <c r="S132" s="62" t="str" cm="1">
        <f t="array" ref="S132">Common_InputFunctions.Utility_DisplayArrayInTable(Fertiliser_SourceData.Fertiliser_Products_Data2(), FertiliserProducts[[#Headers],[Company]],31)</f>
        <v/>
      </c>
      <c r="T132" s="62" t="str" cm="1">
        <f t="array" ref="T132">Common_InputFunctions.Utility_DisplayArrayInTable(Fertiliser_SourceData.Fertiliser_Products_Data2(), FertiliserProducts[[#Headers],[Company]],31)</f>
        <v/>
      </c>
      <c r="U132" s="62" t="str" cm="1">
        <f t="array" ref="U132">Common_InputFunctions.Utility_DisplayArrayInTable(Fertiliser_SourceData.Fertiliser_Products_Data2(), FertiliserProducts[[#Headers],[Company]],31)</f>
        <v/>
      </c>
      <c r="V132" s="62" t="str" cm="1">
        <f t="array" ref="V132">Common_InputFunctions.Utility_DisplayArrayInTable(Fertiliser_SourceData.Fertiliser_Products_Data2(), FertiliserProducts[[#Headers],[Company]],31)</f>
        <v/>
      </c>
      <c r="W132" s="62" t="str" cm="1">
        <f t="array" ref="W132">Common_InputFunctions.Utility_DisplayArrayInTable(Fertiliser_SourceData.Fertiliser_Products_Data2(), FertiliserProducts[[#Headers],[Company]],31)</f>
        <v>AgroStock Group Nitro Plus</v>
      </c>
      <c r="X132" s="62" t="str" cm="1">
        <f t="array" ref="X132">Common_InputFunctions.Utility_DisplayArrayInTable(Fertiliser_SourceData.Fertiliser_Products_Data2(), FertiliserProducts[[#Headers],[Company]],31)</f>
        <v/>
      </c>
      <c r="Y132" s="62" t="str" cm="1">
        <f t="array" ref="Y132">Common_InputFunctions.Utility_DisplayArrayInTable(Fertiliser_SourceData.Fertiliser_Products_Data2(), FertiliserProducts[[#Headers],[Company]],31)</f>
        <v/>
      </c>
      <c r="Z132" s="62" t="str" cm="1">
        <f t="array" ref="Z132">Common_InputFunctions.Utility_DisplayArrayInTable(Fertiliser_SourceData.Fertiliser_Products_Data2(), FertiliserProducts[[#Headers],[Company]],31)</f>
        <v/>
      </c>
      <c r="AA132" s="62" t="str" cm="1">
        <f t="array" ref="AA132">Common_InputFunctions.Utility_DisplayArrayInTable(Fertiliser_SourceData.Fertiliser_Products_Data2(), FertiliserProducts[[#Headers],[Company]],31)</f>
        <v/>
      </c>
      <c r="AB132" s="62" t="str" cm="1">
        <f t="array" ref="AB132">Common_InputFunctions.Utility_DisplayArrayInTable(Fertiliser_SourceData.Fertiliser_Products_Data2(), FertiliserProducts[[#Headers],[Company]],31)</f>
        <v/>
      </c>
      <c r="AC132" s="62" t="str" cm="1">
        <f t="array" ref="AC132">Common_InputFunctions.Utility_DisplayArrayInTable(Fertiliser_SourceData.Fertiliser_Products_Data2(), FertiliserProducts[[#Headers],[Company]],31)</f>
        <v/>
      </c>
      <c r="AD132" s="62" t="str" cm="1">
        <f t="array" ref="AD132">Common_InputFunctions.Utility_DisplayArrayInTable(Fertiliser_SourceData.Fertiliser_Products_Data2(), FertiliserProducts[[#Headers],[Company]],31)</f>
        <v/>
      </c>
      <c r="AE132" s="62" t="str" cm="1">
        <f t="array" ref="AE132">Common_InputFunctions.Utility_DisplayArrayInTable(Fertiliser_SourceData.Fertiliser_Products_Data2(), FertiliserProducts[[#Headers],[Company]],31)</f>
        <v/>
      </c>
      <c r="AF132" s="62" t="str" cm="1">
        <f t="array" ref="AF132">Common_InputFunctions.Utility_DisplayArrayInTable(Fertiliser_SourceData.Fertiliser_Products_Data2(), FertiliserProducts[[#Headers],[Company]],31)</f>
        <v/>
      </c>
      <c r="AG132" s="62" t="str" cm="1">
        <f t="array" ref="AG132">Common_InputFunctions.Utility_DisplayArrayInTable(Fertiliser_SourceData.Fertiliser_Products_Data2(), FertiliserProducts[[#Headers],[Company]],31)</f>
        <v/>
      </c>
      <c r="AH132" s="62" t="str" cm="1">
        <f t="array" ref="AH132">Common_InputFunctions.Utility_DisplayArrayInTable(Fertiliser_SourceData.Fertiliser_Products_Data2(), FertiliserProducts[[#Headers],[Company]],31)</f>
        <v/>
      </c>
      <c r="AK132" s="8"/>
      <c r="AL132" s="8"/>
      <c r="AM132" s="8"/>
    </row>
    <row r="133" spans="1:39" ht="20.100000000000001" customHeight="1" x14ac:dyDescent="0.25">
      <c r="A133"/>
      <c r="D133" s="62" t="str" cm="1">
        <f t="array" ref="D133">Common_InputFunctions.Utility_DisplayArrayInTable(Fertiliser_SourceData.Fertiliser_Products_Data2(), FertiliserProducts[[#Headers],[Company]],31)</f>
        <v>NutraGold</v>
      </c>
      <c r="E133" s="62" t="str" cm="1">
        <f t="array" ref="E133">Common_InputFunctions.Utility_DisplayArrayInTable(Fertiliser_SourceData.Fertiliser_Products_Data2(), FertiliserProducts[[#Headers],[Company]],31)</f>
        <v/>
      </c>
      <c r="F133" s="62" t="str" cm="1">
        <f t="array" ref="F133">Common_InputFunctions.Utility_DisplayArrayInTable(Fertiliser_SourceData.Fertiliser_Products_Data2(), FertiliserProducts[[#Headers],[Company]],31)</f>
        <v/>
      </c>
      <c r="G133" s="62" t="str" cm="1">
        <f t="array" ref="G133">Common_InputFunctions.Utility_DisplayArrayInTable(Fertiliser_SourceData.Fertiliser_Products_Data2(), FertiliserProducts[[#Headers],[Company]],31)</f>
        <v/>
      </c>
      <c r="H133" s="62" t="str" cm="1">
        <f t="array" ref="H133">Common_InputFunctions.Utility_DisplayArrayInTable(Fertiliser_SourceData.Fertiliser_Products_Data2(), FertiliserProducts[[#Headers],[Company]],31)</f>
        <v/>
      </c>
      <c r="I133" s="62" t="str" cm="1">
        <f t="array" ref="I133">Common_InputFunctions.Utility_DisplayArrayInTable(Fertiliser_SourceData.Fertiliser_Products_Data2(), FertiliserProducts[[#Headers],[Company]],31)</f>
        <v/>
      </c>
      <c r="J133" s="62" t="str" cm="1">
        <f t="array" ref="J133">Common_InputFunctions.Utility_DisplayArrayInTable(Fertiliser_SourceData.Fertiliser_Products_Data2(), FertiliserProducts[[#Headers],[Company]],31)</f>
        <v/>
      </c>
      <c r="K133" s="62" t="str" cm="1">
        <f t="array" ref="K133">Common_InputFunctions.Utility_DisplayArrayInTable(Fertiliser_SourceData.Fertiliser_Products_Data2(), FertiliserProducts[[#Headers],[Company]],31)</f>
        <v/>
      </c>
      <c r="L133" s="62" t="str" cm="1">
        <f t="array" ref="L133">Common_InputFunctions.Utility_DisplayArrayInTable(Fertiliser_SourceData.Fertiliser_Products_Data2(), FertiliserProducts[[#Headers],[Company]],31)</f>
        <v/>
      </c>
      <c r="M133" s="62" t="str" cm="1">
        <f t="array" ref="M133">Common_InputFunctions.Utility_DisplayArrayInTable(Fertiliser_SourceData.Fertiliser_Products_Data2(), FertiliserProducts[[#Headers],[Company]],31)</f>
        <v/>
      </c>
      <c r="N133" s="62" t="str" cm="1">
        <f t="array" ref="N133">Common_InputFunctions.Utility_DisplayArrayInTable(Fertiliser_SourceData.Fertiliser_Products_Data2(), FertiliserProducts[[#Headers],[Company]],31)</f>
        <v/>
      </c>
      <c r="O133" s="62" t="str" cm="1">
        <f t="array" ref="O133">Common_InputFunctions.Utility_DisplayArrayInTable(Fertiliser_SourceData.Fertiliser_Products_Data2(), FertiliserProducts[[#Headers],[Company]],31)</f>
        <v/>
      </c>
      <c r="P133" s="62" t="str" cm="1">
        <f t="array" ref="P133">Common_InputFunctions.Utility_DisplayArrayInTable(Fertiliser_SourceData.Fertiliser_Products_Data2(), FertiliserProducts[[#Headers],[Company]],31)</f>
        <v/>
      </c>
      <c r="Q133" s="62" t="str" cm="1">
        <f t="array" ref="Q133">Common_InputFunctions.Utility_DisplayArrayInTable(Fertiliser_SourceData.Fertiliser_Products_Data2(), FertiliserProducts[[#Headers],[Company]],31)</f>
        <v/>
      </c>
      <c r="R133" s="62" t="str" cm="1">
        <f t="array" ref="R133">Common_InputFunctions.Utility_DisplayArrayInTable(Fertiliser_SourceData.Fertiliser_Products_Data2(), FertiliserProducts[[#Headers],[Company]],31)</f>
        <v/>
      </c>
      <c r="S133" s="62" t="str" cm="1">
        <f t="array" ref="S133">Common_InputFunctions.Utility_DisplayArrayInTable(Fertiliser_SourceData.Fertiliser_Products_Data2(), FertiliserProducts[[#Headers],[Company]],31)</f>
        <v/>
      </c>
      <c r="T133" s="62" t="str" cm="1">
        <f t="array" ref="T133">Common_InputFunctions.Utility_DisplayArrayInTable(Fertiliser_SourceData.Fertiliser_Products_Data2(), FertiliserProducts[[#Headers],[Company]],31)</f>
        <v/>
      </c>
      <c r="U133" s="62" t="str" cm="1">
        <f t="array" ref="U133">Common_InputFunctions.Utility_DisplayArrayInTable(Fertiliser_SourceData.Fertiliser_Products_Data2(), FertiliserProducts[[#Headers],[Company]],31)</f>
        <v/>
      </c>
      <c r="V133" s="62" t="str" cm="1">
        <f t="array" ref="V133">Common_InputFunctions.Utility_DisplayArrayInTable(Fertiliser_SourceData.Fertiliser_Products_Data2(), FertiliserProducts[[#Headers],[Company]],31)</f>
        <v/>
      </c>
      <c r="W133" s="62" t="str" cm="1">
        <f t="array" ref="W133">Common_InputFunctions.Utility_DisplayArrayInTable(Fertiliser_SourceData.Fertiliser_Products_Data2(), FertiliserProducts[[#Headers],[Company]],31)</f>
        <v>Swancrop</v>
      </c>
      <c r="X133" s="62" t="str" cm="1">
        <f t="array" ref="X133">Common_InputFunctions.Utility_DisplayArrayInTable(Fertiliser_SourceData.Fertiliser_Products_Data2(), FertiliserProducts[[#Headers],[Company]],31)</f>
        <v/>
      </c>
      <c r="Y133" s="62" t="str" cm="1">
        <f t="array" ref="Y133">Common_InputFunctions.Utility_DisplayArrayInTable(Fertiliser_SourceData.Fertiliser_Products_Data2(), FertiliserProducts[[#Headers],[Company]],31)</f>
        <v/>
      </c>
      <c r="Z133" s="62" t="str" cm="1">
        <f t="array" ref="Z133">Common_InputFunctions.Utility_DisplayArrayInTable(Fertiliser_SourceData.Fertiliser_Products_Data2(), FertiliserProducts[[#Headers],[Company]],31)</f>
        <v/>
      </c>
      <c r="AA133" s="62" t="str" cm="1">
        <f t="array" ref="AA133">Common_InputFunctions.Utility_DisplayArrayInTable(Fertiliser_SourceData.Fertiliser_Products_Data2(), FertiliserProducts[[#Headers],[Company]],31)</f>
        <v/>
      </c>
      <c r="AB133" s="62" t="str" cm="1">
        <f t="array" ref="AB133">Common_InputFunctions.Utility_DisplayArrayInTable(Fertiliser_SourceData.Fertiliser_Products_Data2(), FertiliserProducts[[#Headers],[Company]],31)</f>
        <v/>
      </c>
      <c r="AC133" s="62" t="str" cm="1">
        <f t="array" ref="AC133">Common_InputFunctions.Utility_DisplayArrayInTable(Fertiliser_SourceData.Fertiliser_Products_Data2(), FertiliserProducts[[#Headers],[Company]],31)</f>
        <v/>
      </c>
      <c r="AD133" s="62" t="str" cm="1">
        <f t="array" ref="AD133">Common_InputFunctions.Utility_DisplayArrayInTable(Fertiliser_SourceData.Fertiliser_Products_Data2(), FertiliserProducts[[#Headers],[Company]],31)</f>
        <v/>
      </c>
      <c r="AE133" s="62" t="str" cm="1">
        <f t="array" ref="AE133">Common_InputFunctions.Utility_DisplayArrayInTable(Fertiliser_SourceData.Fertiliser_Products_Data2(), FertiliserProducts[[#Headers],[Company]],31)</f>
        <v/>
      </c>
      <c r="AF133" s="62" t="str" cm="1">
        <f t="array" ref="AF133">Common_InputFunctions.Utility_DisplayArrayInTable(Fertiliser_SourceData.Fertiliser_Products_Data2(), FertiliserProducts[[#Headers],[Company]],31)</f>
        <v/>
      </c>
      <c r="AG133" s="62" t="str" cm="1">
        <f t="array" ref="AG133">Common_InputFunctions.Utility_DisplayArrayInTable(Fertiliser_SourceData.Fertiliser_Products_Data2(), FertiliserProducts[[#Headers],[Company]],31)</f>
        <v/>
      </c>
      <c r="AH133" s="62" t="str" cm="1">
        <f t="array" ref="AH133">Common_InputFunctions.Utility_DisplayArrayInTable(Fertiliser_SourceData.Fertiliser_Products_Data2(), FertiliserProducts[[#Headers],[Company]],31)</f>
        <v/>
      </c>
      <c r="AK133" s="8"/>
      <c r="AL133" s="8"/>
      <c r="AM133" s="8"/>
    </row>
    <row r="134" spans="1:39" ht="20.100000000000001" customHeight="1" x14ac:dyDescent="0.25">
      <c r="A134"/>
      <c r="D134" s="62" t="str" cm="1">
        <f t="array" ref="D134">Common_InputFunctions.Utility_DisplayArrayInTable(Fertiliser_SourceData.Fertiliser_Products_Data2(), FertiliserProducts[[#Headers],[Company]],31)</f>
        <v>Pro Performance 18-3-6</v>
      </c>
      <c r="E134" s="62" t="str" cm="1">
        <f t="array" ref="E134">Common_InputFunctions.Utility_DisplayArrayInTable(Fertiliser_SourceData.Fertiliser_Products_Data2(), FertiliserProducts[[#Headers],[Company]],31)</f>
        <v/>
      </c>
      <c r="F134" s="62" t="str" cm="1">
        <f t="array" ref="F134">Common_InputFunctions.Utility_DisplayArrayInTable(Fertiliser_SourceData.Fertiliser_Products_Data2(), FertiliserProducts[[#Headers],[Company]],31)</f>
        <v/>
      </c>
      <c r="G134" s="62" t="str" cm="1">
        <f t="array" ref="G134">Common_InputFunctions.Utility_DisplayArrayInTable(Fertiliser_SourceData.Fertiliser_Products_Data2(), FertiliserProducts[[#Headers],[Company]],31)</f>
        <v/>
      </c>
      <c r="H134" s="62" t="str" cm="1">
        <f t="array" ref="H134">Common_InputFunctions.Utility_DisplayArrayInTable(Fertiliser_SourceData.Fertiliser_Products_Data2(), FertiliserProducts[[#Headers],[Company]],31)</f>
        <v/>
      </c>
      <c r="I134" s="62" t="str" cm="1">
        <f t="array" ref="I134">Common_InputFunctions.Utility_DisplayArrayInTable(Fertiliser_SourceData.Fertiliser_Products_Data2(), FertiliserProducts[[#Headers],[Company]],31)</f>
        <v/>
      </c>
      <c r="J134" s="62" t="str" cm="1">
        <f t="array" ref="J134">Common_InputFunctions.Utility_DisplayArrayInTable(Fertiliser_SourceData.Fertiliser_Products_Data2(), FertiliserProducts[[#Headers],[Company]],31)</f>
        <v/>
      </c>
      <c r="K134" s="62" t="str" cm="1">
        <f t="array" ref="K134">Common_InputFunctions.Utility_DisplayArrayInTable(Fertiliser_SourceData.Fertiliser_Products_Data2(), FertiliserProducts[[#Headers],[Company]],31)</f>
        <v/>
      </c>
      <c r="L134" s="62" t="str" cm="1">
        <f t="array" ref="L134">Common_InputFunctions.Utility_DisplayArrayInTable(Fertiliser_SourceData.Fertiliser_Products_Data2(), FertiliserProducts[[#Headers],[Company]],31)</f>
        <v/>
      </c>
      <c r="M134" s="62" t="str" cm="1">
        <f t="array" ref="M134">Common_InputFunctions.Utility_DisplayArrayInTable(Fertiliser_SourceData.Fertiliser_Products_Data2(), FertiliserProducts[[#Headers],[Company]],31)</f>
        <v/>
      </c>
      <c r="N134" s="62" t="str" cm="1">
        <f t="array" ref="N134">Common_InputFunctions.Utility_DisplayArrayInTable(Fertiliser_SourceData.Fertiliser_Products_Data2(), FertiliserProducts[[#Headers],[Company]],31)</f>
        <v/>
      </c>
      <c r="O134" s="62" t="str" cm="1">
        <f t="array" ref="O134">Common_InputFunctions.Utility_DisplayArrayInTable(Fertiliser_SourceData.Fertiliser_Products_Data2(), FertiliserProducts[[#Headers],[Company]],31)</f>
        <v/>
      </c>
      <c r="P134" s="62" t="str" cm="1">
        <f t="array" ref="P134">Common_InputFunctions.Utility_DisplayArrayInTable(Fertiliser_SourceData.Fertiliser_Products_Data2(), FertiliserProducts[[#Headers],[Company]],31)</f>
        <v/>
      </c>
      <c r="Q134" s="62" t="str" cm="1">
        <f t="array" ref="Q134">Common_InputFunctions.Utility_DisplayArrayInTable(Fertiliser_SourceData.Fertiliser_Products_Data2(), FertiliserProducts[[#Headers],[Company]],31)</f>
        <v/>
      </c>
      <c r="R134" s="62" t="str" cm="1">
        <f t="array" ref="R134">Common_InputFunctions.Utility_DisplayArrayInTable(Fertiliser_SourceData.Fertiliser_Products_Data2(), FertiliserProducts[[#Headers],[Company]],31)</f>
        <v/>
      </c>
      <c r="S134" s="62" t="str" cm="1">
        <f t="array" ref="S134">Common_InputFunctions.Utility_DisplayArrayInTable(Fertiliser_SourceData.Fertiliser_Products_Data2(), FertiliserProducts[[#Headers],[Company]],31)</f>
        <v/>
      </c>
      <c r="T134" s="62" t="str" cm="1">
        <f t="array" ref="T134">Common_InputFunctions.Utility_DisplayArrayInTable(Fertiliser_SourceData.Fertiliser_Products_Data2(), FertiliserProducts[[#Headers],[Company]],31)</f>
        <v/>
      </c>
      <c r="U134" s="62" t="str" cm="1">
        <f t="array" ref="U134">Common_InputFunctions.Utility_DisplayArrayInTable(Fertiliser_SourceData.Fertiliser_Products_Data2(), FertiliserProducts[[#Headers],[Company]],31)</f>
        <v/>
      </c>
      <c r="V134" s="62" t="str" cm="1">
        <f t="array" ref="V134">Common_InputFunctions.Utility_DisplayArrayInTable(Fertiliser_SourceData.Fertiliser_Products_Data2(), FertiliserProducts[[#Headers],[Company]],31)</f>
        <v/>
      </c>
      <c r="W134" s="62" t="str" cm="1">
        <f t="array" ref="W134">Common_InputFunctions.Utility_DisplayArrayInTable(Fertiliser_SourceData.Fertiliser_Products_Data2(), FertiliserProducts[[#Headers],[Company]],31)</f>
        <v>Pro Turf Formula</v>
      </c>
      <c r="X134" s="62" t="str" cm="1">
        <f t="array" ref="X134">Common_InputFunctions.Utility_DisplayArrayInTable(Fertiliser_SourceData.Fertiliser_Products_Data2(), FertiliserProducts[[#Headers],[Company]],31)</f>
        <v/>
      </c>
      <c r="Y134" s="62" t="str" cm="1">
        <f t="array" ref="Y134">Common_InputFunctions.Utility_DisplayArrayInTable(Fertiliser_SourceData.Fertiliser_Products_Data2(), FertiliserProducts[[#Headers],[Company]],31)</f>
        <v/>
      </c>
      <c r="Z134" s="62" t="str" cm="1">
        <f t="array" ref="Z134">Common_InputFunctions.Utility_DisplayArrayInTable(Fertiliser_SourceData.Fertiliser_Products_Data2(), FertiliserProducts[[#Headers],[Company]],31)</f>
        <v/>
      </c>
      <c r="AA134" s="62" t="str" cm="1">
        <f t="array" ref="AA134">Common_InputFunctions.Utility_DisplayArrayInTable(Fertiliser_SourceData.Fertiliser_Products_Data2(), FertiliserProducts[[#Headers],[Company]],31)</f>
        <v/>
      </c>
      <c r="AB134" s="62" t="str" cm="1">
        <f t="array" ref="AB134">Common_InputFunctions.Utility_DisplayArrayInTable(Fertiliser_SourceData.Fertiliser_Products_Data2(), FertiliserProducts[[#Headers],[Company]],31)</f>
        <v/>
      </c>
      <c r="AC134" s="62" t="str" cm="1">
        <f t="array" ref="AC134">Common_InputFunctions.Utility_DisplayArrayInTable(Fertiliser_SourceData.Fertiliser_Products_Data2(), FertiliserProducts[[#Headers],[Company]],31)</f>
        <v/>
      </c>
      <c r="AD134" s="62" t="str" cm="1">
        <f t="array" ref="AD134">Common_InputFunctions.Utility_DisplayArrayInTable(Fertiliser_SourceData.Fertiliser_Products_Data2(), FertiliserProducts[[#Headers],[Company]],31)</f>
        <v/>
      </c>
      <c r="AE134" s="62" t="str" cm="1">
        <f t="array" ref="AE134">Common_InputFunctions.Utility_DisplayArrayInTable(Fertiliser_SourceData.Fertiliser_Products_Data2(), FertiliserProducts[[#Headers],[Company]],31)</f>
        <v/>
      </c>
      <c r="AF134" s="62" t="str" cm="1">
        <f t="array" ref="AF134">Common_InputFunctions.Utility_DisplayArrayInTable(Fertiliser_SourceData.Fertiliser_Products_Data2(), FertiliserProducts[[#Headers],[Company]],31)</f>
        <v/>
      </c>
      <c r="AG134" s="62" t="str" cm="1">
        <f t="array" ref="AG134">Common_InputFunctions.Utility_DisplayArrayInTable(Fertiliser_SourceData.Fertiliser_Products_Data2(), FertiliserProducts[[#Headers],[Company]],31)</f>
        <v/>
      </c>
      <c r="AH134" s="62" t="str" cm="1">
        <f t="array" ref="AH134">Common_InputFunctions.Utility_DisplayArrayInTable(Fertiliser_SourceData.Fertiliser_Products_Data2(), FertiliserProducts[[#Headers],[Company]],31)</f>
        <v/>
      </c>
      <c r="AK134" s="8"/>
      <c r="AL134" s="8"/>
      <c r="AM134" s="8"/>
    </row>
    <row r="135" spans="1:39" ht="20.100000000000001" customHeight="1" x14ac:dyDescent="0.25">
      <c r="A135"/>
      <c r="D135" s="62" t="str" cm="1">
        <f t="array" ref="D135">Common_InputFunctions.Utility_DisplayArrayInTable(Fertiliser_SourceData.Fertiliser_Products_Data2(), FertiliserProducts[[#Headers],[Company]],31)</f>
        <v>SOA</v>
      </c>
      <c r="E135" s="62" t="str" cm="1">
        <f t="array" ref="E135">Common_InputFunctions.Utility_DisplayArrayInTable(Fertiliser_SourceData.Fertiliser_Products_Data2(), FertiliserProducts[[#Headers],[Company]],31)</f>
        <v/>
      </c>
      <c r="F135" s="62" t="str" cm="1">
        <f t="array" ref="F135">Common_InputFunctions.Utility_DisplayArrayInTable(Fertiliser_SourceData.Fertiliser_Products_Data2(), FertiliserProducts[[#Headers],[Company]],31)</f>
        <v/>
      </c>
      <c r="G135" s="62" t="str" cm="1">
        <f t="array" ref="G135">Common_InputFunctions.Utility_DisplayArrayInTable(Fertiliser_SourceData.Fertiliser_Products_Data2(), FertiliserProducts[[#Headers],[Company]],31)</f>
        <v/>
      </c>
      <c r="H135" s="62" t="str" cm="1">
        <f t="array" ref="H135">Common_InputFunctions.Utility_DisplayArrayInTable(Fertiliser_SourceData.Fertiliser_Products_Data2(), FertiliserProducts[[#Headers],[Company]],31)</f>
        <v/>
      </c>
      <c r="I135" s="62" t="str" cm="1">
        <f t="array" ref="I135">Common_InputFunctions.Utility_DisplayArrayInTable(Fertiliser_SourceData.Fertiliser_Products_Data2(), FertiliserProducts[[#Headers],[Company]],31)</f>
        <v/>
      </c>
      <c r="J135" s="62" t="str" cm="1">
        <f t="array" ref="J135">Common_InputFunctions.Utility_DisplayArrayInTable(Fertiliser_SourceData.Fertiliser_Products_Data2(), FertiliserProducts[[#Headers],[Company]],31)</f>
        <v/>
      </c>
      <c r="K135" s="62" t="str" cm="1">
        <f t="array" ref="K135">Common_InputFunctions.Utility_DisplayArrayInTable(Fertiliser_SourceData.Fertiliser_Products_Data2(), FertiliserProducts[[#Headers],[Company]],31)</f>
        <v/>
      </c>
      <c r="L135" s="62" t="str" cm="1">
        <f t="array" ref="L135">Common_InputFunctions.Utility_DisplayArrayInTable(Fertiliser_SourceData.Fertiliser_Products_Data2(), FertiliserProducts[[#Headers],[Company]],31)</f>
        <v/>
      </c>
      <c r="M135" s="62" t="str" cm="1">
        <f t="array" ref="M135">Common_InputFunctions.Utility_DisplayArrayInTable(Fertiliser_SourceData.Fertiliser_Products_Data2(), FertiliserProducts[[#Headers],[Company]],31)</f>
        <v/>
      </c>
      <c r="N135" s="62" t="str" cm="1">
        <f t="array" ref="N135">Common_InputFunctions.Utility_DisplayArrayInTable(Fertiliser_SourceData.Fertiliser_Products_Data2(), FertiliserProducts[[#Headers],[Company]],31)</f>
        <v/>
      </c>
      <c r="O135" s="62" t="str" cm="1">
        <f t="array" ref="O135">Common_InputFunctions.Utility_DisplayArrayInTable(Fertiliser_SourceData.Fertiliser_Products_Data2(), FertiliserProducts[[#Headers],[Company]],31)</f>
        <v/>
      </c>
      <c r="P135" s="62" t="str" cm="1">
        <f t="array" ref="P135">Common_InputFunctions.Utility_DisplayArrayInTable(Fertiliser_SourceData.Fertiliser_Products_Data2(), FertiliserProducts[[#Headers],[Company]],31)</f>
        <v/>
      </c>
      <c r="Q135" s="62" t="str" cm="1">
        <f t="array" ref="Q135">Common_InputFunctions.Utility_DisplayArrayInTable(Fertiliser_SourceData.Fertiliser_Products_Data2(), FertiliserProducts[[#Headers],[Company]],31)</f>
        <v/>
      </c>
      <c r="R135" s="62" t="str" cm="1">
        <f t="array" ref="R135">Common_InputFunctions.Utility_DisplayArrayInTable(Fertiliser_SourceData.Fertiliser_Products_Data2(), FertiliserProducts[[#Headers],[Company]],31)</f>
        <v/>
      </c>
      <c r="S135" s="62" t="str" cm="1">
        <f t="array" ref="S135">Common_InputFunctions.Utility_DisplayArrayInTable(Fertiliser_SourceData.Fertiliser_Products_Data2(), FertiliserProducts[[#Headers],[Company]],31)</f>
        <v/>
      </c>
      <c r="T135" s="62" t="str" cm="1">
        <f t="array" ref="T135">Common_InputFunctions.Utility_DisplayArrayInTable(Fertiliser_SourceData.Fertiliser_Products_Data2(), FertiliserProducts[[#Headers],[Company]],31)</f>
        <v/>
      </c>
      <c r="U135" s="62" t="str" cm="1">
        <f t="array" ref="U135">Common_InputFunctions.Utility_DisplayArrayInTable(Fertiliser_SourceData.Fertiliser_Products_Data2(), FertiliserProducts[[#Headers],[Company]],31)</f>
        <v/>
      </c>
      <c r="V135" s="62" t="str" cm="1">
        <f t="array" ref="V135">Common_InputFunctions.Utility_DisplayArrayInTable(Fertiliser_SourceData.Fertiliser_Products_Data2(), FertiliserProducts[[#Headers],[Company]],31)</f>
        <v/>
      </c>
      <c r="W135" s="62" t="str" cm="1">
        <f t="array" ref="W135">Common_InputFunctions.Utility_DisplayArrayInTable(Fertiliser_SourceData.Fertiliser_Products_Data2(), FertiliserProducts[[#Headers],[Company]],31)</f>
        <v>MountCompass Fertilisers Blends</v>
      </c>
      <c r="X135" s="62" t="str" cm="1">
        <f t="array" ref="X135">Common_InputFunctions.Utility_DisplayArrayInTable(Fertiliser_SourceData.Fertiliser_Products_Data2(), FertiliserProducts[[#Headers],[Company]],31)</f>
        <v/>
      </c>
      <c r="Y135" s="62" t="str" cm="1">
        <f t="array" ref="Y135">Common_InputFunctions.Utility_DisplayArrayInTable(Fertiliser_SourceData.Fertiliser_Products_Data2(), FertiliserProducts[[#Headers],[Company]],31)</f>
        <v/>
      </c>
      <c r="Z135" s="62" t="str" cm="1">
        <f t="array" ref="Z135">Common_InputFunctions.Utility_DisplayArrayInTable(Fertiliser_SourceData.Fertiliser_Products_Data2(), FertiliserProducts[[#Headers],[Company]],31)</f>
        <v/>
      </c>
      <c r="AA135" s="62" t="str" cm="1">
        <f t="array" ref="AA135">Common_InputFunctions.Utility_DisplayArrayInTable(Fertiliser_SourceData.Fertiliser_Products_Data2(), FertiliserProducts[[#Headers],[Company]],31)</f>
        <v/>
      </c>
      <c r="AB135" s="62" t="str" cm="1">
        <f t="array" ref="AB135">Common_InputFunctions.Utility_DisplayArrayInTable(Fertiliser_SourceData.Fertiliser_Products_Data2(), FertiliserProducts[[#Headers],[Company]],31)</f>
        <v/>
      </c>
      <c r="AC135" s="62" t="str" cm="1">
        <f t="array" ref="AC135">Common_InputFunctions.Utility_DisplayArrayInTable(Fertiliser_SourceData.Fertiliser_Products_Data2(), FertiliserProducts[[#Headers],[Company]],31)</f>
        <v/>
      </c>
      <c r="AD135" s="62" t="str" cm="1">
        <f t="array" ref="AD135">Common_InputFunctions.Utility_DisplayArrayInTable(Fertiliser_SourceData.Fertiliser_Products_Data2(), FertiliserProducts[[#Headers],[Company]],31)</f>
        <v/>
      </c>
      <c r="AE135" s="62" t="str" cm="1">
        <f t="array" ref="AE135">Common_InputFunctions.Utility_DisplayArrayInTable(Fertiliser_SourceData.Fertiliser_Products_Data2(), FertiliserProducts[[#Headers],[Company]],31)</f>
        <v/>
      </c>
      <c r="AF135" s="62" t="str" cm="1">
        <f t="array" ref="AF135">Common_InputFunctions.Utility_DisplayArrayInTable(Fertiliser_SourceData.Fertiliser_Products_Data2(), FertiliserProducts[[#Headers],[Company]],31)</f>
        <v/>
      </c>
      <c r="AG135" s="62" t="str" cm="1">
        <f t="array" ref="AG135">Common_InputFunctions.Utility_DisplayArrayInTable(Fertiliser_SourceData.Fertiliser_Products_Data2(), FertiliserProducts[[#Headers],[Company]],31)</f>
        <v/>
      </c>
      <c r="AH135" s="62" t="str" cm="1">
        <f t="array" ref="AH135">Common_InputFunctions.Utility_DisplayArrayInTable(Fertiliser_SourceData.Fertiliser_Products_Data2(), FertiliserProducts[[#Headers],[Company]],31)</f>
        <v/>
      </c>
      <c r="AK135" s="8"/>
      <c r="AL135" s="8"/>
      <c r="AM135" s="8"/>
    </row>
    <row r="136" spans="1:39" ht="20.100000000000001" customHeight="1" x14ac:dyDescent="0.25">
      <c r="A136"/>
      <c r="D136" s="62" t="str" cm="1">
        <f t="array" ref="D136">Common_InputFunctions.Utility_DisplayArrayInTable(Fertiliser_SourceData.Fertiliser_Products_Data2(), FertiliserProducts[[#Headers],[Company]],31)</f>
        <v>SSP</v>
      </c>
      <c r="E136" s="62" t="str" cm="1">
        <f t="array" ref="E136">Common_InputFunctions.Utility_DisplayArrayInTable(Fertiliser_SourceData.Fertiliser_Products_Data2(), FertiliserProducts[[#Headers],[Company]],31)</f>
        <v/>
      </c>
      <c r="F136" s="62" t="str" cm="1">
        <f t="array" ref="F136">Common_InputFunctions.Utility_DisplayArrayInTable(Fertiliser_SourceData.Fertiliser_Products_Data2(), FertiliserProducts[[#Headers],[Company]],31)</f>
        <v/>
      </c>
      <c r="G136" s="62" t="str" cm="1">
        <f t="array" ref="G136">Common_InputFunctions.Utility_DisplayArrayInTable(Fertiliser_SourceData.Fertiliser_Products_Data2(), FertiliserProducts[[#Headers],[Company]],31)</f>
        <v/>
      </c>
      <c r="H136" s="62" t="str" cm="1">
        <f t="array" ref="H136">Common_InputFunctions.Utility_DisplayArrayInTable(Fertiliser_SourceData.Fertiliser_Products_Data2(), FertiliserProducts[[#Headers],[Company]],31)</f>
        <v/>
      </c>
      <c r="I136" s="62" t="str" cm="1">
        <f t="array" ref="I136">Common_InputFunctions.Utility_DisplayArrayInTable(Fertiliser_SourceData.Fertiliser_Products_Data2(), FertiliserProducts[[#Headers],[Company]],31)</f>
        <v/>
      </c>
      <c r="J136" s="62" t="str" cm="1">
        <f t="array" ref="J136">Common_InputFunctions.Utility_DisplayArrayInTable(Fertiliser_SourceData.Fertiliser_Products_Data2(), FertiliserProducts[[#Headers],[Company]],31)</f>
        <v/>
      </c>
      <c r="K136" s="62" t="str" cm="1">
        <f t="array" ref="K136">Common_InputFunctions.Utility_DisplayArrayInTable(Fertiliser_SourceData.Fertiliser_Products_Data2(), FertiliserProducts[[#Headers],[Company]],31)</f>
        <v/>
      </c>
      <c r="L136" s="62" t="str" cm="1">
        <f t="array" ref="L136">Common_InputFunctions.Utility_DisplayArrayInTable(Fertiliser_SourceData.Fertiliser_Products_Data2(), FertiliserProducts[[#Headers],[Company]],31)</f>
        <v/>
      </c>
      <c r="M136" s="62" t="str" cm="1">
        <f t="array" ref="M136">Common_InputFunctions.Utility_DisplayArrayInTable(Fertiliser_SourceData.Fertiliser_Products_Data2(), FertiliserProducts[[#Headers],[Company]],31)</f>
        <v/>
      </c>
      <c r="N136" s="62" t="str" cm="1">
        <f t="array" ref="N136">Common_InputFunctions.Utility_DisplayArrayInTable(Fertiliser_SourceData.Fertiliser_Products_Data2(), FertiliserProducts[[#Headers],[Company]],31)</f>
        <v/>
      </c>
      <c r="O136" s="62" t="str" cm="1">
        <f t="array" ref="O136">Common_InputFunctions.Utility_DisplayArrayInTable(Fertiliser_SourceData.Fertiliser_Products_Data2(), FertiliserProducts[[#Headers],[Company]],31)</f>
        <v/>
      </c>
      <c r="P136" s="62" t="str" cm="1">
        <f t="array" ref="P136">Common_InputFunctions.Utility_DisplayArrayInTable(Fertiliser_SourceData.Fertiliser_Products_Data2(), FertiliserProducts[[#Headers],[Company]],31)</f>
        <v/>
      </c>
      <c r="Q136" s="62" t="str" cm="1">
        <f t="array" ref="Q136">Common_InputFunctions.Utility_DisplayArrayInTable(Fertiliser_SourceData.Fertiliser_Products_Data2(), FertiliserProducts[[#Headers],[Company]],31)</f>
        <v/>
      </c>
      <c r="R136" s="62" t="str" cm="1">
        <f t="array" ref="R136">Common_InputFunctions.Utility_DisplayArrayInTable(Fertiliser_SourceData.Fertiliser_Products_Data2(), FertiliserProducts[[#Headers],[Company]],31)</f>
        <v/>
      </c>
      <c r="S136" s="62" t="str" cm="1">
        <f t="array" ref="S136">Common_InputFunctions.Utility_DisplayArrayInTable(Fertiliser_SourceData.Fertiliser_Products_Data2(), FertiliserProducts[[#Headers],[Company]],31)</f>
        <v/>
      </c>
      <c r="T136" s="62" t="str" cm="1">
        <f t="array" ref="T136">Common_InputFunctions.Utility_DisplayArrayInTable(Fertiliser_SourceData.Fertiliser_Products_Data2(), FertiliserProducts[[#Headers],[Company]],31)</f>
        <v/>
      </c>
      <c r="U136" s="62" t="str" cm="1">
        <f t="array" ref="U136">Common_InputFunctions.Utility_DisplayArrayInTable(Fertiliser_SourceData.Fertiliser_Products_Data2(), FertiliserProducts[[#Headers],[Company]],31)</f>
        <v/>
      </c>
      <c r="V136" s="62" t="str" cm="1">
        <f t="array" ref="V136">Common_InputFunctions.Utility_DisplayArrayInTable(Fertiliser_SourceData.Fertiliser_Products_Data2(), FertiliserProducts[[#Headers],[Company]],31)</f>
        <v/>
      </c>
      <c r="W136" s="62" t="str" cm="1">
        <f t="array" ref="W136">Common_InputFunctions.Utility_DisplayArrayInTable(Fertiliser_SourceData.Fertiliser_Products_Data2(), FertiliserProducts[[#Headers],[Company]],31)</f>
        <v>Impact fertilisers</v>
      </c>
      <c r="X136" s="62" t="str" cm="1">
        <f t="array" ref="X136">Common_InputFunctions.Utility_DisplayArrayInTable(Fertiliser_SourceData.Fertiliser_Products_Data2(), FertiliserProducts[[#Headers],[Company]],31)</f>
        <v/>
      </c>
      <c r="Y136" s="62" t="str" cm="1">
        <f t="array" ref="Y136">Common_InputFunctions.Utility_DisplayArrayInTable(Fertiliser_SourceData.Fertiliser_Products_Data2(), FertiliserProducts[[#Headers],[Company]],31)</f>
        <v/>
      </c>
      <c r="Z136" s="62" t="str" cm="1">
        <f t="array" ref="Z136">Common_InputFunctions.Utility_DisplayArrayInTable(Fertiliser_SourceData.Fertiliser_Products_Data2(), FertiliserProducts[[#Headers],[Company]],31)</f>
        <v/>
      </c>
      <c r="AA136" s="62" t="str" cm="1">
        <f t="array" ref="AA136">Common_InputFunctions.Utility_DisplayArrayInTable(Fertiliser_SourceData.Fertiliser_Products_Data2(), FertiliserProducts[[#Headers],[Company]],31)</f>
        <v/>
      </c>
      <c r="AB136" s="62" t="str" cm="1">
        <f t="array" ref="AB136">Common_InputFunctions.Utility_DisplayArrayInTable(Fertiliser_SourceData.Fertiliser_Products_Data2(), FertiliserProducts[[#Headers],[Company]],31)</f>
        <v/>
      </c>
      <c r="AC136" s="62" t="str" cm="1">
        <f t="array" ref="AC136">Common_InputFunctions.Utility_DisplayArrayInTable(Fertiliser_SourceData.Fertiliser_Products_Data2(), FertiliserProducts[[#Headers],[Company]],31)</f>
        <v/>
      </c>
      <c r="AD136" s="62" t="str" cm="1">
        <f t="array" ref="AD136">Common_InputFunctions.Utility_DisplayArrayInTable(Fertiliser_SourceData.Fertiliser_Products_Data2(), FertiliserProducts[[#Headers],[Company]],31)</f>
        <v/>
      </c>
      <c r="AE136" s="62" t="str" cm="1">
        <f t="array" ref="AE136">Common_InputFunctions.Utility_DisplayArrayInTable(Fertiliser_SourceData.Fertiliser_Products_Data2(), FertiliserProducts[[#Headers],[Company]],31)</f>
        <v/>
      </c>
      <c r="AF136" s="62" t="str" cm="1">
        <f t="array" ref="AF136">Common_InputFunctions.Utility_DisplayArrayInTable(Fertiliser_SourceData.Fertiliser_Products_Data2(), FertiliserProducts[[#Headers],[Company]],31)</f>
        <v/>
      </c>
      <c r="AG136" s="62" t="str" cm="1">
        <f t="array" ref="AG136">Common_InputFunctions.Utility_DisplayArrayInTable(Fertiliser_SourceData.Fertiliser_Products_Data2(), FertiliserProducts[[#Headers],[Company]],31)</f>
        <v/>
      </c>
      <c r="AH136" s="62" t="str" cm="1">
        <f t="array" ref="AH136">Common_InputFunctions.Utility_DisplayArrayInTable(Fertiliser_SourceData.Fertiliser_Products_Data2(), FertiliserProducts[[#Headers],[Company]],31)</f>
        <v/>
      </c>
      <c r="AK136" s="8"/>
      <c r="AL136" s="8"/>
      <c r="AM136" s="8"/>
    </row>
    <row r="137" spans="1:39" ht="20.100000000000001" customHeight="1" x14ac:dyDescent="0.25">
      <c r="A137"/>
      <c r="D137" s="62" t="str" cm="1">
        <f t="array" ref="D137">Common_InputFunctions.Utility_DisplayArrayInTable(Fertiliser_SourceData.Fertiliser_Products_Data2(), FertiliserProducts[[#Headers],[Company]],31)</f>
        <v>Super Phos</v>
      </c>
      <c r="E137" s="62" t="str" cm="1">
        <f t="array" ref="E137">Common_InputFunctions.Utility_DisplayArrayInTable(Fertiliser_SourceData.Fertiliser_Products_Data2(), FertiliserProducts[[#Headers],[Company]],31)</f>
        <v/>
      </c>
      <c r="F137" s="62" t="str" cm="1">
        <f t="array" ref="F137">Common_InputFunctions.Utility_DisplayArrayInTable(Fertiliser_SourceData.Fertiliser_Products_Data2(), FertiliserProducts[[#Headers],[Company]],31)</f>
        <v/>
      </c>
      <c r="G137" s="62" t="str" cm="1">
        <f t="array" ref="G137">Common_InputFunctions.Utility_DisplayArrayInTable(Fertiliser_SourceData.Fertiliser_Products_Data2(), FertiliserProducts[[#Headers],[Company]],31)</f>
        <v/>
      </c>
      <c r="H137" s="62" t="str" cm="1">
        <f t="array" ref="H137">Common_InputFunctions.Utility_DisplayArrayInTable(Fertiliser_SourceData.Fertiliser_Products_Data2(), FertiliserProducts[[#Headers],[Company]],31)</f>
        <v/>
      </c>
      <c r="I137" s="62" t="str" cm="1">
        <f t="array" ref="I137">Common_InputFunctions.Utility_DisplayArrayInTable(Fertiliser_SourceData.Fertiliser_Products_Data2(), FertiliserProducts[[#Headers],[Company]],31)</f>
        <v/>
      </c>
      <c r="J137" s="62" t="str" cm="1">
        <f t="array" ref="J137">Common_InputFunctions.Utility_DisplayArrayInTable(Fertiliser_SourceData.Fertiliser_Products_Data2(), FertiliserProducts[[#Headers],[Company]],31)</f>
        <v/>
      </c>
      <c r="K137" s="62" t="str" cm="1">
        <f t="array" ref="K137">Common_InputFunctions.Utility_DisplayArrayInTable(Fertiliser_SourceData.Fertiliser_Products_Data2(), FertiliserProducts[[#Headers],[Company]],31)</f>
        <v/>
      </c>
      <c r="L137" s="62" t="str" cm="1">
        <f t="array" ref="L137">Common_InputFunctions.Utility_DisplayArrayInTable(Fertiliser_SourceData.Fertiliser_Products_Data2(), FertiliserProducts[[#Headers],[Company]],31)</f>
        <v/>
      </c>
      <c r="M137" s="62" t="str" cm="1">
        <f t="array" ref="M137">Common_InputFunctions.Utility_DisplayArrayInTable(Fertiliser_SourceData.Fertiliser_Products_Data2(), FertiliserProducts[[#Headers],[Company]],31)</f>
        <v/>
      </c>
      <c r="N137" s="62" t="str" cm="1">
        <f t="array" ref="N137">Common_InputFunctions.Utility_DisplayArrayInTable(Fertiliser_SourceData.Fertiliser_Products_Data2(), FertiliserProducts[[#Headers],[Company]],31)</f>
        <v/>
      </c>
      <c r="O137" s="62" t="str" cm="1">
        <f t="array" ref="O137">Common_InputFunctions.Utility_DisplayArrayInTable(Fertiliser_SourceData.Fertiliser_Products_Data2(), FertiliserProducts[[#Headers],[Company]],31)</f>
        <v/>
      </c>
      <c r="P137" s="62" t="str" cm="1">
        <f t="array" ref="P137">Common_InputFunctions.Utility_DisplayArrayInTable(Fertiliser_SourceData.Fertiliser_Products_Data2(), FertiliserProducts[[#Headers],[Company]],31)</f>
        <v/>
      </c>
      <c r="Q137" s="62" t="str" cm="1">
        <f t="array" ref="Q137">Common_InputFunctions.Utility_DisplayArrayInTable(Fertiliser_SourceData.Fertiliser_Products_Data2(), FertiliserProducts[[#Headers],[Company]],31)</f>
        <v/>
      </c>
      <c r="R137" s="62" t="str" cm="1">
        <f t="array" ref="R137">Common_InputFunctions.Utility_DisplayArrayInTable(Fertiliser_SourceData.Fertiliser_Products_Data2(), FertiliserProducts[[#Headers],[Company]],31)</f>
        <v/>
      </c>
      <c r="S137" s="62" t="str" cm="1">
        <f t="array" ref="S137">Common_InputFunctions.Utility_DisplayArrayInTable(Fertiliser_SourceData.Fertiliser_Products_Data2(), FertiliserProducts[[#Headers],[Company]],31)</f>
        <v/>
      </c>
      <c r="T137" s="62" t="str" cm="1">
        <f t="array" ref="T137">Common_InputFunctions.Utility_DisplayArrayInTable(Fertiliser_SourceData.Fertiliser_Products_Data2(), FertiliserProducts[[#Headers],[Company]],31)</f>
        <v/>
      </c>
      <c r="U137" s="62" t="str" cm="1">
        <f t="array" ref="U137">Common_InputFunctions.Utility_DisplayArrayInTable(Fertiliser_SourceData.Fertiliser_Products_Data2(), FertiliserProducts[[#Headers],[Company]],31)</f>
        <v/>
      </c>
      <c r="V137" s="62" t="str" cm="1">
        <f t="array" ref="V137">Common_InputFunctions.Utility_DisplayArrayInTable(Fertiliser_SourceData.Fertiliser_Products_Data2(), FertiliserProducts[[#Headers],[Company]],31)</f>
        <v/>
      </c>
      <c r="W137" s="62" t="str" cm="1">
        <f t="array" ref="W137">Common_InputFunctions.Utility_DisplayArrayInTable(Fertiliser_SourceData.Fertiliser_Products_Data2(), FertiliserProducts[[#Headers],[Company]],31)</f>
        <v>CSBP Super PHOS</v>
      </c>
      <c r="X137" s="62" t="str" cm="1">
        <f t="array" ref="X137">Common_InputFunctions.Utility_DisplayArrayInTable(Fertiliser_SourceData.Fertiliser_Products_Data2(), FertiliserProducts[[#Headers],[Company]],31)</f>
        <v/>
      </c>
      <c r="Y137" s="62" t="str" cm="1">
        <f t="array" ref="Y137">Common_InputFunctions.Utility_DisplayArrayInTable(Fertiliser_SourceData.Fertiliser_Products_Data2(), FertiliserProducts[[#Headers],[Company]],31)</f>
        <v/>
      </c>
      <c r="Z137" s="62" t="str" cm="1">
        <f t="array" ref="Z137">Common_InputFunctions.Utility_DisplayArrayInTable(Fertiliser_SourceData.Fertiliser_Products_Data2(), FertiliserProducts[[#Headers],[Company]],31)</f>
        <v/>
      </c>
      <c r="AA137" s="62" t="str" cm="1">
        <f t="array" ref="AA137">Common_InputFunctions.Utility_DisplayArrayInTable(Fertiliser_SourceData.Fertiliser_Products_Data2(), FertiliserProducts[[#Headers],[Company]],31)</f>
        <v/>
      </c>
      <c r="AB137" s="62" t="str" cm="1">
        <f t="array" ref="AB137">Common_InputFunctions.Utility_DisplayArrayInTable(Fertiliser_SourceData.Fertiliser_Products_Data2(), FertiliserProducts[[#Headers],[Company]],31)</f>
        <v/>
      </c>
      <c r="AC137" s="62" t="str" cm="1">
        <f t="array" ref="AC137">Common_InputFunctions.Utility_DisplayArrayInTable(Fertiliser_SourceData.Fertiliser_Products_Data2(), FertiliserProducts[[#Headers],[Company]],31)</f>
        <v/>
      </c>
      <c r="AD137" s="62" t="str" cm="1">
        <f t="array" ref="AD137">Common_InputFunctions.Utility_DisplayArrayInTable(Fertiliser_SourceData.Fertiliser_Products_Data2(), FertiliserProducts[[#Headers],[Company]],31)</f>
        <v/>
      </c>
      <c r="AE137" s="62" t="str" cm="1">
        <f t="array" ref="AE137">Common_InputFunctions.Utility_DisplayArrayInTable(Fertiliser_SourceData.Fertiliser_Products_Data2(), FertiliserProducts[[#Headers],[Company]],31)</f>
        <v/>
      </c>
      <c r="AF137" s="62" t="str" cm="1">
        <f t="array" ref="AF137">Common_InputFunctions.Utility_DisplayArrayInTable(Fertiliser_SourceData.Fertiliser_Products_Data2(), FertiliserProducts[[#Headers],[Company]],31)</f>
        <v/>
      </c>
      <c r="AG137" s="62" t="str" cm="1">
        <f t="array" ref="AG137">Common_InputFunctions.Utility_DisplayArrayInTable(Fertiliser_SourceData.Fertiliser_Products_Data2(), FertiliserProducts[[#Headers],[Company]],31)</f>
        <v/>
      </c>
      <c r="AH137" s="62" t="str" cm="1">
        <f t="array" ref="AH137">Common_InputFunctions.Utility_DisplayArrayInTable(Fertiliser_SourceData.Fertiliser_Products_Data2(), FertiliserProducts[[#Headers],[Company]],31)</f>
        <v/>
      </c>
      <c r="AK137" s="8"/>
      <c r="AL137" s="8"/>
      <c r="AM137" s="8"/>
    </row>
    <row r="138" spans="1:39" ht="20.100000000000001" customHeight="1" x14ac:dyDescent="0.25">
      <c r="A138"/>
      <c r="D138" s="62" t="str" cm="1">
        <f t="array" ref="D138">Common_InputFunctions.Utility_DisplayArrayInTable(Fertiliser_SourceData.Fertiliser_Products_Data2(), FertiliserProducts[[#Headers],[Company]],31)</f>
        <v>Super SR Extra</v>
      </c>
      <c r="E138" s="62" t="str" cm="1">
        <f t="array" ref="E138">Common_InputFunctions.Utility_DisplayArrayInTable(Fertiliser_SourceData.Fertiliser_Products_Data2(), FertiliserProducts[[#Headers],[Company]],31)</f>
        <v/>
      </c>
      <c r="F138" s="62" t="str" cm="1">
        <f t="array" ref="F138">Common_InputFunctions.Utility_DisplayArrayInTable(Fertiliser_SourceData.Fertiliser_Products_Data2(), FertiliserProducts[[#Headers],[Company]],31)</f>
        <v/>
      </c>
      <c r="G138" s="62" t="str" cm="1">
        <f t="array" ref="G138">Common_InputFunctions.Utility_DisplayArrayInTable(Fertiliser_SourceData.Fertiliser_Products_Data2(), FertiliserProducts[[#Headers],[Company]],31)</f>
        <v/>
      </c>
      <c r="H138" s="62" t="str" cm="1">
        <f t="array" ref="H138">Common_InputFunctions.Utility_DisplayArrayInTable(Fertiliser_SourceData.Fertiliser_Products_Data2(), FertiliserProducts[[#Headers],[Company]],31)</f>
        <v/>
      </c>
      <c r="I138" s="62" t="str" cm="1">
        <f t="array" ref="I138">Common_InputFunctions.Utility_DisplayArrayInTable(Fertiliser_SourceData.Fertiliser_Products_Data2(), FertiliserProducts[[#Headers],[Company]],31)</f>
        <v/>
      </c>
      <c r="J138" s="62" t="str" cm="1">
        <f t="array" ref="J138">Common_InputFunctions.Utility_DisplayArrayInTable(Fertiliser_SourceData.Fertiliser_Products_Data2(), FertiliserProducts[[#Headers],[Company]],31)</f>
        <v/>
      </c>
      <c r="K138" s="62" t="str" cm="1">
        <f t="array" ref="K138">Common_InputFunctions.Utility_DisplayArrayInTable(Fertiliser_SourceData.Fertiliser_Products_Data2(), FertiliserProducts[[#Headers],[Company]],31)</f>
        <v/>
      </c>
      <c r="L138" s="62" t="str" cm="1">
        <f t="array" ref="L138">Common_InputFunctions.Utility_DisplayArrayInTable(Fertiliser_SourceData.Fertiliser_Products_Data2(), FertiliserProducts[[#Headers],[Company]],31)</f>
        <v/>
      </c>
      <c r="M138" s="62" t="str" cm="1">
        <f t="array" ref="M138">Common_InputFunctions.Utility_DisplayArrayInTable(Fertiliser_SourceData.Fertiliser_Products_Data2(), FertiliserProducts[[#Headers],[Company]],31)</f>
        <v/>
      </c>
      <c r="N138" s="62" t="str" cm="1">
        <f t="array" ref="N138">Common_InputFunctions.Utility_DisplayArrayInTable(Fertiliser_SourceData.Fertiliser_Products_Data2(), FertiliserProducts[[#Headers],[Company]],31)</f>
        <v/>
      </c>
      <c r="O138" s="62" t="str" cm="1">
        <f t="array" ref="O138">Common_InputFunctions.Utility_DisplayArrayInTable(Fertiliser_SourceData.Fertiliser_Products_Data2(), FertiliserProducts[[#Headers],[Company]],31)</f>
        <v/>
      </c>
      <c r="P138" s="62" t="str" cm="1">
        <f t="array" ref="P138">Common_InputFunctions.Utility_DisplayArrayInTable(Fertiliser_SourceData.Fertiliser_Products_Data2(), FertiliserProducts[[#Headers],[Company]],31)</f>
        <v/>
      </c>
      <c r="Q138" s="62" t="str" cm="1">
        <f t="array" ref="Q138">Common_InputFunctions.Utility_DisplayArrayInTable(Fertiliser_SourceData.Fertiliser_Products_Data2(), FertiliserProducts[[#Headers],[Company]],31)</f>
        <v/>
      </c>
      <c r="R138" s="62" t="str" cm="1">
        <f t="array" ref="R138">Common_InputFunctions.Utility_DisplayArrayInTable(Fertiliser_SourceData.Fertiliser_Products_Data2(), FertiliserProducts[[#Headers],[Company]],31)</f>
        <v/>
      </c>
      <c r="S138" s="62" t="str" cm="1">
        <f t="array" ref="S138">Common_InputFunctions.Utility_DisplayArrayInTable(Fertiliser_SourceData.Fertiliser_Products_Data2(), FertiliserProducts[[#Headers],[Company]],31)</f>
        <v/>
      </c>
      <c r="T138" s="62" t="str" cm="1">
        <f t="array" ref="T138">Common_InputFunctions.Utility_DisplayArrayInTable(Fertiliser_SourceData.Fertiliser_Products_Data2(), FertiliserProducts[[#Headers],[Company]],31)</f>
        <v/>
      </c>
      <c r="U138" s="62" t="str" cm="1">
        <f t="array" ref="U138">Common_InputFunctions.Utility_DisplayArrayInTable(Fertiliser_SourceData.Fertiliser_Products_Data2(), FertiliserProducts[[#Headers],[Company]],31)</f>
        <v/>
      </c>
      <c r="V138" s="62" t="str" cm="1">
        <f t="array" ref="V138">Common_InputFunctions.Utility_DisplayArrayInTable(Fertiliser_SourceData.Fertiliser_Products_Data2(), FertiliserProducts[[#Headers],[Company]],31)</f>
        <v/>
      </c>
      <c r="W138" s="62" t="str" cm="1">
        <f t="array" ref="W138">Common_InputFunctions.Utility_DisplayArrayInTable(Fertiliser_SourceData.Fertiliser_Products_Data2(), FertiliserProducts[[#Headers],[Company]],31)</f>
        <v>CSBP Super Potash</v>
      </c>
      <c r="X138" s="62" t="str" cm="1">
        <f t="array" ref="X138">Common_InputFunctions.Utility_DisplayArrayInTable(Fertiliser_SourceData.Fertiliser_Products_Data2(), FertiliserProducts[[#Headers],[Company]],31)</f>
        <v/>
      </c>
      <c r="Y138" s="62" t="str" cm="1">
        <f t="array" ref="Y138">Common_InputFunctions.Utility_DisplayArrayInTable(Fertiliser_SourceData.Fertiliser_Products_Data2(), FertiliserProducts[[#Headers],[Company]],31)</f>
        <v/>
      </c>
      <c r="Z138" s="62" t="str" cm="1">
        <f t="array" ref="Z138">Common_InputFunctions.Utility_DisplayArrayInTable(Fertiliser_SourceData.Fertiliser_Products_Data2(), FertiliserProducts[[#Headers],[Company]],31)</f>
        <v/>
      </c>
      <c r="AA138" s="62" t="str" cm="1">
        <f t="array" ref="AA138">Common_InputFunctions.Utility_DisplayArrayInTable(Fertiliser_SourceData.Fertiliser_Products_Data2(), FertiliserProducts[[#Headers],[Company]],31)</f>
        <v/>
      </c>
      <c r="AB138" s="62" t="str" cm="1">
        <f t="array" ref="AB138">Common_InputFunctions.Utility_DisplayArrayInTable(Fertiliser_SourceData.Fertiliser_Products_Data2(), FertiliserProducts[[#Headers],[Company]],31)</f>
        <v/>
      </c>
      <c r="AC138" s="62" t="str" cm="1">
        <f t="array" ref="AC138">Common_InputFunctions.Utility_DisplayArrayInTable(Fertiliser_SourceData.Fertiliser_Products_Data2(), FertiliserProducts[[#Headers],[Company]],31)</f>
        <v/>
      </c>
      <c r="AD138" s="62" t="str" cm="1">
        <f t="array" ref="AD138">Common_InputFunctions.Utility_DisplayArrayInTable(Fertiliser_SourceData.Fertiliser_Products_Data2(), FertiliserProducts[[#Headers],[Company]],31)</f>
        <v/>
      </c>
      <c r="AE138" s="62" t="str" cm="1">
        <f t="array" ref="AE138">Common_InputFunctions.Utility_DisplayArrayInTable(Fertiliser_SourceData.Fertiliser_Products_Data2(), FertiliserProducts[[#Headers],[Company]],31)</f>
        <v/>
      </c>
      <c r="AF138" s="62" t="str" cm="1">
        <f t="array" ref="AF138">Common_InputFunctions.Utility_DisplayArrayInTable(Fertiliser_SourceData.Fertiliser_Products_Data2(), FertiliserProducts[[#Headers],[Company]],31)</f>
        <v/>
      </c>
      <c r="AG138" s="62" t="str" cm="1">
        <f t="array" ref="AG138">Common_InputFunctions.Utility_DisplayArrayInTable(Fertiliser_SourceData.Fertiliser_Products_Data2(), FertiliserProducts[[#Headers],[Company]],31)</f>
        <v/>
      </c>
      <c r="AH138" s="62" t="str" cm="1">
        <f t="array" ref="AH138">Common_InputFunctions.Utility_DisplayArrayInTable(Fertiliser_SourceData.Fertiliser_Products_Data2(), FertiliserProducts[[#Headers],[Company]],31)</f>
        <v/>
      </c>
      <c r="AK138" s="8"/>
      <c r="AL138" s="8"/>
      <c r="AM138" s="8"/>
    </row>
    <row r="139" spans="1:39" ht="20.100000000000001" customHeight="1" x14ac:dyDescent="0.25">
      <c r="A139"/>
      <c r="D139" s="62" t="str" cm="1">
        <f t="array" ref="D139">Common_InputFunctions.Utility_DisplayArrayInTable(Fertiliser_SourceData.Fertiliser_Products_Data2(), FertiliserProducts[[#Headers],[Company]],31)</f>
        <v>SuPerfect</v>
      </c>
      <c r="E139" s="62" t="str" cm="1">
        <f t="array" ref="E139">Common_InputFunctions.Utility_DisplayArrayInTable(Fertiliser_SourceData.Fertiliser_Products_Data2(), FertiliserProducts[[#Headers],[Company]],31)</f>
        <v/>
      </c>
      <c r="F139" s="62" t="str" cm="1">
        <f t="array" ref="F139">Common_InputFunctions.Utility_DisplayArrayInTable(Fertiliser_SourceData.Fertiliser_Products_Data2(), FertiliserProducts[[#Headers],[Company]],31)</f>
        <v/>
      </c>
      <c r="G139" s="62" t="str" cm="1">
        <f t="array" ref="G139">Common_InputFunctions.Utility_DisplayArrayInTable(Fertiliser_SourceData.Fertiliser_Products_Data2(), FertiliserProducts[[#Headers],[Company]],31)</f>
        <v/>
      </c>
      <c r="H139" s="62" t="str" cm="1">
        <f t="array" ref="H139">Common_InputFunctions.Utility_DisplayArrayInTable(Fertiliser_SourceData.Fertiliser_Products_Data2(), FertiliserProducts[[#Headers],[Company]],31)</f>
        <v/>
      </c>
      <c r="I139" s="62" t="str" cm="1">
        <f t="array" ref="I139">Common_InputFunctions.Utility_DisplayArrayInTable(Fertiliser_SourceData.Fertiliser_Products_Data2(), FertiliserProducts[[#Headers],[Company]],31)</f>
        <v/>
      </c>
      <c r="J139" s="62" t="str" cm="1">
        <f t="array" ref="J139">Common_InputFunctions.Utility_DisplayArrayInTable(Fertiliser_SourceData.Fertiliser_Products_Data2(), FertiliserProducts[[#Headers],[Company]],31)</f>
        <v/>
      </c>
      <c r="K139" s="62" t="str" cm="1">
        <f t="array" ref="K139">Common_InputFunctions.Utility_DisplayArrayInTable(Fertiliser_SourceData.Fertiliser_Products_Data2(), FertiliserProducts[[#Headers],[Company]],31)</f>
        <v/>
      </c>
      <c r="L139" s="62" t="str" cm="1">
        <f t="array" ref="L139">Common_InputFunctions.Utility_DisplayArrayInTable(Fertiliser_SourceData.Fertiliser_Products_Data2(), FertiliserProducts[[#Headers],[Company]],31)</f>
        <v/>
      </c>
      <c r="M139" s="62" t="str" cm="1">
        <f t="array" ref="M139">Common_InputFunctions.Utility_DisplayArrayInTable(Fertiliser_SourceData.Fertiliser_Products_Data2(), FertiliserProducts[[#Headers],[Company]],31)</f>
        <v/>
      </c>
      <c r="N139" s="62" t="str" cm="1">
        <f t="array" ref="N139">Common_InputFunctions.Utility_DisplayArrayInTable(Fertiliser_SourceData.Fertiliser_Products_Data2(), FertiliserProducts[[#Headers],[Company]],31)</f>
        <v/>
      </c>
      <c r="O139" s="62" t="str" cm="1">
        <f t="array" ref="O139">Common_InputFunctions.Utility_DisplayArrayInTable(Fertiliser_SourceData.Fertiliser_Products_Data2(), FertiliserProducts[[#Headers],[Company]],31)</f>
        <v/>
      </c>
      <c r="P139" s="62" t="str" cm="1">
        <f t="array" ref="P139">Common_InputFunctions.Utility_DisplayArrayInTable(Fertiliser_SourceData.Fertiliser_Products_Data2(), FertiliserProducts[[#Headers],[Company]],31)</f>
        <v/>
      </c>
      <c r="Q139" s="62" t="str" cm="1">
        <f t="array" ref="Q139">Common_InputFunctions.Utility_DisplayArrayInTable(Fertiliser_SourceData.Fertiliser_Products_Data2(), FertiliserProducts[[#Headers],[Company]],31)</f>
        <v/>
      </c>
      <c r="R139" s="62" t="str" cm="1">
        <f t="array" ref="R139">Common_InputFunctions.Utility_DisplayArrayInTable(Fertiliser_SourceData.Fertiliser_Products_Data2(), FertiliserProducts[[#Headers],[Company]],31)</f>
        <v/>
      </c>
      <c r="S139" s="62" t="str" cm="1">
        <f t="array" ref="S139">Common_InputFunctions.Utility_DisplayArrayInTable(Fertiliser_SourceData.Fertiliser_Products_Data2(), FertiliserProducts[[#Headers],[Company]],31)</f>
        <v/>
      </c>
      <c r="T139" s="62" t="str" cm="1">
        <f t="array" ref="T139">Common_InputFunctions.Utility_DisplayArrayInTable(Fertiliser_SourceData.Fertiliser_Products_Data2(), FertiliserProducts[[#Headers],[Company]],31)</f>
        <v/>
      </c>
      <c r="U139" s="62" t="str" cm="1">
        <f t="array" ref="U139">Common_InputFunctions.Utility_DisplayArrayInTable(Fertiliser_SourceData.Fertiliser_Products_Data2(), FertiliserProducts[[#Headers],[Company]],31)</f>
        <v/>
      </c>
      <c r="V139" s="62" t="str" cm="1">
        <f t="array" ref="V139">Common_InputFunctions.Utility_DisplayArrayInTable(Fertiliser_SourceData.Fertiliser_Products_Data2(), FertiliserProducts[[#Headers],[Company]],31)</f>
        <v/>
      </c>
      <c r="W139" s="62" t="str" cm="1">
        <f t="array" ref="W139">Common_InputFunctions.Utility_DisplayArrayInTable(Fertiliser_SourceData.Fertiliser_Products_Data2(), FertiliserProducts[[#Headers],[Company]],31)</f>
        <v>Incitec Pivot Fertilisers</v>
      </c>
      <c r="X139" s="62" t="str" cm="1">
        <f t="array" ref="X139">Common_InputFunctions.Utility_DisplayArrayInTable(Fertiliser_SourceData.Fertiliser_Products_Data2(), FertiliserProducts[[#Headers],[Company]],31)</f>
        <v/>
      </c>
      <c r="Y139" s="62" t="str" cm="1">
        <f t="array" ref="Y139">Common_InputFunctions.Utility_DisplayArrayInTable(Fertiliser_SourceData.Fertiliser_Products_Data2(), FertiliserProducts[[#Headers],[Company]],31)</f>
        <v/>
      </c>
      <c r="Z139" s="62" t="str" cm="1">
        <f t="array" ref="Z139">Common_InputFunctions.Utility_DisplayArrayInTable(Fertiliser_SourceData.Fertiliser_Products_Data2(), FertiliserProducts[[#Headers],[Company]],31)</f>
        <v/>
      </c>
      <c r="AA139" s="62" t="str" cm="1">
        <f t="array" ref="AA139">Common_InputFunctions.Utility_DisplayArrayInTable(Fertiliser_SourceData.Fertiliser_Products_Data2(), FertiliserProducts[[#Headers],[Company]],31)</f>
        <v/>
      </c>
      <c r="AB139" s="62" t="str" cm="1">
        <f t="array" ref="AB139">Common_InputFunctions.Utility_DisplayArrayInTable(Fertiliser_SourceData.Fertiliser_Products_Data2(), FertiliserProducts[[#Headers],[Company]],31)</f>
        <v/>
      </c>
      <c r="AC139" s="62" t="str" cm="1">
        <f t="array" ref="AC139">Common_InputFunctions.Utility_DisplayArrayInTable(Fertiliser_SourceData.Fertiliser_Products_Data2(), FertiliserProducts[[#Headers],[Company]],31)</f>
        <v/>
      </c>
      <c r="AD139" s="62" t="str" cm="1">
        <f t="array" ref="AD139">Common_InputFunctions.Utility_DisplayArrayInTable(Fertiliser_SourceData.Fertiliser_Products_Data2(), FertiliserProducts[[#Headers],[Company]],31)</f>
        <v/>
      </c>
      <c r="AE139" s="62" t="str" cm="1">
        <f t="array" ref="AE139">Common_InputFunctions.Utility_DisplayArrayInTable(Fertiliser_SourceData.Fertiliser_Products_Data2(), FertiliserProducts[[#Headers],[Company]],31)</f>
        <v/>
      </c>
      <c r="AF139" s="62" t="str" cm="1">
        <f t="array" ref="AF139">Common_InputFunctions.Utility_DisplayArrayInTable(Fertiliser_SourceData.Fertiliser_Products_Data2(), FertiliserProducts[[#Headers],[Company]],31)</f>
        <v/>
      </c>
      <c r="AG139" s="62" t="str" cm="1">
        <f t="array" ref="AG139">Common_InputFunctions.Utility_DisplayArrayInTable(Fertiliser_SourceData.Fertiliser_Products_Data2(), FertiliserProducts[[#Headers],[Company]],31)</f>
        <v/>
      </c>
      <c r="AH139" s="62" t="str" cm="1">
        <f t="array" ref="AH139">Common_InputFunctions.Utility_DisplayArrayInTable(Fertiliser_SourceData.Fertiliser_Products_Data2(), FertiliserProducts[[#Headers],[Company]],31)</f>
        <v/>
      </c>
      <c r="AK139" s="8"/>
      <c r="AL139" s="8"/>
      <c r="AM139" s="8"/>
    </row>
    <row r="140" spans="1:39" ht="20.100000000000001" customHeight="1" x14ac:dyDescent="0.25">
      <c r="A140"/>
      <c r="D140" s="62" t="str" cm="1">
        <f t="array" ref="D140">Common_InputFunctions.Utility_DisplayArrayInTable(Fertiliser_SourceData.Fertiliser_Products_Data2(), FertiliserProducts[[#Headers],[Company]],31)</f>
        <v>SuperPasture Potash 5:1</v>
      </c>
      <c r="E140" s="62" t="str" cm="1">
        <f t="array" ref="E140">Common_InputFunctions.Utility_DisplayArrayInTable(Fertiliser_SourceData.Fertiliser_Products_Data2(), FertiliserProducts[[#Headers],[Company]],31)</f>
        <v/>
      </c>
      <c r="F140" s="62" t="str" cm="1">
        <f t="array" ref="F140">Common_InputFunctions.Utility_DisplayArrayInTable(Fertiliser_SourceData.Fertiliser_Products_Data2(), FertiliserProducts[[#Headers],[Company]],31)</f>
        <v/>
      </c>
      <c r="G140" s="62" t="str" cm="1">
        <f t="array" ref="G140">Common_InputFunctions.Utility_DisplayArrayInTable(Fertiliser_SourceData.Fertiliser_Products_Data2(), FertiliserProducts[[#Headers],[Company]],31)</f>
        <v/>
      </c>
      <c r="H140" s="62" t="str" cm="1">
        <f t="array" ref="H140">Common_InputFunctions.Utility_DisplayArrayInTable(Fertiliser_SourceData.Fertiliser_Products_Data2(), FertiliserProducts[[#Headers],[Company]],31)</f>
        <v/>
      </c>
      <c r="I140" s="62" t="str" cm="1">
        <f t="array" ref="I140">Common_InputFunctions.Utility_DisplayArrayInTable(Fertiliser_SourceData.Fertiliser_Products_Data2(), FertiliserProducts[[#Headers],[Company]],31)</f>
        <v/>
      </c>
      <c r="J140" s="62" t="str" cm="1">
        <f t="array" ref="J140">Common_InputFunctions.Utility_DisplayArrayInTable(Fertiliser_SourceData.Fertiliser_Products_Data2(), FertiliserProducts[[#Headers],[Company]],31)</f>
        <v/>
      </c>
      <c r="K140" s="62" t="str" cm="1">
        <f t="array" ref="K140">Common_InputFunctions.Utility_DisplayArrayInTable(Fertiliser_SourceData.Fertiliser_Products_Data2(), FertiliserProducts[[#Headers],[Company]],31)</f>
        <v/>
      </c>
      <c r="L140" s="62" t="str" cm="1">
        <f t="array" ref="L140">Common_InputFunctions.Utility_DisplayArrayInTable(Fertiliser_SourceData.Fertiliser_Products_Data2(), FertiliserProducts[[#Headers],[Company]],31)</f>
        <v/>
      </c>
      <c r="M140" s="62" t="str" cm="1">
        <f t="array" ref="M140">Common_InputFunctions.Utility_DisplayArrayInTable(Fertiliser_SourceData.Fertiliser_Products_Data2(), FertiliserProducts[[#Headers],[Company]],31)</f>
        <v/>
      </c>
      <c r="N140" s="62" t="str" cm="1">
        <f t="array" ref="N140">Common_InputFunctions.Utility_DisplayArrayInTable(Fertiliser_SourceData.Fertiliser_Products_Data2(), FertiliserProducts[[#Headers],[Company]],31)</f>
        <v/>
      </c>
      <c r="O140" s="62" t="str" cm="1">
        <f t="array" ref="O140">Common_InputFunctions.Utility_DisplayArrayInTable(Fertiliser_SourceData.Fertiliser_Products_Data2(), FertiliserProducts[[#Headers],[Company]],31)</f>
        <v/>
      </c>
      <c r="P140" s="62" t="str" cm="1">
        <f t="array" ref="P140">Common_InputFunctions.Utility_DisplayArrayInTable(Fertiliser_SourceData.Fertiliser_Products_Data2(), FertiliserProducts[[#Headers],[Company]],31)</f>
        <v/>
      </c>
      <c r="Q140" s="62" t="str" cm="1">
        <f t="array" ref="Q140">Common_InputFunctions.Utility_DisplayArrayInTable(Fertiliser_SourceData.Fertiliser_Products_Data2(), FertiliserProducts[[#Headers],[Company]],31)</f>
        <v/>
      </c>
      <c r="R140" s="62" t="str" cm="1">
        <f t="array" ref="R140">Common_InputFunctions.Utility_DisplayArrayInTable(Fertiliser_SourceData.Fertiliser_Products_Data2(), FertiliserProducts[[#Headers],[Company]],31)</f>
        <v/>
      </c>
      <c r="S140" s="62" t="str" cm="1">
        <f t="array" ref="S140">Common_InputFunctions.Utility_DisplayArrayInTable(Fertiliser_SourceData.Fertiliser_Products_Data2(), FertiliserProducts[[#Headers],[Company]],31)</f>
        <v/>
      </c>
      <c r="T140" s="62" t="str" cm="1">
        <f t="array" ref="T140">Common_InputFunctions.Utility_DisplayArrayInTable(Fertiliser_SourceData.Fertiliser_Products_Data2(), FertiliserProducts[[#Headers],[Company]],31)</f>
        <v/>
      </c>
      <c r="U140" s="62" t="str" cm="1">
        <f t="array" ref="U140">Common_InputFunctions.Utility_DisplayArrayInTable(Fertiliser_SourceData.Fertiliser_Products_Data2(), FertiliserProducts[[#Headers],[Company]],31)</f>
        <v/>
      </c>
      <c r="V140" s="62" t="str" cm="1">
        <f t="array" ref="V140">Common_InputFunctions.Utility_DisplayArrayInTable(Fertiliser_SourceData.Fertiliser_Products_Data2(), FertiliserProducts[[#Headers],[Company]],31)</f>
        <v/>
      </c>
      <c r="W140" s="62" t="str" cm="1">
        <f t="array" ref="W140">Common_InputFunctions.Utility_DisplayArrayInTable(Fertiliser_SourceData.Fertiliser_Products_Data2(), FertiliserProducts[[#Headers],[Company]],31)</f>
        <v>CSBP Super Potash</v>
      </c>
      <c r="X140" s="62" t="str" cm="1">
        <f t="array" ref="X140">Common_InputFunctions.Utility_DisplayArrayInTable(Fertiliser_SourceData.Fertiliser_Products_Data2(), FertiliserProducts[[#Headers],[Company]],31)</f>
        <v/>
      </c>
      <c r="Y140" s="62" t="str" cm="1">
        <f t="array" ref="Y140">Common_InputFunctions.Utility_DisplayArrayInTable(Fertiliser_SourceData.Fertiliser_Products_Data2(), FertiliserProducts[[#Headers],[Company]],31)</f>
        <v/>
      </c>
      <c r="Z140" s="62" t="str" cm="1">
        <f t="array" ref="Z140">Common_InputFunctions.Utility_DisplayArrayInTable(Fertiliser_SourceData.Fertiliser_Products_Data2(), FertiliserProducts[[#Headers],[Company]],31)</f>
        <v/>
      </c>
      <c r="AA140" s="62" t="str" cm="1">
        <f t="array" ref="AA140">Common_InputFunctions.Utility_DisplayArrayInTable(Fertiliser_SourceData.Fertiliser_Products_Data2(), FertiliserProducts[[#Headers],[Company]],31)</f>
        <v/>
      </c>
      <c r="AB140" s="62" t="str" cm="1">
        <f t="array" ref="AB140">Common_InputFunctions.Utility_DisplayArrayInTable(Fertiliser_SourceData.Fertiliser_Products_Data2(), FertiliserProducts[[#Headers],[Company]],31)</f>
        <v/>
      </c>
      <c r="AC140" s="62" t="str" cm="1">
        <f t="array" ref="AC140">Common_InputFunctions.Utility_DisplayArrayInTable(Fertiliser_SourceData.Fertiliser_Products_Data2(), FertiliserProducts[[#Headers],[Company]],31)</f>
        <v/>
      </c>
      <c r="AD140" s="62" t="str" cm="1">
        <f t="array" ref="AD140">Common_InputFunctions.Utility_DisplayArrayInTable(Fertiliser_SourceData.Fertiliser_Products_Data2(), FertiliserProducts[[#Headers],[Company]],31)</f>
        <v/>
      </c>
      <c r="AE140" s="62" t="str" cm="1">
        <f t="array" ref="AE140">Common_InputFunctions.Utility_DisplayArrayInTable(Fertiliser_SourceData.Fertiliser_Products_Data2(), FertiliserProducts[[#Headers],[Company]],31)</f>
        <v/>
      </c>
      <c r="AF140" s="62" t="str" cm="1">
        <f t="array" ref="AF140">Common_InputFunctions.Utility_DisplayArrayInTable(Fertiliser_SourceData.Fertiliser_Products_Data2(), FertiliserProducts[[#Headers],[Company]],31)</f>
        <v/>
      </c>
      <c r="AG140" s="62" t="str" cm="1">
        <f t="array" ref="AG140">Common_InputFunctions.Utility_DisplayArrayInTable(Fertiliser_SourceData.Fertiliser_Products_Data2(), FertiliserProducts[[#Headers],[Company]],31)</f>
        <v/>
      </c>
      <c r="AH140" s="62" t="str" cm="1">
        <f t="array" ref="AH140">Common_InputFunctions.Utility_DisplayArrayInTable(Fertiliser_SourceData.Fertiliser_Products_Data2(), FertiliserProducts[[#Headers],[Company]],31)</f>
        <v/>
      </c>
      <c r="AK140" s="8"/>
      <c r="AL140" s="8"/>
      <c r="AM140" s="8"/>
    </row>
    <row r="141" spans="1:39" ht="20.100000000000001" customHeight="1" x14ac:dyDescent="0.25">
      <c r="A141"/>
      <c r="D141" s="62" t="str" cm="1">
        <f t="array" ref="D141">Common_InputFunctions.Utility_DisplayArrayInTable(Fertiliser_SourceData.Fertiliser_Products_Data2(), FertiliserProducts[[#Headers],[Company]],31)</f>
        <v>Trace-it Mn</v>
      </c>
      <c r="E141" s="62" t="str" cm="1">
        <f t="array" ref="E141">Common_InputFunctions.Utility_DisplayArrayInTable(Fertiliser_SourceData.Fertiliser_Products_Data2(), FertiliserProducts[[#Headers],[Company]],31)</f>
        <v/>
      </c>
      <c r="F141" s="62" t="str" cm="1">
        <f t="array" ref="F141">Common_InputFunctions.Utility_DisplayArrayInTable(Fertiliser_SourceData.Fertiliser_Products_Data2(), FertiliserProducts[[#Headers],[Company]],31)</f>
        <v/>
      </c>
      <c r="G141" s="62" t="str" cm="1">
        <f t="array" ref="G141">Common_InputFunctions.Utility_DisplayArrayInTable(Fertiliser_SourceData.Fertiliser_Products_Data2(), FertiliserProducts[[#Headers],[Company]],31)</f>
        <v/>
      </c>
      <c r="H141" s="62" t="str" cm="1">
        <f t="array" ref="H141">Common_InputFunctions.Utility_DisplayArrayInTable(Fertiliser_SourceData.Fertiliser_Products_Data2(), FertiliserProducts[[#Headers],[Company]],31)</f>
        <v/>
      </c>
      <c r="I141" s="62" t="str" cm="1">
        <f t="array" ref="I141">Common_InputFunctions.Utility_DisplayArrayInTable(Fertiliser_SourceData.Fertiliser_Products_Data2(), FertiliserProducts[[#Headers],[Company]],31)</f>
        <v/>
      </c>
      <c r="J141" s="62" t="str" cm="1">
        <f t="array" ref="J141">Common_InputFunctions.Utility_DisplayArrayInTable(Fertiliser_SourceData.Fertiliser_Products_Data2(), FertiliserProducts[[#Headers],[Company]],31)</f>
        <v/>
      </c>
      <c r="K141" s="62" t="str" cm="1">
        <f t="array" ref="K141">Common_InputFunctions.Utility_DisplayArrayInTable(Fertiliser_SourceData.Fertiliser_Products_Data2(), FertiliserProducts[[#Headers],[Company]],31)</f>
        <v/>
      </c>
      <c r="L141" s="62" t="str" cm="1">
        <f t="array" ref="L141">Common_InputFunctions.Utility_DisplayArrayInTable(Fertiliser_SourceData.Fertiliser_Products_Data2(), FertiliserProducts[[#Headers],[Company]],31)</f>
        <v/>
      </c>
      <c r="M141" s="62" t="str" cm="1">
        <f t="array" ref="M141">Common_InputFunctions.Utility_DisplayArrayInTable(Fertiliser_SourceData.Fertiliser_Products_Data2(), FertiliserProducts[[#Headers],[Company]],31)</f>
        <v/>
      </c>
      <c r="N141" s="62" t="str" cm="1">
        <f t="array" ref="N141">Common_InputFunctions.Utility_DisplayArrayInTable(Fertiliser_SourceData.Fertiliser_Products_Data2(), FertiliserProducts[[#Headers],[Company]],31)</f>
        <v/>
      </c>
      <c r="O141" s="62" t="str" cm="1">
        <f t="array" ref="O141">Common_InputFunctions.Utility_DisplayArrayInTable(Fertiliser_SourceData.Fertiliser_Products_Data2(), FertiliserProducts[[#Headers],[Company]],31)</f>
        <v/>
      </c>
      <c r="P141" s="62" t="str" cm="1">
        <f t="array" ref="P141">Common_InputFunctions.Utility_DisplayArrayInTable(Fertiliser_SourceData.Fertiliser_Products_Data2(), FertiliserProducts[[#Headers],[Company]],31)</f>
        <v/>
      </c>
      <c r="Q141" s="62" t="str" cm="1">
        <f t="array" ref="Q141">Common_InputFunctions.Utility_DisplayArrayInTable(Fertiliser_SourceData.Fertiliser_Products_Data2(), FertiliserProducts[[#Headers],[Company]],31)</f>
        <v/>
      </c>
      <c r="R141" s="62" t="str" cm="1">
        <f t="array" ref="R141">Common_InputFunctions.Utility_DisplayArrayInTable(Fertiliser_SourceData.Fertiliser_Products_Data2(), FertiliserProducts[[#Headers],[Company]],31)</f>
        <v/>
      </c>
      <c r="S141" s="62" t="str" cm="1">
        <f t="array" ref="S141">Common_InputFunctions.Utility_DisplayArrayInTable(Fertiliser_SourceData.Fertiliser_Products_Data2(), FertiliserProducts[[#Headers],[Company]],31)</f>
        <v/>
      </c>
      <c r="T141" s="62" t="str" cm="1">
        <f t="array" ref="T141">Common_InputFunctions.Utility_DisplayArrayInTable(Fertiliser_SourceData.Fertiliser_Products_Data2(), FertiliserProducts[[#Headers],[Company]],31)</f>
        <v/>
      </c>
      <c r="U141" s="62" t="str" cm="1">
        <f t="array" ref="U141">Common_InputFunctions.Utility_DisplayArrayInTable(Fertiliser_SourceData.Fertiliser_Products_Data2(), FertiliserProducts[[#Headers],[Company]],31)</f>
        <v/>
      </c>
      <c r="V141" s="62" t="str" cm="1">
        <f t="array" ref="V141">Common_InputFunctions.Utility_DisplayArrayInTable(Fertiliser_SourceData.Fertiliser_Products_Data2(), FertiliserProducts[[#Headers],[Company]],31)</f>
        <v/>
      </c>
      <c r="W141" s="62" t="str" cm="1">
        <f t="array" ref="W141">Common_InputFunctions.Utility_DisplayArrayInTable(Fertiliser_SourceData.Fertiliser_Products_Data2(), FertiliserProducts[[#Headers],[Company]],31)</f>
        <v>Campbells fertilisers Australia</v>
      </c>
      <c r="X141" s="62" t="str" cm="1">
        <f t="array" ref="X141">Common_InputFunctions.Utility_DisplayArrayInTable(Fertiliser_SourceData.Fertiliser_Products_Data2(), FertiliserProducts[[#Headers],[Company]],31)</f>
        <v/>
      </c>
      <c r="Y141" s="62" t="str" cm="1">
        <f t="array" ref="Y141">Common_InputFunctions.Utility_DisplayArrayInTable(Fertiliser_SourceData.Fertiliser_Products_Data2(), FertiliserProducts[[#Headers],[Company]],31)</f>
        <v/>
      </c>
      <c r="Z141" s="62" t="str" cm="1">
        <f t="array" ref="Z141">Common_InputFunctions.Utility_DisplayArrayInTable(Fertiliser_SourceData.Fertiliser_Products_Data2(), FertiliserProducts[[#Headers],[Company]],31)</f>
        <v/>
      </c>
      <c r="AA141" s="62" t="str" cm="1">
        <f t="array" ref="AA141">Common_InputFunctions.Utility_DisplayArrayInTable(Fertiliser_SourceData.Fertiliser_Products_Data2(), FertiliserProducts[[#Headers],[Company]],31)</f>
        <v/>
      </c>
      <c r="AB141" s="62" t="str" cm="1">
        <f t="array" ref="AB141">Common_InputFunctions.Utility_DisplayArrayInTable(Fertiliser_SourceData.Fertiliser_Products_Data2(), FertiliserProducts[[#Headers],[Company]],31)</f>
        <v/>
      </c>
      <c r="AC141" s="62" t="str" cm="1">
        <f t="array" ref="AC141">Common_InputFunctions.Utility_DisplayArrayInTable(Fertiliser_SourceData.Fertiliser_Products_Data2(), FertiliserProducts[[#Headers],[Company]],31)</f>
        <v/>
      </c>
      <c r="AD141" s="62" t="str" cm="1">
        <f t="array" ref="AD141">Common_InputFunctions.Utility_DisplayArrayInTable(Fertiliser_SourceData.Fertiliser_Products_Data2(), FertiliserProducts[[#Headers],[Company]],31)</f>
        <v/>
      </c>
      <c r="AE141" s="62" t="str" cm="1">
        <f t="array" ref="AE141">Common_InputFunctions.Utility_DisplayArrayInTable(Fertiliser_SourceData.Fertiliser_Products_Data2(), FertiliserProducts[[#Headers],[Company]],31)</f>
        <v/>
      </c>
      <c r="AF141" s="62" t="str" cm="1">
        <f t="array" ref="AF141">Common_InputFunctions.Utility_DisplayArrayInTable(Fertiliser_SourceData.Fertiliser_Products_Data2(), FertiliserProducts[[#Headers],[Company]],31)</f>
        <v/>
      </c>
      <c r="AG141" s="62" t="str" cm="1">
        <f t="array" ref="AG141">Common_InputFunctions.Utility_DisplayArrayInTable(Fertiliser_SourceData.Fertiliser_Products_Data2(), FertiliserProducts[[#Headers],[Company]],31)</f>
        <v/>
      </c>
      <c r="AH141" s="62" t="str" cm="1">
        <f t="array" ref="AH141">Common_InputFunctions.Utility_DisplayArrayInTable(Fertiliser_SourceData.Fertiliser_Products_Data2(), FertiliserProducts[[#Headers],[Company]],31)</f>
        <v/>
      </c>
      <c r="AK141" s="8"/>
      <c r="AL141" s="8"/>
      <c r="AM141" s="8"/>
    </row>
    <row r="142" spans="1:39" ht="20.100000000000001" customHeight="1" x14ac:dyDescent="0.25">
      <c r="A142"/>
      <c r="D142" s="62" t="str" cm="1">
        <f t="array" ref="D142">Common_InputFunctions.Utility_DisplayArrayInTable(Fertiliser_SourceData.Fertiliser_Products_Data2(), FertiliserProducts[[#Headers],[Company]],31)</f>
        <v>UniSZon</v>
      </c>
      <c r="E142" s="62" t="str" cm="1">
        <f t="array" ref="E142">Common_InputFunctions.Utility_DisplayArrayInTable(Fertiliser_SourceData.Fertiliser_Products_Data2(), FertiliserProducts[[#Headers],[Company]],31)</f>
        <v/>
      </c>
      <c r="F142" s="62" t="str" cm="1">
        <f t="array" ref="F142">Common_InputFunctions.Utility_DisplayArrayInTable(Fertiliser_SourceData.Fertiliser_Products_Data2(), FertiliserProducts[[#Headers],[Company]],31)</f>
        <v/>
      </c>
      <c r="G142" s="62" t="str" cm="1">
        <f t="array" ref="G142">Common_InputFunctions.Utility_DisplayArrayInTable(Fertiliser_SourceData.Fertiliser_Products_Data2(), FertiliserProducts[[#Headers],[Company]],31)</f>
        <v/>
      </c>
      <c r="H142" s="62" t="str" cm="1">
        <f t="array" ref="H142">Common_InputFunctions.Utility_DisplayArrayInTable(Fertiliser_SourceData.Fertiliser_Products_Data2(), FertiliserProducts[[#Headers],[Company]],31)</f>
        <v/>
      </c>
      <c r="I142" s="62" t="str" cm="1">
        <f t="array" ref="I142">Common_InputFunctions.Utility_DisplayArrayInTable(Fertiliser_SourceData.Fertiliser_Products_Data2(), FertiliserProducts[[#Headers],[Company]],31)</f>
        <v/>
      </c>
      <c r="J142" s="62" t="str" cm="1">
        <f t="array" ref="J142">Common_InputFunctions.Utility_DisplayArrayInTable(Fertiliser_SourceData.Fertiliser_Products_Data2(), FertiliserProducts[[#Headers],[Company]],31)</f>
        <v/>
      </c>
      <c r="K142" s="62" t="str" cm="1">
        <f t="array" ref="K142">Common_InputFunctions.Utility_DisplayArrayInTable(Fertiliser_SourceData.Fertiliser_Products_Data2(), FertiliserProducts[[#Headers],[Company]],31)</f>
        <v/>
      </c>
      <c r="L142" s="62" t="str" cm="1">
        <f t="array" ref="L142">Common_InputFunctions.Utility_DisplayArrayInTable(Fertiliser_SourceData.Fertiliser_Products_Data2(), FertiliserProducts[[#Headers],[Company]],31)</f>
        <v/>
      </c>
      <c r="M142" s="62" t="str" cm="1">
        <f t="array" ref="M142">Common_InputFunctions.Utility_DisplayArrayInTable(Fertiliser_SourceData.Fertiliser_Products_Data2(), FertiliserProducts[[#Headers],[Company]],31)</f>
        <v/>
      </c>
      <c r="N142" s="62" t="str" cm="1">
        <f t="array" ref="N142">Common_InputFunctions.Utility_DisplayArrayInTable(Fertiliser_SourceData.Fertiliser_Products_Data2(), FertiliserProducts[[#Headers],[Company]],31)</f>
        <v/>
      </c>
      <c r="O142" s="62" t="str" cm="1">
        <f t="array" ref="O142">Common_InputFunctions.Utility_DisplayArrayInTable(Fertiliser_SourceData.Fertiliser_Products_Data2(), FertiliserProducts[[#Headers],[Company]],31)</f>
        <v/>
      </c>
      <c r="P142" s="62" t="str" cm="1">
        <f t="array" ref="P142">Common_InputFunctions.Utility_DisplayArrayInTable(Fertiliser_SourceData.Fertiliser_Products_Data2(), FertiliserProducts[[#Headers],[Company]],31)</f>
        <v/>
      </c>
      <c r="Q142" s="62" t="str" cm="1">
        <f t="array" ref="Q142">Common_InputFunctions.Utility_DisplayArrayInTable(Fertiliser_SourceData.Fertiliser_Products_Data2(), FertiliserProducts[[#Headers],[Company]],31)</f>
        <v/>
      </c>
      <c r="R142" s="62" t="str" cm="1">
        <f t="array" ref="R142">Common_InputFunctions.Utility_DisplayArrayInTable(Fertiliser_SourceData.Fertiliser_Products_Data2(), FertiliserProducts[[#Headers],[Company]],31)</f>
        <v/>
      </c>
      <c r="S142" s="62" t="str" cm="1">
        <f t="array" ref="S142">Common_InputFunctions.Utility_DisplayArrayInTable(Fertiliser_SourceData.Fertiliser_Products_Data2(), FertiliserProducts[[#Headers],[Company]],31)</f>
        <v/>
      </c>
      <c r="T142" s="62" t="str" cm="1">
        <f t="array" ref="T142">Common_InputFunctions.Utility_DisplayArrayInTable(Fertiliser_SourceData.Fertiliser_Products_Data2(), FertiliserProducts[[#Headers],[Company]],31)</f>
        <v/>
      </c>
      <c r="U142" s="62" t="str" cm="1">
        <f t="array" ref="U142">Common_InputFunctions.Utility_DisplayArrayInTable(Fertiliser_SourceData.Fertiliser_Products_Data2(), FertiliserProducts[[#Headers],[Company]],31)</f>
        <v/>
      </c>
      <c r="V142" s="62" t="str" cm="1">
        <f t="array" ref="V142">Common_InputFunctions.Utility_DisplayArrayInTable(Fertiliser_SourceData.Fertiliser_Products_Data2(), FertiliserProducts[[#Headers],[Company]],31)</f>
        <v/>
      </c>
      <c r="W142" s="62" t="str" cm="1">
        <f t="array" ref="W142">Common_InputFunctions.Utility_DisplayArrayInTable(Fertiliser_SourceData.Fertiliser_Products_Data2(), FertiliserProducts[[#Headers],[Company]],31)</f>
        <v>WengfuAustralia uniSZon</v>
      </c>
      <c r="X142" s="62" t="str" cm="1">
        <f t="array" ref="X142">Common_InputFunctions.Utility_DisplayArrayInTable(Fertiliser_SourceData.Fertiliser_Products_Data2(), FertiliserProducts[[#Headers],[Company]],31)</f>
        <v/>
      </c>
      <c r="Y142" s="62" t="str" cm="1">
        <f t="array" ref="Y142">Common_InputFunctions.Utility_DisplayArrayInTable(Fertiliser_SourceData.Fertiliser_Products_Data2(), FertiliserProducts[[#Headers],[Company]],31)</f>
        <v/>
      </c>
      <c r="Z142" s="62" t="str" cm="1">
        <f t="array" ref="Z142">Common_InputFunctions.Utility_DisplayArrayInTable(Fertiliser_SourceData.Fertiliser_Products_Data2(), FertiliserProducts[[#Headers],[Company]],31)</f>
        <v/>
      </c>
      <c r="AA142" s="62" t="str" cm="1">
        <f t="array" ref="AA142">Common_InputFunctions.Utility_DisplayArrayInTable(Fertiliser_SourceData.Fertiliser_Products_Data2(), FertiliserProducts[[#Headers],[Company]],31)</f>
        <v/>
      </c>
      <c r="AB142" s="62" t="str" cm="1">
        <f t="array" ref="AB142">Common_InputFunctions.Utility_DisplayArrayInTable(Fertiliser_SourceData.Fertiliser_Products_Data2(), FertiliserProducts[[#Headers],[Company]],31)</f>
        <v/>
      </c>
      <c r="AC142" s="62" t="str" cm="1">
        <f t="array" ref="AC142">Common_InputFunctions.Utility_DisplayArrayInTable(Fertiliser_SourceData.Fertiliser_Products_Data2(), FertiliserProducts[[#Headers],[Company]],31)</f>
        <v/>
      </c>
      <c r="AD142" s="62" t="str" cm="1">
        <f t="array" ref="AD142">Common_InputFunctions.Utility_DisplayArrayInTable(Fertiliser_SourceData.Fertiliser_Products_Data2(), FertiliserProducts[[#Headers],[Company]],31)</f>
        <v/>
      </c>
      <c r="AE142" s="62" t="str" cm="1">
        <f t="array" ref="AE142">Common_InputFunctions.Utility_DisplayArrayInTable(Fertiliser_SourceData.Fertiliser_Products_Data2(), FertiliserProducts[[#Headers],[Company]],31)</f>
        <v/>
      </c>
      <c r="AF142" s="62" t="str" cm="1">
        <f t="array" ref="AF142">Common_InputFunctions.Utility_DisplayArrayInTable(Fertiliser_SourceData.Fertiliser_Products_Data2(), FertiliserProducts[[#Headers],[Company]],31)</f>
        <v/>
      </c>
      <c r="AG142" s="62" t="str" cm="1">
        <f t="array" ref="AG142">Common_InputFunctions.Utility_DisplayArrayInTable(Fertiliser_SourceData.Fertiliser_Products_Data2(), FertiliserProducts[[#Headers],[Company]],31)</f>
        <v/>
      </c>
      <c r="AH142" s="62" t="str" cm="1">
        <f t="array" ref="AH142">Common_InputFunctions.Utility_DisplayArrayInTable(Fertiliser_SourceData.Fertiliser_Products_Data2(), FertiliserProducts[[#Headers],[Company]],31)</f>
        <v/>
      </c>
      <c r="AK142" s="8"/>
      <c r="AL142" s="8"/>
      <c r="AM142" s="8"/>
    </row>
    <row r="143" spans="1:39" ht="20.100000000000001" customHeight="1" x14ac:dyDescent="0.25">
      <c r="A143"/>
      <c r="D143" s="62" t="str" cm="1">
        <f t="array" ref="D143">Common_InputFunctions.Utility_DisplayArrayInTable(Fertiliser_SourceData.Fertiliser_Products_Data2(), FertiliserProducts[[#Headers],[Company]],31)</f>
        <v>Urea</v>
      </c>
      <c r="E143" s="62" t="str" cm="1">
        <f t="array" ref="E143">Common_InputFunctions.Utility_DisplayArrayInTable(Fertiliser_SourceData.Fertiliser_Products_Data2(), FertiliserProducts[[#Headers],[Company]],31)</f>
        <v/>
      </c>
      <c r="F143" s="62" t="str" cm="1">
        <f t="array" ref="F143">Common_InputFunctions.Utility_DisplayArrayInTable(Fertiliser_SourceData.Fertiliser_Products_Data2(), FertiliserProducts[[#Headers],[Company]],31)</f>
        <v/>
      </c>
      <c r="G143" s="62" t="str" cm="1">
        <f t="array" ref="G143">Common_InputFunctions.Utility_DisplayArrayInTable(Fertiliser_SourceData.Fertiliser_Products_Data2(), FertiliserProducts[[#Headers],[Company]],31)</f>
        <v/>
      </c>
      <c r="H143" s="62" t="str" cm="1">
        <f t="array" ref="H143">Common_InputFunctions.Utility_DisplayArrayInTable(Fertiliser_SourceData.Fertiliser_Products_Data2(), FertiliserProducts[[#Headers],[Company]],31)</f>
        <v/>
      </c>
      <c r="I143" s="62" t="str" cm="1">
        <f t="array" ref="I143">Common_InputFunctions.Utility_DisplayArrayInTable(Fertiliser_SourceData.Fertiliser_Products_Data2(), FertiliserProducts[[#Headers],[Company]],31)</f>
        <v/>
      </c>
      <c r="J143" s="62" t="str" cm="1">
        <f t="array" ref="J143">Common_InputFunctions.Utility_DisplayArrayInTable(Fertiliser_SourceData.Fertiliser_Products_Data2(), FertiliserProducts[[#Headers],[Company]],31)</f>
        <v/>
      </c>
      <c r="K143" s="62" t="str" cm="1">
        <f t="array" ref="K143">Common_InputFunctions.Utility_DisplayArrayInTable(Fertiliser_SourceData.Fertiliser_Products_Data2(), FertiliserProducts[[#Headers],[Company]],31)</f>
        <v/>
      </c>
      <c r="L143" s="62" t="str" cm="1">
        <f t="array" ref="L143">Common_InputFunctions.Utility_DisplayArrayInTable(Fertiliser_SourceData.Fertiliser_Products_Data2(), FertiliserProducts[[#Headers],[Company]],31)</f>
        <v/>
      </c>
      <c r="M143" s="62" t="str" cm="1">
        <f t="array" ref="M143">Common_InputFunctions.Utility_DisplayArrayInTable(Fertiliser_SourceData.Fertiliser_Products_Data2(), FertiliserProducts[[#Headers],[Company]],31)</f>
        <v/>
      </c>
      <c r="N143" s="62" t="str" cm="1">
        <f t="array" ref="N143">Common_InputFunctions.Utility_DisplayArrayInTable(Fertiliser_SourceData.Fertiliser_Products_Data2(), FertiliserProducts[[#Headers],[Company]],31)</f>
        <v/>
      </c>
      <c r="O143" s="62" t="str" cm="1">
        <f t="array" ref="O143">Common_InputFunctions.Utility_DisplayArrayInTable(Fertiliser_SourceData.Fertiliser_Products_Data2(), FertiliserProducts[[#Headers],[Company]],31)</f>
        <v/>
      </c>
      <c r="P143" s="62" t="str" cm="1">
        <f t="array" ref="P143">Common_InputFunctions.Utility_DisplayArrayInTable(Fertiliser_SourceData.Fertiliser_Products_Data2(), FertiliserProducts[[#Headers],[Company]],31)</f>
        <v/>
      </c>
      <c r="Q143" s="62" t="str" cm="1">
        <f t="array" ref="Q143">Common_InputFunctions.Utility_DisplayArrayInTable(Fertiliser_SourceData.Fertiliser_Products_Data2(), FertiliserProducts[[#Headers],[Company]],31)</f>
        <v/>
      </c>
      <c r="R143" s="62" t="str" cm="1">
        <f t="array" ref="R143">Common_InputFunctions.Utility_DisplayArrayInTable(Fertiliser_SourceData.Fertiliser_Products_Data2(), FertiliserProducts[[#Headers],[Company]],31)</f>
        <v/>
      </c>
      <c r="S143" s="62" t="str" cm="1">
        <f t="array" ref="S143">Common_InputFunctions.Utility_DisplayArrayInTable(Fertiliser_SourceData.Fertiliser_Products_Data2(), FertiliserProducts[[#Headers],[Company]],31)</f>
        <v/>
      </c>
      <c r="T143" s="62" t="str" cm="1">
        <f t="array" ref="T143">Common_InputFunctions.Utility_DisplayArrayInTable(Fertiliser_SourceData.Fertiliser_Products_Data2(), FertiliserProducts[[#Headers],[Company]],31)</f>
        <v/>
      </c>
      <c r="U143" s="62" t="str" cm="1">
        <f t="array" ref="U143">Common_InputFunctions.Utility_DisplayArrayInTable(Fertiliser_SourceData.Fertiliser_Products_Data2(), FertiliserProducts[[#Headers],[Company]],31)</f>
        <v/>
      </c>
      <c r="V143" s="62" t="str" cm="1">
        <f t="array" ref="V143">Common_InputFunctions.Utility_DisplayArrayInTable(Fertiliser_SourceData.Fertiliser_Products_Data2(), FertiliserProducts[[#Headers],[Company]],31)</f>
        <v/>
      </c>
      <c r="W143" s="62" t="str" cm="1">
        <f t="array" ref="W143">Common_InputFunctions.Utility_DisplayArrayInTable(Fertiliser_SourceData.Fertiliser_Products_Data2(), FertiliserProducts[[#Headers],[Company]],31)</f>
        <v>ProductCard_Adelaide_web.pdf (incitecpivotfertilisers.com.au)</v>
      </c>
      <c r="X143" s="62" t="str" cm="1">
        <f t="array" ref="X143">Common_InputFunctions.Utility_DisplayArrayInTable(Fertiliser_SourceData.Fertiliser_Products_Data2(), FertiliserProducts[[#Headers],[Company]],31)</f>
        <v/>
      </c>
      <c r="Y143" s="62" t="str" cm="1">
        <f t="array" ref="Y143">Common_InputFunctions.Utility_DisplayArrayInTable(Fertiliser_SourceData.Fertiliser_Products_Data2(), FertiliserProducts[[#Headers],[Company]],31)</f>
        <v/>
      </c>
      <c r="Z143" s="62" t="str" cm="1">
        <f t="array" ref="Z143">Common_InputFunctions.Utility_DisplayArrayInTable(Fertiliser_SourceData.Fertiliser_Products_Data2(), FertiliserProducts[[#Headers],[Company]],31)</f>
        <v/>
      </c>
      <c r="AA143" s="62" t="str" cm="1">
        <f t="array" ref="AA143">Common_InputFunctions.Utility_DisplayArrayInTable(Fertiliser_SourceData.Fertiliser_Products_Data2(), FertiliserProducts[[#Headers],[Company]],31)</f>
        <v/>
      </c>
      <c r="AB143" s="62" t="str" cm="1">
        <f t="array" ref="AB143">Common_InputFunctions.Utility_DisplayArrayInTable(Fertiliser_SourceData.Fertiliser_Products_Data2(), FertiliserProducts[[#Headers],[Company]],31)</f>
        <v/>
      </c>
      <c r="AC143" s="62" t="str" cm="1">
        <f t="array" ref="AC143">Common_InputFunctions.Utility_DisplayArrayInTable(Fertiliser_SourceData.Fertiliser_Products_Data2(), FertiliserProducts[[#Headers],[Company]],31)</f>
        <v/>
      </c>
      <c r="AD143" s="62" t="str" cm="1">
        <f t="array" ref="AD143">Common_InputFunctions.Utility_DisplayArrayInTable(Fertiliser_SourceData.Fertiliser_Products_Data2(), FertiliserProducts[[#Headers],[Company]],31)</f>
        <v/>
      </c>
      <c r="AE143" s="62" t="str" cm="1">
        <f t="array" ref="AE143">Common_InputFunctions.Utility_DisplayArrayInTable(Fertiliser_SourceData.Fertiliser_Products_Data2(), FertiliserProducts[[#Headers],[Company]],31)</f>
        <v/>
      </c>
      <c r="AF143" s="62" t="str" cm="1">
        <f t="array" ref="AF143">Common_InputFunctions.Utility_DisplayArrayInTable(Fertiliser_SourceData.Fertiliser_Products_Data2(), FertiliserProducts[[#Headers],[Company]],31)</f>
        <v/>
      </c>
      <c r="AG143" s="62" t="str" cm="1">
        <f t="array" ref="AG143">Common_InputFunctions.Utility_DisplayArrayInTable(Fertiliser_SourceData.Fertiliser_Products_Data2(), FertiliserProducts[[#Headers],[Company]],31)</f>
        <v/>
      </c>
      <c r="AH143" s="62" t="str" cm="1">
        <f t="array" ref="AH143">Common_InputFunctions.Utility_DisplayArrayInTable(Fertiliser_SourceData.Fertiliser_Products_Data2(), FertiliserProducts[[#Headers],[Company]],31)</f>
        <v/>
      </c>
      <c r="AK143" s="8"/>
      <c r="AL143" s="8"/>
      <c r="AM143" s="8"/>
    </row>
    <row r="144" spans="1:39" ht="20.100000000000001" customHeight="1" x14ac:dyDescent="0.25">
      <c r="A144"/>
      <c r="D144" s="62" t="str" cm="1">
        <f t="array" ref="D144">Common_InputFunctions.Utility_DisplayArrayInTable(Fertiliser_SourceData.Fertiliser_Products_Data2(), FertiliserProducts[[#Headers],[Company]],31)</f>
        <v>Wengfu Slam Granular</v>
      </c>
      <c r="E144" s="62" t="str" cm="1">
        <f t="array" ref="E144">Common_InputFunctions.Utility_DisplayArrayInTable(Fertiliser_SourceData.Fertiliser_Products_Data2(), FertiliserProducts[[#Headers],[Company]],31)</f>
        <v/>
      </c>
      <c r="F144" s="62" t="str" cm="1">
        <f t="array" ref="F144">Common_InputFunctions.Utility_DisplayArrayInTable(Fertiliser_SourceData.Fertiliser_Products_Data2(), FertiliserProducts[[#Headers],[Company]],31)</f>
        <v/>
      </c>
      <c r="G144" s="62" t="str" cm="1">
        <f t="array" ref="G144">Common_InputFunctions.Utility_DisplayArrayInTable(Fertiliser_SourceData.Fertiliser_Products_Data2(), FertiliserProducts[[#Headers],[Company]],31)</f>
        <v/>
      </c>
      <c r="H144" s="62" t="str" cm="1">
        <f t="array" ref="H144">Common_InputFunctions.Utility_DisplayArrayInTable(Fertiliser_SourceData.Fertiliser_Products_Data2(), FertiliserProducts[[#Headers],[Company]],31)</f>
        <v/>
      </c>
      <c r="I144" s="62" t="str" cm="1">
        <f t="array" ref="I144">Common_InputFunctions.Utility_DisplayArrayInTable(Fertiliser_SourceData.Fertiliser_Products_Data2(), FertiliserProducts[[#Headers],[Company]],31)</f>
        <v/>
      </c>
      <c r="J144" s="62" t="str" cm="1">
        <f t="array" ref="J144">Common_InputFunctions.Utility_DisplayArrayInTable(Fertiliser_SourceData.Fertiliser_Products_Data2(), FertiliserProducts[[#Headers],[Company]],31)</f>
        <v/>
      </c>
      <c r="K144" s="62" t="str" cm="1">
        <f t="array" ref="K144">Common_InputFunctions.Utility_DisplayArrayInTable(Fertiliser_SourceData.Fertiliser_Products_Data2(), FertiliserProducts[[#Headers],[Company]],31)</f>
        <v/>
      </c>
      <c r="L144" s="62" t="str" cm="1">
        <f t="array" ref="L144">Common_InputFunctions.Utility_DisplayArrayInTable(Fertiliser_SourceData.Fertiliser_Products_Data2(), FertiliserProducts[[#Headers],[Company]],31)</f>
        <v/>
      </c>
      <c r="M144" s="62" t="str" cm="1">
        <f t="array" ref="M144">Common_InputFunctions.Utility_DisplayArrayInTable(Fertiliser_SourceData.Fertiliser_Products_Data2(), FertiliserProducts[[#Headers],[Company]],31)</f>
        <v/>
      </c>
      <c r="N144" s="62" t="str" cm="1">
        <f t="array" ref="N144">Common_InputFunctions.Utility_DisplayArrayInTable(Fertiliser_SourceData.Fertiliser_Products_Data2(), FertiliserProducts[[#Headers],[Company]],31)</f>
        <v/>
      </c>
      <c r="O144" s="62" t="str" cm="1">
        <f t="array" ref="O144">Common_InputFunctions.Utility_DisplayArrayInTable(Fertiliser_SourceData.Fertiliser_Products_Data2(), FertiliserProducts[[#Headers],[Company]],31)</f>
        <v/>
      </c>
      <c r="P144" s="62" t="str" cm="1">
        <f t="array" ref="P144">Common_InputFunctions.Utility_DisplayArrayInTable(Fertiliser_SourceData.Fertiliser_Products_Data2(), FertiliserProducts[[#Headers],[Company]],31)</f>
        <v/>
      </c>
      <c r="Q144" s="62" t="str" cm="1">
        <f t="array" ref="Q144">Common_InputFunctions.Utility_DisplayArrayInTable(Fertiliser_SourceData.Fertiliser_Products_Data2(), FertiliserProducts[[#Headers],[Company]],31)</f>
        <v/>
      </c>
      <c r="R144" s="62" t="str" cm="1">
        <f t="array" ref="R144">Common_InputFunctions.Utility_DisplayArrayInTable(Fertiliser_SourceData.Fertiliser_Products_Data2(), FertiliserProducts[[#Headers],[Company]],31)</f>
        <v/>
      </c>
      <c r="S144" s="62" t="str" cm="1">
        <f t="array" ref="S144">Common_InputFunctions.Utility_DisplayArrayInTable(Fertiliser_SourceData.Fertiliser_Products_Data2(), FertiliserProducts[[#Headers],[Company]],31)</f>
        <v/>
      </c>
      <c r="T144" s="62" t="str" cm="1">
        <f t="array" ref="T144">Common_InputFunctions.Utility_DisplayArrayInTable(Fertiliser_SourceData.Fertiliser_Products_Data2(), FertiliserProducts[[#Headers],[Company]],31)</f>
        <v/>
      </c>
      <c r="U144" s="62" t="str" cm="1">
        <f t="array" ref="U144">Common_InputFunctions.Utility_DisplayArrayInTable(Fertiliser_SourceData.Fertiliser_Products_Data2(), FertiliserProducts[[#Headers],[Company]],31)</f>
        <v/>
      </c>
      <c r="V144" s="62" t="str" cm="1">
        <f t="array" ref="V144">Common_InputFunctions.Utility_DisplayArrayInTable(Fertiliser_SourceData.Fertiliser_Products_Data2(), FertiliserProducts[[#Headers],[Company]],31)</f>
        <v/>
      </c>
      <c r="W144" s="62" t="str" cm="1">
        <f t="array" ref="W144">Common_InputFunctions.Utility_DisplayArrayInTable(Fertiliser_SourceData.Fertiliser_Products_Data2(), FertiliserProducts[[#Headers],[Company]],31)</f>
        <v>Straights (wengfu.com.au)</v>
      </c>
      <c r="X144" s="62" t="str" cm="1">
        <f t="array" ref="X144">Common_InputFunctions.Utility_DisplayArrayInTable(Fertiliser_SourceData.Fertiliser_Products_Data2(), FertiliserProducts[[#Headers],[Company]],31)</f>
        <v/>
      </c>
      <c r="Y144" s="62" t="str" cm="1">
        <f t="array" ref="Y144">Common_InputFunctions.Utility_DisplayArrayInTable(Fertiliser_SourceData.Fertiliser_Products_Data2(), FertiliserProducts[[#Headers],[Company]],31)</f>
        <v/>
      </c>
      <c r="Z144" s="62" t="str" cm="1">
        <f t="array" ref="Z144">Common_InputFunctions.Utility_DisplayArrayInTable(Fertiliser_SourceData.Fertiliser_Products_Data2(), FertiliserProducts[[#Headers],[Company]],31)</f>
        <v/>
      </c>
      <c r="AA144" s="62" t="str" cm="1">
        <f t="array" ref="AA144">Common_InputFunctions.Utility_DisplayArrayInTable(Fertiliser_SourceData.Fertiliser_Products_Data2(), FertiliserProducts[[#Headers],[Company]],31)</f>
        <v/>
      </c>
      <c r="AB144" s="62" t="str" cm="1">
        <f t="array" ref="AB144">Common_InputFunctions.Utility_DisplayArrayInTable(Fertiliser_SourceData.Fertiliser_Products_Data2(), FertiliserProducts[[#Headers],[Company]],31)</f>
        <v/>
      </c>
      <c r="AC144" s="62" t="str" cm="1">
        <f t="array" ref="AC144">Common_InputFunctions.Utility_DisplayArrayInTable(Fertiliser_SourceData.Fertiliser_Products_Data2(), FertiliserProducts[[#Headers],[Company]],31)</f>
        <v/>
      </c>
      <c r="AD144" s="62" t="str" cm="1">
        <f t="array" ref="AD144">Common_InputFunctions.Utility_DisplayArrayInTable(Fertiliser_SourceData.Fertiliser_Products_Data2(), FertiliserProducts[[#Headers],[Company]],31)</f>
        <v/>
      </c>
      <c r="AE144" s="62" t="str" cm="1">
        <f t="array" ref="AE144">Common_InputFunctions.Utility_DisplayArrayInTable(Fertiliser_SourceData.Fertiliser_Products_Data2(), FertiliserProducts[[#Headers],[Company]],31)</f>
        <v/>
      </c>
      <c r="AF144" s="62" t="str" cm="1">
        <f t="array" ref="AF144">Common_InputFunctions.Utility_DisplayArrayInTable(Fertiliser_SourceData.Fertiliser_Products_Data2(), FertiliserProducts[[#Headers],[Company]],31)</f>
        <v/>
      </c>
      <c r="AG144" s="62" t="str" cm="1">
        <f t="array" ref="AG144">Common_InputFunctions.Utility_DisplayArrayInTable(Fertiliser_SourceData.Fertiliser_Products_Data2(), FertiliserProducts[[#Headers],[Company]],31)</f>
        <v/>
      </c>
      <c r="AH144" s="62" t="str" cm="1">
        <f t="array" ref="AH144">Common_InputFunctions.Utility_DisplayArrayInTable(Fertiliser_SourceData.Fertiliser_Products_Data2(), FertiliserProducts[[#Headers],[Company]],31)</f>
        <v/>
      </c>
      <c r="AK144" s="8"/>
      <c r="AL144" s="8"/>
      <c r="AM144" s="8"/>
    </row>
    <row r="145" spans="1:39" ht="20.100000000000001" customHeight="1" x14ac:dyDescent="0.25">
      <c r="A145"/>
      <c r="D145" s="62" t="str" cm="1">
        <f t="array" ref="D145">Common_InputFunctions.Utility_DisplayArrayInTable(Fertiliser_SourceData.Fertiliser_Products_Data2(), FertiliserProducts[[#Headers],[Company]],31)</f>
        <v>Yara FlowPhos 10</v>
      </c>
      <c r="E145" s="62" t="str" cm="1">
        <f t="array" ref="E145">Common_InputFunctions.Utility_DisplayArrayInTable(Fertiliser_SourceData.Fertiliser_Products_Data2(), FertiliserProducts[[#Headers],[Company]],31)</f>
        <v/>
      </c>
      <c r="F145" s="62" t="str" cm="1">
        <f t="array" ref="F145">Common_InputFunctions.Utility_DisplayArrayInTable(Fertiliser_SourceData.Fertiliser_Products_Data2(), FertiliserProducts[[#Headers],[Company]],31)</f>
        <v/>
      </c>
      <c r="G145" s="62" t="str" cm="1">
        <f t="array" ref="G145">Common_InputFunctions.Utility_DisplayArrayInTable(Fertiliser_SourceData.Fertiliser_Products_Data2(), FertiliserProducts[[#Headers],[Company]],31)</f>
        <v/>
      </c>
      <c r="H145" s="62" t="str" cm="1">
        <f t="array" ref="H145">Common_InputFunctions.Utility_DisplayArrayInTable(Fertiliser_SourceData.Fertiliser_Products_Data2(), FertiliserProducts[[#Headers],[Company]],31)</f>
        <v/>
      </c>
      <c r="I145" s="62" t="str" cm="1">
        <f t="array" ref="I145">Common_InputFunctions.Utility_DisplayArrayInTable(Fertiliser_SourceData.Fertiliser_Products_Data2(), FertiliserProducts[[#Headers],[Company]],31)</f>
        <v/>
      </c>
      <c r="J145" s="62" t="str" cm="1">
        <f t="array" ref="J145">Common_InputFunctions.Utility_DisplayArrayInTable(Fertiliser_SourceData.Fertiliser_Products_Data2(), FertiliserProducts[[#Headers],[Company]],31)</f>
        <v/>
      </c>
      <c r="K145" s="62" t="str" cm="1">
        <f t="array" ref="K145">Common_InputFunctions.Utility_DisplayArrayInTable(Fertiliser_SourceData.Fertiliser_Products_Data2(), FertiliserProducts[[#Headers],[Company]],31)</f>
        <v/>
      </c>
      <c r="L145" s="62" t="str" cm="1">
        <f t="array" ref="L145">Common_InputFunctions.Utility_DisplayArrayInTable(Fertiliser_SourceData.Fertiliser_Products_Data2(), FertiliserProducts[[#Headers],[Company]],31)</f>
        <v/>
      </c>
      <c r="M145" s="62" t="str" cm="1">
        <f t="array" ref="M145">Common_InputFunctions.Utility_DisplayArrayInTable(Fertiliser_SourceData.Fertiliser_Products_Data2(), FertiliserProducts[[#Headers],[Company]],31)</f>
        <v/>
      </c>
      <c r="N145" s="62" t="str" cm="1">
        <f t="array" ref="N145">Common_InputFunctions.Utility_DisplayArrayInTable(Fertiliser_SourceData.Fertiliser_Products_Data2(), FertiliserProducts[[#Headers],[Company]],31)</f>
        <v/>
      </c>
      <c r="O145" s="62" t="str" cm="1">
        <f t="array" ref="O145">Common_InputFunctions.Utility_DisplayArrayInTable(Fertiliser_SourceData.Fertiliser_Products_Data2(), FertiliserProducts[[#Headers],[Company]],31)</f>
        <v/>
      </c>
      <c r="P145" s="62" t="str" cm="1">
        <f t="array" ref="P145">Common_InputFunctions.Utility_DisplayArrayInTable(Fertiliser_SourceData.Fertiliser_Products_Data2(), FertiliserProducts[[#Headers],[Company]],31)</f>
        <v/>
      </c>
      <c r="Q145" s="62" t="str" cm="1">
        <f t="array" ref="Q145">Common_InputFunctions.Utility_DisplayArrayInTable(Fertiliser_SourceData.Fertiliser_Products_Data2(), FertiliserProducts[[#Headers],[Company]],31)</f>
        <v/>
      </c>
      <c r="R145" s="62" t="str" cm="1">
        <f t="array" ref="R145">Common_InputFunctions.Utility_DisplayArrayInTable(Fertiliser_SourceData.Fertiliser_Products_Data2(), FertiliserProducts[[#Headers],[Company]],31)</f>
        <v/>
      </c>
      <c r="S145" s="62" t="str" cm="1">
        <f t="array" ref="S145">Common_InputFunctions.Utility_DisplayArrayInTable(Fertiliser_SourceData.Fertiliser_Products_Data2(), FertiliserProducts[[#Headers],[Company]],31)</f>
        <v/>
      </c>
      <c r="T145" s="62" t="str" cm="1">
        <f t="array" ref="T145">Common_InputFunctions.Utility_DisplayArrayInTable(Fertiliser_SourceData.Fertiliser_Products_Data2(), FertiliserProducts[[#Headers],[Company]],31)</f>
        <v/>
      </c>
      <c r="U145" s="62" t="str" cm="1">
        <f t="array" ref="U145">Common_InputFunctions.Utility_DisplayArrayInTable(Fertiliser_SourceData.Fertiliser_Products_Data2(), FertiliserProducts[[#Headers],[Company]],31)</f>
        <v/>
      </c>
      <c r="V145" s="62" t="str" cm="1">
        <f t="array" ref="V145">Common_InputFunctions.Utility_DisplayArrayInTable(Fertiliser_SourceData.Fertiliser_Products_Data2(), FertiliserProducts[[#Headers],[Company]],31)</f>
        <v/>
      </c>
      <c r="W145" s="62" t="str" cm="1">
        <f t="array" ref="W145">Common_InputFunctions.Utility_DisplayArrayInTable(Fertiliser_SourceData.Fertiliser_Products_Data2(), FertiliserProducts[[#Headers],[Company]],31)</f>
        <v>Crop Nutrition Solutions (Yara Australia)</v>
      </c>
      <c r="X145" s="62" t="str" cm="1">
        <f t="array" ref="X145">Common_InputFunctions.Utility_DisplayArrayInTable(Fertiliser_SourceData.Fertiliser_Products_Data2(), FertiliserProducts[[#Headers],[Company]],31)</f>
        <v/>
      </c>
      <c r="Y145" s="62" t="str" cm="1">
        <f t="array" ref="Y145">Common_InputFunctions.Utility_DisplayArrayInTable(Fertiliser_SourceData.Fertiliser_Products_Data2(), FertiliserProducts[[#Headers],[Company]],31)</f>
        <v/>
      </c>
      <c r="Z145" s="62" t="str" cm="1">
        <f t="array" ref="Z145">Common_InputFunctions.Utility_DisplayArrayInTable(Fertiliser_SourceData.Fertiliser_Products_Data2(), FertiliserProducts[[#Headers],[Company]],31)</f>
        <v/>
      </c>
      <c r="AA145" s="62" t="str" cm="1">
        <f t="array" ref="AA145">Common_InputFunctions.Utility_DisplayArrayInTable(Fertiliser_SourceData.Fertiliser_Products_Data2(), FertiliserProducts[[#Headers],[Company]],31)</f>
        <v/>
      </c>
      <c r="AB145" s="62" t="str" cm="1">
        <f t="array" ref="AB145">Common_InputFunctions.Utility_DisplayArrayInTable(Fertiliser_SourceData.Fertiliser_Products_Data2(), FertiliserProducts[[#Headers],[Company]],31)</f>
        <v/>
      </c>
      <c r="AC145" s="62" t="str" cm="1">
        <f t="array" ref="AC145">Common_InputFunctions.Utility_DisplayArrayInTable(Fertiliser_SourceData.Fertiliser_Products_Data2(), FertiliserProducts[[#Headers],[Company]],31)</f>
        <v/>
      </c>
      <c r="AD145" s="62" t="str" cm="1">
        <f t="array" ref="AD145">Common_InputFunctions.Utility_DisplayArrayInTable(Fertiliser_SourceData.Fertiliser_Products_Data2(), FertiliserProducts[[#Headers],[Company]],31)</f>
        <v/>
      </c>
      <c r="AE145" s="62" t="str" cm="1">
        <f t="array" ref="AE145">Common_InputFunctions.Utility_DisplayArrayInTable(Fertiliser_SourceData.Fertiliser_Products_Data2(), FertiliserProducts[[#Headers],[Company]],31)</f>
        <v/>
      </c>
      <c r="AF145" s="62" t="str" cm="1">
        <f t="array" ref="AF145">Common_InputFunctions.Utility_DisplayArrayInTable(Fertiliser_SourceData.Fertiliser_Products_Data2(), FertiliserProducts[[#Headers],[Company]],31)</f>
        <v/>
      </c>
      <c r="AG145" s="62" t="str" cm="1">
        <f t="array" ref="AG145">Common_InputFunctions.Utility_DisplayArrayInTable(Fertiliser_SourceData.Fertiliser_Products_Data2(), FertiliserProducts[[#Headers],[Company]],31)</f>
        <v/>
      </c>
      <c r="AH145" s="62" t="str" cm="1">
        <f t="array" ref="AH145">Common_InputFunctions.Utility_DisplayArrayInTable(Fertiliser_SourceData.Fertiliser_Products_Data2(), FertiliserProducts[[#Headers],[Company]],31)</f>
        <v/>
      </c>
      <c r="AK145" s="8"/>
      <c r="AL145" s="8"/>
      <c r="AM145" s="8"/>
    </row>
    <row r="146" spans="1:39" ht="20.100000000000001" customHeight="1" x14ac:dyDescent="0.25">
      <c r="A146"/>
      <c r="D146" s="62" t="str" cm="1">
        <f t="array" ref="D146">Common_InputFunctions.Utility_DisplayArrayInTable(Fertiliser_SourceData.Fertiliser_Products_Data2(), FertiliserProducts[[#Headers],[Company]],31)</f>
        <v>Yara FlowPhos 13Z</v>
      </c>
      <c r="E146" s="62" t="str" cm="1">
        <f t="array" ref="E146">Common_InputFunctions.Utility_DisplayArrayInTable(Fertiliser_SourceData.Fertiliser_Products_Data2(), FertiliserProducts[[#Headers],[Company]],31)</f>
        <v/>
      </c>
      <c r="F146" s="62" t="str" cm="1">
        <f t="array" ref="F146">Common_InputFunctions.Utility_DisplayArrayInTable(Fertiliser_SourceData.Fertiliser_Products_Data2(), FertiliserProducts[[#Headers],[Company]],31)</f>
        <v/>
      </c>
      <c r="G146" s="62" t="str" cm="1">
        <f t="array" ref="G146">Common_InputFunctions.Utility_DisplayArrayInTable(Fertiliser_SourceData.Fertiliser_Products_Data2(), FertiliserProducts[[#Headers],[Company]],31)</f>
        <v/>
      </c>
      <c r="H146" s="62" t="str" cm="1">
        <f t="array" ref="H146">Common_InputFunctions.Utility_DisplayArrayInTable(Fertiliser_SourceData.Fertiliser_Products_Data2(), FertiliserProducts[[#Headers],[Company]],31)</f>
        <v/>
      </c>
      <c r="I146" s="62" t="str" cm="1">
        <f t="array" ref="I146">Common_InputFunctions.Utility_DisplayArrayInTable(Fertiliser_SourceData.Fertiliser_Products_Data2(), FertiliserProducts[[#Headers],[Company]],31)</f>
        <v/>
      </c>
      <c r="J146" s="62" t="str" cm="1">
        <f t="array" ref="J146">Common_InputFunctions.Utility_DisplayArrayInTable(Fertiliser_SourceData.Fertiliser_Products_Data2(), FertiliserProducts[[#Headers],[Company]],31)</f>
        <v/>
      </c>
      <c r="K146" s="62" t="str" cm="1">
        <f t="array" ref="K146">Common_InputFunctions.Utility_DisplayArrayInTable(Fertiliser_SourceData.Fertiliser_Products_Data2(), FertiliserProducts[[#Headers],[Company]],31)</f>
        <v/>
      </c>
      <c r="L146" s="62" t="str" cm="1">
        <f t="array" ref="L146">Common_InputFunctions.Utility_DisplayArrayInTable(Fertiliser_SourceData.Fertiliser_Products_Data2(), FertiliserProducts[[#Headers],[Company]],31)</f>
        <v/>
      </c>
      <c r="M146" s="62" t="str" cm="1">
        <f t="array" ref="M146">Common_InputFunctions.Utility_DisplayArrayInTable(Fertiliser_SourceData.Fertiliser_Products_Data2(), FertiliserProducts[[#Headers],[Company]],31)</f>
        <v/>
      </c>
      <c r="N146" s="62" t="str" cm="1">
        <f t="array" ref="N146">Common_InputFunctions.Utility_DisplayArrayInTable(Fertiliser_SourceData.Fertiliser_Products_Data2(), FertiliserProducts[[#Headers],[Company]],31)</f>
        <v/>
      </c>
      <c r="O146" s="62" t="str" cm="1">
        <f t="array" ref="O146">Common_InputFunctions.Utility_DisplayArrayInTable(Fertiliser_SourceData.Fertiliser_Products_Data2(), FertiliserProducts[[#Headers],[Company]],31)</f>
        <v/>
      </c>
      <c r="P146" s="62" t="str" cm="1">
        <f t="array" ref="P146">Common_InputFunctions.Utility_DisplayArrayInTable(Fertiliser_SourceData.Fertiliser_Products_Data2(), FertiliserProducts[[#Headers],[Company]],31)</f>
        <v/>
      </c>
      <c r="Q146" s="62" t="str" cm="1">
        <f t="array" ref="Q146">Common_InputFunctions.Utility_DisplayArrayInTable(Fertiliser_SourceData.Fertiliser_Products_Data2(), FertiliserProducts[[#Headers],[Company]],31)</f>
        <v/>
      </c>
      <c r="R146" s="62" t="str" cm="1">
        <f t="array" ref="R146">Common_InputFunctions.Utility_DisplayArrayInTable(Fertiliser_SourceData.Fertiliser_Products_Data2(), FertiliserProducts[[#Headers],[Company]],31)</f>
        <v/>
      </c>
      <c r="S146" s="62" t="str" cm="1">
        <f t="array" ref="S146">Common_InputFunctions.Utility_DisplayArrayInTable(Fertiliser_SourceData.Fertiliser_Products_Data2(), FertiliserProducts[[#Headers],[Company]],31)</f>
        <v/>
      </c>
      <c r="T146" s="62" t="str" cm="1">
        <f t="array" ref="T146">Common_InputFunctions.Utility_DisplayArrayInTable(Fertiliser_SourceData.Fertiliser_Products_Data2(), FertiliserProducts[[#Headers],[Company]],31)</f>
        <v/>
      </c>
      <c r="U146" s="62" t="str" cm="1">
        <f t="array" ref="U146">Common_InputFunctions.Utility_DisplayArrayInTable(Fertiliser_SourceData.Fertiliser_Products_Data2(), FertiliserProducts[[#Headers],[Company]],31)</f>
        <v/>
      </c>
      <c r="V146" s="62" t="str" cm="1">
        <f t="array" ref="V146">Common_InputFunctions.Utility_DisplayArrayInTable(Fertiliser_SourceData.Fertiliser_Products_Data2(), FertiliserProducts[[#Headers],[Company]],31)</f>
        <v/>
      </c>
      <c r="W146" s="62" t="str" cm="1">
        <f t="array" ref="W146">Common_InputFunctions.Utility_DisplayArrayInTable(Fertiliser_SourceData.Fertiliser_Products_Data2(), FertiliserProducts[[#Headers],[Company]],31)</f>
        <v>Crop Nutrition Solutions (Yara Australia)</v>
      </c>
      <c r="X146" s="62" t="str" cm="1">
        <f t="array" ref="X146">Common_InputFunctions.Utility_DisplayArrayInTable(Fertiliser_SourceData.Fertiliser_Products_Data2(), FertiliserProducts[[#Headers],[Company]],31)</f>
        <v/>
      </c>
      <c r="Y146" s="62" t="str" cm="1">
        <f t="array" ref="Y146">Common_InputFunctions.Utility_DisplayArrayInTable(Fertiliser_SourceData.Fertiliser_Products_Data2(), FertiliserProducts[[#Headers],[Company]],31)</f>
        <v/>
      </c>
      <c r="Z146" s="62" t="str" cm="1">
        <f t="array" ref="Z146">Common_InputFunctions.Utility_DisplayArrayInTable(Fertiliser_SourceData.Fertiliser_Products_Data2(), FertiliserProducts[[#Headers],[Company]],31)</f>
        <v/>
      </c>
      <c r="AA146" s="62" t="str" cm="1">
        <f t="array" ref="AA146">Common_InputFunctions.Utility_DisplayArrayInTable(Fertiliser_SourceData.Fertiliser_Products_Data2(), FertiliserProducts[[#Headers],[Company]],31)</f>
        <v/>
      </c>
      <c r="AB146" s="62" t="str" cm="1">
        <f t="array" ref="AB146">Common_InputFunctions.Utility_DisplayArrayInTable(Fertiliser_SourceData.Fertiliser_Products_Data2(), FertiliserProducts[[#Headers],[Company]],31)</f>
        <v/>
      </c>
      <c r="AC146" s="62" t="str" cm="1">
        <f t="array" ref="AC146">Common_InputFunctions.Utility_DisplayArrayInTable(Fertiliser_SourceData.Fertiliser_Products_Data2(), FertiliserProducts[[#Headers],[Company]],31)</f>
        <v/>
      </c>
      <c r="AD146" s="62" t="str" cm="1">
        <f t="array" ref="AD146">Common_InputFunctions.Utility_DisplayArrayInTable(Fertiliser_SourceData.Fertiliser_Products_Data2(), FertiliserProducts[[#Headers],[Company]],31)</f>
        <v/>
      </c>
      <c r="AE146" s="62" t="str" cm="1">
        <f t="array" ref="AE146">Common_InputFunctions.Utility_DisplayArrayInTable(Fertiliser_SourceData.Fertiliser_Products_Data2(), FertiliserProducts[[#Headers],[Company]],31)</f>
        <v/>
      </c>
      <c r="AF146" s="62" t="str" cm="1">
        <f t="array" ref="AF146">Common_InputFunctions.Utility_DisplayArrayInTable(Fertiliser_SourceData.Fertiliser_Products_Data2(), FertiliserProducts[[#Headers],[Company]],31)</f>
        <v/>
      </c>
      <c r="AG146" s="62" t="str" cm="1">
        <f t="array" ref="AG146">Common_InputFunctions.Utility_DisplayArrayInTable(Fertiliser_SourceData.Fertiliser_Products_Data2(), FertiliserProducts[[#Headers],[Company]],31)</f>
        <v/>
      </c>
      <c r="AH146" s="62" t="str" cm="1">
        <f t="array" ref="AH146">Common_InputFunctions.Utility_DisplayArrayInTable(Fertiliser_SourceData.Fertiliser_Products_Data2(), FertiliserProducts[[#Headers],[Company]],31)</f>
        <v/>
      </c>
      <c r="AK146" s="8"/>
      <c r="AL146" s="8"/>
      <c r="AM146" s="8"/>
    </row>
    <row r="147" spans="1:39" ht="20.100000000000001" customHeight="1" x14ac:dyDescent="0.25">
      <c r="A147"/>
      <c r="D147" s="62" t="str" cm="1">
        <f t="array" ref="D147">Common_InputFunctions.Utility_DisplayArrayInTable(Fertiliser_SourceData.Fertiliser_Products_Data2(), FertiliserProducts[[#Headers],[Company]],31)</f>
        <v>Yara FlowPhos 15</v>
      </c>
      <c r="E147" s="62" t="str" cm="1">
        <f t="array" ref="E147">Common_InputFunctions.Utility_DisplayArrayInTable(Fertiliser_SourceData.Fertiliser_Products_Data2(), FertiliserProducts[[#Headers],[Company]],31)</f>
        <v/>
      </c>
      <c r="F147" s="62" t="str" cm="1">
        <f t="array" ref="F147">Common_InputFunctions.Utility_DisplayArrayInTable(Fertiliser_SourceData.Fertiliser_Products_Data2(), FertiliserProducts[[#Headers],[Company]],31)</f>
        <v/>
      </c>
      <c r="G147" s="62" t="str" cm="1">
        <f t="array" ref="G147">Common_InputFunctions.Utility_DisplayArrayInTable(Fertiliser_SourceData.Fertiliser_Products_Data2(), FertiliserProducts[[#Headers],[Company]],31)</f>
        <v/>
      </c>
      <c r="H147" s="62" t="str" cm="1">
        <f t="array" ref="H147">Common_InputFunctions.Utility_DisplayArrayInTable(Fertiliser_SourceData.Fertiliser_Products_Data2(), FertiliserProducts[[#Headers],[Company]],31)</f>
        <v/>
      </c>
      <c r="I147" s="62" t="str" cm="1">
        <f t="array" ref="I147">Common_InputFunctions.Utility_DisplayArrayInTable(Fertiliser_SourceData.Fertiliser_Products_Data2(), FertiliserProducts[[#Headers],[Company]],31)</f>
        <v/>
      </c>
      <c r="J147" s="62" t="str" cm="1">
        <f t="array" ref="J147">Common_InputFunctions.Utility_DisplayArrayInTable(Fertiliser_SourceData.Fertiliser_Products_Data2(), FertiliserProducts[[#Headers],[Company]],31)</f>
        <v/>
      </c>
      <c r="K147" s="62" t="str" cm="1">
        <f t="array" ref="K147">Common_InputFunctions.Utility_DisplayArrayInTable(Fertiliser_SourceData.Fertiliser_Products_Data2(), FertiliserProducts[[#Headers],[Company]],31)</f>
        <v/>
      </c>
      <c r="L147" s="62" t="str" cm="1">
        <f t="array" ref="L147">Common_InputFunctions.Utility_DisplayArrayInTable(Fertiliser_SourceData.Fertiliser_Products_Data2(), FertiliserProducts[[#Headers],[Company]],31)</f>
        <v/>
      </c>
      <c r="M147" s="62" t="str" cm="1">
        <f t="array" ref="M147">Common_InputFunctions.Utility_DisplayArrayInTable(Fertiliser_SourceData.Fertiliser_Products_Data2(), FertiliserProducts[[#Headers],[Company]],31)</f>
        <v/>
      </c>
      <c r="N147" s="62" t="str" cm="1">
        <f t="array" ref="N147">Common_InputFunctions.Utility_DisplayArrayInTable(Fertiliser_SourceData.Fertiliser_Products_Data2(), FertiliserProducts[[#Headers],[Company]],31)</f>
        <v/>
      </c>
      <c r="O147" s="62" t="str" cm="1">
        <f t="array" ref="O147">Common_InputFunctions.Utility_DisplayArrayInTable(Fertiliser_SourceData.Fertiliser_Products_Data2(), FertiliserProducts[[#Headers],[Company]],31)</f>
        <v/>
      </c>
      <c r="P147" s="62" t="str" cm="1">
        <f t="array" ref="P147">Common_InputFunctions.Utility_DisplayArrayInTable(Fertiliser_SourceData.Fertiliser_Products_Data2(), FertiliserProducts[[#Headers],[Company]],31)</f>
        <v/>
      </c>
      <c r="Q147" s="62" t="str" cm="1">
        <f t="array" ref="Q147">Common_InputFunctions.Utility_DisplayArrayInTable(Fertiliser_SourceData.Fertiliser_Products_Data2(), FertiliserProducts[[#Headers],[Company]],31)</f>
        <v/>
      </c>
      <c r="R147" s="62" t="str" cm="1">
        <f t="array" ref="R147">Common_InputFunctions.Utility_DisplayArrayInTable(Fertiliser_SourceData.Fertiliser_Products_Data2(), FertiliserProducts[[#Headers],[Company]],31)</f>
        <v/>
      </c>
      <c r="S147" s="62" t="str" cm="1">
        <f t="array" ref="S147">Common_InputFunctions.Utility_DisplayArrayInTable(Fertiliser_SourceData.Fertiliser_Products_Data2(), FertiliserProducts[[#Headers],[Company]],31)</f>
        <v/>
      </c>
      <c r="T147" s="62" t="str" cm="1">
        <f t="array" ref="T147">Common_InputFunctions.Utility_DisplayArrayInTable(Fertiliser_SourceData.Fertiliser_Products_Data2(), FertiliserProducts[[#Headers],[Company]],31)</f>
        <v/>
      </c>
      <c r="U147" s="62" t="str" cm="1">
        <f t="array" ref="U147">Common_InputFunctions.Utility_DisplayArrayInTable(Fertiliser_SourceData.Fertiliser_Products_Data2(), FertiliserProducts[[#Headers],[Company]],31)</f>
        <v/>
      </c>
      <c r="V147" s="62" t="str" cm="1">
        <f t="array" ref="V147">Common_InputFunctions.Utility_DisplayArrayInTable(Fertiliser_SourceData.Fertiliser_Products_Data2(), FertiliserProducts[[#Headers],[Company]],31)</f>
        <v/>
      </c>
      <c r="W147" s="62" t="str" cm="1">
        <f t="array" ref="W147">Common_InputFunctions.Utility_DisplayArrayInTable(Fertiliser_SourceData.Fertiliser_Products_Data2(), FertiliserProducts[[#Headers],[Company]],31)</f>
        <v>Crop Nutrition Solutions (Yara Australia)</v>
      </c>
      <c r="X147" s="62" t="str" cm="1">
        <f t="array" ref="X147">Common_InputFunctions.Utility_DisplayArrayInTable(Fertiliser_SourceData.Fertiliser_Products_Data2(), FertiliserProducts[[#Headers],[Company]],31)</f>
        <v/>
      </c>
      <c r="Y147" s="62" t="str" cm="1">
        <f t="array" ref="Y147">Common_InputFunctions.Utility_DisplayArrayInTable(Fertiliser_SourceData.Fertiliser_Products_Data2(), FertiliserProducts[[#Headers],[Company]],31)</f>
        <v/>
      </c>
      <c r="Z147" s="62" t="str" cm="1">
        <f t="array" ref="Z147">Common_InputFunctions.Utility_DisplayArrayInTable(Fertiliser_SourceData.Fertiliser_Products_Data2(), FertiliserProducts[[#Headers],[Company]],31)</f>
        <v/>
      </c>
      <c r="AA147" s="62" t="str" cm="1">
        <f t="array" ref="AA147">Common_InputFunctions.Utility_DisplayArrayInTable(Fertiliser_SourceData.Fertiliser_Products_Data2(), FertiliserProducts[[#Headers],[Company]],31)</f>
        <v/>
      </c>
      <c r="AB147" s="62" t="str" cm="1">
        <f t="array" ref="AB147">Common_InputFunctions.Utility_DisplayArrayInTable(Fertiliser_SourceData.Fertiliser_Products_Data2(), FertiliserProducts[[#Headers],[Company]],31)</f>
        <v/>
      </c>
      <c r="AC147" s="62" t="str" cm="1">
        <f t="array" ref="AC147">Common_InputFunctions.Utility_DisplayArrayInTable(Fertiliser_SourceData.Fertiliser_Products_Data2(), FertiliserProducts[[#Headers],[Company]],31)</f>
        <v/>
      </c>
      <c r="AD147" s="62" t="str" cm="1">
        <f t="array" ref="AD147">Common_InputFunctions.Utility_DisplayArrayInTable(Fertiliser_SourceData.Fertiliser_Products_Data2(), FertiliserProducts[[#Headers],[Company]],31)</f>
        <v/>
      </c>
      <c r="AE147" s="62" t="str" cm="1">
        <f t="array" ref="AE147">Common_InputFunctions.Utility_DisplayArrayInTable(Fertiliser_SourceData.Fertiliser_Products_Data2(), FertiliserProducts[[#Headers],[Company]],31)</f>
        <v/>
      </c>
      <c r="AF147" s="62" t="str" cm="1">
        <f t="array" ref="AF147">Common_InputFunctions.Utility_DisplayArrayInTable(Fertiliser_SourceData.Fertiliser_Products_Data2(), FertiliserProducts[[#Headers],[Company]],31)</f>
        <v/>
      </c>
      <c r="AG147" s="62" t="str" cm="1">
        <f t="array" ref="AG147">Common_InputFunctions.Utility_DisplayArrayInTable(Fertiliser_SourceData.Fertiliser_Products_Data2(), FertiliserProducts[[#Headers],[Company]],31)</f>
        <v/>
      </c>
      <c r="AH147" s="62" t="str" cm="1">
        <f t="array" ref="AH147">Common_InputFunctions.Utility_DisplayArrayInTable(Fertiliser_SourceData.Fertiliser_Products_Data2(), FertiliserProducts[[#Headers],[Company]],31)</f>
        <v/>
      </c>
      <c r="AK147" s="8"/>
      <c r="AL147" s="8"/>
      <c r="AM147" s="8"/>
    </row>
    <row r="148" spans="1:39" ht="20.100000000000001" customHeight="1" x14ac:dyDescent="0.25">
      <c r="A148"/>
      <c r="D148" s="62" t="str" cm="1">
        <f t="array" ref="D148">Common_InputFunctions.Utility_DisplayArrayInTable(Fertiliser_SourceData.Fertiliser_Products_Data2(), FertiliserProducts[[#Headers],[Company]],31)</f>
        <v>Yara FlowPhos KZ</v>
      </c>
      <c r="E148" s="62" t="str" cm="1">
        <f t="array" ref="E148">Common_InputFunctions.Utility_DisplayArrayInTable(Fertiliser_SourceData.Fertiliser_Products_Data2(), FertiliserProducts[[#Headers],[Company]],31)</f>
        <v/>
      </c>
      <c r="F148" s="62" t="str" cm="1">
        <f t="array" ref="F148">Common_InputFunctions.Utility_DisplayArrayInTable(Fertiliser_SourceData.Fertiliser_Products_Data2(), FertiliserProducts[[#Headers],[Company]],31)</f>
        <v/>
      </c>
      <c r="G148" s="62" t="str" cm="1">
        <f t="array" ref="G148">Common_InputFunctions.Utility_DisplayArrayInTable(Fertiliser_SourceData.Fertiliser_Products_Data2(), FertiliserProducts[[#Headers],[Company]],31)</f>
        <v/>
      </c>
      <c r="H148" s="62" t="str" cm="1">
        <f t="array" ref="H148">Common_InputFunctions.Utility_DisplayArrayInTable(Fertiliser_SourceData.Fertiliser_Products_Data2(), FertiliserProducts[[#Headers],[Company]],31)</f>
        <v/>
      </c>
      <c r="I148" s="62" t="str" cm="1">
        <f t="array" ref="I148">Common_InputFunctions.Utility_DisplayArrayInTable(Fertiliser_SourceData.Fertiliser_Products_Data2(), FertiliserProducts[[#Headers],[Company]],31)</f>
        <v/>
      </c>
      <c r="J148" s="62" t="str" cm="1">
        <f t="array" ref="J148">Common_InputFunctions.Utility_DisplayArrayInTable(Fertiliser_SourceData.Fertiliser_Products_Data2(), FertiliserProducts[[#Headers],[Company]],31)</f>
        <v/>
      </c>
      <c r="K148" s="62" t="str" cm="1">
        <f t="array" ref="K148">Common_InputFunctions.Utility_DisplayArrayInTable(Fertiliser_SourceData.Fertiliser_Products_Data2(), FertiliserProducts[[#Headers],[Company]],31)</f>
        <v/>
      </c>
      <c r="L148" s="62" t="str" cm="1">
        <f t="array" ref="L148">Common_InputFunctions.Utility_DisplayArrayInTable(Fertiliser_SourceData.Fertiliser_Products_Data2(), FertiliserProducts[[#Headers],[Company]],31)</f>
        <v/>
      </c>
      <c r="M148" s="62" t="str" cm="1">
        <f t="array" ref="M148">Common_InputFunctions.Utility_DisplayArrayInTable(Fertiliser_SourceData.Fertiliser_Products_Data2(), FertiliserProducts[[#Headers],[Company]],31)</f>
        <v/>
      </c>
      <c r="N148" s="62" t="str" cm="1">
        <f t="array" ref="N148">Common_InputFunctions.Utility_DisplayArrayInTable(Fertiliser_SourceData.Fertiliser_Products_Data2(), FertiliserProducts[[#Headers],[Company]],31)</f>
        <v/>
      </c>
      <c r="O148" s="62" t="str" cm="1">
        <f t="array" ref="O148">Common_InputFunctions.Utility_DisplayArrayInTable(Fertiliser_SourceData.Fertiliser_Products_Data2(), FertiliserProducts[[#Headers],[Company]],31)</f>
        <v/>
      </c>
      <c r="P148" s="62" t="str" cm="1">
        <f t="array" ref="P148">Common_InputFunctions.Utility_DisplayArrayInTable(Fertiliser_SourceData.Fertiliser_Products_Data2(), FertiliserProducts[[#Headers],[Company]],31)</f>
        <v/>
      </c>
      <c r="Q148" s="62" t="str" cm="1">
        <f t="array" ref="Q148">Common_InputFunctions.Utility_DisplayArrayInTable(Fertiliser_SourceData.Fertiliser_Products_Data2(), FertiliserProducts[[#Headers],[Company]],31)</f>
        <v/>
      </c>
      <c r="R148" s="62" t="str" cm="1">
        <f t="array" ref="R148">Common_InputFunctions.Utility_DisplayArrayInTable(Fertiliser_SourceData.Fertiliser_Products_Data2(), FertiliserProducts[[#Headers],[Company]],31)</f>
        <v/>
      </c>
      <c r="S148" s="62" t="str" cm="1">
        <f t="array" ref="S148">Common_InputFunctions.Utility_DisplayArrayInTable(Fertiliser_SourceData.Fertiliser_Products_Data2(), FertiliserProducts[[#Headers],[Company]],31)</f>
        <v/>
      </c>
      <c r="T148" s="62" t="str" cm="1">
        <f t="array" ref="T148">Common_InputFunctions.Utility_DisplayArrayInTable(Fertiliser_SourceData.Fertiliser_Products_Data2(), FertiliserProducts[[#Headers],[Company]],31)</f>
        <v/>
      </c>
      <c r="U148" s="62" t="str" cm="1">
        <f t="array" ref="U148">Common_InputFunctions.Utility_DisplayArrayInTable(Fertiliser_SourceData.Fertiliser_Products_Data2(), FertiliserProducts[[#Headers],[Company]],31)</f>
        <v/>
      </c>
      <c r="V148" s="62" t="str" cm="1">
        <f t="array" ref="V148">Common_InputFunctions.Utility_DisplayArrayInTable(Fertiliser_SourceData.Fertiliser_Products_Data2(), FertiliserProducts[[#Headers],[Company]],31)</f>
        <v/>
      </c>
      <c r="W148" s="62" t="str" cm="1">
        <f t="array" ref="W148">Common_InputFunctions.Utility_DisplayArrayInTable(Fertiliser_SourceData.Fertiliser_Products_Data2(), FertiliserProducts[[#Headers],[Company]],31)</f>
        <v>Crop Nutrition Solutions (Yara Australia)</v>
      </c>
      <c r="X148" s="62" t="str" cm="1">
        <f t="array" ref="X148">Common_InputFunctions.Utility_DisplayArrayInTable(Fertiliser_SourceData.Fertiliser_Products_Data2(), FertiliserProducts[[#Headers],[Company]],31)</f>
        <v/>
      </c>
      <c r="Y148" s="62" t="str" cm="1">
        <f t="array" ref="Y148">Common_InputFunctions.Utility_DisplayArrayInTable(Fertiliser_SourceData.Fertiliser_Products_Data2(), FertiliserProducts[[#Headers],[Company]],31)</f>
        <v/>
      </c>
      <c r="Z148" s="62" t="str" cm="1">
        <f t="array" ref="Z148">Common_InputFunctions.Utility_DisplayArrayInTable(Fertiliser_SourceData.Fertiliser_Products_Data2(), FertiliserProducts[[#Headers],[Company]],31)</f>
        <v/>
      </c>
      <c r="AA148" s="62" t="str" cm="1">
        <f t="array" ref="AA148">Common_InputFunctions.Utility_DisplayArrayInTable(Fertiliser_SourceData.Fertiliser_Products_Data2(), FertiliserProducts[[#Headers],[Company]],31)</f>
        <v/>
      </c>
      <c r="AB148" s="62" t="str" cm="1">
        <f t="array" ref="AB148">Common_InputFunctions.Utility_DisplayArrayInTable(Fertiliser_SourceData.Fertiliser_Products_Data2(), FertiliserProducts[[#Headers],[Company]],31)</f>
        <v/>
      </c>
      <c r="AC148" s="62" t="str" cm="1">
        <f t="array" ref="AC148">Common_InputFunctions.Utility_DisplayArrayInTable(Fertiliser_SourceData.Fertiliser_Products_Data2(), FertiliserProducts[[#Headers],[Company]],31)</f>
        <v/>
      </c>
      <c r="AD148" s="62" t="str" cm="1">
        <f t="array" ref="AD148">Common_InputFunctions.Utility_DisplayArrayInTable(Fertiliser_SourceData.Fertiliser_Products_Data2(), FertiliserProducts[[#Headers],[Company]],31)</f>
        <v/>
      </c>
      <c r="AE148" s="62" t="str" cm="1">
        <f t="array" ref="AE148">Common_InputFunctions.Utility_DisplayArrayInTable(Fertiliser_SourceData.Fertiliser_Products_Data2(), FertiliserProducts[[#Headers],[Company]],31)</f>
        <v/>
      </c>
      <c r="AF148" s="62" t="str" cm="1">
        <f t="array" ref="AF148">Common_InputFunctions.Utility_DisplayArrayInTable(Fertiliser_SourceData.Fertiliser_Products_Data2(), FertiliserProducts[[#Headers],[Company]],31)</f>
        <v/>
      </c>
      <c r="AG148" s="62" t="str" cm="1">
        <f t="array" ref="AG148">Common_InputFunctions.Utility_DisplayArrayInTable(Fertiliser_SourceData.Fertiliser_Products_Data2(), FertiliserProducts[[#Headers],[Company]],31)</f>
        <v/>
      </c>
      <c r="AH148" s="62" t="str" cm="1">
        <f t="array" ref="AH148">Common_InputFunctions.Utility_DisplayArrayInTable(Fertiliser_SourceData.Fertiliser_Products_Data2(), FertiliserProducts[[#Headers],[Company]],31)</f>
        <v/>
      </c>
      <c r="AK148" s="8"/>
      <c r="AL148" s="8"/>
      <c r="AM148" s="8"/>
    </row>
    <row r="149" spans="1:39" ht="20.100000000000001" customHeight="1" x14ac:dyDescent="0.25">
      <c r="A149"/>
      <c r="D149" s="62" t="str" cm="1">
        <f t="array" ref="D149">Common_InputFunctions.Utility_DisplayArrayInTable(Fertiliser_SourceData.Fertiliser_Products_Data2(), FertiliserProducts[[#Headers],[Company]],31)</f>
        <v>Yara KeyPro Trace</v>
      </c>
      <c r="E149" s="62" t="str" cm="1">
        <f t="array" ref="E149">Common_InputFunctions.Utility_DisplayArrayInTable(Fertiliser_SourceData.Fertiliser_Products_Data2(), FertiliserProducts[[#Headers],[Company]],31)</f>
        <v/>
      </c>
      <c r="F149" s="62" t="str" cm="1">
        <f t="array" ref="F149">Common_InputFunctions.Utility_DisplayArrayInTable(Fertiliser_SourceData.Fertiliser_Products_Data2(), FertiliserProducts[[#Headers],[Company]],31)</f>
        <v/>
      </c>
      <c r="G149" s="62" t="str" cm="1">
        <f t="array" ref="G149">Common_InputFunctions.Utility_DisplayArrayInTable(Fertiliser_SourceData.Fertiliser_Products_Data2(), FertiliserProducts[[#Headers],[Company]],31)</f>
        <v/>
      </c>
      <c r="H149" s="62" t="str" cm="1">
        <f t="array" ref="H149">Common_InputFunctions.Utility_DisplayArrayInTable(Fertiliser_SourceData.Fertiliser_Products_Data2(), FertiliserProducts[[#Headers],[Company]],31)</f>
        <v/>
      </c>
      <c r="I149" s="62" t="str" cm="1">
        <f t="array" ref="I149">Common_InputFunctions.Utility_DisplayArrayInTable(Fertiliser_SourceData.Fertiliser_Products_Data2(), FertiliserProducts[[#Headers],[Company]],31)</f>
        <v/>
      </c>
      <c r="J149" s="62" t="str" cm="1">
        <f t="array" ref="J149">Common_InputFunctions.Utility_DisplayArrayInTable(Fertiliser_SourceData.Fertiliser_Products_Data2(), FertiliserProducts[[#Headers],[Company]],31)</f>
        <v/>
      </c>
      <c r="K149" s="62" t="str" cm="1">
        <f t="array" ref="K149">Common_InputFunctions.Utility_DisplayArrayInTable(Fertiliser_SourceData.Fertiliser_Products_Data2(), FertiliserProducts[[#Headers],[Company]],31)</f>
        <v/>
      </c>
      <c r="L149" s="62" t="str" cm="1">
        <f t="array" ref="L149">Common_InputFunctions.Utility_DisplayArrayInTable(Fertiliser_SourceData.Fertiliser_Products_Data2(), FertiliserProducts[[#Headers],[Company]],31)</f>
        <v/>
      </c>
      <c r="M149" s="62" t="str" cm="1">
        <f t="array" ref="M149">Common_InputFunctions.Utility_DisplayArrayInTable(Fertiliser_SourceData.Fertiliser_Products_Data2(), FertiliserProducts[[#Headers],[Company]],31)</f>
        <v/>
      </c>
      <c r="N149" s="62" t="str" cm="1">
        <f t="array" ref="N149">Common_InputFunctions.Utility_DisplayArrayInTable(Fertiliser_SourceData.Fertiliser_Products_Data2(), FertiliserProducts[[#Headers],[Company]],31)</f>
        <v/>
      </c>
      <c r="O149" s="62" t="str" cm="1">
        <f t="array" ref="O149">Common_InputFunctions.Utility_DisplayArrayInTable(Fertiliser_SourceData.Fertiliser_Products_Data2(), FertiliserProducts[[#Headers],[Company]],31)</f>
        <v/>
      </c>
      <c r="P149" s="62" t="str" cm="1">
        <f t="array" ref="P149">Common_InputFunctions.Utility_DisplayArrayInTable(Fertiliser_SourceData.Fertiliser_Products_Data2(), FertiliserProducts[[#Headers],[Company]],31)</f>
        <v/>
      </c>
      <c r="Q149" s="62" t="str" cm="1">
        <f t="array" ref="Q149">Common_InputFunctions.Utility_DisplayArrayInTable(Fertiliser_SourceData.Fertiliser_Products_Data2(), FertiliserProducts[[#Headers],[Company]],31)</f>
        <v/>
      </c>
      <c r="R149" s="62" t="str" cm="1">
        <f t="array" ref="R149">Common_InputFunctions.Utility_DisplayArrayInTable(Fertiliser_SourceData.Fertiliser_Products_Data2(), FertiliserProducts[[#Headers],[Company]],31)</f>
        <v/>
      </c>
      <c r="S149" s="62" t="str" cm="1">
        <f t="array" ref="S149">Common_InputFunctions.Utility_DisplayArrayInTable(Fertiliser_SourceData.Fertiliser_Products_Data2(), FertiliserProducts[[#Headers],[Company]],31)</f>
        <v/>
      </c>
      <c r="T149" s="62" t="str" cm="1">
        <f t="array" ref="T149">Common_InputFunctions.Utility_DisplayArrayInTable(Fertiliser_SourceData.Fertiliser_Products_Data2(), FertiliserProducts[[#Headers],[Company]],31)</f>
        <v/>
      </c>
      <c r="U149" s="62" t="str" cm="1">
        <f t="array" ref="U149">Common_InputFunctions.Utility_DisplayArrayInTable(Fertiliser_SourceData.Fertiliser_Products_Data2(), FertiliserProducts[[#Headers],[Company]],31)</f>
        <v/>
      </c>
      <c r="V149" s="62" t="str" cm="1">
        <f t="array" ref="V149">Common_InputFunctions.Utility_DisplayArrayInTable(Fertiliser_SourceData.Fertiliser_Products_Data2(), FertiliserProducts[[#Headers],[Company]],31)</f>
        <v/>
      </c>
      <c r="W149" s="62" t="str" cm="1">
        <f t="array" ref="W149">Common_InputFunctions.Utility_DisplayArrayInTable(Fertiliser_SourceData.Fertiliser_Products_Data2(), FertiliserProducts[[#Headers],[Company]],31)</f>
        <v>Crop Nutrition Solutions (Yara Australia)</v>
      </c>
      <c r="X149" s="62" t="str" cm="1">
        <f t="array" ref="X149">Common_InputFunctions.Utility_DisplayArrayInTable(Fertiliser_SourceData.Fertiliser_Products_Data2(), FertiliserProducts[[#Headers],[Company]],31)</f>
        <v/>
      </c>
      <c r="Y149" s="62" t="str" cm="1">
        <f t="array" ref="Y149">Common_InputFunctions.Utility_DisplayArrayInTable(Fertiliser_SourceData.Fertiliser_Products_Data2(), FertiliserProducts[[#Headers],[Company]],31)</f>
        <v/>
      </c>
      <c r="Z149" s="62" t="str" cm="1">
        <f t="array" ref="Z149">Common_InputFunctions.Utility_DisplayArrayInTable(Fertiliser_SourceData.Fertiliser_Products_Data2(), FertiliserProducts[[#Headers],[Company]],31)</f>
        <v/>
      </c>
      <c r="AA149" s="62" t="str" cm="1">
        <f t="array" ref="AA149">Common_InputFunctions.Utility_DisplayArrayInTable(Fertiliser_SourceData.Fertiliser_Products_Data2(), FertiliserProducts[[#Headers],[Company]],31)</f>
        <v/>
      </c>
      <c r="AB149" s="62" t="str" cm="1">
        <f t="array" ref="AB149">Common_InputFunctions.Utility_DisplayArrayInTable(Fertiliser_SourceData.Fertiliser_Products_Data2(), FertiliserProducts[[#Headers],[Company]],31)</f>
        <v/>
      </c>
      <c r="AC149" s="62" t="str" cm="1">
        <f t="array" ref="AC149">Common_InputFunctions.Utility_DisplayArrayInTable(Fertiliser_SourceData.Fertiliser_Products_Data2(), FertiliserProducts[[#Headers],[Company]],31)</f>
        <v/>
      </c>
      <c r="AD149" s="62" t="str" cm="1">
        <f t="array" ref="AD149">Common_InputFunctions.Utility_DisplayArrayInTable(Fertiliser_SourceData.Fertiliser_Products_Data2(), FertiliserProducts[[#Headers],[Company]],31)</f>
        <v/>
      </c>
      <c r="AE149" s="62" t="str" cm="1">
        <f t="array" ref="AE149">Common_InputFunctions.Utility_DisplayArrayInTable(Fertiliser_SourceData.Fertiliser_Products_Data2(), FertiliserProducts[[#Headers],[Company]],31)</f>
        <v/>
      </c>
      <c r="AF149" s="62" t="str" cm="1">
        <f t="array" ref="AF149">Common_InputFunctions.Utility_DisplayArrayInTable(Fertiliser_SourceData.Fertiliser_Products_Data2(), FertiliserProducts[[#Headers],[Company]],31)</f>
        <v/>
      </c>
      <c r="AG149" s="62" t="str" cm="1">
        <f t="array" ref="AG149">Common_InputFunctions.Utility_DisplayArrayInTable(Fertiliser_SourceData.Fertiliser_Products_Data2(), FertiliserProducts[[#Headers],[Company]],31)</f>
        <v/>
      </c>
      <c r="AH149" s="62" t="str" cm="1">
        <f t="array" ref="AH149">Common_InputFunctions.Utility_DisplayArrayInTable(Fertiliser_SourceData.Fertiliser_Products_Data2(), FertiliserProducts[[#Headers],[Company]],31)</f>
        <v/>
      </c>
      <c r="AK149" s="8"/>
      <c r="AL149" s="8"/>
      <c r="AM149" s="8"/>
    </row>
    <row r="150" spans="1:39" ht="20.100000000000001" customHeight="1" x14ac:dyDescent="0.25">
      <c r="A150"/>
      <c r="D150" s="62" t="str" cm="1">
        <f t="array" ref="D150">Common_InputFunctions.Utility_DisplayArrayInTable(Fertiliser_SourceData.Fertiliser_Products_Data3(), FertiliserProducts[[#Headers],[Company]],61)</f>
        <v>Product</v>
      </c>
      <c r="E150" s="62" t="str" cm="1">
        <f t="array" ref="E150">Common_InputFunctions.Utility_DisplayArrayInTable(Fertiliser_SourceData.Fertiliser_Products_Data3(), FertiliserProducts[[#Headers],[Company]],61)</f>
        <v>Ingredient 1</v>
      </c>
      <c r="F150" s="62" t="str" cm="1">
        <f t="array" ref="F150">Common_InputFunctions.Utility_DisplayArrayInTable(Fertiliser_SourceData.Fertiliser_Products_Data3(), FertiliserProducts[[#Headers],[Company]],61)</f>
        <v>Ingredient 1 percent</v>
      </c>
      <c r="G150" s="62" t="str" cm="1">
        <f t="array" ref="G150">Common_InputFunctions.Utility_DisplayArrayInTable(Fertiliser_SourceData.Fertiliser_Products_Data3(), FertiliserProducts[[#Headers],[Company]],61)</f>
        <v>Ingredient 1 source</v>
      </c>
      <c r="H150" s="62" t="str" cm="1">
        <f t="array" ref="H150">Common_InputFunctions.Utility_DisplayArrayInTable(Fertiliser_SourceData.Fertiliser_Products_Data3(), FertiliserProducts[[#Headers],[Company]],61)</f>
        <v>Ingredient 2</v>
      </c>
      <c r="I150" s="62" t="str" cm="1">
        <f t="array" ref="I150">Common_InputFunctions.Utility_DisplayArrayInTable(Fertiliser_SourceData.Fertiliser_Products_Data3(), FertiliserProducts[[#Headers],[Company]],61)</f>
        <v>Ingredient 2 percent</v>
      </c>
      <c r="J150" s="62" t="str" cm="1">
        <f t="array" ref="J150">Common_InputFunctions.Utility_DisplayArrayInTable(Fertiliser_SourceData.Fertiliser_Products_Data3(), FertiliserProducts[[#Headers],[Company]],61)</f>
        <v>Ingredient 2 source</v>
      </c>
      <c r="K150" s="62" t="str" cm="1">
        <f t="array" ref="K150">Common_InputFunctions.Utility_DisplayArrayInTable(Fertiliser_SourceData.Fertiliser_Products_Data3(), FertiliserProducts[[#Headers],[Company]],61)</f>
        <v>Ingredient 3</v>
      </c>
      <c r="L150" s="62" t="str" cm="1">
        <f t="array" ref="L150">Common_InputFunctions.Utility_DisplayArrayInTable(Fertiliser_SourceData.Fertiliser_Products_Data3(), FertiliserProducts[[#Headers],[Company]],61)</f>
        <v>Ingredient 3 percent</v>
      </c>
      <c r="M150" s="62" t="str" cm="1">
        <f t="array" ref="M150">Common_InputFunctions.Utility_DisplayArrayInTable(Fertiliser_SourceData.Fertiliser_Products_Data3(), FertiliserProducts[[#Headers],[Company]],61)</f>
        <v>Ingredient 3 source</v>
      </c>
      <c r="N150" s="62" t="str" cm="1">
        <f t="array" ref="N150">Common_InputFunctions.Utility_DisplayArrayInTable(Fertiliser_SourceData.Fertiliser_Products_Data3(), FertiliserProducts[[#Headers],[Company]],61)</f>
        <v>Ingredient 4</v>
      </c>
      <c r="O150" s="62" t="str" cm="1">
        <f t="array" ref="O150">Common_InputFunctions.Utility_DisplayArrayInTable(Fertiliser_SourceData.Fertiliser_Products_Data3(), FertiliserProducts[[#Headers],[Company]],61)</f>
        <v>Ingredient 4 percent</v>
      </c>
      <c r="P150" s="62" t="str" cm="1">
        <f t="array" ref="P150">Common_InputFunctions.Utility_DisplayArrayInTable(Fertiliser_SourceData.Fertiliser_Products_Data3(), FertiliserProducts[[#Headers],[Company]],61)</f>
        <v>Ingredient 4 source</v>
      </c>
      <c r="Q150" s="62" t="str" cm="1">
        <f t="array" ref="Q150">Common_InputFunctions.Utility_DisplayArrayInTable(Fertiliser_SourceData.Fertiliser_Products_Data3(), FertiliserProducts[[#Headers],[Company]],61)</f>
        <v>Ingredient 5</v>
      </c>
      <c r="R150" s="62" t="str" cm="1">
        <f t="array" ref="R150">Common_InputFunctions.Utility_DisplayArrayInTable(Fertiliser_SourceData.Fertiliser_Products_Data3(), FertiliserProducts[[#Headers],[Company]],61)</f>
        <v>Ingredient 5 percent</v>
      </c>
      <c r="S150" s="62" t="str" cm="1">
        <f t="array" ref="S150">Common_InputFunctions.Utility_DisplayArrayInTable(Fertiliser_SourceData.Fertiliser_Products_Data3(), FertiliserProducts[[#Headers],[Company]],61)</f>
        <v>Ingredient 5 source</v>
      </c>
      <c r="T150" s="62" t="str" cm="1">
        <f t="array" ref="T150">Common_InputFunctions.Utility_DisplayArrayInTable(Fertiliser_SourceData.Fertiliser_Products_Data3(), FertiliserProducts[[#Headers],[Company]],61)</f>
        <v>Ingredient 6</v>
      </c>
      <c r="U150" s="62" t="str" cm="1">
        <f t="array" ref="U150">Common_InputFunctions.Utility_DisplayArrayInTable(Fertiliser_SourceData.Fertiliser_Products_Data3(), FertiliserProducts[[#Headers],[Company]],61)</f>
        <v>Ingredient 6 percent</v>
      </c>
      <c r="V150" s="62" t="str" cm="1">
        <f t="array" ref="V150">Common_InputFunctions.Utility_DisplayArrayInTable(Fertiliser_SourceData.Fertiliser_Products_Data3(), FertiliserProducts[[#Headers],[Company]],61)</f>
        <v>Ingredient 6 source</v>
      </c>
      <c r="W150" s="62" t="str" cm="1">
        <f t="array" ref="W150">Common_InputFunctions.Utility_DisplayArrayInTable(Fertiliser_SourceData.Fertiliser_Products_Data3(), FertiliserProducts[[#Headers],[Company]],61)</f>
        <v>Product info link</v>
      </c>
      <c r="X150" s="62" t="str" cm="1">
        <f t="array" ref="X150">Common_InputFunctions.Utility_DisplayArrayInTable(Fertiliser_SourceData.Fertiliser_Products_Data3(), FertiliserProducts[[#Headers],[Company]],61)</f>
        <v/>
      </c>
      <c r="Y150" s="62" t="str" cm="1">
        <f t="array" ref="Y150">Common_InputFunctions.Utility_DisplayArrayInTable(Fertiliser_SourceData.Fertiliser_Products_Data3(), FertiliserProducts[[#Headers],[Company]],61)</f>
        <v/>
      </c>
      <c r="Z150" s="62" t="str" cm="1">
        <f t="array" ref="Z150">Common_InputFunctions.Utility_DisplayArrayInTable(Fertiliser_SourceData.Fertiliser_Products_Data3(), FertiliserProducts[[#Headers],[Company]],61)</f>
        <v/>
      </c>
      <c r="AA150" s="62" t="str" cm="1">
        <f t="array" ref="AA150">Common_InputFunctions.Utility_DisplayArrayInTable(Fertiliser_SourceData.Fertiliser_Products_Data3(), FertiliserProducts[[#Headers],[Company]],61)</f>
        <v/>
      </c>
      <c r="AB150" s="62" t="str" cm="1">
        <f t="array" ref="AB150">Common_InputFunctions.Utility_DisplayArrayInTable(Fertiliser_SourceData.Fertiliser_Products_Data3(), FertiliserProducts[[#Headers],[Company]],61)</f>
        <v/>
      </c>
      <c r="AC150" s="62" t="str" cm="1">
        <f t="array" ref="AC150">Common_InputFunctions.Utility_DisplayArrayInTable(Fertiliser_SourceData.Fertiliser_Products_Data3(), FertiliserProducts[[#Headers],[Company]],61)</f>
        <v/>
      </c>
      <c r="AD150" s="62" t="str" cm="1">
        <f t="array" ref="AD150">Common_InputFunctions.Utility_DisplayArrayInTable(Fertiliser_SourceData.Fertiliser_Products_Data3(), FertiliserProducts[[#Headers],[Company]],61)</f>
        <v/>
      </c>
      <c r="AE150" s="62" t="str" cm="1">
        <f t="array" ref="AE150">Common_InputFunctions.Utility_DisplayArrayInTable(Fertiliser_SourceData.Fertiliser_Products_Data3(), FertiliserProducts[[#Headers],[Company]],61)</f>
        <v/>
      </c>
      <c r="AF150" s="62" t="str" cm="1">
        <f t="array" ref="AF150">Common_InputFunctions.Utility_DisplayArrayInTable(Fertiliser_SourceData.Fertiliser_Products_Data3(), FertiliserProducts[[#Headers],[Company]],61)</f>
        <v/>
      </c>
      <c r="AG150" s="62" t="str" cm="1">
        <f t="array" ref="AG150">Common_InputFunctions.Utility_DisplayArrayInTable(Fertiliser_SourceData.Fertiliser_Products_Data3(), FertiliserProducts[[#Headers],[Company]],61)</f>
        <v/>
      </c>
      <c r="AH150" s="62" t="str" cm="1">
        <f t="array" ref="AH150">Common_InputFunctions.Utility_DisplayArrayInTable(Fertiliser_SourceData.Fertiliser_Products_Data3(), FertiliserProducts[[#Headers],[Company]],61)</f>
        <v/>
      </c>
      <c r="AK150" s="8"/>
      <c r="AL150" s="8"/>
      <c r="AM150" s="8"/>
    </row>
    <row r="151" spans="1:39" ht="20.100000000000001" customHeight="1" x14ac:dyDescent="0.25">
      <c r="A151"/>
      <c r="D151" s="62" t="str" cm="1">
        <f t="array" ref="D151">Common_InputFunctions.Utility_DisplayArrayInTable(Fertiliser_SourceData.Fertiliser_Products_Data3(), FertiliserProducts[[#Headers],[Company]],61)</f>
        <v>Yara K-Flow 0-0-15</v>
      </c>
      <c r="E151" s="62" t="str" cm="1">
        <f t="array" ref="E151">Common_InputFunctions.Utility_DisplayArrayInTable(Fertiliser_SourceData.Fertiliser_Products_Data3(), FertiliserProducts[[#Headers],[Company]],61)</f>
        <v/>
      </c>
      <c r="F151" s="62" t="str" cm="1">
        <f t="array" ref="F151">Common_InputFunctions.Utility_DisplayArrayInTable(Fertiliser_SourceData.Fertiliser_Products_Data3(), FertiliserProducts[[#Headers],[Company]],61)</f>
        <v/>
      </c>
      <c r="G151" s="62" t="str" cm="1">
        <f t="array" ref="G151">Common_InputFunctions.Utility_DisplayArrayInTable(Fertiliser_SourceData.Fertiliser_Products_Data3(), FertiliserProducts[[#Headers],[Company]],61)</f>
        <v/>
      </c>
      <c r="H151" s="62" t="str" cm="1">
        <f t="array" ref="H151">Common_InputFunctions.Utility_DisplayArrayInTable(Fertiliser_SourceData.Fertiliser_Products_Data3(), FertiliserProducts[[#Headers],[Company]],61)</f>
        <v/>
      </c>
      <c r="I151" s="62" t="str" cm="1">
        <f t="array" ref="I151">Common_InputFunctions.Utility_DisplayArrayInTable(Fertiliser_SourceData.Fertiliser_Products_Data3(), FertiliserProducts[[#Headers],[Company]],61)</f>
        <v/>
      </c>
      <c r="J151" s="62" t="str" cm="1">
        <f t="array" ref="J151">Common_InputFunctions.Utility_DisplayArrayInTable(Fertiliser_SourceData.Fertiliser_Products_Data3(), FertiliserProducts[[#Headers],[Company]],61)</f>
        <v/>
      </c>
      <c r="K151" s="62" t="str" cm="1">
        <f t="array" ref="K151">Common_InputFunctions.Utility_DisplayArrayInTable(Fertiliser_SourceData.Fertiliser_Products_Data3(), FertiliserProducts[[#Headers],[Company]],61)</f>
        <v/>
      </c>
      <c r="L151" s="62" t="str" cm="1">
        <f t="array" ref="L151">Common_InputFunctions.Utility_DisplayArrayInTable(Fertiliser_SourceData.Fertiliser_Products_Data3(), FertiliserProducts[[#Headers],[Company]],61)</f>
        <v/>
      </c>
      <c r="M151" s="62" t="str" cm="1">
        <f t="array" ref="M151">Common_InputFunctions.Utility_DisplayArrayInTable(Fertiliser_SourceData.Fertiliser_Products_Data3(), FertiliserProducts[[#Headers],[Company]],61)</f>
        <v/>
      </c>
      <c r="N151" s="62" t="str" cm="1">
        <f t="array" ref="N151">Common_InputFunctions.Utility_DisplayArrayInTable(Fertiliser_SourceData.Fertiliser_Products_Data3(), FertiliserProducts[[#Headers],[Company]],61)</f>
        <v/>
      </c>
      <c r="O151" s="62" t="str" cm="1">
        <f t="array" ref="O151">Common_InputFunctions.Utility_DisplayArrayInTable(Fertiliser_SourceData.Fertiliser_Products_Data3(), FertiliserProducts[[#Headers],[Company]],61)</f>
        <v/>
      </c>
      <c r="P151" s="62" t="str" cm="1">
        <f t="array" ref="P151">Common_InputFunctions.Utility_DisplayArrayInTable(Fertiliser_SourceData.Fertiliser_Products_Data3(), FertiliserProducts[[#Headers],[Company]],61)</f>
        <v/>
      </c>
      <c r="Q151" s="62" t="str" cm="1">
        <f t="array" ref="Q151">Common_InputFunctions.Utility_DisplayArrayInTable(Fertiliser_SourceData.Fertiliser_Products_Data3(), FertiliserProducts[[#Headers],[Company]],61)</f>
        <v/>
      </c>
      <c r="R151" s="62" t="str" cm="1">
        <f t="array" ref="R151">Common_InputFunctions.Utility_DisplayArrayInTable(Fertiliser_SourceData.Fertiliser_Products_Data3(), FertiliserProducts[[#Headers],[Company]],61)</f>
        <v/>
      </c>
      <c r="S151" s="62" t="str" cm="1">
        <f t="array" ref="S151">Common_InputFunctions.Utility_DisplayArrayInTable(Fertiliser_SourceData.Fertiliser_Products_Data3(), FertiliserProducts[[#Headers],[Company]],61)</f>
        <v/>
      </c>
      <c r="T151" s="62" t="str" cm="1">
        <f t="array" ref="T151">Common_InputFunctions.Utility_DisplayArrayInTable(Fertiliser_SourceData.Fertiliser_Products_Data3(), FertiliserProducts[[#Headers],[Company]],61)</f>
        <v/>
      </c>
      <c r="U151" s="62" t="str" cm="1">
        <f t="array" ref="U151">Common_InputFunctions.Utility_DisplayArrayInTable(Fertiliser_SourceData.Fertiliser_Products_Data3(), FertiliserProducts[[#Headers],[Company]],61)</f>
        <v/>
      </c>
      <c r="V151" s="62" t="str" cm="1">
        <f t="array" ref="V151">Common_InputFunctions.Utility_DisplayArrayInTable(Fertiliser_SourceData.Fertiliser_Products_Data3(), FertiliserProducts[[#Headers],[Company]],61)</f>
        <v/>
      </c>
      <c r="W151" s="62" t="str" cm="1">
        <f t="array" ref="W151">Common_InputFunctions.Utility_DisplayArrayInTable(Fertiliser_SourceData.Fertiliser_Products_Data3(), FertiliserProducts[[#Headers],[Company]],61)</f>
        <v>Crop Nutrition Solutions (Yara Australia)</v>
      </c>
      <c r="X151" s="62" t="str" cm="1">
        <f t="array" ref="X151">Common_InputFunctions.Utility_DisplayArrayInTable(Fertiliser_SourceData.Fertiliser_Products_Data3(), FertiliserProducts[[#Headers],[Company]],61)</f>
        <v/>
      </c>
      <c r="Y151" s="62" t="str" cm="1">
        <f t="array" ref="Y151">Common_InputFunctions.Utility_DisplayArrayInTable(Fertiliser_SourceData.Fertiliser_Products_Data3(), FertiliserProducts[[#Headers],[Company]],61)</f>
        <v/>
      </c>
      <c r="Z151" s="62" t="str" cm="1">
        <f t="array" ref="Z151">Common_InputFunctions.Utility_DisplayArrayInTable(Fertiliser_SourceData.Fertiliser_Products_Data3(), FertiliserProducts[[#Headers],[Company]],61)</f>
        <v/>
      </c>
      <c r="AA151" s="62" t="str" cm="1">
        <f t="array" ref="AA151">Common_InputFunctions.Utility_DisplayArrayInTable(Fertiliser_SourceData.Fertiliser_Products_Data3(), FertiliserProducts[[#Headers],[Company]],61)</f>
        <v/>
      </c>
      <c r="AB151" s="62" t="str" cm="1">
        <f t="array" ref="AB151">Common_InputFunctions.Utility_DisplayArrayInTable(Fertiliser_SourceData.Fertiliser_Products_Data3(), FertiliserProducts[[#Headers],[Company]],61)</f>
        <v/>
      </c>
      <c r="AC151" s="62" t="str" cm="1">
        <f t="array" ref="AC151">Common_InputFunctions.Utility_DisplayArrayInTable(Fertiliser_SourceData.Fertiliser_Products_Data3(), FertiliserProducts[[#Headers],[Company]],61)</f>
        <v/>
      </c>
      <c r="AD151" s="62" t="str" cm="1">
        <f t="array" ref="AD151">Common_InputFunctions.Utility_DisplayArrayInTable(Fertiliser_SourceData.Fertiliser_Products_Data3(), FertiliserProducts[[#Headers],[Company]],61)</f>
        <v/>
      </c>
      <c r="AE151" s="62" t="str" cm="1">
        <f t="array" ref="AE151">Common_InputFunctions.Utility_DisplayArrayInTable(Fertiliser_SourceData.Fertiliser_Products_Data3(), FertiliserProducts[[#Headers],[Company]],61)</f>
        <v/>
      </c>
      <c r="AF151" s="62" t="str" cm="1">
        <f t="array" ref="AF151">Common_InputFunctions.Utility_DisplayArrayInTable(Fertiliser_SourceData.Fertiliser_Products_Data3(), FertiliserProducts[[#Headers],[Company]],61)</f>
        <v/>
      </c>
      <c r="AG151" s="62" t="str" cm="1">
        <f t="array" ref="AG151">Common_InputFunctions.Utility_DisplayArrayInTable(Fertiliser_SourceData.Fertiliser_Products_Data3(), FertiliserProducts[[#Headers],[Company]],61)</f>
        <v/>
      </c>
      <c r="AH151" s="62" t="str" cm="1">
        <f t="array" ref="AH151">Common_InputFunctions.Utility_DisplayArrayInTable(Fertiliser_SourceData.Fertiliser_Products_Data3(), FertiliserProducts[[#Headers],[Company]],61)</f>
        <v/>
      </c>
      <c r="AK151" s="8"/>
      <c r="AL151" s="8"/>
      <c r="AM151" s="8"/>
    </row>
    <row r="152" spans="1:39" ht="20.100000000000001" customHeight="1" x14ac:dyDescent="0.25">
      <c r="A152"/>
      <c r="D152" s="62" t="str" cm="1">
        <f t="array" ref="D152">Common_InputFunctions.Utility_DisplayArrayInTable(Fertiliser_SourceData.Fertiliser_Products_Data3(), FertiliserProducts[[#Headers],[Company]],61)</f>
        <v>Yara K-Flow 0-14-30</v>
      </c>
      <c r="E152" s="62" t="str" cm="1">
        <f t="array" ref="E152">Common_InputFunctions.Utility_DisplayArrayInTable(Fertiliser_SourceData.Fertiliser_Products_Data3(), FertiliserProducts[[#Headers],[Company]],61)</f>
        <v/>
      </c>
      <c r="F152" s="62" t="str" cm="1">
        <f t="array" ref="F152">Common_InputFunctions.Utility_DisplayArrayInTable(Fertiliser_SourceData.Fertiliser_Products_Data3(), FertiliserProducts[[#Headers],[Company]],61)</f>
        <v/>
      </c>
      <c r="G152" s="62" t="str" cm="1">
        <f t="array" ref="G152">Common_InputFunctions.Utility_DisplayArrayInTable(Fertiliser_SourceData.Fertiliser_Products_Data3(), FertiliserProducts[[#Headers],[Company]],61)</f>
        <v/>
      </c>
      <c r="H152" s="62" t="str" cm="1">
        <f t="array" ref="H152">Common_InputFunctions.Utility_DisplayArrayInTable(Fertiliser_SourceData.Fertiliser_Products_Data3(), FertiliserProducts[[#Headers],[Company]],61)</f>
        <v/>
      </c>
      <c r="I152" s="62" t="str" cm="1">
        <f t="array" ref="I152">Common_InputFunctions.Utility_DisplayArrayInTable(Fertiliser_SourceData.Fertiliser_Products_Data3(), FertiliserProducts[[#Headers],[Company]],61)</f>
        <v/>
      </c>
      <c r="J152" s="62" t="str" cm="1">
        <f t="array" ref="J152">Common_InputFunctions.Utility_DisplayArrayInTable(Fertiliser_SourceData.Fertiliser_Products_Data3(), FertiliserProducts[[#Headers],[Company]],61)</f>
        <v/>
      </c>
      <c r="K152" s="62" t="str" cm="1">
        <f t="array" ref="K152">Common_InputFunctions.Utility_DisplayArrayInTable(Fertiliser_SourceData.Fertiliser_Products_Data3(), FertiliserProducts[[#Headers],[Company]],61)</f>
        <v/>
      </c>
      <c r="L152" s="62" t="str" cm="1">
        <f t="array" ref="L152">Common_InputFunctions.Utility_DisplayArrayInTable(Fertiliser_SourceData.Fertiliser_Products_Data3(), FertiliserProducts[[#Headers],[Company]],61)</f>
        <v/>
      </c>
      <c r="M152" s="62" t="str" cm="1">
        <f t="array" ref="M152">Common_InputFunctions.Utility_DisplayArrayInTable(Fertiliser_SourceData.Fertiliser_Products_Data3(), FertiliserProducts[[#Headers],[Company]],61)</f>
        <v/>
      </c>
      <c r="N152" s="62" t="str" cm="1">
        <f t="array" ref="N152">Common_InputFunctions.Utility_DisplayArrayInTable(Fertiliser_SourceData.Fertiliser_Products_Data3(), FertiliserProducts[[#Headers],[Company]],61)</f>
        <v/>
      </c>
      <c r="O152" s="62" t="str" cm="1">
        <f t="array" ref="O152">Common_InputFunctions.Utility_DisplayArrayInTable(Fertiliser_SourceData.Fertiliser_Products_Data3(), FertiliserProducts[[#Headers],[Company]],61)</f>
        <v/>
      </c>
      <c r="P152" s="62" t="str" cm="1">
        <f t="array" ref="P152">Common_InputFunctions.Utility_DisplayArrayInTable(Fertiliser_SourceData.Fertiliser_Products_Data3(), FertiliserProducts[[#Headers],[Company]],61)</f>
        <v/>
      </c>
      <c r="Q152" s="62" t="str" cm="1">
        <f t="array" ref="Q152">Common_InputFunctions.Utility_DisplayArrayInTable(Fertiliser_SourceData.Fertiliser_Products_Data3(), FertiliserProducts[[#Headers],[Company]],61)</f>
        <v/>
      </c>
      <c r="R152" s="62" t="str" cm="1">
        <f t="array" ref="R152">Common_InputFunctions.Utility_DisplayArrayInTable(Fertiliser_SourceData.Fertiliser_Products_Data3(), FertiliserProducts[[#Headers],[Company]],61)</f>
        <v/>
      </c>
      <c r="S152" s="62" t="str" cm="1">
        <f t="array" ref="S152">Common_InputFunctions.Utility_DisplayArrayInTable(Fertiliser_SourceData.Fertiliser_Products_Data3(), FertiliserProducts[[#Headers],[Company]],61)</f>
        <v/>
      </c>
      <c r="T152" s="62" t="str" cm="1">
        <f t="array" ref="T152">Common_InputFunctions.Utility_DisplayArrayInTable(Fertiliser_SourceData.Fertiliser_Products_Data3(), FertiliserProducts[[#Headers],[Company]],61)</f>
        <v/>
      </c>
      <c r="U152" s="62" t="str" cm="1">
        <f t="array" ref="U152">Common_InputFunctions.Utility_DisplayArrayInTable(Fertiliser_SourceData.Fertiliser_Products_Data3(), FertiliserProducts[[#Headers],[Company]],61)</f>
        <v/>
      </c>
      <c r="V152" s="62" t="str" cm="1">
        <f t="array" ref="V152">Common_InputFunctions.Utility_DisplayArrayInTable(Fertiliser_SourceData.Fertiliser_Products_Data3(), FertiliserProducts[[#Headers],[Company]],61)</f>
        <v/>
      </c>
      <c r="W152" s="62" t="str" cm="1">
        <f t="array" ref="W152">Common_InputFunctions.Utility_DisplayArrayInTable(Fertiliser_SourceData.Fertiliser_Products_Data3(), FertiliserProducts[[#Headers],[Company]],61)</f>
        <v>Crop Nutrition Solutions (Yara Australia)</v>
      </c>
      <c r="X152" s="62" t="str" cm="1">
        <f t="array" ref="X152">Common_InputFunctions.Utility_DisplayArrayInTable(Fertiliser_SourceData.Fertiliser_Products_Data3(), FertiliserProducts[[#Headers],[Company]],61)</f>
        <v/>
      </c>
      <c r="Y152" s="62" t="str" cm="1">
        <f t="array" ref="Y152">Common_InputFunctions.Utility_DisplayArrayInTable(Fertiliser_SourceData.Fertiliser_Products_Data3(), FertiliserProducts[[#Headers],[Company]],61)</f>
        <v/>
      </c>
      <c r="Z152" s="62" t="str" cm="1">
        <f t="array" ref="Z152">Common_InputFunctions.Utility_DisplayArrayInTable(Fertiliser_SourceData.Fertiliser_Products_Data3(), FertiliserProducts[[#Headers],[Company]],61)</f>
        <v/>
      </c>
      <c r="AA152" s="62" t="str" cm="1">
        <f t="array" ref="AA152">Common_InputFunctions.Utility_DisplayArrayInTable(Fertiliser_SourceData.Fertiliser_Products_Data3(), FertiliserProducts[[#Headers],[Company]],61)</f>
        <v/>
      </c>
      <c r="AB152" s="62" t="str" cm="1">
        <f t="array" ref="AB152">Common_InputFunctions.Utility_DisplayArrayInTable(Fertiliser_SourceData.Fertiliser_Products_Data3(), FertiliserProducts[[#Headers],[Company]],61)</f>
        <v/>
      </c>
      <c r="AC152" s="62" t="str" cm="1">
        <f t="array" ref="AC152">Common_InputFunctions.Utility_DisplayArrayInTable(Fertiliser_SourceData.Fertiliser_Products_Data3(), FertiliserProducts[[#Headers],[Company]],61)</f>
        <v/>
      </c>
      <c r="AD152" s="62" t="str" cm="1">
        <f t="array" ref="AD152">Common_InputFunctions.Utility_DisplayArrayInTable(Fertiliser_SourceData.Fertiliser_Products_Data3(), FertiliserProducts[[#Headers],[Company]],61)</f>
        <v/>
      </c>
      <c r="AE152" s="62" t="str" cm="1">
        <f t="array" ref="AE152">Common_InputFunctions.Utility_DisplayArrayInTable(Fertiliser_SourceData.Fertiliser_Products_Data3(), FertiliserProducts[[#Headers],[Company]],61)</f>
        <v/>
      </c>
      <c r="AF152" s="62" t="str" cm="1">
        <f t="array" ref="AF152">Common_InputFunctions.Utility_DisplayArrayInTable(Fertiliser_SourceData.Fertiliser_Products_Data3(), FertiliserProducts[[#Headers],[Company]],61)</f>
        <v/>
      </c>
      <c r="AG152" s="62" t="str" cm="1">
        <f t="array" ref="AG152">Common_InputFunctions.Utility_DisplayArrayInTable(Fertiliser_SourceData.Fertiliser_Products_Data3(), FertiliserProducts[[#Headers],[Company]],61)</f>
        <v/>
      </c>
      <c r="AH152" s="62" t="str" cm="1">
        <f t="array" ref="AH152">Common_InputFunctions.Utility_DisplayArrayInTable(Fertiliser_SourceData.Fertiliser_Products_Data3(), FertiliserProducts[[#Headers],[Company]],61)</f>
        <v/>
      </c>
      <c r="AK152" s="8"/>
      <c r="AL152" s="8"/>
      <c r="AM152" s="8"/>
    </row>
    <row r="153" spans="1:39" ht="20.100000000000001" customHeight="1" x14ac:dyDescent="0.25">
      <c r="A153"/>
      <c r="D153" s="62" t="str" cm="1">
        <f t="array" ref="D153">Common_InputFunctions.Utility_DisplayArrayInTable(Fertiliser_SourceData.Fertiliser_Products_Data3(), FertiliserProducts[[#Headers],[Company]],61)</f>
        <v>Yara K-Flow 0-7-36</v>
      </c>
      <c r="E153" s="62" t="str" cm="1">
        <f t="array" ref="E153">Common_InputFunctions.Utility_DisplayArrayInTable(Fertiliser_SourceData.Fertiliser_Products_Data3(), FertiliserProducts[[#Headers],[Company]],61)</f>
        <v/>
      </c>
      <c r="F153" s="62" t="str" cm="1">
        <f t="array" ref="F153">Common_InputFunctions.Utility_DisplayArrayInTable(Fertiliser_SourceData.Fertiliser_Products_Data3(), FertiliserProducts[[#Headers],[Company]],61)</f>
        <v/>
      </c>
      <c r="G153" s="62" t="str" cm="1">
        <f t="array" ref="G153">Common_InputFunctions.Utility_DisplayArrayInTable(Fertiliser_SourceData.Fertiliser_Products_Data3(), FertiliserProducts[[#Headers],[Company]],61)</f>
        <v/>
      </c>
      <c r="H153" s="62" t="str" cm="1">
        <f t="array" ref="H153">Common_InputFunctions.Utility_DisplayArrayInTable(Fertiliser_SourceData.Fertiliser_Products_Data3(), FertiliserProducts[[#Headers],[Company]],61)</f>
        <v/>
      </c>
      <c r="I153" s="62" t="str" cm="1">
        <f t="array" ref="I153">Common_InputFunctions.Utility_DisplayArrayInTable(Fertiliser_SourceData.Fertiliser_Products_Data3(), FertiliserProducts[[#Headers],[Company]],61)</f>
        <v/>
      </c>
      <c r="J153" s="62" t="str" cm="1">
        <f t="array" ref="J153">Common_InputFunctions.Utility_DisplayArrayInTable(Fertiliser_SourceData.Fertiliser_Products_Data3(), FertiliserProducts[[#Headers],[Company]],61)</f>
        <v/>
      </c>
      <c r="K153" s="62" t="str" cm="1">
        <f t="array" ref="K153">Common_InputFunctions.Utility_DisplayArrayInTable(Fertiliser_SourceData.Fertiliser_Products_Data3(), FertiliserProducts[[#Headers],[Company]],61)</f>
        <v/>
      </c>
      <c r="L153" s="62" t="str" cm="1">
        <f t="array" ref="L153">Common_InputFunctions.Utility_DisplayArrayInTable(Fertiliser_SourceData.Fertiliser_Products_Data3(), FertiliserProducts[[#Headers],[Company]],61)</f>
        <v/>
      </c>
      <c r="M153" s="62" t="str" cm="1">
        <f t="array" ref="M153">Common_InputFunctions.Utility_DisplayArrayInTable(Fertiliser_SourceData.Fertiliser_Products_Data3(), FertiliserProducts[[#Headers],[Company]],61)</f>
        <v/>
      </c>
      <c r="N153" s="62" t="str" cm="1">
        <f t="array" ref="N153">Common_InputFunctions.Utility_DisplayArrayInTable(Fertiliser_SourceData.Fertiliser_Products_Data3(), FertiliserProducts[[#Headers],[Company]],61)</f>
        <v/>
      </c>
      <c r="O153" s="62" t="str" cm="1">
        <f t="array" ref="O153">Common_InputFunctions.Utility_DisplayArrayInTable(Fertiliser_SourceData.Fertiliser_Products_Data3(), FertiliserProducts[[#Headers],[Company]],61)</f>
        <v/>
      </c>
      <c r="P153" s="62" t="str" cm="1">
        <f t="array" ref="P153">Common_InputFunctions.Utility_DisplayArrayInTable(Fertiliser_SourceData.Fertiliser_Products_Data3(), FertiliserProducts[[#Headers],[Company]],61)</f>
        <v/>
      </c>
      <c r="Q153" s="62" t="str" cm="1">
        <f t="array" ref="Q153">Common_InputFunctions.Utility_DisplayArrayInTable(Fertiliser_SourceData.Fertiliser_Products_Data3(), FertiliserProducts[[#Headers],[Company]],61)</f>
        <v/>
      </c>
      <c r="R153" s="62" t="str" cm="1">
        <f t="array" ref="R153">Common_InputFunctions.Utility_DisplayArrayInTable(Fertiliser_SourceData.Fertiliser_Products_Data3(), FertiliserProducts[[#Headers],[Company]],61)</f>
        <v/>
      </c>
      <c r="S153" s="62" t="str" cm="1">
        <f t="array" ref="S153">Common_InputFunctions.Utility_DisplayArrayInTable(Fertiliser_SourceData.Fertiliser_Products_Data3(), FertiliserProducts[[#Headers],[Company]],61)</f>
        <v/>
      </c>
      <c r="T153" s="62" t="str" cm="1">
        <f t="array" ref="T153">Common_InputFunctions.Utility_DisplayArrayInTable(Fertiliser_SourceData.Fertiliser_Products_Data3(), FertiliserProducts[[#Headers],[Company]],61)</f>
        <v/>
      </c>
      <c r="U153" s="62" t="str" cm="1">
        <f t="array" ref="U153">Common_InputFunctions.Utility_DisplayArrayInTable(Fertiliser_SourceData.Fertiliser_Products_Data3(), FertiliserProducts[[#Headers],[Company]],61)</f>
        <v/>
      </c>
      <c r="V153" s="62" t="str" cm="1">
        <f t="array" ref="V153">Common_InputFunctions.Utility_DisplayArrayInTable(Fertiliser_SourceData.Fertiliser_Products_Data3(), FertiliserProducts[[#Headers],[Company]],61)</f>
        <v/>
      </c>
      <c r="W153" s="62" t="str" cm="1">
        <f t="array" ref="W153">Common_InputFunctions.Utility_DisplayArrayInTable(Fertiliser_SourceData.Fertiliser_Products_Data3(), FertiliserProducts[[#Headers],[Company]],61)</f>
        <v>Crop Nutrition Solutions (Yara Australia)</v>
      </c>
      <c r="X153" s="62" t="str" cm="1">
        <f t="array" ref="X153">Common_InputFunctions.Utility_DisplayArrayInTable(Fertiliser_SourceData.Fertiliser_Products_Data3(), FertiliserProducts[[#Headers],[Company]],61)</f>
        <v/>
      </c>
      <c r="Y153" s="62" t="str" cm="1">
        <f t="array" ref="Y153">Common_InputFunctions.Utility_DisplayArrayInTable(Fertiliser_SourceData.Fertiliser_Products_Data3(), FertiliserProducts[[#Headers],[Company]],61)</f>
        <v/>
      </c>
      <c r="Z153" s="62" t="str" cm="1">
        <f t="array" ref="Z153">Common_InputFunctions.Utility_DisplayArrayInTable(Fertiliser_SourceData.Fertiliser_Products_Data3(), FertiliserProducts[[#Headers],[Company]],61)</f>
        <v/>
      </c>
      <c r="AA153" s="62" t="str" cm="1">
        <f t="array" ref="AA153">Common_InputFunctions.Utility_DisplayArrayInTable(Fertiliser_SourceData.Fertiliser_Products_Data3(), FertiliserProducts[[#Headers],[Company]],61)</f>
        <v/>
      </c>
      <c r="AB153" s="62" t="str" cm="1">
        <f t="array" ref="AB153">Common_InputFunctions.Utility_DisplayArrayInTable(Fertiliser_SourceData.Fertiliser_Products_Data3(), FertiliserProducts[[#Headers],[Company]],61)</f>
        <v/>
      </c>
      <c r="AC153" s="62" t="str" cm="1">
        <f t="array" ref="AC153">Common_InputFunctions.Utility_DisplayArrayInTable(Fertiliser_SourceData.Fertiliser_Products_Data3(), FertiliserProducts[[#Headers],[Company]],61)</f>
        <v/>
      </c>
      <c r="AD153" s="62" t="str" cm="1">
        <f t="array" ref="AD153">Common_InputFunctions.Utility_DisplayArrayInTable(Fertiliser_SourceData.Fertiliser_Products_Data3(), FertiliserProducts[[#Headers],[Company]],61)</f>
        <v/>
      </c>
      <c r="AE153" s="62" t="str" cm="1">
        <f t="array" ref="AE153">Common_InputFunctions.Utility_DisplayArrayInTable(Fertiliser_SourceData.Fertiliser_Products_Data3(), FertiliserProducts[[#Headers],[Company]],61)</f>
        <v/>
      </c>
      <c r="AF153" s="62" t="str" cm="1">
        <f t="array" ref="AF153">Common_InputFunctions.Utility_DisplayArrayInTable(Fertiliser_SourceData.Fertiliser_Products_Data3(), FertiliserProducts[[#Headers],[Company]],61)</f>
        <v/>
      </c>
      <c r="AG153" s="62" t="str" cm="1">
        <f t="array" ref="AG153">Common_InputFunctions.Utility_DisplayArrayInTable(Fertiliser_SourceData.Fertiliser_Products_Data3(), FertiliserProducts[[#Headers],[Company]],61)</f>
        <v/>
      </c>
      <c r="AH153" s="62" t="str" cm="1">
        <f t="array" ref="AH153">Common_InputFunctions.Utility_DisplayArrayInTable(Fertiliser_SourceData.Fertiliser_Products_Data3(), FertiliserProducts[[#Headers],[Company]],61)</f>
        <v/>
      </c>
      <c r="AK153" s="8"/>
      <c r="AL153" s="8"/>
      <c r="AM153" s="8"/>
    </row>
    <row r="154" spans="1:39" ht="20.100000000000001" customHeight="1" x14ac:dyDescent="0.25">
      <c r="A154"/>
      <c r="D154" s="62" t="str" cm="1">
        <f t="array" ref="D154">Common_InputFunctions.Utility_DisplayArrayInTable(Fertiliser_SourceData.Fertiliser_Products_Data3(), FertiliserProducts[[#Headers],[Company]],61)</f>
        <v>Yara K-Flow 13-0-7</v>
      </c>
      <c r="E154" s="62" t="str" cm="1">
        <f t="array" ref="E154">Common_InputFunctions.Utility_DisplayArrayInTable(Fertiliser_SourceData.Fertiliser_Products_Data3(), FertiliserProducts[[#Headers],[Company]],61)</f>
        <v/>
      </c>
      <c r="F154" s="62" t="str" cm="1">
        <f t="array" ref="F154">Common_InputFunctions.Utility_DisplayArrayInTable(Fertiliser_SourceData.Fertiliser_Products_Data3(), FertiliserProducts[[#Headers],[Company]],61)</f>
        <v/>
      </c>
      <c r="G154" s="62" t="str" cm="1">
        <f t="array" ref="G154">Common_InputFunctions.Utility_DisplayArrayInTable(Fertiliser_SourceData.Fertiliser_Products_Data3(), FertiliserProducts[[#Headers],[Company]],61)</f>
        <v/>
      </c>
      <c r="H154" s="62" t="str" cm="1">
        <f t="array" ref="H154">Common_InputFunctions.Utility_DisplayArrayInTable(Fertiliser_SourceData.Fertiliser_Products_Data3(), FertiliserProducts[[#Headers],[Company]],61)</f>
        <v/>
      </c>
      <c r="I154" s="62" t="str" cm="1">
        <f t="array" ref="I154">Common_InputFunctions.Utility_DisplayArrayInTable(Fertiliser_SourceData.Fertiliser_Products_Data3(), FertiliserProducts[[#Headers],[Company]],61)</f>
        <v/>
      </c>
      <c r="J154" s="62" t="str" cm="1">
        <f t="array" ref="J154">Common_InputFunctions.Utility_DisplayArrayInTable(Fertiliser_SourceData.Fertiliser_Products_Data3(), FertiliserProducts[[#Headers],[Company]],61)</f>
        <v/>
      </c>
      <c r="K154" s="62" t="str" cm="1">
        <f t="array" ref="K154">Common_InputFunctions.Utility_DisplayArrayInTable(Fertiliser_SourceData.Fertiliser_Products_Data3(), FertiliserProducts[[#Headers],[Company]],61)</f>
        <v/>
      </c>
      <c r="L154" s="62" t="str" cm="1">
        <f t="array" ref="L154">Common_InputFunctions.Utility_DisplayArrayInTable(Fertiliser_SourceData.Fertiliser_Products_Data3(), FertiliserProducts[[#Headers],[Company]],61)</f>
        <v/>
      </c>
      <c r="M154" s="62" t="str" cm="1">
        <f t="array" ref="M154">Common_InputFunctions.Utility_DisplayArrayInTable(Fertiliser_SourceData.Fertiliser_Products_Data3(), FertiliserProducts[[#Headers],[Company]],61)</f>
        <v/>
      </c>
      <c r="N154" s="62" t="str" cm="1">
        <f t="array" ref="N154">Common_InputFunctions.Utility_DisplayArrayInTable(Fertiliser_SourceData.Fertiliser_Products_Data3(), FertiliserProducts[[#Headers],[Company]],61)</f>
        <v/>
      </c>
      <c r="O154" s="62" t="str" cm="1">
        <f t="array" ref="O154">Common_InputFunctions.Utility_DisplayArrayInTable(Fertiliser_SourceData.Fertiliser_Products_Data3(), FertiliserProducts[[#Headers],[Company]],61)</f>
        <v/>
      </c>
      <c r="P154" s="62" t="str" cm="1">
        <f t="array" ref="P154">Common_InputFunctions.Utility_DisplayArrayInTable(Fertiliser_SourceData.Fertiliser_Products_Data3(), FertiliserProducts[[#Headers],[Company]],61)</f>
        <v/>
      </c>
      <c r="Q154" s="62" t="str" cm="1">
        <f t="array" ref="Q154">Common_InputFunctions.Utility_DisplayArrayInTable(Fertiliser_SourceData.Fertiliser_Products_Data3(), FertiliserProducts[[#Headers],[Company]],61)</f>
        <v/>
      </c>
      <c r="R154" s="62" t="str" cm="1">
        <f t="array" ref="R154">Common_InputFunctions.Utility_DisplayArrayInTable(Fertiliser_SourceData.Fertiliser_Products_Data3(), FertiliserProducts[[#Headers],[Company]],61)</f>
        <v/>
      </c>
      <c r="S154" s="62" t="str" cm="1">
        <f t="array" ref="S154">Common_InputFunctions.Utility_DisplayArrayInTable(Fertiliser_SourceData.Fertiliser_Products_Data3(), FertiliserProducts[[#Headers],[Company]],61)</f>
        <v/>
      </c>
      <c r="T154" s="62" t="str" cm="1">
        <f t="array" ref="T154">Common_InputFunctions.Utility_DisplayArrayInTable(Fertiliser_SourceData.Fertiliser_Products_Data3(), FertiliserProducts[[#Headers],[Company]],61)</f>
        <v/>
      </c>
      <c r="U154" s="62" t="str" cm="1">
        <f t="array" ref="U154">Common_InputFunctions.Utility_DisplayArrayInTable(Fertiliser_SourceData.Fertiliser_Products_Data3(), FertiliserProducts[[#Headers],[Company]],61)</f>
        <v/>
      </c>
      <c r="V154" s="62" t="str" cm="1">
        <f t="array" ref="V154">Common_InputFunctions.Utility_DisplayArrayInTable(Fertiliser_SourceData.Fertiliser_Products_Data3(), FertiliserProducts[[#Headers],[Company]],61)</f>
        <v/>
      </c>
      <c r="W154" s="62" t="str" cm="1">
        <f t="array" ref="W154">Common_InputFunctions.Utility_DisplayArrayInTable(Fertiliser_SourceData.Fertiliser_Products_Data3(), FertiliserProducts[[#Headers],[Company]],61)</f>
        <v>Crop Nutrition Solutions (Yara Australia)</v>
      </c>
      <c r="X154" s="62" t="str" cm="1">
        <f t="array" ref="X154">Common_InputFunctions.Utility_DisplayArrayInTable(Fertiliser_SourceData.Fertiliser_Products_Data3(), FertiliserProducts[[#Headers],[Company]],61)</f>
        <v/>
      </c>
      <c r="Y154" s="62" t="str" cm="1">
        <f t="array" ref="Y154">Common_InputFunctions.Utility_DisplayArrayInTable(Fertiliser_SourceData.Fertiliser_Products_Data3(), FertiliserProducts[[#Headers],[Company]],61)</f>
        <v/>
      </c>
      <c r="Z154" s="62" t="str" cm="1">
        <f t="array" ref="Z154">Common_InputFunctions.Utility_DisplayArrayInTable(Fertiliser_SourceData.Fertiliser_Products_Data3(), FertiliserProducts[[#Headers],[Company]],61)</f>
        <v/>
      </c>
      <c r="AA154" s="62" t="str" cm="1">
        <f t="array" ref="AA154">Common_InputFunctions.Utility_DisplayArrayInTable(Fertiliser_SourceData.Fertiliser_Products_Data3(), FertiliserProducts[[#Headers],[Company]],61)</f>
        <v/>
      </c>
      <c r="AB154" s="62" t="str" cm="1">
        <f t="array" ref="AB154">Common_InputFunctions.Utility_DisplayArrayInTable(Fertiliser_SourceData.Fertiliser_Products_Data3(), FertiliserProducts[[#Headers],[Company]],61)</f>
        <v/>
      </c>
      <c r="AC154" s="62" t="str" cm="1">
        <f t="array" ref="AC154">Common_InputFunctions.Utility_DisplayArrayInTable(Fertiliser_SourceData.Fertiliser_Products_Data3(), FertiliserProducts[[#Headers],[Company]],61)</f>
        <v/>
      </c>
      <c r="AD154" s="62" t="str" cm="1">
        <f t="array" ref="AD154">Common_InputFunctions.Utility_DisplayArrayInTable(Fertiliser_SourceData.Fertiliser_Products_Data3(), FertiliserProducts[[#Headers],[Company]],61)</f>
        <v/>
      </c>
      <c r="AE154" s="62" t="str" cm="1">
        <f t="array" ref="AE154">Common_InputFunctions.Utility_DisplayArrayInTable(Fertiliser_SourceData.Fertiliser_Products_Data3(), FertiliserProducts[[#Headers],[Company]],61)</f>
        <v/>
      </c>
      <c r="AF154" s="62" t="str" cm="1">
        <f t="array" ref="AF154">Common_InputFunctions.Utility_DisplayArrayInTable(Fertiliser_SourceData.Fertiliser_Products_Data3(), FertiliserProducts[[#Headers],[Company]],61)</f>
        <v/>
      </c>
      <c r="AG154" s="62" t="str" cm="1">
        <f t="array" ref="AG154">Common_InputFunctions.Utility_DisplayArrayInTable(Fertiliser_SourceData.Fertiliser_Products_Data3(), FertiliserProducts[[#Headers],[Company]],61)</f>
        <v/>
      </c>
      <c r="AH154" s="62" t="str" cm="1">
        <f t="array" ref="AH154">Common_InputFunctions.Utility_DisplayArrayInTable(Fertiliser_SourceData.Fertiliser_Products_Data3(), FertiliserProducts[[#Headers],[Company]],61)</f>
        <v/>
      </c>
      <c r="AK154" s="8"/>
    </row>
    <row r="155" spans="1:39" ht="20.100000000000001" customHeight="1" x14ac:dyDescent="0.25">
      <c r="A155"/>
      <c r="D155" s="62" t="str" cm="1">
        <f t="array" ref="D155">Common_InputFunctions.Utility_DisplayArrayInTable(Fertiliser_SourceData.Fertiliser_Products_Data3(), FertiliserProducts[[#Headers],[Company]],61)</f>
        <v>Yara K-Flow 4-0-12</v>
      </c>
      <c r="E155" s="62" t="str" cm="1">
        <f t="array" ref="E155">Common_InputFunctions.Utility_DisplayArrayInTable(Fertiliser_SourceData.Fertiliser_Products_Data3(), FertiliserProducts[[#Headers],[Company]],61)</f>
        <v/>
      </c>
      <c r="F155" s="62" t="str" cm="1">
        <f t="array" ref="F155">Common_InputFunctions.Utility_DisplayArrayInTable(Fertiliser_SourceData.Fertiliser_Products_Data3(), FertiliserProducts[[#Headers],[Company]],61)</f>
        <v/>
      </c>
      <c r="G155" s="62" t="str" cm="1">
        <f t="array" ref="G155">Common_InputFunctions.Utility_DisplayArrayInTable(Fertiliser_SourceData.Fertiliser_Products_Data3(), FertiliserProducts[[#Headers],[Company]],61)</f>
        <v/>
      </c>
      <c r="H155" s="62" t="str" cm="1">
        <f t="array" ref="H155">Common_InputFunctions.Utility_DisplayArrayInTable(Fertiliser_SourceData.Fertiliser_Products_Data3(), FertiliserProducts[[#Headers],[Company]],61)</f>
        <v/>
      </c>
      <c r="I155" s="62" t="str" cm="1">
        <f t="array" ref="I155">Common_InputFunctions.Utility_DisplayArrayInTable(Fertiliser_SourceData.Fertiliser_Products_Data3(), FertiliserProducts[[#Headers],[Company]],61)</f>
        <v/>
      </c>
      <c r="J155" s="62" t="str" cm="1">
        <f t="array" ref="J155">Common_InputFunctions.Utility_DisplayArrayInTable(Fertiliser_SourceData.Fertiliser_Products_Data3(), FertiliserProducts[[#Headers],[Company]],61)</f>
        <v/>
      </c>
      <c r="K155" s="62" t="str" cm="1">
        <f t="array" ref="K155">Common_InputFunctions.Utility_DisplayArrayInTable(Fertiliser_SourceData.Fertiliser_Products_Data3(), FertiliserProducts[[#Headers],[Company]],61)</f>
        <v/>
      </c>
      <c r="L155" s="62" t="str" cm="1">
        <f t="array" ref="L155">Common_InputFunctions.Utility_DisplayArrayInTable(Fertiliser_SourceData.Fertiliser_Products_Data3(), FertiliserProducts[[#Headers],[Company]],61)</f>
        <v/>
      </c>
      <c r="M155" s="62" t="str" cm="1">
        <f t="array" ref="M155">Common_InputFunctions.Utility_DisplayArrayInTable(Fertiliser_SourceData.Fertiliser_Products_Data3(), FertiliserProducts[[#Headers],[Company]],61)</f>
        <v/>
      </c>
      <c r="N155" s="62" t="str" cm="1">
        <f t="array" ref="N155">Common_InputFunctions.Utility_DisplayArrayInTable(Fertiliser_SourceData.Fertiliser_Products_Data3(), FertiliserProducts[[#Headers],[Company]],61)</f>
        <v/>
      </c>
      <c r="O155" s="62" t="str" cm="1">
        <f t="array" ref="O155">Common_InputFunctions.Utility_DisplayArrayInTable(Fertiliser_SourceData.Fertiliser_Products_Data3(), FertiliserProducts[[#Headers],[Company]],61)</f>
        <v/>
      </c>
      <c r="P155" s="62" t="str" cm="1">
        <f t="array" ref="P155">Common_InputFunctions.Utility_DisplayArrayInTable(Fertiliser_SourceData.Fertiliser_Products_Data3(), FertiliserProducts[[#Headers],[Company]],61)</f>
        <v/>
      </c>
      <c r="Q155" s="62" t="str" cm="1">
        <f t="array" ref="Q155">Common_InputFunctions.Utility_DisplayArrayInTable(Fertiliser_SourceData.Fertiliser_Products_Data3(), FertiliserProducts[[#Headers],[Company]],61)</f>
        <v/>
      </c>
      <c r="R155" s="62" t="str" cm="1">
        <f t="array" ref="R155">Common_InputFunctions.Utility_DisplayArrayInTable(Fertiliser_SourceData.Fertiliser_Products_Data3(), FertiliserProducts[[#Headers],[Company]],61)</f>
        <v/>
      </c>
      <c r="S155" s="62" t="str" cm="1">
        <f t="array" ref="S155">Common_InputFunctions.Utility_DisplayArrayInTable(Fertiliser_SourceData.Fertiliser_Products_Data3(), FertiliserProducts[[#Headers],[Company]],61)</f>
        <v/>
      </c>
      <c r="T155" s="62" t="str" cm="1">
        <f t="array" ref="T155">Common_InputFunctions.Utility_DisplayArrayInTable(Fertiliser_SourceData.Fertiliser_Products_Data3(), FertiliserProducts[[#Headers],[Company]],61)</f>
        <v/>
      </c>
      <c r="U155" s="62" t="str" cm="1">
        <f t="array" ref="U155">Common_InputFunctions.Utility_DisplayArrayInTable(Fertiliser_SourceData.Fertiliser_Products_Data3(), FertiliserProducts[[#Headers],[Company]],61)</f>
        <v/>
      </c>
      <c r="V155" s="62" t="str" cm="1">
        <f t="array" ref="V155">Common_InputFunctions.Utility_DisplayArrayInTable(Fertiliser_SourceData.Fertiliser_Products_Data3(), FertiliserProducts[[#Headers],[Company]],61)</f>
        <v/>
      </c>
      <c r="W155" s="62" t="str" cm="1">
        <f t="array" ref="W155">Common_InputFunctions.Utility_DisplayArrayInTable(Fertiliser_SourceData.Fertiliser_Products_Data3(), FertiliserProducts[[#Headers],[Company]],61)</f>
        <v>Crop Nutrition Solutions (Yara Australia)</v>
      </c>
      <c r="X155" s="62" t="str" cm="1">
        <f t="array" ref="X155">Common_InputFunctions.Utility_DisplayArrayInTable(Fertiliser_SourceData.Fertiliser_Products_Data3(), FertiliserProducts[[#Headers],[Company]],61)</f>
        <v/>
      </c>
      <c r="Y155" s="62" t="str" cm="1">
        <f t="array" ref="Y155">Common_InputFunctions.Utility_DisplayArrayInTable(Fertiliser_SourceData.Fertiliser_Products_Data3(), FertiliserProducts[[#Headers],[Company]],61)</f>
        <v/>
      </c>
      <c r="Z155" s="62" t="str" cm="1">
        <f t="array" ref="Z155">Common_InputFunctions.Utility_DisplayArrayInTable(Fertiliser_SourceData.Fertiliser_Products_Data3(), FertiliserProducts[[#Headers],[Company]],61)</f>
        <v/>
      </c>
      <c r="AA155" s="62" t="str" cm="1">
        <f t="array" ref="AA155">Common_InputFunctions.Utility_DisplayArrayInTable(Fertiliser_SourceData.Fertiliser_Products_Data3(), FertiliserProducts[[#Headers],[Company]],61)</f>
        <v/>
      </c>
      <c r="AB155" s="62" t="str" cm="1">
        <f t="array" ref="AB155">Common_InputFunctions.Utility_DisplayArrayInTable(Fertiliser_SourceData.Fertiliser_Products_Data3(), FertiliserProducts[[#Headers],[Company]],61)</f>
        <v/>
      </c>
      <c r="AC155" s="62" t="str" cm="1">
        <f t="array" ref="AC155">Common_InputFunctions.Utility_DisplayArrayInTable(Fertiliser_SourceData.Fertiliser_Products_Data3(), FertiliserProducts[[#Headers],[Company]],61)</f>
        <v/>
      </c>
      <c r="AD155" s="62" t="str" cm="1">
        <f t="array" ref="AD155">Common_InputFunctions.Utility_DisplayArrayInTable(Fertiliser_SourceData.Fertiliser_Products_Data3(), FertiliserProducts[[#Headers],[Company]],61)</f>
        <v/>
      </c>
      <c r="AE155" s="62" t="str" cm="1">
        <f t="array" ref="AE155">Common_InputFunctions.Utility_DisplayArrayInTable(Fertiliser_SourceData.Fertiliser_Products_Data3(), FertiliserProducts[[#Headers],[Company]],61)</f>
        <v/>
      </c>
      <c r="AF155" s="62" t="str" cm="1">
        <f t="array" ref="AF155">Common_InputFunctions.Utility_DisplayArrayInTable(Fertiliser_SourceData.Fertiliser_Products_Data3(), FertiliserProducts[[#Headers],[Company]],61)</f>
        <v/>
      </c>
      <c r="AG155" s="62" t="str" cm="1">
        <f t="array" ref="AG155">Common_InputFunctions.Utility_DisplayArrayInTable(Fertiliser_SourceData.Fertiliser_Products_Data3(), FertiliserProducts[[#Headers],[Company]],61)</f>
        <v/>
      </c>
      <c r="AH155" s="62" t="str" cm="1">
        <f t="array" ref="AH155">Common_InputFunctions.Utility_DisplayArrayInTable(Fertiliser_SourceData.Fertiliser_Products_Data3(), FertiliserProducts[[#Headers],[Company]],61)</f>
        <v/>
      </c>
      <c r="AK155" s="8"/>
    </row>
    <row r="156" spans="1:39" ht="20.100000000000001" customHeight="1" x14ac:dyDescent="0.25">
      <c r="A156"/>
      <c r="D156" s="62" t="str" cm="1">
        <f t="array" ref="D156">Common_InputFunctions.Utility_DisplayArrayInTable(Fertiliser_SourceData.Fertiliser_Products_Data3(), FertiliserProducts[[#Headers],[Company]],61)</f>
        <v>Yara Liquids MICRO-SUL</v>
      </c>
      <c r="E156" s="62" t="str" cm="1">
        <f t="array" ref="E156">Common_InputFunctions.Utility_DisplayArrayInTable(Fertiliser_SourceData.Fertiliser_Products_Data3(), FertiliserProducts[[#Headers],[Company]],61)</f>
        <v/>
      </c>
      <c r="F156" s="62" t="str" cm="1">
        <f t="array" ref="F156">Common_InputFunctions.Utility_DisplayArrayInTable(Fertiliser_SourceData.Fertiliser_Products_Data3(), FertiliserProducts[[#Headers],[Company]],61)</f>
        <v/>
      </c>
      <c r="G156" s="62" t="str" cm="1">
        <f t="array" ref="G156">Common_InputFunctions.Utility_DisplayArrayInTable(Fertiliser_SourceData.Fertiliser_Products_Data3(), FertiliserProducts[[#Headers],[Company]],61)</f>
        <v/>
      </c>
      <c r="H156" s="62" t="str" cm="1">
        <f t="array" ref="H156">Common_InputFunctions.Utility_DisplayArrayInTable(Fertiliser_SourceData.Fertiliser_Products_Data3(), FertiliserProducts[[#Headers],[Company]],61)</f>
        <v/>
      </c>
      <c r="I156" s="62" t="str" cm="1">
        <f t="array" ref="I156">Common_InputFunctions.Utility_DisplayArrayInTable(Fertiliser_SourceData.Fertiliser_Products_Data3(), FertiliserProducts[[#Headers],[Company]],61)</f>
        <v/>
      </c>
      <c r="J156" s="62" t="str" cm="1">
        <f t="array" ref="J156">Common_InputFunctions.Utility_DisplayArrayInTable(Fertiliser_SourceData.Fertiliser_Products_Data3(), FertiliserProducts[[#Headers],[Company]],61)</f>
        <v/>
      </c>
      <c r="K156" s="62" t="str" cm="1">
        <f t="array" ref="K156">Common_InputFunctions.Utility_DisplayArrayInTable(Fertiliser_SourceData.Fertiliser_Products_Data3(), FertiliserProducts[[#Headers],[Company]],61)</f>
        <v/>
      </c>
      <c r="L156" s="62" t="str" cm="1">
        <f t="array" ref="L156">Common_InputFunctions.Utility_DisplayArrayInTable(Fertiliser_SourceData.Fertiliser_Products_Data3(), FertiliserProducts[[#Headers],[Company]],61)</f>
        <v/>
      </c>
      <c r="M156" s="62" t="str" cm="1">
        <f t="array" ref="M156">Common_InputFunctions.Utility_DisplayArrayInTable(Fertiliser_SourceData.Fertiliser_Products_Data3(), FertiliserProducts[[#Headers],[Company]],61)</f>
        <v/>
      </c>
      <c r="N156" s="62" t="str" cm="1">
        <f t="array" ref="N156">Common_InputFunctions.Utility_DisplayArrayInTable(Fertiliser_SourceData.Fertiliser_Products_Data3(), FertiliserProducts[[#Headers],[Company]],61)</f>
        <v/>
      </c>
      <c r="O156" s="62" t="str" cm="1">
        <f t="array" ref="O156">Common_InputFunctions.Utility_DisplayArrayInTable(Fertiliser_SourceData.Fertiliser_Products_Data3(), FertiliserProducts[[#Headers],[Company]],61)</f>
        <v/>
      </c>
      <c r="P156" s="62" t="str" cm="1">
        <f t="array" ref="P156">Common_InputFunctions.Utility_DisplayArrayInTable(Fertiliser_SourceData.Fertiliser_Products_Data3(), FertiliserProducts[[#Headers],[Company]],61)</f>
        <v/>
      </c>
      <c r="Q156" s="62" t="str" cm="1">
        <f t="array" ref="Q156">Common_InputFunctions.Utility_DisplayArrayInTable(Fertiliser_SourceData.Fertiliser_Products_Data3(), FertiliserProducts[[#Headers],[Company]],61)</f>
        <v/>
      </c>
      <c r="R156" s="62" t="str" cm="1">
        <f t="array" ref="R156">Common_InputFunctions.Utility_DisplayArrayInTable(Fertiliser_SourceData.Fertiliser_Products_Data3(), FertiliserProducts[[#Headers],[Company]],61)</f>
        <v/>
      </c>
      <c r="S156" s="62" t="str" cm="1">
        <f t="array" ref="S156">Common_InputFunctions.Utility_DisplayArrayInTable(Fertiliser_SourceData.Fertiliser_Products_Data3(), FertiliserProducts[[#Headers],[Company]],61)</f>
        <v/>
      </c>
      <c r="T156" s="62" t="str" cm="1">
        <f t="array" ref="T156">Common_InputFunctions.Utility_DisplayArrayInTable(Fertiliser_SourceData.Fertiliser_Products_Data3(), FertiliserProducts[[#Headers],[Company]],61)</f>
        <v/>
      </c>
      <c r="U156" s="62" t="str" cm="1">
        <f t="array" ref="U156">Common_InputFunctions.Utility_DisplayArrayInTable(Fertiliser_SourceData.Fertiliser_Products_Data3(), FertiliserProducts[[#Headers],[Company]],61)</f>
        <v/>
      </c>
      <c r="V156" s="62" t="str" cm="1">
        <f t="array" ref="V156">Common_InputFunctions.Utility_DisplayArrayInTable(Fertiliser_SourceData.Fertiliser_Products_Data3(), FertiliserProducts[[#Headers],[Company]],61)</f>
        <v/>
      </c>
      <c r="W156" s="62" t="str" cm="1">
        <f t="array" ref="W156">Common_InputFunctions.Utility_DisplayArrayInTable(Fertiliser_SourceData.Fertiliser_Products_Data3(), FertiliserProducts[[#Headers],[Company]],61)</f>
        <v>Crop Nutrition Solutions (Yara Australia)</v>
      </c>
      <c r="X156" s="62" t="str" cm="1">
        <f t="array" ref="X156">Common_InputFunctions.Utility_DisplayArrayInTable(Fertiliser_SourceData.Fertiliser_Products_Data3(), FertiliserProducts[[#Headers],[Company]],61)</f>
        <v/>
      </c>
      <c r="Y156" s="62" t="str" cm="1">
        <f t="array" ref="Y156">Common_InputFunctions.Utility_DisplayArrayInTable(Fertiliser_SourceData.Fertiliser_Products_Data3(), FertiliserProducts[[#Headers],[Company]],61)</f>
        <v/>
      </c>
      <c r="Z156" s="62" t="str" cm="1">
        <f t="array" ref="Z156">Common_InputFunctions.Utility_DisplayArrayInTable(Fertiliser_SourceData.Fertiliser_Products_Data3(), FertiliserProducts[[#Headers],[Company]],61)</f>
        <v/>
      </c>
      <c r="AA156" s="62" t="str" cm="1">
        <f t="array" ref="AA156">Common_InputFunctions.Utility_DisplayArrayInTable(Fertiliser_SourceData.Fertiliser_Products_Data3(), FertiliserProducts[[#Headers],[Company]],61)</f>
        <v/>
      </c>
      <c r="AB156" s="62" t="str" cm="1">
        <f t="array" ref="AB156">Common_InputFunctions.Utility_DisplayArrayInTable(Fertiliser_SourceData.Fertiliser_Products_Data3(), FertiliserProducts[[#Headers],[Company]],61)</f>
        <v/>
      </c>
      <c r="AC156" s="62" t="str" cm="1">
        <f t="array" ref="AC156">Common_InputFunctions.Utility_DisplayArrayInTable(Fertiliser_SourceData.Fertiliser_Products_Data3(), FertiliserProducts[[#Headers],[Company]],61)</f>
        <v/>
      </c>
      <c r="AD156" s="62" t="str" cm="1">
        <f t="array" ref="AD156">Common_InputFunctions.Utility_DisplayArrayInTable(Fertiliser_SourceData.Fertiliser_Products_Data3(), FertiliserProducts[[#Headers],[Company]],61)</f>
        <v/>
      </c>
      <c r="AE156" s="62" t="str" cm="1">
        <f t="array" ref="AE156">Common_InputFunctions.Utility_DisplayArrayInTable(Fertiliser_SourceData.Fertiliser_Products_Data3(), FertiliserProducts[[#Headers],[Company]],61)</f>
        <v/>
      </c>
      <c r="AF156" s="62" t="str" cm="1">
        <f t="array" ref="AF156">Common_InputFunctions.Utility_DisplayArrayInTable(Fertiliser_SourceData.Fertiliser_Products_Data3(), FertiliserProducts[[#Headers],[Company]],61)</f>
        <v/>
      </c>
      <c r="AG156" s="62" t="str" cm="1">
        <f t="array" ref="AG156">Common_InputFunctions.Utility_DisplayArrayInTable(Fertiliser_SourceData.Fertiliser_Products_Data3(), FertiliserProducts[[#Headers],[Company]],61)</f>
        <v/>
      </c>
      <c r="AH156" s="62" t="str" cm="1">
        <f t="array" ref="AH156">Common_InputFunctions.Utility_DisplayArrayInTable(Fertiliser_SourceData.Fertiliser_Products_Data3(), FertiliserProducts[[#Headers],[Company]],61)</f>
        <v/>
      </c>
      <c r="AK156" s="8"/>
    </row>
    <row r="157" spans="1:39" ht="20.100000000000001" customHeight="1" x14ac:dyDescent="0.25">
      <c r="A157"/>
      <c r="D157" s="62" t="str" cm="1">
        <f t="array" ref="D157">Common_InputFunctions.Utility_DisplayArrayInTable(Fertiliser_SourceData.Fertiliser_Products_Data3(), FertiliserProducts[[#Headers],[Company]],61)</f>
        <v>Yara Liquids N24</v>
      </c>
      <c r="E157" s="62" t="str" cm="1">
        <f t="array" ref="E157">Common_InputFunctions.Utility_DisplayArrayInTable(Fertiliser_SourceData.Fertiliser_Products_Data3(), FertiliserProducts[[#Headers],[Company]],61)</f>
        <v/>
      </c>
      <c r="F157" s="62" t="str" cm="1">
        <f t="array" ref="F157">Common_InputFunctions.Utility_DisplayArrayInTable(Fertiliser_SourceData.Fertiliser_Products_Data3(), FertiliserProducts[[#Headers],[Company]],61)</f>
        <v/>
      </c>
      <c r="G157" s="62" t="str" cm="1">
        <f t="array" ref="G157">Common_InputFunctions.Utility_DisplayArrayInTable(Fertiliser_SourceData.Fertiliser_Products_Data3(), FertiliserProducts[[#Headers],[Company]],61)</f>
        <v/>
      </c>
      <c r="H157" s="62" t="str" cm="1">
        <f t="array" ref="H157">Common_InputFunctions.Utility_DisplayArrayInTable(Fertiliser_SourceData.Fertiliser_Products_Data3(), FertiliserProducts[[#Headers],[Company]],61)</f>
        <v/>
      </c>
      <c r="I157" s="62" t="str" cm="1">
        <f t="array" ref="I157">Common_InputFunctions.Utility_DisplayArrayInTable(Fertiliser_SourceData.Fertiliser_Products_Data3(), FertiliserProducts[[#Headers],[Company]],61)</f>
        <v/>
      </c>
      <c r="J157" s="62" t="str" cm="1">
        <f t="array" ref="J157">Common_InputFunctions.Utility_DisplayArrayInTable(Fertiliser_SourceData.Fertiliser_Products_Data3(), FertiliserProducts[[#Headers],[Company]],61)</f>
        <v/>
      </c>
      <c r="K157" s="62" t="str" cm="1">
        <f t="array" ref="K157">Common_InputFunctions.Utility_DisplayArrayInTable(Fertiliser_SourceData.Fertiliser_Products_Data3(), FertiliserProducts[[#Headers],[Company]],61)</f>
        <v/>
      </c>
      <c r="L157" s="62" t="str" cm="1">
        <f t="array" ref="L157">Common_InputFunctions.Utility_DisplayArrayInTable(Fertiliser_SourceData.Fertiliser_Products_Data3(), FertiliserProducts[[#Headers],[Company]],61)</f>
        <v/>
      </c>
      <c r="M157" s="62" t="str" cm="1">
        <f t="array" ref="M157">Common_InputFunctions.Utility_DisplayArrayInTable(Fertiliser_SourceData.Fertiliser_Products_Data3(), FertiliserProducts[[#Headers],[Company]],61)</f>
        <v/>
      </c>
      <c r="N157" s="62" t="str" cm="1">
        <f t="array" ref="N157">Common_InputFunctions.Utility_DisplayArrayInTable(Fertiliser_SourceData.Fertiliser_Products_Data3(), FertiliserProducts[[#Headers],[Company]],61)</f>
        <v/>
      </c>
      <c r="O157" s="62" t="str" cm="1">
        <f t="array" ref="O157">Common_InputFunctions.Utility_DisplayArrayInTable(Fertiliser_SourceData.Fertiliser_Products_Data3(), FertiliserProducts[[#Headers],[Company]],61)</f>
        <v/>
      </c>
      <c r="P157" s="62" t="str" cm="1">
        <f t="array" ref="P157">Common_InputFunctions.Utility_DisplayArrayInTable(Fertiliser_SourceData.Fertiliser_Products_Data3(), FertiliserProducts[[#Headers],[Company]],61)</f>
        <v/>
      </c>
      <c r="Q157" s="62" t="str" cm="1">
        <f t="array" ref="Q157">Common_InputFunctions.Utility_DisplayArrayInTable(Fertiliser_SourceData.Fertiliser_Products_Data3(), FertiliserProducts[[#Headers],[Company]],61)</f>
        <v/>
      </c>
      <c r="R157" s="62" t="str" cm="1">
        <f t="array" ref="R157">Common_InputFunctions.Utility_DisplayArrayInTable(Fertiliser_SourceData.Fertiliser_Products_Data3(), FertiliserProducts[[#Headers],[Company]],61)</f>
        <v/>
      </c>
      <c r="S157" s="62" t="str" cm="1">
        <f t="array" ref="S157">Common_InputFunctions.Utility_DisplayArrayInTable(Fertiliser_SourceData.Fertiliser_Products_Data3(), FertiliserProducts[[#Headers],[Company]],61)</f>
        <v/>
      </c>
      <c r="T157" s="62" t="str" cm="1">
        <f t="array" ref="T157">Common_InputFunctions.Utility_DisplayArrayInTable(Fertiliser_SourceData.Fertiliser_Products_Data3(), FertiliserProducts[[#Headers],[Company]],61)</f>
        <v/>
      </c>
      <c r="U157" s="62" t="str" cm="1">
        <f t="array" ref="U157">Common_InputFunctions.Utility_DisplayArrayInTable(Fertiliser_SourceData.Fertiliser_Products_Data3(), FertiliserProducts[[#Headers],[Company]],61)</f>
        <v/>
      </c>
      <c r="V157" s="62" t="str" cm="1">
        <f t="array" ref="V157">Common_InputFunctions.Utility_DisplayArrayInTable(Fertiliser_SourceData.Fertiliser_Products_Data3(), FertiliserProducts[[#Headers],[Company]],61)</f>
        <v/>
      </c>
      <c r="W157" s="62" t="str" cm="1">
        <f t="array" ref="W157">Common_InputFunctions.Utility_DisplayArrayInTable(Fertiliser_SourceData.Fertiliser_Products_Data3(), FertiliserProducts[[#Headers],[Company]],61)</f>
        <v>Crop Nutrition Solutions (Yara Australia)</v>
      </c>
      <c r="X157" s="62" t="str" cm="1">
        <f t="array" ref="X157">Common_InputFunctions.Utility_DisplayArrayInTable(Fertiliser_SourceData.Fertiliser_Products_Data3(), FertiliserProducts[[#Headers],[Company]],61)</f>
        <v/>
      </c>
      <c r="Y157" s="62" t="str" cm="1">
        <f t="array" ref="Y157">Common_InputFunctions.Utility_DisplayArrayInTable(Fertiliser_SourceData.Fertiliser_Products_Data3(), FertiliserProducts[[#Headers],[Company]],61)</f>
        <v/>
      </c>
      <c r="Z157" s="62" t="str" cm="1">
        <f t="array" ref="Z157">Common_InputFunctions.Utility_DisplayArrayInTable(Fertiliser_SourceData.Fertiliser_Products_Data3(), FertiliserProducts[[#Headers],[Company]],61)</f>
        <v/>
      </c>
      <c r="AA157" s="62" t="str" cm="1">
        <f t="array" ref="AA157">Common_InputFunctions.Utility_DisplayArrayInTable(Fertiliser_SourceData.Fertiliser_Products_Data3(), FertiliserProducts[[#Headers],[Company]],61)</f>
        <v/>
      </c>
      <c r="AB157" s="62" t="str" cm="1">
        <f t="array" ref="AB157">Common_InputFunctions.Utility_DisplayArrayInTable(Fertiliser_SourceData.Fertiliser_Products_Data3(), FertiliserProducts[[#Headers],[Company]],61)</f>
        <v/>
      </c>
      <c r="AC157" s="62" t="str" cm="1">
        <f t="array" ref="AC157">Common_InputFunctions.Utility_DisplayArrayInTable(Fertiliser_SourceData.Fertiliser_Products_Data3(), FertiliserProducts[[#Headers],[Company]],61)</f>
        <v/>
      </c>
      <c r="AD157" s="62" t="str" cm="1">
        <f t="array" ref="AD157">Common_InputFunctions.Utility_DisplayArrayInTable(Fertiliser_SourceData.Fertiliser_Products_Data3(), FertiliserProducts[[#Headers],[Company]],61)</f>
        <v/>
      </c>
      <c r="AE157" s="62" t="str" cm="1">
        <f t="array" ref="AE157">Common_InputFunctions.Utility_DisplayArrayInTable(Fertiliser_SourceData.Fertiliser_Products_Data3(), FertiliserProducts[[#Headers],[Company]],61)</f>
        <v/>
      </c>
      <c r="AF157" s="62" t="str" cm="1">
        <f t="array" ref="AF157">Common_InputFunctions.Utility_DisplayArrayInTable(Fertiliser_SourceData.Fertiliser_Products_Data3(), FertiliserProducts[[#Headers],[Company]],61)</f>
        <v/>
      </c>
      <c r="AG157" s="62" t="str" cm="1">
        <f t="array" ref="AG157">Common_InputFunctions.Utility_DisplayArrayInTable(Fertiliser_SourceData.Fertiliser_Products_Data3(), FertiliserProducts[[#Headers],[Company]],61)</f>
        <v/>
      </c>
      <c r="AH157" s="62" t="str" cm="1">
        <f t="array" ref="AH157">Common_InputFunctions.Utility_DisplayArrayInTable(Fertiliser_SourceData.Fertiliser_Products_Data3(), FertiliserProducts[[#Headers],[Company]],61)</f>
        <v/>
      </c>
      <c r="AK157" s="8"/>
    </row>
    <row r="158" spans="1:39" ht="20.100000000000001" customHeight="1" x14ac:dyDescent="0.25">
      <c r="A158"/>
      <c r="D158" s="62" t="str" cm="1">
        <f t="array" ref="D158">Common_InputFunctions.Utility_DisplayArrayInTable(Fertiliser_SourceData.Fertiliser_Products_Data3(), FertiliserProducts[[#Headers],[Company]],61)</f>
        <v>Yara Liquids N25</v>
      </c>
      <c r="E158" s="62" t="str" cm="1">
        <f t="array" ref="E158">Common_InputFunctions.Utility_DisplayArrayInTable(Fertiliser_SourceData.Fertiliser_Products_Data3(), FertiliserProducts[[#Headers],[Company]],61)</f>
        <v/>
      </c>
      <c r="F158" s="62" t="str" cm="1">
        <f t="array" ref="F158">Common_InputFunctions.Utility_DisplayArrayInTable(Fertiliser_SourceData.Fertiliser_Products_Data3(), FertiliserProducts[[#Headers],[Company]],61)</f>
        <v/>
      </c>
      <c r="G158" s="62" t="str" cm="1">
        <f t="array" ref="G158">Common_InputFunctions.Utility_DisplayArrayInTable(Fertiliser_SourceData.Fertiliser_Products_Data3(), FertiliserProducts[[#Headers],[Company]],61)</f>
        <v/>
      </c>
      <c r="H158" s="62" t="str" cm="1">
        <f t="array" ref="H158">Common_InputFunctions.Utility_DisplayArrayInTable(Fertiliser_SourceData.Fertiliser_Products_Data3(), FertiliserProducts[[#Headers],[Company]],61)</f>
        <v/>
      </c>
      <c r="I158" s="62" t="str" cm="1">
        <f t="array" ref="I158">Common_InputFunctions.Utility_DisplayArrayInTable(Fertiliser_SourceData.Fertiliser_Products_Data3(), FertiliserProducts[[#Headers],[Company]],61)</f>
        <v/>
      </c>
      <c r="J158" s="62" t="str" cm="1">
        <f t="array" ref="J158">Common_InputFunctions.Utility_DisplayArrayInTable(Fertiliser_SourceData.Fertiliser_Products_Data3(), FertiliserProducts[[#Headers],[Company]],61)</f>
        <v/>
      </c>
      <c r="K158" s="62" t="str" cm="1">
        <f t="array" ref="K158">Common_InputFunctions.Utility_DisplayArrayInTable(Fertiliser_SourceData.Fertiliser_Products_Data3(), FertiliserProducts[[#Headers],[Company]],61)</f>
        <v/>
      </c>
      <c r="L158" s="62" t="str" cm="1">
        <f t="array" ref="L158">Common_InputFunctions.Utility_DisplayArrayInTable(Fertiliser_SourceData.Fertiliser_Products_Data3(), FertiliserProducts[[#Headers],[Company]],61)</f>
        <v/>
      </c>
      <c r="M158" s="62" t="str" cm="1">
        <f t="array" ref="M158">Common_InputFunctions.Utility_DisplayArrayInTable(Fertiliser_SourceData.Fertiliser_Products_Data3(), FertiliserProducts[[#Headers],[Company]],61)</f>
        <v/>
      </c>
      <c r="N158" s="62" t="str" cm="1">
        <f t="array" ref="N158">Common_InputFunctions.Utility_DisplayArrayInTable(Fertiliser_SourceData.Fertiliser_Products_Data3(), FertiliserProducts[[#Headers],[Company]],61)</f>
        <v/>
      </c>
      <c r="O158" s="62" t="str" cm="1">
        <f t="array" ref="O158">Common_InputFunctions.Utility_DisplayArrayInTable(Fertiliser_SourceData.Fertiliser_Products_Data3(), FertiliserProducts[[#Headers],[Company]],61)</f>
        <v/>
      </c>
      <c r="P158" s="62" t="str" cm="1">
        <f t="array" ref="P158">Common_InputFunctions.Utility_DisplayArrayInTable(Fertiliser_SourceData.Fertiliser_Products_Data3(), FertiliserProducts[[#Headers],[Company]],61)</f>
        <v/>
      </c>
      <c r="Q158" s="62" t="str" cm="1">
        <f t="array" ref="Q158">Common_InputFunctions.Utility_DisplayArrayInTable(Fertiliser_SourceData.Fertiliser_Products_Data3(), FertiliserProducts[[#Headers],[Company]],61)</f>
        <v/>
      </c>
      <c r="R158" s="62" t="str" cm="1">
        <f t="array" ref="R158">Common_InputFunctions.Utility_DisplayArrayInTable(Fertiliser_SourceData.Fertiliser_Products_Data3(), FertiliserProducts[[#Headers],[Company]],61)</f>
        <v/>
      </c>
      <c r="S158" s="62" t="str" cm="1">
        <f t="array" ref="S158">Common_InputFunctions.Utility_DisplayArrayInTable(Fertiliser_SourceData.Fertiliser_Products_Data3(), FertiliserProducts[[#Headers],[Company]],61)</f>
        <v/>
      </c>
      <c r="T158" s="62" t="str" cm="1">
        <f t="array" ref="T158">Common_InputFunctions.Utility_DisplayArrayInTable(Fertiliser_SourceData.Fertiliser_Products_Data3(), FertiliserProducts[[#Headers],[Company]],61)</f>
        <v/>
      </c>
      <c r="U158" s="62" t="str" cm="1">
        <f t="array" ref="U158">Common_InputFunctions.Utility_DisplayArrayInTable(Fertiliser_SourceData.Fertiliser_Products_Data3(), FertiliserProducts[[#Headers],[Company]],61)</f>
        <v/>
      </c>
      <c r="V158" s="62" t="str" cm="1">
        <f t="array" ref="V158">Common_InputFunctions.Utility_DisplayArrayInTable(Fertiliser_SourceData.Fertiliser_Products_Data3(), FertiliserProducts[[#Headers],[Company]],61)</f>
        <v/>
      </c>
      <c r="W158" s="62" t="str" cm="1">
        <f t="array" ref="W158">Common_InputFunctions.Utility_DisplayArrayInTable(Fertiliser_SourceData.Fertiliser_Products_Data3(), FertiliserProducts[[#Headers],[Company]],61)</f>
        <v>Crop Nutrition Solutions (Yara Australia)</v>
      </c>
      <c r="X158" s="62" t="str" cm="1">
        <f t="array" ref="X158">Common_InputFunctions.Utility_DisplayArrayInTable(Fertiliser_SourceData.Fertiliser_Products_Data3(), FertiliserProducts[[#Headers],[Company]],61)</f>
        <v/>
      </c>
      <c r="Y158" s="62" t="str" cm="1">
        <f t="array" ref="Y158">Common_InputFunctions.Utility_DisplayArrayInTable(Fertiliser_SourceData.Fertiliser_Products_Data3(), FertiliserProducts[[#Headers],[Company]],61)</f>
        <v/>
      </c>
      <c r="Z158" s="62" t="str" cm="1">
        <f t="array" ref="Z158">Common_InputFunctions.Utility_DisplayArrayInTable(Fertiliser_SourceData.Fertiliser_Products_Data3(), FertiliserProducts[[#Headers],[Company]],61)</f>
        <v/>
      </c>
      <c r="AA158" s="62" t="str" cm="1">
        <f t="array" ref="AA158">Common_InputFunctions.Utility_DisplayArrayInTable(Fertiliser_SourceData.Fertiliser_Products_Data3(), FertiliserProducts[[#Headers],[Company]],61)</f>
        <v/>
      </c>
      <c r="AB158" s="62" t="str" cm="1">
        <f t="array" ref="AB158">Common_InputFunctions.Utility_DisplayArrayInTable(Fertiliser_SourceData.Fertiliser_Products_Data3(), FertiliserProducts[[#Headers],[Company]],61)</f>
        <v/>
      </c>
      <c r="AC158" s="62" t="str" cm="1">
        <f t="array" ref="AC158">Common_InputFunctions.Utility_DisplayArrayInTable(Fertiliser_SourceData.Fertiliser_Products_Data3(), FertiliserProducts[[#Headers],[Company]],61)</f>
        <v/>
      </c>
      <c r="AD158" s="62" t="str" cm="1">
        <f t="array" ref="AD158">Common_InputFunctions.Utility_DisplayArrayInTable(Fertiliser_SourceData.Fertiliser_Products_Data3(), FertiliserProducts[[#Headers],[Company]],61)</f>
        <v/>
      </c>
      <c r="AE158" s="62" t="str" cm="1">
        <f t="array" ref="AE158">Common_InputFunctions.Utility_DisplayArrayInTable(Fertiliser_SourceData.Fertiliser_Products_Data3(), FertiliserProducts[[#Headers],[Company]],61)</f>
        <v/>
      </c>
      <c r="AF158" s="62" t="str" cm="1">
        <f t="array" ref="AF158">Common_InputFunctions.Utility_DisplayArrayInTable(Fertiliser_SourceData.Fertiliser_Products_Data3(), FertiliserProducts[[#Headers],[Company]],61)</f>
        <v/>
      </c>
      <c r="AG158" s="62" t="str" cm="1">
        <f t="array" ref="AG158">Common_InputFunctions.Utility_DisplayArrayInTable(Fertiliser_SourceData.Fertiliser_Products_Data3(), FertiliserProducts[[#Headers],[Company]],61)</f>
        <v/>
      </c>
      <c r="AH158" s="62" t="str" cm="1">
        <f t="array" ref="AH158">Common_InputFunctions.Utility_DisplayArrayInTable(Fertiliser_SourceData.Fertiliser_Products_Data3(), FertiliserProducts[[#Headers],[Company]],61)</f>
        <v/>
      </c>
      <c r="AK158" s="8"/>
    </row>
    <row r="159" spans="1:39" ht="20.100000000000001" customHeight="1" x14ac:dyDescent="0.25">
      <c r="A159"/>
      <c r="D159" s="62" t="str" cm="1">
        <f t="array" ref="D159">Common_InputFunctions.Utility_DisplayArrayInTable(Fertiliser_SourceData.Fertiliser_Products_Data3(), FertiliserProducts[[#Headers],[Company]],61)</f>
        <v>Yara Liquids N26</v>
      </c>
      <c r="E159" s="62" t="str" cm="1">
        <f t="array" ref="E159">Common_InputFunctions.Utility_DisplayArrayInTable(Fertiliser_SourceData.Fertiliser_Products_Data3(), FertiliserProducts[[#Headers],[Company]],61)</f>
        <v/>
      </c>
      <c r="F159" s="62" t="str" cm="1">
        <f t="array" ref="F159">Common_InputFunctions.Utility_DisplayArrayInTable(Fertiliser_SourceData.Fertiliser_Products_Data3(), FertiliserProducts[[#Headers],[Company]],61)</f>
        <v/>
      </c>
      <c r="G159" s="62" t="str" cm="1">
        <f t="array" ref="G159">Common_InputFunctions.Utility_DisplayArrayInTable(Fertiliser_SourceData.Fertiliser_Products_Data3(), FertiliserProducts[[#Headers],[Company]],61)</f>
        <v/>
      </c>
      <c r="H159" s="62" t="str" cm="1">
        <f t="array" ref="H159">Common_InputFunctions.Utility_DisplayArrayInTable(Fertiliser_SourceData.Fertiliser_Products_Data3(), FertiliserProducts[[#Headers],[Company]],61)</f>
        <v/>
      </c>
      <c r="I159" s="62" t="str" cm="1">
        <f t="array" ref="I159">Common_InputFunctions.Utility_DisplayArrayInTable(Fertiliser_SourceData.Fertiliser_Products_Data3(), FertiliserProducts[[#Headers],[Company]],61)</f>
        <v/>
      </c>
      <c r="J159" s="62" t="str" cm="1">
        <f t="array" ref="J159">Common_InputFunctions.Utility_DisplayArrayInTable(Fertiliser_SourceData.Fertiliser_Products_Data3(), FertiliserProducts[[#Headers],[Company]],61)</f>
        <v/>
      </c>
      <c r="K159" s="62" t="str" cm="1">
        <f t="array" ref="K159">Common_InputFunctions.Utility_DisplayArrayInTable(Fertiliser_SourceData.Fertiliser_Products_Data3(), FertiliserProducts[[#Headers],[Company]],61)</f>
        <v/>
      </c>
      <c r="L159" s="62" t="str" cm="1">
        <f t="array" ref="L159">Common_InputFunctions.Utility_DisplayArrayInTable(Fertiliser_SourceData.Fertiliser_Products_Data3(), FertiliserProducts[[#Headers],[Company]],61)</f>
        <v/>
      </c>
      <c r="M159" s="62" t="str" cm="1">
        <f t="array" ref="M159">Common_InputFunctions.Utility_DisplayArrayInTable(Fertiliser_SourceData.Fertiliser_Products_Data3(), FertiliserProducts[[#Headers],[Company]],61)</f>
        <v/>
      </c>
      <c r="N159" s="62" t="str" cm="1">
        <f t="array" ref="N159">Common_InputFunctions.Utility_DisplayArrayInTable(Fertiliser_SourceData.Fertiliser_Products_Data3(), FertiliserProducts[[#Headers],[Company]],61)</f>
        <v/>
      </c>
      <c r="O159" s="62" t="str" cm="1">
        <f t="array" ref="O159">Common_InputFunctions.Utility_DisplayArrayInTable(Fertiliser_SourceData.Fertiliser_Products_Data3(), FertiliserProducts[[#Headers],[Company]],61)</f>
        <v/>
      </c>
      <c r="P159" s="62" t="str" cm="1">
        <f t="array" ref="P159">Common_InputFunctions.Utility_DisplayArrayInTable(Fertiliser_SourceData.Fertiliser_Products_Data3(), FertiliserProducts[[#Headers],[Company]],61)</f>
        <v/>
      </c>
      <c r="Q159" s="62" t="str" cm="1">
        <f t="array" ref="Q159">Common_InputFunctions.Utility_DisplayArrayInTable(Fertiliser_SourceData.Fertiliser_Products_Data3(), FertiliserProducts[[#Headers],[Company]],61)</f>
        <v/>
      </c>
      <c r="R159" s="62" t="str" cm="1">
        <f t="array" ref="R159">Common_InputFunctions.Utility_DisplayArrayInTable(Fertiliser_SourceData.Fertiliser_Products_Data3(), FertiliserProducts[[#Headers],[Company]],61)</f>
        <v/>
      </c>
      <c r="S159" s="62" t="str" cm="1">
        <f t="array" ref="S159">Common_InputFunctions.Utility_DisplayArrayInTable(Fertiliser_SourceData.Fertiliser_Products_Data3(), FertiliserProducts[[#Headers],[Company]],61)</f>
        <v/>
      </c>
      <c r="T159" s="62" t="str" cm="1">
        <f t="array" ref="T159">Common_InputFunctions.Utility_DisplayArrayInTable(Fertiliser_SourceData.Fertiliser_Products_Data3(), FertiliserProducts[[#Headers],[Company]],61)</f>
        <v/>
      </c>
      <c r="U159" s="62" t="str" cm="1">
        <f t="array" ref="U159">Common_InputFunctions.Utility_DisplayArrayInTable(Fertiliser_SourceData.Fertiliser_Products_Data3(), FertiliserProducts[[#Headers],[Company]],61)</f>
        <v/>
      </c>
      <c r="V159" s="62" t="str" cm="1">
        <f t="array" ref="V159">Common_InputFunctions.Utility_DisplayArrayInTable(Fertiliser_SourceData.Fertiliser_Products_Data3(), FertiliserProducts[[#Headers],[Company]],61)</f>
        <v/>
      </c>
      <c r="W159" s="62" t="str" cm="1">
        <f t="array" ref="W159">Common_InputFunctions.Utility_DisplayArrayInTable(Fertiliser_SourceData.Fertiliser_Products_Data3(), FertiliserProducts[[#Headers],[Company]],61)</f>
        <v>Crop Nutrition Solutions (Yara Australia)</v>
      </c>
      <c r="X159" s="62" t="str" cm="1">
        <f t="array" ref="X159">Common_InputFunctions.Utility_DisplayArrayInTable(Fertiliser_SourceData.Fertiliser_Products_Data3(), FertiliserProducts[[#Headers],[Company]],61)</f>
        <v/>
      </c>
      <c r="Y159" s="62" t="str" cm="1">
        <f t="array" ref="Y159">Common_InputFunctions.Utility_DisplayArrayInTable(Fertiliser_SourceData.Fertiliser_Products_Data3(), FertiliserProducts[[#Headers],[Company]],61)</f>
        <v/>
      </c>
      <c r="Z159" s="62" t="str" cm="1">
        <f t="array" ref="Z159">Common_InputFunctions.Utility_DisplayArrayInTable(Fertiliser_SourceData.Fertiliser_Products_Data3(), FertiliserProducts[[#Headers],[Company]],61)</f>
        <v/>
      </c>
      <c r="AA159" s="62" t="str" cm="1">
        <f t="array" ref="AA159">Common_InputFunctions.Utility_DisplayArrayInTable(Fertiliser_SourceData.Fertiliser_Products_Data3(), FertiliserProducts[[#Headers],[Company]],61)</f>
        <v/>
      </c>
      <c r="AB159" s="62" t="str" cm="1">
        <f t="array" ref="AB159">Common_InputFunctions.Utility_DisplayArrayInTable(Fertiliser_SourceData.Fertiliser_Products_Data3(), FertiliserProducts[[#Headers],[Company]],61)</f>
        <v/>
      </c>
      <c r="AC159" s="62" t="str" cm="1">
        <f t="array" ref="AC159">Common_InputFunctions.Utility_DisplayArrayInTable(Fertiliser_SourceData.Fertiliser_Products_Data3(), FertiliserProducts[[#Headers],[Company]],61)</f>
        <v/>
      </c>
      <c r="AD159" s="62" t="str" cm="1">
        <f t="array" ref="AD159">Common_InputFunctions.Utility_DisplayArrayInTable(Fertiliser_SourceData.Fertiliser_Products_Data3(), FertiliserProducts[[#Headers],[Company]],61)</f>
        <v/>
      </c>
      <c r="AE159" s="62" t="str" cm="1">
        <f t="array" ref="AE159">Common_InputFunctions.Utility_DisplayArrayInTable(Fertiliser_SourceData.Fertiliser_Products_Data3(), FertiliserProducts[[#Headers],[Company]],61)</f>
        <v/>
      </c>
      <c r="AF159" s="62" t="str" cm="1">
        <f t="array" ref="AF159">Common_InputFunctions.Utility_DisplayArrayInTable(Fertiliser_SourceData.Fertiliser_Products_Data3(), FertiliserProducts[[#Headers],[Company]],61)</f>
        <v/>
      </c>
      <c r="AG159" s="62" t="str" cm="1">
        <f t="array" ref="AG159">Common_InputFunctions.Utility_DisplayArrayInTable(Fertiliser_SourceData.Fertiliser_Products_Data3(), FertiliserProducts[[#Headers],[Company]],61)</f>
        <v/>
      </c>
      <c r="AH159" s="62" t="str" cm="1">
        <f t="array" ref="AH159">Common_InputFunctions.Utility_DisplayArrayInTable(Fertiliser_SourceData.Fertiliser_Products_Data3(), FertiliserProducts[[#Headers],[Company]],61)</f>
        <v/>
      </c>
      <c r="AK159" s="8"/>
    </row>
    <row r="160" spans="1:39" ht="20.100000000000001" customHeight="1" x14ac:dyDescent="0.25">
      <c r="A160"/>
      <c r="D160" s="62" t="str" cm="1">
        <f t="array" ref="D160">Common_InputFunctions.Utility_DisplayArrayInTable(Fertiliser_SourceData.Fertiliser_Products_Data3(), FertiliserProducts[[#Headers],[Company]],61)</f>
        <v>Yara Liquids N42</v>
      </c>
      <c r="E160" s="62" t="str" cm="1">
        <f t="array" ref="E160">Common_InputFunctions.Utility_DisplayArrayInTable(Fertiliser_SourceData.Fertiliser_Products_Data3(), FertiliserProducts[[#Headers],[Company]],61)</f>
        <v/>
      </c>
      <c r="F160" s="62" t="str" cm="1">
        <f t="array" ref="F160">Common_InputFunctions.Utility_DisplayArrayInTable(Fertiliser_SourceData.Fertiliser_Products_Data3(), FertiliserProducts[[#Headers],[Company]],61)</f>
        <v/>
      </c>
      <c r="G160" s="62" t="str" cm="1">
        <f t="array" ref="G160">Common_InputFunctions.Utility_DisplayArrayInTable(Fertiliser_SourceData.Fertiliser_Products_Data3(), FertiliserProducts[[#Headers],[Company]],61)</f>
        <v/>
      </c>
      <c r="H160" s="62" t="str" cm="1">
        <f t="array" ref="H160">Common_InputFunctions.Utility_DisplayArrayInTable(Fertiliser_SourceData.Fertiliser_Products_Data3(), FertiliserProducts[[#Headers],[Company]],61)</f>
        <v/>
      </c>
      <c r="I160" s="62" t="str" cm="1">
        <f t="array" ref="I160">Common_InputFunctions.Utility_DisplayArrayInTable(Fertiliser_SourceData.Fertiliser_Products_Data3(), FertiliserProducts[[#Headers],[Company]],61)</f>
        <v/>
      </c>
      <c r="J160" s="62" t="str" cm="1">
        <f t="array" ref="J160">Common_InputFunctions.Utility_DisplayArrayInTable(Fertiliser_SourceData.Fertiliser_Products_Data3(), FertiliserProducts[[#Headers],[Company]],61)</f>
        <v/>
      </c>
      <c r="K160" s="62" t="str" cm="1">
        <f t="array" ref="K160">Common_InputFunctions.Utility_DisplayArrayInTable(Fertiliser_SourceData.Fertiliser_Products_Data3(), FertiliserProducts[[#Headers],[Company]],61)</f>
        <v/>
      </c>
      <c r="L160" s="62" t="str" cm="1">
        <f t="array" ref="L160">Common_InputFunctions.Utility_DisplayArrayInTable(Fertiliser_SourceData.Fertiliser_Products_Data3(), FertiliserProducts[[#Headers],[Company]],61)</f>
        <v/>
      </c>
      <c r="M160" s="62" t="str" cm="1">
        <f t="array" ref="M160">Common_InputFunctions.Utility_DisplayArrayInTable(Fertiliser_SourceData.Fertiliser_Products_Data3(), FertiliserProducts[[#Headers],[Company]],61)</f>
        <v/>
      </c>
      <c r="N160" s="62" t="str" cm="1">
        <f t="array" ref="N160">Common_InputFunctions.Utility_DisplayArrayInTable(Fertiliser_SourceData.Fertiliser_Products_Data3(), FertiliserProducts[[#Headers],[Company]],61)</f>
        <v/>
      </c>
      <c r="O160" s="62" t="str" cm="1">
        <f t="array" ref="O160">Common_InputFunctions.Utility_DisplayArrayInTable(Fertiliser_SourceData.Fertiliser_Products_Data3(), FertiliserProducts[[#Headers],[Company]],61)</f>
        <v/>
      </c>
      <c r="P160" s="62" t="str" cm="1">
        <f t="array" ref="P160">Common_InputFunctions.Utility_DisplayArrayInTable(Fertiliser_SourceData.Fertiliser_Products_Data3(), FertiliserProducts[[#Headers],[Company]],61)</f>
        <v/>
      </c>
      <c r="Q160" s="62" t="str" cm="1">
        <f t="array" ref="Q160">Common_InputFunctions.Utility_DisplayArrayInTable(Fertiliser_SourceData.Fertiliser_Products_Data3(), FertiliserProducts[[#Headers],[Company]],61)</f>
        <v/>
      </c>
      <c r="R160" s="62" t="str" cm="1">
        <f t="array" ref="R160">Common_InputFunctions.Utility_DisplayArrayInTable(Fertiliser_SourceData.Fertiliser_Products_Data3(), FertiliserProducts[[#Headers],[Company]],61)</f>
        <v/>
      </c>
      <c r="S160" s="62" t="str" cm="1">
        <f t="array" ref="S160">Common_InputFunctions.Utility_DisplayArrayInTable(Fertiliser_SourceData.Fertiliser_Products_Data3(), FertiliserProducts[[#Headers],[Company]],61)</f>
        <v/>
      </c>
      <c r="T160" s="62" t="str" cm="1">
        <f t="array" ref="T160">Common_InputFunctions.Utility_DisplayArrayInTable(Fertiliser_SourceData.Fertiliser_Products_Data3(), FertiliserProducts[[#Headers],[Company]],61)</f>
        <v/>
      </c>
      <c r="U160" s="62" t="str" cm="1">
        <f t="array" ref="U160">Common_InputFunctions.Utility_DisplayArrayInTable(Fertiliser_SourceData.Fertiliser_Products_Data3(), FertiliserProducts[[#Headers],[Company]],61)</f>
        <v/>
      </c>
      <c r="V160" s="62" t="str" cm="1">
        <f t="array" ref="V160">Common_InputFunctions.Utility_DisplayArrayInTable(Fertiliser_SourceData.Fertiliser_Products_Data3(), FertiliserProducts[[#Headers],[Company]],61)</f>
        <v/>
      </c>
      <c r="W160" s="62" t="str" cm="1">
        <f t="array" ref="W160">Common_InputFunctions.Utility_DisplayArrayInTable(Fertiliser_SourceData.Fertiliser_Products_Data3(), FertiliserProducts[[#Headers],[Company]],61)</f>
        <v>Crop Nutrition Solutions (Yara Australia)</v>
      </c>
      <c r="X160" s="62" t="str" cm="1">
        <f t="array" ref="X160">Common_InputFunctions.Utility_DisplayArrayInTable(Fertiliser_SourceData.Fertiliser_Products_Data3(), FertiliserProducts[[#Headers],[Company]],61)</f>
        <v/>
      </c>
      <c r="Y160" s="62" t="str" cm="1">
        <f t="array" ref="Y160">Common_InputFunctions.Utility_DisplayArrayInTable(Fertiliser_SourceData.Fertiliser_Products_Data3(), FertiliserProducts[[#Headers],[Company]],61)</f>
        <v/>
      </c>
      <c r="Z160" s="62" t="str" cm="1">
        <f t="array" ref="Z160">Common_InputFunctions.Utility_DisplayArrayInTable(Fertiliser_SourceData.Fertiliser_Products_Data3(), FertiliserProducts[[#Headers],[Company]],61)</f>
        <v/>
      </c>
      <c r="AA160" s="62" t="str" cm="1">
        <f t="array" ref="AA160">Common_InputFunctions.Utility_DisplayArrayInTable(Fertiliser_SourceData.Fertiliser_Products_Data3(), FertiliserProducts[[#Headers],[Company]],61)</f>
        <v/>
      </c>
      <c r="AB160" s="62" t="str" cm="1">
        <f t="array" ref="AB160">Common_InputFunctions.Utility_DisplayArrayInTable(Fertiliser_SourceData.Fertiliser_Products_Data3(), FertiliserProducts[[#Headers],[Company]],61)</f>
        <v/>
      </c>
      <c r="AC160" s="62" t="str" cm="1">
        <f t="array" ref="AC160">Common_InputFunctions.Utility_DisplayArrayInTable(Fertiliser_SourceData.Fertiliser_Products_Data3(), FertiliserProducts[[#Headers],[Company]],61)</f>
        <v/>
      </c>
      <c r="AD160" s="62" t="str" cm="1">
        <f t="array" ref="AD160">Common_InputFunctions.Utility_DisplayArrayInTable(Fertiliser_SourceData.Fertiliser_Products_Data3(), FertiliserProducts[[#Headers],[Company]],61)</f>
        <v/>
      </c>
      <c r="AE160" s="62" t="str" cm="1">
        <f t="array" ref="AE160">Common_InputFunctions.Utility_DisplayArrayInTable(Fertiliser_SourceData.Fertiliser_Products_Data3(), FertiliserProducts[[#Headers],[Company]],61)</f>
        <v/>
      </c>
      <c r="AF160" s="62" t="str" cm="1">
        <f t="array" ref="AF160">Common_InputFunctions.Utility_DisplayArrayInTable(Fertiliser_SourceData.Fertiliser_Products_Data3(), FertiliserProducts[[#Headers],[Company]],61)</f>
        <v/>
      </c>
      <c r="AG160" s="62" t="str" cm="1">
        <f t="array" ref="AG160">Common_InputFunctions.Utility_DisplayArrayInTable(Fertiliser_SourceData.Fertiliser_Products_Data3(), FertiliserProducts[[#Headers],[Company]],61)</f>
        <v/>
      </c>
      <c r="AH160" s="62" t="str" cm="1">
        <f t="array" ref="AH160">Common_InputFunctions.Utility_DisplayArrayInTable(Fertiliser_SourceData.Fertiliser_Products_Data3(), FertiliserProducts[[#Headers],[Company]],61)</f>
        <v/>
      </c>
      <c r="AK160" s="8"/>
    </row>
    <row r="161" spans="4:37" ht="20.100000000000001" customHeight="1" x14ac:dyDescent="0.25">
      <c r="D161" s="62" t="str" cm="1">
        <f t="array" ref="D161">Common_InputFunctions.Utility_DisplayArrayInTable(Fertiliser_SourceData.Fertiliser_Products_Data3(), FertiliserProducts[[#Headers],[Company]],61)</f>
        <v>Yara Liquids N-CAL 15+18Ca</v>
      </c>
      <c r="E161" s="62" t="str" cm="1">
        <f t="array" ref="E161">Common_InputFunctions.Utility_DisplayArrayInTable(Fertiliser_SourceData.Fertiliser_Products_Data3(), FertiliserProducts[[#Headers],[Company]],61)</f>
        <v/>
      </c>
      <c r="F161" s="62" t="str" cm="1">
        <f t="array" ref="F161">Common_InputFunctions.Utility_DisplayArrayInTable(Fertiliser_SourceData.Fertiliser_Products_Data3(), FertiliserProducts[[#Headers],[Company]],61)</f>
        <v/>
      </c>
      <c r="G161" s="62" t="str" cm="1">
        <f t="array" ref="G161">Common_InputFunctions.Utility_DisplayArrayInTable(Fertiliser_SourceData.Fertiliser_Products_Data3(), FertiliserProducts[[#Headers],[Company]],61)</f>
        <v/>
      </c>
      <c r="H161" s="62" t="str" cm="1">
        <f t="array" ref="H161">Common_InputFunctions.Utility_DisplayArrayInTable(Fertiliser_SourceData.Fertiliser_Products_Data3(), FertiliserProducts[[#Headers],[Company]],61)</f>
        <v/>
      </c>
      <c r="I161" s="62" t="str" cm="1">
        <f t="array" ref="I161">Common_InputFunctions.Utility_DisplayArrayInTable(Fertiliser_SourceData.Fertiliser_Products_Data3(), FertiliserProducts[[#Headers],[Company]],61)</f>
        <v/>
      </c>
      <c r="J161" s="62" t="str" cm="1">
        <f t="array" ref="J161">Common_InputFunctions.Utility_DisplayArrayInTable(Fertiliser_SourceData.Fertiliser_Products_Data3(), FertiliserProducts[[#Headers],[Company]],61)</f>
        <v/>
      </c>
      <c r="K161" s="62" t="str" cm="1">
        <f t="array" ref="K161">Common_InputFunctions.Utility_DisplayArrayInTable(Fertiliser_SourceData.Fertiliser_Products_Data3(), FertiliserProducts[[#Headers],[Company]],61)</f>
        <v/>
      </c>
      <c r="L161" s="62" t="str" cm="1">
        <f t="array" ref="L161">Common_InputFunctions.Utility_DisplayArrayInTable(Fertiliser_SourceData.Fertiliser_Products_Data3(), FertiliserProducts[[#Headers],[Company]],61)</f>
        <v/>
      </c>
      <c r="M161" s="62" t="str" cm="1">
        <f t="array" ref="M161">Common_InputFunctions.Utility_DisplayArrayInTable(Fertiliser_SourceData.Fertiliser_Products_Data3(), FertiliserProducts[[#Headers],[Company]],61)</f>
        <v/>
      </c>
      <c r="N161" s="62" t="str" cm="1">
        <f t="array" ref="N161">Common_InputFunctions.Utility_DisplayArrayInTable(Fertiliser_SourceData.Fertiliser_Products_Data3(), FertiliserProducts[[#Headers],[Company]],61)</f>
        <v/>
      </c>
      <c r="O161" s="62" t="str" cm="1">
        <f t="array" ref="O161">Common_InputFunctions.Utility_DisplayArrayInTable(Fertiliser_SourceData.Fertiliser_Products_Data3(), FertiliserProducts[[#Headers],[Company]],61)</f>
        <v/>
      </c>
      <c r="P161" s="62" t="str" cm="1">
        <f t="array" ref="P161">Common_InputFunctions.Utility_DisplayArrayInTable(Fertiliser_SourceData.Fertiliser_Products_Data3(), FertiliserProducts[[#Headers],[Company]],61)</f>
        <v/>
      </c>
      <c r="Q161" s="62" t="str" cm="1">
        <f t="array" ref="Q161">Common_InputFunctions.Utility_DisplayArrayInTable(Fertiliser_SourceData.Fertiliser_Products_Data3(), FertiliserProducts[[#Headers],[Company]],61)</f>
        <v/>
      </c>
      <c r="R161" s="62" t="str" cm="1">
        <f t="array" ref="R161">Common_InputFunctions.Utility_DisplayArrayInTable(Fertiliser_SourceData.Fertiliser_Products_Data3(), FertiliserProducts[[#Headers],[Company]],61)</f>
        <v/>
      </c>
      <c r="S161" s="62" t="str" cm="1">
        <f t="array" ref="S161">Common_InputFunctions.Utility_DisplayArrayInTable(Fertiliser_SourceData.Fertiliser_Products_Data3(), FertiliserProducts[[#Headers],[Company]],61)</f>
        <v/>
      </c>
      <c r="T161" s="62" t="str" cm="1">
        <f t="array" ref="T161">Common_InputFunctions.Utility_DisplayArrayInTable(Fertiliser_SourceData.Fertiliser_Products_Data3(), FertiliserProducts[[#Headers],[Company]],61)</f>
        <v/>
      </c>
      <c r="U161" s="62" t="str" cm="1">
        <f t="array" ref="U161">Common_InputFunctions.Utility_DisplayArrayInTable(Fertiliser_SourceData.Fertiliser_Products_Data3(), FertiliserProducts[[#Headers],[Company]],61)</f>
        <v/>
      </c>
      <c r="V161" s="62" t="str" cm="1">
        <f t="array" ref="V161">Common_InputFunctions.Utility_DisplayArrayInTable(Fertiliser_SourceData.Fertiliser_Products_Data3(), FertiliserProducts[[#Headers],[Company]],61)</f>
        <v/>
      </c>
      <c r="W161" s="62" t="str" cm="1">
        <f t="array" ref="W161">Common_InputFunctions.Utility_DisplayArrayInTable(Fertiliser_SourceData.Fertiliser_Products_Data3(), FertiliserProducts[[#Headers],[Company]],61)</f>
        <v>Crop Nutrition Solutions (Yara Australia)</v>
      </c>
      <c r="X161" s="62" t="str" cm="1">
        <f t="array" ref="X161">Common_InputFunctions.Utility_DisplayArrayInTable(Fertiliser_SourceData.Fertiliser_Products_Data3(), FertiliserProducts[[#Headers],[Company]],61)</f>
        <v/>
      </c>
      <c r="Y161" s="62" t="str" cm="1">
        <f t="array" ref="Y161">Common_InputFunctions.Utility_DisplayArrayInTable(Fertiliser_SourceData.Fertiliser_Products_Data3(), FertiliserProducts[[#Headers],[Company]],61)</f>
        <v/>
      </c>
      <c r="Z161" s="62" t="str" cm="1">
        <f t="array" ref="Z161">Common_InputFunctions.Utility_DisplayArrayInTable(Fertiliser_SourceData.Fertiliser_Products_Data3(), FertiliserProducts[[#Headers],[Company]],61)</f>
        <v/>
      </c>
      <c r="AA161" s="62" t="str" cm="1">
        <f t="array" ref="AA161">Common_InputFunctions.Utility_DisplayArrayInTable(Fertiliser_SourceData.Fertiliser_Products_Data3(), FertiliserProducts[[#Headers],[Company]],61)</f>
        <v/>
      </c>
      <c r="AB161" s="62" t="str" cm="1">
        <f t="array" ref="AB161">Common_InputFunctions.Utility_DisplayArrayInTable(Fertiliser_SourceData.Fertiliser_Products_Data3(), FertiliserProducts[[#Headers],[Company]],61)</f>
        <v/>
      </c>
      <c r="AC161" s="62" t="str" cm="1">
        <f t="array" ref="AC161">Common_InputFunctions.Utility_DisplayArrayInTable(Fertiliser_SourceData.Fertiliser_Products_Data3(), FertiliserProducts[[#Headers],[Company]],61)</f>
        <v/>
      </c>
      <c r="AD161" s="62" t="str" cm="1">
        <f t="array" ref="AD161">Common_InputFunctions.Utility_DisplayArrayInTable(Fertiliser_SourceData.Fertiliser_Products_Data3(), FertiliserProducts[[#Headers],[Company]],61)</f>
        <v/>
      </c>
      <c r="AE161" s="62" t="str" cm="1">
        <f t="array" ref="AE161">Common_InputFunctions.Utility_DisplayArrayInTable(Fertiliser_SourceData.Fertiliser_Products_Data3(), FertiliserProducts[[#Headers],[Company]],61)</f>
        <v/>
      </c>
      <c r="AF161" s="62" t="str" cm="1">
        <f t="array" ref="AF161">Common_InputFunctions.Utility_DisplayArrayInTable(Fertiliser_SourceData.Fertiliser_Products_Data3(), FertiliserProducts[[#Headers],[Company]],61)</f>
        <v/>
      </c>
      <c r="AG161" s="62" t="str" cm="1">
        <f t="array" ref="AG161">Common_InputFunctions.Utility_DisplayArrayInTable(Fertiliser_SourceData.Fertiliser_Products_Data3(), FertiliserProducts[[#Headers],[Company]],61)</f>
        <v/>
      </c>
      <c r="AH161" s="62" t="str" cm="1">
        <f t="array" ref="AH161">Common_InputFunctions.Utility_DisplayArrayInTable(Fertiliser_SourceData.Fertiliser_Products_Data3(), FertiliserProducts[[#Headers],[Company]],61)</f>
        <v/>
      </c>
      <c r="AK161" s="8"/>
    </row>
    <row r="162" spans="4:37" ht="20.100000000000001" customHeight="1" x14ac:dyDescent="0.25">
      <c r="D162" s="62" t="str" cm="1">
        <f t="array" ref="D162">Common_InputFunctions.Utility_DisplayArrayInTable(Fertiliser_SourceData.Fertiliser_Products_Data3(), FertiliserProducts[[#Headers],[Company]],61)</f>
        <v>Yara Liquids N-CAL 20+10Ca+B</v>
      </c>
      <c r="E162" s="62" t="str" cm="1">
        <f t="array" ref="E162">Common_InputFunctions.Utility_DisplayArrayInTable(Fertiliser_SourceData.Fertiliser_Products_Data3(), FertiliserProducts[[#Headers],[Company]],61)</f>
        <v/>
      </c>
      <c r="F162" s="62" t="str" cm="1">
        <f t="array" ref="F162">Common_InputFunctions.Utility_DisplayArrayInTable(Fertiliser_SourceData.Fertiliser_Products_Data3(), FertiliserProducts[[#Headers],[Company]],61)</f>
        <v/>
      </c>
      <c r="G162" s="62" t="str" cm="1">
        <f t="array" ref="G162">Common_InputFunctions.Utility_DisplayArrayInTable(Fertiliser_SourceData.Fertiliser_Products_Data3(), FertiliserProducts[[#Headers],[Company]],61)</f>
        <v/>
      </c>
      <c r="H162" s="62" t="str" cm="1">
        <f t="array" ref="H162">Common_InputFunctions.Utility_DisplayArrayInTable(Fertiliser_SourceData.Fertiliser_Products_Data3(), FertiliserProducts[[#Headers],[Company]],61)</f>
        <v/>
      </c>
      <c r="I162" s="62" t="str" cm="1">
        <f t="array" ref="I162">Common_InputFunctions.Utility_DisplayArrayInTable(Fertiliser_SourceData.Fertiliser_Products_Data3(), FertiliserProducts[[#Headers],[Company]],61)</f>
        <v/>
      </c>
      <c r="J162" s="62" t="str" cm="1">
        <f t="array" ref="J162">Common_InputFunctions.Utility_DisplayArrayInTable(Fertiliser_SourceData.Fertiliser_Products_Data3(), FertiliserProducts[[#Headers],[Company]],61)</f>
        <v/>
      </c>
      <c r="K162" s="62" t="str" cm="1">
        <f t="array" ref="K162">Common_InputFunctions.Utility_DisplayArrayInTable(Fertiliser_SourceData.Fertiliser_Products_Data3(), FertiliserProducts[[#Headers],[Company]],61)</f>
        <v/>
      </c>
      <c r="L162" s="62" t="str" cm="1">
        <f t="array" ref="L162">Common_InputFunctions.Utility_DisplayArrayInTable(Fertiliser_SourceData.Fertiliser_Products_Data3(), FertiliserProducts[[#Headers],[Company]],61)</f>
        <v/>
      </c>
      <c r="M162" s="62" t="str" cm="1">
        <f t="array" ref="M162">Common_InputFunctions.Utility_DisplayArrayInTable(Fertiliser_SourceData.Fertiliser_Products_Data3(), FertiliserProducts[[#Headers],[Company]],61)</f>
        <v/>
      </c>
      <c r="N162" s="62" t="str" cm="1">
        <f t="array" ref="N162">Common_InputFunctions.Utility_DisplayArrayInTable(Fertiliser_SourceData.Fertiliser_Products_Data3(), FertiliserProducts[[#Headers],[Company]],61)</f>
        <v/>
      </c>
      <c r="O162" s="62" t="str" cm="1">
        <f t="array" ref="O162">Common_InputFunctions.Utility_DisplayArrayInTable(Fertiliser_SourceData.Fertiliser_Products_Data3(), FertiliserProducts[[#Headers],[Company]],61)</f>
        <v/>
      </c>
      <c r="P162" s="62" t="str" cm="1">
        <f t="array" ref="P162">Common_InputFunctions.Utility_DisplayArrayInTable(Fertiliser_SourceData.Fertiliser_Products_Data3(), FertiliserProducts[[#Headers],[Company]],61)</f>
        <v/>
      </c>
      <c r="Q162" s="62" t="str" cm="1">
        <f t="array" ref="Q162">Common_InputFunctions.Utility_DisplayArrayInTable(Fertiliser_SourceData.Fertiliser_Products_Data3(), FertiliserProducts[[#Headers],[Company]],61)</f>
        <v/>
      </c>
      <c r="R162" s="62" t="str" cm="1">
        <f t="array" ref="R162">Common_InputFunctions.Utility_DisplayArrayInTable(Fertiliser_SourceData.Fertiliser_Products_Data3(), FertiliserProducts[[#Headers],[Company]],61)</f>
        <v/>
      </c>
      <c r="S162" s="62" t="str" cm="1">
        <f t="array" ref="S162">Common_InputFunctions.Utility_DisplayArrayInTable(Fertiliser_SourceData.Fertiliser_Products_Data3(), FertiliserProducts[[#Headers],[Company]],61)</f>
        <v/>
      </c>
      <c r="T162" s="62" t="str" cm="1">
        <f t="array" ref="T162">Common_InputFunctions.Utility_DisplayArrayInTable(Fertiliser_SourceData.Fertiliser_Products_Data3(), FertiliserProducts[[#Headers],[Company]],61)</f>
        <v/>
      </c>
      <c r="U162" s="62" t="str" cm="1">
        <f t="array" ref="U162">Common_InputFunctions.Utility_DisplayArrayInTable(Fertiliser_SourceData.Fertiliser_Products_Data3(), FertiliserProducts[[#Headers],[Company]],61)</f>
        <v/>
      </c>
      <c r="V162" s="62" t="str" cm="1">
        <f t="array" ref="V162">Common_InputFunctions.Utility_DisplayArrayInTable(Fertiliser_SourceData.Fertiliser_Products_Data3(), FertiliserProducts[[#Headers],[Company]],61)</f>
        <v/>
      </c>
      <c r="W162" s="62" t="str" cm="1">
        <f t="array" ref="W162">Common_InputFunctions.Utility_DisplayArrayInTable(Fertiliser_SourceData.Fertiliser_Products_Data3(), FertiliserProducts[[#Headers],[Company]],61)</f>
        <v>Crop Nutrition Solutions (Yara Australia)</v>
      </c>
      <c r="X162" s="62" t="str" cm="1">
        <f t="array" ref="X162">Common_InputFunctions.Utility_DisplayArrayInTable(Fertiliser_SourceData.Fertiliser_Products_Data3(), FertiliserProducts[[#Headers],[Company]],61)</f>
        <v/>
      </c>
      <c r="Y162" s="62" t="str" cm="1">
        <f t="array" ref="Y162">Common_InputFunctions.Utility_DisplayArrayInTable(Fertiliser_SourceData.Fertiliser_Products_Data3(), FertiliserProducts[[#Headers],[Company]],61)</f>
        <v/>
      </c>
      <c r="Z162" s="62" t="str" cm="1">
        <f t="array" ref="Z162">Common_InputFunctions.Utility_DisplayArrayInTable(Fertiliser_SourceData.Fertiliser_Products_Data3(), FertiliserProducts[[#Headers],[Company]],61)</f>
        <v/>
      </c>
      <c r="AA162" s="62" t="str" cm="1">
        <f t="array" ref="AA162">Common_InputFunctions.Utility_DisplayArrayInTable(Fertiliser_SourceData.Fertiliser_Products_Data3(), FertiliserProducts[[#Headers],[Company]],61)</f>
        <v/>
      </c>
      <c r="AB162" s="62" t="str" cm="1">
        <f t="array" ref="AB162">Common_InputFunctions.Utility_DisplayArrayInTable(Fertiliser_SourceData.Fertiliser_Products_Data3(), FertiliserProducts[[#Headers],[Company]],61)</f>
        <v/>
      </c>
      <c r="AC162" s="62" t="str" cm="1">
        <f t="array" ref="AC162">Common_InputFunctions.Utility_DisplayArrayInTable(Fertiliser_SourceData.Fertiliser_Products_Data3(), FertiliserProducts[[#Headers],[Company]],61)</f>
        <v/>
      </c>
      <c r="AD162" s="62" t="str" cm="1">
        <f t="array" ref="AD162">Common_InputFunctions.Utility_DisplayArrayInTable(Fertiliser_SourceData.Fertiliser_Products_Data3(), FertiliserProducts[[#Headers],[Company]],61)</f>
        <v/>
      </c>
      <c r="AE162" s="62" t="str" cm="1">
        <f t="array" ref="AE162">Common_InputFunctions.Utility_DisplayArrayInTable(Fertiliser_SourceData.Fertiliser_Products_Data3(), FertiliserProducts[[#Headers],[Company]],61)</f>
        <v/>
      </c>
      <c r="AF162" s="62" t="str" cm="1">
        <f t="array" ref="AF162">Common_InputFunctions.Utility_DisplayArrayInTable(Fertiliser_SourceData.Fertiliser_Products_Data3(), FertiliserProducts[[#Headers],[Company]],61)</f>
        <v/>
      </c>
      <c r="AG162" s="62" t="str" cm="1">
        <f t="array" ref="AG162">Common_InputFunctions.Utility_DisplayArrayInTable(Fertiliser_SourceData.Fertiliser_Products_Data3(), FertiliserProducts[[#Headers],[Company]],61)</f>
        <v/>
      </c>
      <c r="AH162" s="62" t="str" cm="1">
        <f t="array" ref="AH162">Common_InputFunctions.Utility_DisplayArrayInTable(Fertiliser_SourceData.Fertiliser_Products_Data3(), FertiliserProducts[[#Headers],[Company]],61)</f>
        <v/>
      </c>
      <c r="AK162" s="8"/>
    </row>
    <row r="163" spans="4:37" ht="20.100000000000001" customHeight="1" x14ac:dyDescent="0.25">
      <c r="D163" s="62" t="str" cm="1">
        <f t="array" ref="D163">Common_InputFunctions.Utility_DisplayArrayInTable(Fertiliser_SourceData.Fertiliser_Products_Data3(), FertiliserProducts[[#Headers],[Company]],61)</f>
        <v>Yara Liquids N-CAL 35+6Ca</v>
      </c>
      <c r="E163" s="62" t="str" cm="1">
        <f t="array" ref="E163">Common_InputFunctions.Utility_DisplayArrayInTable(Fertiliser_SourceData.Fertiliser_Products_Data3(), FertiliserProducts[[#Headers],[Company]],61)</f>
        <v/>
      </c>
      <c r="F163" s="62" t="str" cm="1">
        <f t="array" ref="F163">Common_InputFunctions.Utility_DisplayArrayInTable(Fertiliser_SourceData.Fertiliser_Products_Data3(), FertiliserProducts[[#Headers],[Company]],61)</f>
        <v/>
      </c>
      <c r="G163" s="62" t="str" cm="1">
        <f t="array" ref="G163">Common_InputFunctions.Utility_DisplayArrayInTable(Fertiliser_SourceData.Fertiliser_Products_Data3(), FertiliserProducts[[#Headers],[Company]],61)</f>
        <v/>
      </c>
      <c r="H163" s="62" t="str" cm="1">
        <f t="array" ref="H163">Common_InputFunctions.Utility_DisplayArrayInTable(Fertiliser_SourceData.Fertiliser_Products_Data3(), FertiliserProducts[[#Headers],[Company]],61)</f>
        <v/>
      </c>
      <c r="I163" s="62" t="str" cm="1">
        <f t="array" ref="I163">Common_InputFunctions.Utility_DisplayArrayInTable(Fertiliser_SourceData.Fertiliser_Products_Data3(), FertiliserProducts[[#Headers],[Company]],61)</f>
        <v/>
      </c>
      <c r="J163" s="62" t="str" cm="1">
        <f t="array" ref="J163">Common_InputFunctions.Utility_DisplayArrayInTable(Fertiliser_SourceData.Fertiliser_Products_Data3(), FertiliserProducts[[#Headers],[Company]],61)</f>
        <v/>
      </c>
      <c r="K163" s="62" t="str" cm="1">
        <f t="array" ref="K163">Common_InputFunctions.Utility_DisplayArrayInTable(Fertiliser_SourceData.Fertiliser_Products_Data3(), FertiliserProducts[[#Headers],[Company]],61)</f>
        <v/>
      </c>
      <c r="L163" s="62" t="str" cm="1">
        <f t="array" ref="L163">Common_InputFunctions.Utility_DisplayArrayInTable(Fertiliser_SourceData.Fertiliser_Products_Data3(), FertiliserProducts[[#Headers],[Company]],61)</f>
        <v/>
      </c>
      <c r="M163" s="62" t="str" cm="1">
        <f t="array" ref="M163">Common_InputFunctions.Utility_DisplayArrayInTable(Fertiliser_SourceData.Fertiliser_Products_Data3(), FertiliserProducts[[#Headers],[Company]],61)</f>
        <v/>
      </c>
      <c r="N163" s="62" t="str" cm="1">
        <f t="array" ref="N163">Common_InputFunctions.Utility_DisplayArrayInTable(Fertiliser_SourceData.Fertiliser_Products_Data3(), FertiliserProducts[[#Headers],[Company]],61)</f>
        <v/>
      </c>
      <c r="O163" s="62" t="str" cm="1">
        <f t="array" ref="O163">Common_InputFunctions.Utility_DisplayArrayInTable(Fertiliser_SourceData.Fertiliser_Products_Data3(), FertiliserProducts[[#Headers],[Company]],61)</f>
        <v/>
      </c>
      <c r="P163" s="62" t="str" cm="1">
        <f t="array" ref="P163">Common_InputFunctions.Utility_DisplayArrayInTable(Fertiliser_SourceData.Fertiliser_Products_Data3(), FertiliserProducts[[#Headers],[Company]],61)</f>
        <v/>
      </c>
      <c r="Q163" s="62" t="str" cm="1">
        <f t="array" ref="Q163">Common_InputFunctions.Utility_DisplayArrayInTable(Fertiliser_SourceData.Fertiliser_Products_Data3(), FertiliserProducts[[#Headers],[Company]],61)</f>
        <v/>
      </c>
      <c r="R163" s="62" t="str" cm="1">
        <f t="array" ref="R163">Common_InputFunctions.Utility_DisplayArrayInTable(Fertiliser_SourceData.Fertiliser_Products_Data3(), FertiliserProducts[[#Headers],[Company]],61)</f>
        <v/>
      </c>
      <c r="S163" s="62" t="str" cm="1">
        <f t="array" ref="S163">Common_InputFunctions.Utility_DisplayArrayInTable(Fertiliser_SourceData.Fertiliser_Products_Data3(), FertiliserProducts[[#Headers],[Company]],61)</f>
        <v/>
      </c>
      <c r="T163" s="62" t="str" cm="1">
        <f t="array" ref="T163">Common_InputFunctions.Utility_DisplayArrayInTable(Fertiliser_SourceData.Fertiliser_Products_Data3(), FertiliserProducts[[#Headers],[Company]],61)</f>
        <v/>
      </c>
      <c r="U163" s="62" t="str" cm="1">
        <f t="array" ref="U163">Common_InputFunctions.Utility_DisplayArrayInTable(Fertiliser_SourceData.Fertiliser_Products_Data3(), FertiliserProducts[[#Headers],[Company]],61)</f>
        <v/>
      </c>
      <c r="V163" s="62" t="str" cm="1">
        <f t="array" ref="V163">Common_InputFunctions.Utility_DisplayArrayInTable(Fertiliser_SourceData.Fertiliser_Products_Data3(), FertiliserProducts[[#Headers],[Company]],61)</f>
        <v/>
      </c>
      <c r="W163" s="62" t="str" cm="1">
        <f t="array" ref="W163">Common_InputFunctions.Utility_DisplayArrayInTable(Fertiliser_SourceData.Fertiliser_Products_Data3(), FertiliserProducts[[#Headers],[Company]],61)</f>
        <v>Crop Nutrition Solutions (Yara Australia)</v>
      </c>
      <c r="X163" s="62" t="str" cm="1">
        <f t="array" ref="X163">Common_InputFunctions.Utility_DisplayArrayInTable(Fertiliser_SourceData.Fertiliser_Products_Data3(), FertiliserProducts[[#Headers],[Company]],61)</f>
        <v/>
      </c>
      <c r="Y163" s="62" t="str" cm="1">
        <f t="array" ref="Y163">Common_InputFunctions.Utility_DisplayArrayInTable(Fertiliser_SourceData.Fertiliser_Products_Data3(), FertiliserProducts[[#Headers],[Company]],61)</f>
        <v/>
      </c>
      <c r="Z163" s="62" t="str" cm="1">
        <f t="array" ref="Z163">Common_InputFunctions.Utility_DisplayArrayInTable(Fertiliser_SourceData.Fertiliser_Products_Data3(), FertiliserProducts[[#Headers],[Company]],61)</f>
        <v/>
      </c>
      <c r="AA163" s="62" t="str" cm="1">
        <f t="array" ref="AA163">Common_InputFunctions.Utility_DisplayArrayInTable(Fertiliser_SourceData.Fertiliser_Products_Data3(), FertiliserProducts[[#Headers],[Company]],61)</f>
        <v/>
      </c>
      <c r="AB163" s="62" t="str" cm="1">
        <f t="array" ref="AB163">Common_InputFunctions.Utility_DisplayArrayInTable(Fertiliser_SourceData.Fertiliser_Products_Data3(), FertiliserProducts[[#Headers],[Company]],61)</f>
        <v/>
      </c>
      <c r="AC163" s="62" t="str" cm="1">
        <f t="array" ref="AC163">Common_InputFunctions.Utility_DisplayArrayInTable(Fertiliser_SourceData.Fertiliser_Products_Data3(), FertiliserProducts[[#Headers],[Company]],61)</f>
        <v/>
      </c>
      <c r="AD163" s="62" t="str" cm="1">
        <f t="array" ref="AD163">Common_InputFunctions.Utility_DisplayArrayInTable(Fertiliser_SourceData.Fertiliser_Products_Data3(), FertiliserProducts[[#Headers],[Company]],61)</f>
        <v/>
      </c>
      <c r="AE163" s="62" t="str" cm="1">
        <f t="array" ref="AE163">Common_InputFunctions.Utility_DisplayArrayInTable(Fertiliser_SourceData.Fertiliser_Products_Data3(), FertiliserProducts[[#Headers],[Company]],61)</f>
        <v/>
      </c>
      <c r="AF163" s="62" t="str" cm="1">
        <f t="array" ref="AF163">Common_InputFunctions.Utility_DisplayArrayInTable(Fertiliser_SourceData.Fertiliser_Products_Data3(), FertiliserProducts[[#Headers],[Company]],61)</f>
        <v/>
      </c>
      <c r="AG163" s="62" t="str" cm="1">
        <f t="array" ref="AG163">Common_InputFunctions.Utility_DisplayArrayInTable(Fertiliser_SourceData.Fertiliser_Products_Data3(), FertiliserProducts[[#Headers],[Company]],61)</f>
        <v/>
      </c>
      <c r="AH163" s="62" t="str" cm="1">
        <f t="array" ref="AH163">Common_InputFunctions.Utility_DisplayArrayInTable(Fertiliser_SourceData.Fertiliser_Products_Data3(), FertiliserProducts[[#Headers],[Company]],61)</f>
        <v/>
      </c>
      <c r="AK163" s="8"/>
    </row>
    <row r="164" spans="4:37" ht="20.100000000000001" customHeight="1" x14ac:dyDescent="0.25">
      <c r="D164" s="62" t="str" cm="1">
        <f t="array" ref="D164">Common_InputFunctions.Utility_DisplayArrayInTable(Fertiliser_SourceData.Fertiliser_Products_Data3(), FertiliserProducts[[#Headers],[Company]],61)</f>
        <v>Yara Liquids N-FOL 24</v>
      </c>
      <c r="E164" s="62" t="str" cm="1">
        <f t="array" ref="E164">Common_InputFunctions.Utility_DisplayArrayInTable(Fertiliser_SourceData.Fertiliser_Products_Data3(), FertiliserProducts[[#Headers],[Company]],61)</f>
        <v/>
      </c>
      <c r="F164" s="62" t="str" cm="1">
        <f t="array" ref="F164">Common_InputFunctions.Utility_DisplayArrayInTable(Fertiliser_SourceData.Fertiliser_Products_Data3(), FertiliserProducts[[#Headers],[Company]],61)</f>
        <v/>
      </c>
      <c r="G164" s="62" t="str" cm="1">
        <f t="array" ref="G164">Common_InputFunctions.Utility_DisplayArrayInTable(Fertiliser_SourceData.Fertiliser_Products_Data3(), FertiliserProducts[[#Headers],[Company]],61)</f>
        <v/>
      </c>
      <c r="H164" s="62" t="str" cm="1">
        <f t="array" ref="H164">Common_InputFunctions.Utility_DisplayArrayInTable(Fertiliser_SourceData.Fertiliser_Products_Data3(), FertiliserProducts[[#Headers],[Company]],61)</f>
        <v/>
      </c>
      <c r="I164" s="62" t="str" cm="1">
        <f t="array" ref="I164">Common_InputFunctions.Utility_DisplayArrayInTable(Fertiliser_SourceData.Fertiliser_Products_Data3(), FertiliserProducts[[#Headers],[Company]],61)</f>
        <v/>
      </c>
      <c r="J164" s="62" t="str" cm="1">
        <f t="array" ref="J164">Common_InputFunctions.Utility_DisplayArrayInTable(Fertiliser_SourceData.Fertiliser_Products_Data3(), FertiliserProducts[[#Headers],[Company]],61)</f>
        <v/>
      </c>
      <c r="K164" s="62" t="str" cm="1">
        <f t="array" ref="K164">Common_InputFunctions.Utility_DisplayArrayInTable(Fertiliser_SourceData.Fertiliser_Products_Data3(), FertiliserProducts[[#Headers],[Company]],61)</f>
        <v/>
      </c>
      <c r="L164" s="62" t="str" cm="1">
        <f t="array" ref="L164">Common_InputFunctions.Utility_DisplayArrayInTable(Fertiliser_SourceData.Fertiliser_Products_Data3(), FertiliserProducts[[#Headers],[Company]],61)</f>
        <v/>
      </c>
      <c r="M164" s="62" t="str" cm="1">
        <f t="array" ref="M164">Common_InputFunctions.Utility_DisplayArrayInTable(Fertiliser_SourceData.Fertiliser_Products_Data3(), FertiliserProducts[[#Headers],[Company]],61)</f>
        <v/>
      </c>
      <c r="N164" s="62" t="str" cm="1">
        <f t="array" ref="N164">Common_InputFunctions.Utility_DisplayArrayInTable(Fertiliser_SourceData.Fertiliser_Products_Data3(), FertiliserProducts[[#Headers],[Company]],61)</f>
        <v/>
      </c>
      <c r="O164" s="62" t="str" cm="1">
        <f t="array" ref="O164">Common_InputFunctions.Utility_DisplayArrayInTable(Fertiliser_SourceData.Fertiliser_Products_Data3(), FertiliserProducts[[#Headers],[Company]],61)</f>
        <v/>
      </c>
      <c r="P164" s="62" t="str" cm="1">
        <f t="array" ref="P164">Common_InputFunctions.Utility_DisplayArrayInTable(Fertiliser_SourceData.Fertiliser_Products_Data3(), FertiliserProducts[[#Headers],[Company]],61)</f>
        <v/>
      </c>
      <c r="Q164" s="62" t="str" cm="1">
        <f t="array" ref="Q164">Common_InputFunctions.Utility_DisplayArrayInTable(Fertiliser_SourceData.Fertiliser_Products_Data3(), FertiliserProducts[[#Headers],[Company]],61)</f>
        <v/>
      </c>
      <c r="R164" s="62" t="str" cm="1">
        <f t="array" ref="R164">Common_InputFunctions.Utility_DisplayArrayInTable(Fertiliser_SourceData.Fertiliser_Products_Data3(), FertiliserProducts[[#Headers],[Company]],61)</f>
        <v/>
      </c>
      <c r="S164" s="62" t="str" cm="1">
        <f t="array" ref="S164">Common_InputFunctions.Utility_DisplayArrayInTable(Fertiliser_SourceData.Fertiliser_Products_Data3(), FertiliserProducts[[#Headers],[Company]],61)</f>
        <v/>
      </c>
      <c r="T164" s="62" t="str" cm="1">
        <f t="array" ref="T164">Common_InputFunctions.Utility_DisplayArrayInTable(Fertiliser_SourceData.Fertiliser_Products_Data3(), FertiliserProducts[[#Headers],[Company]],61)</f>
        <v/>
      </c>
      <c r="U164" s="62" t="str" cm="1">
        <f t="array" ref="U164">Common_InputFunctions.Utility_DisplayArrayInTable(Fertiliser_SourceData.Fertiliser_Products_Data3(), FertiliserProducts[[#Headers],[Company]],61)</f>
        <v/>
      </c>
      <c r="V164" s="62" t="str" cm="1">
        <f t="array" ref="V164">Common_InputFunctions.Utility_DisplayArrayInTable(Fertiliser_SourceData.Fertiliser_Products_Data3(), FertiliserProducts[[#Headers],[Company]],61)</f>
        <v/>
      </c>
      <c r="W164" s="62" t="str" cm="1">
        <f t="array" ref="W164">Common_InputFunctions.Utility_DisplayArrayInTable(Fertiliser_SourceData.Fertiliser_Products_Data3(), FertiliserProducts[[#Headers],[Company]],61)</f>
        <v>Crop Nutrition Solutions (Yara Australia)</v>
      </c>
      <c r="X164" s="62" t="str" cm="1">
        <f t="array" ref="X164">Common_InputFunctions.Utility_DisplayArrayInTable(Fertiliser_SourceData.Fertiliser_Products_Data3(), FertiliserProducts[[#Headers],[Company]],61)</f>
        <v/>
      </c>
      <c r="Y164" s="62" t="str" cm="1">
        <f t="array" ref="Y164">Common_InputFunctions.Utility_DisplayArrayInTable(Fertiliser_SourceData.Fertiliser_Products_Data3(), FertiliserProducts[[#Headers],[Company]],61)</f>
        <v/>
      </c>
      <c r="Z164" s="62" t="str" cm="1">
        <f t="array" ref="Z164">Common_InputFunctions.Utility_DisplayArrayInTable(Fertiliser_SourceData.Fertiliser_Products_Data3(), FertiliserProducts[[#Headers],[Company]],61)</f>
        <v/>
      </c>
      <c r="AA164" s="62" t="str" cm="1">
        <f t="array" ref="AA164">Common_InputFunctions.Utility_DisplayArrayInTable(Fertiliser_SourceData.Fertiliser_Products_Data3(), FertiliserProducts[[#Headers],[Company]],61)</f>
        <v/>
      </c>
      <c r="AB164" s="62" t="str" cm="1">
        <f t="array" ref="AB164">Common_InputFunctions.Utility_DisplayArrayInTable(Fertiliser_SourceData.Fertiliser_Products_Data3(), FertiliserProducts[[#Headers],[Company]],61)</f>
        <v/>
      </c>
      <c r="AC164" s="62" t="str" cm="1">
        <f t="array" ref="AC164">Common_InputFunctions.Utility_DisplayArrayInTable(Fertiliser_SourceData.Fertiliser_Products_Data3(), FertiliserProducts[[#Headers],[Company]],61)</f>
        <v/>
      </c>
      <c r="AD164" s="62" t="str" cm="1">
        <f t="array" ref="AD164">Common_InputFunctions.Utility_DisplayArrayInTable(Fertiliser_SourceData.Fertiliser_Products_Data3(), FertiliserProducts[[#Headers],[Company]],61)</f>
        <v/>
      </c>
      <c r="AE164" s="62" t="str" cm="1">
        <f t="array" ref="AE164">Common_InputFunctions.Utility_DisplayArrayInTable(Fertiliser_SourceData.Fertiliser_Products_Data3(), FertiliserProducts[[#Headers],[Company]],61)</f>
        <v/>
      </c>
      <c r="AF164" s="62" t="str" cm="1">
        <f t="array" ref="AF164">Common_InputFunctions.Utility_DisplayArrayInTable(Fertiliser_SourceData.Fertiliser_Products_Data3(), FertiliserProducts[[#Headers],[Company]],61)</f>
        <v/>
      </c>
      <c r="AG164" s="62" t="str" cm="1">
        <f t="array" ref="AG164">Common_InputFunctions.Utility_DisplayArrayInTable(Fertiliser_SourceData.Fertiliser_Products_Data3(), FertiliserProducts[[#Headers],[Company]],61)</f>
        <v/>
      </c>
      <c r="AH164" s="62" t="str" cm="1">
        <f t="array" ref="AH164">Common_InputFunctions.Utility_DisplayArrayInTable(Fertiliser_SourceData.Fertiliser_Products_Data3(), FertiliserProducts[[#Headers],[Company]],61)</f>
        <v/>
      </c>
      <c r="AK164" s="8"/>
    </row>
    <row r="165" spans="4:37" ht="20.100000000000001" customHeight="1" x14ac:dyDescent="0.25">
      <c r="D165" s="62" t="str" cm="1">
        <f t="array" ref="D165">Common_InputFunctions.Utility_DisplayArrayInTable(Fertiliser_SourceData.Fertiliser_Products_Data3(), FertiliserProducts[[#Headers],[Company]],61)</f>
        <v>Yara Liquids N-FOL 24+TE</v>
      </c>
      <c r="E165" s="62" t="str" cm="1">
        <f t="array" ref="E165">Common_InputFunctions.Utility_DisplayArrayInTable(Fertiliser_SourceData.Fertiliser_Products_Data3(), FertiliserProducts[[#Headers],[Company]],61)</f>
        <v/>
      </c>
      <c r="F165" s="62" t="str" cm="1">
        <f t="array" ref="F165">Common_InputFunctions.Utility_DisplayArrayInTable(Fertiliser_SourceData.Fertiliser_Products_Data3(), FertiliserProducts[[#Headers],[Company]],61)</f>
        <v/>
      </c>
      <c r="G165" s="62" t="str" cm="1">
        <f t="array" ref="G165">Common_InputFunctions.Utility_DisplayArrayInTable(Fertiliser_SourceData.Fertiliser_Products_Data3(), FertiliserProducts[[#Headers],[Company]],61)</f>
        <v/>
      </c>
      <c r="H165" s="62" t="str" cm="1">
        <f t="array" ref="H165">Common_InputFunctions.Utility_DisplayArrayInTable(Fertiliser_SourceData.Fertiliser_Products_Data3(), FertiliserProducts[[#Headers],[Company]],61)</f>
        <v/>
      </c>
      <c r="I165" s="62" t="str" cm="1">
        <f t="array" ref="I165">Common_InputFunctions.Utility_DisplayArrayInTable(Fertiliser_SourceData.Fertiliser_Products_Data3(), FertiliserProducts[[#Headers],[Company]],61)</f>
        <v/>
      </c>
      <c r="J165" s="62" t="str" cm="1">
        <f t="array" ref="J165">Common_InputFunctions.Utility_DisplayArrayInTable(Fertiliser_SourceData.Fertiliser_Products_Data3(), FertiliserProducts[[#Headers],[Company]],61)</f>
        <v/>
      </c>
      <c r="K165" s="62" t="str" cm="1">
        <f t="array" ref="K165">Common_InputFunctions.Utility_DisplayArrayInTable(Fertiliser_SourceData.Fertiliser_Products_Data3(), FertiliserProducts[[#Headers],[Company]],61)</f>
        <v/>
      </c>
      <c r="L165" s="62" t="str" cm="1">
        <f t="array" ref="L165">Common_InputFunctions.Utility_DisplayArrayInTable(Fertiliser_SourceData.Fertiliser_Products_Data3(), FertiliserProducts[[#Headers],[Company]],61)</f>
        <v/>
      </c>
      <c r="M165" s="62" t="str" cm="1">
        <f t="array" ref="M165">Common_InputFunctions.Utility_DisplayArrayInTable(Fertiliser_SourceData.Fertiliser_Products_Data3(), FertiliserProducts[[#Headers],[Company]],61)</f>
        <v/>
      </c>
      <c r="N165" s="62" t="str" cm="1">
        <f t="array" ref="N165">Common_InputFunctions.Utility_DisplayArrayInTable(Fertiliser_SourceData.Fertiliser_Products_Data3(), FertiliserProducts[[#Headers],[Company]],61)</f>
        <v/>
      </c>
      <c r="O165" s="62" t="str" cm="1">
        <f t="array" ref="O165">Common_InputFunctions.Utility_DisplayArrayInTable(Fertiliser_SourceData.Fertiliser_Products_Data3(), FertiliserProducts[[#Headers],[Company]],61)</f>
        <v/>
      </c>
      <c r="P165" s="62" t="str" cm="1">
        <f t="array" ref="P165">Common_InputFunctions.Utility_DisplayArrayInTable(Fertiliser_SourceData.Fertiliser_Products_Data3(), FertiliserProducts[[#Headers],[Company]],61)</f>
        <v/>
      </c>
      <c r="Q165" s="62" t="str" cm="1">
        <f t="array" ref="Q165">Common_InputFunctions.Utility_DisplayArrayInTable(Fertiliser_SourceData.Fertiliser_Products_Data3(), FertiliserProducts[[#Headers],[Company]],61)</f>
        <v/>
      </c>
      <c r="R165" s="62" t="str" cm="1">
        <f t="array" ref="R165">Common_InputFunctions.Utility_DisplayArrayInTable(Fertiliser_SourceData.Fertiliser_Products_Data3(), FertiliserProducts[[#Headers],[Company]],61)</f>
        <v/>
      </c>
      <c r="S165" s="62" t="str" cm="1">
        <f t="array" ref="S165">Common_InputFunctions.Utility_DisplayArrayInTable(Fertiliser_SourceData.Fertiliser_Products_Data3(), FertiliserProducts[[#Headers],[Company]],61)</f>
        <v/>
      </c>
      <c r="T165" s="62" t="str" cm="1">
        <f t="array" ref="T165">Common_InputFunctions.Utility_DisplayArrayInTable(Fertiliser_SourceData.Fertiliser_Products_Data3(), FertiliserProducts[[#Headers],[Company]],61)</f>
        <v/>
      </c>
      <c r="U165" s="62" t="str" cm="1">
        <f t="array" ref="U165">Common_InputFunctions.Utility_DisplayArrayInTable(Fertiliser_SourceData.Fertiliser_Products_Data3(), FertiliserProducts[[#Headers],[Company]],61)</f>
        <v/>
      </c>
      <c r="V165" s="62" t="str" cm="1">
        <f t="array" ref="V165">Common_InputFunctions.Utility_DisplayArrayInTable(Fertiliser_SourceData.Fertiliser_Products_Data3(), FertiliserProducts[[#Headers],[Company]],61)</f>
        <v/>
      </c>
      <c r="W165" s="62" t="str" cm="1">
        <f t="array" ref="W165">Common_InputFunctions.Utility_DisplayArrayInTable(Fertiliser_SourceData.Fertiliser_Products_Data3(), FertiliserProducts[[#Headers],[Company]],61)</f>
        <v>Crop Nutrition Solutions (Yara Australia)</v>
      </c>
      <c r="X165" s="62" t="str" cm="1">
        <f t="array" ref="X165">Common_InputFunctions.Utility_DisplayArrayInTable(Fertiliser_SourceData.Fertiliser_Products_Data3(), FertiliserProducts[[#Headers],[Company]],61)</f>
        <v/>
      </c>
      <c r="Y165" s="62" t="str" cm="1">
        <f t="array" ref="Y165">Common_InputFunctions.Utility_DisplayArrayInTable(Fertiliser_SourceData.Fertiliser_Products_Data3(), FertiliserProducts[[#Headers],[Company]],61)</f>
        <v/>
      </c>
      <c r="Z165" s="62" t="str" cm="1">
        <f t="array" ref="Z165">Common_InputFunctions.Utility_DisplayArrayInTable(Fertiliser_SourceData.Fertiliser_Products_Data3(), FertiliserProducts[[#Headers],[Company]],61)</f>
        <v/>
      </c>
      <c r="AA165" s="62" t="str" cm="1">
        <f t="array" ref="AA165">Common_InputFunctions.Utility_DisplayArrayInTable(Fertiliser_SourceData.Fertiliser_Products_Data3(), FertiliserProducts[[#Headers],[Company]],61)</f>
        <v/>
      </c>
      <c r="AB165" s="62" t="str" cm="1">
        <f t="array" ref="AB165">Common_InputFunctions.Utility_DisplayArrayInTable(Fertiliser_SourceData.Fertiliser_Products_Data3(), FertiliserProducts[[#Headers],[Company]],61)</f>
        <v/>
      </c>
      <c r="AC165" s="62" t="str" cm="1">
        <f t="array" ref="AC165">Common_InputFunctions.Utility_DisplayArrayInTable(Fertiliser_SourceData.Fertiliser_Products_Data3(), FertiliserProducts[[#Headers],[Company]],61)</f>
        <v/>
      </c>
      <c r="AD165" s="62" t="str" cm="1">
        <f t="array" ref="AD165">Common_InputFunctions.Utility_DisplayArrayInTable(Fertiliser_SourceData.Fertiliser_Products_Data3(), FertiliserProducts[[#Headers],[Company]],61)</f>
        <v/>
      </c>
      <c r="AE165" s="62" t="str" cm="1">
        <f t="array" ref="AE165">Common_InputFunctions.Utility_DisplayArrayInTable(Fertiliser_SourceData.Fertiliser_Products_Data3(), FertiliserProducts[[#Headers],[Company]],61)</f>
        <v/>
      </c>
      <c r="AF165" s="62" t="str" cm="1">
        <f t="array" ref="AF165">Common_InputFunctions.Utility_DisplayArrayInTable(Fertiliser_SourceData.Fertiliser_Products_Data3(), FertiliserProducts[[#Headers],[Company]],61)</f>
        <v/>
      </c>
      <c r="AG165" s="62" t="str" cm="1">
        <f t="array" ref="AG165">Common_InputFunctions.Utility_DisplayArrayInTable(Fertiliser_SourceData.Fertiliser_Products_Data3(), FertiliserProducts[[#Headers],[Company]],61)</f>
        <v/>
      </c>
      <c r="AH165" s="62" t="str" cm="1">
        <f t="array" ref="AH165">Common_InputFunctions.Utility_DisplayArrayInTable(Fertiliser_SourceData.Fertiliser_Products_Data3(), FertiliserProducts[[#Headers],[Company]],61)</f>
        <v/>
      </c>
      <c r="AK165" s="8"/>
    </row>
    <row r="166" spans="4:37" x14ac:dyDescent="0.25">
      <c r="D166" s="62" t="str" cm="1">
        <f t="array" ref="D166">Common_InputFunctions.Utility_DisplayArrayInTable(Fertiliser_SourceData.Fertiliser_Products_Data3(), FertiliserProducts[[#Headers],[Company]],61)</f>
        <v>Yara Liquids P-FOL Zinc</v>
      </c>
      <c r="E166" s="62" t="str" cm="1">
        <f t="array" ref="E166">Common_InputFunctions.Utility_DisplayArrayInTable(Fertiliser_SourceData.Fertiliser_Products_Data3(), FertiliserProducts[[#Headers],[Company]],61)</f>
        <v/>
      </c>
      <c r="F166" s="62" t="str" cm="1">
        <f t="array" ref="F166">Common_InputFunctions.Utility_DisplayArrayInTable(Fertiliser_SourceData.Fertiliser_Products_Data3(), FertiliserProducts[[#Headers],[Company]],61)</f>
        <v/>
      </c>
      <c r="G166" s="62" t="str" cm="1">
        <f t="array" ref="G166">Common_InputFunctions.Utility_DisplayArrayInTable(Fertiliser_SourceData.Fertiliser_Products_Data3(), FertiliserProducts[[#Headers],[Company]],61)</f>
        <v/>
      </c>
      <c r="H166" s="62" t="str" cm="1">
        <f t="array" ref="H166">Common_InputFunctions.Utility_DisplayArrayInTable(Fertiliser_SourceData.Fertiliser_Products_Data3(), FertiliserProducts[[#Headers],[Company]],61)</f>
        <v/>
      </c>
      <c r="I166" s="62" t="str" cm="1">
        <f t="array" ref="I166">Common_InputFunctions.Utility_DisplayArrayInTable(Fertiliser_SourceData.Fertiliser_Products_Data3(), FertiliserProducts[[#Headers],[Company]],61)</f>
        <v/>
      </c>
      <c r="J166" s="62" t="str" cm="1">
        <f t="array" ref="J166">Common_InputFunctions.Utility_DisplayArrayInTable(Fertiliser_SourceData.Fertiliser_Products_Data3(), FertiliserProducts[[#Headers],[Company]],61)</f>
        <v/>
      </c>
      <c r="K166" s="62" t="str" cm="1">
        <f t="array" ref="K166">Common_InputFunctions.Utility_DisplayArrayInTable(Fertiliser_SourceData.Fertiliser_Products_Data3(), FertiliserProducts[[#Headers],[Company]],61)</f>
        <v/>
      </c>
      <c r="L166" s="62" t="str" cm="1">
        <f t="array" ref="L166">Common_InputFunctions.Utility_DisplayArrayInTable(Fertiliser_SourceData.Fertiliser_Products_Data3(), FertiliserProducts[[#Headers],[Company]],61)</f>
        <v/>
      </c>
      <c r="M166" s="62" t="str" cm="1">
        <f t="array" ref="M166">Common_InputFunctions.Utility_DisplayArrayInTable(Fertiliser_SourceData.Fertiliser_Products_Data3(), FertiliserProducts[[#Headers],[Company]],61)</f>
        <v/>
      </c>
      <c r="N166" s="62" t="str" cm="1">
        <f t="array" ref="N166">Common_InputFunctions.Utility_DisplayArrayInTable(Fertiliser_SourceData.Fertiliser_Products_Data3(), FertiliserProducts[[#Headers],[Company]],61)</f>
        <v/>
      </c>
      <c r="O166" s="62" t="str" cm="1">
        <f t="array" ref="O166">Common_InputFunctions.Utility_DisplayArrayInTable(Fertiliser_SourceData.Fertiliser_Products_Data3(), FertiliserProducts[[#Headers],[Company]],61)</f>
        <v/>
      </c>
      <c r="P166" s="62" t="str" cm="1">
        <f t="array" ref="P166">Common_InputFunctions.Utility_DisplayArrayInTable(Fertiliser_SourceData.Fertiliser_Products_Data3(), FertiliserProducts[[#Headers],[Company]],61)</f>
        <v/>
      </c>
      <c r="Q166" s="62" t="str" cm="1">
        <f t="array" ref="Q166">Common_InputFunctions.Utility_DisplayArrayInTable(Fertiliser_SourceData.Fertiliser_Products_Data3(), FertiliserProducts[[#Headers],[Company]],61)</f>
        <v/>
      </c>
      <c r="R166" s="62" t="str" cm="1">
        <f t="array" ref="R166">Common_InputFunctions.Utility_DisplayArrayInTable(Fertiliser_SourceData.Fertiliser_Products_Data3(), FertiliserProducts[[#Headers],[Company]],61)</f>
        <v/>
      </c>
      <c r="S166" s="62" t="str" cm="1">
        <f t="array" ref="S166">Common_InputFunctions.Utility_DisplayArrayInTable(Fertiliser_SourceData.Fertiliser_Products_Data3(), FertiliserProducts[[#Headers],[Company]],61)</f>
        <v/>
      </c>
      <c r="T166" s="62" t="str" cm="1">
        <f t="array" ref="T166">Common_InputFunctions.Utility_DisplayArrayInTable(Fertiliser_SourceData.Fertiliser_Products_Data3(), FertiliserProducts[[#Headers],[Company]],61)</f>
        <v/>
      </c>
      <c r="U166" s="62" t="str" cm="1">
        <f t="array" ref="U166">Common_InputFunctions.Utility_DisplayArrayInTable(Fertiliser_SourceData.Fertiliser_Products_Data3(), FertiliserProducts[[#Headers],[Company]],61)</f>
        <v/>
      </c>
      <c r="V166" s="62" t="str" cm="1">
        <f t="array" ref="V166">Common_InputFunctions.Utility_DisplayArrayInTable(Fertiliser_SourceData.Fertiliser_Products_Data3(), FertiliserProducts[[#Headers],[Company]],61)</f>
        <v/>
      </c>
      <c r="W166" s="62" t="str" cm="1">
        <f t="array" ref="W166">Common_InputFunctions.Utility_DisplayArrayInTable(Fertiliser_SourceData.Fertiliser_Products_Data3(), FertiliserProducts[[#Headers],[Company]],61)</f>
        <v>Crop Nutrition Solutions (Yara Australia)</v>
      </c>
      <c r="X166" s="62" t="str" cm="1">
        <f t="array" ref="X166">Common_InputFunctions.Utility_DisplayArrayInTable(Fertiliser_SourceData.Fertiliser_Products_Data3(), FertiliserProducts[[#Headers],[Company]],61)</f>
        <v/>
      </c>
      <c r="Y166" s="62" t="str" cm="1">
        <f t="array" ref="Y166">Common_InputFunctions.Utility_DisplayArrayInTable(Fertiliser_SourceData.Fertiliser_Products_Data3(), FertiliserProducts[[#Headers],[Company]],61)</f>
        <v/>
      </c>
      <c r="Z166" s="62" t="str" cm="1">
        <f t="array" ref="Z166">Common_InputFunctions.Utility_DisplayArrayInTable(Fertiliser_SourceData.Fertiliser_Products_Data3(), FertiliserProducts[[#Headers],[Company]],61)</f>
        <v/>
      </c>
      <c r="AA166" s="62" t="str" cm="1">
        <f t="array" ref="AA166">Common_InputFunctions.Utility_DisplayArrayInTable(Fertiliser_SourceData.Fertiliser_Products_Data3(), FertiliserProducts[[#Headers],[Company]],61)</f>
        <v/>
      </c>
      <c r="AB166" s="62" t="str" cm="1">
        <f t="array" ref="AB166">Common_InputFunctions.Utility_DisplayArrayInTable(Fertiliser_SourceData.Fertiliser_Products_Data3(), FertiliserProducts[[#Headers],[Company]],61)</f>
        <v/>
      </c>
      <c r="AC166" s="62" t="str" cm="1">
        <f t="array" ref="AC166">Common_InputFunctions.Utility_DisplayArrayInTable(Fertiliser_SourceData.Fertiliser_Products_Data3(), FertiliserProducts[[#Headers],[Company]],61)</f>
        <v/>
      </c>
      <c r="AD166" s="62" t="str" cm="1">
        <f t="array" ref="AD166">Common_InputFunctions.Utility_DisplayArrayInTable(Fertiliser_SourceData.Fertiliser_Products_Data3(), FertiliserProducts[[#Headers],[Company]],61)</f>
        <v/>
      </c>
      <c r="AE166" s="62" t="str" cm="1">
        <f t="array" ref="AE166">Common_InputFunctions.Utility_DisplayArrayInTable(Fertiliser_SourceData.Fertiliser_Products_Data3(), FertiliserProducts[[#Headers],[Company]],61)</f>
        <v/>
      </c>
      <c r="AF166" s="62" t="str" cm="1">
        <f t="array" ref="AF166">Common_InputFunctions.Utility_DisplayArrayInTable(Fertiliser_SourceData.Fertiliser_Products_Data3(), FertiliserProducts[[#Headers],[Company]],61)</f>
        <v/>
      </c>
      <c r="AG166" s="62" t="str" cm="1">
        <f t="array" ref="AG166">Common_InputFunctions.Utility_DisplayArrayInTable(Fertiliser_SourceData.Fertiliser_Products_Data3(), FertiliserProducts[[#Headers],[Company]],61)</f>
        <v/>
      </c>
      <c r="AH166" s="62" t="str" cm="1">
        <f t="array" ref="AH166">Common_InputFunctions.Utility_DisplayArrayInTable(Fertiliser_SourceData.Fertiliser_Products_Data3(), FertiliserProducts[[#Headers],[Company]],61)</f>
        <v/>
      </c>
      <c r="AK166" s="8"/>
    </row>
    <row r="167" spans="4:37" x14ac:dyDescent="0.25">
      <c r="D167" s="62" t="str" cm="1">
        <f t="array" ref="D167">Common_InputFunctions.Utility_DisplayArrayInTable(Fertiliser_SourceData.Fertiliser_Products_Data3(), FertiliserProducts[[#Headers],[Company]],61)</f>
        <v>Yara Liquids SULSA 11-0-0+12S</v>
      </c>
      <c r="E167" s="62" t="str" cm="1">
        <f t="array" ref="E167">Common_InputFunctions.Utility_DisplayArrayInTable(Fertiliser_SourceData.Fertiliser_Products_Data3(), FertiliserProducts[[#Headers],[Company]],61)</f>
        <v/>
      </c>
      <c r="F167" s="62" t="str" cm="1">
        <f t="array" ref="F167">Common_InputFunctions.Utility_DisplayArrayInTable(Fertiliser_SourceData.Fertiliser_Products_Data3(), FertiliserProducts[[#Headers],[Company]],61)</f>
        <v/>
      </c>
      <c r="G167" s="62" t="str" cm="1">
        <f t="array" ref="G167">Common_InputFunctions.Utility_DisplayArrayInTable(Fertiliser_SourceData.Fertiliser_Products_Data3(), FertiliserProducts[[#Headers],[Company]],61)</f>
        <v/>
      </c>
      <c r="H167" s="62" t="str" cm="1">
        <f t="array" ref="H167">Common_InputFunctions.Utility_DisplayArrayInTable(Fertiliser_SourceData.Fertiliser_Products_Data3(), FertiliserProducts[[#Headers],[Company]],61)</f>
        <v/>
      </c>
      <c r="I167" s="62" t="str" cm="1">
        <f t="array" ref="I167">Common_InputFunctions.Utility_DisplayArrayInTable(Fertiliser_SourceData.Fertiliser_Products_Data3(), FertiliserProducts[[#Headers],[Company]],61)</f>
        <v/>
      </c>
      <c r="J167" s="62" t="str" cm="1">
        <f t="array" ref="J167">Common_InputFunctions.Utility_DisplayArrayInTable(Fertiliser_SourceData.Fertiliser_Products_Data3(), FertiliserProducts[[#Headers],[Company]],61)</f>
        <v/>
      </c>
      <c r="K167" s="62" t="str" cm="1">
        <f t="array" ref="K167">Common_InputFunctions.Utility_DisplayArrayInTable(Fertiliser_SourceData.Fertiliser_Products_Data3(), FertiliserProducts[[#Headers],[Company]],61)</f>
        <v/>
      </c>
      <c r="L167" s="62" t="str" cm="1">
        <f t="array" ref="L167">Common_InputFunctions.Utility_DisplayArrayInTable(Fertiliser_SourceData.Fertiliser_Products_Data3(), FertiliserProducts[[#Headers],[Company]],61)</f>
        <v/>
      </c>
      <c r="M167" s="62" t="str" cm="1">
        <f t="array" ref="M167">Common_InputFunctions.Utility_DisplayArrayInTable(Fertiliser_SourceData.Fertiliser_Products_Data3(), FertiliserProducts[[#Headers],[Company]],61)</f>
        <v/>
      </c>
      <c r="N167" s="62" t="str" cm="1">
        <f t="array" ref="N167">Common_InputFunctions.Utility_DisplayArrayInTable(Fertiliser_SourceData.Fertiliser_Products_Data3(), FertiliserProducts[[#Headers],[Company]],61)</f>
        <v/>
      </c>
      <c r="O167" s="62" t="str" cm="1">
        <f t="array" ref="O167">Common_InputFunctions.Utility_DisplayArrayInTable(Fertiliser_SourceData.Fertiliser_Products_Data3(), FertiliserProducts[[#Headers],[Company]],61)</f>
        <v/>
      </c>
      <c r="P167" s="62" t="str" cm="1">
        <f t="array" ref="P167">Common_InputFunctions.Utility_DisplayArrayInTable(Fertiliser_SourceData.Fertiliser_Products_Data3(), FertiliserProducts[[#Headers],[Company]],61)</f>
        <v/>
      </c>
      <c r="Q167" s="62" t="str" cm="1">
        <f t="array" ref="Q167">Common_InputFunctions.Utility_DisplayArrayInTable(Fertiliser_SourceData.Fertiliser_Products_Data3(), FertiliserProducts[[#Headers],[Company]],61)</f>
        <v/>
      </c>
      <c r="R167" s="62" t="str" cm="1">
        <f t="array" ref="R167">Common_InputFunctions.Utility_DisplayArrayInTable(Fertiliser_SourceData.Fertiliser_Products_Data3(), FertiliserProducts[[#Headers],[Company]],61)</f>
        <v/>
      </c>
      <c r="S167" s="62" t="str" cm="1">
        <f t="array" ref="S167">Common_InputFunctions.Utility_DisplayArrayInTable(Fertiliser_SourceData.Fertiliser_Products_Data3(), FertiliserProducts[[#Headers],[Company]],61)</f>
        <v/>
      </c>
      <c r="T167" s="62" t="str" cm="1">
        <f t="array" ref="T167">Common_InputFunctions.Utility_DisplayArrayInTable(Fertiliser_SourceData.Fertiliser_Products_Data3(), FertiliserProducts[[#Headers],[Company]],61)</f>
        <v/>
      </c>
      <c r="U167" s="62" t="str" cm="1">
        <f t="array" ref="U167">Common_InputFunctions.Utility_DisplayArrayInTable(Fertiliser_SourceData.Fertiliser_Products_Data3(), FertiliserProducts[[#Headers],[Company]],61)</f>
        <v/>
      </c>
      <c r="V167" s="62" t="str" cm="1">
        <f t="array" ref="V167">Common_InputFunctions.Utility_DisplayArrayInTable(Fertiliser_SourceData.Fertiliser_Products_Data3(), FertiliserProducts[[#Headers],[Company]],61)</f>
        <v/>
      </c>
      <c r="W167" s="62" t="str" cm="1">
        <f t="array" ref="W167">Common_InputFunctions.Utility_DisplayArrayInTable(Fertiliser_SourceData.Fertiliser_Products_Data3(), FertiliserProducts[[#Headers],[Company]],61)</f>
        <v>Crop Nutrition Solutions (Yara Australia)</v>
      </c>
      <c r="X167" s="62" t="str" cm="1">
        <f t="array" ref="X167">Common_InputFunctions.Utility_DisplayArrayInTable(Fertiliser_SourceData.Fertiliser_Products_Data3(), FertiliserProducts[[#Headers],[Company]],61)</f>
        <v/>
      </c>
      <c r="Y167" s="62" t="str" cm="1">
        <f t="array" ref="Y167">Common_InputFunctions.Utility_DisplayArrayInTable(Fertiliser_SourceData.Fertiliser_Products_Data3(), FertiliserProducts[[#Headers],[Company]],61)</f>
        <v/>
      </c>
      <c r="Z167" s="62" t="str" cm="1">
        <f t="array" ref="Z167">Common_InputFunctions.Utility_DisplayArrayInTable(Fertiliser_SourceData.Fertiliser_Products_Data3(), FertiliserProducts[[#Headers],[Company]],61)</f>
        <v/>
      </c>
      <c r="AA167" s="62" t="str" cm="1">
        <f t="array" ref="AA167">Common_InputFunctions.Utility_DisplayArrayInTable(Fertiliser_SourceData.Fertiliser_Products_Data3(), FertiliserProducts[[#Headers],[Company]],61)</f>
        <v/>
      </c>
      <c r="AB167" s="62" t="str" cm="1">
        <f t="array" ref="AB167">Common_InputFunctions.Utility_DisplayArrayInTable(Fertiliser_SourceData.Fertiliser_Products_Data3(), FertiliserProducts[[#Headers],[Company]],61)</f>
        <v/>
      </c>
      <c r="AC167" s="62" t="str" cm="1">
        <f t="array" ref="AC167">Common_InputFunctions.Utility_DisplayArrayInTable(Fertiliser_SourceData.Fertiliser_Products_Data3(), FertiliserProducts[[#Headers],[Company]],61)</f>
        <v/>
      </c>
      <c r="AD167" s="62" t="str" cm="1">
        <f t="array" ref="AD167">Common_InputFunctions.Utility_DisplayArrayInTable(Fertiliser_SourceData.Fertiliser_Products_Data3(), FertiliserProducts[[#Headers],[Company]],61)</f>
        <v/>
      </c>
      <c r="AE167" s="62" t="str" cm="1">
        <f t="array" ref="AE167">Common_InputFunctions.Utility_DisplayArrayInTable(Fertiliser_SourceData.Fertiliser_Products_Data3(), FertiliserProducts[[#Headers],[Company]],61)</f>
        <v/>
      </c>
      <c r="AF167" s="62" t="str" cm="1">
        <f t="array" ref="AF167">Common_InputFunctions.Utility_DisplayArrayInTable(Fertiliser_SourceData.Fertiliser_Products_Data3(), FertiliserProducts[[#Headers],[Company]],61)</f>
        <v/>
      </c>
      <c r="AG167" s="62" t="str" cm="1">
        <f t="array" ref="AG167">Common_InputFunctions.Utility_DisplayArrayInTable(Fertiliser_SourceData.Fertiliser_Products_Data3(), FertiliserProducts[[#Headers],[Company]],61)</f>
        <v/>
      </c>
      <c r="AH167" s="62" t="str" cm="1">
        <f t="array" ref="AH167">Common_InputFunctions.Utility_DisplayArrayInTable(Fertiliser_SourceData.Fertiliser_Products_Data3(), FertiliserProducts[[#Headers],[Company]],61)</f>
        <v/>
      </c>
      <c r="AK167" s="8"/>
    </row>
    <row r="168" spans="4:37" x14ac:dyDescent="0.25">
      <c r="D168" s="62" t="str" cm="1">
        <f t="array" ref="D168">Common_InputFunctions.Utility_DisplayArrayInTable(Fertiliser_SourceData.Fertiliser_Products_Data3(), FertiliserProducts[[#Headers],[Company]],61)</f>
        <v>Yara Liquids SULSA 24-3-0+6S</v>
      </c>
      <c r="E168" s="62" t="str" cm="1">
        <f t="array" ref="E168">Common_InputFunctions.Utility_DisplayArrayInTable(Fertiliser_SourceData.Fertiliser_Products_Data3(), FertiliserProducts[[#Headers],[Company]],61)</f>
        <v/>
      </c>
      <c r="F168" s="62" t="str" cm="1">
        <f t="array" ref="F168">Common_InputFunctions.Utility_DisplayArrayInTable(Fertiliser_SourceData.Fertiliser_Products_Data3(), FertiliserProducts[[#Headers],[Company]],61)</f>
        <v/>
      </c>
      <c r="G168" s="62" t="str" cm="1">
        <f t="array" ref="G168">Common_InputFunctions.Utility_DisplayArrayInTable(Fertiliser_SourceData.Fertiliser_Products_Data3(), FertiliserProducts[[#Headers],[Company]],61)</f>
        <v/>
      </c>
      <c r="H168" s="62" t="str" cm="1">
        <f t="array" ref="H168">Common_InputFunctions.Utility_DisplayArrayInTable(Fertiliser_SourceData.Fertiliser_Products_Data3(), FertiliserProducts[[#Headers],[Company]],61)</f>
        <v/>
      </c>
      <c r="I168" s="62" t="str" cm="1">
        <f t="array" ref="I168">Common_InputFunctions.Utility_DisplayArrayInTable(Fertiliser_SourceData.Fertiliser_Products_Data3(), FertiliserProducts[[#Headers],[Company]],61)</f>
        <v/>
      </c>
      <c r="J168" s="62" t="str" cm="1">
        <f t="array" ref="J168">Common_InputFunctions.Utility_DisplayArrayInTable(Fertiliser_SourceData.Fertiliser_Products_Data3(), FertiliserProducts[[#Headers],[Company]],61)</f>
        <v/>
      </c>
      <c r="K168" s="62" t="str" cm="1">
        <f t="array" ref="K168">Common_InputFunctions.Utility_DisplayArrayInTable(Fertiliser_SourceData.Fertiliser_Products_Data3(), FertiliserProducts[[#Headers],[Company]],61)</f>
        <v/>
      </c>
      <c r="L168" s="62" t="str" cm="1">
        <f t="array" ref="L168">Common_InputFunctions.Utility_DisplayArrayInTable(Fertiliser_SourceData.Fertiliser_Products_Data3(), FertiliserProducts[[#Headers],[Company]],61)</f>
        <v/>
      </c>
      <c r="M168" s="62" t="str" cm="1">
        <f t="array" ref="M168">Common_InputFunctions.Utility_DisplayArrayInTable(Fertiliser_SourceData.Fertiliser_Products_Data3(), FertiliserProducts[[#Headers],[Company]],61)</f>
        <v/>
      </c>
      <c r="N168" s="62" t="str" cm="1">
        <f t="array" ref="N168">Common_InputFunctions.Utility_DisplayArrayInTable(Fertiliser_SourceData.Fertiliser_Products_Data3(), FertiliserProducts[[#Headers],[Company]],61)</f>
        <v/>
      </c>
      <c r="O168" s="62" t="str" cm="1">
        <f t="array" ref="O168">Common_InputFunctions.Utility_DisplayArrayInTable(Fertiliser_SourceData.Fertiliser_Products_Data3(), FertiliserProducts[[#Headers],[Company]],61)</f>
        <v/>
      </c>
      <c r="P168" s="62" t="str" cm="1">
        <f t="array" ref="P168">Common_InputFunctions.Utility_DisplayArrayInTable(Fertiliser_SourceData.Fertiliser_Products_Data3(), FertiliserProducts[[#Headers],[Company]],61)</f>
        <v/>
      </c>
      <c r="Q168" s="62" t="str" cm="1">
        <f t="array" ref="Q168">Common_InputFunctions.Utility_DisplayArrayInTable(Fertiliser_SourceData.Fertiliser_Products_Data3(), FertiliserProducts[[#Headers],[Company]],61)</f>
        <v/>
      </c>
      <c r="R168" s="62" t="str" cm="1">
        <f t="array" ref="R168">Common_InputFunctions.Utility_DisplayArrayInTable(Fertiliser_SourceData.Fertiliser_Products_Data3(), FertiliserProducts[[#Headers],[Company]],61)</f>
        <v/>
      </c>
      <c r="S168" s="62" t="str" cm="1">
        <f t="array" ref="S168">Common_InputFunctions.Utility_DisplayArrayInTable(Fertiliser_SourceData.Fertiliser_Products_Data3(), FertiliserProducts[[#Headers],[Company]],61)</f>
        <v/>
      </c>
      <c r="T168" s="62" t="str" cm="1">
        <f t="array" ref="T168">Common_InputFunctions.Utility_DisplayArrayInTable(Fertiliser_SourceData.Fertiliser_Products_Data3(), FertiliserProducts[[#Headers],[Company]],61)</f>
        <v/>
      </c>
      <c r="U168" s="62" t="str" cm="1">
        <f t="array" ref="U168">Common_InputFunctions.Utility_DisplayArrayInTable(Fertiliser_SourceData.Fertiliser_Products_Data3(), FertiliserProducts[[#Headers],[Company]],61)</f>
        <v/>
      </c>
      <c r="V168" s="62" t="str" cm="1">
        <f t="array" ref="V168">Common_InputFunctions.Utility_DisplayArrayInTable(Fertiliser_SourceData.Fertiliser_Products_Data3(), FertiliserProducts[[#Headers],[Company]],61)</f>
        <v/>
      </c>
      <c r="W168" s="62" t="str" cm="1">
        <f t="array" ref="W168">Common_InputFunctions.Utility_DisplayArrayInTable(Fertiliser_SourceData.Fertiliser_Products_Data3(), FertiliserProducts[[#Headers],[Company]],61)</f>
        <v>Crop Nutrition Solutions (Yara Australia)</v>
      </c>
      <c r="X168" s="62" t="str" cm="1">
        <f t="array" ref="X168">Common_InputFunctions.Utility_DisplayArrayInTable(Fertiliser_SourceData.Fertiliser_Products_Data3(), FertiliserProducts[[#Headers],[Company]],61)</f>
        <v/>
      </c>
      <c r="Y168" s="62" t="str" cm="1">
        <f t="array" ref="Y168">Common_InputFunctions.Utility_DisplayArrayInTable(Fertiliser_SourceData.Fertiliser_Products_Data3(), FertiliserProducts[[#Headers],[Company]],61)</f>
        <v/>
      </c>
      <c r="Z168" s="62" t="str" cm="1">
        <f t="array" ref="Z168">Common_InputFunctions.Utility_DisplayArrayInTable(Fertiliser_SourceData.Fertiliser_Products_Data3(), FertiliserProducts[[#Headers],[Company]],61)</f>
        <v/>
      </c>
      <c r="AA168" s="62" t="str" cm="1">
        <f t="array" ref="AA168">Common_InputFunctions.Utility_DisplayArrayInTable(Fertiliser_SourceData.Fertiliser_Products_Data3(), FertiliserProducts[[#Headers],[Company]],61)</f>
        <v/>
      </c>
      <c r="AB168" s="62" t="str" cm="1">
        <f t="array" ref="AB168">Common_InputFunctions.Utility_DisplayArrayInTable(Fertiliser_SourceData.Fertiliser_Products_Data3(), FertiliserProducts[[#Headers],[Company]],61)</f>
        <v/>
      </c>
      <c r="AC168" s="62" t="str" cm="1">
        <f t="array" ref="AC168">Common_InputFunctions.Utility_DisplayArrayInTable(Fertiliser_SourceData.Fertiliser_Products_Data3(), FertiliserProducts[[#Headers],[Company]],61)</f>
        <v/>
      </c>
      <c r="AD168" s="62" t="str" cm="1">
        <f t="array" ref="AD168">Common_InputFunctions.Utility_DisplayArrayInTable(Fertiliser_SourceData.Fertiliser_Products_Data3(), FertiliserProducts[[#Headers],[Company]],61)</f>
        <v/>
      </c>
      <c r="AE168" s="62" t="str" cm="1">
        <f t="array" ref="AE168">Common_InputFunctions.Utility_DisplayArrayInTable(Fertiliser_SourceData.Fertiliser_Products_Data3(), FertiliserProducts[[#Headers],[Company]],61)</f>
        <v/>
      </c>
      <c r="AF168" s="62" t="str" cm="1">
        <f t="array" ref="AF168">Common_InputFunctions.Utility_DisplayArrayInTable(Fertiliser_SourceData.Fertiliser_Products_Data3(), FertiliserProducts[[#Headers],[Company]],61)</f>
        <v/>
      </c>
      <c r="AG168" s="62" t="str" cm="1">
        <f t="array" ref="AG168">Common_InputFunctions.Utility_DisplayArrayInTable(Fertiliser_SourceData.Fertiliser_Products_Data3(), FertiliserProducts[[#Headers],[Company]],61)</f>
        <v/>
      </c>
      <c r="AH168" s="62" t="str" cm="1">
        <f t="array" ref="AH168">Common_InputFunctions.Utility_DisplayArrayInTable(Fertiliser_SourceData.Fertiliser_Products_Data3(), FertiliserProducts[[#Headers],[Company]],61)</f>
        <v/>
      </c>
      <c r="AK168" s="8"/>
    </row>
    <row r="169" spans="4:37" x14ac:dyDescent="0.25">
      <c r="D169" s="62" t="str" cm="1">
        <f t="array" ref="D169">Common_InputFunctions.Utility_DisplayArrayInTable(Fertiliser_SourceData.Fertiliser_Products_Data3(), FertiliserProducts[[#Headers],[Company]],61)</f>
        <v>Yara Liquids SULSA 27-0-0+7S</v>
      </c>
      <c r="E169" s="62" t="str" cm="1">
        <f t="array" ref="E169">Common_InputFunctions.Utility_DisplayArrayInTable(Fertiliser_SourceData.Fertiliser_Products_Data3(), FertiliserProducts[[#Headers],[Company]],61)</f>
        <v/>
      </c>
      <c r="F169" s="62" t="str" cm="1">
        <f t="array" ref="F169">Common_InputFunctions.Utility_DisplayArrayInTable(Fertiliser_SourceData.Fertiliser_Products_Data3(), FertiliserProducts[[#Headers],[Company]],61)</f>
        <v/>
      </c>
      <c r="G169" s="62" t="str" cm="1">
        <f t="array" ref="G169">Common_InputFunctions.Utility_DisplayArrayInTable(Fertiliser_SourceData.Fertiliser_Products_Data3(), FertiliserProducts[[#Headers],[Company]],61)</f>
        <v/>
      </c>
      <c r="H169" s="62" t="str" cm="1">
        <f t="array" ref="H169">Common_InputFunctions.Utility_DisplayArrayInTable(Fertiliser_SourceData.Fertiliser_Products_Data3(), FertiliserProducts[[#Headers],[Company]],61)</f>
        <v/>
      </c>
      <c r="I169" s="62" t="str" cm="1">
        <f t="array" ref="I169">Common_InputFunctions.Utility_DisplayArrayInTable(Fertiliser_SourceData.Fertiliser_Products_Data3(), FertiliserProducts[[#Headers],[Company]],61)</f>
        <v/>
      </c>
      <c r="J169" s="62" t="str" cm="1">
        <f t="array" ref="J169">Common_InputFunctions.Utility_DisplayArrayInTable(Fertiliser_SourceData.Fertiliser_Products_Data3(), FertiliserProducts[[#Headers],[Company]],61)</f>
        <v/>
      </c>
      <c r="K169" s="62" t="str" cm="1">
        <f t="array" ref="K169">Common_InputFunctions.Utility_DisplayArrayInTable(Fertiliser_SourceData.Fertiliser_Products_Data3(), FertiliserProducts[[#Headers],[Company]],61)</f>
        <v/>
      </c>
      <c r="L169" s="62" t="str" cm="1">
        <f t="array" ref="L169">Common_InputFunctions.Utility_DisplayArrayInTable(Fertiliser_SourceData.Fertiliser_Products_Data3(), FertiliserProducts[[#Headers],[Company]],61)</f>
        <v/>
      </c>
      <c r="M169" s="62" t="str" cm="1">
        <f t="array" ref="M169">Common_InputFunctions.Utility_DisplayArrayInTable(Fertiliser_SourceData.Fertiliser_Products_Data3(), FertiliserProducts[[#Headers],[Company]],61)</f>
        <v/>
      </c>
      <c r="N169" s="62" t="str" cm="1">
        <f t="array" ref="N169">Common_InputFunctions.Utility_DisplayArrayInTable(Fertiliser_SourceData.Fertiliser_Products_Data3(), FertiliserProducts[[#Headers],[Company]],61)</f>
        <v/>
      </c>
      <c r="O169" s="62" t="str" cm="1">
        <f t="array" ref="O169">Common_InputFunctions.Utility_DisplayArrayInTable(Fertiliser_SourceData.Fertiliser_Products_Data3(), FertiliserProducts[[#Headers],[Company]],61)</f>
        <v/>
      </c>
      <c r="P169" s="62" t="str" cm="1">
        <f t="array" ref="P169">Common_InputFunctions.Utility_DisplayArrayInTable(Fertiliser_SourceData.Fertiliser_Products_Data3(), FertiliserProducts[[#Headers],[Company]],61)</f>
        <v/>
      </c>
      <c r="Q169" s="62" t="str" cm="1">
        <f t="array" ref="Q169">Common_InputFunctions.Utility_DisplayArrayInTable(Fertiliser_SourceData.Fertiliser_Products_Data3(), FertiliserProducts[[#Headers],[Company]],61)</f>
        <v/>
      </c>
      <c r="R169" s="62" t="str" cm="1">
        <f t="array" ref="R169">Common_InputFunctions.Utility_DisplayArrayInTable(Fertiliser_SourceData.Fertiliser_Products_Data3(), FertiliserProducts[[#Headers],[Company]],61)</f>
        <v/>
      </c>
      <c r="S169" s="62" t="str" cm="1">
        <f t="array" ref="S169">Common_InputFunctions.Utility_DisplayArrayInTable(Fertiliser_SourceData.Fertiliser_Products_Data3(), FertiliserProducts[[#Headers],[Company]],61)</f>
        <v/>
      </c>
      <c r="T169" s="62" t="str" cm="1">
        <f t="array" ref="T169">Common_InputFunctions.Utility_DisplayArrayInTable(Fertiliser_SourceData.Fertiliser_Products_Data3(), FertiliserProducts[[#Headers],[Company]],61)</f>
        <v/>
      </c>
      <c r="U169" s="62" t="str" cm="1">
        <f t="array" ref="U169">Common_InputFunctions.Utility_DisplayArrayInTable(Fertiliser_SourceData.Fertiliser_Products_Data3(), FertiliserProducts[[#Headers],[Company]],61)</f>
        <v/>
      </c>
      <c r="V169" s="62" t="str" cm="1">
        <f t="array" ref="V169">Common_InputFunctions.Utility_DisplayArrayInTable(Fertiliser_SourceData.Fertiliser_Products_Data3(), FertiliserProducts[[#Headers],[Company]],61)</f>
        <v/>
      </c>
      <c r="W169" s="62" t="str" cm="1">
        <f t="array" ref="W169">Common_InputFunctions.Utility_DisplayArrayInTable(Fertiliser_SourceData.Fertiliser_Products_Data3(), FertiliserProducts[[#Headers],[Company]],61)</f>
        <v>Crop Nutrition Solutions (Yara Australia)</v>
      </c>
      <c r="X169" s="62" t="str" cm="1">
        <f t="array" ref="X169">Common_InputFunctions.Utility_DisplayArrayInTable(Fertiliser_SourceData.Fertiliser_Products_Data3(), FertiliserProducts[[#Headers],[Company]],61)</f>
        <v/>
      </c>
      <c r="Y169" s="62" t="str" cm="1">
        <f t="array" ref="Y169">Common_InputFunctions.Utility_DisplayArrayInTable(Fertiliser_SourceData.Fertiliser_Products_Data3(), FertiliserProducts[[#Headers],[Company]],61)</f>
        <v/>
      </c>
      <c r="Z169" s="62" t="str" cm="1">
        <f t="array" ref="Z169">Common_InputFunctions.Utility_DisplayArrayInTable(Fertiliser_SourceData.Fertiliser_Products_Data3(), FertiliserProducts[[#Headers],[Company]],61)</f>
        <v/>
      </c>
      <c r="AA169" s="62" t="str" cm="1">
        <f t="array" ref="AA169">Common_InputFunctions.Utility_DisplayArrayInTable(Fertiliser_SourceData.Fertiliser_Products_Data3(), FertiliserProducts[[#Headers],[Company]],61)</f>
        <v/>
      </c>
      <c r="AB169" s="62" t="str" cm="1">
        <f t="array" ref="AB169">Common_InputFunctions.Utility_DisplayArrayInTable(Fertiliser_SourceData.Fertiliser_Products_Data3(), FertiliserProducts[[#Headers],[Company]],61)</f>
        <v/>
      </c>
      <c r="AC169" s="62" t="str" cm="1">
        <f t="array" ref="AC169">Common_InputFunctions.Utility_DisplayArrayInTable(Fertiliser_SourceData.Fertiliser_Products_Data3(), FertiliserProducts[[#Headers],[Company]],61)</f>
        <v/>
      </c>
      <c r="AD169" s="62" t="str" cm="1">
        <f t="array" ref="AD169">Common_InputFunctions.Utility_DisplayArrayInTable(Fertiliser_SourceData.Fertiliser_Products_Data3(), FertiliserProducts[[#Headers],[Company]],61)</f>
        <v/>
      </c>
      <c r="AE169" s="62" t="str" cm="1">
        <f t="array" ref="AE169">Common_InputFunctions.Utility_DisplayArrayInTable(Fertiliser_SourceData.Fertiliser_Products_Data3(), FertiliserProducts[[#Headers],[Company]],61)</f>
        <v/>
      </c>
      <c r="AF169" s="62" t="str" cm="1">
        <f t="array" ref="AF169">Common_InputFunctions.Utility_DisplayArrayInTable(Fertiliser_SourceData.Fertiliser_Products_Data3(), FertiliserProducts[[#Headers],[Company]],61)</f>
        <v/>
      </c>
      <c r="AG169" s="62" t="str" cm="1">
        <f t="array" ref="AG169">Common_InputFunctions.Utility_DisplayArrayInTable(Fertiliser_SourceData.Fertiliser_Products_Data3(), FertiliserProducts[[#Headers],[Company]],61)</f>
        <v/>
      </c>
      <c r="AH169" s="62" t="str" cm="1">
        <f t="array" ref="AH169">Common_InputFunctions.Utility_DisplayArrayInTable(Fertiliser_SourceData.Fertiliser_Products_Data3(), FertiliserProducts[[#Headers],[Company]],61)</f>
        <v/>
      </c>
      <c r="AK169" s="8"/>
    </row>
    <row r="170" spans="4:37" x14ac:dyDescent="0.25">
      <c r="D170" s="62" t="str" cm="1">
        <f t="array" ref="D170">Common_InputFunctions.Utility_DisplayArrayInTable(Fertiliser_SourceData.Fertiliser_Products_Data3(), FertiliserProducts[[#Headers],[Company]],61)</f>
        <v>Yara Liquids SULSA 36-0-0+3S</v>
      </c>
      <c r="E170" s="62" t="str" cm="1">
        <f t="array" ref="E170">Common_InputFunctions.Utility_DisplayArrayInTable(Fertiliser_SourceData.Fertiliser_Products_Data3(), FertiliserProducts[[#Headers],[Company]],61)</f>
        <v/>
      </c>
      <c r="F170" s="62" t="str" cm="1">
        <f t="array" ref="F170">Common_InputFunctions.Utility_DisplayArrayInTable(Fertiliser_SourceData.Fertiliser_Products_Data3(), FertiliserProducts[[#Headers],[Company]],61)</f>
        <v/>
      </c>
      <c r="G170" s="62" t="str" cm="1">
        <f t="array" ref="G170">Common_InputFunctions.Utility_DisplayArrayInTable(Fertiliser_SourceData.Fertiliser_Products_Data3(), FertiliserProducts[[#Headers],[Company]],61)</f>
        <v/>
      </c>
      <c r="H170" s="62" t="str" cm="1">
        <f t="array" ref="H170">Common_InputFunctions.Utility_DisplayArrayInTable(Fertiliser_SourceData.Fertiliser_Products_Data3(), FertiliserProducts[[#Headers],[Company]],61)</f>
        <v/>
      </c>
      <c r="I170" s="62" t="str" cm="1">
        <f t="array" ref="I170">Common_InputFunctions.Utility_DisplayArrayInTable(Fertiliser_SourceData.Fertiliser_Products_Data3(), FertiliserProducts[[#Headers],[Company]],61)</f>
        <v/>
      </c>
      <c r="J170" s="62" t="str" cm="1">
        <f t="array" ref="J170">Common_InputFunctions.Utility_DisplayArrayInTable(Fertiliser_SourceData.Fertiliser_Products_Data3(), FertiliserProducts[[#Headers],[Company]],61)</f>
        <v/>
      </c>
      <c r="K170" s="62" t="str" cm="1">
        <f t="array" ref="K170">Common_InputFunctions.Utility_DisplayArrayInTable(Fertiliser_SourceData.Fertiliser_Products_Data3(), FertiliserProducts[[#Headers],[Company]],61)</f>
        <v/>
      </c>
      <c r="L170" s="62" t="str" cm="1">
        <f t="array" ref="L170">Common_InputFunctions.Utility_DisplayArrayInTable(Fertiliser_SourceData.Fertiliser_Products_Data3(), FertiliserProducts[[#Headers],[Company]],61)</f>
        <v/>
      </c>
      <c r="M170" s="62" t="str" cm="1">
        <f t="array" ref="M170">Common_InputFunctions.Utility_DisplayArrayInTable(Fertiliser_SourceData.Fertiliser_Products_Data3(), FertiliserProducts[[#Headers],[Company]],61)</f>
        <v/>
      </c>
      <c r="N170" s="62" t="str" cm="1">
        <f t="array" ref="N170">Common_InputFunctions.Utility_DisplayArrayInTable(Fertiliser_SourceData.Fertiliser_Products_Data3(), FertiliserProducts[[#Headers],[Company]],61)</f>
        <v/>
      </c>
      <c r="O170" s="62" t="str" cm="1">
        <f t="array" ref="O170">Common_InputFunctions.Utility_DisplayArrayInTable(Fertiliser_SourceData.Fertiliser_Products_Data3(), FertiliserProducts[[#Headers],[Company]],61)</f>
        <v/>
      </c>
      <c r="P170" s="62" t="str" cm="1">
        <f t="array" ref="P170">Common_InputFunctions.Utility_DisplayArrayInTable(Fertiliser_SourceData.Fertiliser_Products_Data3(), FertiliserProducts[[#Headers],[Company]],61)</f>
        <v/>
      </c>
      <c r="Q170" s="62" t="str" cm="1">
        <f t="array" ref="Q170">Common_InputFunctions.Utility_DisplayArrayInTable(Fertiliser_SourceData.Fertiliser_Products_Data3(), FertiliserProducts[[#Headers],[Company]],61)</f>
        <v/>
      </c>
      <c r="R170" s="62" t="str" cm="1">
        <f t="array" ref="R170">Common_InputFunctions.Utility_DisplayArrayInTable(Fertiliser_SourceData.Fertiliser_Products_Data3(), FertiliserProducts[[#Headers],[Company]],61)</f>
        <v/>
      </c>
      <c r="S170" s="62" t="str" cm="1">
        <f t="array" ref="S170">Common_InputFunctions.Utility_DisplayArrayInTable(Fertiliser_SourceData.Fertiliser_Products_Data3(), FertiliserProducts[[#Headers],[Company]],61)</f>
        <v/>
      </c>
      <c r="T170" s="62" t="str" cm="1">
        <f t="array" ref="T170">Common_InputFunctions.Utility_DisplayArrayInTable(Fertiliser_SourceData.Fertiliser_Products_Data3(), FertiliserProducts[[#Headers],[Company]],61)</f>
        <v/>
      </c>
      <c r="U170" s="62" t="str" cm="1">
        <f t="array" ref="U170">Common_InputFunctions.Utility_DisplayArrayInTable(Fertiliser_SourceData.Fertiliser_Products_Data3(), FertiliserProducts[[#Headers],[Company]],61)</f>
        <v/>
      </c>
      <c r="V170" s="62" t="str" cm="1">
        <f t="array" ref="V170">Common_InputFunctions.Utility_DisplayArrayInTable(Fertiliser_SourceData.Fertiliser_Products_Data3(), FertiliserProducts[[#Headers],[Company]],61)</f>
        <v/>
      </c>
      <c r="W170" s="62" t="str" cm="1">
        <f t="array" ref="W170">Common_InputFunctions.Utility_DisplayArrayInTable(Fertiliser_SourceData.Fertiliser_Products_Data3(), FertiliserProducts[[#Headers],[Company]],61)</f>
        <v>Crop Nutrition Solutions (Yara Australia)</v>
      </c>
      <c r="X170" s="62" t="str" cm="1">
        <f t="array" ref="X170">Common_InputFunctions.Utility_DisplayArrayInTable(Fertiliser_SourceData.Fertiliser_Products_Data3(), FertiliserProducts[[#Headers],[Company]],61)</f>
        <v/>
      </c>
      <c r="Y170" s="62" t="str" cm="1">
        <f t="array" ref="Y170">Common_InputFunctions.Utility_DisplayArrayInTable(Fertiliser_SourceData.Fertiliser_Products_Data3(), FertiliserProducts[[#Headers],[Company]],61)</f>
        <v/>
      </c>
      <c r="Z170" s="62" t="str" cm="1">
        <f t="array" ref="Z170">Common_InputFunctions.Utility_DisplayArrayInTable(Fertiliser_SourceData.Fertiliser_Products_Data3(), FertiliserProducts[[#Headers],[Company]],61)</f>
        <v/>
      </c>
      <c r="AA170" s="62" t="str" cm="1">
        <f t="array" ref="AA170">Common_InputFunctions.Utility_DisplayArrayInTable(Fertiliser_SourceData.Fertiliser_Products_Data3(), FertiliserProducts[[#Headers],[Company]],61)</f>
        <v/>
      </c>
      <c r="AB170" s="62" t="str" cm="1">
        <f t="array" ref="AB170">Common_InputFunctions.Utility_DisplayArrayInTable(Fertiliser_SourceData.Fertiliser_Products_Data3(), FertiliserProducts[[#Headers],[Company]],61)</f>
        <v/>
      </c>
      <c r="AC170" s="62" t="str" cm="1">
        <f t="array" ref="AC170">Common_InputFunctions.Utility_DisplayArrayInTable(Fertiliser_SourceData.Fertiliser_Products_Data3(), FertiliserProducts[[#Headers],[Company]],61)</f>
        <v/>
      </c>
      <c r="AD170" s="62" t="str" cm="1">
        <f t="array" ref="AD170">Common_InputFunctions.Utility_DisplayArrayInTable(Fertiliser_SourceData.Fertiliser_Products_Data3(), FertiliserProducts[[#Headers],[Company]],61)</f>
        <v/>
      </c>
      <c r="AE170" s="62" t="str" cm="1">
        <f t="array" ref="AE170">Common_InputFunctions.Utility_DisplayArrayInTable(Fertiliser_SourceData.Fertiliser_Products_Data3(), FertiliserProducts[[#Headers],[Company]],61)</f>
        <v/>
      </c>
      <c r="AF170" s="62" t="str" cm="1">
        <f t="array" ref="AF170">Common_InputFunctions.Utility_DisplayArrayInTable(Fertiliser_SourceData.Fertiliser_Products_Data3(), FertiliserProducts[[#Headers],[Company]],61)</f>
        <v/>
      </c>
      <c r="AG170" s="62" t="str" cm="1">
        <f t="array" ref="AG170">Common_InputFunctions.Utility_DisplayArrayInTable(Fertiliser_SourceData.Fertiliser_Products_Data3(), FertiliserProducts[[#Headers],[Company]],61)</f>
        <v/>
      </c>
      <c r="AH170" s="62" t="str" cm="1">
        <f t="array" ref="AH170">Common_InputFunctions.Utility_DisplayArrayInTable(Fertiliser_SourceData.Fertiliser_Products_Data3(), FertiliserProducts[[#Headers],[Company]],61)</f>
        <v/>
      </c>
      <c r="AK170" s="8"/>
    </row>
    <row r="171" spans="4:37" x14ac:dyDescent="0.25">
      <c r="D171" s="62" t="str" cm="1">
        <f t="array" ref="D171">Common_InputFunctions.Utility_DisplayArrayInTable(Fertiliser_SourceData.Fertiliser_Products_Data3(), FertiliserProducts[[#Headers],[Company]],61)</f>
        <v>YaraLiva CALCINIT B</v>
      </c>
      <c r="E171" s="62" t="str" cm="1">
        <f t="array" ref="E171">Common_InputFunctions.Utility_DisplayArrayInTable(Fertiliser_SourceData.Fertiliser_Products_Data3(), FertiliserProducts[[#Headers],[Company]],61)</f>
        <v/>
      </c>
      <c r="F171" s="62" t="str" cm="1">
        <f t="array" ref="F171">Common_InputFunctions.Utility_DisplayArrayInTable(Fertiliser_SourceData.Fertiliser_Products_Data3(), FertiliserProducts[[#Headers],[Company]],61)</f>
        <v/>
      </c>
      <c r="G171" s="62" t="str" cm="1">
        <f t="array" ref="G171">Common_InputFunctions.Utility_DisplayArrayInTable(Fertiliser_SourceData.Fertiliser_Products_Data3(), FertiliserProducts[[#Headers],[Company]],61)</f>
        <v/>
      </c>
      <c r="H171" s="62" t="str" cm="1">
        <f t="array" ref="H171">Common_InputFunctions.Utility_DisplayArrayInTable(Fertiliser_SourceData.Fertiliser_Products_Data3(), FertiliserProducts[[#Headers],[Company]],61)</f>
        <v/>
      </c>
      <c r="I171" s="62" t="str" cm="1">
        <f t="array" ref="I171">Common_InputFunctions.Utility_DisplayArrayInTable(Fertiliser_SourceData.Fertiliser_Products_Data3(), FertiliserProducts[[#Headers],[Company]],61)</f>
        <v/>
      </c>
      <c r="J171" s="62" t="str" cm="1">
        <f t="array" ref="J171">Common_InputFunctions.Utility_DisplayArrayInTable(Fertiliser_SourceData.Fertiliser_Products_Data3(), FertiliserProducts[[#Headers],[Company]],61)</f>
        <v/>
      </c>
      <c r="K171" s="62" t="str" cm="1">
        <f t="array" ref="K171">Common_InputFunctions.Utility_DisplayArrayInTable(Fertiliser_SourceData.Fertiliser_Products_Data3(), FertiliserProducts[[#Headers],[Company]],61)</f>
        <v/>
      </c>
      <c r="L171" s="62" t="str" cm="1">
        <f t="array" ref="L171">Common_InputFunctions.Utility_DisplayArrayInTable(Fertiliser_SourceData.Fertiliser_Products_Data3(), FertiliserProducts[[#Headers],[Company]],61)</f>
        <v/>
      </c>
      <c r="M171" s="62" t="str" cm="1">
        <f t="array" ref="M171">Common_InputFunctions.Utility_DisplayArrayInTable(Fertiliser_SourceData.Fertiliser_Products_Data3(), FertiliserProducts[[#Headers],[Company]],61)</f>
        <v/>
      </c>
      <c r="N171" s="62" t="str" cm="1">
        <f t="array" ref="N171">Common_InputFunctions.Utility_DisplayArrayInTable(Fertiliser_SourceData.Fertiliser_Products_Data3(), FertiliserProducts[[#Headers],[Company]],61)</f>
        <v/>
      </c>
      <c r="O171" s="62" t="str" cm="1">
        <f t="array" ref="O171">Common_InputFunctions.Utility_DisplayArrayInTable(Fertiliser_SourceData.Fertiliser_Products_Data3(), FertiliserProducts[[#Headers],[Company]],61)</f>
        <v/>
      </c>
      <c r="P171" s="62" t="str" cm="1">
        <f t="array" ref="P171">Common_InputFunctions.Utility_DisplayArrayInTable(Fertiliser_SourceData.Fertiliser_Products_Data3(), FertiliserProducts[[#Headers],[Company]],61)</f>
        <v/>
      </c>
      <c r="Q171" s="62" t="str" cm="1">
        <f t="array" ref="Q171">Common_InputFunctions.Utility_DisplayArrayInTable(Fertiliser_SourceData.Fertiliser_Products_Data3(), FertiliserProducts[[#Headers],[Company]],61)</f>
        <v/>
      </c>
      <c r="R171" s="62" t="str" cm="1">
        <f t="array" ref="R171">Common_InputFunctions.Utility_DisplayArrayInTable(Fertiliser_SourceData.Fertiliser_Products_Data3(), FertiliserProducts[[#Headers],[Company]],61)</f>
        <v/>
      </c>
      <c r="S171" s="62" t="str" cm="1">
        <f t="array" ref="S171">Common_InputFunctions.Utility_DisplayArrayInTable(Fertiliser_SourceData.Fertiliser_Products_Data3(), FertiliserProducts[[#Headers],[Company]],61)</f>
        <v/>
      </c>
      <c r="T171" s="62" t="str" cm="1">
        <f t="array" ref="T171">Common_InputFunctions.Utility_DisplayArrayInTable(Fertiliser_SourceData.Fertiliser_Products_Data3(), FertiliserProducts[[#Headers],[Company]],61)</f>
        <v/>
      </c>
      <c r="U171" s="62" t="str" cm="1">
        <f t="array" ref="U171">Common_InputFunctions.Utility_DisplayArrayInTable(Fertiliser_SourceData.Fertiliser_Products_Data3(), FertiliserProducts[[#Headers],[Company]],61)</f>
        <v/>
      </c>
      <c r="V171" s="62" t="str" cm="1">
        <f t="array" ref="V171">Common_InputFunctions.Utility_DisplayArrayInTable(Fertiliser_SourceData.Fertiliser_Products_Data3(), FertiliserProducts[[#Headers],[Company]],61)</f>
        <v/>
      </c>
      <c r="W171" s="62" t="str" cm="1">
        <f t="array" ref="W171">Common_InputFunctions.Utility_DisplayArrayInTable(Fertiliser_SourceData.Fertiliser_Products_Data3(), FertiliserProducts[[#Headers],[Company]],61)</f>
        <v>Crop Nutrition Solutions (Yara Australia)</v>
      </c>
      <c r="X171" s="62" t="str" cm="1">
        <f t="array" ref="X171">Common_InputFunctions.Utility_DisplayArrayInTable(Fertiliser_SourceData.Fertiliser_Products_Data3(), FertiliserProducts[[#Headers],[Company]],61)</f>
        <v/>
      </c>
      <c r="Y171" s="62" t="str" cm="1">
        <f t="array" ref="Y171">Common_InputFunctions.Utility_DisplayArrayInTable(Fertiliser_SourceData.Fertiliser_Products_Data3(), FertiliserProducts[[#Headers],[Company]],61)</f>
        <v/>
      </c>
      <c r="Z171" s="62" t="str" cm="1">
        <f t="array" ref="Z171">Common_InputFunctions.Utility_DisplayArrayInTable(Fertiliser_SourceData.Fertiliser_Products_Data3(), FertiliserProducts[[#Headers],[Company]],61)</f>
        <v/>
      </c>
      <c r="AA171" s="62" t="str" cm="1">
        <f t="array" ref="AA171">Common_InputFunctions.Utility_DisplayArrayInTable(Fertiliser_SourceData.Fertiliser_Products_Data3(), FertiliserProducts[[#Headers],[Company]],61)</f>
        <v/>
      </c>
      <c r="AB171" s="62" t="str" cm="1">
        <f t="array" ref="AB171">Common_InputFunctions.Utility_DisplayArrayInTable(Fertiliser_SourceData.Fertiliser_Products_Data3(), FertiliserProducts[[#Headers],[Company]],61)</f>
        <v/>
      </c>
      <c r="AC171" s="62" t="str" cm="1">
        <f t="array" ref="AC171">Common_InputFunctions.Utility_DisplayArrayInTable(Fertiliser_SourceData.Fertiliser_Products_Data3(), FertiliserProducts[[#Headers],[Company]],61)</f>
        <v/>
      </c>
      <c r="AD171" s="62" t="str" cm="1">
        <f t="array" ref="AD171">Common_InputFunctions.Utility_DisplayArrayInTable(Fertiliser_SourceData.Fertiliser_Products_Data3(), FertiliserProducts[[#Headers],[Company]],61)</f>
        <v/>
      </c>
      <c r="AE171" s="62" t="str" cm="1">
        <f t="array" ref="AE171">Common_InputFunctions.Utility_DisplayArrayInTable(Fertiliser_SourceData.Fertiliser_Products_Data3(), FertiliserProducts[[#Headers],[Company]],61)</f>
        <v/>
      </c>
      <c r="AF171" s="62" t="str" cm="1">
        <f t="array" ref="AF171">Common_InputFunctions.Utility_DisplayArrayInTable(Fertiliser_SourceData.Fertiliser_Products_Data3(), FertiliserProducts[[#Headers],[Company]],61)</f>
        <v/>
      </c>
      <c r="AG171" s="62" t="str" cm="1">
        <f t="array" ref="AG171">Common_InputFunctions.Utility_DisplayArrayInTable(Fertiliser_SourceData.Fertiliser_Products_Data3(), FertiliserProducts[[#Headers],[Company]],61)</f>
        <v/>
      </c>
      <c r="AH171" s="62" t="str" cm="1">
        <f t="array" ref="AH171">Common_InputFunctions.Utility_DisplayArrayInTable(Fertiliser_SourceData.Fertiliser_Products_Data3(), FertiliserProducts[[#Headers],[Company]],61)</f>
        <v/>
      </c>
      <c r="AK171" s="8"/>
    </row>
    <row r="172" spans="4:37" x14ac:dyDescent="0.25">
      <c r="D172" s="62" t="str" cm="1">
        <f t="array" ref="D172">Common_InputFunctions.Utility_DisplayArrayInTable(Fertiliser_SourceData.Fertiliser_Products_Data3(), FertiliserProducts[[#Headers],[Company]],61)</f>
        <v>YaraLiva NITRABOR</v>
      </c>
      <c r="E172" s="62" t="str" cm="1">
        <f t="array" ref="E172">Common_InputFunctions.Utility_DisplayArrayInTable(Fertiliser_SourceData.Fertiliser_Products_Data3(), FertiliserProducts[[#Headers],[Company]],61)</f>
        <v/>
      </c>
      <c r="F172" s="62" t="str" cm="1">
        <f t="array" ref="F172">Common_InputFunctions.Utility_DisplayArrayInTable(Fertiliser_SourceData.Fertiliser_Products_Data3(), FertiliserProducts[[#Headers],[Company]],61)</f>
        <v/>
      </c>
      <c r="G172" s="62" t="str" cm="1">
        <f t="array" ref="G172">Common_InputFunctions.Utility_DisplayArrayInTable(Fertiliser_SourceData.Fertiliser_Products_Data3(), FertiliserProducts[[#Headers],[Company]],61)</f>
        <v/>
      </c>
      <c r="H172" s="62" t="str" cm="1">
        <f t="array" ref="H172">Common_InputFunctions.Utility_DisplayArrayInTable(Fertiliser_SourceData.Fertiliser_Products_Data3(), FertiliserProducts[[#Headers],[Company]],61)</f>
        <v/>
      </c>
      <c r="I172" s="62" t="str" cm="1">
        <f t="array" ref="I172">Common_InputFunctions.Utility_DisplayArrayInTable(Fertiliser_SourceData.Fertiliser_Products_Data3(), FertiliserProducts[[#Headers],[Company]],61)</f>
        <v/>
      </c>
      <c r="J172" s="62" t="str" cm="1">
        <f t="array" ref="J172">Common_InputFunctions.Utility_DisplayArrayInTable(Fertiliser_SourceData.Fertiliser_Products_Data3(), FertiliserProducts[[#Headers],[Company]],61)</f>
        <v/>
      </c>
      <c r="K172" s="62" t="str" cm="1">
        <f t="array" ref="K172">Common_InputFunctions.Utility_DisplayArrayInTable(Fertiliser_SourceData.Fertiliser_Products_Data3(), FertiliserProducts[[#Headers],[Company]],61)</f>
        <v/>
      </c>
      <c r="L172" s="62" t="str" cm="1">
        <f t="array" ref="L172">Common_InputFunctions.Utility_DisplayArrayInTable(Fertiliser_SourceData.Fertiliser_Products_Data3(), FertiliserProducts[[#Headers],[Company]],61)</f>
        <v/>
      </c>
      <c r="M172" s="62" t="str" cm="1">
        <f t="array" ref="M172">Common_InputFunctions.Utility_DisplayArrayInTable(Fertiliser_SourceData.Fertiliser_Products_Data3(), FertiliserProducts[[#Headers],[Company]],61)</f>
        <v/>
      </c>
      <c r="N172" s="62" t="str" cm="1">
        <f t="array" ref="N172">Common_InputFunctions.Utility_DisplayArrayInTable(Fertiliser_SourceData.Fertiliser_Products_Data3(), FertiliserProducts[[#Headers],[Company]],61)</f>
        <v/>
      </c>
      <c r="O172" s="62" t="str" cm="1">
        <f t="array" ref="O172">Common_InputFunctions.Utility_DisplayArrayInTable(Fertiliser_SourceData.Fertiliser_Products_Data3(), FertiliserProducts[[#Headers],[Company]],61)</f>
        <v/>
      </c>
      <c r="P172" s="62" t="str" cm="1">
        <f t="array" ref="P172">Common_InputFunctions.Utility_DisplayArrayInTable(Fertiliser_SourceData.Fertiliser_Products_Data3(), FertiliserProducts[[#Headers],[Company]],61)</f>
        <v/>
      </c>
      <c r="Q172" s="62" t="str" cm="1">
        <f t="array" ref="Q172">Common_InputFunctions.Utility_DisplayArrayInTable(Fertiliser_SourceData.Fertiliser_Products_Data3(), FertiliserProducts[[#Headers],[Company]],61)</f>
        <v/>
      </c>
      <c r="R172" s="62" t="str" cm="1">
        <f t="array" ref="R172">Common_InputFunctions.Utility_DisplayArrayInTable(Fertiliser_SourceData.Fertiliser_Products_Data3(), FertiliserProducts[[#Headers],[Company]],61)</f>
        <v/>
      </c>
      <c r="S172" s="62" t="str" cm="1">
        <f t="array" ref="S172">Common_InputFunctions.Utility_DisplayArrayInTable(Fertiliser_SourceData.Fertiliser_Products_Data3(), FertiliserProducts[[#Headers],[Company]],61)</f>
        <v/>
      </c>
      <c r="T172" s="62" t="str" cm="1">
        <f t="array" ref="T172">Common_InputFunctions.Utility_DisplayArrayInTable(Fertiliser_SourceData.Fertiliser_Products_Data3(), FertiliserProducts[[#Headers],[Company]],61)</f>
        <v/>
      </c>
      <c r="U172" s="62" t="str" cm="1">
        <f t="array" ref="U172">Common_InputFunctions.Utility_DisplayArrayInTable(Fertiliser_SourceData.Fertiliser_Products_Data3(), FertiliserProducts[[#Headers],[Company]],61)</f>
        <v/>
      </c>
      <c r="V172" s="62" t="str" cm="1">
        <f t="array" ref="V172">Common_InputFunctions.Utility_DisplayArrayInTable(Fertiliser_SourceData.Fertiliser_Products_Data3(), FertiliserProducts[[#Headers],[Company]],61)</f>
        <v/>
      </c>
      <c r="W172" s="62" t="str" cm="1">
        <f t="array" ref="W172">Common_InputFunctions.Utility_DisplayArrayInTable(Fertiliser_SourceData.Fertiliser_Products_Data3(), FertiliserProducts[[#Headers],[Company]],61)</f>
        <v>YaraLiva NITRABOR | Yara Australia</v>
      </c>
      <c r="X172" s="62" t="str" cm="1">
        <f t="array" ref="X172">Common_InputFunctions.Utility_DisplayArrayInTable(Fertiliser_SourceData.Fertiliser_Products_Data3(), FertiliserProducts[[#Headers],[Company]],61)</f>
        <v/>
      </c>
      <c r="Y172" s="62" t="str" cm="1">
        <f t="array" ref="Y172">Common_InputFunctions.Utility_DisplayArrayInTable(Fertiliser_SourceData.Fertiliser_Products_Data3(), FertiliserProducts[[#Headers],[Company]],61)</f>
        <v/>
      </c>
      <c r="Z172" s="62" t="str" cm="1">
        <f t="array" ref="Z172">Common_InputFunctions.Utility_DisplayArrayInTable(Fertiliser_SourceData.Fertiliser_Products_Data3(), FertiliserProducts[[#Headers],[Company]],61)</f>
        <v/>
      </c>
      <c r="AA172" s="62" t="str" cm="1">
        <f t="array" ref="AA172">Common_InputFunctions.Utility_DisplayArrayInTable(Fertiliser_SourceData.Fertiliser_Products_Data3(), FertiliserProducts[[#Headers],[Company]],61)</f>
        <v/>
      </c>
      <c r="AB172" s="62" t="str" cm="1">
        <f t="array" ref="AB172">Common_InputFunctions.Utility_DisplayArrayInTable(Fertiliser_SourceData.Fertiliser_Products_Data3(), FertiliserProducts[[#Headers],[Company]],61)</f>
        <v/>
      </c>
      <c r="AC172" s="62" t="str" cm="1">
        <f t="array" ref="AC172">Common_InputFunctions.Utility_DisplayArrayInTable(Fertiliser_SourceData.Fertiliser_Products_Data3(), FertiliserProducts[[#Headers],[Company]],61)</f>
        <v/>
      </c>
      <c r="AD172" s="62" t="str" cm="1">
        <f t="array" ref="AD172">Common_InputFunctions.Utility_DisplayArrayInTable(Fertiliser_SourceData.Fertiliser_Products_Data3(), FertiliserProducts[[#Headers],[Company]],61)</f>
        <v/>
      </c>
      <c r="AE172" s="62" t="str" cm="1">
        <f t="array" ref="AE172">Common_InputFunctions.Utility_DisplayArrayInTable(Fertiliser_SourceData.Fertiliser_Products_Data3(), FertiliserProducts[[#Headers],[Company]],61)</f>
        <v/>
      </c>
      <c r="AF172" s="62" t="str" cm="1">
        <f t="array" ref="AF172">Common_InputFunctions.Utility_DisplayArrayInTable(Fertiliser_SourceData.Fertiliser_Products_Data3(), FertiliserProducts[[#Headers],[Company]],61)</f>
        <v/>
      </c>
      <c r="AG172" s="62" t="str" cm="1">
        <f t="array" ref="AG172">Common_InputFunctions.Utility_DisplayArrayInTable(Fertiliser_SourceData.Fertiliser_Products_Data3(), FertiliserProducts[[#Headers],[Company]],61)</f>
        <v/>
      </c>
      <c r="AH172" s="62" t="str" cm="1">
        <f t="array" ref="AH172">Common_InputFunctions.Utility_DisplayArrayInTable(Fertiliser_SourceData.Fertiliser_Products_Data3(), FertiliserProducts[[#Headers],[Company]],61)</f>
        <v/>
      </c>
      <c r="AK172" s="8"/>
    </row>
    <row r="173" spans="4:37" x14ac:dyDescent="0.25">
      <c r="D173" s="62" t="str" cm="1">
        <f t="array" ref="D173">Common_InputFunctions.Utility_DisplayArrayInTable(Fertiliser_SourceData.Fertiliser_Products_Data3(), FertiliserProducts[[#Headers],[Company]],61)</f>
        <v>YaraLiva TROPICOTE</v>
      </c>
      <c r="E173" s="62" t="str" cm="1">
        <f t="array" ref="E173">Common_InputFunctions.Utility_DisplayArrayInTable(Fertiliser_SourceData.Fertiliser_Products_Data3(), FertiliserProducts[[#Headers],[Company]],61)</f>
        <v/>
      </c>
      <c r="F173" s="62" t="str" cm="1">
        <f t="array" ref="F173">Common_InputFunctions.Utility_DisplayArrayInTable(Fertiliser_SourceData.Fertiliser_Products_Data3(), FertiliserProducts[[#Headers],[Company]],61)</f>
        <v/>
      </c>
      <c r="G173" s="62" t="str" cm="1">
        <f t="array" ref="G173">Common_InputFunctions.Utility_DisplayArrayInTable(Fertiliser_SourceData.Fertiliser_Products_Data3(), FertiliserProducts[[#Headers],[Company]],61)</f>
        <v/>
      </c>
      <c r="H173" s="62" t="str" cm="1">
        <f t="array" ref="H173">Common_InputFunctions.Utility_DisplayArrayInTable(Fertiliser_SourceData.Fertiliser_Products_Data3(), FertiliserProducts[[#Headers],[Company]],61)</f>
        <v/>
      </c>
      <c r="I173" s="62" t="str" cm="1">
        <f t="array" ref="I173">Common_InputFunctions.Utility_DisplayArrayInTable(Fertiliser_SourceData.Fertiliser_Products_Data3(), FertiliserProducts[[#Headers],[Company]],61)</f>
        <v/>
      </c>
      <c r="J173" s="62" t="str" cm="1">
        <f t="array" ref="J173">Common_InputFunctions.Utility_DisplayArrayInTable(Fertiliser_SourceData.Fertiliser_Products_Data3(), FertiliserProducts[[#Headers],[Company]],61)</f>
        <v/>
      </c>
      <c r="K173" s="62" t="str" cm="1">
        <f t="array" ref="K173">Common_InputFunctions.Utility_DisplayArrayInTable(Fertiliser_SourceData.Fertiliser_Products_Data3(), FertiliserProducts[[#Headers],[Company]],61)</f>
        <v/>
      </c>
      <c r="L173" s="62" t="str" cm="1">
        <f t="array" ref="L173">Common_InputFunctions.Utility_DisplayArrayInTable(Fertiliser_SourceData.Fertiliser_Products_Data3(), FertiliserProducts[[#Headers],[Company]],61)</f>
        <v/>
      </c>
      <c r="M173" s="62" t="str" cm="1">
        <f t="array" ref="M173">Common_InputFunctions.Utility_DisplayArrayInTable(Fertiliser_SourceData.Fertiliser_Products_Data3(), FertiliserProducts[[#Headers],[Company]],61)</f>
        <v/>
      </c>
      <c r="N173" s="62" t="str" cm="1">
        <f t="array" ref="N173">Common_InputFunctions.Utility_DisplayArrayInTable(Fertiliser_SourceData.Fertiliser_Products_Data3(), FertiliserProducts[[#Headers],[Company]],61)</f>
        <v/>
      </c>
      <c r="O173" s="62" t="str" cm="1">
        <f t="array" ref="O173">Common_InputFunctions.Utility_DisplayArrayInTable(Fertiliser_SourceData.Fertiliser_Products_Data3(), FertiliserProducts[[#Headers],[Company]],61)</f>
        <v/>
      </c>
      <c r="P173" s="62" t="str" cm="1">
        <f t="array" ref="P173">Common_InputFunctions.Utility_DisplayArrayInTable(Fertiliser_SourceData.Fertiliser_Products_Data3(), FertiliserProducts[[#Headers],[Company]],61)</f>
        <v/>
      </c>
      <c r="Q173" s="62" t="str" cm="1">
        <f t="array" ref="Q173">Common_InputFunctions.Utility_DisplayArrayInTable(Fertiliser_SourceData.Fertiliser_Products_Data3(), FertiliserProducts[[#Headers],[Company]],61)</f>
        <v/>
      </c>
      <c r="R173" s="62" t="str" cm="1">
        <f t="array" ref="R173">Common_InputFunctions.Utility_DisplayArrayInTable(Fertiliser_SourceData.Fertiliser_Products_Data3(), FertiliserProducts[[#Headers],[Company]],61)</f>
        <v/>
      </c>
      <c r="S173" s="62" t="str" cm="1">
        <f t="array" ref="S173">Common_InputFunctions.Utility_DisplayArrayInTable(Fertiliser_SourceData.Fertiliser_Products_Data3(), FertiliserProducts[[#Headers],[Company]],61)</f>
        <v/>
      </c>
      <c r="T173" s="62" t="str" cm="1">
        <f t="array" ref="T173">Common_InputFunctions.Utility_DisplayArrayInTable(Fertiliser_SourceData.Fertiliser_Products_Data3(), FertiliserProducts[[#Headers],[Company]],61)</f>
        <v/>
      </c>
      <c r="U173" s="62" t="str" cm="1">
        <f t="array" ref="U173">Common_InputFunctions.Utility_DisplayArrayInTable(Fertiliser_SourceData.Fertiliser_Products_Data3(), FertiliserProducts[[#Headers],[Company]],61)</f>
        <v/>
      </c>
      <c r="V173" s="62" t="str" cm="1">
        <f t="array" ref="V173">Common_InputFunctions.Utility_DisplayArrayInTable(Fertiliser_SourceData.Fertiliser_Products_Data3(), FertiliserProducts[[#Headers],[Company]],61)</f>
        <v/>
      </c>
      <c r="W173" s="62" t="str" cm="1">
        <f t="array" ref="W173">Common_InputFunctions.Utility_DisplayArrayInTable(Fertiliser_SourceData.Fertiliser_Products_Data3(), FertiliserProducts[[#Headers],[Company]],61)</f>
        <v>Crop Nutrition Solutions (Yara Australia)</v>
      </c>
      <c r="X173" s="62" t="str" cm="1">
        <f t="array" ref="X173">Common_InputFunctions.Utility_DisplayArrayInTable(Fertiliser_SourceData.Fertiliser_Products_Data3(), FertiliserProducts[[#Headers],[Company]],61)</f>
        <v/>
      </c>
      <c r="Y173" s="62" t="str" cm="1">
        <f t="array" ref="Y173">Common_InputFunctions.Utility_DisplayArrayInTable(Fertiliser_SourceData.Fertiliser_Products_Data3(), FertiliserProducts[[#Headers],[Company]],61)</f>
        <v/>
      </c>
      <c r="Z173" s="62" t="str" cm="1">
        <f t="array" ref="Z173">Common_InputFunctions.Utility_DisplayArrayInTable(Fertiliser_SourceData.Fertiliser_Products_Data3(), FertiliserProducts[[#Headers],[Company]],61)</f>
        <v/>
      </c>
      <c r="AA173" s="62" t="str" cm="1">
        <f t="array" ref="AA173">Common_InputFunctions.Utility_DisplayArrayInTable(Fertiliser_SourceData.Fertiliser_Products_Data3(), FertiliserProducts[[#Headers],[Company]],61)</f>
        <v/>
      </c>
      <c r="AB173" s="62" t="str" cm="1">
        <f t="array" ref="AB173">Common_InputFunctions.Utility_DisplayArrayInTable(Fertiliser_SourceData.Fertiliser_Products_Data3(), FertiliserProducts[[#Headers],[Company]],61)</f>
        <v/>
      </c>
      <c r="AC173" s="62" t="str" cm="1">
        <f t="array" ref="AC173">Common_InputFunctions.Utility_DisplayArrayInTable(Fertiliser_SourceData.Fertiliser_Products_Data3(), FertiliserProducts[[#Headers],[Company]],61)</f>
        <v/>
      </c>
      <c r="AD173" s="62" t="str" cm="1">
        <f t="array" ref="AD173">Common_InputFunctions.Utility_DisplayArrayInTable(Fertiliser_SourceData.Fertiliser_Products_Data3(), FertiliserProducts[[#Headers],[Company]],61)</f>
        <v/>
      </c>
      <c r="AE173" s="62" t="str" cm="1">
        <f t="array" ref="AE173">Common_InputFunctions.Utility_DisplayArrayInTable(Fertiliser_SourceData.Fertiliser_Products_Data3(), FertiliserProducts[[#Headers],[Company]],61)</f>
        <v/>
      </c>
      <c r="AF173" s="62" t="str" cm="1">
        <f t="array" ref="AF173">Common_InputFunctions.Utility_DisplayArrayInTable(Fertiliser_SourceData.Fertiliser_Products_Data3(), FertiliserProducts[[#Headers],[Company]],61)</f>
        <v/>
      </c>
      <c r="AG173" s="62" t="str" cm="1">
        <f t="array" ref="AG173">Common_InputFunctions.Utility_DisplayArrayInTable(Fertiliser_SourceData.Fertiliser_Products_Data3(), FertiliserProducts[[#Headers],[Company]],61)</f>
        <v/>
      </c>
      <c r="AH173" s="62" t="str" cm="1">
        <f t="array" ref="AH173">Common_InputFunctions.Utility_DisplayArrayInTable(Fertiliser_SourceData.Fertiliser_Products_Data3(), FertiliserProducts[[#Headers],[Company]],61)</f>
        <v/>
      </c>
      <c r="AK173" s="8"/>
    </row>
    <row r="174" spans="4:37" x14ac:dyDescent="0.25">
      <c r="D174" s="62" t="str" cm="1">
        <f t="array" ref="D174">Common_InputFunctions.Utility_DisplayArrayInTable(Fertiliser_SourceData.Fertiliser_Products_Data3(), FertiliserProducts[[#Headers],[Company]],61)</f>
        <v>YaraMila Complex</v>
      </c>
      <c r="E174" s="62" t="str" cm="1">
        <f t="array" ref="E174">Common_InputFunctions.Utility_DisplayArrayInTable(Fertiliser_SourceData.Fertiliser_Products_Data3(), FertiliserProducts[[#Headers],[Company]],61)</f>
        <v/>
      </c>
      <c r="F174" s="62" t="str" cm="1">
        <f t="array" ref="F174">Common_InputFunctions.Utility_DisplayArrayInTable(Fertiliser_SourceData.Fertiliser_Products_Data3(), FertiliserProducts[[#Headers],[Company]],61)</f>
        <v/>
      </c>
      <c r="G174" s="62" t="str" cm="1">
        <f t="array" ref="G174">Common_InputFunctions.Utility_DisplayArrayInTable(Fertiliser_SourceData.Fertiliser_Products_Data3(), FertiliserProducts[[#Headers],[Company]],61)</f>
        <v/>
      </c>
      <c r="H174" s="62" t="str" cm="1">
        <f t="array" ref="H174">Common_InputFunctions.Utility_DisplayArrayInTable(Fertiliser_SourceData.Fertiliser_Products_Data3(), FertiliserProducts[[#Headers],[Company]],61)</f>
        <v/>
      </c>
      <c r="I174" s="62" t="str" cm="1">
        <f t="array" ref="I174">Common_InputFunctions.Utility_DisplayArrayInTable(Fertiliser_SourceData.Fertiliser_Products_Data3(), FertiliserProducts[[#Headers],[Company]],61)</f>
        <v/>
      </c>
      <c r="J174" s="62" t="str" cm="1">
        <f t="array" ref="J174">Common_InputFunctions.Utility_DisplayArrayInTable(Fertiliser_SourceData.Fertiliser_Products_Data3(), FertiliserProducts[[#Headers],[Company]],61)</f>
        <v/>
      </c>
      <c r="K174" s="62" t="str" cm="1">
        <f t="array" ref="K174">Common_InputFunctions.Utility_DisplayArrayInTable(Fertiliser_SourceData.Fertiliser_Products_Data3(), FertiliserProducts[[#Headers],[Company]],61)</f>
        <v/>
      </c>
      <c r="L174" s="62" t="str" cm="1">
        <f t="array" ref="L174">Common_InputFunctions.Utility_DisplayArrayInTable(Fertiliser_SourceData.Fertiliser_Products_Data3(), FertiliserProducts[[#Headers],[Company]],61)</f>
        <v/>
      </c>
      <c r="M174" s="62" t="str" cm="1">
        <f t="array" ref="M174">Common_InputFunctions.Utility_DisplayArrayInTable(Fertiliser_SourceData.Fertiliser_Products_Data3(), FertiliserProducts[[#Headers],[Company]],61)</f>
        <v/>
      </c>
      <c r="N174" s="62" t="str" cm="1">
        <f t="array" ref="N174">Common_InputFunctions.Utility_DisplayArrayInTable(Fertiliser_SourceData.Fertiliser_Products_Data3(), FertiliserProducts[[#Headers],[Company]],61)</f>
        <v/>
      </c>
      <c r="O174" s="62" t="str" cm="1">
        <f t="array" ref="O174">Common_InputFunctions.Utility_DisplayArrayInTable(Fertiliser_SourceData.Fertiliser_Products_Data3(), FertiliserProducts[[#Headers],[Company]],61)</f>
        <v/>
      </c>
      <c r="P174" s="62" t="str" cm="1">
        <f t="array" ref="P174">Common_InputFunctions.Utility_DisplayArrayInTable(Fertiliser_SourceData.Fertiliser_Products_Data3(), FertiliserProducts[[#Headers],[Company]],61)</f>
        <v/>
      </c>
      <c r="Q174" s="62" t="str" cm="1">
        <f t="array" ref="Q174">Common_InputFunctions.Utility_DisplayArrayInTable(Fertiliser_SourceData.Fertiliser_Products_Data3(), FertiliserProducts[[#Headers],[Company]],61)</f>
        <v/>
      </c>
      <c r="R174" s="62" t="str" cm="1">
        <f t="array" ref="R174">Common_InputFunctions.Utility_DisplayArrayInTable(Fertiliser_SourceData.Fertiliser_Products_Data3(), FertiliserProducts[[#Headers],[Company]],61)</f>
        <v/>
      </c>
      <c r="S174" s="62" t="str" cm="1">
        <f t="array" ref="S174">Common_InputFunctions.Utility_DisplayArrayInTable(Fertiliser_SourceData.Fertiliser_Products_Data3(), FertiliserProducts[[#Headers],[Company]],61)</f>
        <v/>
      </c>
      <c r="T174" s="62" t="str" cm="1">
        <f t="array" ref="T174">Common_InputFunctions.Utility_DisplayArrayInTable(Fertiliser_SourceData.Fertiliser_Products_Data3(), FertiliserProducts[[#Headers],[Company]],61)</f>
        <v/>
      </c>
      <c r="U174" s="62" t="str" cm="1">
        <f t="array" ref="U174">Common_InputFunctions.Utility_DisplayArrayInTable(Fertiliser_SourceData.Fertiliser_Products_Data3(), FertiliserProducts[[#Headers],[Company]],61)</f>
        <v/>
      </c>
      <c r="V174" s="62" t="str" cm="1">
        <f t="array" ref="V174">Common_InputFunctions.Utility_DisplayArrayInTable(Fertiliser_SourceData.Fertiliser_Products_Data3(), FertiliserProducts[[#Headers],[Company]],61)</f>
        <v/>
      </c>
      <c r="W174" s="62" t="str" cm="1">
        <f t="array" ref="W174">Common_InputFunctions.Utility_DisplayArrayInTable(Fertiliser_SourceData.Fertiliser_Products_Data3(), FertiliserProducts[[#Headers],[Company]],61)</f>
        <v>Crop Nutrition Solutions (Yara Australia)</v>
      </c>
      <c r="X174" s="62" t="str" cm="1">
        <f t="array" ref="X174">Common_InputFunctions.Utility_DisplayArrayInTable(Fertiliser_SourceData.Fertiliser_Products_Data3(), FertiliserProducts[[#Headers],[Company]],61)</f>
        <v/>
      </c>
      <c r="Y174" s="62" t="str" cm="1">
        <f t="array" ref="Y174">Common_InputFunctions.Utility_DisplayArrayInTable(Fertiliser_SourceData.Fertiliser_Products_Data3(), FertiliserProducts[[#Headers],[Company]],61)</f>
        <v/>
      </c>
      <c r="Z174" s="62" t="str" cm="1">
        <f t="array" ref="Z174">Common_InputFunctions.Utility_DisplayArrayInTable(Fertiliser_SourceData.Fertiliser_Products_Data3(), FertiliserProducts[[#Headers],[Company]],61)</f>
        <v/>
      </c>
      <c r="AA174" s="62" t="str" cm="1">
        <f t="array" ref="AA174">Common_InputFunctions.Utility_DisplayArrayInTable(Fertiliser_SourceData.Fertiliser_Products_Data3(), FertiliserProducts[[#Headers],[Company]],61)</f>
        <v/>
      </c>
      <c r="AB174" s="62" t="str" cm="1">
        <f t="array" ref="AB174">Common_InputFunctions.Utility_DisplayArrayInTable(Fertiliser_SourceData.Fertiliser_Products_Data3(), FertiliserProducts[[#Headers],[Company]],61)</f>
        <v/>
      </c>
      <c r="AC174" s="62" t="str" cm="1">
        <f t="array" ref="AC174">Common_InputFunctions.Utility_DisplayArrayInTable(Fertiliser_SourceData.Fertiliser_Products_Data3(), FertiliserProducts[[#Headers],[Company]],61)</f>
        <v/>
      </c>
      <c r="AD174" s="62" t="str" cm="1">
        <f t="array" ref="AD174">Common_InputFunctions.Utility_DisplayArrayInTable(Fertiliser_SourceData.Fertiliser_Products_Data3(), FertiliserProducts[[#Headers],[Company]],61)</f>
        <v/>
      </c>
      <c r="AE174" s="62" t="str" cm="1">
        <f t="array" ref="AE174">Common_InputFunctions.Utility_DisplayArrayInTable(Fertiliser_SourceData.Fertiliser_Products_Data3(), FertiliserProducts[[#Headers],[Company]],61)</f>
        <v/>
      </c>
      <c r="AF174" s="62" t="str" cm="1">
        <f t="array" ref="AF174">Common_InputFunctions.Utility_DisplayArrayInTable(Fertiliser_SourceData.Fertiliser_Products_Data3(), FertiliserProducts[[#Headers],[Company]],61)</f>
        <v/>
      </c>
      <c r="AG174" s="62" t="str" cm="1">
        <f t="array" ref="AG174">Common_InputFunctions.Utility_DisplayArrayInTable(Fertiliser_SourceData.Fertiliser_Products_Data3(), FertiliserProducts[[#Headers],[Company]],61)</f>
        <v/>
      </c>
      <c r="AH174" s="62" t="str" cm="1">
        <f t="array" ref="AH174">Common_InputFunctions.Utility_DisplayArrayInTable(Fertiliser_SourceData.Fertiliser_Products_Data3(), FertiliserProducts[[#Headers],[Company]],61)</f>
        <v/>
      </c>
      <c r="AK174" s="8"/>
    </row>
    <row r="175" spans="4:37" x14ac:dyDescent="0.25">
      <c r="D175" s="62" t="str" cm="1">
        <f t="array" ref="D175">Common_InputFunctions.Utility_DisplayArrayInTable(Fertiliser_SourceData.Fertiliser_Products_Data3(), FertiliserProducts[[#Headers],[Company]],61)</f>
        <v>YaraMila Complex 17-5-10(4)</v>
      </c>
      <c r="E175" s="62" t="str" cm="1">
        <f t="array" ref="E175">Common_InputFunctions.Utility_DisplayArrayInTable(Fertiliser_SourceData.Fertiliser_Products_Data3(), FertiliserProducts[[#Headers],[Company]],61)</f>
        <v/>
      </c>
      <c r="F175" s="62" t="str" cm="1">
        <f t="array" ref="F175">Common_InputFunctions.Utility_DisplayArrayInTable(Fertiliser_SourceData.Fertiliser_Products_Data3(), FertiliserProducts[[#Headers],[Company]],61)</f>
        <v/>
      </c>
      <c r="G175" s="62" t="str" cm="1">
        <f t="array" ref="G175">Common_InputFunctions.Utility_DisplayArrayInTable(Fertiliser_SourceData.Fertiliser_Products_Data3(), FertiliserProducts[[#Headers],[Company]],61)</f>
        <v/>
      </c>
      <c r="H175" s="62" t="str" cm="1">
        <f t="array" ref="H175">Common_InputFunctions.Utility_DisplayArrayInTable(Fertiliser_SourceData.Fertiliser_Products_Data3(), FertiliserProducts[[#Headers],[Company]],61)</f>
        <v/>
      </c>
      <c r="I175" s="62" t="str" cm="1">
        <f t="array" ref="I175">Common_InputFunctions.Utility_DisplayArrayInTable(Fertiliser_SourceData.Fertiliser_Products_Data3(), FertiliserProducts[[#Headers],[Company]],61)</f>
        <v/>
      </c>
      <c r="J175" s="62" t="str" cm="1">
        <f t="array" ref="J175">Common_InputFunctions.Utility_DisplayArrayInTable(Fertiliser_SourceData.Fertiliser_Products_Data3(), FertiliserProducts[[#Headers],[Company]],61)</f>
        <v/>
      </c>
      <c r="K175" s="62" t="str" cm="1">
        <f t="array" ref="K175">Common_InputFunctions.Utility_DisplayArrayInTable(Fertiliser_SourceData.Fertiliser_Products_Data3(), FertiliserProducts[[#Headers],[Company]],61)</f>
        <v/>
      </c>
      <c r="L175" s="62" t="str" cm="1">
        <f t="array" ref="L175">Common_InputFunctions.Utility_DisplayArrayInTable(Fertiliser_SourceData.Fertiliser_Products_Data3(), FertiliserProducts[[#Headers],[Company]],61)</f>
        <v/>
      </c>
      <c r="M175" s="62" t="str" cm="1">
        <f t="array" ref="M175">Common_InputFunctions.Utility_DisplayArrayInTable(Fertiliser_SourceData.Fertiliser_Products_Data3(), FertiliserProducts[[#Headers],[Company]],61)</f>
        <v/>
      </c>
      <c r="N175" s="62" t="str" cm="1">
        <f t="array" ref="N175">Common_InputFunctions.Utility_DisplayArrayInTable(Fertiliser_SourceData.Fertiliser_Products_Data3(), FertiliserProducts[[#Headers],[Company]],61)</f>
        <v/>
      </c>
      <c r="O175" s="62" t="str" cm="1">
        <f t="array" ref="O175">Common_InputFunctions.Utility_DisplayArrayInTable(Fertiliser_SourceData.Fertiliser_Products_Data3(), FertiliserProducts[[#Headers],[Company]],61)</f>
        <v/>
      </c>
      <c r="P175" s="62" t="str" cm="1">
        <f t="array" ref="P175">Common_InputFunctions.Utility_DisplayArrayInTable(Fertiliser_SourceData.Fertiliser_Products_Data3(), FertiliserProducts[[#Headers],[Company]],61)</f>
        <v/>
      </c>
      <c r="Q175" s="62" t="str" cm="1">
        <f t="array" ref="Q175">Common_InputFunctions.Utility_DisplayArrayInTable(Fertiliser_SourceData.Fertiliser_Products_Data3(), FertiliserProducts[[#Headers],[Company]],61)</f>
        <v/>
      </c>
      <c r="R175" s="62" t="str" cm="1">
        <f t="array" ref="R175">Common_InputFunctions.Utility_DisplayArrayInTable(Fertiliser_SourceData.Fertiliser_Products_Data3(), FertiliserProducts[[#Headers],[Company]],61)</f>
        <v/>
      </c>
      <c r="S175" s="62" t="str" cm="1">
        <f t="array" ref="S175">Common_InputFunctions.Utility_DisplayArrayInTable(Fertiliser_SourceData.Fertiliser_Products_Data3(), FertiliserProducts[[#Headers],[Company]],61)</f>
        <v/>
      </c>
      <c r="T175" s="62" t="str" cm="1">
        <f t="array" ref="T175">Common_InputFunctions.Utility_DisplayArrayInTable(Fertiliser_SourceData.Fertiliser_Products_Data3(), FertiliserProducts[[#Headers],[Company]],61)</f>
        <v/>
      </c>
      <c r="U175" s="62" t="str" cm="1">
        <f t="array" ref="U175">Common_InputFunctions.Utility_DisplayArrayInTable(Fertiliser_SourceData.Fertiliser_Products_Data3(), FertiliserProducts[[#Headers],[Company]],61)</f>
        <v/>
      </c>
      <c r="V175" s="62" t="str" cm="1">
        <f t="array" ref="V175">Common_InputFunctions.Utility_DisplayArrayInTable(Fertiliser_SourceData.Fertiliser_Products_Data3(), FertiliserProducts[[#Headers],[Company]],61)</f>
        <v/>
      </c>
      <c r="W175" s="62" t="str" cm="1">
        <f t="array" ref="W175">Common_InputFunctions.Utility_DisplayArrayInTable(Fertiliser_SourceData.Fertiliser_Products_Data3(), FertiliserProducts[[#Headers],[Company]],61)</f>
        <v>Crop Nutrition Solutions (Yara Australia)</v>
      </c>
      <c r="X175" s="62" t="str" cm="1">
        <f t="array" ref="X175">Common_InputFunctions.Utility_DisplayArrayInTable(Fertiliser_SourceData.Fertiliser_Products_Data3(), FertiliserProducts[[#Headers],[Company]],61)</f>
        <v/>
      </c>
      <c r="Y175" s="62" t="str" cm="1">
        <f t="array" ref="Y175">Common_InputFunctions.Utility_DisplayArrayInTable(Fertiliser_SourceData.Fertiliser_Products_Data3(), FertiliserProducts[[#Headers],[Company]],61)</f>
        <v/>
      </c>
      <c r="Z175" s="62" t="str" cm="1">
        <f t="array" ref="Z175">Common_InputFunctions.Utility_DisplayArrayInTable(Fertiliser_SourceData.Fertiliser_Products_Data3(), FertiliserProducts[[#Headers],[Company]],61)</f>
        <v/>
      </c>
      <c r="AA175" s="62" t="str" cm="1">
        <f t="array" ref="AA175">Common_InputFunctions.Utility_DisplayArrayInTable(Fertiliser_SourceData.Fertiliser_Products_Data3(), FertiliserProducts[[#Headers],[Company]],61)</f>
        <v/>
      </c>
      <c r="AB175" s="62" t="str" cm="1">
        <f t="array" ref="AB175">Common_InputFunctions.Utility_DisplayArrayInTable(Fertiliser_SourceData.Fertiliser_Products_Data3(), FertiliserProducts[[#Headers],[Company]],61)</f>
        <v/>
      </c>
      <c r="AC175" s="62" t="str" cm="1">
        <f t="array" ref="AC175">Common_InputFunctions.Utility_DisplayArrayInTable(Fertiliser_SourceData.Fertiliser_Products_Data3(), FertiliserProducts[[#Headers],[Company]],61)</f>
        <v/>
      </c>
      <c r="AD175" s="62" t="str" cm="1">
        <f t="array" ref="AD175">Common_InputFunctions.Utility_DisplayArrayInTable(Fertiliser_SourceData.Fertiliser_Products_Data3(), FertiliserProducts[[#Headers],[Company]],61)</f>
        <v/>
      </c>
      <c r="AE175" s="62" t="str" cm="1">
        <f t="array" ref="AE175">Common_InputFunctions.Utility_DisplayArrayInTable(Fertiliser_SourceData.Fertiliser_Products_Data3(), FertiliserProducts[[#Headers],[Company]],61)</f>
        <v/>
      </c>
      <c r="AF175" s="62" t="str" cm="1">
        <f t="array" ref="AF175">Common_InputFunctions.Utility_DisplayArrayInTable(Fertiliser_SourceData.Fertiliser_Products_Data3(), FertiliserProducts[[#Headers],[Company]],61)</f>
        <v/>
      </c>
      <c r="AG175" s="62" t="str" cm="1">
        <f t="array" ref="AG175">Common_InputFunctions.Utility_DisplayArrayInTable(Fertiliser_SourceData.Fertiliser_Products_Data3(), FertiliserProducts[[#Headers],[Company]],61)</f>
        <v/>
      </c>
      <c r="AH175" s="62" t="str" cm="1">
        <f t="array" ref="AH175">Common_InputFunctions.Utility_DisplayArrayInTable(Fertiliser_SourceData.Fertiliser_Products_Data3(), FertiliserProducts[[#Headers],[Company]],61)</f>
        <v/>
      </c>
      <c r="AK175" s="8"/>
    </row>
    <row r="176" spans="4:37" x14ac:dyDescent="0.25">
      <c r="D176" s="62" t="str" cm="1">
        <f t="array" ref="D176">Common_InputFunctions.Utility_DisplayArrayInTable(Fertiliser_SourceData.Fertiliser_Products_Data3(), FertiliserProducts[[#Headers],[Company]],61)</f>
        <v>YaraMila Complex 21-7-3(4)</v>
      </c>
      <c r="E176" s="62" t="str" cm="1">
        <f t="array" ref="E176">Common_InputFunctions.Utility_DisplayArrayInTable(Fertiliser_SourceData.Fertiliser_Products_Data3(), FertiliserProducts[[#Headers],[Company]],61)</f>
        <v/>
      </c>
      <c r="F176" s="62" t="str" cm="1">
        <f t="array" ref="F176">Common_InputFunctions.Utility_DisplayArrayInTable(Fertiliser_SourceData.Fertiliser_Products_Data3(), FertiliserProducts[[#Headers],[Company]],61)</f>
        <v/>
      </c>
      <c r="G176" s="62" t="str" cm="1">
        <f t="array" ref="G176">Common_InputFunctions.Utility_DisplayArrayInTable(Fertiliser_SourceData.Fertiliser_Products_Data3(), FertiliserProducts[[#Headers],[Company]],61)</f>
        <v/>
      </c>
      <c r="H176" s="62" t="str" cm="1">
        <f t="array" ref="H176">Common_InputFunctions.Utility_DisplayArrayInTable(Fertiliser_SourceData.Fertiliser_Products_Data3(), FertiliserProducts[[#Headers],[Company]],61)</f>
        <v/>
      </c>
      <c r="I176" s="62" t="str" cm="1">
        <f t="array" ref="I176">Common_InputFunctions.Utility_DisplayArrayInTable(Fertiliser_SourceData.Fertiliser_Products_Data3(), FertiliserProducts[[#Headers],[Company]],61)</f>
        <v/>
      </c>
      <c r="J176" s="62" t="str" cm="1">
        <f t="array" ref="J176">Common_InputFunctions.Utility_DisplayArrayInTable(Fertiliser_SourceData.Fertiliser_Products_Data3(), FertiliserProducts[[#Headers],[Company]],61)</f>
        <v/>
      </c>
      <c r="K176" s="62" t="str" cm="1">
        <f t="array" ref="K176">Common_InputFunctions.Utility_DisplayArrayInTable(Fertiliser_SourceData.Fertiliser_Products_Data3(), FertiliserProducts[[#Headers],[Company]],61)</f>
        <v/>
      </c>
      <c r="L176" s="62" t="str" cm="1">
        <f t="array" ref="L176">Common_InputFunctions.Utility_DisplayArrayInTable(Fertiliser_SourceData.Fertiliser_Products_Data3(), FertiliserProducts[[#Headers],[Company]],61)</f>
        <v/>
      </c>
      <c r="M176" s="62" t="str" cm="1">
        <f t="array" ref="M176">Common_InputFunctions.Utility_DisplayArrayInTable(Fertiliser_SourceData.Fertiliser_Products_Data3(), FertiliserProducts[[#Headers],[Company]],61)</f>
        <v/>
      </c>
      <c r="N176" s="62" t="str" cm="1">
        <f t="array" ref="N176">Common_InputFunctions.Utility_DisplayArrayInTable(Fertiliser_SourceData.Fertiliser_Products_Data3(), FertiliserProducts[[#Headers],[Company]],61)</f>
        <v/>
      </c>
      <c r="O176" s="62" t="str" cm="1">
        <f t="array" ref="O176">Common_InputFunctions.Utility_DisplayArrayInTable(Fertiliser_SourceData.Fertiliser_Products_Data3(), FertiliserProducts[[#Headers],[Company]],61)</f>
        <v/>
      </c>
      <c r="P176" s="62" t="str" cm="1">
        <f t="array" ref="P176">Common_InputFunctions.Utility_DisplayArrayInTable(Fertiliser_SourceData.Fertiliser_Products_Data3(), FertiliserProducts[[#Headers],[Company]],61)</f>
        <v/>
      </c>
      <c r="Q176" s="62" t="str" cm="1">
        <f t="array" ref="Q176">Common_InputFunctions.Utility_DisplayArrayInTable(Fertiliser_SourceData.Fertiliser_Products_Data3(), FertiliserProducts[[#Headers],[Company]],61)</f>
        <v/>
      </c>
      <c r="R176" s="62" t="str" cm="1">
        <f t="array" ref="R176">Common_InputFunctions.Utility_DisplayArrayInTable(Fertiliser_SourceData.Fertiliser_Products_Data3(), FertiliserProducts[[#Headers],[Company]],61)</f>
        <v/>
      </c>
      <c r="S176" s="62" t="str" cm="1">
        <f t="array" ref="S176">Common_InputFunctions.Utility_DisplayArrayInTable(Fertiliser_SourceData.Fertiliser_Products_Data3(), FertiliserProducts[[#Headers],[Company]],61)</f>
        <v/>
      </c>
      <c r="T176" s="62" t="str" cm="1">
        <f t="array" ref="T176">Common_InputFunctions.Utility_DisplayArrayInTable(Fertiliser_SourceData.Fertiliser_Products_Data3(), FertiliserProducts[[#Headers],[Company]],61)</f>
        <v/>
      </c>
      <c r="U176" s="62" t="str" cm="1">
        <f t="array" ref="U176">Common_InputFunctions.Utility_DisplayArrayInTable(Fertiliser_SourceData.Fertiliser_Products_Data3(), FertiliserProducts[[#Headers],[Company]],61)</f>
        <v/>
      </c>
      <c r="V176" s="62" t="str" cm="1">
        <f t="array" ref="V176">Common_InputFunctions.Utility_DisplayArrayInTable(Fertiliser_SourceData.Fertiliser_Products_Data3(), FertiliserProducts[[#Headers],[Company]],61)</f>
        <v/>
      </c>
      <c r="W176" s="62" t="str" cm="1">
        <f t="array" ref="W176">Common_InputFunctions.Utility_DisplayArrayInTable(Fertiliser_SourceData.Fertiliser_Products_Data3(), FertiliserProducts[[#Headers],[Company]],61)</f>
        <v>Crop Nutrition Solutions (Yara Australia)</v>
      </c>
      <c r="X176" s="62" t="str" cm="1">
        <f t="array" ref="X176">Common_InputFunctions.Utility_DisplayArrayInTable(Fertiliser_SourceData.Fertiliser_Products_Data3(), FertiliserProducts[[#Headers],[Company]],61)</f>
        <v/>
      </c>
      <c r="Y176" s="62" t="str" cm="1">
        <f t="array" ref="Y176">Common_InputFunctions.Utility_DisplayArrayInTable(Fertiliser_SourceData.Fertiliser_Products_Data3(), FertiliserProducts[[#Headers],[Company]],61)</f>
        <v/>
      </c>
      <c r="Z176" s="62" t="str" cm="1">
        <f t="array" ref="Z176">Common_InputFunctions.Utility_DisplayArrayInTable(Fertiliser_SourceData.Fertiliser_Products_Data3(), FertiliserProducts[[#Headers],[Company]],61)</f>
        <v/>
      </c>
      <c r="AA176" s="62" t="str" cm="1">
        <f t="array" ref="AA176">Common_InputFunctions.Utility_DisplayArrayInTable(Fertiliser_SourceData.Fertiliser_Products_Data3(), FertiliserProducts[[#Headers],[Company]],61)</f>
        <v/>
      </c>
      <c r="AB176" s="62" t="str" cm="1">
        <f t="array" ref="AB176">Common_InputFunctions.Utility_DisplayArrayInTable(Fertiliser_SourceData.Fertiliser_Products_Data3(), FertiliserProducts[[#Headers],[Company]],61)</f>
        <v/>
      </c>
      <c r="AC176" s="62" t="str" cm="1">
        <f t="array" ref="AC176">Common_InputFunctions.Utility_DisplayArrayInTable(Fertiliser_SourceData.Fertiliser_Products_Data3(), FertiliserProducts[[#Headers],[Company]],61)</f>
        <v/>
      </c>
      <c r="AD176" s="62" t="str" cm="1">
        <f t="array" ref="AD176">Common_InputFunctions.Utility_DisplayArrayInTable(Fertiliser_SourceData.Fertiliser_Products_Data3(), FertiliserProducts[[#Headers],[Company]],61)</f>
        <v/>
      </c>
      <c r="AE176" s="62" t="str" cm="1">
        <f t="array" ref="AE176">Common_InputFunctions.Utility_DisplayArrayInTable(Fertiliser_SourceData.Fertiliser_Products_Data3(), FertiliserProducts[[#Headers],[Company]],61)</f>
        <v/>
      </c>
      <c r="AF176" s="62" t="str" cm="1">
        <f t="array" ref="AF176">Common_InputFunctions.Utility_DisplayArrayInTable(Fertiliser_SourceData.Fertiliser_Products_Data3(), FertiliserProducts[[#Headers],[Company]],61)</f>
        <v/>
      </c>
      <c r="AG176" s="62" t="str" cm="1">
        <f t="array" ref="AG176">Common_InputFunctions.Utility_DisplayArrayInTable(Fertiliser_SourceData.Fertiliser_Products_Data3(), FertiliserProducts[[#Headers],[Company]],61)</f>
        <v/>
      </c>
      <c r="AH176" s="62" t="str" cm="1">
        <f t="array" ref="AH176">Common_InputFunctions.Utility_DisplayArrayInTable(Fertiliser_SourceData.Fertiliser_Products_Data3(), FertiliserProducts[[#Headers],[Company]],61)</f>
        <v/>
      </c>
      <c r="AK176" s="8"/>
    </row>
    <row r="177" spans="4:37" x14ac:dyDescent="0.25">
      <c r="D177" s="62" t="str" cm="1">
        <f t="array" ref="D177">Common_InputFunctions.Utility_DisplayArrayInTable(Fertiliser_SourceData.Fertiliser_Products_Data3(), FertiliserProducts[[#Headers],[Company]],61)</f>
        <v>YaraMila UNIVERSAL</v>
      </c>
      <c r="E177" s="62" t="str" cm="1">
        <f t="array" ref="E177">Common_InputFunctions.Utility_DisplayArrayInTable(Fertiliser_SourceData.Fertiliser_Products_Data3(), FertiliserProducts[[#Headers],[Company]],61)</f>
        <v/>
      </c>
      <c r="F177" s="62" t="str" cm="1">
        <f t="array" ref="F177">Common_InputFunctions.Utility_DisplayArrayInTable(Fertiliser_SourceData.Fertiliser_Products_Data3(), FertiliserProducts[[#Headers],[Company]],61)</f>
        <v/>
      </c>
      <c r="G177" s="62" t="str" cm="1">
        <f t="array" ref="G177">Common_InputFunctions.Utility_DisplayArrayInTable(Fertiliser_SourceData.Fertiliser_Products_Data3(), FertiliserProducts[[#Headers],[Company]],61)</f>
        <v/>
      </c>
      <c r="H177" s="62" t="str" cm="1">
        <f t="array" ref="H177">Common_InputFunctions.Utility_DisplayArrayInTable(Fertiliser_SourceData.Fertiliser_Products_Data3(), FertiliserProducts[[#Headers],[Company]],61)</f>
        <v/>
      </c>
      <c r="I177" s="62" t="str" cm="1">
        <f t="array" ref="I177">Common_InputFunctions.Utility_DisplayArrayInTable(Fertiliser_SourceData.Fertiliser_Products_Data3(), FertiliserProducts[[#Headers],[Company]],61)</f>
        <v/>
      </c>
      <c r="J177" s="62" t="str" cm="1">
        <f t="array" ref="J177">Common_InputFunctions.Utility_DisplayArrayInTable(Fertiliser_SourceData.Fertiliser_Products_Data3(), FertiliserProducts[[#Headers],[Company]],61)</f>
        <v/>
      </c>
      <c r="K177" s="62" t="str" cm="1">
        <f t="array" ref="K177">Common_InputFunctions.Utility_DisplayArrayInTable(Fertiliser_SourceData.Fertiliser_Products_Data3(), FertiliserProducts[[#Headers],[Company]],61)</f>
        <v/>
      </c>
      <c r="L177" s="62" t="str" cm="1">
        <f t="array" ref="L177">Common_InputFunctions.Utility_DisplayArrayInTable(Fertiliser_SourceData.Fertiliser_Products_Data3(), FertiliserProducts[[#Headers],[Company]],61)</f>
        <v/>
      </c>
      <c r="M177" s="62" t="str" cm="1">
        <f t="array" ref="M177">Common_InputFunctions.Utility_DisplayArrayInTable(Fertiliser_SourceData.Fertiliser_Products_Data3(), FertiliserProducts[[#Headers],[Company]],61)</f>
        <v/>
      </c>
      <c r="N177" s="62" t="str" cm="1">
        <f t="array" ref="N177">Common_InputFunctions.Utility_DisplayArrayInTable(Fertiliser_SourceData.Fertiliser_Products_Data3(), FertiliserProducts[[#Headers],[Company]],61)</f>
        <v/>
      </c>
      <c r="O177" s="62" t="str" cm="1">
        <f t="array" ref="O177">Common_InputFunctions.Utility_DisplayArrayInTable(Fertiliser_SourceData.Fertiliser_Products_Data3(), FertiliserProducts[[#Headers],[Company]],61)</f>
        <v/>
      </c>
      <c r="P177" s="62" t="str" cm="1">
        <f t="array" ref="P177">Common_InputFunctions.Utility_DisplayArrayInTable(Fertiliser_SourceData.Fertiliser_Products_Data3(), FertiliserProducts[[#Headers],[Company]],61)</f>
        <v/>
      </c>
      <c r="Q177" s="62" t="str" cm="1">
        <f t="array" ref="Q177">Common_InputFunctions.Utility_DisplayArrayInTable(Fertiliser_SourceData.Fertiliser_Products_Data3(), FertiliserProducts[[#Headers],[Company]],61)</f>
        <v/>
      </c>
      <c r="R177" s="62" t="str" cm="1">
        <f t="array" ref="R177">Common_InputFunctions.Utility_DisplayArrayInTable(Fertiliser_SourceData.Fertiliser_Products_Data3(), FertiliserProducts[[#Headers],[Company]],61)</f>
        <v/>
      </c>
      <c r="S177" s="62" t="str" cm="1">
        <f t="array" ref="S177">Common_InputFunctions.Utility_DisplayArrayInTable(Fertiliser_SourceData.Fertiliser_Products_Data3(), FertiliserProducts[[#Headers],[Company]],61)</f>
        <v/>
      </c>
      <c r="T177" s="62" t="str" cm="1">
        <f t="array" ref="T177">Common_InputFunctions.Utility_DisplayArrayInTable(Fertiliser_SourceData.Fertiliser_Products_Data3(), FertiliserProducts[[#Headers],[Company]],61)</f>
        <v/>
      </c>
      <c r="U177" s="62" t="str" cm="1">
        <f t="array" ref="U177">Common_InputFunctions.Utility_DisplayArrayInTable(Fertiliser_SourceData.Fertiliser_Products_Data3(), FertiliserProducts[[#Headers],[Company]],61)</f>
        <v/>
      </c>
      <c r="V177" s="62" t="str" cm="1">
        <f t="array" ref="V177">Common_InputFunctions.Utility_DisplayArrayInTable(Fertiliser_SourceData.Fertiliser_Products_Data3(), FertiliserProducts[[#Headers],[Company]],61)</f>
        <v/>
      </c>
      <c r="W177" s="62" t="str" cm="1">
        <f t="array" ref="W177">Common_InputFunctions.Utility_DisplayArrayInTable(Fertiliser_SourceData.Fertiliser_Products_Data3(), FertiliserProducts[[#Headers],[Company]],61)</f>
        <v>Crop Nutrition Solutions (Yara Australia)</v>
      </c>
      <c r="X177" s="62" t="str" cm="1">
        <f t="array" ref="X177">Common_InputFunctions.Utility_DisplayArrayInTable(Fertiliser_SourceData.Fertiliser_Products_Data3(), FertiliserProducts[[#Headers],[Company]],61)</f>
        <v/>
      </c>
      <c r="Y177" s="62" t="str" cm="1">
        <f t="array" ref="Y177">Common_InputFunctions.Utility_DisplayArrayInTable(Fertiliser_SourceData.Fertiliser_Products_Data3(), FertiliserProducts[[#Headers],[Company]],61)</f>
        <v/>
      </c>
      <c r="Z177" s="62" t="str" cm="1">
        <f t="array" ref="Z177">Common_InputFunctions.Utility_DisplayArrayInTable(Fertiliser_SourceData.Fertiliser_Products_Data3(), FertiliserProducts[[#Headers],[Company]],61)</f>
        <v/>
      </c>
      <c r="AA177" s="62" t="str" cm="1">
        <f t="array" ref="AA177">Common_InputFunctions.Utility_DisplayArrayInTable(Fertiliser_SourceData.Fertiliser_Products_Data3(), FertiliserProducts[[#Headers],[Company]],61)</f>
        <v/>
      </c>
      <c r="AB177" s="62" t="str" cm="1">
        <f t="array" ref="AB177">Common_InputFunctions.Utility_DisplayArrayInTable(Fertiliser_SourceData.Fertiliser_Products_Data3(), FertiliserProducts[[#Headers],[Company]],61)</f>
        <v/>
      </c>
      <c r="AC177" s="62" t="str" cm="1">
        <f t="array" ref="AC177">Common_InputFunctions.Utility_DisplayArrayInTable(Fertiliser_SourceData.Fertiliser_Products_Data3(), FertiliserProducts[[#Headers],[Company]],61)</f>
        <v/>
      </c>
      <c r="AD177" s="62" t="str" cm="1">
        <f t="array" ref="AD177">Common_InputFunctions.Utility_DisplayArrayInTable(Fertiliser_SourceData.Fertiliser_Products_Data3(), FertiliserProducts[[#Headers],[Company]],61)</f>
        <v/>
      </c>
      <c r="AE177" s="62" t="str" cm="1">
        <f t="array" ref="AE177">Common_InputFunctions.Utility_DisplayArrayInTable(Fertiliser_SourceData.Fertiliser_Products_Data3(), FertiliserProducts[[#Headers],[Company]],61)</f>
        <v/>
      </c>
      <c r="AF177" s="62" t="str" cm="1">
        <f t="array" ref="AF177">Common_InputFunctions.Utility_DisplayArrayInTable(Fertiliser_SourceData.Fertiliser_Products_Data3(), FertiliserProducts[[#Headers],[Company]],61)</f>
        <v/>
      </c>
      <c r="AG177" s="62" t="str" cm="1">
        <f t="array" ref="AG177">Common_InputFunctions.Utility_DisplayArrayInTable(Fertiliser_SourceData.Fertiliser_Products_Data3(), FertiliserProducts[[#Headers],[Company]],61)</f>
        <v/>
      </c>
      <c r="AH177" s="62" t="str" cm="1">
        <f t="array" ref="AH177">Common_InputFunctions.Utility_DisplayArrayInTable(Fertiliser_SourceData.Fertiliser_Products_Data3(), FertiliserProducts[[#Headers],[Company]],61)</f>
        <v/>
      </c>
      <c r="AK177" s="8"/>
    </row>
    <row r="178" spans="4:37" x14ac:dyDescent="0.25">
      <c r="D178" s="62" t="str" cm="1">
        <f t="array" ref="D178">Common_InputFunctions.Utility_DisplayArrayInTable(Fertiliser_SourceData.Fertiliser_Products_Data3(), FertiliserProducts[[#Headers],[Company]],61)</f>
        <v>YaraRega 13-2-21</v>
      </c>
      <c r="E178" s="62" t="str" cm="1">
        <f t="array" ref="E178">Common_InputFunctions.Utility_DisplayArrayInTable(Fertiliser_SourceData.Fertiliser_Products_Data3(), FertiliserProducts[[#Headers],[Company]],61)</f>
        <v/>
      </c>
      <c r="F178" s="62" t="str" cm="1">
        <f t="array" ref="F178">Common_InputFunctions.Utility_DisplayArrayInTable(Fertiliser_SourceData.Fertiliser_Products_Data3(), FertiliserProducts[[#Headers],[Company]],61)</f>
        <v/>
      </c>
      <c r="G178" s="62" t="str" cm="1">
        <f t="array" ref="G178">Common_InputFunctions.Utility_DisplayArrayInTable(Fertiliser_SourceData.Fertiliser_Products_Data3(), FertiliserProducts[[#Headers],[Company]],61)</f>
        <v/>
      </c>
      <c r="H178" s="62" t="str" cm="1">
        <f t="array" ref="H178">Common_InputFunctions.Utility_DisplayArrayInTable(Fertiliser_SourceData.Fertiliser_Products_Data3(), FertiliserProducts[[#Headers],[Company]],61)</f>
        <v/>
      </c>
      <c r="I178" s="62" t="str" cm="1">
        <f t="array" ref="I178">Common_InputFunctions.Utility_DisplayArrayInTable(Fertiliser_SourceData.Fertiliser_Products_Data3(), FertiliserProducts[[#Headers],[Company]],61)</f>
        <v/>
      </c>
      <c r="J178" s="62" t="str" cm="1">
        <f t="array" ref="J178">Common_InputFunctions.Utility_DisplayArrayInTable(Fertiliser_SourceData.Fertiliser_Products_Data3(), FertiliserProducts[[#Headers],[Company]],61)</f>
        <v/>
      </c>
      <c r="K178" s="62" t="str" cm="1">
        <f t="array" ref="K178">Common_InputFunctions.Utility_DisplayArrayInTable(Fertiliser_SourceData.Fertiliser_Products_Data3(), FertiliserProducts[[#Headers],[Company]],61)</f>
        <v/>
      </c>
      <c r="L178" s="62" t="str" cm="1">
        <f t="array" ref="L178">Common_InputFunctions.Utility_DisplayArrayInTable(Fertiliser_SourceData.Fertiliser_Products_Data3(), FertiliserProducts[[#Headers],[Company]],61)</f>
        <v/>
      </c>
      <c r="M178" s="62" t="str" cm="1">
        <f t="array" ref="M178">Common_InputFunctions.Utility_DisplayArrayInTable(Fertiliser_SourceData.Fertiliser_Products_Data3(), FertiliserProducts[[#Headers],[Company]],61)</f>
        <v/>
      </c>
      <c r="N178" s="62" t="str" cm="1">
        <f t="array" ref="N178">Common_InputFunctions.Utility_DisplayArrayInTable(Fertiliser_SourceData.Fertiliser_Products_Data3(), FertiliserProducts[[#Headers],[Company]],61)</f>
        <v/>
      </c>
      <c r="O178" s="62" t="str" cm="1">
        <f t="array" ref="O178">Common_InputFunctions.Utility_DisplayArrayInTable(Fertiliser_SourceData.Fertiliser_Products_Data3(), FertiliserProducts[[#Headers],[Company]],61)</f>
        <v/>
      </c>
      <c r="P178" s="62" t="str" cm="1">
        <f t="array" ref="P178">Common_InputFunctions.Utility_DisplayArrayInTable(Fertiliser_SourceData.Fertiliser_Products_Data3(), FertiliserProducts[[#Headers],[Company]],61)</f>
        <v/>
      </c>
      <c r="Q178" s="62" t="str" cm="1">
        <f t="array" ref="Q178">Common_InputFunctions.Utility_DisplayArrayInTable(Fertiliser_SourceData.Fertiliser_Products_Data3(), FertiliserProducts[[#Headers],[Company]],61)</f>
        <v/>
      </c>
      <c r="R178" s="62" t="str" cm="1">
        <f t="array" ref="R178">Common_InputFunctions.Utility_DisplayArrayInTable(Fertiliser_SourceData.Fertiliser_Products_Data3(), FertiliserProducts[[#Headers],[Company]],61)</f>
        <v/>
      </c>
      <c r="S178" s="62" t="str" cm="1">
        <f t="array" ref="S178">Common_InputFunctions.Utility_DisplayArrayInTable(Fertiliser_SourceData.Fertiliser_Products_Data3(), FertiliserProducts[[#Headers],[Company]],61)</f>
        <v/>
      </c>
      <c r="T178" s="62" t="str" cm="1">
        <f t="array" ref="T178">Common_InputFunctions.Utility_DisplayArrayInTable(Fertiliser_SourceData.Fertiliser_Products_Data3(), FertiliserProducts[[#Headers],[Company]],61)</f>
        <v/>
      </c>
      <c r="U178" s="62" t="str" cm="1">
        <f t="array" ref="U178">Common_InputFunctions.Utility_DisplayArrayInTable(Fertiliser_SourceData.Fertiliser_Products_Data3(), FertiliserProducts[[#Headers],[Company]],61)</f>
        <v/>
      </c>
      <c r="V178" s="62" t="str" cm="1">
        <f t="array" ref="V178">Common_InputFunctions.Utility_DisplayArrayInTable(Fertiliser_SourceData.Fertiliser_Products_Data3(), FertiliserProducts[[#Headers],[Company]],61)</f>
        <v/>
      </c>
      <c r="W178" s="62" t="str" cm="1">
        <f t="array" ref="W178">Common_InputFunctions.Utility_DisplayArrayInTable(Fertiliser_SourceData.Fertiliser_Products_Data3(), FertiliserProducts[[#Headers],[Company]],61)</f>
        <v>Crop Nutrition Solutions (Yara Australia)</v>
      </c>
      <c r="X178" s="62" t="str" cm="1">
        <f t="array" ref="X178">Common_InputFunctions.Utility_DisplayArrayInTable(Fertiliser_SourceData.Fertiliser_Products_Data3(), FertiliserProducts[[#Headers],[Company]],61)</f>
        <v/>
      </c>
      <c r="Y178" s="62" t="str" cm="1">
        <f t="array" ref="Y178">Common_InputFunctions.Utility_DisplayArrayInTable(Fertiliser_SourceData.Fertiliser_Products_Data3(), FertiliserProducts[[#Headers],[Company]],61)</f>
        <v/>
      </c>
      <c r="Z178" s="62" t="str" cm="1">
        <f t="array" ref="Z178">Common_InputFunctions.Utility_DisplayArrayInTable(Fertiliser_SourceData.Fertiliser_Products_Data3(), FertiliserProducts[[#Headers],[Company]],61)</f>
        <v/>
      </c>
      <c r="AA178" s="62" t="str" cm="1">
        <f t="array" ref="AA178">Common_InputFunctions.Utility_DisplayArrayInTable(Fertiliser_SourceData.Fertiliser_Products_Data3(), FertiliserProducts[[#Headers],[Company]],61)</f>
        <v/>
      </c>
      <c r="AB178" s="62" t="str" cm="1">
        <f t="array" ref="AB178">Common_InputFunctions.Utility_DisplayArrayInTable(Fertiliser_SourceData.Fertiliser_Products_Data3(), FertiliserProducts[[#Headers],[Company]],61)</f>
        <v/>
      </c>
      <c r="AC178" s="62" t="str" cm="1">
        <f t="array" ref="AC178">Common_InputFunctions.Utility_DisplayArrayInTable(Fertiliser_SourceData.Fertiliser_Products_Data3(), FertiliserProducts[[#Headers],[Company]],61)</f>
        <v/>
      </c>
      <c r="AD178" s="62" t="str" cm="1">
        <f t="array" ref="AD178">Common_InputFunctions.Utility_DisplayArrayInTable(Fertiliser_SourceData.Fertiliser_Products_Data3(), FertiliserProducts[[#Headers],[Company]],61)</f>
        <v/>
      </c>
      <c r="AE178" s="62" t="str" cm="1">
        <f t="array" ref="AE178">Common_InputFunctions.Utility_DisplayArrayInTable(Fertiliser_SourceData.Fertiliser_Products_Data3(), FertiliserProducts[[#Headers],[Company]],61)</f>
        <v/>
      </c>
      <c r="AF178" s="62" t="str" cm="1">
        <f t="array" ref="AF178">Common_InputFunctions.Utility_DisplayArrayInTable(Fertiliser_SourceData.Fertiliser_Products_Data3(), FertiliserProducts[[#Headers],[Company]],61)</f>
        <v/>
      </c>
      <c r="AG178" s="62" t="str" cm="1">
        <f t="array" ref="AG178">Common_InputFunctions.Utility_DisplayArrayInTable(Fertiliser_SourceData.Fertiliser_Products_Data3(), FertiliserProducts[[#Headers],[Company]],61)</f>
        <v/>
      </c>
      <c r="AH178" s="62" t="str" cm="1">
        <f t="array" ref="AH178">Common_InputFunctions.Utility_DisplayArrayInTable(Fertiliser_SourceData.Fertiliser_Products_Data3(), FertiliserProducts[[#Headers],[Company]],61)</f>
        <v/>
      </c>
      <c r="AK178" s="8"/>
    </row>
    <row r="179" spans="4:37" x14ac:dyDescent="0.25">
      <c r="D179" s="62" t="str" cm="1">
        <f t="array" ref="D179">Common_InputFunctions.Utility_DisplayArrayInTable(Fertiliser_SourceData.Fertiliser_Products_Data3(), FertiliserProducts[[#Headers],[Company]],61)</f>
        <v>YaraVita BORTRAC</v>
      </c>
      <c r="E179" s="62" t="str" cm="1">
        <f t="array" ref="E179">Common_InputFunctions.Utility_DisplayArrayInTable(Fertiliser_SourceData.Fertiliser_Products_Data3(), FertiliserProducts[[#Headers],[Company]],61)</f>
        <v/>
      </c>
      <c r="F179" s="62" t="str" cm="1">
        <f t="array" ref="F179">Common_InputFunctions.Utility_DisplayArrayInTable(Fertiliser_SourceData.Fertiliser_Products_Data3(), FertiliserProducts[[#Headers],[Company]],61)</f>
        <v/>
      </c>
      <c r="G179" s="62" t="str" cm="1">
        <f t="array" ref="G179">Common_InputFunctions.Utility_DisplayArrayInTable(Fertiliser_SourceData.Fertiliser_Products_Data3(), FertiliserProducts[[#Headers],[Company]],61)</f>
        <v/>
      </c>
      <c r="H179" s="62" t="str" cm="1">
        <f t="array" ref="H179">Common_InputFunctions.Utility_DisplayArrayInTable(Fertiliser_SourceData.Fertiliser_Products_Data3(), FertiliserProducts[[#Headers],[Company]],61)</f>
        <v/>
      </c>
      <c r="I179" s="62" t="str" cm="1">
        <f t="array" ref="I179">Common_InputFunctions.Utility_DisplayArrayInTable(Fertiliser_SourceData.Fertiliser_Products_Data3(), FertiliserProducts[[#Headers],[Company]],61)</f>
        <v/>
      </c>
      <c r="J179" s="62" t="str" cm="1">
        <f t="array" ref="J179">Common_InputFunctions.Utility_DisplayArrayInTable(Fertiliser_SourceData.Fertiliser_Products_Data3(), FertiliserProducts[[#Headers],[Company]],61)</f>
        <v/>
      </c>
      <c r="K179" s="62" t="str" cm="1">
        <f t="array" ref="K179">Common_InputFunctions.Utility_DisplayArrayInTable(Fertiliser_SourceData.Fertiliser_Products_Data3(), FertiliserProducts[[#Headers],[Company]],61)</f>
        <v/>
      </c>
      <c r="L179" s="62" t="str" cm="1">
        <f t="array" ref="L179">Common_InputFunctions.Utility_DisplayArrayInTable(Fertiliser_SourceData.Fertiliser_Products_Data3(), FertiliserProducts[[#Headers],[Company]],61)</f>
        <v/>
      </c>
      <c r="M179" s="62" t="str" cm="1">
        <f t="array" ref="M179">Common_InputFunctions.Utility_DisplayArrayInTable(Fertiliser_SourceData.Fertiliser_Products_Data3(), FertiliserProducts[[#Headers],[Company]],61)</f>
        <v/>
      </c>
      <c r="N179" s="62" t="str" cm="1">
        <f t="array" ref="N179">Common_InputFunctions.Utility_DisplayArrayInTable(Fertiliser_SourceData.Fertiliser_Products_Data3(), FertiliserProducts[[#Headers],[Company]],61)</f>
        <v/>
      </c>
      <c r="O179" s="62" t="str" cm="1">
        <f t="array" ref="O179">Common_InputFunctions.Utility_DisplayArrayInTable(Fertiliser_SourceData.Fertiliser_Products_Data3(), FertiliserProducts[[#Headers],[Company]],61)</f>
        <v/>
      </c>
      <c r="P179" s="62" t="str" cm="1">
        <f t="array" ref="P179">Common_InputFunctions.Utility_DisplayArrayInTable(Fertiliser_SourceData.Fertiliser_Products_Data3(), FertiliserProducts[[#Headers],[Company]],61)</f>
        <v/>
      </c>
      <c r="Q179" s="62" t="str" cm="1">
        <f t="array" ref="Q179">Common_InputFunctions.Utility_DisplayArrayInTable(Fertiliser_SourceData.Fertiliser_Products_Data3(), FertiliserProducts[[#Headers],[Company]],61)</f>
        <v/>
      </c>
      <c r="R179" s="62" t="str" cm="1">
        <f t="array" ref="R179">Common_InputFunctions.Utility_DisplayArrayInTable(Fertiliser_SourceData.Fertiliser_Products_Data3(), FertiliserProducts[[#Headers],[Company]],61)</f>
        <v/>
      </c>
      <c r="S179" s="62" t="str" cm="1">
        <f t="array" ref="S179">Common_InputFunctions.Utility_DisplayArrayInTable(Fertiliser_SourceData.Fertiliser_Products_Data3(), FertiliserProducts[[#Headers],[Company]],61)</f>
        <v/>
      </c>
      <c r="T179" s="62" t="str" cm="1">
        <f t="array" ref="T179">Common_InputFunctions.Utility_DisplayArrayInTable(Fertiliser_SourceData.Fertiliser_Products_Data3(), FertiliserProducts[[#Headers],[Company]],61)</f>
        <v/>
      </c>
      <c r="U179" s="62" t="str" cm="1">
        <f t="array" ref="U179">Common_InputFunctions.Utility_DisplayArrayInTable(Fertiliser_SourceData.Fertiliser_Products_Data3(), FertiliserProducts[[#Headers],[Company]],61)</f>
        <v/>
      </c>
      <c r="V179" s="62" t="str" cm="1">
        <f t="array" ref="V179">Common_InputFunctions.Utility_DisplayArrayInTable(Fertiliser_SourceData.Fertiliser_Products_Data3(), FertiliserProducts[[#Headers],[Company]],61)</f>
        <v/>
      </c>
      <c r="W179" s="62" t="str" cm="1">
        <f t="array" ref="W179">Common_InputFunctions.Utility_DisplayArrayInTable(Fertiliser_SourceData.Fertiliser_Products_Data3(), FertiliserProducts[[#Headers],[Company]],61)</f>
        <v>Crop Nutrition Solutions (Yara Australia)</v>
      </c>
      <c r="X179" s="62" t="str" cm="1">
        <f t="array" ref="X179">Common_InputFunctions.Utility_DisplayArrayInTable(Fertiliser_SourceData.Fertiliser_Products_Data3(), FertiliserProducts[[#Headers],[Company]],61)</f>
        <v/>
      </c>
      <c r="Y179" s="62" t="str" cm="1">
        <f t="array" ref="Y179">Common_InputFunctions.Utility_DisplayArrayInTable(Fertiliser_SourceData.Fertiliser_Products_Data3(), FertiliserProducts[[#Headers],[Company]],61)</f>
        <v/>
      </c>
      <c r="Z179" s="62" t="str" cm="1">
        <f t="array" ref="Z179">Common_InputFunctions.Utility_DisplayArrayInTable(Fertiliser_SourceData.Fertiliser_Products_Data3(), FertiliserProducts[[#Headers],[Company]],61)</f>
        <v/>
      </c>
      <c r="AA179" s="62" t="str" cm="1">
        <f t="array" ref="AA179">Common_InputFunctions.Utility_DisplayArrayInTable(Fertiliser_SourceData.Fertiliser_Products_Data3(), FertiliserProducts[[#Headers],[Company]],61)</f>
        <v/>
      </c>
      <c r="AB179" s="62" t="str" cm="1">
        <f t="array" ref="AB179">Common_InputFunctions.Utility_DisplayArrayInTable(Fertiliser_SourceData.Fertiliser_Products_Data3(), FertiliserProducts[[#Headers],[Company]],61)</f>
        <v/>
      </c>
      <c r="AC179" s="62" t="str" cm="1">
        <f t="array" ref="AC179">Common_InputFunctions.Utility_DisplayArrayInTable(Fertiliser_SourceData.Fertiliser_Products_Data3(), FertiliserProducts[[#Headers],[Company]],61)</f>
        <v/>
      </c>
      <c r="AD179" s="62" t="str" cm="1">
        <f t="array" ref="AD179">Common_InputFunctions.Utility_DisplayArrayInTable(Fertiliser_SourceData.Fertiliser_Products_Data3(), FertiliserProducts[[#Headers],[Company]],61)</f>
        <v/>
      </c>
      <c r="AE179" s="62" t="str" cm="1">
        <f t="array" ref="AE179">Common_InputFunctions.Utility_DisplayArrayInTable(Fertiliser_SourceData.Fertiliser_Products_Data3(), FertiliserProducts[[#Headers],[Company]],61)</f>
        <v/>
      </c>
      <c r="AF179" s="62" t="str" cm="1">
        <f t="array" ref="AF179">Common_InputFunctions.Utility_DisplayArrayInTable(Fertiliser_SourceData.Fertiliser_Products_Data3(), FertiliserProducts[[#Headers],[Company]],61)</f>
        <v/>
      </c>
      <c r="AG179" s="62" t="str" cm="1">
        <f t="array" ref="AG179">Common_InputFunctions.Utility_DisplayArrayInTable(Fertiliser_SourceData.Fertiliser_Products_Data3(), FertiliserProducts[[#Headers],[Company]],61)</f>
        <v/>
      </c>
      <c r="AH179" s="62" t="str" cm="1">
        <f t="array" ref="AH179">Common_InputFunctions.Utility_DisplayArrayInTable(Fertiliser_SourceData.Fertiliser_Products_Data3(), FertiliserProducts[[#Headers],[Company]],61)</f>
        <v/>
      </c>
      <c r="AK179" s="8"/>
    </row>
    <row r="180" spans="4:37" x14ac:dyDescent="0.25">
      <c r="D180" s="62" t="str" cm="1">
        <f t="array" ref="D180">Common_InputFunctions.Utility_DisplayArrayInTable(Fertiliser_SourceData.Fertiliser_Products_Data4(),FertiliserProducts[[#Headers],[Company]], 91)</f>
        <v>Product</v>
      </c>
      <c r="E180" s="62" t="str" cm="1">
        <f t="array" ref="E180">Common_InputFunctions.Utility_DisplayArrayInTable(Fertiliser_SourceData.Fertiliser_Products_Data4(),FertiliserProducts[[#Headers],[Company]], 91)</f>
        <v>Ingredient 1</v>
      </c>
      <c r="F180" s="62" t="str" cm="1">
        <f t="array" ref="F180">Common_InputFunctions.Utility_DisplayArrayInTable(Fertiliser_SourceData.Fertiliser_Products_Data4(),FertiliserProducts[[#Headers],[Company]], 91)</f>
        <v>Ingredient 1 percent</v>
      </c>
      <c r="G180" s="62" t="str" cm="1">
        <f t="array" ref="G180">Common_InputFunctions.Utility_DisplayArrayInTable(Fertiliser_SourceData.Fertiliser_Products_Data4(),FertiliserProducts[[#Headers],[Company]], 91)</f>
        <v>Ingredient 1 source</v>
      </c>
      <c r="H180" s="62" t="str" cm="1">
        <f t="array" ref="H180">Common_InputFunctions.Utility_DisplayArrayInTable(Fertiliser_SourceData.Fertiliser_Products_Data4(),FertiliserProducts[[#Headers],[Company]], 91)</f>
        <v>Ingredient 2</v>
      </c>
      <c r="I180" s="62" t="str" cm="1">
        <f t="array" ref="I180">Common_InputFunctions.Utility_DisplayArrayInTable(Fertiliser_SourceData.Fertiliser_Products_Data4(),FertiliserProducts[[#Headers],[Company]], 91)</f>
        <v>Ingredient 2 percent</v>
      </c>
      <c r="J180" s="62" t="str" cm="1">
        <f t="array" ref="J180">Common_InputFunctions.Utility_DisplayArrayInTable(Fertiliser_SourceData.Fertiliser_Products_Data4(),FertiliserProducts[[#Headers],[Company]], 91)</f>
        <v>Ingredient 2 source</v>
      </c>
      <c r="K180" s="62" t="str" cm="1">
        <f t="array" ref="K180">Common_InputFunctions.Utility_DisplayArrayInTable(Fertiliser_SourceData.Fertiliser_Products_Data4(),FertiliserProducts[[#Headers],[Company]], 91)</f>
        <v>Ingredient 3</v>
      </c>
      <c r="L180" s="62" t="str" cm="1">
        <f t="array" ref="L180">Common_InputFunctions.Utility_DisplayArrayInTable(Fertiliser_SourceData.Fertiliser_Products_Data4(),FertiliserProducts[[#Headers],[Company]], 91)</f>
        <v>Ingredient 3 percent</v>
      </c>
      <c r="M180" s="62" t="str" cm="1">
        <f t="array" ref="M180">Common_InputFunctions.Utility_DisplayArrayInTable(Fertiliser_SourceData.Fertiliser_Products_Data4(),FertiliserProducts[[#Headers],[Company]], 91)</f>
        <v>Ingredient 3 source</v>
      </c>
      <c r="N180" s="62" t="str" cm="1">
        <f t="array" ref="N180">Common_InputFunctions.Utility_DisplayArrayInTable(Fertiliser_SourceData.Fertiliser_Products_Data4(),FertiliserProducts[[#Headers],[Company]], 91)</f>
        <v>Ingredient 4</v>
      </c>
      <c r="O180" s="62" t="str" cm="1">
        <f t="array" ref="O180">Common_InputFunctions.Utility_DisplayArrayInTable(Fertiliser_SourceData.Fertiliser_Products_Data4(),FertiliserProducts[[#Headers],[Company]], 91)</f>
        <v>Ingredient 4 percent</v>
      </c>
      <c r="P180" s="62" t="str" cm="1">
        <f t="array" ref="P180">Common_InputFunctions.Utility_DisplayArrayInTable(Fertiliser_SourceData.Fertiliser_Products_Data4(),FertiliserProducts[[#Headers],[Company]], 91)</f>
        <v>Ingredient 4 source</v>
      </c>
      <c r="Q180" s="62" t="str" cm="1">
        <f t="array" ref="Q180">Common_InputFunctions.Utility_DisplayArrayInTable(Fertiliser_SourceData.Fertiliser_Products_Data4(),FertiliserProducts[[#Headers],[Company]], 91)</f>
        <v>Ingredient 5</v>
      </c>
      <c r="R180" s="62" t="str" cm="1">
        <f t="array" ref="R180">Common_InputFunctions.Utility_DisplayArrayInTable(Fertiliser_SourceData.Fertiliser_Products_Data4(),FertiliserProducts[[#Headers],[Company]], 91)</f>
        <v>Ingredient 5 percent</v>
      </c>
      <c r="S180" s="62" t="str" cm="1">
        <f t="array" ref="S180">Common_InputFunctions.Utility_DisplayArrayInTable(Fertiliser_SourceData.Fertiliser_Products_Data4(),FertiliserProducts[[#Headers],[Company]], 91)</f>
        <v>Ingredient 5 source</v>
      </c>
      <c r="T180" s="62" t="str" cm="1">
        <f t="array" ref="T180">Common_InputFunctions.Utility_DisplayArrayInTable(Fertiliser_SourceData.Fertiliser_Products_Data4(),FertiliserProducts[[#Headers],[Company]], 91)</f>
        <v>Ingredient 6</v>
      </c>
      <c r="U180" s="62" t="str" cm="1">
        <f t="array" ref="U180">Common_InputFunctions.Utility_DisplayArrayInTable(Fertiliser_SourceData.Fertiliser_Products_Data4(),FertiliserProducts[[#Headers],[Company]], 91)</f>
        <v>Ingredient 6 percent</v>
      </c>
      <c r="V180" s="62" t="str" cm="1">
        <f t="array" ref="V180">Common_InputFunctions.Utility_DisplayArrayInTable(Fertiliser_SourceData.Fertiliser_Products_Data4(),FertiliserProducts[[#Headers],[Company]], 91)</f>
        <v>Ingredient 6 source</v>
      </c>
      <c r="W180" s="62" t="str" cm="1">
        <f t="array" ref="W180">Common_InputFunctions.Utility_DisplayArrayInTable(Fertiliser_SourceData.Fertiliser_Products_Data4(),FertiliserProducts[[#Headers],[Company]], 91)</f>
        <v>Product info link</v>
      </c>
      <c r="X180" s="62" t="str" cm="1">
        <f t="array" ref="X180">Common_InputFunctions.Utility_DisplayArrayInTable(Fertiliser_SourceData.Fertiliser_Products_Data4(),FertiliserProducts[[#Headers],[Company]], 91)</f>
        <v/>
      </c>
      <c r="Y180" s="62" t="str" cm="1">
        <f t="array" ref="Y180">Common_InputFunctions.Utility_DisplayArrayInTable(Fertiliser_SourceData.Fertiliser_Products_Data4(),FertiliserProducts[[#Headers],[Company]], 91)</f>
        <v/>
      </c>
      <c r="Z180" s="62" t="str" cm="1">
        <f t="array" ref="Z180">Common_InputFunctions.Utility_DisplayArrayInTable(Fertiliser_SourceData.Fertiliser_Products_Data4(),FertiliserProducts[[#Headers],[Company]], 91)</f>
        <v/>
      </c>
      <c r="AA180" s="62" t="str" cm="1">
        <f t="array" ref="AA180">Common_InputFunctions.Utility_DisplayArrayInTable(Fertiliser_SourceData.Fertiliser_Products_Data4(),FertiliserProducts[[#Headers],[Company]], 91)</f>
        <v/>
      </c>
      <c r="AB180" s="62" t="str" cm="1">
        <f t="array" ref="AB180">Common_InputFunctions.Utility_DisplayArrayInTable(Fertiliser_SourceData.Fertiliser_Products_Data4(),FertiliserProducts[[#Headers],[Company]], 91)</f>
        <v/>
      </c>
      <c r="AC180" s="62" t="str" cm="1">
        <f t="array" ref="AC180">Common_InputFunctions.Utility_DisplayArrayInTable(Fertiliser_SourceData.Fertiliser_Products_Data4(),FertiliserProducts[[#Headers],[Company]], 91)</f>
        <v/>
      </c>
      <c r="AD180" s="62" t="str" cm="1">
        <f t="array" ref="AD180">Common_InputFunctions.Utility_DisplayArrayInTable(Fertiliser_SourceData.Fertiliser_Products_Data4(),FertiliserProducts[[#Headers],[Company]], 91)</f>
        <v/>
      </c>
      <c r="AE180" s="62" t="str" cm="1">
        <f t="array" ref="AE180">Common_InputFunctions.Utility_DisplayArrayInTable(Fertiliser_SourceData.Fertiliser_Products_Data4(),FertiliserProducts[[#Headers],[Company]], 91)</f>
        <v/>
      </c>
      <c r="AF180" s="62" t="str" cm="1">
        <f t="array" ref="AF180">Common_InputFunctions.Utility_DisplayArrayInTable(Fertiliser_SourceData.Fertiliser_Products_Data4(),FertiliserProducts[[#Headers],[Company]], 91)</f>
        <v/>
      </c>
      <c r="AG180" s="62" t="str" cm="1">
        <f t="array" ref="AG180">Common_InputFunctions.Utility_DisplayArrayInTable(Fertiliser_SourceData.Fertiliser_Products_Data4(),FertiliserProducts[[#Headers],[Company]], 91)</f>
        <v/>
      </c>
      <c r="AH180" s="62" t="str" cm="1">
        <f t="array" ref="AH180">Common_InputFunctions.Utility_DisplayArrayInTable(Fertiliser_SourceData.Fertiliser_Products_Data4(),FertiliserProducts[[#Headers],[Company]], 91)</f>
        <v/>
      </c>
    </row>
    <row r="181" spans="4:37" x14ac:dyDescent="0.25">
      <c r="D181" s="62" t="str" cm="1">
        <f t="array" ref="D181">Common_InputFunctions.Utility_DisplayArrayInTable(Fertiliser_SourceData.Fertiliser_Products_Data4(),FertiliserProducts[[#Headers],[Company]], 91)</f>
        <v>YaraVita BRASSITREL PRO</v>
      </c>
      <c r="E181" s="62" t="str" cm="1">
        <f t="array" ref="E181">Common_InputFunctions.Utility_DisplayArrayInTable(Fertiliser_SourceData.Fertiliser_Products_Data4(),FertiliserProducts[[#Headers],[Company]], 91)</f>
        <v/>
      </c>
      <c r="F181" s="62" t="str" cm="1">
        <f t="array" ref="F181">Common_InputFunctions.Utility_DisplayArrayInTable(Fertiliser_SourceData.Fertiliser_Products_Data4(),FertiliserProducts[[#Headers],[Company]], 91)</f>
        <v/>
      </c>
      <c r="G181" s="62" t="str" cm="1">
        <f t="array" ref="G181">Common_InputFunctions.Utility_DisplayArrayInTable(Fertiliser_SourceData.Fertiliser_Products_Data4(),FertiliserProducts[[#Headers],[Company]], 91)</f>
        <v/>
      </c>
      <c r="H181" s="62" t="str" cm="1">
        <f t="array" ref="H181">Common_InputFunctions.Utility_DisplayArrayInTable(Fertiliser_SourceData.Fertiliser_Products_Data4(),FertiliserProducts[[#Headers],[Company]], 91)</f>
        <v/>
      </c>
      <c r="I181" s="62" t="str" cm="1">
        <f t="array" ref="I181">Common_InputFunctions.Utility_DisplayArrayInTable(Fertiliser_SourceData.Fertiliser_Products_Data4(),FertiliserProducts[[#Headers],[Company]], 91)</f>
        <v/>
      </c>
      <c r="J181" s="62" t="str" cm="1">
        <f t="array" ref="J181">Common_InputFunctions.Utility_DisplayArrayInTable(Fertiliser_SourceData.Fertiliser_Products_Data4(),FertiliserProducts[[#Headers],[Company]], 91)</f>
        <v/>
      </c>
      <c r="K181" s="62" t="str" cm="1">
        <f t="array" ref="K181">Common_InputFunctions.Utility_DisplayArrayInTable(Fertiliser_SourceData.Fertiliser_Products_Data4(),FertiliserProducts[[#Headers],[Company]], 91)</f>
        <v/>
      </c>
      <c r="L181" s="62" t="str" cm="1">
        <f t="array" ref="L181">Common_InputFunctions.Utility_DisplayArrayInTable(Fertiliser_SourceData.Fertiliser_Products_Data4(),FertiliserProducts[[#Headers],[Company]], 91)</f>
        <v/>
      </c>
      <c r="M181" s="62" t="str" cm="1">
        <f t="array" ref="M181">Common_InputFunctions.Utility_DisplayArrayInTable(Fertiliser_SourceData.Fertiliser_Products_Data4(),FertiliserProducts[[#Headers],[Company]], 91)</f>
        <v/>
      </c>
      <c r="N181" s="62" t="str" cm="1">
        <f t="array" ref="N181">Common_InputFunctions.Utility_DisplayArrayInTable(Fertiliser_SourceData.Fertiliser_Products_Data4(),FertiliserProducts[[#Headers],[Company]], 91)</f>
        <v/>
      </c>
      <c r="O181" s="62" t="str" cm="1">
        <f t="array" ref="O181">Common_InputFunctions.Utility_DisplayArrayInTable(Fertiliser_SourceData.Fertiliser_Products_Data4(),FertiliserProducts[[#Headers],[Company]], 91)</f>
        <v/>
      </c>
      <c r="P181" s="62" t="str" cm="1">
        <f t="array" ref="P181">Common_InputFunctions.Utility_DisplayArrayInTable(Fertiliser_SourceData.Fertiliser_Products_Data4(),FertiliserProducts[[#Headers],[Company]], 91)</f>
        <v/>
      </c>
      <c r="Q181" s="62" t="str" cm="1">
        <f t="array" ref="Q181">Common_InputFunctions.Utility_DisplayArrayInTable(Fertiliser_SourceData.Fertiliser_Products_Data4(),FertiliserProducts[[#Headers],[Company]], 91)</f>
        <v/>
      </c>
      <c r="R181" s="62" t="str" cm="1">
        <f t="array" ref="R181">Common_InputFunctions.Utility_DisplayArrayInTable(Fertiliser_SourceData.Fertiliser_Products_Data4(),FertiliserProducts[[#Headers],[Company]], 91)</f>
        <v/>
      </c>
      <c r="S181" s="62" t="str" cm="1">
        <f t="array" ref="S181">Common_InputFunctions.Utility_DisplayArrayInTable(Fertiliser_SourceData.Fertiliser_Products_Data4(),FertiliserProducts[[#Headers],[Company]], 91)</f>
        <v/>
      </c>
      <c r="T181" s="62" t="str" cm="1">
        <f t="array" ref="T181">Common_InputFunctions.Utility_DisplayArrayInTable(Fertiliser_SourceData.Fertiliser_Products_Data4(),FertiliserProducts[[#Headers],[Company]], 91)</f>
        <v/>
      </c>
      <c r="U181" s="62" t="str" cm="1">
        <f t="array" ref="U181">Common_InputFunctions.Utility_DisplayArrayInTable(Fertiliser_SourceData.Fertiliser_Products_Data4(),FertiliserProducts[[#Headers],[Company]], 91)</f>
        <v/>
      </c>
      <c r="V181" s="62" t="str" cm="1">
        <f t="array" ref="V181">Common_InputFunctions.Utility_DisplayArrayInTable(Fertiliser_SourceData.Fertiliser_Products_Data4(),FertiliserProducts[[#Headers],[Company]], 91)</f>
        <v/>
      </c>
      <c r="W181" s="62" t="str" cm="1">
        <f t="array" ref="W181">Common_InputFunctions.Utility_DisplayArrayInTable(Fertiliser_SourceData.Fertiliser_Products_Data4(),FertiliserProducts[[#Headers],[Company]], 91)</f>
        <v>Crop Nutrition Solutions (Yara Australia)</v>
      </c>
      <c r="X181" s="62" t="str" cm="1">
        <f t="array" ref="X181">Common_InputFunctions.Utility_DisplayArrayInTable(Fertiliser_SourceData.Fertiliser_Products_Data4(),FertiliserProducts[[#Headers],[Company]], 91)</f>
        <v/>
      </c>
      <c r="Y181" s="62" t="str" cm="1">
        <f t="array" ref="Y181">Common_InputFunctions.Utility_DisplayArrayInTable(Fertiliser_SourceData.Fertiliser_Products_Data4(),FertiliserProducts[[#Headers],[Company]], 91)</f>
        <v/>
      </c>
      <c r="Z181" s="62" t="str" cm="1">
        <f t="array" ref="Z181">Common_InputFunctions.Utility_DisplayArrayInTable(Fertiliser_SourceData.Fertiliser_Products_Data4(),FertiliserProducts[[#Headers],[Company]], 91)</f>
        <v/>
      </c>
      <c r="AA181" s="62" t="str" cm="1">
        <f t="array" ref="AA181">Common_InputFunctions.Utility_DisplayArrayInTable(Fertiliser_SourceData.Fertiliser_Products_Data4(),FertiliserProducts[[#Headers],[Company]], 91)</f>
        <v/>
      </c>
      <c r="AB181" s="62" t="str" cm="1">
        <f t="array" ref="AB181">Common_InputFunctions.Utility_DisplayArrayInTable(Fertiliser_SourceData.Fertiliser_Products_Data4(),FertiliserProducts[[#Headers],[Company]], 91)</f>
        <v/>
      </c>
      <c r="AC181" s="62" t="str" cm="1">
        <f t="array" ref="AC181">Common_InputFunctions.Utility_DisplayArrayInTable(Fertiliser_SourceData.Fertiliser_Products_Data4(),FertiliserProducts[[#Headers],[Company]], 91)</f>
        <v/>
      </c>
      <c r="AD181" s="62" t="str" cm="1">
        <f t="array" ref="AD181">Common_InputFunctions.Utility_DisplayArrayInTable(Fertiliser_SourceData.Fertiliser_Products_Data4(),FertiliserProducts[[#Headers],[Company]], 91)</f>
        <v/>
      </c>
      <c r="AE181" s="62" t="str" cm="1">
        <f t="array" ref="AE181">Common_InputFunctions.Utility_DisplayArrayInTable(Fertiliser_SourceData.Fertiliser_Products_Data4(),FertiliserProducts[[#Headers],[Company]], 91)</f>
        <v/>
      </c>
      <c r="AF181" s="62" t="str" cm="1">
        <f t="array" ref="AF181">Common_InputFunctions.Utility_DisplayArrayInTable(Fertiliser_SourceData.Fertiliser_Products_Data4(),FertiliserProducts[[#Headers],[Company]], 91)</f>
        <v/>
      </c>
      <c r="AG181" s="62" t="str" cm="1">
        <f t="array" ref="AG181">Common_InputFunctions.Utility_DisplayArrayInTable(Fertiliser_SourceData.Fertiliser_Products_Data4(),FertiliserProducts[[#Headers],[Company]], 91)</f>
        <v/>
      </c>
      <c r="AH181" s="62" t="str" cm="1">
        <f t="array" ref="AH181">Common_InputFunctions.Utility_DisplayArrayInTable(Fertiliser_SourceData.Fertiliser_Products_Data4(),FertiliserProducts[[#Headers],[Company]], 91)</f>
        <v/>
      </c>
    </row>
    <row r="182" spans="4:37" x14ac:dyDescent="0.25">
      <c r="D182" s="62" t="str" cm="1">
        <f t="array" ref="D182">Common_InputFunctions.Utility_DisplayArrayInTable(Fertiliser_SourceData.Fertiliser_Products_Data4(),FertiliserProducts[[#Headers],[Company]], 91)</f>
        <v>YaraVita BUD BUILDER FL</v>
      </c>
      <c r="E182" s="62" t="str" cm="1">
        <f t="array" ref="E182">Common_InputFunctions.Utility_DisplayArrayInTable(Fertiliser_SourceData.Fertiliser_Products_Data4(),FertiliserProducts[[#Headers],[Company]], 91)</f>
        <v/>
      </c>
      <c r="F182" s="62" t="str" cm="1">
        <f t="array" ref="F182">Common_InputFunctions.Utility_DisplayArrayInTable(Fertiliser_SourceData.Fertiliser_Products_Data4(),FertiliserProducts[[#Headers],[Company]], 91)</f>
        <v/>
      </c>
      <c r="G182" s="62" t="str" cm="1">
        <f t="array" ref="G182">Common_InputFunctions.Utility_DisplayArrayInTable(Fertiliser_SourceData.Fertiliser_Products_Data4(),FertiliserProducts[[#Headers],[Company]], 91)</f>
        <v/>
      </c>
      <c r="H182" s="62" t="str" cm="1">
        <f t="array" ref="H182">Common_InputFunctions.Utility_DisplayArrayInTable(Fertiliser_SourceData.Fertiliser_Products_Data4(),FertiliserProducts[[#Headers],[Company]], 91)</f>
        <v/>
      </c>
      <c r="I182" s="62" t="str" cm="1">
        <f t="array" ref="I182">Common_InputFunctions.Utility_DisplayArrayInTable(Fertiliser_SourceData.Fertiliser_Products_Data4(),FertiliserProducts[[#Headers],[Company]], 91)</f>
        <v/>
      </c>
      <c r="J182" s="62" t="str" cm="1">
        <f t="array" ref="J182">Common_InputFunctions.Utility_DisplayArrayInTable(Fertiliser_SourceData.Fertiliser_Products_Data4(),FertiliserProducts[[#Headers],[Company]], 91)</f>
        <v/>
      </c>
      <c r="K182" s="62" t="str" cm="1">
        <f t="array" ref="K182">Common_InputFunctions.Utility_DisplayArrayInTable(Fertiliser_SourceData.Fertiliser_Products_Data4(),FertiliserProducts[[#Headers],[Company]], 91)</f>
        <v/>
      </c>
      <c r="L182" s="62" t="str" cm="1">
        <f t="array" ref="L182">Common_InputFunctions.Utility_DisplayArrayInTable(Fertiliser_SourceData.Fertiliser_Products_Data4(),FertiliserProducts[[#Headers],[Company]], 91)</f>
        <v/>
      </c>
      <c r="M182" s="62" t="str" cm="1">
        <f t="array" ref="M182">Common_InputFunctions.Utility_DisplayArrayInTable(Fertiliser_SourceData.Fertiliser_Products_Data4(),FertiliserProducts[[#Headers],[Company]], 91)</f>
        <v/>
      </c>
      <c r="N182" s="62" t="str" cm="1">
        <f t="array" ref="N182">Common_InputFunctions.Utility_DisplayArrayInTable(Fertiliser_SourceData.Fertiliser_Products_Data4(),FertiliserProducts[[#Headers],[Company]], 91)</f>
        <v/>
      </c>
      <c r="O182" s="62" t="str" cm="1">
        <f t="array" ref="O182">Common_InputFunctions.Utility_DisplayArrayInTable(Fertiliser_SourceData.Fertiliser_Products_Data4(),FertiliserProducts[[#Headers],[Company]], 91)</f>
        <v/>
      </c>
      <c r="P182" s="62" t="str" cm="1">
        <f t="array" ref="P182">Common_InputFunctions.Utility_DisplayArrayInTable(Fertiliser_SourceData.Fertiliser_Products_Data4(),FertiliserProducts[[#Headers],[Company]], 91)</f>
        <v/>
      </c>
      <c r="Q182" s="62" t="str" cm="1">
        <f t="array" ref="Q182">Common_InputFunctions.Utility_DisplayArrayInTable(Fertiliser_SourceData.Fertiliser_Products_Data4(),FertiliserProducts[[#Headers],[Company]], 91)</f>
        <v/>
      </c>
      <c r="R182" s="62" t="str" cm="1">
        <f t="array" ref="R182">Common_InputFunctions.Utility_DisplayArrayInTable(Fertiliser_SourceData.Fertiliser_Products_Data4(),FertiliserProducts[[#Headers],[Company]], 91)</f>
        <v/>
      </c>
      <c r="S182" s="62" t="str" cm="1">
        <f t="array" ref="S182">Common_InputFunctions.Utility_DisplayArrayInTable(Fertiliser_SourceData.Fertiliser_Products_Data4(),FertiliserProducts[[#Headers],[Company]], 91)</f>
        <v/>
      </c>
      <c r="T182" s="62" t="str" cm="1">
        <f t="array" ref="T182">Common_InputFunctions.Utility_DisplayArrayInTable(Fertiliser_SourceData.Fertiliser_Products_Data4(),FertiliserProducts[[#Headers],[Company]], 91)</f>
        <v/>
      </c>
      <c r="U182" s="62" t="str" cm="1">
        <f t="array" ref="U182">Common_InputFunctions.Utility_DisplayArrayInTable(Fertiliser_SourceData.Fertiliser_Products_Data4(),FertiliserProducts[[#Headers],[Company]], 91)</f>
        <v/>
      </c>
      <c r="V182" s="62" t="str" cm="1">
        <f t="array" ref="V182">Common_InputFunctions.Utility_DisplayArrayInTable(Fertiliser_SourceData.Fertiliser_Products_Data4(),FertiliserProducts[[#Headers],[Company]], 91)</f>
        <v/>
      </c>
      <c r="W182" s="62" t="str" cm="1">
        <f t="array" ref="W182">Common_InputFunctions.Utility_DisplayArrayInTable(Fertiliser_SourceData.Fertiliser_Products_Data4(),FertiliserProducts[[#Headers],[Company]], 91)</f>
        <v>Crop Nutrition Solutions (Yara Australia)</v>
      </c>
      <c r="X182" s="62" t="str" cm="1">
        <f t="array" ref="X182">Common_InputFunctions.Utility_DisplayArrayInTable(Fertiliser_SourceData.Fertiliser_Products_Data4(),FertiliserProducts[[#Headers],[Company]], 91)</f>
        <v/>
      </c>
      <c r="Y182" s="62" t="str" cm="1">
        <f t="array" ref="Y182">Common_InputFunctions.Utility_DisplayArrayInTable(Fertiliser_SourceData.Fertiliser_Products_Data4(),FertiliserProducts[[#Headers],[Company]], 91)</f>
        <v/>
      </c>
      <c r="Z182" s="62" t="str" cm="1">
        <f t="array" ref="Z182">Common_InputFunctions.Utility_DisplayArrayInTable(Fertiliser_SourceData.Fertiliser_Products_Data4(),FertiliserProducts[[#Headers],[Company]], 91)</f>
        <v/>
      </c>
      <c r="AA182" s="62" t="str" cm="1">
        <f t="array" ref="AA182">Common_InputFunctions.Utility_DisplayArrayInTable(Fertiliser_SourceData.Fertiliser_Products_Data4(),FertiliserProducts[[#Headers],[Company]], 91)</f>
        <v/>
      </c>
      <c r="AB182" s="62" t="str" cm="1">
        <f t="array" ref="AB182">Common_InputFunctions.Utility_DisplayArrayInTable(Fertiliser_SourceData.Fertiliser_Products_Data4(),FertiliserProducts[[#Headers],[Company]], 91)</f>
        <v/>
      </c>
      <c r="AC182" s="62" t="str" cm="1">
        <f t="array" ref="AC182">Common_InputFunctions.Utility_DisplayArrayInTable(Fertiliser_SourceData.Fertiliser_Products_Data4(),FertiliserProducts[[#Headers],[Company]], 91)</f>
        <v/>
      </c>
      <c r="AD182" s="62" t="str" cm="1">
        <f t="array" ref="AD182">Common_InputFunctions.Utility_DisplayArrayInTable(Fertiliser_SourceData.Fertiliser_Products_Data4(),FertiliserProducts[[#Headers],[Company]], 91)</f>
        <v/>
      </c>
      <c r="AE182" s="62" t="str" cm="1">
        <f t="array" ref="AE182">Common_InputFunctions.Utility_DisplayArrayInTable(Fertiliser_SourceData.Fertiliser_Products_Data4(),FertiliserProducts[[#Headers],[Company]], 91)</f>
        <v/>
      </c>
      <c r="AF182" s="62" t="str" cm="1">
        <f t="array" ref="AF182">Common_InputFunctions.Utility_DisplayArrayInTable(Fertiliser_SourceData.Fertiliser_Products_Data4(),FertiliserProducts[[#Headers],[Company]], 91)</f>
        <v/>
      </c>
      <c r="AG182" s="62" t="str" cm="1">
        <f t="array" ref="AG182">Common_InputFunctions.Utility_DisplayArrayInTable(Fertiliser_SourceData.Fertiliser_Products_Data4(),FertiliserProducts[[#Headers],[Company]], 91)</f>
        <v/>
      </c>
      <c r="AH182" s="62" t="str" cm="1">
        <f t="array" ref="AH182">Common_InputFunctions.Utility_DisplayArrayInTable(Fertiliser_SourceData.Fertiliser_Products_Data4(),FertiliserProducts[[#Headers],[Company]], 91)</f>
        <v/>
      </c>
    </row>
    <row r="183" spans="4:37" x14ac:dyDescent="0.25">
      <c r="D183" s="62" t="str" cm="1">
        <f t="array" ref="D183">Common_InputFunctions.Utility_DisplayArrayInTable(Fertiliser_SourceData.Fertiliser_Products_Data4(),FertiliserProducts[[#Headers],[Company]], 91)</f>
        <v>YaraVita FRUTREL</v>
      </c>
      <c r="E183" s="62" t="str" cm="1">
        <f t="array" ref="E183">Common_InputFunctions.Utility_DisplayArrayInTable(Fertiliser_SourceData.Fertiliser_Products_Data4(),FertiliserProducts[[#Headers],[Company]], 91)</f>
        <v/>
      </c>
      <c r="F183" s="62" t="str" cm="1">
        <f t="array" ref="F183">Common_InputFunctions.Utility_DisplayArrayInTable(Fertiliser_SourceData.Fertiliser_Products_Data4(),FertiliserProducts[[#Headers],[Company]], 91)</f>
        <v/>
      </c>
      <c r="G183" s="62" t="str" cm="1">
        <f t="array" ref="G183">Common_InputFunctions.Utility_DisplayArrayInTable(Fertiliser_SourceData.Fertiliser_Products_Data4(),FertiliserProducts[[#Headers],[Company]], 91)</f>
        <v/>
      </c>
      <c r="H183" s="62" t="str" cm="1">
        <f t="array" ref="H183">Common_InputFunctions.Utility_DisplayArrayInTable(Fertiliser_SourceData.Fertiliser_Products_Data4(),FertiliserProducts[[#Headers],[Company]], 91)</f>
        <v/>
      </c>
      <c r="I183" s="62" t="str" cm="1">
        <f t="array" ref="I183">Common_InputFunctions.Utility_DisplayArrayInTable(Fertiliser_SourceData.Fertiliser_Products_Data4(),FertiliserProducts[[#Headers],[Company]], 91)</f>
        <v/>
      </c>
      <c r="J183" s="62" t="str" cm="1">
        <f t="array" ref="J183">Common_InputFunctions.Utility_DisplayArrayInTable(Fertiliser_SourceData.Fertiliser_Products_Data4(),FertiliserProducts[[#Headers],[Company]], 91)</f>
        <v/>
      </c>
      <c r="K183" s="62" t="str" cm="1">
        <f t="array" ref="K183">Common_InputFunctions.Utility_DisplayArrayInTable(Fertiliser_SourceData.Fertiliser_Products_Data4(),FertiliserProducts[[#Headers],[Company]], 91)</f>
        <v/>
      </c>
      <c r="L183" s="62" t="str" cm="1">
        <f t="array" ref="L183">Common_InputFunctions.Utility_DisplayArrayInTable(Fertiliser_SourceData.Fertiliser_Products_Data4(),FertiliserProducts[[#Headers],[Company]], 91)</f>
        <v/>
      </c>
      <c r="M183" s="62" t="str" cm="1">
        <f t="array" ref="M183">Common_InputFunctions.Utility_DisplayArrayInTable(Fertiliser_SourceData.Fertiliser_Products_Data4(),FertiliserProducts[[#Headers],[Company]], 91)</f>
        <v/>
      </c>
      <c r="N183" s="62" t="str" cm="1">
        <f t="array" ref="N183">Common_InputFunctions.Utility_DisplayArrayInTable(Fertiliser_SourceData.Fertiliser_Products_Data4(),FertiliserProducts[[#Headers],[Company]], 91)</f>
        <v/>
      </c>
      <c r="O183" s="62" t="str" cm="1">
        <f t="array" ref="O183">Common_InputFunctions.Utility_DisplayArrayInTable(Fertiliser_SourceData.Fertiliser_Products_Data4(),FertiliserProducts[[#Headers],[Company]], 91)</f>
        <v/>
      </c>
      <c r="P183" s="62" t="str" cm="1">
        <f t="array" ref="P183">Common_InputFunctions.Utility_DisplayArrayInTable(Fertiliser_SourceData.Fertiliser_Products_Data4(),FertiliserProducts[[#Headers],[Company]], 91)</f>
        <v/>
      </c>
      <c r="Q183" s="62" t="str" cm="1">
        <f t="array" ref="Q183">Common_InputFunctions.Utility_DisplayArrayInTable(Fertiliser_SourceData.Fertiliser_Products_Data4(),FertiliserProducts[[#Headers],[Company]], 91)</f>
        <v/>
      </c>
      <c r="R183" s="62" t="str" cm="1">
        <f t="array" ref="R183">Common_InputFunctions.Utility_DisplayArrayInTable(Fertiliser_SourceData.Fertiliser_Products_Data4(),FertiliserProducts[[#Headers],[Company]], 91)</f>
        <v/>
      </c>
      <c r="S183" s="62" t="str" cm="1">
        <f t="array" ref="S183">Common_InputFunctions.Utility_DisplayArrayInTable(Fertiliser_SourceData.Fertiliser_Products_Data4(),FertiliserProducts[[#Headers],[Company]], 91)</f>
        <v/>
      </c>
      <c r="T183" s="62" t="str" cm="1">
        <f t="array" ref="T183">Common_InputFunctions.Utility_DisplayArrayInTable(Fertiliser_SourceData.Fertiliser_Products_Data4(),FertiliserProducts[[#Headers],[Company]], 91)</f>
        <v/>
      </c>
      <c r="U183" s="62" t="str" cm="1">
        <f t="array" ref="U183">Common_InputFunctions.Utility_DisplayArrayInTable(Fertiliser_SourceData.Fertiliser_Products_Data4(),FertiliserProducts[[#Headers],[Company]], 91)</f>
        <v/>
      </c>
      <c r="V183" s="62" t="str" cm="1">
        <f t="array" ref="V183">Common_InputFunctions.Utility_DisplayArrayInTable(Fertiliser_SourceData.Fertiliser_Products_Data4(),FertiliserProducts[[#Headers],[Company]], 91)</f>
        <v/>
      </c>
      <c r="W183" s="62" t="str" cm="1">
        <f t="array" ref="W183">Common_InputFunctions.Utility_DisplayArrayInTable(Fertiliser_SourceData.Fertiliser_Products_Data4(),FertiliserProducts[[#Headers],[Company]], 91)</f>
        <v>Crop Nutrition Solutions (Yara Australia)</v>
      </c>
      <c r="X183" s="62" t="str" cm="1">
        <f t="array" ref="X183">Common_InputFunctions.Utility_DisplayArrayInTable(Fertiliser_SourceData.Fertiliser_Products_Data4(),FertiliserProducts[[#Headers],[Company]], 91)</f>
        <v/>
      </c>
      <c r="Y183" s="62" t="str" cm="1">
        <f t="array" ref="Y183">Common_InputFunctions.Utility_DisplayArrayInTable(Fertiliser_SourceData.Fertiliser_Products_Data4(),FertiliserProducts[[#Headers],[Company]], 91)</f>
        <v/>
      </c>
      <c r="Z183" s="62" t="str" cm="1">
        <f t="array" ref="Z183">Common_InputFunctions.Utility_DisplayArrayInTable(Fertiliser_SourceData.Fertiliser_Products_Data4(),FertiliserProducts[[#Headers],[Company]], 91)</f>
        <v/>
      </c>
      <c r="AA183" s="62" t="str" cm="1">
        <f t="array" ref="AA183">Common_InputFunctions.Utility_DisplayArrayInTable(Fertiliser_SourceData.Fertiliser_Products_Data4(),FertiliserProducts[[#Headers],[Company]], 91)</f>
        <v/>
      </c>
      <c r="AB183" s="62" t="str" cm="1">
        <f t="array" ref="AB183">Common_InputFunctions.Utility_DisplayArrayInTable(Fertiliser_SourceData.Fertiliser_Products_Data4(),FertiliserProducts[[#Headers],[Company]], 91)</f>
        <v/>
      </c>
      <c r="AC183" s="62" t="str" cm="1">
        <f t="array" ref="AC183">Common_InputFunctions.Utility_DisplayArrayInTable(Fertiliser_SourceData.Fertiliser_Products_Data4(),FertiliserProducts[[#Headers],[Company]], 91)</f>
        <v/>
      </c>
      <c r="AD183" s="62" t="str" cm="1">
        <f t="array" ref="AD183">Common_InputFunctions.Utility_DisplayArrayInTable(Fertiliser_SourceData.Fertiliser_Products_Data4(),FertiliserProducts[[#Headers],[Company]], 91)</f>
        <v/>
      </c>
      <c r="AE183" s="62" t="str" cm="1">
        <f t="array" ref="AE183">Common_InputFunctions.Utility_DisplayArrayInTable(Fertiliser_SourceData.Fertiliser_Products_Data4(),FertiliserProducts[[#Headers],[Company]], 91)</f>
        <v/>
      </c>
      <c r="AF183" s="62" t="str" cm="1">
        <f t="array" ref="AF183">Common_InputFunctions.Utility_DisplayArrayInTable(Fertiliser_SourceData.Fertiliser_Products_Data4(),FertiliserProducts[[#Headers],[Company]], 91)</f>
        <v/>
      </c>
      <c r="AG183" s="62" t="str" cm="1">
        <f t="array" ref="AG183">Common_InputFunctions.Utility_DisplayArrayInTable(Fertiliser_SourceData.Fertiliser_Products_Data4(),FertiliserProducts[[#Headers],[Company]], 91)</f>
        <v/>
      </c>
      <c r="AH183" s="62" t="str" cm="1">
        <f t="array" ref="AH183">Common_InputFunctions.Utility_DisplayArrayInTable(Fertiliser_SourceData.Fertiliser_Products_Data4(),FertiliserProducts[[#Headers],[Company]], 91)</f>
        <v/>
      </c>
    </row>
    <row r="184" spans="4:37" x14ac:dyDescent="0.25">
      <c r="D184" s="62" t="str" cm="1">
        <f t="array" ref="D184">Common_InputFunctions.Utility_DisplayArrayInTable(Fertiliser_SourceData.Fertiliser_Products_Data4(),FertiliserProducts[[#Headers],[Company]], 91)</f>
        <v>YaraVita GLYTREL ZnP</v>
      </c>
      <c r="E184" s="62" t="str" cm="1">
        <f t="array" ref="E184">Common_InputFunctions.Utility_DisplayArrayInTable(Fertiliser_SourceData.Fertiliser_Products_Data4(),FertiliserProducts[[#Headers],[Company]], 91)</f>
        <v/>
      </c>
      <c r="F184" s="62" t="str" cm="1">
        <f t="array" ref="F184">Common_InputFunctions.Utility_DisplayArrayInTable(Fertiliser_SourceData.Fertiliser_Products_Data4(),FertiliserProducts[[#Headers],[Company]], 91)</f>
        <v/>
      </c>
      <c r="G184" s="62" t="str" cm="1">
        <f t="array" ref="G184">Common_InputFunctions.Utility_DisplayArrayInTable(Fertiliser_SourceData.Fertiliser_Products_Data4(),FertiliserProducts[[#Headers],[Company]], 91)</f>
        <v/>
      </c>
      <c r="H184" s="62" t="str" cm="1">
        <f t="array" ref="H184">Common_InputFunctions.Utility_DisplayArrayInTable(Fertiliser_SourceData.Fertiliser_Products_Data4(),FertiliserProducts[[#Headers],[Company]], 91)</f>
        <v/>
      </c>
      <c r="I184" s="62" t="str" cm="1">
        <f t="array" ref="I184">Common_InputFunctions.Utility_DisplayArrayInTable(Fertiliser_SourceData.Fertiliser_Products_Data4(),FertiliserProducts[[#Headers],[Company]], 91)</f>
        <v/>
      </c>
      <c r="J184" s="62" t="str" cm="1">
        <f t="array" ref="J184">Common_InputFunctions.Utility_DisplayArrayInTable(Fertiliser_SourceData.Fertiliser_Products_Data4(),FertiliserProducts[[#Headers],[Company]], 91)</f>
        <v/>
      </c>
      <c r="K184" s="62" t="str" cm="1">
        <f t="array" ref="K184">Common_InputFunctions.Utility_DisplayArrayInTable(Fertiliser_SourceData.Fertiliser_Products_Data4(),FertiliserProducts[[#Headers],[Company]], 91)</f>
        <v/>
      </c>
      <c r="L184" s="62" t="str" cm="1">
        <f t="array" ref="L184">Common_InputFunctions.Utility_DisplayArrayInTable(Fertiliser_SourceData.Fertiliser_Products_Data4(),FertiliserProducts[[#Headers],[Company]], 91)</f>
        <v/>
      </c>
      <c r="M184" s="62" t="str" cm="1">
        <f t="array" ref="M184">Common_InputFunctions.Utility_DisplayArrayInTable(Fertiliser_SourceData.Fertiliser_Products_Data4(),FertiliserProducts[[#Headers],[Company]], 91)</f>
        <v/>
      </c>
      <c r="N184" s="62" t="str" cm="1">
        <f t="array" ref="N184">Common_InputFunctions.Utility_DisplayArrayInTable(Fertiliser_SourceData.Fertiliser_Products_Data4(),FertiliserProducts[[#Headers],[Company]], 91)</f>
        <v/>
      </c>
      <c r="O184" s="62" t="str" cm="1">
        <f t="array" ref="O184">Common_InputFunctions.Utility_DisplayArrayInTable(Fertiliser_SourceData.Fertiliser_Products_Data4(),FertiliserProducts[[#Headers],[Company]], 91)</f>
        <v/>
      </c>
      <c r="P184" s="62" t="str" cm="1">
        <f t="array" ref="P184">Common_InputFunctions.Utility_DisplayArrayInTable(Fertiliser_SourceData.Fertiliser_Products_Data4(),FertiliserProducts[[#Headers],[Company]], 91)</f>
        <v/>
      </c>
      <c r="Q184" s="62" t="str" cm="1">
        <f t="array" ref="Q184">Common_InputFunctions.Utility_DisplayArrayInTable(Fertiliser_SourceData.Fertiliser_Products_Data4(),FertiliserProducts[[#Headers],[Company]], 91)</f>
        <v/>
      </c>
      <c r="R184" s="62" t="str" cm="1">
        <f t="array" ref="R184">Common_InputFunctions.Utility_DisplayArrayInTable(Fertiliser_SourceData.Fertiliser_Products_Data4(),FertiliserProducts[[#Headers],[Company]], 91)</f>
        <v/>
      </c>
      <c r="S184" s="62" t="str" cm="1">
        <f t="array" ref="S184">Common_InputFunctions.Utility_DisplayArrayInTable(Fertiliser_SourceData.Fertiliser_Products_Data4(),FertiliserProducts[[#Headers],[Company]], 91)</f>
        <v/>
      </c>
      <c r="T184" s="62" t="str" cm="1">
        <f t="array" ref="T184">Common_InputFunctions.Utility_DisplayArrayInTable(Fertiliser_SourceData.Fertiliser_Products_Data4(),FertiliserProducts[[#Headers],[Company]], 91)</f>
        <v/>
      </c>
      <c r="U184" s="62" t="str" cm="1">
        <f t="array" ref="U184">Common_InputFunctions.Utility_DisplayArrayInTable(Fertiliser_SourceData.Fertiliser_Products_Data4(),FertiliserProducts[[#Headers],[Company]], 91)</f>
        <v/>
      </c>
      <c r="V184" s="62" t="str" cm="1">
        <f t="array" ref="V184">Common_InputFunctions.Utility_DisplayArrayInTable(Fertiliser_SourceData.Fertiliser_Products_Data4(),FertiliserProducts[[#Headers],[Company]], 91)</f>
        <v/>
      </c>
      <c r="W184" s="62" t="str" cm="1">
        <f t="array" ref="W184">Common_InputFunctions.Utility_DisplayArrayInTable(Fertiliser_SourceData.Fertiliser_Products_Data4(),FertiliserProducts[[#Headers],[Company]], 91)</f>
        <v>Crop Nutrition Solutions (Yara Australia)</v>
      </c>
      <c r="X184" s="62" t="str" cm="1">
        <f t="array" ref="X184">Common_InputFunctions.Utility_DisplayArrayInTable(Fertiliser_SourceData.Fertiliser_Products_Data4(),FertiliserProducts[[#Headers],[Company]], 91)</f>
        <v/>
      </c>
      <c r="Y184" s="62" t="str" cm="1">
        <f t="array" ref="Y184">Common_InputFunctions.Utility_DisplayArrayInTable(Fertiliser_SourceData.Fertiliser_Products_Data4(),FertiliserProducts[[#Headers],[Company]], 91)</f>
        <v/>
      </c>
      <c r="Z184" s="62" t="str" cm="1">
        <f t="array" ref="Z184">Common_InputFunctions.Utility_DisplayArrayInTable(Fertiliser_SourceData.Fertiliser_Products_Data4(),FertiliserProducts[[#Headers],[Company]], 91)</f>
        <v/>
      </c>
      <c r="AA184" s="62" t="str" cm="1">
        <f t="array" ref="AA184">Common_InputFunctions.Utility_DisplayArrayInTable(Fertiliser_SourceData.Fertiliser_Products_Data4(),FertiliserProducts[[#Headers],[Company]], 91)</f>
        <v/>
      </c>
      <c r="AB184" s="62" t="str" cm="1">
        <f t="array" ref="AB184">Common_InputFunctions.Utility_DisplayArrayInTable(Fertiliser_SourceData.Fertiliser_Products_Data4(),FertiliserProducts[[#Headers],[Company]], 91)</f>
        <v/>
      </c>
      <c r="AC184" s="62" t="str" cm="1">
        <f t="array" ref="AC184">Common_InputFunctions.Utility_DisplayArrayInTable(Fertiliser_SourceData.Fertiliser_Products_Data4(),FertiliserProducts[[#Headers],[Company]], 91)</f>
        <v/>
      </c>
      <c r="AD184" s="62" t="str" cm="1">
        <f t="array" ref="AD184">Common_InputFunctions.Utility_DisplayArrayInTable(Fertiliser_SourceData.Fertiliser_Products_Data4(),FertiliserProducts[[#Headers],[Company]], 91)</f>
        <v/>
      </c>
      <c r="AE184" s="62" t="str" cm="1">
        <f t="array" ref="AE184">Common_InputFunctions.Utility_DisplayArrayInTable(Fertiliser_SourceData.Fertiliser_Products_Data4(),FertiliserProducts[[#Headers],[Company]], 91)</f>
        <v/>
      </c>
      <c r="AF184" s="62" t="str" cm="1">
        <f t="array" ref="AF184">Common_InputFunctions.Utility_DisplayArrayInTable(Fertiliser_SourceData.Fertiliser_Products_Data4(),FertiliserProducts[[#Headers],[Company]], 91)</f>
        <v/>
      </c>
      <c r="AG184" s="62" t="str" cm="1">
        <f t="array" ref="AG184">Common_InputFunctions.Utility_DisplayArrayInTable(Fertiliser_SourceData.Fertiliser_Products_Data4(),FertiliserProducts[[#Headers],[Company]], 91)</f>
        <v/>
      </c>
      <c r="AH184" s="62" t="str" cm="1">
        <f t="array" ref="AH184">Common_InputFunctions.Utility_DisplayArrayInTable(Fertiliser_SourceData.Fertiliser_Products_Data4(),FertiliserProducts[[#Headers],[Company]], 91)</f>
        <v/>
      </c>
    </row>
    <row r="185" spans="4:37" x14ac:dyDescent="0.25">
      <c r="D185" s="62" t="str" cm="1">
        <f t="array" ref="D185">Common_InputFunctions.Utility_DisplayArrayInTable(Fertiliser_SourceData.Fertiliser_Products_Data4(),FertiliserProducts[[#Headers],[Company]], 91)</f>
        <v>YaraVita GRAMITREL</v>
      </c>
      <c r="E185" s="62" t="str" cm="1">
        <f t="array" ref="E185">Common_InputFunctions.Utility_DisplayArrayInTable(Fertiliser_SourceData.Fertiliser_Products_Data4(),FertiliserProducts[[#Headers],[Company]], 91)</f>
        <v/>
      </c>
      <c r="F185" s="62" t="str" cm="1">
        <f t="array" ref="F185">Common_InputFunctions.Utility_DisplayArrayInTable(Fertiliser_SourceData.Fertiliser_Products_Data4(),FertiliserProducts[[#Headers],[Company]], 91)</f>
        <v/>
      </c>
      <c r="G185" s="62" t="str" cm="1">
        <f t="array" ref="G185">Common_InputFunctions.Utility_DisplayArrayInTable(Fertiliser_SourceData.Fertiliser_Products_Data4(),FertiliserProducts[[#Headers],[Company]], 91)</f>
        <v/>
      </c>
      <c r="H185" s="62" t="str" cm="1">
        <f t="array" ref="H185">Common_InputFunctions.Utility_DisplayArrayInTable(Fertiliser_SourceData.Fertiliser_Products_Data4(),FertiliserProducts[[#Headers],[Company]], 91)</f>
        <v/>
      </c>
      <c r="I185" s="62" t="str" cm="1">
        <f t="array" ref="I185">Common_InputFunctions.Utility_DisplayArrayInTable(Fertiliser_SourceData.Fertiliser_Products_Data4(),FertiliserProducts[[#Headers],[Company]], 91)</f>
        <v/>
      </c>
      <c r="J185" s="62" t="str" cm="1">
        <f t="array" ref="J185">Common_InputFunctions.Utility_DisplayArrayInTable(Fertiliser_SourceData.Fertiliser_Products_Data4(),FertiliserProducts[[#Headers],[Company]], 91)</f>
        <v/>
      </c>
      <c r="K185" s="62" t="str" cm="1">
        <f t="array" ref="K185">Common_InputFunctions.Utility_DisplayArrayInTable(Fertiliser_SourceData.Fertiliser_Products_Data4(),FertiliserProducts[[#Headers],[Company]], 91)</f>
        <v/>
      </c>
      <c r="L185" s="62" t="str" cm="1">
        <f t="array" ref="L185">Common_InputFunctions.Utility_DisplayArrayInTable(Fertiliser_SourceData.Fertiliser_Products_Data4(),FertiliserProducts[[#Headers],[Company]], 91)</f>
        <v/>
      </c>
      <c r="M185" s="62" t="str" cm="1">
        <f t="array" ref="M185">Common_InputFunctions.Utility_DisplayArrayInTable(Fertiliser_SourceData.Fertiliser_Products_Data4(),FertiliserProducts[[#Headers],[Company]], 91)</f>
        <v/>
      </c>
      <c r="N185" s="62" t="str" cm="1">
        <f t="array" ref="N185">Common_InputFunctions.Utility_DisplayArrayInTable(Fertiliser_SourceData.Fertiliser_Products_Data4(),FertiliserProducts[[#Headers],[Company]], 91)</f>
        <v/>
      </c>
      <c r="O185" s="62" t="str" cm="1">
        <f t="array" ref="O185">Common_InputFunctions.Utility_DisplayArrayInTable(Fertiliser_SourceData.Fertiliser_Products_Data4(),FertiliserProducts[[#Headers],[Company]], 91)</f>
        <v/>
      </c>
      <c r="P185" s="62" t="str" cm="1">
        <f t="array" ref="P185">Common_InputFunctions.Utility_DisplayArrayInTable(Fertiliser_SourceData.Fertiliser_Products_Data4(),FertiliserProducts[[#Headers],[Company]], 91)</f>
        <v/>
      </c>
      <c r="Q185" s="62" t="str" cm="1">
        <f t="array" ref="Q185">Common_InputFunctions.Utility_DisplayArrayInTable(Fertiliser_SourceData.Fertiliser_Products_Data4(),FertiliserProducts[[#Headers],[Company]], 91)</f>
        <v/>
      </c>
      <c r="R185" s="62" t="str" cm="1">
        <f t="array" ref="R185">Common_InputFunctions.Utility_DisplayArrayInTable(Fertiliser_SourceData.Fertiliser_Products_Data4(),FertiliserProducts[[#Headers],[Company]], 91)</f>
        <v/>
      </c>
      <c r="S185" s="62" t="str" cm="1">
        <f t="array" ref="S185">Common_InputFunctions.Utility_DisplayArrayInTable(Fertiliser_SourceData.Fertiliser_Products_Data4(),FertiliserProducts[[#Headers],[Company]], 91)</f>
        <v/>
      </c>
      <c r="T185" s="62" t="str" cm="1">
        <f t="array" ref="T185">Common_InputFunctions.Utility_DisplayArrayInTable(Fertiliser_SourceData.Fertiliser_Products_Data4(),FertiliserProducts[[#Headers],[Company]], 91)</f>
        <v/>
      </c>
      <c r="U185" s="62" t="str" cm="1">
        <f t="array" ref="U185">Common_InputFunctions.Utility_DisplayArrayInTable(Fertiliser_SourceData.Fertiliser_Products_Data4(),FertiliserProducts[[#Headers],[Company]], 91)</f>
        <v/>
      </c>
      <c r="V185" s="62" t="str" cm="1">
        <f t="array" ref="V185">Common_InputFunctions.Utility_DisplayArrayInTable(Fertiliser_SourceData.Fertiliser_Products_Data4(),FertiliserProducts[[#Headers],[Company]], 91)</f>
        <v/>
      </c>
      <c r="W185" s="62" t="str" cm="1">
        <f t="array" ref="W185">Common_InputFunctions.Utility_DisplayArrayInTable(Fertiliser_SourceData.Fertiliser_Products_Data4(),FertiliserProducts[[#Headers],[Company]], 91)</f>
        <v>Crop Nutrition Solutions (Yara Australia)</v>
      </c>
      <c r="X185" s="62" t="str" cm="1">
        <f t="array" ref="X185">Common_InputFunctions.Utility_DisplayArrayInTable(Fertiliser_SourceData.Fertiliser_Products_Data4(),FertiliserProducts[[#Headers],[Company]], 91)</f>
        <v/>
      </c>
      <c r="Y185" s="62" t="str" cm="1">
        <f t="array" ref="Y185">Common_InputFunctions.Utility_DisplayArrayInTable(Fertiliser_SourceData.Fertiliser_Products_Data4(),FertiliserProducts[[#Headers],[Company]], 91)</f>
        <v/>
      </c>
      <c r="Z185" s="62" t="str" cm="1">
        <f t="array" ref="Z185">Common_InputFunctions.Utility_DisplayArrayInTable(Fertiliser_SourceData.Fertiliser_Products_Data4(),FertiliserProducts[[#Headers],[Company]], 91)</f>
        <v/>
      </c>
      <c r="AA185" s="62" t="str" cm="1">
        <f t="array" ref="AA185">Common_InputFunctions.Utility_DisplayArrayInTable(Fertiliser_SourceData.Fertiliser_Products_Data4(),FertiliserProducts[[#Headers],[Company]], 91)</f>
        <v/>
      </c>
      <c r="AB185" s="62" t="str" cm="1">
        <f t="array" ref="AB185">Common_InputFunctions.Utility_DisplayArrayInTable(Fertiliser_SourceData.Fertiliser_Products_Data4(),FertiliserProducts[[#Headers],[Company]], 91)</f>
        <v/>
      </c>
      <c r="AC185" s="62" t="str" cm="1">
        <f t="array" ref="AC185">Common_InputFunctions.Utility_DisplayArrayInTable(Fertiliser_SourceData.Fertiliser_Products_Data4(),FertiliserProducts[[#Headers],[Company]], 91)</f>
        <v/>
      </c>
      <c r="AD185" s="62" t="str" cm="1">
        <f t="array" ref="AD185">Common_InputFunctions.Utility_DisplayArrayInTable(Fertiliser_SourceData.Fertiliser_Products_Data4(),FertiliserProducts[[#Headers],[Company]], 91)</f>
        <v/>
      </c>
      <c r="AE185" s="62" t="str" cm="1">
        <f t="array" ref="AE185">Common_InputFunctions.Utility_DisplayArrayInTable(Fertiliser_SourceData.Fertiliser_Products_Data4(),FertiliserProducts[[#Headers],[Company]], 91)</f>
        <v/>
      </c>
      <c r="AF185" s="62" t="str" cm="1">
        <f t="array" ref="AF185">Common_InputFunctions.Utility_DisplayArrayInTable(Fertiliser_SourceData.Fertiliser_Products_Data4(),FertiliserProducts[[#Headers],[Company]], 91)</f>
        <v/>
      </c>
      <c r="AG185" s="62" t="str" cm="1">
        <f t="array" ref="AG185">Common_InputFunctions.Utility_DisplayArrayInTable(Fertiliser_SourceData.Fertiliser_Products_Data4(),FertiliserProducts[[#Headers],[Company]], 91)</f>
        <v/>
      </c>
      <c r="AH185" s="62" t="str" cm="1">
        <f t="array" ref="AH185">Common_InputFunctions.Utility_DisplayArrayInTable(Fertiliser_SourceData.Fertiliser_Products_Data4(),FertiliserProducts[[#Headers],[Company]], 91)</f>
        <v/>
      </c>
    </row>
    <row r="186" spans="4:37" x14ac:dyDescent="0.25">
      <c r="D186" s="62" t="str" cm="1">
        <f t="array" ref="D186">Common_InputFunctions.Utility_DisplayArrayInTable(Fertiliser_SourceData.Fertiliser_Products_Data4(),FertiliserProducts[[#Headers],[Company]], 91)</f>
        <v>YaraVita KOMBIPHOS</v>
      </c>
      <c r="E186" s="62" t="str" cm="1">
        <f t="array" ref="E186">Common_InputFunctions.Utility_DisplayArrayInTable(Fertiliser_SourceData.Fertiliser_Products_Data4(),FertiliserProducts[[#Headers],[Company]], 91)</f>
        <v/>
      </c>
      <c r="F186" s="62" t="str" cm="1">
        <f t="array" ref="F186">Common_InputFunctions.Utility_DisplayArrayInTable(Fertiliser_SourceData.Fertiliser_Products_Data4(),FertiliserProducts[[#Headers],[Company]], 91)</f>
        <v/>
      </c>
      <c r="G186" s="62" t="str" cm="1">
        <f t="array" ref="G186">Common_InputFunctions.Utility_DisplayArrayInTable(Fertiliser_SourceData.Fertiliser_Products_Data4(),FertiliserProducts[[#Headers],[Company]], 91)</f>
        <v/>
      </c>
      <c r="H186" s="62" t="str" cm="1">
        <f t="array" ref="H186">Common_InputFunctions.Utility_DisplayArrayInTable(Fertiliser_SourceData.Fertiliser_Products_Data4(),FertiliserProducts[[#Headers],[Company]], 91)</f>
        <v/>
      </c>
      <c r="I186" s="62" t="str" cm="1">
        <f t="array" ref="I186">Common_InputFunctions.Utility_DisplayArrayInTable(Fertiliser_SourceData.Fertiliser_Products_Data4(),FertiliserProducts[[#Headers],[Company]], 91)</f>
        <v/>
      </c>
      <c r="J186" s="62" t="str" cm="1">
        <f t="array" ref="J186">Common_InputFunctions.Utility_DisplayArrayInTable(Fertiliser_SourceData.Fertiliser_Products_Data4(),FertiliserProducts[[#Headers],[Company]], 91)</f>
        <v/>
      </c>
      <c r="K186" s="62" t="str" cm="1">
        <f t="array" ref="K186">Common_InputFunctions.Utility_DisplayArrayInTable(Fertiliser_SourceData.Fertiliser_Products_Data4(),FertiliserProducts[[#Headers],[Company]], 91)</f>
        <v/>
      </c>
      <c r="L186" s="62" t="str" cm="1">
        <f t="array" ref="L186">Common_InputFunctions.Utility_DisplayArrayInTable(Fertiliser_SourceData.Fertiliser_Products_Data4(),FertiliserProducts[[#Headers],[Company]], 91)</f>
        <v/>
      </c>
      <c r="M186" s="62" t="str" cm="1">
        <f t="array" ref="M186">Common_InputFunctions.Utility_DisplayArrayInTable(Fertiliser_SourceData.Fertiliser_Products_Data4(),FertiliserProducts[[#Headers],[Company]], 91)</f>
        <v/>
      </c>
      <c r="N186" s="62" t="str" cm="1">
        <f t="array" ref="N186">Common_InputFunctions.Utility_DisplayArrayInTable(Fertiliser_SourceData.Fertiliser_Products_Data4(),FertiliserProducts[[#Headers],[Company]], 91)</f>
        <v/>
      </c>
      <c r="O186" s="62" t="str" cm="1">
        <f t="array" ref="O186">Common_InputFunctions.Utility_DisplayArrayInTable(Fertiliser_SourceData.Fertiliser_Products_Data4(),FertiliserProducts[[#Headers],[Company]], 91)</f>
        <v/>
      </c>
      <c r="P186" s="62" t="str" cm="1">
        <f t="array" ref="P186">Common_InputFunctions.Utility_DisplayArrayInTable(Fertiliser_SourceData.Fertiliser_Products_Data4(),FertiliserProducts[[#Headers],[Company]], 91)</f>
        <v/>
      </c>
      <c r="Q186" s="62" t="str" cm="1">
        <f t="array" ref="Q186">Common_InputFunctions.Utility_DisplayArrayInTable(Fertiliser_SourceData.Fertiliser_Products_Data4(),FertiliserProducts[[#Headers],[Company]], 91)</f>
        <v/>
      </c>
      <c r="R186" s="62" t="str" cm="1">
        <f t="array" ref="R186">Common_InputFunctions.Utility_DisplayArrayInTable(Fertiliser_SourceData.Fertiliser_Products_Data4(),FertiliserProducts[[#Headers],[Company]], 91)</f>
        <v/>
      </c>
      <c r="S186" s="62" t="str" cm="1">
        <f t="array" ref="S186">Common_InputFunctions.Utility_DisplayArrayInTable(Fertiliser_SourceData.Fertiliser_Products_Data4(),FertiliserProducts[[#Headers],[Company]], 91)</f>
        <v/>
      </c>
      <c r="T186" s="62" t="str" cm="1">
        <f t="array" ref="T186">Common_InputFunctions.Utility_DisplayArrayInTable(Fertiliser_SourceData.Fertiliser_Products_Data4(),FertiliserProducts[[#Headers],[Company]], 91)</f>
        <v/>
      </c>
      <c r="U186" s="62" t="str" cm="1">
        <f t="array" ref="U186">Common_InputFunctions.Utility_DisplayArrayInTable(Fertiliser_SourceData.Fertiliser_Products_Data4(),FertiliserProducts[[#Headers],[Company]], 91)</f>
        <v/>
      </c>
      <c r="V186" s="62" t="str" cm="1">
        <f t="array" ref="V186">Common_InputFunctions.Utility_DisplayArrayInTable(Fertiliser_SourceData.Fertiliser_Products_Data4(),FertiliserProducts[[#Headers],[Company]], 91)</f>
        <v/>
      </c>
      <c r="W186" s="62" t="str" cm="1">
        <f t="array" ref="W186">Common_InputFunctions.Utility_DisplayArrayInTable(Fertiliser_SourceData.Fertiliser_Products_Data4(),FertiliserProducts[[#Headers],[Company]], 91)</f>
        <v>Crop Nutrition Solutions (Yara Australia)</v>
      </c>
      <c r="X186" s="62" t="str" cm="1">
        <f t="array" ref="X186">Common_InputFunctions.Utility_DisplayArrayInTable(Fertiliser_SourceData.Fertiliser_Products_Data4(),FertiliserProducts[[#Headers],[Company]], 91)</f>
        <v/>
      </c>
      <c r="Y186" s="62" t="str" cm="1">
        <f t="array" ref="Y186">Common_InputFunctions.Utility_DisplayArrayInTable(Fertiliser_SourceData.Fertiliser_Products_Data4(),FertiliserProducts[[#Headers],[Company]], 91)</f>
        <v/>
      </c>
      <c r="Z186" s="62" t="str" cm="1">
        <f t="array" ref="Z186">Common_InputFunctions.Utility_DisplayArrayInTable(Fertiliser_SourceData.Fertiliser_Products_Data4(),FertiliserProducts[[#Headers],[Company]], 91)</f>
        <v/>
      </c>
      <c r="AA186" s="62" t="str" cm="1">
        <f t="array" ref="AA186">Common_InputFunctions.Utility_DisplayArrayInTable(Fertiliser_SourceData.Fertiliser_Products_Data4(),FertiliserProducts[[#Headers],[Company]], 91)</f>
        <v/>
      </c>
      <c r="AB186" s="62" t="str" cm="1">
        <f t="array" ref="AB186">Common_InputFunctions.Utility_DisplayArrayInTable(Fertiliser_SourceData.Fertiliser_Products_Data4(),FertiliserProducts[[#Headers],[Company]], 91)</f>
        <v/>
      </c>
      <c r="AC186" s="62" t="str" cm="1">
        <f t="array" ref="AC186">Common_InputFunctions.Utility_DisplayArrayInTable(Fertiliser_SourceData.Fertiliser_Products_Data4(),FertiliserProducts[[#Headers],[Company]], 91)</f>
        <v/>
      </c>
      <c r="AD186" s="62" t="str" cm="1">
        <f t="array" ref="AD186">Common_InputFunctions.Utility_DisplayArrayInTable(Fertiliser_SourceData.Fertiliser_Products_Data4(),FertiliserProducts[[#Headers],[Company]], 91)</f>
        <v/>
      </c>
      <c r="AE186" s="62" t="str" cm="1">
        <f t="array" ref="AE186">Common_InputFunctions.Utility_DisplayArrayInTable(Fertiliser_SourceData.Fertiliser_Products_Data4(),FertiliserProducts[[#Headers],[Company]], 91)</f>
        <v/>
      </c>
      <c r="AF186" s="62" t="str" cm="1">
        <f t="array" ref="AF186">Common_InputFunctions.Utility_DisplayArrayInTable(Fertiliser_SourceData.Fertiliser_Products_Data4(),FertiliserProducts[[#Headers],[Company]], 91)</f>
        <v/>
      </c>
      <c r="AG186" s="62" t="str" cm="1">
        <f t="array" ref="AG186">Common_InputFunctions.Utility_DisplayArrayInTable(Fertiliser_SourceData.Fertiliser_Products_Data4(),FertiliserProducts[[#Headers],[Company]], 91)</f>
        <v/>
      </c>
      <c r="AH186" s="62" t="str" cm="1">
        <f t="array" ref="AH186">Common_InputFunctions.Utility_DisplayArrayInTable(Fertiliser_SourceData.Fertiliser_Products_Data4(),FertiliserProducts[[#Headers],[Company]], 91)</f>
        <v/>
      </c>
    </row>
    <row r="187" spans="4:37" x14ac:dyDescent="0.25">
      <c r="D187" s="62" t="str" cm="1">
        <f t="array" ref="D187">Common_InputFunctions.Utility_DisplayArrayInTable(Fertiliser_SourceData.Fertiliser_Products_Data4(),FertiliserProducts[[#Headers],[Company]], 91)</f>
        <v>YaraVita MANGZINC</v>
      </c>
      <c r="E187" s="62" t="str" cm="1">
        <f t="array" ref="E187">Common_InputFunctions.Utility_DisplayArrayInTable(Fertiliser_SourceData.Fertiliser_Products_Data4(),FertiliserProducts[[#Headers],[Company]], 91)</f>
        <v/>
      </c>
      <c r="F187" s="62" t="str" cm="1">
        <f t="array" ref="F187">Common_InputFunctions.Utility_DisplayArrayInTable(Fertiliser_SourceData.Fertiliser_Products_Data4(),FertiliserProducts[[#Headers],[Company]], 91)</f>
        <v/>
      </c>
      <c r="G187" s="62" t="str" cm="1">
        <f t="array" ref="G187">Common_InputFunctions.Utility_DisplayArrayInTable(Fertiliser_SourceData.Fertiliser_Products_Data4(),FertiliserProducts[[#Headers],[Company]], 91)</f>
        <v/>
      </c>
      <c r="H187" s="62" t="str" cm="1">
        <f t="array" ref="H187">Common_InputFunctions.Utility_DisplayArrayInTable(Fertiliser_SourceData.Fertiliser_Products_Data4(),FertiliserProducts[[#Headers],[Company]], 91)</f>
        <v/>
      </c>
      <c r="I187" s="62" t="str" cm="1">
        <f t="array" ref="I187">Common_InputFunctions.Utility_DisplayArrayInTable(Fertiliser_SourceData.Fertiliser_Products_Data4(),FertiliserProducts[[#Headers],[Company]], 91)</f>
        <v/>
      </c>
      <c r="J187" s="62" t="str" cm="1">
        <f t="array" ref="J187">Common_InputFunctions.Utility_DisplayArrayInTable(Fertiliser_SourceData.Fertiliser_Products_Data4(),FertiliserProducts[[#Headers],[Company]], 91)</f>
        <v/>
      </c>
      <c r="K187" s="62" t="str" cm="1">
        <f t="array" ref="K187">Common_InputFunctions.Utility_DisplayArrayInTable(Fertiliser_SourceData.Fertiliser_Products_Data4(),FertiliserProducts[[#Headers],[Company]], 91)</f>
        <v/>
      </c>
      <c r="L187" s="62" t="str" cm="1">
        <f t="array" ref="L187">Common_InputFunctions.Utility_DisplayArrayInTable(Fertiliser_SourceData.Fertiliser_Products_Data4(),FertiliserProducts[[#Headers],[Company]], 91)</f>
        <v/>
      </c>
      <c r="M187" s="62" t="str" cm="1">
        <f t="array" ref="M187">Common_InputFunctions.Utility_DisplayArrayInTable(Fertiliser_SourceData.Fertiliser_Products_Data4(),FertiliserProducts[[#Headers],[Company]], 91)</f>
        <v/>
      </c>
      <c r="N187" s="62" t="str" cm="1">
        <f t="array" ref="N187">Common_InputFunctions.Utility_DisplayArrayInTable(Fertiliser_SourceData.Fertiliser_Products_Data4(),FertiliserProducts[[#Headers],[Company]], 91)</f>
        <v/>
      </c>
      <c r="O187" s="62" t="str" cm="1">
        <f t="array" ref="O187">Common_InputFunctions.Utility_DisplayArrayInTable(Fertiliser_SourceData.Fertiliser_Products_Data4(),FertiliserProducts[[#Headers],[Company]], 91)</f>
        <v/>
      </c>
      <c r="P187" s="62" t="str" cm="1">
        <f t="array" ref="P187">Common_InputFunctions.Utility_DisplayArrayInTable(Fertiliser_SourceData.Fertiliser_Products_Data4(),FertiliserProducts[[#Headers],[Company]], 91)</f>
        <v/>
      </c>
      <c r="Q187" s="62" t="str" cm="1">
        <f t="array" ref="Q187">Common_InputFunctions.Utility_DisplayArrayInTable(Fertiliser_SourceData.Fertiliser_Products_Data4(),FertiliserProducts[[#Headers],[Company]], 91)</f>
        <v/>
      </c>
      <c r="R187" s="62" t="str" cm="1">
        <f t="array" ref="R187">Common_InputFunctions.Utility_DisplayArrayInTable(Fertiliser_SourceData.Fertiliser_Products_Data4(),FertiliserProducts[[#Headers],[Company]], 91)</f>
        <v/>
      </c>
      <c r="S187" s="62" t="str" cm="1">
        <f t="array" ref="S187">Common_InputFunctions.Utility_DisplayArrayInTable(Fertiliser_SourceData.Fertiliser_Products_Data4(),FertiliserProducts[[#Headers],[Company]], 91)</f>
        <v/>
      </c>
      <c r="T187" s="62" t="str" cm="1">
        <f t="array" ref="T187">Common_InputFunctions.Utility_DisplayArrayInTable(Fertiliser_SourceData.Fertiliser_Products_Data4(),FertiliserProducts[[#Headers],[Company]], 91)</f>
        <v/>
      </c>
      <c r="U187" s="62" t="str" cm="1">
        <f t="array" ref="U187">Common_InputFunctions.Utility_DisplayArrayInTable(Fertiliser_SourceData.Fertiliser_Products_Data4(),FertiliserProducts[[#Headers],[Company]], 91)</f>
        <v/>
      </c>
      <c r="V187" s="62" t="str" cm="1">
        <f t="array" ref="V187">Common_InputFunctions.Utility_DisplayArrayInTable(Fertiliser_SourceData.Fertiliser_Products_Data4(),FertiliserProducts[[#Headers],[Company]], 91)</f>
        <v/>
      </c>
      <c r="W187" s="62" t="str" cm="1">
        <f t="array" ref="W187">Common_InputFunctions.Utility_DisplayArrayInTable(Fertiliser_SourceData.Fertiliser_Products_Data4(),FertiliserProducts[[#Headers],[Company]], 91)</f>
        <v>Crop Nutrition Solutions (Yara Australia)</v>
      </c>
      <c r="X187" s="62" t="str" cm="1">
        <f t="array" ref="X187">Common_InputFunctions.Utility_DisplayArrayInTable(Fertiliser_SourceData.Fertiliser_Products_Data4(),FertiliserProducts[[#Headers],[Company]], 91)</f>
        <v/>
      </c>
      <c r="Y187" s="62" t="str" cm="1">
        <f t="array" ref="Y187">Common_InputFunctions.Utility_DisplayArrayInTable(Fertiliser_SourceData.Fertiliser_Products_Data4(),FertiliserProducts[[#Headers],[Company]], 91)</f>
        <v/>
      </c>
      <c r="Z187" s="62" t="str" cm="1">
        <f t="array" ref="Z187">Common_InputFunctions.Utility_DisplayArrayInTable(Fertiliser_SourceData.Fertiliser_Products_Data4(),FertiliserProducts[[#Headers],[Company]], 91)</f>
        <v/>
      </c>
      <c r="AA187" s="62" t="str" cm="1">
        <f t="array" ref="AA187">Common_InputFunctions.Utility_DisplayArrayInTable(Fertiliser_SourceData.Fertiliser_Products_Data4(),FertiliserProducts[[#Headers],[Company]], 91)</f>
        <v/>
      </c>
      <c r="AB187" s="62" t="str" cm="1">
        <f t="array" ref="AB187">Common_InputFunctions.Utility_DisplayArrayInTable(Fertiliser_SourceData.Fertiliser_Products_Data4(),FertiliserProducts[[#Headers],[Company]], 91)</f>
        <v/>
      </c>
      <c r="AC187" s="62" t="str" cm="1">
        <f t="array" ref="AC187">Common_InputFunctions.Utility_DisplayArrayInTable(Fertiliser_SourceData.Fertiliser_Products_Data4(),FertiliserProducts[[#Headers],[Company]], 91)</f>
        <v/>
      </c>
      <c r="AD187" s="62" t="str" cm="1">
        <f t="array" ref="AD187">Common_InputFunctions.Utility_DisplayArrayInTable(Fertiliser_SourceData.Fertiliser_Products_Data4(),FertiliserProducts[[#Headers],[Company]], 91)</f>
        <v/>
      </c>
      <c r="AE187" s="62" t="str" cm="1">
        <f t="array" ref="AE187">Common_InputFunctions.Utility_DisplayArrayInTable(Fertiliser_SourceData.Fertiliser_Products_Data4(),FertiliserProducts[[#Headers],[Company]], 91)</f>
        <v/>
      </c>
      <c r="AF187" s="62" t="str" cm="1">
        <f t="array" ref="AF187">Common_InputFunctions.Utility_DisplayArrayInTable(Fertiliser_SourceData.Fertiliser_Products_Data4(),FertiliserProducts[[#Headers],[Company]], 91)</f>
        <v/>
      </c>
      <c r="AG187" s="62" t="str" cm="1">
        <f t="array" ref="AG187">Common_InputFunctions.Utility_DisplayArrayInTable(Fertiliser_SourceData.Fertiliser_Products_Data4(),FertiliserProducts[[#Headers],[Company]], 91)</f>
        <v/>
      </c>
      <c r="AH187" s="62" t="str" cm="1">
        <f t="array" ref="AH187">Common_InputFunctions.Utility_DisplayArrayInTable(Fertiliser_SourceData.Fertiliser_Products_Data4(),FertiliserProducts[[#Headers],[Company]], 91)</f>
        <v/>
      </c>
    </row>
    <row r="188" spans="4:37" x14ac:dyDescent="0.25">
      <c r="D188" s="62" t="str" cm="1">
        <f t="array" ref="D188">Common_InputFunctions.Utility_DisplayArrayInTable(Fertiliser_SourceData.Fertiliser_Products_Data4(),FertiliserProducts[[#Headers],[Company]], 91)</f>
        <v>YaraVita MOLYTRAC</v>
      </c>
      <c r="E188" s="62" t="str" cm="1">
        <f t="array" ref="E188">Common_InputFunctions.Utility_DisplayArrayInTable(Fertiliser_SourceData.Fertiliser_Products_Data4(),FertiliserProducts[[#Headers],[Company]], 91)</f>
        <v/>
      </c>
      <c r="F188" s="62" t="str" cm="1">
        <f t="array" ref="F188">Common_InputFunctions.Utility_DisplayArrayInTable(Fertiliser_SourceData.Fertiliser_Products_Data4(),FertiliserProducts[[#Headers],[Company]], 91)</f>
        <v/>
      </c>
      <c r="G188" s="62" t="str" cm="1">
        <f t="array" ref="G188">Common_InputFunctions.Utility_DisplayArrayInTable(Fertiliser_SourceData.Fertiliser_Products_Data4(),FertiliserProducts[[#Headers],[Company]], 91)</f>
        <v/>
      </c>
      <c r="H188" s="62" t="str" cm="1">
        <f t="array" ref="H188">Common_InputFunctions.Utility_DisplayArrayInTable(Fertiliser_SourceData.Fertiliser_Products_Data4(),FertiliserProducts[[#Headers],[Company]], 91)</f>
        <v/>
      </c>
      <c r="I188" s="62" t="str" cm="1">
        <f t="array" ref="I188">Common_InputFunctions.Utility_DisplayArrayInTable(Fertiliser_SourceData.Fertiliser_Products_Data4(),FertiliserProducts[[#Headers],[Company]], 91)</f>
        <v/>
      </c>
      <c r="J188" s="62" t="str" cm="1">
        <f t="array" ref="J188">Common_InputFunctions.Utility_DisplayArrayInTable(Fertiliser_SourceData.Fertiliser_Products_Data4(),FertiliserProducts[[#Headers],[Company]], 91)</f>
        <v/>
      </c>
      <c r="K188" s="62" t="str" cm="1">
        <f t="array" ref="K188">Common_InputFunctions.Utility_DisplayArrayInTable(Fertiliser_SourceData.Fertiliser_Products_Data4(),FertiliserProducts[[#Headers],[Company]], 91)</f>
        <v/>
      </c>
      <c r="L188" s="62" t="str" cm="1">
        <f t="array" ref="L188">Common_InputFunctions.Utility_DisplayArrayInTable(Fertiliser_SourceData.Fertiliser_Products_Data4(),FertiliserProducts[[#Headers],[Company]], 91)</f>
        <v/>
      </c>
      <c r="M188" s="62" t="str" cm="1">
        <f t="array" ref="M188">Common_InputFunctions.Utility_DisplayArrayInTable(Fertiliser_SourceData.Fertiliser_Products_Data4(),FertiliserProducts[[#Headers],[Company]], 91)</f>
        <v/>
      </c>
      <c r="N188" s="62" t="str" cm="1">
        <f t="array" ref="N188">Common_InputFunctions.Utility_DisplayArrayInTable(Fertiliser_SourceData.Fertiliser_Products_Data4(),FertiliserProducts[[#Headers],[Company]], 91)</f>
        <v/>
      </c>
      <c r="O188" s="62" t="str" cm="1">
        <f t="array" ref="O188">Common_InputFunctions.Utility_DisplayArrayInTable(Fertiliser_SourceData.Fertiliser_Products_Data4(),FertiliserProducts[[#Headers],[Company]], 91)</f>
        <v/>
      </c>
      <c r="P188" s="62" t="str" cm="1">
        <f t="array" ref="P188">Common_InputFunctions.Utility_DisplayArrayInTable(Fertiliser_SourceData.Fertiliser_Products_Data4(),FertiliserProducts[[#Headers],[Company]], 91)</f>
        <v/>
      </c>
      <c r="Q188" s="62" t="str" cm="1">
        <f t="array" ref="Q188">Common_InputFunctions.Utility_DisplayArrayInTable(Fertiliser_SourceData.Fertiliser_Products_Data4(),FertiliserProducts[[#Headers],[Company]], 91)</f>
        <v/>
      </c>
      <c r="R188" s="62" t="str" cm="1">
        <f t="array" ref="R188">Common_InputFunctions.Utility_DisplayArrayInTable(Fertiliser_SourceData.Fertiliser_Products_Data4(),FertiliserProducts[[#Headers],[Company]], 91)</f>
        <v/>
      </c>
      <c r="S188" s="62" t="str" cm="1">
        <f t="array" ref="S188">Common_InputFunctions.Utility_DisplayArrayInTable(Fertiliser_SourceData.Fertiliser_Products_Data4(),FertiliserProducts[[#Headers],[Company]], 91)</f>
        <v/>
      </c>
      <c r="T188" s="62" t="str" cm="1">
        <f t="array" ref="T188">Common_InputFunctions.Utility_DisplayArrayInTable(Fertiliser_SourceData.Fertiliser_Products_Data4(),FertiliserProducts[[#Headers],[Company]], 91)</f>
        <v/>
      </c>
      <c r="U188" s="62" t="str" cm="1">
        <f t="array" ref="U188">Common_InputFunctions.Utility_DisplayArrayInTable(Fertiliser_SourceData.Fertiliser_Products_Data4(),FertiliserProducts[[#Headers],[Company]], 91)</f>
        <v/>
      </c>
      <c r="V188" s="62" t="str" cm="1">
        <f t="array" ref="V188">Common_InputFunctions.Utility_DisplayArrayInTable(Fertiliser_SourceData.Fertiliser_Products_Data4(),FertiliserProducts[[#Headers],[Company]], 91)</f>
        <v/>
      </c>
      <c r="W188" s="62" t="str" cm="1">
        <f t="array" ref="W188">Common_InputFunctions.Utility_DisplayArrayInTable(Fertiliser_SourceData.Fertiliser_Products_Data4(),FertiliserProducts[[#Headers],[Company]], 91)</f>
        <v>Crop Nutrition Solutions (Yara Australia)</v>
      </c>
      <c r="X188" s="62" t="str" cm="1">
        <f t="array" ref="X188">Common_InputFunctions.Utility_DisplayArrayInTable(Fertiliser_SourceData.Fertiliser_Products_Data4(),FertiliserProducts[[#Headers],[Company]], 91)</f>
        <v/>
      </c>
      <c r="Y188" s="62" t="str" cm="1">
        <f t="array" ref="Y188">Common_InputFunctions.Utility_DisplayArrayInTable(Fertiliser_SourceData.Fertiliser_Products_Data4(),FertiliserProducts[[#Headers],[Company]], 91)</f>
        <v/>
      </c>
      <c r="Z188" s="62" t="str" cm="1">
        <f t="array" ref="Z188">Common_InputFunctions.Utility_DisplayArrayInTable(Fertiliser_SourceData.Fertiliser_Products_Data4(),FertiliserProducts[[#Headers],[Company]], 91)</f>
        <v/>
      </c>
      <c r="AA188" s="62" t="str" cm="1">
        <f t="array" ref="AA188">Common_InputFunctions.Utility_DisplayArrayInTable(Fertiliser_SourceData.Fertiliser_Products_Data4(),FertiliserProducts[[#Headers],[Company]], 91)</f>
        <v/>
      </c>
      <c r="AB188" s="62" t="str" cm="1">
        <f t="array" ref="AB188">Common_InputFunctions.Utility_DisplayArrayInTable(Fertiliser_SourceData.Fertiliser_Products_Data4(),FertiliserProducts[[#Headers],[Company]], 91)</f>
        <v/>
      </c>
      <c r="AC188" s="62" t="str" cm="1">
        <f t="array" ref="AC188">Common_InputFunctions.Utility_DisplayArrayInTable(Fertiliser_SourceData.Fertiliser_Products_Data4(),FertiliserProducts[[#Headers],[Company]], 91)</f>
        <v/>
      </c>
      <c r="AD188" s="62" t="str" cm="1">
        <f t="array" ref="AD188">Common_InputFunctions.Utility_DisplayArrayInTable(Fertiliser_SourceData.Fertiliser_Products_Data4(),FertiliserProducts[[#Headers],[Company]], 91)</f>
        <v/>
      </c>
      <c r="AE188" s="62" t="str" cm="1">
        <f t="array" ref="AE188">Common_InputFunctions.Utility_DisplayArrayInTable(Fertiliser_SourceData.Fertiliser_Products_Data4(),FertiliserProducts[[#Headers],[Company]], 91)</f>
        <v/>
      </c>
      <c r="AF188" s="62" t="str" cm="1">
        <f t="array" ref="AF188">Common_InputFunctions.Utility_DisplayArrayInTable(Fertiliser_SourceData.Fertiliser_Products_Data4(),FertiliserProducts[[#Headers],[Company]], 91)</f>
        <v/>
      </c>
      <c r="AG188" s="62" t="str" cm="1">
        <f t="array" ref="AG188">Common_InputFunctions.Utility_DisplayArrayInTable(Fertiliser_SourceData.Fertiliser_Products_Data4(),FertiliserProducts[[#Headers],[Company]], 91)</f>
        <v/>
      </c>
      <c r="AH188" s="62" t="str" cm="1">
        <f t="array" ref="AH188">Common_InputFunctions.Utility_DisplayArrayInTable(Fertiliser_SourceData.Fertiliser_Products_Data4(),FertiliserProducts[[#Headers],[Company]], 91)</f>
        <v/>
      </c>
    </row>
    <row r="189" spans="4:37" x14ac:dyDescent="0.25">
      <c r="D189" s="62" t="str" cm="1">
        <f t="array" ref="D189">Common_InputFunctions.Utility_DisplayArrayInTable(Fertiliser_SourceData.Fertiliser_Products_Data4(),FertiliserProducts[[#Headers],[Company]], 91)</f>
        <v>YaraVita SENIPHOS</v>
      </c>
      <c r="E189" s="62" t="str" cm="1">
        <f t="array" ref="E189">Common_InputFunctions.Utility_DisplayArrayInTable(Fertiliser_SourceData.Fertiliser_Products_Data4(),FertiliserProducts[[#Headers],[Company]], 91)</f>
        <v/>
      </c>
      <c r="F189" s="62" t="str" cm="1">
        <f t="array" ref="F189">Common_InputFunctions.Utility_DisplayArrayInTable(Fertiliser_SourceData.Fertiliser_Products_Data4(),FertiliserProducts[[#Headers],[Company]], 91)</f>
        <v/>
      </c>
      <c r="G189" s="62" t="str" cm="1">
        <f t="array" ref="G189">Common_InputFunctions.Utility_DisplayArrayInTable(Fertiliser_SourceData.Fertiliser_Products_Data4(),FertiliserProducts[[#Headers],[Company]], 91)</f>
        <v/>
      </c>
      <c r="H189" s="62" t="str" cm="1">
        <f t="array" ref="H189">Common_InputFunctions.Utility_DisplayArrayInTable(Fertiliser_SourceData.Fertiliser_Products_Data4(),FertiliserProducts[[#Headers],[Company]], 91)</f>
        <v/>
      </c>
      <c r="I189" s="62" t="str" cm="1">
        <f t="array" ref="I189">Common_InputFunctions.Utility_DisplayArrayInTable(Fertiliser_SourceData.Fertiliser_Products_Data4(),FertiliserProducts[[#Headers],[Company]], 91)</f>
        <v/>
      </c>
      <c r="J189" s="62" t="str" cm="1">
        <f t="array" ref="J189">Common_InputFunctions.Utility_DisplayArrayInTable(Fertiliser_SourceData.Fertiliser_Products_Data4(),FertiliserProducts[[#Headers],[Company]], 91)</f>
        <v/>
      </c>
      <c r="K189" s="62" t="str" cm="1">
        <f t="array" ref="K189">Common_InputFunctions.Utility_DisplayArrayInTable(Fertiliser_SourceData.Fertiliser_Products_Data4(),FertiliserProducts[[#Headers],[Company]], 91)</f>
        <v/>
      </c>
      <c r="L189" s="62" t="str" cm="1">
        <f t="array" ref="L189">Common_InputFunctions.Utility_DisplayArrayInTable(Fertiliser_SourceData.Fertiliser_Products_Data4(),FertiliserProducts[[#Headers],[Company]], 91)</f>
        <v/>
      </c>
      <c r="M189" s="62" t="str" cm="1">
        <f t="array" ref="M189">Common_InputFunctions.Utility_DisplayArrayInTable(Fertiliser_SourceData.Fertiliser_Products_Data4(),FertiliserProducts[[#Headers],[Company]], 91)</f>
        <v/>
      </c>
      <c r="N189" s="62" t="str" cm="1">
        <f t="array" ref="N189">Common_InputFunctions.Utility_DisplayArrayInTable(Fertiliser_SourceData.Fertiliser_Products_Data4(),FertiliserProducts[[#Headers],[Company]], 91)</f>
        <v/>
      </c>
      <c r="O189" s="62" t="str" cm="1">
        <f t="array" ref="O189">Common_InputFunctions.Utility_DisplayArrayInTable(Fertiliser_SourceData.Fertiliser_Products_Data4(),FertiliserProducts[[#Headers],[Company]], 91)</f>
        <v/>
      </c>
      <c r="P189" s="62" t="str" cm="1">
        <f t="array" ref="P189">Common_InputFunctions.Utility_DisplayArrayInTable(Fertiliser_SourceData.Fertiliser_Products_Data4(),FertiliserProducts[[#Headers],[Company]], 91)</f>
        <v/>
      </c>
      <c r="Q189" s="62" t="str" cm="1">
        <f t="array" ref="Q189">Common_InputFunctions.Utility_DisplayArrayInTable(Fertiliser_SourceData.Fertiliser_Products_Data4(),FertiliserProducts[[#Headers],[Company]], 91)</f>
        <v/>
      </c>
      <c r="R189" s="62" t="str" cm="1">
        <f t="array" ref="R189">Common_InputFunctions.Utility_DisplayArrayInTable(Fertiliser_SourceData.Fertiliser_Products_Data4(),FertiliserProducts[[#Headers],[Company]], 91)</f>
        <v/>
      </c>
      <c r="S189" s="62" t="str" cm="1">
        <f t="array" ref="S189">Common_InputFunctions.Utility_DisplayArrayInTable(Fertiliser_SourceData.Fertiliser_Products_Data4(),FertiliserProducts[[#Headers],[Company]], 91)</f>
        <v/>
      </c>
      <c r="T189" s="62" t="str" cm="1">
        <f t="array" ref="T189">Common_InputFunctions.Utility_DisplayArrayInTable(Fertiliser_SourceData.Fertiliser_Products_Data4(),FertiliserProducts[[#Headers],[Company]], 91)</f>
        <v/>
      </c>
      <c r="U189" s="62" t="str" cm="1">
        <f t="array" ref="U189">Common_InputFunctions.Utility_DisplayArrayInTable(Fertiliser_SourceData.Fertiliser_Products_Data4(),FertiliserProducts[[#Headers],[Company]], 91)</f>
        <v/>
      </c>
      <c r="V189" s="62" t="str" cm="1">
        <f t="array" ref="V189">Common_InputFunctions.Utility_DisplayArrayInTable(Fertiliser_SourceData.Fertiliser_Products_Data4(),FertiliserProducts[[#Headers],[Company]], 91)</f>
        <v/>
      </c>
      <c r="W189" s="62" t="str" cm="1">
        <f t="array" ref="W189">Common_InputFunctions.Utility_DisplayArrayInTable(Fertiliser_SourceData.Fertiliser_Products_Data4(),FertiliserProducts[[#Headers],[Company]], 91)</f>
        <v>Crop Nutrition Solutions (Yara Australia)</v>
      </c>
      <c r="X189" s="62" t="str" cm="1">
        <f t="array" ref="X189">Common_InputFunctions.Utility_DisplayArrayInTable(Fertiliser_SourceData.Fertiliser_Products_Data4(),FertiliserProducts[[#Headers],[Company]], 91)</f>
        <v/>
      </c>
      <c r="Y189" s="62" t="str" cm="1">
        <f t="array" ref="Y189">Common_InputFunctions.Utility_DisplayArrayInTable(Fertiliser_SourceData.Fertiliser_Products_Data4(),FertiliserProducts[[#Headers],[Company]], 91)</f>
        <v/>
      </c>
      <c r="Z189" s="62" t="str" cm="1">
        <f t="array" ref="Z189">Common_InputFunctions.Utility_DisplayArrayInTable(Fertiliser_SourceData.Fertiliser_Products_Data4(),FertiliserProducts[[#Headers],[Company]], 91)</f>
        <v/>
      </c>
      <c r="AA189" s="62" t="str" cm="1">
        <f t="array" ref="AA189">Common_InputFunctions.Utility_DisplayArrayInTable(Fertiliser_SourceData.Fertiliser_Products_Data4(),FertiliserProducts[[#Headers],[Company]], 91)</f>
        <v/>
      </c>
      <c r="AB189" s="62" t="str" cm="1">
        <f t="array" ref="AB189">Common_InputFunctions.Utility_DisplayArrayInTable(Fertiliser_SourceData.Fertiliser_Products_Data4(),FertiliserProducts[[#Headers],[Company]], 91)</f>
        <v/>
      </c>
      <c r="AC189" s="62" t="str" cm="1">
        <f t="array" ref="AC189">Common_InputFunctions.Utility_DisplayArrayInTable(Fertiliser_SourceData.Fertiliser_Products_Data4(),FertiliserProducts[[#Headers],[Company]], 91)</f>
        <v/>
      </c>
      <c r="AD189" s="62" t="str" cm="1">
        <f t="array" ref="AD189">Common_InputFunctions.Utility_DisplayArrayInTable(Fertiliser_SourceData.Fertiliser_Products_Data4(),FertiliserProducts[[#Headers],[Company]], 91)</f>
        <v/>
      </c>
      <c r="AE189" s="62" t="str" cm="1">
        <f t="array" ref="AE189">Common_InputFunctions.Utility_DisplayArrayInTable(Fertiliser_SourceData.Fertiliser_Products_Data4(),FertiliserProducts[[#Headers],[Company]], 91)</f>
        <v/>
      </c>
      <c r="AF189" s="62" t="str" cm="1">
        <f t="array" ref="AF189">Common_InputFunctions.Utility_DisplayArrayInTable(Fertiliser_SourceData.Fertiliser_Products_Data4(),FertiliserProducts[[#Headers],[Company]], 91)</f>
        <v/>
      </c>
      <c r="AG189" s="62" t="str" cm="1">
        <f t="array" ref="AG189">Common_InputFunctions.Utility_DisplayArrayInTable(Fertiliser_SourceData.Fertiliser_Products_Data4(),FertiliserProducts[[#Headers],[Company]], 91)</f>
        <v/>
      </c>
      <c r="AH189" s="62" t="str" cm="1">
        <f t="array" ref="AH189">Common_InputFunctions.Utility_DisplayArrayInTable(Fertiliser_SourceData.Fertiliser_Products_Data4(),FertiliserProducts[[#Headers],[Company]], 91)</f>
        <v/>
      </c>
    </row>
    <row r="190" spans="4:37" x14ac:dyDescent="0.25">
      <c r="D190" s="62" t="str" cm="1">
        <f t="array" ref="D190">Common_InputFunctions.Utility_DisplayArrayInTable(Fertiliser_SourceData.Fertiliser_Products_Data4(),FertiliserProducts[[#Headers],[Company]], 91)</f>
        <v>YaraVita ZINTRAC</v>
      </c>
      <c r="E190" s="62" t="str" cm="1">
        <f t="array" ref="E190">Common_InputFunctions.Utility_DisplayArrayInTable(Fertiliser_SourceData.Fertiliser_Products_Data4(),FertiliserProducts[[#Headers],[Company]], 91)</f>
        <v/>
      </c>
      <c r="F190" s="62" t="str" cm="1">
        <f t="array" ref="F190">Common_InputFunctions.Utility_DisplayArrayInTable(Fertiliser_SourceData.Fertiliser_Products_Data4(),FertiliserProducts[[#Headers],[Company]], 91)</f>
        <v/>
      </c>
      <c r="G190" s="62" t="str" cm="1">
        <f t="array" ref="G190">Common_InputFunctions.Utility_DisplayArrayInTable(Fertiliser_SourceData.Fertiliser_Products_Data4(),FertiliserProducts[[#Headers],[Company]], 91)</f>
        <v/>
      </c>
      <c r="H190" s="62" t="str" cm="1">
        <f t="array" ref="H190">Common_InputFunctions.Utility_DisplayArrayInTable(Fertiliser_SourceData.Fertiliser_Products_Data4(),FertiliserProducts[[#Headers],[Company]], 91)</f>
        <v/>
      </c>
      <c r="I190" s="62" t="str" cm="1">
        <f t="array" ref="I190">Common_InputFunctions.Utility_DisplayArrayInTable(Fertiliser_SourceData.Fertiliser_Products_Data4(),FertiliserProducts[[#Headers],[Company]], 91)</f>
        <v/>
      </c>
      <c r="J190" s="62" t="str" cm="1">
        <f t="array" ref="J190">Common_InputFunctions.Utility_DisplayArrayInTable(Fertiliser_SourceData.Fertiliser_Products_Data4(),FertiliserProducts[[#Headers],[Company]], 91)</f>
        <v/>
      </c>
      <c r="K190" s="62" t="str" cm="1">
        <f t="array" ref="K190">Common_InputFunctions.Utility_DisplayArrayInTable(Fertiliser_SourceData.Fertiliser_Products_Data4(),FertiliserProducts[[#Headers],[Company]], 91)</f>
        <v/>
      </c>
      <c r="L190" s="62" t="str" cm="1">
        <f t="array" ref="L190">Common_InputFunctions.Utility_DisplayArrayInTable(Fertiliser_SourceData.Fertiliser_Products_Data4(),FertiliserProducts[[#Headers],[Company]], 91)</f>
        <v/>
      </c>
      <c r="M190" s="62" t="str" cm="1">
        <f t="array" ref="M190">Common_InputFunctions.Utility_DisplayArrayInTable(Fertiliser_SourceData.Fertiliser_Products_Data4(),FertiliserProducts[[#Headers],[Company]], 91)</f>
        <v/>
      </c>
      <c r="N190" s="62" t="str" cm="1">
        <f t="array" ref="N190">Common_InputFunctions.Utility_DisplayArrayInTable(Fertiliser_SourceData.Fertiliser_Products_Data4(),FertiliserProducts[[#Headers],[Company]], 91)</f>
        <v/>
      </c>
      <c r="O190" s="62" t="str" cm="1">
        <f t="array" ref="O190">Common_InputFunctions.Utility_DisplayArrayInTable(Fertiliser_SourceData.Fertiliser_Products_Data4(),FertiliserProducts[[#Headers],[Company]], 91)</f>
        <v/>
      </c>
      <c r="P190" s="62" t="str" cm="1">
        <f t="array" ref="P190">Common_InputFunctions.Utility_DisplayArrayInTable(Fertiliser_SourceData.Fertiliser_Products_Data4(),FertiliserProducts[[#Headers],[Company]], 91)</f>
        <v/>
      </c>
      <c r="Q190" s="62" t="str" cm="1">
        <f t="array" ref="Q190">Common_InputFunctions.Utility_DisplayArrayInTable(Fertiliser_SourceData.Fertiliser_Products_Data4(),FertiliserProducts[[#Headers],[Company]], 91)</f>
        <v/>
      </c>
      <c r="R190" s="62" t="str" cm="1">
        <f t="array" ref="R190">Common_InputFunctions.Utility_DisplayArrayInTable(Fertiliser_SourceData.Fertiliser_Products_Data4(),FertiliserProducts[[#Headers],[Company]], 91)</f>
        <v/>
      </c>
      <c r="S190" s="62" t="str" cm="1">
        <f t="array" ref="S190">Common_InputFunctions.Utility_DisplayArrayInTable(Fertiliser_SourceData.Fertiliser_Products_Data4(),FertiliserProducts[[#Headers],[Company]], 91)</f>
        <v/>
      </c>
      <c r="T190" s="62" t="str" cm="1">
        <f t="array" ref="T190">Common_InputFunctions.Utility_DisplayArrayInTable(Fertiliser_SourceData.Fertiliser_Products_Data4(),FertiliserProducts[[#Headers],[Company]], 91)</f>
        <v/>
      </c>
      <c r="U190" s="62" t="str" cm="1">
        <f t="array" ref="U190">Common_InputFunctions.Utility_DisplayArrayInTable(Fertiliser_SourceData.Fertiliser_Products_Data4(),FertiliserProducts[[#Headers],[Company]], 91)</f>
        <v/>
      </c>
      <c r="V190" s="62" t="str" cm="1">
        <f t="array" ref="V190">Common_InputFunctions.Utility_DisplayArrayInTable(Fertiliser_SourceData.Fertiliser_Products_Data4(),FertiliserProducts[[#Headers],[Company]], 91)</f>
        <v/>
      </c>
      <c r="W190" s="62" t="str" cm="1">
        <f t="array" ref="W190">Common_InputFunctions.Utility_DisplayArrayInTable(Fertiliser_SourceData.Fertiliser_Products_Data4(),FertiliserProducts[[#Headers],[Company]], 91)</f>
        <v>Crop Nutrition Solutions (Yara Australia)</v>
      </c>
      <c r="X190" s="62" t="str" cm="1">
        <f t="array" ref="X190">Common_InputFunctions.Utility_DisplayArrayInTable(Fertiliser_SourceData.Fertiliser_Products_Data4(),FertiliserProducts[[#Headers],[Company]], 91)</f>
        <v/>
      </c>
      <c r="Y190" s="62" t="str" cm="1">
        <f t="array" ref="Y190">Common_InputFunctions.Utility_DisplayArrayInTable(Fertiliser_SourceData.Fertiliser_Products_Data4(),FertiliserProducts[[#Headers],[Company]], 91)</f>
        <v/>
      </c>
      <c r="Z190" s="62" t="str" cm="1">
        <f t="array" ref="Z190">Common_InputFunctions.Utility_DisplayArrayInTable(Fertiliser_SourceData.Fertiliser_Products_Data4(),FertiliserProducts[[#Headers],[Company]], 91)</f>
        <v/>
      </c>
      <c r="AA190" s="62" t="str" cm="1">
        <f t="array" ref="AA190">Common_InputFunctions.Utility_DisplayArrayInTable(Fertiliser_SourceData.Fertiliser_Products_Data4(),FertiliserProducts[[#Headers],[Company]], 91)</f>
        <v/>
      </c>
      <c r="AB190" s="62" t="str" cm="1">
        <f t="array" ref="AB190">Common_InputFunctions.Utility_DisplayArrayInTable(Fertiliser_SourceData.Fertiliser_Products_Data4(),FertiliserProducts[[#Headers],[Company]], 91)</f>
        <v/>
      </c>
      <c r="AC190" s="62" t="str" cm="1">
        <f t="array" ref="AC190">Common_InputFunctions.Utility_DisplayArrayInTable(Fertiliser_SourceData.Fertiliser_Products_Data4(),FertiliserProducts[[#Headers],[Company]], 91)</f>
        <v/>
      </c>
      <c r="AD190" s="62" t="str" cm="1">
        <f t="array" ref="AD190">Common_InputFunctions.Utility_DisplayArrayInTable(Fertiliser_SourceData.Fertiliser_Products_Data4(),FertiliserProducts[[#Headers],[Company]], 91)</f>
        <v/>
      </c>
      <c r="AE190" s="62" t="str" cm="1">
        <f t="array" ref="AE190">Common_InputFunctions.Utility_DisplayArrayInTable(Fertiliser_SourceData.Fertiliser_Products_Data4(),FertiliserProducts[[#Headers],[Company]], 91)</f>
        <v/>
      </c>
      <c r="AF190" s="62" t="str" cm="1">
        <f t="array" ref="AF190">Common_InputFunctions.Utility_DisplayArrayInTable(Fertiliser_SourceData.Fertiliser_Products_Data4(),FertiliserProducts[[#Headers],[Company]], 91)</f>
        <v/>
      </c>
      <c r="AG190" s="62" t="str" cm="1">
        <f t="array" ref="AG190">Common_InputFunctions.Utility_DisplayArrayInTable(Fertiliser_SourceData.Fertiliser_Products_Data4(),FertiliserProducts[[#Headers],[Company]], 91)</f>
        <v/>
      </c>
      <c r="AH190" s="62" t="str" cm="1">
        <f t="array" ref="AH190">Common_InputFunctions.Utility_DisplayArrayInTable(Fertiliser_SourceData.Fertiliser_Products_Data4(),FertiliserProducts[[#Headers],[Company]], 91)</f>
        <v/>
      </c>
    </row>
    <row r="191" spans="4:37" x14ac:dyDescent="0.25">
      <c r="D191" s="62" t="str" cm="1">
        <f t="array" ref="D191">Common_InputFunctions.Utility_DisplayArrayInTable(Fertiliser_SourceData.Fertiliser_Products_Data4(),FertiliserProducts[[#Headers],[Company]], 91)</f>
        <v>Zinc Sulphate Monohydrate</v>
      </c>
      <c r="E191" s="62" t="str" cm="1">
        <f t="array" ref="E191">Common_InputFunctions.Utility_DisplayArrayInTable(Fertiliser_SourceData.Fertiliser_Products_Data4(),FertiliserProducts[[#Headers],[Company]], 91)</f>
        <v/>
      </c>
      <c r="F191" s="62" t="str" cm="1">
        <f t="array" ref="F191">Common_InputFunctions.Utility_DisplayArrayInTable(Fertiliser_SourceData.Fertiliser_Products_Data4(),FertiliserProducts[[#Headers],[Company]], 91)</f>
        <v/>
      </c>
      <c r="G191" s="62" t="str" cm="1">
        <f t="array" ref="G191">Common_InputFunctions.Utility_DisplayArrayInTable(Fertiliser_SourceData.Fertiliser_Products_Data4(),FertiliserProducts[[#Headers],[Company]], 91)</f>
        <v/>
      </c>
      <c r="H191" s="62" t="str" cm="1">
        <f t="array" ref="H191">Common_InputFunctions.Utility_DisplayArrayInTable(Fertiliser_SourceData.Fertiliser_Products_Data4(),FertiliserProducts[[#Headers],[Company]], 91)</f>
        <v/>
      </c>
      <c r="I191" s="62" t="str" cm="1">
        <f t="array" ref="I191">Common_InputFunctions.Utility_DisplayArrayInTable(Fertiliser_SourceData.Fertiliser_Products_Data4(),FertiliserProducts[[#Headers],[Company]], 91)</f>
        <v/>
      </c>
      <c r="J191" s="62" t="str" cm="1">
        <f t="array" ref="J191">Common_InputFunctions.Utility_DisplayArrayInTable(Fertiliser_SourceData.Fertiliser_Products_Data4(),FertiliserProducts[[#Headers],[Company]], 91)</f>
        <v/>
      </c>
      <c r="K191" s="62" t="str" cm="1">
        <f t="array" ref="K191">Common_InputFunctions.Utility_DisplayArrayInTable(Fertiliser_SourceData.Fertiliser_Products_Data4(),FertiliserProducts[[#Headers],[Company]], 91)</f>
        <v/>
      </c>
      <c r="L191" s="62" t="str" cm="1">
        <f t="array" ref="L191">Common_InputFunctions.Utility_DisplayArrayInTable(Fertiliser_SourceData.Fertiliser_Products_Data4(),FertiliserProducts[[#Headers],[Company]], 91)</f>
        <v/>
      </c>
      <c r="M191" s="62" t="str" cm="1">
        <f t="array" ref="M191">Common_InputFunctions.Utility_DisplayArrayInTable(Fertiliser_SourceData.Fertiliser_Products_Data4(),FertiliserProducts[[#Headers],[Company]], 91)</f>
        <v/>
      </c>
      <c r="N191" s="62" t="str" cm="1">
        <f t="array" ref="N191">Common_InputFunctions.Utility_DisplayArrayInTable(Fertiliser_SourceData.Fertiliser_Products_Data4(),FertiliserProducts[[#Headers],[Company]], 91)</f>
        <v/>
      </c>
      <c r="O191" s="62" t="str" cm="1">
        <f t="array" ref="O191">Common_InputFunctions.Utility_DisplayArrayInTable(Fertiliser_SourceData.Fertiliser_Products_Data4(),FertiliserProducts[[#Headers],[Company]], 91)</f>
        <v/>
      </c>
      <c r="P191" s="62" t="str" cm="1">
        <f t="array" ref="P191">Common_InputFunctions.Utility_DisplayArrayInTable(Fertiliser_SourceData.Fertiliser_Products_Data4(),FertiliserProducts[[#Headers],[Company]], 91)</f>
        <v/>
      </c>
      <c r="Q191" s="62" t="str" cm="1">
        <f t="array" ref="Q191">Common_InputFunctions.Utility_DisplayArrayInTable(Fertiliser_SourceData.Fertiliser_Products_Data4(),FertiliserProducts[[#Headers],[Company]], 91)</f>
        <v/>
      </c>
      <c r="R191" s="62" t="str" cm="1">
        <f t="array" ref="R191">Common_InputFunctions.Utility_DisplayArrayInTable(Fertiliser_SourceData.Fertiliser_Products_Data4(),FertiliserProducts[[#Headers],[Company]], 91)</f>
        <v/>
      </c>
      <c r="S191" s="62" t="str" cm="1">
        <f t="array" ref="S191">Common_InputFunctions.Utility_DisplayArrayInTable(Fertiliser_SourceData.Fertiliser_Products_Data4(),FertiliserProducts[[#Headers],[Company]], 91)</f>
        <v/>
      </c>
      <c r="T191" s="62" t="str" cm="1">
        <f t="array" ref="T191">Common_InputFunctions.Utility_DisplayArrayInTable(Fertiliser_SourceData.Fertiliser_Products_Data4(),FertiliserProducts[[#Headers],[Company]], 91)</f>
        <v/>
      </c>
      <c r="U191" s="62" t="str" cm="1">
        <f t="array" ref="U191">Common_InputFunctions.Utility_DisplayArrayInTable(Fertiliser_SourceData.Fertiliser_Products_Data4(),FertiliserProducts[[#Headers],[Company]], 91)</f>
        <v/>
      </c>
      <c r="V191" s="62" t="str" cm="1">
        <f t="array" ref="V191">Common_InputFunctions.Utility_DisplayArrayInTable(Fertiliser_SourceData.Fertiliser_Products_Data4(),FertiliserProducts[[#Headers],[Company]], 91)</f>
        <v/>
      </c>
      <c r="W191" s="62" t="str" cm="1">
        <f t="array" ref="W191">Common_InputFunctions.Utility_DisplayArrayInTable(Fertiliser_SourceData.Fertiliser_Products_Data4(),FertiliserProducts[[#Headers],[Company]], 91)</f>
        <v>Incitec Pivot Fertilisers</v>
      </c>
      <c r="X191" s="62" t="str" cm="1">
        <f t="array" ref="X191">Common_InputFunctions.Utility_DisplayArrayInTable(Fertiliser_SourceData.Fertiliser_Products_Data4(),FertiliserProducts[[#Headers],[Company]], 91)</f>
        <v/>
      </c>
      <c r="Y191" s="62" t="str" cm="1">
        <f t="array" ref="Y191">Common_InputFunctions.Utility_DisplayArrayInTable(Fertiliser_SourceData.Fertiliser_Products_Data4(),FertiliserProducts[[#Headers],[Company]], 91)</f>
        <v/>
      </c>
      <c r="Z191" s="62" t="str" cm="1">
        <f t="array" ref="Z191">Common_InputFunctions.Utility_DisplayArrayInTable(Fertiliser_SourceData.Fertiliser_Products_Data4(),FertiliserProducts[[#Headers],[Company]], 91)</f>
        <v/>
      </c>
      <c r="AA191" s="62" t="str" cm="1">
        <f t="array" ref="AA191">Common_InputFunctions.Utility_DisplayArrayInTable(Fertiliser_SourceData.Fertiliser_Products_Data4(),FertiliserProducts[[#Headers],[Company]], 91)</f>
        <v/>
      </c>
      <c r="AB191" s="62" t="str" cm="1">
        <f t="array" ref="AB191">Common_InputFunctions.Utility_DisplayArrayInTable(Fertiliser_SourceData.Fertiliser_Products_Data4(),FertiliserProducts[[#Headers],[Company]], 91)</f>
        <v/>
      </c>
      <c r="AC191" s="62" t="str" cm="1">
        <f t="array" ref="AC191">Common_InputFunctions.Utility_DisplayArrayInTable(Fertiliser_SourceData.Fertiliser_Products_Data4(),FertiliserProducts[[#Headers],[Company]], 91)</f>
        <v/>
      </c>
      <c r="AD191" s="62" t="str" cm="1">
        <f t="array" ref="AD191">Common_InputFunctions.Utility_DisplayArrayInTable(Fertiliser_SourceData.Fertiliser_Products_Data4(),FertiliserProducts[[#Headers],[Company]], 91)</f>
        <v/>
      </c>
      <c r="AE191" s="62" t="str" cm="1">
        <f t="array" ref="AE191">Common_InputFunctions.Utility_DisplayArrayInTable(Fertiliser_SourceData.Fertiliser_Products_Data4(),FertiliserProducts[[#Headers],[Company]], 91)</f>
        <v/>
      </c>
      <c r="AF191" s="62" t="str" cm="1">
        <f t="array" ref="AF191">Common_InputFunctions.Utility_DisplayArrayInTable(Fertiliser_SourceData.Fertiliser_Products_Data4(),FertiliserProducts[[#Headers],[Company]], 91)</f>
        <v/>
      </c>
      <c r="AG191" s="62" t="str" cm="1">
        <f t="array" ref="AG191">Common_InputFunctions.Utility_DisplayArrayInTable(Fertiliser_SourceData.Fertiliser_Products_Data4(),FertiliserProducts[[#Headers],[Company]], 91)</f>
        <v/>
      </c>
      <c r="AH191" s="62" t="str" cm="1">
        <f t="array" ref="AH191">Common_InputFunctions.Utility_DisplayArrayInTable(Fertiliser_SourceData.Fertiliser_Products_Data4(),FertiliserProducts[[#Headers],[Company]], 91)</f>
        <v/>
      </c>
    </row>
    <row r="192" spans="4:37" x14ac:dyDescent="0.25">
      <c r="D192" s="62" t="str" cm="1">
        <f t="array" ref="D192">Common_InputFunctions.Utility_DisplayArrayInTable(Fertiliser_SourceData.Fertiliser_Products_Data4(),FertiliserProducts[[#Headers],[Company]], 91)</f>
        <v>Zincsol</v>
      </c>
      <c r="E192" s="62" t="str" cm="1">
        <f t="array" ref="E192">Common_InputFunctions.Utility_DisplayArrayInTable(Fertiliser_SourceData.Fertiliser_Products_Data4(),FertiliserProducts[[#Headers],[Company]], 91)</f>
        <v/>
      </c>
      <c r="F192" s="62" t="str" cm="1">
        <f t="array" ref="F192">Common_InputFunctions.Utility_DisplayArrayInTable(Fertiliser_SourceData.Fertiliser_Products_Data4(),FertiliserProducts[[#Headers],[Company]], 91)</f>
        <v/>
      </c>
      <c r="G192" s="62" t="str" cm="1">
        <f t="array" ref="G192">Common_InputFunctions.Utility_DisplayArrayInTable(Fertiliser_SourceData.Fertiliser_Products_Data4(),FertiliserProducts[[#Headers],[Company]], 91)</f>
        <v/>
      </c>
      <c r="H192" s="62" t="str" cm="1">
        <f t="array" ref="H192">Common_InputFunctions.Utility_DisplayArrayInTable(Fertiliser_SourceData.Fertiliser_Products_Data4(),FertiliserProducts[[#Headers],[Company]], 91)</f>
        <v/>
      </c>
      <c r="I192" s="62" t="str" cm="1">
        <f t="array" ref="I192">Common_InputFunctions.Utility_DisplayArrayInTable(Fertiliser_SourceData.Fertiliser_Products_Data4(),FertiliserProducts[[#Headers],[Company]], 91)</f>
        <v/>
      </c>
      <c r="J192" s="62" t="str" cm="1">
        <f t="array" ref="J192">Common_InputFunctions.Utility_DisplayArrayInTable(Fertiliser_SourceData.Fertiliser_Products_Data4(),FertiliserProducts[[#Headers],[Company]], 91)</f>
        <v/>
      </c>
      <c r="K192" s="62" t="str" cm="1">
        <f t="array" ref="K192">Common_InputFunctions.Utility_DisplayArrayInTable(Fertiliser_SourceData.Fertiliser_Products_Data4(),FertiliserProducts[[#Headers],[Company]], 91)</f>
        <v/>
      </c>
      <c r="L192" s="62" t="str" cm="1">
        <f t="array" ref="L192">Common_InputFunctions.Utility_DisplayArrayInTable(Fertiliser_SourceData.Fertiliser_Products_Data4(),FertiliserProducts[[#Headers],[Company]], 91)</f>
        <v/>
      </c>
      <c r="M192" s="62" t="str" cm="1">
        <f t="array" ref="M192">Common_InputFunctions.Utility_DisplayArrayInTable(Fertiliser_SourceData.Fertiliser_Products_Data4(),FertiliserProducts[[#Headers],[Company]], 91)</f>
        <v/>
      </c>
      <c r="N192" s="62" t="str" cm="1">
        <f t="array" ref="N192">Common_InputFunctions.Utility_DisplayArrayInTable(Fertiliser_SourceData.Fertiliser_Products_Data4(),FertiliserProducts[[#Headers],[Company]], 91)</f>
        <v/>
      </c>
      <c r="O192" s="62" t="str" cm="1">
        <f t="array" ref="O192">Common_InputFunctions.Utility_DisplayArrayInTable(Fertiliser_SourceData.Fertiliser_Products_Data4(),FertiliserProducts[[#Headers],[Company]], 91)</f>
        <v/>
      </c>
      <c r="P192" s="62" t="str" cm="1">
        <f t="array" ref="P192">Common_InputFunctions.Utility_DisplayArrayInTable(Fertiliser_SourceData.Fertiliser_Products_Data4(),FertiliserProducts[[#Headers],[Company]], 91)</f>
        <v/>
      </c>
      <c r="Q192" s="62" t="str" cm="1">
        <f t="array" ref="Q192">Common_InputFunctions.Utility_DisplayArrayInTable(Fertiliser_SourceData.Fertiliser_Products_Data4(),FertiliserProducts[[#Headers],[Company]], 91)</f>
        <v/>
      </c>
      <c r="R192" s="62" t="str" cm="1">
        <f t="array" ref="R192">Common_InputFunctions.Utility_DisplayArrayInTable(Fertiliser_SourceData.Fertiliser_Products_Data4(),FertiliserProducts[[#Headers],[Company]], 91)</f>
        <v/>
      </c>
      <c r="S192" s="62" t="str" cm="1">
        <f t="array" ref="S192">Common_InputFunctions.Utility_DisplayArrayInTable(Fertiliser_SourceData.Fertiliser_Products_Data4(),FertiliserProducts[[#Headers],[Company]], 91)</f>
        <v/>
      </c>
      <c r="T192" s="62" t="str" cm="1">
        <f t="array" ref="T192">Common_InputFunctions.Utility_DisplayArrayInTable(Fertiliser_SourceData.Fertiliser_Products_Data4(),FertiliserProducts[[#Headers],[Company]], 91)</f>
        <v/>
      </c>
      <c r="U192" s="62" t="str" cm="1">
        <f t="array" ref="U192">Common_InputFunctions.Utility_DisplayArrayInTable(Fertiliser_SourceData.Fertiliser_Products_Data4(),FertiliserProducts[[#Headers],[Company]], 91)</f>
        <v/>
      </c>
      <c r="V192" s="62" t="str" cm="1">
        <f t="array" ref="V192">Common_InputFunctions.Utility_DisplayArrayInTable(Fertiliser_SourceData.Fertiliser_Products_Data4(),FertiliserProducts[[#Headers],[Company]], 91)</f>
        <v/>
      </c>
      <c r="W192" s="62" t="str" cm="1">
        <f t="array" ref="W192">Common_InputFunctions.Utility_DisplayArrayInTable(Fertiliser_SourceData.Fertiliser_Products_Data4(),FertiliserProducts[[#Headers],[Company]], 91)</f>
        <v>Sulfate Zincsol</v>
      </c>
      <c r="X192" s="62" t="str" cm="1">
        <f t="array" ref="X192">Common_InputFunctions.Utility_DisplayArrayInTable(Fertiliser_SourceData.Fertiliser_Products_Data4(),FertiliserProducts[[#Headers],[Company]], 91)</f>
        <v/>
      </c>
      <c r="Y192" s="62" t="str" cm="1">
        <f t="array" ref="Y192">Common_InputFunctions.Utility_DisplayArrayInTable(Fertiliser_SourceData.Fertiliser_Products_Data4(),FertiliserProducts[[#Headers],[Company]], 91)</f>
        <v/>
      </c>
      <c r="Z192" s="62" t="str" cm="1">
        <f t="array" ref="Z192">Common_InputFunctions.Utility_DisplayArrayInTable(Fertiliser_SourceData.Fertiliser_Products_Data4(),FertiliserProducts[[#Headers],[Company]], 91)</f>
        <v/>
      </c>
      <c r="AA192" s="62" t="str" cm="1">
        <f t="array" ref="AA192">Common_InputFunctions.Utility_DisplayArrayInTable(Fertiliser_SourceData.Fertiliser_Products_Data4(),FertiliserProducts[[#Headers],[Company]], 91)</f>
        <v/>
      </c>
      <c r="AB192" s="62" t="str" cm="1">
        <f t="array" ref="AB192">Common_InputFunctions.Utility_DisplayArrayInTable(Fertiliser_SourceData.Fertiliser_Products_Data4(),FertiliserProducts[[#Headers],[Company]], 91)</f>
        <v/>
      </c>
      <c r="AC192" s="62" t="str" cm="1">
        <f t="array" ref="AC192">Common_InputFunctions.Utility_DisplayArrayInTable(Fertiliser_SourceData.Fertiliser_Products_Data4(),FertiliserProducts[[#Headers],[Company]], 91)</f>
        <v/>
      </c>
      <c r="AD192" s="62" t="str" cm="1">
        <f t="array" ref="AD192">Common_InputFunctions.Utility_DisplayArrayInTable(Fertiliser_SourceData.Fertiliser_Products_Data4(),FertiliserProducts[[#Headers],[Company]], 91)</f>
        <v/>
      </c>
      <c r="AE192" s="62" t="str" cm="1">
        <f t="array" ref="AE192">Common_InputFunctions.Utility_DisplayArrayInTable(Fertiliser_SourceData.Fertiliser_Products_Data4(),FertiliserProducts[[#Headers],[Company]], 91)</f>
        <v/>
      </c>
      <c r="AF192" s="62" t="str" cm="1">
        <f t="array" ref="AF192">Common_InputFunctions.Utility_DisplayArrayInTable(Fertiliser_SourceData.Fertiliser_Products_Data4(),FertiliserProducts[[#Headers],[Company]], 91)</f>
        <v/>
      </c>
      <c r="AG192" s="62" t="str" cm="1">
        <f t="array" ref="AG192">Common_InputFunctions.Utility_DisplayArrayInTable(Fertiliser_SourceData.Fertiliser_Products_Data4(),FertiliserProducts[[#Headers],[Company]], 91)</f>
        <v/>
      </c>
      <c r="AH192" s="62" t="str" cm="1">
        <f t="array" ref="AH192">Common_InputFunctions.Utility_DisplayArrayInTable(Fertiliser_SourceData.Fertiliser_Products_Data4(),FertiliserProducts[[#Headers],[Company]], 91)</f>
        <v/>
      </c>
    </row>
    <row r="193" spans="4:34" x14ac:dyDescent="0.25">
      <c r="D193" s="62" t="str" cm="1">
        <f t="array" ref="D193">Common_InputFunctions.Utility_DisplayArrayInTable(Fertiliser_SourceData.Fertiliser_Products_Data4(),FertiliserProducts[[#Headers],[Company]], 91)</f>
        <v>ZincStar</v>
      </c>
      <c r="E193" s="62" t="str" cm="1">
        <f t="array" ref="E193">Common_InputFunctions.Utility_DisplayArrayInTable(Fertiliser_SourceData.Fertiliser_Products_Data4(),FertiliserProducts[[#Headers],[Company]], 91)</f>
        <v/>
      </c>
      <c r="F193" s="62" t="str" cm="1">
        <f t="array" ref="F193">Common_InputFunctions.Utility_DisplayArrayInTable(Fertiliser_SourceData.Fertiliser_Products_Data4(),FertiliserProducts[[#Headers],[Company]], 91)</f>
        <v/>
      </c>
      <c r="G193" s="62" t="str" cm="1">
        <f t="array" ref="G193">Common_InputFunctions.Utility_DisplayArrayInTable(Fertiliser_SourceData.Fertiliser_Products_Data4(),FertiliserProducts[[#Headers],[Company]], 91)</f>
        <v/>
      </c>
      <c r="H193" s="62" t="str" cm="1">
        <f t="array" ref="H193">Common_InputFunctions.Utility_DisplayArrayInTable(Fertiliser_SourceData.Fertiliser_Products_Data4(),FertiliserProducts[[#Headers],[Company]], 91)</f>
        <v/>
      </c>
      <c r="I193" s="62" t="str" cm="1">
        <f t="array" ref="I193">Common_InputFunctions.Utility_DisplayArrayInTable(Fertiliser_SourceData.Fertiliser_Products_Data4(),FertiliserProducts[[#Headers],[Company]], 91)</f>
        <v/>
      </c>
      <c r="J193" s="62" t="str" cm="1">
        <f t="array" ref="J193">Common_InputFunctions.Utility_DisplayArrayInTable(Fertiliser_SourceData.Fertiliser_Products_Data4(),FertiliserProducts[[#Headers],[Company]], 91)</f>
        <v/>
      </c>
      <c r="K193" s="62" t="str" cm="1">
        <f t="array" ref="K193">Common_InputFunctions.Utility_DisplayArrayInTable(Fertiliser_SourceData.Fertiliser_Products_Data4(),FertiliserProducts[[#Headers],[Company]], 91)</f>
        <v/>
      </c>
      <c r="L193" s="62" t="str" cm="1">
        <f t="array" ref="L193">Common_InputFunctions.Utility_DisplayArrayInTable(Fertiliser_SourceData.Fertiliser_Products_Data4(),FertiliserProducts[[#Headers],[Company]], 91)</f>
        <v/>
      </c>
      <c r="M193" s="62" t="str" cm="1">
        <f t="array" ref="M193">Common_InputFunctions.Utility_DisplayArrayInTable(Fertiliser_SourceData.Fertiliser_Products_Data4(),FertiliserProducts[[#Headers],[Company]], 91)</f>
        <v/>
      </c>
      <c r="N193" s="62" t="str" cm="1">
        <f t="array" ref="N193">Common_InputFunctions.Utility_DisplayArrayInTable(Fertiliser_SourceData.Fertiliser_Products_Data4(),FertiliserProducts[[#Headers],[Company]], 91)</f>
        <v/>
      </c>
      <c r="O193" s="62" t="str" cm="1">
        <f t="array" ref="O193">Common_InputFunctions.Utility_DisplayArrayInTable(Fertiliser_SourceData.Fertiliser_Products_Data4(),FertiliserProducts[[#Headers],[Company]], 91)</f>
        <v/>
      </c>
      <c r="P193" s="62" t="str" cm="1">
        <f t="array" ref="P193">Common_InputFunctions.Utility_DisplayArrayInTable(Fertiliser_SourceData.Fertiliser_Products_Data4(),FertiliserProducts[[#Headers],[Company]], 91)</f>
        <v/>
      </c>
      <c r="Q193" s="62" t="str" cm="1">
        <f t="array" ref="Q193">Common_InputFunctions.Utility_DisplayArrayInTable(Fertiliser_SourceData.Fertiliser_Products_Data4(),FertiliserProducts[[#Headers],[Company]], 91)</f>
        <v/>
      </c>
      <c r="R193" s="62" t="str" cm="1">
        <f t="array" ref="R193">Common_InputFunctions.Utility_DisplayArrayInTable(Fertiliser_SourceData.Fertiliser_Products_Data4(),FertiliserProducts[[#Headers],[Company]], 91)</f>
        <v/>
      </c>
      <c r="S193" s="62" t="str" cm="1">
        <f t="array" ref="S193">Common_InputFunctions.Utility_DisplayArrayInTable(Fertiliser_SourceData.Fertiliser_Products_Data4(),FertiliserProducts[[#Headers],[Company]], 91)</f>
        <v/>
      </c>
      <c r="T193" s="62" t="str" cm="1">
        <f t="array" ref="T193">Common_InputFunctions.Utility_DisplayArrayInTable(Fertiliser_SourceData.Fertiliser_Products_Data4(),FertiliserProducts[[#Headers],[Company]], 91)</f>
        <v/>
      </c>
      <c r="U193" s="62" t="str" cm="1">
        <f t="array" ref="U193">Common_InputFunctions.Utility_DisplayArrayInTable(Fertiliser_SourceData.Fertiliser_Products_Data4(),FertiliserProducts[[#Headers],[Company]], 91)</f>
        <v/>
      </c>
      <c r="V193" s="62" t="str" cm="1">
        <f t="array" ref="V193">Common_InputFunctions.Utility_DisplayArrayInTable(Fertiliser_SourceData.Fertiliser_Products_Data4(),FertiliserProducts[[#Headers],[Company]], 91)</f>
        <v/>
      </c>
      <c r="W193" s="62" t="str" cm="1">
        <f t="array" ref="W193">Common_InputFunctions.Utility_DisplayArrayInTable(Fertiliser_SourceData.Fertiliser_Products_Data4(),FertiliserProducts[[#Headers],[Company]], 91)</f>
        <v>Impact fertilisers</v>
      </c>
      <c r="X193" s="62" t="str" cm="1">
        <f t="array" ref="X193">Common_InputFunctions.Utility_DisplayArrayInTable(Fertiliser_SourceData.Fertiliser_Products_Data4(),FertiliserProducts[[#Headers],[Company]], 91)</f>
        <v/>
      </c>
      <c r="Y193" s="62" t="str" cm="1">
        <f t="array" ref="Y193">Common_InputFunctions.Utility_DisplayArrayInTable(Fertiliser_SourceData.Fertiliser_Products_Data4(),FertiliserProducts[[#Headers],[Company]], 91)</f>
        <v/>
      </c>
      <c r="Z193" s="62" t="str" cm="1">
        <f t="array" ref="Z193">Common_InputFunctions.Utility_DisplayArrayInTable(Fertiliser_SourceData.Fertiliser_Products_Data4(),FertiliserProducts[[#Headers],[Company]], 91)</f>
        <v/>
      </c>
      <c r="AA193" s="62" t="str" cm="1">
        <f t="array" ref="AA193">Common_InputFunctions.Utility_DisplayArrayInTable(Fertiliser_SourceData.Fertiliser_Products_Data4(),FertiliserProducts[[#Headers],[Company]], 91)</f>
        <v/>
      </c>
      <c r="AB193" s="62" t="str" cm="1">
        <f t="array" ref="AB193">Common_InputFunctions.Utility_DisplayArrayInTable(Fertiliser_SourceData.Fertiliser_Products_Data4(),FertiliserProducts[[#Headers],[Company]], 91)</f>
        <v/>
      </c>
      <c r="AC193" s="62" t="str" cm="1">
        <f t="array" ref="AC193">Common_InputFunctions.Utility_DisplayArrayInTable(Fertiliser_SourceData.Fertiliser_Products_Data4(),FertiliserProducts[[#Headers],[Company]], 91)</f>
        <v/>
      </c>
      <c r="AD193" s="62" t="str" cm="1">
        <f t="array" ref="AD193">Common_InputFunctions.Utility_DisplayArrayInTable(Fertiliser_SourceData.Fertiliser_Products_Data4(),FertiliserProducts[[#Headers],[Company]], 91)</f>
        <v/>
      </c>
      <c r="AE193" s="62" t="str" cm="1">
        <f t="array" ref="AE193">Common_InputFunctions.Utility_DisplayArrayInTable(Fertiliser_SourceData.Fertiliser_Products_Data4(),FertiliserProducts[[#Headers],[Company]], 91)</f>
        <v/>
      </c>
      <c r="AF193" s="62" t="str" cm="1">
        <f t="array" ref="AF193">Common_InputFunctions.Utility_DisplayArrayInTable(Fertiliser_SourceData.Fertiliser_Products_Data4(),FertiliserProducts[[#Headers],[Company]], 91)</f>
        <v/>
      </c>
      <c r="AG193" s="62" t="str" cm="1">
        <f t="array" ref="AG193">Common_InputFunctions.Utility_DisplayArrayInTable(Fertiliser_SourceData.Fertiliser_Products_Data4(),FertiliserProducts[[#Headers],[Company]], 91)</f>
        <v/>
      </c>
      <c r="AH193" s="62" t="str" cm="1">
        <f t="array" ref="AH193">Common_InputFunctions.Utility_DisplayArrayInTable(Fertiliser_SourceData.Fertiliser_Products_Data4(),FertiliserProducts[[#Headers],[Company]], 91)</f>
        <v/>
      </c>
    </row>
    <row r="194" spans="4:34" x14ac:dyDescent="0.25">
      <c r="D194" s="62" t="str" cm="1">
        <f t="array" ref="D194">Common_InputFunctions.Utility_DisplayArrayInTable(Fertiliser_SourceData.Fertiliser_Products_Data4(),FertiliserProducts[[#Headers],[Company]], 91)</f>
        <v>ZMC-1</v>
      </c>
      <c r="E194" s="62" t="str" cm="1">
        <f t="array" ref="E194">Common_InputFunctions.Utility_DisplayArrayInTable(Fertiliser_SourceData.Fertiliser_Products_Data4(),FertiliserProducts[[#Headers],[Company]], 91)</f>
        <v/>
      </c>
      <c r="F194" s="62" t="str" cm="1">
        <f t="array" ref="F194">Common_InputFunctions.Utility_DisplayArrayInTable(Fertiliser_SourceData.Fertiliser_Products_Data4(),FertiliserProducts[[#Headers],[Company]], 91)</f>
        <v/>
      </c>
      <c r="G194" s="62" t="str" cm="1">
        <f t="array" ref="G194">Common_InputFunctions.Utility_DisplayArrayInTable(Fertiliser_SourceData.Fertiliser_Products_Data4(),FertiliserProducts[[#Headers],[Company]], 91)</f>
        <v/>
      </c>
      <c r="H194" s="62" t="str" cm="1">
        <f t="array" ref="H194">Common_InputFunctions.Utility_DisplayArrayInTable(Fertiliser_SourceData.Fertiliser_Products_Data4(),FertiliserProducts[[#Headers],[Company]], 91)</f>
        <v/>
      </c>
      <c r="I194" s="62" t="str" cm="1">
        <f t="array" ref="I194">Common_InputFunctions.Utility_DisplayArrayInTable(Fertiliser_SourceData.Fertiliser_Products_Data4(),FertiliserProducts[[#Headers],[Company]], 91)</f>
        <v/>
      </c>
      <c r="J194" s="62" t="str" cm="1">
        <f t="array" ref="J194">Common_InputFunctions.Utility_DisplayArrayInTable(Fertiliser_SourceData.Fertiliser_Products_Data4(),FertiliserProducts[[#Headers],[Company]], 91)</f>
        <v/>
      </c>
      <c r="K194" s="62" t="str" cm="1">
        <f t="array" ref="K194">Common_InputFunctions.Utility_DisplayArrayInTable(Fertiliser_SourceData.Fertiliser_Products_Data4(),FertiliserProducts[[#Headers],[Company]], 91)</f>
        <v/>
      </c>
      <c r="L194" s="62" t="str" cm="1">
        <f t="array" ref="L194">Common_InputFunctions.Utility_DisplayArrayInTable(Fertiliser_SourceData.Fertiliser_Products_Data4(),FertiliserProducts[[#Headers],[Company]], 91)</f>
        <v/>
      </c>
      <c r="M194" s="62" t="str" cm="1">
        <f t="array" ref="M194">Common_InputFunctions.Utility_DisplayArrayInTable(Fertiliser_SourceData.Fertiliser_Products_Data4(),FertiliserProducts[[#Headers],[Company]], 91)</f>
        <v/>
      </c>
      <c r="N194" s="62" t="str" cm="1">
        <f t="array" ref="N194">Common_InputFunctions.Utility_DisplayArrayInTable(Fertiliser_SourceData.Fertiliser_Products_Data4(),FertiliserProducts[[#Headers],[Company]], 91)</f>
        <v/>
      </c>
      <c r="O194" s="62" t="str" cm="1">
        <f t="array" ref="O194">Common_InputFunctions.Utility_DisplayArrayInTable(Fertiliser_SourceData.Fertiliser_Products_Data4(),FertiliserProducts[[#Headers],[Company]], 91)</f>
        <v/>
      </c>
      <c r="P194" s="62" t="str" cm="1">
        <f t="array" ref="P194">Common_InputFunctions.Utility_DisplayArrayInTable(Fertiliser_SourceData.Fertiliser_Products_Data4(),FertiliserProducts[[#Headers],[Company]], 91)</f>
        <v/>
      </c>
      <c r="Q194" s="62" t="str" cm="1">
        <f t="array" ref="Q194">Common_InputFunctions.Utility_DisplayArrayInTable(Fertiliser_SourceData.Fertiliser_Products_Data4(),FertiliserProducts[[#Headers],[Company]], 91)</f>
        <v/>
      </c>
      <c r="R194" s="62" t="str" cm="1">
        <f t="array" ref="R194">Common_InputFunctions.Utility_DisplayArrayInTable(Fertiliser_SourceData.Fertiliser_Products_Data4(),FertiliserProducts[[#Headers],[Company]], 91)</f>
        <v/>
      </c>
      <c r="S194" s="62" t="str" cm="1">
        <f t="array" ref="S194">Common_InputFunctions.Utility_DisplayArrayInTable(Fertiliser_SourceData.Fertiliser_Products_Data4(),FertiliserProducts[[#Headers],[Company]], 91)</f>
        <v/>
      </c>
      <c r="T194" s="62" t="str" cm="1">
        <f t="array" ref="T194">Common_InputFunctions.Utility_DisplayArrayInTable(Fertiliser_SourceData.Fertiliser_Products_Data4(),FertiliserProducts[[#Headers],[Company]], 91)</f>
        <v/>
      </c>
      <c r="U194" s="62" t="str" cm="1">
        <f t="array" ref="U194">Common_InputFunctions.Utility_DisplayArrayInTable(Fertiliser_SourceData.Fertiliser_Products_Data4(),FertiliserProducts[[#Headers],[Company]], 91)</f>
        <v/>
      </c>
      <c r="V194" s="62" t="str" cm="1">
        <f t="array" ref="V194">Common_InputFunctions.Utility_DisplayArrayInTable(Fertiliser_SourceData.Fertiliser_Products_Data4(),FertiliserProducts[[#Headers],[Company]], 91)</f>
        <v/>
      </c>
      <c r="W194" s="62" t="str" cm="1">
        <f t="array" ref="W194">Common_InputFunctions.Utility_DisplayArrayInTable(Fertiliser_SourceData.Fertiliser_Products_Data4(),FertiliserProducts[[#Headers],[Company]], 91)</f>
        <v>Kemgro ZMC-1</v>
      </c>
      <c r="X194" s="62" t="str" cm="1">
        <f t="array" ref="X194">Common_InputFunctions.Utility_DisplayArrayInTable(Fertiliser_SourceData.Fertiliser_Products_Data4(),FertiliserProducts[[#Headers],[Company]], 91)</f>
        <v/>
      </c>
      <c r="Y194" s="62" t="str" cm="1">
        <f t="array" ref="Y194">Common_InputFunctions.Utility_DisplayArrayInTable(Fertiliser_SourceData.Fertiliser_Products_Data4(),FertiliserProducts[[#Headers],[Company]], 91)</f>
        <v/>
      </c>
      <c r="Z194" s="62" t="str" cm="1">
        <f t="array" ref="Z194">Common_InputFunctions.Utility_DisplayArrayInTable(Fertiliser_SourceData.Fertiliser_Products_Data4(),FertiliserProducts[[#Headers],[Company]], 91)</f>
        <v/>
      </c>
      <c r="AA194" s="62" t="str" cm="1">
        <f t="array" ref="AA194">Common_InputFunctions.Utility_DisplayArrayInTable(Fertiliser_SourceData.Fertiliser_Products_Data4(),FertiliserProducts[[#Headers],[Company]], 91)</f>
        <v/>
      </c>
      <c r="AB194" s="62" t="str" cm="1">
        <f t="array" ref="AB194">Common_InputFunctions.Utility_DisplayArrayInTable(Fertiliser_SourceData.Fertiliser_Products_Data4(),FertiliserProducts[[#Headers],[Company]], 91)</f>
        <v/>
      </c>
      <c r="AC194" s="62" t="str" cm="1">
        <f t="array" ref="AC194">Common_InputFunctions.Utility_DisplayArrayInTable(Fertiliser_SourceData.Fertiliser_Products_Data4(),FertiliserProducts[[#Headers],[Company]], 91)</f>
        <v/>
      </c>
      <c r="AD194" s="62" t="str" cm="1">
        <f t="array" ref="AD194">Common_InputFunctions.Utility_DisplayArrayInTable(Fertiliser_SourceData.Fertiliser_Products_Data4(),FertiliserProducts[[#Headers],[Company]], 91)</f>
        <v/>
      </c>
      <c r="AE194" s="62" t="str" cm="1">
        <f t="array" ref="AE194">Common_InputFunctions.Utility_DisplayArrayInTable(Fertiliser_SourceData.Fertiliser_Products_Data4(),FertiliserProducts[[#Headers],[Company]], 91)</f>
        <v/>
      </c>
      <c r="AF194" s="62" t="str" cm="1">
        <f t="array" ref="AF194">Common_InputFunctions.Utility_DisplayArrayInTable(Fertiliser_SourceData.Fertiliser_Products_Data4(),FertiliserProducts[[#Headers],[Company]], 91)</f>
        <v/>
      </c>
      <c r="AG194" s="62" t="str" cm="1">
        <f t="array" ref="AG194">Common_InputFunctions.Utility_DisplayArrayInTable(Fertiliser_SourceData.Fertiliser_Products_Data4(),FertiliserProducts[[#Headers],[Company]], 91)</f>
        <v/>
      </c>
      <c r="AH194" s="62" t="str" cm="1">
        <f t="array" ref="AH194">Common_InputFunctions.Utility_DisplayArrayInTable(Fertiliser_SourceData.Fertiliser_Products_Data4(),FertiliserProducts[[#Headers],[Company]], 91)</f>
        <v/>
      </c>
    </row>
    <row r="195" spans="4:34" x14ac:dyDescent="0.25">
      <c r="D195" s="62" t="str" cm="1">
        <f t="array" ref="D195">Common_InputFunctions.Utility_DisplayArrayInTable(Fertiliser_SourceData.Fertiliser_Products_Data4(),FertiliserProducts[[#Headers],[Company]], 91)</f>
        <v>Zn 7000</v>
      </c>
      <c r="E195" s="62" t="str" cm="1">
        <f t="array" ref="E195">Common_InputFunctions.Utility_DisplayArrayInTable(Fertiliser_SourceData.Fertiliser_Products_Data4(),FertiliserProducts[[#Headers],[Company]], 91)</f>
        <v/>
      </c>
      <c r="F195" s="62" t="str" cm="1">
        <f t="array" ref="F195">Common_InputFunctions.Utility_DisplayArrayInTable(Fertiliser_SourceData.Fertiliser_Products_Data4(),FertiliserProducts[[#Headers],[Company]], 91)</f>
        <v/>
      </c>
      <c r="G195" s="62" t="str" cm="1">
        <f t="array" ref="G195">Common_InputFunctions.Utility_DisplayArrayInTable(Fertiliser_SourceData.Fertiliser_Products_Data4(),FertiliserProducts[[#Headers],[Company]], 91)</f>
        <v/>
      </c>
      <c r="H195" s="62" t="str" cm="1">
        <f t="array" ref="H195">Common_InputFunctions.Utility_DisplayArrayInTable(Fertiliser_SourceData.Fertiliser_Products_Data4(),FertiliserProducts[[#Headers],[Company]], 91)</f>
        <v/>
      </c>
      <c r="I195" s="62" t="str" cm="1">
        <f t="array" ref="I195">Common_InputFunctions.Utility_DisplayArrayInTable(Fertiliser_SourceData.Fertiliser_Products_Data4(),FertiliserProducts[[#Headers],[Company]], 91)</f>
        <v/>
      </c>
      <c r="J195" s="62" t="str" cm="1">
        <f t="array" ref="J195">Common_InputFunctions.Utility_DisplayArrayInTable(Fertiliser_SourceData.Fertiliser_Products_Data4(),FertiliserProducts[[#Headers],[Company]], 91)</f>
        <v/>
      </c>
      <c r="K195" s="62" t="str" cm="1">
        <f t="array" ref="K195">Common_InputFunctions.Utility_DisplayArrayInTable(Fertiliser_SourceData.Fertiliser_Products_Data4(),FertiliserProducts[[#Headers],[Company]], 91)</f>
        <v/>
      </c>
      <c r="L195" s="62" t="str" cm="1">
        <f t="array" ref="L195">Common_InputFunctions.Utility_DisplayArrayInTable(Fertiliser_SourceData.Fertiliser_Products_Data4(),FertiliserProducts[[#Headers],[Company]], 91)</f>
        <v/>
      </c>
      <c r="M195" s="62" t="str" cm="1">
        <f t="array" ref="M195">Common_InputFunctions.Utility_DisplayArrayInTable(Fertiliser_SourceData.Fertiliser_Products_Data4(),FertiliserProducts[[#Headers],[Company]], 91)</f>
        <v/>
      </c>
      <c r="N195" s="62" t="str" cm="1">
        <f t="array" ref="N195">Common_InputFunctions.Utility_DisplayArrayInTable(Fertiliser_SourceData.Fertiliser_Products_Data4(),FertiliserProducts[[#Headers],[Company]], 91)</f>
        <v/>
      </c>
      <c r="O195" s="62" t="str" cm="1">
        <f t="array" ref="O195">Common_InputFunctions.Utility_DisplayArrayInTable(Fertiliser_SourceData.Fertiliser_Products_Data4(),FertiliserProducts[[#Headers],[Company]], 91)</f>
        <v/>
      </c>
      <c r="P195" s="62" t="str" cm="1">
        <f t="array" ref="P195">Common_InputFunctions.Utility_DisplayArrayInTable(Fertiliser_SourceData.Fertiliser_Products_Data4(),FertiliserProducts[[#Headers],[Company]], 91)</f>
        <v/>
      </c>
      <c r="Q195" s="62" t="str" cm="1">
        <f t="array" ref="Q195">Common_InputFunctions.Utility_DisplayArrayInTable(Fertiliser_SourceData.Fertiliser_Products_Data4(),FertiliserProducts[[#Headers],[Company]], 91)</f>
        <v/>
      </c>
      <c r="R195" s="62" t="str" cm="1">
        <f t="array" ref="R195">Common_InputFunctions.Utility_DisplayArrayInTable(Fertiliser_SourceData.Fertiliser_Products_Data4(),FertiliserProducts[[#Headers],[Company]], 91)</f>
        <v/>
      </c>
      <c r="S195" s="62" t="str" cm="1">
        <f t="array" ref="S195">Common_InputFunctions.Utility_DisplayArrayInTable(Fertiliser_SourceData.Fertiliser_Products_Data4(),FertiliserProducts[[#Headers],[Company]], 91)</f>
        <v/>
      </c>
      <c r="T195" s="62" t="str" cm="1">
        <f t="array" ref="T195">Common_InputFunctions.Utility_DisplayArrayInTable(Fertiliser_SourceData.Fertiliser_Products_Data4(),FertiliserProducts[[#Headers],[Company]], 91)</f>
        <v/>
      </c>
      <c r="U195" s="62" t="str" cm="1">
        <f t="array" ref="U195">Common_InputFunctions.Utility_DisplayArrayInTable(Fertiliser_SourceData.Fertiliser_Products_Data4(),FertiliserProducts[[#Headers],[Company]], 91)</f>
        <v/>
      </c>
      <c r="V195" s="62" t="str" cm="1">
        <f t="array" ref="V195">Common_InputFunctions.Utility_DisplayArrayInTable(Fertiliser_SourceData.Fertiliser_Products_Data4(),FertiliserProducts[[#Headers],[Company]], 91)</f>
        <v/>
      </c>
      <c r="W195" s="62" t="str" cm="1">
        <f t="array" ref="W195">Common_InputFunctions.Utility_DisplayArrayInTable(Fertiliser_SourceData.Fertiliser_Products_Data4(),FertiliserProducts[[#Headers],[Company]], 91)</f>
        <v>Rutec Zn 7000</v>
      </c>
      <c r="X195" s="62" t="str" cm="1">
        <f t="array" ref="X195">Common_InputFunctions.Utility_DisplayArrayInTable(Fertiliser_SourceData.Fertiliser_Products_Data4(),FertiliserProducts[[#Headers],[Company]], 91)</f>
        <v/>
      </c>
      <c r="Y195" s="62" t="str" cm="1">
        <f t="array" ref="Y195">Common_InputFunctions.Utility_DisplayArrayInTable(Fertiliser_SourceData.Fertiliser_Products_Data4(),FertiliserProducts[[#Headers],[Company]], 91)</f>
        <v/>
      </c>
      <c r="Z195" s="62" t="str" cm="1">
        <f t="array" ref="Z195">Common_InputFunctions.Utility_DisplayArrayInTable(Fertiliser_SourceData.Fertiliser_Products_Data4(),FertiliserProducts[[#Headers],[Company]], 91)</f>
        <v/>
      </c>
      <c r="AA195" s="62" t="str" cm="1">
        <f t="array" ref="AA195">Common_InputFunctions.Utility_DisplayArrayInTable(Fertiliser_SourceData.Fertiliser_Products_Data4(),FertiliserProducts[[#Headers],[Company]], 91)</f>
        <v/>
      </c>
      <c r="AB195" s="62" t="str" cm="1">
        <f t="array" ref="AB195">Common_InputFunctions.Utility_DisplayArrayInTable(Fertiliser_SourceData.Fertiliser_Products_Data4(),FertiliserProducts[[#Headers],[Company]], 91)</f>
        <v/>
      </c>
      <c r="AC195" s="62" t="str" cm="1">
        <f t="array" ref="AC195">Common_InputFunctions.Utility_DisplayArrayInTable(Fertiliser_SourceData.Fertiliser_Products_Data4(),FertiliserProducts[[#Headers],[Company]], 91)</f>
        <v/>
      </c>
      <c r="AD195" s="62" t="str" cm="1">
        <f t="array" ref="AD195">Common_InputFunctions.Utility_DisplayArrayInTable(Fertiliser_SourceData.Fertiliser_Products_Data4(),FertiliserProducts[[#Headers],[Company]], 91)</f>
        <v/>
      </c>
      <c r="AE195" s="62" t="str" cm="1">
        <f t="array" ref="AE195">Common_InputFunctions.Utility_DisplayArrayInTable(Fertiliser_SourceData.Fertiliser_Products_Data4(),FertiliserProducts[[#Headers],[Company]], 91)</f>
        <v/>
      </c>
      <c r="AF195" s="62" t="str" cm="1">
        <f t="array" ref="AF195">Common_InputFunctions.Utility_DisplayArrayInTable(Fertiliser_SourceData.Fertiliser_Products_Data4(),FertiliserProducts[[#Headers],[Company]], 91)</f>
        <v/>
      </c>
      <c r="AG195" s="62" t="str" cm="1">
        <f t="array" ref="AG195">Common_InputFunctions.Utility_DisplayArrayInTable(Fertiliser_SourceData.Fertiliser_Products_Data4(),FertiliserProducts[[#Headers],[Company]], 91)</f>
        <v/>
      </c>
      <c r="AH195" s="62" t="str" cm="1">
        <f t="array" ref="AH195">Common_InputFunctions.Utility_DisplayArrayInTable(Fertiliser_SourceData.Fertiliser_Products_Data4(),FertiliserProducts[[#Headers],[Company]], 91)</f>
        <v/>
      </c>
    </row>
    <row r="196" spans="4:34" x14ac:dyDescent="0.25">
      <c r="D196" s="62" t="str" cm="1">
        <f t="array" ref="D196">Common_InputFunctions.Utility_DisplayArrayInTable(Fertiliser_SourceData.Fertiliser_Products_Data4(),FertiliserProducts[[#Headers],[Company]], 91)</f>
        <v/>
      </c>
      <c r="E196" s="62" t="str" cm="1">
        <f t="array" ref="E196">Common_InputFunctions.Utility_DisplayArrayInTable(Fertiliser_SourceData.Fertiliser_Products_Data4(),FertiliserProducts[[#Headers],[Company]], 91)</f>
        <v/>
      </c>
      <c r="F196" s="62" t="str" cm="1">
        <f t="array" ref="F196">Common_InputFunctions.Utility_DisplayArrayInTable(Fertiliser_SourceData.Fertiliser_Products_Data4(),FertiliserProducts[[#Headers],[Company]], 91)</f>
        <v/>
      </c>
      <c r="G196" s="62" t="str" cm="1">
        <f t="array" ref="G196">Common_InputFunctions.Utility_DisplayArrayInTable(Fertiliser_SourceData.Fertiliser_Products_Data4(),FertiliserProducts[[#Headers],[Company]], 91)</f>
        <v/>
      </c>
      <c r="H196" s="62" t="str" cm="1">
        <f t="array" ref="H196">Common_InputFunctions.Utility_DisplayArrayInTable(Fertiliser_SourceData.Fertiliser_Products_Data4(),FertiliserProducts[[#Headers],[Company]], 91)</f>
        <v/>
      </c>
      <c r="I196" s="62" t="str" cm="1">
        <f t="array" ref="I196">Common_InputFunctions.Utility_DisplayArrayInTable(Fertiliser_SourceData.Fertiliser_Products_Data4(),FertiliserProducts[[#Headers],[Company]], 91)</f>
        <v/>
      </c>
      <c r="J196" s="62" t="str" cm="1">
        <f t="array" ref="J196">Common_InputFunctions.Utility_DisplayArrayInTable(Fertiliser_SourceData.Fertiliser_Products_Data4(),FertiliserProducts[[#Headers],[Company]], 91)</f>
        <v/>
      </c>
      <c r="K196" s="62" t="str" cm="1">
        <f t="array" ref="K196">Common_InputFunctions.Utility_DisplayArrayInTable(Fertiliser_SourceData.Fertiliser_Products_Data4(),FertiliserProducts[[#Headers],[Company]], 91)</f>
        <v/>
      </c>
      <c r="L196" s="62" t="str" cm="1">
        <f t="array" ref="L196">Common_InputFunctions.Utility_DisplayArrayInTable(Fertiliser_SourceData.Fertiliser_Products_Data4(),FertiliserProducts[[#Headers],[Company]], 91)</f>
        <v/>
      </c>
      <c r="M196" s="62" t="str" cm="1">
        <f t="array" ref="M196">Common_InputFunctions.Utility_DisplayArrayInTable(Fertiliser_SourceData.Fertiliser_Products_Data4(),FertiliserProducts[[#Headers],[Company]], 91)</f>
        <v/>
      </c>
      <c r="N196" s="62" t="str" cm="1">
        <f t="array" ref="N196">Common_InputFunctions.Utility_DisplayArrayInTable(Fertiliser_SourceData.Fertiliser_Products_Data4(),FertiliserProducts[[#Headers],[Company]], 91)</f>
        <v/>
      </c>
      <c r="O196" s="62" t="str" cm="1">
        <f t="array" ref="O196">Common_InputFunctions.Utility_DisplayArrayInTable(Fertiliser_SourceData.Fertiliser_Products_Data4(),FertiliserProducts[[#Headers],[Company]], 91)</f>
        <v/>
      </c>
      <c r="P196" s="62" t="str" cm="1">
        <f t="array" ref="P196">Common_InputFunctions.Utility_DisplayArrayInTable(Fertiliser_SourceData.Fertiliser_Products_Data4(),FertiliserProducts[[#Headers],[Company]], 91)</f>
        <v/>
      </c>
      <c r="Q196" s="62" t="str" cm="1">
        <f t="array" ref="Q196">Common_InputFunctions.Utility_DisplayArrayInTable(Fertiliser_SourceData.Fertiliser_Products_Data4(),FertiliserProducts[[#Headers],[Company]], 91)</f>
        <v/>
      </c>
      <c r="R196" s="62" t="str" cm="1">
        <f t="array" ref="R196">Common_InputFunctions.Utility_DisplayArrayInTable(Fertiliser_SourceData.Fertiliser_Products_Data4(),FertiliserProducts[[#Headers],[Company]], 91)</f>
        <v/>
      </c>
      <c r="S196" s="62" t="str" cm="1">
        <f t="array" ref="S196">Common_InputFunctions.Utility_DisplayArrayInTable(Fertiliser_SourceData.Fertiliser_Products_Data4(),FertiliserProducts[[#Headers],[Company]], 91)</f>
        <v/>
      </c>
      <c r="T196" s="62" t="str" cm="1">
        <f t="array" ref="T196">Common_InputFunctions.Utility_DisplayArrayInTable(Fertiliser_SourceData.Fertiliser_Products_Data4(),FertiliserProducts[[#Headers],[Company]], 91)</f>
        <v/>
      </c>
      <c r="U196" s="62" t="str" cm="1">
        <f t="array" ref="U196">Common_InputFunctions.Utility_DisplayArrayInTable(Fertiliser_SourceData.Fertiliser_Products_Data4(),FertiliserProducts[[#Headers],[Company]], 91)</f>
        <v/>
      </c>
      <c r="V196" s="62" t="str" cm="1">
        <f t="array" ref="V196">Common_InputFunctions.Utility_DisplayArrayInTable(Fertiliser_SourceData.Fertiliser_Products_Data4(),FertiliserProducts[[#Headers],[Company]], 91)</f>
        <v/>
      </c>
      <c r="W196" s="62" t="str" cm="1">
        <f t="array" ref="W196">Common_InputFunctions.Utility_DisplayArrayInTable(Fertiliser_SourceData.Fertiliser_Products_Data4(),FertiliserProducts[[#Headers],[Company]], 91)</f>
        <v/>
      </c>
      <c r="X196" s="62" t="str" cm="1">
        <f t="array" ref="X196">Common_InputFunctions.Utility_DisplayArrayInTable(Fertiliser_SourceData.Fertiliser_Products_Data4(),FertiliserProducts[[#Headers],[Company]], 91)</f>
        <v/>
      </c>
      <c r="Y196" s="62" t="str" cm="1">
        <f t="array" ref="Y196">Common_InputFunctions.Utility_DisplayArrayInTable(Fertiliser_SourceData.Fertiliser_Products_Data4(),FertiliserProducts[[#Headers],[Company]], 91)</f>
        <v/>
      </c>
      <c r="Z196" s="62" t="str" cm="1">
        <f t="array" ref="Z196">Common_InputFunctions.Utility_DisplayArrayInTable(Fertiliser_SourceData.Fertiliser_Products_Data4(),FertiliserProducts[[#Headers],[Company]], 91)</f>
        <v/>
      </c>
      <c r="AA196" s="62" t="str" cm="1">
        <f t="array" ref="AA196">Common_InputFunctions.Utility_DisplayArrayInTable(Fertiliser_SourceData.Fertiliser_Products_Data4(),FertiliserProducts[[#Headers],[Company]], 91)</f>
        <v/>
      </c>
      <c r="AB196" s="62" t="str" cm="1">
        <f t="array" ref="AB196">Common_InputFunctions.Utility_DisplayArrayInTable(Fertiliser_SourceData.Fertiliser_Products_Data4(),FertiliserProducts[[#Headers],[Company]], 91)</f>
        <v/>
      </c>
      <c r="AC196" s="62" t="str" cm="1">
        <f t="array" ref="AC196">Common_InputFunctions.Utility_DisplayArrayInTable(Fertiliser_SourceData.Fertiliser_Products_Data4(),FertiliserProducts[[#Headers],[Company]], 91)</f>
        <v/>
      </c>
      <c r="AD196" s="62" t="str" cm="1">
        <f t="array" ref="AD196">Common_InputFunctions.Utility_DisplayArrayInTable(Fertiliser_SourceData.Fertiliser_Products_Data4(),FertiliserProducts[[#Headers],[Company]], 91)</f>
        <v/>
      </c>
      <c r="AE196" s="62" t="str" cm="1">
        <f t="array" ref="AE196">Common_InputFunctions.Utility_DisplayArrayInTable(Fertiliser_SourceData.Fertiliser_Products_Data4(),FertiliserProducts[[#Headers],[Company]], 91)</f>
        <v/>
      </c>
      <c r="AF196" s="62" t="str" cm="1">
        <f t="array" ref="AF196">Common_InputFunctions.Utility_DisplayArrayInTable(Fertiliser_SourceData.Fertiliser_Products_Data4(),FertiliserProducts[[#Headers],[Company]], 91)</f>
        <v/>
      </c>
      <c r="AG196" s="62" t="str" cm="1">
        <f t="array" ref="AG196">Common_InputFunctions.Utility_DisplayArrayInTable(Fertiliser_SourceData.Fertiliser_Products_Data4(),FertiliserProducts[[#Headers],[Company]], 91)</f>
        <v/>
      </c>
      <c r="AH196" s="62" t="str" cm="1">
        <f t="array" ref="AH196">Common_InputFunctions.Utility_DisplayArrayInTable(Fertiliser_SourceData.Fertiliser_Products_Data4(),FertiliserProducts[[#Headers],[Company]], 91)</f>
        <v/>
      </c>
    </row>
    <row r="197" spans="4:34" x14ac:dyDescent="0.25">
      <c r="D197" s="62" t="str" cm="1">
        <f t="array" ref="D197">Common_InputFunctions.Utility_DisplayArrayInTable(Fertiliser_SourceData.Fertiliser_Products_Data4(),FertiliserProducts[[#Headers],[Company]], 91)</f>
        <v/>
      </c>
      <c r="E197" s="62" t="str" cm="1">
        <f t="array" ref="E197">Common_InputFunctions.Utility_DisplayArrayInTable(Fertiliser_SourceData.Fertiliser_Products_Data4(),FertiliserProducts[[#Headers],[Company]], 91)</f>
        <v/>
      </c>
      <c r="F197" s="62" t="str" cm="1">
        <f t="array" ref="F197">Common_InputFunctions.Utility_DisplayArrayInTable(Fertiliser_SourceData.Fertiliser_Products_Data4(),FertiliserProducts[[#Headers],[Company]], 91)</f>
        <v/>
      </c>
      <c r="G197" s="62" t="str" cm="1">
        <f t="array" ref="G197">Common_InputFunctions.Utility_DisplayArrayInTable(Fertiliser_SourceData.Fertiliser_Products_Data4(),FertiliserProducts[[#Headers],[Company]], 91)</f>
        <v/>
      </c>
      <c r="H197" s="62" t="str" cm="1">
        <f t="array" ref="H197">Common_InputFunctions.Utility_DisplayArrayInTable(Fertiliser_SourceData.Fertiliser_Products_Data4(),FertiliserProducts[[#Headers],[Company]], 91)</f>
        <v/>
      </c>
      <c r="I197" s="62" t="str" cm="1">
        <f t="array" ref="I197">Common_InputFunctions.Utility_DisplayArrayInTable(Fertiliser_SourceData.Fertiliser_Products_Data4(),FertiliserProducts[[#Headers],[Company]], 91)</f>
        <v/>
      </c>
      <c r="J197" s="62" t="str" cm="1">
        <f t="array" ref="J197">Common_InputFunctions.Utility_DisplayArrayInTable(Fertiliser_SourceData.Fertiliser_Products_Data4(),FertiliserProducts[[#Headers],[Company]], 91)</f>
        <v/>
      </c>
      <c r="K197" s="62" t="str" cm="1">
        <f t="array" ref="K197">Common_InputFunctions.Utility_DisplayArrayInTable(Fertiliser_SourceData.Fertiliser_Products_Data4(),FertiliserProducts[[#Headers],[Company]], 91)</f>
        <v/>
      </c>
      <c r="L197" s="62" t="str" cm="1">
        <f t="array" ref="L197">Common_InputFunctions.Utility_DisplayArrayInTable(Fertiliser_SourceData.Fertiliser_Products_Data4(),FertiliserProducts[[#Headers],[Company]], 91)</f>
        <v/>
      </c>
      <c r="M197" s="62" t="str" cm="1">
        <f t="array" ref="M197">Common_InputFunctions.Utility_DisplayArrayInTable(Fertiliser_SourceData.Fertiliser_Products_Data4(),FertiliserProducts[[#Headers],[Company]], 91)</f>
        <v/>
      </c>
      <c r="N197" s="62" t="str" cm="1">
        <f t="array" ref="N197">Common_InputFunctions.Utility_DisplayArrayInTable(Fertiliser_SourceData.Fertiliser_Products_Data4(),FertiliserProducts[[#Headers],[Company]], 91)</f>
        <v/>
      </c>
      <c r="O197" s="62" t="str" cm="1">
        <f t="array" ref="O197">Common_InputFunctions.Utility_DisplayArrayInTable(Fertiliser_SourceData.Fertiliser_Products_Data4(),FertiliserProducts[[#Headers],[Company]], 91)</f>
        <v/>
      </c>
      <c r="P197" s="62" t="str" cm="1">
        <f t="array" ref="P197">Common_InputFunctions.Utility_DisplayArrayInTable(Fertiliser_SourceData.Fertiliser_Products_Data4(),FertiliserProducts[[#Headers],[Company]], 91)</f>
        <v/>
      </c>
      <c r="Q197" s="62" t="str" cm="1">
        <f t="array" ref="Q197">Common_InputFunctions.Utility_DisplayArrayInTable(Fertiliser_SourceData.Fertiliser_Products_Data4(),FertiliserProducts[[#Headers],[Company]], 91)</f>
        <v/>
      </c>
      <c r="R197" s="62" t="str" cm="1">
        <f t="array" ref="R197">Common_InputFunctions.Utility_DisplayArrayInTable(Fertiliser_SourceData.Fertiliser_Products_Data4(),FertiliserProducts[[#Headers],[Company]], 91)</f>
        <v/>
      </c>
      <c r="S197" s="62" t="str" cm="1">
        <f t="array" ref="S197">Common_InputFunctions.Utility_DisplayArrayInTable(Fertiliser_SourceData.Fertiliser_Products_Data4(),FertiliserProducts[[#Headers],[Company]], 91)</f>
        <v/>
      </c>
      <c r="T197" s="62" t="str" cm="1">
        <f t="array" ref="T197">Common_InputFunctions.Utility_DisplayArrayInTable(Fertiliser_SourceData.Fertiliser_Products_Data4(),FertiliserProducts[[#Headers],[Company]], 91)</f>
        <v/>
      </c>
      <c r="U197" s="62" t="str" cm="1">
        <f t="array" ref="U197">Common_InputFunctions.Utility_DisplayArrayInTable(Fertiliser_SourceData.Fertiliser_Products_Data4(),FertiliserProducts[[#Headers],[Company]], 91)</f>
        <v/>
      </c>
      <c r="V197" s="62" t="str" cm="1">
        <f t="array" ref="V197">Common_InputFunctions.Utility_DisplayArrayInTable(Fertiliser_SourceData.Fertiliser_Products_Data4(),FertiliserProducts[[#Headers],[Company]], 91)</f>
        <v/>
      </c>
      <c r="W197" s="62" t="str" cm="1">
        <f t="array" ref="W197">Common_InputFunctions.Utility_DisplayArrayInTable(Fertiliser_SourceData.Fertiliser_Products_Data4(),FertiliserProducts[[#Headers],[Company]], 91)</f>
        <v/>
      </c>
      <c r="X197" s="62" t="str" cm="1">
        <f t="array" ref="X197">Common_InputFunctions.Utility_DisplayArrayInTable(Fertiliser_SourceData.Fertiliser_Products_Data4(),FertiliserProducts[[#Headers],[Company]], 91)</f>
        <v/>
      </c>
      <c r="Y197" s="62" t="str" cm="1">
        <f t="array" ref="Y197">Common_InputFunctions.Utility_DisplayArrayInTable(Fertiliser_SourceData.Fertiliser_Products_Data4(),FertiliserProducts[[#Headers],[Company]], 91)</f>
        <v/>
      </c>
      <c r="Z197" s="62" t="str" cm="1">
        <f t="array" ref="Z197">Common_InputFunctions.Utility_DisplayArrayInTable(Fertiliser_SourceData.Fertiliser_Products_Data4(),FertiliserProducts[[#Headers],[Company]], 91)</f>
        <v/>
      </c>
      <c r="AA197" s="62" t="str" cm="1">
        <f t="array" ref="AA197">Common_InputFunctions.Utility_DisplayArrayInTable(Fertiliser_SourceData.Fertiliser_Products_Data4(),FertiliserProducts[[#Headers],[Company]], 91)</f>
        <v/>
      </c>
      <c r="AB197" s="62" t="str" cm="1">
        <f t="array" ref="AB197">Common_InputFunctions.Utility_DisplayArrayInTable(Fertiliser_SourceData.Fertiliser_Products_Data4(),FertiliserProducts[[#Headers],[Company]], 91)</f>
        <v/>
      </c>
      <c r="AC197" s="62" t="str" cm="1">
        <f t="array" ref="AC197">Common_InputFunctions.Utility_DisplayArrayInTable(Fertiliser_SourceData.Fertiliser_Products_Data4(),FertiliserProducts[[#Headers],[Company]], 91)</f>
        <v/>
      </c>
      <c r="AD197" s="62" t="str" cm="1">
        <f t="array" ref="AD197">Common_InputFunctions.Utility_DisplayArrayInTable(Fertiliser_SourceData.Fertiliser_Products_Data4(),FertiliserProducts[[#Headers],[Company]], 91)</f>
        <v/>
      </c>
      <c r="AE197" s="62" t="str" cm="1">
        <f t="array" ref="AE197">Common_InputFunctions.Utility_DisplayArrayInTable(Fertiliser_SourceData.Fertiliser_Products_Data4(),FertiliserProducts[[#Headers],[Company]], 91)</f>
        <v/>
      </c>
      <c r="AF197" s="62" t="str" cm="1">
        <f t="array" ref="AF197">Common_InputFunctions.Utility_DisplayArrayInTable(Fertiliser_SourceData.Fertiliser_Products_Data4(),FertiliserProducts[[#Headers],[Company]], 91)</f>
        <v/>
      </c>
      <c r="AG197" s="62" t="str" cm="1">
        <f t="array" ref="AG197">Common_InputFunctions.Utility_DisplayArrayInTable(Fertiliser_SourceData.Fertiliser_Products_Data4(),FertiliserProducts[[#Headers],[Company]], 91)</f>
        <v/>
      </c>
      <c r="AH197" s="62" t="str" cm="1">
        <f t="array" ref="AH197">Common_InputFunctions.Utility_DisplayArrayInTable(Fertiliser_SourceData.Fertiliser_Products_Data4(),FertiliserProducts[[#Headers],[Company]], 91)</f>
        <v/>
      </c>
    </row>
    <row r="198" spans="4:34" x14ac:dyDescent="0.25">
      <c r="D198" s="62" t="str" cm="1">
        <f t="array" ref="D198">Common_InputFunctions.Utility_DisplayArrayInTable(Fertiliser_SourceData.Fertiliser_Products_Data4(),FertiliserProducts[[#Headers],[Company]], 91)</f>
        <v/>
      </c>
      <c r="E198" s="62" t="str" cm="1">
        <f t="array" ref="E198">Common_InputFunctions.Utility_DisplayArrayInTable(Fertiliser_SourceData.Fertiliser_Products_Data4(),FertiliserProducts[[#Headers],[Company]], 91)</f>
        <v/>
      </c>
      <c r="F198" s="62" t="str" cm="1">
        <f t="array" ref="F198">Common_InputFunctions.Utility_DisplayArrayInTable(Fertiliser_SourceData.Fertiliser_Products_Data4(),FertiliserProducts[[#Headers],[Company]], 91)</f>
        <v/>
      </c>
      <c r="G198" s="62" t="str" cm="1">
        <f t="array" ref="G198">Common_InputFunctions.Utility_DisplayArrayInTable(Fertiliser_SourceData.Fertiliser_Products_Data4(),FertiliserProducts[[#Headers],[Company]], 91)</f>
        <v/>
      </c>
      <c r="H198" s="62" t="str" cm="1">
        <f t="array" ref="H198">Common_InputFunctions.Utility_DisplayArrayInTable(Fertiliser_SourceData.Fertiliser_Products_Data4(),FertiliserProducts[[#Headers],[Company]], 91)</f>
        <v/>
      </c>
      <c r="I198" s="62" t="str" cm="1">
        <f t="array" ref="I198">Common_InputFunctions.Utility_DisplayArrayInTable(Fertiliser_SourceData.Fertiliser_Products_Data4(),FertiliserProducts[[#Headers],[Company]], 91)</f>
        <v/>
      </c>
      <c r="J198" s="62" t="str" cm="1">
        <f t="array" ref="J198">Common_InputFunctions.Utility_DisplayArrayInTable(Fertiliser_SourceData.Fertiliser_Products_Data4(),FertiliserProducts[[#Headers],[Company]], 91)</f>
        <v/>
      </c>
      <c r="K198" s="62" t="str" cm="1">
        <f t="array" ref="K198">Common_InputFunctions.Utility_DisplayArrayInTable(Fertiliser_SourceData.Fertiliser_Products_Data4(),FertiliserProducts[[#Headers],[Company]], 91)</f>
        <v/>
      </c>
      <c r="L198" s="62" t="str" cm="1">
        <f t="array" ref="L198">Common_InputFunctions.Utility_DisplayArrayInTable(Fertiliser_SourceData.Fertiliser_Products_Data4(),FertiliserProducts[[#Headers],[Company]], 91)</f>
        <v/>
      </c>
      <c r="M198" s="62" t="str" cm="1">
        <f t="array" ref="M198">Common_InputFunctions.Utility_DisplayArrayInTable(Fertiliser_SourceData.Fertiliser_Products_Data4(),FertiliserProducts[[#Headers],[Company]], 91)</f>
        <v/>
      </c>
      <c r="N198" s="62" t="str" cm="1">
        <f t="array" ref="N198">Common_InputFunctions.Utility_DisplayArrayInTable(Fertiliser_SourceData.Fertiliser_Products_Data4(),FertiliserProducts[[#Headers],[Company]], 91)</f>
        <v/>
      </c>
      <c r="O198" s="62" t="str" cm="1">
        <f t="array" ref="O198">Common_InputFunctions.Utility_DisplayArrayInTable(Fertiliser_SourceData.Fertiliser_Products_Data4(),FertiliserProducts[[#Headers],[Company]], 91)</f>
        <v/>
      </c>
      <c r="P198" s="62" t="str" cm="1">
        <f t="array" ref="P198">Common_InputFunctions.Utility_DisplayArrayInTable(Fertiliser_SourceData.Fertiliser_Products_Data4(),FertiliserProducts[[#Headers],[Company]], 91)</f>
        <v/>
      </c>
      <c r="Q198" s="62" t="str" cm="1">
        <f t="array" ref="Q198">Common_InputFunctions.Utility_DisplayArrayInTable(Fertiliser_SourceData.Fertiliser_Products_Data4(),FertiliserProducts[[#Headers],[Company]], 91)</f>
        <v/>
      </c>
      <c r="R198" s="62" t="str" cm="1">
        <f t="array" ref="R198">Common_InputFunctions.Utility_DisplayArrayInTable(Fertiliser_SourceData.Fertiliser_Products_Data4(),FertiliserProducts[[#Headers],[Company]], 91)</f>
        <v/>
      </c>
      <c r="S198" s="62" t="str" cm="1">
        <f t="array" ref="S198">Common_InputFunctions.Utility_DisplayArrayInTable(Fertiliser_SourceData.Fertiliser_Products_Data4(),FertiliserProducts[[#Headers],[Company]], 91)</f>
        <v/>
      </c>
      <c r="T198" s="62" t="str" cm="1">
        <f t="array" ref="T198">Common_InputFunctions.Utility_DisplayArrayInTable(Fertiliser_SourceData.Fertiliser_Products_Data4(),FertiliserProducts[[#Headers],[Company]], 91)</f>
        <v/>
      </c>
      <c r="U198" s="62" t="str" cm="1">
        <f t="array" ref="U198">Common_InputFunctions.Utility_DisplayArrayInTable(Fertiliser_SourceData.Fertiliser_Products_Data4(),FertiliserProducts[[#Headers],[Company]], 91)</f>
        <v/>
      </c>
      <c r="V198" s="62" t="str" cm="1">
        <f t="array" ref="V198">Common_InputFunctions.Utility_DisplayArrayInTable(Fertiliser_SourceData.Fertiliser_Products_Data4(),FertiliserProducts[[#Headers],[Company]], 91)</f>
        <v/>
      </c>
      <c r="W198" s="62" t="str" cm="1">
        <f t="array" ref="W198">Common_InputFunctions.Utility_DisplayArrayInTable(Fertiliser_SourceData.Fertiliser_Products_Data4(),FertiliserProducts[[#Headers],[Company]], 91)</f>
        <v/>
      </c>
      <c r="X198" s="62" t="str" cm="1">
        <f t="array" ref="X198">Common_InputFunctions.Utility_DisplayArrayInTable(Fertiliser_SourceData.Fertiliser_Products_Data4(),FertiliserProducts[[#Headers],[Company]], 91)</f>
        <v/>
      </c>
      <c r="Y198" s="62" t="str" cm="1">
        <f t="array" ref="Y198">Common_InputFunctions.Utility_DisplayArrayInTable(Fertiliser_SourceData.Fertiliser_Products_Data4(),FertiliserProducts[[#Headers],[Company]], 91)</f>
        <v/>
      </c>
      <c r="Z198" s="62" t="str" cm="1">
        <f t="array" ref="Z198">Common_InputFunctions.Utility_DisplayArrayInTable(Fertiliser_SourceData.Fertiliser_Products_Data4(),FertiliserProducts[[#Headers],[Company]], 91)</f>
        <v/>
      </c>
      <c r="AA198" s="62" t="str" cm="1">
        <f t="array" ref="AA198">Common_InputFunctions.Utility_DisplayArrayInTable(Fertiliser_SourceData.Fertiliser_Products_Data4(),FertiliserProducts[[#Headers],[Company]], 91)</f>
        <v/>
      </c>
      <c r="AB198" s="62" t="str" cm="1">
        <f t="array" ref="AB198">Common_InputFunctions.Utility_DisplayArrayInTable(Fertiliser_SourceData.Fertiliser_Products_Data4(),FertiliserProducts[[#Headers],[Company]], 91)</f>
        <v/>
      </c>
      <c r="AC198" s="62" t="str" cm="1">
        <f t="array" ref="AC198">Common_InputFunctions.Utility_DisplayArrayInTable(Fertiliser_SourceData.Fertiliser_Products_Data4(),FertiliserProducts[[#Headers],[Company]], 91)</f>
        <v/>
      </c>
      <c r="AD198" s="62" t="str" cm="1">
        <f t="array" ref="AD198">Common_InputFunctions.Utility_DisplayArrayInTable(Fertiliser_SourceData.Fertiliser_Products_Data4(),FertiliserProducts[[#Headers],[Company]], 91)</f>
        <v/>
      </c>
      <c r="AE198" s="62" t="str" cm="1">
        <f t="array" ref="AE198">Common_InputFunctions.Utility_DisplayArrayInTable(Fertiliser_SourceData.Fertiliser_Products_Data4(),FertiliserProducts[[#Headers],[Company]], 91)</f>
        <v/>
      </c>
      <c r="AF198" s="62" t="str" cm="1">
        <f t="array" ref="AF198">Common_InputFunctions.Utility_DisplayArrayInTable(Fertiliser_SourceData.Fertiliser_Products_Data4(),FertiliserProducts[[#Headers],[Company]], 91)</f>
        <v/>
      </c>
      <c r="AG198" s="62" t="str" cm="1">
        <f t="array" ref="AG198">Common_InputFunctions.Utility_DisplayArrayInTable(Fertiliser_SourceData.Fertiliser_Products_Data4(),FertiliserProducts[[#Headers],[Company]], 91)</f>
        <v/>
      </c>
      <c r="AH198" s="62" t="str" cm="1">
        <f t="array" ref="AH198">Common_InputFunctions.Utility_DisplayArrayInTable(Fertiliser_SourceData.Fertiliser_Products_Data4(),FertiliserProducts[[#Headers],[Company]], 91)</f>
        <v/>
      </c>
    </row>
    <row r="199" spans="4:34" x14ac:dyDescent="0.25">
      <c r="D199" s="62" t="str" cm="1">
        <f t="array" ref="D199">Common_InputFunctions.Utility_DisplayArrayInTable(Fertiliser_SourceData.Fertiliser_Products_Data4(),FertiliserProducts[[#Headers],[Company]], 91)</f>
        <v/>
      </c>
      <c r="E199" s="62" t="str" cm="1">
        <f t="array" ref="E199">Common_InputFunctions.Utility_DisplayArrayInTable(Fertiliser_SourceData.Fertiliser_Products_Data4(),FertiliserProducts[[#Headers],[Company]], 91)</f>
        <v/>
      </c>
      <c r="F199" s="62" t="str" cm="1">
        <f t="array" ref="F199">Common_InputFunctions.Utility_DisplayArrayInTable(Fertiliser_SourceData.Fertiliser_Products_Data4(),FertiliserProducts[[#Headers],[Company]], 91)</f>
        <v/>
      </c>
      <c r="G199" s="62" t="str" cm="1">
        <f t="array" ref="G199">Common_InputFunctions.Utility_DisplayArrayInTable(Fertiliser_SourceData.Fertiliser_Products_Data4(),FertiliserProducts[[#Headers],[Company]], 91)</f>
        <v/>
      </c>
      <c r="H199" s="62" t="str" cm="1">
        <f t="array" ref="H199">Common_InputFunctions.Utility_DisplayArrayInTable(Fertiliser_SourceData.Fertiliser_Products_Data4(),FertiliserProducts[[#Headers],[Company]], 91)</f>
        <v/>
      </c>
      <c r="I199" s="62" t="str" cm="1">
        <f t="array" ref="I199">Common_InputFunctions.Utility_DisplayArrayInTable(Fertiliser_SourceData.Fertiliser_Products_Data4(),FertiliserProducts[[#Headers],[Company]], 91)</f>
        <v/>
      </c>
      <c r="J199" s="62" t="str" cm="1">
        <f t="array" ref="J199">Common_InputFunctions.Utility_DisplayArrayInTable(Fertiliser_SourceData.Fertiliser_Products_Data4(),FertiliserProducts[[#Headers],[Company]], 91)</f>
        <v/>
      </c>
      <c r="K199" s="62" t="str" cm="1">
        <f t="array" ref="K199">Common_InputFunctions.Utility_DisplayArrayInTable(Fertiliser_SourceData.Fertiliser_Products_Data4(),FertiliserProducts[[#Headers],[Company]], 91)</f>
        <v/>
      </c>
      <c r="L199" s="62" t="str" cm="1">
        <f t="array" ref="L199">Common_InputFunctions.Utility_DisplayArrayInTable(Fertiliser_SourceData.Fertiliser_Products_Data4(),FertiliserProducts[[#Headers],[Company]], 91)</f>
        <v/>
      </c>
      <c r="M199" s="62" t="str" cm="1">
        <f t="array" ref="M199">Common_InputFunctions.Utility_DisplayArrayInTable(Fertiliser_SourceData.Fertiliser_Products_Data4(),FertiliserProducts[[#Headers],[Company]], 91)</f>
        <v/>
      </c>
      <c r="N199" s="62" t="str" cm="1">
        <f t="array" ref="N199">Common_InputFunctions.Utility_DisplayArrayInTable(Fertiliser_SourceData.Fertiliser_Products_Data4(),FertiliserProducts[[#Headers],[Company]], 91)</f>
        <v/>
      </c>
      <c r="O199" s="62" t="str" cm="1">
        <f t="array" ref="O199">Common_InputFunctions.Utility_DisplayArrayInTable(Fertiliser_SourceData.Fertiliser_Products_Data4(),FertiliserProducts[[#Headers],[Company]], 91)</f>
        <v/>
      </c>
      <c r="P199" s="62" t="str" cm="1">
        <f t="array" ref="P199">Common_InputFunctions.Utility_DisplayArrayInTable(Fertiliser_SourceData.Fertiliser_Products_Data4(),FertiliserProducts[[#Headers],[Company]], 91)</f>
        <v/>
      </c>
      <c r="Q199" s="62" t="str" cm="1">
        <f t="array" ref="Q199">Common_InputFunctions.Utility_DisplayArrayInTable(Fertiliser_SourceData.Fertiliser_Products_Data4(),FertiliserProducts[[#Headers],[Company]], 91)</f>
        <v/>
      </c>
      <c r="R199" s="62" t="str" cm="1">
        <f t="array" ref="R199">Common_InputFunctions.Utility_DisplayArrayInTable(Fertiliser_SourceData.Fertiliser_Products_Data4(),FertiliserProducts[[#Headers],[Company]], 91)</f>
        <v/>
      </c>
      <c r="S199" s="62" t="str" cm="1">
        <f t="array" ref="S199">Common_InputFunctions.Utility_DisplayArrayInTable(Fertiliser_SourceData.Fertiliser_Products_Data4(),FertiliserProducts[[#Headers],[Company]], 91)</f>
        <v/>
      </c>
      <c r="T199" s="62" t="str" cm="1">
        <f t="array" ref="T199">Common_InputFunctions.Utility_DisplayArrayInTable(Fertiliser_SourceData.Fertiliser_Products_Data4(),FertiliserProducts[[#Headers],[Company]], 91)</f>
        <v/>
      </c>
      <c r="U199" s="62" t="str" cm="1">
        <f t="array" ref="U199">Common_InputFunctions.Utility_DisplayArrayInTable(Fertiliser_SourceData.Fertiliser_Products_Data4(),FertiliserProducts[[#Headers],[Company]], 91)</f>
        <v/>
      </c>
      <c r="V199" s="62" t="str" cm="1">
        <f t="array" ref="V199">Common_InputFunctions.Utility_DisplayArrayInTable(Fertiliser_SourceData.Fertiliser_Products_Data4(),FertiliserProducts[[#Headers],[Company]], 91)</f>
        <v/>
      </c>
      <c r="W199" s="62" t="str" cm="1">
        <f t="array" ref="W199">Common_InputFunctions.Utility_DisplayArrayInTable(Fertiliser_SourceData.Fertiliser_Products_Data4(),FertiliserProducts[[#Headers],[Company]], 91)</f>
        <v/>
      </c>
      <c r="X199" s="62" t="str" cm="1">
        <f t="array" ref="X199">Common_InputFunctions.Utility_DisplayArrayInTable(Fertiliser_SourceData.Fertiliser_Products_Data4(),FertiliserProducts[[#Headers],[Company]], 91)</f>
        <v/>
      </c>
      <c r="Y199" s="62" t="str" cm="1">
        <f t="array" ref="Y199">Common_InputFunctions.Utility_DisplayArrayInTable(Fertiliser_SourceData.Fertiliser_Products_Data4(),FertiliserProducts[[#Headers],[Company]], 91)</f>
        <v/>
      </c>
      <c r="Z199" s="62" t="str" cm="1">
        <f t="array" ref="Z199">Common_InputFunctions.Utility_DisplayArrayInTable(Fertiliser_SourceData.Fertiliser_Products_Data4(),FertiliserProducts[[#Headers],[Company]], 91)</f>
        <v/>
      </c>
      <c r="AA199" s="62" t="str" cm="1">
        <f t="array" ref="AA199">Common_InputFunctions.Utility_DisplayArrayInTable(Fertiliser_SourceData.Fertiliser_Products_Data4(),FertiliserProducts[[#Headers],[Company]], 91)</f>
        <v/>
      </c>
      <c r="AB199" s="62" t="str" cm="1">
        <f t="array" ref="AB199">Common_InputFunctions.Utility_DisplayArrayInTable(Fertiliser_SourceData.Fertiliser_Products_Data4(),FertiliserProducts[[#Headers],[Company]], 91)</f>
        <v/>
      </c>
      <c r="AC199" s="62" t="str" cm="1">
        <f t="array" ref="AC199">Common_InputFunctions.Utility_DisplayArrayInTable(Fertiliser_SourceData.Fertiliser_Products_Data4(),FertiliserProducts[[#Headers],[Company]], 91)</f>
        <v/>
      </c>
      <c r="AD199" s="62" t="str" cm="1">
        <f t="array" ref="AD199">Common_InputFunctions.Utility_DisplayArrayInTable(Fertiliser_SourceData.Fertiliser_Products_Data4(),FertiliserProducts[[#Headers],[Company]], 91)</f>
        <v/>
      </c>
      <c r="AE199" s="62" t="str" cm="1">
        <f t="array" ref="AE199">Common_InputFunctions.Utility_DisplayArrayInTable(Fertiliser_SourceData.Fertiliser_Products_Data4(),FertiliserProducts[[#Headers],[Company]], 91)</f>
        <v/>
      </c>
      <c r="AF199" s="62" t="str" cm="1">
        <f t="array" ref="AF199">Common_InputFunctions.Utility_DisplayArrayInTable(Fertiliser_SourceData.Fertiliser_Products_Data4(),FertiliserProducts[[#Headers],[Company]], 91)</f>
        <v/>
      </c>
      <c r="AG199" s="62" t="str" cm="1">
        <f t="array" ref="AG199">Common_InputFunctions.Utility_DisplayArrayInTable(Fertiliser_SourceData.Fertiliser_Products_Data4(),FertiliserProducts[[#Headers],[Company]], 91)</f>
        <v/>
      </c>
      <c r="AH199" s="62" t="str" cm="1">
        <f t="array" ref="AH199">Common_InputFunctions.Utility_DisplayArrayInTable(Fertiliser_SourceData.Fertiliser_Products_Data4(),FertiliserProducts[[#Headers],[Company]], 91)</f>
        <v/>
      </c>
    </row>
    <row r="200" spans="4:34" x14ac:dyDescent="0.25">
      <c r="D200" s="62" t="str" cm="1">
        <f t="array" ref="D200">Common_InputFunctions.Utility_DisplayArrayInTable(Fertiliser_SourceData.Fertiliser_Products_Data4(),FertiliserProducts[[#Headers],[Company]], 91)</f>
        <v/>
      </c>
      <c r="E200" s="62" t="str" cm="1">
        <f t="array" ref="E200">Common_InputFunctions.Utility_DisplayArrayInTable(Fertiliser_SourceData.Fertiliser_Products_Data4(),FertiliserProducts[[#Headers],[Company]], 91)</f>
        <v/>
      </c>
      <c r="F200" s="62" t="str" cm="1">
        <f t="array" ref="F200">Common_InputFunctions.Utility_DisplayArrayInTable(Fertiliser_SourceData.Fertiliser_Products_Data4(),FertiliserProducts[[#Headers],[Company]], 91)</f>
        <v/>
      </c>
      <c r="G200" s="62" t="str" cm="1">
        <f t="array" ref="G200">Common_InputFunctions.Utility_DisplayArrayInTable(Fertiliser_SourceData.Fertiliser_Products_Data4(),FertiliserProducts[[#Headers],[Company]], 91)</f>
        <v/>
      </c>
      <c r="H200" s="62" t="str" cm="1">
        <f t="array" ref="H200">Common_InputFunctions.Utility_DisplayArrayInTable(Fertiliser_SourceData.Fertiliser_Products_Data4(),FertiliserProducts[[#Headers],[Company]], 91)</f>
        <v/>
      </c>
      <c r="I200" s="62" t="str" cm="1">
        <f t="array" ref="I200">Common_InputFunctions.Utility_DisplayArrayInTable(Fertiliser_SourceData.Fertiliser_Products_Data4(),FertiliserProducts[[#Headers],[Company]], 91)</f>
        <v/>
      </c>
      <c r="J200" s="62" t="str" cm="1">
        <f t="array" ref="J200">Common_InputFunctions.Utility_DisplayArrayInTable(Fertiliser_SourceData.Fertiliser_Products_Data4(),FertiliserProducts[[#Headers],[Company]], 91)</f>
        <v/>
      </c>
      <c r="K200" s="62" t="str" cm="1">
        <f t="array" ref="K200">Common_InputFunctions.Utility_DisplayArrayInTable(Fertiliser_SourceData.Fertiliser_Products_Data4(),FertiliserProducts[[#Headers],[Company]], 91)</f>
        <v/>
      </c>
      <c r="L200" s="62" t="str" cm="1">
        <f t="array" ref="L200">Common_InputFunctions.Utility_DisplayArrayInTable(Fertiliser_SourceData.Fertiliser_Products_Data4(),FertiliserProducts[[#Headers],[Company]], 91)</f>
        <v/>
      </c>
      <c r="M200" s="62" t="str" cm="1">
        <f t="array" ref="M200">Common_InputFunctions.Utility_DisplayArrayInTable(Fertiliser_SourceData.Fertiliser_Products_Data4(),FertiliserProducts[[#Headers],[Company]], 91)</f>
        <v/>
      </c>
      <c r="N200" s="62" t="str" cm="1">
        <f t="array" ref="N200">Common_InputFunctions.Utility_DisplayArrayInTable(Fertiliser_SourceData.Fertiliser_Products_Data4(),FertiliserProducts[[#Headers],[Company]], 91)</f>
        <v/>
      </c>
      <c r="O200" s="62" t="str" cm="1">
        <f t="array" ref="O200">Common_InputFunctions.Utility_DisplayArrayInTable(Fertiliser_SourceData.Fertiliser_Products_Data4(),FertiliserProducts[[#Headers],[Company]], 91)</f>
        <v/>
      </c>
      <c r="P200" s="62" t="str" cm="1">
        <f t="array" ref="P200">Common_InputFunctions.Utility_DisplayArrayInTable(Fertiliser_SourceData.Fertiliser_Products_Data4(),FertiliserProducts[[#Headers],[Company]], 91)</f>
        <v/>
      </c>
      <c r="Q200" s="62" t="str" cm="1">
        <f t="array" ref="Q200">Common_InputFunctions.Utility_DisplayArrayInTable(Fertiliser_SourceData.Fertiliser_Products_Data4(),FertiliserProducts[[#Headers],[Company]], 91)</f>
        <v/>
      </c>
      <c r="R200" s="62" t="str" cm="1">
        <f t="array" ref="R200">Common_InputFunctions.Utility_DisplayArrayInTable(Fertiliser_SourceData.Fertiliser_Products_Data4(),FertiliserProducts[[#Headers],[Company]], 91)</f>
        <v/>
      </c>
      <c r="S200" s="62" t="str" cm="1">
        <f t="array" ref="S200">Common_InputFunctions.Utility_DisplayArrayInTable(Fertiliser_SourceData.Fertiliser_Products_Data4(),FertiliserProducts[[#Headers],[Company]], 91)</f>
        <v/>
      </c>
      <c r="T200" s="62" t="str" cm="1">
        <f t="array" ref="T200">Common_InputFunctions.Utility_DisplayArrayInTable(Fertiliser_SourceData.Fertiliser_Products_Data4(),FertiliserProducts[[#Headers],[Company]], 91)</f>
        <v/>
      </c>
      <c r="U200" s="62" t="str" cm="1">
        <f t="array" ref="U200">Common_InputFunctions.Utility_DisplayArrayInTable(Fertiliser_SourceData.Fertiliser_Products_Data4(),FertiliserProducts[[#Headers],[Company]], 91)</f>
        <v/>
      </c>
      <c r="V200" s="62" t="str" cm="1">
        <f t="array" ref="V200">Common_InputFunctions.Utility_DisplayArrayInTable(Fertiliser_SourceData.Fertiliser_Products_Data4(),FertiliserProducts[[#Headers],[Company]], 91)</f>
        <v/>
      </c>
      <c r="W200" s="62" t="str" cm="1">
        <f t="array" ref="W200">Common_InputFunctions.Utility_DisplayArrayInTable(Fertiliser_SourceData.Fertiliser_Products_Data4(),FertiliserProducts[[#Headers],[Company]], 91)</f>
        <v/>
      </c>
      <c r="X200" s="62" t="str" cm="1">
        <f t="array" ref="X200">Common_InputFunctions.Utility_DisplayArrayInTable(Fertiliser_SourceData.Fertiliser_Products_Data4(),FertiliserProducts[[#Headers],[Company]], 91)</f>
        <v/>
      </c>
      <c r="Y200" s="62" t="str" cm="1">
        <f t="array" ref="Y200">Common_InputFunctions.Utility_DisplayArrayInTable(Fertiliser_SourceData.Fertiliser_Products_Data4(),FertiliserProducts[[#Headers],[Company]], 91)</f>
        <v/>
      </c>
      <c r="Z200" s="62" t="str" cm="1">
        <f t="array" ref="Z200">Common_InputFunctions.Utility_DisplayArrayInTable(Fertiliser_SourceData.Fertiliser_Products_Data4(),FertiliserProducts[[#Headers],[Company]], 91)</f>
        <v/>
      </c>
      <c r="AA200" s="62" t="str" cm="1">
        <f t="array" ref="AA200">Common_InputFunctions.Utility_DisplayArrayInTable(Fertiliser_SourceData.Fertiliser_Products_Data4(),FertiliserProducts[[#Headers],[Company]], 91)</f>
        <v/>
      </c>
      <c r="AB200" s="62" t="str" cm="1">
        <f t="array" ref="AB200">Common_InputFunctions.Utility_DisplayArrayInTable(Fertiliser_SourceData.Fertiliser_Products_Data4(),FertiliserProducts[[#Headers],[Company]], 91)</f>
        <v/>
      </c>
      <c r="AC200" s="62" t="str" cm="1">
        <f t="array" ref="AC200">Common_InputFunctions.Utility_DisplayArrayInTable(Fertiliser_SourceData.Fertiliser_Products_Data4(),FertiliserProducts[[#Headers],[Company]], 91)</f>
        <v/>
      </c>
      <c r="AD200" s="62" t="str" cm="1">
        <f t="array" ref="AD200">Common_InputFunctions.Utility_DisplayArrayInTable(Fertiliser_SourceData.Fertiliser_Products_Data4(),FertiliserProducts[[#Headers],[Company]], 91)</f>
        <v/>
      </c>
      <c r="AE200" s="62" t="str" cm="1">
        <f t="array" ref="AE200">Common_InputFunctions.Utility_DisplayArrayInTable(Fertiliser_SourceData.Fertiliser_Products_Data4(),FertiliserProducts[[#Headers],[Company]], 91)</f>
        <v/>
      </c>
      <c r="AF200" s="62" t="str" cm="1">
        <f t="array" ref="AF200">Common_InputFunctions.Utility_DisplayArrayInTable(Fertiliser_SourceData.Fertiliser_Products_Data4(),FertiliserProducts[[#Headers],[Company]], 91)</f>
        <v/>
      </c>
      <c r="AG200" s="62" t="str" cm="1">
        <f t="array" ref="AG200">Common_InputFunctions.Utility_DisplayArrayInTable(Fertiliser_SourceData.Fertiliser_Products_Data4(),FertiliserProducts[[#Headers],[Company]], 91)</f>
        <v/>
      </c>
      <c r="AH200" s="62" t="str" cm="1">
        <f t="array" ref="AH200">Common_InputFunctions.Utility_DisplayArrayInTable(Fertiliser_SourceData.Fertiliser_Products_Data4(),FertiliserProducts[[#Headers],[Company]], 91)</f>
        <v/>
      </c>
    </row>
    <row r="201" spans="4:34" x14ac:dyDescent="0.25">
      <c r="D201" s="62" t="str" cm="1">
        <f t="array" ref="D201">Common_InputFunctions.Utility_DisplayArrayInTable(Fertiliser_SourceData.Fertiliser_Products_Data4(),FertiliserProducts[[#Headers],[Company]], 91)</f>
        <v/>
      </c>
      <c r="E201" s="62" t="str" cm="1">
        <f t="array" ref="E201">Common_InputFunctions.Utility_DisplayArrayInTable(Fertiliser_SourceData.Fertiliser_Products_Data4(),FertiliserProducts[[#Headers],[Company]], 91)</f>
        <v/>
      </c>
      <c r="F201" s="62" t="str" cm="1">
        <f t="array" ref="F201">Common_InputFunctions.Utility_DisplayArrayInTable(Fertiliser_SourceData.Fertiliser_Products_Data4(),FertiliserProducts[[#Headers],[Company]], 91)</f>
        <v/>
      </c>
      <c r="G201" s="62" t="str" cm="1">
        <f t="array" ref="G201">Common_InputFunctions.Utility_DisplayArrayInTable(Fertiliser_SourceData.Fertiliser_Products_Data4(),FertiliserProducts[[#Headers],[Company]], 91)</f>
        <v/>
      </c>
      <c r="H201" s="62" t="str" cm="1">
        <f t="array" ref="H201">Common_InputFunctions.Utility_DisplayArrayInTable(Fertiliser_SourceData.Fertiliser_Products_Data4(),FertiliserProducts[[#Headers],[Company]], 91)</f>
        <v/>
      </c>
      <c r="I201" s="62" t="str" cm="1">
        <f t="array" ref="I201">Common_InputFunctions.Utility_DisplayArrayInTable(Fertiliser_SourceData.Fertiliser_Products_Data4(),FertiliserProducts[[#Headers],[Company]], 91)</f>
        <v/>
      </c>
      <c r="J201" s="62" t="str" cm="1">
        <f t="array" ref="J201">Common_InputFunctions.Utility_DisplayArrayInTable(Fertiliser_SourceData.Fertiliser_Products_Data4(),FertiliserProducts[[#Headers],[Company]], 91)</f>
        <v/>
      </c>
      <c r="K201" s="62" t="str" cm="1">
        <f t="array" ref="K201">Common_InputFunctions.Utility_DisplayArrayInTable(Fertiliser_SourceData.Fertiliser_Products_Data4(),FertiliserProducts[[#Headers],[Company]], 91)</f>
        <v/>
      </c>
      <c r="L201" s="62" t="str" cm="1">
        <f t="array" ref="L201">Common_InputFunctions.Utility_DisplayArrayInTable(Fertiliser_SourceData.Fertiliser_Products_Data4(),FertiliserProducts[[#Headers],[Company]], 91)</f>
        <v/>
      </c>
      <c r="M201" s="62" t="str" cm="1">
        <f t="array" ref="M201">Common_InputFunctions.Utility_DisplayArrayInTable(Fertiliser_SourceData.Fertiliser_Products_Data4(),FertiliserProducts[[#Headers],[Company]], 91)</f>
        <v/>
      </c>
      <c r="N201" s="62" t="str" cm="1">
        <f t="array" ref="N201">Common_InputFunctions.Utility_DisplayArrayInTable(Fertiliser_SourceData.Fertiliser_Products_Data4(),FertiliserProducts[[#Headers],[Company]], 91)</f>
        <v/>
      </c>
      <c r="O201" s="62" t="str" cm="1">
        <f t="array" ref="O201">Common_InputFunctions.Utility_DisplayArrayInTable(Fertiliser_SourceData.Fertiliser_Products_Data4(),FertiliserProducts[[#Headers],[Company]], 91)</f>
        <v/>
      </c>
      <c r="P201" s="62" t="str" cm="1">
        <f t="array" ref="P201">Common_InputFunctions.Utility_DisplayArrayInTable(Fertiliser_SourceData.Fertiliser_Products_Data4(),FertiliserProducts[[#Headers],[Company]], 91)</f>
        <v/>
      </c>
      <c r="Q201" s="62" t="str" cm="1">
        <f t="array" ref="Q201">Common_InputFunctions.Utility_DisplayArrayInTable(Fertiliser_SourceData.Fertiliser_Products_Data4(),FertiliserProducts[[#Headers],[Company]], 91)</f>
        <v/>
      </c>
      <c r="R201" s="62" t="str" cm="1">
        <f t="array" ref="R201">Common_InputFunctions.Utility_DisplayArrayInTable(Fertiliser_SourceData.Fertiliser_Products_Data4(),FertiliserProducts[[#Headers],[Company]], 91)</f>
        <v/>
      </c>
      <c r="S201" s="62" t="str" cm="1">
        <f t="array" ref="S201">Common_InputFunctions.Utility_DisplayArrayInTable(Fertiliser_SourceData.Fertiliser_Products_Data4(),FertiliserProducts[[#Headers],[Company]], 91)</f>
        <v/>
      </c>
      <c r="T201" s="62" t="str" cm="1">
        <f t="array" ref="T201">Common_InputFunctions.Utility_DisplayArrayInTable(Fertiliser_SourceData.Fertiliser_Products_Data4(),FertiliserProducts[[#Headers],[Company]], 91)</f>
        <v/>
      </c>
      <c r="U201" s="62" t="str" cm="1">
        <f t="array" ref="U201">Common_InputFunctions.Utility_DisplayArrayInTable(Fertiliser_SourceData.Fertiliser_Products_Data4(),FertiliserProducts[[#Headers],[Company]], 91)</f>
        <v/>
      </c>
      <c r="V201" s="62" t="str" cm="1">
        <f t="array" ref="V201">Common_InputFunctions.Utility_DisplayArrayInTable(Fertiliser_SourceData.Fertiliser_Products_Data4(),FertiliserProducts[[#Headers],[Company]], 91)</f>
        <v/>
      </c>
      <c r="W201" s="62" t="str" cm="1">
        <f t="array" ref="W201">Common_InputFunctions.Utility_DisplayArrayInTable(Fertiliser_SourceData.Fertiliser_Products_Data4(),FertiliserProducts[[#Headers],[Company]], 91)</f>
        <v/>
      </c>
      <c r="X201" s="62" t="str" cm="1">
        <f t="array" ref="X201">Common_InputFunctions.Utility_DisplayArrayInTable(Fertiliser_SourceData.Fertiliser_Products_Data4(),FertiliserProducts[[#Headers],[Company]], 91)</f>
        <v/>
      </c>
      <c r="Y201" s="62" t="str" cm="1">
        <f t="array" ref="Y201">Common_InputFunctions.Utility_DisplayArrayInTable(Fertiliser_SourceData.Fertiliser_Products_Data4(),FertiliserProducts[[#Headers],[Company]], 91)</f>
        <v/>
      </c>
      <c r="Z201" s="62" t="str" cm="1">
        <f t="array" ref="Z201">Common_InputFunctions.Utility_DisplayArrayInTable(Fertiliser_SourceData.Fertiliser_Products_Data4(),FertiliserProducts[[#Headers],[Company]], 91)</f>
        <v/>
      </c>
      <c r="AA201" s="62" t="str" cm="1">
        <f t="array" ref="AA201">Common_InputFunctions.Utility_DisplayArrayInTable(Fertiliser_SourceData.Fertiliser_Products_Data4(),FertiliserProducts[[#Headers],[Company]], 91)</f>
        <v/>
      </c>
      <c r="AB201" s="62" t="str" cm="1">
        <f t="array" ref="AB201">Common_InputFunctions.Utility_DisplayArrayInTable(Fertiliser_SourceData.Fertiliser_Products_Data4(),FertiliserProducts[[#Headers],[Company]], 91)</f>
        <v/>
      </c>
      <c r="AC201" s="62" t="str" cm="1">
        <f t="array" ref="AC201">Common_InputFunctions.Utility_DisplayArrayInTable(Fertiliser_SourceData.Fertiliser_Products_Data4(),FertiliserProducts[[#Headers],[Company]], 91)</f>
        <v/>
      </c>
      <c r="AD201" s="62" t="str" cm="1">
        <f t="array" ref="AD201">Common_InputFunctions.Utility_DisplayArrayInTable(Fertiliser_SourceData.Fertiliser_Products_Data4(),FertiliserProducts[[#Headers],[Company]], 91)</f>
        <v/>
      </c>
      <c r="AE201" s="62" t="str" cm="1">
        <f t="array" ref="AE201">Common_InputFunctions.Utility_DisplayArrayInTable(Fertiliser_SourceData.Fertiliser_Products_Data4(),FertiliserProducts[[#Headers],[Company]], 91)</f>
        <v/>
      </c>
      <c r="AF201" s="62" t="str" cm="1">
        <f t="array" ref="AF201">Common_InputFunctions.Utility_DisplayArrayInTable(Fertiliser_SourceData.Fertiliser_Products_Data4(),FertiliserProducts[[#Headers],[Company]], 91)</f>
        <v/>
      </c>
      <c r="AG201" s="62" t="str" cm="1">
        <f t="array" ref="AG201">Common_InputFunctions.Utility_DisplayArrayInTable(Fertiliser_SourceData.Fertiliser_Products_Data4(),FertiliserProducts[[#Headers],[Company]], 91)</f>
        <v/>
      </c>
      <c r="AH201" s="62" t="str" cm="1">
        <f t="array" ref="AH201">Common_InputFunctions.Utility_DisplayArrayInTable(Fertiliser_SourceData.Fertiliser_Products_Data4(),FertiliserProducts[[#Headers],[Company]], 91)</f>
        <v/>
      </c>
    </row>
    <row r="202" spans="4:34" x14ac:dyDescent="0.25">
      <c r="D202" s="62" t="str" cm="1">
        <f t="array" ref="D202">Common_InputFunctions.Utility_DisplayArrayInTable(Fertiliser_SourceData.Fertiliser_Products_Data4(),FertiliserProducts[[#Headers],[Company]], 91)</f>
        <v/>
      </c>
      <c r="E202" s="62" t="str" cm="1">
        <f t="array" ref="E202">Common_InputFunctions.Utility_DisplayArrayInTable(Fertiliser_SourceData.Fertiliser_Products_Data4(),FertiliserProducts[[#Headers],[Company]], 91)</f>
        <v/>
      </c>
      <c r="F202" s="62" t="str" cm="1">
        <f t="array" ref="F202">Common_InputFunctions.Utility_DisplayArrayInTable(Fertiliser_SourceData.Fertiliser_Products_Data4(),FertiliserProducts[[#Headers],[Company]], 91)</f>
        <v/>
      </c>
      <c r="G202" s="62" t="str" cm="1">
        <f t="array" ref="G202">Common_InputFunctions.Utility_DisplayArrayInTable(Fertiliser_SourceData.Fertiliser_Products_Data4(),FertiliserProducts[[#Headers],[Company]], 91)</f>
        <v/>
      </c>
      <c r="H202" s="62" t="str" cm="1">
        <f t="array" ref="H202">Common_InputFunctions.Utility_DisplayArrayInTable(Fertiliser_SourceData.Fertiliser_Products_Data4(),FertiliserProducts[[#Headers],[Company]], 91)</f>
        <v/>
      </c>
      <c r="I202" s="62" t="str" cm="1">
        <f t="array" ref="I202">Common_InputFunctions.Utility_DisplayArrayInTable(Fertiliser_SourceData.Fertiliser_Products_Data4(),FertiliserProducts[[#Headers],[Company]], 91)</f>
        <v/>
      </c>
      <c r="J202" s="62" t="str" cm="1">
        <f t="array" ref="J202">Common_InputFunctions.Utility_DisplayArrayInTable(Fertiliser_SourceData.Fertiliser_Products_Data4(),FertiliserProducts[[#Headers],[Company]], 91)</f>
        <v/>
      </c>
      <c r="K202" s="62" t="str" cm="1">
        <f t="array" ref="K202">Common_InputFunctions.Utility_DisplayArrayInTable(Fertiliser_SourceData.Fertiliser_Products_Data4(),FertiliserProducts[[#Headers],[Company]], 91)</f>
        <v/>
      </c>
      <c r="L202" s="62" t="str" cm="1">
        <f t="array" ref="L202">Common_InputFunctions.Utility_DisplayArrayInTable(Fertiliser_SourceData.Fertiliser_Products_Data4(),FertiliserProducts[[#Headers],[Company]], 91)</f>
        <v/>
      </c>
      <c r="M202" s="62" t="str" cm="1">
        <f t="array" ref="M202">Common_InputFunctions.Utility_DisplayArrayInTable(Fertiliser_SourceData.Fertiliser_Products_Data4(),FertiliserProducts[[#Headers],[Company]], 91)</f>
        <v/>
      </c>
      <c r="N202" s="62" t="str" cm="1">
        <f t="array" ref="N202">Common_InputFunctions.Utility_DisplayArrayInTable(Fertiliser_SourceData.Fertiliser_Products_Data4(),FertiliserProducts[[#Headers],[Company]], 91)</f>
        <v/>
      </c>
      <c r="O202" s="62" t="str" cm="1">
        <f t="array" ref="O202">Common_InputFunctions.Utility_DisplayArrayInTable(Fertiliser_SourceData.Fertiliser_Products_Data4(),FertiliserProducts[[#Headers],[Company]], 91)</f>
        <v/>
      </c>
      <c r="P202" s="62" t="str" cm="1">
        <f t="array" ref="P202">Common_InputFunctions.Utility_DisplayArrayInTable(Fertiliser_SourceData.Fertiliser_Products_Data4(),FertiliserProducts[[#Headers],[Company]], 91)</f>
        <v/>
      </c>
      <c r="Q202" s="62" t="str" cm="1">
        <f t="array" ref="Q202">Common_InputFunctions.Utility_DisplayArrayInTable(Fertiliser_SourceData.Fertiliser_Products_Data4(),FertiliserProducts[[#Headers],[Company]], 91)</f>
        <v/>
      </c>
      <c r="R202" s="62" t="str" cm="1">
        <f t="array" ref="R202">Common_InputFunctions.Utility_DisplayArrayInTable(Fertiliser_SourceData.Fertiliser_Products_Data4(),FertiliserProducts[[#Headers],[Company]], 91)</f>
        <v/>
      </c>
      <c r="S202" s="62" t="str" cm="1">
        <f t="array" ref="S202">Common_InputFunctions.Utility_DisplayArrayInTable(Fertiliser_SourceData.Fertiliser_Products_Data4(),FertiliserProducts[[#Headers],[Company]], 91)</f>
        <v/>
      </c>
      <c r="T202" s="62" t="str" cm="1">
        <f t="array" ref="T202">Common_InputFunctions.Utility_DisplayArrayInTable(Fertiliser_SourceData.Fertiliser_Products_Data4(),FertiliserProducts[[#Headers],[Company]], 91)</f>
        <v/>
      </c>
      <c r="U202" s="62" t="str" cm="1">
        <f t="array" ref="U202">Common_InputFunctions.Utility_DisplayArrayInTable(Fertiliser_SourceData.Fertiliser_Products_Data4(),FertiliserProducts[[#Headers],[Company]], 91)</f>
        <v/>
      </c>
      <c r="V202" s="62" t="str" cm="1">
        <f t="array" ref="V202">Common_InputFunctions.Utility_DisplayArrayInTable(Fertiliser_SourceData.Fertiliser_Products_Data4(),FertiliserProducts[[#Headers],[Company]], 91)</f>
        <v/>
      </c>
      <c r="W202" s="62" t="str" cm="1">
        <f t="array" ref="W202">Common_InputFunctions.Utility_DisplayArrayInTable(Fertiliser_SourceData.Fertiliser_Products_Data4(),FertiliserProducts[[#Headers],[Company]], 91)</f>
        <v/>
      </c>
      <c r="X202" s="62" t="str" cm="1">
        <f t="array" ref="X202">Common_InputFunctions.Utility_DisplayArrayInTable(Fertiliser_SourceData.Fertiliser_Products_Data4(),FertiliserProducts[[#Headers],[Company]], 91)</f>
        <v/>
      </c>
      <c r="Y202" s="62" t="str" cm="1">
        <f t="array" ref="Y202">Common_InputFunctions.Utility_DisplayArrayInTable(Fertiliser_SourceData.Fertiliser_Products_Data4(),FertiliserProducts[[#Headers],[Company]], 91)</f>
        <v/>
      </c>
      <c r="Z202" s="62" t="str" cm="1">
        <f t="array" ref="Z202">Common_InputFunctions.Utility_DisplayArrayInTable(Fertiliser_SourceData.Fertiliser_Products_Data4(),FertiliserProducts[[#Headers],[Company]], 91)</f>
        <v/>
      </c>
      <c r="AA202" s="62" t="str" cm="1">
        <f t="array" ref="AA202">Common_InputFunctions.Utility_DisplayArrayInTable(Fertiliser_SourceData.Fertiliser_Products_Data4(),FertiliserProducts[[#Headers],[Company]], 91)</f>
        <v/>
      </c>
      <c r="AB202" s="62" t="str" cm="1">
        <f t="array" ref="AB202">Common_InputFunctions.Utility_DisplayArrayInTable(Fertiliser_SourceData.Fertiliser_Products_Data4(),FertiliserProducts[[#Headers],[Company]], 91)</f>
        <v/>
      </c>
      <c r="AC202" s="62" t="str" cm="1">
        <f t="array" ref="AC202">Common_InputFunctions.Utility_DisplayArrayInTable(Fertiliser_SourceData.Fertiliser_Products_Data4(),FertiliserProducts[[#Headers],[Company]], 91)</f>
        <v/>
      </c>
      <c r="AD202" s="62" t="str" cm="1">
        <f t="array" ref="AD202">Common_InputFunctions.Utility_DisplayArrayInTable(Fertiliser_SourceData.Fertiliser_Products_Data4(),FertiliserProducts[[#Headers],[Company]], 91)</f>
        <v/>
      </c>
      <c r="AE202" s="62" t="str" cm="1">
        <f t="array" ref="AE202">Common_InputFunctions.Utility_DisplayArrayInTable(Fertiliser_SourceData.Fertiliser_Products_Data4(),FertiliserProducts[[#Headers],[Company]], 91)</f>
        <v/>
      </c>
      <c r="AF202" s="62" t="str" cm="1">
        <f t="array" ref="AF202">Common_InputFunctions.Utility_DisplayArrayInTable(Fertiliser_SourceData.Fertiliser_Products_Data4(),FertiliserProducts[[#Headers],[Company]], 91)</f>
        <v/>
      </c>
      <c r="AG202" s="62" t="str" cm="1">
        <f t="array" ref="AG202">Common_InputFunctions.Utility_DisplayArrayInTable(Fertiliser_SourceData.Fertiliser_Products_Data4(),FertiliserProducts[[#Headers],[Company]], 91)</f>
        <v/>
      </c>
      <c r="AH202" s="62" t="str" cm="1">
        <f t="array" ref="AH202">Common_InputFunctions.Utility_DisplayArrayInTable(Fertiliser_SourceData.Fertiliser_Products_Data4(),FertiliserProducts[[#Headers],[Company]], 91)</f>
        <v/>
      </c>
    </row>
    <row r="203" spans="4:34" x14ac:dyDescent="0.25">
      <c r="D203" s="62" t="str" cm="1">
        <f t="array" ref="D203">Common_InputFunctions.Utility_DisplayArrayInTable(Fertiliser_SourceData.Fertiliser_Products_Data4(),FertiliserProducts[[#Headers],[Company]], 91)</f>
        <v/>
      </c>
      <c r="E203" s="62" t="str" cm="1">
        <f t="array" ref="E203">Common_InputFunctions.Utility_DisplayArrayInTable(Fertiliser_SourceData.Fertiliser_Products_Data4(),FertiliserProducts[[#Headers],[Company]], 91)</f>
        <v/>
      </c>
      <c r="F203" s="62" t="str" cm="1">
        <f t="array" ref="F203">Common_InputFunctions.Utility_DisplayArrayInTable(Fertiliser_SourceData.Fertiliser_Products_Data4(),FertiliserProducts[[#Headers],[Company]], 91)</f>
        <v/>
      </c>
      <c r="G203" s="62" t="str" cm="1">
        <f t="array" ref="G203">Common_InputFunctions.Utility_DisplayArrayInTable(Fertiliser_SourceData.Fertiliser_Products_Data4(),FertiliserProducts[[#Headers],[Company]], 91)</f>
        <v/>
      </c>
      <c r="H203" s="62" t="str" cm="1">
        <f t="array" ref="H203">Common_InputFunctions.Utility_DisplayArrayInTable(Fertiliser_SourceData.Fertiliser_Products_Data4(),FertiliserProducts[[#Headers],[Company]], 91)</f>
        <v/>
      </c>
      <c r="I203" s="62" t="str" cm="1">
        <f t="array" ref="I203">Common_InputFunctions.Utility_DisplayArrayInTable(Fertiliser_SourceData.Fertiliser_Products_Data4(),FertiliserProducts[[#Headers],[Company]], 91)</f>
        <v/>
      </c>
      <c r="J203" s="62" t="str" cm="1">
        <f t="array" ref="J203">Common_InputFunctions.Utility_DisplayArrayInTable(Fertiliser_SourceData.Fertiliser_Products_Data4(),FertiliserProducts[[#Headers],[Company]], 91)</f>
        <v/>
      </c>
      <c r="K203" s="62" t="str" cm="1">
        <f t="array" ref="K203">Common_InputFunctions.Utility_DisplayArrayInTable(Fertiliser_SourceData.Fertiliser_Products_Data4(),FertiliserProducts[[#Headers],[Company]], 91)</f>
        <v/>
      </c>
      <c r="L203" s="62" t="str" cm="1">
        <f t="array" ref="L203">Common_InputFunctions.Utility_DisplayArrayInTable(Fertiliser_SourceData.Fertiliser_Products_Data4(),FertiliserProducts[[#Headers],[Company]], 91)</f>
        <v/>
      </c>
      <c r="M203" s="62" t="str" cm="1">
        <f t="array" ref="M203">Common_InputFunctions.Utility_DisplayArrayInTable(Fertiliser_SourceData.Fertiliser_Products_Data4(),FertiliserProducts[[#Headers],[Company]], 91)</f>
        <v/>
      </c>
      <c r="N203" s="62" t="str" cm="1">
        <f t="array" ref="N203">Common_InputFunctions.Utility_DisplayArrayInTable(Fertiliser_SourceData.Fertiliser_Products_Data4(),FertiliserProducts[[#Headers],[Company]], 91)</f>
        <v/>
      </c>
      <c r="O203" s="62" t="str" cm="1">
        <f t="array" ref="O203">Common_InputFunctions.Utility_DisplayArrayInTable(Fertiliser_SourceData.Fertiliser_Products_Data4(),FertiliserProducts[[#Headers],[Company]], 91)</f>
        <v/>
      </c>
      <c r="P203" s="62" t="str" cm="1">
        <f t="array" ref="P203">Common_InputFunctions.Utility_DisplayArrayInTable(Fertiliser_SourceData.Fertiliser_Products_Data4(),FertiliserProducts[[#Headers],[Company]], 91)</f>
        <v/>
      </c>
      <c r="Q203" s="62" t="str" cm="1">
        <f t="array" ref="Q203">Common_InputFunctions.Utility_DisplayArrayInTable(Fertiliser_SourceData.Fertiliser_Products_Data4(),FertiliserProducts[[#Headers],[Company]], 91)</f>
        <v/>
      </c>
      <c r="R203" s="62" t="str" cm="1">
        <f t="array" ref="R203">Common_InputFunctions.Utility_DisplayArrayInTable(Fertiliser_SourceData.Fertiliser_Products_Data4(),FertiliserProducts[[#Headers],[Company]], 91)</f>
        <v/>
      </c>
      <c r="S203" s="62" t="str" cm="1">
        <f t="array" ref="S203">Common_InputFunctions.Utility_DisplayArrayInTable(Fertiliser_SourceData.Fertiliser_Products_Data4(),FertiliserProducts[[#Headers],[Company]], 91)</f>
        <v/>
      </c>
      <c r="T203" s="62" t="str" cm="1">
        <f t="array" ref="T203">Common_InputFunctions.Utility_DisplayArrayInTable(Fertiliser_SourceData.Fertiliser_Products_Data4(),FertiliserProducts[[#Headers],[Company]], 91)</f>
        <v/>
      </c>
      <c r="U203" s="62" t="str" cm="1">
        <f t="array" ref="U203">Common_InputFunctions.Utility_DisplayArrayInTable(Fertiliser_SourceData.Fertiliser_Products_Data4(),FertiliserProducts[[#Headers],[Company]], 91)</f>
        <v/>
      </c>
      <c r="V203" s="62" t="str" cm="1">
        <f t="array" ref="V203">Common_InputFunctions.Utility_DisplayArrayInTable(Fertiliser_SourceData.Fertiliser_Products_Data4(),FertiliserProducts[[#Headers],[Company]], 91)</f>
        <v/>
      </c>
      <c r="W203" s="62" t="str" cm="1">
        <f t="array" ref="W203">Common_InputFunctions.Utility_DisplayArrayInTable(Fertiliser_SourceData.Fertiliser_Products_Data4(),FertiliserProducts[[#Headers],[Company]], 91)</f>
        <v/>
      </c>
      <c r="X203" s="62" t="str" cm="1">
        <f t="array" ref="X203">Common_InputFunctions.Utility_DisplayArrayInTable(Fertiliser_SourceData.Fertiliser_Products_Data4(),FertiliserProducts[[#Headers],[Company]], 91)</f>
        <v/>
      </c>
      <c r="Y203" s="62" t="str" cm="1">
        <f t="array" ref="Y203">Common_InputFunctions.Utility_DisplayArrayInTable(Fertiliser_SourceData.Fertiliser_Products_Data4(),FertiliserProducts[[#Headers],[Company]], 91)</f>
        <v/>
      </c>
      <c r="Z203" s="62" t="str" cm="1">
        <f t="array" ref="Z203">Common_InputFunctions.Utility_DisplayArrayInTable(Fertiliser_SourceData.Fertiliser_Products_Data4(),FertiliserProducts[[#Headers],[Company]], 91)</f>
        <v/>
      </c>
      <c r="AA203" s="62" t="str" cm="1">
        <f t="array" ref="AA203">Common_InputFunctions.Utility_DisplayArrayInTable(Fertiliser_SourceData.Fertiliser_Products_Data4(),FertiliserProducts[[#Headers],[Company]], 91)</f>
        <v/>
      </c>
      <c r="AB203" s="62" t="str" cm="1">
        <f t="array" ref="AB203">Common_InputFunctions.Utility_DisplayArrayInTable(Fertiliser_SourceData.Fertiliser_Products_Data4(),FertiliserProducts[[#Headers],[Company]], 91)</f>
        <v/>
      </c>
      <c r="AC203" s="62" t="str" cm="1">
        <f t="array" ref="AC203">Common_InputFunctions.Utility_DisplayArrayInTable(Fertiliser_SourceData.Fertiliser_Products_Data4(),FertiliserProducts[[#Headers],[Company]], 91)</f>
        <v/>
      </c>
      <c r="AD203" s="62" t="str" cm="1">
        <f t="array" ref="AD203">Common_InputFunctions.Utility_DisplayArrayInTable(Fertiliser_SourceData.Fertiliser_Products_Data4(),FertiliserProducts[[#Headers],[Company]], 91)</f>
        <v/>
      </c>
      <c r="AE203" s="62" t="str" cm="1">
        <f t="array" ref="AE203">Common_InputFunctions.Utility_DisplayArrayInTable(Fertiliser_SourceData.Fertiliser_Products_Data4(),FertiliserProducts[[#Headers],[Company]], 91)</f>
        <v/>
      </c>
      <c r="AF203" s="62" t="str" cm="1">
        <f t="array" ref="AF203">Common_InputFunctions.Utility_DisplayArrayInTable(Fertiliser_SourceData.Fertiliser_Products_Data4(),FertiliserProducts[[#Headers],[Company]], 91)</f>
        <v/>
      </c>
      <c r="AG203" s="62" t="str" cm="1">
        <f t="array" ref="AG203">Common_InputFunctions.Utility_DisplayArrayInTable(Fertiliser_SourceData.Fertiliser_Products_Data4(),FertiliserProducts[[#Headers],[Company]], 91)</f>
        <v/>
      </c>
      <c r="AH203" s="62" t="str" cm="1">
        <f t="array" ref="AH203">Common_InputFunctions.Utility_DisplayArrayInTable(Fertiliser_SourceData.Fertiliser_Products_Data4(),FertiliserProducts[[#Headers],[Company]], 91)</f>
        <v/>
      </c>
    </row>
    <row r="204" spans="4:34" x14ac:dyDescent="0.25">
      <c r="D204" s="62" t="str" cm="1">
        <f t="array" ref="D204">Common_InputFunctions.Utility_DisplayArrayInTable(Fertiliser_SourceData.Fertiliser_Products_Data4(),FertiliserProducts[[#Headers],[Company]], 91)</f>
        <v/>
      </c>
      <c r="E204" s="62" t="str" cm="1">
        <f t="array" ref="E204">Common_InputFunctions.Utility_DisplayArrayInTable(Fertiliser_SourceData.Fertiliser_Products_Data4(),FertiliserProducts[[#Headers],[Company]], 91)</f>
        <v/>
      </c>
      <c r="F204" s="62" t="str" cm="1">
        <f t="array" ref="F204">Common_InputFunctions.Utility_DisplayArrayInTable(Fertiliser_SourceData.Fertiliser_Products_Data4(),FertiliserProducts[[#Headers],[Company]], 91)</f>
        <v/>
      </c>
      <c r="G204" s="62" t="str" cm="1">
        <f t="array" ref="G204">Common_InputFunctions.Utility_DisplayArrayInTable(Fertiliser_SourceData.Fertiliser_Products_Data4(),FertiliserProducts[[#Headers],[Company]], 91)</f>
        <v/>
      </c>
      <c r="H204" s="62" t="str" cm="1">
        <f t="array" ref="H204">Common_InputFunctions.Utility_DisplayArrayInTable(Fertiliser_SourceData.Fertiliser_Products_Data4(),FertiliserProducts[[#Headers],[Company]], 91)</f>
        <v/>
      </c>
      <c r="I204" s="62" t="str" cm="1">
        <f t="array" ref="I204">Common_InputFunctions.Utility_DisplayArrayInTable(Fertiliser_SourceData.Fertiliser_Products_Data4(),FertiliserProducts[[#Headers],[Company]], 91)</f>
        <v/>
      </c>
      <c r="J204" s="62" t="str" cm="1">
        <f t="array" ref="J204">Common_InputFunctions.Utility_DisplayArrayInTable(Fertiliser_SourceData.Fertiliser_Products_Data4(),FertiliserProducts[[#Headers],[Company]], 91)</f>
        <v/>
      </c>
      <c r="K204" s="62" t="str" cm="1">
        <f t="array" ref="K204">Common_InputFunctions.Utility_DisplayArrayInTable(Fertiliser_SourceData.Fertiliser_Products_Data4(),FertiliserProducts[[#Headers],[Company]], 91)</f>
        <v/>
      </c>
      <c r="L204" s="62" t="str" cm="1">
        <f t="array" ref="L204">Common_InputFunctions.Utility_DisplayArrayInTable(Fertiliser_SourceData.Fertiliser_Products_Data4(),FertiliserProducts[[#Headers],[Company]], 91)</f>
        <v/>
      </c>
      <c r="M204" s="62" t="str" cm="1">
        <f t="array" ref="M204">Common_InputFunctions.Utility_DisplayArrayInTable(Fertiliser_SourceData.Fertiliser_Products_Data4(),FertiliserProducts[[#Headers],[Company]], 91)</f>
        <v/>
      </c>
      <c r="N204" s="62" t="str" cm="1">
        <f t="array" ref="N204">Common_InputFunctions.Utility_DisplayArrayInTable(Fertiliser_SourceData.Fertiliser_Products_Data4(),FertiliserProducts[[#Headers],[Company]], 91)</f>
        <v/>
      </c>
      <c r="O204" s="62" t="str" cm="1">
        <f t="array" ref="O204">Common_InputFunctions.Utility_DisplayArrayInTable(Fertiliser_SourceData.Fertiliser_Products_Data4(),FertiliserProducts[[#Headers],[Company]], 91)</f>
        <v/>
      </c>
      <c r="P204" s="62" t="str" cm="1">
        <f t="array" ref="P204">Common_InputFunctions.Utility_DisplayArrayInTable(Fertiliser_SourceData.Fertiliser_Products_Data4(),FertiliserProducts[[#Headers],[Company]], 91)</f>
        <v/>
      </c>
      <c r="Q204" s="62" t="str" cm="1">
        <f t="array" ref="Q204">Common_InputFunctions.Utility_DisplayArrayInTable(Fertiliser_SourceData.Fertiliser_Products_Data4(),FertiliserProducts[[#Headers],[Company]], 91)</f>
        <v/>
      </c>
      <c r="R204" s="62" t="str" cm="1">
        <f t="array" ref="R204">Common_InputFunctions.Utility_DisplayArrayInTable(Fertiliser_SourceData.Fertiliser_Products_Data4(),FertiliserProducts[[#Headers],[Company]], 91)</f>
        <v/>
      </c>
      <c r="S204" s="62" t="str" cm="1">
        <f t="array" ref="S204">Common_InputFunctions.Utility_DisplayArrayInTable(Fertiliser_SourceData.Fertiliser_Products_Data4(),FertiliserProducts[[#Headers],[Company]], 91)</f>
        <v/>
      </c>
      <c r="T204" s="62" t="str" cm="1">
        <f t="array" ref="T204">Common_InputFunctions.Utility_DisplayArrayInTable(Fertiliser_SourceData.Fertiliser_Products_Data4(),FertiliserProducts[[#Headers],[Company]], 91)</f>
        <v/>
      </c>
      <c r="U204" s="62" t="str" cm="1">
        <f t="array" ref="U204">Common_InputFunctions.Utility_DisplayArrayInTable(Fertiliser_SourceData.Fertiliser_Products_Data4(),FertiliserProducts[[#Headers],[Company]], 91)</f>
        <v/>
      </c>
      <c r="V204" s="62" t="str" cm="1">
        <f t="array" ref="V204">Common_InputFunctions.Utility_DisplayArrayInTable(Fertiliser_SourceData.Fertiliser_Products_Data4(),FertiliserProducts[[#Headers],[Company]], 91)</f>
        <v/>
      </c>
      <c r="W204" s="62" t="str" cm="1">
        <f t="array" ref="W204">Common_InputFunctions.Utility_DisplayArrayInTable(Fertiliser_SourceData.Fertiliser_Products_Data4(),FertiliserProducts[[#Headers],[Company]], 91)</f>
        <v/>
      </c>
      <c r="X204" s="62" t="str" cm="1">
        <f t="array" ref="X204">Common_InputFunctions.Utility_DisplayArrayInTable(Fertiliser_SourceData.Fertiliser_Products_Data4(),FertiliserProducts[[#Headers],[Company]], 91)</f>
        <v/>
      </c>
      <c r="Y204" s="62" t="str" cm="1">
        <f t="array" ref="Y204">Common_InputFunctions.Utility_DisplayArrayInTable(Fertiliser_SourceData.Fertiliser_Products_Data4(),FertiliserProducts[[#Headers],[Company]], 91)</f>
        <v/>
      </c>
      <c r="Z204" s="62" t="str" cm="1">
        <f t="array" ref="Z204">Common_InputFunctions.Utility_DisplayArrayInTable(Fertiliser_SourceData.Fertiliser_Products_Data4(),FertiliserProducts[[#Headers],[Company]], 91)</f>
        <v/>
      </c>
      <c r="AA204" s="62" t="str" cm="1">
        <f t="array" ref="AA204">Common_InputFunctions.Utility_DisplayArrayInTable(Fertiliser_SourceData.Fertiliser_Products_Data4(),FertiliserProducts[[#Headers],[Company]], 91)</f>
        <v/>
      </c>
      <c r="AB204" s="62" t="str" cm="1">
        <f t="array" ref="AB204">Common_InputFunctions.Utility_DisplayArrayInTable(Fertiliser_SourceData.Fertiliser_Products_Data4(),FertiliserProducts[[#Headers],[Company]], 91)</f>
        <v/>
      </c>
      <c r="AC204" s="62" t="str" cm="1">
        <f t="array" ref="AC204">Common_InputFunctions.Utility_DisplayArrayInTable(Fertiliser_SourceData.Fertiliser_Products_Data4(),FertiliserProducts[[#Headers],[Company]], 91)</f>
        <v/>
      </c>
      <c r="AD204" s="62" t="str" cm="1">
        <f t="array" ref="AD204">Common_InputFunctions.Utility_DisplayArrayInTable(Fertiliser_SourceData.Fertiliser_Products_Data4(),FertiliserProducts[[#Headers],[Company]], 91)</f>
        <v/>
      </c>
      <c r="AE204" s="62" t="str" cm="1">
        <f t="array" ref="AE204">Common_InputFunctions.Utility_DisplayArrayInTable(Fertiliser_SourceData.Fertiliser_Products_Data4(),FertiliserProducts[[#Headers],[Company]], 91)</f>
        <v/>
      </c>
      <c r="AF204" s="62" t="str" cm="1">
        <f t="array" ref="AF204">Common_InputFunctions.Utility_DisplayArrayInTable(Fertiliser_SourceData.Fertiliser_Products_Data4(),FertiliserProducts[[#Headers],[Company]], 91)</f>
        <v/>
      </c>
      <c r="AG204" s="62" t="str" cm="1">
        <f t="array" ref="AG204">Common_InputFunctions.Utility_DisplayArrayInTable(Fertiliser_SourceData.Fertiliser_Products_Data4(),FertiliserProducts[[#Headers],[Company]], 91)</f>
        <v/>
      </c>
      <c r="AH204" s="62" t="str" cm="1">
        <f t="array" ref="AH204">Common_InputFunctions.Utility_DisplayArrayInTable(Fertiliser_SourceData.Fertiliser_Products_Data4(),FertiliserProducts[[#Headers],[Company]], 91)</f>
        <v/>
      </c>
    </row>
    <row r="205" spans="4:34" x14ac:dyDescent="0.25">
      <c r="D205" s="62" t="str" cm="1">
        <f t="array" ref="D205">Common_InputFunctions.Utility_DisplayArrayInTable(Fertiliser_SourceData.Fertiliser_Products_Data4(),FertiliserProducts[[#Headers],[Company]], 91)</f>
        <v/>
      </c>
      <c r="E205" s="62" t="str" cm="1">
        <f t="array" ref="E205">Common_InputFunctions.Utility_DisplayArrayInTable(Fertiliser_SourceData.Fertiliser_Products_Data4(),FertiliserProducts[[#Headers],[Company]], 91)</f>
        <v/>
      </c>
      <c r="F205" s="62" t="str" cm="1">
        <f t="array" ref="F205">Common_InputFunctions.Utility_DisplayArrayInTable(Fertiliser_SourceData.Fertiliser_Products_Data4(),FertiliserProducts[[#Headers],[Company]], 91)</f>
        <v/>
      </c>
      <c r="G205" s="62" t="str" cm="1">
        <f t="array" ref="G205">Common_InputFunctions.Utility_DisplayArrayInTable(Fertiliser_SourceData.Fertiliser_Products_Data4(),FertiliserProducts[[#Headers],[Company]], 91)</f>
        <v/>
      </c>
      <c r="H205" s="62" t="str" cm="1">
        <f t="array" ref="H205">Common_InputFunctions.Utility_DisplayArrayInTable(Fertiliser_SourceData.Fertiliser_Products_Data4(),FertiliserProducts[[#Headers],[Company]], 91)</f>
        <v/>
      </c>
      <c r="I205" s="62" t="str" cm="1">
        <f t="array" ref="I205">Common_InputFunctions.Utility_DisplayArrayInTable(Fertiliser_SourceData.Fertiliser_Products_Data4(),FertiliserProducts[[#Headers],[Company]], 91)</f>
        <v/>
      </c>
      <c r="J205" s="62" t="str" cm="1">
        <f t="array" ref="J205">Common_InputFunctions.Utility_DisplayArrayInTable(Fertiliser_SourceData.Fertiliser_Products_Data4(),FertiliserProducts[[#Headers],[Company]], 91)</f>
        <v/>
      </c>
      <c r="K205" s="62" t="str" cm="1">
        <f t="array" ref="K205">Common_InputFunctions.Utility_DisplayArrayInTable(Fertiliser_SourceData.Fertiliser_Products_Data4(),FertiliserProducts[[#Headers],[Company]], 91)</f>
        <v/>
      </c>
      <c r="L205" s="62" t="str" cm="1">
        <f t="array" ref="L205">Common_InputFunctions.Utility_DisplayArrayInTable(Fertiliser_SourceData.Fertiliser_Products_Data4(),FertiliserProducts[[#Headers],[Company]], 91)</f>
        <v/>
      </c>
      <c r="M205" s="62" t="str" cm="1">
        <f t="array" ref="M205">Common_InputFunctions.Utility_DisplayArrayInTable(Fertiliser_SourceData.Fertiliser_Products_Data4(),FertiliserProducts[[#Headers],[Company]], 91)</f>
        <v/>
      </c>
      <c r="N205" s="62" t="str" cm="1">
        <f t="array" ref="N205">Common_InputFunctions.Utility_DisplayArrayInTable(Fertiliser_SourceData.Fertiliser_Products_Data4(),FertiliserProducts[[#Headers],[Company]], 91)</f>
        <v/>
      </c>
      <c r="O205" s="62" t="str" cm="1">
        <f t="array" ref="O205">Common_InputFunctions.Utility_DisplayArrayInTable(Fertiliser_SourceData.Fertiliser_Products_Data4(),FertiliserProducts[[#Headers],[Company]], 91)</f>
        <v/>
      </c>
      <c r="P205" s="62" t="str" cm="1">
        <f t="array" ref="P205">Common_InputFunctions.Utility_DisplayArrayInTable(Fertiliser_SourceData.Fertiliser_Products_Data4(),FertiliserProducts[[#Headers],[Company]], 91)</f>
        <v/>
      </c>
      <c r="Q205" s="62" t="str" cm="1">
        <f t="array" ref="Q205">Common_InputFunctions.Utility_DisplayArrayInTable(Fertiliser_SourceData.Fertiliser_Products_Data4(),FertiliserProducts[[#Headers],[Company]], 91)</f>
        <v/>
      </c>
      <c r="R205" s="62" t="str" cm="1">
        <f t="array" ref="R205">Common_InputFunctions.Utility_DisplayArrayInTable(Fertiliser_SourceData.Fertiliser_Products_Data4(),FertiliserProducts[[#Headers],[Company]], 91)</f>
        <v/>
      </c>
      <c r="S205" s="62" t="str" cm="1">
        <f t="array" ref="S205">Common_InputFunctions.Utility_DisplayArrayInTable(Fertiliser_SourceData.Fertiliser_Products_Data4(),FertiliserProducts[[#Headers],[Company]], 91)</f>
        <v/>
      </c>
      <c r="T205" s="62" t="str" cm="1">
        <f t="array" ref="T205">Common_InputFunctions.Utility_DisplayArrayInTable(Fertiliser_SourceData.Fertiliser_Products_Data4(),FertiliserProducts[[#Headers],[Company]], 91)</f>
        <v/>
      </c>
      <c r="U205" s="62" t="str" cm="1">
        <f t="array" ref="U205">Common_InputFunctions.Utility_DisplayArrayInTable(Fertiliser_SourceData.Fertiliser_Products_Data4(),FertiliserProducts[[#Headers],[Company]], 91)</f>
        <v/>
      </c>
      <c r="V205" s="62" t="str" cm="1">
        <f t="array" ref="V205">Common_InputFunctions.Utility_DisplayArrayInTable(Fertiliser_SourceData.Fertiliser_Products_Data4(),FertiliserProducts[[#Headers],[Company]], 91)</f>
        <v/>
      </c>
      <c r="W205" s="62" t="str" cm="1">
        <f t="array" ref="W205">Common_InputFunctions.Utility_DisplayArrayInTable(Fertiliser_SourceData.Fertiliser_Products_Data4(),FertiliserProducts[[#Headers],[Company]], 91)</f>
        <v/>
      </c>
      <c r="X205" s="62" t="str" cm="1">
        <f t="array" ref="X205">Common_InputFunctions.Utility_DisplayArrayInTable(Fertiliser_SourceData.Fertiliser_Products_Data4(),FertiliserProducts[[#Headers],[Company]], 91)</f>
        <v/>
      </c>
      <c r="Y205" s="62" t="str" cm="1">
        <f t="array" ref="Y205">Common_InputFunctions.Utility_DisplayArrayInTable(Fertiliser_SourceData.Fertiliser_Products_Data4(),FertiliserProducts[[#Headers],[Company]], 91)</f>
        <v/>
      </c>
      <c r="Z205" s="62" t="str" cm="1">
        <f t="array" ref="Z205">Common_InputFunctions.Utility_DisplayArrayInTable(Fertiliser_SourceData.Fertiliser_Products_Data4(),FertiliserProducts[[#Headers],[Company]], 91)</f>
        <v/>
      </c>
      <c r="AA205" s="62" t="str" cm="1">
        <f t="array" ref="AA205">Common_InputFunctions.Utility_DisplayArrayInTable(Fertiliser_SourceData.Fertiliser_Products_Data4(),FertiliserProducts[[#Headers],[Company]], 91)</f>
        <v/>
      </c>
      <c r="AB205" s="62" t="str" cm="1">
        <f t="array" ref="AB205">Common_InputFunctions.Utility_DisplayArrayInTable(Fertiliser_SourceData.Fertiliser_Products_Data4(),FertiliserProducts[[#Headers],[Company]], 91)</f>
        <v/>
      </c>
      <c r="AC205" s="62" t="str" cm="1">
        <f t="array" ref="AC205">Common_InputFunctions.Utility_DisplayArrayInTable(Fertiliser_SourceData.Fertiliser_Products_Data4(),FertiliserProducts[[#Headers],[Company]], 91)</f>
        <v/>
      </c>
      <c r="AD205" s="62" t="str" cm="1">
        <f t="array" ref="AD205">Common_InputFunctions.Utility_DisplayArrayInTable(Fertiliser_SourceData.Fertiliser_Products_Data4(),FertiliserProducts[[#Headers],[Company]], 91)</f>
        <v/>
      </c>
      <c r="AE205" s="62" t="str" cm="1">
        <f t="array" ref="AE205">Common_InputFunctions.Utility_DisplayArrayInTable(Fertiliser_SourceData.Fertiliser_Products_Data4(),FertiliserProducts[[#Headers],[Company]], 91)</f>
        <v/>
      </c>
      <c r="AF205" s="62" t="str" cm="1">
        <f t="array" ref="AF205">Common_InputFunctions.Utility_DisplayArrayInTable(Fertiliser_SourceData.Fertiliser_Products_Data4(),FertiliserProducts[[#Headers],[Company]], 91)</f>
        <v/>
      </c>
      <c r="AG205" s="62" t="str" cm="1">
        <f t="array" ref="AG205">Common_InputFunctions.Utility_DisplayArrayInTable(Fertiliser_SourceData.Fertiliser_Products_Data4(),FertiliserProducts[[#Headers],[Company]], 91)</f>
        <v/>
      </c>
      <c r="AH205" s="62" t="str" cm="1">
        <f t="array" ref="AH205">Common_InputFunctions.Utility_DisplayArrayInTable(Fertiliser_SourceData.Fertiliser_Products_Data4(),FertiliserProducts[[#Headers],[Company]], 91)</f>
        <v/>
      </c>
    </row>
    <row r="206" spans="4:34" x14ac:dyDescent="0.25">
      <c r="D206" s="62" t="str" cm="1">
        <f t="array" ref="D206">Common_InputFunctions.Utility_DisplayArrayInTable(Fertiliser_SourceData.Fertiliser_Products_Data4(),FertiliserProducts[[#Headers],[Company]], 91)</f>
        <v/>
      </c>
      <c r="E206" s="62" t="str" cm="1">
        <f t="array" ref="E206">Common_InputFunctions.Utility_DisplayArrayInTable(Fertiliser_SourceData.Fertiliser_Products_Data4(),FertiliserProducts[[#Headers],[Company]], 91)</f>
        <v/>
      </c>
      <c r="F206" s="62" t="str" cm="1">
        <f t="array" ref="F206">Common_InputFunctions.Utility_DisplayArrayInTable(Fertiliser_SourceData.Fertiliser_Products_Data4(),FertiliserProducts[[#Headers],[Company]], 91)</f>
        <v/>
      </c>
      <c r="G206" s="62" t="str" cm="1">
        <f t="array" ref="G206">Common_InputFunctions.Utility_DisplayArrayInTable(Fertiliser_SourceData.Fertiliser_Products_Data4(),FertiliserProducts[[#Headers],[Company]], 91)</f>
        <v/>
      </c>
      <c r="H206" s="62" t="str" cm="1">
        <f t="array" ref="H206">Common_InputFunctions.Utility_DisplayArrayInTable(Fertiliser_SourceData.Fertiliser_Products_Data4(),FertiliserProducts[[#Headers],[Company]], 91)</f>
        <v/>
      </c>
      <c r="I206" s="62" t="str" cm="1">
        <f t="array" ref="I206">Common_InputFunctions.Utility_DisplayArrayInTable(Fertiliser_SourceData.Fertiliser_Products_Data4(),FertiliserProducts[[#Headers],[Company]], 91)</f>
        <v/>
      </c>
      <c r="J206" s="62" t="str" cm="1">
        <f t="array" ref="J206">Common_InputFunctions.Utility_DisplayArrayInTable(Fertiliser_SourceData.Fertiliser_Products_Data4(),FertiliserProducts[[#Headers],[Company]], 91)</f>
        <v/>
      </c>
      <c r="K206" s="62" t="str" cm="1">
        <f t="array" ref="K206">Common_InputFunctions.Utility_DisplayArrayInTable(Fertiliser_SourceData.Fertiliser_Products_Data4(),FertiliserProducts[[#Headers],[Company]], 91)</f>
        <v/>
      </c>
      <c r="L206" s="62" t="str" cm="1">
        <f t="array" ref="L206">Common_InputFunctions.Utility_DisplayArrayInTable(Fertiliser_SourceData.Fertiliser_Products_Data4(),FertiliserProducts[[#Headers],[Company]], 91)</f>
        <v/>
      </c>
      <c r="M206" s="62" t="str" cm="1">
        <f t="array" ref="M206">Common_InputFunctions.Utility_DisplayArrayInTable(Fertiliser_SourceData.Fertiliser_Products_Data4(),FertiliserProducts[[#Headers],[Company]], 91)</f>
        <v/>
      </c>
      <c r="N206" s="62" t="str" cm="1">
        <f t="array" ref="N206">Common_InputFunctions.Utility_DisplayArrayInTable(Fertiliser_SourceData.Fertiliser_Products_Data4(),FertiliserProducts[[#Headers],[Company]], 91)</f>
        <v/>
      </c>
      <c r="O206" s="62" t="str" cm="1">
        <f t="array" ref="O206">Common_InputFunctions.Utility_DisplayArrayInTable(Fertiliser_SourceData.Fertiliser_Products_Data4(),FertiliserProducts[[#Headers],[Company]], 91)</f>
        <v/>
      </c>
      <c r="P206" s="62" t="str" cm="1">
        <f t="array" ref="P206">Common_InputFunctions.Utility_DisplayArrayInTable(Fertiliser_SourceData.Fertiliser_Products_Data4(),FertiliserProducts[[#Headers],[Company]], 91)</f>
        <v/>
      </c>
      <c r="Q206" s="62" t="str" cm="1">
        <f t="array" ref="Q206">Common_InputFunctions.Utility_DisplayArrayInTable(Fertiliser_SourceData.Fertiliser_Products_Data4(),FertiliserProducts[[#Headers],[Company]], 91)</f>
        <v/>
      </c>
      <c r="R206" s="62" t="str" cm="1">
        <f t="array" ref="R206">Common_InputFunctions.Utility_DisplayArrayInTable(Fertiliser_SourceData.Fertiliser_Products_Data4(),FertiliserProducts[[#Headers],[Company]], 91)</f>
        <v/>
      </c>
      <c r="S206" s="62" t="str" cm="1">
        <f t="array" ref="S206">Common_InputFunctions.Utility_DisplayArrayInTable(Fertiliser_SourceData.Fertiliser_Products_Data4(),FertiliserProducts[[#Headers],[Company]], 91)</f>
        <v/>
      </c>
      <c r="T206" s="62" t="str" cm="1">
        <f t="array" ref="T206">Common_InputFunctions.Utility_DisplayArrayInTable(Fertiliser_SourceData.Fertiliser_Products_Data4(),FertiliserProducts[[#Headers],[Company]], 91)</f>
        <v/>
      </c>
      <c r="U206" s="62" t="str" cm="1">
        <f t="array" ref="U206">Common_InputFunctions.Utility_DisplayArrayInTable(Fertiliser_SourceData.Fertiliser_Products_Data4(),FertiliserProducts[[#Headers],[Company]], 91)</f>
        <v/>
      </c>
      <c r="V206" s="62" t="str" cm="1">
        <f t="array" ref="V206">Common_InputFunctions.Utility_DisplayArrayInTable(Fertiliser_SourceData.Fertiliser_Products_Data4(),FertiliserProducts[[#Headers],[Company]], 91)</f>
        <v/>
      </c>
      <c r="W206" s="62" t="str" cm="1">
        <f t="array" ref="W206">Common_InputFunctions.Utility_DisplayArrayInTable(Fertiliser_SourceData.Fertiliser_Products_Data4(),FertiliserProducts[[#Headers],[Company]], 91)</f>
        <v/>
      </c>
      <c r="X206" s="62" t="str" cm="1">
        <f t="array" ref="X206">Common_InputFunctions.Utility_DisplayArrayInTable(Fertiliser_SourceData.Fertiliser_Products_Data4(),FertiliserProducts[[#Headers],[Company]], 91)</f>
        <v/>
      </c>
      <c r="Y206" s="62" t="str" cm="1">
        <f t="array" ref="Y206">Common_InputFunctions.Utility_DisplayArrayInTable(Fertiliser_SourceData.Fertiliser_Products_Data4(),FertiliserProducts[[#Headers],[Company]], 91)</f>
        <v/>
      </c>
      <c r="Z206" s="62" t="str" cm="1">
        <f t="array" ref="Z206">Common_InputFunctions.Utility_DisplayArrayInTable(Fertiliser_SourceData.Fertiliser_Products_Data4(),FertiliserProducts[[#Headers],[Company]], 91)</f>
        <v/>
      </c>
      <c r="AA206" s="62" t="str" cm="1">
        <f t="array" ref="AA206">Common_InputFunctions.Utility_DisplayArrayInTable(Fertiliser_SourceData.Fertiliser_Products_Data4(),FertiliserProducts[[#Headers],[Company]], 91)</f>
        <v/>
      </c>
      <c r="AB206" s="62" t="str" cm="1">
        <f t="array" ref="AB206">Common_InputFunctions.Utility_DisplayArrayInTable(Fertiliser_SourceData.Fertiliser_Products_Data4(),FertiliserProducts[[#Headers],[Company]], 91)</f>
        <v/>
      </c>
      <c r="AC206" s="62" t="str" cm="1">
        <f t="array" ref="AC206">Common_InputFunctions.Utility_DisplayArrayInTable(Fertiliser_SourceData.Fertiliser_Products_Data4(),FertiliserProducts[[#Headers],[Company]], 91)</f>
        <v/>
      </c>
      <c r="AD206" s="62" t="str" cm="1">
        <f t="array" ref="AD206">Common_InputFunctions.Utility_DisplayArrayInTable(Fertiliser_SourceData.Fertiliser_Products_Data4(),FertiliserProducts[[#Headers],[Company]], 91)</f>
        <v/>
      </c>
      <c r="AE206" s="62" t="str" cm="1">
        <f t="array" ref="AE206">Common_InputFunctions.Utility_DisplayArrayInTable(Fertiliser_SourceData.Fertiliser_Products_Data4(),FertiliserProducts[[#Headers],[Company]], 91)</f>
        <v/>
      </c>
      <c r="AF206" s="62" t="str" cm="1">
        <f t="array" ref="AF206">Common_InputFunctions.Utility_DisplayArrayInTable(Fertiliser_SourceData.Fertiliser_Products_Data4(),FertiliserProducts[[#Headers],[Company]], 91)</f>
        <v/>
      </c>
      <c r="AG206" s="62" t="str" cm="1">
        <f t="array" ref="AG206">Common_InputFunctions.Utility_DisplayArrayInTable(Fertiliser_SourceData.Fertiliser_Products_Data4(),FertiliserProducts[[#Headers],[Company]], 91)</f>
        <v/>
      </c>
      <c r="AH206" s="62" t="str" cm="1">
        <f t="array" ref="AH206">Common_InputFunctions.Utility_DisplayArrayInTable(Fertiliser_SourceData.Fertiliser_Products_Data4(),FertiliserProducts[[#Headers],[Company]], 91)</f>
        <v/>
      </c>
    </row>
    <row r="207" spans="4:34" x14ac:dyDescent="0.25">
      <c r="D207" s="62" t="str" cm="1">
        <f t="array" ref="D207">Common_InputFunctions.Utility_DisplayArrayInTable(Fertiliser_SourceData.Fertiliser_Products_Data4(),FertiliserProducts[[#Headers],[Company]], 91)</f>
        <v/>
      </c>
      <c r="E207" s="62" t="str" cm="1">
        <f t="array" ref="E207">Common_InputFunctions.Utility_DisplayArrayInTable(Fertiliser_SourceData.Fertiliser_Products_Data4(),FertiliserProducts[[#Headers],[Company]], 91)</f>
        <v/>
      </c>
      <c r="F207" s="62" t="str" cm="1">
        <f t="array" ref="F207">Common_InputFunctions.Utility_DisplayArrayInTable(Fertiliser_SourceData.Fertiliser_Products_Data4(),FertiliserProducts[[#Headers],[Company]], 91)</f>
        <v/>
      </c>
      <c r="G207" s="62" t="str" cm="1">
        <f t="array" ref="G207">Common_InputFunctions.Utility_DisplayArrayInTable(Fertiliser_SourceData.Fertiliser_Products_Data4(),FertiliserProducts[[#Headers],[Company]], 91)</f>
        <v/>
      </c>
      <c r="H207" s="62" t="str" cm="1">
        <f t="array" ref="H207">Common_InputFunctions.Utility_DisplayArrayInTable(Fertiliser_SourceData.Fertiliser_Products_Data4(),FertiliserProducts[[#Headers],[Company]], 91)</f>
        <v/>
      </c>
      <c r="I207" s="62" t="str" cm="1">
        <f t="array" ref="I207">Common_InputFunctions.Utility_DisplayArrayInTable(Fertiliser_SourceData.Fertiliser_Products_Data4(),FertiliserProducts[[#Headers],[Company]], 91)</f>
        <v/>
      </c>
      <c r="J207" s="62" t="str" cm="1">
        <f t="array" ref="J207">Common_InputFunctions.Utility_DisplayArrayInTable(Fertiliser_SourceData.Fertiliser_Products_Data4(),FertiliserProducts[[#Headers],[Company]], 91)</f>
        <v/>
      </c>
      <c r="K207" s="62" t="str" cm="1">
        <f t="array" ref="K207">Common_InputFunctions.Utility_DisplayArrayInTable(Fertiliser_SourceData.Fertiliser_Products_Data4(),FertiliserProducts[[#Headers],[Company]], 91)</f>
        <v/>
      </c>
      <c r="L207" s="62" t="str" cm="1">
        <f t="array" ref="L207">Common_InputFunctions.Utility_DisplayArrayInTable(Fertiliser_SourceData.Fertiliser_Products_Data4(),FertiliserProducts[[#Headers],[Company]], 91)</f>
        <v/>
      </c>
      <c r="M207" s="62" t="str" cm="1">
        <f t="array" ref="M207">Common_InputFunctions.Utility_DisplayArrayInTable(Fertiliser_SourceData.Fertiliser_Products_Data4(),FertiliserProducts[[#Headers],[Company]], 91)</f>
        <v/>
      </c>
      <c r="N207" s="62" t="str" cm="1">
        <f t="array" ref="N207">Common_InputFunctions.Utility_DisplayArrayInTable(Fertiliser_SourceData.Fertiliser_Products_Data4(),FertiliserProducts[[#Headers],[Company]], 91)</f>
        <v/>
      </c>
      <c r="O207" s="62" t="str" cm="1">
        <f t="array" ref="O207">Common_InputFunctions.Utility_DisplayArrayInTable(Fertiliser_SourceData.Fertiliser_Products_Data4(),FertiliserProducts[[#Headers],[Company]], 91)</f>
        <v/>
      </c>
      <c r="P207" s="62" t="str" cm="1">
        <f t="array" ref="P207">Common_InputFunctions.Utility_DisplayArrayInTable(Fertiliser_SourceData.Fertiliser_Products_Data4(),FertiliserProducts[[#Headers],[Company]], 91)</f>
        <v/>
      </c>
      <c r="Q207" s="62" t="str" cm="1">
        <f t="array" ref="Q207">Common_InputFunctions.Utility_DisplayArrayInTable(Fertiliser_SourceData.Fertiliser_Products_Data4(),FertiliserProducts[[#Headers],[Company]], 91)</f>
        <v/>
      </c>
      <c r="R207" s="62" t="str" cm="1">
        <f t="array" ref="R207">Common_InputFunctions.Utility_DisplayArrayInTable(Fertiliser_SourceData.Fertiliser_Products_Data4(),FertiliserProducts[[#Headers],[Company]], 91)</f>
        <v/>
      </c>
      <c r="S207" s="62" t="str" cm="1">
        <f t="array" ref="S207">Common_InputFunctions.Utility_DisplayArrayInTable(Fertiliser_SourceData.Fertiliser_Products_Data4(),FertiliserProducts[[#Headers],[Company]], 91)</f>
        <v/>
      </c>
      <c r="T207" s="62" t="str" cm="1">
        <f t="array" ref="T207">Common_InputFunctions.Utility_DisplayArrayInTable(Fertiliser_SourceData.Fertiliser_Products_Data4(),FertiliserProducts[[#Headers],[Company]], 91)</f>
        <v/>
      </c>
      <c r="U207" s="62" t="str" cm="1">
        <f t="array" ref="U207">Common_InputFunctions.Utility_DisplayArrayInTable(Fertiliser_SourceData.Fertiliser_Products_Data4(),FertiliserProducts[[#Headers],[Company]], 91)</f>
        <v/>
      </c>
      <c r="V207" s="62" t="str" cm="1">
        <f t="array" ref="V207">Common_InputFunctions.Utility_DisplayArrayInTable(Fertiliser_SourceData.Fertiliser_Products_Data4(),FertiliserProducts[[#Headers],[Company]], 91)</f>
        <v/>
      </c>
      <c r="W207" s="62" t="str" cm="1">
        <f t="array" ref="W207">Common_InputFunctions.Utility_DisplayArrayInTable(Fertiliser_SourceData.Fertiliser_Products_Data4(),FertiliserProducts[[#Headers],[Company]], 91)</f>
        <v/>
      </c>
      <c r="X207" s="62" t="str" cm="1">
        <f t="array" ref="X207">Common_InputFunctions.Utility_DisplayArrayInTable(Fertiliser_SourceData.Fertiliser_Products_Data4(),FertiliserProducts[[#Headers],[Company]], 91)</f>
        <v/>
      </c>
      <c r="Y207" s="62" t="str" cm="1">
        <f t="array" ref="Y207">Common_InputFunctions.Utility_DisplayArrayInTable(Fertiliser_SourceData.Fertiliser_Products_Data4(),FertiliserProducts[[#Headers],[Company]], 91)</f>
        <v/>
      </c>
      <c r="Z207" s="62" t="str" cm="1">
        <f t="array" ref="Z207">Common_InputFunctions.Utility_DisplayArrayInTable(Fertiliser_SourceData.Fertiliser_Products_Data4(),FertiliserProducts[[#Headers],[Company]], 91)</f>
        <v/>
      </c>
      <c r="AA207" s="62" t="str" cm="1">
        <f t="array" ref="AA207">Common_InputFunctions.Utility_DisplayArrayInTable(Fertiliser_SourceData.Fertiliser_Products_Data4(),FertiliserProducts[[#Headers],[Company]], 91)</f>
        <v/>
      </c>
      <c r="AB207" s="62" t="str" cm="1">
        <f t="array" ref="AB207">Common_InputFunctions.Utility_DisplayArrayInTable(Fertiliser_SourceData.Fertiliser_Products_Data4(),FertiliserProducts[[#Headers],[Company]], 91)</f>
        <v/>
      </c>
      <c r="AC207" s="62" t="str" cm="1">
        <f t="array" ref="AC207">Common_InputFunctions.Utility_DisplayArrayInTable(Fertiliser_SourceData.Fertiliser_Products_Data4(),FertiliserProducts[[#Headers],[Company]], 91)</f>
        <v/>
      </c>
      <c r="AD207" s="62" t="str" cm="1">
        <f t="array" ref="AD207">Common_InputFunctions.Utility_DisplayArrayInTable(Fertiliser_SourceData.Fertiliser_Products_Data4(),FertiliserProducts[[#Headers],[Company]], 91)</f>
        <v/>
      </c>
      <c r="AE207" s="62" t="str" cm="1">
        <f t="array" ref="AE207">Common_InputFunctions.Utility_DisplayArrayInTable(Fertiliser_SourceData.Fertiliser_Products_Data4(),FertiliserProducts[[#Headers],[Company]], 91)</f>
        <v/>
      </c>
      <c r="AF207" s="62" t="str" cm="1">
        <f t="array" ref="AF207">Common_InputFunctions.Utility_DisplayArrayInTable(Fertiliser_SourceData.Fertiliser_Products_Data4(),FertiliserProducts[[#Headers],[Company]], 91)</f>
        <v/>
      </c>
      <c r="AG207" s="62" t="str" cm="1">
        <f t="array" ref="AG207">Common_InputFunctions.Utility_DisplayArrayInTable(Fertiliser_SourceData.Fertiliser_Products_Data4(),FertiliserProducts[[#Headers],[Company]], 91)</f>
        <v/>
      </c>
      <c r="AH207" s="62" t="str" cm="1">
        <f t="array" ref="AH207">Common_InputFunctions.Utility_DisplayArrayInTable(Fertiliser_SourceData.Fertiliser_Products_Data4(),FertiliserProducts[[#Headers],[Company]], 91)</f>
        <v/>
      </c>
    </row>
    <row r="208" spans="4:34" x14ac:dyDescent="0.25">
      <c r="D208" s="62" t="str" cm="1">
        <f t="array" ref="D208">Common_InputFunctions.Utility_DisplayArrayInTable(Fertiliser_SourceData.Fertiliser_Products_Data4(),FertiliserProducts[[#Headers],[Company]], 91)</f>
        <v/>
      </c>
      <c r="E208" s="62" t="str" cm="1">
        <f t="array" ref="E208">Common_InputFunctions.Utility_DisplayArrayInTable(Fertiliser_SourceData.Fertiliser_Products_Data4(),FertiliserProducts[[#Headers],[Company]], 91)</f>
        <v/>
      </c>
      <c r="F208" s="62" t="str" cm="1">
        <f t="array" ref="F208">Common_InputFunctions.Utility_DisplayArrayInTable(Fertiliser_SourceData.Fertiliser_Products_Data4(),FertiliserProducts[[#Headers],[Company]], 91)</f>
        <v/>
      </c>
      <c r="G208" s="62" t="str" cm="1">
        <f t="array" ref="G208">Common_InputFunctions.Utility_DisplayArrayInTable(Fertiliser_SourceData.Fertiliser_Products_Data4(),FertiliserProducts[[#Headers],[Company]], 91)</f>
        <v/>
      </c>
      <c r="H208" s="62" t="str" cm="1">
        <f t="array" ref="H208">Common_InputFunctions.Utility_DisplayArrayInTable(Fertiliser_SourceData.Fertiliser_Products_Data4(),FertiliserProducts[[#Headers],[Company]], 91)</f>
        <v/>
      </c>
      <c r="I208" s="62" t="str" cm="1">
        <f t="array" ref="I208">Common_InputFunctions.Utility_DisplayArrayInTable(Fertiliser_SourceData.Fertiliser_Products_Data4(),FertiliserProducts[[#Headers],[Company]], 91)</f>
        <v/>
      </c>
      <c r="J208" s="62" t="str" cm="1">
        <f t="array" ref="J208">Common_InputFunctions.Utility_DisplayArrayInTable(Fertiliser_SourceData.Fertiliser_Products_Data4(),FertiliserProducts[[#Headers],[Company]], 91)</f>
        <v/>
      </c>
      <c r="K208" s="62" t="str" cm="1">
        <f t="array" ref="K208">Common_InputFunctions.Utility_DisplayArrayInTable(Fertiliser_SourceData.Fertiliser_Products_Data4(),FertiliserProducts[[#Headers],[Company]], 91)</f>
        <v/>
      </c>
      <c r="L208" s="62" t="str" cm="1">
        <f t="array" ref="L208">Common_InputFunctions.Utility_DisplayArrayInTable(Fertiliser_SourceData.Fertiliser_Products_Data4(),FertiliserProducts[[#Headers],[Company]], 91)</f>
        <v/>
      </c>
      <c r="M208" s="62" t="str" cm="1">
        <f t="array" ref="M208">Common_InputFunctions.Utility_DisplayArrayInTable(Fertiliser_SourceData.Fertiliser_Products_Data4(),FertiliserProducts[[#Headers],[Company]], 91)</f>
        <v/>
      </c>
      <c r="N208" s="62" t="str" cm="1">
        <f t="array" ref="N208">Common_InputFunctions.Utility_DisplayArrayInTable(Fertiliser_SourceData.Fertiliser_Products_Data4(),FertiliserProducts[[#Headers],[Company]], 91)</f>
        <v/>
      </c>
      <c r="O208" s="62" t="str" cm="1">
        <f t="array" ref="O208">Common_InputFunctions.Utility_DisplayArrayInTable(Fertiliser_SourceData.Fertiliser_Products_Data4(),FertiliserProducts[[#Headers],[Company]], 91)</f>
        <v/>
      </c>
      <c r="P208" s="62" t="str" cm="1">
        <f t="array" ref="P208">Common_InputFunctions.Utility_DisplayArrayInTable(Fertiliser_SourceData.Fertiliser_Products_Data4(),FertiliserProducts[[#Headers],[Company]], 91)</f>
        <v/>
      </c>
      <c r="Q208" s="62" t="str" cm="1">
        <f t="array" ref="Q208">Common_InputFunctions.Utility_DisplayArrayInTable(Fertiliser_SourceData.Fertiliser_Products_Data4(),FertiliserProducts[[#Headers],[Company]], 91)</f>
        <v/>
      </c>
      <c r="R208" s="62" t="str" cm="1">
        <f t="array" ref="R208">Common_InputFunctions.Utility_DisplayArrayInTable(Fertiliser_SourceData.Fertiliser_Products_Data4(),FertiliserProducts[[#Headers],[Company]], 91)</f>
        <v/>
      </c>
      <c r="S208" s="62" t="str" cm="1">
        <f t="array" ref="S208">Common_InputFunctions.Utility_DisplayArrayInTable(Fertiliser_SourceData.Fertiliser_Products_Data4(),FertiliserProducts[[#Headers],[Company]], 91)</f>
        <v/>
      </c>
      <c r="T208" s="62" t="str" cm="1">
        <f t="array" ref="T208">Common_InputFunctions.Utility_DisplayArrayInTable(Fertiliser_SourceData.Fertiliser_Products_Data4(),FertiliserProducts[[#Headers],[Company]], 91)</f>
        <v/>
      </c>
      <c r="U208" s="62" t="str" cm="1">
        <f t="array" ref="U208">Common_InputFunctions.Utility_DisplayArrayInTable(Fertiliser_SourceData.Fertiliser_Products_Data4(),FertiliserProducts[[#Headers],[Company]], 91)</f>
        <v/>
      </c>
      <c r="V208" s="62" t="str" cm="1">
        <f t="array" ref="V208">Common_InputFunctions.Utility_DisplayArrayInTable(Fertiliser_SourceData.Fertiliser_Products_Data4(),FertiliserProducts[[#Headers],[Company]], 91)</f>
        <v/>
      </c>
      <c r="W208" s="62" t="str" cm="1">
        <f t="array" ref="W208">Common_InputFunctions.Utility_DisplayArrayInTable(Fertiliser_SourceData.Fertiliser_Products_Data4(),FertiliserProducts[[#Headers],[Company]], 91)</f>
        <v/>
      </c>
      <c r="X208" s="62" t="str" cm="1">
        <f t="array" ref="X208">Common_InputFunctions.Utility_DisplayArrayInTable(Fertiliser_SourceData.Fertiliser_Products_Data4(),FertiliserProducts[[#Headers],[Company]], 91)</f>
        <v/>
      </c>
      <c r="Y208" s="62" t="str" cm="1">
        <f t="array" ref="Y208">Common_InputFunctions.Utility_DisplayArrayInTable(Fertiliser_SourceData.Fertiliser_Products_Data4(),FertiliserProducts[[#Headers],[Company]], 91)</f>
        <v/>
      </c>
      <c r="Z208" s="62" t="str" cm="1">
        <f t="array" ref="Z208">Common_InputFunctions.Utility_DisplayArrayInTable(Fertiliser_SourceData.Fertiliser_Products_Data4(),FertiliserProducts[[#Headers],[Company]], 91)</f>
        <v/>
      </c>
      <c r="AA208" s="62" t="str" cm="1">
        <f t="array" ref="AA208">Common_InputFunctions.Utility_DisplayArrayInTable(Fertiliser_SourceData.Fertiliser_Products_Data4(),FertiliserProducts[[#Headers],[Company]], 91)</f>
        <v/>
      </c>
      <c r="AB208" s="62" t="str" cm="1">
        <f t="array" ref="AB208">Common_InputFunctions.Utility_DisplayArrayInTable(Fertiliser_SourceData.Fertiliser_Products_Data4(),FertiliserProducts[[#Headers],[Company]], 91)</f>
        <v/>
      </c>
      <c r="AC208" s="62" t="str" cm="1">
        <f t="array" ref="AC208">Common_InputFunctions.Utility_DisplayArrayInTable(Fertiliser_SourceData.Fertiliser_Products_Data4(),FertiliserProducts[[#Headers],[Company]], 91)</f>
        <v/>
      </c>
      <c r="AD208" s="62" t="str" cm="1">
        <f t="array" ref="AD208">Common_InputFunctions.Utility_DisplayArrayInTable(Fertiliser_SourceData.Fertiliser_Products_Data4(),FertiliserProducts[[#Headers],[Company]], 91)</f>
        <v/>
      </c>
      <c r="AE208" s="62" t="str" cm="1">
        <f t="array" ref="AE208">Common_InputFunctions.Utility_DisplayArrayInTable(Fertiliser_SourceData.Fertiliser_Products_Data4(),FertiliserProducts[[#Headers],[Company]], 91)</f>
        <v/>
      </c>
      <c r="AF208" s="62" t="str" cm="1">
        <f t="array" ref="AF208">Common_InputFunctions.Utility_DisplayArrayInTable(Fertiliser_SourceData.Fertiliser_Products_Data4(),FertiliserProducts[[#Headers],[Company]], 91)</f>
        <v/>
      </c>
      <c r="AG208" s="62" t="str" cm="1">
        <f t="array" ref="AG208">Common_InputFunctions.Utility_DisplayArrayInTable(Fertiliser_SourceData.Fertiliser_Products_Data4(),FertiliserProducts[[#Headers],[Company]], 91)</f>
        <v/>
      </c>
      <c r="AH208" s="62" t="str" cm="1">
        <f t="array" ref="AH208">Common_InputFunctions.Utility_DisplayArrayInTable(Fertiliser_SourceData.Fertiliser_Products_Data4(),FertiliserProducts[[#Headers],[Company]], 91)</f>
        <v/>
      </c>
    </row>
    <row r="209" spans="4:34" x14ac:dyDescent="0.25">
      <c r="D209" s="62" t="str" cm="1">
        <f t="array" ref="D209">Common_InputFunctions.Utility_DisplayArrayInTable(Fertiliser_SourceData.Fertiliser_Products_Data4(),FertiliserProducts[[#Headers],[Company]], 91)</f>
        <v/>
      </c>
      <c r="E209" s="62" t="str" cm="1">
        <f t="array" ref="E209">Common_InputFunctions.Utility_DisplayArrayInTable(Fertiliser_SourceData.Fertiliser_Products_Data4(),FertiliserProducts[[#Headers],[Company]], 91)</f>
        <v/>
      </c>
      <c r="F209" s="62" t="str" cm="1">
        <f t="array" ref="F209">Common_InputFunctions.Utility_DisplayArrayInTable(Fertiliser_SourceData.Fertiliser_Products_Data4(),FertiliserProducts[[#Headers],[Company]], 91)</f>
        <v/>
      </c>
      <c r="G209" s="62" t="str" cm="1">
        <f t="array" ref="G209">Common_InputFunctions.Utility_DisplayArrayInTable(Fertiliser_SourceData.Fertiliser_Products_Data4(),FertiliserProducts[[#Headers],[Company]], 91)</f>
        <v/>
      </c>
      <c r="H209" s="62" t="str" cm="1">
        <f t="array" ref="H209">Common_InputFunctions.Utility_DisplayArrayInTable(Fertiliser_SourceData.Fertiliser_Products_Data4(),FertiliserProducts[[#Headers],[Company]], 91)</f>
        <v/>
      </c>
      <c r="I209" s="62" t="str" cm="1">
        <f t="array" ref="I209">Common_InputFunctions.Utility_DisplayArrayInTable(Fertiliser_SourceData.Fertiliser_Products_Data4(),FertiliserProducts[[#Headers],[Company]], 91)</f>
        <v/>
      </c>
      <c r="J209" s="62" t="str" cm="1">
        <f t="array" ref="J209">Common_InputFunctions.Utility_DisplayArrayInTable(Fertiliser_SourceData.Fertiliser_Products_Data4(),FertiliserProducts[[#Headers],[Company]], 91)</f>
        <v/>
      </c>
      <c r="K209" s="62" t="str" cm="1">
        <f t="array" ref="K209">Common_InputFunctions.Utility_DisplayArrayInTable(Fertiliser_SourceData.Fertiliser_Products_Data4(),FertiliserProducts[[#Headers],[Company]], 91)</f>
        <v/>
      </c>
      <c r="L209" s="62" t="str" cm="1">
        <f t="array" ref="L209">Common_InputFunctions.Utility_DisplayArrayInTable(Fertiliser_SourceData.Fertiliser_Products_Data4(),FertiliserProducts[[#Headers],[Company]], 91)</f>
        <v/>
      </c>
      <c r="M209" s="62" t="str" cm="1">
        <f t="array" ref="M209">Common_InputFunctions.Utility_DisplayArrayInTable(Fertiliser_SourceData.Fertiliser_Products_Data4(),FertiliserProducts[[#Headers],[Company]], 91)</f>
        <v/>
      </c>
      <c r="N209" s="62" t="str" cm="1">
        <f t="array" ref="N209">Common_InputFunctions.Utility_DisplayArrayInTable(Fertiliser_SourceData.Fertiliser_Products_Data4(),FertiliserProducts[[#Headers],[Company]], 91)</f>
        <v/>
      </c>
      <c r="O209" s="62" t="str" cm="1">
        <f t="array" ref="O209">Common_InputFunctions.Utility_DisplayArrayInTable(Fertiliser_SourceData.Fertiliser_Products_Data4(),FertiliserProducts[[#Headers],[Company]], 91)</f>
        <v/>
      </c>
      <c r="P209" s="62" t="str" cm="1">
        <f t="array" ref="P209">Common_InputFunctions.Utility_DisplayArrayInTable(Fertiliser_SourceData.Fertiliser_Products_Data4(),FertiliserProducts[[#Headers],[Company]], 91)</f>
        <v/>
      </c>
      <c r="Q209" s="62" t="str" cm="1">
        <f t="array" ref="Q209">Common_InputFunctions.Utility_DisplayArrayInTable(Fertiliser_SourceData.Fertiliser_Products_Data4(),FertiliserProducts[[#Headers],[Company]], 91)</f>
        <v/>
      </c>
      <c r="R209" s="62" t="str" cm="1">
        <f t="array" ref="R209">Common_InputFunctions.Utility_DisplayArrayInTable(Fertiliser_SourceData.Fertiliser_Products_Data4(),FertiliserProducts[[#Headers],[Company]], 91)</f>
        <v/>
      </c>
      <c r="S209" s="62" t="str" cm="1">
        <f t="array" ref="S209">Common_InputFunctions.Utility_DisplayArrayInTable(Fertiliser_SourceData.Fertiliser_Products_Data4(),FertiliserProducts[[#Headers],[Company]], 91)</f>
        <v/>
      </c>
      <c r="T209" s="62" t="str" cm="1">
        <f t="array" ref="T209">Common_InputFunctions.Utility_DisplayArrayInTable(Fertiliser_SourceData.Fertiliser_Products_Data4(),FertiliserProducts[[#Headers],[Company]], 91)</f>
        <v/>
      </c>
      <c r="U209" s="62" t="str" cm="1">
        <f t="array" ref="U209">Common_InputFunctions.Utility_DisplayArrayInTable(Fertiliser_SourceData.Fertiliser_Products_Data4(),FertiliserProducts[[#Headers],[Company]], 91)</f>
        <v/>
      </c>
      <c r="V209" s="62" t="str" cm="1">
        <f t="array" ref="V209">Common_InputFunctions.Utility_DisplayArrayInTable(Fertiliser_SourceData.Fertiliser_Products_Data4(),FertiliserProducts[[#Headers],[Company]], 91)</f>
        <v/>
      </c>
      <c r="W209" s="62" t="str" cm="1">
        <f t="array" ref="W209">Common_InputFunctions.Utility_DisplayArrayInTable(Fertiliser_SourceData.Fertiliser_Products_Data4(),FertiliserProducts[[#Headers],[Company]], 91)</f>
        <v/>
      </c>
      <c r="X209" s="62" t="str" cm="1">
        <f t="array" ref="X209">Common_InputFunctions.Utility_DisplayArrayInTable(Fertiliser_SourceData.Fertiliser_Products_Data4(),FertiliserProducts[[#Headers],[Company]], 91)</f>
        <v/>
      </c>
      <c r="Y209" s="62" t="str" cm="1">
        <f t="array" ref="Y209">Common_InputFunctions.Utility_DisplayArrayInTable(Fertiliser_SourceData.Fertiliser_Products_Data4(),FertiliserProducts[[#Headers],[Company]], 91)</f>
        <v/>
      </c>
      <c r="Z209" s="62" t="str" cm="1">
        <f t="array" ref="Z209">Common_InputFunctions.Utility_DisplayArrayInTable(Fertiliser_SourceData.Fertiliser_Products_Data4(),FertiliserProducts[[#Headers],[Company]], 91)</f>
        <v/>
      </c>
      <c r="AA209" s="62" t="str" cm="1">
        <f t="array" ref="AA209">Common_InputFunctions.Utility_DisplayArrayInTable(Fertiliser_SourceData.Fertiliser_Products_Data4(),FertiliserProducts[[#Headers],[Company]], 91)</f>
        <v/>
      </c>
      <c r="AB209" s="62" t="str" cm="1">
        <f t="array" ref="AB209">Common_InputFunctions.Utility_DisplayArrayInTable(Fertiliser_SourceData.Fertiliser_Products_Data4(),FertiliserProducts[[#Headers],[Company]], 91)</f>
        <v/>
      </c>
      <c r="AC209" s="62" t="str" cm="1">
        <f t="array" ref="AC209">Common_InputFunctions.Utility_DisplayArrayInTable(Fertiliser_SourceData.Fertiliser_Products_Data4(),FertiliserProducts[[#Headers],[Company]], 91)</f>
        <v/>
      </c>
      <c r="AD209" s="62" t="str" cm="1">
        <f t="array" ref="AD209">Common_InputFunctions.Utility_DisplayArrayInTable(Fertiliser_SourceData.Fertiliser_Products_Data4(),FertiliserProducts[[#Headers],[Company]], 91)</f>
        <v/>
      </c>
      <c r="AE209" s="62" t="str" cm="1">
        <f t="array" ref="AE209">Common_InputFunctions.Utility_DisplayArrayInTable(Fertiliser_SourceData.Fertiliser_Products_Data4(),FertiliserProducts[[#Headers],[Company]], 91)</f>
        <v/>
      </c>
      <c r="AF209" s="62" t="str" cm="1">
        <f t="array" ref="AF209">Common_InputFunctions.Utility_DisplayArrayInTable(Fertiliser_SourceData.Fertiliser_Products_Data4(),FertiliserProducts[[#Headers],[Company]], 91)</f>
        <v/>
      </c>
      <c r="AG209" s="62" t="str" cm="1">
        <f t="array" ref="AG209">Common_InputFunctions.Utility_DisplayArrayInTable(Fertiliser_SourceData.Fertiliser_Products_Data4(),FertiliserProducts[[#Headers],[Company]], 91)</f>
        <v/>
      </c>
      <c r="AH209" s="62" t="str" cm="1">
        <f t="array" ref="AH209">Common_InputFunctions.Utility_DisplayArrayInTable(Fertiliser_SourceData.Fertiliser_Products_Data4(),FertiliserProducts[[#Headers],[Company]], 91)</f>
        <v/>
      </c>
    </row>
    <row r="210" spans="4:34" x14ac:dyDescent="0.25">
      <c r="D210" s="62" t="str" cm="1">
        <f t="array" ref="D210">Common_InputFunctions.Utility_DisplayArrayInTable(Fertiliser_SourceData.Fertiliser_Products_Data5(),FertiliserProducts[[#Headers],[Company]], 121)</f>
        <v>Wengfu Australia</v>
      </c>
      <c r="E210" s="62" t="str" cm="1">
        <f t="array" ref="E210">Common_InputFunctions.Utility_DisplayArrayInTable(Fertiliser_SourceData.Fertiliser_Products_Data5(),FertiliserProducts[[#Headers],[Company]], 121)</f>
        <v>Wengfu 19-13-0-7 PrimeZinc</v>
      </c>
      <c r="F210" s="62" t="str" cm="1">
        <f t="array" ref="F210">Common_InputFunctions.Utility_DisplayArrayInTable(Fertiliser_SourceData.Fertiliser_Products_Data5(),FertiliserProducts[[#Headers],[Company]], 121)</f>
        <v>kg</v>
      </c>
      <c r="G210" s="62" cm="1">
        <f t="array" ref="G210">Common_InputFunctions.Utility_DisplayArrayInTable(Fertiliser_SourceData.Fertiliser_Products_Data5(),FertiliserProducts[[#Headers],[Company]], 121)</f>
        <v>1</v>
      </c>
      <c r="H210" s="62" t="str" cm="1">
        <f t="array" ref="H210">Common_InputFunctions.Utility_DisplayArrayInTable(Fertiliser_SourceData.Fertiliser_Products_Data5(),FertiliserProducts[[#Headers],[Company]], 121)</f>
        <v/>
      </c>
      <c r="I210" s="62" t="str" cm="1">
        <f t="array" ref="I210">Common_InputFunctions.Utility_DisplayArrayInTable(Fertiliser_SourceData.Fertiliser_Products_Data5(),FertiliserProducts[[#Headers],[Company]], 121)</f>
        <v/>
      </c>
      <c r="J210" s="62" t="str" cm="1">
        <f t="array" ref="J210">Common_InputFunctions.Utility_DisplayArrayInTable(Fertiliser_SourceData.Fertiliser_Products_Data5(),FertiliserProducts[[#Headers],[Company]], 121)</f>
        <v/>
      </c>
      <c r="K210" s="62" cm="1">
        <f t="array" ref="K210">Common_InputFunctions.Utility_DisplayArrayInTable(Fertiliser_SourceData.Fertiliser_Products_Data5(),FertiliserProducts[[#Headers],[Company]], 121)</f>
        <v>18.600000000000001</v>
      </c>
      <c r="L210" s="62" cm="1">
        <f t="array" ref="L210">Common_InputFunctions.Utility_DisplayArrayInTable(Fertiliser_SourceData.Fertiliser_Products_Data5(),FertiliserProducts[[#Headers],[Company]], 121)</f>
        <v>12.7</v>
      </c>
      <c r="M210" s="62" cm="1">
        <f t="array" ref="M210">Common_InputFunctions.Utility_DisplayArrayInTable(Fertiliser_SourceData.Fertiliser_Products_Data5(),FertiliserProducts[[#Headers],[Company]], 121)</f>
        <v>0</v>
      </c>
      <c r="N210" s="62" cm="1">
        <f t="array" ref="N210">Common_InputFunctions.Utility_DisplayArrayInTable(Fertiliser_SourceData.Fertiliser_Products_Data5(),FertiliserProducts[[#Headers],[Company]], 121)</f>
        <v>6.8</v>
      </c>
      <c r="O210" s="62" t="str" cm="1">
        <f t="array" ref="O210">Common_InputFunctions.Utility_DisplayArrayInTable(Fertiliser_SourceData.Fertiliser_Products_Data5(),FertiliserProducts[[#Headers],[Company]], 121)</f>
        <v>Nitrogen - Generic</v>
      </c>
      <c r="P210" s="62" cm="1">
        <f t="array" ref="P210">Common_InputFunctions.Utility_DisplayArrayInTable(Fertiliser_SourceData.Fertiliser_Products_Data5(),FertiliserProducts[[#Headers],[Company]], 121)</f>
        <v>0.186</v>
      </c>
      <c r="Q210" s="62" t="str" cm="1">
        <f t="array" ref="Q210">Common_InputFunctions.Utility_DisplayArrayInTable(Fertiliser_SourceData.Fertiliser_Products_Data5(),FertiliserProducts[[#Headers],[Company]], 121)</f>
        <v>Phosphorus - Generic</v>
      </c>
      <c r="R210" s="62" cm="1">
        <f t="array" ref="R210">Common_InputFunctions.Utility_DisplayArrayInTable(Fertiliser_SourceData.Fertiliser_Products_Data5(),FertiliserProducts[[#Headers],[Company]], 121)</f>
        <v>0.127</v>
      </c>
      <c r="S210" s="62" t="str" cm="1">
        <f t="array" ref="S210">Common_InputFunctions.Utility_DisplayArrayInTable(Fertiliser_SourceData.Fertiliser_Products_Data5(),FertiliserProducts[[#Headers],[Company]], 121)</f>
        <v>Sulfur - Generic</v>
      </c>
      <c r="T210" s="62" cm="1">
        <f t="array" ref="T210">Common_InputFunctions.Utility_DisplayArrayInTable(Fertiliser_SourceData.Fertiliser_Products_Data5(),FertiliserProducts[[#Headers],[Company]], 121)</f>
        <v>6.8000000000000005E-2</v>
      </c>
      <c r="U210" s="62" t="str" cm="1">
        <f t="array" ref="U210">Common_InputFunctions.Utility_DisplayArrayInTable(Fertiliser_SourceData.Fertiliser_Products_Data5(),FertiliserProducts[[#Headers],[Company]], 121)</f>
        <v>Zinc</v>
      </c>
      <c r="V210" s="62" cm="1">
        <f t="array" ref="V210">Common_InputFunctions.Utility_DisplayArrayInTable(Fertiliser_SourceData.Fertiliser_Products_Data5(),FertiliserProducts[[#Headers],[Company]], 121)</f>
        <v>6.0000000000000001E-3</v>
      </c>
      <c r="W210" s="62" t="str" cm="1">
        <f t="array" ref="W210">Common_InputFunctions.Utility_DisplayArrayInTable(Fertiliser_SourceData.Fertiliser_Products_Data5(),FertiliserProducts[[#Headers],[Company]], 121)</f>
        <v/>
      </c>
      <c r="X210" s="62" t="str" cm="1">
        <f t="array" ref="X210">Common_InputFunctions.Utility_DisplayArrayInTable(Fertiliser_SourceData.Fertiliser_Products_Data5(),FertiliserProducts[[#Headers],[Company]], 121)</f>
        <v/>
      </c>
      <c r="Y210" s="62" t="str" cm="1">
        <f t="array" ref="Y210">Common_InputFunctions.Utility_DisplayArrayInTable(Fertiliser_SourceData.Fertiliser_Products_Data5(),FertiliserProducts[[#Headers],[Company]], 121)</f>
        <v/>
      </c>
      <c r="Z210" s="62" t="str" cm="1">
        <f t="array" ref="Z210">Common_InputFunctions.Utility_DisplayArrayInTable(Fertiliser_SourceData.Fertiliser_Products_Data5(),FertiliserProducts[[#Headers],[Company]], 121)</f>
        <v/>
      </c>
      <c r="AA210" s="62" t="str" cm="1">
        <f t="array" ref="AA210">Common_InputFunctions.Utility_DisplayArrayInTable(Fertiliser_SourceData.Fertiliser_Products_Data5(),FertiliserProducts[[#Headers],[Company]], 121)</f>
        <v/>
      </c>
      <c r="AB210" s="62" t="str" cm="1">
        <f t="array" ref="AB210">Common_InputFunctions.Utility_DisplayArrayInTable(Fertiliser_SourceData.Fertiliser_Products_Data5(),FertiliserProducts[[#Headers],[Company]], 121)</f>
        <v/>
      </c>
      <c r="AC210" s="62" t="str" cm="1">
        <f t="array" ref="AC210">Common_InputFunctions.Utility_DisplayArrayInTable(Fertiliser_SourceData.Fertiliser_Products_Data5(),FertiliserProducts[[#Headers],[Company]], 121)</f>
        <v/>
      </c>
      <c r="AD210" s="62" t="str" cm="1">
        <f t="array" ref="AD210">Common_InputFunctions.Utility_DisplayArrayInTable(Fertiliser_SourceData.Fertiliser_Products_Data5(),FertiliserProducts[[#Headers],[Company]], 121)</f>
        <v/>
      </c>
      <c r="AE210" s="62" t="str" cm="1">
        <f t="array" ref="AE210">Common_InputFunctions.Utility_DisplayArrayInTable(Fertiliser_SourceData.Fertiliser_Products_Data5(),FertiliserProducts[[#Headers],[Company]], 121)</f>
        <v/>
      </c>
      <c r="AF210" s="62" t="str" cm="1">
        <f t="array" ref="AF210">Common_InputFunctions.Utility_DisplayArrayInTable(Fertiliser_SourceData.Fertiliser_Products_Data5(),FertiliserProducts[[#Headers],[Company]], 121)</f>
        <v/>
      </c>
      <c r="AG210" s="62" t="str" cm="1">
        <f t="array" ref="AG210">Common_InputFunctions.Utility_DisplayArrayInTable(Fertiliser_SourceData.Fertiliser_Products_Data5(),FertiliserProducts[[#Headers],[Company]], 121)</f>
        <v/>
      </c>
      <c r="AH210" s="62" t="str" cm="1">
        <f t="array" ref="AH210">Common_InputFunctions.Utility_DisplayArrayInTable(Fertiliser_SourceData.Fertiliser_Products_Data5(),FertiliserProducts[[#Headers],[Company]], 121)</f>
        <v/>
      </c>
    </row>
    <row r="211" spans="4:34" x14ac:dyDescent="0.25">
      <c r="D211" s="62" t="str" cm="1">
        <f t="array" ref="D211">Common_InputFunctions.Utility_DisplayArrayInTable(Fertiliser_SourceData.Fertiliser_Products_Data5(),FertiliserProducts[[#Headers],[Company]], 121)</f>
        <v>Wengfu Australia</v>
      </c>
      <c r="E211" s="62" t="str" cm="1">
        <f t="array" ref="E211">Common_InputFunctions.Utility_DisplayArrayInTable(Fertiliser_SourceData.Fertiliser_Products_Data5(),FertiliserProducts[[#Headers],[Company]], 121)</f>
        <v>Wengfu Booster K</v>
      </c>
      <c r="F211" s="62" t="str" cm="1">
        <f t="array" ref="F211">Common_InputFunctions.Utility_DisplayArrayInTable(Fertiliser_SourceData.Fertiliser_Products_Data5(),FertiliserProducts[[#Headers],[Company]], 121)</f>
        <v>kg</v>
      </c>
      <c r="G211" s="62" cm="1">
        <f t="array" ref="G211">Common_InputFunctions.Utility_DisplayArrayInTable(Fertiliser_SourceData.Fertiliser_Products_Data5(),FertiliserProducts[[#Headers],[Company]], 121)</f>
        <v>1</v>
      </c>
      <c r="H211" s="62" t="str" cm="1">
        <f t="array" ref="H211">Common_InputFunctions.Utility_DisplayArrayInTable(Fertiliser_SourceData.Fertiliser_Products_Data5(),FertiliserProducts[[#Headers],[Company]], 121)</f>
        <v/>
      </c>
      <c r="I211" s="62" t="str" cm="1">
        <f t="array" ref="I211">Common_InputFunctions.Utility_DisplayArrayInTable(Fertiliser_SourceData.Fertiliser_Products_Data5(),FertiliserProducts[[#Headers],[Company]], 121)</f>
        <v/>
      </c>
      <c r="J211" s="62" t="str" cm="1">
        <f t="array" ref="J211">Common_InputFunctions.Utility_DisplayArrayInTable(Fertiliser_SourceData.Fertiliser_Products_Data5(),FertiliserProducts[[#Headers],[Company]], 121)</f>
        <v/>
      </c>
      <c r="K211" s="62" cm="1">
        <f t="array" ref="K211">Common_InputFunctions.Utility_DisplayArrayInTable(Fertiliser_SourceData.Fertiliser_Products_Data5(),FertiliserProducts[[#Headers],[Company]], 121)</f>
        <v>32</v>
      </c>
      <c r="L211" s="62" cm="1">
        <f t="array" ref="L211">Common_InputFunctions.Utility_DisplayArrayInTable(Fertiliser_SourceData.Fertiliser_Products_Data5(),FertiliserProducts[[#Headers],[Company]], 121)</f>
        <v>0</v>
      </c>
      <c r="M211" s="62" cm="1">
        <f t="array" ref="M211">Common_InputFunctions.Utility_DisplayArrayInTable(Fertiliser_SourceData.Fertiliser_Products_Data5(),FertiliserProducts[[#Headers],[Company]], 121)</f>
        <v>11</v>
      </c>
      <c r="N211" s="62" cm="1">
        <f t="array" ref="N211">Common_InputFunctions.Utility_DisplayArrayInTable(Fertiliser_SourceData.Fertiliser_Products_Data5(),FertiliserProducts[[#Headers],[Company]], 121)</f>
        <v>3</v>
      </c>
      <c r="O211" s="62" t="str" cm="1">
        <f t="array" ref="O211">Common_InputFunctions.Utility_DisplayArrayInTable(Fertiliser_SourceData.Fertiliser_Products_Data5(),FertiliserProducts[[#Headers],[Company]], 121)</f>
        <v>Nitrogen - Generic</v>
      </c>
      <c r="P211" s="62" cm="1">
        <f t="array" ref="P211">Common_InputFunctions.Utility_DisplayArrayInTable(Fertiliser_SourceData.Fertiliser_Products_Data5(),FertiliserProducts[[#Headers],[Company]], 121)</f>
        <v>0.32</v>
      </c>
      <c r="Q211" s="62" t="str" cm="1">
        <f t="array" ref="Q211">Common_InputFunctions.Utility_DisplayArrayInTable(Fertiliser_SourceData.Fertiliser_Products_Data5(),FertiliserProducts[[#Headers],[Company]], 121)</f>
        <v>Potassium - Generic</v>
      </c>
      <c r="R211" s="62" cm="1">
        <f t="array" ref="R211">Common_InputFunctions.Utility_DisplayArrayInTable(Fertiliser_SourceData.Fertiliser_Products_Data5(),FertiliserProducts[[#Headers],[Company]], 121)</f>
        <v>0.11</v>
      </c>
      <c r="S211" s="62" t="str" cm="1">
        <f t="array" ref="S211">Common_InputFunctions.Utility_DisplayArrayInTable(Fertiliser_SourceData.Fertiliser_Products_Data5(),FertiliserProducts[[#Headers],[Company]], 121)</f>
        <v>Sulfur - Generic</v>
      </c>
      <c r="T211" s="62" cm="1">
        <f t="array" ref="T211">Common_InputFunctions.Utility_DisplayArrayInTable(Fertiliser_SourceData.Fertiliser_Products_Data5(),FertiliserProducts[[#Headers],[Company]], 121)</f>
        <v>0.03</v>
      </c>
      <c r="U211" s="62" t="str" cm="1">
        <f t="array" ref="U211">Common_InputFunctions.Utility_DisplayArrayInTable(Fertiliser_SourceData.Fertiliser_Products_Data5(),FertiliserProducts[[#Headers],[Company]], 121)</f>
        <v/>
      </c>
      <c r="V211" s="62" t="str" cm="1">
        <f t="array" ref="V211">Common_InputFunctions.Utility_DisplayArrayInTable(Fertiliser_SourceData.Fertiliser_Products_Data5(),FertiliserProducts[[#Headers],[Company]], 121)</f>
        <v/>
      </c>
      <c r="W211" s="62" t="str" cm="1">
        <f t="array" ref="W211">Common_InputFunctions.Utility_DisplayArrayInTable(Fertiliser_SourceData.Fertiliser_Products_Data5(),FertiliserProducts[[#Headers],[Company]], 121)</f>
        <v/>
      </c>
      <c r="X211" s="62" t="str" cm="1">
        <f t="array" ref="X211">Common_InputFunctions.Utility_DisplayArrayInTable(Fertiliser_SourceData.Fertiliser_Products_Data5(),FertiliserProducts[[#Headers],[Company]], 121)</f>
        <v/>
      </c>
      <c r="Y211" s="62" t="str" cm="1">
        <f t="array" ref="Y211">Common_InputFunctions.Utility_DisplayArrayInTable(Fertiliser_SourceData.Fertiliser_Products_Data5(),FertiliserProducts[[#Headers],[Company]], 121)</f>
        <v/>
      </c>
      <c r="Z211" s="62" t="str" cm="1">
        <f t="array" ref="Z211">Common_InputFunctions.Utility_DisplayArrayInTable(Fertiliser_SourceData.Fertiliser_Products_Data5(),FertiliserProducts[[#Headers],[Company]], 121)</f>
        <v/>
      </c>
      <c r="AA211" s="62" t="str" cm="1">
        <f t="array" ref="AA211">Common_InputFunctions.Utility_DisplayArrayInTable(Fertiliser_SourceData.Fertiliser_Products_Data5(),FertiliserProducts[[#Headers],[Company]], 121)</f>
        <v/>
      </c>
      <c r="AB211" s="62" t="str" cm="1">
        <f t="array" ref="AB211">Common_InputFunctions.Utility_DisplayArrayInTable(Fertiliser_SourceData.Fertiliser_Products_Data5(),FertiliserProducts[[#Headers],[Company]], 121)</f>
        <v/>
      </c>
      <c r="AC211" s="62" t="str" cm="1">
        <f t="array" ref="AC211">Common_InputFunctions.Utility_DisplayArrayInTable(Fertiliser_SourceData.Fertiliser_Products_Data5(),FertiliserProducts[[#Headers],[Company]], 121)</f>
        <v/>
      </c>
      <c r="AD211" s="62" t="str" cm="1">
        <f t="array" ref="AD211">Common_InputFunctions.Utility_DisplayArrayInTable(Fertiliser_SourceData.Fertiliser_Products_Data5(),FertiliserProducts[[#Headers],[Company]], 121)</f>
        <v/>
      </c>
      <c r="AE211" s="62" t="str" cm="1">
        <f t="array" ref="AE211">Common_InputFunctions.Utility_DisplayArrayInTable(Fertiliser_SourceData.Fertiliser_Products_Data5(),FertiliserProducts[[#Headers],[Company]], 121)</f>
        <v/>
      </c>
      <c r="AF211" s="62" t="str" cm="1">
        <f t="array" ref="AF211">Common_InputFunctions.Utility_DisplayArrayInTable(Fertiliser_SourceData.Fertiliser_Products_Data5(),FertiliserProducts[[#Headers],[Company]], 121)</f>
        <v/>
      </c>
      <c r="AG211" s="62" t="str" cm="1">
        <f t="array" ref="AG211">Common_InputFunctions.Utility_DisplayArrayInTable(Fertiliser_SourceData.Fertiliser_Products_Data5(),FertiliserProducts[[#Headers],[Company]], 121)</f>
        <v/>
      </c>
      <c r="AH211" s="62" t="str" cm="1">
        <f t="array" ref="AH211">Common_InputFunctions.Utility_DisplayArrayInTable(Fertiliser_SourceData.Fertiliser_Products_Data5(),FertiliserProducts[[#Headers],[Company]], 121)</f>
        <v/>
      </c>
    </row>
    <row r="212" spans="4:34" x14ac:dyDescent="0.25">
      <c r="D212" s="62" t="str" cm="1">
        <f t="array" ref="D212">Common_InputFunctions.Utility_DisplayArrayInTable(Fertiliser_SourceData.Fertiliser_Products_Data5(),FertiliserProducts[[#Headers],[Company]], 121)</f>
        <v>Wengfu Australia</v>
      </c>
      <c r="E212" s="62" t="str" cm="1">
        <f t="array" ref="E212">Common_InputFunctions.Utility_DisplayArrayInTable(Fertiliser_SourceData.Fertiliser_Products_Data5(),FertiliserProducts[[#Headers],[Company]], 121)</f>
        <v>Wengfu Booster Rich 1</v>
      </c>
      <c r="F212" s="62" t="str" cm="1">
        <f t="array" ref="F212">Common_InputFunctions.Utility_DisplayArrayInTable(Fertiliser_SourceData.Fertiliser_Products_Data5(),FertiliserProducts[[#Headers],[Company]], 121)</f>
        <v>kg</v>
      </c>
      <c r="G212" s="62" cm="1">
        <f t="array" ref="G212">Common_InputFunctions.Utility_DisplayArrayInTable(Fertiliser_SourceData.Fertiliser_Products_Data5(),FertiliserProducts[[#Headers],[Company]], 121)</f>
        <v>1</v>
      </c>
      <c r="H212" s="62" t="str" cm="1">
        <f t="array" ref="H212">Common_InputFunctions.Utility_DisplayArrayInTable(Fertiliser_SourceData.Fertiliser_Products_Data5(),FertiliserProducts[[#Headers],[Company]], 121)</f>
        <v/>
      </c>
      <c r="I212" s="62" t="str" cm="1">
        <f t="array" ref="I212">Common_InputFunctions.Utility_DisplayArrayInTable(Fertiliser_SourceData.Fertiliser_Products_Data5(),FertiliserProducts[[#Headers],[Company]], 121)</f>
        <v/>
      </c>
      <c r="J212" s="62" t="str" cm="1">
        <f t="array" ref="J212">Common_InputFunctions.Utility_DisplayArrayInTable(Fertiliser_SourceData.Fertiliser_Products_Data5(),FertiliserProducts[[#Headers],[Company]], 121)</f>
        <v/>
      </c>
      <c r="K212" s="62" cm="1">
        <f t="array" ref="K212">Common_InputFunctions.Utility_DisplayArrayInTable(Fertiliser_SourceData.Fertiliser_Products_Data5(),FertiliserProducts[[#Headers],[Company]], 121)</f>
        <v>31</v>
      </c>
      <c r="L212" s="62" cm="1">
        <f t="array" ref="L212">Common_InputFunctions.Utility_DisplayArrayInTable(Fertiliser_SourceData.Fertiliser_Products_Data5(),FertiliserProducts[[#Headers],[Company]], 121)</f>
        <v>6</v>
      </c>
      <c r="M212" s="62" cm="1">
        <f t="array" ref="M212">Common_InputFunctions.Utility_DisplayArrayInTable(Fertiliser_SourceData.Fertiliser_Products_Data5(),FertiliserProducts[[#Headers],[Company]], 121)</f>
        <v>0</v>
      </c>
      <c r="N212" s="62" cm="1">
        <f t="array" ref="N212">Common_InputFunctions.Utility_DisplayArrayInTable(Fertiliser_SourceData.Fertiliser_Products_Data5(),FertiliserProducts[[#Headers],[Company]], 121)</f>
        <v>6</v>
      </c>
      <c r="O212" s="62" t="str" cm="1">
        <f t="array" ref="O212">Common_InputFunctions.Utility_DisplayArrayInTable(Fertiliser_SourceData.Fertiliser_Products_Data5(),FertiliserProducts[[#Headers],[Company]], 121)</f>
        <v>Nitrogen - Generic</v>
      </c>
      <c r="P212" s="62" cm="1">
        <f t="array" ref="P212">Common_InputFunctions.Utility_DisplayArrayInTable(Fertiliser_SourceData.Fertiliser_Products_Data5(),FertiliserProducts[[#Headers],[Company]], 121)</f>
        <v>0.31</v>
      </c>
      <c r="Q212" s="62" t="str" cm="1">
        <f t="array" ref="Q212">Common_InputFunctions.Utility_DisplayArrayInTable(Fertiliser_SourceData.Fertiliser_Products_Data5(),FertiliserProducts[[#Headers],[Company]], 121)</f>
        <v>Phosphorus - Generic</v>
      </c>
      <c r="R212" s="62" cm="1">
        <f t="array" ref="R212">Common_InputFunctions.Utility_DisplayArrayInTable(Fertiliser_SourceData.Fertiliser_Products_Data5(),FertiliserProducts[[#Headers],[Company]], 121)</f>
        <v>0.06</v>
      </c>
      <c r="S212" s="62" t="str" cm="1">
        <f t="array" ref="S212">Common_InputFunctions.Utility_DisplayArrayInTable(Fertiliser_SourceData.Fertiliser_Products_Data5(),FertiliserProducts[[#Headers],[Company]], 121)</f>
        <v>Sulfur - Generic</v>
      </c>
      <c r="T212" s="62" cm="1">
        <f t="array" ref="T212">Common_InputFunctions.Utility_DisplayArrayInTable(Fertiliser_SourceData.Fertiliser_Products_Data5(),FertiliserProducts[[#Headers],[Company]], 121)</f>
        <v>0.06</v>
      </c>
      <c r="U212" s="62" t="str" cm="1">
        <f t="array" ref="U212">Common_InputFunctions.Utility_DisplayArrayInTable(Fertiliser_SourceData.Fertiliser_Products_Data5(),FertiliserProducts[[#Headers],[Company]], 121)</f>
        <v/>
      </c>
      <c r="V212" s="62" t="str" cm="1">
        <f t="array" ref="V212">Common_InputFunctions.Utility_DisplayArrayInTable(Fertiliser_SourceData.Fertiliser_Products_Data5(),FertiliserProducts[[#Headers],[Company]], 121)</f>
        <v/>
      </c>
      <c r="W212" s="62" t="str" cm="1">
        <f t="array" ref="W212">Common_InputFunctions.Utility_DisplayArrayInTable(Fertiliser_SourceData.Fertiliser_Products_Data5(),FertiliserProducts[[#Headers],[Company]], 121)</f>
        <v/>
      </c>
      <c r="X212" s="62" t="str" cm="1">
        <f t="array" ref="X212">Common_InputFunctions.Utility_DisplayArrayInTable(Fertiliser_SourceData.Fertiliser_Products_Data5(),FertiliserProducts[[#Headers],[Company]], 121)</f>
        <v/>
      </c>
      <c r="Y212" s="62" t="str" cm="1">
        <f t="array" ref="Y212">Common_InputFunctions.Utility_DisplayArrayInTable(Fertiliser_SourceData.Fertiliser_Products_Data5(),FertiliserProducts[[#Headers],[Company]], 121)</f>
        <v/>
      </c>
      <c r="Z212" s="62" t="str" cm="1">
        <f t="array" ref="Z212">Common_InputFunctions.Utility_DisplayArrayInTable(Fertiliser_SourceData.Fertiliser_Products_Data5(),FertiliserProducts[[#Headers],[Company]], 121)</f>
        <v/>
      </c>
      <c r="AA212" s="62" t="str" cm="1">
        <f t="array" ref="AA212">Common_InputFunctions.Utility_DisplayArrayInTable(Fertiliser_SourceData.Fertiliser_Products_Data5(),FertiliserProducts[[#Headers],[Company]], 121)</f>
        <v/>
      </c>
      <c r="AB212" s="62" t="str" cm="1">
        <f t="array" ref="AB212">Common_InputFunctions.Utility_DisplayArrayInTable(Fertiliser_SourceData.Fertiliser_Products_Data5(),FertiliserProducts[[#Headers],[Company]], 121)</f>
        <v/>
      </c>
      <c r="AC212" s="62" t="str" cm="1">
        <f t="array" ref="AC212">Common_InputFunctions.Utility_DisplayArrayInTable(Fertiliser_SourceData.Fertiliser_Products_Data5(),FertiliserProducts[[#Headers],[Company]], 121)</f>
        <v/>
      </c>
      <c r="AD212" s="62" t="str" cm="1">
        <f t="array" ref="AD212">Common_InputFunctions.Utility_DisplayArrayInTable(Fertiliser_SourceData.Fertiliser_Products_Data5(),FertiliserProducts[[#Headers],[Company]], 121)</f>
        <v/>
      </c>
      <c r="AE212" s="62" t="str" cm="1">
        <f t="array" ref="AE212">Common_InputFunctions.Utility_DisplayArrayInTable(Fertiliser_SourceData.Fertiliser_Products_Data5(),FertiliserProducts[[#Headers],[Company]], 121)</f>
        <v/>
      </c>
      <c r="AF212" s="62" t="str" cm="1">
        <f t="array" ref="AF212">Common_InputFunctions.Utility_DisplayArrayInTable(Fertiliser_SourceData.Fertiliser_Products_Data5(),FertiliserProducts[[#Headers],[Company]], 121)</f>
        <v/>
      </c>
      <c r="AG212" s="62" t="str" cm="1">
        <f t="array" ref="AG212">Common_InputFunctions.Utility_DisplayArrayInTable(Fertiliser_SourceData.Fertiliser_Products_Data5(),FertiliserProducts[[#Headers],[Company]], 121)</f>
        <v/>
      </c>
      <c r="AH212" s="62" t="str" cm="1">
        <f t="array" ref="AH212">Common_InputFunctions.Utility_DisplayArrayInTable(Fertiliser_SourceData.Fertiliser_Products_Data5(),FertiliserProducts[[#Headers],[Company]], 121)</f>
        <v/>
      </c>
    </row>
    <row r="213" spans="4:34" x14ac:dyDescent="0.25">
      <c r="D213" s="62" t="str" cm="1">
        <f t="array" ref="D213">Common_InputFunctions.Utility_DisplayArrayInTable(Fertiliser_SourceData.Fertiliser_Products_Data5(),FertiliserProducts[[#Headers],[Company]], 121)</f>
        <v>Wengfu Australia</v>
      </c>
      <c r="E213" s="62" t="str" cm="1">
        <f t="array" ref="E213">Common_InputFunctions.Utility_DisplayArrayInTable(Fertiliser_SourceData.Fertiliser_Products_Data5(),FertiliserProducts[[#Headers],[Company]], 121)</f>
        <v>Wengfu Booster Grass DAP</v>
      </c>
      <c r="F213" s="62" t="str" cm="1">
        <f t="array" ref="F213">Common_InputFunctions.Utility_DisplayArrayInTable(Fertiliser_SourceData.Fertiliser_Products_Data5(),FertiliserProducts[[#Headers],[Company]], 121)</f>
        <v>kg</v>
      </c>
      <c r="G213" s="62" cm="1">
        <f t="array" ref="G213">Common_InputFunctions.Utility_DisplayArrayInTable(Fertiliser_SourceData.Fertiliser_Products_Data5(),FertiliserProducts[[#Headers],[Company]], 121)</f>
        <v>1</v>
      </c>
      <c r="H213" s="62" t="str" cm="1">
        <f t="array" ref="H213">Common_InputFunctions.Utility_DisplayArrayInTable(Fertiliser_SourceData.Fertiliser_Products_Data5(),FertiliserProducts[[#Headers],[Company]], 121)</f>
        <v/>
      </c>
      <c r="I213" s="62" t="str" cm="1">
        <f t="array" ref="I213">Common_InputFunctions.Utility_DisplayArrayInTable(Fertiliser_SourceData.Fertiliser_Products_Data5(),FertiliserProducts[[#Headers],[Company]], 121)</f>
        <v/>
      </c>
      <c r="J213" s="62" t="str" cm="1">
        <f t="array" ref="J213">Common_InputFunctions.Utility_DisplayArrayInTable(Fertiliser_SourceData.Fertiliser_Products_Data5(),FertiliserProducts[[#Headers],[Company]], 121)</f>
        <v/>
      </c>
      <c r="K213" s="62" cm="1">
        <f t="array" ref="K213">Common_InputFunctions.Utility_DisplayArrayInTable(Fertiliser_SourceData.Fertiliser_Products_Data5(),FertiliserProducts[[#Headers],[Company]], 121)</f>
        <v>21</v>
      </c>
      <c r="L213" s="62" cm="1">
        <f t="array" ref="L213">Common_InputFunctions.Utility_DisplayArrayInTable(Fertiliser_SourceData.Fertiliser_Products_Data5(),FertiliserProducts[[#Headers],[Company]], 121)</f>
        <v>4</v>
      </c>
      <c r="M213" s="62" cm="1">
        <f t="array" ref="M213">Common_InputFunctions.Utility_DisplayArrayInTable(Fertiliser_SourceData.Fertiliser_Products_Data5(),FertiliserProducts[[#Headers],[Company]], 121)</f>
        <v>8</v>
      </c>
      <c r="N213" s="62" cm="1">
        <f t="array" ref="N213">Common_InputFunctions.Utility_DisplayArrayInTable(Fertiliser_SourceData.Fertiliser_Products_Data5(),FertiliserProducts[[#Headers],[Company]], 121)</f>
        <v>7</v>
      </c>
      <c r="O213" s="62" t="str" cm="1">
        <f t="array" ref="O213">Common_InputFunctions.Utility_DisplayArrayInTable(Fertiliser_SourceData.Fertiliser_Products_Data5(),FertiliserProducts[[#Headers],[Company]], 121)</f>
        <v>Nitrogen - Generic</v>
      </c>
      <c r="P213" s="62" cm="1">
        <f t="array" ref="P213">Common_InputFunctions.Utility_DisplayArrayInTable(Fertiliser_SourceData.Fertiliser_Products_Data5(),FertiliserProducts[[#Headers],[Company]], 121)</f>
        <v>0.21</v>
      </c>
      <c r="Q213" s="62" t="str" cm="1">
        <f t="array" ref="Q213">Common_InputFunctions.Utility_DisplayArrayInTable(Fertiliser_SourceData.Fertiliser_Products_Data5(),FertiliserProducts[[#Headers],[Company]], 121)</f>
        <v>Phosphorus - Generic</v>
      </c>
      <c r="R213" s="62" cm="1">
        <f t="array" ref="R213">Common_InputFunctions.Utility_DisplayArrayInTable(Fertiliser_SourceData.Fertiliser_Products_Data5(),FertiliserProducts[[#Headers],[Company]], 121)</f>
        <v>0.04</v>
      </c>
      <c r="S213" s="62" t="str" cm="1">
        <f t="array" ref="S213">Common_InputFunctions.Utility_DisplayArrayInTable(Fertiliser_SourceData.Fertiliser_Products_Data5(),FertiliserProducts[[#Headers],[Company]], 121)</f>
        <v>Potassium - Generic</v>
      </c>
      <c r="T213" s="62" cm="1">
        <f t="array" ref="T213">Common_InputFunctions.Utility_DisplayArrayInTable(Fertiliser_SourceData.Fertiliser_Products_Data5(),FertiliserProducts[[#Headers],[Company]], 121)</f>
        <v>0.08</v>
      </c>
      <c r="U213" s="62" t="str" cm="1">
        <f t="array" ref="U213">Common_InputFunctions.Utility_DisplayArrayInTable(Fertiliser_SourceData.Fertiliser_Products_Data5(),FertiliserProducts[[#Headers],[Company]], 121)</f>
        <v>Sulfur - Generic</v>
      </c>
      <c r="V213" s="62" cm="1">
        <f t="array" ref="V213">Common_InputFunctions.Utility_DisplayArrayInTable(Fertiliser_SourceData.Fertiliser_Products_Data5(),FertiliserProducts[[#Headers],[Company]], 121)</f>
        <v>7.0000000000000007E-2</v>
      </c>
      <c r="W213" s="62" t="str" cm="1">
        <f t="array" ref="W213">Common_InputFunctions.Utility_DisplayArrayInTable(Fertiliser_SourceData.Fertiliser_Products_Data5(),FertiliserProducts[[#Headers],[Company]], 121)</f>
        <v/>
      </c>
      <c r="X213" s="62" t="str" cm="1">
        <f t="array" ref="X213">Common_InputFunctions.Utility_DisplayArrayInTable(Fertiliser_SourceData.Fertiliser_Products_Data5(),FertiliserProducts[[#Headers],[Company]], 121)</f>
        <v/>
      </c>
      <c r="Y213" s="62" t="str" cm="1">
        <f t="array" ref="Y213">Common_InputFunctions.Utility_DisplayArrayInTable(Fertiliser_SourceData.Fertiliser_Products_Data5(),FertiliserProducts[[#Headers],[Company]], 121)</f>
        <v/>
      </c>
      <c r="Z213" s="62" t="str" cm="1">
        <f t="array" ref="Z213">Common_InputFunctions.Utility_DisplayArrayInTable(Fertiliser_SourceData.Fertiliser_Products_Data5(),FertiliserProducts[[#Headers],[Company]], 121)</f>
        <v/>
      </c>
      <c r="AA213" s="62" t="str" cm="1">
        <f t="array" ref="AA213">Common_InputFunctions.Utility_DisplayArrayInTable(Fertiliser_SourceData.Fertiliser_Products_Data5(),FertiliserProducts[[#Headers],[Company]], 121)</f>
        <v/>
      </c>
      <c r="AB213" s="62" t="str" cm="1">
        <f t="array" ref="AB213">Common_InputFunctions.Utility_DisplayArrayInTable(Fertiliser_SourceData.Fertiliser_Products_Data5(),FertiliserProducts[[#Headers],[Company]], 121)</f>
        <v/>
      </c>
      <c r="AC213" s="62" t="str" cm="1">
        <f t="array" ref="AC213">Common_InputFunctions.Utility_DisplayArrayInTable(Fertiliser_SourceData.Fertiliser_Products_Data5(),FertiliserProducts[[#Headers],[Company]], 121)</f>
        <v/>
      </c>
      <c r="AD213" s="62" t="str" cm="1">
        <f t="array" ref="AD213">Common_InputFunctions.Utility_DisplayArrayInTable(Fertiliser_SourceData.Fertiliser_Products_Data5(),FertiliserProducts[[#Headers],[Company]], 121)</f>
        <v/>
      </c>
      <c r="AE213" s="62" t="str" cm="1">
        <f t="array" ref="AE213">Common_InputFunctions.Utility_DisplayArrayInTable(Fertiliser_SourceData.Fertiliser_Products_Data5(),FertiliserProducts[[#Headers],[Company]], 121)</f>
        <v/>
      </c>
      <c r="AF213" s="62" t="str" cm="1">
        <f t="array" ref="AF213">Common_InputFunctions.Utility_DisplayArrayInTable(Fertiliser_SourceData.Fertiliser_Products_Data5(),FertiliserProducts[[#Headers],[Company]], 121)</f>
        <v/>
      </c>
      <c r="AG213" s="62" t="str" cm="1">
        <f t="array" ref="AG213">Common_InputFunctions.Utility_DisplayArrayInTable(Fertiliser_SourceData.Fertiliser_Products_Data5(),FertiliserProducts[[#Headers],[Company]], 121)</f>
        <v/>
      </c>
      <c r="AH213" s="62" t="str" cm="1">
        <f t="array" ref="AH213">Common_InputFunctions.Utility_DisplayArrayInTable(Fertiliser_SourceData.Fertiliser_Products_Data5(),FertiliserProducts[[#Headers],[Company]], 121)</f>
        <v/>
      </c>
    </row>
    <row r="214" spans="4:34" x14ac:dyDescent="0.25">
      <c r="D214" s="62" t="str" cm="1">
        <f t="array" ref="D214">Common_InputFunctions.Utility_DisplayArrayInTable(Fertiliser_SourceData.Fertiliser_Products_Data5(),FertiliserProducts[[#Headers],[Company]], 121)</f>
        <v>Wengfu Australia</v>
      </c>
      <c r="E214" s="62" t="str" cm="1">
        <f t="array" ref="E214">Common_InputFunctions.Utility_DisplayArrayInTable(Fertiliser_SourceData.Fertiliser_Products_Data5(),FertiliserProducts[[#Headers],[Company]], 121)</f>
        <v>Wengfu Aftergraze</v>
      </c>
      <c r="F214" s="62" t="str" cm="1">
        <f t="array" ref="F214">Common_InputFunctions.Utility_DisplayArrayInTable(Fertiliser_SourceData.Fertiliser_Products_Data5(),FertiliserProducts[[#Headers],[Company]], 121)</f>
        <v>kg</v>
      </c>
      <c r="G214" s="62" cm="1">
        <f t="array" ref="G214">Common_InputFunctions.Utility_DisplayArrayInTable(Fertiliser_SourceData.Fertiliser_Products_Data5(),FertiliserProducts[[#Headers],[Company]], 121)</f>
        <v>1</v>
      </c>
      <c r="H214" s="62" t="str" cm="1">
        <f t="array" ref="H214">Common_InputFunctions.Utility_DisplayArrayInTable(Fertiliser_SourceData.Fertiliser_Products_Data5(),FertiliserProducts[[#Headers],[Company]], 121)</f>
        <v/>
      </c>
      <c r="I214" s="62" t="str" cm="1">
        <f t="array" ref="I214">Common_InputFunctions.Utility_DisplayArrayInTable(Fertiliser_SourceData.Fertiliser_Products_Data5(),FertiliserProducts[[#Headers],[Company]], 121)</f>
        <v/>
      </c>
      <c r="J214" s="62" t="str" cm="1">
        <f t="array" ref="J214">Common_InputFunctions.Utility_DisplayArrayInTable(Fertiliser_SourceData.Fertiliser_Products_Data5(),FertiliserProducts[[#Headers],[Company]], 121)</f>
        <v/>
      </c>
      <c r="K214" s="62" cm="1">
        <f t="array" ref="K214">Common_InputFunctions.Utility_DisplayArrayInTable(Fertiliser_SourceData.Fertiliser_Products_Data5(),FertiliserProducts[[#Headers],[Company]], 121)</f>
        <v>23</v>
      </c>
      <c r="L214" s="62" cm="1">
        <f t="array" ref="L214">Common_InputFunctions.Utility_DisplayArrayInTable(Fertiliser_SourceData.Fertiliser_Products_Data5(),FertiliserProducts[[#Headers],[Company]], 121)</f>
        <v>0</v>
      </c>
      <c r="M214" s="62" cm="1">
        <f t="array" ref="M214">Common_InputFunctions.Utility_DisplayArrayInTable(Fertiliser_SourceData.Fertiliser_Products_Data5(),FertiliserProducts[[#Headers],[Company]], 121)</f>
        <v>25</v>
      </c>
      <c r="N214" s="62" cm="1">
        <f t="array" ref="N214">Common_InputFunctions.Utility_DisplayArrayInTable(Fertiliser_SourceData.Fertiliser_Products_Data5(),FertiliserProducts[[#Headers],[Company]], 121)</f>
        <v>0</v>
      </c>
      <c r="O214" s="62" t="str" cm="1">
        <f t="array" ref="O214">Common_InputFunctions.Utility_DisplayArrayInTable(Fertiliser_SourceData.Fertiliser_Products_Data5(),FertiliserProducts[[#Headers],[Company]], 121)</f>
        <v>Nitrogen - Generic</v>
      </c>
      <c r="P214" s="62" cm="1">
        <f t="array" ref="P214">Common_InputFunctions.Utility_DisplayArrayInTable(Fertiliser_SourceData.Fertiliser_Products_Data5(),FertiliserProducts[[#Headers],[Company]], 121)</f>
        <v>0.23</v>
      </c>
      <c r="Q214" s="62" t="str" cm="1">
        <f t="array" ref="Q214">Common_InputFunctions.Utility_DisplayArrayInTable(Fertiliser_SourceData.Fertiliser_Products_Data5(),FertiliserProducts[[#Headers],[Company]], 121)</f>
        <v>Potassium - Generic</v>
      </c>
      <c r="R214" s="62" cm="1">
        <f t="array" ref="R214">Common_InputFunctions.Utility_DisplayArrayInTable(Fertiliser_SourceData.Fertiliser_Products_Data5(),FertiliserProducts[[#Headers],[Company]], 121)</f>
        <v>0.25</v>
      </c>
      <c r="S214" s="62" t="str" cm="1">
        <f t="array" ref="S214">Common_InputFunctions.Utility_DisplayArrayInTable(Fertiliser_SourceData.Fertiliser_Products_Data5(),FertiliserProducts[[#Headers],[Company]], 121)</f>
        <v/>
      </c>
      <c r="T214" s="62" t="str" cm="1">
        <f t="array" ref="T214">Common_InputFunctions.Utility_DisplayArrayInTable(Fertiliser_SourceData.Fertiliser_Products_Data5(),FertiliserProducts[[#Headers],[Company]], 121)</f>
        <v/>
      </c>
      <c r="U214" s="62" t="str" cm="1">
        <f t="array" ref="U214">Common_InputFunctions.Utility_DisplayArrayInTable(Fertiliser_SourceData.Fertiliser_Products_Data5(),FertiliserProducts[[#Headers],[Company]], 121)</f>
        <v/>
      </c>
      <c r="V214" s="62" t="str" cm="1">
        <f t="array" ref="V214">Common_InputFunctions.Utility_DisplayArrayInTable(Fertiliser_SourceData.Fertiliser_Products_Data5(),FertiliserProducts[[#Headers],[Company]], 121)</f>
        <v/>
      </c>
      <c r="W214" s="62" t="str" cm="1">
        <f t="array" ref="W214">Common_InputFunctions.Utility_DisplayArrayInTable(Fertiliser_SourceData.Fertiliser_Products_Data5(),FertiliserProducts[[#Headers],[Company]], 121)</f>
        <v/>
      </c>
      <c r="X214" s="62" t="str" cm="1">
        <f t="array" ref="X214">Common_InputFunctions.Utility_DisplayArrayInTable(Fertiliser_SourceData.Fertiliser_Products_Data5(),FertiliserProducts[[#Headers],[Company]], 121)</f>
        <v/>
      </c>
      <c r="Y214" s="62" t="str" cm="1">
        <f t="array" ref="Y214">Common_InputFunctions.Utility_DisplayArrayInTable(Fertiliser_SourceData.Fertiliser_Products_Data5(),FertiliserProducts[[#Headers],[Company]], 121)</f>
        <v/>
      </c>
      <c r="Z214" s="62" t="str" cm="1">
        <f t="array" ref="Z214">Common_InputFunctions.Utility_DisplayArrayInTable(Fertiliser_SourceData.Fertiliser_Products_Data5(),FertiliserProducts[[#Headers],[Company]], 121)</f>
        <v/>
      </c>
      <c r="AA214" s="62" t="str" cm="1">
        <f t="array" ref="AA214">Common_InputFunctions.Utility_DisplayArrayInTable(Fertiliser_SourceData.Fertiliser_Products_Data5(),FertiliserProducts[[#Headers],[Company]], 121)</f>
        <v/>
      </c>
      <c r="AB214" s="62" t="str" cm="1">
        <f t="array" ref="AB214">Common_InputFunctions.Utility_DisplayArrayInTable(Fertiliser_SourceData.Fertiliser_Products_Data5(),FertiliserProducts[[#Headers],[Company]], 121)</f>
        <v/>
      </c>
      <c r="AC214" s="62" t="str" cm="1">
        <f t="array" ref="AC214">Common_InputFunctions.Utility_DisplayArrayInTable(Fertiliser_SourceData.Fertiliser_Products_Data5(),FertiliserProducts[[#Headers],[Company]], 121)</f>
        <v/>
      </c>
      <c r="AD214" s="62" t="str" cm="1">
        <f t="array" ref="AD214">Common_InputFunctions.Utility_DisplayArrayInTable(Fertiliser_SourceData.Fertiliser_Products_Data5(),FertiliserProducts[[#Headers],[Company]], 121)</f>
        <v/>
      </c>
      <c r="AE214" s="62" t="str" cm="1">
        <f t="array" ref="AE214">Common_InputFunctions.Utility_DisplayArrayInTable(Fertiliser_SourceData.Fertiliser_Products_Data5(),FertiliserProducts[[#Headers],[Company]], 121)</f>
        <v/>
      </c>
      <c r="AF214" s="62" t="str" cm="1">
        <f t="array" ref="AF214">Common_InputFunctions.Utility_DisplayArrayInTable(Fertiliser_SourceData.Fertiliser_Products_Data5(),FertiliserProducts[[#Headers],[Company]], 121)</f>
        <v/>
      </c>
      <c r="AG214" s="62" t="str" cm="1">
        <f t="array" ref="AG214">Common_InputFunctions.Utility_DisplayArrayInTable(Fertiliser_SourceData.Fertiliser_Products_Data5(),FertiliserProducts[[#Headers],[Company]], 121)</f>
        <v/>
      </c>
      <c r="AH214" s="62" t="str" cm="1">
        <f t="array" ref="AH214">Common_InputFunctions.Utility_DisplayArrayInTable(Fertiliser_SourceData.Fertiliser_Products_Data5(),FertiliserProducts[[#Headers],[Company]], 121)</f>
        <v/>
      </c>
    </row>
    <row r="215" spans="4:34" x14ac:dyDescent="0.25">
      <c r="D215" s="62" t="str" cm="1">
        <f t="array" ref="D215">Common_InputFunctions.Utility_DisplayArrayInTable(Fertiliser_SourceData.Fertiliser_Products_Data5(),FertiliserProducts[[#Headers],[Company]], 121)</f>
        <v>Wengfu Australia</v>
      </c>
      <c r="E215" s="62" t="str" cm="1">
        <f t="array" ref="E215">Common_InputFunctions.Utility_DisplayArrayInTable(Fertiliser_SourceData.Fertiliser_Products_Data5(),FertiliserProducts[[#Headers],[Company]], 121)</f>
        <v>Wengfu Sidedress</v>
      </c>
      <c r="F215" s="62" t="str" cm="1">
        <f t="array" ref="F215">Common_InputFunctions.Utility_DisplayArrayInTable(Fertiliser_SourceData.Fertiliser_Products_Data5(),FertiliserProducts[[#Headers],[Company]], 121)</f>
        <v>kg</v>
      </c>
      <c r="G215" s="62" cm="1">
        <f t="array" ref="G215">Common_InputFunctions.Utility_DisplayArrayInTable(Fertiliser_SourceData.Fertiliser_Products_Data5(),FertiliserProducts[[#Headers],[Company]], 121)</f>
        <v>1</v>
      </c>
      <c r="H215" s="62" t="str" cm="1">
        <f t="array" ref="H215">Common_InputFunctions.Utility_DisplayArrayInTable(Fertiliser_SourceData.Fertiliser_Products_Data5(),FertiliserProducts[[#Headers],[Company]], 121)</f>
        <v/>
      </c>
      <c r="I215" s="62" t="str" cm="1">
        <f t="array" ref="I215">Common_InputFunctions.Utility_DisplayArrayInTable(Fertiliser_SourceData.Fertiliser_Products_Data5(),FertiliserProducts[[#Headers],[Company]], 121)</f>
        <v/>
      </c>
      <c r="J215" s="62" t="str" cm="1">
        <f t="array" ref="J215">Common_InputFunctions.Utility_DisplayArrayInTable(Fertiliser_SourceData.Fertiliser_Products_Data5(),FertiliserProducts[[#Headers],[Company]], 121)</f>
        <v/>
      </c>
      <c r="K215" s="62" cm="1">
        <f t="array" ref="K215">Common_InputFunctions.Utility_DisplayArrayInTable(Fertiliser_SourceData.Fertiliser_Products_Data5(),FertiliserProducts[[#Headers],[Company]], 121)</f>
        <v>25</v>
      </c>
      <c r="L215" s="62" cm="1">
        <f t="array" ref="L215">Common_InputFunctions.Utility_DisplayArrayInTable(Fertiliser_SourceData.Fertiliser_Products_Data5(),FertiliserProducts[[#Headers],[Company]], 121)</f>
        <v>4</v>
      </c>
      <c r="M215" s="62" cm="1">
        <f t="array" ref="M215">Common_InputFunctions.Utility_DisplayArrayInTable(Fertiliser_SourceData.Fertiliser_Products_Data5(),FertiliserProducts[[#Headers],[Company]], 121)</f>
        <v>13</v>
      </c>
      <c r="N215" s="62" cm="1">
        <f t="array" ref="N215">Common_InputFunctions.Utility_DisplayArrayInTable(Fertiliser_SourceData.Fertiliser_Products_Data5(),FertiliserProducts[[#Headers],[Company]], 121)</f>
        <v>4</v>
      </c>
      <c r="O215" s="62" t="str" cm="1">
        <f t="array" ref="O215">Common_InputFunctions.Utility_DisplayArrayInTable(Fertiliser_SourceData.Fertiliser_Products_Data5(),FertiliserProducts[[#Headers],[Company]], 121)</f>
        <v>Nitrogen - Generic</v>
      </c>
      <c r="P215" s="62" cm="1">
        <f t="array" ref="P215">Common_InputFunctions.Utility_DisplayArrayInTable(Fertiliser_SourceData.Fertiliser_Products_Data5(),FertiliserProducts[[#Headers],[Company]], 121)</f>
        <v>0.25</v>
      </c>
      <c r="Q215" s="62" t="str" cm="1">
        <f t="array" ref="Q215">Common_InputFunctions.Utility_DisplayArrayInTable(Fertiliser_SourceData.Fertiliser_Products_Data5(),FertiliserProducts[[#Headers],[Company]], 121)</f>
        <v>Phosphorus - Generic</v>
      </c>
      <c r="R215" s="62" cm="1">
        <f t="array" ref="R215">Common_InputFunctions.Utility_DisplayArrayInTable(Fertiliser_SourceData.Fertiliser_Products_Data5(),FertiliserProducts[[#Headers],[Company]], 121)</f>
        <v>0.04</v>
      </c>
      <c r="S215" s="62" t="str" cm="1">
        <f t="array" ref="S215">Common_InputFunctions.Utility_DisplayArrayInTable(Fertiliser_SourceData.Fertiliser_Products_Data5(),FertiliserProducts[[#Headers],[Company]], 121)</f>
        <v>Potassium - Generic</v>
      </c>
      <c r="T215" s="62" cm="1">
        <f t="array" ref="T215">Common_InputFunctions.Utility_DisplayArrayInTable(Fertiliser_SourceData.Fertiliser_Products_Data5(),FertiliserProducts[[#Headers],[Company]], 121)</f>
        <v>0.13</v>
      </c>
      <c r="U215" s="62" t="str" cm="1">
        <f t="array" ref="U215">Common_InputFunctions.Utility_DisplayArrayInTable(Fertiliser_SourceData.Fertiliser_Products_Data5(),FertiliserProducts[[#Headers],[Company]], 121)</f>
        <v>Sulfur - Generic</v>
      </c>
      <c r="V215" s="62" cm="1">
        <f t="array" ref="V215">Common_InputFunctions.Utility_DisplayArrayInTable(Fertiliser_SourceData.Fertiliser_Products_Data5(),FertiliserProducts[[#Headers],[Company]], 121)</f>
        <v>0.04</v>
      </c>
      <c r="W215" s="62" t="str" cm="1">
        <f t="array" ref="W215">Common_InputFunctions.Utility_DisplayArrayInTable(Fertiliser_SourceData.Fertiliser_Products_Data5(),FertiliserProducts[[#Headers],[Company]], 121)</f>
        <v/>
      </c>
      <c r="X215" s="62" t="str" cm="1">
        <f t="array" ref="X215">Common_InputFunctions.Utility_DisplayArrayInTable(Fertiliser_SourceData.Fertiliser_Products_Data5(),FertiliserProducts[[#Headers],[Company]], 121)</f>
        <v/>
      </c>
      <c r="Y215" s="62" t="str" cm="1">
        <f t="array" ref="Y215">Common_InputFunctions.Utility_DisplayArrayInTable(Fertiliser_SourceData.Fertiliser_Products_Data5(),FertiliserProducts[[#Headers],[Company]], 121)</f>
        <v/>
      </c>
      <c r="Z215" s="62" t="str" cm="1">
        <f t="array" ref="Z215">Common_InputFunctions.Utility_DisplayArrayInTable(Fertiliser_SourceData.Fertiliser_Products_Data5(),FertiliserProducts[[#Headers],[Company]], 121)</f>
        <v/>
      </c>
      <c r="AA215" s="62" t="str" cm="1">
        <f t="array" ref="AA215">Common_InputFunctions.Utility_DisplayArrayInTable(Fertiliser_SourceData.Fertiliser_Products_Data5(),FertiliserProducts[[#Headers],[Company]], 121)</f>
        <v/>
      </c>
      <c r="AB215" s="62" t="str" cm="1">
        <f t="array" ref="AB215">Common_InputFunctions.Utility_DisplayArrayInTable(Fertiliser_SourceData.Fertiliser_Products_Data5(),FertiliserProducts[[#Headers],[Company]], 121)</f>
        <v/>
      </c>
      <c r="AC215" s="62" t="str" cm="1">
        <f t="array" ref="AC215">Common_InputFunctions.Utility_DisplayArrayInTable(Fertiliser_SourceData.Fertiliser_Products_Data5(),FertiliserProducts[[#Headers],[Company]], 121)</f>
        <v/>
      </c>
      <c r="AD215" s="62" t="str" cm="1">
        <f t="array" ref="AD215">Common_InputFunctions.Utility_DisplayArrayInTable(Fertiliser_SourceData.Fertiliser_Products_Data5(),FertiliserProducts[[#Headers],[Company]], 121)</f>
        <v/>
      </c>
      <c r="AE215" s="62" t="str" cm="1">
        <f t="array" ref="AE215">Common_InputFunctions.Utility_DisplayArrayInTable(Fertiliser_SourceData.Fertiliser_Products_Data5(),FertiliserProducts[[#Headers],[Company]], 121)</f>
        <v/>
      </c>
      <c r="AF215" s="62" t="str" cm="1">
        <f t="array" ref="AF215">Common_InputFunctions.Utility_DisplayArrayInTable(Fertiliser_SourceData.Fertiliser_Products_Data5(),FertiliserProducts[[#Headers],[Company]], 121)</f>
        <v/>
      </c>
      <c r="AG215" s="62" t="str" cm="1">
        <f t="array" ref="AG215">Common_InputFunctions.Utility_DisplayArrayInTable(Fertiliser_SourceData.Fertiliser_Products_Data5(),FertiliserProducts[[#Headers],[Company]], 121)</f>
        <v/>
      </c>
      <c r="AH215" s="62" t="str" cm="1">
        <f t="array" ref="AH215">Common_InputFunctions.Utility_DisplayArrayInTable(Fertiliser_SourceData.Fertiliser_Products_Data5(),FertiliserProducts[[#Headers],[Company]], 121)</f>
        <v/>
      </c>
    </row>
    <row r="216" spans="4:34" x14ac:dyDescent="0.25">
      <c r="D216" s="62" t="str" cm="1">
        <f t="array" ref="D216">Common_InputFunctions.Utility_DisplayArrayInTable(Fertiliser_SourceData.Fertiliser_Products_Data5(),FertiliserProducts[[#Headers],[Company]], 121)</f>
        <v>Wengfu Australia</v>
      </c>
      <c r="E216" s="62" t="str" cm="1">
        <f t="array" ref="E216">Common_InputFunctions.Utility_DisplayArrayInTable(Fertiliser_SourceData.Fertiliser_Products_Data5(),FertiliserProducts[[#Headers],[Company]], 121)</f>
        <v>Wengfu Pasture Booster</v>
      </c>
      <c r="F216" s="62" t="str" cm="1">
        <f t="array" ref="F216">Common_InputFunctions.Utility_DisplayArrayInTable(Fertiliser_SourceData.Fertiliser_Products_Data5(),FertiliserProducts[[#Headers],[Company]], 121)</f>
        <v>kg</v>
      </c>
      <c r="G216" s="62" cm="1">
        <f t="array" ref="G216">Common_InputFunctions.Utility_DisplayArrayInTable(Fertiliser_SourceData.Fertiliser_Products_Data5(),FertiliserProducts[[#Headers],[Company]], 121)</f>
        <v>1</v>
      </c>
      <c r="H216" s="62" t="str" cm="1">
        <f t="array" ref="H216">Common_InputFunctions.Utility_DisplayArrayInTable(Fertiliser_SourceData.Fertiliser_Products_Data5(),FertiliserProducts[[#Headers],[Company]], 121)</f>
        <v/>
      </c>
      <c r="I216" s="62" t="str" cm="1">
        <f t="array" ref="I216">Common_InputFunctions.Utility_DisplayArrayInTable(Fertiliser_SourceData.Fertiliser_Products_Data5(),FertiliserProducts[[#Headers],[Company]], 121)</f>
        <v/>
      </c>
      <c r="J216" s="62" t="str" cm="1">
        <f t="array" ref="J216">Common_InputFunctions.Utility_DisplayArrayInTable(Fertiliser_SourceData.Fertiliser_Products_Data5(),FertiliserProducts[[#Headers],[Company]], 121)</f>
        <v/>
      </c>
      <c r="K216" s="62" cm="1">
        <f t="array" ref="K216">Common_InputFunctions.Utility_DisplayArrayInTable(Fertiliser_SourceData.Fertiliser_Products_Data5(),FertiliserProducts[[#Headers],[Company]], 121)</f>
        <v>13</v>
      </c>
      <c r="L216" s="62" cm="1">
        <f t="array" ref="L216">Common_InputFunctions.Utility_DisplayArrayInTable(Fertiliser_SourceData.Fertiliser_Products_Data5(),FertiliserProducts[[#Headers],[Company]], 121)</f>
        <v>5</v>
      </c>
      <c r="M216" s="62" cm="1">
        <f t="array" ref="M216">Common_InputFunctions.Utility_DisplayArrayInTable(Fertiliser_SourceData.Fertiliser_Products_Data5(),FertiliserProducts[[#Headers],[Company]], 121)</f>
        <v>24</v>
      </c>
      <c r="N216" s="62" cm="1">
        <f t="array" ref="N216">Common_InputFunctions.Utility_DisplayArrayInTable(Fertiliser_SourceData.Fertiliser_Products_Data5(),FertiliserProducts[[#Headers],[Company]], 121)</f>
        <v>5</v>
      </c>
      <c r="O216" s="62" t="str" cm="1">
        <f t="array" ref="O216">Common_InputFunctions.Utility_DisplayArrayInTable(Fertiliser_SourceData.Fertiliser_Products_Data5(),FertiliserProducts[[#Headers],[Company]], 121)</f>
        <v>Nitrogen - Generic</v>
      </c>
      <c r="P216" s="62" cm="1">
        <f t="array" ref="P216">Common_InputFunctions.Utility_DisplayArrayInTable(Fertiliser_SourceData.Fertiliser_Products_Data5(),FertiliserProducts[[#Headers],[Company]], 121)</f>
        <v>0.13</v>
      </c>
      <c r="Q216" s="62" t="str" cm="1">
        <f t="array" ref="Q216">Common_InputFunctions.Utility_DisplayArrayInTable(Fertiliser_SourceData.Fertiliser_Products_Data5(),FertiliserProducts[[#Headers],[Company]], 121)</f>
        <v>Phosphorus - Generic</v>
      </c>
      <c r="R216" s="62" cm="1">
        <f t="array" ref="R216">Common_InputFunctions.Utility_DisplayArrayInTable(Fertiliser_SourceData.Fertiliser_Products_Data5(),FertiliserProducts[[#Headers],[Company]], 121)</f>
        <v>0.05</v>
      </c>
      <c r="S216" s="62" t="str" cm="1">
        <f t="array" ref="S216">Common_InputFunctions.Utility_DisplayArrayInTable(Fertiliser_SourceData.Fertiliser_Products_Data5(),FertiliserProducts[[#Headers],[Company]], 121)</f>
        <v>Potassium - Generic</v>
      </c>
      <c r="T216" s="62" cm="1">
        <f t="array" ref="T216">Common_InputFunctions.Utility_DisplayArrayInTable(Fertiliser_SourceData.Fertiliser_Products_Data5(),FertiliserProducts[[#Headers],[Company]], 121)</f>
        <v>0.24</v>
      </c>
      <c r="U216" s="62" t="str" cm="1">
        <f t="array" ref="U216">Common_InputFunctions.Utility_DisplayArrayInTable(Fertiliser_SourceData.Fertiliser_Products_Data5(),FertiliserProducts[[#Headers],[Company]], 121)</f>
        <v>Sulfur - Generic</v>
      </c>
      <c r="V216" s="62" cm="1">
        <f t="array" ref="V216">Common_InputFunctions.Utility_DisplayArrayInTable(Fertiliser_SourceData.Fertiliser_Products_Data5(),FertiliserProducts[[#Headers],[Company]], 121)</f>
        <v>0.05</v>
      </c>
      <c r="W216" s="62" t="str" cm="1">
        <f t="array" ref="W216">Common_InputFunctions.Utility_DisplayArrayInTable(Fertiliser_SourceData.Fertiliser_Products_Data5(),FertiliserProducts[[#Headers],[Company]], 121)</f>
        <v/>
      </c>
      <c r="X216" s="62" t="str" cm="1">
        <f t="array" ref="X216">Common_InputFunctions.Utility_DisplayArrayInTable(Fertiliser_SourceData.Fertiliser_Products_Data5(),FertiliserProducts[[#Headers],[Company]], 121)</f>
        <v/>
      </c>
      <c r="Y216" s="62" t="str" cm="1">
        <f t="array" ref="Y216">Common_InputFunctions.Utility_DisplayArrayInTable(Fertiliser_SourceData.Fertiliser_Products_Data5(),FertiliserProducts[[#Headers],[Company]], 121)</f>
        <v/>
      </c>
      <c r="Z216" s="62" t="str" cm="1">
        <f t="array" ref="Z216">Common_InputFunctions.Utility_DisplayArrayInTable(Fertiliser_SourceData.Fertiliser_Products_Data5(),FertiliserProducts[[#Headers],[Company]], 121)</f>
        <v/>
      </c>
      <c r="AA216" s="62" t="str" cm="1">
        <f t="array" ref="AA216">Common_InputFunctions.Utility_DisplayArrayInTable(Fertiliser_SourceData.Fertiliser_Products_Data5(),FertiliserProducts[[#Headers],[Company]], 121)</f>
        <v/>
      </c>
      <c r="AB216" s="62" t="str" cm="1">
        <f t="array" ref="AB216">Common_InputFunctions.Utility_DisplayArrayInTable(Fertiliser_SourceData.Fertiliser_Products_Data5(),FertiliserProducts[[#Headers],[Company]], 121)</f>
        <v/>
      </c>
      <c r="AC216" s="62" t="str" cm="1">
        <f t="array" ref="AC216">Common_InputFunctions.Utility_DisplayArrayInTable(Fertiliser_SourceData.Fertiliser_Products_Data5(),FertiliserProducts[[#Headers],[Company]], 121)</f>
        <v/>
      </c>
      <c r="AD216" s="62" t="str" cm="1">
        <f t="array" ref="AD216">Common_InputFunctions.Utility_DisplayArrayInTable(Fertiliser_SourceData.Fertiliser_Products_Data5(),FertiliserProducts[[#Headers],[Company]], 121)</f>
        <v/>
      </c>
      <c r="AE216" s="62" t="str" cm="1">
        <f t="array" ref="AE216">Common_InputFunctions.Utility_DisplayArrayInTable(Fertiliser_SourceData.Fertiliser_Products_Data5(),FertiliserProducts[[#Headers],[Company]], 121)</f>
        <v/>
      </c>
      <c r="AF216" s="62" t="str" cm="1">
        <f t="array" ref="AF216">Common_InputFunctions.Utility_DisplayArrayInTable(Fertiliser_SourceData.Fertiliser_Products_Data5(),FertiliserProducts[[#Headers],[Company]], 121)</f>
        <v/>
      </c>
      <c r="AG216" s="62" t="str" cm="1">
        <f t="array" ref="AG216">Common_InputFunctions.Utility_DisplayArrayInTable(Fertiliser_SourceData.Fertiliser_Products_Data5(),FertiliserProducts[[#Headers],[Company]], 121)</f>
        <v/>
      </c>
      <c r="AH216" s="62" t="str" cm="1">
        <f t="array" ref="AH216">Common_InputFunctions.Utility_DisplayArrayInTable(Fertiliser_SourceData.Fertiliser_Products_Data5(),FertiliserProducts[[#Headers],[Company]], 121)</f>
        <v/>
      </c>
    </row>
    <row r="217" spans="4:34" x14ac:dyDescent="0.25">
      <c r="D217" s="62" t="str" cm="1">
        <f t="array" ref="D217">Common_InputFunctions.Utility_DisplayArrayInTable(Fertiliser_SourceData.Fertiliser_Products_Data5(),FertiliserProducts[[#Headers],[Company]], 121)</f>
        <v>Wengfu Australia</v>
      </c>
      <c r="E217" s="62" t="str" cm="1">
        <f t="array" ref="E217">Common_InputFunctions.Utility_DisplayArrayInTable(Fertiliser_SourceData.Fertiliser_Products_Data5(),FertiliserProducts[[#Headers],[Company]], 121)</f>
        <v>Wengfu DAP Hay Booster</v>
      </c>
      <c r="F217" s="62" t="str" cm="1">
        <f t="array" ref="F217">Common_InputFunctions.Utility_DisplayArrayInTable(Fertiliser_SourceData.Fertiliser_Products_Data5(),FertiliserProducts[[#Headers],[Company]], 121)</f>
        <v>kg</v>
      </c>
      <c r="G217" s="62" cm="1">
        <f t="array" ref="G217">Common_InputFunctions.Utility_DisplayArrayInTable(Fertiliser_SourceData.Fertiliser_Products_Data5(),FertiliserProducts[[#Headers],[Company]], 121)</f>
        <v>1</v>
      </c>
      <c r="H217" s="62" t="str" cm="1">
        <f t="array" ref="H217">Common_InputFunctions.Utility_DisplayArrayInTable(Fertiliser_SourceData.Fertiliser_Products_Data5(),FertiliserProducts[[#Headers],[Company]], 121)</f>
        <v/>
      </c>
      <c r="I217" s="62" t="str" cm="1">
        <f t="array" ref="I217">Common_InputFunctions.Utility_DisplayArrayInTable(Fertiliser_SourceData.Fertiliser_Products_Data5(),FertiliserProducts[[#Headers],[Company]], 121)</f>
        <v/>
      </c>
      <c r="J217" s="62" t="str" cm="1">
        <f t="array" ref="J217">Common_InputFunctions.Utility_DisplayArrayInTable(Fertiliser_SourceData.Fertiliser_Products_Data5(),FertiliserProducts[[#Headers],[Company]], 121)</f>
        <v/>
      </c>
      <c r="K217" s="62" cm="1">
        <f t="array" ref="K217">Common_InputFunctions.Utility_DisplayArrayInTable(Fertiliser_SourceData.Fertiliser_Products_Data5(),FertiliserProducts[[#Headers],[Company]], 121)</f>
        <v>11</v>
      </c>
      <c r="L217" s="62" cm="1">
        <f t="array" ref="L217">Common_InputFunctions.Utility_DisplayArrayInTable(Fertiliser_SourceData.Fertiliser_Products_Data5(),FertiliserProducts[[#Headers],[Company]], 121)</f>
        <v>5</v>
      </c>
      <c r="M217" s="62" cm="1">
        <f t="array" ref="M217">Common_InputFunctions.Utility_DisplayArrayInTable(Fertiliser_SourceData.Fertiliser_Products_Data5(),FertiliserProducts[[#Headers],[Company]], 121)</f>
        <v>24</v>
      </c>
      <c r="N217" s="62" cm="1">
        <f t="array" ref="N217">Common_InputFunctions.Utility_DisplayArrayInTable(Fertiliser_SourceData.Fertiliser_Products_Data5(),FertiliserProducts[[#Headers],[Company]], 121)</f>
        <v>4</v>
      </c>
      <c r="O217" s="62" t="str" cm="1">
        <f t="array" ref="O217">Common_InputFunctions.Utility_DisplayArrayInTable(Fertiliser_SourceData.Fertiliser_Products_Data5(),FertiliserProducts[[#Headers],[Company]], 121)</f>
        <v>Nitrogen - Generic</v>
      </c>
      <c r="P217" s="62" cm="1">
        <f t="array" ref="P217">Common_InputFunctions.Utility_DisplayArrayInTable(Fertiliser_SourceData.Fertiliser_Products_Data5(),FertiliserProducts[[#Headers],[Company]], 121)</f>
        <v>0.11</v>
      </c>
      <c r="Q217" s="62" t="str" cm="1">
        <f t="array" ref="Q217">Common_InputFunctions.Utility_DisplayArrayInTable(Fertiliser_SourceData.Fertiliser_Products_Data5(),FertiliserProducts[[#Headers],[Company]], 121)</f>
        <v>Phosphorus - Generic</v>
      </c>
      <c r="R217" s="62" cm="1">
        <f t="array" ref="R217">Common_InputFunctions.Utility_DisplayArrayInTable(Fertiliser_SourceData.Fertiliser_Products_Data5(),FertiliserProducts[[#Headers],[Company]], 121)</f>
        <v>0.05</v>
      </c>
      <c r="S217" s="62" t="str" cm="1">
        <f t="array" ref="S217">Common_InputFunctions.Utility_DisplayArrayInTable(Fertiliser_SourceData.Fertiliser_Products_Data5(),FertiliserProducts[[#Headers],[Company]], 121)</f>
        <v>Potassium - Generic</v>
      </c>
      <c r="T217" s="62" cm="1">
        <f t="array" ref="T217">Common_InputFunctions.Utility_DisplayArrayInTable(Fertiliser_SourceData.Fertiliser_Products_Data5(),FertiliserProducts[[#Headers],[Company]], 121)</f>
        <v>0.24</v>
      </c>
      <c r="U217" s="62" t="str" cm="1">
        <f t="array" ref="U217">Common_InputFunctions.Utility_DisplayArrayInTable(Fertiliser_SourceData.Fertiliser_Products_Data5(),FertiliserProducts[[#Headers],[Company]], 121)</f>
        <v>Sulfur - Generic</v>
      </c>
      <c r="V217" s="62" cm="1">
        <f t="array" ref="V217">Common_InputFunctions.Utility_DisplayArrayInTable(Fertiliser_SourceData.Fertiliser_Products_Data5(),FertiliserProducts[[#Headers],[Company]], 121)</f>
        <v>0.04</v>
      </c>
      <c r="W217" s="62" t="str" cm="1">
        <f t="array" ref="W217">Common_InputFunctions.Utility_DisplayArrayInTable(Fertiliser_SourceData.Fertiliser_Products_Data5(),FertiliserProducts[[#Headers],[Company]], 121)</f>
        <v/>
      </c>
      <c r="X217" s="62" t="str" cm="1">
        <f t="array" ref="X217">Common_InputFunctions.Utility_DisplayArrayInTable(Fertiliser_SourceData.Fertiliser_Products_Data5(),FertiliserProducts[[#Headers],[Company]], 121)</f>
        <v/>
      </c>
      <c r="Y217" s="62" t="str" cm="1">
        <f t="array" ref="Y217">Common_InputFunctions.Utility_DisplayArrayInTable(Fertiliser_SourceData.Fertiliser_Products_Data5(),FertiliserProducts[[#Headers],[Company]], 121)</f>
        <v/>
      </c>
      <c r="Z217" s="62" t="str" cm="1">
        <f t="array" ref="Z217">Common_InputFunctions.Utility_DisplayArrayInTable(Fertiliser_SourceData.Fertiliser_Products_Data5(),FertiliserProducts[[#Headers],[Company]], 121)</f>
        <v/>
      </c>
      <c r="AA217" s="62" t="str" cm="1">
        <f t="array" ref="AA217">Common_InputFunctions.Utility_DisplayArrayInTable(Fertiliser_SourceData.Fertiliser_Products_Data5(),FertiliserProducts[[#Headers],[Company]], 121)</f>
        <v/>
      </c>
      <c r="AB217" s="62" t="str" cm="1">
        <f t="array" ref="AB217">Common_InputFunctions.Utility_DisplayArrayInTable(Fertiliser_SourceData.Fertiliser_Products_Data5(),FertiliserProducts[[#Headers],[Company]], 121)</f>
        <v/>
      </c>
      <c r="AC217" s="62" t="str" cm="1">
        <f t="array" ref="AC217">Common_InputFunctions.Utility_DisplayArrayInTable(Fertiliser_SourceData.Fertiliser_Products_Data5(),FertiliserProducts[[#Headers],[Company]], 121)</f>
        <v/>
      </c>
      <c r="AD217" s="62" t="str" cm="1">
        <f t="array" ref="AD217">Common_InputFunctions.Utility_DisplayArrayInTable(Fertiliser_SourceData.Fertiliser_Products_Data5(),FertiliserProducts[[#Headers],[Company]], 121)</f>
        <v/>
      </c>
      <c r="AE217" s="62" t="str" cm="1">
        <f t="array" ref="AE217">Common_InputFunctions.Utility_DisplayArrayInTable(Fertiliser_SourceData.Fertiliser_Products_Data5(),FertiliserProducts[[#Headers],[Company]], 121)</f>
        <v/>
      </c>
      <c r="AF217" s="62" t="str" cm="1">
        <f t="array" ref="AF217">Common_InputFunctions.Utility_DisplayArrayInTable(Fertiliser_SourceData.Fertiliser_Products_Data5(),FertiliserProducts[[#Headers],[Company]], 121)</f>
        <v/>
      </c>
      <c r="AG217" s="62" t="str" cm="1">
        <f t="array" ref="AG217">Common_InputFunctions.Utility_DisplayArrayInTable(Fertiliser_SourceData.Fertiliser_Products_Data5(),FertiliserProducts[[#Headers],[Company]], 121)</f>
        <v/>
      </c>
      <c r="AH217" s="62" t="str" cm="1">
        <f t="array" ref="AH217">Common_InputFunctions.Utility_DisplayArrayInTable(Fertiliser_SourceData.Fertiliser_Products_Data5(),FertiliserProducts[[#Headers],[Company]], 121)</f>
        <v/>
      </c>
    </row>
    <row r="218" spans="4:34" x14ac:dyDescent="0.25">
      <c r="D218" s="62" t="str" cm="1">
        <f t="array" ref="D218">Common_InputFunctions.Utility_DisplayArrayInTable(Fertiliser_SourceData.Fertiliser_Products_Data5(),FertiliserProducts[[#Headers],[Company]], 121)</f>
        <v>Wengfu Australia</v>
      </c>
      <c r="E218" s="62" t="str" cm="1">
        <f t="array" ref="E218">Common_InputFunctions.Utility_DisplayArrayInTable(Fertiliser_SourceData.Fertiliser_Products_Data5(),FertiliserProducts[[#Headers],[Company]], 121)</f>
        <v>Wengfu MAP Hay Booster</v>
      </c>
      <c r="F218" s="62" t="str" cm="1">
        <f t="array" ref="F218">Common_InputFunctions.Utility_DisplayArrayInTable(Fertiliser_SourceData.Fertiliser_Products_Data5(),FertiliserProducts[[#Headers],[Company]], 121)</f>
        <v>kg</v>
      </c>
      <c r="G218" s="62" cm="1">
        <f t="array" ref="G218">Common_InputFunctions.Utility_DisplayArrayInTable(Fertiliser_SourceData.Fertiliser_Products_Data5(),FertiliserProducts[[#Headers],[Company]], 121)</f>
        <v>1</v>
      </c>
      <c r="H218" s="62" t="str" cm="1">
        <f t="array" ref="H218">Common_InputFunctions.Utility_DisplayArrayInTable(Fertiliser_SourceData.Fertiliser_Products_Data5(),FertiliserProducts[[#Headers],[Company]], 121)</f>
        <v/>
      </c>
      <c r="I218" s="62" t="str" cm="1">
        <f t="array" ref="I218">Common_InputFunctions.Utility_DisplayArrayInTable(Fertiliser_SourceData.Fertiliser_Products_Data5(),FertiliserProducts[[#Headers],[Company]], 121)</f>
        <v/>
      </c>
      <c r="J218" s="62" t="str" cm="1">
        <f t="array" ref="J218">Common_InputFunctions.Utility_DisplayArrayInTable(Fertiliser_SourceData.Fertiliser_Products_Data5(),FertiliserProducts[[#Headers],[Company]], 121)</f>
        <v/>
      </c>
      <c r="K218" s="62" cm="1">
        <f t="array" ref="K218">Common_InputFunctions.Utility_DisplayArrayInTable(Fertiliser_SourceData.Fertiliser_Products_Data5(),FertiliserProducts[[#Headers],[Company]], 121)</f>
        <v>11</v>
      </c>
      <c r="L218" s="62" cm="1">
        <f t="array" ref="L218">Common_InputFunctions.Utility_DisplayArrayInTable(Fertiliser_SourceData.Fertiliser_Products_Data5(),FertiliserProducts[[#Headers],[Company]], 121)</f>
        <v>8</v>
      </c>
      <c r="M218" s="62" cm="1">
        <f t="array" ref="M218">Common_InputFunctions.Utility_DisplayArrayInTable(Fertiliser_SourceData.Fertiliser_Products_Data5(),FertiliserProducts[[#Headers],[Company]], 121)</f>
        <v>20</v>
      </c>
      <c r="N218" s="62" cm="1">
        <f t="array" ref="N218">Common_InputFunctions.Utility_DisplayArrayInTable(Fertiliser_SourceData.Fertiliser_Products_Data5(),FertiliserProducts[[#Headers],[Company]], 121)</f>
        <v>6</v>
      </c>
      <c r="O218" s="62" t="str" cm="1">
        <f t="array" ref="O218">Common_InputFunctions.Utility_DisplayArrayInTable(Fertiliser_SourceData.Fertiliser_Products_Data5(),FertiliserProducts[[#Headers],[Company]], 121)</f>
        <v>Nitrogen - Generic</v>
      </c>
      <c r="P218" s="62" cm="1">
        <f t="array" ref="P218">Common_InputFunctions.Utility_DisplayArrayInTable(Fertiliser_SourceData.Fertiliser_Products_Data5(),FertiliserProducts[[#Headers],[Company]], 121)</f>
        <v>0.11</v>
      </c>
      <c r="Q218" s="62" t="str" cm="1">
        <f t="array" ref="Q218">Common_InputFunctions.Utility_DisplayArrayInTable(Fertiliser_SourceData.Fertiliser_Products_Data5(),FertiliserProducts[[#Headers],[Company]], 121)</f>
        <v>Phosphorus - Generic</v>
      </c>
      <c r="R218" s="62" cm="1">
        <f t="array" ref="R218">Common_InputFunctions.Utility_DisplayArrayInTable(Fertiliser_SourceData.Fertiliser_Products_Data5(),FertiliserProducts[[#Headers],[Company]], 121)</f>
        <v>0.08</v>
      </c>
      <c r="S218" s="62" t="str" cm="1">
        <f t="array" ref="S218">Common_InputFunctions.Utility_DisplayArrayInTable(Fertiliser_SourceData.Fertiliser_Products_Data5(),FertiliserProducts[[#Headers],[Company]], 121)</f>
        <v>Potassium - Generic</v>
      </c>
      <c r="T218" s="62" cm="1">
        <f t="array" ref="T218">Common_InputFunctions.Utility_DisplayArrayInTable(Fertiliser_SourceData.Fertiliser_Products_Data5(),FertiliserProducts[[#Headers],[Company]], 121)</f>
        <v>0.2</v>
      </c>
      <c r="U218" s="62" t="str" cm="1">
        <f t="array" ref="U218">Common_InputFunctions.Utility_DisplayArrayInTable(Fertiliser_SourceData.Fertiliser_Products_Data5(),FertiliserProducts[[#Headers],[Company]], 121)</f>
        <v>Sulfur - Generic</v>
      </c>
      <c r="V218" s="62" cm="1">
        <f t="array" ref="V218">Common_InputFunctions.Utility_DisplayArrayInTable(Fertiliser_SourceData.Fertiliser_Products_Data5(),FertiliserProducts[[#Headers],[Company]], 121)</f>
        <v>0.06</v>
      </c>
      <c r="W218" s="62" t="str" cm="1">
        <f t="array" ref="W218">Common_InputFunctions.Utility_DisplayArrayInTable(Fertiliser_SourceData.Fertiliser_Products_Data5(),FertiliserProducts[[#Headers],[Company]], 121)</f>
        <v/>
      </c>
      <c r="X218" s="62" t="str" cm="1">
        <f t="array" ref="X218">Common_InputFunctions.Utility_DisplayArrayInTable(Fertiliser_SourceData.Fertiliser_Products_Data5(),FertiliserProducts[[#Headers],[Company]], 121)</f>
        <v/>
      </c>
      <c r="Y218" s="62" t="str" cm="1">
        <f t="array" ref="Y218">Common_InputFunctions.Utility_DisplayArrayInTable(Fertiliser_SourceData.Fertiliser_Products_Data5(),FertiliserProducts[[#Headers],[Company]], 121)</f>
        <v/>
      </c>
      <c r="Z218" s="62" t="str" cm="1">
        <f t="array" ref="Z218">Common_InputFunctions.Utility_DisplayArrayInTable(Fertiliser_SourceData.Fertiliser_Products_Data5(),FertiliserProducts[[#Headers],[Company]], 121)</f>
        <v/>
      </c>
      <c r="AA218" s="62" t="str" cm="1">
        <f t="array" ref="AA218">Common_InputFunctions.Utility_DisplayArrayInTable(Fertiliser_SourceData.Fertiliser_Products_Data5(),FertiliserProducts[[#Headers],[Company]], 121)</f>
        <v/>
      </c>
      <c r="AB218" s="62" t="str" cm="1">
        <f t="array" ref="AB218">Common_InputFunctions.Utility_DisplayArrayInTable(Fertiliser_SourceData.Fertiliser_Products_Data5(),FertiliserProducts[[#Headers],[Company]], 121)</f>
        <v/>
      </c>
      <c r="AC218" s="62" t="str" cm="1">
        <f t="array" ref="AC218">Common_InputFunctions.Utility_DisplayArrayInTable(Fertiliser_SourceData.Fertiliser_Products_Data5(),FertiliserProducts[[#Headers],[Company]], 121)</f>
        <v/>
      </c>
      <c r="AD218" s="62" t="str" cm="1">
        <f t="array" ref="AD218">Common_InputFunctions.Utility_DisplayArrayInTable(Fertiliser_SourceData.Fertiliser_Products_Data5(),FertiliserProducts[[#Headers],[Company]], 121)</f>
        <v/>
      </c>
      <c r="AE218" s="62" t="str" cm="1">
        <f t="array" ref="AE218">Common_InputFunctions.Utility_DisplayArrayInTable(Fertiliser_SourceData.Fertiliser_Products_Data5(),FertiliserProducts[[#Headers],[Company]], 121)</f>
        <v/>
      </c>
      <c r="AF218" s="62" t="str" cm="1">
        <f t="array" ref="AF218">Common_InputFunctions.Utility_DisplayArrayInTable(Fertiliser_SourceData.Fertiliser_Products_Data5(),FertiliserProducts[[#Headers],[Company]], 121)</f>
        <v/>
      </c>
      <c r="AG218" s="62" t="str" cm="1">
        <f t="array" ref="AG218">Common_InputFunctions.Utility_DisplayArrayInTable(Fertiliser_SourceData.Fertiliser_Products_Data5(),FertiliserProducts[[#Headers],[Company]], 121)</f>
        <v/>
      </c>
      <c r="AH218" s="62" t="str" cm="1">
        <f t="array" ref="AH218">Common_InputFunctions.Utility_DisplayArrayInTable(Fertiliser_SourceData.Fertiliser_Products_Data5(),FertiliserProducts[[#Headers],[Company]], 121)</f>
        <v/>
      </c>
    </row>
    <row r="219" spans="4:34" x14ac:dyDescent="0.25">
      <c r="D219" s="62" t="str" cm="1">
        <f t="array" ref="D219">Common_InputFunctions.Utility_DisplayArrayInTable(Fertiliser_SourceData.Fertiliser_Products_Data5(),FertiliserProducts[[#Headers],[Company]], 121)</f>
        <v>Wengfu Australia</v>
      </c>
      <c r="E219" s="62" t="str" cm="1">
        <f t="array" ref="E219">Common_InputFunctions.Utility_DisplayArrayInTable(Fertiliser_SourceData.Fertiliser_Products_Data5(),FertiliserProducts[[#Headers],[Company]], 121)</f>
        <v>Wengfu Fodder Booster</v>
      </c>
      <c r="F219" s="62" t="str" cm="1">
        <f t="array" ref="F219">Common_InputFunctions.Utility_DisplayArrayInTable(Fertiliser_SourceData.Fertiliser_Products_Data5(),FertiliserProducts[[#Headers],[Company]], 121)</f>
        <v>kg</v>
      </c>
      <c r="G219" s="62" cm="1">
        <f t="array" ref="G219">Common_InputFunctions.Utility_DisplayArrayInTable(Fertiliser_SourceData.Fertiliser_Products_Data5(),FertiliserProducts[[#Headers],[Company]], 121)</f>
        <v>1</v>
      </c>
      <c r="H219" s="62" t="str" cm="1">
        <f t="array" ref="H219">Common_InputFunctions.Utility_DisplayArrayInTable(Fertiliser_SourceData.Fertiliser_Products_Data5(),FertiliserProducts[[#Headers],[Company]], 121)</f>
        <v/>
      </c>
      <c r="I219" s="62" t="str" cm="1">
        <f t="array" ref="I219">Common_InputFunctions.Utility_DisplayArrayInTable(Fertiliser_SourceData.Fertiliser_Products_Data5(),FertiliserProducts[[#Headers],[Company]], 121)</f>
        <v/>
      </c>
      <c r="J219" s="62" t="str" cm="1">
        <f t="array" ref="J219">Common_InputFunctions.Utility_DisplayArrayInTable(Fertiliser_SourceData.Fertiliser_Products_Data5(),FertiliserProducts[[#Headers],[Company]], 121)</f>
        <v/>
      </c>
      <c r="K219" s="62" cm="1">
        <f t="array" ref="K219">Common_InputFunctions.Utility_DisplayArrayInTable(Fertiliser_SourceData.Fertiliser_Products_Data5(),FertiliserProducts[[#Headers],[Company]], 121)</f>
        <v>9</v>
      </c>
      <c r="L219" s="62" cm="1">
        <f t="array" ref="L219">Common_InputFunctions.Utility_DisplayArrayInTable(Fertiliser_SourceData.Fertiliser_Products_Data5(),FertiliserProducts[[#Headers],[Company]], 121)</f>
        <v>4</v>
      </c>
      <c r="M219" s="62" cm="1">
        <f t="array" ref="M219">Common_InputFunctions.Utility_DisplayArrayInTable(Fertiliser_SourceData.Fertiliser_Products_Data5(),FertiliserProducts[[#Headers],[Company]], 121)</f>
        <v>5</v>
      </c>
      <c r="N219" s="62" cm="1">
        <f t="array" ref="N219">Common_InputFunctions.Utility_DisplayArrayInTable(Fertiliser_SourceData.Fertiliser_Products_Data5(),FertiliserProducts[[#Headers],[Company]], 121)</f>
        <v>15</v>
      </c>
      <c r="O219" s="62" t="str" cm="1">
        <f t="array" ref="O219">Common_InputFunctions.Utility_DisplayArrayInTable(Fertiliser_SourceData.Fertiliser_Products_Data5(),FertiliserProducts[[#Headers],[Company]], 121)</f>
        <v>Nitrogen - Generic</v>
      </c>
      <c r="P219" s="62" cm="1">
        <f t="array" ref="P219">Common_InputFunctions.Utility_DisplayArrayInTable(Fertiliser_SourceData.Fertiliser_Products_Data5(),FertiliserProducts[[#Headers],[Company]], 121)</f>
        <v>0.09</v>
      </c>
      <c r="Q219" s="62" t="str" cm="1">
        <f t="array" ref="Q219">Common_InputFunctions.Utility_DisplayArrayInTable(Fertiliser_SourceData.Fertiliser_Products_Data5(),FertiliserProducts[[#Headers],[Company]], 121)</f>
        <v>Phosphorus - Generic</v>
      </c>
      <c r="R219" s="62" cm="1">
        <f t="array" ref="R219">Common_InputFunctions.Utility_DisplayArrayInTable(Fertiliser_SourceData.Fertiliser_Products_Data5(),FertiliserProducts[[#Headers],[Company]], 121)</f>
        <v>0.04</v>
      </c>
      <c r="S219" s="62" t="str" cm="1">
        <f t="array" ref="S219">Common_InputFunctions.Utility_DisplayArrayInTable(Fertiliser_SourceData.Fertiliser_Products_Data5(),FertiliserProducts[[#Headers],[Company]], 121)</f>
        <v>Potassium - Generic</v>
      </c>
      <c r="T219" s="62" cm="1">
        <f t="array" ref="T219">Common_InputFunctions.Utility_DisplayArrayInTable(Fertiliser_SourceData.Fertiliser_Products_Data5(),FertiliserProducts[[#Headers],[Company]], 121)</f>
        <v>0.05</v>
      </c>
      <c r="U219" s="62" t="str" cm="1">
        <f t="array" ref="U219">Common_InputFunctions.Utility_DisplayArrayInTable(Fertiliser_SourceData.Fertiliser_Products_Data5(),FertiliserProducts[[#Headers],[Company]], 121)</f>
        <v>Sulfur - Generic</v>
      </c>
      <c r="V219" s="62" cm="1">
        <f t="array" ref="V219">Common_InputFunctions.Utility_DisplayArrayInTable(Fertiliser_SourceData.Fertiliser_Products_Data5(),FertiliserProducts[[#Headers],[Company]], 121)</f>
        <v>0.15</v>
      </c>
      <c r="W219" s="62" t="str" cm="1">
        <f t="array" ref="W219">Common_InputFunctions.Utility_DisplayArrayInTable(Fertiliser_SourceData.Fertiliser_Products_Data5(),FertiliserProducts[[#Headers],[Company]], 121)</f>
        <v/>
      </c>
      <c r="X219" s="62" t="str" cm="1">
        <f t="array" ref="X219">Common_InputFunctions.Utility_DisplayArrayInTable(Fertiliser_SourceData.Fertiliser_Products_Data5(),FertiliserProducts[[#Headers],[Company]], 121)</f>
        <v/>
      </c>
      <c r="Y219" s="62" t="str" cm="1">
        <f t="array" ref="Y219">Common_InputFunctions.Utility_DisplayArrayInTable(Fertiliser_SourceData.Fertiliser_Products_Data5(),FertiliserProducts[[#Headers],[Company]], 121)</f>
        <v/>
      </c>
      <c r="Z219" s="62" t="str" cm="1">
        <f t="array" ref="Z219">Common_InputFunctions.Utility_DisplayArrayInTable(Fertiliser_SourceData.Fertiliser_Products_Data5(),FertiliserProducts[[#Headers],[Company]], 121)</f>
        <v/>
      </c>
      <c r="AA219" s="62" t="str" cm="1">
        <f t="array" ref="AA219">Common_InputFunctions.Utility_DisplayArrayInTable(Fertiliser_SourceData.Fertiliser_Products_Data5(),FertiliserProducts[[#Headers],[Company]], 121)</f>
        <v/>
      </c>
      <c r="AB219" s="62" t="str" cm="1">
        <f t="array" ref="AB219">Common_InputFunctions.Utility_DisplayArrayInTable(Fertiliser_SourceData.Fertiliser_Products_Data5(),FertiliserProducts[[#Headers],[Company]], 121)</f>
        <v/>
      </c>
      <c r="AC219" s="62" t="str" cm="1">
        <f t="array" ref="AC219">Common_InputFunctions.Utility_DisplayArrayInTable(Fertiliser_SourceData.Fertiliser_Products_Data5(),FertiliserProducts[[#Headers],[Company]], 121)</f>
        <v/>
      </c>
      <c r="AD219" s="62" t="str" cm="1">
        <f t="array" ref="AD219">Common_InputFunctions.Utility_DisplayArrayInTable(Fertiliser_SourceData.Fertiliser_Products_Data5(),FertiliserProducts[[#Headers],[Company]], 121)</f>
        <v/>
      </c>
      <c r="AE219" s="62" t="str" cm="1">
        <f t="array" ref="AE219">Common_InputFunctions.Utility_DisplayArrayInTable(Fertiliser_SourceData.Fertiliser_Products_Data5(),FertiliserProducts[[#Headers],[Company]], 121)</f>
        <v/>
      </c>
      <c r="AF219" s="62" t="str" cm="1">
        <f t="array" ref="AF219">Common_InputFunctions.Utility_DisplayArrayInTable(Fertiliser_SourceData.Fertiliser_Products_Data5(),FertiliserProducts[[#Headers],[Company]], 121)</f>
        <v/>
      </c>
      <c r="AG219" s="62" t="str" cm="1">
        <f t="array" ref="AG219">Common_InputFunctions.Utility_DisplayArrayInTable(Fertiliser_SourceData.Fertiliser_Products_Data5(),FertiliserProducts[[#Headers],[Company]], 121)</f>
        <v/>
      </c>
      <c r="AH219" s="62" t="str" cm="1">
        <f t="array" ref="AH219">Common_InputFunctions.Utility_DisplayArrayInTable(Fertiliser_SourceData.Fertiliser_Products_Data5(),FertiliserProducts[[#Headers],[Company]], 121)</f>
        <v/>
      </c>
    </row>
    <row r="220" spans="4:34" x14ac:dyDescent="0.25">
      <c r="D220" s="62" t="str" cm="1">
        <f t="array" ref="D220">Common_InputFunctions.Utility_DisplayArrayInTable(Fertiliser_SourceData.Fertiliser_Products_Data5(),FertiliserProducts[[#Headers],[Company]], 121)</f>
        <v>CSBP</v>
      </c>
      <c r="E220" s="62" t="str" cm="1">
        <f t="array" ref="E220">Common_InputFunctions.Utility_DisplayArrayInTable(Fertiliser_SourceData.Fertiliser_Products_Data5(),FertiliserProducts[[#Headers],[Company]], 121)</f>
        <v>K-Till Extra</v>
      </c>
      <c r="F220" s="62" t="str" cm="1">
        <f t="array" ref="F220">Common_InputFunctions.Utility_DisplayArrayInTable(Fertiliser_SourceData.Fertiliser_Products_Data5(),FertiliserProducts[[#Headers],[Company]], 121)</f>
        <v>kg</v>
      </c>
      <c r="G220" s="62" cm="1">
        <f t="array" ref="G220">Common_InputFunctions.Utility_DisplayArrayInTable(Fertiliser_SourceData.Fertiliser_Products_Data5(),FertiliserProducts[[#Headers],[Company]], 121)</f>
        <v>1</v>
      </c>
      <c r="H220" s="62" t="str" cm="1">
        <f t="array" ref="H220">Common_InputFunctions.Utility_DisplayArrayInTable(Fertiliser_SourceData.Fertiliser_Products_Data5(),FertiliserProducts[[#Headers],[Company]], 121)</f>
        <v/>
      </c>
      <c r="I220" s="62" t="str" cm="1">
        <f t="array" ref="I220">Common_InputFunctions.Utility_DisplayArrayInTable(Fertiliser_SourceData.Fertiliser_Products_Data5(),FertiliserProducts[[#Headers],[Company]], 121)</f>
        <v/>
      </c>
      <c r="J220" s="62" t="str" cm="1">
        <f t="array" ref="J220">Common_InputFunctions.Utility_DisplayArrayInTable(Fertiliser_SourceData.Fertiliser_Products_Data5(),FertiliserProducts[[#Headers],[Company]], 121)</f>
        <v/>
      </c>
      <c r="K220" s="62" cm="1">
        <f t="array" ref="K220">Common_InputFunctions.Utility_DisplayArrayInTable(Fertiliser_SourceData.Fertiliser_Products_Data5(),FertiliserProducts[[#Headers],[Company]], 121)</f>
        <v>10.73</v>
      </c>
      <c r="L220" s="62" cm="1">
        <f t="array" ref="L220">Common_InputFunctions.Utility_DisplayArrayInTable(Fertiliser_SourceData.Fertiliser_Products_Data5(),FertiliserProducts[[#Headers],[Company]], 121)</f>
        <v>10.95</v>
      </c>
      <c r="M220" s="62" cm="1">
        <f t="array" ref="M220">Common_InputFunctions.Utility_DisplayArrayInTable(Fertiliser_SourceData.Fertiliser_Products_Data5(),FertiliserProducts[[#Headers],[Company]], 121)</f>
        <v>11.35</v>
      </c>
      <c r="N220" s="62" cm="1">
        <f t="array" ref="N220">Common_InputFunctions.Utility_DisplayArrayInTable(Fertiliser_SourceData.Fertiliser_Products_Data5(),FertiliserProducts[[#Headers],[Company]], 121)</f>
        <v>6.55</v>
      </c>
      <c r="O220" s="62" t="str" cm="1">
        <f t="array" ref="O220">Common_InputFunctions.Utility_DisplayArrayInTable(Fertiliser_SourceData.Fertiliser_Products_Data5(),FertiliserProducts[[#Headers],[Company]], 121)</f>
        <v>Monoammonium phosphate (MAP)</v>
      </c>
      <c r="P220" s="62" cm="1">
        <f t="array" ref="P220">Common_InputFunctions.Utility_DisplayArrayInTable(Fertiliser_SourceData.Fertiliser_Products_Data5(),FertiliserProducts[[#Headers],[Company]], 121)</f>
        <v>0.5</v>
      </c>
      <c r="Q220" s="62" t="str" cm="1">
        <f t="array" ref="Q220">Common_InputFunctions.Utility_DisplayArrayInTable(Fertiliser_SourceData.Fertiliser_Products_Data5(),FertiliserProducts[[#Headers],[Company]], 121)</f>
        <v>Sulphate of ammonia (SOA)</v>
      </c>
      <c r="R220" s="62" cm="1">
        <f t="array" ref="R220">Common_InputFunctions.Utility_DisplayArrayInTable(Fertiliser_SourceData.Fertiliser_Products_Data5(),FertiliserProducts[[#Headers],[Company]], 121)</f>
        <v>0.27300000000000002</v>
      </c>
      <c r="S220" s="62" t="str" cm="1">
        <f t="array" ref="S220">Common_InputFunctions.Utility_DisplayArrayInTable(Fertiliser_SourceData.Fertiliser_Products_Data5(),FertiliserProducts[[#Headers],[Company]], 121)</f>
        <v>Muriate of potash (MOP)</v>
      </c>
      <c r="T220" s="62" cm="1">
        <f t="array" ref="T220">Common_InputFunctions.Utility_DisplayArrayInTable(Fertiliser_SourceData.Fertiliser_Products_Data5(),FertiliserProducts[[#Headers],[Company]], 121)</f>
        <v>0.22700000000000001</v>
      </c>
      <c r="U220" s="62" t="str" cm="1">
        <f t="array" ref="U220">Common_InputFunctions.Utility_DisplayArrayInTable(Fertiliser_SourceData.Fertiliser_Products_Data5(),FertiliserProducts[[#Headers],[Company]], 121)</f>
        <v>Copper</v>
      </c>
      <c r="V220" s="62" t="str" cm="1">
        <f t="array" ref="V220">Common_InputFunctions.Utility_DisplayArrayInTable(Fertiliser_SourceData.Fertiliser_Products_Data5(),FertiliserProducts[[#Headers],[Company]], 121)</f>
        <v>No data</v>
      </c>
      <c r="W220" s="62" t="str" cm="1">
        <f t="array" ref="W220">Common_InputFunctions.Utility_DisplayArrayInTable(Fertiliser_SourceData.Fertiliser_Products_Data5(),FertiliserProducts[[#Headers],[Company]], 121)</f>
        <v>Zinc</v>
      </c>
      <c r="X220" s="62" t="str" cm="1">
        <f t="array" ref="X220">Common_InputFunctions.Utility_DisplayArrayInTable(Fertiliser_SourceData.Fertiliser_Products_Data5(),FertiliserProducts[[#Headers],[Company]], 121)</f>
        <v>No data</v>
      </c>
      <c r="Y220" s="62" t="str" cm="1">
        <f t="array" ref="Y220">Common_InputFunctions.Utility_DisplayArrayInTable(Fertiliser_SourceData.Fertiliser_Products_Data5(),FertiliserProducts[[#Headers],[Company]], 121)</f>
        <v/>
      </c>
      <c r="Z220" s="62" t="str" cm="1">
        <f t="array" ref="Z220">Common_InputFunctions.Utility_DisplayArrayInTable(Fertiliser_SourceData.Fertiliser_Products_Data5(),FertiliserProducts[[#Headers],[Company]], 121)</f>
        <v/>
      </c>
      <c r="AA220" s="62" t="str" cm="1">
        <f t="array" ref="AA220">Common_InputFunctions.Utility_DisplayArrayInTable(Fertiliser_SourceData.Fertiliser_Products_Data5(),FertiliserProducts[[#Headers],[Company]], 121)</f>
        <v/>
      </c>
      <c r="AB220" s="62" t="str" cm="1">
        <f t="array" ref="AB220">Common_InputFunctions.Utility_DisplayArrayInTable(Fertiliser_SourceData.Fertiliser_Products_Data5(),FertiliserProducts[[#Headers],[Company]], 121)</f>
        <v/>
      </c>
      <c r="AC220" s="62" t="str" cm="1">
        <f t="array" ref="AC220">Common_InputFunctions.Utility_DisplayArrayInTable(Fertiliser_SourceData.Fertiliser_Products_Data5(),FertiliserProducts[[#Headers],[Company]], 121)</f>
        <v/>
      </c>
      <c r="AD220" s="62" t="str" cm="1">
        <f t="array" ref="AD220">Common_InputFunctions.Utility_DisplayArrayInTable(Fertiliser_SourceData.Fertiliser_Products_Data5(),FertiliserProducts[[#Headers],[Company]], 121)</f>
        <v/>
      </c>
      <c r="AE220" s="62" t="str" cm="1">
        <f t="array" ref="AE220">Common_InputFunctions.Utility_DisplayArrayInTable(Fertiliser_SourceData.Fertiliser_Products_Data5(),FertiliserProducts[[#Headers],[Company]], 121)</f>
        <v/>
      </c>
      <c r="AF220" s="62" t="str" cm="1">
        <f t="array" ref="AF220">Common_InputFunctions.Utility_DisplayArrayInTable(Fertiliser_SourceData.Fertiliser_Products_Data5(),FertiliserProducts[[#Headers],[Company]], 121)</f>
        <v/>
      </c>
      <c r="AG220" s="62" t="str" cm="1">
        <f t="array" ref="AG220">Common_InputFunctions.Utility_DisplayArrayInTable(Fertiliser_SourceData.Fertiliser_Products_Data5(),FertiliserProducts[[#Headers],[Company]], 121)</f>
        <v/>
      </c>
      <c r="AH220" s="62" t="str" cm="1">
        <f t="array" ref="AH220">Common_InputFunctions.Utility_DisplayArrayInTable(Fertiliser_SourceData.Fertiliser_Products_Data5(),FertiliserProducts[[#Headers],[Company]], 121)</f>
        <v/>
      </c>
    </row>
    <row r="221" spans="4:34" x14ac:dyDescent="0.25">
      <c r="D221" s="62" t="str" cm="1">
        <f t="array" ref="D221">Common_InputFunctions.Utility_DisplayArrayInTable(Fertiliser_SourceData.Fertiliser_Products_Data5(),FertiliserProducts[[#Headers],[Company]], 121)</f>
        <v>CSBP</v>
      </c>
      <c r="E221" s="62" t="str" cm="1">
        <f t="array" ref="E221">Common_InputFunctions.Utility_DisplayArrayInTable(Fertiliser_SourceData.Fertiliser_Products_Data5(),FertiliserProducts[[#Headers],[Company]], 121)</f>
        <v>Agras Extra</v>
      </c>
      <c r="F221" s="62" t="str" cm="1">
        <f t="array" ref="F221">Common_InputFunctions.Utility_DisplayArrayInTable(Fertiliser_SourceData.Fertiliser_Products_Data5(),FertiliserProducts[[#Headers],[Company]], 121)</f>
        <v>kg</v>
      </c>
      <c r="G221" s="62" cm="1">
        <f t="array" ref="G221">Common_InputFunctions.Utility_DisplayArrayInTable(Fertiliser_SourceData.Fertiliser_Products_Data5(),FertiliserProducts[[#Headers],[Company]], 121)</f>
        <v>1</v>
      </c>
      <c r="H221" s="62" t="str" cm="1">
        <f t="array" ref="H221">Common_InputFunctions.Utility_DisplayArrayInTable(Fertiliser_SourceData.Fertiliser_Products_Data5(),FertiliserProducts[[#Headers],[Company]], 121)</f>
        <v/>
      </c>
      <c r="I221" s="62" t="str" cm="1">
        <f t="array" ref="I221">Common_InputFunctions.Utility_DisplayArrayInTable(Fertiliser_SourceData.Fertiliser_Products_Data5(),FertiliserProducts[[#Headers],[Company]], 121)</f>
        <v/>
      </c>
      <c r="J221" s="62" t="str" cm="1">
        <f t="array" ref="J221">Common_InputFunctions.Utility_DisplayArrayInTable(Fertiliser_SourceData.Fertiliser_Products_Data5(),FertiliserProducts[[#Headers],[Company]], 121)</f>
        <v/>
      </c>
      <c r="K221" s="62" cm="1">
        <f t="array" ref="K221">Common_InputFunctions.Utility_DisplayArrayInTable(Fertiliser_SourceData.Fertiliser_Products_Data5(),FertiliserProducts[[#Headers],[Company]], 121)</f>
        <v>16.95</v>
      </c>
      <c r="L221" s="62" cm="1">
        <f t="array" ref="L221">Common_InputFunctions.Utility_DisplayArrayInTable(Fertiliser_SourceData.Fertiliser_Products_Data5(),FertiliserProducts[[#Headers],[Company]], 121)</f>
        <v>8.06</v>
      </c>
      <c r="M221" s="62" t="str" cm="1">
        <f t="array" ref="M221">Common_InputFunctions.Utility_DisplayArrayInTable(Fertiliser_SourceData.Fertiliser_Products_Data5(),FertiliserProducts[[#Headers],[Company]], 121)</f>
        <v/>
      </c>
      <c r="N221" s="62" cm="1">
        <f t="array" ref="N221">Common_InputFunctions.Utility_DisplayArrayInTable(Fertiliser_SourceData.Fertiliser_Products_Data5(),FertiliserProducts[[#Headers],[Company]], 121)</f>
        <v>15.17</v>
      </c>
      <c r="O221" s="62" t="str" cm="1">
        <f t="array" ref="O221">Common_InputFunctions.Utility_DisplayArrayInTable(Fertiliser_SourceData.Fertiliser_Products_Data5(),FertiliserProducts[[#Headers],[Company]], 121)</f>
        <v>Sulphate of ammonia (SOA)</v>
      </c>
      <c r="P221" s="62" cm="1">
        <f t="array" ref="P221">Common_InputFunctions.Utility_DisplayArrayInTable(Fertiliser_SourceData.Fertiliser_Products_Data5(),FertiliserProducts[[#Headers],[Company]], 121)</f>
        <v>0.63200000000000001</v>
      </c>
      <c r="Q221" s="62" t="str" cm="1">
        <f t="array" ref="Q221">Common_InputFunctions.Utility_DisplayArrayInTable(Fertiliser_SourceData.Fertiliser_Products_Data5(),FertiliserProducts[[#Headers],[Company]], 121)</f>
        <v>Monoammonium phosphate (MAP)</v>
      </c>
      <c r="R221" s="62" cm="1">
        <f t="array" ref="R221">Common_InputFunctions.Utility_DisplayArrayInTable(Fertiliser_SourceData.Fertiliser_Products_Data5(),FertiliserProducts[[#Headers],[Company]], 121)</f>
        <v>0.36799999999999999</v>
      </c>
      <c r="S221" s="62" t="str" cm="1">
        <f t="array" ref="S221">Common_InputFunctions.Utility_DisplayArrayInTable(Fertiliser_SourceData.Fertiliser_Products_Data5(),FertiliserProducts[[#Headers],[Company]], 121)</f>
        <v>Zinc</v>
      </c>
      <c r="T221" s="62" t="str" cm="1">
        <f t="array" ref="T221">Common_InputFunctions.Utility_DisplayArrayInTable(Fertiliser_SourceData.Fertiliser_Products_Data5(),FertiliserProducts[[#Headers],[Company]], 121)</f>
        <v>No data</v>
      </c>
      <c r="U221" s="62" t="str" cm="1">
        <f t="array" ref="U221">Common_InputFunctions.Utility_DisplayArrayInTable(Fertiliser_SourceData.Fertiliser_Products_Data5(),FertiliserProducts[[#Headers],[Company]], 121)</f>
        <v>Copper</v>
      </c>
      <c r="V221" s="62" t="str" cm="1">
        <f t="array" ref="V221">Common_InputFunctions.Utility_DisplayArrayInTable(Fertiliser_SourceData.Fertiliser_Products_Data5(),FertiliserProducts[[#Headers],[Company]], 121)</f>
        <v>No data</v>
      </c>
      <c r="W221" s="62" t="str" cm="1">
        <f t="array" ref="W221">Common_InputFunctions.Utility_DisplayArrayInTable(Fertiliser_SourceData.Fertiliser_Products_Data5(),FertiliserProducts[[#Headers],[Company]], 121)</f>
        <v>Molybdenum</v>
      </c>
      <c r="X221" s="62" t="str" cm="1">
        <f t="array" ref="X221">Common_InputFunctions.Utility_DisplayArrayInTable(Fertiliser_SourceData.Fertiliser_Products_Data5(),FertiliserProducts[[#Headers],[Company]], 121)</f>
        <v>No data</v>
      </c>
      <c r="Y221" s="62" t="str" cm="1">
        <f t="array" ref="Y221">Common_InputFunctions.Utility_DisplayArrayInTable(Fertiliser_SourceData.Fertiliser_Products_Data5(),FertiliserProducts[[#Headers],[Company]], 121)</f>
        <v>Cobalt</v>
      </c>
      <c r="Z221" s="62" t="str" cm="1">
        <f t="array" ref="Z221">Common_InputFunctions.Utility_DisplayArrayInTable(Fertiliser_SourceData.Fertiliser_Products_Data5(),FertiliserProducts[[#Headers],[Company]], 121)</f>
        <v>No data</v>
      </c>
      <c r="AA221" s="62" t="str" cm="1">
        <f t="array" ref="AA221">Common_InputFunctions.Utility_DisplayArrayInTable(Fertiliser_SourceData.Fertiliser_Products_Data5(),FertiliserProducts[[#Headers],[Company]], 121)</f>
        <v/>
      </c>
      <c r="AB221" s="62" t="str" cm="1">
        <f t="array" ref="AB221">Common_InputFunctions.Utility_DisplayArrayInTable(Fertiliser_SourceData.Fertiliser_Products_Data5(),FertiliserProducts[[#Headers],[Company]], 121)</f>
        <v/>
      </c>
      <c r="AC221" s="62" t="str" cm="1">
        <f t="array" ref="AC221">Common_InputFunctions.Utility_DisplayArrayInTable(Fertiliser_SourceData.Fertiliser_Products_Data5(),FertiliserProducts[[#Headers],[Company]], 121)</f>
        <v/>
      </c>
      <c r="AD221" s="62" t="str" cm="1">
        <f t="array" ref="AD221">Common_InputFunctions.Utility_DisplayArrayInTable(Fertiliser_SourceData.Fertiliser_Products_Data5(),FertiliserProducts[[#Headers],[Company]], 121)</f>
        <v/>
      </c>
      <c r="AE221" s="62" t="str" cm="1">
        <f t="array" ref="AE221">Common_InputFunctions.Utility_DisplayArrayInTable(Fertiliser_SourceData.Fertiliser_Products_Data5(),FertiliserProducts[[#Headers],[Company]], 121)</f>
        <v/>
      </c>
      <c r="AF221" s="62" t="str" cm="1">
        <f t="array" ref="AF221">Common_InputFunctions.Utility_DisplayArrayInTable(Fertiliser_SourceData.Fertiliser_Products_Data5(),FertiliserProducts[[#Headers],[Company]], 121)</f>
        <v/>
      </c>
      <c r="AG221" s="62" t="str" cm="1">
        <f t="array" ref="AG221">Common_InputFunctions.Utility_DisplayArrayInTable(Fertiliser_SourceData.Fertiliser_Products_Data5(),FertiliserProducts[[#Headers],[Company]], 121)</f>
        <v/>
      </c>
      <c r="AH221" s="62" t="str" cm="1">
        <f t="array" ref="AH221">Common_InputFunctions.Utility_DisplayArrayInTable(Fertiliser_SourceData.Fertiliser_Products_Data5(),FertiliserProducts[[#Headers],[Company]], 121)</f>
        <v/>
      </c>
    </row>
    <row r="222" spans="4:34" x14ac:dyDescent="0.25">
      <c r="D222" s="62" t="str" cm="1">
        <f t="array" ref="D222">Common_InputFunctions.Utility_DisplayArrayInTable(Fertiliser_SourceData.Fertiliser_Products_Data5(),FertiliserProducts[[#Headers],[Company]], 121)</f>
        <v>CSBP</v>
      </c>
      <c r="E222" s="62" t="str" cm="1">
        <f t="array" ref="E222">Common_InputFunctions.Utility_DisplayArrayInTable(Fertiliser_SourceData.Fertiliser_Products_Data5(),FertiliserProducts[[#Headers],[Company]], 121)</f>
        <v>Super Copper Zinc Moly</v>
      </c>
      <c r="F222" s="62" t="str" cm="1">
        <f t="array" ref="F222">Common_InputFunctions.Utility_DisplayArrayInTable(Fertiliser_SourceData.Fertiliser_Products_Data5(),FertiliserProducts[[#Headers],[Company]], 121)</f>
        <v>kg</v>
      </c>
      <c r="G222" s="62" cm="1">
        <f t="array" ref="G222">Common_InputFunctions.Utility_DisplayArrayInTable(Fertiliser_SourceData.Fertiliser_Products_Data5(),FertiliserProducts[[#Headers],[Company]], 121)</f>
        <v>1</v>
      </c>
      <c r="H222" s="62" t="str" cm="1">
        <f t="array" ref="H222">Common_InputFunctions.Utility_DisplayArrayInTable(Fertiliser_SourceData.Fertiliser_Products_Data5(),FertiliserProducts[[#Headers],[Company]], 121)</f>
        <v/>
      </c>
      <c r="I222" s="62" t="str" cm="1">
        <f t="array" ref="I222">Common_InputFunctions.Utility_DisplayArrayInTable(Fertiliser_SourceData.Fertiliser_Products_Data5(),FertiliserProducts[[#Headers],[Company]], 121)</f>
        <v/>
      </c>
      <c r="J222" s="62" t="str" cm="1">
        <f t="array" ref="J222">Common_InputFunctions.Utility_DisplayArrayInTable(Fertiliser_SourceData.Fertiliser_Products_Data5(),FertiliserProducts[[#Headers],[Company]], 121)</f>
        <v/>
      </c>
      <c r="K222" s="62" t="str" cm="1">
        <f t="array" ref="K222">Common_InputFunctions.Utility_DisplayArrayInTable(Fertiliser_SourceData.Fertiliser_Products_Data5(),FertiliserProducts[[#Headers],[Company]], 121)</f>
        <v/>
      </c>
      <c r="L222" s="62" cm="1">
        <f t="array" ref="L222">Common_InputFunctions.Utility_DisplayArrayInTable(Fertiliser_SourceData.Fertiliser_Products_Data5(),FertiliserProducts[[#Headers],[Company]], 121)</f>
        <v>8.8000000000000007</v>
      </c>
      <c r="M222" s="62" t="str" cm="1">
        <f t="array" ref="M222">Common_InputFunctions.Utility_DisplayArrayInTable(Fertiliser_SourceData.Fertiliser_Products_Data5(),FertiliserProducts[[#Headers],[Company]], 121)</f>
        <v/>
      </c>
      <c r="N222" s="62" cm="1">
        <f t="array" ref="N222">Common_InputFunctions.Utility_DisplayArrayInTable(Fertiliser_SourceData.Fertiliser_Products_Data5(),FertiliserProducts[[#Headers],[Company]], 121)</f>
        <v>11</v>
      </c>
      <c r="O222" s="62" t="str" cm="1">
        <f t="array" ref="O222">Common_InputFunctions.Utility_DisplayArrayInTable(Fertiliser_SourceData.Fertiliser_Products_Data5(),FertiliserProducts[[#Headers],[Company]], 121)</f>
        <v>Single superphosphate (SSP)</v>
      </c>
      <c r="P222" s="62" cm="1">
        <f t="array" ref="P222">Common_InputFunctions.Utility_DisplayArrayInTable(Fertiliser_SourceData.Fertiliser_Products_Data5(),FertiliserProducts[[#Headers],[Company]], 121)</f>
        <v>1</v>
      </c>
      <c r="Q222" s="62" t="str" cm="1">
        <f t="array" ref="Q222">Common_InputFunctions.Utility_DisplayArrayInTable(Fertiliser_SourceData.Fertiliser_Products_Data5(),FertiliserProducts[[#Headers],[Company]], 121)</f>
        <v>Copper</v>
      </c>
      <c r="R222" s="62" cm="1">
        <f t="array" ref="R222">Common_InputFunctions.Utility_DisplayArrayInTable(Fertiliser_SourceData.Fertiliser_Products_Data5(),FertiliserProducts[[#Headers],[Company]], 121)</f>
        <v>6.0000000000000001E-3</v>
      </c>
      <c r="S222" s="62" t="str" cm="1">
        <f t="array" ref="S222">Common_InputFunctions.Utility_DisplayArrayInTable(Fertiliser_SourceData.Fertiliser_Products_Data5(),FertiliserProducts[[#Headers],[Company]], 121)</f>
        <v>Zinc</v>
      </c>
      <c r="T222" s="62" cm="1">
        <f t="array" ref="T222">Common_InputFunctions.Utility_DisplayArrayInTable(Fertiliser_SourceData.Fertiliser_Products_Data5(),FertiliserProducts[[#Headers],[Company]], 121)</f>
        <v>3.0000000000000001E-3</v>
      </c>
      <c r="U222" s="62" t="str" cm="1">
        <f t="array" ref="U222">Common_InputFunctions.Utility_DisplayArrayInTable(Fertiliser_SourceData.Fertiliser_Products_Data5(),FertiliserProducts[[#Headers],[Company]], 121)</f>
        <v>Molybdenum</v>
      </c>
      <c r="V222" s="62" cm="1">
        <f t="array" ref="V222">Common_InputFunctions.Utility_DisplayArrayInTable(Fertiliser_SourceData.Fertiliser_Products_Data5(),FertiliserProducts[[#Headers],[Company]], 121)</f>
        <v>5.9999999999999995E-4</v>
      </c>
      <c r="W222" s="62" t="str" cm="1">
        <f t="array" ref="W222">Common_InputFunctions.Utility_DisplayArrayInTable(Fertiliser_SourceData.Fertiliser_Products_Data5(),FertiliserProducts[[#Headers],[Company]], 121)</f>
        <v/>
      </c>
      <c r="X222" s="62" t="str" cm="1">
        <f t="array" ref="X222">Common_InputFunctions.Utility_DisplayArrayInTable(Fertiliser_SourceData.Fertiliser_Products_Data5(),FertiliserProducts[[#Headers],[Company]], 121)</f>
        <v/>
      </c>
      <c r="Y222" s="62" t="str" cm="1">
        <f t="array" ref="Y222">Common_InputFunctions.Utility_DisplayArrayInTable(Fertiliser_SourceData.Fertiliser_Products_Data5(),FertiliserProducts[[#Headers],[Company]], 121)</f>
        <v/>
      </c>
      <c r="Z222" s="62" t="str" cm="1">
        <f t="array" ref="Z222">Common_InputFunctions.Utility_DisplayArrayInTable(Fertiliser_SourceData.Fertiliser_Products_Data5(),FertiliserProducts[[#Headers],[Company]], 121)</f>
        <v/>
      </c>
      <c r="AA222" s="62" t="str" cm="1">
        <f t="array" ref="AA222">Common_InputFunctions.Utility_DisplayArrayInTable(Fertiliser_SourceData.Fertiliser_Products_Data5(),FertiliserProducts[[#Headers],[Company]], 121)</f>
        <v/>
      </c>
      <c r="AB222" s="62" t="str" cm="1">
        <f t="array" ref="AB222">Common_InputFunctions.Utility_DisplayArrayInTable(Fertiliser_SourceData.Fertiliser_Products_Data5(),FertiliserProducts[[#Headers],[Company]], 121)</f>
        <v/>
      </c>
      <c r="AC222" s="62" t="str" cm="1">
        <f t="array" ref="AC222">Common_InputFunctions.Utility_DisplayArrayInTable(Fertiliser_SourceData.Fertiliser_Products_Data5(),FertiliserProducts[[#Headers],[Company]], 121)</f>
        <v/>
      </c>
      <c r="AD222" s="62" t="str" cm="1">
        <f t="array" ref="AD222">Common_InputFunctions.Utility_DisplayArrayInTable(Fertiliser_SourceData.Fertiliser_Products_Data5(),FertiliserProducts[[#Headers],[Company]], 121)</f>
        <v/>
      </c>
      <c r="AE222" s="62" t="str" cm="1">
        <f t="array" ref="AE222">Common_InputFunctions.Utility_DisplayArrayInTable(Fertiliser_SourceData.Fertiliser_Products_Data5(),FertiliserProducts[[#Headers],[Company]], 121)</f>
        <v/>
      </c>
      <c r="AF222" s="62" t="str" cm="1">
        <f t="array" ref="AF222">Common_InputFunctions.Utility_DisplayArrayInTable(Fertiliser_SourceData.Fertiliser_Products_Data5(),FertiliserProducts[[#Headers],[Company]], 121)</f>
        <v/>
      </c>
      <c r="AG222" s="62" t="str" cm="1">
        <f t="array" ref="AG222">Common_InputFunctions.Utility_DisplayArrayInTable(Fertiliser_SourceData.Fertiliser_Products_Data5(),FertiliserProducts[[#Headers],[Company]], 121)</f>
        <v/>
      </c>
      <c r="AH222" s="62" t="str" cm="1">
        <f t="array" ref="AH222">Common_InputFunctions.Utility_DisplayArrayInTable(Fertiliser_SourceData.Fertiliser_Products_Data5(),FertiliserProducts[[#Headers],[Company]], 121)</f>
        <v/>
      </c>
    </row>
    <row r="223" spans="4:34" x14ac:dyDescent="0.25">
      <c r="D223" s="62" t="str" cm="1">
        <f t="array" ref="D223">Common_InputFunctions.Utility_DisplayArrayInTable(Fertiliser_SourceData.Fertiliser_Products_Data5(),FertiliserProducts[[#Headers],[Company]], 121)</f>
        <v>CSBP</v>
      </c>
      <c r="E223" s="62" t="str" cm="1">
        <f t="array" ref="E223">Common_InputFunctions.Utility_DisplayArrayInTable(Fertiliser_SourceData.Fertiliser_Products_Data5(),FertiliserProducts[[#Headers],[Company]], 121)</f>
        <v>Flexi-N</v>
      </c>
      <c r="F223" s="62" t="str" cm="1">
        <f t="array" ref="F223">Common_InputFunctions.Utility_DisplayArrayInTable(Fertiliser_SourceData.Fertiliser_Products_Data5(),FertiliserProducts[[#Headers],[Company]], 121)</f>
        <v>L</v>
      </c>
      <c r="G223" s="62" cm="1">
        <f t="array" ref="G223">Common_InputFunctions.Utility_DisplayArrayInTable(Fertiliser_SourceData.Fertiliser_Products_Data5(),FertiliserProducts[[#Headers],[Company]], 121)</f>
        <v>1.32</v>
      </c>
      <c r="H223" s="62" t="str" cm="1">
        <f t="array" ref="H223">Common_InputFunctions.Utility_DisplayArrayInTable(Fertiliser_SourceData.Fertiliser_Products_Data5(),FertiliserProducts[[#Headers],[Company]], 121)</f>
        <v/>
      </c>
      <c r="I223" s="62" t="str" cm="1">
        <f t="array" ref="I223">Common_InputFunctions.Utility_DisplayArrayInTable(Fertiliser_SourceData.Fertiliser_Products_Data5(),FertiliserProducts[[#Headers],[Company]], 121)</f>
        <v/>
      </c>
      <c r="J223" s="62" t="str" cm="1">
        <f t="array" ref="J223">Common_InputFunctions.Utility_DisplayArrayInTable(Fertiliser_SourceData.Fertiliser_Products_Data5(),FertiliserProducts[[#Headers],[Company]], 121)</f>
        <v/>
      </c>
      <c r="K223" s="62" cm="1">
        <f t="array" ref="K223">Common_InputFunctions.Utility_DisplayArrayInTable(Fertiliser_SourceData.Fertiliser_Products_Data5(),FertiliserProducts[[#Headers],[Company]], 121)</f>
        <v>32</v>
      </c>
      <c r="L223" s="62" t="str" cm="1">
        <f t="array" ref="L223">Common_InputFunctions.Utility_DisplayArrayInTable(Fertiliser_SourceData.Fertiliser_Products_Data5(),FertiliserProducts[[#Headers],[Company]], 121)</f>
        <v/>
      </c>
      <c r="M223" s="62" t="str" cm="1">
        <f t="array" ref="M223">Common_InputFunctions.Utility_DisplayArrayInTable(Fertiliser_SourceData.Fertiliser_Products_Data5(),FertiliserProducts[[#Headers],[Company]], 121)</f>
        <v/>
      </c>
      <c r="N223" s="62" t="str" cm="1">
        <f t="array" ref="N223">Common_InputFunctions.Utility_DisplayArrayInTable(Fertiliser_SourceData.Fertiliser_Products_Data5(),FertiliserProducts[[#Headers],[Company]], 121)</f>
        <v/>
      </c>
      <c r="O223" s="62" t="str" cm="1">
        <f t="array" ref="O223">Common_InputFunctions.Utility_DisplayArrayInTable(Fertiliser_SourceData.Fertiliser_Products_Data5(),FertiliserProducts[[#Headers],[Company]], 121)</f>
        <v>Urea-ammonium nitrate (UAN)</v>
      </c>
      <c r="P223" s="62" cm="1">
        <f t="array" ref="P223">Common_InputFunctions.Utility_DisplayArrayInTable(Fertiliser_SourceData.Fertiliser_Products_Data5(),FertiliserProducts[[#Headers],[Company]], 121)</f>
        <v>1</v>
      </c>
      <c r="Q223" s="62" t="str" cm="1">
        <f t="array" ref="Q223">Common_InputFunctions.Utility_DisplayArrayInTable(Fertiliser_SourceData.Fertiliser_Products_Data5(),FertiliserProducts[[#Headers],[Company]], 121)</f>
        <v/>
      </c>
      <c r="R223" s="62" t="str" cm="1">
        <f t="array" ref="R223">Common_InputFunctions.Utility_DisplayArrayInTable(Fertiliser_SourceData.Fertiliser_Products_Data5(),FertiliserProducts[[#Headers],[Company]], 121)</f>
        <v/>
      </c>
      <c r="S223" s="62" t="str" cm="1">
        <f t="array" ref="S223">Common_InputFunctions.Utility_DisplayArrayInTable(Fertiliser_SourceData.Fertiliser_Products_Data5(),FertiliserProducts[[#Headers],[Company]], 121)</f>
        <v/>
      </c>
      <c r="T223" s="62" t="str" cm="1">
        <f t="array" ref="T223">Common_InputFunctions.Utility_DisplayArrayInTable(Fertiliser_SourceData.Fertiliser_Products_Data5(),FertiliserProducts[[#Headers],[Company]], 121)</f>
        <v/>
      </c>
      <c r="U223" s="62" t="str" cm="1">
        <f t="array" ref="U223">Common_InputFunctions.Utility_DisplayArrayInTable(Fertiliser_SourceData.Fertiliser_Products_Data5(),FertiliserProducts[[#Headers],[Company]], 121)</f>
        <v/>
      </c>
      <c r="V223" s="62" t="str" cm="1">
        <f t="array" ref="V223">Common_InputFunctions.Utility_DisplayArrayInTable(Fertiliser_SourceData.Fertiliser_Products_Data5(),FertiliserProducts[[#Headers],[Company]], 121)</f>
        <v/>
      </c>
      <c r="W223" s="62" t="str" cm="1">
        <f t="array" ref="W223">Common_InputFunctions.Utility_DisplayArrayInTable(Fertiliser_SourceData.Fertiliser_Products_Data5(),FertiliserProducts[[#Headers],[Company]], 121)</f>
        <v/>
      </c>
      <c r="X223" s="62" t="str" cm="1">
        <f t="array" ref="X223">Common_InputFunctions.Utility_DisplayArrayInTable(Fertiliser_SourceData.Fertiliser_Products_Data5(),FertiliserProducts[[#Headers],[Company]], 121)</f>
        <v/>
      </c>
      <c r="Y223" s="62" t="str" cm="1">
        <f t="array" ref="Y223">Common_InputFunctions.Utility_DisplayArrayInTable(Fertiliser_SourceData.Fertiliser_Products_Data5(),FertiliserProducts[[#Headers],[Company]], 121)</f>
        <v/>
      </c>
      <c r="Z223" s="62" t="str" cm="1">
        <f t="array" ref="Z223">Common_InputFunctions.Utility_DisplayArrayInTable(Fertiliser_SourceData.Fertiliser_Products_Data5(),FertiliserProducts[[#Headers],[Company]], 121)</f>
        <v/>
      </c>
      <c r="AA223" s="62" t="str" cm="1">
        <f t="array" ref="AA223">Common_InputFunctions.Utility_DisplayArrayInTable(Fertiliser_SourceData.Fertiliser_Products_Data5(),FertiliserProducts[[#Headers],[Company]], 121)</f>
        <v/>
      </c>
      <c r="AB223" s="62" t="str" cm="1">
        <f t="array" ref="AB223">Common_InputFunctions.Utility_DisplayArrayInTable(Fertiliser_SourceData.Fertiliser_Products_Data5(),FertiliserProducts[[#Headers],[Company]], 121)</f>
        <v/>
      </c>
      <c r="AC223" s="62" t="str" cm="1">
        <f t="array" ref="AC223">Common_InputFunctions.Utility_DisplayArrayInTable(Fertiliser_SourceData.Fertiliser_Products_Data5(),FertiliserProducts[[#Headers],[Company]], 121)</f>
        <v/>
      </c>
      <c r="AD223" s="62" t="str" cm="1">
        <f t="array" ref="AD223">Common_InputFunctions.Utility_DisplayArrayInTable(Fertiliser_SourceData.Fertiliser_Products_Data5(),FertiliserProducts[[#Headers],[Company]], 121)</f>
        <v/>
      </c>
      <c r="AE223" s="62" t="str" cm="1">
        <f t="array" ref="AE223">Common_InputFunctions.Utility_DisplayArrayInTable(Fertiliser_SourceData.Fertiliser_Products_Data5(),FertiliserProducts[[#Headers],[Company]], 121)</f>
        <v/>
      </c>
      <c r="AF223" s="62" t="str" cm="1">
        <f t="array" ref="AF223">Common_InputFunctions.Utility_DisplayArrayInTable(Fertiliser_SourceData.Fertiliser_Products_Data5(),FertiliserProducts[[#Headers],[Company]], 121)</f>
        <v/>
      </c>
      <c r="AG223" s="62" t="str" cm="1">
        <f t="array" ref="AG223">Common_InputFunctions.Utility_DisplayArrayInTable(Fertiliser_SourceData.Fertiliser_Products_Data5(),FertiliserProducts[[#Headers],[Company]], 121)</f>
        <v/>
      </c>
      <c r="AH223" s="62"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16C0A-D97F-488B-9899-7AD990724AEF}">
  <dimension ref="A1:AI165"/>
  <sheetViews>
    <sheetView showGridLines="0" topLeftCell="A7" zoomScaleNormal="100" workbookViewId="0">
      <selection activeCell="A46" sqref="A46"/>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217</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Electricity_SourceData.Electricity_Scope2Scope3LocationBased_Title()</f>
        <v>Electricity scope 2 and scope 3 location-based emission factors</v>
      </c>
    </row>
    <row r="6" spans="1:35" ht="20.100000000000001" customHeight="1" x14ac:dyDescent="0.25">
      <c r="A6"/>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Site'!A1", "Site")</f>
        <v>Site</v>
      </c>
      <c r="D8" s="14"/>
      <c r="E8" s="14"/>
      <c r="F8" s="14"/>
    </row>
    <row r="9" spans="1:35" ht="20.100000000000001" customHeight="1" x14ac:dyDescent="0.25">
      <c r="A9" s="16" t="str">
        <f>HYPERLINK("#'Input - Fuel'!A1", "Fuel")</f>
        <v>Fuel</v>
      </c>
      <c r="D9" s="25" t="s">
        <v>218</v>
      </c>
      <c r="E9" s="25" t="s">
        <v>219</v>
      </c>
      <c r="F9" s="25" t="s">
        <v>220</v>
      </c>
    </row>
    <row r="10" spans="1:35" ht="20.100000000000001" customHeight="1" x14ac:dyDescent="0.25">
      <c r="A10" s="16" t="str">
        <f>HYPERLINK("#'Input - Fertiliser'!A1", "Fertiliser")</f>
        <v>Fertiliser</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HYPERLINK("#'Input - Common farm inputs'!A1", "Common farm inputs")</f>
        <v>Common farm inputs</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t="str">
        <f>HYPERLINK("#'Input - Processing inputs'!A1", "Processing inputs")</f>
        <v>Processing inputs</v>
      </c>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6" t="str">
        <f>HYPERLINK("#'Input - Crop pasture farm input'!A1", "Crop pasture farm input")</f>
        <v>Crop pasture farm input</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16" t="str">
        <f>HYPERLINK("#'Input - Hort farm Inputs'!A1", "Hort farm Inputs")</f>
        <v>Hort farm Inputs</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HYPERLINK("#'Input - Livestock farm Inputs'!A1", "Livestock farm Inputs")</f>
        <v>Livestock farm Inputs</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16" t="str">
        <f>HYPERLINK("#'Input - Aquaculture inputs'!A1", "Aquaculture inputs")</f>
        <v>Aquaculture inputs</v>
      </c>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16" t="str">
        <f>HYPERLINK("#'Input - Beef cattle purchases'!A1", "Beef cattle purchases")</f>
        <v>Beef cattle purchases</v>
      </c>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16" t="str">
        <f>HYPERLINK("#'Input - Dairy cattle purchases'!A1", "Dairy cattle purchases")</f>
        <v>Dairy cattle purchases</v>
      </c>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16" t="str">
        <f>HYPERLINK("#'Input - Pig purchases'!A1", "Pig purchases")</f>
        <v>Pig purchases</v>
      </c>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t="str">
        <f>HYPERLINK("#'Input - Poultry purchases'!A1", "Poultry purchases")</f>
        <v>Poultry purchases</v>
      </c>
    </row>
    <row r="21" spans="1:8" ht="20.100000000000001" customHeight="1" x14ac:dyDescent="0.25">
      <c r="A21" s="16" t="str">
        <f>HYPERLINK("#'Input - Freight'!A1", "Freight")</f>
        <v>Freight</v>
      </c>
      <c r="D21" s="9" t="str" cm="1">
        <f t="array" ref="D21">Electricity_SourceData.Electricity_Scope2Scope3MarketBased_Title()</f>
        <v>Electricity scope 2 and scope 3 market-based emission factors</v>
      </c>
    </row>
    <row r="22" spans="1:8" ht="20.100000000000001" customHeight="1" x14ac:dyDescent="0.25">
      <c r="A22" s="16" t="str">
        <f>HYPERLINK("#'Input - Solid waste'!A1", "Solid waste")</f>
        <v>Solid waste</v>
      </c>
      <c r="D22" s="11" t="str" cm="1">
        <f t="array" ref="D22">Electricity_SourceData.Electricity_Scope2Scope3MarketBased_Source()</f>
        <v>Australian National Greenhouse Accounts Factors 2025 - Table 2a</v>
      </c>
    </row>
    <row r="23" spans="1:8" ht="20.100000000000001" customHeight="1" x14ac:dyDescent="0.25">
      <c r="A23" s="16" t="str">
        <f>HYPERLINK("#'Input - Manure sent off-site'!A1", "Manure sent off-site")</f>
        <v>Manure sent off-site</v>
      </c>
    </row>
    <row r="24" spans="1:8" ht="20.100000000000001" customHeight="1" x14ac:dyDescent="0.25">
      <c r="A24" s="16" t="str">
        <f>HYPERLINK("#'Input - Electricity'!A1", "Electricity")</f>
        <v>Electricity</v>
      </c>
      <c r="D24" s="62" t="s">
        <v>218</v>
      </c>
      <c r="E24" s="62" t="s">
        <v>221</v>
      </c>
      <c r="F24" s="62" t="s">
        <v>222</v>
      </c>
      <c r="G24" s="62" t="s">
        <v>223</v>
      </c>
      <c r="H24" s="62" t="s">
        <v>224</v>
      </c>
    </row>
    <row r="25" spans="1:8" ht="20.100000000000001" customHeight="1" x14ac:dyDescent="0.25">
      <c r="A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row>
    <row r="27" spans="1:8" ht="20.100000000000001" customHeight="1" x14ac:dyDescent="0.25">
      <c r="A27" s="21" t="s">
        <v>77</v>
      </c>
    </row>
    <row r="28" spans="1:8" ht="20.100000000000001" customHeight="1" x14ac:dyDescent="0.25">
      <c r="A28" s="16" t="str">
        <f>HYPERLINK("#'15 Scope 3'!A1", "15 Scope 3")</f>
        <v>15 Scope 3</v>
      </c>
    </row>
    <row r="29" spans="1:8" ht="20.100000000000001" customHeight="1" x14ac:dyDescent="0.25">
      <c r="A29" s="16" t="str">
        <f>HYPERLINK("#'10.1.1-2 Solid waste treatment'!A1", "10.1.1-2 Solid waste treatment")</f>
        <v>10.1.1-2 Solid waste treatment</v>
      </c>
    </row>
    <row r="30" spans="1:8" ht="20.100000000000001" customHeight="1" x14ac:dyDescent="0.25">
      <c r="A30" s="16" t="str">
        <f>HYPERLINK("#'Calcs - Manure sent off-site'!A1", "Calcs - Manure sent off-site")</f>
        <v>Calcs - Manure sent off-site</v>
      </c>
    </row>
    <row r="31" spans="1:8" ht="20.100000000000001" customHeight="1" x14ac:dyDescent="0.25">
      <c r="A31" s="16" t="str">
        <f>HYPERLINK("#'8.1.1.1-2 Transport fuel'!A1", "8.1.1.1-2 Transport fuel")</f>
        <v>8.1.1.1-2 Transport fuel</v>
      </c>
    </row>
    <row r="32" spans="1:8" ht="20.100000000000001" customHeight="1" x14ac:dyDescent="0.25">
      <c r="A32" s="16" t="str">
        <f>HYPERLINK("#'8.2.1.1-2 Stationary fuel'!A1", "8.2.1.1-2 Stationary fuel")</f>
        <v>8.2.1.1-2 Stationary fuel</v>
      </c>
    </row>
    <row r="33" spans="1:1" ht="20.100000000000001" customHeight="1" x14ac:dyDescent="0.25">
      <c r="A33"/>
    </row>
    <row r="34" spans="1:1" ht="20.100000000000001" customHeight="1" x14ac:dyDescent="0.25">
      <c r="A34"/>
    </row>
    <row r="35" spans="1:1" ht="20.100000000000001" customHeight="1" x14ac:dyDescent="0.25">
      <c r="A35" s="222" t="s">
        <v>78</v>
      </c>
    </row>
    <row r="36" spans="1:1" ht="20.100000000000001" customHeight="1" x14ac:dyDescent="0.25">
      <c r="A36" s="16" t="str">
        <f>HYPERLINK("#'Constants - Scope 3'!A1", "Constants - Scope 3")</f>
        <v>Constants - Scope 3</v>
      </c>
    </row>
    <row r="37" spans="1:1" ht="20.100000000000001" customHeight="1" x14ac:dyDescent="0.25">
      <c r="A37" s="16" t="str">
        <f>HYPERLINK("#'Constants - Solid Waste'!A1", "Constants - Solid Waste")</f>
        <v>Constants - Solid Waste</v>
      </c>
    </row>
    <row r="38" spans="1:1" ht="20.100000000000001" customHeight="1" x14ac:dyDescent="0.25">
      <c r="A38" s="16" t="str">
        <f>HYPERLINK("#'Constants - Fuel'!A1", "Constants - Fuel")</f>
        <v>Constants - Fuel</v>
      </c>
    </row>
    <row r="39" spans="1:1" ht="20.100000000000001" customHeight="1" x14ac:dyDescent="0.25">
      <c r="A39" s="16" t="str">
        <f>HYPERLINK("#'Constants - Poultry'!A1", "Constants - Poultry")</f>
        <v>Constants - Poultry</v>
      </c>
    </row>
    <row r="40" spans="1:1" ht="20.100000000000001" customHeight="1" x14ac:dyDescent="0.25">
      <c r="A40" s="16" t="str">
        <f>HYPERLINK("#'Constants - Swine'!A1", "Constants - Swine")</f>
        <v>Constants - Swine</v>
      </c>
    </row>
    <row r="41" spans="1:1" ht="20.100000000000001" customHeight="1" x14ac:dyDescent="0.25">
      <c r="A41" s="16" t="str">
        <f>HYPERLINK("#'Constants - Dairy'!A1", "Constants - Dairy")</f>
        <v>Constants - Dairy</v>
      </c>
    </row>
    <row r="42" spans="1:1" ht="20.100000000000001" customHeight="1" x14ac:dyDescent="0.25">
      <c r="A42" s="16" t="str">
        <f>HYPERLINK("#'Constants - Pasture Beef'!A1", "Constants - Pasture Beef")</f>
        <v>Constants - Pasture Beef</v>
      </c>
    </row>
    <row r="43" spans="1:1" ht="20.100000000000001" customHeight="1" x14ac:dyDescent="0.25">
      <c r="A43" s="16" t="str">
        <f>HYPERLINK("#'Constants - Common Livestock'!A1", "Constants - Common Livestock")</f>
        <v>Constants - Common Livestock</v>
      </c>
    </row>
    <row r="44" spans="1:1" ht="20.100000000000001" customHeight="1" x14ac:dyDescent="0.25">
      <c r="A44" s="16" t="str">
        <f>HYPERLINK("#'Constants - Fertiliser'!A1", "Constants - Fertiliser")</f>
        <v>Constants - Fertiliser</v>
      </c>
    </row>
    <row r="45" spans="1:1" ht="20.100000000000001" customHeight="1" x14ac:dyDescent="0.25">
      <c r="A45" s="23" t="str">
        <f>HYPERLINK("#'Constants - Electricity'!A1", "Constants - Electricity")</f>
        <v>Constants - Electricity</v>
      </c>
    </row>
    <row r="46" spans="1:1" ht="20.100000000000001" customHeight="1" x14ac:dyDescent="0.25">
      <c r="A46" s="16" t="str">
        <f>HYPERLINK("#'Constants - Common'!A1", "Constants - Common")</f>
        <v>Constants - Common</v>
      </c>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248D9-1523-416F-B141-BAC1E0B1FE72}">
  <sheetPr>
    <tabColor theme="2" tint="-0.499984740745262"/>
  </sheetPr>
  <dimension ref="A1:BY297"/>
  <sheetViews>
    <sheetView showGridLines="0" tabSelected="1" topLeftCell="A239" zoomScaleNormal="100" workbookViewId="0">
      <selection activeCell="I279" sqref="I279"/>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c r="A2" s="3"/>
    </row>
    <row r="3" spans="1:65" ht="20.100000000000001" customHeight="1" x14ac:dyDescent="0.25">
      <c r="A3" s="16" t="str">
        <f>HYPERLINK("#'Home'!A1", "Home")</f>
        <v>Home</v>
      </c>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222" t="s">
        <v>78</v>
      </c>
      <c r="D6" s="10" t="s">
        <v>1</v>
      </c>
      <c r="E6" s="10" t="s">
        <v>2</v>
      </c>
      <c r="F6" s="10" t="s">
        <v>3</v>
      </c>
    </row>
    <row r="7" spans="1:65" ht="20.100000000000001" customHeight="1" x14ac:dyDescent="0.25">
      <c r="A7" s="23" t="str">
        <f>HYPERLINK("#'Constants - Common'!A1", "Constants - Common")</f>
        <v>Constants - Common</v>
      </c>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16" t="str">
        <f>HYPERLINK("#'Acknowledgements'!A1", "Acknowledgements")</f>
        <v>Acknowledgements</v>
      </c>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A42" s="3"/>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A43" s="3"/>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c r="A44" s="3"/>
    </row>
    <row r="45" spans="1:8" ht="20.100000000000001" customHeight="1" x14ac:dyDescent="0.25">
      <c r="A45" s="3"/>
      <c r="D45" s="9" t="str" cm="1">
        <f t="array" ref="D45">Common_SourceData.Common_SourceData_ConvertGasElementalToMolecular_Title()</f>
        <v>Factor to convert elemental mass of gas to molecular mass</v>
      </c>
    </row>
    <row r="46" spans="1:8" ht="20.100000000000001" customHeight="1" x14ac:dyDescent="0.25">
      <c r="A46" s="3"/>
      <c r="D46" s="11" t="str" cm="1">
        <f t="array" ref="D46">Common_SourceData.Common_SourceData_ConvertGasElementalToMolecular_Source()</f>
        <v>XXXXXXX</v>
      </c>
    </row>
    <row r="47" spans="1:8" ht="20.100000000000001" customHeight="1" x14ac:dyDescent="0.25">
      <c r="A47" s="3"/>
      <c r="D47" s="10" t="s">
        <v>5</v>
      </c>
      <c r="E47" s="10" t="s">
        <v>7</v>
      </c>
      <c r="F47" s="10" t="s">
        <v>8</v>
      </c>
      <c r="G47" s="10" t="s">
        <v>9</v>
      </c>
      <c r="H47" s="10" t="s">
        <v>10</v>
      </c>
    </row>
    <row r="48" spans="1:8" ht="20.100000000000001" customHeight="1" x14ac:dyDescent="0.25">
      <c r="A48" s="3"/>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1:8" ht="20.100000000000001" customHeight="1" x14ac:dyDescent="0.25">
      <c r="A49" s="3"/>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1:8" ht="20.100000000000001" customHeight="1" x14ac:dyDescent="0.25">
      <c r="A50" s="3"/>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1:8" ht="20.100000000000001" customHeight="1" x14ac:dyDescent="0.25">
      <c r="A51" s="3"/>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1:8" ht="20.100000000000001" customHeight="1" x14ac:dyDescent="0.25">
      <c r="A52" s="3"/>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1:8" ht="20.100000000000001" customHeight="1" x14ac:dyDescent="0.25">
      <c r="A53" s="3"/>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1:8" ht="20.100000000000001" customHeight="1" x14ac:dyDescent="0.25">
      <c r="A54" s="3"/>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1:8" ht="20.100000000000001" customHeight="1" x14ac:dyDescent="0.25">
      <c r="A55" s="3"/>
    </row>
    <row r="56" spans="1:8" ht="20.100000000000001" customHeight="1" x14ac:dyDescent="0.25">
      <c r="A56" s="3"/>
    </row>
    <row r="57" spans="1:8" ht="20.100000000000001" customHeight="1" x14ac:dyDescent="0.25">
      <c r="A57" s="3"/>
      <c r="D57" s="9" t="str" cm="1">
        <f t="array" ref="D57">Common_SourceData.Common_SourceData_WetAndDryZones_Title()</f>
        <v>VEERG Australian wet and dry zones</v>
      </c>
    </row>
    <row r="58" spans="1:8" ht="20.100000000000001" customHeight="1" x14ac:dyDescent="0.25">
      <c r="A58" s="3"/>
      <c r="D58" s="11" t="str" cm="1">
        <f t="array" ref="D58">Common_SourceData.Common_SourceData_WetAndDryZones_Source()</f>
        <v>VEERG 2026: Table 1.2: Translating climate zones to wet and dry zones</v>
      </c>
    </row>
    <row r="59" spans="1:8" ht="20.100000000000001" customHeight="1" x14ac:dyDescent="0.25">
      <c r="A59" s="3"/>
      <c r="D59" s="12" t="str" cm="1">
        <f t="array" ref="D59:D61">"⚠️" &amp; Common_SourceData.Common_SourceData_WetAndDryZones_Variation()</f>
        <v>⚠️VARIATION OF SOURCE DATA:</v>
      </c>
    </row>
    <row r="60" spans="1:8" ht="20.100000000000001" customHeight="1" x14ac:dyDescent="0.25">
      <c r="A60" s="3"/>
      <c r="D60" s="12" t="str">
        <v>⚠️Added warm / cool temperate moist / dry - low frost and high temp classes to accommodate climate scenarios excluded by VEERG criteria.</v>
      </c>
    </row>
    <row r="61" spans="1:8" ht="20.100000000000001" customHeight="1" x14ac:dyDescent="0.25">
      <c r="A61" s="3"/>
      <c r="D61" s="12" t="str">
        <v>⚠️Fixed typo - Changed 'Fry' to 'Dry'.</v>
      </c>
    </row>
    <row r="62" spans="1:8" ht="20.100000000000001" customHeight="1" x14ac:dyDescent="0.25">
      <c r="A62" s="3"/>
    </row>
    <row r="63" spans="1:8" ht="20.100000000000001" customHeight="1" x14ac:dyDescent="0.25">
      <c r="A63" s="3"/>
      <c r="D63" s="10" t="s">
        <v>11</v>
      </c>
      <c r="E63" s="10" t="s">
        <v>12</v>
      </c>
    </row>
    <row r="64" spans="1:8" ht="20.100000000000001" customHeight="1" x14ac:dyDescent="0.25">
      <c r="A64" s="3"/>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s="3"/>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s="3"/>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s="3"/>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s="3"/>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s="3"/>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s="3"/>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s="3"/>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s="3"/>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s="3"/>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s="3"/>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s="3"/>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s="3"/>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s="3"/>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s="3"/>
    </row>
    <row r="79" spans="1:5" ht="20.100000000000001" customHeight="1" x14ac:dyDescent="0.25">
      <c r="A79" s="3"/>
    </row>
    <row r="80" spans="1:5" ht="20.100000000000001" customHeight="1" x14ac:dyDescent="0.25">
      <c r="A80" s="3"/>
    </row>
    <row r="81" spans="1:20" ht="20.100000000000001" customHeight="1" x14ac:dyDescent="0.25">
      <c r="A81" s="3"/>
      <c r="D81" s="9" t="str" cm="1">
        <f t="array" ref="D81">Common_SourceData.Common_SourceData_ClimateZones_Title()</f>
        <v>VEERG Australian climate zones</v>
      </c>
    </row>
    <row r="82" spans="1:20" ht="20.100000000000001" customHeight="1" x14ac:dyDescent="0.25">
      <c r="A82" s="3"/>
      <c r="D82" s="11" t="str" cm="1">
        <f t="array" ref="D82">Common_SourceData.Common_SourceData_ClimateZones_Source()</f>
        <v>VEERG 2026: Table 1.3: Climate and Rainfall zone classifications and definitions</v>
      </c>
    </row>
    <row r="83" spans="1:20" ht="20.100000000000001" customHeight="1" x14ac:dyDescent="0.25">
      <c r="A83" s="3"/>
      <c r="D83" s="12" t="str" cm="1">
        <f t="array" ref="D83:D87">"⚠️" &amp; Common_SourceData.Common_SourceData_ClimateZones_Variation()</f>
        <v>⚠️VARIATION OF SOURCE DATA:</v>
      </c>
    </row>
    <row r="84" spans="1:20" ht="20.100000000000001" customHeight="1" x14ac:dyDescent="0.25">
      <c r="A84" s="3"/>
      <c r="D84" s="12" t="str">
        <v>⚠️Added warm / cool temperate moist / dry - low frost and high temp classes to accommodate climate scenarios excluded by VEERG criteria.</v>
      </c>
    </row>
    <row r="85" spans="1:20" ht="20.100000000000001" customHeight="1" x14ac:dyDescent="0.25">
      <c r="A85" s="3"/>
      <c r="D85" s="12" t="str">
        <v>⚠️Fixed typo in MAT value for warm temperate dry - changed 10 to 11.</v>
      </c>
    </row>
    <row r="86" spans="1:20" ht="20.100000000000001" customHeight="1" x14ac:dyDescent="0.25">
      <c r="A86" s="3"/>
      <c r="D86" s="12" t="str">
        <v>⚠️Added min and max columns for MAT, MAP, frost days per year, elevation, MAP:PET to calculate zones from real climate data.</v>
      </c>
    </row>
    <row r="87" spans="1:20" ht="20.100000000000001" customHeight="1" x14ac:dyDescent="0.25">
      <c r="A87" s="3"/>
      <c r="D87" s="12" t="str">
        <v>⚠️GAF accepts rainfall as a proxy for precipitation.</v>
      </c>
    </row>
    <row r="88" spans="1:20" ht="20.100000000000001" customHeight="1" x14ac:dyDescent="0.25">
      <c r="A88" s="3"/>
    </row>
    <row r="89" spans="1:20" ht="20.100000000000001" customHeight="1" x14ac:dyDescent="0.25">
      <c r="A89" s="3"/>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1:20" ht="20.100000000000001" customHeight="1" x14ac:dyDescent="0.25">
      <c r="A90" s="3"/>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1:20" ht="20.100000000000001" customHeight="1" x14ac:dyDescent="0.25">
      <c r="A91" s="3"/>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1:20" ht="20.100000000000001" customHeight="1" x14ac:dyDescent="0.25">
      <c r="A92" s="3"/>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1:20" ht="20.100000000000001" customHeight="1" x14ac:dyDescent="0.25">
      <c r="A93" s="3"/>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1:20" ht="20.100000000000001" customHeight="1" x14ac:dyDescent="0.25">
      <c r="A94" s="3"/>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1:20" ht="20.100000000000001" customHeight="1" x14ac:dyDescent="0.25">
      <c r="A95" s="3"/>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1:20" ht="20.100000000000001" customHeight="1" x14ac:dyDescent="0.25">
      <c r="A96" s="3"/>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1:20" ht="20.100000000000001" customHeight="1" x14ac:dyDescent="0.25">
      <c r="A97" s="3"/>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1:20" ht="20.100000000000001" customHeight="1" x14ac:dyDescent="0.25">
      <c r="A98" s="3"/>
    </row>
    <row r="99" spans="1:20" ht="20.100000000000001" customHeight="1" x14ac:dyDescent="0.25">
      <c r="A99" s="3"/>
      <c r="D99" s="13" t="str" cm="1">
        <f t="array" ref="D99:D102">Common_SourceData.Common_SourceData_ClimateZones_Appendices()</f>
        <v>Note:</v>
      </c>
    </row>
    <row r="100" spans="1:20" ht="20.100000000000001" customHeight="1" x14ac:dyDescent="0.25">
      <c r="A100" s="3"/>
      <c r="D100" s="13" t="str">
        <v>MAT = mean annual temperature</v>
      </c>
    </row>
    <row r="101" spans="1:20" ht="20.100000000000001" customHeight="1" x14ac:dyDescent="0.25">
      <c r="A101" s="3"/>
      <c r="D101" s="13" t="str">
        <v>MAP = mean annual precipitation</v>
      </c>
    </row>
    <row r="102" spans="1:20" ht="20.100000000000001" customHeight="1" x14ac:dyDescent="0.25">
      <c r="A102" s="3"/>
      <c r="D102" s="13" t="str">
        <v>PET = potential evapotranspiration</v>
      </c>
    </row>
    <row r="103" spans="1:20" ht="20.100000000000001" customHeight="1" x14ac:dyDescent="0.25">
      <c r="A103" s="3"/>
      <c r="D103" s="13"/>
    </row>
    <row r="104" spans="1:20" ht="20.100000000000001" customHeight="1" x14ac:dyDescent="0.25">
      <c r="A104" s="3"/>
    </row>
    <row r="105" spans="1:20" ht="20.100000000000001" customHeight="1" x14ac:dyDescent="0.25">
      <c r="A105" s="3"/>
      <c r="D105" s="9" t="str" cm="1">
        <f t="array" ref="D105">Common_SourceData.Common_SourceData_TemperatureZones_Title()</f>
        <v>VEERG Australian temperature zones</v>
      </c>
    </row>
    <row r="106" spans="1:20" ht="20.100000000000001" customHeight="1" x14ac:dyDescent="0.25">
      <c r="A106" s="3"/>
      <c r="D106" s="11" t="str" cm="1">
        <f t="array" ref="D106">Common_SourceData.Common_SourceData_TemperatureZones_Source()</f>
        <v>VEERG 2026: Table 1.3: Climate and Rainfall zone classifications and definitions</v>
      </c>
    </row>
    <row r="107" spans="1:20" ht="20.100000000000001" customHeight="1" x14ac:dyDescent="0.25">
      <c r="A107" s="3"/>
      <c r="D107" s="1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s="3"/>
    </row>
    <row r="109" spans="1:20" ht="20.100000000000001" customHeight="1" x14ac:dyDescent="0.25">
      <c r="A109" s="3"/>
      <c r="D109" s="10" t="s">
        <v>28</v>
      </c>
      <c r="E109" s="10" t="s">
        <v>13</v>
      </c>
      <c r="F109" s="10" t="s">
        <v>29</v>
      </c>
      <c r="G109" s="10" t="s">
        <v>30</v>
      </c>
    </row>
    <row r="110" spans="1:20" ht="20.100000000000001" customHeight="1" x14ac:dyDescent="0.25">
      <c r="A110" s="3"/>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1:20" ht="20.100000000000001" customHeight="1" x14ac:dyDescent="0.25">
      <c r="A111" s="3"/>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s="3"/>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s="3"/>
    </row>
    <row r="114" spans="1:66" ht="20.100000000000001" customHeight="1" x14ac:dyDescent="0.25">
      <c r="A114" s="3"/>
    </row>
    <row r="115" spans="1:66" ht="20.100000000000001" customHeight="1" x14ac:dyDescent="0.25">
      <c r="A115" s="3"/>
      <c r="D115" s="9" t="str" cm="1">
        <f t="array" ref="D115">Common_SourceData.Common_SourceData_RainfallZones_Title()</f>
        <v>VEERG Australian rainfall zones</v>
      </c>
      <c r="BN115" s="4"/>
    </row>
    <row r="116" spans="1:66" ht="20.100000000000001" customHeight="1" x14ac:dyDescent="0.25">
      <c r="A116" s="3"/>
      <c r="D116" s="11" t="str" cm="1">
        <f t="array" ref="D116">Common_SourceData.Common_SourceData_RainfallZones_Source()</f>
        <v>VEERG 2026: Table 1.3: Climate and Rainfall zone classifications and definitions</v>
      </c>
      <c r="BN116" s="4"/>
    </row>
    <row r="117" spans="1:66" ht="20.100000000000001" customHeight="1" x14ac:dyDescent="0.25">
      <c r="A117" s="3"/>
      <c r="D117" s="12" t="str" cm="1">
        <f t="array" ref="D117">"⚠️" &amp; Common_SourceData.Common_SourceData_RainfallZones_Variation()</f>
        <v>⚠️VARIATION OF SOURCE DATA: Added extra Rainfall min and Rainfall max columns to calculate zone from real rainfall data.</v>
      </c>
      <c r="BN117" s="4"/>
    </row>
    <row r="118" spans="1:66" ht="20.100000000000001" customHeight="1" x14ac:dyDescent="0.25">
      <c r="A118" s="3"/>
      <c r="BN118" s="4"/>
    </row>
    <row r="119" spans="1:66" ht="20.100000000000001" customHeight="1" x14ac:dyDescent="0.25">
      <c r="A119" s="3"/>
      <c r="D119" s="10" t="s">
        <v>31</v>
      </c>
      <c r="E119" s="10" t="s">
        <v>32</v>
      </c>
      <c r="F119" s="10" t="s">
        <v>20</v>
      </c>
      <c r="G119" s="10" t="s">
        <v>21</v>
      </c>
      <c r="BN119" s="4"/>
    </row>
    <row r="120" spans="1:66" ht="20.100000000000001" customHeight="1" x14ac:dyDescent="0.25">
      <c r="A120" s="3"/>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1:66" ht="20.100000000000001" customHeight="1" x14ac:dyDescent="0.25">
      <c r="A121" s="3"/>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1:66" ht="20.100000000000001" customHeight="1" x14ac:dyDescent="0.25">
      <c r="A122" s="3"/>
      <c r="BN122" s="4"/>
    </row>
    <row r="123" spans="1:66" ht="20.100000000000001" customHeight="1" x14ac:dyDescent="0.25">
      <c r="A123" s="3"/>
    </row>
    <row r="124" spans="1:66" ht="20.100000000000001" customHeight="1" x14ac:dyDescent="0.25">
      <c r="A124" s="3"/>
      <c r="D124" s="9" t="str" cm="1">
        <f t="array" ref="D124">Common_SourceData.Common_SourceData_LeachingZones_Title()</f>
        <v>VEERG Australian leaching zones</v>
      </c>
    </row>
    <row r="125" spans="1:66" ht="20.100000000000001" customHeight="1" x14ac:dyDescent="0.25">
      <c r="A125" s="3"/>
      <c r="D125" s="11" t="str" cm="1">
        <f t="array" ref="D125">Common_SourceData.Common_SourceData_LeachingZones_Source()</f>
        <v>VEERG 2026: Table 1.3: Climate and Rainfall zone classifications and definitions</v>
      </c>
    </row>
    <row r="126" spans="1:66" ht="20.100000000000001" customHeight="1" x14ac:dyDescent="0.25">
      <c r="A126" s="3"/>
    </row>
    <row r="127" spans="1:66" ht="20.100000000000001" customHeight="1" x14ac:dyDescent="0.25">
      <c r="A127" s="3"/>
      <c r="D127" s="10" t="s">
        <v>33</v>
      </c>
      <c r="E127" s="10" t="s">
        <v>34</v>
      </c>
    </row>
    <row r="128" spans="1:66" ht="20.100000000000001" customHeight="1" x14ac:dyDescent="0.25">
      <c r="A128" s="3"/>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s="3"/>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s="3"/>
    </row>
    <row r="131" spans="1:77" ht="20.100000000000001" customHeight="1" x14ac:dyDescent="0.25">
      <c r="A131" s="3"/>
    </row>
    <row r="132" spans="1:77" ht="20.100000000000001" customHeight="1" x14ac:dyDescent="0.25">
      <c r="A132" s="3"/>
      <c r="D132" s="9" t="str" cm="1">
        <f t="array" ref="D132">Common_SourceData.Common_SourceData_FracWET_Title()</f>
        <v>Fraction of N that is available for leaching and runoff</v>
      </c>
      <c r="E132" s="14"/>
    </row>
    <row r="133" spans="1:77" ht="20.100000000000001" customHeight="1" x14ac:dyDescent="0.25">
      <c r="A133" s="3"/>
      <c r="D133" s="11" t="str" cm="1">
        <f t="array" ref="D133">Common_SourceData.Common_SourceData_FracWET_Source()</f>
        <v>VEERG 2026:5.5.2.3 Constant Parameters</v>
      </c>
      <c r="E133" s="14"/>
    </row>
    <row r="134" spans="1:77" ht="20.100000000000001" customHeight="1" x14ac:dyDescent="0.25">
      <c r="A134" s="3"/>
      <c r="D134" s="3" t="s">
        <v>35</v>
      </c>
      <c r="E134" s="3" t="s">
        <v>36</v>
      </c>
    </row>
    <row r="135" spans="1:77" ht="20.100000000000001" customHeight="1" x14ac:dyDescent="0.25">
      <c r="A135" s="3"/>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1:77" ht="20.100000000000001" customHeight="1" x14ac:dyDescent="0.25">
      <c r="A136" s="3"/>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1:77" ht="20.100000000000001" customHeight="1" x14ac:dyDescent="0.25">
      <c r="A137" s="3"/>
    </row>
    <row r="138" spans="1:77" ht="20.100000000000001" customHeight="1" x14ac:dyDescent="0.25">
      <c r="A138" s="3"/>
      <c r="BN138" s="4"/>
      <c r="BO138" s="4"/>
      <c r="BP138" s="4"/>
      <c r="BQ138" s="4"/>
      <c r="BR138" s="4"/>
      <c r="BS138" s="4"/>
      <c r="BT138" s="4"/>
      <c r="BU138" s="4"/>
      <c r="BV138" s="4"/>
      <c r="BW138" s="4"/>
      <c r="BX138" s="4"/>
      <c r="BY138" s="4"/>
    </row>
    <row r="139" spans="1:77" ht="20.100000000000001" customHeight="1" x14ac:dyDescent="0.25">
      <c r="A139" s="3"/>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1:77" ht="20.100000000000001" customHeight="1" x14ac:dyDescent="0.25">
      <c r="A140" s="3"/>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1:77" ht="20.100000000000001" customHeight="1" x14ac:dyDescent="0.25">
      <c r="A141" s="3"/>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1:77" ht="20.100000000000001" customHeight="1" x14ac:dyDescent="0.25">
      <c r="A142" s="3"/>
      <c r="D142" s="10" t="s">
        <v>37</v>
      </c>
      <c r="E142" s="10" t="s">
        <v>36</v>
      </c>
      <c r="BN142" s="4"/>
    </row>
    <row r="143" spans="1:77" ht="20.100000000000001" customHeight="1" x14ac:dyDescent="0.25">
      <c r="A143" s="3"/>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1:77" ht="20.100000000000001" customHeight="1" x14ac:dyDescent="0.25">
      <c r="A144" s="3"/>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1:66" ht="20.100000000000001" customHeight="1" x14ac:dyDescent="0.25">
      <c r="A145" s="3"/>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1:66" ht="20.100000000000001" customHeight="1" x14ac:dyDescent="0.25">
      <c r="A146" s="3"/>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1:66" ht="20.100000000000001" customHeight="1" x14ac:dyDescent="0.25">
      <c r="A147" s="3"/>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1:66" ht="20.100000000000001" customHeight="1" x14ac:dyDescent="0.25">
      <c r="A148" s="3"/>
      <c r="BN148" s="4"/>
    </row>
    <row r="149" spans="1:66" ht="20.100000000000001" customHeight="1" x14ac:dyDescent="0.25">
      <c r="A149" s="3"/>
      <c r="BN149" s="4"/>
    </row>
    <row r="150" spans="1:66" ht="20.100000000000001" customHeight="1" x14ac:dyDescent="0.25">
      <c r="A150" s="3"/>
      <c r="D150" s="9" t="str" cm="1">
        <f t="array" ref="D150">Common_SourceData.Common_SourceData_DataScores_Scope3_Title()</f>
        <v>Australian data scores for scope 3</v>
      </c>
      <c r="BN150" s="4"/>
    </row>
    <row r="151" spans="1:66" ht="20.100000000000001" customHeight="1" x14ac:dyDescent="0.25">
      <c r="A151" s="3"/>
      <c r="D151" s="11" t="str" cm="1">
        <f t="array" ref="D151">Common_SourceData.Common_SourceData_DataScores_Scope3_Source()</f>
        <v>VEERG 2026: XXXXXXXX</v>
      </c>
      <c r="BN151" s="4"/>
    </row>
    <row r="152" spans="1:66" ht="20.100000000000001" customHeight="1" x14ac:dyDescent="0.25">
      <c r="A152" s="3"/>
      <c r="BN152" s="4"/>
    </row>
    <row r="153" spans="1:66" ht="20.100000000000001" customHeight="1" x14ac:dyDescent="0.25">
      <c r="A153" s="3"/>
      <c r="D153" s="10" t="s">
        <v>38</v>
      </c>
      <c r="E153" s="10" t="s">
        <v>39</v>
      </c>
      <c r="BC153" s="7"/>
      <c r="BD153" s="7"/>
      <c r="BE153" s="7"/>
      <c r="BF153" s="7"/>
      <c r="BG153" s="7"/>
      <c r="BH153" s="7"/>
      <c r="BI153" s="7"/>
      <c r="BJ153" s="7"/>
      <c r="BK153" s="7"/>
      <c r="BL153" s="7"/>
      <c r="BM153" s="7"/>
    </row>
    <row r="154" spans="1:66" ht="20.100000000000001" customHeight="1" x14ac:dyDescent="0.25">
      <c r="A154" s="3"/>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1:66" ht="20.100000000000001" customHeight="1" x14ac:dyDescent="0.25">
      <c r="A155" s="3"/>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1:66" ht="20.100000000000001" customHeight="1" x14ac:dyDescent="0.25">
      <c r="A156" s="3"/>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1:66" ht="20.100000000000001" customHeight="1" x14ac:dyDescent="0.25">
      <c r="A157" s="3"/>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1:66" ht="20.100000000000001" customHeight="1" x14ac:dyDescent="0.25">
      <c r="A158" s="3"/>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1:66" ht="20.100000000000001" customHeight="1" x14ac:dyDescent="0.25">
      <c r="A159" s="3"/>
    </row>
    <row r="160" spans="1:66" ht="20.100000000000001" customHeight="1" x14ac:dyDescent="0.25">
      <c r="A160" s="3"/>
    </row>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6" x14ac:dyDescent="0.25">
      <c r="D257" s="10" t="s">
        <v>64</v>
      </c>
      <c r="E257" s="10" t="s">
        <v>65</v>
      </c>
    </row>
    <row r="258" spans="4:6"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9" t="s">
        <v>856</v>
      </c>
    </row>
    <row r="264" spans="4:6" x14ac:dyDescent="0.25">
      <c r="D264" s="8" t="s">
        <v>857</v>
      </c>
    </row>
    <row r="265" spans="4:6" x14ac:dyDescent="0.25">
      <c r="D265" s="10" t="s">
        <v>242</v>
      </c>
      <c r="E265" s="10" t="s">
        <v>858</v>
      </c>
      <c r="F265" s="10" t="s">
        <v>859</v>
      </c>
    </row>
    <row r="266" spans="4:6" x14ac:dyDescent="0.25">
      <c r="D266" s="10" t="s">
        <v>860</v>
      </c>
      <c r="E266" s="10" t="s">
        <v>861</v>
      </c>
      <c r="F266" s="10">
        <v>5</v>
      </c>
    </row>
    <row r="267" spans="4:6" x14ac:dyDescent="0.25">
      <c r="D267" s="10" t="s">
        <v>862</v>
      </c>
      <c r="E267" s="10" t="s">
        <v>863</v>
      </c>
      <c r="F267" s="10">
        <v>4</v>
      </c>
    </row>
    <row r="268" spans="4:6" x14ac:dyDescent="0.25">
      <c r="D268" s="10" t="s">
        <v>864</v>
      </c>
      <c r="E268" s="10" t="s">
        <v>865</v>
      </c>
      <c r="F268" s="10">
        <v>3</v>
      </c>
    </row>
    <row r="269" spans="4:6" x14ac:dyDescent="0.25">
      <c r="D269" s="10" t="s">
        <v>866</v>
      </c>
      <c r="E269" s="10" t="s">
        <v>867</v>
      </c>
      <c r="F269" s="10">
        <v>2</v>
      </c>
    </row>
    <row r="270" spans="4:6" x14ac:dyDescent="0.25">
      <c r="D270" s="10" t="s">
        <v>868</v>
      </c>
      <c r="E270" s="10" t="s">
        <v>869</v>
      </c>
      <c r="F270" s="10">
        <v>1</v>
      </c>
    </row>
    <row r="273" spans="4:6" x14ac:dyDescent="0.25">
      <c r="D273" s="8" t="s">
        <v>870</v>
      </c>
    </row>
    <row r="274" spans="4:6" x14ac:dyDescent="0.25">
      <c r="D274" s="10" t="s">
        <v>242</v>
      </c>
      <c r="E274" s="10" t="s">
        <v>858</v>
      </c>
      <c r="F274" s="10" t="s">
        <v>859</v>
      </c>
    </row>
    <row r="275" spans="4:6" x14ac:dyDescent="0.25">
      <c r="D275" s="10" t="s">
        <v>871</v>
      </c>
      <c r="E275" s="10" t="s">
        <v>872</v>
      </c>
      <c r="F275" s="10">
        <v>5</v>
      </c>
    </row>
    <row r="276" spans="4:6" x14ac:dyDescent="0.25">
      <c r="D276" s="10" t="s">
        <v>873</v>
      </c>
      <c r="E276" s="10" t="s">
        <v>874</v>
      </c>
      <c r="F276" s="10">
        <v>4</v>
      </c>
    </row>
    <row r="277" spans="4:6" x14ac:dyDescent="0.25">
      <c r="D277" s="10" t="s">
        <v>875</v>
      </c>
      <c r="E277" s="10" t="s">
        <v>876</v>
      </c>
      <c r="F277" s="10">
        <v>3</v>
      </c>
    </row>
    <row r="278" spans="4:6" x14ac:dyDescent="0.25">
      <c r="D278" s="10" t="s">
        <v>877</v>
      </c>
      <c r="E278" s="10" t="s">
        <v>878</v>
      </c>
      <c r="F278" s="10">
        <v>2</v>
      </c>
    </row>
    <row r="279" spans="4:6" x14ac:dyDescent="0.25">
      <c r="D279" s="10" t="s">
        <v>879</v>
      </c>
      <c r="E279" s="10" t="s">
        <v>880</v>
      </c>
      <c r="F279" s="10">
        <v>1</v>
      </c>
    </row>
    <row r="282" spans="4:6" x14ac:dyDescent="0.25">
      <c r="D282" s="8" t="s">
        <v>881</v>
      </c>
    </row>
    <row r="283" spans="4:6" x14ac:dyDescent="0.25">
      <c r="D283" s="10" t="s">
        <v>242</v>
      </c>
      <c r="E283" s="10" t="s">
        <v>858</v>
      </c>
      <c r="F283" s="10" t="s">
        <v>859</v>
      </c>
    </row>
    <row r="284" spans="4:6" x14ac:dyDescent="0.25">
      <c r="D284" s="10" t="s">
        <v>882</v>
      </c>
      <c r="E284" s="10" t="s">
        <v>883</v>
      </c>
      <c r="F284" s="10">
        <v>5</v>
      </c>
    </row>
    <row r="285" spans="4:6" x14ac:dyDescent="0.25">
      <c r="D285" s="10" t="s">
        <v>884</v>
      </c>
      <c r="E285" s="10" t="s">
        <v>885</v>
      </c>
      <c r="F285" s="10">
        <v>4</v>
      </c>
    </row>
    <row r="286" spans="4:6" x14ac:dyDescent="0.25">
      <c r="D286" s="10" t="s">
        <v>886</v>
      </c>
      <c r="E286" s="10" t="s">
        <v>887</v>
      </c>
      <c r="F286" s="10">
        <v>3</v>
      </c>
    </row>
    <row r="287" spans="4:6" x14ac:dyDescent="0.25">
      <c r="D287" s="10" t="s">
        <v>888</v>
      </c>
      <c r="E287" s="10" t="s">
        <v>889</v>
      </c>
      <c r="F287" s="10">
        <v>2</v>
      </c>
    </row>
    <row r="288" spans="4:6" x14ac:dyDescent="0.25">
      <c r="D288" s="10" t="s">
        <v>890</v>
      </c>
      <c r="E288" s="10" t="s">
        <v>891</v>
      </c>
      <c r="F288" s="10">
        <v>1</v>
      </c>
    </row>
    <row r="291" spans="4:6" x14ac:dyDescent="0.25">
      <c r="D291" s="8" t="s">
        <v>892</v>
      </c>
    </row>
    <row r="292" spans="4:6" x14ac:dyDescent="0.25">
      <c r="D292" s="10" t="s">
        <v>242</v>
      </c>
      <c r="E292" s="10" t="s">
        <v>858</v>
      </c>
      <c r="F292" s="10" t="s">
        <v>859</v>
      </c>
    </row>
    <row r="293" spans="4:6" x14ac:dyDescent="0.25">
      <c r="D293" s="10" t="s">
        <v>893</v>
      </c>
      <c r="E293" s="10" t="s">
        <v>894</v>
      </c>
      <c r="F293" s="10">
        <v>5</v>
      </c>
    </row>
    <row r="294" spans="4:6" x14ac:dyDescent="0.25">
      <c r="D294" s="10" t="s">
        <v>895</v>
      </c>
      <c r="E294" s="10" t="s">
        <v>896</v>
      </c>
      <c r="F294" s="10">
        <v>4</v>
      </c>
    </row>
    <row r="295" spans="4:6" x14ac:dyDescent="0.25">
      <c r="D295" s="10" t="s">
        <v>897</v>
      </c>
      <c r="E295" s="10" t="s">
        <v>898</v>
      </c>
      <c r="F295" s="10">
        <v>3</v>
      </c>
    </row>
    <row r="296" spans="4:6" x14ac:dyDescent="0.25">
      <c r="D296" s="10" t="s">
        <v>899</v>
      </c>
      <c r="E296" s="10" t="s">
        <v>900</v>
      </c>
      <c r="F296" s="10">
        <v>2</v>
      </c>
    </row>
    <row r="297" spans="4:6" x14ac:dyDescent="0.25">
      <c r="D297" s="10" t="s">
        <v>901</v>
      </c>
      <c r="E297" s="10" t="s">
        <v>902</v>
      </c>
      <c r="F297" s="10">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YAYQByAGkAYQB0AGkAbwBu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TABhAHQAZQB4AEUAcQB1AGEAdABpAG8AbgBWAGEAcgBp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IAXwAxAF8AMgBfAF8AMQBfAFUAcABzAHQAcgBlAGEAbQBQAHUAcgBjAGgAYQBzAGUAZABFAGwAZQBjAHQAcgBpAGMAaQB0AHkATQBhAHIAawBlAHQAQgBhAHMAZQBkAF8AVgBhAHIAaQBhAHQAaQBvAG4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zAF8AMQBfADMAXwBfADEAXwBFAG0AaQBzAHMAaQBvAG4AcwBGAHIAbwBtAFMAbwBsAGkAZABXAGEAcwB0AGUAVAByAGUAYQB0AG0AZQBuAHQARgBhAGMAaQBsAGkAdAB5ACIALAAiAFMAYwBvAHAAZQAzAF8ARQBxAHUAYQB0AGkAbwBuAHMALgBWAEUARQBSAEcAXwAxADUAXwAxADMAXwAxAF8AMwBfAF8AMQBfAEUAbQBpAHMAcwBpAG8AbgBzAEYAcgBvAG0AUwBvAGwAaQBkAFcAYQBzAHQAZQBUAHIAZQBhAHQAbQBlAG4AdABGAGEAYwBpAGwAaQB0AHkAXwBUAGkAdABsAGUAIgAsACIAUwBjAG8AcABlADMAXwBFAHEAdQBhAHQAaQBvAG4AcwAuAFYARQBFAFIARwBfADEANQBfADEAMwBfADEAXwAzAF8AXwAxAF8ARQBtAGkAcwBzAGkAbwBuAHMARgByAG8AbQBTAG8AbABpAGQAVwBhAHMAdABlAFQAcgBlAGEAdABtAGUAbgB0AEYAYQBjAGkAbABpAHQAeQBfAFYAYQByAGkAYQBiAGwAZQAiACwAIgBTAGMAbwBwAGUAMwBfAEUAcQB1AGEAdABpAG8AbgBzAC4AVgBFAEUAUgBHAF8AMQA1AF8AMQAzAF8AMQBfADMAXwBfADEAXwBFAG0AaQBzAHMAaQBvAG4AcwBGAHIAbwBtAFMAbwBsAGkAZABXAGEAcwB0AGUAVAByAGUAYQB0AG0AZQBuAHQARgBhAGMAaQBsAGkAdAB5AF8AVQBuAGkAdAAiACwAIgBTAGMAbwBwAGUAMwBfAEUAcQB1AGEAdABpAG8AbgBzAC4AVgBFAEUAUgBHAF8AMQA1AF8AMQAzAF8AMQBfADMAXwBfADEAXwBFAG0AaQBzAHMAaQBvAG4AcwBGAHIAbwBtAFMAbwBsAGkAZABXAGEAcwB0AGUAVAByAGUAYQB0AG0AZQBuAHQARgBhAGMAaQBsAGkAdAB5AF8AUwBvAHUAcgBjAGUAIgAsACIAUwBjAG8AcABlADMAXwBFAHEAdQBhAHQAaQBvAG4AcwAuAFYARQBFAFIARwBfADEANQBfADEAMwBfADEAXwAzAF8AXwAxAF8ARQBtAGkAcwBzAGkAbwBuAHMARgByAG8AbQBTAG8AbABpAGQAVwBhAHMAdABlAFQAcgBlAGEAdABtAGUAbgB0AEYAYQBjAGkAbABpAHQAeQBfAE4ASQBSAFIAZQBmAGUAcgBlAG4AYwBlACIALAAiAFMAYwBvAHAAZQAzAF8ARQBxAHUAYQB0AGkAbwBuAHMALgBWAEUARQBSAEcAXwAxADUAXwAxADMAXwAxAF8AMwBfAF8AMQBfAEUAbQBpAHMAcwBpAG8AbgBzAEYAcgBvAG0AUwBvAGwAaQBkAFcAYQBzAHQAZQBUAHIAZQBhAHQAbQBlAG4AdABGAGEAYwBpAGwAaQB0AHkAXwBMAGEAdABlAHgARQBxAHUAYQB0AGkAbwBuACIALAAiAFMAYwBvAHAAZQAzAF8ARQBxAHUAYQB0AGkAbwBuAHMALgBWAEUARQBSAEcAXwAxADUAXwAxADMAXwAxAF8AMwBfAF8AMQBfAEUAbQBpAHMAcwBpAG8AbgBzAEYAcgBvAG0AUwBvAGwAaQBkAFcAYQBzAHQAZQBUAHIAZQBhAHQAbQBlAG4AdABGAGEAYwBpAGwAaQB0AHk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FcAYQBzAHQAZQBTAG8AbABpAGQAXwBJAG4AcAB1AHQARgB1AG4AYwB0AGkAbwBuAHMALgBXAGEAcwB0AGUAUwBvAGwAaQBkAF8ASQBuAHAAdQB0AEYAdQBuAGMAdABpAG8AbgBzAF8AUwB1AG0AVwBhAHMAdABlAFQAcgBlAGEAdABtAGUAbgB0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FYAYQBsAGkAZABMAGkAdgBlAHMAdABvAGMAawBDAGwAYQBzAHMAXABuAD0AIABVAE4ASQBRAFUARQAoAEYASQBMAFQARQBSACgAVABhAGIAbABlAF8AUwBjAG8AcABlADMAXwBMAGkAdgBlAHMAdABvAGMAawBbAFAAcgBvAGQAdQBjAHQAXQAsACAAVABhAGIAbABlAF8AUwBjAG8AcABlADMAXwBMAGkAdgBlAHMAdABvAGMAawBbAEMAYQB0AGUAZwBvAHIAeQBdAD0AVABhAGIAbABlAF8ASQBuAHAAdQB0AF8ATABpAHYAZQBzAHQAbwBjAGsAUAB1AHIAYwBoAGEAcwBlAHMAWwBbACMAVABoAGkAcwAgAFIAbwB3AF0ALABbAEwAaQB2AGUAcwB0AG8AYwBrACAAdAB5AHAAZQAgACgAcwBlAGwAZQBjAHQAKQBdAF0AKQApAFwAbg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GUAcgB0AGkAbABpAHM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RgBlAHIAdABpAGwAaQBzAGUAcgAgAGMAaABlAG0AaQBjAGEAbAAgAGMAbwBtAHAAbwB1AG4AZABzAFwAbgA9AD0APQA9AD0APQA9AD0APQA9AD0APQA9AD0APQA9AD0APQA9AD0APQA9AD0APQA9AD0APQA9AD0APQA9AD0APQA9AD0APQA9AD0APQA9AD0APQA9AD0APQA9AD0APQA9AD0APQA9AD0APQA9AD0APQA9AD0APQA9AD0APQA9AD0APQA9AD0APQA9AD0APQA9AD0APQA9AFwAbgAqAC8AXABuAFwAbgBGAGUAcgB0AGkAbABpAHMAZQByAF8AQwBoAGUAbQBpAGMAYQBsAEMAbwBtAHAAbwB1AG4AZABFAGwAZQBtAGUAbgB0AHMAXwBUAGkAdABsAGUAXABuAD0ATABBAE0AQgBEAEEAKAAoAFwAIgBDAG8AbQBtAG8AbgAgAGkAbgBvAHIAZwBhAG4AaQBjACAAZgBlAHIAdABpAGwAaQBzAGUAcgBzAFwAIgApACkAOwBcAG4AXABuAEYAZQByAHQAaQBsAGkAcwBlAHIAXwBDAGgAZQBtAGkAYwBhAGwAQwBvAG0AcABvAHUAbgBkAEUAbABlAG0AZQBuAHQAcwBfAFMAbwB1AHIAYwBlAFwAbgA9AEwAQQBNAEIARABBACgAKABcACIAVABhAGIAbABlACAAQQAuADIALgAyAC4AMwA6ACAARgByAGEAYwB0AGkAbwBuACAAbwBmACAAbgBpAHQAcgBvAGcAZQBuACAAaQBuACAAYwBvAG0AbQBvAG4AIABpAG4AbwByAGcAYQBuAGkAYwAgAGYAZQByAHQAaQBsAGkAcwBlAHIAcwAgACgAawBnAE4ALwBrAGcAKQAgACgARgBOAG8AcgBnAGEAbgBpAGMALABmACkAIABBAE4ARAAgAFQAYQBiAGwAZQAgAEEALgAyAC4AMgAuADQAOgAgAEYAcgBhAGMAdABpAG8AbgAgAG8AZgAgAHUAcgBlAGEAIABpAG4AIABjAG8AbQBtAG8AbgAgAGkAbgBvAHIAZwBhAG4AaQBjACAAZgBlAHIAdABpAGwAaQBzAGUAcgBzACAAKABrAGcAIAB1AHIAZQBhAC8AawBnACkAIAAoAEYAVQBmACkAXAAiACkAKQA7AFwAbgBcAG4ARgBlAHIAdABpAGwAaQBzAGUAcgBfAEMAaABlAG0AaQBjAGEAbABDAG8AbQBwAG8AdQBuAGQARQBsAGUAbQBlAG4AdABzAF8ARABhAHQAYQBcAG4APQBMAEEATQBCAEQAQQAoAFwAbgAgAE0AQQBLAEUAQQBSAFIAQQBZACgAMgAwACwAIAA2ACwAXABuACAATABBAE0AQgBEAEEAKAByACwAYwAsAFwAbgAgACAASQBOAEQARQBYACgAewBcAG4AIAAgAFwAIgBGAGUAcgB0AGkAbABpAHMAZQByACAAVAB5AHAAZQAgAGYAXAAiACwAIABcACIARgBOAGkAbgBvAHIAZwBhAG4AaQBjACwAZgBcACIALAAgAFwAIgBGAFUAZgBcACIALAAgAFwAIgBCAGEAcwBpAHMAXAAiACwAIABcACIATABpAGYAZQBDAHkAYwBsAGUAcwAgAFMAYwBvAHAAZQAgADMAIABkAGUAZgBpAG4AaQB0AGkAbwBuAFwAIgAsACAAXAAiAFMAbwB1AHIAYwBlAFwAIgA7AFwAbgAgACAAXAAiAE0AbwBuAG8AYQBtAG0AbwBuAGkAdQBtACAAcABoAG8AcwBwAGgAYQB0AGUAIAAoAE0AQQBQACkAXAAiACwAIAAwAC4AMQAwACwAIAAwACwAIABcACIAQQBtAG0AbwBuAGkAdQBtAC0AYgBhAHMAZQBkACAAZgBlAHIAdABpAGwAaQBzAGUAcgBzAFwAIgAsACAAXAAiAE0AbwBuAG8AYQBtAG0AbwBuAGkAdQBtACAAcABoAG8AcwBwAGgAYQB0AGUAIAAoAE0AQQBQACkAXAAiACwAIABcACIAVgBFAEUAUgBHAFwAIgA7AFwAbgAgACAAXAAiAEQAaQBhAG0AbQBvAG4AaQB1AG0AIABwAGgAbwBzAHAAaABhAHQAZQAgACgARABBAFAAKQBcACIALAAgADAALgAxADgALAAgADAALAAgAFwAIgBBAG0AbQBvAG4AaQB1AG0ALQBiAGEAcwBlAGQAIABmAGUAcgB0AGkAbABpAHMAZQByAHMAXAAiACwAIABcACIARABpAGEAbQBtAG8AbgBpAHUAbQAgAHAAaABvAHMAcABoAGEAdABlACAAKABEAEEAUAApAFwAIgAsACAAXAAiAFYARQBFAFIARwBcACIAOwBcAG4AIAAgAFwAIgBVAHIAZQBhAFwAIgAsACAAMAAuADQANgAsACAAMQAsACAAXAAiAFUAcgBlAGEALQBiAGEAcwBlAGQAIABmAGUAcgB0AGkAbABpAHMAZQByAHMAXAAiACwAIABcACIAVQByAGUAYQBcACIALAAgAFwAIgBWAEUARQBSAEcAXAAiADsAXABuACAAIABcACIAUwB1AGwAcABoAGEAdABlACAAbwBmACAAYQBtAG0AbwBuAGkAYQAgACgAUwBPAEEAKQBcACIALAAgADAALgAyADEALAAgADAALAAgAFwAIgBBAG0AbQBvAG4AaQB1AG0ALQBiAGEAcwBlAGQAIABmAGUAcgB0AGkAbABpAHMAZQByAHMAXAAiACwAIABcACIAUwB1AGwAcABoAGEAdABlACAAbwBmACAAYQBtAG0AbwBuAGkAYQAgACgAUwBPAEEAKQBcACIALAAgAFwAIgBWAEUARQBSAEcAXAAiADsAXABuACAAIABcACIAVQByAGUAYQAtAGEAbQBtAG8AbgBpAHUAbQAgAG4AaQB0AHIAYQB0AGUAIAAoAFUAQQBOACkAXAAiACwAIAAwAC4AMwAyACwAIAAwAC4AMwA1ACwAIABcACIAVQByAGUAYQAtAGIAYQBzAGUAZAAgAGYAZQByAHQAaQBsAGkAcwBlAHIAcwBcACIALAAgAFwAIgBVAHIAZQBhAC0AYQBtAG0AbwBuAGkAdQBtACAAbgBpAHQAcgBhAHQAZQAgACgAVQBBAE4AKQBcACIALAAgAFwAIgBWAEUARQBSAEcAXAAiADsAXABuACAAIABcACIAQQBtAG0AbwBuAGkAdQBtACAAbgBpAHQAcgBhAHQAZQAgACgAQQBOACkAXAAiACwAIAAwAC4AMwAzADcALAAgADAALAAgAFwAIgBBAG0AbQBvAG4AaQB1AG0ALQBuAGkAdAByAGEAdABlACAAYgBhAHMAZQBkACAAZgBlAHIAdABpAGwAaQBzAGUAcgBzAFwAIgAsACAAXAAiAEEAbQBtAG8AbgBpAHUAbQAgAG4AaQB0AHIAYQB0AGUAIAAoAEEATgApAFwAIgAsACAAXAAiAFYARQBFAFIARwBcACIAOwBcAG4AIAAgAFwAIgBDAGEAbABjAGkAdQBtACAAYQBtAG0AbwBuAGkAdQBtACAAbgBpAHQAcgBhAHQAZQAgACgAQwBBAE4AKQBcACIALAAgADAALgAyADcALAAgADAALAAgAFwAIgBBAG0AbQBvAG4AaQB1AG0ALQBuAGkAdAByAGEAdABlACAAYgBhAHMAZQBkACAAZgBlAHIAdABpAGwAaQBzAGUAcgBzAFwAIgAsACAAXAAiAEMAYQBsAGMAaQB1AG0AIABhAG0AbQBvAG4AaQB1AG0AIABuAGkAdAByAGEAdABlACAAKABDAEEATgApAFwAIgAsACAAXAAiAFYARQBFAFIARwBcACIAOwBcAG4AIAAgAFwAIgBOAGkAdAByAG8AZwBlAG4AIAAtACAAQQBtAG0AbwBuAGkAYQBjAGEAbABcACIALAAgADEALAAgADAALAAgAFwAIgBBAG0AbQBvAG4AaQB1AG0ALQBiAGEAcwBlAGQAIABmAGUAcgB0AGkAbABpAHMAZQByAHMAXAAiACwAIABcACIATgBpAHQAcgBvAGcAZQBuACAALQAgAEEAbQBtAG8AbgBpAGEAYwBhAGwAXAAiACwAIABcACIATABpAGYAZQBDAHkAYwBsAGUAcwBcACIAOwBcAG4AIAAgAFwAIgBOAGkAdAByAG8AZwBlAG4AIAAtACAATgBpAHQAcgBhAHQAZQBcACIALAAgADEALAAgADAALAAgAFwAIgBOAGkAdAByAGEAdABlAC0AYgBhAHMAZQBkACAAZgBlAHIAdABpAGwAaQBzAGUAcgBzAFwAIgAsACAAXAAiAE4AaQB0AHIAbwBnAGUAbgAgAGYAcgBvAG0AIABOAGkAdAByAGEAdABlAFwAIgAsACAAXAAiAEwAaQBmAGUAQwB5AGMAbABlAHMAXAAiADsAXABuACAAIABcACIATgBpAHQAcgBvAGcAZQBuACAALQAgAEcAZQBuAGUAcgBpAGMAXAAiACwAIAAxACwAIAAwACwAIABcACIAVQByAGUAYQAtAGIAYQBzAGUAZAAgAGYAZQByAHQAaQBsAGkAcwBlAHIAcwBcACIALAAgAFwAIgBOAGkAdAByAG8AZwBlAG4AIABmAHIAbwBtACAAZgBlAHIAdABpAGwAaQBzAGUAcgBcACIALAAgAFwAIgBMAGkAZgBlAEMAeQBjAGwAZQBzAFwAIgA7AFwAbgAgACAAXAAiAFAAaABvAHMAcABoAG8AcgB1AHMAIAAtACAARwBlAG4AZQByAGkAYwBcACIALAAgADAALAAgADAALAAgAFwAIgBPAHQAaABlAHIAIABmAGUAcgB0AGkAbABpAHMAZQByAHMAXAAiACwAIABcACIAUABoAG8AcwBwAGgAbwByAHUAcwAgAGYAcgBvAG0AIABmAGUAcgB0AGkAbABpAHMAZQByAFwAIgAsACAAXAAiAEwAaQBmAGUAQwB5AGMAbABlAHMAXAAiADsAXABuACAAIABcACIAUABvAHQAYQBzAHMAaQB1AG0AIAAtACAARwBlAG4AZQByAGkAYwBcACIALAAgADAALAAgADAALAAgAFwAIgBPAHQAaABlAHIAIABmAGUAcgB0AGkAbABpAHMAZQByAHMAXAAiACwAIABcACIAUABvAHQAYQBzAHMAaQB1AG0AIABmAHIAbwBtACAAZgBlAHIAdABpAGwAaQBzAGUAcgBcACIALAAgAFwAIgBMAGkAZgBlAEMAeQBjAGwAZQBzAFwAIgA7AFwAbgAgACAAXAAiAFMAdQBsAGYAdQByACAALQAgAEcAZQBuAGUAcgBpAGMAXAAiACwAIAAwACwAIAAwACwAIABcACIATwB0AGgAZQByACAAZgBlAHIAdABpAGwAaQBzAGUAcgBzAFwAIgAsACAAXAAiAFMAdQBsAGYAdQByACAAZgByAG8AbQAgAGYAZQByAHQAaQBsAGkAcwBlAHIAXAAiACwAIABcACIATABpAGYAZQBDAHkAYwBsAGUAcwBcACIAOwBcAG4AIAAgAFwAIgBaAGkAbgBjACAALQAgAEcAZQBuAGUAcgBpAGMAXAAiACwAIAAwACwAIAAwACwAIABcACIATwB0AGgAZQByACAAZgBlAHIAdABpAGwAaQBzAGUAcgBzAFwAIgAsACAAXAAiAFoAaQBuAGMAIABmAHIAbwBtACAAZgBlAHIAdABpAGwAaQBzAGUAcgBcACIALAAgAFwAIgBMAGkAZgBlAEMAeQBjAGwAZQBzAFwAIgA7AFwAbgAgACAAXAAiAE0AdQByAGkAYQB0AGUAIABvAGYAIABwAG8AdABhAHMAaAAgACgATQBPAFAAKQBcACIALAAgADAALAAgADAALAAgAFwAIgBPAHQAaABlAHIAIABmAGUAcgB0AGkAbABpAHMAZQByAHMAXAAiACwAIABcACIATQB1AHIAaQBhAHQAZQAgAG8AZgAgAHAAbwB0AGEAcwBoACAAKABNAE8AUAApAFwAIgAsACAAXAAiAEwAaQBmAGUAQwB5AGMAbABlAHMAXAAiADsAXABuACAAIABcACIARABvAHUAYgBsAGUAIABzAHUAcABlAHIAcABoAG8AcwBwAGgAYQB0AGUAXAAiACwAIAAwACwAIAAwACwAIABcACIATwB0AGgAZQByACAAZgBlAHIAdABpAGwAaQBzAGUAcgBzAFwAIgAsACAAXAAiAEQAbwB1AGIAbABlACAAcwB1AHAAZQByAHAAaABvAHMAcABoAGEAdABlAFwAIgAsACAAXAAiAEwAaQBmAGUAQwB5AGMAbABlAHMAXAAiADsAXABuACAAIABcACIAUwBpAG4AZwBsAGUAIABzAHUAcABlAHIAcABoAG8AcwBwAGgAYQB0AGUAIAAoAFMAUwBQACkAXAAiACwAIAAwACwAIAAwACwAIABcACIATwB0AGgAZQByACAAZgBlAHIAdABpAGwAaQBzAGUAcgBzAFwAIgAsACAAXAAiAFMAaQBuAGcAbABlACAAcwB1AHAAZQByAHAAaABvAHMAcABoAGEAdABlACAAKABTAFMAUAApAFwAIgAsACAAXAAiAEwAaQBmAGUAQwB5AGMAbABlAHMAXAAiADsAXABuACAAIABcACIAQQBtAG0AbwBuAGkAYQBcACIALAAgADAALgA4ADIAMwA1ACwAIAAwACwAIABcACIAQQBtAG0AbwBuAGkAdQBtAC0AYgBhAHMAZQBkACAAZgBlAHIAdABpAGwAaQBzAGUAcgBzAFwAIgAsACAAXAAiAEEAbQBtAG8AbgBpAGEAXAAiACwAIABcACIATABpAGYAZQBDAHkAYwBsAGUAcwBcACIAOwBcAG4AIAAgAFwAIgBDAGEAbABjAGkAdQBtACAAbgBpAHQAcgBhAHQAZQBcACIALAAgADAALgAxADUANQAsACAAMAAsACAAXAAiAE4AaQB0AHIAYQB0AGUALQBiAGEAcwBlAGQAIABmAGUAcgB0AGkAbABpAHMAZQByAHMAXAAiACwAIABcACIAQwBhAGwAYwBpAHUAbQAgAG4AaQB0AHIAYQB0AGUAXAAiACwAIABcACIAVgBFAEUAUgBHAFwAIgBcAG4AIAAgAH0ALAAgAHIALAAgAGMAKQBcAG4AKQApACkAOwBcAG4AXABuAEYAZQByAHQAaQBsAGkAcwBlAHIAXwBDAGgAZQBtAGkAYwBhAGwAQwBvAG0AcABvAHUAbgBkAEUAbABlAG0AZQBuAHQAcwBfAFYAYQByAGkAYQB0AGkAbwBuAFwAbgA9AEwAQQBNAEIARABBACgAXABuACAATQBBAEsARQBBAFIAUgBBAFkAKAAxADIALAAgADEALABcAG4AIABMAEEATQBCAEQAQQAoAHIALABjACwAXABuACAAIABJAE4ARABFAFgAKAB7AFwAbgAgACAAXAAiAFYAQQBSAEkAQQBUAEkATwBOACAATwBOACAAUwBPAFUAUgBDAEUAXAAiADsAXABuACAAIABcACIAQQBkAGQAZQBkACAAXAB1ADAAMAAyADcAQgBhAHMAaQBzAFwAdQAwADAAMgA3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XAB1ADAAMAAyADcAUwBjAG8AcABlACAAMwAgAGQAZQBmAGkAbgBpAHQAaQBvAG4AXAB1ADAAMAAyADcAIABjAG8AbAB1AG0AbgAgAHQAbwAgAGEAbABsAG8AdwAgAG0AYQBwAHAAaQBuAGcAIAB3AGkAdABoACAAcwBjAG8AcABlACAAMwAgAGQAYQB0AGEAXAAiADsAXABuACAAIABcACIAQQBkAGQAZQBkACAAXAB1ADAAMAAyADcAUwBvAHUAcgBjAGUAXAB1ADAAMAAyADcAIABjAG8AbAB1AG0AbgBcACIAOwBcAG4AIAAgAFwAIgBDAG8AbQBiAGkAbgBlAGQAIABkAGEAdABhACAAZgByAG8AbQAgAFQAYQBiAGwAZQAgAEEALgAyAC4AMgAuADMAIABhAG4AZAAgAFQAYQBiAGwAZQAgAEEALgAyAC4AMgAuADQAIABpAG4AdABvACAAbwBuAGUAIAB0AGEAYgBsAGUAIAB0AG8AIABhAGkAZAAgAGwAbwBvAGsAdQBwAC4AXAAiADsAXABuACAAIABcACIARQB4AGMAbAB1AGQAZQBkACAAXAB1ADAAMAAyADcAUgBlAGYAZQByAGUAbgBjAGUAcwBcAHUAMAAwADIANwAgAGMAbwBsAHUAbQBuAFwAIgA7AFwAbgAgACAAXAAiAEUAeABjAGwAdQBkAGUAZAAgAFwAdQAwADAAMgA3AEEAbQBtAG8AbgBpAHUAbQAgAHMAdQBsAGYAYQB0AGUAXAB1ADAAMAAyADcAIABhAHMAIABpAHQAIABpAHMAIABhACAAZAB1AHAAbABpAGMAYQB0AGUAIABvAGYAIABcAHUAMAAwADIANwBTAHUAbABwAGgAYQB0AGUAIABvAGYAIABhAG0AbQBvAG4AaQBhACAAKABTAE8AQQApAFwAdQAwADAAMgA3AFwAIgA7AFwAbgAgACAAXAAiAEUAeABjAGwAdQBkAGUAZAAgAFwAdQAwADAAMgA3AEMAYQBsAGMAaQB1AG0AIABuAGkAdAByAGEAdABlAFwAdQAwADAAMgA3ACAAYQBzACAAbgBvACAAcwBjAG8AcABlACAAMwAgAHYAYQBsAHUAZQAgAGEAdgBhAGkAbABhAGIAbABlAC4AXAAiADsAXABuACAAIABcACIAUwBlAHQAIABcAHUAMAAwADIANwBOAGkAdAByAG8AZwBlAG4AIAAtACAARwBlAG4AZQByAGkAYwBcAHUAMAAwADIANwAgAGIAYQBzAGkAcwAgAGEAcwAgAFwAdQAwADAAMgA3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BcAHUAMAAwADIANwBVAHIAZQBhAC0AYQBtAG0AbwBuAGkAdQBtACAAbgBpAHQAcgBhAHQAZQBcAHUAMAAwADIANwAgAGIAYQBzAGkAcwAgAGEAcwAgAFwAdQAwADAAMgA3AFUAcgBlAGEALQBiAGEAcwBlAGQAIABmAGUAcgB0AGkAbABpAHMAZQByAFwAdQAwADAAMgA3AFwAIgA7AFwAbgAgACAAXAAiAEEAbQBtAG8AbgBpAGEAIABoAGEAcwAgAGEAbgAgAEYATgAgAHYAYQBsAHUAZQAgAG8AZgAgADAALgA4ADIAMwA1ACAAYgBhAHMAZQBkACAAbwBuACAAKAAxADQALwAxADcAKQB4ADEAMAAwACwAIAB3AGgAZQByAGUAIAAxADQAIABpAHMAIAB0AGgAZQAgAG0AYQBzAHMAIABvAGYAIABuAGkAdAByAG8AZwBlAG4AIABpAG4AIABhAG0AbQBvAG4AaQBhACAAYQBuAGQAIAAxADcAIABpAHMAIAB0AGgAZQAgAG0AbwBsAGEAcgAgAG0AYQBzAHMAIABvAGYAIABhAG0AbQBvAG4AaQBhAC4AXAAiAFwAbg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yAGEAYwB0AGkAbwBuACAAbwBmACAAaQBu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RgBfAFQAaQB0AGwAZQBcAG4APQBMAEEATQBCAEQAQQAoACgAXAAiAEYAcgBhAGMAdABpAG8AbgAgAG8AZgAgAGkAbgBvAHIAZwBhAG4AaQBjACAAZgBlAHIAdABpAGwAaQBzAGUAcgAgAHQAaABhAHQAIAB2AG8AbABhAHQAaQBsAGkAcwBlAHMAIABhAHMAIABOAEgAMwAgAGEAbgBkACAATgBPAHgAXAAiACkAKQA7AFwAbgBcAG4ARgBlAHIAdABpAGwAaQBzAGUAcgBfAEYAcgBhAGMARwBBAFMARgBfAFMAbwB1AHIAYwBlAFwAbgA9AEwAQQBNAEIARABBACgAKABcACI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pACkAOwBcAG4AXABuAEYAZQByAHQAaQBsAGkAcwBlAHIAXwBGAHIAYQBjAEcAQQBTAEYAXwBEAGEAdABhAFwAbgA9AEwAQQBNAEIARABBACgAXABuACAATQBBAEsARQBBAFIAUgBBAFkAKAA2ACwAIAAyACwAXABuACAATABBAE0AQgBEAEEAKAByACwAYwAsAFwAbgAgACAASQBOAEQARQBYACgAewBcAG4AIAAgAFwAIgBGAGUAcgB0AGkAbABpAHMAZQByACAAdAB5AHAAZQAgAGYAXAAiACwAIABcACIARgByAGEAYwBHAEEAUwBGAGYAXAAiADsAXABuACAAIABcACIAVQByAGUAYQAtAGIAYQBzAGUAZAAgAGYAZQByAHQAaQBsAGkAcwBlAHIAcwBcACIALAAgADAALgAxADUAOwBcAG4AIAAgAFwAIgBBAG0AbQBvAG4AaQB1AG0ALQBiAGEAcwBlAGQAIABmAGUAcgB0AGkAbABpAHMAZQByAHMAXAAiACwAIAAwAC4AMAA4ADsAXABuACAAIABcACIATgBpAHQAcgBhAHQAZQAtAGIAYQBzAGUAZAAgAGYAZQByAHQAaQBsAGkAcwBlAHIAcwBcACIALAAgADAALgAwADEAOwBcAG4AIAAgAFwAIgBBAG0AbQBvAG4AaQB1AG0ALQBuAGkAdAByAGEAdABlACAAYgBhAHMAZQBkACAAZgBlAHIAdABpAGwAaQBzAGUAcgBzAFwAIgAsACAAMAAuADAANQA7AFwAbgAgACAAXAAiAE8AdABoAGUAcgAgAGYAZQByAHQAaQBsAGkAcwBlAHIAcwBcACIALAAgADAALgAxADEAXABuACAAIAB9ACwAIAByACwAIABjACkAXABuACkAKQApADsAXABuAFwAbgBGAGUAcgB0AGkAbABpAHMAZQByAF8ARgByAGEAYwBHAEEAUwBG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jAGEAcgBiAG8AbgAgAGUAbQBpAHMAcwBpAG8AbgBzACAAZgByAG8AbQAgAHUAcgBlAGEAIABhAHAAcABsAGkAYwBhAHQAaQBvAG4AXABuAD0APQA9AD0APQA9AD0APQA9AD0APQA9AD0APQA9AD0APQA9AD0APQA9AD0APQA9AD0APQA9AD0APQA9AD0APQA9AD0APQA9AD0APQA9AD0APQA9AD0APQA9AD0APQA9AD0APQA9AD0APQA9AD0APQA9AD0APQA9AD0APQA9AD0APQA9AD0APQA9AD0APQA9AD0APQA9AD0AXABuACoALwBcAG4AXABuAEYAZQByAHQAaQBsAGkAcwBlAHIAXwBFAEYAVQByAGUAYQBDAE8AMgBfAFQAaQB0AGwAZQBcAG4APQBMAEEATQBCAEQAQQAoACgAXAAiAEUAbQBpAHMAcwBpAG8AbgAgAGYAYQBjAHQAbwByACAAZgBvAHIAIABjAGEAcgBiAG8AbgAgAGUAbQBpAHMAcwBpAG8AbgBzACAAZgByAG8AbQAgAHUAcgBlAGEAIABhAHAAcABsAGkAYwBhAHQAaQBvAG4AXAAiACkAKQA7AFwAbgBcAG4ARgBlAHIAdABpAGwAaQBzAGUAcgBfAEUARgBVAHIAZQBhAEMATwAyAF8AUwBvAHUAcgBjAGUAXABuAD0ATABBAE0AQgBEAEEAKAAoAFwAIgBWAEUARQBSAEcAIAAyADAAMgA2ADoAIAA1AC4AMQAuADIALgAyACAAQwBvAG4AcwB0AGEAbgB0ACAAUABhAHIAYQBtAGUAdABlAHIAcwBcACIAKQApADsAXABuAFwAbgBGAGUAcgB0AGkAbABpAHMAZQByAF8ARQBGAFUAcgBlAGEAQwBPADIAXwBWAGEAcgBpAGEAYgBsAGUAXABuAD0ATABBAE0AQgBEAEEAKAAoAFwAIgBFAEYAdQByAGUAYQBDAE8AMgBcACIAKQApADsAXABuAFwAbgBGAGUAcgB0AGkAbABpAHMAZQByAF8ARQBGAFUAcgBlAGEAQwBPADIAXwBVAG4AaQB0AFwAbgA9AEwAQQBNAEIARABBACgAKABcACIAawBnACAAQwAvAGsAZwAgAHUAcgBlAGEAXAAiACkAKQA7AFwAbgBcAG4ARgBlAHIAdABpAGwAaQBzAGUAcgBfAEUARgBVAHIAZQBhAEMATwAyAF8ARABhAHQAYQBcAG4APQBMAEEATQBCAEQAQQAoADAALgAyACkAOwBcAG4AXABuAEYAZQByAHQAaQBsAGkAcwBlAHIAXwBFAEYAVQByAGUAYQBDAE8AM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0AUwBvAGkAbABfAFQAaQB0AGwAZQBcAG4APQBMAEEATQBCAEQAQQAoACgAXAAiAEYAcgBhAGMAdABpAG8AbgAgAG8AZgAgAG8AcgBnAGEAbgBpAGMAIABmAGUAcgB0AGkAbABpAHMAZQByACAAdABoAGEAdAAgAHYAbwBsAGEAdABpAGwAaQBzAGUAcwAgAGEAcwAgAE4ASAAzACAAYQBuAGQAIABOAE8AeABcACIAKQApADsAXABuAFwAbgBGAGUAcgB0AGkAbABpAHMAZQByAF8ARgByAGEAYwBHAEEAUwBNAFMAbwBpAGwAXwBTAG8AdQByAGMAZQBcAG4APQBMAEEATQBCAEQAQQAoACgAXAAiAFYARQBFAFIARwAgADIAMAAyADYAOgAgADUALgA0AC4AMgAuADMAIABDAG8AbgBzAHQAYQBuAHQAIABQAGEAcgBhAG0AZQB0AGUAcgBzAFwAIgApACkAOwBcAG4AXABuAEYAZQByAHQAaQBsAGkAcwBlAHIAXwBGAHIAYQBjAEcAQQBTAE0AUwBvAGkAbABfAFYAYQByAGkAYQBiAGwAZQBcAG4APQBMAEEATQBCAEQAQQAoACgAXAAiAEYAcgBhAGMARwBBAFMATQBzAG8AaQBsAFwAIgApACkAOwBcAG4AXABuAEYAZQByAHQAaQBsAGkAcwBlAHIAXwBGAHIAYQBjAEcAQQBTAE0AUwBvAGkAbABfAFUAbgBpAHQAXABuAD0ATABBAE0AQgBEAEEAKAAoAFwAIgAoAGsAZwAgAE4ASAAzAC0ATgAgACsAIABOAE8AeAAtAE4AKQAvAGsAZwAgAE4AXAAiACkAKQA7AFwAbgBcAG4ARgBlAHIAdABpAGwAaQBzAGUAcgBfAEYAcgBhAGMARwBBAFMATQBTAG8AaQBsAF8ARABhAHQAYQBcAG4APQBMAEEATQBCAEQAQQAoADAALgAyADEAKQA7AFwAbgBcAG4ARgBlAHIAdABpAGwAaQBzAGUAcgBfAEYAcgBhAGMARwBBAFMATQBTAG8AaQBs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HQAaABhAHQAIABpAHMAIABsAG8AcwB0ACAAdABoAHIAbwB1AGcAaA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GAHIAYQBjAEwARQBBAEMASABfAFQAaQB0AGwAZQBcAG4APQBMAEEATQBCAEQAQQAoACgAXAAiAEYAcgBhAGMAdABpAG8AbgAgAG8AZgAgAG4AaQB0AHIAbwBnAGUAbgAgAHQAaABhAHQAIABpAHMAIABsAG8AcwB0ACAAdABoAHIAbwB1AGcAaAAgAGwAZQBhAGMAaABpAG4AZwAgAGEAbgBkACAAcgB1AG4AbwBmAGYAXAAiACkAKQA7AFwAbgBcAG4ARgBlAHIAdABpAGwAaQBzAGUAcgBfAEYAcgBhAGMATABFAEEAQwBIAF8AUwBvAHUAcgBjAGUAXABuAD0ATABBAE0AQgBEAEEAKAAoAFwAIgBWAEUARQBSAEcAIAAyADAAMgA2ADoAIAA1AC4ANQAuADIALgAzACAAQwBvAG4AcwB0AGEAbgB0ACAAUABhAHIAYQBtAGUAdABlAHIAcwBcACIAKQApADsAXABuAFwAbgBGAGUAcgB0AGkAbABpAHMAZQByAF8ARgByAGEAYwBMAEUAQQBDAEgAXwBWAGEAcgBpAGEAYgBsAGUAXABuAD0ATABBAE0AQgBEAEEAKAAoAFwAIgBGAHIAYQBjAEwARQBBAEMASABcACIAKQApADsAXABuAFwAbgBGAGUAcgB0AGkAbABpAHMAZQByAF8ARgByAGEAYwBMAEUAQQBDAEgAXwBVAG4AaQB0AFwAbgA9AEwAQQBNAEIARABBACgAKABcACIAZgByAGEAYwB0AGkAbwBuAFwAIgApACkAOwBcAG4AXABuAEYAZQByAHQAaQBsAGkAcwBlAHIAXwBGAHIAYQBjAEwARQBBAEMASABfAEQAYQB0AGEAXABuAD0ATABBAE0AQgBEAEEAKAAwAC4AMgA0ACkAOwBcAG4AXABuAEYAZQByAHQAaQBsAGkAcwBlAHIAXwBGAHIAYQBjAEwARQBBAEMAS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bgBpAHQAcgBvAGcAZQBu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UARgBMAGUAYQBjAGgAXwBUAGkAdABsAGUAXABuAD0ATABBAE0AQgBEAEEAKAAoAFwAIgBFAG0AaQBzAHMAaQBvAG4AIABmAGEAYwB0AG8AcgAgAGYAbwByACAAbgBpAHQAcgBvAGcAZQBuACAAbABlAGEAYwBoAGkAbgBnACAAYQBuAGQAIAByAHUAbgBvAGYAZgBcACIAKQApADsAXABuAFwAbgBGAGUAcgB0AGkAbABpAHMAZQByAF8ARQBGAEwAZQBhAGMAaABfAFMAbwB1AHIAYwBlAFwAbgA9AEwAQQBNAEIARABBACgAKABcACIAVgBFAEUAUgBHACAAMgAwADIANgA6ACAANQAuADUALgAyAC4AMwAgAEMAbwBuAHMAdABhAG4AdAAgAFAAYQByAGEAbQBlAHQAZQByAHMAXAAiACkAKQA7AFwAbgBcAG4ARgBlAHIAdABpAGwAaQBzAGUAcgBfAEUARgBMAGUAYQBjAGgAXwBWAGEAcgBpAGEAYgBsAGUAXABuAD0ATABBAE0AQgBEAEEAKAAoAFwAIgBFAEYATABlAGEAYwBoAFwAIgApACkAOwBcAG4AXABuAEYAZQByAHQAaQBsAGkAcwBlAHIAXwBFAEYATABlAGEAYwBoAF8AVQBuAGkAdABcAG4APQBMAEEATQBCAEQAQQAoACgAXAAiAGsAZwAgAE4AMgBPAC0ATgAgAC8AIABrAGcAIABOAFwAIgApACkAOwBcAG4AXABuAEYAZQByAHQAaQBsAGkAcwBlAHIAXwBFAEYATABlAGEAYwBoAF8ARABhAHQAYQBcAG4APQBMAEEATQBCAEQAQQAoADAALgAwADEAMQApADsAXABuAFwAbgBGAGUAcgB0AGkAbABpAHMAZQByAF8ARQBGAEwAZQBhAGMAaABfAFYAYQByAGkAYQB0AGkAbwBuAFwAbgA9AEwAQQBNAEIARABBACgAXAAiAFwAIgApADsAXABuAFwAbgBcAG4AXABuAC8AKgBcAG4APQA9AD0APQA9AD0APQA9AD0APQA9AD0APQA9AD0APQA9AD0APQA9AD0APQA9AD0APQA9AD0APQA9AD0APQA9AD0APQA9AD0APQA9AD0APQA9AD0APQA9AD0APQA9AD0APQA9AD0APQA9AD0APQA9AD0APQA9AD0APQA9AD0APQA9AD0APQA9AD0APQA9AD0APQA9AD0APQBcAG4ATABpAG0AZQAsACAAZABvAGwAbwBtAGkAdABlACAAYQBuAGQAIABnAHkAcABzAHUAbQBcAG4APQA9AD0APQA9AD0APQA9AD0APQA9AD0APQA9AD0APQA9AD0APQA9AD0APQA9AD0APQA9AD0APQA9AD0APQA9AD0APQA9AD0APQA9AD0APQA9AD0APQA9AD0APQA9AD0APQA9AD0APQA9AD0APQA9AD0APQA9AD0APQA9AD0APQA9AD0APQA9AD0APQA9AD0APQA9AD0APQBcAG4AKgAvAFwAbgBcAG4ARgBlAHIAdABpAGwAaQBzAGUAcgBfAEwAaQBtAGUARABvAGwAbwBtAGkAdABlAEcAeQBwAHMAdQBtAEMAbwBuAHMAdABhAG4AdABzAF8AVABpAHQAbABlAFwAbgA9AEwAQQBNAEIARABBACgAKABcACIAQwBvAG4AcwB0AGEAbgB0AHMAIABmAG8AcgAgAGwAaQBtAGUALAAgAGQAbwBsAG8AbQBpAHQAZQAgAGEAbgBkACAAZwB5AHAAcwB1AG0AXAAiACkAKQA7AFwAbgBcAG4ARgBlAHIAdABpAGwAaQBzAGUAcgBfAEwAaQBtAGUARABvAGwAbwBtAGkAdABlAEcAeQBwAHMAdQBtAEMAbwBuAHMAdABhAG4AdABzAF8ARABlAHMAYwByAGkAcAB0AGkAbwBuAFwAbgA9AEwAQQBNAEIARABBACgAKABcACIAQwBvAG4AcwB0AGEAbgB0AHMAIABmAG8AcgAgAGwAaQBtAGUALAAgAGQAbwBsAG8AbQBpAHQAZQAgAGEAbgBkACAAZwB5AHAAcwB1AG0AXAAiACkAKQA7AFwAbgBcAG4ARgBlAHIAdABpAGwAaQBzAGUAcgBfAEwAaQBtAGUARABvAGwAbwBtAGkAdABlAEcAeQBwAHMAdQBtAEMAbwBuAHMAdABhAG4AdABzAF8AUwBvAHUAcgBjAGUAXABuAD0ATABBAE0AQgBEAEEAKAAoAFwAIgBWAEUARQBSAEcAIAAyADAAMgA2ADoAIAA1AC4AMwAuADIALgAzACAAQwBvAG4AcwB0AGEAbgB0ACAAUABhAHIAYQBtAGUAdABlAHIAcwBcACIAKQApADsAXABuAFwAbgBGAGUAcgB0AGkAbABpAHMAZQByAF8ATABpAG0AZQBEAG8AbABvAG0AaQB0AGUARwB5AHAAcwB1AG0AQwBvAG4AcwB0AGEAbgB0AHMAXwBEAGEAdABhAFwAbgA9AEwAQQBNAEIARABBACgAXABuACAATQBBAEsARQBBAFIAUgBBAFkAKAA0ACwAIAAzACwAXABuACAATABBAE0AQgBEAEEAKAByACwAYwAsAFwAbgAgACAASQBOAEQARQBYACgAewBcAG4AIAAgAFwAIgBFAGwAZQBtAGUAbgB0AFwAIgAsACAAXAAiAFAAXAAiACwAIABcACIARQBGAFwAIgA7AFwAbgAgACAAXAAiAEwAaQBtAGUAIAAoAEMAYQBsAGMAaQB1AG0AIABjAGEAcgBiAG8AbgBhAHQAZQApAFwAIgAsACAAMAAuADkALAAgADAALgAxADIAOwBcAG4AIAAgAFwAIgBEAG8AbABvAG0AaQB0AGUAIAAoAE0AYQBnAG4AZQBzAGkAdQBtACAAYwBhAHIAYgBvAG4AYQB0AGUAKQBcACIALAAgADAALgA5ADUALAAgADAALgAxADMAOwBcAG4AIAAgAFwAIgBHAHkAcABzAHUAbQBcACIALAAgADAALAAgADAAXABuACAAIAB9ACwAIAByACwAIABjACkAXABuACkAKQApADsAXABuAFwAbgBGAGUAcgB0AGkAbABpAHMAZQByAF8ATABpAG0AZQBEAG8AbABvAG0AaQB0AGUARwB5AHAAcwB1AG0AQwBvAG4AcwB0AGEAbgB0AHMAXwBWAGEAcgBpAGEAdABpAG8AbgBcAG4APQBMAEEATQBCAEQAQQAoACgAXAAiAFYAQQBSAEkAQQBUAEkATwBOACAARgBSAE8ATQAgAFMATwBVAFIAQwBFACAARABBAFQAQQA6ACAARwB5AHAAcwB1AG0AIABoAGEAcwAgAGIAZQBlAG4AIABhAGQAZABlAGQAIAB3AGkAdABoACAAcABsAGEAYwBlAGgAbwBsAGQAZQByACAAdgBhAGwAdQBlAHMAIABvAGYAIAAwACAAZgBvAHIAIABQACAAYQBuAGQAIABFAEYAL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E4AQwBvAG0AbQBvAG4ARgBlAHIAdABpAGwAaQBzAGUAcgBzAF8AVABpAHQAbABlAFwAbgA9AEwAQQBNAEIARABBACgAKABcACIARgByAGEAYwB0AGkAbwBuACAAbwBmACAAbgBpAHQAcgBvAGcAZQBuACAAaQBuACAAYwBvAG0AbQBvAG4AIABpAG4AbwByAGcAYQBuAGkAYwAgAGYAZQByAHQAaQBsAGkAcwBlAHIAcwAgACgAawBnAE4ALwBrAGcAKQAgACgARgBOAG8AcgBnAGEAbgBpAGMALABmACkAXAAiACkAKQA7AFwAbgBcAG4ARgBlAHIAdABpAGwAaQBzAGUAcgBfAEYAcgBhAGMAdABpAG8AbgBOAEMAbwBtAG0AbwBuAEYAZQByAHQAaQBsAGkAcwBlAHIAcwBfAFMAbwB1AHIAYwBlAFwAbgA9AEwAQQBNAEIARABBACgAKABcACIAVgBFAEUAUgBHACAAMgAwADIANgA6ACAAVABhAGIAbABlACAAQQAuADIALgAyAC4AMwBcACIAKQApADsAXABuAFwAbgBGAGUAcgB0AGkAbABpAHMAZQByAF8ARgByAGEAYwB0AGkAbwBuAE4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OAGkAbgBvAHIAZwBhAG4AaQBjAGYAXAAiADsAXABuACAAIABcACIATQBvAG4AbwBhAG0AbQBvAG4AaQB1AG0AIABwAGgAbwBzAHAAaABhAHQAZQAgACgATQBBAFAAKQBcACIALAAgADAALgAxADAAOwBcAG4AIAAgAFwAIgBEAGkAYQBtAG0AbwBuAGkAdQBtACAAcABoAG8AcwBwAGgAYQB0AGUAIAAoAEQAQQBQACkAXAAiACwAIAAwAC4AMQA4ADsAXABuACAAIABcACIAVQByAGUAYQBcACIALAAgADAALgA0ADYAOwBcAG4AIAAgAFwAIgBTAHUAbABwAGgAYQB0AGUAIABvAGYAIABhAG0AbQBvAG4AaQBhACAAKABTAE8AQQApAFwAIgAsACAAMAAuADIAMQA7AFwAbgAgACAAXAAiAFUAcgBlAGEALQBhAG0AbQBvAG4AaQB1AG0AIABuAGkAdAByAGEAdABlACAAKABVAEEATgApAFwAIgAsACAAMAAuADMAMgA7AFwAbgAgACAAXAAiAEEAbQBtAG8AbgBpAHUAbQAgAG4AaQB0AHIAYQB0AGUAIAAoAEEATgApAFwAIgAsACAAMAAuADMAMwA3ADsAXABuACAAIABcACIAQwBhAGwAYwBpAHUAbQAgAGEAbQBtAG8AbgBpAHUAbQAgAG4AaQB0AHIAYQB0AGUAIAAoAEMAQQBOACkAXAAiACwAIAAwAC4AMgA3ADsAXABuACAAIABcACIAQQBtAG0AbwBuAGkAdQBtACAAUwB1AGwAZgBhAHQAZQBcACIALAAgADAALgAyADEAOwBcAG4AIAAgAFwAIgBDAGEAbABjAGkAdQBtACAATgBpAHQAcgBhAHQAZQBcACIALAAgADAALgAxADUANQBcAG4AIAAgAH0ALAAgAHIALAAgAGMAKQBcAG4AKQApACkAOwBcAG4AXABuAEYAZQByAHQAaQBsAGkAcwBlAHIAXwBGAHIAYQBjAHQAaQBvAG4ATg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HUAcgBlAGE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FUAcgBlAGEAQwBvAG0AbQBvAG4ARgBlAHIAdABpAGwAaQBzAGUAcgBzAF8AVABpAHQAbABlAFwAbgA9AEwAQQBNAEIARABBACgAKABcACIARgByAGEAYwB0AGkAbwBuACAAbwBmACAAdQByAGUAYQAgAGkAbgAgAGMAbwBtAG0AbwBuACAAaQBuAG8AcgBnAGEAbgBpAGMAIABmAGUAcgB0AGkAbABpAHMAZQByAHMAIAAoAGsAZwAgAHUAcgBlAGEALwBrAGcAKQAgACgARgBVAGYAKQBcACIAKQApADsAXABuAFwAbgBGAGUAcgB0AGkAbABpAHMAZQByAF8ARgByAGEAYwB0AGkAbwBuAFUAcgBlAGEAQwBvAG0AbQBvAG4ARgBlAHIAdABpAGwAaQBzAGUAcgBzAF8AUwBvAHUAcgBjAGUAXABuAD0ATABBAE0AQgBEAEEAKAAoAFwAIgBWAEUARQBSAEcAIAAyADAAMgA2ADoAIABUAGEAYgBsAGUAIABBAC4AMgAuADIALgA0AFwAIgApACkAOwBcAG4AXABuAEYAZQByAHQAaQBsAGkAcwBlAHIAXwBGAHIAYQBjAHQAaQBvAG4AVQByAGUAYQ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FUAZgBcACIAOwBcAG4AIAAgAFwAIgBNAG8AbgBvAGEAbQBtAG8AbgBpAHUAbQAgAHAAaABvAHMAcABoAGEAdABlACAAKABNAEEAUAApAFwAIgAsACAAMAA7AFwAbgAgACAAXAAiAEQAaQBhAG0AbQBvAG4AaQB1AG0AIABwAGgAbwBzAHAAaABhAHQAZQAgACgARABBAFAAKQBcACIALAAgADAAOwBcAG4AIAAgAFwAIgBVAHIAZQBhAFwAIgAsACAAMQA7AFwAbgAgACAAXAAiAFMAdQBsAHAAaABhAHQAZQAgAG8AZgAgAGEAbQBtAG8AbgBpAGEAIAAoAFMATwBBACkAXAAiACwAIAAwADsAXABuACAAIABcACIAVQByAGUAYQAtAGEAbQBtAG8AbgBpAHUAbQAgAG4AaQB0AHIAYQB0AGUAIAAoAFUAQQBOACkAXAAiACwAIAAwAC4AMwA1ADsAXABuACAAIABcACIAQQBtAG0AbwBuAGkAdQBtACAAbgBpAHQAcgBhAHQAZQAgACgAQQBOACkAXAAiACwAIAAwADsAXABuACAAIABcACIAQwBhAGwAYwBpAHUAbQAgAGEAbQBtAG8AbgBpAHUAbQAgAG4AaQB0AHIAYQB0AGUAIAAoAEMAQQBOACkAXAAiACwAIAAwADsAXABuACAAIABcACIAQQBtAG0AbwBuAGkAdQBtACAAUwB1AGwAZgBhAHQAZQBcACIALAAgADAAOwBcAG4AIAAgAFwAIgBDAGEAbABjAGkAdQBtACAATgBpAHQAcgBhAHQAZQBcACIALAAgADAAXABuACAAIAB9ACwAIAByACwAIABjACkAXABuACkAKQApADsAXABuAFwAbgBGAGUAcgB0AGkAbABpAHMAZQByAF8ARgByAGEAYwB0AGkAbwBuAFUAcgBlAGE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TAG8AdQByAGMAZQAgAHIAZQBnAGkAbwBuAHMAIABmAG8AcgAgAHUAcgBlAGEAIABhAG4AZAAgAGEAbQBtAG8AbgBpAGEAXABuAD0APQA9AD0APQA9AD0APQA9AD0APQA9AD0APQA9AD0APQA9AD0APQA9AD0APQA9AD0APQA9AD0APQA9AD0APQA9AD0APQA9AD0APQA9AD0APQA9AD0APQA9AD0APQA9AD0APQA9AD0APQA9AD0APQA9AD0APQA9AD0APQA9AD0APQA9AD0APQA9AD0APQA9AD0APQA9AD0AXABuACoALwBcAG4AXABuAEYAZQByAHQAaQBsAGkAcwBlAHIAXwBVAHIAZQBhAEEAbQBtAG8AbgBpAGEAUwBvAHUAcgBjAGUAUgBlAGcAaQBvAG4AcwBfAFQAaQB0AGwAZQBcAG4APQBMAEEATQBCAEQAQQAoAFwAIgBTAG8AdQByAGMAZQAgAHIAZQBnAGkAbwBuAHMAIABmAG8AcgAgAHUAcgBlAGEAIABhAG4AZAAgAGEAbQBtAG8AbgBpAGEAXAAiACkAOwBcAG4AXABuAEYAZQByAHQAaQBsAGkAcwBlAHIAXwBVAHIAZQBhAEEAbQBtAG8AbgBpAGEAUwBvAHUAcgBjAGUAUgBlAGcAaQBvAG4AcwBfAFMAbwB1AHIAYwBlAFwAbg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EYAZQByAHQAaQBsAGkAcwBlAHIAXwBVAHIAZQBhAEEAbQBtAG8AbgBpAGEAUwBvAHUAcgBjAGUAUgBlAGcAaQBvAG4AcwBfAEQAYQB0AGEAXABuAD0ATABBAE0AQgBEAEEAKABcAG4AIABNAEEASwBFAEEAUgBSAEEAWQAoADUALAAgADEALABcAG4AIABMAEEATQBCAEQAQQAoAHIALABjACwAXABuACAAIABJAE4ARABFAFgAKAB7AFwAbgAgACAAXAAiAFMAbwB1AHIAYwBlAFwAIgA7AFwAbgAgACAAXAAiAEcAbABvAGIAYQBsAFwAIgA7AFwAbgAgACAAXAAiAEMAYQBuAGEAZABhAFwAIgA7AFwAbgAgACAAXAAiAEMAaABpAG4AYQBcACIAOwBcAG4AIAAgAFwAIgBZAGUAbQBlAG4AXAAiAFwAbgAgACAAfQAsACAAcgAsACAAYwApAFwAbgApACkAKQA7AFwAbgBcAG4ALwAqAFwAbgA9AD0APQA9AD0APQA9AD0APQA9AD0APQA9AD0APQA9AD0APQA9AD0APQA9AD0APQA9AD0APQA9AD0APQA9AD0APQA9AD0APQA9AD0APQA9AD0APQA9AD0APQA9AD0APQA9AD0APQA9AD0APQA9AD0APQA9AD0APQA9AD0APQA9AD0APQA9AD0APQA9AD0APQA9AD0APQA9AFwAbgBCAHIAYQBuAGQAZQBkACAAZ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IAcgBhAG4AZABlAGQAIABmAGUAcgB0AGkAbABpAHMAZQByACAAcAByAG8AZAB1AGMAdABzACAAYQBuAGQAIAB0AGgAZQBpAHIAIABjAGgAZQBtAGkAYwBhAGwAIABjAG8AbQBwAG8AcwBpAHQAaQBvAG4AXAAiACkAKQA7AFwAbgBcAG4ARgBlAHIAdABpAGwAaQBzAGUAcgBfAFAAcgBvAGQAdQBjAHQAcwBfAFMAbwB1AHIAYwBlAFwAbgA9AEwAQQBNAEIARABBACgAKABcACIAXAAiACkAKQA7AFwAbgBcAG4ALwAqAFwAbgBGAGUAcgB0AGkAbABpAHMAZQByACAAcAByAG8AZAB1AGMAdAAgAGQAYQB0AGEAIAAtACAARQB4AGMAZQBsACAATQBBAEsARQBBAFIAUgBBAFkAIABlAHgAcABvAHIAdABcAG4ALQAtAC0ALQAtAC0ALQAtAC0ALQAtAC0ALQAtAC0ALQAtAC0ALQAtAC0ALQAtAC0ALQAtAC0ALQAtAC0ALQAtAC0ALQAtAC0ALQAtAC0ALQAtAC0ALQAtAC0ALQAtAC0ALQAtAC0ALQAtAC0ALQAtAC0ALQAtAC0AXABuAFAAcgBvAGQAdQBjAHQAcwA6ACAAMQAzADQAIAAoAEkAbgBjAGwAdQBkAGUAIABvAG4AbAB5ADsAIABjAG8AbQBiAGkAbgBlAGQAIABmAHIAbwBtACAAbQBhAGkAbgAgACsAIABiAGEAdABjAGgAIAAxACAAKwAgAGIAYQB0AGMAaAAgADIAIAB3AG8AcgBrAGIAbwBvAGsAcwApAFwAbgBBAHIAcgBhAHkAcwA6ACAANQAgAHwAIABSAG8AdwBzACAAcABlAHIAIABhAHIAcgBhAHkAOgAgADMAMAAgACgAZgBpAG4AYQBsACAAYQByAHIAYQB5ADoAIAAxADQAKQAgAHwAIABDAG8AbAB1AG0AbgBzADoAIAAzADEAXABuAFwAbgBFAHgAYwBsAHUAZABlAGQAIABjAG8AbAB1AG0AbgBzADoAIABJAG4AYwBsAHUAZABlACAAbwByACAAZQB4AGMAbAB1AGQAZQAsACAAQQBuAGEAbAB5AHMAaQBzACAAYgBhAHMAZQAsACAAQQBuAGEAbAB5AHMAaQBzACAAcwBvAHUAcgBjAGUALAAgAEEAbgBhAGwAeQBzAGkAcwAgAGYAbABhAGcALAAgAE4AbwB0AGUAcwAsACAATABpAG4AawAsACAARABhAHQAYQAgAHMAbwB1AHIAYwBlACwAIABFAE4ARAAgAFIATwBXAC4AXABuAEkAbgBnAHIAZQBkAGkAZQBuAHQAIABwAGUAcgBjAGUAbgB0ACAAdgBhAGwAdQBlAHMAIABhAHIAZQAgAGUAdgBhAGwAdQBhAHQAZQBkACAAZABlAGMAaQBtAGEAbAAgAGYAcgBhAGMAdABpAG8AbgBzACAAKAA9ADQANgAvADEAMAAwACAALQBcAHUAMAAwADMAZQAgADAALgA0ADYAKQA7ACAAZQBtAHAAdAB5ACAAYwBlAGwAbABzACAAYQByAGUAIABcACIAXAAiAC4AXABuAFwAbgBDAG8AbAB1AG0AbgAgAG8AcgBkAGUAcgAgACgAMwAxACkAOgBcAG4AIAAgADEALgAgAEMAbwBtAHAAYQBuAHkAXABuACAAIAAyAC4AIABQAHIAbwBkAHUAYwB0ACAAbgBhAG0AZQBcAG4AIAAgADMALgAgAFUAbgBpAHQAXABuACAAIAA0AC4AIABEAGUAbgBzAGkAdAB5AFwAbgAgACAANQAuACAAQwBvAG4AdABhAGkAbgBzACAAaQBuAGgAaQBiAGkAdABvAHIAXABuACAAIAA2AC4AIABVAHIAZQBhACAAcwBvAHUAcgBjAGUAXABuACAAIAA3AC4AIABBAG0AbQBvAG4AaQBhACAAcwBvAHUAcgBjAGUAXABuACAAIAA4AC4AIABOACAAZABlAGMAbABhAHIAZQBkAFwAbgAgACAAOQAuACAAUAAgAGQAZQBjAGwAYQByAGUAZABcAG4AIAAgADEAMAAuACAASwAgAGQAZQBjAGwAYQByAGUAZABcAG4AIAAgADEAMQAuACAAUwAgAGQAZQBjAGwAYQByAGUAZABcAG4AIAAgADEAMgAuACAASQBuAGcAcgBlAGQAaQBlAG4AdAAgADEAXABuACAAIAAxADMALgAgAEkAbgBnAHIAZQBkAGkAZQBuAHQAIAAxACAAcABlAHIAYwBlAG4AdABcAG4AIAAgADEANAAuACAASQBuAGcAcgBlAGQAaQBlAG4AdAAgADIAXABuACAAIAAxADUALgAgAEkAbgBnAHIAZQBkAGkAZQBuAHQAIAAyACAAcABlAHIAYwBlAG4AdABcAG4AIAAgADEANgAuACAASQBuAGcAcgBlAGQAaQBlAG4AdAAgADMAXABuACAAIAAxADcALgAgAEkAbgBnAHIAZQBkAGkAZQBuAHQAIAAzACAAcABlAHIAYwBlAG4AdABcAG4AIAAgADEAOAAuACAASQBuAGcAcgBlAGQAaQBlAG4AdAAgADQAXABuACAAIAAxADkALgAgAEkAbgBnAHIAZQBkAGkAZQBuAHQAIAA0ACAAcABlAHIAYwBlAG4AdABcAG4AIAAgADIAMAAuACAASQBuAGcAcgBlAGQAaQBlAG4AdAAgADUAXABuACAAIAAyADEALgAgAEkAbgBnAHIAZQBkAGkAZQBuAHQAIAA1ACAAcABlAHIAYwBlAG4AdABcAG4AIAAgADIAMgAuACAASQBuAGcAcgBlAGQAaQBlAG4AdAAgADYAXABuACAAIAAyADMALgAgAEkAbgBnAHIAZQBkAGkAZQBuAHQAIAA2ACAAcABlAHIAYwBlAG4AdABcAG4AIAAgADIANAAuACAASQBuAGcAcgBlAGQAaQBlAG4AdAAgADcAXABuACAAIAAyADUALgAgAEkAbgBnAHIAZQBkAGkAZQBuAHQAIAA3ACAAcABlAHIAYwBlAG4AdABcAG4AIAAgADIANgAuACAASQBuAGcAcgBlAGQAaQBlAG4AdAAgADgAXABuACAAIAAyADcALgAgAEkAbgBnAHIAZQBkAGkAZQBuAHQAIAA4ACAAcABlAHIAYwBlAG4AdABcAG4AIAAgADIAOAAuACAASQBuAGcAcgBlAGQAaQBlAG4AdAAgADkAXABuACAAIAAyADkALgAgAEkAbgBnAHIAZQBkAGkAZQBuAHQAIAA5ACAAcABlAHIAYwBlAG4AdABcAG4AIAAgADMAMAAuACAASQBuAGcAcgBlAGQAaQBlAG4AdAAgADEAMABcAG4AIAAgADMAMQAuACAASQBuAGcAcgBlAGQAaQBlAG4AdAAgADEAMAAgAHAAZQByAGMAZQBuAHQAXABuACAAIABcAG4ALQAtAC0ALQAtAC0ALQAtAC0ALQAtAC0ALQAtAC0ALQAtAC0ALQAtAC0ALQAtAC0ALQAtAC0ALQAtAC0ALQAtAC0ALQAtAC0ALQAtAC0ALQAtAC0ALQAtAC0ALQAtAC0ALQAtAC0ALQAtAC0ALQAtAC0ALQAtAC0AXABuACoALwBcAG4AXABuAEYAZQByAHQAaQBsAGkAcwBlAHIAXwBQAHIAbwBkAHUAYwB0AHMAXwBEAGEAdABhADEAXABuAD0ATABBAE0AQgBEAEEAKABcAG4AIABNAEEASwBFAEEAUgBSAEEAWQAoADMAMAAsACAAMwAxACwAXABuACAATABBAE0AQgBEAEEAKAByACwAYwAsAFwAbgAgACAASQBOAEQARQBYACgAewBcAG4AXAAiAEMAYQBtAHAAYgBlAGwAbABzACAAZgBlAHIAdABpAGwAaQBzAGUAcgBzACAAQQB1AHMAdAByAGEAbABpAGEAXAAiACwAXAAiAEEAcQB1AGEAIABGAGkAbgBpAHMAaABcACIALABcACIATABcACIALAAxAC4AMgA2ACwAXAAiAFwAIgAsAFwAIgBcACIALABcACIAXAAiACwAMgAuADYALAA0ACwAMgAyAC4ANQAsAFwAIgBcACIALABcACIAUABvAHQAYQBzAHMAaQB1AG0AIAAtACAARwBlAG4AZQByAGkAYwBcACIALAAwAC4AMgAyADUALABcACIAUABoAG8AcwBwAGgAbwByAHUAcwAgAC0AIABHAGUAbgBlAHIAaQBj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HAHIAbwB3AFwAIgAsAFwAIgBMAFwAIgAsADEALgAyADYALABcACIAXAAiACwAXAAiAFwAIgAsAFwAIgBcACIALAA5AC4ANgAsADUALAAxADAALgA1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AgAEEATgBcACIALABcACIATABcACIALAAxAC4AMgA0ACwAXAAiAFwAIgAsAFwAIgBcACIALABcACIAXAAiACwAMgAyAC4AMwAsAFwAIgBcACI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XAAiACwAXAAiAEwAXAAiACwAMQAuADUALABcACIAXAAiACwAXAAiAFwAIgAsAFwAIgBcACIALAAxADMALgAyACwAXAAiAFwAIgAsAFwAIgBcACIALABcACIAXAAiACwAXAAiAEMAYQBsAGMAaQB1AG0AXAAiACwAMAAuADEANgAy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AoAFYASQApAFwAIgAsAFwAIgBMAFwAIgAsADEALgA1ACwAXAAiAFwAIgAsAFwAIgBcACIALABcACIAXAAiACwAMQAzAC4AMgAsAFwAIgBcACIALABcACIAXAAiACwAXAAiAFwAIgAsAFwAIgBDAGEAbABjAGkAdQBtAFwAIgAsADAALgAxADgANw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VQBsAHQAaQBtAGEAdABlAFwAIgAsAFwAIgBMAFwAIgAsADEALgA1ACwAXAAiAFwAIgAsAFwAIgBcACIALABcACIAXAAiACwAMQAzAC4AMgAsAFwAIgBcACIALABcACIAXAAiACwAXAAiAFwAIgAsAFwAIgBDAGEAbABjAGkAdQBtAFwAIgAsADAALgAxADgAMw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UwB0AGEAcgB0AFwAIgAsAFwAIgBMAFwAIgAsADEALgAyADUALABcACIAXAAiACwAXAAiAFwAIgAsAFwAIgBcACIALAAxADAALgAzACwAMQAwACwAMwAuADQ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DAG8AbQBwAGwAZQB0AGUAXAAiACwAXAAiAEwAXAAiACwAMQAuADQAMwAsAFwAIgBcACIALABcACIAXAAiACwAXAAiAFwAIgAsADIALgA1ACwAMwAuADgALAAyADIALgA1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UAbQBlAHIAZwBlAFwAIgAsAFwAIgBMAFwAIgAsADEALgAyADkALABcACIAXAAiACwAXAAiAFwAIgAsAFwAIgBcACIALAAxADAALgA1ACwAOQAuADQALAA0ACwAMw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YAbABvAHUAcgBpAHMAaABcACIALABcACIATABcACIALAAxAC4AMwAyACwAXAAiAFwAIgAsAFwAIgBcACIALABcACIAXAAiACwAOQAuADUALAA0AC4ANwAsADEAMAAuADgALAA4AC4AMQ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7AFwAbgBcACIAQwBhAG0AcABiAGUAbABsAHMAIABmAGUAcgB0AGkAbABpAHMAZQByAHMAIABBAHUAcwB0AHIAYQBsAGkAYQBcACIALABcACIAQgBvAG8AcwB0AC0ASQB0AFwAIgAsAFwAIgBrAGcAXAAiACwAMQAsAFwAIgBcACIALABcACIAXAAiACwAXAAiAFwAIgAsADIANAAsADUALgAyACwAOAAsADUALgAzACwAXAAiAFUAcgBlAGEAXAAiACwAMAAuADUAMgAxADcAMwA5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7AFwAbgBcACIAQwBhAG0AcABiAGUAbABsAHMAIABmAGUAcgB0AGkAbABpAHMAZQByAHMAIABBAHUAcwB0AHIAYQBsAGkAYQBcACIALABcACIAQgByAG8AbgB6AGUAXAAiACwAXAAiAGsAZwBcACIALAAxACwAXAAiAFwAIgAsAFwAIgBcACIALABcACIAXAAiACwAMQA3ACwAMAAuADAANAAsADEAMQAuADYALAAwAC4ANQAsAFwAIgBNAHUAcgBpAGEAdABlACAAbwBmACAAc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7AFwAbgBcACIAQwBhAG0AcABiAGUAbABsAHMAIABmAGUAcgB0AGkAbABpAHMAZQByAHMAIABBAHUAcwB0AHIAYQBsAGkAYQBcACIALABcACIAQwBhAGwAYgBpAHQAIABDAFwAIgAsAFwAIgBMAFwAIgAsADEALgA0ADUALABcACIAXAAiACwAXAAiAFwAIgAsAFwAIgBcACIALABcACIAXAAiACwAXAAiAFwAIgAsAFwAIgBcACIALABcACIAXAAiACwAXAAiAEMAYQBsAGMAaQB1AG0AXAAiACwAMAAuADEAMAA3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DAG8AbQBwAGEAcwBzAFwAIgAsAFwAIgBrAGcAXAAiACwAMQAsAFwAIgBcACIALABcACIAXAAiACwAXAAiAFwAIgAsADEANQAsADYALgA1ACwAMQAyAC4ANQAsADYALABcACIATgBpAHQAcgBvAGcAZQBuACAALQAgAEEAbQBtAG8AbgBpAGEAYwBhAGwAXAAiACwAMAAuADAANwA1ACwAXAAiAE4AaQB0AHIAbwBnAGUAbgAgAC0AIABOAGkAdAByAGEAdABlAFwAIgAsADAALgAwADcANQAsAFwAIgBQAG8AdABhAHMAcwBpAHUAbQAgAC0AIABHAGUAbgBlAHIAaQBjAFwAIgAsADAALgAxADIANQAsAFwAIgBQAGgAbwBzAHAAaABvAHIAdQBzACAALQAgAEcAZQBuAGUAcgBpAGMAXAAiACwAMAAuADAANgA1ACwAXAAiAFMAdQBsAGYAdQByACAALQAgAEcAZQBuAGUAcgBpAGMAXAAiACwAMAAuADAANgAsAFwAIgBcACIALABcACIAXAAiACwAXAAiAFwAIgAsAFwAIgBcACIALABcACIAXAAiACwAXAAiAFwAIgAsAFwAIgBcACIALABcACIAXAAiACwAXAAiAFwAIgAsAFwAIgBcACIAOwBcAG4AXAAiAEMAYQBtAHAAYgBlAGwAbABzACAAZgBlAHIAdABpAGwAaQBzAGUAcgBzACAAQQB1AHMAdAByAGEAbABpAGEAXAAiACwAXAAiAEMAbwBSAG8ATgAgADEAMgAtADAALQAxADAAXAAiACwAXAAiAEwAXAAiACwAMQAuADIAMQA1ACwAXAAiAFwAIgAsAFwAIgBcACIALABcACIAXAAiACwAMQAyACwAXAAiAFwAIgAsADEAMAAsAFwAIgBcACIALABcACIAVQByAGUAYQBcACIALAAwAC4AMQA5ADUANgA1ADI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LABcACIAXAAiACwAXAAiAFwAIgAsAFwAIgBcACIAOwBcAG4AXAAiAEMAYQBtAHAAYgBlAGwAbABzACAAZgBlAHIAdABpAGwAaQBzAGUAcgBzACAAQQB1AHMAdAByAGEAbABpAGEAXAAiACwAXAAiAE0AYQB4AGkAbQB1AG0AIABRAHUAaQBjAGsALQBOAFwAIgAsAFwAIgBrAGcAXAAiACwAMQAsAFwAIgBcACIALABcACIAXAAiACwAXAAiAFwAIgAsADIAMQAuADYANgAsAFwAIgBcACIALABcACIAXAAiACwAMQAzAC4AMgAsAFwAIgBTAHUAbABwAGgAYQB0AGUAIABvAGYAIABhAG0AbQBvAG4AaQBhACAAKABTAE8AQQApAFwAIgAsADAALgA1ADUALABcACIAQQBtAG0AbwBuAGkAdQBtACAAbgBpAHQAcgBhAHQAZQAgACgAQQBOACkAXAAiACwAMAAuADMALABcACIAXAAiACwAXAAiAFwAIgAsAFwAIgBcACIALABcACIAXAAiACwAXAAiAFwAIgAsAFwAIgBcACIALABcACIAXAAiACwAXAAiAFwAIgAsAFwAIgBcACIALABcACIAXAAiACwAXAAiAFwAIgAsAFwAIgBcACIALABcACIAXAAiACwAXAAiAFwAIgAsAFwAIgBcACIALABcACIAXAAiADsAXABuAFwAIgBTAEwAIABUAGUAYwBcACIALABcACIAQwByAG8AcAAgAEIAbwBvAHMAdABlAHIAIABQAEwAVQBTAFwAIgAsAFwAIgBMAFwAIgAsADEALgAzADEAOQAsAFwAIgBcACIALABcACIAXAAiACwAXAAiAFwAIgAsADUALAAxADUALAAyAC4AMQAsAFwAIgBcACIALABcACIAUABoAG8AcwBwAGgAbwByAHUAcwAgAC0AIABHAGUAbgBlAHIAaQBjAFwAIgAsADAALgAxADUALABcACIAQwBhAGwAYwBpAHUAbQBcACIALAAwAC4AMAA0ACwAXAAiAE4AaQB0AHIAbwBnAGUAbgAgAC0AIABBAG0AbQBvAG4AaQBhAGMAYQBsAFwAIgAsADAALgAwADIAOQAsAFwAIgBOAGkAdAByAG8AZwBlAG4AIAAtACAATgBpAHQAcgBhAHQAZQBcACIALAAwAC4AMAAyADEALABcACIAUABvAHQAYQBzAHMAaQB1AG0AIAAtACAARwBlAG4AZQByAGkAYwBcACIALAAwAC4AMAAyADEALABcACIAQwBvAHAAcABlAHIAXAAiACwAMAAuADAAMAA1ACwAXAAiAFoAaQBuAGMAXAAiACwAMAAuADAAMAA0ACwAXAAiAE0AYQBuAGcAYQBuAGUAcwBlAFwAIgAsADAALgAwADAANAAsAFwAIgBNAGEAZwBuAGUAcwBpAHUAbQBcACIALAAwAC4AMAAwADIALABcACIAXAAiACwAXAAiAFwAIgA7AFwAbgBcACIAUgBpAHMAcwBvAC0AQwBoAGUAbQBpAGMAYQBsAFwAIgAsAFwAIgBBAG0AbQBvAG4AaQB1AG0AIABCAGkAYwBhAHIAYgBvAG4AYQB0AGUAXAAiACwAXAAiAGsAZwBcACIALAAxACwAXAAiAFwAIgAsAFwAIgBcACIALABcACIAQwBoAGkAbgBhAFwAIgAsADEANwAuADcALABcACIAXAAiACwAXAAiAFwAIgAsAFwAIg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EEAbQBtAG8AbgBpAHUAbQAgAFMAdQBsAGYAYQB0AGUAXAAiACwAXAAiAGsAZwBcACIALAAxACwAXAAiAFwAIgAsAFwAIgBcACIALABcACIAQwBoAGkAbgBhAFwAIgAsADIAMQAsAFwAIgBcACIALABcACIAXAAiACwAMgA0ACwAXAAiAFMAdQBsAGYAdQByACAALQAgAEcAZQBuAGUAcgBpAGMAXAAiACwAMAAuADIANAAsAFwAIgBOAGkAdAByAG8AZwBlAG4AIAAtACAAQQBtAG0AbwBuAGkAYQBjAGEAbABcACIALAAwAC4AMgAxACwAXAAiAFwAIgAsAFwAIgBcACIALABcACIAXAAiACwAXAAiAFwAIgAsAFwAIgBcACIALABcACIAXAAiACwAXAAiAFwAIgAsAFwAIgBcACIALABcACIAXAAiACwAXAAiAFwAIgAsAFwAIgBcACIALABcACIAXAAiACwAXAAiAFwAIgAsAFwAIgBcACIALABcACIAXAAiACwAXAAiAFwAIgA7AFwAbgBcACIAUgBhAHYAZQBuAHMAZABvAHcAbgBcACIALABcACIAQQBtAG0AbwBuAGkAdQBtACAAUwB1AGwAcABoAGEAdABlACAALQAgAEcAcgBhAG4AdQBsAGEAcg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EAGkALQBBAG0AbQBvAG4AaQB1AG0AIABQAGgAbwBzAHAAaABhAHQAZQAgACgARABBAFAAKQBcACIALABcACIAawBnAFwAIgAsADEALABcACIAXAAiACwAXAAiAFwAIgAsAFwAIgBcACIALAAxADgALAAyADAALABcACIAXAAiACwAXAAiAFwAIgAsAFwAIgBEAGkAYQBtAG0AbwBuAGkAdQBtACAAcABoAG8AcwBwAGgAYQB0AGUAIAAoAEQAQQ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gBhAHMAYQBsAHQAIABCAG8AbwBTAFMAdABhAFwAIgAsAFwAIgBrAGcAXAAiACwAMQAsAFwAIgBcACIALABcACIAXAAiACwAXAAiAFwAIgAsADgALAAxADQALABcACIAXAAiACwAMgA3AC4ANgAsAFwAIgBTAHUAbABmAHUAcgAgAC0AIABHAGUAbgBlAHIAaQBjAFwAIgAsADAALgAyADcANgAsAFwAIgBQAGgAbwBzAHAAaABvAHIAdQBzACAALQAgAEcAZQBuAGUAcgBpAGMAXAAiACwAMAAuADEANAAsAFwAIgBOAGkAdAByAG8AZwBlAG4AIAAtACAARwBlAG4AZQByAGkAYwBcACIALAAwAC4AMAA4ACwAXAAiAEYAbAB1AG8AcgBpAGQAZQBcACIALAAwAC4AMAAyADQALABcACIAXAAiACwAXAAiAFwAIgAsAFwAIgBcACIALABcACIAXAAiACwAXAAiAFwAIgAsAFwAIgBcACIALABcACIAXAAiACwAXAAiAFwAIgAsAFwAIgBcACIALABcACIAXAAiACwAXAAiAFwAIgAsAFwAIgBcACIAOwBcAG4AXAAiAFMAdQBtAG0AaQB0ACAARgBlAHIAdABpAGwAaQB6AGUAcgBzAFwAIgAsAFwAIgBEAEEAUABTAFoAQwBcACIALABcACIAawBnAFwAIgAsADEALABcACIAXAAiACwAXAAiAFwAIgAsAFwAIgBcACIALAAxADYALgA5ACwAMQA4AC4AMgAsAFwAIgBcACIALAA4ACwAXAAiAFAAaABvAHMAcABoAG8AcgB1AHMAIAAtACAARwBlAG4AZQByAGkAYwBcACIALAAwAC4AMQA4ADIALABcACIATgBpAHQAcgBvAGcAZQBuACAALQAgAEcAZQBuAGUAcgBpAGMAXAAiACwAMAAuADEANgA5ACwAXAAiAFMAdQBsAGYAdQByACAALQAgAEcAZQBuAGUAcgBpAGMAXAAiACwAMAAuADAAOAAsAFwAIgBaAGkAbgBjAFwAIgAsADAALgAwADAAMgAsAFwAIgBDAG8AcABwAGUAcgBcACIALAAwAC4AMAAwADEALABcACIAXAAiACwAXAAiAFwAIgAsAFwAIgBcACIALABcACIAXAAiACwAXAAiAFwAIgAsAFwAIgBcACIALABcACIAXAAiACwAXAAiAFwAIgAsAFwAIgBcACIALABcACIAXAAiADsAXABuAFwAIgBJAG4AYwBpAHQAZQBjACAAUABpAHYAbwB0ACAARgBlAHIAdABpAGwAaQBzAGUAcgBzAFwAIgAsAFwAIgBFAGEAcwB5ACAATgBcACIALABcACIATABcACIALAAxAC4AMwAyACwAXAAiAFwAIgAsAFwAIgBcACIALABcACIAXAAiACwANAAyAC4ANQAsAFwAIgBcACIALABcACIAXAAiACwAXAAiAFwAIgAsAFwAIgBVAHIAZQBhAFwAIgAsADAALgA0ADYANwAzADkAMQAsAFwAIgBOAGkAdAByAG8AZwBlAG4AIAAtACAATgBpAHQAcgBhAHQAZQBcACIALAAwAC4AMQAwADUALABcACIATgBpAHQAcgBvAGcAZQBuACAALQAgAEEAbQBtAG8AbgBpAGEAYwBhAGwAXAAiACwAMAAuADEAMAA1ACwAXAAiAEIAaQB1AHIAZQB0AFwAIgAsADAALgAwADAANgAsAFwAIgBcACIALABcACIAXAAiACwAXAAiAFwAIgAsAFwAIgBcACIALABcACIAXAAiACwAXAAiAFwAIgAsAFwAIgBcACIALABcACIAXAAiACwAXAAiAFwAIgAsAFwAIgBcACIALABcACIAXAAiACwAXAAiAFwAIgA7AFwAbgBcACIAUgBpAHMAcwBvAC0AQwBoAGUAbQBpAGMAYQBsAFwAIgAsAFwAIgBDAGEAbABjAGkAdQBtACAAQQBtAG0AbwBuAGkAdQBtACAAbgBpAHQAcgBhAHQAZQBcACIALABcACIAawBnAFwAIgAsADEALABcACIAXAAiACwAXAAiAFwAIgAsAFwAIgBDAGgAaQBuAGEAXAAiACwANAAwAC4ANQAsAFwAIgBcACIALABcACIAXAAiACwAXAAiAFwAIgAsAFwAIgBOAGkAdAByAG8AZwBlAG4AIAAtACAAQQBtAG0AbwBuAGkAYQBjAGEAbABcACIALAAwAC4AMgA3ACwAXAAiAE4AaQB0AHIAbwBnAGUAbgAgAC0AIABOAGkAdAByAGEAdABlAFwAIgAsADAALgAxADMANQAsAFwAIgBDAGEAbABjAGkAdQBtAFwAIgAsADAALgAxADIALABcACIAXAAiACwAXAAiAFwAIgAsAFwAIgBcACIALABcACIAXAAiACwAXAAiAFwAIgAsAFwAIgBcACIALABcACIAXAAiACwAXAAiAFwAIgAsAFwAIgBcACIALABcACIAXAAiACwAXAAiAFwAIgAsAFwAIgBcACIALABcACIAXAAiACwAXAAiAFwAIgA7AFwAbgBcACIAUwBMACAAVABlAGMAXAAiACwAXAAiAEMAZQBsAGwAQwBBAEwAIABQAGwAdQBzAFwAIgAsAFwAIgBMAFwAIgAsADEALgAxADMAOAAsAFwAIgBcACIALABcACIAXAAiACwAXAAiAFwAIgAsAFwAIgBcACIALABcACIAXAAiACwAXAAiAFwAIgAsAFwAIgBcACIALABcACIAQwBhAGwAYwBpAHUAbQBcACIALAAwAC4AMAA1ADkALABcACIAQwBvAHAAcABlAHIAXAAiACwAMAAuADAAMAAzACwAXAAiAEIAbwByAG8AbgBcACIALAAwAC4AMAAwADE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LADUANQBcACIALABcACIAawBnAFwAIgAsADEALABcACIAXAAiACwAXAAiAFwAIgAsAFwAIgBcACIALAAxADMALgA1ACwAMQA1ACwANgAuADIANQAsADEALgAyACwAXAAiAFAAaABvAHMAcABoAG8AcgB1AHMAIAAtACAARwBlAG4AZQByAGkAYwBcACIALAAwAC4AMQA1ACwAXAAiAE4AaQB0AHIAbwBnAGUAbgAgAC0AIABBAG0AbQBvAG4AaQBhAGMAYQBsAFwAIgAsADAALgAxADMANQAsAFwAIgBNAHUAcgBpAGEAdABlACAAbwBmACAAcABvAHQAYQBzAGgAIAAoAE0ATwBQACkAXAAiACwAMAAuADEAMgA1ACwAXAAiAEYAbAB1AG8AcgBpAGQAZQBcACIALAAwAC4AMAAyADMALABcACIAUwB1AGwAZgB1AHIAIAAtACAARwBlAG4AZQByAGkAYwBcACIALAAwAC4AMAAxADIALABcACIAXAAiACwAXAAiAFwAIgAsAFwAIgBcACIALABcACIAXAAiACwAXAAiAFwAIgAsAFwAIgBcACIALABcACIAXAAiACwAXAAiAFwAIgAsAFwAIgBcACIALABcACIAXAAiADsAXABuAFwAIgBTAHcAaQB0AGMAaAAgAEEAZwBcACIALABcACIAQwByAG8AcAAgAEsAXAAiACwAXAAiAEwAXAAiACwAMQAuADIANQAsAFwAIgBcACIALABcACIAXAAiACwAXAAiAFwAIgAsADMALABcACIAXAAiACwAMgAxACwAXAAiAFwAIgAsAFwAIgBQAG8AdABhAHMAcwBpAHUAbQAgAC0AIABHAGUAbgBlAHIAaQBjAFwAIgAsADAALgAyADE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FMAdwBpAHQAYwBoACAAQQBnAFwAIgAsAFwAIgBDAHIAbwBwACAAUwB0AGEAcgB0AGUAcgBcACIALABcACIATABcACIALAAxAC4AMgAsAFwAIgBcACIALABcACIAXAAiACwAXAAiAFwAIgAsADUALAAzACwAOAAsAFwAIgBcACIALABcACIAUABvAHQAYQBzAHMAaQB1AG0AIAAtACAARwBlAG4AZQByAGkAYwBcACIALAAwAC4AMAA4ACwAXAAiAE4AaQB0AHIAbwBnAGUAbgAgAC0AIABHAGUAbgBlAHIAaQBjAFwAIgAsADAALgAwADUALABcACIAUABoAG8AcwBwAGgAbwByAHUAcwAgAC0AIABHAGUAbgBlAHIAaQBjAFwAIgAsADAALgAwADM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AtAE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MgBcAG4APQBMAEEATQBCAEQAQQAoAFwAbgAgAE0AQQBLAEUAQQBSAFIAQQBZACgAMwAwACwAIAAzADEALABcAG4AIABMAEEATQBCAEQAQQAoAHIALABjACwAXABuACAAIABJAE4ARABFAFgAKAB7AFwAbgBcACIAQwBhAG0AcABiAGUAbABsAHMAIABmAGUAcgB0AGkAbABpAHMAZQByAHMAIABBAHUAcwB0AHIAYQBsAGkAYQBcACIALABcACIARQBuAGMAYQBsAFwAIgAsAFwAIgBMAFwAIgAsADEALgA1ACwAXAAiAFwAIgAsAFwAIgBcACIALABcACIAXAAiACwAOQAsAFwAIgBcACIALABcACIAXAAiACwAMQAzAC4AOQA0ACwAXAAiAFMAdQBsAHAAaABhAHQAZQAgAG8AZgAgAGEAbQBtAG8AbgBpAGEAIAAoAFMATwBBACkAXAAiACwAMAAuADUAOAAwADYANAA1ACwAXAAiAE0AYQBnAG4AZQBzAGkAdQBtAFwAIgAsADAALgAwADEAM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UwBTAFwAIgAsAFwAIgBrAGcAXAAiACwAMQAsAFwAIgBcACIALABcACIAXAAiACwAXAAiAFwAIgAsADEAMAAsADEANwAuADUALABcACIAXAAiACwAMQAyACwAXAAiAFAAaABvAHMAcABoAG8AcgB1AHMAIAAtACAARwBlAG4AZQByAGkAYwBcACIALAAwAC4AMQA3ADUALABcACIAUwB1AGwAZgB1AHIAIAAtACAARwBlAG4AZQByAGkAYwBcACIALAAwAC4AMQAyACwAXAAiAE4AaQB0AHIAbwBnAGUAbgAgAC0AIABBAG0AbQBvAG4AaQBhAGMAYQBsAFwAIgAsADAALgAxACwAXAAiAEYAbAB1AG8AcgBpAGQAZQBcACIALAAwAC4AMAAz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oAXAAiACwAXAAiAGsAZwBcACIALAAxACwAXAAiAFwAIgAsAFwAIgBcACIALABcACIAXAAiACwAMQAxACwAMgAxAC4AOAAsAFwAIgBcACIALAA0ACwAXAAiAFAAaABvAHMAcABoAG8AcgB1AHMAIAAtACAARwBlAG4AZQByAGkAYwBcACIALAAwAC4AMgAxADgALABcACIATgBpAHQAcgBvAGcAZQBuACAALQAgAEcAZQBuAGUAcgBpAGMAXAAiACwAMAAuADEAMQAsAFwAIgBTAHUAbABmAHUAcgAgAC0AIABHAGUAbgBlAHIAaQBjAFwAIgAsADAALgAwADQALABcACIARgBsAHUAbwByAGkAZABlAFwAIgAsADAALgAwADMALABcACIAWgBpAG4AYwBcACIALAAwAC4AMAAxACwAXAAiAFwAIgAsAFwAIgBcACIALABcACIAXAAiACwAXAAiAFwAIgAsAFwAIgBcACIALABcACIAXAAiACwAXAAiAFwAIgAsAFwAIgBcACIALABcACIAXAAiACwAXAAiAFwAIgA7AFwAbgBcACIASQBuAGMAaQB0AGUAYwAgAFAAaQB2AG8AdAAgAEYAZQByAHQAaQBsAGkAcwBlAHIAcwBcACIALABcACIARgBhAHIAbQAgAEEAZwAgAEwAZQBpAGMAaABoAGEAcgBkAHQAXAAiACwAXAAiAGsAZwBcACIALAAxACwAXAAiAFwAIgAsAFwAIgBcACIALABcACIAXAAiACwAMwAyAC4ANQAsADUALgA0ACwANgAuADIANQAsAFwAIgBcACIALABcACIAVQByAGUAYQBcACIALAAwAC4ANgAsAFwAIgBOAGkAdAByAG8AZwBlAG4AIAAtACAAQQBtAG0AbwBuAGkAYQBjAGEAbABcACIALAAwAC4AMAA0ADkALABcACIAUABoAG8AcwBwAGgAbwByAHUAcwAgAC0AIABHAGUAbgBlAHIAaQBjAFwAIgAsADAALgAwADUANAAsAFwAIgBNAHUAcgBpAGEAdABlACAAbwBmACAAcABvAHQAYQBzAGgAIAAoAE0ATwBQACkAXAAiACwAMAAuADEAMgA1ACwAXAAiAFwAIgAsAFwAIgBcACIALABcACIAXAAiACwAXAAiAFwAIgAsAFwAIgBcACIALABcACIAXAAiACwAXAAiAFwAIgAsAFwAIgBcACIALABcACIAXAAiACwAXAAiAFwAIgAsAFwAIgBcACIALABcACIAXAAiADsAXABuAFwAIgBSAGEAdgBlAG4AcwBkAG8AdwBuAFwAIgAsAFwAIgBGAGwAZQB4AGkALQBOACAATgBCAFAAVABcACIALABcACIAawBnAFwAIgAsADEALABcACIAWQBlAHMAXAAiACwAXAAiAFwAIgAsAFwAIgBcACIALAA0ADUALgA1ADQALABcACIAXAAiACwAXAAiAFwAIgAsAFwAIgBcACIALABcACIAVQByAGUAYQBcACIALAAwAC4AOQA5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HAG8AbABkACAAUAByAGUAbQBpAHUAbQBcACIALABcACIAawBnAFwAIgAsADEALABcACIAXAAiACwAXAAiAFwAIgAsAFwAIgBcACIALAAxADQALgA4ADcALAAyAC4AMgAsADEANgAuADYALAA4ACwAXAAiAEEAbQBtAG8AbgBpAHUAbQAgAG4AaQB0AHIAYQB0AGUAIAAoAEEATgApAFwAIgAsADAALgA0ADQAMQAxADcANgAsAFwAIgBQAG8AdABhAHMAcwBpAHUAbQAgAC0AIABHAGUAbgBlAHIAaQBjAFwAIgAsADAALgAxADYANgAsAFwAIgBTAHUAbABmAHUAcgAgAC0AIABHAGUAbgBlAHIAaQBjAFwAIgAsADAALgAwADgALABcACIAUABoAG8AcwBwAGgAbwByAHUAcwAgAC0AIABHAGUAbgBlAHIAaQBjAFwAIgAsADAALgAwADIAMgAsAFwAIgBNAGEAZwBuAGUAcwBpAHUAbQBcACIALAAwAC4AMAAxADIALABcACIAQgBvAHIAbwBuAFwAIgAsADAALgAwADAAMAAyACwAXAAiAFoAaQBuAGMAXAAiACwAMAAuADAAMAAwADEALABcACIAXAAiACwAXAAiAFwAIgAsAFwAIgBcACIALABcACIAXAAiACwAXAAiAFwAIgAsAFwAIgBcACIAOwBcAG4AXAAiAFMATAAgAFQAZQBjAFwAIgAsAFwAIgBIAGkAZwBoACAATgBTAFwAIgAsAFwAIgBMAFwAIgAsADEALgAyADkAOQAsAFwAIgBcACIALABcACIAXAAiACwAXAAiAFwAIgAsADMAOAAsAFwAIgBcACIALABcACIAXAAiACwAMgAsAFwAIgBVAHIAZQBhAFwAIgAsADAALgA0ADYAMAA4ADcALABcACIATgBpAHQAcgBvAGcAZQBuACAALQAgAEEAbQBtAG8AbgBpAGEAYwBhAGwAXAAiACwAMAAuADAAOQAyACwAXAAiAE4AaQB0AHIAbwBnAGUAbgAgAC0AIABOAGkAdAByAGEAdABlAFwAIgAsADAALgAwADcANgAsAFwAIgBTAHUAbABmAHUAcgAgAC0AIABHAGUAbgBlAHIAaQBjAFwAIgAsADAALgAwADIALABcACIAXAAiACwAXAAiAFwAIgAsAFwAIgBcACIALABcACIAXAAiACwAXAAiAFwAIgAsAFwAIgBcACIALABcACIAXAAiACwAXAAiAFwAIgAsAFwAIgBcACIALABcACIAXAAiACwAXAAiAFwAIgAsAFwAIgBcACIAOwBcAG4AXAAiAEkAbQBwAGEAYwB0ACAARgBlAHIAdABpAGwAaQBzAGUAcgBzAFwAIgAsAFwAIgBJAG0AcABhAGMAdAAgAFMAUwBQ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UwB3AGkAdABjAGgAIABBAGcAXAAiACwAXAAiAEkAbgAgAEMAcgBvAHAAXAAiACwAXAAiAEwAXAAiACwAMQAuADIALABcACIAXAAiACwAXAAiAFwAIgAsAFwAIgBcACIALAAxADAALAAxACwAMQAxACwAXAAiAFwAIgAsAFwAIgBQAG8AdABhAHMAcwBpAHUAbQAgAC0AIABHAGUAbgBlAHIAaQBjAFwAIgAsADAALgAxADEALABcACIATgBpAHQAcgBvAGcAZQBuACAALQAgAEcAZQBuAGUAcgBpAGMAXAAiACwAMAAuADEALABcACIAUABoAG8AcwBwAGgAbwByAHUAcwAgAC0AIABHAGUAbgBlAHIAaQBjAFwAIgAsADAALgAwADEALABcACIAXAAiACwAXAAiAFwAIgAsAFwAIgBcACIALABcACIAXAAiACwAXAAiAFwAIgAsAFwAIgBcACIALABcACIAXAAiACwAXAAiAFwAIgAsAFwAIgBcACIALABcACIAXAAiACwAXAAiAFwAIgAsAFwAIgBcACIALABcACIAXAAiACwAXAAiAFwAIgA7AFwAbgBcACIAUwB3AGkAdABjAGgAIABBAGcAXAAiACwAXAAiAEsAMgAwAFwAIgAsAFwAIgBMAFwAIgAsADEALgAzACwAXAAiAFwAIgAsAFwAIgBcACIALABcACIAXAAiACwAMwAsAFwAIgBcACIALAAyADIALABcACIAXAAiACwAXAAiAFAAbwB0AGEAcwBzAGkAdQBtACAALQAgAEcAZQBuAGUAcgBpAGMAXAAiACwAMAAuADIAMg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TABvAHYAZQBsAGEAbgBkACAAQQBnAHIAaQBwAHIAbwBkAHUAYwB0AHMAXAAiACwAXAAiAE0AYQB4AGkAbQB1AG0AIABOAC0AUABhAGMAdABcACIALABcACIATABcACIALAAxAC4AMQA4ADUALABcACIAXAAiACwAXAAiAFwAIgAsAFwAIgBcACIALAAyADMALgA4ACwAXAAiAFwAIgAsAFwAIgBcACIALABcACIAXAAiACwAXAAiAFUAcgBlAGEAXAAiACwAMAAuADUAMQA3ADMAOQAxACwAXAAiAFwAIgAsAFwAIgBcACIALABcACIAXAAiACwAXAAiAFwAIgAsAFwAIgBcACIALABcACIAXAAiACwAXAAiAFwAIgAsAFwAIgBcACIALABcACIAXAAiACwAXAAiAFwAIgAsAFwAIgBcACIALABcACIAXAAiACwAXAAiAFwAIgAsAFwAIgBcACIALABcACIAXAAiACwAXAAiAFwAIgAsAFwAIgBcACIALABcACIAXAAiADsAXABuAFwAIgBTAEwAIABUAGUAYwBcACIALABcACIATgBpAHQAcgBvACAAQwBvAG0AYgBpACAAVABFAFwAIgAsAFwAIgBMAFwAIgAsADEALgAyADUANQAsAFwAIgBcACIALABcACIAXAAiACwAXAAiAFwAIgAsAFwAIgBcACIALABcACIAXAAiACwAMAAuADEALAA0AC4ANAAsAFwAIgBTAHUAbABmAHUAcgAgAC0AIABHAGUAbgBlAHIAaQBjAFwAIgAsADAALgAwADQANAAsAFwAIgBaAGkAbgBjAFwAIgAsADAALgAwADIAMgAsAFwAIgBJAHIAbwBuAFwAIgAsADAALgAwADIAMgAsAFwAIgBNAGEAbgBnAGEAbgBlAHMAZQBcACIALAAwAC4AMAAxADYALABcACIAQgBvAHIAbwBuAFwAIgAsADAALgAwADAAOAAsAFwAIgBNAGEAZwBuAGUAcwBpAHUAbQBcACIALAAwAC4AMAAwADcALABcACIARgB1AGwAdgBpAGMAIABhAGMAaQBkACAAKABvAHIAZwBhAG4AaQBjACkAXAAiACwAMAAuADAAMAA1ACwAXAAiAEMAbwBwAHAAZQByAFwAIgAsADAALgAwADAAMwAsAFwAIgBQAG8AdABhAHMAcwBpAHUAbQAgAC0AIABHAGUAbgBlAHIAaQBjAFwAIgAsADAALgAwADAAMQAsAFwAIgBNAG8AbAB5AGIAZABlAG4AdQBtAFwAIgAsADAALgAwADAAMAAzADsAXABuAFwAIgBTAHcAaQB0AGMAaAAgAEEAZwBcACIALABcACIAUABhAHMAdAB1AHIAZQBNAEEAWABYAFwAIgAsAFwAIgBMAFwAIgAsADEALgAyADMALABcACIAXAAiACwAXAAiAFwAIgAsAFwAIgBcACIALAA5AC4ANwAxACwAXAAiAFwAIgAsADMALgAyADUALAAyAC4AMQAxACwAXAAiAE4AaQB0AHIAbwBnAGUAbgAgAC0AIABHAGUAbgBlAHIAaQBjAFwAIgAsADAALgAwADkANwAxACwAXAAiAFAAbwB0AGEAcwBzAGkAdQBtACAALQAgAEcAZQBuAGUAcgBpAGMAXAAiACwAMAAuADAAMwAyADUALABcACIAUwB1AGwAZgB1AHIAIAAtACAARwBlAG4AZQByAGkAYwBcACIALAAwAC4AMAAyADEAMQAsAFwAIgBaAGkAbgBjAFwAIgAsADAALgAwADEANQAsAFwAIgBJAHIAbwBuAFwAIgAsADAALgAwADEAMQAxACwAXAAiAE0AYQBuAGcAYQBuAGUAcwBlAFwAIgAsADAALgAwADEAMQA1ACwAXAAiAE0AYQBnAG4AZQBzAGkAdQBtAFwAIgAsADAALgAwADAANAA1ACwAXAAiAEIAbwByAG8AbgBcACIALAAwAC4AMAAwADIALABcACIAXAAiACwAXAAiAFwAIgAsAFwAIgBcACIALABcACIAXAAiADsAXABuAFwAIgBDAGEAbQBwAGIAZQBsAGwAcwAgAGYAZQByAHQAaQBsAGkAcwBlAHIAcwAgAEEAdQBzAHQAcgBhAGwAaQBhAFwAIgAsAFwAIgBQAGwAYQB0AGkAbgB1AG0AIABOAGUAcgBnAGUAdABpAGMAXAAiACwAXAAiAGsAZwBcACIALAAxACwAXAAiAFwAIgAsAFwAIgBcACIALABcACIAXAAiACwAMQAwACwAMQAwAC4AOQAsADEAMAAsADQALgAzADQALABcACIATQBvAG4AbwBhAG0AbQBvAG4AaQB1AG0AIABwAGgAbwBzAHAAaABhAHQAZQAgACgATQBBAFAAKQBcACIALAAwAC4ANAAxADcAOAAsAFwAIgBBAG0AbQBvAG4AaQB1AG0AIABuAGkAdAByAGEAdABlACAAKABBAE4AKQBcACIALAAwAC4AMQA3ADIAOAAsAFwAIgBQAG8AdABhAHMAcwBpAHUAbQAgAHMAdQBsAHAAaABhAHQAZQBcACIALAAwAC4AMgA0ADAAOQA2ADQALABcACIARABvAHUAYgBsAGUAIABzAHUAcABlAHIAcABoAG8AcwBwAGgAYQB0AGUAXAAiACwAMAAuADEALABcACIATQBhAGcAbgBlAHMAaQB1AG0AXAAiACwAMAAuADAAMQAyACwAXAAiAFoAaQBuAGMAXAAiACwAMAAuADAAMAAzADYALABcACIAQgBvAHIAbwBuAFwAIgAsADAALgAwADAAMQAsAFwAIgBHAGwAYQB6AGUAIABFAHgAdABlAG4AZAAgAEcAMwAgAEYAbABlAHgAaQBcACIALAAwAC4AMAA1ADEAOQAsAFwAIgBcACIALABcACIAXAAiACwAXAAiAFwAIgAsAFwAIgBcACIAOwBcAG4AXAAiAEkAbQBwAGEAYwB0ACAARgBlAHIAdABpAGwAaQBzAGUAcgBzAFwAIgAsAFwAIgBTAHUAbABwAGgAYQB0AGUAIABvAGYAIABhAG0AbQBvAG4AaQBhACAAKABTAE8AQQAp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0AbwBuAG8ALQBBAG0AbQBvAG4AaQB1AG0AIABQAGgAbwBzAHAAaABhAHQAZQAgACgATQBBAFAAKQBcACIALABcACIAawBnAFwAIgAsADEALABcACIAXAAiACwAXAAiAFwAIgAsAFwAIgBcACIALAAxADAALAAyADEALgA5ACwAXAAiAFwAIgAsADEALgA1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UAcgBlAGEAXAAiACwAXAAiAGsAZwBcACIALAAxACwAXAAi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wBvAGMAaAAgAEYAZQByAHQAaQBsAGkAcwBlAHIAIABBAHUAcwB0AHIAYQBsAGkAYQBcACIALABcACIATQB1AHIAaQBhAHQAZQAgAG8AZgAgAHAAbwB0AGEAcwBoACAAKABNAE8AUAAp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VAHIAZQBhACAAQQBtAG0AbwBuAGkAdQBtACAAbgBpAHQAcgBhAHQAZQAgACgAVQBBAE4AIAAzADIALQAwAC0AMAApAFwAIgAsAFwAIgBMAFwAIgAsADEALgAzADIALABcACIAXAAiACwAXAAiAEMAaABpAG4AYQBcACIALABcACIAQwBoAGkAbgBh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AAbwBsAHkAcABlAHAAdABpAGQAZQAgAFUAcgBlAGEAXAAiACwAXAAiAGsAZwBcACIALAAxACwAXAAiAFwAIgAsAFwAIgBDAGgAaQBuAGEAXAAiACwAXAAiAFwAIgAsADQANgAsAFwAIgBcACIALABcACIAXAAiACwAXAAiAFwAIgAsAFwAIgBVAHIAZQBhAFwAIgAsADEALABcACIAUABvAGwAeQBwAGUAcAB0AGkAZABlACAAKABhAG0AaQBuAG8AIABhAGMAaQBkAHMAKQBcACIALAAw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DAEEATABDAEkATgBJAFQAXAAiACwAXAAiAGsAZwBcACIALAAxACwAXAAiAFwAIgAsAFwAIgBcACIALABcACIAXAAiACwAMQA1AC4ANQAsAFwAIgBcACIALABcACIAXAAiACwAXAAiAFwAIgAsAFwAIgBDAGEAbABjAGkAdQBtACAAbgBpAHQAcgBhAHQAZ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ABpAHYAYQAgAE4ASQBUAFIAQQBCAE8AUgBcACIALABcACIAawBnAFwAIgAsADEALABcACIAXAAiACwAXAAiAFwAIgAsAFwAIgBcACIALAAxADUALgA0ACwAXAAiAFwAIgAsAFwAIgBcACIALABcACIAXAAiACwAXAAiAEMAYQBsAGMAaQB1AG0AIABuAGkAdAByAGEAdABlAFwAIgAsADAALgA5ADkAMwA1ADQAOAAsAFwAIgBCAG8AcgBvAG4AXAAiACwAMAAuADAAMAAz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0AaQBsAGEAIABDAE8ATQBQAEwARQBYAFwAIgAsAFwAIgBrAGcAXAAiACwAMQAsAFwAIgBcACIALABcACIAXAAiACwAXAAiAFwAIgAsADEAMgAsADUALAAxADUALAA4ACwAXAAiAE4AaQB0AHIAbwBnAGUAbgAgAC0AIABOAGkAdAByAGEAdABlAFwAIgAsADAALgAwADUALABcACIATgBpAHQAcgBvAGcAZQBuACAALQAgAEEAbQBtAG8AbgBpAGEAYwBhAGwAXAAiACwAMAAuADAANwAsAFwAIgBQAGgAbwBzAHAAaABvAHIAdQBzACAALQAgAEcAZQBuAGUAcgBpAGMAXAAiACwAMAAuADAANQAsAFwAIgBQAG8AdABhAHMAcwBpAHUAbQAgAC0AIABHAGUAbgBlAHIAaQBjAFwAIgAsADAALgAxADUALABcACIAUwB1AGwAZgB1AHIAIAAtACAARwBlAG4AZQByAGkAYwBcACIALAAwAC4AMAA4ACwAXAAiAE0AYQBnAG4AZQBzAGkAdQBtAFwAIgAsADAALgAwADEANgAsAFwAIgBaAGkAbgBjAFwAIgAsADAALgAwADAAMAAyACwAXAAiAEIAbwByAG8AbgBcACIALAAwAC4AMAAwADAAMQA1ACwAXAAiAFwAIgAsAFwAIgBcACIALABcACIAXAAiACwAXAAiAFwAIgA7AFwAbgBcACIAWQBhAHIAYQAgAEEAdQBzAHQAcgBhAGwAaQBhAFwAIgAsAFwAIgBZAGEAcgBhAFIAZQBnAGEAIAA5AC0AMAAtADMAMAAgACgAMQA0ACkAXAAiACwAXAAiAGsAZwBcACIALAAxACwAXAAiAFwAIgAsAFwAIgBcACIALABcACIAXAAiACwAOQAsAFwAIgBcACIALAAzADAALAAxADQALABcACIAUABvAHQAYQBzAHMAaQB1AG0AIAAtACAARwBlAG4AZQByAGkAYwBcACIALAAwAC4AMwAsAFwAIgBTAHUAbABmAHUAcgAgAC0AIABHAGUAbgBlAHIAaQBjAFwAIgAsADAALgAxADQALABcACIATgBpAHQAcgBvAGcAZQBuACAALQAgAE4AaQB0AHIAYQB0AGUAXAAiACwAMAAuADAANAA1ACwAXAAiAE4AaQB0AHIAbwBnAGUAbgAgAC0AIABBAG0AbQBvAG4AaQBhAGMAYQBsAFwAIgAsADAALgAwADQANQAsAFwAIgBcACIALABcACIAXAAiACwAXAAiAFwAIgAsAFwAIgBcACIALABcACIAXAAiACwAXAAiAFwAIgAsAFwAIgBcACIALABcACIAXAAiACwAXAAiAFwAIgAsAFwAIgBcACIALABcACIAXAAiACwAXAAiAFwAIgA7AFwAbgBcACIAWQBhAHIAYQAgAEEAdQBzAHQAcgBhAGwAaQBhAFwAIgAsAFwAIgBZAGEAcgBhAFIAZQBnAGEAIAAxADMALQAyAC0AMgAxAFwAIgAsAFwAIgBrAGcAXAAiACwAMQAsAFwAIgBcACIALABcACIAXAAiACwAXAAiAFwAIgAsADEAMwAsADEALgA3ADUALAAyADEALAAxADAALgA4ACwAXAAiAFAAbwB0AGEAcwBzAGkAdQBtACAALQAgAEcAZQBuAGUAcgBpAGMAXAAiACwAMAAuADIAMQAsAFwAIgBTAHUAbABmAHUAcgAgAC0AIABHAGUAbgBlAHIAaQBjAFwAIgAsADAALgAxADAAOAAsAFwAIgBOAGkAdAByAG8AZwBlAG4AIAAtACAAQQBtAG0AbwBuAGkAYQBjAGEAbABcACIALAAwAC4AMAA3ADcALABcACIATgBpAHQAcgBvAGcAZQBuACAALQAgAE4AaQB0AHIAYQB0AGUAXAAiACwAMAAuADAANQAzACwAXAAiAFAAaABvAHMAcABoAG8AcgB1AHMAIAAtACAARwBlAG4AZQByAGkAYwBcACIALAAwAC4AMAAxADcANQAsAFwAIgBNAGEAZwBuAGUAcwBpAHUAbQBcACIALAAwAC4AMAAwADQALABcACIAWgBpAG4AYwBcACIALAAwAC4AMAAwADAAOAAsAFwAIgBCAG8AcgBvAG4AXAAiACwAMAAuADAAMAAwADgALABcACIAXAAiACwAXAAiAFwAIgAsAFwAIgBcACIALABcACIAXAAiADsAXABuAFwAIgBZAGEAcgBhACAAQQB1AHMAdAByAGEAbABpAGEAXAAiACwAXAAiAFkAYQByAGEAUgBlAGcAYQAgADEANQAtADcALQAxADMAIAAoADcAUwApAFwAIgAsAFwAIgBrAGcAXAAiACwAMQAsAFwAIgBcACIALABcACIAXAAiACwAXAAiAFwAIgAsADEANQAsADYALgA1ACwAMQAyAC4ANQAsADcALgAyACwAXAAiAE4AaQB0AHIAbwBnAGUAbgAgAC0AIABOAGkAdAByAGEAdABlAFwAIgAsADAALgAwADkANQAsAFwAIgBQAG8AdABhAHMAcwBpAHUAbQAgAC0AIABHAGUAbgBlAHIAaQBjAFwAIgAsADAALgAxADIANQAsAFwAIgBTAHUAbABmAHUAcgAgAC0AIABHAGUAbgBlAHIAaQBjAFwAIgAsADAALgAwADcAMgAsAFwAIgBQAGgAbwBzAHAAaABvAHIAdQBzACAALQAgAEcAZQBuAGUAcgBpAGMAXAAiACwAMAAuADAANgA1ACwAXAAiAE4AaQB0AHIAbwBnAGUAbgAgAC0AIABBAG0AbQBvAG4AaQBhAGMAYQBsAFwAIgAsADAALgAwADUANQAsAFwAIgBNAGEAZwBuAGUAcwBpAHUAbQBcACIALAAwAC4AMAAwADYANgAsAFwAIgBCAG8AcgBvAG4AXAAiACwAMAAuADAAMAAxACwAXAAiAFoAaQBuAGMAXAAiACwAMAAuADAAMAAwADYALABcACIAXAAiACwAXAAiAFwAIgAsAFwAIgBcACIALABcACIAXAAiADsAXABuAFwAIgBZAGEAcgBhACAAQQB1AHMAdAByAGEAbABpAGEAXAAiACwAXAAiAFkAYQByAGEAVABlAHIAYQAgAEMAQQBMAEMASQBOAEkAVAAgAEIAXAAiACwAXAAiAGsAZwBcACIALAAxACwAXAAiAFwAIgAsAFwAIgBcACIALABcACIAXAAiACwAMQA1AC4ANQAsAFwAIgBcACIALABcACIAXAAiACwAXAAiAFwAIgAsAFwAIgBDAGEAbABjAGkAdQBtACAAbgBpAHQAcgBhAHQAZQBcACIALAAxACwAXAAiAEIAbwByAG8AbgBcACIALAAwAC4AMAAwADE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CAATQBBAFA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BMAE8ATgAgAFIARQBEAFwAIgAsAFwAIgBrAGcAXAAiACwAMQAsAFwAIgBcACIALABcACIAXAAiACwAXAAiAFwAIgAsADEAMgAsADUALgAyACwAMgA5AC4AOQAsADEALABcACIAUABvAHQAYQBzAHMAaQB1AG0AIAAtACAARwBlAG4AZQByAGkAYwBcACIALAAwAC4AMgA5ADkALABcACIATgBpAHQAcgBvAGcAZQBuACAALQAgAE4AaQB0AHIAYQB0AGUAXAAiACwAMAAuADEAMAAxACwAXAAiAFAAaABvAHMAcABoAG8AcgB1AHMAIAAtACAARwBlAG4AZQByAGkAYwBcACIALAAwAC4AMAA1ADIALABcACIATgBpAHQAcgBvAGcAZQBuACAALQAgAEEAbQBtAG8AbgBpAGEAYwBhAGwAXAAiACwAMAAuADAAMQA5ACwAXAAiAFMAdQBsAGYAdQByACAALQAgAEcAZQBuAGUAcgBpAGMAXAAiACwAMAAuADAAMQAsAFwAIgBNAGEAZwBuAGUAcwBpAHUAbQBcACIALAAwAC4AMAAwADYALABcACIASQByAG8AbgBcACIALAAwAC4AMAAwADAANwAsAFwAIgBNAGEAbgBnAGEAbgBlAHMAZQBcACIALAAwAC4AMAAwADAANAAsAFwAIgBaAGkAbgBjAFwAIgAsADAALgAwADAAMAAyADUALABcACIAQgBvAHIAbwBuAFwAIgAsADAALgAwADAAMAAyADUAOwBcAG4AXAAiAFkAYQByAGEAIABBAHUAcwB0AHIAYQBsAGkAYQBcACIALABcACIAWQBhAHIAYQBUAGUAcgBhACAASwBSAEkAUwBUAEEATABPAE4AIABTAFAARQBDAEkAQQBMAFwAIgAsAFwAIgBrAGcAXAAiACwAMQAsAFwAIgBcACIALABcACIAXAAiACwAXAAiAFwAIgAsADEAOAAsADcALgA5ACwAMQA0AC4AOQAsADIALABcACIAUABvAHQAYQBzAHMAaQB1AG0AIAAtACAARwBlAG4AZQByAGkAYwBcACIALAAwAC4AMQA0ADkALABcACIAVQByAGUAYQBcACIALAAwAC4AMgAxADMAMAA0ADMALABcACIAUABoAG8AcwBwAGgAbwByAHUAcwAgAC0AIABHAGUAbgBlAHIAaQBjAFwAIgAsADAALgAwADcAOQAsAFwAIgBOAGkAdAByAG8AZwBlAG4AIAAtACAATgBpAHQAcgBhAHQAZQBcACIALAAwAC4AMAA0ADkALABcACIATgBpAHQAcgBvAGcAZQBuACAALQAgAEEAbQBtAG8AbgBpAGEAYwBhAGwAXAAiACwAMAAuADAAMwAzACwAXAAiAFMAdQBsAGYAdQByACAALQAgAEcAZQBuAGUAcgBpAGMAXAAiACwAMAAuADAAMgAsAFwAIgBNAGEAZwBuAGUAcwBpAHUAbQBcACIALAAwAC4AMAAxADgALABcACIASQByAG8AbgBcACIALAAwAC4AMAAwADAANwAsAFwAIgBNAGEAbgBnAGEAbgBlAHMAZQBcACIALAAwAC4AMAAwADAANAAsAFwAIgBaAGkAbgBjAFwAIgAsADAALgAwADAAMAAyADUAXABuACAAIAB9ACwAIAByACwAIABjACkAXABuACAAKQApACkAXABuAFwAbgBcAG4ARgBlAHIAdABpAGwAaQBzAGUAcgBfAFAAcgBvAGQAdQBjAHQAcwBfAEQAYQB0AGEAMwBcAG4APQBMAEEATQBCAEQAQQAoAFwAbgAgAE0AQQBLAEUAQQBSAFIAQQBZACgAMwAwACwAIAAzADEALABcAG4AIABMAEEATQBCAEQAQQAoAHIALABjACwAXABuACAAIABJAE4ARABFAFgAKAB7AFwAbgBcACIAWQBhAHIAYQAgAEEAdQBzAHQAcgBhAGwAaQBhAFwAIgAsAFwAIgBZAGEAcgBhAE0AaQBsAGEAIAAyADEALQA3AC0AMwAoADQAKQBcACIALABcACIAawBnAFwAIgAsADEALABcACIAXAAiACwAXAAiAFwAIgAsAFwAIgBcACIALAAyADEALAA3AC4ANAAsADIALgA1ACwANAAsAFwAIgBOAGkAdAByAG8AZwBlAG4AIAAtACAATgBpAHQAcgBhAHQAZQBcACIALAAwAC4AMQAwADUALABcACIATgBpAHQAcgBvAGcAZQBuACAALQAgAEEAbQBtAG8AbgBpAGEAYwBhAGwAXAAiACwAMAAuADEAMAA1ACwAXAAiAFAAaABvAHMAcABoAG8AcgB1AHMAIAAtACAARwBlAG4AZQByAGkAYwBcACIALAAwAC4AMAA3ADQALABcACIAUwB1AGwAZgB1AHIAIAAtACAARwBlAG4AZQByAGkAYwBcACIALAAwAC4AMAA0ACwAXAAiAFAAbwB0AGEAcwBzAGkAdQBtACAALQAgAEcAZQBuAGUAcgBpAGMAXAAiACwAMAAuADAAMgA1ACwAXAAiAE0AYQBnAG4AZQBzAGkAdQBtAFwAIgAsADAALgAwADAANAAsAFwAIgBaAGkAbgBjAFwAIgAsADAALgAwADAAMQA1ACwAXAAiAFwAIgAsAFwAIgBcACIALABcACIAXAAiACwAXAAiAFwAIgAsAFwAIgBcACIALABcACIAXAAiADsAXABuAFwAIgBZAGEAcgBhACAAQQB1AHMAdAByAGEAbABpAGEAXAAiACwAXAAiAFkAYQByAGEAVABlAHIAYQAgAEsAUgBJAFMAVABBAEwATwBOACAAUwBDAEEAUgBMAEUAVABcACIALABcACIAawBnAFwAIgAsADEALABcACIAXAAiACwAXAAiAFwAIgAsAFwAIgBcACIALAA3AC4ANQAsAFwAIgBcACIALAAyADkALgA5ACwANAAsAFwAIgBQAG8AdABhAHMAcwBpAHUAbQAgAC0AIABHAGUAbgBlAHIAaQBjAFwAIgAsADAALgAyADkAOQAsAFwAIgBOAGkAdAByAG8AZwBlAG4AIAAtACAATgBpAHQAcgBhAHQAZQBcACIALAAwAC4AMAA1ADIALABcACIAUwB1AGwAZgB1AHIAIAAtACAARwBlAG4AZQByAGkAYwBcACIALAAwAC4AMAA0ACwAXAAiAE0AYQBnAG4AZQBzAGkAdQBtAFwAIgAsADAALgAwADIANwAsAFwAIgBOAGkAdAByAG8AZwBlAG4AIAAtACAAQQBtAG0AbwBuAGkAYQBjAGEAbABcACIALAAwAC4AMAAyADMALABcACIAXAAiACwAXAAiAFwAIgAsAFwAIgBcACIALABcACIAXAAiACwAXAAiAFwAIgAsAFwAIgBcACIALABcACIAXAAiACwAXAAiAFwAIgAsAFwAIgBcACIALABcACIAXAAiADsAXABuAFwAIgBDAGEAbQBwAGIAZQBsAGwAcwAgAGYAZQByAHQAaQBsAGkAcwBlAHIAcwAgAEEAdQBzAHQAcgBhAGwAaQBhAFwAIgAsAFwAIgBTAG8AbAB1AC0ATQBBAFA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wBvAGwAdQAtAFMAY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gB1AHMAdABpAGMAYQAgAFAAbAB1AHMAXAAiACwAXAAiAGsAZwBcACIALAAxACwAXAAiAFwAIgAsAFwAIgBcACIALABcACIAXAAiACwAMQAyACwANQAsADEANAAsADkALgA3ACwAXAAiAFAAbwB0AGEAcwBzAGkAdQBtACAALQAgAEcAZQBuAGUAcgBpAGMAXAAiACwAMAAuADEANAAsAFwAIgBTAHUAbABmAHUAcgAgAC0AIABHAGUAbgBlAHIAaQBjAFwAIgAsADAALgAwADkANwAsAFwAIgBOAGkAdAByAG8AZwBlAG4AIAAtACAATgBpAHQAcgBhAHQAZQBcACIALAAwAC4AMAA2ACwAXAAiAE4AaQB0AHIAbwBnAGUAbgAgAC0AIABBAG0AbQBvAG4AaQBhAGMAYQBsAFwAIgAsADAALgAwADYALABcACIAUABoAG8AcwBwAGgAbwByAHUAcwAgAC0AIABHAGUAbgBlAHIAaQBjAFwAIgAsADAALgAwADUALABcACIAQwBhAGwAYwBpAHUAbQBcACIALAAwAC4AMAAzADEALABcACIATQBhAGcAbgBlAHMAaQB1AG0AXAAiACwAMAAuADAAMQAyACwAXAAiAFoAaQBuAGMAXAAiACwAMAAuADAAMAAxACwAXAAiAEIAbwByAG8AbgBcACIALAAwAC4AMAAwADAAMgAsAFwAIgBcACIALABcACIAXAAiADsAXABuAFwAIgBDAGEAbQBwAGIAZQBsAGwAcwAgAGYAZQByAHQAaQBsAGkAcwBlAHIAcwAgAEEAdQBzAHQAcgBhAGwAaQBhAFwAIgAsAFwAIgBQAGwAYQB0AGkAbgB1AG0AIABQAGwAdQBzAFwAIgAsAFwAIgBrAGcAXAAiACwAMQAsAFwAIgBcACIALABcACIAXAAiACwAXAAiAFwAIgAsADEAMAAsADEAMQAsADEAMAAsADYALABcACIAUABoAG8AcwBwAGgAbwByAHUAcwAgAC0AIABHAGUAbgBlAHIAaQBjAFwAIgAsADAALgAxADEALABcACIAUABvAHQAYQBzAHMAaQB1AG0AIAAtACAARwBlAG4AZQByAGkAYwBcACIALAAwAC4AMQAsAFwAIgBTAHUAbABmAHUAcgAgAC0AIABHAGUAbgBlAHIAaQBjAFwAIgAsADAALgAwADYALABcACIATgBpAHQAcgBvAGcAZQBuACAALQAgAE4AaQB0AHIAYQB0AGUAXAAiACwAMAAuADAANQAsAFwAIgBOAGkAdAByAG8AZwBlAG4AIAAtACAAQQBtAG0AbwBuAGkAYQBjAGEAbABcACIALAAwAC4AMAA1ACwAXAAiAEMAYQBsAGMAaQB1AG0AXAAiACwAMAAuADAANAAzACwAXAAiAE0AYQBnAG4AZQBzAGkAdQBtAFwAIgAsADAALgAwADEAMgAsAFwAIgBaAGkAbgBjAFwAIgAsADAALgAwADAAMwA2ACwAXAAiAEIAbwByAG8AbgBcACIALAAwAC4AMAAwADEALABcACIAXAAiACwAXAAiAFwAIgA7AFwAbgBcACIAQwBhAG0AcABiAGUAbABsAHMAIABmAGUAcgB0AGkAbABpAHMAZQByAHMAIABBAHUAcwB0AHIAYQBsAGkAYQBcACIALABcACIAVAByAG8AcABpAGsAYQBcACIALABcACIAawBnAFwAIgAsADEALABcACIAXAAiACwAXAAiAFwAIgAsAFwAIgBcACIALAAxADEALAAyAC4ANgAsADIAMAAuADgALAA0ACwAXAAiAE4AaQB0AHIAbwBnAGUAbgAgAC0AIABOAGkAdAByAGEAdABlAFwAIgAsADAALgAwADUANQAsAFwAIgBOAGkAdAByAG8AZwBlAG4AIAAtACAAQQBtAG0AbwBuAGkAYQBjAGEAbABcACIALAAwAC4AMAA1ADUALABcACIAUABoAG8AcwBwAGgAbwByAHUAcwAgAC0AIABHAGUAbgBlAHIAaQBjAFwAIgAsADAALgAwADIANgAsAFwAIgBQAG8AdABhAHMAcwBpAHUAbQAgAC0AIABHAGUAbgBlAHIAaQBjAFwAIgAsADAALgAyADAAOAAsAFwAIgBTAHUAbABmAHUAcgAgAC0AIABHAGUAbgBlAHIAaQBjAFwAIgAsADAALgAwADQALABcACIATQBhAGcAbgBlAHMAaQB1AG0AXAAiACwAMAAuADAAMgA0ACwAXAAiAFwAIgAsAFwAIgBcACIALABcACIAXAAiACwAXAAiAFwAIgAsAFwAIgBcACIALABcACIAXAAiACwAXAAiAFwAIgAsAFwAIgBcACIAOwBcAG4AXAAiAEMAYQBtAHAAYgBlAGwAbABzACAAZgBlAHIAdABpAGwAaQBzAGUAcgBzACAAQQB1AHMAdAByAGEAbABpAGEAXAAiACwAXAAiAFIAdQBzAHQAaQBjAGEAIABOAGUAcgBnAGUAdABpAGMAXAAiACwAXAAiAGsAZwBcACIALAAxACwAXAAiAFwAIgAsAFwAIgBcACIALABcACIAXAAiACwAMQAyACwANQAuADIALAAxADQALgAxACwAOQAuADYALABcACIAUABvAHQAYQBzAHMAaQB1AG0AIAAtACAARwBlAG4AZQByAGkAYwBcACIALAAwAC4AMQA0ADEALABcACIAUwB1AGwAZgB1AHIAIAAtACAARwBlAG4AZQByAGkAYwBcACIALAAwAC4AMAA5ADYALABcACIATgBpAHQAcgBvAGcAZQBuACAALQAgAE4AaQB0AHIAYQB0AGUAXAAiACwAMAAuADAANgAsAFwAIgBOAGkAdAByAG8AZwBlAG4AIAAtACAAQQBtAG0AbwBuAGkAYQBjAGEAbABcACIALAAwAC4AMAA2ACwAXAAiAFAAaABvAHMAcABoAG8AcgB1AHMAIAAtACAARwBlAG4AZQByAGkAYwBcACIALAAwAC4AMAA1ADIALABcACIATQBhAGcAbgBlAHMAaQB1AG0AXAAiACwAMAAuADAAMQAyACwAXAAiAFoAaQBuAGMAXAAiACwAMAAuADAAMAAwADgALABcACIASQByAG8AbgBcACIALAAwAC4AMAAwADAANwAsAFwAIgBNAGEAbgBnAGEAbgBlAHMAZQBcACIALAAwAC4AMAAwADAANgAsAFwAIgBCAG8AcgBvAG4AXAAiACwAMAAuADAAMAAwADIAOwBcAG4AXAAiAEMAYQBtAHAAYgBlAGwAbABzACAAZgBlAHIAdABpAGwAaQBzAGUAcgBzACAAQQB1AHMAdAByAGEAbABpAGEAXAAiACwAXAAiAFEAdQBpAGMAawAtAE4AIABOAGUAcgBnAGUAdABpAGMAXAAiACwAXAAiAGsAZwBcACIALAAxACwAXAAiAFwAIgAsAFwAIgBcACIALABcACIAXAAiACwAMgA1ACwAXAAiAFwAIgAsAFwAIgBcACIALAAxADIALgA4ACwAXAAiAFMAdQBsAHAAaABhAHQAZQAgAG8AZgAgAGEAbQBtAG8AbgBpAGEAIAAoAFMATwBBACkAXAAiACwAMAAuADUAMwAzADMAMwAzACwAXAAiAEEAbQBtAG8AbgBpAHUAbQAgAG4AaQB0AHIAYQB0AGUAIAAoAEEATgApAFwAIgAsADAALgA0ADAAOQA0ADkANgAsAFwAIgBaAGkAbgBjAFwAIgAsADAALgAwADAAMQAsAFwAIgBNAGEAbgBnAGEAbgBlAHMAZQBcACIALAAwAC4AMAAwADEALABcACIAQgBvAHIAbwBuAFwAIgAsADAALgAwADAAMAAxACwAXAAiAE0AbwBsAHkAYgBkAGUAbgB1AG0AXAAiACwAMAAuADAAMAAwADAAMQAsAFwAIgBcACIALABcACIAXAAiACwAXAAiAFwAIgAsAFwAIgBcACIALABcACIAXAAiACwAXAAiAFwAIgAsAFwAIgBcACIALABcACIAXAAiADsAXABuAFwAIgBGAGUAcgB0AFAAcgBvACAATQBhAG4AdQBmAGEAYwB0AHUAcgBpAG4AZwAgAFAAdAB5AC4AIABMAHQAZAAuAFwAIgAsAFwAIgAoAFMAUwBQACkAIABTAGkAbgBnAGwAZQAgAFMAdQBwAGUAcgAgAEYAZQByAHQAaQBsAGkAcwBlAHI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WgBpAG4AYwBTAHQAYQByAFwAIgAsAFwAIgBrAGcAXAAiACwAMQAsAFwAIgBcACIALABcACIAXAAiACwAXAAiAFwAIgAsADEAMAAsADIAMQAuADkALAAwACwAMgAsAFwAIgBNAG8AbgBvAGEAbQBtAG8AbgBpAHUAbQAgAHAAaABvAHMAcABoAGEAdABlACAAKABNAEEAUAApAFwAIgAsADEALABcACIAWgBpAG4AYwBcACIALAAwAC4AMAAxACwAXAAiAFwAIgAsAFwAIgBcACIALABcACIAXAAiACwAXAAiAFwAIgAsAFwAIgBcACIALABcACIAXAAiACwAXAAiAFwAIgAsAFwAIgBcACIALABcACIAXAAiACwAXAAiAFwAIgAsAFwAIgBcACIALABcACIAXAAiACwAXAAiAFwAIgAsAFwAIgBcACIALABcACIAXAAiACwAXAAiAFwAIgA7AFwAbgBcACIAQgBhAGkAbABlAHkAcwAgACgAUwBpAG0AcABsAG8AdAApACAAWwBsAGkAcwB0AGUAZAAgAGEAcwAgAEkAbQBwAGEAYwB0AF0AXAAiACwAXAAiAEEAcABlAHgAIABHAGEASQBYAGUAIABMAG8AdwAgAFAAIAAyADEALQAxAC0ANgBcACIALABcACIAawBnAFwAIgAsADEALABcACIAXAAiACwAXAAiAFwAIgAsAFwAIgBcACIALAAyADEALAAwAC4AOAA2ACwANQAuADgALAA0AC4AMgAsAFwAIgBOAGkAdAByAG8AZwBlAG4AIAAtACAARwBlAG4AZQByAGkAYwBcACIALAAwAC4AMgAxACwAXAAiAFAAbwB0AGEAcwBzAGkAdQBtACAALQAgAEcAZQBuAGUAcgBpAGMAXAAiACwAMAAuADAANQA4ACwAXAAiAFMAdQBsAGYAdQByACAALQAgAEcAZQBuAGUAcgBpAGMAXAAiACwAMAAuADAANAAyACwAXAAiAFAAaABvAHMAcABoAG8AcgB1AHMAIAAtACAARwBlAG4AZQByAGkAYwBcACIALAAwAC4AMAAwADgANgAsAFwAIgBcACIALABcACIAXAAiACwAXAAiAFwAIgAsAFwAIgBcACIALABcACIAXAAiACwAXAAiAFwAIgAsAFwAIgBcACIALABcACIAXAAiACwAXAAiAFwAIgAsAFwAIgBcACIALABcACIAXAAiACwAXAAiAFwAIgA7AFwAbgBcACIASQBuAGMAaQB0AGUAYwAgAFAAaQB2AG8AdAAgAEYAZQByAHQAaQBsAGkAcwBlAHIAcwBcACIALABcACIAUwB1AFAAZQByAGYAZQBjAHQ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WwBsAGkAcwB0AGUAZAAgAGEAcwAgAFMAdQBtAG0AaQB0AF0AXAAiACwAXAAiAEIAaQBnACAATgBcACIALABcACIAawBnAFwAIgAsADEALABcACIAXAAiACwAXAAiAFwAIgAsAFwAIgBcACIALAA4ADIALgAzADUALABcACIAXAAiACwAXAAiAFwAIgAsAFwAIgBcACIALABcACIAQQBtAG0AbwBuAGk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FAG4AdABlAGMAIABVAHIAZQBhAFwAIgAsAFwAIgBrAGcAXAAiACwAMQAsAFwAIgBZAGUAcwBcACIALABcACIAXAAiACwAXAAiAFwAIgAsADQANgAsAFwAIgBcACIALABcACIAXAAiACwAXAAiAFwAIgAsAFwAIgBVAHIAZ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AoAG8AcgAgAFIAYQB2AGUAbgBzAGQAbwB3AG4AIAAtACAAcwBlAGUAIABuAG8AdABlACkAXAAiACwAXAAiAEYAbABlAHgAaQAtAE4AIABOAEkAIABvAG4AbAB5AFwAIgAsAFwAIgBrAGcAXAAiACwAMQAsAFwAIgBZAGUAcwBcACIALABcACIAXAAiACwAXAAiAFwAIgAsADQANQAuADUANAAsAFwAIgBcACIALABcACIAXAAiACwAXAAiAFwAIgAsAFwAIgBVAHIAZQBhAFwAIgAsADAALgA5ADkALABcACIAVQByAGUAYQBzAGUALwBuAGkAdAByAGkAZgBpAGMAYQB0AGkAbwBuACAAaQBuAGgAaQBiAGkAdABvAHIAXAAiACwAMAAuADAAMQAsAFwAIgBcACIALABcACIAXAAiACwAXAAiAFwAIgAsAFwAIgBcACIALABcACIAXAAiACwAXAAiAFwAIgAsAFwAIgBcACIALABcACIAXAAiACwAXAAiAFwAIgAsAFwAIgBcACIALABcACIAXAAiACwAXAAiAFwAIgAsAFwAIgBcACIALABcACIAXAAiACwAXAAiAFwAIgAsAFwAIgBcACIAOwBcAG4AXAAiAE4AdQB0AHIAaQAtAFQAZQBjAGgAIABTAG8AbAB1AHQAaQBvAG4AcwAgACgATgBUAFMAKQBcACIALABcACIATQB1AHIAaQBhAHQAZQAgAE8AZgAgAFAAbwB0AGEAcwBoACAATQBPAFA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OAHUAdAB1AHIAZgBcACIALABcACIATQBBAFAAIABOAFUAVABVAFIARg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RAHUAaQBjAGsALQBOAFwAIgAsAFwAIgBrAGcAXAAiACwAMQAsAFwAIgBcACIALABcACIAXAAiACwAXAAiAFwAIgAsADIANgAsAFwAIgBcACIALABcACIAXAAiACwAMQAzACwAXAAiAFMAdQBsAHAAaABhAHQAZQAgAG8AZgAgAGEAbQBtAG8AbgBpAGEAIAAoAFMATwBBACkAXAAiACwAMAAuADUANAAxADYANgA3ACwAXAAiAEEAbQBtAG8AbgBpAHUAbQAgAG4AaQB0AHIAYQB0AGUAIAAoAEEATgApAFwAIgAsADAALgA0ADMAMwA5ADcANg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QBBAFMAXAAiACwAXAAiAEwAXAAiACwAMQAuADIAMwA1ACwAXAAiAFwAIgAsAFwAIgBcACIALABcACIAXAAiACwAMgA2AC4ANgAsAFwAIgBcACIALABcACIAXAAiACwANgAuADcALABcACIAVQByAGUAYQBcACIALAAwAC4ANAA1ADAAOAAxADUALABcACIAUwB1AGwAcABoAGEAdABlACAAbwBmACAAYQBtAG0AbwBuAGkAYQAgACgAUwBPAEEAKQBcACIALAAwAC4AMgA3ADkAMQA2ADc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QAcgBpAGEAegBvAG4AZQAgAFUAcgBlAGEAXAAiACwAXAAiAEwAXAAiACwAMQAuADIAOAAsAFwAIgBcACIALABcACIAXAAiACwAXAAiAFwAIgAsADAALABcACIAXAAiACwAXAAiAFwAIgAsAFwAIgBcACIALABcACIAVQByAGUAYQBcACIALAAwAC4ANgA1ADIAMQA3ADQALABcACIAXAAiACwAXAAiAFwAIgAsAFwAIgBcACIALABcACIAXAAiACwAXAAiAFwAIgAsAFwAIgBcACIALABcACIAXAAiACwAXAAiAFwAIgAsAFwAIgBcACIALABcACIAXAAiACwAXAAiAFwAIgAsAFwAIgBcACIALABcACIAXAAiACwAXAAiAFwAIgAsAFwAIgBcACIALABcACIAXAAiACwAXAAiAFwAIgAsAFwAIgBcACIAOwBcAG4AXAAiAE0AYQByAG4AYwBvACAAWwBsAGkAcwB0AGUAZAAgAGEAcwAgAFMATABUAEUAQwBdAFwAIgAsAFwAIgBBAG0AbQBvACAAMwA2AE4AXAAiACwAXAAiAGsAZwBcACIALAAxACwAXAAiAFwAIgAsAFwAIgBcACIALABcACIAXAAiACwAMwA2ACwAXAAiAFwAIgAsAFwAIgBcACIALAA5AC4ANgAsAFwAIgBOAGkAdAByAG8AZwBlAG4AIAAtACAARwBlAG4AZQByAGkAYwBcACIALAAwAC4AMwA2ACwAXAAiAFMAdQBsAGYAdQByACAALQAgAEcAZQBuAGUAcgBpAGMAXAAiACwAMAAuADAAOQA2ACwAXAAiAFwAIgAsAFwAIgBcACIALABcACIAXAAiACwAXAAiAFwAIgAsAFwAIgBcACIALABcACIAXAAiACwAXAAiAFwAIgAsAFwAIgBcACIALABcACIAXAAiACwAXAAiAFwAIgAsAFwAIgBcACIALABcACIAXAAiACwAXAAiAFwAIgAsAFwAIgBcACIALABcACIAXAAiACwAXAAiAFwAIgA7AFwAbgBcACIAUgBpAHMAcwBvAC0AQwBoAGUAbQBpAGMAYQBsAFwAIgAsAFwAIgBSAGkAcwBzAG8AIABMAGkAcQB1AGkAZAAgAE4AUABLACAAKAAyADAAMAAtADIAMAAwAC0AMgAwADAAKQBcACIALABcACIATABcACIALAAxAC4AMwAsAFwAIgBcACIALABcACIAXAAiACwAXAAiAFwAIgAsADIAMAAsADgALgA3ADMALAAxADYALgA2ACwAXAAiAFwAIgAsAFwAIgBOAGkAdAByAG8AZwBlAG4AIAAtACAARwBlAG4AZQByAGkAYwBcACIALAAwAC4AMgAsAFwAIgBQAGgAbwBzAHAAaABvAHIAdQBzACAALQAgAEcAZQBuAGUAcgBpAGMAXAAiACwAMAAuADAAOAA3ADIAOAAsAFwAIgBQAG8AdABhAHMAcwBpAHUAbQAgAC0AIABHAGUAbgBlAHIAaQBjAFwAIgAsADAALgAxADYANgAwADIALABcACIAXAAiACwAXAAiAFwAIgAsAFwAIgBcACIALABcACIAXAAiACwAXAAiAFwAIgAsAFwAIgBcACIALABcACIAXAAiACwAXAAiAFwAIgAsAFwAIgBcACIALABcACIAXAAiACwAXAAiAFwAIgAsAFwAIgBcACIALABcACIAXAAiACwAXAAiAFwAIgA7AFwAbgBcACIAVAB1AHIAZgAgAEcAcgBvAHUAcAAgAEEAdQBzAHQAcgBhAGwAaQBhACAAKABTAGkAbQBwAGwAbwB0ACkAXAAiACwAXAAiAFMAdQBwAGUAcgAgAEMAYQBsACAAMQA1AC0AMAAtADEAMgBcACIALABcACIAawBnAFwAIgAsADEALABcACIAXAAiACwAXAAiAFwAIgAsAFwAIgBcACIALAAxADUALABcACIAXAAiACwAOQAuADkANgAsAFwAIgBcACIALABcACIATgBpAHQAcgBvAGcAZQBuACAALQAgAE4AaQB0AHIAYQB0AGUAXAAiACwAMAAuADAAOAA0ADcAMwA3ACwAXAAiAFAAbwB0AGEAcwBzAGkAdQBtACAALQAgAEcAZQBuAGUAcgBpAGMAXAAiACwAMAAuADAAOQA5ADYAMQAyACwAXAAiAEMAYQBsAGMAaQB1AG0AIABuAGkAdAByAGEAdABlAFwAIgAsADAALgA0ADIAMQAwADUAMwAsAFwAIgBNAGEAZwBuAGUAcwBpAHUAbQBcACIALAAwAC4AMAAwADUALABcACIAQgBvAHIAbwBuAFwAIgAsADAALgAwADAAMAAyACwAXAAiAFwAIgAsAFwAIgBcACIALABcACIAXAAiACwAXAAiAFwAIgAsAFwAIgBcACIALABcACIAXAAiACwAXAAiAFwAIgAsAFwAIgBcACIALABcACIAXAAiACwAXAAiAFwAIgA7AFwAbgBcACIASQBuAGMAaQB0AGUAYwAgAFAAaQB2AG8AdAAgAEYAZQByAHQAaQBsAGkAcwBlAHIAcwBcACIALABcACIAQwBLACAAOAA4AFwAIgAsAFwAIgBrAGcAXAAiACwAMQAsAFwAIgBcACIALABcACIAXAAiACwAXAAiAFwAIgAsADEANQAuADEALAA0AC4ANAAsADEAMQAuADUALAAxADMALgA2ACwAXAAiAE4AaQB0AHIAbwBnAGUAbgAgAC0AIABHAGUAbgBlAHIAaQBjAFwAIgAsADAALgAxADUAMQAsAFwAIgBQAGgAbwBzAHAAaABvAHIAdQBzACAALQAgAEcAZQBuAGUAcgBpAGMAXAAiACwAMAAuADAANAA0ACwAXAAiAFAAbwB0AGEAcwBzAGkAdQBtACAALQAgAEcAZQBuAGUAcgBpAGMAXAAiACwAMAAuADEAMQA1ACwAXAAiAFMAdQBsAGYAdQByACAALQAgAEcAZQBuAGUAcgBpAGMAXAAiACwAMAAuADEAMwA2ACwAXAAiAFwAIgAsAFwAIgBcACIALABcACIAXAAiACwAXAAiAFwAIgAsAFwAIgBcACIALABcACIAXAAiACwAXAAiAFwAIgAsAFwAIgBcACIALABcACIAXAAiACwAXAAiAFwAIgAsAFwAIgBcACIALABcACIAXAAiADsAXABuAFwAIgBJAG4AYwBpAHQAZQBjACAAUABpAHYAbwB0ACAARgBlAHIAdABpAGwAaQBzAGUAcgBzAFwAIgAsAFwAIgBDAHIAbwBwAEwAaQBmAHQAIAAxADUAXAAiACwAXAAiAGsAZwBcACIALAAxACwAXAAiAFwAIgAsAFwAIgBcACIALABcACIAXAAiACwAMQA0AC4ANgAsADEAMgAuADEALABcACIAXAAiACwAMQAxAC4ANgAsAFwAIgBOAGkAdAByAG8AZwBlAG4AIAAtACAARwBlAG4AZQByAGkAYwBcACIALAAwAC4AMQA0ADYALABcACIAUABoAG8AcwBwAGgAbwByAHUAcwAgAC0AIABHAGUAbgBlAHIAaQBjAFwAIgAsADAALgAxADIAMQAsAFwAIgBTAHUAbABmAHUAcgAgAC0AIABHAGUAbgBlAHIAaQBjAFwAIgAsADAALgAxADEAN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OAFAASwBTACAAMQA5AC0AMQAzAC0AMAAtADkAXAAiACwAXAAiAGsAZwBcACIALAAxACwAXAAiAFwAIgAsAFwAIgBcACIALABcACIAXAAiACwAMQA5ACwAMQAzACwAMAAsADkALABcACIATgBpAHQAcgBvAGcAZQBuACAALQAgAEcAZQBuAGUAcgBpAGMAXAAiACwAMAAuADEAOQAsAFwAIgBQAGgAbwBzAHAAaABvAHIAdQBzACAALQAgAEcAZQBuAGUAcgBpAGMAXAAiACwAMAAuADEAMwAsAFwAIgBTAHUAbABmAHUAcgAgAC0AIABHAGUAbgBlAHIAaQBjAFwAIgAsADAALgAwADk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UABhAHMAdAB1AHIAZQBCAG8AbwBzAHQAYQBcACIALABcACIAawBnAFwAIgAsADEALABcACIAXAAiACwAXAAiAFwAIgAsAFwAIgBcACIALAAyADMALgA4ACwAMwAuADcALAAxADMALAA0AC4AMQAsAFwAIgBOAGkAdAByAG8AZwBlAG4AIAAtACAARwBlAG4AZQByAGkAYwBcACIALAAwAC4AMgAzADgALABcACIAUABoAG8AcwBwAGgAbwByAHUAcwAgAC0AIABHAGUAbgBlAHIAaQBjAFwAIgAsADAALgAwADMANwAsAFwAIgBQAG8AdABhAHMAcwBpAHUAbQAgAC0AIABHAGUAbgBlAHIAaQBjAFwAIgAsADAALgAxADMALABcACIAUwB1AGwAZgB1AHIAIAAtACAARwBlAG4AZQByAGkAYwBcACIALAAwAC4AMAA0ADEALABcACIAXAAiACwAXAAiAFwAIgAsAFwAIgBcACIALABcACIAXAAiACwAXAAiAFwAIgAsAFwAIgBcACIALABcACIAXAAiACwAXAAiAFwAIgAsAFwAIgBcACIALABcACIAXAAiACwAXAAiAFwAIgAsAFwAIgBcACIAOwBcAG4AXAAiAEkAbgBjAGkAdABlAGMAIABQAGkAdgBvAHQAIABGAGUAcgB0AGkAbABpAHMAZQByAHMAXAAiACwAXAAiAEcAcgBlAGUAbgB0AG8AcAAgAEsAXAAiACwAXAAiAGsAZwBcACIALAAxACwAXAAiAFwAIgAsAFwAIgBcACIALABcACIAXAAiACwAMwAyAC4AOAAsAFwAIgBcACIALAAxADEALAAyAC4AOQAsAFwAIgBVAHIAZQBhAFwAIgAsADAALgA2ADYAMAA4ADcALABcACIATgBpAHQAcgBvAGcAZQBuACAALQAgAEEAbQBtAG8AbgBpAGEAYwBhAGwAXAAiACwAMAAuADAAMgA0ACwAXAAiAFAAbwB0AGEAcwBzAGkAdQBtACAALQAgAEcAZQBuAGUAcgBpAGMAXAAiACwAMAAuADEAMQAsAFwAIgBTAHUAbABmAHUAcgAgAC0AIABHAGUAbgBlAHIAaQBjAFwAIgAsADAALgAwADIAOQAsAFwAIgBcACIALABcACIAXAAiACwAXAAiAFwAIgAsAFwAIgBcACIALABcACIAXAAiACwAXAAiAFwAIgAsAFwAIgBcACIALABcACIAXAAiACwAXAAiAFwAIgAsAFwAIgBcACIALABcACIAXAAiACwAXAAiAFwAIgA7AFwAbgBcACIASQBuAGMAaQB0AGUAYwAgAFAAaQB2AG8AdAAgAEYAZQByAHQAaQBsAGkAcwBlAHIAcwBcACIALABcACIASABhAHkAQgBvAG8AcwB0AGEAXAAiACwAXAAiAGsAZwBcACIALAAxACwAXAAiAFwAIgAsAFwAIgBcACIALABcACIAXAAiACwAMQAxAC4ANwAsADQALgA3ACwAMgAzAC4AOQAsADQALgA2ACwAXAAiAE4AaQB0AHIAbwBnAGUAbgAgAC0AIABHAGUAbgBlAHIAaQBjAFwAIgAsADAALgAxADEANwAsAFwAIgBQAGgAbwBzAHAAaABvAHIAdQBzACAALQAgAEcAZQBuAGUAcgBpAGMAXAAiACwAMAAuADAANAA3ACwAXAAiAFAAbwB0AGEAcwBzAGkAdQBtACAALQAgAEcAZQBuAGUAcgBpAGMAXAAiACwAMAAuADIAMwA5ACwAXAAiAFMAdQBsAGYAdQByACAALQAgAEcAZQBuAGUAcgBpAGMAXAAiACwAMAAuADAANAA2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QAXABuAD0ATABBAE0AQgBEAEEAKABcAG4AIABNAEEASwBFAEEAUgBSAEEAWQAoADMAMAAsACAAMwAxACwAXABuACAATABBAE0AQgBEAEEAKAByACwAYwAsAFwAbgAgACAASQBOAEQARQBYACgAewBcAG4AXAAiAEkAbQBwAGEAYwB0ACAARgBlAHIAdABpAGwAaQBzAGUAcgBzAFwAIgAsAFwAIgBJAG0AcABhAGMAdAAgAFMAdQBwAGUAcgAgAFAAbwB0AGEAcwBoACAAMQBcAHUAMAAwADIANgAxAFwAIgAsAFwAIgBrAGcAXAAiACwAMQAsAFwAIgBcACIALABcACIAXAAiACwAXAAiAFwAIgAsAFwAIgBcACIALAA0AC4ANAAsADIANQAsADUALgA1ACwAXAAiAFMAaQBuAGcAbABlACAAcwB1AHAAZQByAHAAaABvAHMAcABoAGEAdABlACAAKABTAFMAUAApAFwAIgAsADAALgA1ACwAXAAiAE0AdQByAGkAYQB0AGUAIABvAGYAIABwAG8AdABhAHMAaAAgACgATQBPAFAAKQBcACIALAAwAC4ANQ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gBcAHUAMAAwADIANgAxAFwAIgAsAFwAIgBrAGcAXAAiACwAMQAsAFwAIgBcACIALABcACIAXAAiACwAXAAiAFwAIgAsAFwAIgBcACIALAA1AC4AOAA0ACwAMQA2AC4AOAAsADcALgAyADkALABcACIAUwBpAG4AZwBsAGUAIABzAHUAcABlAHIAcABoAG8AcwBwAGgAYQB0AGUAIAAoAFMAUwBQACkAXAAiACwAMAAuADYANgAzADEANQA4ACwAXAAiAE0AdQByAGkAYQB0AGUAIABvAGYAIABwAG8AdABhAHMAaAAgACgATQBPAFAAKQBcACIALAAwAC4AMwAzADY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MAXAB1ADAAMAAyADYAMQBcACIALABcACIAawBnAFwAIgAsADEALABcACIAXAAiACwAXAAiAFwAIgAsAFwAIgBcACIALABcACIAXAAiACwANgAuADUAOAAsADEAMgAuADUALAA4AC4AMgAyACwAXAAiAFMAaQBuAGcAbABlACAAcwB1AHAAZQByAHAAaABvAHMAcABoAGEAdABlACAAKABTAFMAUAApAFwAIgAsADAALgA3ADQANwAzADYAOAAsAFwAIgBNAHUAcgBpAGEAdABlACAAbwBmACAAcABvAHQAYQBzAGgAIAAoAE0ATwBQACkAXAAiACwAMAAuADIANQ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ABcAHUAMAAwADIANgAxAFwAIgAsAFwAIgBrAGcAXAAiACwAMQAsAFwAIgBcACIALABcACIAXAAiACwAXAAiAFwAIgAsAFwAIgBcACIALAA3AC4AMAA0ACwAMQAwACwAOAAuADgALABcACIAUwBpAG4AZwBsAGUAIABzAHUAcABlAHIAcABoAG8AcwBwAGgAYQB0AGUAIAAoAFMAUwBQACkAXAAiACwAMAAuADgALABcACIATQB1AHIAaQBhAHQAZQAgAG8AZgAgAHAAbwB0AGEAcwBoACAAKABNAE8AUAApAFwAIgAsADAALgAy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1AFwAdQAwADAAMgA2ADEAXAAiACwAXAAiAGsAZwBcACIALAAxACwAXAAiAFwAIgAsAFwAIgBcACIALABcACIAXAAiACwAXAAiAFwAIgAsADcALgAzADIALAA4AC4ANAAsADkALgAxADUALABcACIAUwBpAG4AZwBsAGUAIABzAHUAcABlAHIAcABoAG8AcwBwAGgAYQB0AGUAIAAoAFMAUwBQACkAXAAiACwAMAAuADgAMwAxADUANwA5ACwAXAAiAE0AdQByAGkAYQB0AGUAIABvAGYAIABwAG8AdABhAHMAaAAgACgATQBPAFAAKQBcACIALAAwAC4AMQA2ADgALABcACIAXAAiACwAXAAiAFwAIgAsAFwAIgBcACIALABcACIAXAAiACwAXAAiAFwAIgAsAFwAIgBcACI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XAAiACwAXAAiAGsAZwBcACIALAAxACwAXAAiAFwAIgAsAFwAIgBcACIALABcACIAXAAiACwAMgAzAC4AOQAsAFwAIgBcACIALABcACIAXAAiACwAMQAwAC4AOAAsAFwAIgBOAGkAdAByAG8AZwBlAG4AIAAtACAATgBpAHQAcgBhAHQAZQBcACIALAAwAC4AMAA3ADQALABcACIATgBpAHQAcgBvAGcAZQBuACAALQAgAEEAbQBtAG8AbgBpAGEAYwBhAGwAXAAiACwAMAAuADEANgA1ACwAXAAiAFMAdQBsAGYAdQByACAALQAgAEcAZQBuAGUAcgBpAGMAXAAiACwAMAAuADEAMAA4ACwAXAAiAEMAYQBsAGMAaQB1AG0AXAAiACwAMAAuADAANAA0ACwAXAAiAFwAIgAsAFwAIgBcACI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XAAiACwAXAAiAGsAZwBcACIALAAxACwAXAAiAFwAIgAsAFwAIgBcACIALABcACIAXAAiACwAMQA3AC4AOQAsAFwAIgBcACIALAAxADUALAAzAC4ANgAsAFwAIgBOAGkAdAByAG8AZwBlAG4AIAAtACAATgBpAHQAcgBhAHQAZQBcACIALAAwAC4AMAA1ADUALABcACIATgBpAHQAcgBvAGcAZQBuACAALQAgAEEAbQBtAG8AbgBpAGEAYwBhAGwAXAAiACwAMAAuADEAMgA0ACwAXAAiAFAAbwB0AGEAcwBzAGkAdQBtACAALQAgAEcAZQBuAGUAcgBpAGMAXAAiACwAMAAuADEANQAsAFwAIgBTAHUAbABmAHUAcgAgAC0AIABHAGUAbgBlAHIAaQBjAFwAIgAsADAALgAwADMANg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AgACgAUwApAFwAIgAsAFwAIgBrAGcAXAAiACwAMQAsAFwAIgBcACIALABcACIAXAAiACwAXAAiAFwAIgAsADEANgAuADkALABcACIAXAAiACwAMQA0AC4ANAAsADgALgA3ACwAXAAiAE4AaQB0AHIAbwBnAGUAbgAgAC0AIABOAGkAdAByAGEAdABlAFwAIgAsADAALgAwADUAMgAsAFwAIgBOAGkAdAByAG8AZwBlAG4AIAAtACAAQQBtAG0AbwBuAGkAYQBjAGEAbABcACIALAAwAC4AMQAxADcALABcACIAUABvAHQAYQBzAHMAaQB1AG0AIAAtACAARwBlAG4AZQByAGkAYwBcACIALAAwAC4AMQA0ADQALABcACIAUwB1AGwAZgB1AHIAIAAtACAARwBlAG4AZQByAGkAYwBcACIALAAwAC4AMAA4ADc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xADMAMABcACIALABcACIAawBnAFwAIgAsADEALABcACIAXAAiACwAXAAiAFwAIgAsAFwAIgBcACIALAAxADgALgA4ACwAMQAsADEAMgAuADUALAAzAC4ANwAsAFwAIgBOAGkAdAByAG8AZwBlAG4AIAAtACAATgBpAHQAcgBhAHQAZQBcACIALAAwAC4AMAA1ADgALABcACIATgBpAHQAcgBvAGcAZQBuACAALQAgAEEAbQBtAG8AbgBpAGEAYwBhAGwAXAAiACwAMAAuADEAMwAsAFwAIgBQAGgAbwBzAHAAaABvAHIAdQBzACAALQAgAEcAZQBuAGUAcgBpAGMAXAAiACwAMAAuADAAMQAsAFwAIgBQAG8AdABhAHMAcwBpAHUAbQAgAC0AIABHAGUAbgBlAHIAaQBjAFwAIgAsADAALgAxADIANQAsAFwAIgBTAHUAbABmAHUAcgAgAC0AIABHAGUAbgBlAHIAaQBjAFwAIgAsADAALgAwADMANw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xADUAMABcACIALABcACIAawBnAFwAIgAsADEALABcACIAXAAiACwAXAAiAFwAIgAsAFwAIgBcACIALAAxADgALgA2ACwAMwAsADEAMgAuADUALAAxAC4ANAAsAFwAIgBOAGkAdAByAG8AZwBlAG4AIAAtACAATgBpAHQAcgBhAHQAZQBcACIALAAwAC4AMAA1ADgALABcACIATgBpAHQAcgBvAGcAZQBuACAALQAgAEEAbQBtAG8AbgBpAGEAYwBhAGwAXAAiACwAMAAuADEAMgA4ACwAXAAiAFAAaABvAHMAcABoAG8AcgB1AHMAIAAtACAARwBlAG4AZQByAGkAYwBcACIALAAwAC4AMAAzACwAXAAiAFAAbwB0AGEAcwBzAGkAdQBtACAALQAgAEcAZQBuAGUAcgBpAGMAXAAiACwAMAAuADEAMgA1ACwAXAAiAFMAdQBsAGYAdQByACAALQAgAEcAZQBuAGUAcgBpAGMAXAAiACwAMAAuADAAMQA0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EUAeAB0AHIAYQAgAEsAXAAiACwAXAAiAGsAZwBcACIALAAxACwAXAAiAFwAIgAsAFwAIgBcACIALABcACIAXAAiACwAMQA1AC4AOAAsAFwAIgBcACIALAAxADkALAAzAC4AMgAsAFwAIgBOAGkAdAByAG8AZwBlAG4AIAAtACAATgBpAHQAcgBhAHQAZQBcACIALAAwAC4AMAA0ADkALABcACIATgBpAHQAcgBvAGcAZQBuACAALQAgAEEAbQBtAG8AbgBpAGEAYwBhAGwAXAAiACwAMAAuADEAMAA5ACwAXAAiAFAAbwB0AGEAcwBzAGkAdQBtACAALQAgAEcAZQBuAGUAcgBpAGMAXAAiACwAMAAuADEAOQAsAFwAIgBTAHUAbABmAHUAcgAgAC0AIABHAGUAbgBlAHIAaQBjAFwAIgAsADAALgAwADMAMgAsAFwAIgBDAGEAbABjAGkAdQBtAFwAIgAsADAALgAwADMAOQAsAFwAIgBcACIALABcACIAXAAiACwAXAAiAFwAIgAsAFwAIgBcACIALABcACIAXAAiACwAXAAiAFwAIgAsAFwAIgBcACIALABcACIAXAAiACwAXAAiAFwAIgAsAFwAIgBcACIAOwBcAG4AXAAiAEkAbgBjAGkAdABlAGMAIABQAGkAdgBvAHQAIABGAGUAcgB0AGkAbABpAHMAZQByAHMAXAAiACwAXAAiAEQAYQBpAHIAeQAgAFAAcgBvAFwAIgAsAFwAIgBrAGcAXAAiACwAMQAsAFwAIgBcACIALABcACIAXAAiACwAXAAiAFwAIgAsADIANQAuADkALAAzAC4AOQAsADEANQAuADkALAAwAC4AMwAsAFwAIgBOAGkAdAByAG8AZwBlAG4AIAAtACAARwBlAG4AZQByAGkAYwBcACIALAAwAC4AMgA1ADkALABcACIAUABoAG8AcwBwAGgAbwByAHUAcwAgAC0AIABHAGUAbgBlAHIAaQBjAFwAIgAsADAALgAwADMAOQAsAFwAIgBQAG8AdABhAHMAcwBpAHUAbQAgAC0AIABHAGUAbgBlAHIAaQBjAFwAIgAsADAALgAxADUAOQAsAFwAIgBTAHUAbABmAHUAcgAgAC0AIABHAGUAbgBlAHIAaQBjAFwAIgAsADAALgAwADAAMwAsAFwAIgBcACIALABcACIAXAAiACwAXAAiAFwAIgAsAFwAIgBcACIALABcACIAXAAiACwAXAAiAFwAIgAsAFwAIgBcACIALABcACIAXAAiACwAXAAiAFwAIgAsAFwAIgBcACIALABcACIAXAAiACwAXAAiAFwAIgA7AFwAbgBcACIAWQBhAHIAYQAgAEEAdQBzAHQAcgBhAGwAaQBhAFwAIgAsAFwAIgBZAGEAcgBhAE0AaQBsAGEAIABBAEMAVABZAFYAQQAgAFMAXAAiACwAXAAiAGsAZwBcACIALAAxACwAXAAiAFwAIgAsAFwAIgBcACIALABcACIAXAAiACwAMQA1AC4ANgAsADYALgAzADcALAAxADIALgA0ADUALAAyAC4ANgAsAFwAIgBOAGkAdAByAG8AZwBlAG4AIAAtACAATgBpAHQAcgBhAHQAZQBcACIALAAwAC4AMAA1ADgALABcACIATgBpAHQAcgBvAGcAZQBuACAALQAgAEEAbQBtAG8AbgBpAGEAYwBhAGwAXAAiACwAMAAuADAAOQA4ACwAXAAiAFAAaABvAHMAcABoAG8AcgB1AHMAIAAtACAARwBlAG4AZQByAGkAYwBcACIALAAwAC4AMAA2ADMANwAxADQALABcACIAUABvAHQAYQBzAHMAaQB1AG0AIAAtACAARwBlAG4AZQByAGkAYwBcACIALAAwAC4AMQAyADQANQAxADUALABcACIAUwB1AGwAZgB1AHIAIAAtACAARwBlAG4AZQByAGkAYwBcACIALAAwAC4AMAAyADYALABcACIAXAAiACwAXAAiAFwAIgAsAFwAIgBcACIALABcACIAXAAiACwAXAAiAFwAIgAsAFwAIgBcACIALABcACIAXAAiACwAXAAiAFwAIgAsAFwAIgBcACIALABcACIAXAAiADsAXABuAFwAIgBDAFMAQgBQAFwAIgAsAFwAIgBBAGcAZgBsAG8AdwAgAEUAeAB0AHIAYQBcACIALABcACIAawBnAFwAIgAsADEALABcACIAXAAiACwAXAAiAFwAIgAsAFwAIgBcACIALAAxADEALgAxADUALAAxADcALgA1ADIALABcACIAXAAiACwAMwAuADYALABcACIATQBvAG4AbwBhAG0AbQBvAG4AaQB1AG0AIABwAGgAbwBzAHAAaABhAHQAZQAgACgATQBBAFAAKQBcACIALAAwAC4AOAAsAFwAIgBTAHUAbABwAGgAYQB0AGUAIABvAGYAIABhAG0AbQBvAG4AaQBhACAAKABTAE8AQQApAFwAIgAsADAALgAxADUALABcACIAQwBvAHAAcABlAHIAXAAiACwAXAAiAE4AbwAgAGQAYQB0AGEAXAAiACwAXAAiAE0AbwBsAHkAYgBkAGUAbgB1AG0AXAAiACwAXAAiAE4AbwAgAGQAYQB0AGEAXAAiACwAXAAiAFoAaQBuAGMAXAAiACwAXAAiAE4AbwAgAGQAYQB0AGEAXAAiACwAXAAiAFwAIgAsAFwAIgBcACIALABcACIAXAAiACwAXAAiAFwAIgAsAFwAIgBcACIALABcACIAXAAiACwAXAAiAFwAIgAsAFwAIgBcACIALABcACIAXAAiACwAXAAiAFwAIgA7AFwAbgBcACIAQwBTAEIAUABcACIALABcACIAUwB1AHAAZQByACAAXAB1ADAAMAAyADYAIABQAG8AdABhAHMAaAAgADMAOgAxAFwAIgAsAFwAIgBrAGcAXAAiACwAMQAsAFwAIgBcACIALABcACIAXAAiACwAXAAiAFwAIgAsAFwAIgBcACIALAA1AC4ANQAsADEANQAsADYALgA4ADgALABcACIAUwBpAG4AZwBsAGUAIABzAHUAcABlAHIAcABoAG8AcwBwAGgAYQB0AGUAIAAoAFMAUwBQACkAXAAiACwAMAAuADYAMgA1ACwAXAAiAE0AdQByAGkAYQB0AGUAIABvAGYAIABwAG8AdABhAHMAaAAgACgATQBPAFAAKQBcACIALAAwAC4AMwAsAFwAIgBcACIALABcACIAXAAiACwAXAAiAFwAIgAsAFwAIgBcACIALABcACIAXAAiACwAXAAiAFwAIgAsAFwAIgBcACIALABcACIAXAAiACwAXAAiAFwAIgAsAFwAIgBcACIALABcACIAXAAiACwAXAAiAFwAIgAsAFwAIgBcACIALABcACIAXAAiACwAXAAiAFwAIgAsAFwAIgBcACIAOwBcAG4AXAAiAFkAYQByAGEAXAAiACwAXAAiAFkAYQByAGEAQgBlAGwAYQAgAEMAQQBOAC0AMgA3AFwAIgAsAFwAIgBrAGcAXAAiACwAMQAsAFwAIgBcACIALABcACIAXAAiACwAXAAiAFwAIgAsADIANwAsAFwAIgBcACIALABcACIAXAAiACwAXAAiAFwAIgAsAFwAIgBDAGEAbABjAGkAdQBtACAAYQBtAG0AbwBuAGkAdQBtACAAbgBpAHQAcgBhAHQAZQAgACgAQwBBAE4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GEAbAAtAEcAcgBhAG4AIABBAGYAdABlAHIAZwByAGEAegBlAFwAIgAsAFwAIgBrAGcAXAAiACwAMQAsAFwAIgBcACIALABcACIAXAAiACwAXAAiAFwAIgAsADIAMAAuADYALAAzACwANwAuADUALAAzAC4AOAAsAFwAIgBOAGkAdAByAG8AZwBlAG4AIAAtACAATgBpAHQAcgBhAHQAZQBcACIALAAwAC4AMAA2ADQALABcACIATgBpAHQAcgBvAGcAZQBuACAALQAgAEEAbQBtAG8AbgBpAGEAYwBhAGwAXAAiACwAMAAuADEANAAyACwAXAAiAFAAaABvAHMAcABoAG8AcgB1AHMAIAAtACAARwBlAG4AZQByAGkAYwBcACIALAAwAC4AMAAzACwAXAAiAFAAbwB0AGEAcwBzAGkAdQBtACAALQAgAEcAZQBuAGUAcgBpAGMAXAAiACwAMAAuADAANwA1ACwAXAAiAFMAdQBsAGYAdQByACAALQAgAEcAZQBuAGUAcgBpAGMAXAAiACwAMAAuADAAMwA4ACwAXAAiAEMAYQBsAGMAaQB1AG0AXAAiACwAMAAuADAANAA0ACwAXAAiAFwAIgAsAFwAIgBcACIALABcACIAXAAiACwAXAAiAFwAIgAsAFwAIgBcACIALABcACIAXAAiACwAXAAiAFwAIgAsAFwAIgBcACIAOwBcAG4AXAAiAEkAbgBjAGkAdABlAGMAIABQAGkAdgBvAHQAIABGAGUAcgB0AGkAbABpAHMAZQByAHMAXAAiACwAXAAiAEMAYQBsAC0ARwByAGEAbgAgAFAAcgBvAGQAcgBlAHMAcwBcACIALABcACIAawBnAFwAIgAsADEALABcACIAXAAiACwAXAAiAFwAIgAsAFwAIgBcACIALAAxADcALgA4ACwAMQAsADEANQAsADIALgA1ACwAXAAiAE4AaQB0AHIAbwBnAGUAbgAgAC0AIABOAGkAdAByAGEAdABlAFwAIgAsADAALgAwADUANQAsAFwAIgBOAGkAdAByAG8AZwBlAG4AIAAtACAAQQBtAG0AbwBuAGkAYQBjAGEAbABcACIALAAwAC4AMQAyADMALABcACIAUABoAG8AcwBwAGgAbwByAHUAcwAgAC0AIABHAGUAbgBlAHIAaQBjAFwAIgAsADAALgAwADEALABcACIAUABvAHQAYQBzAHMAaQB1AG0AIAAtACAARwBlAG4AZQByAGkAYwBcACIALAAwAC4AMQA1ACwAXAAiAFMAdQBsAGYAdQByACAALQAgAEcAZQBuAGUAcgBpAGMAXAAiACwAMAAuADAAMgA1ACwAXAAiAEMAYQBsAGMAaQB1AG0AXAAiACwAMAAuADAANAA0ACwAXAAiAFwAIgAsAFwAIgBcACIALABcACIAXAAiACwAXAAiAFwAIgAsAFwAIgBcACIALABcACIAXAAiACwAXAAiAFwAIgAsAFwAIgBcACIAOwBcAG4AXAAiAFcAZQBuAGcAZgB1ACAAQQB1AHMAdAByAGEAbABpAGEAXAAiACwAXAAiAFcAZQBuAGcAZgB1ACAAUAByAGkAbQBlAFoAaQBuAGMAIAAxADAAXAAiACwAXAAiAGsAZwBcACIALAAxACwAXAAiAFwAIgAsAFwAIgBcACIALABcACIAXAAiACwAMQAwACwAMgAyACwAXAAiAFwAIgAsADEALgA1ACwAXAAiAE4AaQB0AHIAbwBnAGUAbgAgAC0AIABHAGUAbgBlAHIAaQBjAFwAIgAsADAALgAxACwAXAAiAFAAaABvAHMAcABoAG8AcgB1AHMAIAAtACAARwBlAG4AZQByAGkAYwBcACIALAAwAC4AMgAyACwAXAAiAFMAdQBsAGYAdQByACAALQAgAEcAZQBuAGUAcgBpAGMAXAAiACwAMAAuADAAMQA1ACwAXAAiAFoAaQBuAGMAXAAiACwAMAAuADAAMQAsAFwAIgBcACIALABcACIAXAAiACwAXAAiAFwAIgAsAFwAIgBcACIALABcACIAXAAiACwAXAAiAFwAIgAsAFwAIgBcACIALABcACIAXAAiACwAXAAiAFwAIgAsAFwAIgBcACIALABcACIAXAAiACwAXAAiAFwAIgA7AFwAbgBcACIAVwBlAG4AZwBmAHUAIABBAHUAcwB0AHIAYQBsAGkAYQBcACIALABcACIAVwBlAG4AZwBmAHUAIABQAGEAcwB0AHUAcgBlACAASwBpAG4AZwBcACIALABcACIAawBnAFwAIgAsADEALABcACIAXAAiACwAXAAiAFwAIgAsAFwAIgBcACIALABcACIAXAAiACwAMQA1AC4ANwAsAFwAIgBcACIALAA0AC4ANgAsAFwAIgBQAGgAbwBzAHAAaABvAHIAdQBzACAALQAgAEcAZQBuAGUAcgBpAGMAXAAiACwAMAAuADEANQA3ACwAXAAiAFMAdQBsAGYAdQByACAALQAgAEcAZQBuAGUAcgBpAGMAXAAiACwAMAAuADAANAA2ACwAXAAiAEMAYQBsAGMAaQB1AG0AXAAiACwAMAAuADEANAAsAFwAIgBcACIALABcACIAXAAiACwAXAAiAFwAIgAsAFwAIgBcACIALABcACIAXAAiACwAXAAiAFwAIgAsAFwAIgBcACIALABcACIAXAAiACwAXAAiAFwAIgAsAFwAIgBcACIALABcACIAXAAiACwAXAAiAFwAIgAsAFwAIgBcACIALABcACIAXAAiADsAXABuAFwAIgBXAGUAbgBnAGYAdQAgAEEAdQBzAHQAcgBhAGwAaQBhAFwAIgAsAFwAIgBXAGUAbgBnAGYAdQAgAFMAdQBTAHQAYQBpAG4AXAAiACwAXAAiAGsAZwBcACIALAAxACwAXAAiAFwAIgAsAFwAIgBcACIALABcACIAXAAiACwAXAAiAFwAIgAsAFwAIgBcACIALABcACIAXAAiACwAOQAwACwAXAAiAFMAdQBsAGYAdQByACAALQAgAEcAZQBuAGUAcgBpAGMAXAAiACwAMAAuADkALABcACIAXAAiACwAXAAiAFwAIg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sAGEAbQBcACIALABcACIAawBnAFwAIgAsADEALABcACIAXAAiACwAXAAiAFwAIgAsAFwAIgBcACIALAAxADkALgA1ACwAMAAuADcALABcACIAXAAiACwAMgAzACwAXAAiAE4AaQB0AHIAbwBnAGUAbgAgAC0AIABHAGUAbgBlAHIAaQBjAFwAIgAsADAALgAxADkANQAsAFwAIgBQAGgAbwBzAHAAaABvAHIAdQBzACAALQAgAEcAZQBuAGUAcgBpAGMAXAAiACwAMAAuADAAMAA3ACwAXAAiAFMAdQBsAGYAdQByACAALQAgAEcAZQBuAGUAcgBpAGMAXAAiACwAMAAuADIAMwAsAFwAIgBcACIALABcACIAXAAiACwAXAAiAFwAIgAsAFwAIgBcACIALABcACIAXAAiACwAXAAiAFwAIgAsAFwAIgBcACIALABcACIAXAAiACwAXAAiAFwAIgAsAFwAIgBcACIALABcACIAXAAiACwAXAAiAFwAIgAsAFwAIgBcACIALABcACIAXAAiADsAXABuAFwAIgBXAGUAbgBnAGYAdQAgAEEAdQBzAHQAcgBhAGwAaQBhAFwAIgAsAFwAIgBXAGUAbgBnAGYAdQAgAFAAcgBpAG0AZQAgAE0AUwBaAFwAIgAsAFwAIgBrAGcAXAAiACwAMQAsAFwAIgBcACIALABcACIAXAAiACwAXAAiAFwAIgAsADEAMAAsADEAOAAsAFwAIgBcACIALAA4ACwAXAAiAE4AaQB0AHIAbwBnAGUAbgAgAC0AIABHAGUAbgBlAHIAaQBjAFwAIgAsADAALgAxACwAXAAiAFAAaABvAHMAcABoAG8AcgB1AHMAIAAtACAARwBlAG4AZQByAGkAYwBcACIALAAwAC4AMQA4ACwAXAAiAFMAdQBsAGYAdQByACAALQAgAEcAZQBuAGUAcgBpAGMAXAAiACwAMAAuADAAOAAsAFwAIgBaAGkAbgBjAFwAIgAsADAALgAwADAANQAsAFwAIgBcACIALABcACIAXAAiACwAXAAiAFwAIgAsAFwAIgBcACIALABcACIAXAAiACwAXAAiAFwAIgAsAFwAIgBcACIALABcACIAXAAiACwAXAAiAFwAIgAsAFwAIgBcACIALABcACIAXAAiACwAXAAiAFwAIgA7AFwAbgBcACIAVwBlAG4AZwBmAHUAIABBAHUAcwB0AHIAYQBsAGkAYQBcACIALABcACIAVwBlAG4AZwBmAHUAIAA5AC0AMgAwAC0AMAAtADEAMAAgAE0AQQBQACAAUwB1AFMAdABhAGkAbg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cACIALABcACIAXAAiACwAXAAiAFwAIgAsAFwAIgBcACIALABcACIAXAAiACwAXAAiAFwAIgAsAFwAIgBcACIALABcACIAXAAiACwAXAAiAFwAIgAsAFwAIgBcACIALABcACIAXAAiACwAXAAiAFwAIgAsAFwAIgBcACIALABcACIAXAAiADsAXABuAFwAIgBXAGUAbgBnAGYAdQAgAEEAdQBzAHQAcgBhAGwAaQBhAFwAIgAsAFwAIgBXAGUAbgBnAGYAdQAgADEANQAtADEANwAtADAALQAxADUAIABEAEEAUAAgAFMAdQBTAHQAYQBpAG4AXAAiACwAXAAiAGsAZwBcACIALAAxACwAXAAiAFwAIgAsAFwAIgBcACIALABcACIAXAAiACwAMQA1AC4AMgAsADEANgAuADkALAAwACwAMQA1AC4AMgAsAFwAIgBOAGkAdAByAG8AZwBlAG4AIAAtACAARwBlAG4AZQByAGkAYwBcACIALAAwAC4AMQA1ADIALABcACIAUABoAG8AcwBwAGgAbwByAHUAcwAgAC0AIABHAGUAbgBlAHIAaQBjAFwAIgAsADAALgAxADYAOQAsAFwAIgBTAHUAbABmAHUAcgAgAC0AIABHAGUAbgBlAHIAaQBjAFwAIgAsADAALgAxADUAMgAsAFwAIgBcACIALABcACIAXAAiACwAXAAiAFwAIgAsAFwAIgBcACIALABcACIAXAAiACwAXAAiAFwAIgAsAFwAIgBcACIALABcACIAXAAiACwAXAAiAFwAIgAsAFwAIgBcACIALABcACIAXAAiACwAXAAiAFwAIgAsAFwAIgBcACIALABcACIAXAAiADsAXABuAFwAIgBXAGUAbgBnAGYAdQAgAEEAdQBzAHQAcgBhAGwAaQBhAFwAIgAsAFwAIgBXAGUAbgBnAGYAdQAgADEANgAtADEAOAAtADAALQAxADAAIABEAEEAUAAgAFMAdQBTAHQAYQBpAG4AXAAiACwAXAAiAGsAZwBcACIALAAxACwAXAAiAFwAIgAsAFwAIgBcACIALABcACIAXAAiACwAMQA2AC4AMgAsADEAOAAsADAALAAxADAALgA0ACwAXAAiAE4AaQB0AHIAbwBnAGUAbgAgAC0AIABHAGUAbgBlAHIAaQBjAFwAIgAsADAALgAxADYAMgAsAFwAIgBQAGgAbwBzAHAAaABvAHIAdQBzACAALQAgAEcAZQBuAGUAcgBpAGMAXAAiACwAMAAuADEAOAAsAFwAIgBTAHUAbABmAHUAcgAgAC0AIABHAGUAbgBlAHIAaQBjAFwAIgAsADAALgAxADAANAAsAFwAIgBcACIALABcACIAXAAiACwAXAAiAFwAIgAsAFwAIgBcACIALABcACIAXAAiACwAXAAiAFwAIgAsAFwAIgBcACIALABcACIAXAAiACwAXAAiAFwAIgAsAFwAIgBcACIALABcACIAXAAiACwAXAAiAFwAIgAsAFwAIgBcACIALABcACIAXAAiADsAXABuAFwAIgBXAGUAbgBnAGYAdQAgAEEAdQBzAHQAcgBhAGwAaQBhAFwAIgAsAFwAIgBXAGUAbgBnAGYAdQAgADUALQAxADUALQAwAC0ANgAgAEYAYQBzAHQAIABTAHQAYQByAHQAIABMAGUAZwB1AG0AZQBcACIALABcACIAawBnAFwAIgAsADEALABcACIAXAAiACwAXAAiAFwAIgAsAFwAIgBcACIALAA1ACwAMQA1AC4ANAAsADAALAA2AC4AMwAsAFwAIgBOAGkAdAByAG8AZwBlAG4AIAAtACAARwBlAG4AZQByAGkAYwBcACIALAAwAC4AMAA1ACwAXAAiAFAAaABvAHMAcABoAG8AcgB1AHMAIAAtACAARwBlAG4AZQByAGkAYwBcACIALAAwAC4AMQA1ADQALABcACIAUwB1AGwAZgB1AHIAIAAtACAARwBlAG4AZQByAGkAYwBcACIALAAwAC4AMAA2ADMALABcACIAXAAiACwAXAAiAFwAIgAsAFwAIgBcACIALABcACIAXAAiACwAXAAiAFwAIgAsAFwAIgBcACIALABcACIAXAAiACwAXAAiAFwAIgAsAFwAIgBcACIALABcACIAXAAiACwAXAAiAFwAIgAsAFwAIgBcACIALABcACIAXAAiACwAXAAiAFwAIgA7AFwAbgBcACIAVwBlAG4AZwBmAHUAIABBAHUAcwB0AHIAYQBsAGkAYQBcACIALABcACIAVwBlAG4AZwBmAHUAIAA5AC0AMgAwAC0AMAAtADEAMAAgAFAAcgBpAG0AZQBaAGkAbgBj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oAaQBuAGMAXAAiACwAMAAuADAAMAA5ACwAXAAiAFwAIgAsAFwAIgBcACIALABcACIAXAAiACwAXAAiAFwAIgAsAFwAIgBcACIALABcACIAXAAiACwAXAAiAFwAIgAsAFwAIgBcACIALABcACIAXAAiACwAXAAiAFwAIgAsAFwAIgBcACIALABcACIAXAAiADsAXABuAFwAIgBXAGUAbgBnAGYAdQAgAEEAdQBzAHQAcgBhAGwAaQBhAFwAIgAsAFwAIgBXAGUAbgBnAGYAdQAgADEAMgAtADEAOAAtADAALQA2ACAAUAByAGkAbQBlAFoAaQBuAGMAXAAiACwAXAAiAGsAZwBcACIALAAxACwAXAAiAFwAIgAsAFwAIgBcACIALABcACIAXAAiACwAMQAxAC4AOQAsADEANwAuADYALAAwACwANQAuADkALABcACIATgBpAHQAcgBvAGcAZQBuACAALQAgAEcAZQBuAGUAcgBpAGMAXAAiACwAMAAuADEAMQA5ACwAXAAiAFAAaABvAHMAcABoAG8AcgB1AHMAIAAtACAARwBlAG4AZQByAGkAYwBcACIALAAwAC4AMQA3ADYALABcACIAUwB1AGwAZgB1AHIAIAAtACAARwBlAG4AZQByAGkAYwBcACIALAAwAC4AMAA1ADkALABcACIAWgBpAG4AYwBcACIALAAwAC4AMAAwADgALABcACIAXAAiACwAXAAiAFwAIgAsAFwAIgBcACIALABcACIAXAAiACwAXAAiAFwAIgAsAFwAIgBcACIALABcACIAXAAiACwAXAAiAFwAIgAsAFwAIgBcACIALABcACIAXAAiACwAXAAiAFwAIgAsAFwAIgBcACIAOwBcAG4AXAAiAFcAZQBuAGcAZgB1ACAAQQB1AHMAdAByAGEAbABpAGEAXAAiACwAXAAiAFcAZQBuAGcAZgB1ACAAMQA0AC0AMQAzAC0AMAAtADEAMQAgAFAAcgBpAG0AZQBaAGkAbgBjAFwAIgAsAFwAIgBrAGcAXAAiACwAMQAsAFwAIgBcACIALABcACIAXAAiACwAXAAiAFwAIgAsADEANAAuADEALAAxADIALgA4ACwAMAAsADEAMAAuADcALABcACIATgBpAHQAcgBvAGcAZQBuACAALQAgAEcAZQBuAGUAcgBpAGMAXAAiACwAMAAuADEANAAxACwAXAAiAFAAaABvAHMAcABoAG8AcgB1AHMAIAAtACAARwBlAG4AZQByAGkAYwBcACIALAAwAC4AMQAyADgALABcACIAUwB1AGwAZgB1AHIAIAAtACAARwBlAG4AZQByAGkAYwBcACIALAAwAC4AMQAwADcALABcACIAWgBpAG4AYwBcACIALAAwAC4AMAAw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QBcAG4APQBMAEEATQBCAEQAQQAoAFwAbgAgAE0AQQBLAEUAQQBSAFIAQQBZACgAMQA0ACwAIAAzADEALABcAG4AIABMAEEATQBCAEQAQQAoAHIALABjACwAXABuACAAIABJAE4ARABFAFgAKAB7AFwAbgBcACIAVwBlAG4AZwBmAHUAIABBAHUAcwB0AHIAYQBsAGkAYQBcACIALABcACIAVwBlAG4AZwBmAHUAIAAxADkALQAxADMALQAwAC0ANwAgAFAAcgBpAG0AZQBaAGkAbgBjAFwAIgAsAFwAIgBrAGcAXAAiACwAMQAsAFwAIgBcACIALABcACIAXAAiACwAXAAiAFwAIgAsADEAOAAuADYALAAxADIALgA3ACwAMAAsADYALgA4ACwAXAAiAE4AaQB0AHIAbwBnAGUAbgAgAC0AIABHAGUAbgBlAHIAaQBjAFwAIgAsADAALgAxADgANgAsAFwAIgBQAGgAbwBzAHAAaABvAHIAdQBzACAALQAgAEcAZQBuAGUAcgBpAGMAXAAiACwAMAAuADEAMgA3ACwAXAAiAFMAdQBsAGYAdQByACAALQAgAEcAZQBuAGUAcgBpAGMAXAAiACwAMAAuADAANgA4ACwAXAAiAFoAaQBuAGMAXAAiACwAMAAuADAAMAA2ACwAXAAiAFwAIgAsAFwAIgBcACIALABcACIAXAAiACwAXAAiAFwAIgAsAFwAIgBcACIALABcACIAXAAiACwAXAAiAFwAIgAsAFwAIgBcACIALABcACIAXAAiACwAXAAiAFwAIgAsAFwAIgBcACIALABcACIAXAAiADsAXABuAFwAIgBXAGUAbgBnAGYAdQAgAEEAdQBzAHQAcgBhAGwAaQBhAFwAIgAsAFwAIgBXAGUAbgBnAGYAdQAgAEIAbwBvAHMAdABlAHIAIABLAFwAIgAsAFwAIgBrAGcAXAAiACwAMQAsAFwAIgBcACIALABcACIAXAAiACwAXAAiAFwAIgAsADMAMgAsADAALAAxADEALAAzACwAXAAiAE4AaQB0AHIAbwBnAGUAbgAgAC0AIABHAGUAbgBlAHIAaQBjAFwAIgAsADAALgAzADIALABcACIAUABvAHQAYQBzAHMAaQB1AG0AIAAtACAARwBlAG4AZQByAGkAYwBcACIALAAwAC4AMQAxACwAXAAiAFMAdQBsAGYAdQByACAALQAgAEcAZQBuAGUAcgBpAGMAXAAiACwAMAAuADAAMw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SAGkAYwBoACAAMQBcACIALABcACIAawBnAFwAIgAsADEALABcACIAXAAiACwAXAAiAFwAIgAsAFwAIgBcACIALAAzADEALAA2ACwAMAAsADYALABcACIATgBpAHQAcgBvAGcAZQBuACAALQAgAEcAZQBuAGUAcgBpAGMAXAAiACwAMAAuADMAMQAsAFwAIgBQAGgAbwBzAHAAaABvAHIAdQBzACAALQAgAEcAZQBuAGUAcgBpAGMAXAAiACwAMAAuADAANgAsAFwAIgBTAHUAbABmAHUAcgAgAC0AIABHAGUAbgBlAHIAaQBjAFwAIgAsADAALgAwADY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RwByAGEAcwBzACAARABBAFAAXAAiACwAXAAiAGsAZwBcACIALAAxACwAXAAiAFwAIgAsAFwAIgBcACIALABcACIAXAAiACwAMgAxACwANAAsADgALAA3ACwAXAAiAE4AaQB0AHIAbwBnAGUAbgAgAC0AIABHAGUAbgBlAHIAaQBjAFwAIgAsADAALgAyADEALABcACIAUABoAG8AcwBwAGgAbwByAHUAcwAgAC0AIABHAGUAbgBlAHIAaQBjAFwAIgAsADAALgAwADQALABcACIAUABvAHQAYQBzAHMAaQB1AG0AIAAtACAARwBlAG4AZQByAGkAYwBcACIALAAwAC4AMAA4ACwAXAAiAFMAdQBsAGYAdQByACAALQAgAEcAZQBuAGUAcgBpAGMAXAAiACwAMAAuADAANwAsAFwAIgBcACIALABcACIAXAAiACwAXAAiAFwAIgAsAFwAIgBcACIALABcACIAXAAiACwAXAAiAFwAIgAsAFwAIgBcACIALABcACIAXAAiACwAXAAiAFwAIgAsAFwAIgBcACIALABcACIAXAAiACwAXAAiAFwAIgA7AFwAbgBcACIAVwBlAG4AZwBmAHUAIABBAHUAcwB0AHIAYQBsAGkAYQBcACIALABcACIAVwBlAG4AZwBmAHUAIABBAGYAdABlAHIAZwByAGEAegBlAFwAIgAsAFwAIgBrAGcAXAAiACwAMQAsAFwAIgBcACIALABcACIAXAAiACwAXAAiAFwAIgAsADIAMwAsADAALAAyADUALAAwACwAXAAiAE4AaQB0AHIAbwBnAGUAbgAgAC0AIABHAGUAbgBlAHIAaQBjAFwAIgAsADAALgAyADMALABcACIAUABvAHQAYQBzAHMAaQB1AG0AIAAtACAARwBlAG4AZQByAGkAYwBcACIALAAwAC4AMgA1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kAZABlAGQAcgBlAHMAcwBcACIALABcACIAawBnAFwAIgAsADEALABcACIAXAAiACwAXAAiAFwAIgAsAFwAIgBcACIALAAyADUALAA0ACwAMQAzACwANAAsAFwAIgBOAGkAdAByAG8AZwBlAG4AIAAtACAARwBlAG4AZQByAGkAYwBcACIALAAwAC4AMgA1ACwAXAAiAFAAaABvAHMAcABoAG8AcgB1AHMAIAAtACAARwBlAG4AZQByAGkAYwBcACIALAAwAC4AMAA0ACwAXAAiAFAAbwB0AGEAcwBzAGkAdQBtACAALQAgAEcAZQBuAGUAcgBpAGMAXAAiACwAMAAuADEAMw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UABhAHMAdAB1AHIAZQAgAEIAbwBvAHMAdABlAHIAXAAiACwAXAAiAGsAZwBcACIALAAxACwAXAAiAFwAIgAsAFwAIgBcACIALABcACIAXAAiACwAMQAzACwANQAsADIANAAsADUALABcACIATgBpAHQAcgBvAGcAZQBuACAALQAgAEcAZQBuAGUAcgBpAGMAXAAiACwAMAAuADEAMwAsAFwAIgBQAGgAbwBzAHAAaABvAHIAdQBzACAALQAgAEcAZQBuAGUAcgBpAGMAXAAiACwAMAAuADAANQAsAFwAIgBQAG8AdABhAHMAcwBpAHUAbQAgAC0AIABHAGUAbgBlAHIAaQBjAFwAIgAsADAALgAyADQALABcACIAUwB1AGwAZgB1AHIAIAAtACAARwBlAG4AZQByAGkAYwBcACIALAAwAC4AMAA1ACwAXAAiAFwAIgAsAFwAIgBcACIALABcACIAXAAiACwAXAAiAFwAIgAsAFwAIgBcACIALABcACIAXAAiACwAXAAiAFwAIgAsAFwAIgBcACIALABcACIAXAAiACwAXAAiAFwAIgAsAFwAIgBcACIALABcACIAXAAiADsAXABuAFwAIgBXAGUAbgBnAGYAdQAgAEEAdQBzAHQAcgBhAGwAaQBhAFwAIgAsAFwAIgBXAGUAbgBnAGYAdQAgAEQAQQBQACAASABhAHkAIABCAG8AbwBzAHQAZQByAFwAIgAsAFwAIgBrAGcAXAAiACwAMQAsAFwAIgBcACIALABcACIAXAAiACwAXAAiAFwAIgAsADEAMQAsADUALAAyADQALAA0ACwAXAAiAE4AaQB0AHIAbwBnAGUAbgAgAC0AIABHAGUAbgBlAHIAaQBjAFwAIgAsADAALgAxADEALABcACIAUABoAG8AcwBwAGgAbwByAHUAcwAgAC0AIABHAGUAbgBlAHIAaQBjAFwAIgAsADAALgAwADUALABcACIAUABvAHQAYQBzAHMAaQB1AG0AIAAtACAARwBlAG4AZQByAGkAYwBcACIALAAwAC4AMgA0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NAEEAUAAgAEgAYQB5ACAAQgBvAG8AcwB0AGUAcgBcACIALABcACIAawBnAFwAIgAsADEALABcACIAXAAiACwAXAAiAFwAIgAsAFwAIgBcACIALAAxADEALAA4ACwAMgAwACwANgAsAFwAIgBOAGkAdAByAG8AZwBlAG4AIAAtACAARwBlAG4AZQByAGkAYwBcACIALAAwAC4AMQAxACwAXAAiAFAAaABvAHMAcABoAG8AcgB1AHMAIAAtACAARwBlAG4AZQByAGkAYwBcACIALAAwAC4AMAA4ACwAXAAiAFAAbwB0AGEAcwBzAGkAdQBtACAALQAgAEcAZQBuAGUAcgBpAGMAXAAiACwAMAAuADIALABcACIAUwB1AGwAZgB1AHIAIAAtACAARwBlAG4AZQByAGkAYwBcACIALAAwAC4AMAA2ACwAXAAiAFwAIgAsAFwAIgBcACIALABcACIAXAAiACwAXAAiAFwAIgAsAFwAIgBcACIALABcACIAXAAiACwAXAAiAFwAIgAsAFwAIgBcACIALABcACIAXAAiACwAXAAiAFwAIgAsAFwAIgBcACIALABcACIAXAAiADsAXABuAFwAIgBXAGUAbgBnAGYAdQAgAEEAdQBzAHQAcgBhAGwAaQBhAFwAIgAsAFwAIgBXAGUAbgBnAGYAdQAgAEYAbwBkAGQAZQByACAAQgBvAG8AcwB0AGUAcgBcACIALABcACIAawBnAFwAIgAsADEALABcACIAXAAiACwAXAAiAFwAIgAsAFwAIgBcACIALAA5ACwANAAsADUALAAxADUALABcACIATgBpAHQAcgBvAGcAZQBuACAALQAgAEcAZQBuAGUAcgBpAGMAXAAiACwAMAAuADAAOQAsAFwAIgBQAGgAbwBzAHAAaABvAHIAdQBzACAALQAgAEcAZQBuAGUAcgBpAGMAXAAiACwAMAAuADAANAAsAFwAIgBQAG8AdABhAHMAcwBpAHUAbQAgAC0AIABHAGUAbgBlAHIAaQBjAFwAIgAsADAALgAwADUALABcACIAUwB1AGwAZgB1AHIAIAAtACAARwBlAG4AZQByAGkAYwBcACIALAAwAC4AMQA1ACwAXAAiAFwAIgAsAFwAIgBcACIALABcACIAXAAiACwAXAAiAFwAIgAsAFwAIgBcACIALABcACIAXAAiACwAXAAiAFwAIgAsAFwAIgBcACIALABcACIAXAAiACwAXAAiAFwAIgAsAFwAIgBcACIALABcACIAXAAiADsAXABuAFwAIgBDAFMAQgBQAFwAIgAsAFwAIgBLAC0AVABpAGwAbAAgAEUAeAB0AHIAYQBcACIALABcACIAawBnAFwAIgAsADEALABcACIAXAAiACwAXAAiAFwAIgAsAFwAIgBcACIALAAxADAALgA3ADMALAAxADAALgA5ADUALAAxADEALgAzADUALAA2AC4ANQA1ACwAXAAiAE0AbwBuAG8AYQBtAG0AbwBuAGkAdQBtACAAcABoAG8AcwBwAGgAYQB0AGUAIAAoAE0AQQBQACkAXAAiACwAMAAuADUALABcACIAUwB1AGwAcABoAGEAdABlACAAbwBmACAAYQBtAG0AbwBuAGkAYQAgACgAUwBPAEEAKQBcACIALAAwAC4AMgA3ADMALABcACIATQB1AHIAaQBhAHQAZQAgAG8AZgAgAHAAbwB0AGEAcwBoACAAKABNAE8AUAApAFwAIgAsADAALgAyADIANwAsAFwAIgBDAG8AcABwAGUAcgBcACIALABcACIATgBvACAAZABhAHQAYQBcACIALABcACIAWgBpAG4AYwBcACIALABcACIATgBvACAAZABhAHQAYQBcACIALABcACIAXAAiACwAXAAiAFwAIgAsAFwAIgBcACIALABcACIAXAAiACwAXAAiAFwAIgAsAFwAIgBcACIALABcACIAXAAiACwAXAAiAFwAIgAsAFwAIgBcACIALABcACIAXAAiADsAXABuAFwAIgBDAFMAQgBQAFwAIgAsAFwAIgBBAGcAcgBhAHMAIABFAHgAdAByAGEAXAAiACwAXAAiAGsAZwBcACIALAAxACwAXAAiAFwAIgAsAFwAIgBcACIALABcACIAXAAiACwAMQA2AC4AOQA1ACwAOAAuADAANgAsAFwAIgBcACIALAAxADUALgAxADcALABcACIAUwB1AGwAcABoAGEAdABlACAAbwBmACAAYQBtAG0AbwBuAGkAYQAgACgAUwBPAEEAKQBcACIALAAwAC4ANgAzADIALABcACIATQBvAG4AbwBhAG0AbQBvAG4AaQB1AG0AIABwAGgAbwBzAHAAaABhAHQAZQAgACgATQBBAFAAKQBcACIALAAwAC4AMwA2ADgALABcACIAWgBpAG4AYwBcACIALABcACIATgBvACAAZABhAHQAYQBcACIALABcACIAQwBvAHAAcABlAHIAXAAiACwAXAAiAE4AbwAgAGQAYQB0AGEAXAAiACwAXAAiAE0AbwBsAHkAYgBkAGUAbgB1AG0AXAAiACwAXAAiAE4AbwAgAGQAYQB0AGEAXAAiACwAXAAiAEMAbwBiAGEAbAB0AFwAIgAsAFwAIgBOAG8AIABkAGEAdABhAFwAIgAsAFwAIgBcACIALABcACIAXAAiACwAXAAiAFwAIgAsAFwAIgBcACIALABcACIAXAAiACwAXAAiAFwAIgAsAFwAIgBcACIALABcACIAXAAiADsAXABuAFwAIgBDAFMAQgBQAFwAIgAsAFwAIgBTAHUAcABlAHIAIABDAG8AcABwAGUAcgAgAFoAaQBuAGMAIABNAG8AbAB5AFwAIgAsAFwAIgBrAGcAXAAiACwAMQAsAFwAIgBcACIALABcACIAXAAiACwAXAAiAFwAIgAsAFwAIgBcACIALAA4AC4AOAAsAFwAIgBcACIALAAxADEALABcACIAUwBpAG4AZwBsAGUAIABzAHUAcABlAHIAcABoAG8AcwBwAGgAYQB0AGUAIAAoAFMAUwBQACkAXAAiACwAMQAsAFwAIgBDAG8AcABwAGUAcgBcACIALAAwAC4AMAAwADYALABcACIAWgBpAG4AYwBcACIALAAwAC4AMAAwADMALABcACIATQBvAGwAeQBiAGQAZQBuAHUAbQBcACIALAAwAC4AMAAwADAANgAsAFwAIgBcACIALABcACIAXAAiACwAXAAiAFwAIgAsAFwAIgBcACIALABcACIAXAAiACwAXAAiAFwAIgAsAFwAIgBcACIALABcACIAXAAiACwAXAAiAFwAIgAsAFwAIgBcACIALABcACIAXAAiACwAXAAiAFwAIgA7AFwAbgBcACIAQwBTAEIAUABcACIALABcACIARgBsAGUAeABpAC0ATgBcACIALABcACIATABcACIALAAxAC4AMwAyACwAXAAiAFwAIgAsAFwAIgBcACIALABcACI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XABuACAAIAB9ACwAIAByACwAIABjACkAXABuACAAKQApACk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XAB1ADAAMAAyADcATgBJAFIAIABkAGUAZgBpAG4AaQB0AGkAbwBuACAAYwBvAGwAdQBtAG4AXAB1ADAAMAAyAD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BcAHUAMAAwADIANwBOAEkAUgAgAGQAZQBmAGkAbgBpAHQAaQBvAG4AIABjAG8AbAB1AG0AbgBcAHUAMAAwADIANwAuACA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1ACwAIAAy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BcAHUAMAAwADMAZQ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XAB1ADAAMAAyADcAcABhAHAAZQByACAAYQBuAGQAIABjAGEAcgBiAG8AYQByAGQAXAB1ADAAMAAyADcAIAB0AG8AIABcAHUAMAAwADIANwBwAGEAcABlAHIAIABhAG4AZAAgAGMAYQByAGQAYgBvAGEAcgBkAFwAdQAwADAAMgA3AFwAIgA7AFwAbgAgACAAIAAgACAAIAAgACAAXAAiAEYAaQB4AGUAZAAgAHQAeQBwAG8AIABcAHUAMAAwADIANwBwAHIAdQBuAG4AaQBuAGcAcwBcAHUAMAAwADIANwAgAHQAbwAgAFwAdQAwADAAMgA3AHAAcgB1AG4AaQBuAGcAcwBcAHUAMAAwADIANwBcACIAOwBcAG4AIAAgACAAIAAgACAAIAAgAFwAIgBBAGQAZABlAGQAIABFAEYAIABzAG8AdQByAGMAZQAgAGMAbwBsAHUAbQBuACAAdwBpAHQAaAAgAHMAcABlAGMAaQBmAGkAYwAgAHIAZQBmAGUAcgBlAG4AYwBlAHMAXAAiADsAXABuACAAIAAgACAAIAAgACAAIABcACIAQQBkAGQAZQBkACAAcwB1AGIALQBjAGEAdABlAGcAbwByAGkAZQBzACAAZgBvAHIAIABcAHUAMAAwADIANwBJAG4AYwBpAG4AZQByAGEAdABpAG8AbgA6ACAARgBvAG8AZAAgAHcAYQBzAHQAZQAsACAAZwByAGUAZQBuACAAdwBhAHMAdABlACwAIAB3AG8AbwBkACwAIABzAGwAdQBkAGc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DAG8AbQBwAG8AcwB0AGkAbgBnADoAIABBAGwAbAAgAG8AcgBnAGEAbgBpAGMAIAB3AGEAcwB0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QBuAGEAZQByAG8AYgBpAGMAIABkAGkAZwBlAHMAdABpAG8AbgA6ACAAQQBsAGwAIABvAHIAZwBhAG4AaQBjACAAdwBhAHMAdABlAFwAdQAwADAAMgA3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DAALgAwADMAMgAgACoAIABNAFAAXwBqACAAKgAgADEALgAwADMAKQAgAC8AIAA2AC4AMwA4ACkAIAArACAAKAAoADAALgAyADEAMgAgAC0AIAAwAC4AMAAwADgAIAAqACAAKABMAF8AagAgAC0AIAAyACkAIAAtACAAKAAoADAALgAxADQAMAAgAC0AIAAwAC4AMAAwADgAIAAqACAAKABMAF8AagAgAC0AIAAyACkAKQAgAC8AIAAoADEAIAArACAARQBYAFAAKAAtADYAIAAqACAAKABaAF8AagAgAC0AIAAwAC4ANAApACkAKQApACkAIAAqACAAKABMAFcARwBfAGoAIAAqACAAMAAuADkAMgApACkAIAAqACAAKAAxACAALwAgADYALgAyADUAKQBcAG4AIAAgACkAOwBcAG4AXABuAFYARQBFAFIARwBfADQAXwAzAF8AMQBfADMAXwBfADYAXwBOAGkAdAByAG8AZwBlAG4AUgBlAHQAYQBpAG4AZQBkAEIAeQBCAG8AZAB5AF8AVABpAHQAbABlAFwAbgAgACAAPQBMAEEATQBCAEQAQQAoAFwAIgBBAG0AbwB1AG4AdAAgAG8AZgAgAG4AaQB0AHIAbwBnAGUAbgAgAHIAZQB0AGEAaQBuAGUAZAAgAGIAeQAgAHQAaABlACAAYgBvAGQAeQBcACIAKQA7AFwAbgBcAG4AVgBFAEUAUgBHAF8ANABfADMAXwAxAF8AMwBfAF8ANgBfAE4AaQB0AHIAbwBnAGUAbgBSAGUAdABhAGkAbgBlAGQAQgB5AEIAbwBkAHkAXwBWAGEAcgBpAGEAYgBsAGUAXABuACAAIAA9AEwAQQBNAEIARABBACgAXAAiAE4AUgBfAGoAXAAiACkAOwBcAG4AXABuAFYARQBFAFIARwBfADQAXwAzAF8AMQBfADMAXwBfADYAXwBOAGkAdAByAG8AZwBlAG4AUgBlAHQAYQBpAG4AZQBkAEIAeQBCAG8AZAB5AF8AVQBuAGkAdABcAG4AIAAgAD0ATABBAE0AQgBEAEEAKABcACIAawBnACAATgAvAGgAZQBhAGQALwBkAGEAeQBcACIAKQA7AFwAbgBcAG4AVgBFAEUAUgBHAF8ANABfADMAXwAxAF8AMwBfAF8ANgBfAE4AaQB0AHIAbwBnAGUAbgBSAGUAdABhAGkAbgBlAGQAQgB5AEIAbwBkAHkAXwBTAG8AdQByAGMAZQBcAG4AIAAgAD0ATABBAE0AQgBEAEEAKABcACIAVgBFAEUAUgBHACAAMgAwADIANgA6ACAANAAuADMALgAxAC4AMwAsACAARQBxAHUAYQB0AGkAbwBuACAAKAA2ACkAXAAiACkAOwBcAG4AXABuAFYARQBFAFIARwBfADQAXwAzAF8AMQBfADMAXwBfADYAXwBOAGkAdAByAG8AZwBlAG4AUgBlAHQAYQBpAG4AZQBkAEIAeQBCAG8AZAB5AF8ATgBJAFIAUgBlAGYAZQByAGUAbgBjAGUAXABuACAAIAA9AEwAQQBNAEIARABBACgAXAAiAFwAIgApADsAXABuAFwAbgBWAEUARQBSAEcAXwA0AF8AMwBfADEAXwAzAF8AXwA2AF8ATgBpAHQAcgBvAGcAZQBuAFIAZQB0AGEAaQBuAGUAZABCAHkAQgBvAGQAeQBfAEwAYQB0AGUAeABFAHEAdQBhAHQAaQBvAG4AXABuACAAIAA9AEwAQQBNAEIARABBACgAXAAiAE4AUgBfAGoAPQBcAFwAbABlAGYAdAAoAFwAXABmAHIAYQBjAHsAMAAuADAAMwAyACAAXABcAHQAaQBtAGUAcwAgAE0AUABfAGoAIABcAFwAdABpAG0AZQBzACAAMQAuADAAMwB9AHsANgAuADMAOAB9AFwAXAByAGkAZwBoAHQAKQAgACsAIABcAFwAbABlAGYAdABcAFwAewBcAFwAbABlAGYAdAAoADAALgAyADEAMgAtADAALgAwADAAOAAgAFwAXAB0AGkAbQBlAHMAIAAoAEwAXwBqACAALQAgADIAKQAgAC0AIABcAFwAbABlAGYAdABbAFwAXABmAHIAYQBjAHsAMAAuADEANAAwAC0AMAAuADAAMAA4AFwAXAB0AGkAbQBlAHMAKABMAF8AagAtADIAKQB9AHsAMQArAGUAXgB7AC0ANgBcAFwAdABpAG0AZQBzACgAWgBfAGoALQAwAC4ANAApAH0AfQBcAFwAcgBpAGcAaAB0AF0AXABcAHIAaQBnAGgAdAApACAAXABcAHQAaQBtAGUAcwAgACgATABXAEcAXwBqACAAXABcAHQAaQBtAGUAcwAgADAALgA5ADIAKQBcAFwAcgBpAGcAaAB0AFwAXAB9ACAAXABcAHQAaQBtAGUAcwAgAFwAXABmAHIAYQBjAHsAMQB9AHsANgAuADIANQB9AFwAIgApADsAXABuAFwAbgBWAEUARQBSAEcAXwA0AF8AMwBfADEAXwAzAF8AXwA2AF8ATgBpAHQAcgBvAGcAZQBuAFIAZQB0AGEAaQBuAGUAZABCAHkAQgBvAGQAeQBfAEEAcgBnAHUAbQBlAG4AdABzAFwAbgAgACAAPQBMAEEATQBCAEQAQQAoAFwAbgAgACAAIAAgAE0AQQBLAEUAQQBSAFIAQQBZACgANg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ABfAGoAXAAiACwAIABcACIAaQBuAHQAYQBrAGUAIAByAGUAbABhAHQAaQB2AGUAIAB0AG8AIABtAGEAaQBuAHQAZQBuAGEAbgBjAGUAXAAiACwAIABcACIAXAAiACwAIABcACIAQwBhAGwAYwB1AGwAYQB0AGUAZAAgAGYAcgBvAG0AIAA0AC4AMwAuADEALgAzACAAKAA3ACkAXAAiADsAXABuACAAIAAgACAAIAAgACAAIAAgACAAXAAiAFoAXwBqAFwAIgAsACAAXAAiAHIAZQBsAGEAdABpAHYAZQAgAHMAaQB6AGUAXAAiACwAIABcACIAXAAiACwAIABcACIAQwBhAGwAYwB1AGwAYQB0AGUAZAAgAGYAcgBvAG0AIAA0AC4AMwAuADEALgAzACAAKAA4ACkAXAAiADsAXABuACAAIAAgACAAIAAgACAAIAAgACAAXAAiAEwAVwBHAF8AagBcACIALAAgAFwAIgBsAGkAdgBlAHcAZQBpAGcAaAB0ACAAZwBhAGkAbgBcACIALAAgAFwAIgBrAGcALwBoAGUAYQBkAC8AZABhAHkAXAAiACwAIABcACIASQBuAHAAdQB0AFwAIgBcAG4AIAAgACAAIAAgACAAIAAgAH0ALAAgAHIALAAgAGMAKQBcAG4AIAAgACAAIAAgACAAKQBcAG4AIAAgACAAIAApAFwAbgAgACAAKQA7AFwAbgBcAG4AVgBFAEUAUgBHAF8ANABfADMAXwAxAF8AMwBfAF8ANgBfAE4AaQB0AHIAbwBnAGUAbgBSAGUAdABhAGkAbgBlAGQAQgB5AEIAbwBkAHkAXwBWAGEAcgBpAGEAdABpAG8AbgBcAG4AIAAgAD0ATABBAE0AQgBEAEEAKABcACIAVgBBAFIASQBBAFQASQBPAE4AIABPAE4AIABTAE8AVQBSAEMARQA6ACAAQQBkAGQAZQBkACAAYwBoAGUAYwBrACAAZgBvAHIAIABtAGkAbABrACAAcAByAG8AZAB1AGMAdABpAG8AbgAgAGkAbgBwAHUAdAAgAHUAbgBpAHQAIABhAG4AZAAgAGMAaABvAG8AcwBlACAAYwBvAHIAcgBlAHMAcABvAG4AZABpAG4AZwAgAE0AUABfAGoAIAB2AGEAbAB1AGUAIABhAGMAYwBvAHIAZABpAG4AZwBsAHkALgBcACI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FcAXwBqAFwAIgAsACAAXAAiAGwAaQB2AGUAdwBlAGkAZwBoAHQAXAAiACwAIABcACIAawBnAC8AaABlAGEAZABcACIALAAgAFwAIgBJAG4AcAB1AHQAXAAiADsAXABuACAAIAAgACAAIAAgACAAIAAgACAAXAAiAE0AUgBfAGoAXAAiACwAIABcACIAaQBuAGMAcgBlAGEAcwBlACAAaQBuACAAbQBlAHQAYQBiAG8AbABpAGMAIAByAGEAdABlACAAdwBoAGUAbgAgAHAAcgBvAGQAdQBjAGkAbgBnACAAbQBpAGwAawBcACIALAAgAFwAIgBcACIALAAgAFwAIgBDAG8AbgBzAHQAYQBuAHQAXAAiADsAXABuACAAIAAgACAAIAAgACAAIAAgACAAXAAiAE0ASQBfAGoAXAAiACwAIABcACIAYQBkAGQAaQB0AGkAbwBuAGEAbAAgAGkAbgB0AGEAawBlACAAcgBlAHEAdQBpAHIAZQBkACAAZgBvAHIAIABtAGkAbABrACAAcAByAG8AZAB1AGMAdABpAG8AbgBcACIALAAgAFwAIgBrAGc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QALABcAG4AIAAgACAAIAAgACAATABBAE0AQgBEAEEAKAByACwAYwAsAFwAbgAgACAAIAAgACAAIAAgACAASQBOAEQARQBYACgAewBcAG4AIAAgACAAIAAgACAAIAAgACAAIABcACIAVwBfAGoAXAAiACwAIABcACIAbABpAHYAZQB3AGUAaQBnAGgAdABcACIALAAgAFwAIgBrAGcALwBoAGUAYQBkAFwAIgAsACAAXAAiAEkAbgBwAHUAdABcACIAOwBcAG4AIAAgACAAIAAgACAAIAAgACAAIABcACIAVwBSAF8AagBcACIALAAgAFwAIgByAGUAZgBlAHIAZQBuAGMAZQAgAHcAZQBpAGcAaAB0AFwAIgAsACAAXAAiAGsAZwAvAGgAZQBhAGQAXAAiACwAIABcACIAQwBvAG4AcwB0AGEAbgB0AFwAIgBcAG4AIAAgACAAIAAgACAAIAAgAH0ALAAgAHIALAAgAGMAKQBcAG4AIAAgACAAIAAgACAAKQBcAG4AIAAgACAAIAApAFwAbgAgACAAKQA7AFwAbg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AsAHsAIgBwAGEAdABoACIAOgAiAC8AcAByAG8AagBlAGMAdABzAC8ATQBNAFMAXwBEAGEAaQ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gAgAE0AZQB0AGgAbwBkACAAMQAgAC0AIABNAGEAbgB1AHIAZQ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Y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0AfQBcAFwAdABpAG0AZQBzACAARQBGAF8AewBsAGUAYQBjAGgAfQBcAFwAdABpAG0AZQBzACAAQwBfAHsATgAyAE8AfQBcAFwAdABpAG0AZQBzACAAMQAwAF4AewAtADMAfQBcAG4ATQBOAEwAZQBhAGMAaABfAGoAbQAgAD0AIABtAGEAcwBzACAAbwBmACAATgAgAGwAbwBzAHQAIAB0AGgAcgBvAHUAZwBoACAAbABlAGEAYwBoAGkAbgBnACAAYQBuAGQAIAByAHUAbgBvAGYAZgAgAGYAcgBvAG0AIABlAGEAYwBoACAATQBNAFM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FYAQQBSAEkAQQBUAEkATwBOACAATwBGACAAUwBPAFUAUgBDAEUAOgAgAEYAbwByACAATQBlAHQAaABvAGQAIAAxACwAIABlAG0AaQBzAHMAaQBvAG4AcwAgAGEAcgBlACAAZQBzAHQAaQBtAGEAdABlAGQAIABvAG4AbAB5ACAAZgBvAHIAIABzAG8AbABpAGQAIABzAHQAbwByAGEAZwBlACAAKABtAD0ANAApAC4AXABuAC0ALQAtAC0ALQAtAC0ALQAtAC0ALQAtAC0ALQAtAC0ALQAtAC0ALQAtAC0ALQAtAC0ALQAtAC0ALQAtAC0ALQAtAC0ALQAtAC0ALQBcAG4AKgAvAFwAbgBcAG4AVgBFAEUAUgBHAF8ANABfADMAXwAxAF8ANgBfAF8AMQBfAEEAbgBuAHUAYQBsAEUAbQBpAHMAcwBpAG8AbgBzAEYAcgBvAG0ATABlAGEAYwBoAGkAbgBnAEEAbgBkAFIAdQBuAG8AZgBmAEYAcgBvAG0ATQBNAFMAXABuACAAIAA9AEwAQQBNAEIARABBACgAXABuACAAIAAgACAATQBOAEwAZQBhAGMAaABfAGoAbQAsACAARQBGAF8AbABlAGEAYwBoACwAIABDAF8ATgAyAE8ALABcAG4AIAAgACAAIAAoAE0ATgBMAGUAYQBjAGgAXwBqAG0AIAAqACAARQBGAF8AbABlAGEAYwBoACAAKgAgAEMAXwBOADIATwApACAAKgAgADEAMAAgAF4AIAAtADMAXABuACAAIAApADsAXABuAFwAbgBWAEUARQBSAEcAXwA0AF8AMwBfADEAXwA2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MAXwAxAF8ANgBfAF8AMQBfAEEAbgBuAHUAYQBsAEUAbQBpAHMAcwBpAG8AbgBzAEYAcgBvAG0ATABlAGEAYwBoAGkAbgBnAEEAbgBkAFIAdQBuAG8AZgBmAEYAcgBvAG0ATQBNAFMAXwBWAGEAcgBpAGEAYgBsAGUAXABuACAAIAA9AEwAQQBNAEIARABBACgAXAAiAEUAXwBOADIATwBsAGUAYQBjAGgAXAAiACkAOwBcAG4AXABuAFYARQBFAFIARwBfADQAXwAzAF8AMQBfADYAXwBfADEAXwBBAG4AbgB1AGEAbABFAG0AaQBzAHMAaQBvAG4AcwBGAHIAbwBtAEwAZQBhAGMAaABpAG4AZwBBAG4AZABSAHUAbgBvAGYAZgBGAHIAbwBtAE0ATQBTAF8AVQBuAGkAdABcAG4AIAAgAD0ATABBAE0AQgBEAEEAKABcACIAdAAgAE4AMgBPAFwAIgApADsAXABuAFwAbgBWAEUARQBSAEcAXwA0AF8AMwBfADEAXwA2AF8AXwAxAF8AQQBuAG4AdQBhAGwARQBtAGkAcwBzAGkAbwBuAHMARgByAG8AbQBMAGUAYQBjAGgAaQBuAGcAQQBuAGQAUgB1AG4AbwBmAGYARgByAG8AbQBNAE0AUwBfAFMAbwB1AHIAYwBlAFwAbgAgACAAPQBMAEEATQBCAEQAQQAoAFwAIgBWAEUARQBSAEcAIAAyADAAMgA2ADoAIAA0AC4AMwAuADEALgA2ACwAIABFAHEAdQBhAHQAaQBvAG4AIAAoADEAKQBcACIAKQA7AFwAbgBcAG4AVgBFAEUAUgBHAF8ANABfADMAXwAxAF8ANgBfAF8AMQBfAEEAbgBuAHUAYQBsAEUAbQBpAHMAcwBpAG8AbgBzAEYAcgBvAG0ATABlAGEAYwBoAGkAbgBnAEEAbgBkAFIAdQBuAG8AZgBmAEYAcgBvAG0ATQBNAFMAXwBOAEkAUgBSAGUAZgBlAHIAZQBuAGMAZQBcAG4AIAAgAD0ATABBAE0AQgBEAEEAKABcACIAXAAiACkAOwBcAG4AXABuAFYARQBFAFIARwBfADQAXwAzAF8AMQBfADYAXwBfADEAXwBBAG4AbgB1AGEAbABFAG0AaQBzAHMAaQBvAG4AcwBGAHIAbwBtAEwAZQBhAGMAaABpAG4AZwBBAG4AZABSAHUAbgBvAGYAZgBGAHIAbwBtAE0ATQBTAF8ATABhAHQAZQB4AEUAcQB1AGEAdABpAG8AbgBcAG4AIAAgAD0ATABBAE0AQgBEAEEAKABcACIARQBfAHsATgAyAE8ALABsAGUAYQBjAGgAfQA9AFwAXABzAHUAbQBcAFwAbgBvAGwAaQBtAGkAdABzAF8AewBqAH0AXABcAHMAdQBtAFwAXABuAG8AbABpAG0AaQB0AHMAXwB7AG0APQAxAC0AMQAzAH0AKABNAE4ATABlAGEAYwBoAF8AewBqAG0AfQBcAFwAdABpAG0AZQBzACAARQBGAF8AewBsAGUAYQBjAGgAfQBcAFwAdABpAG0AZQBzACAAQwBfAHsATgAyAE8AfQApAFwAXAB0AGkAbQBlAHMAIAAxADAAXgB7AC0AMwB9AFwAIgApADsAXABuAFwAbgBWAEUARQBSAEcAXwA0AF8AMwBfADEAXwA2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FwAIgAsACAAXAAiAG0AYQBzAHMAIABvAGYAIABOACAAbABvAHMAdAAgAHQAaAByAG8AdQBnAGgAIABsAGUAYQBjAGgAaQBuAGcAIABhAG4AZAAgAHIAdQBuAG8AZgBmAFwAIgAsACAAXAAiAGsAZwAgAE4AXAAiACwAIABcACIAQwBhAGwAYwB1AGwAYQB0AGUAZAAgAGYAcgBvAG0AIAA0AC4AMwAuADEALgA2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Ng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tADQAXABuAGsAZwAgAE4AXABuAE0ATgBMAGUAYQBjAGgAXwB7AGoAbQA9ADQAfQA9AE0ATgBfAHsAagBtAD0ANAB9AFwAXAB0AGkAbQBlAHMAIABGAHIAYQBjAFcARQBUAF8AaQBcAFwAdABpAG0AZQBzACAARgByAGEAYwBMAEUAQQBDAEgAXwBNAFMAXABuAE0ATgBfAGoAbQA0ACAAPQAgAHQAbwB0AGEAbAAgAG4AaQB0AHIAbwBnAGUAbgAgAGkAbgAgAHMAbwBsAGkAZAAgAHMAdABvAHIAYQBnAGUAIABzAHkAcwB0AGUAbQAgAG0APQA0ACAAKABrAGcAIABOACkAXABuAEYAcgBhAGMAVwBFAFQAXwBp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2AF8AXwAyAF8ATQBhAHMAcwBPAGYATgBpAHQAcgBvAGcAZQBuAEwAbwBzAHQAVABvAEwAZQBhAGMAaABpAG4AZwBBAG4AZABSAHUAbgBvAGYAZgBGAHIAbwBtAFMAbwBsAGkAZABTAHQAbwByAGEAZwBlAFwAbgAgACAAPQBMAEEATQBCAEQAQQAoAFwAbgAgACAAIAAgAE0ATgBfAGoAbQA0ACwAIABGAHIAYQBjAFcARQBUAF8AaQAsACAARgByAGEAYwBMAEUAQQBDAEgAXwBNAFMALABcAG4AIAAgACAAIABNAE4AXwBqAG0ANAAgACoAIABGAHIAYQBjAFcARQBUAF8AaQAgACoAIABGAHIAYQBjAEwARQBBAEMASABfAE0AUwBcAG4AIAAgACkAOwBcAG4AXABuAFYARQBFAFIARwBfADQAXwAzAF8AMQBfADY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MAXwAxAF8ANgBfAF8AMgBfAE0AYQBzAHMATwBmAE4AaQB0AHIAbwBnAGUAbgBMAG8AcwB0AFQAbwBMAGUAYQBjAGgAaQBuAGcAQQBuAGQAUgB1AG4AbwBmAGYARgByAG8AbQBTAG8AbABpAGQAUwB0AG8AcgBhAGcAZQBfAFYAYQByAGkAYQBiAGwAZQBcAG4AIAAgAD0ATABBAE0AQgBEAEEAKABcACIATQBOAEwAZQBhAGMAaABfAGoAbQA0AFwAIgApADsAXABuAFwAbgBWAEUARQBSAEcAXwA0AF8AMwBfADEAXwA2AF8AXwAyAF8ATQBhAHMAcwBPAGYATgBpAHQAcgBvAGcAZQBuAEwAbwBzAHQAVABvAEwAZQBhAGMAaABpAG4AZwBBAG4AZABSAHUAbgBvAGYAZgBGAHIAbwBtAFMAbwBsAGkAZABTAHQAbwByAGEAZwBlAF8AVQBuAGkAdABcAG4AIAAgAD0ATABBAE0AQgBEAEEAKABcACIAawBnACAATgBcACIAKQA7AFwAbgBcAG4AVgBFAEUAUgBHAF8ANABfADMAXwAxAF8ANgBfAF8AMgBfAE0AYQBzAHMATwBmAE4AaQB0AHIAbwBnAGUAbgBMAG8AcwB0AFQAbwBMAGUAYQBjAGgAaQBuAGcAQQBuAGQAUgB1AG4AbwBmAGYARgByAG8AbQBTAG8AbABpAGQAUwB0AG8AcgBhAGcAZQBfAFMAbwB1AHIAYwBlAFwAbgAgACAAPQBMAEEATQBCAEQAQQAoAFwAIgBWAEUARQBSAEcAIAAyADAAMgA2ADoAIAA0AC4AMwAuADEALgA2ACwAIABFAHEAdQBhAHQAaQBvAG4AIAAoADIAKQBcACIAKQA7AFwAbgBcAG4AVgBFAEUAUgBHAF8ANABfADMAXwAxAF8ANgBfAF8AMgBfAE0AYQBzAHMATwBmAE4AaQB0AHIAbwBnAGUAbgBMAG8AcwB0AFQAbwBMAGUAYQBjAGgAaQBuAGcAQQBuAGQAUgB1AG4AbwBmAGYARgByAG8AbQBTAG8AbABpAGQAUwB0AG8AcgBhAGcAZQBfAE4ASQBSAFIAZQBmAGUAcgBlAG4AYwBlAFwAbgAgACAAPQBMAEEATQBCAEQAQQAoAFwAIgBcACIAKQA7AFwAbgBcAG4AVgBFAEUAUgBHAF8ANABfADMAXwAxAF8ANgBfAF8AMgBfAE0AYQBzAHMATwBmAE4AaQB0AHIAbwBnAGUAbgBMAG8AcwB0AFQAbwBMAGUAYQBjAGgAaQBuAGcAQQBuAGQAUgB1AG4AbwBmAGYARgByAG8AbQBTAG8AbABpAGQAUwB0AG8AcgBhAGcAZQBfAEwAYQB0AGUAeABFAHEAdQBhAHQAaQBvAG4AXABuACAAIAA9AEwAQQBNAEIARABBACgAXAAiAE0ATgBMAGUAYQBjAGgAXwB7AGoAbQA9ADQAfQA9AE0ATgBfAHsAagBtAD0ANAB9AFwAXAB0AGkAbQBlAHMAIABGAHIAYQBjAFcARQBUAF8AaQBcAFwAdABpAG0AZQBzACAARgByAGEAYwBMAEUAQQBDAEgAXwB7AE0AUwB9AFwAIgApADsAXABuAFwAbgBWAEUARQBSAEcAXwA0AF8AMwBfADEAXwA2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bQA0AFwAIgAsACAAXAAiAHQAbwB0AGEAbAAgAG4AaQB0AHIAbwBnAGUAbgAgAGkAbgAgAHMAbwBsAGkAZAAgAHMAdABvAHIAYQBnAGUAIABzAHkAcwB0AGUAbQAgAG0APQA0ACAAKABrAGcAIABOACkAXAAiACwAIABcACIAawBnACAATgBcACIALAAgAFwAIgBDAGEAbABjAHUAbABhAHQAZQBkACAAZgByAG8AbQAgADQALgAzAC4AMQAuADMAIAAoADIAKQBcACIAOwBcAG4AIAAgACAAIAAgACAAIAAgACAAIABcACIARgByAGEAYwBXAEUAVABfAGkAXAAiACwAI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fAE0AUwBcACIALAAg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RABhAGk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kAIABNAGUAdABoAG8AZAAgADEAIAAtACAAUwBvAGkAbA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5AF8AXwAxAF8ARABpAHIAZQBjAHQATgBpAHQAcgBvAHUAcwBPAHgAaQBkAGUARQBtAGkAcwBzAGkAbwBuAHMATwBuAFAAYQBzAHQAdQByAGUAXABuAEQAaQByAGUAYwB0ACAAbgBpAHQAcgBvAHUAcwAgAG8AeABpAGQAZQAgAGUAbQBpAHMAcwBpAG8AbgBzACAAbwBuACAAcABhAHMAdAB1AHIAZQBcAG4ARQBfAE4AMgBPAGQAaQByAFwAbgB0ACAATgAyAE8AXABuAEUAXwB7AE4AMgBPACwAZABpAHIAfQA9AE0ATgBfAHsAagBtAD0AMQA0AH0AXABcAHQAaQBtAGUAcwAgAEUARgBfAHsAUABSAFAAfQBcAFwAdABpAG0AZQBzACAAQwBfAHsATgAyAE8AfQBcAFwAdABpAG0AZQBzACAAMQAwAF4AewAtADMAfQBcAG4ATQBOAF8AagBtADEANAAgAD0AIABtAGEAcwBzACAAbwBmACAAbgBpAHQAcgBvAGcAZQBuACAAZQB4AGMAcgBlAHQAZQBkACAAbwBuACAAcABhAHMAdAB1AHIAZQAsACAAcgBhAG4AZwBlACwAIABhAG4AZAAgAHAAYQBkAGQAbwBjAGsAIABmAG8AcgAgAGUAYQBjAGgAIABkAGEAaQByAHkAIABjAGEAdAB0AGwAZQAgAGMAbABhAHMAcwAgACgAawBnACAATgApAFwAbgBFAEYAXwBQAFIAUAAgAD0AIABlAG0AaQBzAHMAaQBvAG4AIABmAGEAYwB0AG8AcgAgAGYAbwByACAAbgBpAHQAcgBvAHUAcwAgAG8AeABpAGQAZQAgAGUAbQBpAHMAcwBpAG8AbgBzACAAZgBvAHIAIAB1AHIAaQBuAGUAIABhAG4AZAAgAGQAdQBuAGcAIABkAGUAcABvAHMAaQB0AGUAZAAgAG8AbgAgAFAAUgBQ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kAXwBfADEAXwBEAGkAcgBlAGMAdABOAGkAdAByAG8AdQBzAE8AeABpAGQAZQBFAG0AaQBzAHMAaQBvAG4AcwBPAG4AUABhAHMAdAB1AHIAZQBcAG4AIAAgAD0ATABBAE0AQgBEAEEAKABcAG4AIAAgACAAIABNAE4AXwBqAG0AMQA0ACwAIABFAEYAXwBQAFIAUAAsACAAQwBfAE4AMgBPACwAXABuACAAIAAgACAATQBOAF8AagBtADEANAAgACoAIABFAEYAXwBQAFIAUAAgACoAIABDAF8ATgAyAE8AIAAqACAAMQAwACAAXgAgAC0AMwBcAG4AIAAgACkAOwBcAG4AXABuAFYARQBFAFIARwBfADQAXwAzAF8AMQBfADkAXwBfADEAXwBEAGkAcgBlAGMAdABOAGkAdAByAG8AdQBzAE8AeABpAGQAZQBFAG0AaQBzAHMAaQBvAG4AcwBPAG4AUABhAHMAdAB1AHIAZQBfAFQAaQB0AGwAZQBcAG4AIAAgAD0ATABBAE0AQgBEAEEAKABcACIARABpAHIAZQBjAHQAIABuAGkAdAByAG8AdQBzACAAbwB4AGkAZABlACAAZQBtAGkAcwBzAGkAbwBuAHMAIABvAG4AIABwAGEAcwB0AHUAcgBlAFwAIgApADsAXABuAFwAbgBWAEUARQBSAEcAXwA0AF8AMwBfADEAXwA5AF8AXwAxAF8ARABpAHIAZQBjAHQATgBpAHQAcgBvAHUAcwBPAHgAaQBkAGUARQBtAGkAcwBzAGkAbwBuAHMATwBuAFAAYQBzAHQAdQByAGUAXwBWAGEAcgBpAGEAYgBsAGUAXABuACAAIAA9AEwAQQBNAEIARABBACgAXAAiAEUAXwBOADIATwBkAGkAcgBcACIAKQA7AFwAbgBcAG4AVgBFAEUAUgBHAF8ANABfADMAXwAxAF8AOQBfAF8AMQBfAEQAaQByAGUAYwB0AE4AaQB0AHIAbwB1AHMATwB4AGkAZABlAEUAbQBpAHMAcwBpAG8AbgBzAE8AbgBQAGEAcwB0AHUAcgBlAF8AVQBuAGkAdABcAG4AIAAgAD0ATABBAE0AQgBEAEEAKABcACIAdAAgAE4AMgBPAFwAIgApADsAXABuAFwAbgBWAEUARQBSAEcAXwA0AF8AMwBfADEAXwA5AF8AXwAxAF8ARABpAHIAZQBjAHQATgBpAHQAcgBvAHUAcwBPAHgAaQBkAGUARQBtAGkAcwBzAGkAbwBuAHMATwBuAFAAYQBzAHQAdQByAGUAXwBTAG8AdQByAGMAZQBcAG4AIAAgAD0ATABBAE0AQgBEAEEAKABcACIAVgBFAEUAUgBHACAAMgAwADIANgA6ACAANAAuADMALgAxAC4AOQAsACAARQBxAHUAYQB0AGkAbwBuACAAKAAxACkAXAAiACkAOwBcAG4AXABuAFYARQBFAFIARwBfADQAXwAzAF8AMQBfADkAXwBfADEAXwBEAGkAcgBlAGMAdABOAGkAdAByAG8AdQBzAE8AeABpAGQAZQBFAG0AaQBzAHMAaQBvAG4AcwBPAG4AUABhAHMAdAB1AHIAZQBfAE4ASQBSAFIAZQBmAGUAcgBlAG4AYwBlAFwAbgAgACAAPQBMAEEATQBCAEQAQQAoAFwAIgBcACIAKQA7AFwAbgBcAG4AVgBFAEUAUgBHAF8ANABfADMAXwAxAF8AOQBfAF8AMQBfAEQAaQByAGUAYwB0AE4AaQB0AHIAbwB1AHMATwB4AGkAZABlAEUAbQBpAHMAcwBpAG8AbgBzAE8AbgBQAGEAcwB0AHUAcgBlAF8ATABhAHQAZQB4AEUAcQB1AGEAdABpAG8AbgBcAG4AIAAgAD0ATABBAE0AQgBEAEEAKABcACIARQBfAHsATgAyAE8ALABkAGkAcgB9AD0AXABcAHMAdQBtAFwAXABuAG8AbABpAG0AaQB0AHMAXwB7AGoAfQAoAE0ATgBfAHsAagBtAD0AMQA0AH0AXABcAHQAaQBtAGUAcwAgAEUARgBfAHsAUABSAFAAfQBcAFwAdABpAG0AZQBzACAAQwBfAHsATgAyAE8AfQBcAFwAdABpAG0AZQBzACAAMQAwAF4AewAtADMAfQApAFwAIgApADsAXABuAFwAbgBWAEUARQBSAEcAXwA0AF8AMwBfADEAXwA5AF8AXwAxAF8ARABpAHIAZQBjAHQATgBpAHQAcgBvAHUAcwBPAHgAaQBkAGUARQBtAGkAcwBzAGkAbwBuAHMATwBuAFAAYQBzAHQAdQByAGUAXwBBAHIAZwB1AG0AZQBuAHQAcwBcAG4AIAAgAD0ATABBAE0AQgBEAEEAKABcAG4AIAAgACAAIABNAEEASwBFAEEAUgBSAEEAWQAoADQ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wAIABhAG4AZAAgAHAAYQBkAGQAbwBjAGsAIABmAG8AcgAgAGUAYQBjAGgAIABkAGEAaQByAHkAIABjAGEAdAB0AGwAZQAgAGMAbABhAHMAcwBcACIALAAgAFwAIgBrAGcAIABOAFwAIgAsACAAXAAiAEMAYQBsAGMAdQBsAGEAdABlAGQAIABmAHIAbwBtACAANAAuADMALgAxAC4AMwAgACgAMgApAFwAIgA7AFwAbgAgACAAIAAgACAAIAAgACAAIAAgAFwAIgBFAEYAXwBQAFIAUABcACIALAAgAFwAIgBlAG0AaQBzAHMAaQBvAG4AIABmAGEAYwB0AG8AcgAgAGYAbwByACAAbgBpAHQAcgBvAHUAcwAgAG8AeABpAGQAZQAgAGUAbQBpAHMAcwBpAG8AbgBzACAAZgBvAHIAIAB1AHIAaQBuAGUAIABhAG4AZAAgAGQAdQBuAGcAIABkAGUAcABvAHMAaQB0AGUAZAAgAG8AbgAgAFAAUgBQ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HoAXAAiACwAXAAiAFcAZQB0ACAAbwByACAAZAByAHkAIABjAGwAaQBtAGEAdABlACAAegBvAG4AZQBcACIALAAgAFwAIgBcACIALAAgAFwAIgBJAG4AcAB1AHQAXAAiAFwAbgAgACAAIAAgACAAIAAgACAAfQAsACAAcgAsACAAYwApAFwAbgAgACAAIAAgACAAIAApAFwAbgAgACAAIAAgACkAXABuACAAIAApADsAXABuACIAfQAsAHsAIgBwAGEAdABoACIAOgAiAC8AcAByAG8AagBlAGMAdABzAC8ATQBNAFMAXwBEAGEAaQ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wACAATQBlAHQAaABvAGQAIAAxACAALQAgAFMAbwBpAGwAIABBAHQAbQBvAHMAcABoAGUAcgBpAGMAIABEAGUAcABvAHMAaQB0AGkAbwBu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A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AAXwBfADEAXwBBAHQAbQBvAHMAcABoAGUAcgBpAGMARABlAHAAbwBzAGkAdABpAG8AbgBFAG0AaQBzAHMAaQBvAG4AcwBGAHIAbwBtAFUAcgBpAG4AZQBBAG4AZABEAHUAbgBn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MwBfADEAXwAxADA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wBfADEAXwAxADA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wBfADEAXwAxADAAXwBfADEAXwBBAHQAbQBvAHMAcABoAGUAcgBpAGMARABlAHAAbwBzAGkAdABpAG8AbgBFAG0AaQBzAHMAaQBvAG4AcwBGAHIAbwBtAFUAcgBpAG4AZQBBAG4AZABEAHUAbgBnAE8AbgBQAGEAcwB0AHUAcgBlAF8AVQBuAGkAdABcAG4AIAAgAD0ATABBAE0AQgBEAEEAKABcACIAdAAgAE4AMgBPAFwAIgApADsAXABuAFwAbgBWAEUARQBSAEcAXwA0AF8AMwBfADEAXwAxADAAXwBfADEAXwBBAHQAbQBvAHMAcABoAGUAcgBpAGMARABlAHAAbwBzAGkAdABpAG8AbgBFAG0AaQBzAHMAaQBvAG4AcwBGAHIAbwBtAFUAcgBpAG4AZQBBAG4AZABEAHUAbgBnAE8AbgBQAGEAcwB0AHUAcgBlAF8AUwBvAHUAcgBjAGUAXABuACAAIAA9AEwAQQBNAEIARABBACgAXAAiAFYARQBFAFIARwAgADIAMAAyADYAOgAgADQALgAzAC4AMQAuADEAMAAsACAARQBxAHUAYQB0AGkAbwBuACAAKAAxACkAXAAiACkAOwBcAG4AXABuAFYARQBFAFIARwBfADQAXwAzAF8AMQBfADEAMABfAF8AMQBfAEEAdABtAG8AcwBwAGgAZQByAGkAYwBEAGUAcABvAHMAaQB0AGkAbwBuAEUAbQBpAHMAcwBpAG8AbgBzAEYAcgBvAG0AVQByAGkAbgBlAEEAbgBkAEQAdQBuAGcATwBuAFAAYQBzAHQAdQByAGUAXwBOAEkAUgBSAGUAZgBlAHIAZQBuAGMAZQBcAG4AIAAgAD0ATABBAE0AQgBEAEEAKABcACIAXAAiACkAOwBcAG4AXABuAFYARQBFAFIARwBfADQAXwAzAF8AMQBfADEAMABfAF8AMQBfAEEAdABtAG8AcwBwAGgAZQByAGkAYwBEAGUAcABvAHMAaQB0AGkAbwBuAEUAbQBpAHMAcwBpAG8AbgBzAEYAcgBvAG0AVQByAGkAbgBlAEEAbgBkAEQAdQBuAGc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MAXwAxAF8AMQAw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HUAcgBpAG4AZQAgAGEAbgBkACAAZgBhAGUAYwBlAHMAIABkAGUAcABvAHMAaQB0AGUAZAAgAG8AbgAgAHAAYQBzAHQAdQByAGUAXAAiACwAIABcACIAawBnACAATgBcACIALAAgAFwAIgBDAGEAbABjAHUAbABhAHQAZQBkACAAZgByAG8AbQAgADQALgAzAC4AMQAuADEAMA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MABfAF8AMgBfAE0AYQBzAHMATwBmAE4AaQB0AHIAbwBnAGUAbgBWAG8AbABhAHQAaQBsAGkAcwBlAGQATwBuAFAAYQBzAHQAdQByAGUAXABuAE0AYQBzAHMAIABvAGYAIABuAGkAdAByAG8AZwBlAG4AIAB2AG8AbABhAHQAaQBsAGkAcwBlAGQAIABmAHIAbwBtACAAdQByAGkAbgBlACAAYQBuAGQAIABmAGEAZQBjAGUAcwAgAGQAZQBwAG8AcwBpAHQAZQBkACAAbwBuACAAcABhAHMAdAB1AHIAZQBcAG4ATQBfAHYAbwBsAF8AbQAxADQAXABuAGsAZwAgAE4AXABuAE0AXwB7AHYAbwBsACwAbQA9ADEANAB9AD0ATQBOAF8AewBqAG0APQAxADQAfQBcAFwAdABpAG0AZQBzACAARgByAGEAYwBHAEEAUwBNAHMAbwBpAGwAXABuAE0ATgBfAGoAbQAxADQAIAA9ACAAbQBhAHMAcwAgAG8AZgAgAG4AaQB0AHIAbwBnAGUAbgAgAGUAeABjAHIAZQB0AGUAZAAgAG8AbgAgAHAAYQBzAHQAdQByAGUALAAgAHIAYQBuAGcAZQAgAGEAbgBkACAAcABhAGQAZABvAGMAawAgAGYAbwByACAAZQBhAGMAaAAgAGQAYQBpAHIAeQAgAGMAbABhAHMAcw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MAXwAxAF8AMQAwAF8AXwAyAF8ATQBhAHMAcwBPAGYATgBpAHQAcgBvAGcAZQBuAFYAbwBsAGEAdABpAGwAaQBzAGUAZABPAG4AUABhAHMAdAB1AHIAZQBcAG4AIAAgAD0ATABBAE0AQgBEAEEAKABcAG4AIAAgACAAIABNAE4AXwBqAG0AMQA0ACwAIABGAHIAYQBjAEcAQQBTAE0AcwBvAGkAbAAsAFwAbgAgACAAIAAgAE0ATgBfAGoAbQAxADQAIAAqACAARgByAGEAYwBHAEEAUwBNAHMAbwBpAGwAXABuACAAIAApADsAXABuAFwAbgBWAEUARQBSAEcAXwA0AF8AMwBfADEAXwAxADAAXwBfADIAXwBNAGEAcwBzAE8AZgBOAGkAdAByAG8AZwBlAG4AVgBvAGwAYQB0AGkAbABpAHMAZQBkAE8AbgBQAGEAcwB0AHUAcgBlAF8AVABpAHQAbABlAFwAbgAgACAAPQBMAEEATQBCAEQAQQAoAFwAIgBNAGEAcwBzACAAbwBmACAAbgBpAHQAcgBvAGcAZQBuACAAdgBvAGwAYQB0AGkAbABpAHMAZQBkACAAZgByAG8AbQAgAHUAcgBpAG4AZQAgAGEAbgBkACAAZgBhAGUAYwBlAHMAIABkAGUAcABvAHMAaQB0AGUAZAAgAG8AbgAgAHAAYQBzAHQAdQByAGUAXAAiACkAOwBcAG4AXABuAFYARQBFAFIARwBfADQAXwAzAF8AMQBfADEAMABfAF8AMgBfAE0AYQBzAHMATwBmAE4AaQB0AHIAbwBnAGUAbgBWAG8AbABhAHQAaQBsAGkAcwBlAGQATwBuAFAAYQBzAHQAdQByAGUAXwBWAGEAcgBpAGEAYgBsAGUAXABuACAAIAA9AEwAQQBNAEIARABBACgAXAAiAE0AXwB2AG8AbABfAG0AMQA0AFwAIgApADsAXABuAFwAbgBWAEUARQBSAEcAXwA0AF8AMwBfADEAXwAxADAAXwBfADIAXwBNAGEAcwBzAE8AZgBOAGkAdAByAG8AZwBlAG4AVgBvAGwAYQB0AGkAbABpAHMAZQBkAE8AbgBQAGEAcwB0AHUAcgBlAF8AVQBuAGkAdABcAG4AIAAgAD0ATABBAE0AQgBEAEEAKABcACIAawBnACAATgBcACIAKQA7AFwAbgBcAG4AVgBFAEUAUgBHAF8ANABfADMAXwAxAF8AMQAwAF8AXwAyAF8ATQBhAHMAcwBPAGYATgBpAHQAcgBvAGcAZQBuAFYAbwBsAGEAdABpAGwAaQBzAGUAZABPAG4AUABhAHMAdAB1AHIAZQBfAFMAbwB1AHIAYwBlAFwAbgAgACAAPQBMAEEATQBCAEQAQQAoAFwAIgBWAEUARQBSAEcAIAAyADAAMgA2ADoAIAA0AC4AMwAuADEALgAxADAALAAgAEUAcQB1AGEAdABpAG8AbgAgACgAMgApAFwAIgApADsAXABuAFwAbgBWAEUARQBSAEcAXwA0AF8AMwBfADEAXwAxADAAXwBfADIAXwBNAGEAcwBzAE8AZgBOAGkAdAByAG8AZwBlAG4AVgBvAGwAYQB0AGkAbABpAHMAZQBkAE8AbgBQAGEAcwB0AHUAcgBlAF8ATgBJAFIAUgBlAGYAZQByAGUAbgBjAGUAXABuACAAIAA9AEwAQQBNAEIARABBACgAXAAiAFwAIgApADsAXABuAFwAbgBWAEUARQBSAEcAXwA0AF8AMwBfADEAXwAxADAAXwBfADIAXwBNAGEAcwBzAE8AZgBOAGkAdAByAG8AZwBlAG4AVgBvAGwAYQB0AGkAbABpAHMAZQBkAE8AbgBQAGEAcwB0AHUAcgBlAF8ATABhAHQAZQB4AEUAcQB1AGEAdABpAG8AbgBcAG4AIAAgAD0ATABBAE0AQgBEAEEAKABcACIATQBfAHsAdgBvAGwALABtAD0AMQA0AH0APQBcAFwAcwB1AG0AXABcAG4AbwBsAGkAbQBpAHQAcwBfAHsAagB9ACgATQBOAF8AewBqAG0APQAxADQAfQBcAFwAdABpAG0AZQBzACAARgByAGEAYwBHAEEAUwBNAHMAbwBpAGwAKQBcACIAKQA7AFwAbgBcAG4AVgBFAEUAUgBHAF8ANABfADMAXwAxAF8AMQAwAF8AXwAyAF8ATQBhAHMAcwBPAGYATgBpAHQAcgBvAGcAZQBuAFYAbwBsAGEAdABpAGwAaQBzAGUAZA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XAAiACwAIABcACIAKABrAGcAIABOAEgAMwAtAE4AIAArACAATgBPAHgALQBOACkALwBrAGcAIABOACkAXAAiACwAIABcACIAQwBvAG4AcwB0AGEAbgB0AFwAIgBcAG4AIAAgACAAIAAgACAAIAAgAH0ALAAgAHIALAAgAGMAKQBcAG4AIAAgACAAIAAgACAAKQBcAG4AIAAgACAAIAApAFwAbgAgACAAKQA7AFwAbgAiAH0ALAB7ACIAcABhAHQAaAAiADoAIgAvAHAAcgBvAGoAZQBjAHQAcwAvAE0ATQBTAF8ARABhAGkAcgB5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yACAATQBlAHQAaABvAGQAIAAxACAALQAgAFMAbwBpAGw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I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UAcgBpAG4AZQAgAGEAbgBkACAAZgBhAGUAYwBlAHMAIABkAGUAcABvAHMAaQB0AGUAZAAgAG8AbgAgAHAAYQBzAHQAdQByAGU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yAF8AXwAxAF8ATABlAGEAYwBoAGkAbgBnAEEAbgBkAFIAdQBuAG8AZgBmAEUAbQBpAHMAcwBpAG8AbgBzAEYAcgBvAG0AVQByAGkAbgBlAEEAbgBkAEQAdQBuAGc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MwBfADEAXwAxADIAXwBfADEAXwBMAGUAYQBjAGgAaQBuAGcAQQBuAGQAUgB1AG4AbwBmAGYARQBtAGkAcwBzAGkAbwBuAHMARgByAG8AbQBVAHIAaQBuAGUAQQBuAGQARAB1AG4AZwBPAG4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MAXwAxAF8AMQAyAF8AXwAxAF8ATABlAGEAYwBoAGkAbgBnAEEAbgBkAFIAdQBuAG8AZgBmAEUAbQBpAHMAcwBpAG8AbgBzAEYAcgBvAG0AVQByAGkAbgBlAEEAbgBkAEQAdQBuAGcATwBuAFAAYQBzAHQAdQByAGUAXwBWAGEAcgBpAGEAYgBsAGUAXABuACAAIAA9AEwAQQBNAEIARABBACgAXAAiAEUAXwBOADIATwBsAGUAYQBjAGgAXAAiACkAOwBcAG4AXABuAFYARQBFAFIARwBfADQAXwAzAF8AMQBfADEAMgBfAF8AMQBfAEwAZQBhAGMAaABpAG4AZwBBAG4AZABSAHUAbgBvAGYAZgBFAG0AaQBzAHMAaQBvAG4AcwBGAHIAbwBtAFUAcgBpAG4AZQBBAG4AZABEAHUAbgBnAE8AbgBQAGEAcwB0AHUAcgBlAF8AVQBuAGkAdABcAG4AIAAgAD0ATABBAE0AQgBEAEEAKABcACIAdAAgAE4AMgBPAFwAIgApADsAXABuAFwAbgBWAEUARQBSAEcAXwA0AF8AMwBfADEAXwAxADIAXwBfADEAXwBMAGUAYQBjAGgAaQBuAGcAQQBuAGQAUgB1AG4AbwBmAGYARQBtAGkAcwBzAGkAbwBuAHMARgByAG8AbQBVAHIAaQBuAGUAQQBuAGQARAB1AG4AZwBPAG4AUABhAHMAdAB1AHIAZQBfAFMAbwB1AHIAYwBlAFwAbgAgACAAPQBMAEEATQBCAEQAQQAoAFwAIgBWAEUARQBSAEcAIAAyADAAMgA2ADoAIAA0AC4AMwAuADEALgAxADIALAAgAEUAcQB1AGEAdABpAG8AbgAgACgAMQApAFwAIgApADsAXABuAFwAbgBWAEUARQBSAEcAXwA0AF8AMwBfADEAXwAxADIAXwBfADEAXwBMAGUAYQBjAGgAaQBuAGcAQQBuAGQAUgB1AG4AbwBmAGYARQBtAGkAcwBzAGkAbwBuAHMARgByAG8AbQBVAHIAaQBuAGUAQQBuAGQARAB1AG4AZwBPAG4AUABhAHMAdAB1AHIAZQBfAE4ASQBSAFIAZQBmAGUAcgBlAG4AYwBlAFwAbgAgACAAPQBMAEEATQBCAEQAQQAoAFwAIgBcACIAKQA7AFwAbgBcAG4AVgBFAEUAUgBHAF8ANABfADMAXwAxAF8AMQAyAF8AXwAxAF8ATABlAGEAYwBoAGkAbgBnAEEAbgBkAFIAdQBuAG8AZgBmAEUAbQBpAHMAcwBpAG8AbgBzAEYAcgBvAG0AVQByAGkAbgBlAEEAbgBkAEQAdQBuAGc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MwBfADEAXwAxADIAXwBfADEAXwBMAGUAYQBjAGgAaQBuAGcAQQBuAGQAUgB1AG4AbwBmAGYARQBtAGkAcwBzAGkAbwBuAHMARgByAG8AbQBVAHIAaQBuAGUAQQBuAGQARAB1AG4AZw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UAcgBpAG4AZQAgAGEAbgBkACAAZgBhAGUAYwBlAHMAIABkAGUAcABvAHMAaQB0AGUAZAAgAG8AbgAgAHAAYQBzAHQAdQByAGUAXAAiACwAIABcACIAawBnACAATgBcACIALAAgAFwAIgBDAGEAbABjAHUAbABhAHQAZQBkACAAZgByAG8AbQAgADQALgAzAC4AMQAuADEAM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MgBfAF8AMgBfAE0AYQBzAHMATwBmAE4AaQB0AHIAbwBnAGUAbgBMAG8AcwB0AFQAbwBMAGUAYQBjAGgAaQBuAGcAQQBuAGQAUgB1AG4AbwBmAGYATwBuAFAAYQBzAHQAdQByAGUAXABuAE0AYQBzAHMAIABvAGYAIABuAGkAdAByAG8AZwBlAG4AIABsAG8AcwB0ACAAdABvACAAbABlAGEAYwBoAGkAbgBnACAAYQBuAGQAIAByAHUAbgBvAGYAZgAgAGYAcgBvAG0AIAB1AHIAaQBuAGUAIABhAG4AZAAgAGYAYQBlAGMAZQBzACAAbwBuACAAcABhAHMAdAB1AHIAZQBcAG4ATQBfAGwAZQBhAGMAaABfAG0AMQA0AFwAbgBrAGcAIABOAFwAbgBNAF8AewBsAGUAYQBjAGgALABtAD0AMQA0AH0APQBNAE4AXwB7AGoAbQA9ADEANAB9AFwAXAB0AGkAbQBlAHMAIABGAHIAYQBjAFcAZQB0AFwAXAB0AGkAbQBlAHMAIABGAHIAYQBjAEwARQBBAEMASABcAG4ATQBOAF8AagBtADEANAAgAD0AIABtAGEAcwBzACAAbwBmACAAbgBpAHQAcgBvAGcAZQBuACAAZQB4AGMAcgBlAHQAZQBkACAAbwBuACAAcABhAHMAdAB1AHIAZQAsACAAcgBhAG4AZwBlACAAYQBuAGQAIABwAGEAZABkAG8AYwBrACAAZgBvAHIAIABlAGEAYwBoACAAZABhAGkAcgB5ACAAYwBsAGEAcwBzACAAKABrAGcAIABOACkAXABuAEYAcgBhAGMAVwBlAHQAIAA9ACAAZgByAGEAYwB0AGkAbwBuACAAbwBmACAATgAgAGEAdgBhAGkAbABhAGIAbABlACAAZgBvAHIAIABsAGUAYQBjAGgAaQBuAGcAIABhAG4AZAAgAHIAdQBuAG8AZgBmAFwAbgBGAHIAYQBjAEwARQBBAEMASA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EAMgBfAF8AMgBfAE0AYQBzAHMATwBmAE4AaQB0AHIAbwBnAGUAbgBMAG8AcwB0AFQAbwBMAGUAYQBjAGgAaQBuAGcAQQBuAGQAUgB1AG4AbwBmAGYATwBuAFAAYQBzAHQAdQByAGUAXABuACAAIAA9AEwAQQBNAEIARABBACgAXABuACAAIAAgACAATQBOAF8AagBtADEANAAsACAARgByAGEAYwBXAGUAdAAsACAARgByAGEAYwBMAEUAQQBDAEgALABcAG4AIAAgACAAIABNAE4AXwBqAG0AMQA0ACAAKgAgAEYAcgBhAGMAVwBlAHQAIAAqACAARgByAGEAYwBMAEUAQQBDAEgAXABuACAAIAApADsAXABuAFwAbgBWAEUARQBSAEcAXwA0AF8AMwBfADEAXwAxADI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IABmAHIAbwBtACAAdQByAGkAbgBlACAAYQBuAGQAIABmAGEAZQBjAGUAcwAgAG8AbgAgAHAAYQBzAHQAdQByAGUAXAAiACkAOwBcAG4AXABuAFYARQBFAFIARwBfADQAXwAzAF8AMQBfADEAMgBfAF8AMgBfAE0AYQBzAHMATwBmAE4AaQB0AHIAbwBnAGUAbgBMAG8AcwB0AFQAbwBMAGUAYQBjAGgAaQBuAGcAQQBuAGQAUgB1AG4AbwBmAGYATwBuAFAAYQBzAHQAdQByAGUAXwBWAGEAcgBpAGEAYgBsAGUAXABuACAAIAA9AEwAQQBNAEIARABBACgAXAAiAE0AXwBsAGUAYQBjAGgAXwBtADEANABcACIAKQA7AFwAbgBcAG4AVgBFAEUAUgBHAF8ANABfADMAXwAxAF8AMQAyAF8AXwAyAF8ATQBhAHMAcwBPAGYATgBpAHQAcgBvAGcAZQBuAEwAbwBzAHQAVABvAEwAZQBhAGMAaABpAG4AZwBBAG4AZABSAHUAbgBvAGYAZgBPAG4AUABhAHMAdAB1AHIAZQBfAFUAbgBpAHQAXABuACAAIAA9AEwAQQBNAEIARABBACgAXAAiAGsAZwAgAE4AXAAiACkAOwBcAG4AXABuAFYARQBFAFIARwBfADQAXwAzAF8AMQBfADEAMgBfAF8AMgBfAE0AYQBzAHMATwBmAE4AaQB0AHIAbwBnAGUAbgBMAG8AcwB0AFQAbwBMAGUAYQBjAGgAaQBuAGcAQQBuAGQAUgB1AG4AbwBmAGYATwBuAFAAYQBzAHQAdQByAGUAXwBTAG8AdQByAGMAZQBcAG4AIAAgAD0ATABBAE0AQgBEAEEAKABcACIAVgBFAEUAUgBHACAAMgAwADIANgA6ACAANAAuADMALgAxAC4AMQAyACwAIABFAHEAdQBhAHQAaQBvAG4AIAAoADIAKQBcACIAKQA7AFwAbgBcAG4AVgBFAEUAUgBHAF8ANABfADMAXwAxAF8AMQAyAF8AXwAyAF8ATQBhAHMAcwBPAGYATgBpAHQAcgBvAGcAZQBuAEwAbwBzAHQAVABvAEwAZQBhAGMAaABpAG4AZwBBAG4AZABSAHUAbgBvAGYAZgBPAG4AUABhAHMAdAB1AHIAZQBfAE4ASQBSAFIAZQBmAGUAcgBlAG4AYwBlAFwAbgAgACAAPQBMAEEATQBCAEQAQQAoAFwAIgBcACIAKQA7AFwAbgBcAG4AVgBFAEUAUgBHAF8ANABfADMAXwAxAF8AMQAyAF8AXwAyAF8ATQBhAHMAcwBPAGYATgBpAHQAcgBvAGcAZQBuAEwAbwBzAHQAVABvAEwAZQBhAGMAaABpAG4AZwBBAG4AZABSAHUAbgBvAGYAZgBPAG4AUABhAHMAdAB1AHIAZQBfAEwAYQB0AGUAeABFAHEAdQBhAHQAaQBvAG4AXABuACAAIAA9AEwAQQBNAEIARABBACgAXAAiAE0AXwB7AGwAZQBhAGMAaAAsAG0APQAxADQAfQA9AFwAXABzAHUAbQBcAFwAbgBvAGwAaQBtAGkAdABzAF8AewBqAH0AKABNAE4AXwB7AGoAbQA9ADEANAB9AFwAXAB0AGkAbQBlAHMAIABGAHIAYQBjAFcAZQB0AFwAXAB0AGkAbQBlAHMAIABGAHIAYQBjAEwARQBBAEMASAApAFwAIgApADsAXABuAFwAbgBWAEUARQBSAEcAXwA0AF8AMwBfADEAXwAxADI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FcAZQB0AFwAIgAsACAAXAAiAGYAcgBhAGMAdABpAG8AbgAgAG8AZgAgAE4AIABhAHYAYQBpAGwAYQBiAGwAZQAgAGYAbwByACAAbABlAGEAYwBoAGkAbgBnACAAYQBuAGQAIAByAHUAbgBvAGYAZgBcACIALAAgAFwAIgBcACIALAAgAFwAIgBDAG8AbgBzAHQAYQBuAHQAXAAiADsAXABuACAAIAAgACAAIAAgACAAIAAgACAAXAAiAEYAcgBhAGMATABFAEEAQwBIAFwAIgAsACAAXAAiAGYAcgBhAGMAdABpAG8AbgAgAG8AZgAgAE4AIABsAG8AcwB0ACAAdABoAHIAbwB1AGcAaAAgAGwAZQBhAGMAaABpAG4AZwAgAGEAbgBkACAAcgB1AG4AbwBmAGYAXAAiACwAIABcACI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UAbgB0AGUAcgBpAGMATQBlAHQAaABhAG4AZQBfAFMAdwBpAG4AZQBfAEUAcQB1AGEAdABpAG8AbgBzACIALAAiAHQAZQB4AHQAIgA6ACIALwAqAFwAbgA9AD0APQA9AD0APQA9AD0APQA9AD0APQA9AD0APQA9AD0APQA9AD0APQA9AD0APQA9AD0APQA9AD0APQA9AD0APQA9AD0APQA9AD0APQA9AD0APQA9AD0APQA9AD0APQA9AD0APQA9AD0APQA9AD0APQA9AD0APQA9AD0APQA9AD0APQA9AD0APQA9AD0APQA9AD0APQA9AFwAbgAzAC4ANQA6ACAARQBuAHQAZQByAGkAYwAgAE0AZQB0AGgAYQBuAGUAIAAtACAAUwB3AGkAbgBlAFwAbgA9AD0APQA9AD0APQA9AD0APQA9AD0APQA9AD0APQA9AD0APQA9AD0APQA9AD0APQA9AD0APQA9AD0APQA9AD0APQA9AD0APQA9AD0APQA9AD0APQA9AD0APQA9AD0APQA9AD0APQA9AD0APQA9AD0APQA9AD0APQA9AD0APQA9AD0APQA9AD0APQA9AD0APQA9AD0APQA9AFwAbgAzAC4ANQAuADEALgAxACAATQBlAHQAaABvAGQAIAAxACAALQAgAEUAbgB0AGUAcgBpAGM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N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HMAdwBpAG4AZQBcAG4ARQBfAGUAbgB0AGUAcgBpAGMAXABuAHQAIABDAEgANABcAG4ARQBfAHsAZQBuAHQAZQByAGkAYwB9AD0AXABcAHMAdQBtAF8AewBqAH0AKABOAF8AagBcAFwAdABpAG0AZQBzACAATQBfAGoAXABcAHQAaQBtAGUAcwAgAEQAXwBqACkAXABcAHQAaQBtAGUAcwAgADEAMABeAHsALQAzAH0AXABuAE4AXwBqACAAPQAgAG4AdQBtAGIAZQByAHMAIABvAGYAIABzAHcAaQBuAGUAIABvAGYAIABlAGEAYwBoACAAYwBsAGEAcwBzACAAKABoAGUAYQBkACkAXABuAE0AXwBqACAAPQAgAG0AZQB0AGgAYQBuAGUAIABwAHIAbwBkAHUAYwB0AGkAbwBuACAAKABrAGcAIABDAEgANAAvAGgAZQBhAGQALwBkAGEAeQApAFwAbgBEAF8AagAgAD0AIAB0AGgAZQAgAGEAdgBlAHIAYQBnAGUAIABuAHUAbQBiAGUAcgAgAG8AZgAgAGQAYQB5AHMAIABvAG4AIABmAGEAcgBtACAAZgBvAHIAIABlAGEAYwBoACAAcwB3AGkAbgBlACAAYwBsAGEAcwBzACAAKABkAGEAeQBzACkAXABuAC0ALQAtAC0ALQAtAC0ALQAtAC0ALQAtAC0ALQAtAC0ALQAtAC0ALQAtAC0ALQAtAC0ALQAtAC0ALQAtAC0ALQAtAC0ALQAtAC0ALQBcAG4AKgAvAFwAbgBcAG4AVgBFAEUAUgBHAF8AMwBfADUAXwAxAF8AMQBfAF8AMQBfAFQAbwB0AGEAbABBAG4AbgB1AGEAbABNAGUAdABoAGEAbgBlAEYAcgBvAG0ARQBuAHQAZQByAGkAYwBGAGUAcgBtAGUAbgB0AGEAdABpAG8AbgBcAG4AIAAgAD0ATABBAE0AQgBEAEEAKABcAG4AIAAgACAAIABOAF8AagAsACAATQBfAGoALAAgAEQAXwBqACwAXABuACAAIAAgACAAKABOAF8AagAgACoAIABNAF8AagAgACoAIABEAF8AagApACAAKgAgADEAMAAgAF4AIAAtADMAXABuACAAIAApADsAXABuAFwAbgBWAEUARQBSAEcAXwAzAF8ANQ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HMAdwBpAG4AZQBcACIAKQA7AFwAbgBcAG4AVgBFAEUAUgBHAF8AMwBfADUAXwAxAF8AMQBfAF8AMQBfAFQAbwB0AGEAbABBAG4AbgB1AGEAbABNAGUAdABoAGEAbgBlAEYAcgBvAG0ARQBuAHQAZQByAGkAYwBGAGUAcgBtAGUAbgB0AGEAdABpAG8AbgBfAFYAYQByAGkAYQBiAGwAZQBcAG4AIAAgAD0ATABBAE0AQgBEAEEAKABcACIARQBfAGUAbgB0AGUAcgBpAGMAXAAiACkAOwBcAG4AXABuAFYARQBFAFIARwBfADMAXwA1AF8AMQBfADEAXwBfADEAXwBUAG8AdABhAGwAQQBuAG4AdQBhAGwATQBlAHQAaABhAG4AZQBGAHIAbwBtAEUAbgB0AGUAcgBpAGMARgBlAHIAbQBlAG4AdABhAHQAaQBvAG4AXwBVAG4AaQB0AFwAbgAgACAAPQBMAEEATQBCAEQAQQAoAFwAIgB0ACAAQwBIADQAXAAiACkAOwBcAG4AXABuAFYARQBFAFIARwBfADMAXwA1AF8AMQBfADEAXwBfADEAXwBUAG8AdABhAGwAQQBuAG4AdQBhAGwATQBlAHQAaABhAG4AZQBGAHIAbwBtAEUAbgB0AGUAcgBpAGMARgBlAHIAbQBlAG4AdABhAHQAaQBvAG4AXwBTAG8AdQByAGMAZQBcAG4AIAAgAD0ATABBAE0AQgBEAEEAKABcACIAVgBFAEUAUgBHACAAMgAwADIANgA6ACAAMwAuADUALgAxAC4AMQAsACAARQBxAHUAYQB0AGkAbwBuACAAKAAxACkAXAAiACkAOwBcAG4AXABuAFYARQBFAFIARwBfADMAXwA1AF8AMQBfADEAXwBfADEAXwBUAG8AdABhAGwAQQBuAG4AdQBhAGwATQBlAHQAaABhAG4AZQBGAHIAbwBtAEUAbgB0AGUAcgBpAGMARgBlAHIAbQBlAG4AdABhAHQAaQBvAG4AXwBOAEkAUgBSAGUAZgBlAHIAZQBuAGMAZQBcAG4AIAAgAD0ATABBAE0AQgBEAEEAKABcACIAXAAiACkAOwBcAG4AXABuAFYARQBFAFIARwBfADMAXwA1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OAF8AagBcAFwAdABpAG0AZQBzACAATQBfAGoAXABcAHQAaQBtAGUAcwAgAEQAXwBqACkAXABcAHQAaQBtAGUAcwAgADEAMABeAHsALQAzAH0AXAAiACkAOwBcAG4AXABuAFYARQBFAFIARwBfADMAXwA1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cwAgAG8AZgAgAHMAdwBpAG4AZQAgAG8AZgAgAGUAYQBjAGgAIABjAGwAYQBzAHMAXAAiACwAIABcACIAaABlAGEAZABcACIALAAgAFwAIgBJAG4AcAB1AHQAXAAiADsAXABuACAAIAAgACAAIAAgACAAIAAgACAAXAAiAE0AXwBqAFwAIgAsACAAXAAiAG0AZQB0AGgAYQBuAGUAIABwAHIAbwBkAHUAYwB0AGkAbwBuAFwAIgAsACAAXAAiAGsAZwAgAEMASAA0AC8AaABlAGEAZAAvAGQAYQB5AFwAIgAsACAAXAAiAEMAYQBsAGMAdQBsAGEAdABlAGQAIABmAHIAbwBtACAAMwAuADUALgAxAC4AMQAsACAAKAAyACkAXAAiADsAXABuACAAIAAgACAAIAAgACAAIAAgACAAXAAiAEQAXwBqAFwAIgAsACAAXAAiAHQAaABlACAAYQB2AGUAcgBhAGcAZQAgAG4AdQBtAGIAZQByACAAbwBmACAAZABhAHkAcwAgAG8AbgAgAGYAYQByAG0AIABmAG8AcgAgAGUAYQBjAGgAIABzAHcAaQBuAGU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UAXwAxAF8AMQBfAF8AMgBfAEQAYQBpAGwAeQBFAG4AdABlAHIAaQBjAE0AZQB0AGgAYQBuAGUAUAByAG8AZAB1AGMAdABpAG8AbgBcAG4AVABvAHQAYQBsACAAZABhAGkAbAB5ACAAcAByAG8AZAB1AGMAdABpAG8AbgAgAG8AZgAgAGUAbgB0AGUAcgBpAGMAIABtAGUAdABoAGEAbgBlACAAbwBmACAAcwB3AGkAbgBlAFwAbgBNAF8AagBcAG4AawBnACAAQwBIADQALwBoAGUAYQBkAC8AZABhAHkAXABuAE0AXwBqAD0AXABcAGYAcgBhAGMAewBJAF8AagBcAFwAdABpAG0AZQBzACAAMQA4AC4ANgBcAFwAdABpAG0AZQBzACAAMAAuADAAMAA3AH0AewBGAH0AXABuAEkAXwBqACAAPQAgAGQAYQBpAGwAeQAgAGYAZQBlAGQAIABpAG4AZwBlAHMAdABlAGQAIABiAHkAIABlAGEAYwBoACAAcwB3AGkAbgBlACAAYwBsAGEAcwBzACAAKABrAGcALwBoAGUAYQBkAC8AZABhAHkAKQBcAG4ARgAgAD0AIABtAGUAZwBhAGoAbwB1AGwAZQBzACAAcABlAHIAIABrAGkAbABvAGcAcgBhAG0AIABvAGYAIABtAGUAdABoAGEAbgBlACAAKABNAEoALwBrAGcAIABDAEgANAApAFwAbgAtAC0ALQAtAC0ALQAtAC0ALQAtAC0ALQAtAC0ALQAtAC0ALQAtAC0ALQAtAC0ALQAtAC0ALQAtAC0ALQAtAC0ALQAtAC0ALQAtAC0AXABuACoALwBcAG4AXABuAFYARQBFAFIARwBfADMAXwA1AF8AMQBfADEAXwBfADIAXwBEAGEAaQBsAHkARQBuAHQAZQByAGkAYwBNAGUAdABoAGEAbgBlAFAAcgBvAGQAdQBjAHQAaQBvAG4AXABuACAAIAA9AEwAQQBNAEIARABBACgAXABuACAAIAAgACAASQBfAGoALAAgAEYALABcAG4AIAAgACAAIAAoAEkAXwBqACAAKgAgADEAOAAuADYAIAAqACAAMAAuADAAMAA3ACkAIAAvACAARgBcAG4AIAAgACkAOwBcAG4AXABuAFYARQBFAFIARwBfADMAXwA1AF8AMQBfADEAXwBfADIAXwBEAGEAaQBsAHkARQBuAHQAZQByAGkAYwBNAGUAdABoAGEAbgBlAFAAcgBvAGQAdQBjAHQAaQBvAG4AXwBUAGkAdABsAGUAXABuACAAIAA9AEwAQQBNAEIARABBACgAXAAiAFQAbwB0AGEAbAAgAGQAYQBpAGwAeQAgAHAAcgBvAGQAdQBjAHQAaQBvAG4AIABvAGYAIABlAG4AdABlAHIAaQBjACAAbQBlAHQAaABhAG4AZQAgAG8AZgAgAHMAdwBpAG4AZQBcACIAKQA7AFwAbgBcAG4AVgBFAEUAUgBHAF8AMwBfADUAXwAxAF8AMQBfAF8AMgBfAEQAYQBpAGwAeQBFAG4AdABlAHIAaQBjAE0AZQB0AGgAYQBuAGUAUAByAG8AZAB1AGMAdABpAG8AbgBfAFYAYQByAGkAYQBiAGwAZQBcAG4AIAAgAD0ATABBAE0AQgBEAEEAKABcACIATQBfAGoAXAAiACkAOwBcAG4AXABuAFYARQBFAFIARwBfADMAXwA1AF8AMQBfADEAXwBfADIAXwBEAGEAaQBsAHkARQBuAHQAZQByAGkAYwBNAGUAdABoAGEAbgBlAFAAcgBvAGQAdQBjAHQAaQBvAG4AXwBVAG4AaQB0AFwAbgAgACAAPQBMAEEATQBCAEQAQQAoAFwAIgBrAGcAIABDAEgANAAvAGgAZQBhAGQALwBkAGEAeQBcACIAKQA7AFwAbgBcAG4AVgBFAEUAUgBHAF8AMwBfADUAXwAxAF8AMQBfAF8AMgBfAEQAYQBpAGwAeQBFAG4AdABlAHIAaQBjAE0AZQB0AGgAYQBuAGUAUAByAG8AZAB1AGMAdABpAG8AbgBfAFMAbwB1AHIAYwBlAFwAbgAgACAAPQBMAEEATQBCAEQAQQAoAFwAIgBWAEUARQBSAEcAIAAyADAAMgA2ADoAIAAzAC4ANQAuADEALgAxACwAIABFAHEAdQBhAHQAaQBvAG4AIAAoADIAKQBcACIAKQA7AFwAbgBcAG4AVgBFAEUAUgBHAF8AMwBfADUAXwAxAF8AMQBfAF8AMgBfAEQAYQBpAGwAeQBFAG4AdABlAHIAaQBjAE0AZQB0AGgAYQBuAGUAUAByAG8AZAB1AGMAdABpAG8AbgBfAE4ASQBSAFIAZQBmAGUAcgBlAG4AYwBlAFwAbgAgACAAPQBMAEEATQBCAEQAQQAoAFwAIgBcACIAKQA7AFwAbgBcAG4AVgBFAEUAUgBHAF8AMwBfADUAXwAxAF8AMQBfAF8AMgBfAEQAYQBpAGwAeQBFAG4AdABlAHIAaQBjAE0AZQB0AGgAYQBuAGUAUAByAG8AZAB1AGMAdABpAG8AbgBfAEwAYQB0AGUAeABFAHEAdQBhAHQAaQBvAG4AXABuACAAIAA9AEwAQQBNAEIARABBACgAXAAiAE0AXwBqAD0AXABcAGYAcgBhAGMAewBJAF8AagBcAFwAdABpAG0AZQBzACAAMQA4AC4ANgBcAFwAdABpAG0AZQBzACAAMAAuADAAMAA3AH0AewBGAH0AXAAiACkAOwBcAG4AXABuAFYARQBFAFIARwBfADMAXwA1AF8AMQBfADEAXwBfADIAXwBEAGEAaQBsAHkARQBuAHQAZQByAGkAYwBNAGUAdABoAGEAbgBlAFAAcgBvAGQAdQBjAHQAaQBvAG4AXwBBAHIAZwB1AG0AZQBuAHQAcwBcAG4AIAAgAD0ATABBAE0AQgBEAEEAKABcAG4AIAAgACAAIABNAEEASwBFAEEAUgBSAEEAWQAoADQALAAgADQALABcAG4AIAAgACAAIAAgACAATABBAE0AQgBEAEEAKAByACwAYwAsAFwAbgAgACAAIAAgACAAIAAgACAASQBOAEQARQBYACgAewBcAG4AIAAgACAAIAAgACAAIAAgACAAIABcACIASQBfAGoAXAAiACwAIABcACIAZABhAGkAbAB5ACAAZgBlAGUAZAAgAGkAbgBnAGUAcwB0AGUAZAAgAGIAeQAgAGUAYQBjAGgAIABzAHcAaQBuAGUAIABjAGwAYQBzAHMAXAAiACwAIABcACIAawBnAC8AaABlAGEAZAAvAGQAYQB5AFwAIgAsACAAXAAiAEkAbgBwAHUAdABcACIAOwBcAG4AIAAgACAAIAAgACAAIAAgACAAIABcACIAMQA4AC4ANgBcACIALAAgAFwAIgBnAHIAbwBzAHMAIABlAG4AZQByAGcAeQAgACgARwBFACkAIABjAG8AbgB0AGUAbgB0ACAAbwBmACAAZgBlAGUAZABcACIALAAgAFwAIgBNAEoAIABHAEUALwBrAGcAIABmAGUAZQBkAFwAIgAsACAAXAAiAEMAbwBuAHMAdABhAG4AdABcACIAOwBcAG4AIAAgACAAIAAgACAAIAAgACAAIABcACIAMAAuADAAMAA3AFwAIgAsACAAXAAiAGYAcgBhAGMAdABpAG8AbgAgAG8AZgAgAEcARQAgAGkAbgB0AGEAawBlACAAYwBvAG4AdgBlAHIAdABlAGQAIAB0AG8AIABtAGUAdABoAGEAbgBlACAAYgB5ACAAcwB3AGkAbgBlAFwAIgAsACAAXAAiAGYAcgBhAGMAdABpAG8AbgBcACIALAAgAFwAIgBDAG8AbgBzAHQAYQBuAHQAXAAiADsAXABuACAAIAAgACAAIAAgACAAIAAgACAAXAAiAEYAXAAiACwAIABcACIAbQBlAGcAYQBqAG8AdQBsAGUAcwAgAHAAZQByACAAawBpAGwAbwBnAHIAYQBtACAAbwBmACAAbQBlAHQAaABhAG4AZQBcACIALAAgAFwAIgBNAEoALwBrAGcAIABDAEgANABcACIALAAgAFwAIgBDAG8AbgBzAHQAYQBuAHQAXAAiAFwAbgAgACAAIAAgACAAIAAgACAAfQAsACAAcgAsACAAYwApAFwAbgAgACAAIAAgACAAIAApAFwAbgAgACAAIAAgACkAXABuACAAIAApADsAXABuAFwAbgBcAG4AIgB9ACwAewAiAHAAYQB0AGgAIgA6ACIALwBwAHIAbwBqAGUAYwB0AHMALwBNAE0AUwBfAFMAdwBpAG4AZ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QAgAE0AZQB0AGgAbwBkACAAMQAgABQgIABNAGEAbgB1AHIAZQAgAE0AZQB0AGgAYQBuAGU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CgARABfAHsAagB9AFwAXAB0AGkAbQBlAHMAIABNAF8AewBtAGoAfQBcAFwAdABpAG0AZQBzACAATgBfAHsAagB9ACkAXABcAHQAaQBtAGUAcwAxADAAXgB7AC0AMwB9AFwAbgBEAGoAIAA9ACAAbABlAG4AZwB0AGgAIABvAGYAIABzAHQAYQB5ACAAbwBmACAAZQBhAGMAaAAgAGMAbABhAHMAcwAgAG8AZgAgAHMAdwBpAG4AZQAgADoAIABkAGEAeQBzAFwAbgBNAG0AagAgAD0AIABtAGUAdABoAGEAbgBlACAAcAByAG8AZAB1AGMAdABpAG8AbgAgAGYAcgBvAG0AIABtAGEAbgB1AHIAZQAgAGkAbgAgAGUAYQBjAGgAIABzAHcAaQBuAGUAIABjAGwAYQBzAHMAIAA6ACAAawBnACAAQwBIADQALwBoAGUAYQBkAC8AZABhAHkAXABuAE4AagAgAD0AIABuAHUAbQBiAGUAcgBzACAAbwBmACAAcwB3AGkAbgBlACAAaQBuACAAZQBhAGMAaAAgAGMAbABhAHMAcwAgADoAIABoAGUAYQBkAFwAbgAtAC0ALQAtAC0ALQAtAC0ALQAtAC0ALQAtAC0ALQAtAC0ALQAtAC0ALQAtAC0ALQAtAC0ALQAtAC0ALQAtAC0ALQAtAC0ALQAtAC0AXABuACoALwBcAG4AXABuAFYARQBFAFIARwBfADQAXwA1AF8AMQBfADEAXwBfADEAXwBUAG8AdABhAGwAQQBuAG4AdQBhAGwATQBlAHQAaABhAG4AZQBFAG0AaQBzAHMAaQBvAG4AcwBcAG4AIAAgAD0ATABBAE0AQgBEAEEAKABcAG4AIAAgACAAIABEAGoALAAgAE0AbQBqACwAIABOAGoALABcAG4AIAAgACAAIABEAGoAIAAqACAATQBtAGoAIAAqACAATgBqACAAKgAgADEAMAAgAF4AIAAtADMAXABuACAAIAApADsAXABuAFwAbgBWAEUARQBSAEcAXwA0AF8AN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UAXwAxAF8AMQBfAF8AMQBfAFQAbwB0AGEAbABBAG4AbgB1AGEAbABNAGUAdABoAGEAbgBlAEUAbQBpAHMAcwBpAG8AbgBzAF8AVgBhAHIAaQBhAGIAbABlAFwAbgAgACAAPQBMAEEATQBCAEQAQQAoAFwAIgBFAEMASAA0AFwAIgApADsAXABuAFwAbgBWAEUARQBSAEcAXwA0AF8ANQBfADEAXwAxAF8AXwAxAF8AVABvAHQAYQBsAEEAbgBuAHUAYQBsAE0AZQB0AGgAYQBuAGUARQBtAGkAcwBzAGkAbwBuAHMAXwBVAG4AaQB0AFwAbgAgACAAPQBMAEEATQBCAEQAQQAoAFwAIgB0ACAAQwBIADQAXAAiACkAOwBcAG4AXABuAFYARQBFAFIARwBfADQAXwA1AF8AMQBfADEAXwBfADEAXwBUAG8AdABhAGwAQQBuAG4AdQBhAGwATQBlAHQAaABhAG4AZQBFAG0AaQBzAHMAaQBvAG4AcwBfAFMAbwB1AHIAYwBlAFwAbgAgACAAPQBMAEEATQBCAEQAQQAoAFwAIgBWAEUARQBSAEcAIAAyADAAMgA2ADoAIAA0AC4ANQAuADEALgAxACwAIABFAHEAdQBhAHQAaQBvAG4AIAAoADEAKQBcACIAKQA7AFwAbgBcAG4AVgBFAEUAUgBHAF8ANABfADUAXwAxAF8AMQBfAF8AMQBfAFQAbwB0AGEAbABBAG4AbgB1AGEAbABNAGUAdABoAGEAbgBlAEUAbQBpAHMAcwBpAG8AbgBzAF8ATgBJAFIAUgBlAGYAZQByAGUAbgBjAGUAXABuACAAIAA9AEwAQQBNAEIARABBACgAXAAiAFwAIgApADsAXABuAFwAbgBWAEUARQBSAEcAXwA0AF8ANQBfADEAXwAxAF8AXwAxAF8AVABvAHQAYQBsAEEAbgBuAHUAYQBsAE0AZQB0AGgAYQBuAGUARQBtAGkAcwBzAGkAbwBuAHMAXwBMAGEAdABlAHgARQBxAHUAYQB0AGkAbwBuAFwAbgAgACAAPQBMAEEATQBCAEQAQQAoAFwAIgB7AEUAfQBfAHsAQwBIADQAfQA9AFwAXABzAHUAbQBfAHsAagB9ACgARABfAHsAagB9AFwAXAB0AGkAbQBlAHMAIABNAF8AewBtAGoAfQBcAFwAdABpAG0AZQBzACAATgBfAHsAagB9ACkAXABcAHQAaQBtAGUAcwAxADAAXgB7AC0AMwB9AFwAIgApADsAXABuAFwAbgBWAEUARQBSAEcAXwA0AF8AN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qAFwAIgAsAFwAIgBsAGUAbgBnAHQAaAAgAG8AZgAgAHMAdABhAHkAIABvAGYAIABlAGEAYwBoACAAYwBsAGEAcwBzACAAbwBmACAAcwB3AGkAbgBlAFwAIgAsACAAXAAiAGQAYQB5AHMAXAAiACwAIABcACIASQBuAHAAdQB0AFwAIgA7AFwAbgAgACAAIAAgACAAIAAgACAAIAAgAFwAIgBNAG0AagBcACIALABcACIAbQBlAHQAaABhAG4AZQAgAHAAcgBvAGQAdQBjAHQAaQBvAG4AIABmAHIAbwBtACAAbQBhAG4AdQByAGUAIABpAG4AIABlAGEAYwBoACAAcwB3AGkAbgBlACAAYwBsAGEAcwBzAFwAIgAsACAAXAAiAGsAZwAgAEMASAA0AC8AaABlAGEAZAAvAGQAYQB5AFwAIgAsACAAXAAiAEMAYQBsAGMAdQBsAGEAdABlAGQAIABmAHIAbwBtACAANAAuADUALgAxAC4AMQAgACgAMgApAFwAIgA7AFwAbgAgACAAIAAgACAAIAAgACAAIAAgAFwAIgBOAGoAXAAiACwAXAAiAG4AdQBtAGIAZQByAHMAIABvAGYAIABzAHcAaQBuAGUAIABpAG4AIABlAGEAYwBoACA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IAXwBNAGUAdABoAGEAbgBlAFAAcgBvAGQAdQBjAHQAaQBvAG4AUABlAHIAQwBsAGEAcwBzAFwAbgBNAGUAdABoAGEAbgBlACAAcAByAG8AZAB1AGMAdABpAG8AbgAgAGYAcgBvAG0AIAB0AGgAZQAgAG0AYQBuAHUAcgBlACAAbwBmACAAZQBhAGMAaAAgAGMAbABhAHMAcwAgAG8AZgAgAHMAdwBpAG4AZQBcAG4ATQBtAGoAXABuAGsAZwAgAEMASAA0AC8AaABlAGEAZAAvAGQAYQB5AFwAbgBNAF8AewBtAGoAfQA9AFwAXABzAHUAbQBfAHsAbQB9AFwAXABzAHUAbQBfAHsAVAB9AE0AXwB7AGoAbQBUAH0AXABuAE0AagBtAFQAIAA9ACAAbQBlAHQAaABhAG4AZQAgAHAAcgBvAGQAdQBjAHQAaQBvAG4AIABmAHIAbwBtACAAbQBhAG4AdQByAGUAIABwAGUAcgAgAGMAbABhAHMAcwAsACAATQBNAFMALAAgAGEAbgBkACAAdAByAGUAYQB0AG0AZQBuAHQAIABzAHQAYQBnAGUAIAA6ACAAawBnACAAQwBIADQALwBoAGUAYQBkAC8AZABhAHkAXABuAC0ALQAtAC0ALQAtAC0ALQAtAC0ALQAtAC0ALQAtAC0ALQAtAC0ALQAtAC0ALQAtAC0ALQAtAC0ALQAtAC0ALQAtAC0ALQAtAC0ALQBcAG4AKgAvAFwAbgBcAG4AVgBFAEUAUgBHAF8ANABfADUAXwAxAF8AMQBfAF8AMgBfAE0AZQB0AGgAYQBuAGUAUAByAG8AZAB1AGMAdABpAG8AbgBQAGUAcgBDAGwAYQBzAHMAXABuACAAIAA9AEwAQQBNAEIARABBACgAXABuACAAIAAgACAATQBqAG0AVAAsAFwAbgAgACAAIAAgAFMAVQBNACgATQBqAG0AVAApAFwAbgAgACAAKQA7AFwAbgBcAG4AVgBFAEUAUgBHAF8ANABfADUAXwAxAF8AMQBfAF8AMgBfAE0AZQB0AGgAYQBuAGUAUAByAG8AZAB1AGMAdABpAG8AbgBQAGUAcgBDAGwAYQBzAHMAVgBhAHIAaQBhAHQAaQBvAG4AXABuACAAIAA9AEwAQQBNAEIARABBACgAXABuACAAIAAgACAATQBqAG0AVAAxACwAIABNAGoAbQBUADIALABcAG4AIAAgACAAIAAgAFMAVQBNACgATQBqAG0AVAAxACwAIABNAGoAbQBUADIAKQBcAG4AIAAgACkAOwBcAG4AXABuAFYARQBFAFIARwBfADQAXwA1AF8AMQBfADEAXwBfADIAXwBNAGUAdABoAGEAbgBlAFAAcgBvAGQAdQBjAHQAaQBvAG4AUABlAHIAQwBsAGEAcwBzAF8AVABpAHQAbABlAFwAbgAgACAAPQBMAEEATQBCAEQAQQAoAFwAIgBNAGUAdABoAGEAbgBlACAAcAByAG8AZAB1AGMAdABpAG8AbgAgAGYAcgBvAG0AIAB0AGgAZQAgAG0AYQBuAHUAcgBlACAAbwBmACAAZQBhAGMAaAAgAGMAbABhAHMAcwAgAG8AZgAgAHMAdwBpAG4AZQBcACIAKQA7AFwAbgBcAG4AVgBFAEUAUgBHAF8ANABfADUAXwAxAF8AMQBfAF8AMgBfAE0AZQB0AGgAYQBuAGUAUAByAG8AZAB1AGMAdABpAG8AbgBQAGUAcgBDAGwAYQBzAHMAXwBWAGEAcgBpAGEAYgBsAGUAXABuACAAIAA9AEwAQQBNAEIARABBACgAXAAiAE0AbQBqAFwAIgApADsAXABuAFwAbgBWAEUARQBSAEcAXwA0AF8ANQBfADEAXwAxAF8AXwAyAF8ATQBlAHQAaABhAG4AZQBQAHIAbwBkAHUAYwB0AGkAbwBuAFAAZQByAEMAbABhAHMAcwBfAFUAbgBpAHQAXABuACAAIAA9AEwAQQBNAEIARABBACgAXAAiAGsAZwAgAEMASAA0AC8AaABlAGEAZAAvAGQAYQB5AFwAIgApADsAXABuAFwAbgBWAEUARQBSAEcAXwA0AF8ANQBfADEAXwAxAF8AXwAyAF8ATQBlAHQAaABhAG4AZQBQAHIAbwBkAHUAYwB0AGkAbwBuAFAAZQByAEMAbABhAHMAcwBfAFMAbwB1AHIAYwBlAFwAbgAgACAAPQBMAEEATQBCAEQAQQAoAFwAIgBWAEUARQBSAEcAIAAyADAAMgA2ADoAIAA0AC4ANQAuADEALgAxACwAIABFAHEAdQBhAHQAaQBvAG4AIAAoADIAKQBcACIAKQA7AFwAbgBcAG4AVgBFAEUAUgBHAF8ANABfADUAXwAxAF8AMQBfAF8AMgBfAE0AZQB0AGgAYQBuAGUAUAByAG8AZAB1AGMAdABpAG8AbgBQAGUAcgBDAGwAYQBzAHMAXwBOAEkAUgBSAGUAZgBlAHIAZQBuAGMAZQBcAG4AIAAgAD0ATABBAE0AQgBEAEEAKABcACIAXAAiACkAOwBcAG4AXABuAFYARQBFAFIARwBfADQAXwA1AF8AMQBfADEAXwBfADIAXwBNAGUAdABoAGEAbgBlAFAAcgBvAGQAdQBjAHQAaQBvAG4AUABlAHIAQwBsAGEAcwBzAF8ATABhAHQAZQB4AEUAcQB1AGEAdABpAG8AbgBcAG4AIAAgAD0ATABBAE0AQgBEAEEAKABcACIATQBfAHsAbQBqAH0APQBcAFwAcwB1AG0AXwB7AG0AfQBcAFwAcwB1AG0AXwB7AFQAfQBNAF8AewBqAG0AVAB9AFwAIgApADsAXABuAFwAbgBWAEUARQBSAEcAXwA0AF8ANQBfADEAXwAxAF8AXwAyAF8ATQBlAHQAaABhAG4AZQBQAHIAbwBkAHUAYwB0AGkAbwBuAFAAZQByAEMAbABhAHMAcwBfAEEAcgBnAHUAbQBlAG4AdABzAFwAbgAgACAAPQBMAEEATQBCAEQAQQAoAFwAbgAgACAAIAAgAE0AQQBLAEUAQQBSAFIAQQBZACgAMQAsACAANAAsAFwAbgAgACAAIAAgACAAIABMAEEATQBCAEQAQQAoAHIALABjACwAXABuACAAIAAgACAAIAAgACAAIABJAE4ARABFAFgAKAB7AFwAbgAgACAAIAAgACAAIAAgACAAIAAgAFwAIgBNAGoAbQBUAFwAIgAsAFwAIgBtAGUAdABoAGEAbgBlACAAcAByAG8AZAB1AGMAdABpAG8AbgAgAGYAcgBvAG0AIABtAGEAbgB1AHIAZQAgAHAAZQByACAAYwBsAGEAcwBzACwAIABNAE0AUwAsACAAYQBuAGQAIAB0AHIAZQBhAHQAbQBlAG4AdAAgAHMAdABhAGcAZQBcACIALAAgAFwAIgBrAGcAIABDAEgANAAvAGgAZQBhAGQALwBkAGEAeQBcACIALAAgAFwAIgBDAGEAbABjAHUAbABhAHQAZQBkACAAZgByAG8AbQAgADQALgA1AC4AMQAuADEAIAAoADMAKQAgAGEAbgBkACAAKAA2ACkAXAAiAFwAbgAgACAAIAAgACAAIAAgACAAfQAsACAAcgAsACAAYwApAFwAbgAgACAAIAAgACAAIAApAFwAbgAgACAAIAAgACkAXABuACAAIAApADsAXABuAFwAbgBWAEUARQBSAEcAXwA0AF8ANQBfADEAXwAxAF8AXwAyAF8ATQBlAHQAaABhAG4AZQBQAHIAbwBkAHUAYwB0AGkAbwBuAFAAZQByAEMAbABhAHMAcwBfAFYAYQByAGkAYQB0AGkAbwBuAFwAbgAgACAAPQBMAEEATQBCAEQAQQAoAFwAIgBWAEEAUgBJAEEAVABJAE8ATgAgAE8ATgAgAFMATwBVAFIAQwBFADoAIABTAHAAbABpAHQAIAB2AGEAcgBpAGEAYgBsAGUAIABNAGoAbQAgAGkAbgB0AG8AIABNAGoAbQBUADEAIABhAG4AZAAgAE0AagBtAFQAMgAgAGYAbwByACAAcwB0AGEAZwBlACAAMQAgAGEAbgBkACAAMgAgAE0ATQBTAC4AXAAiACkAOwBcAG4AXABuAC8AKgBcAG4ALQAtAC0ALQAtAC0ALQAtAC0ALQAtAC0ALQAtAC0ALQAtAC0ALQAtAC0ALQAtAC0ALQAtAC0ALQAtAC0ALQAtAC0ALQAtAC0ALQAtAFwAbgBWAEUARQBSAEcAXwA0AF8ANQBfADEAXwAxAF8AXwAzAF8AUwB0AGEAZwBlADEATQBlAHQAaABhAG4AZQBQAHIAbwBkAHUAYwB0AGkAbwBuAFwAbgBQAHIAbwBkAHUAYwB0AGkAbwBuACAAbwBmACAAbQBlAHQAaABhAG4AZQAgAGkAbgAgAHQAcgBlAGEAdABtAGUAbgB0ACAAcwB0AGEAZwBlACAAMQAgAE0ATQBTAFwAbgBNAGkAagBtAFQAMQBcAG4AawBnACAAQwBIADQALwBoAGUAYQBkAC8AZABhAHkAXABuAE0AXwB7AGkAagBtACwAVAA9ADEAfQA9AFYAUwBfAHsAagB9AFwAXAB0AGkAbQBlAHMAIABGAFYAUwBfAHsAagBtACwAVAA9ADEAfQBcAFwAdABpAG0AZQBzACAATQBDAEYAXwB7AGkAbQB9AFwAXAB0AGkAbQBlAHMAIABCAE8AXABcAHQAaQBtAGUAcwAgAFwAXAByAGgAbw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NAEMARgBpAG0AIAA9ACAAbQBlAHQAaABhAG4AZQAgAGMAbwBuAHYAZQByAHMAaQBvAG4AIABmAGEAYwB0AG8AcgAgAGYAbwByACAAdABlAG0AcABlAHIAYQB0AGUAIAB6AG8AbgBlACAAYQBuAGQAIABzAHkAcwB0AGUAbQAgADoAIABmAHIAYQBjAHQAaQBvAG4AXABuAEIATwAgAD0AIABlAG0AaQBzAHMAaQBvAG4AcwAgAHAAbwB0AGUAbgB0AGkAYQBsACAAOgAgAG0AMwAgAEMASAA0AC8AawBnACAAVgBTAFwAbgByAGgAbwAgAD0AIABkAGUAbgBzAGkAdAB5ACAAbwBmACAAbQBlAHQAaABhAG4AZQAgADoAIABrAGcALwBtADMAXABuAC0ALQAtAC0ALQAtAC0ALQAtAC0ALQAtAC0ALQAtAC0ALQAtAC0ALQAtAC0ALQAtAC0ALQAtAC0ALQAtAC0ALQAtAC0ALQAtAC0ALQBcAG4AKgAvAFwAbgBcAG4AVgBFAEUAUgBHAF8ANABfADUAXwAxAF8AMQBfAF8AMwBfAFMAdABhAGcAZQAxAE0AZQB0AGgAYQBuAGUAUAByAG8AZAB1AGMAdABpAG8AbgBcAG4AIAAgAD0ATABBAE0AQgBEAEEAKABcAG4AIAAgACAAIABWAFMAagAsACAARgBWAFMAagBtAFQAMQAsACAATQBDAEYAaQBtACwAIABCAE8ALAAgAHIAaABvACwAXABuACAAIAAgACAAVgBTAGoAIAAqACAARgBWAFMAagBtAFQAMQAgACoAIABNAEMARgBpAG0AIAAqACAAQgBPACAAKgAgAHIAaABvAFwAbgAgACAAKQA7AFwAbgBcAG4AVgBFAEUAUgBHAF8ANABfADU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UAXwAxAF8AMQBfAF8AMwBfAFMAdABhAGcAZQAxAE0AZQB0AGgAYQBuAGUAUAByAG8AZAB1AGMAdABpAG8AbgBfAFYAYQByAGkAYQBiAGwAZQBcAG4AIAAgAD0ATABBAE0AQgBEAEEAKABcACIATQBpAGoAbQBUADEAXAAiACkAOwBcAG4AXABuAFYARQBFAFIARwBfADQAXwA1AF8AMQBfADEAXwBfADMAXwBTAHQAYQBnAGUAMQBNAGUAdABoAGEAbgBlAFAAcgBvAGQAdQBjAHQAaQBvAG4AXwBVAG4AaQB0AFwAbgAgACAAPQBMAEEATQBCAEQAQQAoAFwAIgBrAGcAIABDAEgANAAvAGgAZQBhAGQALwBkAGEAeQBcACIAKQA7AFwAbgBcAG4AVgBFAEUAUgBHAF8ANABfADUAXwAxAF8AMQBfAF8AMwBfAFMAdABhAGcAZQAxAE0AZQB0AGgAYQBuAGUAUAByAG8AZAB1AGMAdABpAG8AbgBfAFMAbwB1AHIAYwBlAFwAbgAgACAAPQBMAEEATQBCAEQAQQAoAFwAIgBWAEUARQBSAEcAIAAyADAAMgA2ADoAIAA0AC4ANQAuADEALgAxACwAIABFAHEAdQBhAHQAaQBvAG4AIAAoADMAKQBcACIAKQA7AFwAbgBcAG4AVgBFAEUAUgBHAF8ANABfADUAXwAxAF8AMQBfAF8AMwBfAFMAdABhAGcAZQAxAE0AZQB0AGgAYQBuAGUAUAByAG8AZAB1AGMAdABpAG8AbgBfAE4ASQBSAFIAZQBmAGUAcgBlAG4AYwBlAFwAbgAgACAAPQBMAEEATQBCAEQAQQAoAFwAIgBcACIAKQA7AFwAbgBcAG4AVgBFAEUAUgBHAF8ANABfADUAXwAxAF8AMQBfAF8AMwBfAFMAdABhAGcAZQAxAE0AZQB0AGgAYQBuAGUAUAByAG8AZAB1AGMAdABpAG8AbgBfAEwAYQB0AGUAeABFAHEAdQBhAHQAaQBvAG4AXABuACAAIAA9AEwAQQBNAEIARABBACgAXAAiAE0AXwB7AGkAagBtACwAVAA9ADEAfQA9AFYAUwBfAHsAagB9AFwAXAB0AGkAbQBlAHMAIABGAFYAUwBfAHsAagBtACwAVAA9ADEAfQBcAFwAdABpAG0AZQBzACAATQBDAEYAXwB7AGkAbQB9AFwAXAB0AGkAbQBlAHMAIABCAE8AXABcAHQAaQBtAGUAcwAgAFwAXAByAGgAbwBcACIAKQA7AFwAbgBcAG4AVgBFAEUAUgBHAF8ANABfADUAXwAxAF8AMQBfAF8AMwBfAFMAdABhAGcAZQAxAE0AZQB0AGgAYQBuAGUAUAByAG8AZAB1AGMAdABpAG8AbgBfAEEAcgBnAHUAbQBlAG4AdABzAFwAbgAgACAAPQBMAEEATQBCAEQAQQAoAFwAbgAgACAAIAAgAE0AQQBLAEUAQQBSAFIAQQBZACgANQ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E0AQwBGAGkAbQBcACIALABcACIAbQBlAHQAaABhAG4AZQAgAGMAbwBuAHYAZQByAHMAaQBvAG4AIABmAGEAYwB0AG8AcgAgAGYAbwByACAAdABlAG0AcABlAHIAYQB0AGUAIAB6AG8AbgBlACAAYQBuAGQAIABzAHkAcwB0AGUAbQBcACIALAAgAFwAIgBmAHIAYQBjAHQAaQBvAG4AXAAiACwAIABcACIAQwBvAG4AcwB0AGEAbgB0AFwAIgA7AFwAbgAgACAAIAAgACAAIAAgACAAIAAgAFwAIgBCAE8AXAAiACwAXAAiAGUAbQBpAHMAcwBpAG8AbgBzACAAcABvAHQAZQBuAHQAaQBhAGwAXAAiACwAIABcACIAbQAzACAAQwBIADQALwBrAGcAIABWAFMAXAAiACwAIABcACIAQwBvAG4AcwB0AGEAbgB0AFwAIgA7AFwAbgAgACAAIAAgACAAIAAgACAAIAAgAFwAIgByAGgAbwBcACIALABcACIAZABlAG4AcwBpAHQAeQAgAG8AZgAgAG0AZQB0AGgAYQBuAGUAXAAiACwAIABcACIAawBnAC8AbQA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0ATQBTAGoAbQBUADEAIAAqACAAKAAxACAALQAgAFMAUwBtACkAXABuACAAIAApADsAXABuAFwAbgBWAEUARQBSAEcAXwA0AF8ANQBfADEAXwAxAF8AXwA0AF8ARgByAGEAYwB0AGkAbwBuAFYAbwBsAGEAdABpAGwAZQBTAG8AbABpAGQAcwBQAHIAaQBtAGEAcgB5AFMAeQBzAHQAZQBtAF8AVABpAHQAbABlAFwAbgAgACAAPQBMAEEATQBCAEQAQQAoAFwAIgBGAHIAYQBjAHQAaQBvAG4AIABvAGYAIAB2AG8AbABhAHQAaQBsAGUAIABzAG8AbABpAGQAcwAgAGkAbgAgAGUAYQBjAGgAIABwAHIAaQBtAGEAcgB5ACAAcwB5AHMAdABlAG0AIABvAHQAaABlAHIAIAB0AGgAYQBuACAAcwBvAGwAaQBkACAAcwB0AG8AcgBhAGcAZQBcACIAKQA7AFwAbgBcAG4AVgBFAEUAUgBHAF8ANABfADUAXwAxAF8AMQBfAF8ANABfAEYAcgBhAGMAdABpAG8AbgBWAG8AbABhAHQAaQBsAGUAUwBvAGwAaQBkAHMAUAByAGkAbQBhAHIAeQBTAHkAcwB0AGUAbQBfAFYAYQByAGkAYQBiAGwAZQBcAG4AIAAgAD0ATABBAE0AQgBEAEEAKABcACIARgBWAFMAagBtAFQAMQBcACIAKQA7AFwAbgBcAG4AVgBFAEUAUgBHAF8ANABfADUAXwAxAF8AMQBfAF8ANABfAEYAcgBhAGMAdABpAG8AbgBWAG8AbABhAHQAaQBsAGUAUwBvAGwAaQBkAHMAUAByAGkAbQBhAHIAeQBTAHkAcwB0AGUAbQBfAFUAbgBpAHQAXABuACAAIAA9AEwAQQBNAEIARABBACgAXAAiAGYAcgBhAGMAdABpAG8AbgBcACIAKQA7AFwAbgBcAG4AVgBFAEUAUgBHAF8ANABfADUAXwAxAF8AMQBfAF8ANABfAEYAcgBhAGMAdABpAG8AbgBWAG8AbABhAHQAaQBsAGUAUwBvAGwAaQBkAHMAUAByAGkAbQBhAHIAeQBTAHkAcwB0AGUAbQBfAFMAbwB1AHIAYwBlAFwAbgAgACAAPQBMAEEATQBCAEQAQQAoAFwAIgBWAEUARQBSAEcAIAAyADAAMgA2ADoAIAA0AC4ANQAuADEALgAxACwAIABFAHEAdQBhAHQAaQBvAG4AIAAoADQAKQBcACIAKQA7AFwAbgBcAG4AVgBFAEUAUgBHAF8ANABfADUAXwAxAF8AMQBfAF8ANABfAEYAcgBhAGMAdABpAG8AbgBWAG8AbABhAHQAaQBsAGUAUwBvAGwAaQBkAHMAUAByAGkAbQBhAHIAeQBTAHkAcwB0AGUAbQBfAE4ASQBSAFIAZQBmAGUAcgBlAG4AYwBlAFwAbgAgACAAPQBMAEEATQBCAEQAQQAoAFwAIgBcACIAKQA7AFwAbgBcAG4AVgBFAEUAUgBHAF8ANABfADUAXwAxAF8AMQBfAF8ANABfAEYAcgBhAGMAdABpAG8AbgBWAG8AbABhAHQAaQBsAGUAUwBvAGwAaQBkAHMAUAByAGkAbQBhAHIAeQBTAHkAcwB0AGUAbQBfAEwAYQB0AGUAeABFAHEAdQBhAHQAaQBvAG4AXABuACAAIAA9AEwAQQBNAEIARABBACgAXAAiAEYAVgBTAF8AewBqAG0ALABUAD0AMQB9AD0ATQBNAFMAXwB7AGoAbQAsAFQAPQAxAH0AXABcAHQAaQBtAGUAcwAoADEALQBTAFMAXwB7AG0AfQApAFwAIgApADsAXABuAFwAbgBWAEUARQBSAEcAXwA0AF8ANQBfADEAXwAxAF8AXwA0AF8ARgByAGEAYwB0AGkAbwBuAFYAbwBsAGEAdABpAGwAZQBTAG8AbABpAGQAcwBQAHIAaQBtAGEAcgB5AFMAeQBzAHQAZQBtAF8AQQByAGcAdQBtAGUAbgB0AHMAXABuACAAIAA9AEwAQQBNAEIARABBACgAXABuACAAIAAgACAATQBBAEsARQBBAFIAUgBBAFkAKAAyACwAIAA0ACwAXABuACAAIAAgACAAIAAgAEwAQQBNAEIARABBACgAcgAsAGMALABcAG4AIAAgACAAIAAgACAAIAAgAEkATgBEAEUAWAAoAHsAXABuACAAIAAgACAAIAAgACAAIAAgACAAXAAiAE0ATQBTAGoAbQBUADEAXAAiACw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G0AXAAiACw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EAXwBfADQAXwBGAHIAYQBjAHQAaQBvAG4AVgBvAGwAYQB0AGkAbABlAFMAbwBsAGkAZABzAFAAcgBpAG0AYQByAHkAUwB5AHMAdABlAG0AXwBWAGEAcgBpAGEAdABpAG8AbgBcAG4AIAAgAD0ATABBAE0AQgBEAEEAKABcACIAXAAiACkAOwBcAG4AXABuAC8AKgBcAG4ALQAtAC0ALQAtAC0ALQAtAC0ALQAtAC0ALQAtAC0ALQAtAC0ALQAtAC0ALQAtAC0ALQAtAC0ALQAtAC0ALQAtAC0ALQAtAC0ALQAtAFwAbgBWAEUARQBSAEcAXwA0AF8ANQBfADEAXwAxAF8AXwA1AF8ARgByAGEAYwB0AGkAbwBuAFYAbwBsAGEAdABpAGwAZQBTAG8AbABpAGQAcwBTAG8AbABpAGQAUwB0AG8AcgBhAGcAZQBcAG4ARgByAGEAYwB0AGkAbwBuACAAbwBmACAAdgBvAGwAYQB0AGkAbABlACAAcwBvAGwAaQBkAHMAIABpAG4AIABzAG8AbABpAGQAIABzAHQAbwByAGEAZwBlAFwAbgBGAFYAUwBqAG0ANABUADEAXABuAGYAcgBhAGMAdABpAG8AbgBcAG4ARgBWAFMAXwB7AGoALABtAD0ANAAsAFQAPQAxAH0APQBNAE0AUwBfAHsAagAsAG0APQA0ACwAVAA9ADEAfQArACgATQBNAFMAXwB7AGoALABtAD0AMQAsADcALAA5ACwAVAA9ADEAfQBcAFwAdABpAG0AZQBzACAAUwBTAF8AewBtAH0AKQBcAG4ATQBNAFMAagBtADQAVAAxACAAPQAgAGYAcgBhAGMAdABpAG8AbgAgAG8AZgAgAG0AYQBuAHUAcgBlACAAaQBuACAAcwBvAGwAaQBkACAAcwB0AG8AcgBhAGcAZQAgAHAAcgBpAG0AYQByAHkAIABzAHkAcwB0AGUAbQAgADoAIABmAHIAYQBjAHQAaQBvAG4AXABuAE0ATQBTAGoAbQAxADcAOQBUADEAIAA9ACAAZgByAGEAYwB0AGkAbwBuACAAbwBmACAAbQBhAG4AdQByAGUAIABpAG4AIABNAE0AUwAgADEALAAgADcALAAgAGEAbgBkACAAOQAgAGkAbgAgAHQAcgBlAGEAdABtAGUAbgB0ACAAcwB0AGEAZwBlACAAMQ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UAXwBGAHIAYQBjAHQAaQBvAG4AVgBvAGwAYQB0AGkAbABlAFMAbwBsAGkAZABzAFMAbwBsAGkAZABTAHQAbwByAGEAZwBlAFwAbgAgACAAPQBMAEEATQBCAEQAQQAoAFwAbgAgACAAIAAgAE0ATQBTAGoAbQA0AFQAMQAsACAATQBNAFMAagBtADEANwA5AFQAMQAsACAAUwBTAG0ALABcAG4AIAAgACAAIABNAE0AUwBqAG0ANABUADEAIAArACAAKABNAE0AUwBqAG0AMQA3ADkAVAAxACAAKgAgAFMAUwBtACkAXABuACAAIAApADsAXABuAFwAbgBWAEUARQBSAEcAXwA0AF8ANQBfADEAXwAxAF8AXwA1AF8ARgByAGEAYwB0AGkAbwBuAFYAbwBsAGEAdABpAGwAZQBTAG8AbABpAGQAcwBTAG8AbABpAGQAUwB0AG8AcgBhAGcAZQBWAGEAcgBpAGEAdABpAG8AbgBcAG4AIAAgAD0ATABBAE0AQgBEAEEAKABcAG4AIAAgACAAIABNAE0AUwBqAG0ANABUADEALABcAG4AIAAgACAAIABNAE0AUwBqAG0AVAAxAF8AMQAsACAATQBNAFMAagBtAFQAMQBfADIALAAgAE0ATQBTAGoAbQBUADEAXwAzACwAIABNAE0AUwBqAG0AVAAxAF8ANAAsACAATQBNAFMAagBtAFQAMQBfADUALABcAG4AIAAgACAAIABTAFMAagBtAFQAMQBfADEALAAgAFMAUwBqAG0AVAAxAF8AMgAsACAAUwBTAGoAbQBUADEAXwAzACwAIABTAFMAagBtAFQAMQBfADQALAAgAFMAUwBqAG0AVAAxAF8ANQAsAFwAbgAgACAAIAAgACAAIABNAE0AUwBqAG0ANABUADEAIAArACAAXABuACAAIAAgACAAIAAgACgATQBNAFMAagBtAFQAMQBfADEAIAAqACAAUwBTAGoAbQBUADEAXwAxACkAIAArACAAXABuACAAIAAgACAAIAAgACgATQBNAFMAagBtAFQAMQBfADIAIAAqACAAUwBTAGoAbQBUADEAXwAyACkAIAArACAAXABuACAAIAAgACAAIAAgACgATQBNAFMAagBtAFQAMQBfADMAIAAqACAAUwBTAGoAbQBUADEAXwAzACkAIAArAFwAbgAgACAAIAAgACAAIAAoAE0ATQBTAGoAbQBUADEAXwA0ACAAKgAgAFMAUwBqAG0AVAAxAF8ANAApACAAKwBcAG4AIAAgACAAIAAgACAAKABNAE0AUwBqAG0AVAAxAF8ANQAgACoAIABTAFMAagBtAFQAMQBfADUAKQBcAG4AIAAgACkAOwBcAG4AXABuAFYARQBFAFIARwBfADQAXwA1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1AF8AMQBfADEAXwBfADUAXwBGAHIAYQBjAHQAaQBvAG4AVgBvAGwAYQB0AGkAbABlAFMAbwBsAGkAZABzAFMAbwBsAGkAZABTAHQAbwByAGEAZwBlAF8AVgBhAHIAaQBhAGIAbABlAFwAbgAgACAAPQBMAEEATQBCAEQAQQAoAFwAIgBGAFYAUwBqAG0ANABUADEAXAAiACkAOwBcAG4AXABuAFYARQBFAFIARwBfADQAXwA1AF8AMQBfADEAXwBfADUAXwBGAHIAYQBjAHQAaQBvAG4AVgBvAGwAYQB0AGkAbABlAFMAbwBsAGkAZABzAFMAbwBsAGkAZABTAHQAbwByAGEAZwBlAF8AVQBuAGkAdABcAG4AIAAgAD0ATABBAE0AQgBEAEEAKABcACIAZgByAGEAYwB0AGkAbwBuAFwAIgApADsAXABuAFwAbgBWAEUARQBSAEcAXwA0AF8ANQBfADEAXwAxAF8AXwA1AF8ARgByAGEAYwB0AGkAbwBuAFYAbwBsAGEAdABpAGwAZQBTAG8AbABpAGQAcwBTAG8AbABpAGQAUwB0AG8AcgBhAGcAZQBfAFMAbwB1AHIAYwBlAFwAbgAgACAAPQBMAEEATQBCAEQAQQAoAFwAIgBWAEUARQBSAEcAIAAyADAAMgA2ADoAIAA0AC4ANQAuADEALgAxACwAIABFAHEAdQBhAHQAaQBvAG4AIAAoADUAKQBcACIAKQA7AFwAbgBcAG4AVgBFAEUAUgBHAF8ANABfADUAXwAxAF8AMQBfAF8ANQBfAEYAcgBhAGMAdABpAG8AbgBWAG8AbABhAHQAaQBsAGUAUwBvAGwAaQBkAHMAUwBvAGwAaQBkAFMAdABvAHIAYQBnAGUAXwBOAEkAUgBSAGUAZgBlAHIAZQBuAGMAZQBcAG4AIAAgAD0ATABBAE0AQgBEAEEAKABcACIAXAAiACkAOwBcAG4AXABuAFYARQBFAFIARwBfADQAXwA1AF8AMQBfADEAXwBfADUAXwBGAHIAYQBjAHQAaQBvAG4AVgBvAGwAYQB0AGkAbABlAFMAbwBsAGkAZABzAFMAbwBsAGkAZABTAHQAbwByAGEAZwBlAF8ATABhAHQAZQB4AEUAcQB1AGEAdABpAG8AbgBcAG4AIAAgAD0ATABBAE0AQgBEAEEAKABcACIARgBWAFMAXwB7AGoALABtAD0ANAAsAFQAPQAxAH0APQBNAE0AUwBfAHsAagAsAG0APQA0ACwAVAA9ADEAfQArACgATQBNAFMAXwB7AGoALABtAD0AMQAsADcALAA5ACwAVAA9ADEAfQBcAFwAdABpAG0AZQBzACAAUwBTAF8AewBtAH0AKQBcACIAKQA7AFwAbgBcAG4AVgBFAEUAUgBHAF8ANABfADUAXwAxAF8AMQBfAF8ANQBfAEYAcgBhAGMAdABpAG8AbgBWAG8AbABhAHQAaQBsAGUAUwBvAGwAaQBkAHMAUwBvAGwAaQBkAFMAdABvAHIAYQBnAGUAXwBMAGEAdABlAHgARQBxAHUAYQB0AGkAbwBuAFYAYQByAGkAYQB0AGkAbwBuAFwAbgAgACAAPQBMAEEATQBCAEQAQQAoAFwAIgBGAFYAUwBfAHsAagAsAG0APQA0ACwAVAA9ADEAfQA9AE0ATQBTAF8AewBqACw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qAG0ANABUADEAXAAiACwAXAAiAGYAcgBhAGMAdABpAG8AbgAgAG8AZgAgAG0AYQBuAHUAcgBlACAAaQBuACAAcwBvAGwAaQBkACAAcwB0AG8AcgBhAGcAZQAgAHAAcgBpAG0AYQByAHkAIABzAHkAcwB0AGUAbQBcACIALAAgAFwAIgBmAHIAYQBjAHQAaQBvAG4AXAAiACwAIABcACIASQBuAHAAdQB0AFwAIgA7AFwAbgAgACAAIAAgACAAIAAgACAAIAAgAFwAIgBNAE0AUwBqAG0AMQA3ADkAVAAxAFwAIgAsAFwAIgBmAHIAYQBjAHQAaQBvAG4AIABvAGYAIABtAGEAbgB1AHIAZQAgAGkAbgAgAE0ATQBTACAAMQAsACAANwAsACAAYQBuAGQAIAA5ACAAaQBuACAAdAByAGUAYQB0AG0AZQBuAHQAIABzAHQAYQBnAGUAIAAx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1AF8ARgByAGEAYwB0AGkAbwBuAFYAbwBsAGEAdABpAGwAZQBTAG8AbABpAGQAcw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IAAgAFwAbgBcAG4ALwAqAFwAbgAtAC0ALQAtAC0ALQAtAC0ALQAtAC0ALQAtAC0ALQAtAC0ALQAtAC0ALQAtAC0ALQAtAC0ALQAtAC0ALQAtAC0ALQAtAC0ALQAtAC0AXABuAFYARQBFAFIARwBfADQAXwA1AF8AMQBfADEAXwBfADYAXwBTAHQAYQBnAGUAMgBNAGUAdABoAGEAbgBlAFAAcgBvAGQAdQBjAHQAaQBvAG4AXABuAFAAcgBvAGQAdQBjAHQAaQBvAG4AIABvAGYAIABtAGUAdABoAGEAbgBlACAAaQBuACAAZQBhAGMAaAAgAHQAcgBlAGEAdABtAGUAbgB0ACAAcwB0AGEAZwBlACAAMgAgAE0ATQBTAFwAbgBNAGkAagBtAFQAMgBcAG4AawBnACAAQwBIADQALwBoAGUAYQBkAC8AZABhAHkAXABuAE0AXwB7AGkAagBtACwAVAA9ADIAfQA9AFYAUwBUAF8AewBqAG0ALABUAD0AMgB9AFwAXAB0AGkAbQBlAHMAIABCAE8AXABcAHQAaQBtAGUAcwAgAE0ATQBTAF8AewBqAG0ALABUAD0AMgB9AFwAXAB0AGkAbQBlAHMAIABNAEMARgBfAHsAaQBtAH0AXABcAHQAaQBtAGUAcwAgAFwAXAByAGgAbwBcAG4AVgBTAFQAagBtAFQAMgAgAD0AIAB2AG8AbABhAHQAaQBsAGUAIABzAG8AbABpAGQAcwAgAHQAcgBhAG4AcwBmAGUAcgByAGUAZAAgAHQAbwAgAHQAcgBlAGEAdABtAGUAbgB0ACAAcwB0AGEAZwBlACAAMgAgAE0ATQBTACAAOgAgAGsAZwAvAGgAZQBhAGQALwBkAGEAeQBcAG4AQgBPACAAPQAgAGUAbQBpAHMAcwBpAG8AbgBzACAAcABvAHQAZQBuAHQAaQBhAGwAIAA6ACAAbQAzACAAQwBIADQALwBrAGcAIABWAFMAXABuAE0ATQBTAGo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ZQAgAHoAbwBuAGUAIABhAG4AZAAgAHMAeQBzAHQAZQBtACAAOgAgAGYAcgBhAGMAdABpAG8AbgBcAG4AcgBoAG8AIAA9ACAAZABlAG4AcwBpAHQAeQAgAG8AZgAgAG0AZQB0AGgAYQBuAGUAIAA6ACAAawBnAC8AbQAzAFwAbgBpACAAPQAgAHMAdABhAHQAZQBcAG4ALQAtAC0ALQAtAC0ALQAtAC0ALQAtAC0ALQAtAC0ALQAtAC0ALQAtAC0ALQAtAC0ALQAtAC0ALQAtAC0ALQAtAC0ALQAtAC0ALQAtAFwAbgAqAC8AXABuAFwAbgBWAEUARQBSAEcAXwA0AF8ANQBfADEAXwAxAF8AXwA2AF8AUwB0AGEAZwBlADIATQBlAHQAaABhAG4AZQBQAHIAbwBkAHUAYwB0AGkAbwBuAFwAbgAgACAAPQBMAEEATQBCAEQAQQAoAFwAbgAgACAAIAAgAFYAUwBUAGoAbQBUADIALAAgAEIATwAsACAATQBNAFMAagBtAFQAMgAsACAATQBDAEYAaQBtACwAIAByAGgAbwAsAFwAbgAgACAAIAAgAEwARQBUACgAXABuACAAIAAgACAAIAAgAFYAUwBUAGoAbQBUADIALAAgAEkARgAoAEkAUwBOAFUATQBCAEUAUgAoAFYAUwBUAGoAbQBUADIAKQAsACAAVgBTAFQAagBtAFQAMgAsACAAMAApACwAXABuACAAIAAgACAAIAAgAE0ATQBTAGoAbQBUADIALAAgAEkARgAoAEkAUwBOAFUATQBCAEUAUgAoAE0ATQBTAGoAbQBUADIAKQAsACAATQBNAFMAagBtAFQAMgAsACAAMAApACwAXABuACAAIAAgACAAIAAgAFYAUwBUAGoAbQBUADIAIAAqACAAQgBPACAAKgAgAE0ATQBTAGoAbQBUADIAIAAqACAATQBDAEYAaQBtACAAKgAgAHIAaABvAFwAbgAgACAAIAAgACkAXABuACAAIAApADsAXABuAFwAbgBWAEUARQBSAEcAXwA0AF8ANQBfADEAXwAxAF8AXwA2AF8AUwB0AGEAZwBlADIATQBlAHQAaABhAG4AZQBQAHIAbwBkAHUAYwB0AGkAbwBuAF8AVABpAHQAbABlAFwAbgAgACAAPQBMAEEATQBCAEQAQQAoAFwAIgBQAHIAbwBkAHUAYwB0AGkAbwBuACAAbwBmACAAbQBlAHQAaABhAG4AZQAgAGkAbgAgAGUAYQBjAGgAIAB0AHIAZQBhAHQAbQBlAG4AdAAgAHMAdABhAGcAZQAgADIAIABNAE0AUwBcACIAKQA7AFwAbgBcAG4AVgBFAEUAUgBHAF8ANABfADUAXwAxAF8AMQBfAF8ANgBfAFMAdABhAGcAZQAyAE0AZQB0AGgAYQBuAGUAUAByAG8AZAB1AGMAdABpAG8AbgBfAFYAYQByAGkAYQBiAGwAZQBcAG4AIAAgAD0ATABBAE0AQgBEAEEAKABcACIATQBpAGoAbQBUADIAXAAiACkAOwBcAG4AXABuAFYARQBFAFIARwBfADQAXwA1AF8AMQBfADEAXwBfADYAXwBTAHQAYQBnAGUAMgBNAGUAdABoAGEAbgBlAFAAcgBvAGQAdQBjAHQAaQBvAG4AXwBVAG4AaQB0AFwAbgAgACAAPQBMAEEATQBCAEQAQQAoAFwAIgBrAGcAIABDAEgANAAvAGgAZQBhAGQALwBkAGEAeQBcACIAKQA7AFwAbgBcAG4AVgBFAEUAUgBHAF8ANABfADUAXwAxAF8AMQBfAF8ANgBfAFMAdABhAGcAZQAyAE0AZQB0AGgAYQBuAGUAUAByAG8AZAB1AGMAdABpAG8AbgBfAFMAbwB1AHIAYwBlAFwAbgAgACAAPQBMAEEATQBCAEQAQQAoAFwAIgBWAEUARQBSAEcAIAAyADAAMgA2ADoAIAA0AC4ANQAuADEALgAxACwAIABFAHEAdQBhAHQAaQBvAG4AIAAoADYAKQBcACIAKQA7AFwAbgBcAG4AVgBFAEUAUgBHAF8ANABfADUAXwAxAF8AMQBfAF8ANgBfAFMAdABhAGcAZQAyAE0AZQB0AGgAYQBuAGUAUAByAG8AZAB1AGMAdABpAG8AbgBfAE4ASQBSAFIAZQBmAGUAcgBlAG4AYwBlAFwAbgAgACAAPQBMAEEATQBCAEQAQQAoAFwAIgBcACIAKQA7AFwAbgBcAG4AVgBFAEUAUgBHAF8ANABfADUAXwAxAF8AMQBfAF8ANgBfAFMAdABhAGcAZQAyAE0AZQB0AGgAYQBuAGUAUAByAG8AZAB1AGMAdABpAG8AbgBfAEwAYQB0AGUAeABFAHEAdQBhAHQAaQBvAG4AXABuACAAIAA9AEwAQQBNAEIARABBACgAXAAiAE0AXwB7AGkAagBtACwAVAA9ADIAfQA9AFYAUwBUAF8AewBqAG0ALABUAD0AMgB9AFwAXAB0AGkAbQBlAHMAIABCAE8AXABcAHQAaQBtAGUAcwAgAE0ATQBTAF8AewBqAG0ALABUAD0AMgB9AFwAXAB0AGkAbQBlAHMAIABNAEMARgBfAHsAaQBtAH0AXABcAHQAaQBtAGUAcwAgAFwAXAByAGgAbwBcACIAKQA7AFwAbgBcAG4AVgBFAEUAUgBHAF8ANABfADUAXwAxAF8AMQBfAF8ANg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XAAiAHMAdABhAHQAZQBcACIALAAgAFwAIgBcACIALAAgAFwAIgBJAG4AcAB1AHQAXAAiAFwAbgAgACAAIAAgACAAIAAgACAAfQAsACAAcgAsACAAYwApAFwAbgAgACAAIAAgACAAIAApAFwAbgAgACAAIAAgACkAXABuACAAIAApADsAXABuAFwAbgBWAEUARQBSAEcAXwA0AF8ANQBfADEAXwAxAF8AXwA2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FwAIgAsACAAXAAiAGsAZwAvAGgAZQBhAGQALwBkAGEAeQBcACIALAAgAFwAIgBDAGEAbABjAHUAbABhAHQAZQBkACAAZgByAG8AbQAgADQALgA1AC4AMQAuADEAIAAoADcAKQBcACIAOwBcAG4AIAAgACAAIAAgACAAIAAgACAAIABcACIAQgBPAFwAIgAsAFwAIgBlAG0AaQBzAHMAaQBvAG4AcwAgAHAAbwB0AGUAbgB0AGkAYQBsAFwAIgAsACAAXAAiAG0AMwAgAEMASAA0AC8AawBnACAAVgBTAFwAIgAsACAAXAAiAEMAbwBuAHMAdABhAG4AdABcACIAOwBcAG4AIAAgACAAIAAgACAAIAAgACAAIABcACIATQBNAFMAagBtAFQAMgBcACIALABcACIAZgByAGEAYwB0AGkAbwBuACAAbwBmACAAbQBhAG4AdQByAGUAIABpAG4AIABlAGEAYwBoACAAcwBlAGMAbwBuAGQAYQByAHkAIABzAHkAcwB0AGUAbQBcACIALAAgAFwAIgBmAHIAYQBjAHQAaQBvAG4AXAAiACwAIABcACIASQBuAHAAdQB0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UAXwAxAF8AMQBfAF8ANwBfAFYAbwBsAGEAdABpAGwAZQBTAG8AbABpAGQAcwBUAHIAYQBuAHMAZgBlAHIAcgBlAGQAUwB0AGEAZwBlADIAXABuAFYAbwBsAGEAdABpAGwAZQAgAHMAbwBsAGkAZABzACAAdAByAGEAbgBzAGYAZQByAHIAZQBkACAAdABvACAAdAByAGUAYQB0AG0AZQBuAHQAIABzAHQAYQBnAGUAIAAyACAATQBNAFMAXABuAFYAUwBUAGkAagBtAFQAMgBcAG4AawBnACAAVgBTAFwAbgBWAFMAVABfAHsAaQBqAG0ALABUAD0AMgB9AD0AVgBTAF8AewBqAH0AXABcAHQAaQBtAGUAcwAgAEYAVgBTAF8AewBqAG0ALABUAD0AMQB9AFwAXAB0AGkAbQBlAHMAKAAxAC0AVgBTAEwAXwB7AG0ALABUAD0AMQB9ACk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VgBTAEw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1AF8AMQBfADEAXwBfADcAXwBWAG8AbABhAHQAaQBsAGUAUwBvAGwAaQBkAHMAVAByAGEAbgBzAGYAZQByAHIAZQBkAFMAdABhAGcAZQAyAFwAbgAgACAAPQBMAEEATQBCAEQAQQAoAFwAbgAgACAAIAAgAFYAUwBqACwAIABGAFYAUwBqAG0AVAAxACwAIABWAFMATABtAFQAMQAsAFwAbgAgACAAIAAgAFYAUwBqACAAKgAgAEYAVgBTAGoAbQBUADEAIAAqACAAKAAxACAALQAgAFYAUwBMAG0AVAAxACkAXABuACAAIAApADsAXABuAFwAbgBWAEUARQBSAEcAXwA0AF8ANQBfADEAXwAxAF8AXwA3AF8AVgBvAGwAYQB0AGkAbABlAFMAbwBsAGkAZABzAFQAcgBhAG4AcwBmAGUAcgByAGUAZABTAHQAYQBnAGUAMgBfAFQAaQB0AGwAZQBcAG4AIAAgAD0ATABBAE0AQgBEAEEAKABcACIAVgBvAGwAYQB0AGkAbABlACAAcwBvAGwAaQBkAHMAIAB0AHIAYQBuAHMAZgBlAHIAcgBlAGQAIAB0AG8AIAB0AHIAZQBhAHQAbQBlAG4AdAAgAHMAdABhAGcAZQAgADIAIABNAE0AUwBcACIAKQA7AFwAbgBcAG4AVgBFAEUAUgBHAF8ANABfADUAXwAxAF8AMQBfAF8ANwBfAFYAbwBsAGEAdABpAGwAZQBTAG8AbABpAGQAcwBUAHIAYQBuAHMAZgBlAHIAcgBlAGQAUwB0AGEAZwBlADIAXwBWAGEAcgBpAGEAYgBsAGUAXABuACAAIAA9AEwAQQBNAEIARABBACgAXAAiAFYAUwBUAGkAagBtAFQAMgBcACIAKQA7AFwAbgBcAG4AVgBFAEUAUgBHAF8ANABfADUAXwAxAF8AMQBfAF8ANwBfAFYAbwBsAGEAdABpAGwAZQBTAG8AbABpAGQAcwBUAHIAYQBuAHMAZgBlAHIAcgBlAGQAUwB0AGEAZwBlADIAXwBVAG4AaQB0AFwAbgAgACAAPQBMAEEATQBCAEQAQQAoAFwAIgBrAGcAIABWAFMAXAAiACkAOwBcAG4AXABuAFYARQBFAFIARwBfADQAXwA1AF8AMQBfADEAXwBfADcAXwBWAG8AbABhAHQAaQBsAGUAUwBvAGwAaQBkAHMAVAByAGEAbgBzAGYAZQByAHIAZQBkAFMAdABhAGcAZQAyAF8AUwBvAHUAcgBjAGUAXABuACAAIAA9AEwAQQBNAEIARABBACgAXAAiAFYARQBFAFIARwAgADIAMAAyADYAOgAgADQALgA1AC4AMQAuADEALAAgAEUAcQB1AGEAdABpAG8AbgAgACgANwApAFwAIgApADsAXABuAFwAbgBWAEUARQBSAEcAXwA0AF8ANQBfADEAXwAxAF8AXwA3AF8AVgBvAGwAYQB0AGkAbABlAFMAbwBsAGkAZABzAFQAcgBhAG4AcwBmAGUAcgByAGUAZABTAHQAYQBnAGUAMgBfAE4ASQBSAFIAZQBmAGUAcgBlAG4AYwBlAFwAbgAgACAAPQBMAEEATQBCAEQAQQAoAFwAIgBcACIAKQA7AFwAbgBcAG4AVgBFAEUAUgBHAF8ANABfADUAXwAxAF8AMQBfAF8ANwBfAFYAbwBsAGEAdABpAGwAZQBTAG8AbABpAGQAcwBUAHIAYQBuAHMAZgBlAHIAcgBlAGQAUwB0AGEAZwBlADIAXwBMAGEAdABlAHgARQBxAHUAYQB0AGkAbwBuAFwAbgAgACAAPQBMAEEATQBCAEQAQQAoAFwAIgBWAFMAVABfAHsAaQBqAG0ALABUAD0AMgB9AD0AVgBTAF8AewBqAH0AXABcAHQAaQBtAGUAcwAgAEYAVgBTAF8AewBqAG0ALABUAD0AMQB9AFwAXAB0AGkAbQBlAHMAKAAxAC0AVgBTAEwAXwB7AG0ALABUAD0AMQB9ACkAXAAiACkAOwBcAG4AXABuAFYARQBFAFIARwBfADQAXwA1AF8AMQBfADEAXwBfADcAXwBWAG8AbABhAHQAaQBsAGUAUwBvAGwAaQBkAHMAVAByAGEAbgBzAGYAZQByAHIAZQBkAFMAdABhAGcAZQAyAF8AQQByAGcAdQBtAGUAbgB0AHMAXABuACAAIAA9AEwAQQBNAEIARABBACgAXABuACAAIAAgACAATQBBAEsARQBBAFIAUgBBAFkAKAAzACwAIAA0ACwAXABuACAAIAAgACAAIAAgAEwAQQBNAEIARABBACgAcgAsAGMALABcAG4AIAAgACAAIAAgACAAIAAgAEkATgBEAEUAWAAoAHsAXABuACAAIAAgACAAIAAgACAAIAAgACAAXAAiAFYAUwBqAFwAIgAsAFwAIgB2AG8AbABhAHQAaQBsAGUAIABzAG8AbABpAGQAIABwAHIAbwBkAHUAYwB0AGkAbwBuACAAZgByAG8AbQAgAHMAdwBpAG4AZQAgAGkAbgAgAGUAYQBjAGgAIABjAGwAYQBzAHMAXAAiACwAIABcACIAawBnAC8AaABlAGEAZAAvAGQAYQB5AFwAIgAsACAAXAAiAEkAbgBwAHUAdABcACIAOwBcAG4AIAAgACAAIAAgACAAIAAgACAAIABcACIARgBWAFMAagBtAFQAMQBcACIALABcACIAZgByAGEAYwB0AGkAbwBuACAAbwBmACAAdgBvAGwAYQB0AGkAbABlACAAcwBvAGwAaQBkAHMAIABpAG4AIABlAGEAYwBoACAAcAByAGkAbQBhAHIAeQAgAHMAeQBzAHQAZQBtAFwAIgAsACAAXAAiAGYAcgBhAGMAdABpAG8AbgBcACIALAAgAFwAIgBDAGEAbABjAHUAbABhAHQAZQBkACAAZgByAG8AbQAgADQALgA1AC4AMQAuADEAIAAoADQAKQAoADUAKQBcACIAOwBcAG4AIAAgACAAIAAgACAAIAAgACAAIABcACIAVgBTAEwAbQBUADEAXAAiACwAXAAiAGYAcgBhAGMAdABpAG8AbgAgAG8AZgAgAHYAbwBsAGEAdABpAGwAZQAgAHMAbwBsAGkAZABzACAAbABvAHMAdAAgAGQAdQByAGkAbgBnACAAcwB0AG8AcgBhAGcAZQAgAGkAbgAgAHQAaABlACAAcAByAGkAbQBhAHIAeQAgAHMAeQBzAHQAZQBtAFwAIgAsACAAXAAiAGYAcgBhAGMAdABpAG8AbgBcACIALAAgAFwAIgBMAG8AbwBrAHUAcABcACIAXABuACAAIAAgACAAIAAgACAAIAB9ACwAIAByACwAIABjACkAXABuACAAIAAgACAAIAAgACkAXABuACAAIAAgACAAKQBcAG4AIAAgACkAOwAiAH0ALAB7ACIAcABhAHQAaAAiADoAIgAvAHAAcgBvAGoAZQBjAHQAcwAvAE0ATQBTAF8AUwB3AGkAbgBl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wAgAE0AZQB0AGgAbwBkACAAMQAgAC0AIABNAGEAbgB1AHIAZQAgAEQAaQByAGUAYwB0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HMAdwBpAG4AZQAgAGMAbABhAHMAcwAsACAATQBNAFMAIABhAG4AZAAgAHQAcgBlAGEAdABtAGUAbgB0ACAAcwB0AGEAZwBlACAAKABrAGcAIABOACkAXABuAEUARgBfAGoAbQAgAD0AIABuAGkAdAByAG8AdQBzACAAbwB4AGkAZABlACAAZQBtAGkAcwBzAGkAbwBuACAAZgBhAGMAdABvAHIAIABmAG8AcgAgAE0ATQBT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1AF8AMQBfADMAXwBfADEAXwBUAG8AdABhAGwAQQBuAG4AdQBhAGwARABpAHIAZQBjAHQATgBpAHQAcgBvAHUAcwBPAHgAaQBkAGUARQBtAGkAcwBzAGkAbwBuAHMARgByAG8AbQBNAE0AUwBcAG4AIAAgAD0ATABBAE0AQgBEAEEAKABcAG4AIAAgACAAIABNAE4AXwBqAG0AVAAsACAARQBGAF8AagBtACwAIABDAF8ATgAyAE8ALABcAG4AIAAgACAAIABNAE4AXwBqAG0AVAAgACoAIABFAEYAXwBqAG0AIAAqACAAQwBfAE4AMgBPACAAKgAgADEAMAAgAF4AIAAtADMAXABuACAAIAApADsAXABuAFwAbgBWAEUARQBSAEcAXwA0AF8ANQ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UAXwAxAF8AMwBfAF8AMQBfAFQAbwB0AGEAbABBAG4AbgB1AGEAbABEAGkAcgBlAGMAdABOAGkAdAByAG8AdQBzAE8AeABpAGQAZQBFAG0AaQBzAHMAaQBvAG4AcwBGAHIAbwBtAE0ATQBTAF8AVgBhAHIAaQBhAGIAbABlAFwAbgAgACAAPQBMAEEATQBCAEQAQQAoAFwAIgBFAF8ATgAyAE8AZABpAHIAXAAiACkAOwBcAG4AXABuAFYARQBFAFIARwBfADQAXwA1AF8AMQBfADMAXwBfADEAXwBUAG8AdABhAGwAQQBuAG4AdQBhAGwARABpAHIAZQBjAHQATgBpAHQAcgBvAHUAcwBPAHgAaQBkAGUARQBtAGkAcwBzAGkAbwBuAHMARgByAG8AbQBNAE0AUwBfAFUAbgBpAHQAXABuACAAIAA9AEwAQQBNAEIARABBACgAXAAiAHQAIABOADIATwBcACIAKQA7AFwAbgBcAG4AVgBFAEUAUgBHAF8ANABfADUAXwAxAF8AMwBfAF8AMQBfAFQAbwB0AGEAbABBAG4AbgB1AGEAbABEAGkAcgBlAGMAdABOAGkAdAByAG8AdQBzAE8AeABpAGQAZQBFAG0AaQBzAHMAaQBvAG4AcwBGAHIAbwBtAE0ATQBTAF8AUwBvAHUAcgBjAGUAXABuACAAIAA9AEwAQQBNAEIARABBACgAXAAiAFYARQBFAFIARwAgADIAMAAyADYAOgAgADQALgA1AC4AMQAuADMALAAgAEUAcQB1AGEAdABpAG8AbgAgACgAMQApAFwAIgApADsAXABuAFwAbgBWAEUARQBSAEcAXwA0AF8ANQBfADEAXwAzAF8AXwAxAF8AVABvAHQAYQBsAEEAbgBuAHUAYQBsAEQAaQByAGUAYwB0AE4AaQB0AHIAbwB1AHMATwB4AGkAZABlAEUAbQBpAHMAcwBpAG8AbgBzAEYAcgBvAG0ATQBNAFMAXwBOAEkAUgBSAGUAZgBlAHIAZQBuAGMAZQBcAG4AIAAgAD0ATABBAE0AQgBEAEEAKABcACIAXAAiACkAOwBcAG4AXABuAFYARQBFAFIARwBfADQAXwA1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NQ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FAEYAXwBqAG0AXAAiACwAIABcACIAbgBpAHQAcgBvAHUAcwAgAG8AeABpAGQAZQAgAGUAbQBpAHMAcwBpAG8AbgAgAGYAYQBjAHQAbwByACAAZgBvAHIAIABNAE0AUw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IAXwBTAHQAYQBnAGUAMQBOAGkAdAByAG8AZwBlAG4ASQBuAE0ATQBTAFwAbgBOAGkAdAByAG8AZwBlAG4AIABpAG4AIAB0AHIAZQBhAHQAbQBlAG4AdAAgAHMAdABhAGcAZQAgADEAIABNAE0AUwBcAG4ATQBOAF8AagBtAFQAMQBcAG4AawBnACAATgBcAG4ATQBOAF8AewBqAG0ALABUAD0AMQB9AD0AQQBFAF8AewBqAH0AXABcAHQAaQBtAGUAcwAgAEYATgBfAHsAagBtACwAVAA9ADEAfQBcAG4AQQBFAF8AagAgAD0AIAB0AG8AdABhAGwAIABuAGkAdAByAG8AZwBlAG4AIABlAHgAYwByAGUAdABlAGQAIABiAHkAIABlAGEAYwBoACAAcwB3AGkAbgBlACAAYwBsAGEAcwBzACAAKABrAGcAIABOACkAXABuAEYATgBfAGoAbQBUADEAIAA9ACAAZgByAGEAYwB0AGkAbwBuACAAbwBmACAAbgBpAHQAcgBvAGcAZQBuACAAaQBuACAAZQBhAGMAaAAgAHAAcgBpAG0AYQByAHkAIABNAE0AUwAgAHMAeQBzAHQAZQBtAFwAbgAtAC0ALQAtAC0ALQAtAC0ALQAtAC0ALQAtAC0ALQAtAC0ALQAtAC0ALQAtAC0ALQAtAC0ALQAtAC0ALQAtAC0ALQAtAC0ALQAtAC0AXABuACoALwBcAG4AXABuAFYARQBFAFIARwBfADQAXwA1AF8AMQBfADMAXwBfADIAXwBTAHQAYQBnAGUAMQBOAGkAdAByAG8AZwBlAG4ASQBuAE0ATQBTAFwAbgAgACAAPQBMAEEATQBCAEQAQQAoAFwAbgAgACAAIAAgAEEARQBfAGoALAAgAEYATgBfAGoAbQBUADEALABcAG4AIAAgACAAIABBAEUAXwBqACAAKgAgAEYATgBfAGoAbQBUADEAXABuACAAIAApADsAXABuAFwAbgBWAEUARQBSAEcAXwA0AF8ANQBfADEAXwAzAF8AXwAyAF8AUwB0AGEAZwBlADEATgBpAHQAcgBvAGcAZQBuAEkAbgBNAE0AUwBfAFQAaQB0AGwAZQBcAG4AIAAgAD0ATABBAE0AQgBEAEEAKABcACIATgBpAHQAcgBvAGcAZQBuACAAaQBuACAAdAByAGUAYQB0AG0AZQBuAHQAIABzAHQAYQBnAGUAIAAxACAATQBNAFMAXAAiACkAOwBcAG4AXABuAFYARQBFAFIARwBfADQAXwA1AF8AMQBfADMAXwBfADIAXwBTAHQAYQBnAGUAMQBOAGkAdAByAG8AZwBlAG4ASQBuAE0ATQBTAF8AVgBhAHIAaQBhAGIAbABlAFwAbgAgACAAPQBMAEEATQBCAEQAQQAoAFwAIgBNAE4AXwBqAG0AVAAxAFwAIgApADsAXABuAFwAbgBWAEUARQBSAEcAXwA0AF8ANQBfADEAXwAzAF8AXwAyAF8AUwB0AGEAZwBlADEATgBpAHQAcgBvAGcAZQBuAEkAbgBNAE0AUwBfAFUAbgBpAHQAXABuACAAIAA9AEwAQQBNAEIARABBACgAXAAiAGsAZwAgAE4AXAAiACkAOwBcAG4AXABuAFYARQBFAFIARwBfADQAXwA1AF8AMQBfADMAXwBfADIAXwBTAHQAYQBnAGUAMQBOAGkAdAByAG8AZwBlAG4ASQBuAE0ATQBTAF8AUwBvAHUAcgBjAGUAXABuACAAIAA9AEwAQQBNAEIARABBACgAXAAiAFYARQBFAFIARwAgADIAMAAyADYAOgAgADQALgA1AC4AMQAuADMALAAgAEUAcQB1AGEAdABpAG8AbgAgACgAMgApAFwAIgApADsAXABuAFwAbgBWAEUARQBSAEcAXwA0AF8ANQBfADEAXwAzAF8AXwAyAF8AUwB0AGEAZwBlADEATgBpAHQAcgBvAGcAZQBuAEkAbgBNAE0AUwBfAE4ASQBSAFIAZQBmAGUAcgBlAG4AYwBlAFwAbgAgACAAPQBMAEEATQBCAEQAQQAoAFwAIgBcACIAKQA7AFwAbgBcAG4AVgBFAEUAUgBHAF8ANABfADUAXwAxAF8AMwBfAF8AMgBfAFMAdABhAGcAZQAxAE4AaQB0AHIAbwBnAGUAbgBJAG4ATQBNAFMAXwBMAGEAdABlAHgARQBxAHUAYQB0AGkAbwBuAFwAbgAgACAAPQBMAEEATQBCAEQAQQAoAFwAIgBNAE4AXwB7AGoAbQAsAFQAPQAxAH0APQBBAEUAXwB7AGoAfQBcAFwAdABpAG0AZQBzACAARgBOAF8AewBqAG0ALABUAD0AMQB9AFwAIgApADsAXABuAFwAbgBWAEUARQBSAEcAXwA0AF8ANQ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zAHcAaQBuAGUAIABjAGwAYQBzAHMAXAAiACwAIABcACIAawBnACAATgBcACIALAAgAFwAIgBDAGEAbABjAHUAbABhAHQAZQBkACAAZgByAG8AbQAgADQALgA1AC4AMQAuADMAIAAoADUAKQBcACIAOwBcAG4AIAAgACAAIAAgACAAIAAgACAAIABcACIARgBOAF8AagBtAFQAMQBcACIALAAgAFwAIgBmAHIAYQBjAHQAaQBvAG4AIABvAGYAIABuAGkAdAByAG8AZwBlAG4AIABpAG4AIABlAGEAYwBoACAAcAByAGkAbQBhAHIAeQAgAE0ATQBTACAAcwB5AHMAdABlAG0AXAAiACwAIABcACIAZgByAGEAYwB0AGkAbwBuAFwAIgAsACAAXAAiAEMAYQBsAGMAdQBsAGEAdABlAGQAIABmAHIAbwBtACAANAAuADUALgAxAC4AMwAgACgAMwApACgANAAp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MAXwBGAHIAYQBjAHQAaQBvAG4ATwBmAE4AaQB0AHIAbwBnAGUAbgBJAG4AUAByAGkAbQBhAHIAeQBNAE0AUwBcAG4ARgByAGEAYwB0AGkAbwBuACAAbwBmACAAbgBpAHQAcgBvAGcAZQBuACAAaQBuACAAZQBhAGMAaAAgAHAAcgBpAG0AYQByAHkAIABNAE0AUwAgACgAZQB4AGMAbAB1AGQAaQBuAGcAIABzAG8AbABpAGQAIABzAHQAbwByAGEAZwBlACkAXABuAEYATgBfAGoAbQBUADEAXABuAGYAcgBhAGMAdABpAG8AbgBcAG4ARgBOAF8AewBqAG0ALABUAD0AMQB9AD0ATQBNAFMAXwB7AGoAbQAsAFQAPQAxAH0AXABcAHQAaQBtAGUAcwAoADEALQBTAE4AXwB7AG0AfQApAFwAbgBNAE0AUwBfAGoAbQBUADEAIAA9ACAAZgByAGEAYwB0AGkAbwBuACAAbwBmACAAbQBhAG4AdQByAGUAIABpAG4AIABwAHIAaQBtAGEAcgB5ACAATQBNAFM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MwBfAEYAcgBhAGMAdABpAG8AbgBPAGYATgBpAHQAcgBvAGcAZQBuAEkAbgBQAHIAaQBtAGEAcgB5AE0ATQBTAFwAbgAgACAAPQBMAEEATQBCAEQAQQAoAFwAbgAgACAAIAAgAE0ATQBTAF8AagBtAFQAMQAsACAAUwBOAF8AbQAsAFwAbgAgACAAIAAgAE0ATQBTAF8AagBtAFQAMQAgACoAIAAoADEAIAAtACAAUwBOAF8AbQApAFwAbgAgACAAKQA7AFwAbgBcAG4AVgBFAEUAUgBHAF8ANABfADUAXwAxAF8AMwBfAF8AMwBfAEYAcgBhAGMAdABpAG8AbgBPAGYATgBpAHQAcgBvAGcAZQBuAEkAbgBQAHIAaQBtAGEAcgB5AE0ATQBTAF8AVABpAHQAbABlAFwAbgAgACAAPQBMAEEATQBCAEQAQQAoAFwAIgBGAHIAYQBjAHQAaQBvAG4AIABvAGYAIABuAGkAdAByAG8AZwBlAG4AIABpAG4AIABlAGEAYwBoACAAcAByAGkAbQBhAHIAeQAgAE0ATQBTACAAKABlAHgAYwBsAHUAZABpAG4AZwAgAHMAbwBsAGkAZAAgAHMAdABvAHIAYQBnAGUAKQBcACIAKQA7AFwAbgBcAG4AVgBFAEUAUgBHAF8ANABfADUAXwAxAF8AMwBfAF8AMwBfAEYAcgBhAGMAdABpAG8AbgBPAGYATgBpAHQAcgBvAGcAZQBuAEkAbgBQAHIAaQBtAGEAcgB5AE0ATQBTAF8AVgBhAHIAaQBhAGIAbABlAFwAbgAgACAAPQBMAEEATQBCAEQAQQAoAFwAIgBGAE4AXwBqAG0AVAAxAFwAIgApADsAXABuAFwAbgBWAEUARQBSAEcAXwA0AF8ANQBfADEAXwAzAF8AXwAzAF8ARgByAGEAYwB0AGkAbwBuAE8AZgBOAGkAdAByAG8AZwBlAG4ASQBuAFAAcgBpAG0AYQByAHkATQBNAFMAXwBVAG4AaQB0AFwAbgAgACAAPQBMAEEATQBCAEQAQQAoAFwAIgBmAHIAYQBjAHQAaQBvAG4AXAAiACkAOwBcAG4AXABuAFYARQBFAFIARwBfADQAXwA1AF8AMQBfADMAXwBfADMAXwBGAHIAYQBjAHQAaQBvAG4ATwBmAE4AaQB0AHIAbwBnAGUAbgBJAG4AUAByAGkAbQBhAHIAeQBNAE0AUwBfAFMAbwB1AHIAYwBlAFwAbgAgACAAPQBMAEEATQBCAEQAQQAoAFwAIgBWAEUARQBSAEcAIAAyADAAMgA2ADoAIAA0AC4ANQAuADEALgAzACwAIABFAHEAdQBhAHQAaQBvAG4AIAAoADMAKQBcACIAKQA7AFwAbgBcAG4AVgBFAEUAUgBHAF8ANABfADUAXwAxAF8AMwBfAF8AMwBfAEYAcgBhAGMAdABpAG8AbgBPAGYATgBpAHQAcgBvAGcAZQBuAEkAbgBQAHIAaQBtAGEAcgB5AE0ATQBTAF8ATgBJAFIAUgBlAGYAZQByAGUAbgBjAGUAXABuACAAIAA9AEwAQQBNAEIARABBACgAXAAiAFwAIgApADsAXABuAFwAbgBWAEUARQBSAEcAXwA0AF8ANQBfADEAXwAzAF8AXwAzAF8ARgByAGEAYwB0AGkAbwBuAE8AZgBOAGkAdAByAG8AZwBlAG4ASQBuAFAAcgBpAG0AYQByAHkATQBNAFMAXwBMAGEAdABlAHgARQBxAHUAYQB0AGkAbwBuAFwAbgAgACAAPQBMAEEATQBCAEQAQQAoAFwAIgBGAE4AXwB7AGoAbQAsAFQAPQAxAH0APQBNAE0AUwBfAHsAagBtACwAVAA9ADEAfQBcAFwAdABpAG0AZQBzACgAMQAtAFMATgBfAHsAbQB9ACkAXAAiACkAOwBcAG4AXABuAFYARQBFAFIARwBfADQAXwA1AF8AMQBfADMAXwBfADMAXwBGAHIAYQBjAHQAaQBvAG4ATwBmAE4AaQB0AHIAbwBnAGUAbgBJAG4AUAByAGkAbQBhAHIAeQBNAE0AUwBfAEEAcgBnAHUAbQBlAG4AdABzAFwAbgAgACAAPQBMAEEATQBCAEQAQQAoAFwAbgAgACAAIAAgAE0AQQBLAEUAQQBSAFIAQQBZACgAMgAsACAANAAsAFwAbgAgACAAIAAgACAAIABMAEEATQBCAEQAQQAoAHIALABjACwAXABuACAAIAAgACAAIAAgACAAIABJAE4ARABFAFgAKAB7AFwAbgAgACAAIAAgACAAIAAgACAAIAAgAFwAIgBNAE0AUwBfAGoAbQBUADEAXAAiACwAIABcACIAZgByAGEAYwB0AGkAbwBuACAAbwBmACAAbQBhAG4AdQByAGUAIABpAG4AIABwAHIAaQBtAGEAcgB5ACAATQBNAFMAXAAiACwAIABcACIAZgByAGEAYwB0AGkAbwBuAFwAIgAsACAAXAAiAEkAbgBwAHUAdABcACIAOwBcAG4AIAAgACAAIAAgACAAIAAgACAAIABcACIAUwBOAF8AbQBcACIALAAgAFwAIgBmAHIAYQBjAHQAaQBvAG4AIABvAGYAIABuAGkAdAByAG8AZwBlAG4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QAXwBGAHIAYQBjAHQAaQBvAG4ATwBmAE4AaQB0AHIAbwBnAGUAbgBJAG4AUwBvAGwAaQBkAFMAdABvAHIAYQBnAGUAXABuAEYAcgBhAGMAdABpAG8AbgAgAG8AZgAgAG4AaQB0AHIAbwBnAGUAbgAgAGkAbgAgAHMAbwBsAGkAZAAgAHMAdABvAHIAYQBnAGUAXABuAEYATgBfAGoAbQA0AFQAMQBcAG4AZgByAGEAYwB0AGkAbwBuAFwAbgBGAE4AXwB7AGoAbQA9ADQALABUAD0AMQB9AD0ATQBNAFMAXwB7AGoAbQA9ADQALABUAD0AMQB9ACsAKABNAE0AUwBfAHsAagBtAD0AMQAsADcALAA5ACwAVAA9ADEAfQBcAFwAdABpAG0AZQBzACAAUwBOAF8AewBtAH0AKQBcAG4ATQBNAFMAXwBqAG0ANABUADEAIAA9ACAAZgByAGEAYwB0AGkAbwBuACAAbwBmACAAbQBhAG4AdQByAGUAIABpAG4AIABzAG8AbABpAGQAIABzAHQAbwByAGEAZwBlACAATQBNAFMAXABuAE0ATQBTAF8AagBtADEANwA5AFQAMQAgAD0AIABmAHIAYQBjAHQAaQBvAG4AIABvAGYAIABtAGEAbgB1AHIAZQAgAGkAbgAgAHAAcgBpAG0AYQByAHkAIABsAGkAcQB1AGkAZAAgAHMAeQBzAHQAZQBtAHMAIAAoAG0APQAxACwANwAsADkAKQ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0AF8ARgByAGEAYwB0AGkAbwBuAE8AZgBOAGkAdAByAG8AZwBlAG4ASQBuAFMAbwBsAGkAZABTAHQAbwByAGEAZwBlAFwAbgAgACAAPQBMAEEATQBCAEQAQQAoAFwAbgAgACAAIAAgAE0ATQBTAF8AagBtADQAVAAxACwAIABNAE0AUwBfAGoAbQAxADcAOQBUADEALAAgAFMATgBfAG0ALABcAG4AIAAgACAAIABNAE0AUwBfAGoAbQA0AFQAMQAgACsAIAAoAE0ATQBTAF8AagBtADEANwA5AFQAMQAgACoAIABTAE4AXwBtACkAXABuACAAIAApADsAXABuAFwAbgBWAEUARQBSAEcAXwA0AF8ANQBfADEAXwAzAF8AXwA0AF8ARgByAGEAYwB0AGkAbwBuAE8AZgBOAGkAdAByAG8AZwBlAG4ASQBuAFMAbwBsAGkAZABTAHQAbwByAGEAZwBlAFYAYQByAGkAYQB0AGkAbwBuAFwAbgAgACAAPQBMAEEATQBCAEQAQQAoAFwAbgAgACAAIAAgAE0ATQBTAF8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BNAE0AUwBfAGoAbQA0AFQAMQAgACsAIAAoAE0ATQBTAGoAbQBUADEAXwAxACAAKgAgAFMAUwBqAG0AVAAxAF8AMQApACAAKwAgACgATQBNAFMAagBtAFQAMQBfADIAIAAqACAAUwBTAGoAbQBUADEAXwAyACkAIAArACAAKABNAE0AUwBqAG0AVAAxAF8AMwAgACoAIABTAFMAagBtAFQAMQBfADMAKQAgACsAIAAoAE0ATQBTAGoAbQBUADEAXwA0ACAAKgAgAFMAUwBqAG0AVAAxAF8ANAApACAAKwAgACgATQBNAFMAagBtAFQAMQBfADUAIAAqACAAUwBTAGoAbQBUADEAXwA1ACkAXABuACAAIAApADsAXABuAFwAbgBWAEUARQBSAEcAXwA0AF8ANQBfADEAXwAzAF8AXwA0AF8ARgByAGEAYwB0AGkAbwBuAE8AZgBOAGkAdAByAG8AZwBlAG4ASQBuAFMAbwBsAGkAZABTAHQAbwByAGEAZwBlAF8AVABpAHQAbABlAFwAbgAgACAAPQBMAEEATQBCAEQAQQAoAFwAIgBGAHIAYQBjAHQAaQBvAG4AIABvAGYAIABuAGkAdAByAG8AZwBlAG4AIABpAG4AIABzAG8AbABpAGQAIABzAHQAbwByAGEAZwBlAFwAIgApADsAXABuAFwAbgBWAEUARQBSAEcAXwA0AF8ANQBfADEAXwAzAF8AXwA0AF8ARgByAGEAYwB0AGkAbwBuAE8AZgBOAGkAdAByAG8AZwBlAG4ASQBuAFMAbwBsAGkAZABTAHQAbwByAGEAZwBlAF8AVgBhAHIAaQBhAGIAbABlAFwAbgAgACAAPQBMAEEATQBCAEQAQQAoAFwAIgBGAE4AXwBqAG0ANABUADEAXAAiACkAOwBcAG4AXABuAFYARQBFAFIARwBfADQAXwA1AF8AMQBfADMAXwBfADQAXwBGAHIAYQBjAHQAaQBvAG4ATwBmAE4AaQB0AHIAbwBnAGUAbgBJAG4AUwBvAGwAaQBkAFMAdABvAHIAYQBnAGUAXwBVAG4AaQB0AFwAbgAgACAAPQBMAEEATQBCAEQAQQAoAFwAIgBmAHIAYQBjAHQAaQBvAG4AXAAiACkAOwBcAG4AXABuAFYARQBFAFIARwBfADQAXwA1AF8AMQBfADMAXwBfADQAXwBGAHIAYQBjAHQAaQBvAG4ATwBmAE4AaQB0AHIAbwBnAGUAbgBJAG4AUwBvAGwAaQBkAFMAdABvAHIAYQBnAGUAXwBTAG8AdQByAGMAZQBcAG4AIAAgAD0ATABBAE0AQgBEAEEAKABcACIAVgBFAEUAUgBHACAAMgAwADIANgA6ACAANAAuADUALgAxAC4AMwAsACAARQBxAHUAYQB0AGkAbwBuACAAKAA0ACkAXAAiACkAOwBcAG4AXABuAFYARQBFAFIARwBfADQAXwA1AF8AMQBfADMAXwBfADQAXwBGAHIAYQBjAHQAaQBvAG4ATwBmAE4AaQB0AHIAbwBnAGUAbgBJAG4AUwBvAGwAaQBkAFMAdABvAHIAYQBnAGUAXwBOAEkAUgBSAGUAZgBlAHIAZQBuAGMAZQBcAG4AIAAgAD0ATABBAE0AQgBEAEEAKABcACIAXAAiACkAOwBcAG4AXABuAFYARQBFAFIARwBfADQAXwA1AF8AMQBfADMAXwBfADQAXwBGAHIAYQBjAHQAaQBvAG4ATwBmAE4AaQB0AHIAbwBnAGUAbgBJAG4AUwBvAGwAaQBkAFMAdABvAHIAYQBnAGUAXwBMAGEAdABlAHgARQBxAHUAYQB0AGkAbwBuAFwAbgAgACAAPQBMAEEATQBCAEQAQQAoAFwAIgBGAE4AXwB7AGoAbQA9ADQALABUAD0AMQB9AD0ATQBNAFMAXwB7AGoAbQA9ADQALABUAD0AMQB9ACsAKABNAE0AUwBfAHsAagBtAD0AMQAsADcALAA5ACwAVAA9ADEAfQBcAFwAdABpAG0AZQBzACAAUwBOAF8AewBtAH0AKQBcACIAKQA7AFwAbgBcAG4AVgBFAEUAUgBHAF8ANABfADUAXwAxAF8AMwBfAF8ANABfAEYAcgBhAGMAdABpAG8AbgBPAGYATgBpAHQAcgBvAGcAZQBuAEkAbgBTAG8AbABpAGQAUwB0AG8AcgBhAGcAZQBfAEwAYQB0AGUAeABFAHEAdQBhAHQAaQBvAG4AVgBhAHIAaQBhAHQAaQBvAG4AXABuACAAIAA9AEwAQQBNAEIARABBACgAXAAiAEYATgBfAHsAagBtAD0ANAAsAFQAPQAxAH0APQBNAE0AUwBfAHsAag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MAXwBfADQAXwBGAHIAYQBjAHQAaQBvAG4ATwBmAE4AaQB0AHIAbwBnAGUAbgBJAG4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XwBqAG0ANABUADEAXAAiACwAIABcACIAZgByAGEAYwB0AGkAbwBuACAAbwBmACAAbQBhAG4AdQByAGUAIABpAG4AIABzAG8AbABpAGQAIABzAHQAbwByAGEAZwBlACAATQBNAFMAXAAiACwAIABcACIAZgByAGEAYwB0AGkAbwBuAFwAIgAsACAAXAAiAEkAbgBwAHUAdABcACIAOwBcAG4AIAAgACAAIAAgACAAIAAgACAAIABcACIATQBNAFMAXwBqAG0AMQA3ADkAVAAxAFwAIgAsACAAXAAiAGYAcgBhAGMAdABpAG8AbgAgAG8AZgAgAG0AYQBuAHUAcgBlACAAaQBuACAAcAByAGkAbQBhAHIAeQAgAGwAaQBxAHUAaQBkACAAcwB5AHMAdABlAG0AcwAgACgAbQA9ADEALAA3ACwAOQAp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1AF8AMQBfADMAXwBfADQAXwBGAHIAYQBjAHQAaQBvAG4ATwBmAE4AaQB0AHIAbwBnAGUAbgBJAG4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FwAbgAvACoAXABuAC0ALQAtAC0ALQAtAC0ALQAtAC0ALQAtAC0ALQAtAC0ALQAtAC0ALQAtAC0ALQAtAC0ALQAtAC0ALQAtAC0ALQAtAC0ALQAtAC0ALQBcAG4AVgBFAEUAUgBHAF8ANABfADUAXwAxAF8AMwBfAF8ANQBfAEEAbgBuAHUAYQBsAE4AaQB0AHIAbwBnAGUAbgBFAHgAYwByAGUAdABpAG8AbgBcAG4AQQBuAG4AdQBhAGwAIABuAGkAdAByAG8AZwBlAG4AIABlAHgAYwByAGUAdABpAG8AbgAgAGYAcgBvAG0AIABlAGEAYwBoACAAcwB3AGkAbgBlACAAZwByAG8AdQBwAFwAbgBBAEUAXwBqAFwAbgBrAGcAIABOAFwAbgBBAEUAXwB7AGoAfQA9AE4AXwB7AGoAfQBcAFwAdABpAG0AZQBzACAATgBXAF8AewBqAH0AXABcAHQAaQBtAGUAcwAgAEQAXwB7AGoAfQBcAG4ATgBfAGoAIAA9ACAAbgB1AG0AYgBlAHIAIABvAGYAIABzAHcAaQBuAGUAIABpAG4AIABlAGEAYwBoACAAZwByAG8AdQBwACAAKABoAGUAYQBkACkAXABuAE4AVwBfAGoAIAA9ACAAbgBpAHQAcgBvAGcAZQBuACAAcAByAG8AZAB1AGMAZQBkACAAaQBuACAAcwB3AGkAbgBlACAAbQBhAG4AdQByAGUAIABhAG4AZAAgAHcAYQBzAHQAZQAgAGYAZQBlAGQAIABpAG4AIABlAGEAYwBoACAAYwBsAGEAcwBzACAAKABrAGcAIABOAC8AaABlAGEAZAAvAGQAYQB5ACkAXABuAEQAXwBqACAAPQAgAGQAdQByAGEAdABpAG8AbgAgAG8AZgAgAHMAdABhAHkAIABvAGYAIABzAHcAaQBuAGUAIABnAHIAbwB1AHAAIAAoAGQAYQB5AHMAKQBcAG4ALQAtAC0ALQAtAC0ALQAtAC0ALQAtAC0ALQAtAC0ALQAtAC0ALQAtAC0ALQAtAC0ALQAtAC0ALQAtAC0ALQAtAC0ALQAtAC0ALQAtAFwAbgAqAC8AXABuAFwAbgBWAEUARQBSAEcAXwA0AF8ANQBfADEAXwAzAF8AXwA1AF8AQQBuAG4AdQBhAGwATgBpAHQAcgBvAGcAZQBuAEUAeABjAHIAZQB0AGkAbwBuAFwAbgAgACAAPQBMAEEATQBCAEQAQQAoAFwAbgAgACAAIAAgAE4AXwBqACwAIABOAFcAXwBqACwAIABEAF8AagAsAFwAbgAgACAAIAAgAE4AXwBqACAAKgAgAE4AVwBfAGoAIAAqACAARABfAGoAXABuACAAIAApADsAXABuAFwAbgBWAEUARQBSAEcAXwA0AF8ANQBfADEAXwAzAF8AXwA1AF8AQQBuAG4AdQBhAGwATgBpAHQAcgBvAGcAZQBuAEUAeABjAHIAZQB0AGkAbwBuAF8AVABpAHQAbABlAFwAbgAgACAAPQBMAEEATQBCAEQAQQAoAFwAIgBBAG4AbgB1AGEAbAAgAG4AaQB0AHIAbwBnAGUAbgAgAGUAeABjAHIAZQB0AGkAbwBuACAAZgByAG8AbQAgAGUAYQBjAGgAIABzAHcAaQBuAGUAIABnAHIAbwB1AHAAXAAiACkAOwBcAG4AXABuAFYARQBFAFIARwBfADQAXwA1AF8AMQBfADMAXwBfADUAXwBBAG4AbgB1AGEAbABOAGkAdAByAG8AZwBlAG4ARQB4AGMAcgBlAHQAaQBvAG4AXwBWAGEAcgBpAGEAYgBsAGUAXABuACAAIAA9AEwAQQBNAEIARABBACgAXAAiAEEARQBfAGoAXAAiACkAOwBcAG4AXABuAFYARQBFAFIARwBfADQAXwA1AF8AMQBfADMAXwBfADUAXwBBAG4AbgB1AGEAbABOAGkAdAByAG8AZwBlAG4ARQB4AGMAcgBlAHQAaQBvAG4AXwBVAG4AaQB0AFwAbgAgACAAPQBMAEEATQBCAEQAQQAoAFwAIgBrAGcAIABOAFwAIgApADsAXABuAFwAbgBWAEUARQBSAEcAXwA0AF8ANQBfADEAXwAzAF8AXwA1AF8AQQBuAG4AdQBhAGwATgBpAHQAcgBvAGcAZQBuAEUAeABjAHIAZQB0AGkAbwBuAF8AUwBvAHUAcgBjAGUAXABuACAAIAA9AEwAQQBNAEIARABBACgAXAAiAFYARQBFAFIARwAgADIAMAAyADYAOgAgADQALgA1AC4AMQAuADMALAAgAEUAcQB1AGEAdABpAG8AbgAgACgANQApAFwAIgApADsAXABuAFwAbgBWAEUARQBSAEcAXwA0AF8ANQBfADEAXwAzAF8AXwA1AF8AQQBuAG4AdQBhAGwATgBpAHQAcgBvAGcAZQBuAEUAeABjAHIAZQB0AGkAbwBuAF8ATgBJAFIAUgBlAGYAZQByAGUAbgBjAGUAXABuACAAIAA9AEwAQQBNAEIARABBACgAXAAiAFwAIgApADsAXABuAFwAbgBWAEUARQBSAEcAXwA0AF8ANQBfADEAXwAzAF8AXwA1AF8AQQBuAG4AdQBhAGwATgBpAHQAcgBvAGcAZQBuAEUAeABjAHIAZQB0AGkAbwBuAF8ATABhAHQAZQB4AEUAcQB1AGEAdABpAG8AbgBcAG4AIAAgAD0ATABBAE0AQgBEAEEAKABcACIAQQBFAF8AewBqAH0APQBOAF8AewBqAH0AXABcAHQAaQBtAGUAcwAgAE4AVwBfAHsAagB9AFwAXAB0AGkAbQBlAHMAIABEAF8AewBqAH0AXAAiACkAOwBcAG4AXABuAFYARQBFAFIARwBfADQAXwA1AF8AMQBfADMAXwBfADU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XAAiACwAIABcACIAbgB1AG0AYgBlAHIAIABvAGYAIABzAHcAaQBuAGUAIABpAG4AIABlAGEAYwBoACAAZwByAG8AdQBwAFwAIgAsACAAXAAiAGgAZQBhAGQAXAAiACwAIABcACIASQBuAHAAdQB0AFwAIgA7AFwAbgAgACAAIAAgACAAIAAgACAAIAAgAFwAIgBOAFcAXwBqAFwAIgAsACAAXAAiAG4AaQB0AHIAbwBnAGUAbgAgAHAAcgBvAGQAdQBjAGUAZAAgAGkAbgAgAHMAdwBpAG4AZQAgAG0AYQBuAHUAcgBlACAAYQBuAGQAIAB3AGEAcwB0AGUAIABmAGUAZQBkACAAaQBuACAAZQBhAGMAaAAgAGMAbABhAHMAcwBcACIALAAgAFwAIgBrAGcAIABOAC8AaABlAGEAZAAvAGQAYQB5AFwAIgAsACAAXAAiAEkAbgBwAHUAdABcACIAOwBcAG4AIAAgACAAIAAgACAAIAAgACAAIABcACIARABfAGoAXAAiACwAIABcACIAZAB1AHIAYQB0AGkAbwBuACAAbwBmACAAcwB0AGEAeQAgAG8AZgAgAHMAdwBpAG4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KABrAGcAIABOACkAXABuAE0ATQBTAF8AagBtAFQAMgAgAD0AIABmAHIAYQBjAHQAaQBvAG4AIABvAGYAIABtAGEAbgB1AHIAZQAgAGkAbgAgAGUAYQBjAGgAIABzAGUAYwBvAG4AZABhAHIAeQAgAHMAeQBzAHQAZQBtAFwAbgAtAC0ALQAtAC0ALQAtAC0ALQAtAC0ALQAtAC0ALQAtAC0ALQAtAC0ALQAtAC0ALQAtAC0ALQAtAC0ALQAtAC0ALQAtAC0ALQAtAC0AXABuACoALwBcAG4AXABuAFYARQBFAFIARwBfADQAXwA1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UAXwAxAF8AMwBfAF8ANgBfAFMAdABhAGcAZQAyAE4AaQB0AHIAbwBnAGUAbgBJAG4ATQBNAFMAXwBUAGkAdABsAGUAXABuACAAIAA9AEwAQQBNAEIARABBACgAXAAiAE4AaQB0AHIAbwBnAGUAbgAgAGkAbgAgAHQAcgBlAGEAdABtAGUAbgB0ACAAcwB0AGEAZwBlACAAMgAgAE0ATQBTAFwAIgApADsAXABuAFwAbgBWAEUARQBSAEcAXwA0AF8ANQBfADEAXwAzAF8AXwA2AF8AUwB0AGEAZwBlADIATgBpAHQAcgBvAGcAZQBuAEkAbgBNAE0AUwBfAFYAYQByAGkAYQBiAGwAZQBcAG4AIAAgAD0ATABBAE0AQgBEAEEAKABcACIATQBOAF8AagBtAFQAMgBcACIAKQA7AFwAbgBcAG4AVgBFAEUAUgBHAF8ANABfADUAXwAxAF8AMwBfAF8ANgBfAFMAdABhAGcAZQAyAE4AaQB0AHIAbwBnAGUAbgBJAG4ATQBNAFMAXwBVAG4AaQB0AFwAbgAgACAAPQBMAEEATQBCAEQAQQAoAFwAIgBrAGcAIABOAFwAIgApADsAXABuAFwAbgBWAEUARQBSAEcAXwA0AF8ANQBfADEAXwAzAF8AXwA2AF8AUwB0AGEAZwBlADIATgBpAHQAcgBvAGcAZQBuAEkAbgBNAE0AUwBfAFMAbwB1AHIAYwBlAFwAbgAgACAAPQBMAEEATQBCAEQAQQAoAFwAIgBWAEUARQBSAEcAIAAyADAAMgA2ADoAIAA0AC4ANQAuADEALgAzACwAIABFAHEAdQBhAHQAaQBvAG4AIAAoADYAKQBcACIAKQA7AFwAbgBcAG4AVgBFAEUAUgBHAF8ANABfADUAXwAxAF8AMwBfAF8ANgBfAFMAdABhAGcAZQAyAE4AaQB0AHIAbwBnAGUAbgBJAG4ATQBNAFMAXwBOAEkAUgBSAGUAZgBlAHIAZQBuAGMAZQBcAG4AIAAgAD0ATABBAE0AQgBEAEEAKABcACIAXAAiACkAOwBcAG4AXABuAFYARQBFAFIARwBfADQAXwA1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U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AgAFwAIgBuAGkAdAByAG8AZwBlAG4AIAB0AHIAYQBuAHMAZgBlAHIAcgBlAGQAIAB0AG8AIABzAGUAYwBvAG4AZABhAHIAeQAgAHQAcgBlAGEAdABtAGUAbgB0ACAATQBNAFMAXAAiACwAIABcACIAawBnACAATgBcACIALAAgAFwAIgBDAGEAbABjAHUAbABhAHQAZQBkACAAZgByAG8AbQAgADQALgA1AC4AMQAuADMAIAAoADcAKQBcACIAOwBcAG4AIAAgACAAIAAgACAAIAAgACAAIABcACIATQBNAFMAXwBqAG0AVAAyAFwAIgAsACA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3AF8ATgBpAHQAcgBvAGcAZQBuAFQAcgBhAG4AcwBmAGUAcgByAGUAZABUAG8AUwB0AGEAZwBlADIATQBNAFMAXABuAE4AaQB0AHIAbwBnAGUAbgAgAHQAcgBhAG4AcwBmAGUAcgByAGUAZAAgAHQAbwAgAHQAcgBlAGEAdABtAGUAbgB0ACAAcwB0AGEAZwBlACAAMgAgAE0ATQBTAFwAbgBOAFQAXwBqAG0AVAAyAFwAbgBrAGcAIABOAFwAbgBOAFQAXwB7AGoAbQAsAFQAPQAyAH0APQBNAE4AXwB7AGoAbQAsAFQAPQAxAH0AXABcAHQAaQBtAGUAcwAoADEALQBGAHIAYQBjAEcAQQBTAE0AXwB7AG0ALABUAD0AMQB9AC0ARQBGAF8AewBtACwAVAA9ADEAfQApAFwAbgBNAE4AXwBqAG0AVAAxACAAPQAgAG4AaQB0AHIAbwBnAGUAbgAgAHAAZQByACAAcwB3AGkAbgBlACAAYwBsAGEAcwBzACAAaQBuACAAdAByAGUAYQB0AG0AZQBuAHQAIABzAHQAYQBnAGUAIAAxACAATQBNAFMAIAAoAGsAZwAgAE4AKQBcAG4ARgByAGEAYwBHAEEAUwBNAG0AVAAxACAAPQAgAGYAcgBhAGMAdABpAG8AbgAgAG8AZgAgAE4AIAB2AG8AbABhAHQAaQBsAGkAcwBlAGQAIABmAHIAbwBtACAATQBNAFMAIAB0AHIAZQBhAHQAbQBlAG4AdAAgAGEAdAAgAHMAdABhAGcAZQAgADEAXABuAEUARgBfAG0AVAAxACAAPQAgAG4AaQB0AHIAbwB1AHMAIABvAHgAaQBkAGUAIABlAG0AaQBzAHMAaQBvAG4AIABmAGEAYwB0AG8AcgAgAGYAbwByACAATQBNAFMAIAB0AHIAZQBhAHQAbQBlAG4AdAAgAGEAdAAgAHMAdABhAGcAZQAgADEAXABuAC0ALQAtAC0ALQAtAC0ALQAtAC0ALQAtAC0ALQAtAC0ALQAtAC0ALQAtAC0ALQAtAC0ALQAtAC0ALQAtAC0ALQAtAC0ALQAtAC0ALQBcAG4AKgAvAFwAbgBcAG4AVgBFAEUAUgBHAF8ANABfADUAXwAxAF8AMwBfAF8ANwBfAE4AaQB0AHIAbwBnAGUAbgBUAHIAYQBuAHMAZgBlAHIAcgBlAGQAVABvAFMAdABhAGcAZQAyAE0ATQBTAFwAbgAgACAAPQBMAEEATQBCAEQAQQAoAFwAbgAgACAAIAAgAE0ATgBfAGoAbQBUADEALAAgAEYAcgBhAGMARwBBAFMATQBtAFQAMQAsACAARQBGAF8AbQBUADEALABcAG4AIAAgACAAIABNAE4AXwBqAG0AVAAxACAAKgAgACgAMQAgAC0AIABGAHIAYQBjAEcAQQBTAE0AbQBUADEAIAAtACAARQBGAF8AbQBUADEAKQBcAG4AIAAgACkAOwBcAG4AXABuAFYARQBFAFIARwBfADQAXwA1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1AF8AMQBfADMAXwBfADcAXwBOAGkAdAByAG8AZwBlAG4AVAByAGEAbgBzAGYAZQByAHIAZQBkAFQAbwBTAHQAYQBnAGUAMgBNAE0AUwBfAFYAYQByAGkAYQBiAGwAZQBcAG4AIAAgAD0ATABBAE0AQgBEAEEAKABcACIATgBUAF8AagBtAFQAMgBcACIAKQA7AFwAbgBcAG4AVgBFAEUAUgBHAF8ANABfADUAXwAxAF8AMwBfAF8ANwBfAE4AaQB0AHIAbwBnAGUAbgBUAHIAYQBuAHMAZgBlAHIAcgBlAGQAVABvAFMAdABhAGcAZQAyAE0ATQBTAF8AVQBuAGkAdABcAG4AIAAgAD0ATABBAE0AQgBEAEEAKABcACIAawBnACAATgBcACIAKQA7AFwAbgBcAG4AVgBFAEUAUgBHAF8ANABfADUAXwAxAF8AMwBfAF8ANwBfAE4AaQB0AHIAbwBnAGUAbgBUAHIAYQBuAHMAZgBlAHIAcgBlAGQAVABvAFMAdABhAGcAZQAyAE0ATQBTAF8AUwBvAHUAcgBjAGUAXABuACAAIAA9AEwAQQBNAEIARABBACgAXAAiAFYARQBFAFIARwAgADIAMAAyADYAOgAgADQALgA1AC4AMQAuADMALAAgAEUAcQB1AGEAdABpAG8AbgAgACgANwApAFwAIgApADsAXABuAFwAbgBWAEUARQBSAEcAXwA0AF8ANQBfADEAXwAzAF8AXwA3AF8ATgBpAHQAcgBvAGcAZQBuAFQAcgBhAG4AcwBmAGUAcgByAGUAZABUAG8AUwB0AGEAZwBlADIATQBNAFMAXwBOAEkAUgBSAGUAZgBlAHIAZQBuAGMAZQBcAG4AIAAgAD0ATABBAE0AQgBEAEEAKABcACIAXAAiACkAOwBcAG4AXABuAFYARQBFAFIARwBfADQAXwA1AF8AMQBfADMAXwBfADcAXwBOAGkAdAByAG8AZwBlAG4AVAByAGEAbgBzAGYAZQByAHIAZQBkAFQAbwBTAHQAYQBnAGUAMgBNAE0AUwBfAEwAYQB0AGUAeABFAHEAdQBhAHQAaQBvAG4AXABuACAAIAA9AEwAQQBNAEIARABBACgAXAAiAE4AVABfAHsAagBtACwAVAA9ADIAfQA9AE0ATgBfAHsAagBtACwAVAA9ADEAfQBcAFwAdABpAG0AZQBzACgAMQAtAEYAcgBhAGMARwBBAFMATQBfAHsAbQAsAFQAPQAxAH0ALQBFAEYAXwB7AG0ALABUAD0AMQB9ACkAXAAiACkAOwBcAG4AXABuAFYARQBFAFIARwBfADQAXwA1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0AVAAxAFwAIgAsACAAXAAiAG4AaQB0AHIAbwBnAGUAbgAgAHAAZQByACAAcwB3AGkAbgBlACAAYwBsAGEAcwBzACAAaQBuACAAdAByAGUAYQB0AG0AZQBuAHQAIABzAHQAYQBnAGUAIAAxACAATQBNAFMAXAAiACwAIABcACIAawBnACAATgBcACIALAAgAFwAIgBDAGEAbABjAHUAbABhAHQAZQBkACAAZgByAG8AbQAgADQALgA1AC4AMQAuADMAIAAoADIAKQAoADYAKQBcACIAOwBcAG4AIAAgACAAIAAgACAAIAAgACAAIABcACIARgByAGEAYwBHAEEAUwBNAG0AVAAxAFwAIgAsACAAXAAiAGYAcgBhAGMAdABpAG8AbgAgAG8AZgAgAE4AIAB2AG8AbABhAHQAaQBsAGkAcwBlAGQAIABmAHIAbwBtACAATQBNAFMAIAB0AHIAZQBhAHQAbQBlAG4AdAAgAGEAdAAgAHMAdABhAGcAZQAgADEAXAAiACwAIABcACIAZgByAGEAYwB0AGkAbwBuAFwAIgAsACAAXAAiAEwAbwBvAGsAdQBwAFwAIgA7AFwAbgAgACAAIAAgACAAIAAgACAAIAAgAFwAIgBFAEYAXwBtAFQAMQBcACIALAAgAFwAIgBuAGkAdAByAG8AdQBzACAAbwB4AGkAZABlACAAZQBtAGkAcwBzAGkAbwBuACAAZgBhAGMAdABvAHIAIABmAG8AcgAgAE0ATQBTACAAdAByAGUAYQB0AG0AZQBuAHQAIABhAHQAIABzAHQAYQBnAGUAIAAxAFwAIgAsACAAXAAiAGsAZwAgAE4AMgBPAC0ATgAvAGsAZwAgAE4AXAAiACwAIABcACIATABvAG8AawB1AHAAXAAiAFwAbgAgACAAIAAgACAAIAAgACAAfQAsACAAcgAsACAAYwApAFwAbgAgACAAIAAgACAAIAApAFwAbgAgACAAIAAgACkAXABuACAAIAApADsAXABuACIAfQAsAHsAIgBwAGEAdABoACIAOgAiAC8AcAByAG8AagBlAGMAdABzAC8ATQBNAFMAXwBTAHcAaQBuAGU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1ACAATQBlAHQAaABvAGQAIAAxACAALQAgAE0AYQBuAHUAcgBlACAAQQB0AG0AbwBzAHAAaABlAHIAaQBjACAARABlAHAAbwBzAGkAdABpAG8AbgAgAFMAdwBpAG4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1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GEAZAB9AD0ATQBNAFMAXwB7AEEAVABNAE8AUwB9AFwAXAB0AGkAbQBlAHMAIABFAEYAXwB7AE4AMgBPAH0AXABcAHQAaQBtAGUAcwAgAEMAXwB7AE4AMgBPAH0AXABcAHQAaQBtAGUAcwAgADEAMABeAHsALQAzAH0AXABuAE0ATQBT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UAXwAxAF8ANQBfAF8AMQBfAEEAbgBuAHUAYQBsAEEAdABtAG8AcwBwAGgAZQByAGkAYwBEAGUAcABvAHMAaQB0AGkAbwBuAEUAbQBpAHMAcwBpAG8AbgBzAEYAcgBvAG0ATQBNAFMAXABuACAAIAA9AEwAQQBNAEIARABBACgAXABuACAAIAAgACAATQBNAFMAXwBBAFQATQBPAFMALAAgAEUARgBfAE4AMgBPACwAIABDAF8ATgAyAE8ALABcAG4AIAAgACAAIABNAE0AUwBfAEEAVABNAE8AUwAgACoAIABFAEYAXwBOADIATwAgACoAIABDAF8ATgAyAE8AIAAqACAAMQAwACAAXgAgAC0AMwBcAG4AIAAgACkAOwBcAG4AXABuAFYARQBFAFIARwBfADQAXwA1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UAXwAxAF8ANQBfAF8AMQBfAEEAbgBuAHUAYQBsAEEAdABtAG8AcwBwAGgAZQByAGkAYwBEAGUAcABvAHMAaQB0AGkAbwBuAEUAbQBpAHMAcwBpAG8AbgBzAEYAcgBvAG0ATQBNAFMAXwBWAGEAcgBpAGEAYgBsAGUAXABuACAAIAA9AEwAQQBNAEIARABBACgAXAAiAEUAXwBOADIATwBNAE0AUwBhAGQAXAAiACkAOwBcAG4AXABuAFYARQBFAFIARwBfADQAXwA1AF8AMQBfADUAXwBfADEAXwBBAG4AbgB1AGEAbABBAHQAbQBvAHMAcABoAGUAcgBpAGMARABlAHAAbwBzAGkAdABpAG8AbgBFAG0AaQBzAHMAaQBvAG4AcwBGAHIAbwBtAE0ATQBTAF8AVQBuAGkAdABcAG4AIAAgAD0ATABBAE0AQgBEAEEAKABcACIAdAAgAE4AMgBPAFwAIgApADsAXABuAFwAbgBWAEUARQBSAEcAXwA0AF8ANQBfADEAXwA1AF8AXwAxAF8AQQBuAG4AdQBhAGwAQQB0AG0AbwBzAHAAaABlAHIAaQBjAEQAZQBwAG8AcwBpAHQAaQBvAG4ARQBtAGkAcwBzAGkAbwBuAHMARgByAG8AbQBNAE0AUwBfAFMAbwB1AHIAYwBlAFwAbgAgACAAPQBMAEEATQBCAEQAQQAoAFwAIgBWAEUARQBSAEcAIAAyADAAMgA2ADoAIAA0AC4ANQAuADEALgAxACwAIABFAHEAdQBhAHQAaQBvAG4AIAAoADEAKQBcACIAKQA7AFwAbgBcAG4AVgBFAEUAUgBHAF8ANABfADUAXwAxAF8ANQBfAF8AMQBfAEEAbgBuAHUAYQBsAEEAdABtAG8AcwBwAGgAZQByAGkAYwBEAGUAcABvAHMAaQB0AGkAbwBuAEUAbQBpAHMAcwBpAG8AbgBzAEYAcgBvAG0ATQBNAFMAXwBOAEkAUgBSAGUAZgBlAHIAZQBuAGMAZQBcAG4AIAAgAD0ATABBAE0AQgBEAEEAKABcACIAXAAiACkAOwBcAG4AXABuAFYARQBFAFIARwBfADQAXwA1AF8AMQBfADUAXwBfADEAXwBBAG4AbgB1AGEAbABBAHQAbQBvAHMAcABoAGUAcgBpAGMARABlAHAAbwBzAGkAdABpAG8AbgBFAG0AaQBzAHMAaQBvAG4AcwBGAHIAbwBtAE0ATQBTAF8ATABhAHQAZQB4AEUAcQB1AGEAdABpAG8AbgBcAG4AIAAgAD0ATABBAE0AQgBEAEEAKABcACIARQBfAHsATgAyAE8ALABhAGQAfQA9AE0ATQBTAF8AewBBAFQATQBPAFMAfQBcAFwAdABpAG0AZQBzACAARQBGAF8AewBOADIATwB9AFwAXAB0AGkAbQBlAHMAIABDAF8AewBOADIATwB9AFwAXAB0AGkAbQBlAHMAIAAxADAAXgB7AC0AMwB9AFwAIgApADsAXABuAFwAbgBWAEUARQBSAEcAXwA0AF8ANQBfADEAXwA1AF8AXwAxAF8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AgAFwAIgBtAGEAcwBzACAAbwBmACAATgAgAHYAbwBsAGEAdABpAGwAaQBzAGUAZAAgAGYAcgBvAG0AIABNAE0AUwBcACIALAAgAFwAIgBrAGcAIABOAFwAIgAsACAAXAAiAEMAYQBsAGMAdQBsAGEAdABlAGQAIABmAHIAbwBtACAANAAuADU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UAXwBfADIAXwBUAG8AdABhAGwATgBpAHQAcgBvAGcAZQBuAFYAbwBsAGEAdABpAGwAaQBzAGUAZABGAHIAbwBtAE0ATQBTAFwAbgBUAG8AdABhAGwAIABuAGkAdAByAG8AZwBlAG4AIAB2AG8AbABhAHQAaQBsAGkAcwBlAGQAIABmAHIAbwBtACAATQBNAFMAXABuAE0ATQBTAF8AQQBUAE0ATwBTAFwAbgBrAGcAIABOAFwAbgBNAE0AUwBfAHsAQQBUAE0ATwBTAH0APQBcAFwAcwB1AG0AXwB7AGoAfQBcAFwAcwB1AG0AXwB7AG0AfQBcAFwAcwB1AG0AXwB7AFQAfQAoAE0ATgBfAHsAagBtAFQAfQBcAFwAdABpAG0AZQBzACAARgByAGEAYwBHAEEAUwBNAF8AewBtAFQAfQApAFwAbgBNAE4AXwBqAG0AVAAgAD0AIABuAGkAdAByAG8AZwBlAG4AIABwAGUAcgAgAHMAdwBpAG4AZQAgAGMAbABhAHMAcwAsACAATQBNAFMAIABhAG4AZAAgAHQAcgBlAGEAdABtAGUAbgB0ACAAcwB0AGEAZwBlACAAKABrAGcAIABOACkAXABuAEYAcgBhAGMARwBBAFMATQBtAFQAIAA9ACAAZgByAGEAYwB0AGkAbwBuACAAbwBmACAATgAgAHYAbwBsAGEAdABpAGwAaQBzAGUAZAAgAGkAbgAgAGUAYQBjAGgAIABNAE0AUwAgACgAKABrAGcAIABOAEgAMwAtAE4AIAArACAATgBPAHgALQBOACkALwBrAGcAIABOACkAXABuAC0ALQAtAC0ALQAtAC0ALQAtAC0ALQAtAC0ALQAtAC0ALQAtAC0ALQAtAC0ALQAtAC0ALQAtAC0ALQAtAC0ALQAtAC0ALQAtAC0ALQBcAG4AKgAvAFwAbgBcAG4AVgBFAEUAUgBHAF8ANABfADUAXwAxAF8ANQBfAF8AMgBfAFQAbwB0AGEAbABOAGkAdAByAG8AZwBlAG4AVgBvAGwAYQB0AGkAbABpAHMAZQBkAEYAcgBvAG0ATQBNAFMAXABuACAAIAA9AEwAQQBNAEIARABBACgAXABuACAAIAAgACAATQBOAF8AagBtAFQALAAgAEYAcgBhAGMARwBBAFMATQBtAFQALABcAG4AIAAgACAAIABNAE4AXwBqAG0AVAAgACoAIABGAHIAYQBjAEcAQQBTAE0AbQBUAFwAbgAgACAAKQA7AFwAbgBcAG4AVgBFAEUAUgBHAF8ANABfADU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UAXwAxAF8ANQBfAF8AMgBfAFQAbwB0AGEAbABOAGkAdAByAG8AZwBlAG4AVgBvAGwAYQB0AGkAbABpAHMAZQBkAEYAcgBvAG0ATQBNAFMAXwBWAGEAcgBpAGEAYgBsAGUAXABuACAAIAA9AEwAQQBNAEIARABBACgAXAAiAE0ATQBTAF8AQQBUAE0ATwBTAFwAIgApADsAXABuAFwAbgBWAEUARQBSAEcAXwA0AF8ANQBfADEAXwA1AF8AXwAyAF8AVABvAHQAYQBsAE4AaQB0AHIAbwBnAGUAbgBWAG8AbABhAHQAaQBsAGkAcwBlAGQARgByAG8AbQBNAE0AUwBfAFUAbgBpAHQAXABuACAAIAA9AEwAQQBNAEIARABBACgAXAAiAGsAZwAgAE4AXAAiACkAOwBcAG4AXABuAFYARQBFAFIARwBfADQAXwA1AF8AMQBfADUAXwBfADIAXwBUAG8AdABhAGwATgBpAHQAcgBvAGcAZQBuAFYAbwBsAGEAdABpAGwAaQBzAGUAZABGAHIAbwBtAE0ATQBTAF8AUwBvAHUAcgBjAGUAXABuACAAIAA9AEwAQQBNAEIARABBACgAXAAiAFYARQBFAFIARwAgADIAMAAyADYAOgAgADQALgA1AC4AMQAuADEALAAgAEUAcQB1AGEAdABpAG8AbgAgACgAMgApAFwAIgApADsAXABuAFwAbgBWAEUARQBSAEcAXwA0AF8ANQBfADEAXwA1AF8AXwAyAF8AVABvAHQAYQBsAE4AaQB0AHIAbwBnAGUAbgBWAG8AbABhAHQAaQBsAGkAcwBlAGQARgByAG8AbQBNAE0AUwBfAE4ASQBSAFIAZQBmAGUAcgBlAG4AYwBlAFwAbgAgACAAPQBMAEEATQBCAEQAQQAoAFwAIgBcACIAKQA7AFwAbgBcAG4AVgBFAEUAUgBHAF8ANABfADUAXwAxAF8ANQBfAF8AMgBfAFQAbwB0AGEAbABOAGkAdAByAG8AZwBlAG4AVgBvAGwAYQB0AGkAbABpAHMAZQBkAEYAcgBvAG0ATQBNAFM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NQ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VABcACIALAAgAFwAIgBuAGkAdAByAG8AZwBlAG4AIABwAGUAcgAgAHMAdwBpAG4AZQAgAGMAbABhAHMAcwAsACAATQBNAFMAIABhAG4AZAAgAHQAcgBlAGEAdABtAGUAbgB0ACAAcwB0AGEAZwBlAFwAIgAsACAAXAAiAGsAZwAgAE4AXAAiACwAIABcACIAQwBhAGwAYwB1AGwAYQB0AGUAZAAgAGYAcgBvAG0AIAA0AC4ANQAuADEALgAzACAAKAAyACkAKAA2ACkAXAAiADsAXABuACAAIAAgACAAIAAgACAAIAAgACAAXAAiAEYAcgBhAGMARwBBAFMATQBtAFQAXAAiACwAI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wB3AGkAbgBl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cAIABNAGUAdABoAG8AZAAgADEAIAAtACAATQBhAG4AdQByAGUAIABMAGUAYQBjAGgAaQBuAGcAIABBAG4AZAAgAFIAdQBuAG8AZgBmACAATgAyAE8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D0ANQB9AFwAXAB0AGkAbQBlAHMAIABFAEYAXwB7AGwAZQBhAGMAaAB9AFwAXAB0AGkAbQBlAHMAIABDAF8AewBOADIATwB9AFwAXAB0AGkAbQBlAHMAIAAxADAAXgB7AC0AMwB9AFwAbgBNAE4ATABlAGEAYwBoAF8AagBtADUAIAA9ACAAbQBhAHMAcwAgAG8AZgAgAE4AIABsAG8AcwB0ACAAdABoAHIAbwB1AGcAaAAgAGwAZQBhAGMAaABpAG4AZwAgAGEAbgBkACAAcgB1AG4AbwBmAGYAIABmAHIAbwBtACAAZAByAHkAbABvAHQAIABNAE0AUw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EAHUAZQAgAHQAbwAgAHMAdAByAGkAYwB0ACAAZQBuAHYAaQByAG8AbgBtAGUAbgB0AGEAbAAgAGMAbwBuAHQAcgBvAGwAcwAsACAAZQBtAGkAcwBzAGkAbwBuAHMAIABhAHIAZQAgAGUAcwB0AGkAbQBhAHQAZQBkACAAbwBuAGwAeQAgAGYAbwByACAAZAByAHkAbABvAHQAIABNAE0AUwAgACgAbQA9ADUAKQAuAFwAbgAtAC0ALQAtAC0ALQAtAC0ALQAtAC0ALQAtAC0ALQAtAC0ALQAtAC0ALQAtAC0ALQAtAC0ALQAtAC0ALQAtAC0ALQAtAC0ALQAtAC0AXABuACoALwBcAG4AXABuAFYARQBFAFIARwBfADQAXwA1AF8AMQBfADcAXwBfADEAXwBBAG4AbgB1AGEAbABFAG0AaQBzAHMAaQBvAG4AcwBGAHIAbwBtAEwAZQBhAGMAaABpAG4AZwBBAG4AZABSAHUAbgBvAGYAZgBGAHIAbwBtAE0ATQBTAFwAbgAgACAAPQBMAEEATQBCAEQAQQAoAFwAbgAgACAAIAAgAE0ATgBMAGUAYQBjAGgAXwBqAG0ANQAsACAARQBGAF8AbABlAGEAYwBoACwAIABDAF8ATgAyAE8ALABcAG4AIAAgACAAIABNAE4ATABlAGEAYwBoAF8AagBtADUAIAAqACAARQBGAF8AbABlAGEAYwBoACAAKgAgAEMAXwBOADIATwAgACoAIAAxADAAIABeACAALQAzAFwAbgAgACAAKQA7AFwAbgBcAG4AVgBFAEUAUgBHAF8ANABfADU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1AF8AMQBfADcAXwBfADEAXwBBAG4AbgB1AGEAbABFAG0AaQBzAHMAaQBvAG4AcwBGAHIAbwBtAEwAZQBhAGMAaABpAG4AZwBBAG4AZABSAHUAbgBvAGYAZgBGAHIAbwBtAE0ATQBTAF8AVgBhAHIAaQBhAGIAbABlAFwAbgAgACAAPQBMAEEATQBCAEQAQQAoAFwAIgBFAF8ATgAyAE8AbABlAGEAYwBoAFwAIgApADsAXABuAFwAbgBWAEUARQBSAEcAXwA0AF8ANQBfADEAXwA3AF8AXwAxAF8AQQBuAG4AdQBhAGwARQBtAGkAcwBzAGkAbwBuAHMARgByAG8AbQBMAGUAYQBjAGgAaQBuAGcAQQBuAGQAUgB1AG4AbwBmAGYARgByAG8AbQBNAE0AUwBfAFUAbgBpAHQAXABuACAAIAA9AEwAQQBNAEIARABBACgAXAAiAHQAIABOADIATwBcACIAKQA7AFwAbgBcAG4AVgBFAEUAUgBHAF8ANABfADUAXwAxAF8ANwBfAF8AMQBfAEEAbgBuAHUAYQBsAEUAbQBpAHMAcwBpAG8AbgBzAEYAcgBvAG0ATABlAGEAYwBoAGkAbgBnAEEAbgBkAFIAdQBuAG8AZgBmAEYAcgBvAG0ATQBNAFMAXwBTAG8AdQByAGMAZQBcAG4AIAAgAD0ATABBAE0AQgBEAEEAKABcACIAVgBFAEUAUgBHACAAMgAwADIANgA6ACAANAAuADUALgAxAC4ANwAsACAARQBxAHUAYQB0AGkAbwBuACAAKAAxACkAXAAiACkAOwBcAG4AXABuAFYARQBFAFIARwBfADQAXwA1AF8AMQBfADcAXwBfADEAXwBBAG4AbgB1AGEAbABFAG0AaQBzAHMAaQBvAG4AcwBGAHIAbwBtAEwAZQBhAGMAaABpAG4AZwBBAG4AZABSAHUAbgBvAGYAZgBGAHIAbwBtAE0ATQBTAF8ATgBJAFIAUgBlAGYAZQByAGUAbgBjAGUAXABuACAAIAA9AEwAQQBNAEIARABBACgAXAAiAFwAIgApADsAXABuAFwAbgBWAEUARQBSAEcAXwA0AF8ANQBfADEAXwA3AF8AXwAxAF8AQQBuAG4AdQBhAGwARQBtAGkAcwBzAGkAbwBuAHMARgByAG8AbQBMAGUAYQBjAGgAaQBuAGcAQQBuAGQAUgB1AG4AbwBmAGYARgByAG8AbQBNAE0AUwBfAEwAYQB0AGUAeABFAHEAdQBhAHQAaQBvAG4AXABuACAAIAA9AEwAQQBNAEIARABBACgAXAAiAEUAXwB7AE4AMgBPACwAbABlAGEAYwBoAH0APQBNAE4ATABlAGEAYwBoAF8AewBqAG0APQA1AH0AXABcAHQAaQBtAGUAcwAgAEUARgBfAHsAbABlAGEAYwBoAH0AXABcAHQAaQBtAGUAcwAgAEMAXwB7AE4AMgBPAH0AXABcAHQAaQBtAGUAcwAgADEAMABeAHsALQAzAH0AXAAiACkAOwBcAG4AXABuAFYARQBFAFIARwBfADQAXwA1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0ANQBcACIALAAgAFwAIgBtAGEAcwBzACAAbwBmACAATgAgAGwAbwBzAHQAIAB0AGgAcgBvAHUAZwBoACAAbABlAGEAYwBoAGkAbgBnACAAYQBuAGQAIAByAHUAbgBvAGYAZgAgAGYAcgBvAG0AIABkAHIAeQBsAG8AdAAgAE0ATQBTAFwAIgAsACAAXAAiAGsAZwAgAE4AXAAiACwAIABcACIAQwBhAGwAYwB1AGwAYQB0AGUAZAAgAGYAcgBvAG0AIAA0AC4ANQ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3AF8AXwAyAF8ATQBhAHMAcwBPAGYATgBpAHQAcgBvAGcAZQBuAEwAbwBzAHQAVABvAEwAZQBhAGMAaABpAG4AZwBBAG4AZABSAHUAbgBvAGYAZgBGAHIAbwBtAEQAcgB5AGwAbwB0AE0ATQBTAFwAbgBNAGEAcwBzACAAbwBmACAAbgBpAHQAcgBvAGcAZQBuACAAbABvAHMAdAAgAHQAbwAgAGwAZQBhAGMAaABpAG4AZwAgAGEAbgBkACAAcgB1AG4AbwBmAGYAIABmAHIAbwBtACAAZAByAHkAbABvAHQAIABNAE0AUwBcAG4ATQBOAEwAZQBhAGMAaABfAGoAbQA1AFwAbgBrAGcAIABOAFwAbgBNAE4ATABlAGEAYwBoAF8AewBqAG0APQA1AH0APQBNAE4AXwB7AGoAbQA9ADUALABUAD0AMQB9AFwAXAB0AGkAbQBlAHMAIABGAHIAYQBjAFcARQBUAFwAXAB0AGkAbQBlAHMAIABGAHIAYQBjAEwARQBBAEMASABfAHsATQBTAH0AXABuAE0ATgBfAGoAbQA1AFQAMQAgAD0AIABuAGkAdAByAG8AZwBlAG4AIABpAG4AIAB0AHIAZQBhAHQAbQBlAG4AdAAgAHMAdABhAGcAZQAgADEAIABkAHIAeQBsAG8AdAAgAE0ATQBTACAAKABrAGcAIABOACkAXABuAEYAcgBhAGMAVwBFAFQ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1AF8AMQBfADcAXwBfADIAXwBNAGEAcwBzAE8AZgBOAGkAdAByAG8AZwBlAG4ATABvAHMAdABUAG8ATABlAGEAYwBoAGkAbgBnAEEAbgBkAFIAdQBuAG8AZgBmAEYAcgBvAG0ARAByAHkAbABvAHQATQBNAFMAXABuACAAIAA9AEwAQQBNAEIARABBACgAXABuACAAIAAgACAATQBOAF8AagBtADUAVAAxACwAIABGAHIAYQBjAFcARQBUACwAIABGAHIAYQBjAEwARQBBAEMASABfAE0AUwAsAFwAbgAgACAAIAAgAE0ATgBfAGoAbQA1AFQAMQAgACoAIABGAHIAYQBjAFcARQBUACAAKgAgAEYAcgBhAGMATABFAEEAQwBIAF8ATQBTAFwAbgAgACAAKQA7AFwAbgBcAG4AVgBFAEUAUgBHAF8ANABfADUAXwAxAF8ANwBfAF8AMgBfAE0AYQBzAHMATwBmAE4AaQB0AHIAbwBnAGUAbgBMAG8AcwB0AFQAbwBMAGUAYQBjAGgAaQBuAGcAQQBuAGQAUgB1AG4AbwBmAGYARgByAG8AbQBEAHIAeQBsAG8AdABNAE0AUwBfAFQAaQB0AGwAZQBcAG4AIAAgAD0ATABBAE0AQgBEAEEAKABcACIATQBhAHMAcwAgAG8AZgAgAG4AaQB0AHIAbwBnAGUAbgAgAGwAbwBzAHQAIAB0AG8AIABsAGUAYQBjAGgAaQBuAGcAIABhAG4AZAAgAHIAdQBuAG8AZgBmACAAZgByAG8AbQAgAGQAcgB5AGwAbwB0ACAATQBNAFMAXAAiACkAOwBcAG4AXABuAFYARQBFAFIARwBfADQAXwA1AF8AMQBfADcAXwBfADIAXwBNAGEAcwBzAE8AZgBOAGkAdAByAG8AZwBlAG4ATABvAHMAdABUAG8ATABlAGEAYwBoAGkAbgBnAEEAbgBkAFIAdQBuAG8AZgBmAEYAcgBvAG0ARAByAHkAbABvAHQATQBNAFMAXwBWAGEAcgBpAGEAYgBsAGUAXABuACAAIAA9AEwAQQBNAEIARABBACgAXAAiAE0ATgBMAGUAYQBjAGgAXwBqAG0ANQBcACIAKQA7AFwAbgBcAG4AVgBFAEUAUgBHAF8ANABfADUAXwAxAF8ANwBfAF8AMgBfAE0AYQBzAHMATwBmAE4AaQB0AHIAbwBnAGUAbgBMAG8AcwB0AFQAbwBMAGUAYQBjAGgAaQBuAGcAQQBuAGQAUgB1AG4AbwBmAGYARgByAG8AbQBEAHIAeQBsAG8AdABNAE0AUwBfAFUAbgBpAHQAXABuACAAIAA9AEwAQQBNAEIARABBACgAXAAiAGsAZwAgAE4AXAAiACkAOwBcAG4AXABuAFYARQBFAFIARwBfADQAXwA1AF8AMQBfADcAXwBfADIAXwBNAGEAcwBzAE8AZgBOAGkAdAByAG8AZwBlAG4ATABvAHMAdABUAG8ATABlAGEAYwBoAGkAbgBnAEEAbgBkAFIAdQBuAG8AZgBmAEYAcgBvAG0ARAByAHkAbABvAHQATQBNAFMAXwBTAG8AdQByAGMAZQBcAG4AIAAgAD0ATABBAE0AQgBEAEEAKABcACIAVgBFAEUAUgBHACAAMgAwADIANgA6ACAANAAuADUALgAxAC4ANwAsACAARQBxAHUAYQB0AGkAbwBuACAAKAAyACkAXAAiACkAOwBcAG4AXABuAFYARQBFAFIARwBfADQAXwA1AF8AMQBfADcAXwBfADIAXwBNAGEAcwBzAE8AZgBOAGkAdAByAG8AZwBlAG4ATABvAHMAdABUAG8ATABlAGEAYwBoAGkAbgBnAEEAbgBkAFIAdQBuAG8AZgBmAEYAcgBvAG0ARAByAHkAbABvAHQATQBNAFMAXwBOAEkAUgBSAGUAZgBlAHIAZQBuAGMAZQBcAG4AIAAgAD0ATABBAE0AQgBEAEEAKABcACIAXAAiACkAOwBcAG4AXABuAFYARQBFAFIARwBfADQAXwA1AF8AMQBfADcAXwBfADIAXwBNAGEAcwBzAE8AZgBOAGkAdAByAG8AZwBlAG4ATABvAHMAdABUAG8ATABlAGEAYwBoAGkAbgBnAEEAbgBkAFIAdQBuAG8AZgBmAEYAcgBvAG0ARAByAHkAbABvAHQATQBNAFMAXwBMAGEAdABlAHgARQBxAHUAYQB0AGkAbwBuAFwAbgAgACAAPQBMAEEATQBCAEQAQQAoAFwAIgBNAE4ATABlAGEAYwBoAF8AewBqAG0APQA1AH0APQBNAE4AXwB7AGoAbQA9ADUALABUAD0AMQB9AFwAXAB0AGkAbQBlAHMAIABGAHIAYQBjAFcARQBUAFwAXAB0AGkAbQBlAHMAIABGAHIAYQBjAEwARQBBAEMASABfAHsATQBTAH0AXAAiACkAOwBcAG4AXABuAFYARQBFAFIARwBfADQAXwA1AF8AMQBfADcAXwBfADIAXwBNAGEAcwBzAE8AZgBOAGkAdAByAG8AZwBlAG4ATABvAHMAdABUAG8ATABlAGEAYwBoAGkAbgBnAEEAbgBkAFIAdQBuAG8AZgBmAEYAcgBvAG0ARAByAHkAbABvAHQATQBNAFMAXwBBAHIAZwB1AG0AZQBuAHQAcwBcAG4AIAAgAD0ATABBAE0AQgBEAEEAKABcAG4AIAAgACAAIABNAEEASwBFAEEAUgBSAEEAWQAoADYALAAgADQALABcAG4AIAAgACAAIAAgACAATABBAE0AQgBEAEEAKAByACwAYwAsAFwAbgAgACAAIAAgACAAIAAgACAASQBOAEQARQBYACgAewBcAG4AIAAgACAAIAAgACAAIAAgACAAIABcACIATQBOAF8AagBtADUAVAAxAFwAIgAsACAAXAAiAG4AaQB0AHIAbwBnAGUAbgAgAGkAbgAgAHQAcgBlAGEAdABtAGUAbgB0ACAAcwB0AGEAZwBlACAAMQAgAGQAcgB5AGwAbwB0ACAATQBNAFMAXAAiACwAIABcACIAawBnACAATgBcACIALAAgAFwAIgBDAGEAbABjAHUAbABhAHQAZQBkACAAZgByAG8AbQAgADQALgA1AC4AMQAuADMAIAAoADIAKQBcACIAOwBcAG4AIAAgACAAIAAgACAAIAAgACAAIABcACIARgByAGEAYwBXAEUAV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XABuAFwAbgAiAH0ALAB7ACIAcABhAHQAaAAiADoAIgAvAHAAcgBvAGoAZQBjAHQAcwAvAE0ATQBTAF8AUwB3AGkAbgBl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xAF8ATQBhAHMAcwBPAGYATgBpAHQAcgBvAGcAZQBuAEEAcABwAGwAaQBlAGQAVABvAFMAbwBpAGwAcwBTAGMAbwBwAGUAMQ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FAARgBcAG4AIAAgACkAOwBcAG4AXABuAFYARQBFAFIARwBfADQAXwA1AF8AMQBfADkAXwBfADEAXwBNAGEAcwBzAE8AZgBOAGkAdAByAG8AZwBlAG4AQQBwAHAAbABpAGUAZABUAG8AUwBvAGkAbABzAFMAYwBvAHAAZQAxAF8AVABpAHQAbABlAFwAbgAgACAAPQBMAEEATQBCAEQAQQAoAFwAIgBNAGEAcwBzACAAbwBmACAAbgBpAHQAcgBvAGcAZQBuACAAYQBwAHAAbABpAGUAZAAgAHQAbwAgAHMAbwBpAGwAcwAgAGYAbwByACAAcwBjAG8AcABlACAAMQAgAGUAbQBpAHMAcwBpAG8AbgBzAFwAIgApADsAXABuAFwAbgBWAEUARQBSAEcAXwA0AF8ANQBfADEAXwA5AF8AXwAxAF8ATQBhAHMAcwBPAGYATgBpAHQAcgBvAGcAZQBuAEEAcABwAGwAaQBlAGQAVABvAFMAbwBpAGwAcwBTAGMAbwBwAGUAMQBfAFYAYQByAGkAYQBiAGwAZQBcAG4AIAAgAD0ATABBAE0AQgBEAEEAKABcACIATQBOAFMAbwBpAGwAXwBzAGMAbwBwAGUAMQBcACIAKQA7AFwAbgBcAG4AVgBFAEUAUgBHAF8ANABfADUAXwAxAF8AOQBfAF8AMQBfAE0AYQBzAHMATwBmAE4AaQB0AHIAbwBnAGUAbgBBAHAAcABsAGkAZQBkAFQAbwBTAG8AaQBsAHMAUwBjAG8AcABlADEAXwBVAG4AaQB0AFwAbgAgACAAPQBMAEEATQBCAEQAQQAoAFwAIgBrAGcAIABOAFwAIgApADsAXABuAFwAbgBWAEUARQBSAEcAXwA0AF8ANQBfADEAXwA5AF8AXwAxAF8ATQBhAHMAcwBPAGYATgBpAHQAcgBvAGcAZQBuAEEAcABwAGwAaQBlAGQAVABvAFMAbwBpAGwAcwBTAGMAbwBwAGUAMQBfAFMAbwB1AHIAYwBlAFwAbgAgACAAPQBMAEEATQBCAEQAQQAoAFwAIgBWAEUARQBSAEcAIAAyADAAMgA2ADoAIAA0AC4ANQAuADEALgA5ACwAIABFAHEAdQBhAHQAaQBvAG4AIAAoADEAKQBcACIAKQA7AFwAbgBcAG4AVgBFAEUAUgBHAF8ANABfADUAXwAxAF8AOQBfAF8AMQBfAE0AYQBzAHMATwBmAE4AaQB0AHIAbwBnAGUAbgBBAHAAcABsAGkAZQBkAFQAbwBTAG8AaQBsAHMAUwBjAG8AcABlADEAXwBOAEkAUgBSAGUAZgBlAHIAZQBuAGMAZQBcAG4AIAAgAD0ATABBAE0AQgBEAEEAKABcACIAXAAiACkAOwBcAG4AXABuAFYARQBFAFIARwBfADQAXwA1AF8AMQBfADkAXwBfADEAXwBNAGEAcwBzAE8AZgBOAGkAdAByAG8AZwBlAG4AQQBwAHAAbABpAGUAZABUAG8AUwBvAGkAbABzAFMAYwBvAHAAZQAxAF8ATABhAHQAZQB4AEUAcQB1AGEAdABpAG8AbgBcAG4AIAAgAD0ATABBAE0AQgBEAEEAKABcACIATQBOAFMAbwBpAGwAXwB7AHMAYwBvAHAAZQAxAH0APQBcAFwAcwB1AG0AXwB7AGoAfQBcAFwAcwB1AG0AXwB7AG0AfQAoAE0ATgBfAHsAagBtAFQAPQAyAH0AXABcAHQAaQBtAGUAcwAoADEALQBFAEYAXwB7AG0AVAA9ADIAfQAtAEYAcgBhAGMARwBBAFMATQBfAHsAbQBUAD0AMgB9ACkALQBNAE4ATABlAGEAYwBoAF8AewBqAG0APQA1AH0AKQBcAFwAdABpAG0AZQBzACAAUABGAFwAIgApADsAXABuAFwAbgBWAEUARQBSAEcAXwA0AF8ANQBfADEAXwA5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1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BuAE0ATgBfAGoAbQBUADIAIAA9ACAAbQBhAHMAcwAgAG8AZgAgAE4AIABpAG4AIABNAE0AUwAgAGEAdAAgAHQAcgBlAGEAdABtAGUAbgB0ACAAcwB0AGEAZwBlACAAMgAgADoAIABrAGcAIABOAFwAbgBFAEYAXwBtAFQAMgAgAD0AIABuAGkAdAByAG8AdQBzACAAbwB4AGkAZABlACAAZQBtAGkAcwBzAGkAbwBuACAAZgBhAGMAdABvAHIAIABmAG8AcgAgAGUAYQBjAGgAIABNAE0AUwAgAGEAdAAgAHQAcgBlAGEAdABtAGUAbgB0ACAAcwB0AGEAZwBlACAAMgAgADoAIABrAGcAIABOADIATwAtAE4ALwBrAGcAIABOAFwAbgBGAHIAYQBjAEcAQQBTAE0AXwBtAFQAMgAgAD0AIABmAHIAYQBjAHQAaQBvAG4AIABvAGYAIABhAG4AaQBtAGEAbAAgAHcAYQBzAHQAZQAgAE4AIAB2AG8AbABhAHQAaQBsAGkAcwBlAGQAIABpAG4AIABlAGEAYwBoACAATQBNAFMAIABhAHQAIAB0AHIAZQBhAHQAbQBlAG4AdAAgAHMAdABhAGcAZQAgADIAIAA6ACAAKABrAGcAIABOAEgAMwAtAE4AIAArACAATgBPAHgALQBOACkALwBrAGcAIABOAFwAbgBNAE4ATABlAGEAYwBoAF8AagBtADUAIAA9ACAAbQBhAHMAcwAgAG8AZgAgAE4AIABsAG8AcwB0ACAAdABvACAAbABlAGEAYwBoAGkAbgBnACAAYQBuAGQAIAByAHUAbgBvAGYAZgAgAGYAcgBvAG0AIABkAHIAeQBsAG8AdAAgAE0ATQBTACAAOgAgAGsAZwAgAE4AXABuAFAARgAgAD0AIABmAHIAYQBjAHQAaQBvAG4AIABvAGYAIABtAGEAbgB1AHIAZQAgAGEAcABwAGwAaQBlAGQAIAB0AG8AIABzAG8AaQBsACAAdwBpAHQAaABpAG4AIAB0AGgAZQAgAHAAaQBnAGcAZQByAHkAIABiAG8AdQBuAGQAYQByAHkAIAA6ACAAZgByAGEAYwB0AGkAbwBuAFwAbgAtAC0ALQAtAC0ALQAtAC0ALQAtAC0ALQAtAC0ALQAtAC0ALQAtAC0ALQAtAC0ALQAtAC0ALQAtAC0ALQAtAC0ALQAtAC0ALQAtAC0AXABuACoALwBcAG4AXABuAFYARQBFAFIARwBfADQAXwA1AF8AMQBfADkAXwBfADIAXwBNAGEAcwBzAE8AZgBOAGkAdAByAG8AZwBlAG4AQQBwAHAAbABpAGUAZABUAG8AUwBvAGkAbABzAFMAYwBvAHAAZQAzAFwAbgAgACAAPQBMAEEATQBCAEQAQQAoAFwAbgAgACAAIAAgAE0ATgBfAGoAbQBUADIALAAgAEUARgBfAG0AVAAyACwAIABGAHIAYQBjAEcAQQBTAE0AXwBtAFQAMgAsACAATQBOAEwAZQBhAGMAaABfAGoAbQA1ACwAIABQAEYALABcAG4AIAAgACAAIAAoAE0ATgBfAGoAbQBUADIAIAAqACAAKAAxACAALQAgAEUARgBfAG0AVAAyACAALQAgAEYAcgBhAGMARwBBAFMATQBfAG0AVAAyACkAIAAtACAATQBOAEwAZQBhAGMAaABfAGoAbQA1ACkAIAAqACAAKAAxACAALQAgAFAARgApAFwAbgAgACAAKQA7AFwAbgBcAG4AVgBFAEUAUgBHAF8ANABfADU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1AF8AMQBfADkAXwBfADIAXwBNAGEAcwBzAE8AZgBOAGkAdAByAG8AZwBlAG4AQQBwAHAAbABpAGUAZABUAG8AUwBvAGkAbABzAFMAYwBvAHAAZQAzAF8AVgBhAHIAaQBhAGIAbABlAFwAbgAgACAAPQBMAEEATQBCAEQAQQAoAFwAIgBNAE4AUwBvAGkAbABfAHMAYwBvAHAAZQAzAFwAIgApADsAXABuAFwAbgBWAEUARQBSAEcAXwA0AF8ANQBfADEAXwA5AF8AXwAyAF8ATQBhAHMAcwBPAGYATgBpAHQAcgBvAGcAZQBuAEEAcABwAGwAaQBlAGQAVABvAFMAbwBpAGwAcwBTAGMAbwBwAGUAMwBfAFUAbgBpAHQAXABuACAAIAA9AEwAQQBNAEIARABBACgAXAAiAGsAZwAgAE4AXAAiACkAOwBcAG4AXABuAFYARQBFAFIARwBfADQAXwA1AF8AMQBfADkAXwBfADIAXwBNAGEAcwBzAE8AZgBOAGkAdAByAG8AZwBlAG4AQQBwAHAAbABpAGUAZABUAG8AUwBvAGkAbABzAFMAYwBvAHAAZQAzAF8AUwBvAHUAcgBjAGUAXABuACAAIAA9AEwAQQBNAEIARABBACgAXAAiAFYARQBFAFIARwAgADIAMAAyADYAOgAgADQALgA1AC4AMQAuADkALAAgAEUAcQB1AGEAdABpAG8AbgAgACgAMgApAFwAIgApADsAXABuAFwAbgBWAEUARQBSAEcAXwA0AF8ANQBfADEAXwA5AF8AXwAyAF8ATQBhAHMAcwBPAGYATgBpAHQAcgBvAGcAZQBuAEEAcABwAGwAaQBlAGQAVABvAFMAbwBpAGwAcwBTAGMAbwBwAGUAMwBfAE4ASQBSAFIAZQBmAGUAcgBlAG4AYwBlAFwAbgAgACAAPQBMAEEATQBCAEQAQQAoAFwAIgBcACIAKQA7AFwAbgBcAG4AVgBFAEUAUgBHAF8ANABfADU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VAA9ADIAfQBcAFwAdABpAG0AZQBzACgAMQAtAEUARgBfAHsAbQBUAD0AMgB9AC0ARgByAGEAYwBHAEEAUwBNAF8AewBtAFQAPQAyAH0AKQAtAE0ATgBMAGUAYQBjAGgAXwB7AGoAbQA9ADUAfQApAFwAXAB0AGkAbQBlAHMAKAAxAC0AUABGACkAXAAiACkAOwBcAG4AXABuAFYARQBFAFIARwBfADQAXwA1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TQBNAFMAIABhAHQAIAB0AHIAZQBhAHQAbQBlAG4AdAAgAHMAdABhAGcAZQAgADIAXAAiACwAIABcACIAawBnACAATgBcACIALAAgAFwAIgBDAGEAbABjAHUAbABhAHQAZQBkACAAZgByAG8AbQAgADQALgA1AC4AMQAuADMAIAAoADYAKQBcACIAOwBcAG4AIAAgACAAIAAgACAAIAAgACAAIABcACIARQBGAF8AbQBUADIAXAAiACwAXAAiAG4AaQB0AHIAbwB1AHMAIABvAHgAaQBkAGUAIABlAG0AaQBzAHMAaQBvAG4AIABmAGEAYwB0AG8AcgAgAGYAbwByACAAZQBhAGMAaAAgAE0ATQBTACAAYQB0ACAAdAByAGUAYQB0AG0AZQBuAHQAIABzAHQAYQBnAGUAIAAy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FwAIgAsACAAXAAiACgAawBnACAATgBIADMALQBOACAAKwAgAE4ATwB4AC0ATgApAC8AawBnACAATgBcACIALAAgAFwAIgBDAG8AbgBzAHQAYQBuAHQAXAAiADsAXABuACAAIAAgACAAIAAgACAAIAAgACAAXAAiAE0ATgBMAGUAYQBjAGgAXwBqAG0ANQBcACIALABcACIAbQBhAHMAcwAgAG8AZgAgAE4AIABsAG8AcwB0ACAAdABvACAAbABlAGEAYwBoAGkAbgBnACAAYQBuAGQAIAByAHUAbgBvAGYAZgAgAGYAcgBvAG0AIABkAHIAeQBsAG8AdAAgAE0ATQBTAFwAIgAsACAAXAAiAGsAZwAgAE4AXAAiACwAIABcACIAQwBhAGwAYwB1AGwAYQB0AGUAZAAgAGYAcgBvAG0AIAA0AC4ANQAuADEALgA3ACAAKAAyACkAXAAiADsAXABuACAAIAAgACAAIAAgACAAIAAgACAAXAAiAFAARgBcACIALABcACIAZgByAGEAYwB0AGkAbwBuACAAbwBmACAAbQBhAG4AdQByAGUAIABhAHAAcABsAGkAZQBkACAAdABvACAAcwBvAGkAbAAgAHcAaQB0AGgAaQBuACAAdABoAGUAIABwAGkAZwBnAGUAcgB5ACAAYgBvAHUAbgBkAGEAcgB5AFwAIgAsACAAXAAiAGYAcgBhAGMAdABpAG8AbgBcACIALAAgAFwAIgBJAG4AcAB1AHQAXAAiAFwAbgAgACAAIAAgACAAIAAgACAAfQAsACAAcgAsACAAYwApAFwAbgAgACAAIAAgACAAIAApAFwAbgAgACAAIAAgACkAXABuACAAIAApADsAXABuACIAfQAsAHsAIgBwAGEAdABoACIAOgAiAC8AcAByAG8AagBlAGMAdABzAC8ATQBNAFMAXwBQAG8AdQBsAHQ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MAIABNAGUAdABoAG8AZAAgADEAIAAtACAATQBhAG4AdQByAGU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rAH0AXABcAHMAdQBtAF8AewBtAH0AXABcAHMAdQBtAF8AewBUAH0AKABNAE4AXwB7AGoAawBtAFQAfQBcAFwAdABpAG0AZQBzACAARQBGAF8AewBqAG0AfQBcAFwAdABpAG0AZQBzACAAQwBfAHsATgAyAE8AfQApAFwAXAB0AGkAbQBlAHMAMQAwAF4AewAtADMAfQBcAG4ATQBOAF8AagBrAG0AVAAgAD0AIABuAGkAdAByAG8AZwBlAG4AIABwAGUAcgAgAHAAbwB1AGwAdAByAHkAIABjAGwAYQBzAHMALAAgAHMAdQBiAGMAbABhAHMAcw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zAF8AXwAxAF8AVABvAHQAYQBsAEEAbgBuAHUAYQBsAEQAaQByAGUAYwB0AE4AaQB0AHIAbwB1AHMATwB4AGkAZABlAEUAbQBpAHMAcwBpAG8AbgBzAEYAcgBvAG0ATQBNAFMAXABuACAAIAA9AEwAQQBNAEIARABBACgAXABuACAAIAAgACAATQBOAF8AagBrAG0AVAAsACAARQBGAF8AagBtACwAIABDAF8ATgAyAE8ALABcAG4AIAAgACAAIABNAE4AXwBqAGsAbQBUACAAKgAgAEUARgBfAGoAbQAgACoAIABDAF8ATgAyAE8AIAAqACAAMQAwACAAXgAgAC0AMwBcAG4AIAAgACkAOwBcAG4AXABuAFYARQBFAFIARwBfADQAXwA2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NgBfADEAXwAzAF8AXwAxAF8AVABvAHQAYQBsAEEAbgBuAHUAYQBsAEQAaQByAGUAYwB0AE4AaQB0AHIAbwB1AHMATwB4AGkAZABlAEUAbQBpAHMAcwBpAG8AbgBzAEYAcgBvAG0ATQBNAFMAXwBWAGEAcgBpAGEAYgBsAGUAXABuACAAIAA9AEwAQQBNAEIARABBACgAXAAiAEUAXwBOADIATwBkAGkAcgBcACIAKQA7AFwAbgBcAG4AVgBFAEUAUgBHAF8ANABfADYAXwAxAF8AMwBfAF8AMQBfAFQAbwB0AGEAbABBAG4AbgB1AGEAbABEAGkAcgBlAGMAdABOAGkAdAByAG8AdQBzAE8AeABpAGQAZQBFAG0AaQBzAHMAaQBvAG4AcwBGAHIAbwBtAE0ATQBTAF8AVQBuAGkAdABcAG4AIAAgAD0ATABBAE0AQgBEAEEAKABcACIAdAAgAE4AMgBPAFwAIgApADsAXABuAFwAbgBWAEUARQBSAEcAXwA0AF8ANgBfADEAXwAzAF8AXwAxAF8AVABvAHQAYQBsAEEAbgBuAHUAYQBsAEQAaQByAGUAYwB0AE4AaQB0AHIAbwB1AHMATwB4AGkAZABlAEUAbQBpAHMAcwBpAG8AbgBzAEYAcgBvAG0ATQBNAFMAXwBTAG8AdQByAGMAZQBcAG4AIAAgAD0ATABBAE0AQgBEAEEAKABcACIAVgBFAEUAUgBHACAAMgAwADIANgA6ACAANAAuADYALgAxAC4AMwAsACAARQBxAHUAYQB0AGkAbwBuACAAKAAxACkAXAAiACkAOwBcAG4AXABuAFYARQBFAFIARwBfADQAXwA2AF8AMQBfADMAXwBfADEAXwBUAG8AdABhAGwAQQBuAG4AdQBhAGwARABpAHIAZQBjAHQATgBpAHQAcgBvAHUAcwBPAHgAaQBkAGUARQBtAGkAcwBzAGkAbwBuAHMARgByAG8AbQBNAE0AUwBfAE4ASQBSAFIAZQBmAGUAcgBlAG4AYwBlAFwAbgAgACAAPQBMAEEATQBCAEQAQQAoAFwAIgBcACIAKQA7AFwAbgBcAG4AVgBFAEUAUgBHAF8ANABfADYAXwAxAF8AMwBfAF8AMQBfAFQAbwB0AGEAbABBAG4AbgB1AGEAbABEAGkAcgBlAGMAdABOAGkAdAByAG8AdQBzAE8AeABpAGQAZQBFAG0AaQBzAHMAaQBvAG4AcwBGAHIAbwBtAE0ATQBTAF8ATABhAHQAZQB4AEUAcQB1AGEAdABpAG8AbgBcAG4AIAAgAD0ATABBAE0AQgBEAEEAKABcACIARQBfAHsATgAyAE8ALABkAGkAcgB9AD0AXABcAHMAdQBtAF8AewBqAH0AXABcAHMAdQBtAF8AewBrAH0AXABcAHMAdQBtAF8AewBtAH0AXABcAHMAdQBtAF8AewBUAH0AKABNAE4AXwB7AGoAawBtAFQAfQBcAFwAdABpAG0AZQBzACAARQBGAF8AewBqAG0AfQBcAFwAdABpAG0AZQBzACAAQwBfAHsATgAyAE8AfQApAFwAXAB0AGkAbQBlAHMAMQAwAF4AewAtADMAfQBcACIAKQA7AFwAbgBcAG4AVgBFAEUAUgBHAF8ANABfADY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awBtAFQAXAAiACwAXAAiAG4AaQB0AHIAbwBnAGUAbgAgAHAAZQByACAAcABvAHUAbAB0AHIAeQAgAGMAbABhAHMAcwAsACAAcwB1AGIAYwBsAGEAcwBzACwAIABNAE0AUwAgAGEAbgBkACAAdAByAGUAYQB0AG0AZQBuAHQAIABzAHQAYQBnAGUAXAAiACwAIABcACIAawBnACAATgBcACIALAAgAFwAIgBDAGEAbABjAHUAbABhAHQAZQBkACAAZgByAG8AbQAgADQALgA2AC4AMQAuADMAIAAoADIAKQAoADYAKQBcACIAOwBcAG4AIAAgACAAIAAgACAAIAAgACAAIABcACIARQBGAF8AagBtAFwAIgAsAFwAIgBuAGkAdAByAG8AdQBzACAAbwB4AGkAZABlACAAZQBtAGkAcwBzAGkAbwBuACAAZgBhAGMAdABvAHIAIABmAG8AcgAgAE0ATQBT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yAF8AUwB0AGEAZwBlADEATgBpAHQAcgBvAGcAZQBuAEkAbgBNAE0AUwBcAG4ATgBpAHQAcgBvAGcAZQBuACAAaQBuACAAdAByAGUAYQB0AG0AZQBuAHQAIABzAHQAYQBnAGUAIAAxACAATQBNAFMAXABuAE0ATgBfAGoAawBtAFQAMQBcAG4AawBnACAATgBcAG4ATQBOAF8AewBqAGsAbQAsAFQAPQAxAH0APQBBAEUAXwB7AGoAawB9AFwAXAB0AGkAbQBlAHMAIABNAE0AUwBfAHsAagBtACwAVAA9ADEAfQBcAG4AQQBFAF8AagBrACAAPQAgAHQAbwB0AGEAbAAgAG4AaQB0AHIAbwBnAGUAbgAgAGUAeABjAHIAZQB0AGUAZAAgAGIAeQAgAGUAYQBjAGgAIABwAG8AdQBsAHQAcgB5ACAAYwBsAGEAcwBzACAAYQBuAGQAIABzAHUAYgBjAGwAYQBzAHMAIAA6ACAAawBnACAATgBcAG4ATQBNAFMAXwBqAG0AVAAxACAAPQAgAGYAcgBhAGMAdABpAG8AbgAgAG8AZgAgAG0AYQBuAHUAcgBlACAAaQBuACAAZQBhAGMAaAAgAHAAcgBpAG0AYQByAHkAIABzAHkAcwB0AGUAbQAgADoAIABmAHIAYQBjAHQAaQBvAG4AXABuAC0ALQAtAC0ALQAtAC0ALQAtAC0ALQAtAC0ALQAtAC0ALQAtAC0ALQAtAC0ALQAtAC0ALQAtAC0ALQAtAC0ALQAtAC0ALQAtAC0ALQBcAG4AKgAvAFwAbgBcAG4AVgBFAEUAUgBHAF8ANABfADYAXwAxAF8AMwBfAF8AMgBfAFMAdABhAGcAZQAxAE4AaQB0AHIAbwBnAGUAbgBJAG4ATQBNAFMAXABuACAAIAA9AEwAQQBNAEIARABBACgAXABuACAAIAAgACAAQQBFAF8AagBrACwAIABNAE0AUwBfAGoAbQBUADEALABcAG4AIAAgACAAIABBAEUAXwBqAGsAIAAqACAATQBNAFMAXwBqAG0AVAAxAFwAbgAgACAAKQA7AFwAbgBcAG4AVgBFAEUAUgBHAF8ANABfADYAXwAxAF8AMwBfAF8AMgBfAFMAdABhAGcAZQAxAE4AaQB0AHIAbwBnAGUAbgBJAG4ATQBNAFMAXwBUAGkAdABsAGUAXABuACAAIAA9AEwAQQBNAEIARABBACgAXAAiAE4AaQB0AHIAbwBnAGUAbgAgAGkAbgAgAHQAcgBlAGEAdABtAGUAbgB0ACAAcwB0AGEAZwBlACAAMQAgAE0ATQBTAFwAIgApADsAXABuAFwAbgBWAEUARQBSAEcAXwA0AF8ANgBfADEAXwAzAF8AXwAyAF8AUwB0AGEAZwBlADEATgBpAHQAcgBvAGcAZQBuAEkAbgBNAE0AUwBfAFYAYQByAGkAYQBiAGwAZQBcAG4AIAAgAD0ATABBAE0AQgBEAEEAKABcACIATQBOAF8AagBrAG0AVAAxAFwAIgApADsAXABuAFwAbgBWAEUARQBSAEcAXwA0AF8ANgBfADEAXwAzAF8AXwAyAF8AUwB0AGEAZwBlADEATgBpAHQAcgBvAGcAZQBuAEkAbgBNAE0AUwBfAFUAbgBpAHQAXABuACAAIAA9AEwAQQBNAEIARABBACgAXAAiAGsAZwAgAE4AXAAiACkAOwBcAG4AXABuAFYARQBFAFIARwBfADQAXwA2AF8AMQBfADMAXwBfADIAXwBTAHQAYQBnAGUAMQBOAGkAdAByAG8AZwBlAG4ASQBuAE0ATQBTAF8AUwBvAHUAcgBjAGUAXABuACAAIAA9AEwAQQBNAEIARABBACgAXAAiAFYARQBFAFIARwAgADIAMAAyADYAOgAgADQALgA2AC4AMQAuADMALAAgAEUAcQB1AGEAdABpAG8AbgAgACgAMgApAFwAIgApADsAXABuAFwAbgBWAEUARQBSAEcAXwA0AF8ANgBfADEAXwAzAF8AXwAyAF8AUwB0AGEAZwBlADEATgBpAHQAcgBvAGcAZQBuAEkAbgBNAE0AUwBfAE4ASQBSAFIAZQBmAGUAcgBlAG4AYwBlAFwAbgAgACAAPQBMAEEATQBCAEQAQQAoAFwAIgBcACIAKQA7AFwAbgBcAG4AVgBFAEUAUgBHAF8ANABfADYAXwAxAF8AMwBfAF8AMgBfAFMAdABhAGcAZQAxAE4AaQB0AHIAbwBnAGUAbgBJAG4ATQBNAFMAXwBMAGEAdABlAHgARQBxAHUAYQB0AGkAbwBuAFwAbgAgACAAPQBMAEEATQBCAEQAQQAoAFwAIgBNAE4AXwB7AGoAawBtACwAVAA9ADEAfQA9AEEARQBfAHsAagBrAH0AXABcAHQAaQBtAGUAcwAgAE0ATQBTAF8AewBqAG0ALABUAD0AMQB9AFwAIgApADsAXABuAFwAbgBWAEUARQBSAEcAXwA0AF8ANg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GsAXAAiACwAXAAiAHQAbwB0AGEAbAAgAG4AaQB0AHIAbwBnAGUAbgAgAGUAeABjAHIAZQB0AGUAZAAgAGIAeQAgAGUAYQBjAGgAIABwAG8AdQBsAHQAcgB5ACAAYwBsAGEAcwBzACAAYQBuAGQAIABzAHUAYgBjAGwAYQBzAHMAXAAiACwAIABcACIAawBnACAATgBcACIALAAgAFwAIgBDAGEAbABjAHUAbABhAHQAZQBkACAAZgByAG8AbQAgADQALgA2AC4AMQAuADMAIAAoADMAKQBcACIAOwBcAG4AIAAgACAAIAAgACAAIAAgACAAIABcACIATQBNAFMAXwBqAG0AVAAxAFwAIgAsAFwAIgBmAHIAYQBjAHQAaQBvAG4AIABvAGYAIABtAGEAbgB1AHIAZQAgAGkAbgAgAGUAYQBjAGgAIABwAHIAaQBt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zAF8AQQBuAG4AdQBhAGwATgBpAHQAcgBvAGcAZQBuAEUAeABjAHIAZQB0AGkAbwBuAFwAbgBBAG4AbgB1AGEAbAAgAG4AaQB0AHIAbwBnAGUAbgAgAGUAeABjAHIAZQB0AGkAbwBuACAAZgBvAHIAIABlAGEAYwBoACAAcABvAHUAbAB0AHIAeQAgAGMAbABhAHMAcwAgAGEAbgBkACAAcwB1AGIAYwBsAGEAcwBzAFwAbgBBAEUAXwBqAGsAXABuAGsAZwAgAE4AXABuAEEARQBfAHsAagBrAH0APQBOAF8AewBqAGsAfQBcAFwAdABpAG0AZQBzACAATgBFAF8AewBqAGsAfQBcAFwAdABpAG0AZQBzACAARABfAHsAagBrAH0AXABuAE4AXwBqAGsAIAA9ACAAbgB1AG0AYgBlAHIAIABvAGYAIABwAG8AdQBsAHQAcgB5ACAAaQBuACAAZQBhAGMAaAAgAGMAbABhAHMAcwAgAGEAbgBkACAAcwB1AGIAYwBsAGEAcwBzACAAOgAgAGIAaQByAGQAXABuAE4ARQBfAGoAawAgAD0AIABuAGkAdAByAG8AZwBlAG4AIABlAHgAYwByAGUAdABpAG8AbgAgADoAIABrAGcAIABOAC8AYgBpAHIAZAAvAGQAYQB5AFwAbgBEAF8AagBrACAAPQAgAGQAdQByAGEAdABpAG8AbgAgAG8AZgAgAHMAdABhAHkAIABvAGYAIABlAGEAYwBoACAAYwBsAGEAcwBzACAAYQBuAGQAIABzAHUAYgBjAGwAYQBzAHMAIAA6ACAAZABhAHkAcwBcAG4ALQAtAC0ALQAtAC0ALQAtAC0ALQAtAC0ALQAtAC0ALQAtAC0ALQAtAC0ALQAtAC0ALQAtAC0ALQAtAC0ALQAtAC0ALQAtAC0ALQAtAFwAbgAqAC8AXABuAFwAbgBWAEUARQBSAEcAXwA0AF8ANgBfADEAXwAzAF8AXwAzAF8AQQBuAG4AdQBhAGwATgBpAHQAcgBvAGcAZQBuAEUAeABjAHIAZQB0AGkAbwBuAFwAbgAgACAAPQBMAEEATQBCAEQAQQAoAFwAbgAgACAAIAAgAE4AXwBqAGsALAAgAE4ARQBfAGoAawAsACAARABfAGoAawAsAFwAbgAgACAAIAAgAE4AXwBqAGsAIAAqACAATgBFAF8AagBrACAAKgAgAEQAXwBqAGsAXABuACAAIAApADsAXABuAFwAbgBWAEUARQBSAEcAXwA0AF8ANgBfADEAXwAzAF8AXwAzAF8AQQBuAG4AdQBhAGwATgBpAHQAcgBvAGcAZQBuAEUAeABjAHIAZQB0AGkAbwBuAF8AVABpAHQAbABlAFwAbgAgACAAPQBMAEEATQBCAEQAQQAoAFwAIgBBAG4AbgB1AGEAbAAgAG4AaQB0AHIAbwBnAGUAbgAgAGUAeABjAHIAZQB0AGkAbwBuACAAZgBvAHIAIABlAGEAYwBoACAAcABvAHUAbAB0AHIAeQAgAGMAbABhAHMAcwAgAGEAbgBkACAAcwB1AGIAYwBsAGEAcwBzAFwAIgApADsAXABuAFwAbgBWAEUARQBSAEcAXwA0AF8ANgBfADEAXwAzAF8AXwAzAF8AQQBuAG4AdQBhAGwATgBpAHQAcgBvAGcAZQBuAEUAeABjAHIAZQB0AGkAbwBuAF8AVgBhAHIAaQBhAGIAbABlAFwAbgAgACAAPQBMAEEATQBCAEQAQQAoAFwAIgBBAEUAXwBqAGsAXAAiACkAOwBcAG4AXABuAFYARQBFAFIARwBfADQAXwA2AF8AMQBfADMAXwBfADMAXwBBAG4AbgB1AGEAbABOAGkAdAByAG8AZwBlAG4ARQB4AGMAcgBlAHQAaQBvAG4AXwBVAG4AaQB0AFwAbgAgACAAPQBMAEEATQBCAEQAQQAoAFwAIgBrAGcAIABOAFwAIgApADsAXABuAFwAbgBWAEUARQBSAEcAXwA0AF8ANgBfADEAXwAzAF8AXwAzAF8AQQBuAG4AdQBhAGwATgBpAHQAcgBvAGcAZQBuAEUAeABjAHIAZQB0AGkAbwBuAF8AUwBvAHUAcgBjAGUAXABuACAAIAA9AEwAQQBNAEIARABBACgAXAAiAFYARQBFAFIARwAgADIAMAAyADYAOgAgADQALgA2AC4AMQAuADMALAAgAEUAcQB1AGEAdABpAG8AbgAgACgAMwApAFwAIgApADsAXABuAFwAbgBWAEUARQBSAEcAXwA0AF8ANgBfADEAXwAzAF8AXwAzAF8AQQBuAG4AdQBhAGwATgBpAHQAcgBvAGcAZQBuAEUAeABjAHIAZQB0AGkAbwBuAF8ATgBJAFIAUgBlAGYAZQByAGUAbgBjAGUAXABuACAAIAA9AEwAQQBNAEIARABBACgAXAAiAFwAIgApADsAXABuAFwAbgBWAEUARQBSAEcAXwA0AF8ANgBfADEAXwAzAF8AXwAzAF8AQQBuAG4AdQBhAGwATgBpAHQAcgBvAGcAZQBuAEUAeABjAHIAZQB0AGkAbwBuAF8ATABhAHQAZQB4AEUAcQB1AGEAdABpAG8AbgBcAG4AIAAgAD0ATABBAE0AQgBEAEEAKABcACIAQQBFAF8AewBqAGsAfQA9AE4AXwB7AGoAawB9AFwAXAB0AGkAbQBlAHMAIABOAEUAXwB7AGoAawB9AFwAXAB0AGkAbQBlAHMAIABEAF8AewBqAGsAfQBcACIAKQA7AFwAbgBcAG4AVgBFAEUAUgBHAF8ANABfADY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rAFwAIgAsAFwAIgBuAHUAbQBiAGUAcgAgAG8AZgAgAHAAbwB1AGwAdAByAHkAIABpAG4AIABlAGEAYwBoACAAYwBsAGEAcwBzACAAYQBuAGQAIABzAHUAYgBjAGwAYQBzAHMAXAAiACwAIABcACIAYgBpAHIAZABcACIALAAgAFwAIgBJAG4AcAB1AHQAXAAiADsAXABuACAAIAAgACAAIAAgACAAIAAgACAAXAAiAE4ARQBfAGoAawBcACIALABcACIAbgBpAHQAcgBvAGcAZQBuACAAZQB4AGMAcgBlAHQAaQBvAG4AXAAiACwAIABcACIAawBnACAATgAvAGIAaQByAGQALwBkAGEAeQBcACIALAAgAFwAIgBDAGEAbABjAHUAbABhAHQAZQBkACAAZgByAG8AbQAgADQALgA2AC4AMQAuADMAIAAoADQAKQBcACIAOwBcAG4AIAAgACAAIAAgACAAIAAgACAAIABcACIARABfAGoAawBcACIALABcACIAZAB1AHIAYQB0AGkAbwBuACAAbwBmACAAcwB0AGEAeQAgAG8AZgAgAGUAYQBjAGgAIABjAGwAYQBzAHMAIABhAG4AZAAgAHMAdQBi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0AF8ATgBpAHQAcgBvAGcAZQBuAEUAeABjAHIAZQB0AGkAbwBuAFAAZQByAEIAaQByAGQAXABuAE4AaQB0AHIAbwBnAGUAbgAgAGUAeABjAHIAZQB0AGkAbwBuACAAcABlAHIAIABiAGkAcgBkACAAcABlAHIAIABkAGEAeQBcAG4ATgBFAF8AagBrAFwAbgBrAGcAIABOAC8AYgBpAHIAZAAvAGQAYQB5AFwAbgBOAEUAXwB7AGoAawB9AD0ATgBJAF8AewBqAGsAfQBcAFwAdABpAG0AZQBzACgAMQAtAE4AUgBfAHsAagBrAH0AKQBcAG4ATgBJAF8AagBrACAAPQAgAG4AaQB0AHIAbwBnAGUAbgAgAGkAbgB0AGEAawBlACAAOgAgAGsAZwAgAE4ALwBiAGkAcgBkAC8AZABhAHkAXABuAE4AUgBfAGoAawAgAD0AIABuAGkAdAByAG8AZwBlAG4AIAByAGUAdABlAG4AdABpAG8AbgAgAGUAeABwAHIAZQBzAHMAZQBkACAAYQBzACAAYQAgAGYAcgBhAGMAdABpAG8AbgAgAG8AZgAgAGkAbgB0AGEAawBlACAAOgAgAGYAcgBhAGMAdABpAG8AbgBcAG4ALQAtAC0ALQAtAC0ALQAtAC0ALQAtAC0ALQAtAC0ALQAtAC0ALQAtAC0ALQAtAC0ALQAtAC0ALQAtAC0ALQAtAC0ALQAtAC0ALQAtAFwAbgAqAC8AXABuAFwAbgBWAEUARQBSAEcAXwA0AF8ANgBfADEAXwAzAF8AXwA0AF8ATgBpAHQAcgBvAGcAZQBuAEUAeABjAHIAZQB0AGkAbwBuAFAAZQByAEIAaQByAGQAXABuACAAIAA9AEwAQQBNAEIARABBACgAXABuACAAIAAgACAATgBJAF8AagBrACwAIABOAFIAXwBqAGsALABcAG4AIAAgACAAIABOAEkAXwBqAGsAIAAqACAAKAAxACAALQAgAE4AUgBfAGoAawApAFwAbgAgACAAKQA7AFwAbgBcAG4AVgBFAEUAUgBHAF8ANABfADYAXwAxAF8AMwBfAF8ANABfAE4AaQB0AHIAbwBnAGUAbgBFAHgAYwByAGUAdABpAG8AbgBQAGUAcgBCAGkAcgBkAF8AVABpAHQAbABlAFwAbgAgACAAPQBMAEEATQBCAEQAQQAoAFwAIgBOAGkAdAByAG8AZwBlAG4AIABlAHgAYwByAGUAdABpAG8AbgAgAHAAZQByACAAYgBpAHIAZAAgAHAAZQByACAAZABhAHkAXAAiACkAOwBcAG4AXABuAFYARQBFAFIARwBfADQAXwA2AF8AMQBfADMAXwBfADQAXwBOAGkAdAByAG8AZwBlAG4ARQB4AGMAcgBlAHQAaQBvAG4AUABlAHIAQgBpAHIAZABfAFYAYQByAGkAYQBiAGwAZQBcAG4AIAAgAD0ATABBAE0AQgBEAEEAKABcACIATgBFAF8AagBrAFwAIgApADsAXABuAFwAbgBWAEUARQBSAEcAXwA0AF8ANgBfADEAXwAzAF8AXwA0AF8ATgBpAHQAcgBvAGcAZQBuAEUAeABjAHIAZQB0AGkAbwBuAFAAZQByAEIAaQByAGQAXwBVAG4AaQB0AFwAbgAgACAAPQBMAEEATQBCAEQAQQAoAFwAIgBrAGcAIABOAC8AYgBpAHIAZAAvAGQAYQB5AFwAIgApADsAXABuAFwAbgBWAEUARQBSAEcAXwA0AF8ANgBfADEAXwAzAF8AXwA0AF8ATgBpAHQAcgBvAGcAZQBuAEUAeABjAHIAZQB0AGkAbwBuAFAAZQByAEIAaQByAGQAXwBTAG8AdQByAGMAZQBcAG4AIAAgAD0ATABBAE0AQgBEAEEAKABcACIAVgBFAEUAUgBHACAAMgAwADIANgA6ACAANAAuADYALgAxAC4AMwAsACAARQBxAHUAYQB0AGkAbwBuACAAKAA0ACkAXAAiACkAOwBcAG4AXABuAFYARQBFAFIARwBfADQAXwA2AF8AMQBfADMAXwBfADQAXwBOAGkAdAByAG8AZwBlAG4ARQB4AGMAcgBlAHQAaQBvAG4AUABlAHIAQgBpAHIAZABfAE4ASQBSAFIAZQBmAGUAcgBlAG4AYwBlAFwAbgAgACAAPQBMAEEATQBCAEQAQQAoAFwAIgBcACIAKQA7AFwAbgBcAG4AVgBFAEUAUgBHAF8ANABfADYAXwAxAF8AMwBfAF8ANABfAE4AaQB0AHIAbwBnAGUAbgBFAHgAYwByAGUAdABpAG8AbgBQAGUAcgBCAGkAcgBkAF8ATABhAHQAZQB4AEUAcQB1AGEAdABpAG8AbgBcAG4AIAAgAD0ATABBAE0AQgBEAEEAKABcACIATgBFAF8AewBqAGsAfQA9AE4ASQBfAHsAagBrAH0AXABcAHQAaQBtAGUAcwAoADEALQBOAFIAXwB7AGoAawB9ACkAXAAiACkAOwBcAG4AXABuAFYARQBFAFIARwBfADQAXwA2AF8AMQBfADMAXwBfADQAXwBOAGkAdAByAG8AZwBlAG4ARQB4AGMAcgBlAHQAaQBvAG4AUABlAHIAQgBpAHIAZABfAEEAcgBnAHUAbQBlAG4AdABzAFwAbgAgACAAPQBMAEEATQBCAEQAQQAoAFwAbgAgACAAIAAgAE0AQQBLAEUAQQBSAFIAQQBZACgAMgAsACAANAAsAFwAbgAgACAAIAAgACAAIABMAEEATQBCAEQAQQAoAHIALABjACwAXABuACAAIAAgACAAIAAgACAAIABJAE4ARABFAFgAKAB7AFwAbgAgACAAIAAgACAAIAAgACAAIAAgAFwAIgBOAEkAXwBqAGsAXAAiACwAXAAiAG4AaQB0AHIAbwBnAGUAbgAgAGkAbgB0AGEAawBlAFwAIgAsAFwAIgBrAGcAIABOAC8AYgBpAHIAZAAvAGQAYQB5AFwAIgAsACAAXAAiAEMAYQBsAGMAdQBsAGEAdABlAGQAIABmAHIAbwBtACAANAAuADYALgAxAC4AMwAgACgANQApAFwAIgA7AFwAbgAgACAAIAAgACAAIAAgACAAIAAgAFwAIgBOAFIAXwBqAGsAXAAiACwAXAAiAG4AaQB0AHIAbwBnAGUAbgAgAHIAZQB0AGUAbgB0AGkAbwBuACAAZQB4AHAAcgBlAHMAcwBlAGQAIABhAHMAIABhACAAZgByAGEAYwB0AGkAbwBuACAAbwBm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1AF8ATgBpAHQAcgBvAGcAZQBuAEkAbgB0AGEAawBlAFwAbgBOAGkAdAByAG8AZwBlAG4AIABpAG4AdABhAGsAZQAgAG8AZgAgAHAAbwB1AGwAdAByAHkAXABuAE4ASQBfAGoAawBcAG4AawBnACAATgAvAGIAaQByAGQALwBkAGEAeQBcAG4ATgBJAF8AewBqAGsAfQA9AEkAXwB7AGoAawB9AFwAXAB0AGkAbQBlAHMAIABDAFAAXwB7AGoAawB9AFwAXABkAGkAdgAgADYALgAyADUAXABuAEkAXwBqAGsAIAA9ACAAZAByAHkAIABtAGEAdAB0AGUAcgAgAGkAbgB0AGEAawBlACAAZgBvAHIAIABlAGEAYwBoACAAYwBsAGEAcwBzACAAYQBuAGQAIABzAHUAYgBjAGwAYQBzAHMAIAA6ACAAawBnACAARABNAC8AYgBpAHIAZAAvAGQAYQB5AFwAbgBDAFAAXwBqAGs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NgBfADEAXwAzAF8AXwA1AF8ATgBpAHQAcgBvAGcAZQBuAEkAbgB0AGEAawBlAFwAbgAgACAAPQBMAEEATQBCAEQAQQAoAFwAbgAgACAAIAAgAEkAXwBqAGsALAAgAEMAUABfAGoAawAsAFwAbgAgACAAIAAgAEkAXwBqAGsAIAAqACAAQwBQAF8AagBrACAALwAgADYALgAyADUAXABuACAAIAApADsAXABuAFwAbgBWAEUARQBSAEcAXwA0AF8ANgBfADEAXwAzAF8AXwA1AF8ATgBpAHQAcgBvAGcAZQBuAEkAbgB0AGEAawBlAF8AVABpAHQAbABlAFwAbgAgACAAPQBMAEEATQBCAEQAQQAoAFwAIgBOAGkAdAByAG8AZwBlAG4AIABpAG4AdABhAGsAZQAgAG8AZgAgAHAAbwB1AGwAdAByAHkAXAAiACkAOwBcAG4AXABuAFYARQBFAFIARwBfADQAXwA2AF8AMQBfADMAXwBfADUAXwBOAGkAdAByAG8AZwBlAG4ASQBuAHQAYQBrAGUAXwBWAGEAcgBpAGEAYgBsAGUAXABuACAAIAA9AEwAQQBNAEIARABBACgAXAAiAE4ASQBfAGoAawBcACIAKQA7AFwAbgBcAG4AVgBFAEUAUgBHAF8ANABfADYAXwAxAF8AMwBfAF8ANQBfAE4AaQB0AHIAbwBnAGUAbgBJAG4AdABhAGsAZQBfAFUAbgBpAHQAXABuACAAIAA9AEwAQQBNAEIARABBACgAXAAiAGsAZwAgAE4ALwBiAGkAcgBkAC8AZABhAHkAXAAiACkAOwBcAG4AXABuAFYARQBFAFIARwBfADQAXwA2AF8AMQBfADMAXwBfADUAXwBOAGkAdAByAG8AZwBlAG4ASQBuAHQAYQBrAGUAXwBTAG8AdQByAGMAZQBcAG4AIAAgAD0ATABBAE0AQgBEAEEAKABcACIAVgBFAEUAUgBHACAAMgAwADIANgA6ACAANAAuADYALgAxAC4AMwAsACAARQBxAHUAYQB0AGkAbwBuACAAKAA1ACkAXAAiACkAOwBcAG4AXABuAFYARQBFAFIARwBfADQAXwA2AF8AMQBfADMAXwBfADUAXwBOAGkAdAByAG8AZwBlAG4ASQBuAHQAYQBrAGUAXwBOAEkAUgBSAGUAZgBlAHIAZQBuAGMAZQBcAG4AIAAgAD0ATABBAE0AQgBEAEEAKABcACIAXAAiACkAOwBcAG4AXABuAFYARQBFAFIARwBfADQAXwA2AF8AMQBfADMAXwBfADUAXwBOAGkAdAByAG8AZwBlAG4ASQBuAHQAYQBrAGUAXwBMAGEAdABlAHgARQBxAHUAYQB0AGkAbwBuAFwAbgAgACAAPQBMAEEATQBCAEQAQQAoAFwAIgBOAEkAXwB7AGoAawB9AD0ASQBfAHsAagBrAH0AXABcAHQAaQBtAGUAcwAgAEMAUABfAHsAagBrAH0AXABcAGQAaQB2ACAANgAuADIANQBcACIAKQA7AFwAbgBcAG4AVgBFAEUAUgBHAF8ANABfADYAXwAxAF8AMwBfAF8ANQBfAE4AaQB0AHIAbwBnAGUAbgBJAG4AdABhAGsAZQBfAEEAcgBnAHUAbQBlAG4AdABzAFwAbgAgACAAPQBMAEEATQBCAEQAQQAoAFwAbgAgACAAIAAgAE0AQQBLAEUAQQBSAFIAQQBZACgAMwAsACAANAAsAFwAbgAgACAAIAAgACAAIABMAEEATQBCAEQAQQAoAHIALABjACwAXABuACAAIAAgACAAIAAgACAAIABJAE4ARABFAFgAKAB7AFwAbgAgACAAIAAgACAAIAAgACAAIAAgAFwAIgBJAF8AagBrAFwAIgAsAFwAIgBkAHIAeQAgAG0AYQB0AHQAZQByACAAaQBuAHQAYQBrAGUAIABmAG8AcgAgAGUAYQBjAGgAIABjAGwAYQBzAHMAIABhAG4AZAAgAHMAdQBiAGMAbABhAHMAcwBcACIALAAgAFwAIgBrAGcAIABEAE0ALwBiAGkAcgBkAC8AZABhAHkAXAAiACwAIABcACIASQBuAHAAdQB0AFwAIgA7AFwAbgAgACAAIAAgACAAIAAgACAAIAAgAFwAIgBDAFAAXwBqAGsAXAAiACwAXAAiAGMAcgB1AGQAZQAgAHAAcgBvAHQAZQBpAG4AIABjAG8AbgB0AGUAbgB0ACAAbwBmACAAZgBlAGUAZABcACIALAAgAFwAIgBmAHIAYQBjAHQAaQBvAG4AXAAiACwAIABcACIASQBuAHAAdQB0AFwAIgA7AFwAbgAgACAAIAAgACAAIAAgACAAIAAgAFwAIgA2AC4AMgA1AFwAIgAsAFwAIgBmAGEAYwB0AG8AcgAgAGYAbwByACAAYwBvAG4AdgBlAHIAdABpAG4AZwAgAGMAcgB1AGQAZQAgAHAAcgBvAHQAZQBpAG4AIABpAG4AdABvACAAbgBpAHQAcgBvAGcAZQBu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gBfAFMAdABhAGcAZQAyAE4AaQB0AHIAbwBnAGUAbgBJAG4ATQBNAFMAXABuAE4AaQB0AHIAbwBnAGUAbgAgAGkAbgAgAHQAcgBlAGEAdABtAGUAbgB0ACAAcwB0AGEAZwBlACAAMgAgAE0ATQBTAFwAbgBNAE4AXwBqAGsAbQBUADIAXABuAGsAZwAgAE4AXABuAE0ATgBfAHsAagBrAG0ALABUAD0AMgB9AD0ATgBUAF8AewBqAGsAbQAsAFQAPQAyAH0AXABcAHQAaQBtAGUAcwAgAE0ATQBTAF8AewBtACwAVAA9ADIAfQBcAG4ATgBUAF8AagBrAG0AVAAyACAAPQAgAG4AaQB0AHIAbwBnAGUAbgAgAHQAcgBhAG4AcwBmAGUAcgByAGUAZAAgAHQAbwAgAHMAZQBjAG8AbgBkAGEAcgB5ACAAdAByAGUAYQB0AG0AZQBuAHQAIABNAE0AUwAgADoAIABrAGcAIABOAFwAbgBNAE0AUwBfAG0AVAAyACAAPQAgAGYAcgBhAGMAdABpAG8AbgAgAG8AZgAgAG0AYQBuAHUAcgBlACAAaQBuACAAZQBhAGMAaAAgAHMAZQBjAG8AbgBkAGEAcgB5ACAAcwB5AHMAdABlAG0AIAA6ACAAZgByAGEAYwB0AGkAbwBuAFwAbgBOAG8AdABlACAAPQAgAGQAaQByAGUAYwB0ACAAYQBwAHAAbABpAGMAYQB0AGkAbwBuACAAYQB0ACAAbQA9ADEAMwAsAHQAPQAyACAAaQBzACAAbQBvAHYAZQBkACAAdABvACAAbQBhAG4AdQByAGUAIABhAHAAcABsAGkAZQBkACAAdABvACAAcwBvAGkAbABzACAAYQBuAGQAIABlAHgAYwBsAHUAZABlAGQAIABmAHIAbwBtACAAdABoAGkAcwAgAGUAcQB1AGEAdABpAG8AbgBcAG4ALQAtAC0ALQAtAC0ALQAtAC0ALQAtAC0ALQAtAC0ALQAtAC0ALQAtAC0ALQAtAC0ALQAtAC0ALQAtAC0ALQAtAC0ALQAtAC0ALQAtAFwAbgAqAC8AXABuAFwAbgBWAEUARQBSAEcAXwA0AF8ANgBfADEAXwAzAF8AXwA2AF8AUwB0AGEAZwBlADIATgBpAHQAcgBvAGcAZQBuAEkAbgBNAE0AUwBcAG4AIAAgAD0ATABBAE0AQgBEAEEAKABcAG4AIAAgACAAIABOAFQAXwBqAGsAbQBUADIALAAgAE0ATQBTAF8AbQBUADIALABcAG4AIAAgACAAIABOAFQAXwBqAGsAbQBUADIAIAAqACAATQBNAFMAXwBtAFQAMgBcAG4AIAAgACkAOwBcAG4AXABuAFYARQBFAFIARwBfADQAXwA2AF8AMQBfADMAXwBfADYAXwBTAHQAYQBnAGUAMgBOAGkAdAByAG8AZwBlAG4ASQBuAE0ATQBTAF8AVABpAHQAbABlAFwAbgAgACAAPQBMAEEATQBCAEQAQQAoAFwAIgBOAGkAdAByAG8AZwBlAG4AIABpAG4AIAB0AHIAZQBhAHQAbQBlAG4AdAAgAHMAdABhAGcAZQAgADIAIABNAE0AUwBcACIAKQA7AFwAbgBcAG4AVgBFAEUAUgBHAF8ANABfADYAXwAxAF8AMwBfAF8ANgBfAFMAdABhAGcAZQAyAE4AaQB0AHIAbwBnAGUAbgBJAG4ATQBNAFMAXwBWAGEAcgBpAGEAYgBsAGUAXABuACAAIAA9AEwAQQBNAEIARABBACgAXAAiAE0ATgBfAGoAawBtAFQAMgBcACIAKQA7AFwAbgBcAG4AVgBFAEUAUgBHAF8ANABfADYAXwAxAF8AMwBfAF8ANgBfAFMAdABhAGcAZQAyAE4AaQB0AHIAbwBnAGUAbgBJAG4ATQBNAFMAXwBVAG4AaQB0AFwAbgAgACAAPQBMAEEATQBCAEQAQQAoAFwAIgBrAGcAIABOAFwAIgApADsAXABuAFwAbgBWAEUARQBSAEcAXwA0AF8ANgBfADEAXwAzAF8AXwA2AF8AUwB0AGEAZwBlADIATgBpAHQAcgBvAGcAZQBuAEkAbgBNAE0AUwBfAFMAbwB1AHIAYwBlAFwAbgAgACAAPQBMAEEATQBCAEQAQQAoAFwAIgBWAEUARQBSAEcAIAAyADAAMgA2ADoAIAA0AC4ANgAuADEALgAzACwAIABFAHEAdQBhAHQAaQBvAG4AIAAoADYAKQBcACIAKQA7AFwAbgBcAG4AVgBFAEUAUgBHAF8ANABfADYAXwAxAF8AMwBfAF8ANgBfAFMAdABhAGcAZQAyAE4AaQB0AHIAbwBnAGUAbgBJAG4ATQBNAFMAXwBOAEkAUgBSAGUAZgBlAHIAZQBuAGMAZQBcAG4AIAAgAD0ATABBAE0AQgBEAEEAKABcACIAXAAiACkAOwBcAG4AXABuAFYARQBFAFIARwBfADQAXwA2AF8AMQBfADMAXwBfADYAXwBTAHQAYQBnAGUAMgBOAGkAdAByAG8AZwBlAG4ASQBuAE0ATQBTAF8ATABhAHQAZQB4AEUAcQB1AGEAdABpAG8AbgBcAG4AIAAgAD0ATABBAE0AQgBEAEEAKABcACIATQBOAF8AewBqAGsAbQAsAFQAPQAyAH0APQBOAFQAXwB7AGoAawBtACwAVAA9ADIAfQBcAFwAdABpAG0AZQBzACAATQBNAFMAXwB7AG0ALABUAD0AMgB9AFwAIgApADsAXABuAFwAbgBWAEUARQBSAEcAXwA0AF8ANgBfADEAXwAzAF8AXwA2AF8AUwB0AGEAZwBlADI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OAFQAXwBqAGsAbQBUADIAXAAiACwAXAAiAG4AaQB0AHIAbwBnAGUAbgAgAHQAcgBhAG4AcwBmAGUAcgByAGUAZAAgAHQAbwAgAHMAZQBjAG8AbgBkAGEAcgB5ACAAdAByAGUAYQB0AG0AZQBuAHQAIABNAE0AUwBcACIALAAgAFwAIgBrAGcAIABOAFwAIgAsACAAXAAiAEMAYQBsAGMAdQBsAGEAdABlAGQAIABmAHIAbwBtACAANAAuADYALgAxAC4AMwAgACgANwApAFwAIgA7AFwAbgAgACAAIAAgACAAIAAgACAAIAAgAFwAIgBNAE0AUwBfAG0AVAAyAFwAIgAs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wBfAE4AaQB0AHIAbwBnAGUAbgBUAHIAYQBuAHMAZgBlAHIAcgBlAGQAVABvAFMAdABhAGcAZQAyAE0ATQBTAFwAbgBOAGkAdAByAG8AZwBlAG4AIAB0AHIAYQBuAHMAZgBlAHIAcgBlAGQAIAB0AG8AIAB0AHIAZQBhAHQAbQBlAG4AdAAgAHMAdABhAGcAZQAgADIAIABNAE0AUwBcAG4ATgBUAF8AagBrAG0AVAAyAFwAbgBrAGcAIABOAFwAbgBOAFQAXwB7AGoAawBtACwAVAA9ADIAfQA9AE0ATgBfAHsAagBrAG0ALABUAD0AMQB9AFwAXAB0AGkAbQBlAHMAKAAxAC0ARgByAGEAYwBHAEEAUwBNAF8AewBtACwAVAA9ADEAfQAtAEUARgBfAHsAbQAsAFQAPQAxAH0AKQBcAG4ATQBOAF8AagBrAG0AVAAxACAAPQAgAG4AaQB0AHIAbwBnAGUAbgAgAGkAbgAgAE0ATQBTACAAdAByAGUAYQB0AG0AZQBuAHQAIABzAHQAYQBnAGUAIAAxACAAOgAgAGsAZwAgAE4AXABuAEYAcgBhAGMARwBBAFMATQBfAG0AVAAxACAAPQAgAGYAcgBhAGMAdABpAG8AbgAgAG8AZgAgAE4AIAB2AG8AbABhAHQAaQBsAGkAcwBlAGQAIABmAHIAbwBtACAATQBNAFMAIAB0AHIAZQBhAHQAbQBlAG4AdAAgAGEAdAAgAHMAdABhAGcAZQAgADEAIAA6ACAAZgByAGEAYwB0AGkAbwBuAFwAbgBFAEYAXwBtAFQAMQAgAD0AIABuAGkAdAByAG8AdQBzACAAbwB4AGkAZABlACAAZQBtAGkAcwBzAGkAbwBuACAAZgBhAGMAdABvAHIAIABmAG8AcgAgAE0ATQBTACAAdAByAGUAYQB0AG0AZQBuAHQAIABhAHQAIABzAHQAYQBnAGUAIAAxACAAOgAgAGsAZwAgAE4AMgBPAC0ATgAvAGsAZwAgAE4AXABuAC0ALQAtAC0ALQAtAC0ALQAtAC0ALQAtAC0ALQAtAC0ALQAtAC0ALQAtAC0ALQAtAC0ALQAtAC0ALQAtAC0ALQAtAC0ALQAtAC0ALQBcAG4AKgAvAFwAbgBcAG4AVgBFAEUAUgBHAF8ANABfADYAXwAxAF8AMwBfAF8ANwBfAE4AaQB0AHIAbwBnAGUAbgBUAHIAYQBuAHMAZgBlAHIAcgBlAGQAVABvAFMAdABhAGcAZQAyAE0ATQBTAFwAbgAgACAAPQBMAEEATQBCAEQAQQAoAFwAbgAgACAAIAAgAE0ATgBfAGoAawBtAFQAMQAsACAARgByAGEAYwBHAEEAUwBNAF8AbQBUADEALAAgAEUARgBfAG0AVAAxACwAXABuACAAIAAgACAATQBOAF8AagBrAG0AVAAxACAAKgAgACgAMQAgAC0AIABGAHIAYQBjAEcAQQBTAE0AXwBtAFQAMQAgAC0AIABFAEYAXwBtAFQAMQApAFwAbgAgACAAKQA7AFwAbgBcAG4AVgBFAEUAUgBHAF8ANABfADYAXwAxAF8AMwBfAF8ANwBfAE4AaQB0AHIAbwBnAGUAbgBUAHIAYQBuAHMAZgBlAHIAcgBlAGQAVABvAFMAdABhAGcAZQAyAE0ATQBTAF8AVABpAHQAbABlAFwAbgAgACAAPQBMAEEATQBCAEQAQQAoAFwAIgBOAGkAdAByAG8AZwBlAG4AIAB0AHIAYQBuAHMAZgBlAHIAcgBlAGQAIAB0AG8AIAB0AHIAZQBhAHQAbQBlAG4AdAAgAHMAdABhAGcAZQAgADIAIABNAE0AUwBcACIAKQA7AFwAbgBcAG4AVgBFAEUAUgBHAF8ANABfADYAXwAxAF8AMwBfAF8ANwBfAE4AaQB0AHIAbwBnAGUAbgBUAHIAYQBuAHMAZgBlAHIAcgBlAGQAVABvAFMAdABhAGcAZQAyAE0ATQBTAF8AVgBhAHIAaQBhAGIAbABlAFwAbgAgACAAPQBMAEEATQBCAEQAQQAoAFwAIgBOAFQAXwBqAGsAbQBUADIAXAAiACkAOwBcAG4AXABuAFYARQBFAFIARwBfADQAXwA2AF8AMQBfADMAXwBfADcAXwBOAGkAdAByAG8AZwBlAG4AVAByAGEAbgBzAGYAZQByAHIAZQBkAFQAbwBTAHQAYQBnAGUAMgBNAE0AUwBfAFUAbgBpAHQAXABuACAAIAA9AEwAQQBNAEIARABBACgAXAAiAGsAZwAgAE4AXAAiACkAOwBcAG4AXABuAFYARQBFAFIARwBfADQAXwA2AF8AMQBfADMAXwBfADcAXwBOAGkAdAByAG8AZwBlAG4AVAByAGEAbgBzAGYAZQByAHIAZQBkAFQAbwBTAHQAYQBnAGUAMgBNAE0AUwBfAFMAbwB1AHIAYwBlAFwAbgAgACAAPQBMAEEATQBCAEQAQQAoAFwAIgBWAEUARQBSAEcAIAAyADAAMgA2ADoAIAA0AC4ANgAuADEALgAzACwAIABFAHEAdQBhAHQAaQBvAG4AIAAoADcAKQBcACIAKQA7AFwAbgBcAG4AVgBFAEUAUgBHAF8ANABfADYAXwAxAF8AMwBfAF8ANwBfAE4AaQB0AHIAbwBnAGUAbgBUAHIAYQBuAHMAZgBlAHIAcgBlAGQAVABvAFMAdABhAGcAZQAyAE0ATQBTAF8ATgBJAFIAUgBlAGYAZQByAGUAbgBjAGUAXABuACAAIAA9AEwAQQBNAEIARABBACgAXAAiAFwAIgApADsAXABuAFwAbgBWAEUARQBSAEcAXwA0AF8ANgBfADEAXwAzAF8AXwA3AF8ATgBpAHQAcgBvAGcAZQBuAFQAcgBhAG4AcwBmAGUAcgByAGUAZABUAG8AUwB0AGEAZwBlADIATQBNAFMAXwBMAGEAdABlAHgARQBxAHUAYQB0AGkAbwBuAFwAbgAgACAAPQBMAEEATQBCAEQAQQAoAFwAIgBOAFQAXwB7AGoAawBtACwAVAA9ADIAfQA9AE0ATgBfAHsAagBrAG0ALABUAD0AMQB9AFwAXAB0AGkAbQBlAHMAKAAxAC0ARgByAGEAYwBHAEEAUwBNAF8AewBtACwAVAA9ADEAfQAtAEUARgBfAHsAbQAsAFQAPQAxAH0AKQBcACIAKQA7AFwAbgBcAG4AVgBFAEUAUgBHAF8ANABfADYAXwAxAF8AMwBfAF8ANwBfAE4AaQB0AHIAbwBnAGUAbgBUAHIAYQBuAHMAZgBlAHIAcgBlAGQAVABvAFMAdABhAGcAZQAyAE0ATQBTAF8AQQByAGcAdQBtAGUAbgB0AHMAXABuACAAIAA9AEwAQQBNAEIARABBACgAXABuACAAIAAgACAATQBBAEsARQBBAFIAUgBBAFkAKAAzACwAIAA0ACwAXABuACAAIAAgACAAIAAgAEwAQQBNAEIARABBACgAcgAsAGMALABcAG4AIAAgACAAIAAgACAAIAAgAEkATgBEAEUAWAAoAHsAXABuACAAIAAgACAAIAAgACAAIAAgACAAXAAiAE0ATgBfAGoAawBtAFQAMQBcACIALABcACIAbgBpAHQAcgBvAGcAZQBuACAAaQBuACAATQBNAFMAIAB0AHIAZQBhAHQAbQBlAG4AdAAgAHMAdABhAGcAZQAgADEAXAAiACwAIABcACIAawBnACAATgBcACIALAAgAFwAIgBDAGEAbABjAHUAbABhAHQAZQBkACAAZgByAG8AbQAgADQALgA2AC4AMQAuADMAIAAoADYAKQBcACIAOwBcAG4AIAAgACAAIAAgACAAIAAgACAAIABcACIARgByAGEAYwBHAEEAUwBNAF8AbQBUADEAXAAiACwAXAAiAGYAcgBhAGMAdABpAG8AbgAgAG8AZgAgAE4AIAB2AG8AbABhAHQAaQBsAGkAcwBlAGQAIABmAHIAbwBtACAATQBNAFMAIAB0AHIAZQBhAHQAbQBlAG4AdAAgAGEAdAAgAHMAdABhAGcAZQAgADEAXAAiACwAIABcACIAZgByAGEAYwB0AGkAbwBuAFwAIgAsACAAXAAiAEMAbwBuAHMAdABhAG4AdABcACIAOwBcAG4AIAAgACAAIAAgACAAIAAgACAAIABcACIARQBGAF8AbQBUADEAXAAiACwAXAAiAG4AaQB0AHIAbwB1AHMAIABvAHgAaQBkAGUAIABlAG0AaQBzAHMAaQBvAG4AIABmAGEAYwB0AG8AcgAgAGYAbwByACAATQBNAFMAIAB0AHIAZQBhAHQAbQBlAG4AdAAgAGEAdAAgAHMAdABhAGcAZQAgADEAXAAiACwAIABcACIAawBnACAATgAyAE8ALQBOAC8AawBnACAATgBcACIALAAgAFwAIgBDAG8AbgBzAHQAYQBuAHQAXAAiAFwAbgAgACAAIAAgACAAIAAgACAAfQAsACAAcgAsACAAYwApAFwAbgAgACAAIAAgACAAIAApAFwAbgAgACAAIAAgACkAXABuACAAIAApADsAXABuAFwAbgAiAH0ALAB7ACIAcABhAHQAaAAiADoAIgAvAHAAcgBvAGoAZQBjAHQAcwAvAE0ATQBTAF8AUABvAHUAbAB0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1ACAATQBlAHQAaABvAGQAIAAxACAALQAgAE0AYQBuAHUAcgBlACAAQQB0AG0AbwBzAHAAaABlAHIAaQBjACAARABlAHAAbwBzAGkAdABpAG8Abg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1AF8AXwAxAF8AVABvAHQAYQBsAEEAbgBuAHUAYQBsAEEAdABtAG8AcwBwAGgAZQByAGkAYwBEAGUAcABvAHMAaQB0AGkAbwBuAEUAbQBpAHMAcwBpAG8AbgBzAEYAcgBvAG0ATQBNAF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1AF8AXwAxAF8AVABvAHQAYQBsAEEAbgBuAHUAYQBsAEEAdABtAG8AcwBwAGgAZQByAGkAYwBEAGUAcABvAHMAaQB0AGkAbwBuAEUAbQBpAHMAcwBpAG8AbgBzAEYAcgBvAG0ATQBNAF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NgBfADEAXwA1AF8AXwAxAF8AVABvAHQAYQBsAEEAbgBuAHUAYQBsAEEAdABtAG8AcwBwAGgAZQByAGkAYwBEAGUAcABvAHMAaQB0AGkAbwBuAEUAbQBpAHMAcwBpAG8AbgBzAEYAcgBvAG0ATQBNAFMAXwBUAGkAdABsAGUAXABuACAAIAA9AEwAQQBNAEIARABBACgAXAAiAFQAbwB0AGEAbAAgAGEAbgBuAHUAYQBsACAAYQB0AG0AbwBzAHAAaABlAHIAaQBjACAAZABlAHAAbwBzAGkAdABpAG8AbgAgAGUAbQBpAHMAcwBpAG8AbgBzACAAZgByAG8AbQAgAG0AYQBuAHUAcgBlACAAbQBhAG4AYQBnAGUAbQBlAG4AdABcACIAKQA7AFwAbgBcAG4AVgBFAEUAUgBHAF8ANABfADYAXwAxAF8ANQBfAF8AMQBfAFQAbwB0AGEAbABBAG4AbgB1AGEAbABBAHQAbQBvAHMAcABoAGUAcgBpAGMARABlAHAAbwBzAGkAdABpAG8AbgBFAG0AaQBzAHMAaQBvAG4AcwBGAHIAbwBtAE0ATQBTAF8AVgBhAHIAaQBhAGIAbABlAFwAbgAgACAAPQBMAEEATQBCAEQAQQAoAFwAIgBFAF8ATgAyAE8AYQBkAFwAIgApADsAXABuAFwAbgBWAEUARQBSAEcAXwA0AF8ANgBfADEAXwA1AF8AXwAxAF8AVABvAHQAYQBsAEEAbgBuAHUAYQBsAEEAdABtAG8AcwBwAGgAZQByAGkAYwBEAGUAcABvAHMAaQB0AGkAbwBuAEUAbQBpAHMAcwBpAG8AbgBzAEYAcgBvAG0ATQBNAFMAXwBVAG4AaQB0AFwAbgAgACAAPQBMAEEATQBCAEQAQQAoAFwAIgB0ACAATgAyAE8AXAAiACkAOwBcAG4AXABuAFYARQBFAFIARwBfADQAXwA2AF8AMQBfADUAXwBfADEAXwBUAG8AdABhAGwAQQBuAG4AdQBhAGwAQQB0AG0AbwBzAHAAaABlAHIAaQBjAEQAZQBwAG8AcwBpAHQAaQBvAG4ARQBtAGkAcwBzAGkAbwBuAHMARgByAG8AbQBNAE0AUwBfAFMAbwB1AHIAYwBlAFwAbgAgACAAPQBMAEEATQBCAEQAQQAoAFwAIgBWAEUARQBSAEcAIAAyADAAMgA2ADoAIAA0AC4ANgAuADEALgA1ACwAIABFAHEAdQBhAHQAaQBvAG4AIAAoADEAKQBcACIAKQA7AFwAbgBcAG4AVgBFAEUAUgBHAF8ANABfADYAXwAxAF8ANQBfAF8AMQBfAFQAbwB0AGEAbABBAG4AbgB1AGEAbABBAHQAbQBvAHMAcABoAGUAcgBpAGMARABlAHAAbwBzAGkAdABpAG8AbgBFAG0AaQBzAHMAaQBvAG4AcwBGAHIAbwBtAE0ATQBTAF8ATgBJAFIAUgBlAGYAZQByAGUAbgBjAGUAXABuACAAIAA9AEwAQQBNAEIARABBACgAXAAiAFwAIgApADsAXABuAFwAbgBWAEUARQBSAEcAXwA0AF8ANgBfADEAXwA1AF8AXwAxAF8AVABvAHQAYQBsAEEAbgBuAHUAYQBsAEEAdABtAG8AcwBwAGgAZQByAGkAYwBEAGUAcABvAHMAaQB0AGkAbwBuAEUAbQBpAHMAcwBpAG8AbgBzAEYAcgBvAG0ATQBNAF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YAXwAxAF8ANQBfAF8AMQBfAFQAbwB0AGEAbA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QBTAF8AQQBUAE0ATwBTAFwAIgAsAFwAIgBtAGEAcwBzACAAbwBmACAATgAgAHYAbwBsAGEAdABpAGwAaQBzAGUAZAAgAGYAcgBvAG0AIABNAE0AUwBcACIALAAgAFwAIgBrAGcAIABOAFwAIgAsACAAXAAiAEMAYQBsAGMAdQBsAGEAdABlAGQAIABmAHIAbwBtACAANAAuADYALgAxAC4ANQAgACgAMgApAFwAIgA7AFwAbgAgACAAIAAgACAAIAAgACAAIAAgAFwAIgBFAEYAXwBOADIATwBcACIAL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cgBhAHQAaQBv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NQBfAF8AMgBfAFQAbwB0AGEAbABOAGkAdAByAG8AZwBlAG4AVgBvAGwAYQB0AGkAbABpAHMAZQBkAEYAcgBvAG0ATQBNAFMAXABuAFQAbwB0AGEAbAAgAG4AaQB0AHIAbwBnAGUAbgAgAHYAbwBsAGEAdABpAGwAaQBzAGUAZAAgAGYAcgBvAG0AIABtAGEAbgB1AHIAZQAgAG0AYQBuAGEAZwBlAG0AZQBuAHQAIABzAHkAcwB0AGUAbQBzAFwAbgBNAE0AUwBfAEEAVABNAE8AUwBcAG4AawBnACAATgBcAG4ATQBNAFMAXwB7AEEAVABNAE8AUwB9AD0AXABcAHMAdQBtAF8AewBqAH0AXABcAHMAdQBtAF8AewBrAH0AXABcAHMAdQBtAF8AewBtAH0AXABcAHMAdQBtAF8AewBUAH0AKABNAE4AXwB7AGoAawBtAFQAfQBcAFwAdABpAG0AZQBzACAARgByAGEAYwBHAEEAUwBNAF8AewBtAFQAfQApAFwAbgBNAE4AXwBqAGsAbQBUACAAPQAgAG4AaQB0AHIAbwBnAGUAbgAgAGkAbgAgAGUAYQBjAGgAIAB0AHIAZQBhAHQAbQBlAG4AdAAgAHMAdABhAGcAZQAgAE0ATQBTACAAKABlAHgAYwBsAHUAZABpAG4AZwAgAE0ATgBfAGoAaw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YAXwAxAF8ANQBfAF8AMgBfAFQAbwB0AGEAbABOAGkAdAByAG8AZwBlAG4AVgBvAGwAYQB0AGkAbABpAHMAZQBkAEYAcgBvAG0ATQBNAFMAXABuACAAIAA9AEwAQQBNAEIARABBACgAXABuACAAIAAgACAATQBOAF8AagBrAG0AVAAsACAARgByAGEAYwBHAEEAUwBNAF8AbQBUACwAXABuACAAIAAgACAATQBOAF8AagBrAG0AVAAgACoAIABGAHIAYQBjAEcAQQBTAE0AXwBtAFQAXABuACAAIAApADsAXABuAFwAbgBWAEUARQBSAEcAXwA0AF8ANgBfADEAXwA1AF8AXwAyAF8AVABvAHQAYQBsAE4AaQB0AHIAbwBnAGUAbgBWAG8AbABhAHQAaQBsAGkAcwBlAGQARgByAG8AbQBNAE0AUwBfAFQAaQB0AGwAZQBcAG4AIAAgAD0ATABBAE0AQgBEAEEAKABcACIAVABvAHQAYQBsACAAbgBpAHQAcgBvAGcAZQBuACAAdgBvAGwAYQB0AGkAbABpAHMAZQBkACAAZgByAG8AbQAgAG0AYQBuAHUAcgBlACAAbQBhAG4AYQBnAGUAbQBlAG4AdAAgAHMAeQBzAHQAZQBtAHMAXAAiACkAOwBcAG4AXABuAFYARQBFAFIARwBfADQAXwA2AF8AMQBfADUAXwBfADIAXwBUAG8AdABhAGwATgBpAHQAcgBvAGcAZQBuAFYAbwBsAGEAdABpAGwAaQBzAGUAZABGAHIAbwBtAE0ATQBTAF8AVgBhAHIAaQBhAGIAbABlAFwAbgAgACAAPQBMAEEATQBCAEQAQQAoAFwAIgBNAE0AUwBfAEEAVABNAE8AUwBcACIAKQA7AFwAbgBcAG4AVgBFAEUAUgBHAF8ANABfADYAXwAxAF8ANQBfAF8AMgBfAFQAbwB0AGEAbABOAGkAdAByAG8AZwBlAG4AVgBvAGwAYQB0AGkAbABpAHMAZQBkAEYAcgBvAG0ATQBNAFMAXwBVAG4AaQB0AFwAbgAgACAAPQBMAEEATQBCAEQAQQAoAFwAIgBrAGcAIABOAFwAIgApADsAXABuAFwAbgBWAEUARQBSAEcAXwA0AF8ANgBfADEAXwA1AF8AXwAyAF8AVABvAHQAYQBsAE4AaQB0AHIAbwBnAGUAbgBWAG8AbABhAHQAaQBsAGkAcwBlAGQARgByAG8AbQBNAE0AUwBfAFMAbwB1AHIAYwBlAFwAbgAgACAAPQBMAEEATQBCAEQAQQAoAFwAIgBWAEUARQBSAEcAIAAyADAAMgA2ADoAIAA0AC4ANgAuADEALgA1ACwAIABFAHEAdQBhAHQAaQBvAG4AIAAoADIAKQBcACIAKQA7AFwAbgBcAG4AVgBFAEUAUgBHAF8ANABfADYAXwAxAF8ANQBfAF8AMgBfAFQAbwB0AGEAbABOAGkAdAByAG8AZwBlAG4AVgBvAGwAYQB0AGkAbABpAHMAZQBkAEYAcgBvAG0ATQBNAFMAXwBOAEkAUgBSAGUAZgBlAHIAZQBuAGMAZQBcAG4AIAAgAD0ATABBAE0AQgBEAEEAKABcACIAXAAiACkAOwBcAG4AXABuAFYARQBFAFIARwBfADQAXwA2AF8AMQBfADUAXwBfADIAXwBUAG8AdABhAGwATgBpAHQAcgBvAGcAZQBuAFYAbwBsAGEAdABpAGwAaQBzAGUAZABGAHIAbwBtAE0ATQBTAF8ATABhAHQAZQB4AEUAcQB1AGEAdABpAG8AbgBcAG4AIAAgAD0ATABBAE0AQgBEAEEAKABcACIATQBNAFMAXwB7AEEAVABNAE8AUwB9AD0AXABcAHMAdQBtAF8AewBqAH0AXABcAHMAdQBtAF8AewBrAH0AXABcAHMAdQBtAF8AewBtAH0AXABcAHMAdQBtAF8AewBUAH0AKABNAE4AXwB7AGoAawBtAFQAfQBcAFwAdABpAG0AZQBzACAARgByAGEAYwBHAEEAUwBNAF8AewBtAFQAfQApAFwAIgApADsAXABuAFwAbgBWAEUARQBSAEcAXwA0AF8ANg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sAbQBUAFwAIgAsAFwAIgBuAGkAdAByAG8AZwBlAG4AIABpAG4AIABlAGEAYwBoACAAdAByAGUAYQB0AG0AZQBuAHQAIABzAHQAYQBnAGUAIABNAE0AUwAgACgAZQB4AGMAbAB1AGQAaQBuAGcAIABNAE4AXwBqAGsAbQAxADMAVAAyACkAXAAiACwAIABcACIAawBnACAATgBcACIALAAgAFwAIgBDAGEAbABjAHUAbABhAHQAZQBkACAAZgByAG8AbQAgADQALgA2AC4AMQAuADMAIAAoADIAKQAoADYAKQBcACIAOwBcAG4AIAAgACAAIAAgACAAIAAgACAAIABcACIARgByAGEAYwBHAEEAUwBNAF8AbQBUAFwAIgAsAFwAIgBmAHIAYQBjAHQAaQBvAG4AIABvAGYAIABOACAAdgBvAGwAYQB0AGkAbABpAHMAZQBkACAAaQBuACAAZQBhAGMAaAAgAE0ATQBT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QAG8AdQBsAHQ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3ACAATQBlAHQAaABvAGQAIAAxACAALQAgAE0AYQBuAHUAcgBlACAATABlAGEAYwBoAGkAbgBnACAAY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c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sAbQA9ADQAfQBcAFwAdABpAG0AZQBzACAARQBGAF8AewBsAGUAYQBjAGgAfQBcAFwAdABpAG0AZQBzACAAQwBfAHsATgAyAE8AfQBcAFwAdABpAG0AZQBzADEAMABeAHsALQAzAH0AXABuAE0ATgBMAGUAYQBjAGgAXwBqAGsAbQA0ACAAPQAgAG0AYQBzAHMAIABvAGYAIABOACAAbABvAHMAdAAgAHQAaAByAG8AdQBnAGgAIABsAGUAYQBjAGgAaQBuAGcAIABhAG4AZAAgAHIAdQBuAG8AZgBmACAAZgByAG8AbQAgAGUAYQBjAGgAIABNAE0AUwAgADoAIABrAGcAIABOAFwAbgBFAEYAXwBsAGUAYQBjAGgAIAA9ACAAZQBtAGkAcwBzAGkAbwBuACAAZgBhAGMAdABvAHIAIABmAG8AcgAgAGwAZQBhAGMAaABpAG4AZwAgAGEAbgBkACAAcgB1AG4AbwBmAGYAIAA6ACAAawBnACAATgAyAE8ALQBOAC8AawBnACAATgBcAG4AQwBfAE4AMgBPACAAPQAgAGYAYQBjAHQAbwByACAAdABvACAAYwBvAG4AdgBlAHIAdAAgAGUAbABlAG0AZQBuAHQAYQBsACAAbQBhAHMAcwAgAG8AZgAgAE4AMgBPACAAdABvACAAbQBvAGwAZQBjAHUAbABhAHIAIABtAGEAcwBzACAAOgAgAHIAYQB0AGkAbwBcAG4AVgBBAFIASQBBAFQASQBPAE4AIABPAEYAIABTAE8AVQBSAEMARQA6ACAARgBvAHIAIABNAGUAdABoAG8AZAAgADEALAAgAGUAbQBpAHMAcwBpAG8AbgBzACAAYQByAGUAIABlAHMAdABpAG0AYQB0AGUAZAAgAGYAbwByACAAcwBvAGwAaQBkACAAcwB0AG8AcgBhAGcAZQAgACgAbQA9ADQAKQAuAFwAbgAtAC0ALQAtAC0ALQAtAC0ALQAtAC0ALQAtAC0ALQAtAC0ALQAtAC0ALQAtAC0ALQAtAC0ALQAtAC0ALQAtAC0ALQAtAC0ALQAtAC0AXABuACoALwBcAG4AXABuAFYARQBFAFIARwBfADQAXwA2AF8AMQBfADcAXwBfADEAXwBBAG4AbgB1AGEAbABFAG0AaQBzAHMAaQBvAG4AcwBGAHIAbwBtAEwAZQBhAGMAaABpAG4AZwBBAG4AZABSAHUAbgBvAGYAZgBGAHIAbwBtAE0ATQBTAFwAbgAgACAAPQBMAEEATQBCAEQAQQAoAFwAbgAgACAAIAAgAE0ATgBMAGUAYQBjAGgAXwBqAGsAbQA0ACwAIABFAEYAXwBsAGUAYQBjAGgALAAgAEMAXwBOADIATwAsAFwAbgAgACAAIAAgACgATQBOAEwAZQBhAGMAaABfAGoAawBtADQAIAAqACAARQBGAF8AbABlAGEAYwBoACAAKgAgAEMAXwBOADIATwApACAAKgAgADEAMAAgAF4AIAAtADMAXABuACAAIAApADsAXABuAFwAbgBWAEUARQBSAEcAXwA0AF8ANgBfADEAXwA3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YAXwAxAF8ANwBfAF8AMQBfAEEAbgBuAHUAYQBsAEUAbQBpAHMAcwBpAG8AbgBzAEYAcgBvAG0ATABlAGEAYwBoAGkAbgBnAEEAbgBkAFIAdQBuAG8AZgBmAEYAcgBvAG0ATQBNAFMAXwBWAGEAcgBpAGEAYgBsAGUAXABuACAAIAA9AEwAQQBNAEIARABBACgAXAAiAEUAXwBOADIATwBsAGUAYQBjAGgAXAAiACkAOwBcAG4AXABuAFYARQBFAFIARwBfADQAXwA2AF8AMQBfADcAXwBfADEAXwBBAG4AbgB1AGEAbABFAG0AaQBzAHMAaQBvAG4AcwBGAHIAbwBtAEwAZQBhAGMAaABpAG4AZwBBAG4AZABSAHUAbgBvAGYAZgBGAHIAbwBtAE0ATQBTAF8AVQBuAGkAdABcAG4AIAAgAD0ATABBAE0AQgBEAEEAKABcACIAdAAgAE4AMgBPAFwAIgApADsAXABuAFwAbgBWAEUARQBSAEcAXwA0AF8ANgBfADEAXwA3AF8AXwAxAF8AQQBuAG4AdQBhAGwARQBtAGkAcwBzAGkAbwBuAHMARgByAG8AbQBMAGUAYQBjAGgAaQBuAGcAQQBuAGQAUgB1AG4AbwBmAGYARgByAG8AbQBNAE0AUwBfAFMAbwB1AHIAYwBlAFwAbgAgACAAPQBMAEEATQBCAEQAQQAoAFwAIgBWAEUARQBSAEcAIAAyADAAMgA2ADoAIAA0AC4ANgAuADEALgA3ACwAIABFAHEAdQBhAHQAaQBvAG4AIAAoADEAKQBcACIAKQA7AFwAbgBcAG4AVgBFAEUAUgBHAF8ANABfADYAXwAxAF8ANwBfAF8AMQBfAEEAbgBuAHUAYQBsAEUAbQBpAHMAcwBpAG8AbgBzAEYAcgBvAG0ATABlAGEAYwBoAGkAbgBnAEEAbgBkAFIAdQBuAG8AZgBmAEYAcgBvAG0ATQBNAFMAXwBOAEkAUgBSAGUAZgBlAHIAZQBuAGMAZQBcAG4AIAAgAD0ATABBAE0AQgBEAEEAKABcACIAXAAiACkAOwBcAG4AXABuAFYARQBFAFIARwBfADQAXwA2AF8AMQBfADcAXwBfADEAXwBBAG4AbgB1AGEAbABFAG0AaQBzAHMAaQBvAG4AcwBGAHIAbwBtAEwAZQBhAGMAaABpAG4AZwBBAG4AZABSAHUAbgBvAGYAZgBGAHIAbwBtAE0ATQBTAF8ATABhAHQAZQB4AEUAcQB1AGEAdABpAG8AbgBcAG4AIAAgAD0ATABBAE0AQgBEAEEAKABcACIARQBfAHsATgAyAE8ALABsAGUAYQBjAGgAfQA9AE0ATgBMAGUAYQBjAGgAXwB7AGoAawBtAD0ANAB9AFwAXAB0AGkAbQBlAHMAIABFAEYAXwB7AGwAZQBhAGMAaAB9AFwAXAB0AGkAbQBlAHMAIABDAF8AewBOADIATwB9AFwAXAB0AGkAbQBlAHMAMQAwAF4AewAtADMAfQBcACIAKQA7AFwAbgBcAG4AVgBFAEUAUgBHAF8ANABfADYAXwAxAF8ANw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awBtADQAXAAiACwAXAAiAG0AYQBzAHMAIABvAGYAIABOACAAbABvAHMAdAAgAHQAaAByAG8AdQBnAGgAIABsAGUAYQBjAGgAaQBuAGcAIABhAG4AZAAgAHIAdQBuAG8AZgBmACAAZgByAG8AbQAgAGUAYQBjAGgAIABNAE0AUwBcACIALAAgAFwAIgBrAGcAIABOAFwAIgAsACAAXAAiAEMAYQBsAGMAdQBsAGEAdABlAGQAIABmAHIAbwBtACAANAAuADYALgAxAC4ANw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Nw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rAG0ANABcAG4AawBnACAATgBcAG4ATQBOAEwAZQBhAGMAaABfAHsAagBrAG0APQA0AH0APQBNAE4AXwB7AGoAawBtAD0ANAAsAFQAPQAxAH0AXABcAHQAaQBtAGUAcwAgAEYAcgBhAGMAVwBFAFQAXABcAHQAaQBtAGUAcwAgAEYAcgBhAGMATABFAEEAQwBIAF8AewBNAFMAfQBcAG4ATQBOAF8AagBrAG0ANABUADEAIAA9ACAAbgBpAHQAcgBvAGcAZQBuACAAaQBuACAAcwBvAGwAaQBkACAAcwB0AG8AcgBhAGcAZQAgAE0ATQBTACAAdAByAGUAYQB0AG0AZQBuAHQAIABzAHQAYQBnAGUAIAAxACAAOgAgAGsAZwAgAE4AXABuAEYAcgBhAGMAVwBFAFQAIAA9ACAAZgByAGEAYwB0AGkAbwBuACAAbwBmACAATgAgAGEAdgBhAGkAbABhAGIAbABlACAAZgBvAHIAIABsAGUAYQBjAGgAaQBuAGcAIABhAG4AZAAgAHIAdQBuAG8AZgBmACAAOgAgAGYAcgBhAGMAdABpAG8AbgBcAG4ARgByAGEAYwBMAEUAQQBDAEgAXwBNAFMAIAA9ACAAZgByAGEAYwB0AGkAbwBuACAAbwBmACAATgAgAGwAbwBzAHQAIAB0AGgAcgBvAHUAZwBoACAAbABlAGEAYwBoAGkAbgBnACAAYQBuAGQAIAByAHUAbgBvAGYAZgAgADoAIABmAHIAYQBjAHQAaQBvAG4AXABuAC0ALQAtAC0ALQAtAC0ALQAtAC0ALQAtAC0ALQAtAC0ALQAtAC0ALQAtAC0ALQAtAC0ALQAtAC0ALQAtAC0ALQAtAC0ALQAtAC0ALQBcAG4AKgAvAFwAbgBcAG4AVgBFAEUAUgBHAF8ANABfADYAXwAxAF8ANwBfAF8AMgBfAE0AYQBzAHMATwBmAE4AaQB0AHIAbwBnAGUAbgBMAG8AcwB0AFQAbwBMAGUAYQBjAGgAaQBuAGcAQQBuAGQAUgB1AG4AbwBmAGYARgByAG8AbQBTAG8AbABpAGQAUwB0AG8AcgBhAGcAZQBcAG4AIAAgAD0ATABBAE0AQgBEAEEAKABcAG4AIAAgACAAIABNAE4AXwBqAGsAbQA0AFQAMgAsACAARgByAGEAYwBXAEUAVAAsACAARgByAGEAYwBMAEUAQQBDAEgAXwBNAFMALABcAG4AIAAgACAAIABNAE4AXwBqAGsAbQA0AFQAMgAgACoAIABGAHIAYQBjAFcARQBUACAAKgAgAEYAcgBhAGMATABFAEEAQwBIAF8ATQBTAFwAbgAgACAAKQA7AFwAbgBcAG4AVgBFAEUAUgBHAF8ANABfADYAXwAxAF8ANwBfAF8AMgBfAE0AYQBzAHMATwBmAE4AaQB0AHIAbwBnAGUAbgBMAG8AcwB0AFQAbwBMAGUAYQBjAGgAaQBuAGcAQQBuAGQAUgB1AG4AbwBmAGYARgByAG8AbQBTAG8AbABpAGQAUwB0AG8AcgBhAGcAZQBfAFQAaQB0AGwAZQBcAG4AIAAgAD0ATABBAE0AQgBEAEEAKABcACIATQBhAHMAcwAgAG8AZgAgAG4AaQB0AHIAbwBnAGUAbgAgAGwAbwBzAHQAIAB0AG8AIABsAGUAYQBjAGgAaQBuAGcAIABhAG4AZAAgAHIAdQBuAG8AZgBmACAAZgByAG8AbQAgAHMAbwBsAGkAZAAgAHMAdABvAHIAYQBnAGUAIABzAHkAcwB0AGUAbQBzAFwAIgApADsAXABuAFwAbgBWAEUARQBSAEcAXwA0AF8ANgBfADEAXwA3AF8AXwAyAF8ATQBhAHMAcwBPAGYATgBpAHQAcgBvAGcAZQBuAEwAbwBzAHQAVABvAEwAZQBhAGMAaABpAG4AZwBBAG4AZABSAHUAbgBvAGYAZgBGAHIAbwBtAFMAbwBsAGkAZABTAHQAbwByAGEAZwBlAF8AVgBhAHIAaQBhAGIAbABlAFwAbgAgACAAPQBMAEEATQBCAEQAQQAoAFwAIgBNAE4ATABlAGEAYwBoAF8AagBrAG0ANABcACIAKQA7AFwAbgBcAG4AVgBFAEUAUgBHAF8ANABfADYAXwAxAF8ANwBfAF8AMgBfAE0AYQBzAHMATwBmAE4AaQB0AHIAbwBnAGUAbgBMAG8AcwB0AFQAbwBMAGUAYQBjAGgAaQBuAGcAQQBuAGQAUgB1AG4AbwBmAGYARgByAG8AbQBTAG8AbABpAGQAUwB0AG8AcgBhAGcAZQBfAFUAbgBpAHQAXABuACAAIAA9AEwAQQBNAEIARABBACgAXAAiAGsAZwAgAE4AXAAiACkAOwBcAG4AXABuAFYARQBFAFIARwBfADQAXwA2AF8AMQBfADcAXwBfADIAXwBNAGEAcwBzAE8AZgBOAGkAdAByAG8AZwBlAG4ATABvAHMAdABUAG8ATABlAGEAYwBoAGkAbgBnAEEAbgBkAFIAdQBuAG8AZgBmAEYAcgBvAG0AUwBvAGwAaQBkAFMAdABvAHIAYQBnAGUAXwBTAG8AdQByAGMAZQBcAG4AIAAgAD0ATABBAE0AQgBEAEEAKABcACIAVgBFAEUAUgBHACAAMgAwADIANgA6ACAANAAuADYALgAxAC4ANwAsACAARQBxAHUAYQB0AGkAbwBuACAAKAAyACkAXAAiACkAOwBcAG4AXABuAFYARQBFAFIARwBfADQAXwA2AF8AMQBfADcAXwBfADIAXwBNAGEAcwBzAE8AZgBOAGkAdAByAG8AZwBlAG4ATABvAHMAdABUAG8ATABlAGEAYwBoAGkAbgBnAEEAbgBkAFIAdQBuAG8AZgBmAEYAcgBvAG0AUwBvAGwAaQBkAFMAdABvAHIAYQBnAGUAXwBOAEkAUgBSAGUAZgBlAHIAZQBuAGMAZQBcAG4AIAAgAD0ATABBAE0AQgBEAEEAKABcACIAXAAiACkAOwBcAG4AXABuAFYARQBFAFIARwBfADQAXwA2AF8AMQBfADcAXwBfADIAXwBNAGEAcwBzAE8AZgBOAGkAdAByAG8AZwBlAG4ATABvAHMAdABUAG8ATABlAGEAYwBoAGkAbgBnAEEAbgBkAFIAdQBuAG8AZgBmAEYAcgBvAG0AUwBvAGwAaQBkAFMAdABvAHIAYQBnAGUAXwBMAGEAdABlAHgARQBxAHUAYQB0AGkAbwBuAFwAbgAgACAAPQBMAEEATQBCAEQAQQAoAFwAIgBNAE4ATABlAGEAYwBoAF8AewBqAGsAbQA9ADQAfQA9AE0ATgBfAHsAagBrAG0APQA0ACwAVAA9ADIAfQBcAFwAdABpAG0AZQBzACAARgByAGEAYwBXAEUAVABcAFwAdABpAG0AZQBzACAARgByAGEAYwBMAEUAQQBDAEgAXwB7AE0AUwB9AFwAIgApADsAXABuAFwAbgBWAEUARQBSAEcAXwA0AF8ANgBfADEAXwA3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awBtADQAVAAyAFwAIgAsAFwAIgBuAGkAdAByAG8AZwBlAG4AIABpAG4AIABzAG8AbABpAGQAIABzAHQAbwByAGEAZwBlACAATQBNAFMAIAB0AHIAZQBhAHQAbQBlAG4AdAAgAHMAdABhAGcAZQAgADIAXAAiACwAIABcACIAawBnACAATgBcACIALAAgAFwAIgBDAGEAbABjAHUAbABhAHQAZQBkACAAZgByAG8AbQAgADQALgA2AC4AMQAuADMAIAAoADYAKQBcACIAOwBcAG4AIAAgACAAIAAgACAAIAAgACAAIABcACIARgByAGEAYwBXAEUAVA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FwAIgBmAHIAYQBjAHQAaQBvAG4AIABvAGYAIABO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TQBNAFMAXwBQAG8AdQBsAHQ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gAE0AZQB0AGgAbwBkACAAMQAgAC0AIABNAGEAbgB1AHIAZQAgAE0AZQB0AGgAYQBuAGU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FAF8AewBDAEgANAB9AD0AXABcAHMAdQBtAF8AewBqAH0AXABcAHMAdQBtAF8AewBrAH0AXABcAHMAdQBtAF8AewBtAH0AXABcAHMAdQBtAF8AewBUAH0AKABEAF8AewBqAGsAfQBcAFwAdABpAG0AZQBzACAATQBfAHsAagBrAG0AVAB9AFwAXAB0AGkAbQBlAHMAIABOAF8AewBqAGsAfQApAFwAXAB0AGkAbQBlAHMAMQAwAF4AewAtADMAfQBcAG4ARABfAGoAawAgAD0AIABkAHUAcgBhAHQAaQBvAG4AIABvAGYAIABzAHQAYQB5ACAAbwBmACAAZQBhAGMAaAAgAGMAbABhAHMAcwAgAGEAbgBkACAAcwB1AGIAYwBsAGEAcwBzACAAbwBmACAAcABvAHUAbAB0AHIAeQAgADoAIABkAGEAeQBzAFwAbgBNAF8AagBrAG0AVAAgAD0AIABtAGUAdABoAGEAbgBlACAAcAByAG8AZAB1AGMAdABpAG8AbgAgAGYAcgBvAG0AIABtAGEAbgB1AHIAZQAgAHAAZQByACAAYwBsAGEAcwBzACwAIABzAHUAYgBjAGwAYQBzAHMALAAgAE0ATQBTACwAIABhAG4AZAAgAHQAcgBlAGEAdABtAGUAbgB0ACAAcwB0AGEAZwBlACAAOgAgAGsAZwAgAEMASAA0AC8AYgBpAHIAZAAvAGQAYQB5AFwAbgBOAF8AagBrACAAPQAgAG4AdQBtAGIAZQByAHMAIABvAGYAIABwAG8AdQBsAHQAcgB5ACAAaQBuACAAZQBhAGMAaAAgAGMAbABhAHMAcwAgAGEAbgBkACAAcwB1AGIAYwBsAGEAcwBzACAAOgAgAGIAaQByAGQAXABuAC0ALQAtAC0ALQAtAC0ALQAtAC0ALQAtAC0ALQAtAC0ALQAtAC0ALQAtAC0ALQAtAC0ALQAtAC0ALQAtAC0ALQAtAC0ALQAtAC0ALQBcAG4AKgAvAFwAbgBcAG4AVgBFAEUAUgBHAF8ANABfADYAXwAxAF8AMQBfAF8AMQBfAFQAbwB0AGEAbABBAG4AbgB1AGEAbABNAGUAdABoAGEAbgBlAEUAbQBpAHMAcwBpAG8AbgBzAFwAbgAgACAAPQBMAEEATQBCAEQAQQAoAFwAbgAgACAAIAAgAEQAXwBqAGsALAAgAE0AXwBqAGsAbQBUACwAIABOAF8AagBrACwAXABuACAAIAAgACAAKABEAF8AagBrACAAKgAgAE0AXwBqAGsAbQBUACAAKgAgAE4AXwBqAGsAKQAgACoAIAAxADAAIABeACAALQAzAFwAbgAgACAAKQA7AFwAbgBcAG4AVgBFAEUAUgBHAF8ANABfADY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2AF8AMQBfADEAXwBfADEAXwBUAG8AdABhAGwAQQBuAG4AdQBhAGwATQBlAHQAaABhAG4AZQBFAG0AaQBzAHMAaQBvAG4AcwBfAFYAYQByAGkAYQBiAGwAZQBcAG4AIAAgAD0ATABBAE0AQgBEAEEAKABcACIARQBfAEMASAA0AFwAIgApADsAXABuAFwAbgBWAEUARQBSAEcAXwA0AF8ANgBfADEAXwAxAF8AXwAxAF8AVABvAHQAYQBsAEEAbgBuAHUAYQBsAE0AZQB0AGgAYQBuAGUARQBtAGkAcwBzAGkAbwBuAHMAXwBVAG4AaQB0AFwAbgAgACAAPQBMAEEATQBCAEQAQQAoAFwAIgB0ACAAQwBIADQAXAAiACkAOwBcAG4AXABuAFYARQBFAFIARwBfADQAXwA2AF8AMQBfADEAXwBfADEAXwBUAG8AdABhAGwAQQBuAG4AdQBhAGwATQBlAHQAaABhAG4AZQBFAG0AaQBzAHMAaQBvAG4AcwBfAFMAbwB1AHIAYwBlAFwAbgAgACAAPQBMAEEATQBCAEQAQQAoAFwAIgBWAEUARQBSAEcAIAAyADAAMgA2ADoAIAA0AC4ANAAuADEALgAxACwAIABFAHEAdQBhAHQAaQBvAG4AIAAoADEAKQBcACIAKQA7AFwAbgBcAG4AVgBFAEUAUgBHAF8ANABfADYAXwAxAF8AMQBfAF8AMQBfAFQAbwB0AGEAbABBAG4AbgB1AGEAbABNAGUAdABoAGEAbgBlAEUAbQBpAHMAcwBpAG8AbgBzAF8ATgBJAFIAUgBlAGYAZQByAGUAbgBjAGUAXABuACAAIAA9AEwAQQBNAEIARABBACgAXAAiAFwAIgApADsAXABuAFwAbgBWAEUARQBSAEcAXwA0AF8ANgBfADEAXwAxAF8AXwAxAF8AVABvAHQAYQBsAEEAbgBuAHUAYQBsAE0AZQB0AGgAYQBuAGUARQBtAGkAcwBzAGkAbwBuAHMAXwBMAGEAdABlAHgARQBxAHUAYQB0AGkAbwBuAFwAbgAgACAAPQBMAEEATQBCAEQAQQAoAFwAIgBFAF8AewBDAEgANAB9AD0AXABcAHMAdQBtAF8AewBqAH0AXABcAHMAdQBtAF8AewBrAH0AXABcAHMAdQBtAF8AewBtAH0AXABcAHMAdQBtAF8AewBUAH0AKABEAF8AewBqAGsAfQBcAFwAdABpAG0AZQBzACAATQBfAHsAagBrAG0AVAB9AFwAXAB0AGkAbQBlAHMAIABOAF8AewBqAGsAfQApAFwAXAB0AGkAbQBlAHMAMQAwAF4AewAtADMAfQBcACIAKQA7AFwAbgBcAG4AVgBFAEUAUgBHAF8ANABfADY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GsAXAAiACwAXAAiAGQAdQByAGEAdABpAG8AbgAgAG8AZgAgAHMAdABhAHkAIABvAGYAIABlAGEAYwBoACAAYwBsAGEAcwBzACAAYQBuAGQAIABzAHUAYgBjAGwAYQBzAHMAIABvAGYAIABwAG8AdQBsAHQAcgB5AFwAIgAsACAAXAAiAGQAYQB5AHMAXAAiACwAIABcACIASQBuAHAAdQB0AFwAIgA7AFwAbgAgACAAIAAgACAAIAAgACAAIAAgAFwAIgBNAF8AagBrAG0AVABcACIALABcACIAbQBlAHQAaABhAG4AZQAgAHAAcgBvAGQAdQBjAHQAaQBvAG4AIABmAHIAbwBtACAAbQBhAG4AdQByAGUAIABwAGUAcgAgAGMAbABhAHMAcwAsACAAcwB1AGIAYwBsAGEAcwBzACwAIABNAE0AUwAsACAAYQBuAGQAIAB0AHIAZQBhAHQAbQBlAG4AdAAgAHMAdABhAGcAZQBcACIALAAgAFwAIgBrAGcAIABDAEgANAAvAGIAaQByAGQALwBkAGEAeQBcACIALAAgAFwAIgBDAGEAbABjAHUAbABhAHQAZQBkACAAZgByAG8AbQAgADQALgA2AC4AMQAuADEAIAAoADIAKQAoADMAKQBcACIAOwBcAG4AIAAgACAAIAAgACAAIAAgACAAIABcACIATgBfAGoAawBcACIALABcACIAbgB1AG0AYgBlAHIAcwAgAG8AZgAgAHAAbwB1AGwAdAByAHkAIABpAG4AIABlAGEAYwBoACAAYwBsAGEAcwBzACAAYQBuAGQAIABzAHUAYgBjAGwAYQBzAHMAXAAiACwAIABcACIAYgBpAHIAZA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yAF8AUwB0AGEAZwBlADEATQBlAHQAaABhAG4AZQBQAHIAbwBkAHUAYwB0AGkAbwBuAFwAbgBQAHIAbwBkAHUAYwB0AGkAbwBuACAAbwBmACAAbQBlAHQAaABhAG4AZQAgAGkAbgAgAHQAcgBlAGEAdABtAGUAbgB0ACAAcwB0AGEAZwBlACAAMQAgAE0ATQBTAFwAbgBNAF8AagBrAG0AVAAxAFwAbgBrAGcAIABDAEgANAAvAGIAaQByAGQALwBkAGEAeQBcAG4ATQBfAHsAagBrAG0AVAA9ADEAfQA9AFYAUwBfAHsAagBrAH0AXABcAHQAaQBtAGUAcwAgAEIATwBfAHsAagB9AFwAXAB0AGkAbQBlAHMAIABNAE0AUwBfAHsAagBtAFQAPQAxAH0AXABcAHQAaQBtAGUAcwAgAE0AQwBGAF8AewBpAG0AfQBcAFwAdABpAG0AZQBzACAAXABcAHIAaABvAFwAbgBWAFMAXwBqAGsAIAA9ACAAdgBvAGwAYQB0AGkAbABlACAAcwBvAGwAaQBkACAAcAByAG8AZAB1AGMAdABpAG8AbgAgAHAAbwB1AGwAdAByAHkAIABjAGwAYQBzAHMAZQBzACAAOgAgAGsAZwAgAFYAUwAvAGIAaQByAGQALwBkAGEAeQBcAG4AQgBPAF8AagAgAD0AIABlAG0AaQBzAHMAaQBvAG4AcwAgAHAAbwB0AGUAbgB0AGkAYQBsACAAcABlAHIAIABjAGwAYQBzAHMAIAA6ACAAbQAzACAAQwBIADQALwBrAGcAIABWAFMAXABuAE0ATQBTAF8AagBtAFQAMQAgAD0AIABmAHIAYQBjAHQAaQBvAG4AIABvAGYAIABtAGEAbgB1AHIAZQAgAGkAbgAgAGUAYQBjAGgAIABwAHIAaQBt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yAF8AUwB0AGEAZwBlADEATQBlAHQAaABhAG4AZQBQAHIAbwBkAHUAYwB0AGkAbwBuAFwAbgAgACAAPQBMAEEATQBCAEQAQQAoAFwAbgAgACAAIAAgAFYAUwBfAGoAawAsACAAQgBPAF8AagAsACAATQBNAFMAXwBqAG0AVAAxACwAIABNAEMARgBfAGkAbQAsACAAcgBoAG8ALABcAG4AIAAgACAAIABWAFMAXwBqAGsAIAAqACAAQgBPAF8AagAgACoAIABNAE0AUwBfAGoAbQBUADEAIAAqACAATQBDAEYAXwBpAG0AIAAqACAAcgBoAG8AXABuACAAIAApADsAXABuAFwAbgBWAEUARQBSAEcAXwA0AF8ANgBfADEAXwAxAF8AXwAyAF8AUwB0AGEAZwBlADEATQBlAHQAaABhAG4AZQBQAHIAbwBkAHUAYwB0AGkAbwBuAF8AVABpAHQAbABlAFwAbgAgACAAPQBMAEEATQBCAEQAQQAoAFwAIgBQAHIAbwBkAHUAYwB0AGkAbwBuACAAbwBmACAAbQBlAHQAaABhAG4AZQAgAGkAbgAgAHQAcgBlAGEAdABtAGUAbgB0ACAAcwB0AGEAZwBlACAAMQAgAE0ATQBTAFwAIgApADsAXABuAFwAbgBWAEUARQBSAEcAXwA0AF8ANgBfADEAXwAxAF8AXwAyAF8AUwB0AGEAZwBlADEATQBlAHQAaABhAG4AZQBQAHIAbwBkAHUAYwB0AGkAbwBuAF8AVgBhAHIAaQBhAGIAbABlAFwAbgAgACAAPQBMAEEATQBCAEQAQQAoAFwAIgBNAF8AagBrAG0AVAAxAFwAIgApADsAXABuAFwAbgBWAEUARQBSAEcAXwA0AF8ANgBfADEAXwAxAF8AXwAyAF8AUwB0AGEAZwBlADEATQBlAHQAaABhAG4AZQBQAHIAbwBkAHUAYwB0AGkAbwBuAF8AVQBuAGkAdABcAG4AIAAgAD0ATABBAE0AQgBEAEEAKABcACIAawBnACAAQwBIADQALwBiAGkAcgBkAC8AZABhAHkAXAAiACkAOwBcAG4AXABuAFYARQBFAFIARwBfADQAXwA2AF8AMQBfADEAXwBfADIAXwBTAHQAYQBnAGUAMQBNAGUAdABoAGEAbgBlAFAAcgBvAGQAdQBjAHQAaQBvAG4AXwBTAG8AdQByAGMAZQBcAG4AIAAgAD0ATABBAE0AQgBEAEEAKABcACIAVgBFAEUAUgBHACAAMgAwADIANgA6ACAANAAuADQALgAxAC4AMQAsACAARQBxAHUAYQB0AGkAbwBuACAAKAAyACkAXAAiACkAOwBcAG4AXABuAFYARQBFAFIARwBfADQAXwA2AF8AMQBfADEAXwBfADIAXwBTAHQAYQBnAGUAMQBNAGUAdABoAGEAbgBlAFAAcgBvAGQAdQBjAHQAaQBvAG4AXwBOAEkAUgBSAGUAZgBlAHIAZQBuAGMAZQBcAG4AIAAgAD0ATABBAE0AQgBEAEEAKABcACIAXAAiACkAOwBcAG4AXABuAFYARQBFAFIARwBfADQAXwA2AF8AMQBfADEAXwBfADIAXwBTAHQAYQBnAGUAMQBNAGUAdABoAGEAbgBlAFAAcgBvAGQAdQBjAHQAaQBvAG4AXwBMAGEAdABlAHgARQBxAHUAYQB0AGkAbwBuAFwAbgAgACAAPQBMAEEATQBCAEQAQQAoAFwAIgBNAF8AewBqAGsAbQBUAD0AMQB9AD0AVgBTAF8AewBqAGsAfQBcAFwAdABpAG0AZQBzACAAQgBPAF8AewBqAH0AXABcAHQAaQBtAGUAcwAgAE0ATQBTAF8AewBqAG0AVAA9ADEAfQBcAFwAdABpAG0AZQBzACAATQBDAEYAXwB7AGkAbQB9AFwAXAB0AGkAbQBlAHMAIABcAFwAcgBoAG8AXAAiACkAOwBcAG4AXABuAFYARQBFAFIARwBfADQAXwA2AF8AMQBfADEAXwBfADIAXwBTAHQAYQBnAGUAMQ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CAE8AXwBqAFwAIgAsAFwAIgBlAG0AaQBzAHMAaQBvAG4AcwAgAHAAbwB0AGUAbgB0AGkAYQBsACAAcABlAHIAIABjAGwAYQBzAHMAXAAiACwAIABcACIAbQAzACAAQwBIADQALwBrAGcAIABWAFMAXAAiACwAIABcACIAQwBvAG4AcwB0AGEAbgB0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IAXwBTAHQAYQBnAGUAMQ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G0AZQBhAG4AIABhAG4AbgB1AGEAbAAgAHQAZQBtAHAAZQByAGEAdAB1AHIAZQBcACIALAAgAFwAIgCwAEMAXAAiACwAIABcACIASQBuAHAAdQB0AFwAIgBcAG4AIAAgACAAIAAgACAAIAAgAH0ALAAgAHIALAAgAGMAKQBcAG4AIAAgACAAIAAgACAAKQBcAG4AIAAgACAAIAApAFwAbgAgACAAKQA7AFwAbgBcAG4AVgBFAEUAUgBHAF8ANABfADYAXwAxAF8AMQBfAF8AMgBfAFMAdABhAGcAZQAxAE0AZQB0AGgAYQBuAGUAUAByAG8AZAB1AGMAdABpAG8AbgBfAFYAYQByAGkAYQB0AGkAbwBuAFwAbgAgACAAIAA9AEwAQQBNAEIARABBACgAXABuACAAIAAgACAATQBBAEsARQBBAFIAUgBBAFkAKAAzACwAIAAxACwAXABuACAAIAAgACAAIAAgAEwAQQBNAEIARABBACgAcgAsAGMALABcAG4AIAAgACAAIAAgACAAIAAgAEkATgBEAEUAWAAoAHsAXABuACAAIAAgACAAIAAgACAAIAAgACAAXAAiAFYAQQBSAEkAQQBUAEkATwBOACAATwBOACAAUwBPAFUAUgBDAEUAOgBcACIAOwBcAG4AIAAgACAAIAAgACAAIAAgACAAIABcACI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OwBcAG4AIAAgACAAIAAgACAAIAAgACAAIABcACIATQBlAHQAaABvAGQAIAAyADoAIABVAHMAZQBkACAAcwB0AGEAdABlACAAYgBhAHMAZQBkACAATQBDAEYAIAB2AGEAbAB1AGUAcwAgAGYAbwByACAAXAB1ADAAMAAyADcAQgBlAGwAdAAgAG0AYQBuAHUAcgBlACAAcgBlAG0AbwB2AGEAbABcAHUAMAAwADIANwAgAGEAbgBkACAAXAB1ADAAMAAyADcATQBhAG4AdQByAGUAIABzAHQAbwByAGUAZAAgAGkAbgAgAGgAbwB1AHMAZQBcAHUAMAAwADIANwAgAE0ATQBTACAAYQBzACAAbgBvACAAdABlAG0AcABlAHIAYQB0AHUAcgBlACAAdgBhAGwAdQBlAHMAIABlAHgAaQBzAHQAIABpAG4AIABUAGEAYgBsAGUAIABBAC4AMQAuADgALgAx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MAXwBTAHQAYQBnAGUAMgBNAGUAdABoAGEAbgBlAFAAcgBvAGQAdQBjAHQAaQBvAG4AXABuAFAAcgBvAGQAdQBjAHQAaQBvAG4AIABvAGYAIABtAGUAdABoAGEAbgBlACAAaQBuACAAdAByAGUAYQB0AG0AZQBuAHQAIABzAHQAYQBnAGUAIAAyACAATQBNAFMAXABuAE0AXwBqAGsAbQBUADIAXABuAGsAZwAgAEMASAA0AC8AYgBpAHIAZAAvAGQAYQB5AFwAbgBNAF8AewBqAGsAbQBUAD0AMgB9AD0AVgBTAFQAXwB7AGoAawB9AFwAXAB0AGkAbQBlAHMAIABCAE8AXABcAHQAaQBtAGUAcwAgAE0ATQBTAF8AewBqAG0AVAA9ADIAfQBcAFwAdABpAG0AZQBzACAATQBDAEYAXwB7AGkAbQB9AFwAXAB0AGkAbQBlAHMAIABcAFwAcgBoAG8AXABuAFYAUwBUAF8AagBrACAAPQAgAHYAbwBsAGEAdABpAGwAZQAgAHMAbwBsAGkAZABzACAAdAByAGEAbgBzAGYAZQByAHIAZQBkACAAdABvACAAdAByAGUAYQB0AG0AZQBuAHQAIABzAHQAYQBnAGUAIAAyACAATQBNAFMAIAA6ACAAawBnACAAVgBTAC8AYgBpAHIAZAAvAGQAYQB5AFwAbgBCAE8AIAA9ACAAZQBtAGkAcwBzAGkAbwBuAHMAIABwAG8AdABlAG4AdABpAGEAbAAgADoAIABtADMAIABDAEgANAAvAGsAZwAgAFYAUwBcAG4ATQBNAFMAXwBqAG0AVAAyACAAPQAgAGYAcgBhAGMAdABpAG8AbgAgAG8AZgAgAG0AYQBuAHUAcgBlACAAaQBuACAAZQBhAGMAaAAgAHMAZQBjAG8AbgBk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zAF8AUwB0AGEAZwBlADIATQBlAHQAaABhAG4AZQBQAHIAbwBkAHUAYwB0AGkAbwBuAFwAbgAgACAAPQBMAEEATQBCAEQAQQAoAFwAbgAgACAAIAAgAFYAUwBUAF8AagBrACwAIABCAE8ALAAgAE0ATQBTAF8AagBtAFQAMgAsACAATQBDAEYAXwBpAG0ALAAgAHIAaABvACwAXABuACAAIAAgACAAVgBTAFQAXwBqAGsAIAAqACAAQgBPACAAKgAgAE0ATQBTAF8AagBtAFQAMgAgACoAIABNAEMARgBfAGkAbQAgACoAIAByAGgAbwBcAG4AIAAgACkAOwBcAG4AXABuAFYARQBFAFIARwBfADQAXwA2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2AF8AMQBfADEAXwBfADMAXwBTAHQAYQBnAGUAMgBNAGUAdABoAGEAbgBlAFAAcgBvAGQAdQBjAHQAaQBvAG4AXwBWAGEAcgBpAGEAYgBsAGUAXABuACAAIAA9AEwAQQBNAEIARABBACgAXAAiAE0AXwBqAGsAbQBUADIAXAAiACkAOwBcAG4AXABuAFYARQBFAFIARwBfADQAXwA2AF8AMQBfADEAXwBfADMAXwBTAHQAYQBnAGUAMgBNAGUAdABoAGEAbgBlAFAAcgBvAGQAdQBjAHQAaQBvAG4AXwBVAG4AaQB0AFwAbgAgACAAPQBMAEEATQBCAEQAQQAoAFwAIgBrAGcAIABDAEgANAAvAGIAaQByAGQALwBkAGEAeQBcACIAKQA7AFwAbgBcAG4AVgBFAEUAUgBHAF8ANABfADYAXwAxAF8AMQBfAF8AMwBfAFMAdABhAGcAZQAyAE0AZQB0AGgAYQBuAGUAUAByAG8AZAB1AGMAdABpAG8AbgBfAFMAbwB1AHIAYwBlAFwAbgAgACAAPQBMAEEATQBCAEQAQQAoAFwAIgBWAEUARQBSAEcAIAAyADAAMgA2ADoAIAA0AC4ANAAuADEALgAxACwAIABFAHEAdQBhAHQAaQBvAG4AIAAoADMAKQBcACIAKQA7AFwAbgBcAG4AVgBFAEUAUgBHAF8ANABfADYAXwAxAF8AMQBfAF8AMwBfAFMAdABhAGcAZQAyAE0AZQB0AGgAYQBuAGUAUAByAG8AZAB1AGMAdABpAG8AbgBfAE4ASQBSAFIAZQBmAGUAcgBlAG4AYwBlAFwAbgAgACAAPQBMAEEATQBCAEQAQQAoAFwAIgBcACIAKQA7AFwAbgBcAG4AVgBFAEUAUgBHAF8ANABfADYAXwAxAF8AMQBfAF8AMwBfAFMAdABhAGcAZQAyAE0AZQB0AGgAYQBuAGUAUAByAG8AZAB1AGMAdABpAG8AbgBfAEwAYQB0AGUAeABFAHEAdQBhAHQAaQBvAG4AXABuACAAIAA9AEwAQQBNAEIARABBACgAXAAiAE0AXwB7AGoAawBtAFQAPQAyAH0APQBWAFMAVABfAHsAagBrAH0AXABcAHQAaQBtAGUAcwAgAEIATwBcAFwAdABpAG0AZQBzACAATQBNAFMAXwB7AGoAbQBUAD0AMgB9AFwAXAB0AGkAbQBlAHMAIABNAEMARgBfAHsAaQBtAH0AXABcAHQAaQBtAGUAcwAgAFwAXAByAGgAbwBcACIAKQA7AFwAbgBcAG4AVgBFAEUAUgBHAF8ANABfADYAXwAxAF8AMQBfAF8AMw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MAXwBTAHQAYQBnAGUAMg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UAF8AagBrAFwAIgAsAFwAIgB2AG8AbABhAHQAaQBsAGUAIABzAG8AbABpAGQAcwAgAHQAcgBhAG4AcwBmAGUAcgByAGUAZAAgAHQAbwAgAHQAcgBlAGEAdABtAGUAbgB0ACAAcwB0AGEAZwBlACAAMgAgAE0ATQBTAFwAIgAsACAAXAAiAGsAZwAgAFYAUwAvAGIAaQByAGQALwBkAGEAeQBcACIALAAgAFwAIgBDAGEAbABjAHUAbABhAHQAZQBkACAAZgByAG8AbQAgADQALgA2AC4AMQAuADEAIAAoADQAKQBcACIAOwBcAG4AIAAgACAAIAAgACAAIAAgACAAIABcACIAQgBPAFwAIgAsAFwAIgBlAG0AaQBzAHMAaQBvAG4AcwAgAHAAbwB0AGUAbgB0AGkAYQBsAFwAIgAsACAAXAAiAG0AMwAgAEMASAA0AC8AawBnACAAVgBTAFwAIgAsACAAXAAiAEMAbwBuAHMAdABhAG4AdABcACIAOwBcAG4AIAAgACAAIAAgACAAIAAgACAAIABcACIATQBNAFMAXwBq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MAXwBTAHQAYQBnAGUAMgBNAGUAdABoAGEAbgBlAFAAcgBvAGQAdQBjAHQAaQBvAG4AXwBWAGEAcgBpAGEAdABpAG8AbgBcAG4AIAAgACAAPQBMAEEATQBCAEQAQQAoAFwAIgBWAEEAUgBJAEEAVABJAE8ATgAgAE8ATgAgAFMATwBVAFIAQwBFADoAIABVAHMAZQBkACAAbQBlAGEAbgAgAGEAbgBuAHUAYQBsACAAdABlAG0AcABlAHIAYQB0AHUAcgBlACAAaQBuAHMAdABlAGEAZAAgAG8AZgAgAHQAZQBtAHAAZQByAGEAdAB1AHIAZQAgAHoAbwBuAGUAIAB0AG8AIABkAGUAdABlAHIAbQBpAG4AZQAgAE0AQwBGACAAYQBzACAATQBDAEYAIAB2AGEAbAB1AGUAcwAgAGEAcgBlACAAcwBwAGUAYwBpAGYAaQBjACAAdABvACAAdABlAG0AcABlAHIAYQB0AHUAcgBlAFwAIgApADsAXABuAFwAbgAvACoAXABuAC0ALQAtAC0ALQAtAC0ALQAtAC0ALQAtAC0ALQAtAC0ALQAtAC0ALQAtAC0ALQAtAC0ALQAtAC0ALQAtAC0ALQAtAC0ALQAtAC0ALQBcAG4AVgBFAEUAUgBHAF8ANABfADYAXwAxAF8AMQBfAF8ANABfAFYAbwBsAGEAdABpAGwAZQBTAG8AbABpAGQAcwBUAHIAYQBuAHMAZgBlAHIAcgBlAGQAXABuAFYAbwBsAGEAdABpAGwAZQAgAHMAbwBsAGkAZABzACAAdAByAGEAbgBzAGYAZQByAHIAZQBkACAAdABvACAAdAByAGUAYQB0AG0AZQBuAHQAIABzAHQAYQBnAGUAIAAyACAATQBNAFMAXABuAFYAUwBUAF8AagBrAFwAbgBrAGcAIABWAFMALwBiAGkAcgBkAC8AZABhAHkAXABuAFYAUwBUAF8AewBqAGsAfQA9AFYAUwBfAHsAagBrAH0AXABcAHQAaQBtAGUAcwAgAE0ATQBTAF8AewBqAG0AVAA9ADEAfQBcAFwAdABpAG0AZQBzACAAKAAxAC0AVgBTAEwAXwB7AG0AVAA9ADEAfQApAFwAbgBWAFMAXwBqAGsAIAA9ACAAdgBvAGwAYQB0AGkAbABlACAAcwBvAGwAaQBkACAAcAByAG8AZAB1AGMAdABpAG8AbgAgAHAAbwB1AGwAdAByAHkAIABjAGwAYQBzAHMAZQBzACAAOgAgAGsAZwAgAFYAUwAvAGIAaQByAGQALwBkAGEAeQBcAG4ATQBNAFMAXwBqAG0AVAAxACAAPQAgAGYAcgBhAGMAdABpAG8AbgAgAG8AZgAgAG0AYQBuAHUAcgBlACAAaQBuACAAZQBhAGMAaAAgAHAAcgBpAG0AYQByAHkAIABzAHkAcwB0AGUAbQAgADoAIABmAHIAYQBjAHQAaQBvAG4AXABuAFYAUwBMAF8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2AF8AMQBfADEAXwBfADQAXwBWAG8AbABhAHQAaQBsAGUAUwBvAGwAaQBkAHMAVAByAGEAbgBzAGYAZQByAHIAZQBkAFwAbgAgACAAPQBMAEEATQBCAEQAQQAoAFwAbgAgACAAIAAgAFYAUwBfAGoAawAsACAATQBNAFMAXwBqAG0AVAAxACwAIABWAFMATABfAG0AVAAxACwAXABuACAAIAAgACAAVgBTAF8AagBrACAAKgAgAE0ATQBTAF8AagBtAFQAMQAgACoAIAAoADEAIAAtACAAVgBTAEwAXwBtAFQAMQApAFwAbgAgACAAKQA7AFwAbgBcAG4AVgBFAEUAUgBHAF8ANABfADYAXwAxAF8AMQBfAF8ANABfAFYAbwBsAGEAdABpAGwAZQBTAG8AbABpAGQAcwBUAHIAYQBuAHMAZgBlAHIAcgBlAGQAXwBUAGkAdABsAGUAXABuACAAIAA9AEwAQQBNAEIARABBACgAXAAiAFYAbwBsAGEAdABpAGwAZQAgAHMAbwBsAGkAZABzACAAdAByAGEAbgBzAGYAZQByAHIAZQBkACAAdABvACAAdAByAGUAYQB0AG0AZQBuAHQAIABzAHQAYQBnAGUAIAAyACAATQBNAFMAXAAiACkAOwBcAG4AXABuAFYARQBFAFIARwBfADQAXwA2AF8AMQBfADEAXwBfADQAXwBWAG8AbABhAHQAaQBsAGUAUwBvAGwAaQBkAHMAVAByAGEAbgBzAGYAZQByAHIAZQBkAF8AVgBhAHIAaQBhAGIAbABlAFwAbgAgACAAPQBMAEEATQBCAEQAQQAoAFwAIgBWAFMAVABfAGoAawBcACIAKQA7AFwAbgBcAG4AVgBFAEUAUgBHAF8ANABfADYAXwAxAF8AMQBfAF8ANABfAFYAbwBsAGEAdABpAGwAZQBTAG8AbABpAGQAcwBUAHIAYQBuAHMAZgBlAHIAcgBlAGQAXwBVAG4AaQB0AFwAbgAgACAAPQBMAEEATQBCAEQAQQAoAFwAIgBrAGcAIABWAFMALwBiAGkAcgBkAC8AZABhAHkAXAAiACkAOwBcAG4AXABuAFYARQBFAFIARwBfADQAXwA2AF8AMQBfADEAXwBfADQAXwBWAG8AbABhAHQAaQBsAGUAUwBvAGwAaQBkAHMAVAByAGEAbgBzAGYAZQByAHIAZQBkAF8AUwBvAHUAcgBjAGUAXABuACAAIAA9AEwAQQBNAEIARABBACgAXAAiAFYARQBFAFIARwAgADIAMAAyADYAOgAgADQALgA0AC4AMQAuADEALAAgAEUAcQB1AGEAdABpAG8AbgAgACgANAApAFwAIgApADsAXABuAFwAbgBWAEUARQBSAEcAXwA0AF8ANgBfADEAXwAxAF8AXwA0AF8AVgBvAGwAYQB0AGkAbABlAFMAbwBsAGkAZABzAFQAcgBhAG4AcwBmAGUAcgByAGUAZABfAE4ASQBSAFIAZQBmAGUAcgBlAG4AYwBlAFwAbgAgACAAPQBMAEEATQBCAEQAQQAoAFwAIgBcACIAKQA7AFwAbgBcAG4AVgBFAEUAUgBHAF8ANABfADYAXwAxAF8AMQBfAF8ANABfAFYAbwBsAGEAdABpAGwAZQBTAG8AbABpAGQAcwBUAHIAYQBuAHMAZgBlAHIAcgBlAGQAXwBMAGEAdABlAHgARQBxAHUAYQB0AGkAbwBuAFwAbgAgACAAPQBMAEEATQBCAEQAQQAoAFwAIgBWAFMAVABfAHsAagBrAH0APQBWAFMAXwB7AGoAawB9AFwAXAB0AGkAbQBlAHMAIABNAE0AUwBfAHsAagBtAFQAPQAxAH0AXABcAHQAaQBtAGUAcwAgACgAMQAtAFYAUwBMAF8AewBtAFQAPQAxAH0AKQBcACIAKQA7AFwAbgBcAG4AVgBFAEUAUgBHAF8ANABfADYAXwAxAF8AMQBfAF8ANABfAFYAbwBsAGEAdABpAGwAZQBTAG8AbABpAGQAcwBUAHIAYQBuAHMAZgBlAHIAcgBlAGQAXwBBAHIAZwB1AG0AZQBuAHQAcwBcAG4AIAAgAD0ATABBAE0AQgBEAEEAKABcAG4AIAAgACAAIABNAEEASwBFAEEAUgBSAEEAWQAoADM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WAFMATABfAG0AVAAxAFwAIgAsAFwAIgBmAHIAYQBjAHQAaQBvAG4AIABvAGYAIAB2AG8AbABhAHQAaQBsAGUAIABzAG8AbABpAGQAcwAgAGwAbwBzAHQAIABkAHUAcgBpAG4AZwAgAHMAdABvAHIAYQBnAGUAIABpAG4AIAB0AGgAZQAgAHAAcgBpAG0AYQByAHkAIABzAHkAcwB0AGUAb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UAXwBWAG8AbABhAHQAaQBsAGUAUwBvAGwAaQBkAFAAcgBvAGQAdQBjAHQAaQBvAG4AXABuAFYAbwBsAGEAdABpAGwAZQAgAHMAbwBsAGkAZAAgAHAAcgBvAGQAdQBjAHQAaQBvAG4AIABwAG8AdQBsAHQAcgB5ACAAYwBsAGEAcwBzAGUAcwBcAG4AVgBTAF8AagBrAFwAbgBrAGcAIABWAFMALwBiAGkAcgBkAC8AZABhAHkAXABuAFYAUwBfAHsAagBrAH0APQBJAF8AewBqAGsAfQBcAFwAdABpAG0AZQBzACAAKAAxAC0ARABNAEQAXwB7AGoAawB9ACkAXABcAHQAaQBtAGUAcwAgACgAMQAtAEEAXwB7AGoAfQApAFwAbgBJAF8AagBrACAAPQAgAGQAcgB5ACAAbQBhAHQAdABlAHIAIABpAG4AdABhAGsAZQAgAGYAbwByACAAZQBhAGMAaAAgAGMAbABhAHMAcwAgAGEAbgBkACAAcwB1AGIAYwBsAGEAcwBzACAAOgAgAGsAZwAgAEQATQAvAGIAaQByAGQALwBkAGEAeQBcAG4ARABNAEQAXwBqAGsAIAA9ACAAZAByAHkAIABtAGEAdAB0AGUAcgAgAGQAaQBnAGUAcwB0AGkAYgBpAGwAaQB0AHkAIABmAG8AcgAgAGUAYQBjAGgAIABjAGwAYQBzAHMAIABhAG4AZAAgAHMAdQBiAGMAbABhAHMAcwAgADoAIABmAHIAYQBjAHQAaQBvAG4AXABuAEEAXwBqACAAPQAgAGEAcwBoACAAYwBvAG4AdABlAG4AdAAgAG8AZgAgAG0AYQBuAHUAcgBlACAAZgBvAHIAIABlAGEAYwBoACAAYwBsAGEAcwBzACAAYQBuAGQAIABzAHUAYgBjAGwAYQBzAHMAIAA6ACAAZgByAGEAYwB0AGkAbwBuAFwAbgAtAC0ALQAtAC0ALQAtAC0ALQAtAC0ALQAtAC0ALQAtAC0ALQAtAC0ALQAtAC0ALQAtAC0ALQAtAC0ALQAtAC0ALQAtAC0ALQAtAC0AXABuACoALwBcAG4AXABuAFYARQBFAFIARwBfADQAXwA2AF8AMQBfADEAXwBfADUAXwBWAG8AbABhAHQAaQBsAGUAUwBvAGwAaQBkAFAAcgBvAGQAdQBjAHQAaQBvAG4AXABuACAAIAA9AEwAQQBNAEIARABBACgAXABuACAAIAAgACAASQBfAGoAawAsACAARABNAEQAXwBqAGsALAAgAEEAXwBqACwAXABuACAAIAAgACAASQBfAGoAawAgACoAIAAoADEAIAAtACAARABNAEQAXwBqAGsAKQAgACoAIAAoADEAIAAtACAAQQBfAGoAKQBcAG4AIAAgACkAOwBcAG4AXABuAFYARQBFAFIARwBfADQAXwA2AF8AMQBfADEAXwBfADUAXwBWAG8AbABhAHQAaQBsAGUAUwBvAGwAaQBkAFAAcgBvAGQAdQBjAHQAaQBvAG4AXwBUAGkAdABsAGUAXABuACAAIAA9AEwAQQBNAEIARABBACgAXAAiAFYAbwBsAGEAdABpAGwAZQAgAHMAbwBsAGkAZAAgAHAAcgBvAGQAdQBjAHQAaQBvAG4AIABwAG8AdQBsAHQAcgB5ACAAYwBsAGEAcwBzAGUAcwBcACIAKQA7AFwAbgBcAG4AVgBFAEUAUgBHAF8ANABfADYAXwAxAF8AMQBfAF8ANQBfAFYAbwBsAGEAdABpAGwAZQBTAG8AbABpAGQAUAByAG8AZAB1AGMAdABpAG8AbgBfAFYAYQByAGkAYQBiAGwAZQBcAG4AIAAgAD0ATABBAE0AQgBEAEEAKABcACIAVgBTAF8AagBrAFwAIgApADsAXABuAFwAbgBWAEUARQBSAEcAXwA0AF8ANgBfADEAXwAxAF8AXwA1AF8AVgBvAGwAYQB0AGkAbABlAFMAbwBsAGkAZABQAHIAbwBkAHUAYwB0AGkAbwBuAF8AVQBuAGkAdABcAG4AIAAgAD0ATABBAE0AQgBEAEEAKABcACIAawBnACAAVgBTAC8AYgBpAHIAZAAvAGQAYQB5AFwAIgApADsAXABuAFwAbgBWAEUARQBSAEcAXwA0AF8ANgBfADEAXwAxAF8AXwA1AF8AVgBvAGwAYQB0AGkAbABlAFMAbwBsAGkAZABQAHIAbwBkAHUAYwB0AGkAbwBuAF8AUwBvAHUAcgBjAGUAXABuACAAIAA9AEwAQQBNAEIARABBACgAXAAiAFYARQBFAFIARwAgADIAMAAyADYAOgAgADQALgA0AC4AMQAuADEALAAgAEUAcQB1AGEAdABpAG8AbgAgACgANQApAFwAIgApADsAXABuAFwAbgBWAEUARQBSAEcAXwA0AF8ANgBfADEAXwAxAF8AXwA1AF8AVgBvAGwAYQB0AGkAbABlAFMAbwBsAGkAZABQAHIAbwBkAHUAYwB0AGkAbwBuAF8ATgBJAFIAUgBlAGYAZQByAGUAbgBjAGUAXABuACAAIAA9AEwAQQBNAEIARABBACgAXAAiAFwAIgApADsAXABuAFwAbgBWAEUARQBSAEcAXwA0AF8ANgBfADEAXwAxAF8AXwA1AF8AVgBvAGwAYQB0AGkAbABlAFMAbwBsAGkAZABQAHIAbwBkAHUAYwB0AGkAbwBuAF8ATABhAHQAZQB4AEUAcQB1AGEAdABpAG8AbgBcAG4AIAAgAD0ATABBAE0AQgBEAEEAKABcACIAVgBTAF8AewBqAGsAfQA9AEkAXwB7AGoAawB9AFwAXAB0AGkAbQBlAHMAIAAoADEALQBEAE0ARABfAHsAagBrAH0AKQBcAFwAdABpAG0AZQBzACAAKAAxAC0AQQBfAHsAagB9ACkAXAAiACkAOwBcAG4AXABuAFYARQBFAFIARwBfADQAXwA2AF8AMQBfADEAXwBfADUAXwBWAG8AbABhAHQAaQBsAGUAUwBvAGwAaQBkAFAAcgBvAGQAdQBjAHQAaQBvAG4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RABNAEQAXwBqAGsAXAAiACwAXAAiAGQAcgB5ACAAbQBhAHQAdABlAHIAIABkAGkAZwBlAHMAdABpAGIAaQBsAGkAdAB5ACAAZgBvAHIAIABlAGEAYwBoACAAYwBsAGEAcwBzACAAYQBuAGQAIABzAHUAYgBjAGwAYQBzAHMAXAAiACwAIABcACIAZgByAGEAYwB0AGkAbwBuAFwAIgAsACAAXAAiAEkAbgBwAHUAdABcACIAOwBcAG4AIAAgACAAIAAgACAAIAAgACAAIABcACIAQQBfAGoAXAAiACwAXAAiAGEAcwBoACAAYwBvAG4AdABlAG4AdAAgAG8AZgAgAG0AYQBuAHUAcgBlACAAZgBvAHIAIABlAGEAYwBoACAAYwBsAGEAcwBzACAAYQBuAGQAIABzAHUAYgBjAGwAYQBzAHMAXAAiACwAIABcACIAZgByAGEAYwB0AGkAbwBuAFwAIgAsACAAXAAiAEMAbwBuAHMAdABhAG4AdABcACIAXABuACAAIAAgACAAIAAgACAAIAB9ACwAIAByACwAIABjACkAXABuACAAIAAgACAAIAAgACkAXABuACAAIAAgACAAKQBcAG4AIAAgACkAOwBcAG4AIgB9ACwAewAiAHAAYQB0AGgAIgA6ACIALwBwAHIAbwBqAGUAYwB0AHMALwBNAE0AUwBfAFAAbwB1AGwAdA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CwAVAA9ADIAfQBcAFwAdABpAG0AZQBzACgAMQAtAEUARgBfAHsAbQBUAD0AMgB9AC0ARgByAGEAYwBHAEEAUwBNAF8AewBtAFQAPQAyAH0AKQAtAE0ATgBMAGUAYQBjAGgAXwB7AE0ATQBTAH0AKQBcAFwAdABpAG0AZQBzACAAUABGAFwAbgBNAE4AXwBqAG0AVAAyACAAPQAgAG0AYQBzAHMAIABvAGYAIABOACAAaQBuACAAcwBlAGMAbwBuAGQAYQByAHkAIAB0AHIAZQBhAHQAbQBlAG4AdAAgAHMAdABhAGcAZQAgAGEAcwAgAGMAYQBsAGMAdQBsAGEAdABlAGQAIABmAG8AcgAgAG0AYQBuAHUAcgBlACAAbQBhAG4AYQBnAGUAbQBlAG4AdAAgADoAIABrAGcAIABOAFwAbgBFAEYAXwBtAFQAMgAgAD0AIABuAGkAdAByAG8AdQBzACAAbwB4AGkAZABlACAAZQBtAGkAcwBzAGkAbwBuACAAZgBhAGMAdABvAHIAIABmAG8AcgAgAGUAYQBjAGgAIABNAE0AUwAgADoAIABrAGcAIABOADIATwAtAE4ALwBrAGcAIABOAFwAbgBGAHIAYQBjAEcAQQBTAE0AXwBtAFQAMgAgAD0AIABmAHIAYQBjAHQAaQBvAG4AIABvAGYAIABhAG4AaQBtAGEAbAAgAHcAYQBzAHQAZQAgAE4AIAB2AG8AbABhAHQAaQBsAGkAcwBlAGQAIABpAG4AIABlAGEAYwBoACAATQBNAFMAIAA6ACAAKABrAGcAIABOAEgAMwAtAE4AIAArACAATgBPAHgALQBOACkALwBrAGcAIABOAFwAbgBNAE4ATABlAGEAYwBoAF8ATQBNAFMAIAA9ACAAbQBhAHMAcwAgAG8AZgAgAE4AIABsAG8AcwB0ACAAdABoAHIAbwB1AGcAaAAgAGwAZQBhAGMAaABpAG4AZwAgAGEAbgBkACAAcgB1AG4AbwBmAGYAIABmAHIAbwBtACAATQBNAFMAIAA6ACAAawBnACAATgBcAG4AUABGACAAPQAgAGYAcgBhAGMAdABpAG8AbgAgAG8AZgAgAG0AYQBuAHUAcgBlACAAYQBwAHAAbABpAGUAZAAgAHQAbwAgAHMAbwBpAGwAIAB3AGkAdABoAGkAbgAgAHQAaABlACAAZgBhAHIAbQAgAGIAbwB1AG4AZABhAHIAeQAgADoAIABmAHIAYQBjAHQAaQBvAG4AXABuAC0ALQAtAC0ALQAtAC0ALQAtAC0ALQAtAC0ALQAtAC0ALQAtAC0ALQAtAC0ALQAtAC0ALQAtAC0ALQAtAC0ALQAtAC0ALQAtAC0ALQBcAG4AKgAvAFwAbgBcAG4AVgBFAEUAUgBHAF8ANABfADYAXwAxAF8AOQBfAF8AMQBfAE0AYQBzAHMATwBmAE4AaQB0AHIAbwBnAGUAbgBBAHAAcABsAGkAZQBkAFQAbwBTAG8AaQBsAHMAUwBjAG8AcABlADEAXABuACAAIAA9AEwAQQBNAEIARABBACgAXABuACAAIAAgACAATQBOAF8AagBtAFQAMgAsACAARQBGAF8AbQBUADIALAAgAEYAcgBhAGMARwBBAFMATQBfAG0AVAAyACwAIABNAE4ATABlAGEAYwBoAF8ATQBNAFMALAAgAFAARgAsAFwAbgAgACAAIAAgACgATQBOAF8AagBtAFQAMgAgACoAIAAoADEAIAAtACAARQBGAF8AbQBUADIAIAAtACAARgByAGEAYwBHAEEAUwBNAF8AbQBUADIAKQAgAC0AIABNAE4ATABlAGEAYwBoAF8ATQBNAFMAKQAgACoAIABQAEYAXABuACAAIAApADsAXABuAFwAbgBWAEUARQBSAEcAXwA0AF8ANg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YAXwAxAF8AOQBfAF8AMQBfAE0AYQBzAHMATwBmAE4AaQB0AHIAbwBnAGUAbgBBAHAAcABsAGkAZQBkAFQAbwBTAG8AaQBsAHMAUwBjAG8AcABlADEAXwBWAGEAcgBpAGEAYgBsAGUAXABuACAAIAA9AEwAQQBNAEIARABBACgAXAAiAE0ATgBTAG8AaQBsAF8AcwBjAG8AcABlADEAXAAiACkAOwBcAG4AXABuAFYARQBFAFIARwBfADQAXwA2AF8AMQBfADkAXwBfADEAXwBNAGEAcwBzAE8AZgBOAGkAdAByAG8AZwBlAG4AQQBwAHAAbABpAGUAZABUAG8AUwBvAGkAbABzAFMAYwBvAHAAZQAxAF8AVQBuAGkAdABcAG4AIAAgAD0ATABBAE0AQgBEAEEAKABcACIAawBnACAATgBcACIAKQA7AFwAbgBcAG4AVgBFAEUAUgBHAF8ANABfADYAXwAxAF8AOQBfAF8AMQBfAE0AYQBzAHMATwBmAE4AaQB0AHIAbwBnAGUAbgBBAHAAcABsAGkAZQBkAFQAbwBTAG8AaQBsAHMAUwBjAG8AcABlADEAXwBTAG8AdQByAGMAZQBcAG4AIAAgAD0ATABBAE0AQgBEAEEAKABcACIAVgBFAEUAUgBHACAAMgAwADIANgA6ACAANAAuADYALgAxAC4AOQAsACAARQBxAHUAYQB0AGkAbwBuACAAKAAxACkAXAAiACkAOwBcAG4AXABuAFYARQBFAFIARwBfADQAXwA2AF8AMQBfADkAXwBfADEAXwBNAGEAcwBzAE8AZgBOAGkAdAByAG8AZwBlAG4AQQBwAHAAbABpAGUAZABUAG8AUwBvAGkAbABzAFMAYwBvAHAAZQAxAF8ATgBJAFIAUgBlAGYAZQByAGUAbgBjAGUAXABuACAAIAA9AEwAQQBNAEIARABBACgAXAAiAFwAIgApADsAXABuAFwAbgBWAEUARQBSAEcAXwA0AF8ANg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CIAKQA7AFwAbgBcAG4AVgBFAEUAUgBHAF8ANABfADY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zAGUAYwBvAG4AZABhAHIAeQAgAHQAcgBlAGEAdABtAGUAbgB0ACAAcwB0AGEAZwBlACAAYQBzACAAYwBhAGwAYwB1AGwAYQB0AGUAZAAgAGYAbwByACAAbQBhAG4AdQByAGUAIABtAGEAbgBhAGcAZQBtAGUAbgB0AFwAIgAsACAAXAAiAGsAZwAgAE4AXAAiACwAIABcACIAQwBhAGwAYwB1AGwAYQB0AGUAZAAgAGYAcgBvAG0AIAA0AC4ANgAuADEALgAzACAAKAA2ACkAXAAiADsAXABuACAAIAAgACAAIAAgACAAIAAgACAAXAAiAEUARgBfAG0AVAAyAFwAIgAsAFwAIgBuAGkAdAByAG8AdQBzACAAbwB4AGkAZABlACAAZQBtAGkAcwBzAGkAbwBuACAAZgBhAGMAdABvAHIAIABmAG8AcgAgAGUAYQBjAGgAIABNAE0AUw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BcACIALAAgAFwAIgAoAGsAZwAgAE4ASAAzAC0ATgAgACsAIABOAE8AeAAtAE4AKQAvAGsAZwAgAE4AXAAiACwAIABcACIAQwBvAG4AcwB0AGEAbgB0AFwAIgA7AFwAbgAgACAAIAAgACAAIAAgACAAIAAgAFwAIgBNAE4ATABlAGEAYwBoAF8ATQBNAFMAXAAiACwAXAAiAG0AYQBzAHMAIABvAGYAIABOACAAbABvAHMAdAAgAHQAaAByAG8AdQBnAGgAIABsAGUAYQBjAGgAaQBuAGcAIABhAG4AZAAgAHIAdQBuAG8AZgBmACAAZgByAG8AbQAgAE0ATQBTAFwAIgAsACAAXAAiAGsAZwAgAE4AXAAiACwAIABcACIAQwBhAGwAYwB1AGwAYQB0AGUAZAAgAGYAcgBvAG0AIAA0AC4ANgAuADEALgA3ACAAKAAyACkAXAAiADsAXABuACAAIAAgACAAIAAgACAAIAAgACAAXAAiAFAARgBcACIALABcACIAZgByAGEAYwB0AGkAbwBuACAAbwBmACAAbQBhAG4AdQByAGUAIABhAHAAcABsAGkAZQBkACAAdABvACAAcwBvAGkAbAAgAHcAaQB0AGgAaQBuACAAdABoAGUAIABmAGEAcgBtACAAYgBvAHUAbgBkAGEAcgB5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KABNAE4AXwB7AGoAbQAsAFQAPQAyAH0AXABcAHQAaQBtAGUAcwAoADEALQBFAEYAXwB7AG0AVAA9ADIAfQAtAEYAcgBhAGMARwBBAFMATQBfAHsAbQBUAD0AMgB9ACkALQBNAE4ATABlAGEAYwBoAF8AewBNAE0AUwB9ACkAXABcAHQAaQBtAGUAcwAoADEALQBQAEYAKQ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IAXwBNAGEAcwBzAE8AZgBOAGkAdAByAG8AZwBlAG4AQQBwAHAAbABpAGUAZABUAG8AUwBvAGkAbABzAFMAYwBvAHAAZQAz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KAAxACAALQAgAFAARgApAFwAbgAgACAAKQA7AFwAbgBcAG4AVgBFAEUAUgBHAF8ANABfADY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2AF8AMQBfADkAXwBfADIAXwBNAGEAcwBzAE8AZgBOAGkAdAByAG8AZwBlAG4AQQBwAHAAbABpAGUAZABUAG8AUwBvAGkAbABzAFMAYwBvAHAAZQAzAF8AVgBhAHIAaQBhAGIAbABlAFwAbgAgACAAPQBMAEEATQBCAEQAQQAoAFwAIgBNAE4AUwBvAGkAbABfAHMAYwBvAHAAZQAzAFwAIgApADsAXABuAFwAbgBWAEUARQBSAEcAXwA0AF8ANgBfADEAXwA5AF8AXwAyAF8ATQBhAHMAcwBPAGYATgBpAHQAcgBvAGcAZQBuAEEAcABwAGwAaQBlAGQAVABvAFMAbwBpAGwAcwBTAGMAbwBwAGUAMwBfAFUAbgBpAHQAXABuACAAIAA9AEwAQQBNAEIARABBACgAXAAiAGsAZwAgAE4AXAAiACkAOwBcAG4AXABuAFYARQBFAFIARwBfADQAXwA2AF8AMQBfADkAXwBfADIAXwBNAGEAcwBzAE8AZgBOAGkAdAByAG8AZwBlAG4AQQBwAHAAbABpAGUAZABUAG8AUwBvAGkAbABzAFMAYwBvAHAAZQAzAF8AUwBvAHUAcgBjAGUAXABuACAAIAA9AEwAQQBNAEIARABBACgAXAAiAFYARQBFAFIARwAgADIAMAAyADYAOgAgADQALgA2AC4AMQAuADkALAAgAEUAcQB1AGEAdABpAG8AbgAgACgAMgApAFwAIgApADsAXABuAFwAbgBWAEUARQBSAEcAXwA0AF8ANgBfADEAXwA5AF8AXwAyAF8ATQBhAHMAcwBPAGYATgBpAHQAcgBvAGcAZQBuAEEAcABwAGwAaQBlAGQAVABvAFMAbwBpAGwAcwBTAGMAbwBwAGUAMwBfAE4ASQBSAFIAZQBmAGUAcgBlAG4AYwBlAFwAbgAgACAAPQBMAEEATQBCAEQAQQAoAFwAIgBcACIAKQA7AFwAbgBcAG4AVgBFAEUAUgBHAF8ANABfADY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AiACkAOwBcAG4AXABuAFYARQBFAFIARwBfADQAXwA2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wACAATQBlAHQAaABvAGQAIAAxACAALQAgAFMAbwBpAGw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ABfAF8AMQBfAEQAaQByAGUAYwB0AE4AaQB0AHIAbwB1AHMATwB4AGkAZABlAEUAbQBpAHMAcwBpAG8AbgBzAEYAcgBvAG0AUABvAHUAbAB0AHIAeQBNAGEAbgB1AHIAZQBcAG4ARABpAHIAZQBjAHQAIABuAGkAdAByAG8AdQBzACAAbwB4AGkAZABlACAAZQBtAGkAcwBzAGkAbwBuAHMAIABmAHIAbwBtACAAcABvAHUAbAB0AHIAeQAgAG0AYQBuAHUAcgBlACAAbwBuACAAcABhAHMAdAB1AHIAZQBcAG4ARQBNAF8ATgAyAE8AUABSAFAAZABpAHIAXABuAHQAIABOADIATwBcAG4ARQBNAF8AewBOADIATwAsAFAAUgBQACwAZABpAHIAfQA9AFwAXABzAHUAbQBfAHsAagB9AFwAXABzAHUAbQBfAHsAawB9ACgATQBOAF8AewBqAGsAbQA9ADEANAAsAFQAPQAxAH0AXABcAHQAaQBtAGUAcwAgAEUARgBfAHsAUABSAFAAfQBcAFwAdABpAG0AZQBzACAAQwBfAHsATgAyAE8AfQApAFwAXAB0AGkAbQBlAHMAIAAxADAAXgB7AC0AMwB9AFwAbgBNAE4AXwBqAGsAbQAxADQAVAAxACAAPQAgAG0AYQBzAHMAIABvAGYAIABuAGkAdAByAG8AZwBlAG4AIABlAHgAYwByAGUAdABlAGQAIABkAGkAcgBlAGMAdABsAHkAIABvAG4AIABwAGEAcwB0AHUAcgBlACAAYgB5ACAAcABvAHUAbAB0AHIAeQAgAGMAbABhAHMAcwAgAGEAbgBkACAAcwB1AGIAYwBsAGEAcwBzACAAKABrAGcAIABOACkAXABuAEUARgBfAFAAUgBQACAAPQAgAG4AaQB0AHIAbwB1AHMAIABvAHgAaQBkAGUAIABlAG0AaQBzAHMAaQBvAG4AIABmAGEAYwB0AG8AcgAgAGYAbwByACAAbQBhAG4AdQByAGUAIABkAGUAcABvAHMAaQB0AGUAZAAgAG8AbgAgAHAAYQBzAHQAdQByAGU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wAF8AXwAxAF8ARABpAHIAZQBjAHQATgBpAHQAcgBvAHUAcwBPAHgAaQBkAGUARQBtAGkAcwBzAGkAbwBuAHMARgByAG8AbQBQAG8AdQBsAHQAcgB5AE0AYQBuAHUAcgBlAFwAbgAgACAAPQBMAEEATQBCAEQAQQAoAFwAbgAgACAAIAAgAE0ATgBfAGoAawBtADEANABUADEALAAgAEUARgBfAFAAUgBQACwAIABDAF8ATgAyAE8ALABcAG4AIAAgACAAIABNAE4AXwBqAGsAbQAxADQAVAAxACAAKgAgAEUARgBfAFAAUgBQACAAKgAgAEMAXwBOADIATwAgACoAIAAxADAAIABeACAALQAzAFwAbgAgACAAKQA7AFwAbgBcAG4AVgBFAEUAUgBHAF8ANABfADYAXwAxAF8AMQAwAF8AXwAxAF8ARABpAHIAZQBjAHQATgBpAHQAcgBvAHUAcwBPAHgAaQBkAGUARQBtAGkAcwBzAGkAbwBuAHMARgByAG8AbQBQAG8AdQBsAHQAcgB5AE0AYQBuAHUAcgBlAF8AVABpAHQAbABlAFwAbgAgACAAPQBMAEEATQBCAEQAQQAoAFwAIgBEAGkAcgBlAGMAdAAgAG4AaQB0AHIAbwB1AHMAIABvAHgAaQBkAGUAIABlAG0AaQBzAHMAaQBvAG4AcwAgAGYAcgBvAG0AIABwAG8AdQBsAHQAcgB5ACAAbQBhAG4AdQByAGUAIABvAG4AIABwAGEAcwB0AHUAcgBlAFwAIgApADsAXABuAFwAbgBWAEUARQBSAEcAXwA0AF8ANgBfADEAXwAxADAAXwBfADEAXwBEAGkAcgBlAGMAdABOAGkAdAByAG8AdQBzAE8AeABpAGQAZQBFAG0AaQBzAHMAaQBvAG4AcwBGAHIAbwBtAFAAbwB1AGwAdAByAHkATQBhAG4AdQByAGUAXwBWAGEAcgBpAGEAYgBsAGUAXABuACAAIAA9AEwAQQBNAEIARABBACgAXAAiAEUATQBfAE4AMgBPAFAAUgBQAGQAaQByAFwAIgApADsAXABuAFwAbgBWAEUARQBSAEcAXwA0AF8ANgBfADEAXwAxADAAXwBfADEAXwBEAGkAcgBlAGMAdABOAGkAdAByAG8AdQBzAE8AeABpAGQAZQBFAG0AaQBzAHMAaQBvAG4AcwBGAHIAbwBtAFAAbwB1AGwAdAByAHkATQBhAG4AdQByAGUAXwBVAG4AaQB0AFwAbgAgACAAPQBMAEEATQBCAEQAQQAoAFwAIgB0ACAATgAyAE8AXAAiACkAOwBcAG4AXABuAFYARQBFAFIARwBfADQAXwA2AF8AMQBfADEAMABfAF8AMQBfAEQAaQByAGUAYwB0AE4AaQB0AHIAbwB1AHMATwB4AGkAZABlAEUAbQBpAHMAcwBpAG8AbgBzAEYAcgBvAG0AUABvAHUAbAB0AHIAeQBNAGEAbgB1AHIAZQBfAFMAbwB1AHIAYwBlAFwAbgAgACAAPQBMAEEATQBCAEQAQQAoAFwAIgBWAEUARQBSAEcAIAAyADAAMgA2ADoAIAA0AC4ANgAuADEALgAxADAALAAgAEUAcQB1AGEAdABpAG8AbgAgACgAMQApAFwAIgApADsAXABuAFwAbgBWAEUARQBSAEcAXwA0AF8ANgBfADEAXwAxADAAXwBfADEAXwBEAGkAcgBlAGMAdABOAGkAdAByAG8AdQBzAE8AeABpAGQAZQBFAG0AaQBzAHMAaQBvAG4AcwBGAHIAbwBtAFAAbwB1AGwAdAByAHkATQBhAG4AdQByAGUAXwBOAEkAUgBSAGUAZgBlAHIAZQBuAGMAZQBcAG4AIAAgAD0ATABBAE0AQgBEAEEAKABcACIAXAAiACkAOwBcAG4AXABuAFYARQBFAFIARwBfADQAXwA2AF8AMQBfADEAMABfAF8AMQBfAEQAaQByAGUAYwB0AE4AaQB0AHIAbwB1AHMATwB4AGkAZABlAEUAbQBpAHMAcwBpAG8AbgBzAEYAcgBvAG0AUABvAHUAbAB0AHIAeQBNAGEAbgB1AHIAZQBfAEwAYQB0AGUAeABFAHEAdQBhAHQAaQBvAG4AXABuACAAIAA9AEwAQQBNAEIARABBACgAXAAiAEUATQBfAHsATgAyAE8ALABQAFIAUAAsAGQAaQByAH0APQBcAFwAcwB1AG0AXwB7AGoAfQBcAFwAcwB1AG0AXwB7AGsAfQAoAE0ATgBfAHsAagBrAG0APQAxADQALABUAD0AMQB9AFwAXAB0AGkAbQBlAHMAIABFAEYAXwB7AFAAUgBQAH0AXABcAHQAaQBtAGUAcwAgAEMAXwB7AE4AMgBPAH0AKQBcAFwAdABpAG0AZQBzACAAMQAwAF4AewAtADMAfQBcACIAKQA7AFwAbgBcAG4AVgBFAEUAUgBHAF8ANABfADYAXwAxAF8AMQAwAF8AXwAxAF8ARABpAHIAZQBjAHQATgBpAHQAcgBvAHUAcwBPAHgAaQBkAGUARQBtAGkAcwBzAGkAbwBuAHMARgByAG8AbQBQAG8AdQBsAHQAcgB5AE0AYQBuAHUAcgBlAF8AQQByAGcAdQBtAGUAbgB0AHMAXABuACAAIAA9AEwAQQBNAEIARABBACgAXABuACAAIAAgACAATQBBAEsARQBBAFIAUgBBAFkAKAAz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QBGAF8AUABSAFAAXAAiACwAIABcACIAbgBpAHQAcgBvAHUAcwAgAG8AeABpAGQAZQAgAGUAbQBpAHMAcwBpAG8AbgAgAGYAYQBjAHQAbwByACAAZgBvAHIAIABtAGEAbgB1AHIAZQAgAGQAZQBwAG8AcwBpAHQAZQBkACAAbwBuACAAcABhAHMAdAB1AHIAZQ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IgB9ACwAewAiAHAAYQB0AGgAIgA6ACIALwBwAHIAbwBqAGUAYwB0AHMALwBNAE0AUwBfAFAAbwB1AGwAdA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gAgAE0AZQB0AGgAbwBkACAAMQAgAC0AIABTAG8AaQBsACAAQQB0AG0AbwBzAHAAaABlAHIAaQBjACAARABlAHAAbwBzAGkAdABpAG8Ab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gBfAF8AMQBfAEEAdABtAG8AcwBwAGgAZQByAGkAYwBEAGUAcABvAHMAaQB0AGkAbwBuAEUAbQBpAHMAcwBpAG8AbgBzAEYAcgBvAG0AUABvAHUAbAB0AHIAeQBNAGEAbgB1AHIAZQBPAG4AUABhAHMAdAB1AHIAZQBcAG4AQQB0AG0AbwBzAHAAaABlAHIAaQBjACAAZABlAHAAbwBzAGkAdABpAG8AbgAgAGUAbQBpAHMAcwBpAG8AbgBzACAAZgByAG8AbQAgAHAAbwB1AGwAdAByAHkAIABtAGEAbgB1AHIAZQ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tAGEAbgB1AHIAZQAgAGQAZQBwAG8AcwBpAHQAZQBkACAAbwBuACAAcABhAHMAdAB1AHIAZQAgACgAawBnACAATgApAFwAbgBFAEYAXwBOADIATwAgAD0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yAF8AXwAxAF8AQQB0AG0AbwBzAHAAaABlAHIAaQBjAEQAZQBwAG8AcwBpAHQAaQBvAG4ARQBtAGkAcwBzAGkAbwBuAHMARgByAG8AbQBQAG8AdQBsAHQAcgB5AE0AYQBuAHUAcgBl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NgBfADEAXwAxADIAXwBfADEAXwBBAHQAbQBvAHMAcABoAGUAcgBpAGMARABlAHAAbwBzAGkAdABpAG8AbgBFAG0AaQBzAHMAaQBvAG4AcwBGAHIAbwBtAFAAbwB1AGwAdAByAHkATQBhAG4AdQByAGUATwBuAFAAYQBzAHQAdQByAGUAXwBUAGkAdABsAGUAXABuACAAIAA9AEwAQQBNAEIARABBACgAXAAiAEEAdABtAG8AcwBwAGgAZQByAGkAYwAgAGQAZQBwAG8AcwBpAHQAaQBvAG4AIABlAG0AaQBzAHMAaQBvAG4AcwAgAGYAcgBvAG0AIABwAG8AdQBsAHQAcgB5ACAAbQBhAG4AdQByAGUAIABkAGUAcABvAHMAaQB0AGUAZAAgAG8AbgAgAHAAYQBzAHQAdQByAGUAXAAiACkAOwBcAG4AXABuAFYARQBFAFIARwBfADQAXwA2AF8AMQBfADEAMgBfAF8AMQBfAEEAdABtAG8AcwBwAGgAZQByAGkAYwBEAGUAcABvAHMAaQB0AGkAbwBuAEUAbQBpAHMAcwBpAG8AbgBzAEYAcgBvAG0AUABvAHUAbAB0AHIAeQBNAGEAbgB1AHIAZQBPAG4AUABhAHMAdAB1AHIAZQBfAFYAYQByAGkAYQBiAGwAZQBcAG4AIAAgAD0ATABBAE0AQgBEAEEAKABcACIARQBfAE4AMgBPAGEAZABcACIAKQA7AFwAbgBcAG4AVgBFAEUAUgBHAF8ANABfADYAXwAxAF8AMQAyAF8AXwAxAF8AQQB0AG0AbwBzAHAAaABlAHIAaQBjAEQAZQBwAG8AcwBpAHQAaQBvAG4ARQBtAGkAcwBzAGkAbwBuAHMARgByAG8AbQBQAG8AdQBsAHQAcgB5AE0AYQBuAHUAcgBlAE8AbgBQAGEAcwB0AHUAcgBlAF8AVQBuAGkAdABcAG4AIAAgAD0ATABBAE0AQgBEAEEAKABcACIAdAAgAE4AMgBPAFwAIgApADsAXABuAFwAbgBWAEUARQBSAEcAXwA0AF8ANgBfADEAXwAxADIAXwBfADEAXwBBAHQAbQBvAHMAcABoAGUAcgBpAGMARABlAHAAbwBzAGkAdABpAG8AbgBFAG0AaQBzAHMAaQBvAG4AcwBGAHIAbwBtAFAAbwB1AGwAdAByAHkATQBhAG4AdQByAGUATwBuAFAAYQBzAHQAdQByAGUAXwBTAG8AdQByAGMAZQBcAG4AIAAgAD0ATABBAE0AQgBEAEEAKABcACIAVgBFAEUAUgBHACAAMgAwADIANgA6ACAANAAuADYALgAxAC4AMQAyACwAIABFAHEAdQBhAHQAaQBvAG4AIAAoADEAKQBcACIAKQA7AFwAbgBcAG4AVgBFAEUAUgBHAF8ANABfADYAXwAxAF8AMQAyAF8AXwAxAF8AQQB0AG0AbwBzAHAAaABlAHIAaQBjAEQAZQBwAG8AcwBpAHQAaQBvAG4ARQBtAGkAcwBzAGkAbwBuAHMARgByAG8AbQBQAG8AdQBsAHQAcgB5AE0AYQBuAHUAcgBlAE8AbgBQAGEAcwB0AHUAcgBlAF8ATgBJAFIAUgBlAGYAZQByAGUAbgBjAGUAXABuACAAIAA9AEwAQQBNAEIARABBACgAXAAiAFwAIgApADsAXABuAFwAbgBWAEUARQBSAEcAXwA0AF8ANgBfADEAXwAxADIAXwBfADEAXwBBAHQAbQBvAHMAcABoAGUAcgBpAGMARABlAHAAbwBzAGkAdABpAG8AbgBFAG0AaQBzAHMAaQBvAG4AcwBGAHIAbwBtAFAAbwB1AGwAdAByAHkATQBhAG4AdQByAGU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YAXwAxAF8AMQAyAF8AXwAxAF8AQQB0AG0AbwBzAHAAaABlAHIAaQBjAEQAZQBwAG8AcwBpAHQAaQBvAG4ARQBtAGkAcwBzAGkAbwBuAHM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bQBhAG4AdQByAGUAIABkAGUAcABvAHMAaQB0AGUAZAAgAG8AbgAgAHAAYQBzAHQAdQByAGUAXAAiACwAXAAiAGsAZwAgAE4AXAAiACwAIABcACIAQwBhAGwAYwB1AGwAYQB0AGUAZAAgAGYAcgBvAG0AIAA0AC4ANgAuADEALgAxADIAIAAoADIAKQBcACIAOwBcAG4AIAAgACAAIAAgACAAIAAgACAAIABcACIARQBGAF8ATgAyAE8AXAAiACwAIABcACIAZQBtAGkAcwBzAGkAbwBuACAAZgBhAGMAdABvAHIAIABmAG8AcgAgAGEAdABtAG8AcwBwAGgAZQByAGkAYwAgAGQAZQBwAG8AcwBpAHQAaQBvAG4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EAMgBfAF8AMgBfAE0AYQBzAHMATwBmAE4AaQB0AHIAbwBnAGUAbgBWAG8AbABhAHQAaQBsAGkAcwBlAGQARgByAG8AbQBQAG8AdQBsAHQAcgB5AE0AYQBuAHUAcgBlAE8AbgBQAGEAcwB0AHUAcgBlAFwAbgBNAGEAcwBzACAAbwBmACAAbgBpAHQAcgBvAGcAZQBuACAAdgBvAGwAYQB0AGkAbABpAHMAZQBkACAAZgByAG8AbQAgAHAAbwB1AGwAdAByAHkAIABtAGEAbgB1AHIAZQAgAGQAZQBwAG8AcwBpAHQAZQBkACAAbwBuACAAcABhAHMAdAB1AHIAZQBcAG4ATQBfAHYAbwBsAF8AbQAxADQAXABuAGsAZwAgAE4AXABuAE0AXwB7AHYAbwBsACwAbQA9ADEANAB9AD0ATQBOAF8AewBqAGsAbQA9ADEANAAsAFQAPQAxAH0AXABcAHQAaQBtAGUAcwAgAEYAcgBhAGMARwBBAFMATQBzAG8AaQBsAFwAbgBNAE4AXwBqAGsAbQAxADQAVAAxACAAPQAgAG0AYQBzAHMAIABvAGYAIABuAGkAdAByAG8AZwBlAG4AIABlAHgAYwByAGUAdABlAGQAIABkAGkAcgBlAGMAdABsAHkAIABvAG4AIABwAGEAcwB0AHUAcgBlACAAYgB5ACAAcABvAHUAbAB0AHIAeQAgAGMAbABhAHMAcwAgAGEAbgBkACAAcwB1AGIAYwBsAGEAcwBzACAAKABrAGcAIABOACkAXABuAEYAcgBhAGMARwBBAFMATQBzAG8AaQBsACAAPQAgAGYAcgBhAGMAdABpAG8AbgAgAG8AZgAgAG4AaQB0AHIAbwBnAGUAbgAgAHYAbwBsAGEAdABpAGwAaQBzAGUAZAAgAGYAcgBvAG0AIABtAGEAbgB1AHIAZQAgAGQAZQBwAG8AcwBpAHQAZQBkACAAbwBuACAAcABhAHMAdAB1AHIAZQAgACgAKABrAGcAIABOAEgAMwAtAE4AIAArACAATgBPAHgALQBOACkALwBrAGcAIABOACkAXABuAC0ALQAtAC0ALQAtAC0ALQAtAC0ALQAtAC0ALQAtAC0ALQAtAC0ALQAtAC0ALQAtAC0ALQAtAC0ALQAtAC0ALQAtAC0ALQAtAC0ALQBcAG4AKgAvAFwAbgBcAG4AVgBFAEUAUgBHAF8ANABfADYAXwAxAF8AMQAyAF8AXwAyAF8ATQBhAHMAcwBPAGYATgBpAHQAcgBvAGcAZQBuAFYAbwBsAGEAdABpAGwAaQBzAGUAZABGAHIAbwBtAFAAbwB1AGwAdAByAHkATQBhAG4AdQByAGUATwBuAFAAYQBzAHQAdQByAGUAXABuACAAIAA9AEwAQQBNAEIARABBACgAXABuACAAIAAgACAATQBOAF8AagBrAG0AMQA0AFQAMQAsACAARgByAGEAYwBHAEEAUwBNAHMAbwBpAGwALABcAG4AIAAgACAAIABNAE4AXwBqAGsAbQAxADQAVAAxACAAKgAgAEYAcgBhAGMARwBBAFMATQBzAG8AaQBsAFwAbgAgACAAKQA7AFwAbgBcAG4AVgBFAEUAUgBHAF8ANABfADYAXwAxAF8AMQAyAF8AXwAyAF8ATQBhAHMAcwBPAGYATgBpAHQAcgBvAGcAZQBuAFYAbwBsAGEAdABpAGwAaQBzAGUAZABGAHIAbwBtAFAAbwB1AGwAdAByAHkATQBhAG4AdQByAGUATwBuAFAAYQBzAHQAdQByAGUAXwBUAGkAdABsAGUAXABuACAAIAA9AEwAQQBNAEIARABBACgAXAAiAE0AYQBzAHMAIABvAGYAIABuAGkAdAByAG8AZwBlAG4AIAB2AG8AbABhAHQAaQBsAGkAcwBlAGQAIABmAHIAbwBtACAAcABvAHUAbAB0AHIAeQAgAG0AYQBuAHUAcgBlACAAZABlAHAAbwBzAGkAdABlAGQAIABvAG4AIABwAGEAcwB0AHUAcgBlAFwAIgApADsAXABuAFwAbgBWAEUARQBSAEcAXwA0AF8ANgBfADEAXwAxADIAXwBfADIAXwBNAGEAcwBzAE8AZgBOAGkAdAByAG8AZwBlAG4AVgBvAGwAYQB0AGkAbABpAHMAZQBkAEYAcgBvAG0AUABvAHUAbAB0AHIAeQBNAGEAbgB1AHIAZQBPAG4AUABhAHMAdAB1AHIAZQBfAFYAYQByAGkAYQBiAGwAZQBcAG4AIAAgAD0ATABBAE0AQgBEAEEAKABcACIATQBfAHYAbwBsAF8AbQAxADQAXAAiACkAOwBcAG4AXABuAFYARQBFAFIARwBfADQAXwA2AF8AMQBfADEAMgBfAF8AMgBfAE0AYQBzAHMATwBmAE4AaQB0AHIAbwBnAGUAbgBWAG8AbABhAHQAaQBsAGkAcwBlAGQARgByAG8AbQBQAG8AdQBsAHQAcgB5AE0AYQBuAHUAcgBlAE8AbgBQAGEAcwB0AHUAcgBlAF8AVQBuAGkAdABcAG4AIAAgAD0ATABBAE0AQgBEAEEAKABcACIAawBnACAATgBcACIAKQA7AFwAbgBcAG4AVgBFAEUAUgBHAF8ANABfADYAXwAxAF8AMQAyAF8AXwAyAF8ATQBhAHMAcwBPAGYATgBpAHQAcgBvAGcAZQBuAFYAbwBsAGEAdABpAGwAaQBzAGUAZABGAHIAbwBtAFAAbwB1AGwAdAByAHkATQBhAG4AdQByAGUATwBuAFAAYQBzAHQAdQByAGUAXwBTAG8AdQByAGMAZQBcAG4AIAAgAD0ATABBAE0AQgBEAEEAKABcACIAVgBFAEUAUgBHACAAMgAwADIANgA6ACAANAAuADYALgAxAC4AMQAyACwAIABFAHEAdQBhAHQAaQBvAG4AIAAoADIAKQBcACIAKQA7AFwAbgBcAG4AVgBFAEUAUgBHAF8ANABfADYAXwAxAF8AMQAyAF8AXwAyAF8ATQBhAHMAcwBPAGYATgBpAHQAcgBvAGcAZQBuAFYAbwBsAGEAdABpAGwAaQBzAGUAZABGAHIAbwBtAFAAbwB1AGwAdAByAHkATQBhAG4AdQByAGUATwBuAFAAYQBzAHQAdQByAGUAXwBOAEkAUgBSAGUAZgBlAHIAZQBuAGMAZQBcAG4AIAAgAD0ATABBAE0AQgBEAEEAKABcACIAXAAiACkAOwBcAG4AXABuAFYARQBFAFIARwBfADQAXwA2AF8AMQBfADEAMgBfAF8AMgBfAE0AYQBzAHMATwBmAE4AaQB0AHIAbwBnAGUAbgBWAG8AbABhAHQAaQBsAGkAcwBlAGQARgByAG8AbQBQAG8AdQBsAHQAcgB5AE0AYQBuAHUAcgBlAE8AbgBQAGEAcwB0AHUAcgBlAF8ATABhAHQAZQB4AEUAcQB1AGEAdABpAG8AbgBcAG4AIAAgAD0ATABBAE0AQgBEAEEAKABcACIATQBfAHsAdgBvAGwALABtAD0AMQA0AH0APQBcAFwAcwB1AG0AXwB7AGoAfQBcAFwAcwB1AG0AXwB7AGsAfQAoAE0ATgBfAHsAagBrAG0APQAxADQALABUAD0AMQB9AFwAXAB0AGkAbQBlAHMAIABGAHIAYQBjAEcAQQBTAE0AcwBvAGkAbAApAFwAIgApADsAXABuAFwAbgBWAEUARQBSAEcAXwA0AF8ANgBfADEAXwAxADIAXwBfADIAXwBNAGEAcwBzAE8AZgBOAGkAdAByAG8AZwBlAG4AVgBvAGwAYQB0AGkAbABpAHMAZQBkAEYAcgBvAG0AUABvAHUAbAB0AHIAeQBNAGEAbgB1AHIAZQ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RwBBAFMATQBzAG8AaQBsAFwAIgAsACAAXAAiAGYAcgBhAGMAdABpAG8AbgAgAG8AZgAgAG4AaQB0AHIAbwBnAGUAbgAgAHYAbwBsAGEAdABpAGwAaQBzAGUAZAAgAGYAcgBvAG0AIABtAGEAbgB1AHIAZQAgAGQAZQBwAG8AcwBpAHQAZQBkACAAbwBuACAAcABhAHMAdAB1AHIAZQ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FMAbwBpAGw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NAAgAE0AZQB0AGgAbwBkACAAMQAgAC0AIABTAG8AaQBsACAATABlAGEAYwBoAGkAbgBnACAAQ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NABfAF8AMQBfAEwAZQBhAGMAaABpAG4AZwBBAG4AZABSAHUAbgBvAGYAZgBFAG0AaQBzAHMAaQBvAG4AcwBGAHIAbwBtAFAAbwB1AGwAdAByAHkATQBhAG4AdQByAGUATwBuAFAAYQBzAHQAdQByAGUAXABuAEwAZQBhAGMAaABpAG4AZwAgAGEAbgBkACAAcgB1AG4AbwBmAGYAIABlAG0AaQBzAHMAaQBvAG4AcwAgAGYAcgBvAG0AIABwAG8AdQBsAHQAcgB5ACAAbQBhAG4AdQByAGU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wAG8AdQBsAHQAcgB5ACAAbQBhAG4AdQByAGUAIABkAGUAcABvAHMAaQB0AGUAZAAgAG8AbgAgAHAAYQBzAHQAdQByAGU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QAXwBfADEAXwBMAGUAYQBjAGgAaQBuAGcAQQBuAGQAUgB1AG4AbwBmAGYARQBtAGkAcwBzAGkAbwBuAHMARgByAG8AbQBQAG8AdQBsAHQAcgB5AE0AYQBuAHUAcgBl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YAXwAxAF8AMQA0AF8AXwAxAF8ATABlAGEAYwBoAGkAbgBnAEEAbgBkAFIAdQBuAG8AZgBmAEUAbQBpAHMAcwBpAG8AbgBzAEYAcgBvAG0AUABvAHUAbAB0AHIAeQBNAGEAbgB1AHIAZQBPAG4AUABhAHMAdAB1AHIAZQBfAFQAaQB0AGwAZQBcAG4AIAAgAD0ATABBAE0AQgBEAEEAKABcACIATABlAGEAYwBoAGkAbgBnACAAYQBuAGQAIAByAHUAbgBvAGYAZgAgAGUAbQBpAHMAcwBpAG8AbgBzACAAZgByAG8AbQAgAHAAbwB1AGwAdAByAHkAIABtAGEAbgB1AHIAZQAgAGQAZQBwAG8AcwBpAHQAZQBkACAAbwBuACAAcABhAHMAdAB1AHIAZQBcACIAKQA7AFwAbgBcAG4AVgBFAEUAUgBHAF8ANABfADYAXwAxAF8AMQA0AF8AXwAxAF8ATABlAGEAYwBoAGkAbgBnAEEAbgBkAFIAdQBuAG8AZgBmAEUAbQBpAHMAcwBpAG8AbgBzAEYAcgBvAG0AUABvAHUAbAB0AHIAeQBNAGEAbgB1AHIAZQBPAG4AUABhAHMAdAB1AHIAZQBfAFYAYQByAGkAYQBiAGwAZQBcAG4AIAAgAD0ATABBAE0AQgBEAEEAKABcACIARQBfAE4AMgBPAGwAZQBhAGMAaABcACIAKQA7AFwAbgBcAG4AVgBFAEUAUgBHAF8ANABfADYAXwAxAF8AMQA0AF8AXwAxAF8ATABlAGEAYwBoAGkAbgBnAEEAbgBkAFIAdQBuAG8AZgBmAEUAbQBpAHMAcwBpAG8AbgBzAEYAcgBvAG0AUABvAHUAbAB0AHIAeQBNAGEAbgB1AHIAZQBPAG4AUABhAHMAdAB1AHIAZQBfAFUAbgBpAHQAXABuACAAIAA9AEwAQQBNAEIARABBACgAXAAiAHQAIABOADIATwBcACIAKQA7AFwAbgBcAG4AVgBFAEUAUgBHAF8ANABfADYAXwAxAF8AMQA0AF8AXwAxAF8ATABlAGEAYwBoAGkAbgBnAEEAbgBkAFIAdQBuAG8AZgBmAEUAbQBpAHMAcwBpAG8AbgBzAEYAcgBvAG0AUABvAHUAbAB0AHIAeQBNAGEAbgB1AHIAZQBPAG4AUABhAHMAdAB1AHIAZQBfAFMAbwB1AHIAYwBlAFwAbgAgACAAPQBMAEEATQBCAEQAQQAoAFwAIgBWAEUARQBSAEcAIAAyADAAMgA2ADoAIAA0AC4ANgAuADEALgAxADQALAAgAEUAcQB1AGEAdABpAG8AbgAgACgAMQApAFwAIgApADsAXABuAFwAbgBWAEUARQBSAEcAXwA0AF8ANgBfADEAXwAxADQAXwBfADEAXwBMAGUAYQBjAGgAaQBuAGcAQQBuAGQAUgB1AG4AbwBmAGYARQBtAGkAcwBzAGkAbwBuAHMARgByAG8AbQBQAG8AdQBsAHQAcgB5AE0AYQBuAHUAcgBlAE8AbgBQAGEAcwB0AHUAcgBlAF8ATgBJAFIAUgBlAGYAZQByAGUAbgBjAGUAXABuACAAIAA9AEwAQQBNAEIARABBACgAXAAiAFwAIgApADsAXABuAFwAbgBWAEUARQBSAEcAXwA0AF8ANgBfADEAXwAxADQAXwBfADEAXwBMAGUAYQBjAGgAaQBuAGcAQQBuAGQAUgB1AG4AbwBmAGYARQBtAGkAcwBzAGkAbwBuAHMARgByAG8AbQBQAG8AdQBsAHQAcgB5AE0AYQBuAHUAcgBl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YAXwAxAF8AMQA0AF8AXwAxAF8ATABlAGEAYwBoAGkAbgBnAEEAbgBkAFIAdQBuAG8AZgBmAEUAbQBpAHMAcwBpAG8AbgBzAEYAcgBvAG0AUABvAHUAbAB0AHIAeQBNAGEAbgB1AHIAZQ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AAbwB1AGwAdAByAHkAIABtAGEAbgB1AHIAZQAgAGQAZQBwAG8AcwBpAHQAZQBkACAAbwBuACAAcABhAHMAdAB1AHIAZQBcACIALABcACIAawBnACAATgBcACIALAAgAFwAIgBDAGEAbABjAHUAbABhAHQAZQBkACAAZgByAG8AbQAgADQALgA2AC4AMQAuADEANAAgACgAMgApAFwAIgA7AFwAbgAgACAAIAAgACAAIAAgACAAIAAgAFwAIgBFAEYAXwBsAGUAYQBjAGgAXAAiACwAIABcACIAZQBtAGkAcwBzAGkAbwBuACAAZgBhAGMAdABvAHIAIABmAG8AcgAgAGwAZQBhAGMAaABpAG4AZwAgAGEAbgBkACAAcgB1AG4AbwBmAGY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QA0AF8AXwAyAF8ATQBhAHMAcwBPAGYATgBpAHQAcgBvAGcAZQBuAEwAbwBzAHQAVABvAEwAZQBhAGMAaABpAG4AZwBBAG4AZABSAHUAbgBvAGYAZgBGAHIAbwBtAFAAbwB1AGwAdAByAHkATQBhAG4AdQByAGUATwBuAFAAYQBzAHQAdQByAGUAXABuAE0AYQBzAHMAIABvAGYAIABuAGkAdAByAG8AZwBlAG4AIABsAG8AcwB0ACAAdABvACAAbABlAGEAYwBoAGkAbgBnACAAYQBuAGQAIAByAHUAbgBvAGYAZgAgAGYAcgBvAG0AIABwAG8AdQBsAHQAcgB5ACAAbQBhAG4AdQByAGUAIABkAGUAcABvAHMAaQB0AGUAZAAgAG8AbgAgAHAAYQBzAHQAdQByAGUAXABuAE0AXwBsAGUAYQBjAGgAXwBtADEANABcAG4AawBnACAATgBcAG4ATQBfAHsAbABlAGEAYwBoACwAbQA9ADEANAB9AD0ATQBOAF8AewBqAGsAbQA9ADEANAAsAFQAPQAxAH0AXABcAHQAaQBtAGUAcwAgAEYAcgBhAGMAVwBlAHQAXABcAHQAaQBtAGUAcwAgAEYAcgBhAGMATABFAEEAQwBIAF8ATQBTAFwAbgBNAE4AXwBqAGsAbQAxADQAVAAxACAAPQAgAG0AYQBzAHMAIABvAGYAIABuAGkAdAByAG8AZwBlAG4AIABlAHgAYwByAGUAdABlAGQAIABkAGkAcgBlAGMAdABsAHkAIABvAG4AIABwAGEAcwB0AHUAcgBlACAAYgB5ACAAcABvAHUAbAB0AHIAeQAgAGMAbABhAHMAcwAgAGEAbgBkACAAcwB1AGIAYwBsAGEAcwBzACAAKABrAGcAIABOACkAXABuAEYAcgBhAGMAVwBlAHQAIAA9ACAAZgByAGEAYwB0AGkAbwBuACAAbwBmACAATgAgAGEAdgBhAGkAbABhAGIAbABlACAAZgBvAHIAIABsAGUAYQBjAGgAaQBuAGcAIABhAG4AZAAgAHIAdQBuAG8AZgBmAFwAbgBGAHIAYQBjAEwARQBBAEMASABfAE0AUwAgAD0AIABmAHIAYQBjAHQAaQBvAG4AIABvAGYAIABOACAAdABoAGEAdAAgAGkAcwAgAGwAbwBzAHQAIAB0AGgAcgBvAHUAZwBoACAAbABlAGEAYwBoAGkAbgBnACAAYQBuAGQAIAByAHUAbgBvAGYAZgBcAG4ALQAtAC0ALQAtAC0ALQAtAC0ALQAtAC0ALQAtAC0ALQAtAC0ALQAtAC0ALQAtAC0ALQAtAC0ALQAtAC0ALQAtAC0ALQAtAC0ALQAtAFwAbgAqAC8AXABuAFwAbgBWAEUARQBSAEcAXwA0AF8ANgBfADEAXwAxADQAXwBfADIAXwBNAGEAcwBzAE8AZgBOAGkAdAByAG8AZwBlAG4ATABvAHMAdABUAG8ATABlAGEAYwBoAGkAbgBnAEEAbgBkAFIAdQBuAG8AZgBmAEYAcgBvAG0AUABvAHUAbAB0AHIAeQBNAGEAbgB1AHIAZQBPAG4AUABhAHMAdAB1AHIAZQBcAG4AIAAgAD0ATABBAE0AQgBEAEEAKABcAG4AIAAgACAAIABNAE4AXwBqAGsAbQAxADQAVAAxACwAIABGAHIAYQBjAFcAZQB0ACwAIABGAHIAYQBjAEwARQBBAEMASABfAE0AUwAsAFwAbgAgACAAIAAgAE0ATgBfAGoAawBtADEANABUADEAIAAqACAARgByAGEAYwBXAGUAdAAgACoAIABGAHIAYQBjAEwARQBBAEMASABfAE0AUwBcAG4AIAAgACkAOwBcAG4AXABuAFYARQBFAFIARwBfADQAXwA2AF8AMQBfADEANABfAF8AMgBfAE0AYQBzAHMATwBmAE4AaQB0AHIAbwBnAGUAbgBMAG8AcwB0AFQAbwBMAGUAYQBjAGgAaQBuAGcAQQBuAGQAUgB1AG4AbwBmAGYARgByAG8AbQBQAG8AdQBsAHQAcgB5AE0AYQBuAHUAcgBlAE8AbgBQAGEAcwB0AHUAcgBlAF8AVABpAHQAbABlAFwAbgAgACAAPQBMAEEATQBCAEQAQQAoAFwAIgBNAGEAcwBzACAAbwBmACAAbgBpAHQAcgBvAGcAZQBuACAAbABvAHMAdAAgAHQAbwAgAGwAZQBhAGMAaABpAG4AZwAgAGEAbgBkACAAcgB1AG4AbwBmAGYAIABmAHIAbwBtACAAcABvAHUAbAB0AHIAeQAgAG0AYQBuAHUAcgBlACAAZABlAHAAbwBzAGkAdABlAGQAIABvAG4AIABwAGEAcwB0AHUAcgBlAFwAIgApADsAXABuAFwAbgBWAEUARQBSAEcAXwA0AF8ANgBfADEAXwAxADQAXwBfADIAXwBNAGEAcwBzAE8AZgBOAGkAdAByAG8AZwBlAG4ATABvAHMAdABUAG8ATABlAGEAYwBoAGkAbgBnAEEAbgBkAFIAdQBuAG8AZgBmAEYAcgBvAG0AUABvAHUAbAB0AHIAeQBNAGEAbgB1AHIAZQBPAG4AUABhAHMAdAB1AHIAZQBfAFYAYQByAGkAYQBiAGwAZQBcAG4AIAAgAD0ATABBAE0AQgBEAEEAKABcACIATQBfAGwAZQBhAGMAaABfAG0AMQA0AFwAIgApADsAXABuAFwAbgBWAEUARQBSAEcAXwA0AF8ANgBfADEAXwAxADQAXwBfADIAXwBNAGEAcwBzAE8AZgBOAGkAdAByAG8AZwBlAG4ATABvAHMAdABUAG8ATABlAGEAYwBoAGkAbgBnAEEAbgBkAFIAdQBuAG8AZgBmAEYAcgBvAG0AUABvAHUAbAB0AHIAeQBNAGEAbgB1AHIAZQBPAG4AUABhAHMAdAB1AHIAZQBfAFUAbgBpAHQAXABuACAAIAA9AEwAQQBNAEIARABBACgAXAAiAGsAZwAgAE4AXAAiACkAOwBcAG4AXABuAFYARQBFAFIARwBfADQAXwA2AF8AMQBfADEANABfAF8AMgBfAE0AYQBzAHMATwBmAE4AaQB0AHIAbwBnAGUAbgBMAG8AcwB0AFQAbwBMAGUAYQBjAGgAaQBuAGcAQQBuAGQAUgB1AG4AbwBmAGYARgByAG8AbQBQAG8AdQBsAHQAcgB5AE0AYQBuAHUAcgBlAE8AbgBQAGEAcwB0AHUAcgBlAF8AUwBvAHUAcgBjAGUAXABuACAAIAA9AEwAQQBNAEIARABBACgAXAAiAFYARQBFAFIARwAgADIAMAAyADYAOgAgADQALgA2AC4AMQAuADEANAAsACAARQBxAHUAYQB0AGkAbwBuACAAKAAyACkAXAAiACkAOwBcAG4AXABuAFYARQBFAFIARwBfADQAXwA2AF8AMQBfADEANABfAF8AMgBfAE0AYQBzAHMATwBmAE4AaQB0AHIAbwBnAGUAbgBMAG8AcwB0AFQAbwBMAGUAYQBjAGgAaQBuAGcAQQBuAGQAUgB1AG4AbwBmAGYARgByAG8AbQBQAG8AdQBsAHQAcgB5AE0AYQBuAHUAcgBlAE8AbgBQAGEAcwB0AHUAcgBlAF8ATgBJAFIAUgBlAGYAZQByAGUAbgBjAGUAXABuACAAIAA9AEwAQQBNAEIARABBACgAXAAiAFwAIgApADsAXABuAFwAbgBWAEUARQBSAEcAXwA0AF8ANgBfADEAXwAxADQAXwBfADIAXwBNAGEAcwBzAE8AZgBOAGkAdAByAG8AZwBlAG4ATABvAHMAdABUAG8ATABlAGEAYwBoAGkAbgBnAEEAbgBkAFIAdQBuAG8AZgBmAEYAcgBvAG0AUABvAHUAbAB0AHIAeQBNAGEAbgB1AHIAZQBPAG4AUABhAHMAdAB1AHIAZQBfAEwAYQB0AGUAeABFAHEAdQBhAHQAaQBvAG4AXABuACAAIAA9AEwAQQBNAEIARABBACgAXAAiAE0AXwB7AGwAZQBhAGMAaAAsAG0APQAxADQAfQA9AFwAXABzAHUAbQBfAHsAagB9AFwAXABzAHUAbQBfAHsAawB9ACgATQBOAF8AewBqAGsAbQA9ADEANAAsAFQAPQAxAH0AXABcAHQAaQBtAGUAcwAgAEYAcgBhAGMAVwBlAHQAXABcAHQAaQBtAGUAcwAgAEYAcgBhAGMATABFAEEAQwBIAF8ATQBTACkAXAAiACkAOwBcAG4AXABuAFYARQBFAFIARwBfADQAXwA2AF8AMQBfADEANABfAF8AMgBfAE0AYQBzAHMATwBmAE4AaQB0AHIAbwBnAGUAbgBMAG8AcwB0AFQAbwBMAGUAYQBjAGgAaQBuAGcAQQBuAGQAUgB1AG4AbwBmAGY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FwAbgBcAG4ATABvAG8AawB1AHAAVgBhAGwAdQBlAEYAcgBvAG0AUwB0AGEAdABlAFIAZQBnAGkAbwBuAFMAZQBhAHMAbwBuAFwAbgA9AEwAQQBNAEIARABBACgAXABuACAAIAAgACAAUwB0AGEAdABlACwAIABSAGUAZwBpAG8AbgAsACAAUwBlAGEAcwBvAG4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XABuAFwAbgBMAG8AbwBrAHUAcABWAGEAbAB1AGUARgByAG8AbQBTAHQAYQB0AGUAUgBlAGcAaQBvAG4ATQBvAG4AdABoAFwAbgA9AEwAQQBNAEIARABBACgAXABuACAAIAAgACAAUwB0AGEAdABlACwAIABSAGUAZwBpAG8AbgAsACAATQBvAG4AdABo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AgAE0AbwBuAHQAaABBAHIAcgBhAHkALAAgAE0AbwBuAHQAaABUAG8AUwBlAGEAcw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MAZQBhAHMAbwBuACwAIABYAEwATwBPAEsAVQBQACgAVABFAFgAVAAoAE0AbwBuAHQAaAAsACAAXAAiAG0AbQBtAG0AXAAiACkALAAgAE0AbwBuAHQAaABBAHIAcgBhAHkALAAgAE0AbwBuAHQAaABUAG8AUwBlAGEAcw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AiAH0ALAB7ACIAcABhAHQAaAAiADoAIgAvAHAAcgBvAGoAZQBjAHQAcwAvAE0ATQBTAF8AUABhAHMAdAB1AHIAZQBCAGUAZQBm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wAgAE0AZQB0AGgAbwBkACAAMQAgAC0AIABTAG8AaQBsACAARABpAHIAZQBjAHQ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wBfAF8AMQBfAEQAaQByAGUAYwB0AE4AaQB0AHIAbwB1AHMATwB4AGkAZABlAEUAbQBpAHMAcwBpAG8AbgBzAE8AbgBQAGEAcwB0AHUAcgBlAFwAbgBUAG8AdABhAGwAIABhAG4AbgB1AGEAbAAgAGQAaQByAGUAYwB0ACAAbgBpAHQAcgBvAHUAcwAgAG8AeABpAGQAZQAgAGUAbQBpAHMAcwBpAG8AbgBzACAAZgByAG8AbQAgAGEAZwByAGkAYwB1AGwAdAB1AHIAYQBsACAAcwBvAGkAbABzACAAZgByAG8AbQAgAGQAZQBwAG8AcwBpAHQAaQBvAG4AIABvAGYAIAB1AHIAaQBuAGUAIABhAG4AZAAgAGQAdQBuAGcAXABuAEUAXwBOADIATwBkAGkAcgBcAG4AdAAgAE4AMgBPAFwAbgBFAF8AewBOADIATwAsAGQAaQByAH0APQBBAEUAXABcAHQAaQBtAGUAcwAgAEUARgBfAHsAUABSAFAAfQBcAFwAdABpAG0AZQBzACAAQwBfAHsATgAyAE8AfQBcAFwAdABpAG0AZQBzACAAMQAwAF4AewAtADMAfQBcAG4AQQBFACAAPQAgAHQAbwB0AGEAbAAgAG0AYQBzAHMAIABvAGYAIABuAGkAdAByAG8AZwBlAG4AIABlAHgAYwByAGUAdABlAGQAIABvAG4AIABQAFIAUAAgAGYAbwByACAAYgBlAGUAZgAgAGMAYQB0AHQAbABlACAAKABrAGcAIABOACkAXABuAEUARgBfAFAAUgBQACAAPQAgAGUAbQBpAHMAcwBpAG8AbgAgAGYAYQBjAHQAbwByACAAZgBvAHIAIABuAGkAdAByAG8AdQBzACAAbwB4AGkAZABlACAAZgByAG8AbQAgAHUAcgBpAG4AZQAgAGEAbgBkACAAZAB1AG4AZwAgAGQAZQBwAG8AcwBpAHQAZQBkACAAdABvACAAcwBvAGkAbAAgACgAawBnACAATgAyAE8ALQBOAC8AawBnACAATgAgAGQAZQBwAG8AcwBpAHQAZQBk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yAF8AMQBfADMAXwBfADEAXwBEAGkAcgBlAGMAdABOAGkAdAByAG8AdQBzAE8AeABpAGQAZQBFAG0AaQBzAHMAaQBvAG4AcwBPAG4AUABhAHMAdAB1AHIAZQBcAG4AIAAgAD0ATABBAE0AQgBEAEEAKABcAG4AIAAgACAAIABBAEUALAAgAEUARgBfAFAAUgBQACwAIABDAF8ATgAyAE8ALABcAG4AIAAgACAAIABBAEUAIAAqACAARQBGAF8AUABSAFAAIAAqACAAQwBfAE4AMgBPACAAKgAgADEAMAAgAF4AIAAtADMAXABuACAAIAApADsAXABuAFwAbgBWAEUARQBSAEcAXwA0AF8AMgBfADEAXwAzAF8AXwAxAF8ARABpAHIAZQBjAHQATgBpAHQAcgBvAHUAcwBPAHgAaQBkAGUARQBtAGkAcwBzAGkAbwBuAHMATwBuAFAAYQBzAHQAdQByAGUAXwBUAGkAdABsAGUAXABuACAAIAA9AEwAQQBNAEIARABBACgAXAAiAFQAbwB0AGEAbAAgAGEAbgBuAHUAYQBsACAAZABpAHIAZQBjAHQAIABuAGkAdAByAG8AdQBzACAAbwB4AGkAZABlACAAZQBtAGkAcwBzAGkAbwBuAHMAIABmAHIAbwBtACAAYQBnAHIAaQBjAHUAbAB0AHUAcgBhAGwAIABzAG8AaQBsAHMAIABmAHIAbwBtACAAZABlAHAAbwBzAGkAdABpAG8AbgAgAG8AZgAgAHUAcgBpAG4AZQAgAGEAbgBkACAAZAB1AG4AZwBcACIAKQA7AFwAbgBcAG4AVgBFAEUAUgBHAF8ANABfADIAXwAxAF8AMwBfAF8AMQBfAEQAaQByAGUAYwB0AE4AaQB0AHIAbwB1AHMATwB4AGkAZABlAEUAbQBpAHMAcwBpAG8AbgBzAE8AbgBQAGEAcwB0AHUAcgBlAF8AVgBhAHIAaQBhAGIAbABlAFwAbgAgACAAPQBMAEEATQBCAEQAQQAoAFwAIgBFAF8ATgAyAE8AZABpAHIAXAAiACkAOwBcAG4AXABuAFYARQBFAFIARwBfADQAXwAyAF8AMQBfADMAXwBfADEAXwBEAGkAcgBlAGMAdABOAGkAdAByAG8AdQBzAE8AeABpAGQAZQBFAG0AaQBzAHMAaQBvAG4AcwBPAG4AUABhAHMAdAB1AHIAZQBfAFUAbgBpAHQAXABuACAAIAA9AEwAQQBNAEIARABBACgAXAAiAHQAIABOADIATwBcACIAKQA7AFwAbgBcAG4AVgBFAEUAUgBHAF8ANABfADIAXwAxAF8AMwBfAF8AMQBfAEQAaQByAGUAYwB0AE4AaQB0AHIAbwB1AHMATwB4AGkAZABlAEUAbQBpAHMAcwBpAG8AbgBzAE8AbgBQAGEAcwB0AHUAcgBlAF8AUwBvAHUAcgBjAGUAXABuACAAIAA9AEwAQQBNAEIARABBACgAXAAiAFYARQBFAFIARwAgADIAMAAyADYAOgAgADQALgAyAC4AMQAuADMALAAgAEUAcQB1AGEAdABpAG8AbgAgACgAMQApAFwAIgApADsAXABuAFwAbgBWAEUARQBSAEcAXwA0AF8AMgBfADEAXwAzAF8AXwAxAF8ARABpAHIAZQBjAHQATgBpAHQAcgBvAHUAcwBPAHgAaQBkAGUARQBtAGkAcwBzAGkAbwBuAHMATwBuAFAAYQBzAHQAdQByAGUAXwBOAEkAUgBSAGUAZgBlAHIAZQBuAGMAZQBcAG4AIAAgAD0ATABBAE0AQgBEAEEAKABcACIAXAAiACkAOwBcAG4AXABuAFYARQBFAFIARwBfADQAXwAyAF8AMQBfADMAXwBfADEAXwBEAGkAcgBlAGMAdABOAGkAdAByAG8AdQBzAE8AeABpAGQAZQBFAG0AaQBzAHMAaQBvAG4AcwBPAG4AUABhAHMAdAB1AHIAZQBfAEwAYQB0AGUAeABFAHEAdQBhAHQAaQBvAG4AXABuACAAIAA9AEwAQQBNAEIARABBACgAXAAiAEUAXwB7AE4AMgBPACwAZABpAHIAfQA9AEEARQBcAFwAdABpAG0AZQBzACAARQBGAF8AewBQAFIAUAB9AFwAXAB0AGkAbQBlAHMAIABDAF8AewBOADIATwB9AFwAXAB0AGkAbQBlAHMAIAAxADAAXgB7AC0AMwB9AFwAIgApADsAXABuAFwAbgBWAEUARQBSAEcAXwA0AF8AMgBfADEAXwAzAF8AXwAxAF8ARABpAHIAZQBjAHQATgBpAHQAcgBvAHUAcwBPAHgAaQBkAGUARQBtAGkAcwBzAGkAbwBuAHMATwBuAFAAYQBzAHQAdQByAGUAXwBBAHIAZwB1AG0AZQBuAHQAcwBcAG4AIAAgAD0ATABBAE0AQgBEAEEAKABcAG4AIAAgACAAIABNAEEASwBFAEEAUgBSAEEAWQAoADQ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UARgBfAFAAUgBQAFwAIgAsACAAXAAiAGUAbQBpAHMAcwBpAG8AbgAgAGYAYQBjAHQAbwByACAAZgBvAHIAIABuAGkAdAByAG8AdQBzACAAbwB4AGkAZABlACAAZgByAG8AbQAgAHUAcgBpAG4AZQAgAGEAbgBkACAAZAB1AG4AZwAgAGQAZQBwAG8AcwBpAHQAZQBkACAAdABvACAAcwBvAGkAb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HoAXAAiACwAIABcACIAdwBlAHQAIABvAHIAIABkAHIAeQAgAGMAbABpAG0AYQB0AGUAIAB6AG8Ab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yAF8AVABvAHQAYQBsAE4AaQB0AHIAbwBnAGUAbgBFAHgAYwByAGUAdABlAGQAVABvAFAAYQBzAHQAdQByAGUAUgBhAG4AZwBlAEEAbgBkAFAAYQBkAGQAbwBjAGsAXABuAFQAbwB0AGEAbAAgAG4AaQB0AHIAbwBnAGUAbgAgAGUAeABjAHIAZQB0AGUAZAAgAHQAbwAgAHAAYQBzAHQAdQByAGUALAAgAHIAYQBuAGcAZQAgAGEAbgBkACAAcABhAGQAZABvAGMAawBcAG4AQQBFAFwAbgBrAGcAIABOAFwAbgBBAEUAPQBcAFwAcwB1AG0AXwB7AGoAfQBcAFwAcwB1AG0AXwB7AGsAfQBcAFwAcwB1AG0AXwB7AGwAfQAoAE4AXwB7AGoAawBsAH0AXABcAHQAaQBtAGUAcwAgAE4ARQBfAHsAagBrAGwAfQBcAFwAdABpAG0AZQBzACAARABfAGoAKQBcAG4ATgBfAGoAawBsACAAPQAgAG4AdQBtAGIAZQByACAAbwBmACAAYgBlAGUAZgAgAGMAYQB0AHQAbABlACAAYgB5ACAAdABpAG0AZQAtAHAAZQByAGkAbwBkACwAIABjAGwAYQBzAHMAIABhAG4AZAAgAHMAdQBiAGMAbABhAHMAcwAgACgAaABlAGEAZAApAFwAbgBOAEUAXwBqAGsAbAAgAD0AIABuAGkAdAByAG8AZwBlAG4AIABlAHgAYwByAGUAdABlAGQAIABpAG4AIABlAGEAYwBoACAAdABpAG0AZQAtAHAAZQByAGkAbwBkACwAIABiAHkAIABlAGEAYwBoACAAYwBsAGEAcwBzACAAYQBuAGQAIABzAHUAYgBjAGwAYQBzAHMAIAAoAGsAZwAgAE4ALwBoAGUAYQBkAC8AZABhAHkAKQBcAG4ARABfAGoAIAA9ACAAbgB1AG0AYgBlAHIAIABvAGYAIABkAGEAeQBzACAAaQBuACAAZQBhAGMAaAAgAHQAaQBtAGUALQBwAGUAcgBpAG8AZAAgACgAZABhAHkAcwApAFwAbgAtAC0ALQAtAC0ALQAtAC0ALQAtAC0ALQAtAC0ALQAtAC0ALQAtAC0ALQAtAC0ALQAtAC0ALQAtAC0ALQAtAC0ALQAtAC0ALQAtAC0AXABuACoALwBcAG4AXABuAFYARQBFAFIARwBfADQAXwAyAF8AMQBfADMAXwBfADIAXwBUAG8AdABhAGwATgBpAHQAcgBvAGcAZQBuAEUAeABjAHIAZQB0AGUAZABUAG8AUABhAHMAdAB1AHIAZQBSAGEAbgBnAGUAQQBuAGQAUABhAGQAZABvAGMAawBcAG4AIAAgAD0ATABBAE0AQgBEAEEAKABcAG4AIAAgACAAIABOAF8AagBrAGwALAAgAE4ARQBfAGoAawBsACwAIABEAF8AagAsAFwAbgAgACAAIAAgAFMAVQBNACgAKABOAF8AagBrAGwAIAAqACAATgBFAF8AagBrAGwAKQAgACoAIABEAF8AagApAFwAbgAgACAAKQA7AFwAbgBcAG4AVgBFAEUAUgBHAF8ANABfADIAXwAxAF8AMwBfAF8AMgBfAFQAbwB0AGEAbABOAGkAdAByAG8AZwBlAG4ARQB4AGMAcgBlAHQAZQBkAFQAbwBQAGEAcwB0AHUAcgBlAFIAYQBuAGcAZQBBAG4AZABQAGEAZABkAG8AYwBrAF8AVABpAHQAbABlAFwAbgAgACAAPQBMAEEATQBCAEQAQQAoAFwAIgBUAG8AdABhAGwAIABuAGkAdAByAG8AZwBlAG4AIABlAHgAYwByAGUAdABlAGQAIAB0AG8AIABwAGEAcwB0AHUAcgBlACwAIAByAGEAbgBnAGUAIABhAG4AZAAgAHAAYQBkAGQAbwBjAGsAXAAiACkAOwBcAG4AXABuAFYARQBFAFIARwBfADQAXwAyAF8AMQBfADMAXwBfADIAXwBUAG8AdABhAGwATgBpAHQAcgBvAGcAZQBuAEUAeABjAHIAZQB0AGUAZABUAG8AUABhAHMAdAB1AHIAZQBSAGEAbgBnAGUAQQBuAGQAUABhAGQAZABvAGMAawBfAFYAYQByAGkAYQBiAGwAZQBcAG4AIAAgAD0ATABBAE0AQgBEAEEAKABcACIAQQBFAFwAIgApADsAXABuAFwAbgBWAEUARQBSAEcAXwA0AF8AMgBfADEAXwAzAF8AXwAyAF8AVABvAHQAYQBsAE4AaQB0AHIAbwBnAGUAbgBFAHgAYwByAGUAdABlAGQAVABvAFAAYQBzAHQAdQByAGUAUgBhAG4AZwBlAEEAbgBkAFAAYQBkAGQAbwBjAGsAXwBVAG4AaQB0AFwAbgAgACAAPQBMAEEATQBCAEQAQQAoAFwAIgBrAGcAIABOAFwAIgApADsAXABuAFwAbgBWAEUARQBSAEcAXwA0AF8AMgBfADEAXwAzAF8AXwAyAF8AVABvAHQAYQBsAE4AaQB0AHIAbwBnAGUAbgBFAHgAYwByAGUAdABlAGQAVABvAFAAYQBzAHQAdQByAGUAUgBhAG4AZwBlAEEAbgBkAFAAYQBkAGQAbwBjAGsAXwBTAG8AdQByAGMAZQBcAG4AIAAgAD0ATABBAE0AQgBEAEEAKABcACIAVgBFAEUAUgBHACAAMgAwADIANgA6ACAANAAuADIALgAxAC4AMwAsACAARQBxAHUAYQB0AGkAbwBuACAAKAAyACkAXAAiACkAOwBcAG4AXABuAFYARQBFAFIARwBfADQAXwAyAF8AMQBfADMAXwBfADIAXwBUAG8AdABhAGwATgBpAHQAcgBvAGcAZQBuAEUAeABjAHIAZQB0AGUAZABUAG8AUABhAHMAdAB1AHIAZQBSAGEAbgBnAGUAQQBuAGQAUABhAGQAZABvAGMAawBfAE4ASQBSAFIAZQBmAGUAcgBlAG4AYwBlAFwAbgAgACAAPQBMAEEATQBCAEQAQQAoAFwAIgBcACIAKQA7AFwAbgBcAG4AVgBFAEUAUgBHAF8ANABfADIAXwAxAF8AMwBfAF8AMgBfAFQAbwB0AGEAbABOAGkAdAByAG8AZwBlAG4ARQB4AGMAcgBlAHQAZQBkAFQAbwBQAGEAcwB0AHUAcgBlAFIAYQBuAGcAZQBBAG4AZABQAGEAZABkAG8AYwBrAF8ATABhAHQAZQB4AEUAcQB1AGEAdABpAG8AbgBcAG4AIAAgAD0ATABBAE0AQgBEAEEAKABcACIAQQBFAD0AXABcAHMAdQBtAF8AewBqAH0AXABcAHMAdQBtAF8AewBrAH0AXABcAHMAdQBtAF8AewBsAH0AKABOAF8AewBqAGsAbAB9AFwAXAB0AGkAbQBlAHMAIABOAEUAXwB7AGoAawBsAH0AXABcAHQAaQBtAGUAcwAgAEQAXwBqACkAXAAiACkAOwBcAG4AXABuAFYARQBFAFIARwBfADQAXwAyAF8AMQBfADMAXwBfADIAXwBUAG8AdABhAGwATgBpAHQAcgBvAGcAZQBuAEUAeABjAHIAZQB0AGUAZABUAG8AUABhAHMAdAB1AHIAZQBSAGEAbgBnAGUAQQBuAGQAUABhAGQAZABvAGMAaw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iAHkAIAB0AGkAbQBlAC0AcABlAHIAaQBvAGQALAAgAGMAbABhAHMAcwAgAGEAbgBkACAAcwB1AGIAYwBsAGEAcwBzAFwAIgAsACAAXAAiAGgAZQBhAGQAXAAiACwAIABcACIASQBuAHAAdQB0AFwAIgA7AFwAbgAgACAAIAAgACAAIAAgACAAIAAgAFwAIgBOAEUAXwBqAGsAbABcACIALAAgAFwAIgBuAGkAdAByAG8AZwBlAG4AIABlAHgAYwByAGUAdABlAGQAIABpAG4AIABlAGEAYwBoACAAdABpAG0AZQAtAHAAZQByAGkAbwBkACwAIABiAHkAIABlAGEAYwBoACAAYwBsAGEAcwBzACAAYQBuAGQAIABzAHUAYgBjAGwAYQBzAHMAXAAiACwAIABcACIAawBnACAATgAvAGgAZQBhAGQALwBkAGEAeQBcACIALAAgAFwAIgBDAGEAbABjAHUAbABhAHQAZQBkACAAZgByAG8AbQAgADQALgAyAC4AMQAuADMAIAAoADMAKQBcACIAOwBcAG4AIAAgACAAIAAgACAAIAAgACAAIABcACIARABfAGoAXAAiACwAIABcACIAbgB1AG0AYgBlAHIAIABvAGYAIABkAGEAeQBzACAAaQBuACAAZQBhAGMAaAAgAHQAaQBtAGUALQBwAGUAcgBpAG8AZAAgACgAZABhAHkAcwAp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MAXwBOAGkAdAByAG8AZwBlAG4ARQB4AGMAcgBlAHQAZQBkAFwAbgBOAGkAdAByAG8AZwBlAG4AIABlAHgAYwByAGUAdABlAGQAXABuAE4ARQBfAGoAawBsAFwAbgBrAGcAIABOAC8AaABlAGEAZAAvAGQAYQB5AFwAbgBOAEUAXwB7AGoAawBsAH0APQBcAFwAZgByAGEAYwB7AEkAXwB7AGoAawBsAH0AXABcAHQAaQBtAGUAcwAgAEMAUABfAGoAfQB7ADYALgAyADUAfQArAFwAXABmAHIAYQBjAHsAMAAuADAAMwAyAFwAXAB0AGkAbQBlAHMAIABNAEMAXwB7AGoAawA9ADEALAAzACwANgB9AH0AewA2AC4AMwA4AH0ALQBOAFIAXwB7AGoAawBsAH0ALQBcAFwAZgByAGEAYwB7ADEALgAxAFwAXAB0AGkAbQBlAHMAIAAxADAAXgB7AC0ANAB9AFwAXAB0AGkAbQBlAHMAIABXAF8AewBqAGsAbAB9AF4AewAwAC4ANwA1AH0AfQB7ADYALgAyADUAfQBcAG4ASQBfAGoAawBsACAAPQAgAGQAcgB5ACAAbQBhAHQAdABlAHIAIABpAG4AdABhAGsAZQAgAGEAcwAgAGMAYQBsAGMAdQBsAGEAdABlAGQAIABpAG4AIABDAGgAYQBwAHQAZQByACAAMwAgAFMAZQBjAHQAaQBvAG4AIAAzAC4AMgAuADEAIAAoAGsAZwAgAEQATQAvAGgAZQBhAGQALwBkAGEAeQApAFwAbgBDAFAAXwBqACAAPQAgAGMAcgB1AGQAZQAgAHAAcgBvAHQAZQBpAG4AIABjAG8AbgB0AGUAbgB0ACAAbwBmACAAZAByAHkAIABtAGEAdAB0AGUAcgAgAGkAbgB0AGEAawBlAFwAbgBNAEMAXwBqAGsAMQAzADYAIAA9ACAAbQBpAGwAawAgAGkAbgB0AGEAawBlACAAKABrAGcALwBoAGUAYQBkAC8AZABhAHkAKQBcAG4ATgBSAF8AagBrAGwAIAA9ACAAdABoAGUAIABhAG0AbwB1AG4AdAAgAG8AZgAgAG4AaQB0AHIAbwBnAGUAbgAgAHIAZQB0AGEAaQBuAGUAZAAgAGIAeQAgAHQAaABlACAAYgBvAGQAeQAgACgAawBnACAATgAvAGgAZQBhAGQALwBkAGEAeQApAFwAbgBXAF8AagBrAGwAIAA9ACAAbABpAHYAZQB3AGUAaQBnAGgAdAAgACgAawBnAC8AaABlAGEAZAApAFwAbgAtAC0ALQAtAC0ALQAtAC0ALQAtAC0ALQAtAC0ALQAtAC0ALQAtAC0ALQAtAC0ALQAtAC0ALQAtAC0ALQAtAC0ALQAtAC0ALQAtAC0AXABuACoALwBcAG4AXABuAFYARQBFAFIARwBfADQAXwAyAF8AMQBfADMAXwBfADMAXwBOAGkAdAByAG8AZwBlAG4ARQB4AGMAcgBlAHQAZQBkAFwAbgAgACAAPQBMAEEATQBCAEQAQQAoAFwAbgAgACAAIAAgAEkAXwBqAGsAbAAsACAAQwBQAF8AagAsACAATQBDAF8AagBrADEAMwA2ACwAIABOAFIAXwBqAGsAbAAsACAAVwBfAGoAawBsACwAXABuACAAIAAgACAAKAAoAEkAXwBqAGsAbAAgACoAIABDAFAAXwBqACkAIAAvACAANgAuADIANQApACAAKwAgACgAKAAwAC4AMAAzADIAIAAqACAATQBDAF8AagBrADEAMwA2ACkAIAAvACAANgAuADMAOAApACAALQAgAE4AUgBfAGoAawBsACAALQAgACgAKAAxAC4AMQAgACoAIAAxADAAIABeACAALQA0ACAAKgAgAFcAXwBqAGsAbAAgAF4AIAAwAC4ANwA1ACkAIAAvACAANgAuADIANQApAFwAbgAgACAAKQA7AFwAbgBcAG4AVgBFAEUAUgBHAF8ANABfADIAXwAxAF8AMwBfAF8AMwBfAE4AaQB0AHIAbwBnAGUAbgBFAHgAYwByAGUAdABlAGQAXwBUAGkAdABsAGUAXABuACAAIAA9AEwAQQBNAEIARABBACgAXAAiAE4AaQB0AHIAbwBnAGUAbgAgAGUAeABjAHIAZQB0AGUAZABcACIAKQA7AFwAbgBcAG4AVgBFAEUAUgBHAF8ANABfADIAXwAxAF8AMwBfAF8AMwBfAE4AaQB0AHIAbwBnAGUAbgBFAHgAYwByAGUAdABlAGQAXwBWAGEAcgBpAGEAYgBsAGUAXABuACAAIAA9AEwAQQBNAEIARABBACgAXAAiAE4ARQBfAGoAawBsAFwAIgApADsAXABuAFwAbgBWAEUARQBSAEcAXwA0AF8AMgBfADEAXwAzAF8AXwAzAF8ATgBpAHQAcgBvAGcAZQBuAEUAeABjAHIAZQB0AGUAZABfAFUAbgBpAHQAXABuACAAIAA9AEwAQQBNAEIARABBACgAXAAiAGsAZwAgAE4ALwBoAGUAYQBkAC8AZABhAHkAXAAiACkAOwBcAG4AXABuAFYARQBFAFIARwBfADQAXwAyAF8AMQBfADMAXwBfADMAXwBOAGkAdAByAG8AZwBlAG4ARQB4AGMAcgBlAHQAZQBkAF8AUwBvAHUAcgBjAGUAXABuACAAIAA9AEwAQQBNAEIARABBACgAXAAiAFYARQBFAFIARwAgADIAMAAyADYAOgAgADQALgAyAC4AMQAuADMALAAgAEUAcQB1AGEAdABpAG8AbgAgACgAMwApAFwAIgApADsAXABuAFwAbgBWAEUARQBSAEcAXwA0AF8AMgBfADEAXwAzAF8AXwAzAF8ATgBpAHQAcgBvAGcAZQBuAEUAeABjAHIAZQB0AGUAZABfAE4ASQBSAFIAZQBmAGUAcgBlAG4AYwBlAFwAbgAgACAAPQBMAEEATQBCAEQAQQAoAFwAIgBcACIAKQA7AFwAbgBcAG4AVgBFAEUAUgBHAF8ANABfADIAXwAxAF8AMwBfAF8AMwBfAE4AaQB0AHIAbwBnAGUAbgBFAHgAYwByAGUAdABlAGQAXwBMAGEAdABlAHgARQBxAHUAYQB0AGkAbwBuAFwAbgAgACAAPQBMAEEATQBCAEQAQQAoAFwAIgBOAEUAXwB7AGoAawBsAH0APQAgACgASQBfAHsAagBrAGwAfQBcAFwAdABpAG0AZQBzACAAQwBQAF8AagAgAFwAXABkAGkAdgAgADYALgAyADUAKQAgACAAKwAgACgAMAAuADAAMwAyAFwAXAB0AGkAbQBlAHMAIABNAEMAXwB7AGoAawA9ADEALAAzACwANgB9ACAAXABcAGQAaQB2ACAANgAuADMAOAApACAAIAAtACAATgBSAF8AewBqAGsAbAB9ACAALQAgAFwAXABsAGUAZgB0AFsAIAAoADEALgAxAFwAXAB0AGkAbQBlAHMAIAAxADAAXgB7AC0ANAB9AFwAXAB0AGkAbQBlAHMAIABXAF8AewBqAGsAbAB9AF4AewAwAC4ANwA1AH0AKQAgAFwAXABkAGkAdgAgACAANgAuADIANQAgAFwAXAByAGkAZwBoAHQAXQBcACIAKQA7AFwAbgBcAG4AVgBFAEUAUgBHAF8ANABfADIAXwAxAF8AMwBfAF8AMwBfAE4AaQB0AHIAbwBnAGUAbgBFAHgAYwByAGUAdABlAGQAXwBBAHIAZwB1AG0AZQBuAHQAcwBcAG4AIAAgAD0ATABBAE0AQgBEAEEAKABcAG4AIAAgACAAIABNAEEASwBFAEEAUgBSAEEAWQAoADc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QwBQAF8AagBcACIALAAgAFwAIgBjAHIAdQBkAGUAIABwAHIAbwB0AGUAaQBuACAAYwBvAG4AdABlAG4AdAAgAG8AZgAgAGQAcgB5ACAAbQBhAHQAdABlAHIAIABpAG4AdABhAGsAZQBcACIALAAgAFwAIgBmAHIAYQBjAHQAaQBvAG4AXAAiACwAIABcACIASQBuAHAAdQB0AFwAIgA7AFwAbgAgACAAIAAgACAAIAAgACAAIAAgAFwAIgBNAEMAXwBqAGsAMQAzADYAXAAiACwAIABcACIAbQBpAGwAawAgAGkAbgB0AGEAawBlACAAKABrAGcALwBoAGUAYQBkAC8AZABhAHkAKQBcACIALAAgAFwAIgBrAGcALwBoAGUAYQBkAC8AZABhAHkAXAAiACwAIABcACIAQwBvAG4AcwB0AGEAbgB0AFwAIgA7AFwAbgAgACAAIAAgACAAIAAgACAAIAAgAFwAIgBOAFIAXwBqAGsAbABcACIALAAgAFwAIgB0AGgAZQAgAGEAbQBvAHUAbgB0ACAAbwBmACAAbgBpAHQAcgBvAGcAZQBuACAAcgBlAHQAYQBpAG4AZQBkACAAYgB5ACAAdABoAGUAIABiAG8AZAB5ACAAKABrAGcAIABOAC8AaABlAGEAZAAvAGQAYQB5ACkAXAAiACwAIABcACIAawBnACAATgAvAGgAZQBhAGQALwBkAGEAeQBcACIALAAgAFwAIgBDAGEAbABjAHUAbABhAHQAZQBkACAAZgByAG8AbQAgADQALgAyAC4AMQAuADMAIAAoADQAKQBcACIAOwBcAG4AIAAgACAAIAAgACAAIAAgACAAIABcACIAVwBfAGoAawBsAFwAIgAsACAAXAAiAGwAaQB2AGUAdwBlAGkAZwBoAHQAIAAoAGsAZwAvAGgAZQBhAGQAKQBcACIALAAgAFwAIgBrAGcALwBoAGUAYQBkAFwAIgAsACAAXAAiAEkAbgBwAHUAdABcACIAOwBcAG4AIAAgACAAIAAgACAAIAAgACAAIABcACIAYgBcACIALAAgAFwAIgBiAHIAZQBlAGQAIABvAGYAIABjAGEAdAB0AGwAZQBcACIALAAgAFwAIgBcACIALAAgAFwAIgBJAG4AcAB1AHQAXAAiADsAXABuACAAIAAgACAAIAAgACAAIAAgACAAXAAiAHMAXAAiACwAIABcACIAQwBhAGwAdgBpAG4AZwAgAHMAZQBhAHM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0AF8ATgBpAHQAcgBvAGcAZQBuAFIAZQB0AGEAaQBuAGUAZABCAHkAQgBvAGQAeQBcAG4AQQBtAG8AdQBuAHQAIABvAGYAIABuAGkAdAByAG8AZwBlAG4AIAByAGUAdABhAGkAbgBlAGQAIABiAHkAIAB0AGgAZQAgAGIAbwBkAHkAXABuAE4AUgBfAGoAawBsAFwAbgBrAGcAIABOAC8AaABlAGEAZAAvAGQAYQB5AFwAbgBOAFIAXwB7AGoAawBsAH0APQBcAFwAZgByAGEAYwB7ADAALgAwADMAMgBcAFwAdABpAG0AZQBzACAATQBQAF8AewBqAGsAPQA1AH0AfQB7ADYALgAzADgAfQArAFwAXABmAHIAYQBjAHsAKAAwAC4AMgAxADIALQAwAC4AMAAwADgAXABcAHQAaQBtAGUAcwAoAEwAXwB7AGoAawBsAH0ALQAyACkALQBbAFwAXABmAHIAYQBjAHsAMAAuADEANAAwAC0AMAAuADAAMAA4AFwAXAB0AGkAbQBlAHMAKABMAF8AewBqAGsAbAB9AC0AMgApAH0AewAxACsAZQBeAHsALQA2AFwAXAB0AGkAbQBlAHMAKABaAF8AewBqAGsAbAB9AC0AMAAuADQAKQB9AH0AXQApAFwAXAB0AGkAbQBlAHMAKABMAFcARwBfAHsAagBrAGwAfQBcAFwAdABpAG0AZQBzACAAMAAuADkAMgApAH0AewA2AC4AMgA1AH0AXABuAE0AUABfAGoAawA1ACAAPQAgAG0AaQBsAGsAIABwAHIAbwBkAHUAYwB0AGkAbwBuACAAKABrAGcALwBoAGUAYQBkAC8AZABhAHkAKQBcAG4ATABfAGoAawBsACAAPQAgAGkAbgB0AGEAawBlACAAcgBlAGwAYQB0AGkAdgBlACAAdABvACAAdABoAGEAdAAgAG4AZQBlAGQAZQBkACAAZgBvAHIAIABtAGEAaQBuAHQAZQBuAGEAbgBjAGUAXABuAFoAXwBqAGsAbAAgAD0AIAByAGUAbABhAHQAaQB2AGUAIABzAGkAegBlAFwAbgBMAFcARwBfAGoAawBsACAAPQAgAGwAaQB2AGUAdwBlAGkAZwBoAHQAIABnAGEAaQBuACAAKABrAGcALwBoAGUAYQBkAC8AZABhAHkAKQBcAG4ALQAtAC0ALQAtAC0ALQAtAC0ALQAtAC0ALQAtAC0ALQAtAC0ALQAtAC0ALQAtAC0ALQAtAC0ALQAtAC0ALQAtAC0ALQAtAC0ALQAtAFwAbgAqAC8AXABuAFwAbgBWAEUARQBSAEcAXwA0AF8AMgBfADEAXwAzAF8AXwA0AF8ATgBpAHQAcgBvAGcAZQBuAFIAZQB0AGEAaQBuAGUAZABCAHkAQgBvAGQAeQBcAG4AIAAgAD0ATABBAE0AQgBEAEEAKABcAG4AIAAgACAAIABNAFAAXwBqAGsANQAsACAATABfAGoAawBsACwAIABaAF8AagBrAGwALAAgAEwAVwBHAF8AagBrAGwALABcAG4AIAAgACAAIAAoACgAMAAuADAAMwAyACAAKgAgAE0AUABfAGoAawA1ACkAIAAvACAANgAuADMAOAApACAAKwAgACgAKAAoADAALgAyADEAMgAgAC0AIAAwAC4AMAAwADgAIAAqACAAKABMAF8AagBrAGwAIAAtACAAMgApACAALQAgACgAKAAwAC4AMQA0ADAAIAAtACAAMAAuADAAMAA4ACAAKgAgACgATABfAGoAawBsACAALQAgADIAKQApACAALwAgACgAMQAgACsAIABFAFgAUAAoAC0ANgAgACoAIAAoAFoAXwBqAGsAbAAgAC0AIAAwAC4ANAApACkAKQApACkAIAAqACAAKABMAFcARwBfAGoAawBsACAAKgAgADAALgA5ADIAKQApACAALwAgADYALgAyADUAKQBcAG4AIAAgACkAOwBcAG4AXABuAFYARQBFAFIARwBfADQAXwAyAF8AMQBfADMAXwBfADQAXwBOAGkAdAByAG8AZwBlAG4AUgBlAHQAYQBpAG4AZQBkAEIAeQBCAG8AZAB5AF8AVABpAHQAbABlAFwAbgAgACAAPQBMAEEATQBCAEQAQQAoAFwAIgBBAG0AbwB1AG4AdAAgAG8AZgAgAG4AaQB0AHIAbwBnAGUAbgAgAHIAZQB0AGEAaQBuAGUAZAAgAGIAeQAgAHQAaABlACAAYgBvAGQAeQBcACIAKQA7AFwAbgBcAG4AVgBFAEUAUgBHAF8ANABfADIAXwAxAF8AMwBfAF8ANABfAE4AaQB0AHIAbwBnAGUAbgBSAGUAdABhAGkAbgBlAGQAQgB5AEIAbwBkAHkAXwBWAGEAcgBpAGEAYgBsAGUAXABuACAAIAA9AEwAQQBNAEIARABBACgAXAAiAE4AUgBfAGoAawBsAFwAIgApADsAXABuAFwAbgBWAEUARQBSAEcAXwA0AF8AMgBfADEAXwAzAF8AXwA0AF8ATgBpAHQAcgBvAGcAZQBuAFIAZQB0AGEAaQBuAGUAZABCAHkAQgBvAGQAeQBfAFUAbgBpAHQAXABuACAAIAA9AEwAQQBNAEIARABBACgAXAAiAGsAZwAgAE4ALwBoAGUAYQBkAC8AZABhAHkAXAAiACkAOwBcAG4AXABuAFYARQBFAFIARwBfADQAXwAyAF8AMQBfADMAXwBfADQAXwBOAGkAdAByAG8AZwBlAG4AUgBlAHQAYQBpAG4AZQBkAEIAeQBCAG8AZAB5AF8AUwBvAHUAcgBjAGUAXABuACAAIAA9AEwAQQBNAEIARABBACgAXAAiAFYARQBFAFIARwAgADIAMAAyADYAOgAgADQALgAyAC4AMQAuADMALAAgAEUAcQB1AGEAdABpAG8AbgAgACgANAApAFwAIgApADsAXABuAFwAbgBWAEUARQBSAEcAXwA0AF8AMgBfADEAXwAzAF8AXwA0AF8ATgBpAHQAcgBvAGcAZQBuAFIAZQB0AGEAaQBuAGUAZABCAHkAQgBvAGQAeQBfAE4ASQBSAFIAZQBmAGUAcgBlAG4AYwBlAFwAbgAgACAAPQBMAEEATQBCAEQAQQAoAFwAIgBcACIAKQA7AFwAbgBcAG4AVgBFAEUAUgBHAF8ANABfADIAXwAxAF8AMwBfAF8ANABfAE4AaQB0AHIAbwBnAGUAbgBSAGUAdABhAGkAbgBlAGQAQgB5AEIAbwBkAHkAXwBMAGEAdABlAHgARQBxAHUAYQB0AGkAbwBuAFwAbgAgACAAPQBMAEEATQBCAEQAQQAoAFwAIgBOAFIAXwB7AGoAawBsAH0APQAoADAALgAwADMAMgAgAFwAXAB0AGkAbQBlAHMAIABNAFAAXwB7AGoAawA9ADUAfQAgAFwAXABkAGkAdgAgADYALgAzADgAKQAgACsAIABcAFwAbABlAGYAdAAgAHsAIABcAFwAbABlAGYAdAAgAHsAIAAwAC4AMgAxADIAIAAtACAAMAAuADAAMAA4ACAAXABcAHQAaQBtAGUAcwAgACgATABfAHsAagBrAGwAfQAgAC0AMgApACAALQAgAFwAXABsAGUAZgB0AFsAIABcAFwAZgByAGEAYwB7ADAALgAxADQAMAAtADAALgAwADAAOAAgAFwAXAB0AGkAbQBlAHMAIAAoAEwAXwB7AGoAawBsAH0AIAAtACAAMgApAH0AewAxACsAZQBeAHsAKAAtADYAIABcAFwAdABpAG0AZQBzACAAKABaAF8AewBqAGsAbAB9AC0AMAAuADQAKQApAH0AfQAgAFwAXAByAGkAZwBoAHQAXQAgAFwAXAByAGkAZwBoAHQAfQAgAFwAXAB0AGkAbQBlAHMAIAAoAEwAVwBHAF8AewBqAGsAbAB9ACAAXABcAHQAaQBtAGUAcwAgADAALgA5ADIAKQAgAFwAXAByAGkAZwBoAHQAfQAgAFwAXABkAGkAdgAgADYALgAyADUAXAAiACkAOwBcAG4AXABuAFYARQBFAFIARwBfADQAXwAyAF8AMQBfADMAXwBfADQAXwBOAGkAdAByAG8AZwBlAG4AUgBlAHQAYQBpAG4AZQBkAEIAeQBCAG8AZAB5AF8AQQByAGcAdQBtAGUAbgB0AHMAXABuACAAIAA9AEwAQQBNAEIARABBACgAXABuACAAIAAgACAATQBBAEsARQBBAFIAUgBBAFkAKAA0ACwAIAA0ACwAXABuACAAIAAgACAAIAAgAEwAQQBNAEIARABBACgAcgAsAGMALABcAG4AIAAgACAAIAAgACAAIAAgAEkATgBEAEUAWAAoAHsAXABuACAAIAAgACAAIAAgACAAIAAgACAAXAAiAE0AUABfAGoAawA1AFwAIgAsACAAXAAiAG0AaQBsAGsAIABwAHIAbwBkAHUAYwB0AGkAbwBuACAAKABrAGcALwBoAGUAYQBkAC8AZABhAHkAKQBcACIALAAgAFwAIgBrAGcALwBoAGUAYQBkAC8AZABhAHkAXAAiACwAIABcACIAQwBhAGwAYwB1AGwAYQB0AGUAZAAgAGYAcgBvAG0AIAA0AC4AMgAuADEALgAzACAAKAA1ACkAXAAiADsAXABuACAAIAAgACAAIAAgACAAIAAgACAAXAAiAEwAXwBqAGsAbABcACIALAAgAFwAIgBpAG4AdABhAGsAZQAgAHIAZQBsAGEAdABpAHYAZQAgAHQAbwAgAHQAaABhAHQAIABuAGUAZQBkAGUAZAAgAGYAbwByACAAbQBhAGkAbgB0AGUAbgBhAG4AYwBlAFwAIgAsACAAXAAiAFwAIgAsACAAXAAiAEMAYQBsAGMAdQBsAGEAdABlAGQAIABmAHIAbwBtACAANAAuADIALgAxAC4AMwAgACgANgApAFwAIgA7AFwAbgAgACAAIAAgACAAIAAgACAAIAAgAFwAIgBaAF8AagBrAGwAXAAiACwAIABcACIAcgBlAGwAYQB0AGkAdgBlACAAcwBpAHoAZQBcACIALAAgAFwAIgBcACIALAAgAFwAIgBDAGEAbABjAHUAbABhAHQAZQBkACAAZgByAG8AbQAgADQALgAyAC4AMQAuADMAIAAoADcAKQBcACIAOwBcAG4AIAAgACAAIAAgACAAIAAgACAAIABcACIATABXAEcAXwBqAGsAbABcACIALAAgAFwAIgBsAGkAdgBlAHcAZQBpAGcAaAB0ACAAZwBhAGkAbgAgACgAawBnAC8AaABlAGEAZAAvAGQAYQB5ACkAXAAiACwAIABcACIAawBnAC8AaABlAGEAZAAvAGQAYQB5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1AF8ATQBpAGwAawBQAHIAbwBkAHUAYwB0AGkAbwBuAEYAbwByAEMAYQBsAHYAaQBuAGcAUwBlAGEAcwBvAG4AXABuAE0AaQBsAGsAIABwAHIAbwBkAHUAYwB0AGkAbwBuACAAZgBvAHIAIAB0AGgAZQAgAHMAZQBhAHMAbwBuACAAbwBmACAAYwBhAGwAdgBpAG4AZwAgAGEAbgBkACAAcwBlAGEAcwBvAG4AIABhAGYAdABlAHIAIABjAGEAbAB2AGkAbgBnAFwAbgBNAFAAXwBqAGsANQBcAG4AawBnAC8AaABlAGEAZAAvAGQAYQB5AFwAbgBNAFAAXwB7AGoAawA9ADUAfQA9AEwAQwBfAHsAagBrAD0ANQB9AFwAXAB0AGkAbQBlAHMAIABEAE0AUABfAHsAagBrAD0ANQB9AFwAbgBMAEMAXwBqAGsANQAgAD0AIA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bgBEAE0AUABfAGoAawA1ACAAPQAgAGQAYQBpAGwAeQAgAG0AaQBsAGsAIABwAHIAbwBkAHUAYwB0AGkAbwBuACAAKABrAGcALwBoAGUAYQBkAC8AZABhAHkAKQBcAG4ALQAtAC0ALQAtAC0ALQAtAC0ALQAtAC0ALQAtAC0ALQAtAC0ALQAtAC0ALQAtAC0ALQAtAC0ALQAtAC0ALQAtAC0ALQAtAC0ALQAtAFwAbgAqAC8AXABuAFwAbgBWAEUARQBSAEcAXwA0AF8AMgBfADEAXwAzAF8AXwA1AF8ATQBpAGwAawBQAHIAbwBkAHUAYwB0AGkAbwBuAEYAbwByAEMAYQBsAHYAaQBuAGcAUwBlAGEAcwBvAG4AXABuACAAIAA9AEwAQQBNAEIARABBACgAXABuACAAIAAgACAATABDAF8AagBrADUALAAgAEQATQBQAF8AagBrADUALABcAG4AIAAgACAAIABMAEMAXwBqAGsANQAgACoAIABEAE0AUABfAGoAawA1AFwAbgAgACAAKQA7AFwAbgBcAG4AVgBFAEUAUgBHAF8ANABfADIAXwAxAF8AMwBfAF8ANQBfAE0AaQBsAGsAUAByAG8AZAB1AGMAdABpAG8AbgBGAG8AcgBDAGEAbAB2AGkAbgBnAFMAZQBhAHMAbwBuAFYAYQByAGkAYQB0AGkAbwBuAFwAbgAgACAAPQBMAEEATQBCAEQAQQAoAFwAbgAgACAAIAAgAEwAQwBfAGoAawA1AGMAdQByAHIALAAgAEwAQwBfAGoAawA1AHAAcgBlAHYALAAgAEQATQBQAF8AagBrADUAYwBhAGwAdgAsACAARABNAFAAXwBqAGsANQBhAGYAdABlAHIALABcAG4AIAAgACAAIAAoAEwAQwBfAGoAawA1AGMAdQByAHIAIAAqACAARABNAFAAXwBqAGsANQBjAGEAbAB2ACkAIAArACAAKABMAEMAXwBqAGsANQBwAHIAZQB2ACAAKgAgAEQATQBQAF8AagBrADUAYQBmAHQAZQByACkAXABuACAAIAApADsAXABuAFwAbgBWAEUARQBSAEcAXwA0AF8AMgBfADEAXwAzAF8AXwA1AF8ATQBpAGwAawBQAHIAbwBkAHUAYwB0AGkAbwBuAEYAbwByAEMAYQBsAHYAaQBuAGcAUwBlAGEAcwBvAG4AXwBUAGkAdABsAGUAXABuACAAIAA9AEwAQQBNAEIARABBACgAXAAiAE0AaQBsAGsAIABwAHIAbwBkAHUAYwB0AGkAbwBuACAAZgBvAHIAIAB0AGgAZQAgAHMAZQBhAHMAbwBuACAAbwBmACAAYwBhAGwAdgBpAG4AZwAgAGEAbgBkACAAcwBlAGEAcwBvAG4AIABhAGYAdABlAHIAIABjAGEAbAB2AGkAbgBnAFwAIgApADsAXABuAFwAbgBWAEUARQBSAEcAXwA0AF8AMgBfADEAXwAzAF8AXwA1AF8ATQBpAGwAawBQAHIAbwBkAHUAYwB0AGkAbwBuAEYAbwByAEMAYQBsAHYAaQBuAGcAUwBlAGEAcwBvAG4AXwBWAGEAcgBpAGEAYgBsAGUAXABuACAAIAA9AEwAQQBNAEIARABBACgAXAAiAE0AUABfAGoAawA1AFwAIgApADsAXABuAFwAbgBWAEUARQBSAEcAXwA0AF8AMgBfADEAXwAzAF8AXwA1AF8ATQBpAGwAawBQAHIAbwBkAHUAYwB0AGkAbwBuAEYAbwByAEMAYQBsAHYAaQBuAGcAUwBlAGEAcwBvAG4AXwBVAG4AaQB0AFwAbgAgACAAPQBMAEEATQBCAEQAQQAoAFwAIgBrAGcALwBoAGUAYQBkAC8AZABhAHkAXAAiACkAOwBcAG4AXABuAFYARQBFAFIARwBfADQAXwAyAF8AMQBfADMAXwBfADUAXwBNAGkAbABrAFAAcgBvAGQAdQBjAHQAaQBvAG4ARgBvAHIAQwBhAGwAdgBpAG4AZwBTAGUAYQBzAG8AbgBfAFMAbwB1AHIAYwBlAFwAbgAgACAAPQBMAEEATQBCAEQAQQAoAFwAIgBWAEUARQBSAEcAIAAyADAAMgA2ADoAIAA0AC4AMgAuADEALgAzACwAIABFAHEAdQBhAHQAaQBvAG4AIAAoADUAKQBcACIAKQA7AFwAbgBcAG4AVgBFAEUAUgBHAF8ANABfADIAXwAxAF8AMwBfAF8ANQBfAE0AaQBsAGsAUAByAG8AZAB1AGMAdABpAG8AbgBGAG8AcgBDAGEAbAB2AGkAbgBnAFMAZQBhAHMAbwBuAF8ATgBJAFIAUgBlAGYAZQByAGUAbgBjAGUAXABuACAAIAA9AEwAQQBNAEIARABBACgAXAAiAFwAIgApADsAXABuAFwAbgBWAEUARQBSAEcAXwA0AF8AMgBfADEAXwAzAF8AXwA1AF8ATQBpAGwAawBQAHIAbwBkAHUAYwB0AGkAbwBuAEYAbwByAEMAYQBsAHYAaQBuAGcAUwBlAGEAcwBvAG4AXwBMAGEAdABlAHgARQBxAHUAYQB0AGkAbwBuAFwAbgAgACAAPQBMAEEATQBCAEQAQQAoAFwAIgBNAFAAXwB7AGoAawA9ADUAfQA9AEwAQwBfAHsAagBrAD0ANQB9AFwAXAB0AGkAbQBlAHMAIABEAE0AUABfAHsAagBrAD0ANQB9AFwAIgApADsAXABuAFwAbgBWAEUARQBSAEcAXwA0AF8AMgBfADEAXwAzAF8AXwA1AF8ATQBpAGwAawBQAHIAbwBkAHUAYwB0AGkAbwBuAEYAbwByAEMAYQBsAHYAaQBuAGcAUwBlAGEAcwBvAG4AXwBMAGEAdABlAHgARQBxAHUAYQB0AGkAbwBuAFYAYQByAGkAYQB0AGkAbwBuAFwAbgAgACAAPQBMAEEATQBCAEQAQQAoAFwAIgBNAFAAXwB7AGoAawA9ADUAfQA9ACgATABDAF8AewBqAGsAPQA1ACwAYwB1AHIAcgBlAG4AdAB9AFwAXAB0AGkAbQBlAHMAIABEAE0AUABfAHsAagBrAD0ANQAsAGMAYQBsAHYAfQApACsAKABMAEMAXwB7AGoAawA9ADUALABwAHIAZQB2AH0AXABcAHQAaQBtAGUAcwAgAEQATQBQAF8AewBqAGsAPQA1ACwAYQBmAHQAZQByAH0AKQBcACIAKQA7AFwAbgBcAG4AVgBFAEUAUgBHAF8ANABfADIAXwAxAF8AMwBfAF8ANQBfAE0AaQBsAGsAUAByAG8AZAB1AGMAdABpAG8AbgBGAG8AcgBDAGEAbAB2AGkAbgBnAFMAZQBhAHMAbwBuAF8AQQByAGcAdQBtAGUAbgB0AHMAXABuACAAIAA9AEwAQQBNAEIARABBACgAXABuACAAIAAgACAATQBBAEsARQBBAFIAUgBBAFkAKAAzACwAIAA0ACwAXABuACAAIAAgACAAIAAgAEwAQQBNAEIARABBACgAcgAsAGMALABcAG4AIAAgACAAIAAgACAAIAAgAEkATgBEAEUAWAAoAHsAXABuACAAIAAgACAAIAAgACAAIAAgACAAXAAiAEwAQwBfAGoAawA1AFwAIgAsACAAXAAi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AiACwAIABcACIAZgByAGEAYwB0AGkAbwBuAFwAIgAsACAAXAAiAEkAbgBwAHUAdABcACIAOwBcAG4AIAAgACAAIAAgACAAIAAgACAAIABcACIARABNAFAAXwBqAGsANQBcACIALAAgAFwAIgBkAGEAaQBsAHkAIABtAGkAbABrACAAcAByAG8AZAB1AGMAdABpAG8AbgAgACgAawBnAC8AaABlAGEAZAAvAGQAYQB5ACkAXAAiACwAIABcACIAawBnAC8AaABlAGEAZAAvAGQAYQB5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0AF8AMgBfADEAXwAzAF8AXwA1AF8ATQBpAGwAawBQAHIAbwBkAHUAYwB0AGkAbwBuAEYAbwByAEMAYQBsAHYAaQBuAGcAUwBlAGEAcwBvAG4AXwBBAHIAZwB1AG0AZQBuAHQAcwBWAGEAcgBpAGEAdABpAG8AbgBcAG4AIAAgAD0ATABBAE0AQgBEAEEAKABcAG4AIAAgACAAIABNAEEASwBFAEEAUgBSAEEAWQAoADUALAAgADQALABcAG4AIAAgACAAIAAgACAATABBAE0AQgBEAEEAKAByACwAYwAsAFwAbgAgACAAIAAgACAAIAAgACAASQBOAEQARQBYACgAewBcAG4AIAAgACAAIAAgACAAIAAgACAAIABcACIATABDAF8AagBrADUAYwB1AHIAcgBcACIALAAgAFwAIgBwAHIAbwBwAG8AcgB0AGkAbwBuACAAbwBmACAAYwBvAHcAcwAgAGcAcgBlAGEAdABlAHIAIAB0AGgAYQBuACAAMgAgAHkAZQBhAHIAcwAgAGwAYQBjAHQAYQB0AGkAbgBnACAAZgBvAHIAIAB0AGgAZQAgAHMAZQBhAHMAbwBuACAAbwBmACAAYwBhAGwAdgBpAG4AZwBcACIALAAgAFwAIgBmAHIAYQBjAHQAaQBvAG4AXAAiACwAIABcACIASQBuAHAAdQB0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sACAAXAAiAGYAcgBhAGMAdABpAG8AbgBcACIALAAgAFwAIgBJAG4AcAB1AHQAXAAiADsAXABuACAAIAAgACAAIAAgACAAIAAgACAAXAAiAEQATQBQAF8AagBrADUAYwBhAGwAdgBcACIALAAgAFwAIgBkAGEAaQBsAHkAIABtAGkAbABrACAAcAByAG8AZAB1AGMAdABpAG8AbgAgAGYAbwByACAAdABoAGUAIABzAGUAYQBzAG8AbgAgAG8AZgAgAGMAYQBsAHYAaQBuAGcAIAAoAGsAZwAvAGgAZQBhAGQALwBkAGEAeQApAFwAIgAsACAAXAAiAGsAZwAvAGgAZQBhAGQALwBkAGEAeQBcACIALAAgAFwAIgBDAG8AbgBzAHQAYQBuAHQAXAAiADsAXABuACAAIAAgACAAIAAgACAAIAAgACAAXAAiAEQATQBQAF8AagBrADUAYQBmAHQAZQByAFwAIgAsACAAXAAiAGQAYQBpAGwAeQAgAG0AaQBsAGsAIABwAHIAbwBkAHUAYwB0AGkAbwBuACAAZgBvAHIAIAB0AGgAZQAgAHMAZQBhAHMAbwBuACAAYQBmAHQAZQByACAAYwBhAGwAdgBpAG4AZwAgACgAawBnAC8AaABlAGEAZAAvAGQAYQB5ACkAXAAiACwAIABcACIAawBnAC8AaABlAGEAZAAvAGQAYQB5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0AF8AMgBfADEAXwAzAF8AXwA1AF8ATQBpAGwAawBQAHIAbwBkAHUAYwB0AGkAbwBuAEYAbwByAEMAYQBsAHYAaQBuAGcAUwBlAGEAcwBvAG4AXwBWAGEAcgBpAGEAdABpAG8AbgBcAG4APQBMAEEATQBCAEQAQQAoAFwAIgBWAEEAUgBJAEEAVABJAE8ATgAgAE8ATgAgAFMATwBVAFIAQwBFADoAIABTAHAAbABpAHQAIABMAEMAIABhAG4AZAAgAEQATQBQACAAaQBuAHQAbwAgAGMAYQBsAHYAaQBuAGcAIABzAGUAYQBzAG8AbgAgAGEAbgBkACAAYQBmAHQAZQByACAAYwBhAGwAdgBpAG4AZwAgAHMAZQBhAHMAbwBuACAAdgBhAGwAdQBlAHMALgBcACIAKQA7AFwAbgBcAG4ALwAqAFwAbgAtAC0ALQAtAC0ALQAtAC0ALQAtAC0ALQAtAC0ALQAtAC0ALQAtAC0ALQAtAC0ALQAtAC0ALQAtAC0ALQAtAC0ALQAtAC0ALQAtAC0AXABuAFYARQBFAFIARwBfADQAXwAyAF8AMQBfADMAXwBfADYAXwBJAG4AdABhAGsAZQBSAGUAbABhAHQAaQB2AGUAVABvAE0AYQBpAG4AdABlAG4AYQBuAGMAZQBcAG4ASQBuAHQAYQBrAGUAIAByAGUAbABhAHQAaQB2AGUAIAB0AG8AIAB0AGgAYQB0ACAAbgBlAGUAZABlAGQAIABmAG8AcgAgAG0AYQBpAG4AdABlAG4AYQBuAGMAZQBcAG4ATABfAGoAawBsAFwAbgByAGEAdABpAG8AXABuAEwAXwB7AGoAawBsAH0APQBcAFwAZgByAGEAYwB7AEkAXwB7AGoAawBsAH0AfQB7ACgAMQAuADEAOAA1ACsAMAAuADAAMAA0ADUANABcAFwAdABpAG0AZQBzACAAVwBfAHsAagBrAGwAfQAtADAALgAwADAAMAAwADAAMgA2AFwAXAB0AGkAbQBlAHMAIABXAF8AewBqAGsAbAB9AF4AewAyAH0AKQBeAHsAMgB9AH0AXABuAEkAXwBqAGsAbAAgAD0AIABkAHIAeQAgAG0AYQB0AHQAZQByACAAaQBuAHQAYQBrAGUAIABhAHMAIABjAGEAbABjAHUAbABhAHQAZQBkACAAaQBuACAAQwBoAGEAcAB0AGUAcgAgADMAIABTAGUAYwB0AGkAbwBuACAAMwAuADIALgAxACAAKABrAGcAIABEAE0ALwBoAGUAYQBkAC8AZABhAHkAKQBcAG4AVwBfAGoAawBsACAAPQAgAGwAaQB2AGUAdwBlAGkAZwBoAHQAIAAoAGsAZwAvAGgAZQBhAGQAKQBcAG4ALQAtAC0ALQAtAC0ALQAtAC0ALQAtAC0ALQAtAC0ALQAtAC0ALQAtAC0ALQAtAC0ALQAtAC0ALQAtAC0ALQAtAC0ALQAtAC0ALQAtAFwAbgAqAC8AXABuAFwAbgBWAEUARQBSAEcAXwA0AF8AMgBfADEAXwAzAF8AXwA2AF8ASQBuAHQAYQBrAGUAUgBlAGwAYQB0AGkAdgBlAFQAbwBNAGEAaQBuAHQAZQBuAGEAbgBjAGUAXABuACAAIAA9AEwAQQBNAEIARABBACgAXABuACAAIAAgACAASQBfAGoAawBsACwAIABXAF8AagBrAGwALABcAG4AIAAgACAAIABJAF8AagBrAGwAIAAvACAAKAAoADEALgAxADgANQAgACsAIAAwAC4AMAAwADQANQA0ACAAKgAgAFcAXwBqAGsAbAAgAC0AIAAwAC4AMAAwADAAMAAwADIANgAgACoAIABXAF8AagBrAGwAIABeACAAMgApACAAXgAgADIAKQBcAG4AIAAgACkAOwBcAG4AXABuAFYARQBFAFIARwBfADQAXwAyAF8AMQBfADMAXwBfADYAXwBJAG4AdABhAGsAZQBSAGUAbABhAHQAaQB2AGUAVABvAE0AYQBpAG4AdABlAG4AYQBuAGMAZQBfAFQAaQB0AGwAZQBcAG4AIAAgAD0ATABBAE0AQgBEAEEAKABcACIASQBuAHQAYQBrAGUAIAByAGUAbABhAHQAaQB2AGUAIAB0AG8AIAB0AGgAYQB0ACAAbgBlAGUAZABlAGQAIABmAG8AcgAgAG0AYQBpAG4AdABlAG4AYQBuAGMAZQBcACIAKQA7AFwAbgBcAG4AVgBFAEUAUgBHAF8ANABfADIAXwAxAF8AMwBfAF8ANgBfAEkAbgB0AGEAawBlAFIAZQBsAGEAdABpAHYAZQBUAG8ATQBhAGkAbgB0AGUAbgBhAG4AYwBlAF8AVgBhAHIAaQBhAGIAbABlAFwAbgAgACAAPQBMAEEATQBCAEQAQQAoAFwAIgBMAF8AagBrAGwAXAAiACkAOwBcAG4AXABuAFYARQBFAFIARwBfADQAXwAyAF8AMQBfADMAXwBfADYAXwBJAG4AdABhAGsAZQBSAGUAbABhAHQAaQB2AGUAVABvAE0AYQBpAG4AdABlAG4AYQBuAGMAZQBfAFUAbgBpAHQAXABuACAAIAA9AEwAQQBNAEIARABBACgAXAAiAHIAYQB0AGkAbwBcACIAKQA7AFwAbgBcAG4AVgBFAEUAUgBHAF8ANABfADIAXwAxAF8AMwBfAF8ANgBfAEkAbgB0AGEAawBlAFIAZQBsAGEAdABpAHYAZQBUAG8ATQBhAGkAbgB0AGUAbgBhAG4AYwBlAF8AUwBvAHUAcgBjAGUAXABuACAAIAA9AEwAQQBNAEIARABBACgAXAAiAFYARQBFAFIARwAgADIAMAAyADYAOgAgADQALgAyAC4AMQAuADMALAAgAEUAcQB1AGEAdABpAG8AbgAgACgANgApAFwAIgApADsAXABuAFwAbgBWAEUARQBSAEcAXwA0AF8AMgBfADEAXwAzAF8AXwA2AF8ASQBuAHQAYQBrAGUAUgBlAGwAYQB0AGkAdgBlAFQAbwBNAGEAaQBuAHQAZQBuAGEAbgBjAGUAXwBOAEkAUgBSAGUAZgBlAHIAZQBuAGMAZQBcAG4AIAAgAD0ATABBAE0AQgBEAEEAKABcACIAXAAiACkAOwBcAG4AXABuAFYARQBFAFIARwBfADQAXwAyAF8AMQBfADMAXwBfADYAXwBJAG4AdABhAGsAZQBSAGUAbABhAHQAaQB2AGUAVABvAE0AYQBpAG4AdABlAG4AYQBuAGMAZQBfAEwAYQB0AGUAeABFAHEAdQBhAHQAaQBvAG4AXABuACAAIAA9AEwAQQBNAEIARABBACgAXAAiAEwAXwB7AGoAawBsAH0APQBcAFwAZgByAGEAYwB7AEkAXwB7AGoAawBsAH0AfQB7ACgAMQAuADEAOAA1ACsAMAAuADAAMAA0ADUANABcAFwAdABpAG0AZQBzACAAVwBfAHsAagBrAGwAfQAtADAALgAwADAAMAAwADAAMgA2AFwAXAB0AGkAbQBlAHMAIABXAF8AewBqAGsAbAB9AF4AewAyAH0AKQBeAHsAMgB9AH0AXAAiACkAOwBcAG4AXABuAFYARQBFAFIARwBfADQAXwAyAF8AMQBfADMAXwBfADYAXwBJAG4AdABhAGsAZQBSAGUAbABhAHQAaQB2AGUAVABvAE0AYQBpAG4AdABlAG4AYQBuAGMAZQBfAEEAcgBnAHUAbQBlAG4AdABzAFwAbgAgACAAPQBMAEEATQBCAEQAQQAoAFwAbgAgACAAIAAgAE0AQQBLAEUAQQBSAFIAQQBZACgAMg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CwAIABcACIAawBnACAARABNAC8AaABlAGEAZAAvAGQAYQB5AFwAIgAsACAAXAAiAEMAYQBsAGMAdQBsAGEAdABlAGQAIABmAHIAbwBtACAAMwAuADIALgAxAC4AMQAgACgAMwApAFwAIgA7AFwAbgAgACAAIAAgACAAIAAgACAAIAAgAFwAIgBXAF8AagBrAGwAXAAiACwAIABcACIAbABpAHYAZQB3AGUAaQBnAGgAdAAgACgAawBnAC8AaABlAGEAZAApAFwAIgAsACAAXAAiAGsAZwAv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cAXwBSAGUAbABhAHQAaQB2AGUAUwBpAHoAZQBcAG4AUgBlAGwAYQB0AGkAdgBlACAAcwBpAHoAZQAgAG8AZgAgAHQAaABlACAAYwBhAHQAdABsAGUAXABuAFoAXwBqAGsAbABcAG4AcgBhAHQAaQBvAFwAbgBaAF8AewBqAGsAbAB9AD0AXABcAGYAcgBhAGMAewBXAF8AewBqAGsAbAB9AH0AewBTAFIAVwBfAGsAfQBcAG4AVwBfAGoAawBsACAAPQAgAGwAaQB2AGUAdwBlAGkAZwBoAHQAIAAoAGsAZwApAFwAbgBTAFIAVwBfAGsAIAA9ACAAcwB0AGEAbgBkAGEAcgBkACAAcgBlAGYAZQByAGUAbgBjAGUAIAB3AGUAaQBnAGgAdAAgACgAawBnACkAXABuAC0ALQAtAC0ALQAtAC0ALQAtAC0ALQAtAC0ALQAtAC0ALQAtAC0ALQAtAC0ALQAtAC0ALQAtAC0ALQAtAC0ALQAtAC0ALQAtAC0ALQBcAG4AKgAvAFwAbgBcAG4AVgBFAEUAUgBHAF8ANABfADIAXwAxAF8AMwBfAF8ANwBfAFIAZQBsAGEAdABpAHYAZQBTAGkAegBlAFwAbgAgACAAPQBMAEEATQBCAEQAQQAoAFwAbgAgACAAIAAgAFcAXwBqAGsAbAAsACAAUwBSAFcAXwBrACwAXABuACAAIAAgACAAVwBfAGoAawBsACAALwAgAFMAUgBXAF8AawBcAG4AIAAgACkAOwBcAG4AXABuAFYARQBFAFIARwBfADQAXwAyAF8AMQBfADMAXwBfADcAXwBSAGUAbABhAHQAaQB2AGUAUwBpAHoAZQBfAFQAaQB0AGwAZQBcAG4AIAAgAD0ATABBAE0AQgBEAEEAKABcACIAUgBlAGwAYQB0AGkAdgBlACAAcwBpAHoAZQAgAG8AZgAgAHQAaABlACAAYwBhAHQAdABsAGUAXAAiACkAOwBcAG4AXABuAFYARQBFAFIARwBfADQAXwAyAF8AMQBfADMAXwBfADcAXwBSAGUAbABhAHQAaQB2AGUAUwBpAHoAZQBfAFYAYQByAGkAYQBiAGwAZQBcAG4AIAAgAD0ATABBAE0AQgBEAEEAKABcACIAWgBfAGoAawBsAFwAIgApADsAXABuAFwAbgBWAEUARQBSAEcAXwA0AF8AMgBfADEAXwAzAF8AXwA3AF8AUgBlAGwAYQB0AGkAdgBlAFMAaQB6AGUAXwBVAG4AaQB0AFwAbgAgACAAPQBMAEEATQBCAEQAQQAoAFwAIgByAGEAdABpAG8AXAAiACkAOwBcAG4AXABuAFYARQBFAFIARwBfADQAXwAyAF8AMQBfADMAXwBfADcAXwBSAGUAbABhAHQAaQB2AGUAUwBpAHoAZQBfAFMAbwB1AHIAYwBlAFwAbgAgACAAPQBMAEEATQBCAEQAQQAoAFwAIgBWAEUARQBSAEcAIAAyADAAMgA2ADoAIAA0AC4AMgAuADEALgAzACwAIABFAHEAdQBhAHQAaQBvAG4AIAAoADcAKQBcACIAKQA7AFwAbgBcAG4AVgBFAEUAUgBHAF8ANABfADIAXwAxAF8AMwBfAF8ANwBfAFIAZQBsAGEAdABpAHYAZQBTAGkAegBlAF8ATgBJAFIAUgBlAGYAZQByAGUAbgBjAGUAXABuACAAIAA9AEwAQQBNAEIARABBACgAXAAiAFwAIgApADsAXABuAFwAbgBWAEUARQBSAEcAXwA0AF8AMgBfADEAXwAzAF8AXwA3AF8AUgBlAGwAYQB0AGkAdgBlAFMAaQB6AGUAXwBMAGEAdABlAHgARQBxAHUAYQB0AGkAbwBuAFwAbgAgACAAPQBMAEEATQBCAEQAQQAoAFwAIgBaAF8AewBqAGsAbAB9AD0AXABcAGYAcgBhAGMAewBXAF8AewBqAGsAbAB9AH0AewBTAFIAVwBfAGsAfQBcACIAKQA7AFwAbgBcAG4AVgBFAEUAUgBHAF8ANABfADIAXwAxAF8AMwBfAF8ANwBfAFIAZQBsAGEAdABpAHYAZQBTAGkAegBlAF8AQQByAGcAdQBtAGUAbgB0AHMAXABuACAAIAA9AEwAQQBNAEIARABBACgAXABuACAAIAAgACAATQBBAEsARQBBAFIAUgBBAFkAKAAzACwAIAA0ACwAXABuACAAIAAgACAAIAAgAEwAQQBNAEIARABBACgAcgAsAGMALABcAG4AIAAgACAAIAAgACAAIAAgAEkATgBEAEUAWAAoAHsAXABuACAAIAAgACAAIAAgACAAIAAgACAAXAAiAFcAXwBqAGsAbABcACIALAAgAFwAIgBsAGkAdgBlAHcAZQBpAGcAaAB0ACAAKABrAGcAKQBcACIALAAgAFwAIgBrAGcAXAAiACwAIABcACIASQBuAHAAdQB0AFwAIgA7AFwAbgAgACAAIAAgACAAIAAgACAAIAAgAFwAIgBTAFIAVwBfAGsAXAAiACwAIABcACIAcwB0AGEAbgBkAGEAcgBkACAAcgBlAGYAZQByAGUAbgBjAGUAIAB3AGUAaQBnAGgAdAAgACgAawBnACkAXAAiACwAIABcACIAawBnAFwAIgAsACAAXAAiAEMAbwBuAHMAdABhAG4AdABcACIAOwBcAG4AIAAgACAAIAAgACAAIAAgACAAIABcACIAaQBcACIALAAgAFwAIgBzAHQAYQB0AGUAXAAiACwAIABcACIAXAAiACwAIABcACIASQBuAHAAdQB0AFwAIgBcAG4AIAAgACAAIAAgACAAIAAgAH0ALAAgAHIALAAgAGMAKQBcAG4AIAAgACAAIAAgACAAKQBcAG4AIAAgACAAIAApAFwAbgAgACAAKQA7AFwAbgAiAH0ALAB7ACIAcABhAHQAaAAiADoAIgAvAHAAcgBvAGoAZQBjAHQAcwAvAE0ATQBTAF8AUABhAHMAdAB1AHIAZQBCAGUAZQBm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QAgAE0AZQB0AGgAbwBkACAAMQAgAC0AIABTAG8AaQBsACAAQQB0AG0AbwBzAHAAaABlAHIAaQBjACAARABlAHAAbwBzAGkAdABpAG8Ab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1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fQBcAFwAdABpAG0AZQBzACAARQBGAF8AewBOADIATwB9AFwAXAB0AGkAbQBlAHMAIABDAF8AewBOADIATwB9AFwAXAB0AGkAbQBlAHMAIAAxADAAXgB7AC0AMwB9AFwAbgBNAF8AdgBvAGw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QBfAF8AMQBfAEEAdABtAG8AcwBwAGgAZQByAGkAYwBEAGUAcABvAHMAaQB0AGkAbwBuAEUAbQBpAHMAcwBpAG8AbgBzAEYAcgBvAG0AVQByAGkAbgBlAEEAbgBkAEQAdQBuAGcATwBuAFAAYQBzAHQAdQByAGUAXABuACAAIAA9AEwAQQBNAEIARABBACgAXABuACAAIAAgACAATQBfAHYAbwBsACwAIABFAEYAXwBOADIATwAsACAAQwBfAE4AMgBPACwAXABuACAAIAAgACAATQBfAHYAbwBsACAAKgAgAEUARgBfAE4AMgBPACAAKgAgAEMAXwBOADIATwAgACoAIAAxADAAIABeACAALQAzAFwAbgAgACAAKQA7AFwAbgBcAG4AVgBFAEUAUgBHAF8ANABfADIAXwAxAF8ANQBfAF8AMQBfAEEAdABtAG8AcwBwAGgAZQByAGkAYwBEAGUAcABvAHMAaQB0AGkAbwBuAEUAbQBpAHMAcwBpAG8AbgBzAEYAcgBvAG0AVQByAGkAbgBlAEEAbgBkAEQAdQBuAGcATwBuAFAAYQBzAHQAdQByAGUAXwBUAGkAdABsAGUAXABuACAAIAA9AEwAQQBNAEIARABBACgAXAAiAEEAdABtAG8AcwBwAGgAZQByAGkAYwAgAGQAZQBwAG8AcwBpAHQAaQBvAG4AIABlAG0AaQBzAHMAaQBvAG4AcwAgAGYAcgBvAG0AIAB1AHIAaQBuAGUAIABhAG4AZAAgAGQAdQBuAGcAIABkAGUAcABvAHMAaQB0AGUAZAAgAG8AbgAgAHAAYQBzAHQAdQByAGUAXAAiACkAOwBcAG4AXABuAFYARQBFAFIARwBfADQAXwAyAF8AMQBfADU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gBfADEAXwA1AF8AXwAxAF8AQQB0AG0AbwBzAHAAaABlAHIAaQBjAEQAZQBwAG8AcwBpAHQAaQBvAG4ARQBtAGkAcwBzAGkAbwBuAHMARgByAG8AbQBVAHIAaQBuAGUAQQBuAGQARAB1AG4AZwBPAG4AUABhAHMAdAB1AHIAZQBfAFUAbgBpAHQAXABuACAAIAA9AEwAQQBNAEIARABBACgAXAAiAHQAIABOADIATwBcACIAKQA7AFwAbgBcAG4AVgBFAEUAUgBHAF8ANABfADIAXwAxAF8ANQBfAF8AMQBfAEEAdABtAG8AcwBwAGgAZQByAGkAYwBEAGUAcABvAHMAaQB0AGkAbwBuAEUAbQBpAHMAcwBpAG8AbgBzAEYAcgBvAG0AVQByAGkAbgBlAEEAbgBkAEQAdQBuAGcATwBuAFAAYQBzAHQAdQByAGUAXwBTAG8AdQByAGMAZQBcAG4AIAAgAD0ATABBAE0AQgBEAEEAKABcACIAVgBFAEUAUgBHACAAMgAwADIANgA6ACAANAAuADIALgAxAC4ANQAsACAARQBxAHUAYQB0AGkAbwBuACAAKAAxACkAXAAiACkAOwBcAG4AXABuAFYARQBFAFIARwBfADQAXwAyAF8AMQBfADUAXwBfADEAXwBBAHQAbQBvAHMAcABoAGUAcgBpAGMARABlAHAAbwBzAGkAdABpAG8AbgBFAG0AaQBzAHMAaQBvAG4AcwBGAHIAbwBtAFUAcgBpAG4AZQBBAG4AZABEAHUAbgBnAE8AbgBQAGEAcwB0AHUAcgBlAF8ATgBJAFIAUgBlAGYAZQByAGUAbgBjAGUAXABuACAAIAA9AEwAQQBNAEIARABBACgAXAAiAFwAIgApADsAXABuAFwAbgBWAEUARQBSAEcAXwA0AF8AMgBfADEAXwA1AF8AXwAxAF8AQQB0AG0AbwBzAHAAaABlAHIAaQBjAEQAZQBwAG8AcwBpAHQAaQBvAG4ARQBtAGkAcwBzAGkAbwBuAHMARgByAG8AbQBVAHIAaQBuAGUAQQBuAGQARAB1AG4AZwBPAG4AUABhAHMAdAB1AHIAZQBfAEwAYQB0AGUAeABFAHEAdQBhAHQAaQBvAG4AXABuACAAIAA9AEwAQQBNAEIARABBACgAXAAiAEUAXwB7AE4AMgBPACwAYQBkAH0APQBNAF8AewB2AG8AbAB9AFwAXAB0AGkAbQBlAHMAIABFAEYAXwB7AE4AMgBPAH0AXABcAHQAaQBtAGUAcwAgAEMAXwB7AE4AMgBPAH0AXABcAHQAaQBtAGUAcwAgADEAMABeAHsALQAzAH0AXAAiACkAOwBcAG4AXABuAFYARQBFAFIARwBfADQAXwAyAF8AMQBfADUAXwBfADEAXwBBAHQAbQBvAHMAcABoAGUAcgBpAGMARABlAHAAbwBzAGkAdABpAG8AbgBFAG0AaQBzAHMAaQBvAG4AcwBGAHIAbwBtAFUAcgBpAG4AZQBBAG4AZABEAHUAbgBn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cACIALAAgAFwAIgBtAGEAcwBzACAAbwBmACAAbgBpAHQAcgBvAGcAZQBuACAAdgBvAGwAYQB0AGkAbABpAHMAZQBkACAAZgByAG8AbQAgAHUAcgBpAG4AZQAgAGEAbgBkACAAZgBhAGUAYwBlAHMAIABkAGUAcABvAHMAaQB0AGUAZAAgAG8AbgAgAHAAYQBzAHQAdQByAGUAXAAiACwAIABcACIAawBnACAATgBcACIALAAgAFwAIgBDAGEAbABjAHUAbABhAHQAZQBkACAAZgByAG8AbQAgADQALgAy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XAAiACwAIABcACIAaQByAHIAaQBnAGEAdABpAG8AbgAgAG0AZQB0AGgAbwBkAFwAIgAsACAAXAAiAFwAIgAsACAAXAAiAEkAbgBwAHUAdABcACIAOwBcAG4AIAAgACAAIAAgACAAIAAgACAAIABcACIAcgBcACIALAAgAFwAIgByAGEAaQBuAGYAYQBsAGwAIAB6AG8Ab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AsACAAXAAiAGYAcgBhAGMAdABpAG8AbgBcACIALAAgAFwAIgBDAG8AbgBzAHQAYQBuAHQAXAAiAFwAbgAgACAAIAAgACAAIAAgACAAfQAsACAAcgAsACAAYwApAFwAbgAgACAAIAAgACAAIAApAFwAbgAgACAAIAAgACkAXABuACAAIAApADsAXABuACIAfQAsAHsAIgBwAGEAdABoACIAOgAiAC8AcAByAG8AagBlAGMAdABzAC8ATQBNAFMAXwBQAGEAcwB0AHUAcgBlAEIAZQBlAGYAXwBTAG8AaQBsAF8ATABlAGEAYwBoAGkAbgBnAEEAbgBkAFIAdQBuAG8AZgBm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cAIABNAGUAdABoAG8AZAAgADEAIAAtACAAUwBvAGkAbAAgAEwAZQBhAGMAaABpAG4AZwAgAEEAbgBkACAAUgB1AG4AbwBmAGY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wBfAF8AMQBfAEwAZQBhAGMAaABpAG4AZwBBAG4AZABSAHUAbgBvAGYAZgBFAG0AaQBzAHMAaQBvAG4AcwBGAHIAbwBtAFUAcgBpAG4AZQBBAG4AZABEAHUAbgBnAE8AbgBQAGEAcwB0AHUAcgBlAFwAbgBMAGUAYQBjAGgAaQBuAGcAIABhAG4AZAAgAHIAdQBuAG8AZgBmACAAZQBtAGkAcwBzAGkAbwBuAHMAIABmAHIAbwBtACAAdQByAGkAbgBlACAAYQBuAGQAIABkAHUAbgBnACAAZABlAHAAbwBzAGkAdABlAGQAIABvAG4AIABwAGEAcwB0AHUAcgBlAFwAbgBFAF8ATgAyAE8AbABlAGEAYwBoAFwAbgB0ACAATgAyAE8AXABuAEUAXwB7AE4AMgBPACwAbABlAGEAYwBoAH0APQBNAF8AewBsAGUAYQBjAGgAfQBcAHQAaQBtAGUAcwAgAEUARgBfAHsAbABlAGEAYwBoAH0AXAB0AGkAbQBlAHMAIABDAF8AewBOADIATwB9AFwAdABpAG0AZQBzACAAMQAwAF4AewAtADMAfQBcAG4ATQBfAGwAZQBhAGMAaAAgAD0AIABtAGEAcwBzACAAbwBmACAAbgBpAHQAcgBvAGcAZQBuACAAbABvAHMAdAAgAHQAbwAgAGwAZQBhAGMAaABpAG4AZwAgAGEAbgBkACAAcgB1AG4AbwBmAGY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3AF8AXwAxAF8ATABlAGEAYwBoAGkAbgBnAEEAbgBkAFIAdQBuAG8AZgBmAEUAbQBpAHMAcwBpAG8AbgBzAEYAcgBvAG0AVQByAGkAbgBlAEEAbgBkAEQAdQBuAGcATwBuAFAAYQBzAHQAdQByAGUAXABuACAAIAA9AEwAQQBNAEIARABBACgAXABuACAAIAAgACAATQBfAGwAZQBhAGMAaAAsACAARQBGAF8AbABlAGEAYwBoACwAIABDAF8ATgAyAE8ALABcAG4AIAAgACAAIABNAF8AbABlAGEAYwBoACAAKgAgAEUARgBfAGwAZQBhAGMAaAAgACoAIABDAF8ATgAyAE8AIAAqACAAMQAwACAAXgAgAC0AMwBcAG4AIAAgACkAOwBcAG4AXABuAFYARQBFAFIARwBfADQAXwAyAF8AMQBfADcAXwBfADEAXwBMAGUAYQBjAGgAaQBuAGcAQQBuAGQAUgB1AG4AbwBmAGYARQBtAGkAcwBzAGkAbwBuAHMARgByAG8AbQBVAHIAaQBuAGUAQQBuAGQARAB1AG4AZwBPAG4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IAXwAxAF8ANwBfAF8AMQBfAEwAZQBhAGMAaABpAG4AZwBBAG4AZABSAHUAbgBvAGYAZgBFAG0AaQBzAHMAaQBvAG4AcwBGAHIAbwBtAFUAcgBpAG4AZQBBAG4AZABEAHUAbgBnAE8AbgBQAGEAcwB0AHUAcgBlAF8AVgBhAHIAaQBhAGIAbABlAFwAbgAgACAAPQBMAEEATQBCAEQAQQAoAFwAIgBFAF8ATgAyAE8AbABlAGEAYwBoAFwAIgApADsAXABuAFwAbgBWAEUARQBSAEcAXwA0AF8AMgBfADEAXwA3AF8AXwAxAF8ATABlAGEAYwBoAGkAbgBnAEEAbgBkAFIAdQBuAG8AZgBmAEUAbQBpAHMAcwBpAG8AbgBzAEYAcgBvAG0AVQByAGkAbgBlAEEAbgBkAEQAdQBuAGcATwBuAFAAYQBzAHQAdQByAGUAXwBVAG4AaQB0AFwAbgAgACAAPQBMAEEATQBCAEQAQQAoAFwAIgB0ACAATgAyAE8AXAAiACkAOwBcAG4AXABuAFYARQBFAFIARwBfADQAXwAyAF8AMQBfADcAXwBfADEAXwBMAGUAYQBjAGgAaQBuAGcAQQBuAGQAUgB1AG4AbwBmAGYARQBtAGkAcwBzAGkAbwBuAHMARgByAG8AbQBVAHIAaQBuAGUAQQBuAGQARAB1AG4AZwBPAG4AUABhAHMAdAB1AHIAZQBfAFMAbwB1AHIAYwBlAFwAbgAgACAAPQBMAEEATQBCAEQAQQAoAFwAIgBWAEUARQBSAEcAIAAyADAAMgA2ADoAIAA0AC4AMgAuADEALgA3ACwAIABFAHEAdQBhAHQAaQBvAG4AIAAoADEAKQBcACIAKQA7AFwAbgBcAG4AVgBFAEUAUgBHAF8ANABfADIAXwAxAF8ANwBfAF8AMQBfAEwAZQBhAGMAaABpAG4AZwBBAG4AZABSAHUAbgBvAGYAZgBFAG0AaQBzAHMAaQBvAG4AcwBGAHIAbwBtAFUAcgBpAG4AZQBBAG4AZABEAHUAbgBnAE8AbgBQAGEAcwB0AHUAcgBlAF8ATgBJAFIAUgBlAGYAZQByAGUAbgBjAGUAXABuACAAIAA9AEwAQQBNAEIARABBACgAXAAiAFwAIgApADsAXABuAFwAbgBWAEUARQBSAEcAXwA0AF8AMgBfADEAXwA3AF8AXwAxAF8ATABlAGEAYwBoAGkAbgBnAEEAbgBkAFIAdQBuAG8AZgBmAEUAbQBpAHMAcwBpAG8AbgBzAEYAcgBvAG0AVQByAGkAbgBlAEEAbgBkAEQAdQBuAGcATwBuAFAAYQBzAHQAdQByAGUAXwBMAGEAdABlAHgARQBxAHUAYQB0AGkAbwBuAFwAbgAgACAAPQBMAEEATQBCAEQAQQAoAFwAIgBFAF8AewBOADIATwAsAGwAZQBhAGMAaAB9AD0ATQBfAHsAbABlAGEAYwBoAH0AXABcAHQAaQBtAGUAcwAgAEUARgBfAHsAbABlAGEAYwBoAH0AXABcAHQAaQBtAGUAcwAgAEMAXwB7AE4AMgBPAH0AXABcAHQAaQBtAGUAcwAgADEAMABeAHsALQAzAH0AXAAiACkAOwBcAG4AXABuAFYARQBFAFIARwBfADQAXwAyAF8AMQBfADcAXwBfADEAXwBMAGUAYQBjAGgAaQBuAGcAQQBuAGQAUgB1AG4AbwBmAGYARQBtAGkAcwBzAGkAbwBuAHMARgByAG8AbQBVAHIAaQBuAGUAQQBuAGQARAB1AG4AZw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wAIgAsACAAXAAiAG0AYQBzAHMAIABvAGYAIABuAGkAdAByAG8AZwBlAG4AIABsAG8AcwB0ACAAdABvACAAbABlAGEAYwBoAGkAbgBnACAAYQBuAGQAIAByAHUAbgBvAGYAZgBcACIALAAgAFwAIgBrAGcAIABOAFwAIgAsACAAXAAiAEMAYQBsAGMAdQBsAGEAdABlAGQAIABmAHIAbwBtACAANAAuADI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IAXwAxAF8ANwBfAF8AMgBfAE0AYQBzAHMATwBmAE4AaQB0AHIAbwBnAGUAbgBMAG8AcwB0AFQAbwBMAGUAYQBjAGgAaQBuAGcAQQBuAGQAUgB1AG4AbwBmAGYATwBuAFAAYQBzAHQAdQByAGUAXABuAE0AYQBzAHMAIABvAGYAIABuAGkAdAByAG8AZwBlAG4AIABsAG8AcwB0ACAAdABvACAAbABlAGEAYwBoAGkAbgBnACAAYQBuAGQAIAByAHUAbgBvAGYAZgBcAG4ATQBfAGwAZQBhAGMAaABcAG4AawBnACAATgBcAG4ATQBfAHsAbABlAGEAYwBoAH0APQBBAEUAXABcAHQAaQBtAGUAcwAgAEYAcgBhAGMAVwBlAHQAXABcAHQAaQBtAGUAcwAgAEYAcgBhAGMATABFAEEAQwBIAFwAbgBBAEUAIAA9ACAAdABvAHQAYQBsACAAbQBhAHMAcwAgAG8AZgAgAG4AaQB0AHIAbwBnAGUAbgAgAGUAeABjAHIAZQB0AGUAZAAgAG8AbgAgAFAAUgBQACAAZgBvAHIAIABiAGUAZQBmACAAYwBhAHQAdABsAGUAIAAoAGsAZwAgAE4AKQBcAG4ARgByAGEAYwBXAGUAdAAgAD0AIABmAHIAYQBjAHQAaQBvAG4AIABvAGYAIABOACAAYQB2AGEAaQBsAGEAYgBsAGUAIABmAG8AcgAgAGwAZQBhAGMAaABpAG4AZwAgAGEAbgBkACAAcgB1AG4AbwBmAGYAXABuAEYAcgBhAGMATABFAEEAQwBIACAAPQAgAGYAcgBhAGMAdABpAG8AbgAgAG8AZgAgAGEAbABsACAATgAgAHQAaABhAHQAIABpAHMAIABsAG8AcwB0ACAAdABoAHIAbwB1AGcAaAAgAGwAZQBhAGMAaABpAG4AZwAgAGEAbgBkACAAcgB1AG4AbwBmAGYAXABuAC0ALQAtAC0ALQAtAC0ALQAtAC0ALQAtAC0ALQAtAC0ALQAtAC0ALQAtAC0ALQAtAC0ALQAtAC0ALQAtAC0ALQAtAC0ALQAtAC0ALQBcAG4AKgAvAFwAbgBcAG4AVgBFAEUAUgBHAF8ANABfADIAXwAxAF8ANwBfAF8AMgBfAE0AYQBzAHMATwBmAE4AaQB0AHIAbwBnAGUAbgBMAG8AcwB0AFQAbwBMAGUAYQBjAGgAaQBuAGcAQQBuAGQAUgB1AG4AbwBmAGYATwBuAFAAYQBzAHQAdQByAGUAXABuACAAIAA9AEwAQQBNAEIARABBACgAXABuACAAIAAgACAAQQBFACwAIABGAHIAYQBjAFcAZQB0ACwAIABGAHIAYQBjAEwARQBBAEMASAAsAFwAbgAgACAAIAAgAEEARQAgACoAIABGAHIAYQBjAFcAZQB0ACAAKgAgAEYAcgBhAGMATABFAEEAQwBIAFwAbgAgACAAKQA7AFwAbgBcAG4AVgBFAEUAUgBHAF8ANABfADIAXwAxAF8ANw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BcACIAKQA7AFwAbgBcAG4AVgBFAEUAUgBHAF8ANABfADIAXwAxAF8ANwBfAF8AMgBfAE0AYQBzAHMATwBmAE4AaQB0AHIAbwBnAGUAbgBMAG8AcwB0AFQAbwBMAGUAYQBjAGgAaQBuAGcAQQBuAGQAUgB1AG4AbwBmAGYATwBuAFAAYQBzAHQAdQByAGUAXwBWAGEAcgBpAGEAYgBsAGUAXABuACAAIAA9AEwAQQBNAEIARABBACgAXAAiAE0AXwBsAGUAYQBjAGgAXAAiACkAOwBcAG4AXABuAFYARQBFAFIARwBfADQAXwAyAF8AMQBfADcAXwBfADIAXwBNAGEAcwBzAE8AZgBOAGkAdAByAG8AZwBlAG4ATABvAHMAdABUAG8ATABlAGEAYwBoAGkAbgBnAEEAbgBkAFIAdQBuAG8AZgBmAE8AbgBQAGEAcwB0AHUAcgBlAF8AVQBuAGkAdABcAG4AIAAgAD0ATABBAE0AQgBEAEEAKABcACIAawBnACAATgBcACIAKQA7AFwAbgBcAG4AVgBFAEUAUgBHAF8ANABfADIAXwAxAF8ANwBfAF8AMgBfAE0AYQBzAHMATwBmAE4AaQB0AHIAbwBnAGUAbgBMAG8AcwB0AFQAbwBMAGUAYQBjAGgAaQBuAGcAQQBuAGQAUgB1AG4AbwBmAGYATwBuAFAAYQBzAHQAdQByAGUAXwBTAG8AdQByAGMAZQBcAG4AIAAgAD0ATABBAE0AQgBEAEEAKABcACIAVgBFAEUAUgBHACAAMgAwADIANgA6ACAANAAuADIALgAxAC4ANwAsACAARQBxAHUAYQB0AGkAbwBuACAAKAAyACkAXAAiACkAOwBcAG4AXABuAFYARQBFAFIARwBfADQAXwAyAF8AMQBfADcAXwBfADIAXwBNAGEAcwBzAE8AZgBOAGkAdAByAG8AZwBlAG4ATABvAHMAdABUAG8ATABlAGEAYwBoAGkAbgBnAEEAbgBkAFIAdQBuAG8AZgBmAE8AbgBQAGEAcwB0AHUAcgBlAF8ATgBJAFIAUgBlAGYAZQByAGUAbgBjAGUAXABuACAAIAA9AEwAQQBNAEIARABBACgAXAAiAFwAIgApADsAXABuAFwAbgBWAEUARQBSAEcAXwA0AF8AMgBfADEAXwA3AF8AXwAyAF8ATQBhAHMAcwBPAGYATgBpAHQAcgBvAGcAZQBuAEwAbwBzAHQAVABvAEwAZQBhAGMAaABpAG4AZwBBAG4AZABSAHUAbgBvAGYAZgBPAG4AUABhAHMAdAB1AHIAZQBfAEwAYQB0AGUAeABFAHEAdQBhAHQAaQBvAG4AXABuACAAIAA9AEwAQQBNAEIARABBACgAXAAiAE0AXwB7AGwAZQBhAGMAaAB9AD0AQQBFAFwAXAB0AGkAbQBlAHMAIABGAHIAYQBjAFcAZQB0AFwAXAB0AGkAbQBlAHMAIABGAHIAYQBjAEwARQBBAEMASABcACIAKQA7AFwAbgBcAG4AVgBFAEUAUgBHAF8ANABfADIAXwAxAF8ANwBfAF8AMgBfAE0AYQBzAHMATwBmAE4AaQB0AHIAbwBnAGUAbgBMAG8AcwB0AFQAbwBMAGUAYQBjAGgAaQBuAGcAQQBuAGQAUgB1AG4AbwBmAGYATwBuAFAAYQBzAHQAdQByAGUAXwBBAHIAZwB1AG0AZQBuAHQAcwBcAG4AIAAgAD0ATABBAE0AQgBEAEEAKABcAG4AIAAgACAAIABNAEEASwBFAEEAUgBSAEEAWQAoADY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VwBlAH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CAAXAAiAGYAcgBhAGMAdABpAG8AbgAgAG8AZgAgAGEAbABs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CIAfQBdAH0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144</vt:i4>
      </vt:variant>
    </vt:vector>
  </HeadingPairs>
  <TitlesOfParts>
    <vt:vector size="179" baseType="lpstr">
      <vt:lpstr>Overview</vt:lpstr>
      <vt:lpstr>Results</vt:lpstr>
      <vt:lpstr>Input - Site</vt:lpstr>
      <vt:lpstr>Input - Fuel</vt:lpstr>
      <vt:lpstr>Input - Fertiliser</vt:lpstr>
      <vt:lpstr>Input - Common farm inputs</vt:lpstr>
      <vt:lpstr>Input - Processing inputs</vt:lpstr>
      <vt:lpstr>Input - Crop pasture farm input</vt:lpstr>
      <vt:lpstr>Input - Hort farm Inputs</vt:lpstr>
      <vt:lpstr>Input - Livestock farm Inputs</vt:lpstr>
      <vt:lpstr>Input - Aquaculture inputs</vt:lpstr>
      <vt:lpstr>Input - Beef cattle purchases</vt:lpstr>
      <vt:lpstr>Input - Dairy cattle purchases</vt:lpstr>
      <vt:lpstr>Input - Pig purchases</vt:lpstr>
      <vt:lpstr>Input - Poultry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Fertiliser_EFLeach_Data</vt:lpstr>
      <vt:lpstr>Fertiliser_EFUreaCO2_Data</vt:lpstr>
      <vt:lpstr>Fertiliser_FracGASMSoil_Data</vt:lpstr>
      <vt:lpstr>Fertiliser_FracLEACH_Data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2026-08-10T06:15:45Z</dcterms:modified>
</cp:coreProperties>
</file>