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9FE84DC-B44F-4EAF-9054-31B61ACC16B4}" xr6:coauthVersionLast="47" xr6:coauthVersionMax="47" xr10:uidLastSave="{00000000-0000-0000-0000-000000000000}"/>
  <bookViews>
    <workbookView xWindow="390" yWindow="390" windowWidth="28800" windowHeight="15345" firstSheet="27" activeTab="31" xr2:uid="{D37248E2-1193-4B5E-BE4F-D7532AB14CA0}"/>
  </bookViews>
  <sheets>
    <sheet name="Overview" sheetId="40" r:id="rId1"/>
    <sheet name="Results" sheetId="41" r:id="rId2"/>
    <sheet name="Input - Site" sheetId="61" r:id="rId3"/>
    <sheet name="Input - Fuel" sheetId="63" r:id="rId4"/>
    <sheet name="Input - Fertiliser" sheetId="62"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64" r:id="rId17"/>
    <sheet name="Input - Manure sent off-site" sheetId="50" r:id="rId18"/>
    <sheet name="Input - Electricity" sheetId="65" r:id="rId19"/>
    <sheet name="15 Scope 3" sheetId="19" r:id="rId20"/>
    <sheet name="10.1.1-2 Solid waste treatment" sheetId="68" r:id="rId21"/>
    <sheet name="Calcs - Manure sent off-site" sheetId="34" r:id="rId22"/>
    <sheet name="8.1.1.1-2 Transport fuel" sheetId="66" r:id="rId23"/>
    <sheet name="8.2.1.1-2 Stationary fuel" sheetId="67" r:id="rId24"/>
    <sheet name="Constants - Scope 3" sheetId="20" r:id="rId25"/>
    <sheet name="Constants - Solid Waste" sheetId="70" r:id="rId26"/>
    <sheet name="Constants - Fuel" sheetId="69" r:id="rId27"/>
    <sheet name="Constants - Poultry" sheetId="76" r:id="rId28"/>
    <sheet name="Constants - Swine" sheetId="75" r:id="rId29"/>
    <sheet name="Constants - Dairy" sheetId="74" r:id="rId30"/>
    <sheet name="Constants - Pasture Beef" sheetId="73" r:id="rId31"/>
    <sheet name="Constants - Common Livestock" sheetId="77" r:id="rId32"/>
    <sheet name="Constants - Fertiliser" sheetId="71" r:id="rId33"/>
    <sheet name="Constants - Electricity" sheetId="72" r:id="rId34"/>
    <sheet name="Constants - Common" sheetId="60"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6" i="60" l="1"/>
  <c r="A45" i="60"/>
  <c r="A44" i="60"/>
  <c r="A43" i="60"/>
  <c r="A42" i="60"/>
  <c r="A41" i="60"/>
  <c r="A40" i="60"/>
  <c r="A39" i="60"/>
  <c r="A38" i="60"/>
  <c r="A37" i="60"/>
  <c r="A36" i="60"/>
  <c r="A32" i="60"/>
  <c r="A31" i="60"/>
  <c r="A30" i="60"/>
  <c r="A29" i="60"/>
  <c r="A28" i="60"/>
  <c r="A24" i="60"/>
  <c r="A23" i="60"/>
  <c r="A22" i="60"/>
  <c r="A21" i="60"/>
  <c r="A20" i="60"/>
  <c r="A19" i="60"/>
  <c r="A18" i="60"/>
  <c r="A17" i="60"/>
  <c r="A16" i="60"/>
  <c r="A15" i="60"/>
  <c r="A14" i="60"/>
  <c r="A13" i="60"/>
  <c r="A12" i="60"/>
  <c r="A11" i="60"/>
  <c r="A10" i="60"/>
  <c r="A9" i="60"/>
  <c r="A8" i="60"/>
  <c r="A4" i="60"/>
  <c r="A3" i="60"/>
  <c r="A46" i="72"/>
  <c r="A45" i="72"/>
  <c r="A44" i="72"/>
  <c r="A43" i="72"/>
  <c r="A42" i="72"/>
  <c r="A41" i="72"/>
  <c r="A40" i="72"/>
  <c r="A39" i="72"/>
  <c r="A38" i="72"/>
  <c r="A37" i="72"/>
  <c r="A36" i="72"/>
  <c r="A32" i="72"/>
  <c r="A31" i="72"/>
  <c r="A30" i="72"/>
  <c r="A29" i="72"/>
  <c r="A28" i="72"/>
  <c r="A24" i="72"/>
  <c r="A23" i="72"/>
  <c r="A22" i="72"/>
  <c r="A21" i="72"/>
  <c r="A20" i="72"/>
  <c r="A19" i="72"/>
  <c r="A18" i="72"/>
  <c r="A17" i="72"/>
  <c r="A16" i="72"/>
  <c r="A15" i="72"/>
  <c r="A14" i="72"/>
  <c r="A13" i="72"/>
  <c r="A12" i="72"/>
  <c r="A11" i="72"/>
  <c r="A10" i="72"/>
  <c r="A9" i="72"/>
  <c r="A8" i="72"/>
  <c r="A4" i="72"/>
  <c r="A3" i="72"/>
  <c r="A46" i="71"/>
  <c r="A45" i="71"/>
  <c r="A44" i="71"/>
  <c r="A43" i="71"/>
  <c r="A42" i="71"/>
  <c r="A41" i="71"/>
  <c r="A40" i="71"/>
  <c r="A39" i="71"/>
  <c r="A38" i="71"/>
  <c r="A37" i="71"/>
  <c r="A36" i="71"/>
  <c r="A32" i="71"/>
  <c r="A31" i="71"/>
  <c r="A30" i="71"/>
  <c r="A29" i="71"/>
  <c r="A28" i="71"/>
  <c r="A24" i="71"/>
  <c r="A23" i="71"/>
  <c r="A22" i="71"/>
  <c r="A21" i="71"/>
  <c r="A20" i="71"/>
  <c r="A19" i="71"/>
  <c r="A18" i="71"/>
  <c r="A17" i="71"/>
  <c r="A16" i="71"/>
  <c r="A15" i="71"/>
  <c r="A14" i="71"/>
  <c r="A13" i="71"/>
  <c r="A12" i="71"/>
  <c r="A11" i="71"/>
  <c r="A10" i="71"/>
  <c r="A9" i="71"/>
  <c r="A8" i="71"/>
  <c r="A4" i="71"/>
  <c r="A3" i="71"/>
  <c r="A46" i="77"/>
  <c r="A45" i="77"/>
  <c r="A44" i="77"/>
  <c r="A43" i="77"/>
  <c r="A42" i="77"/>
  <c r="A41" i="77"/>
  <c r="A40" i="77"/>
  <c r="A39" i="77"/>
  <c r="A38" i="77"/>
  <c r="A37" i="77"/>
  <c r="A36" i="77"/>
  <c r="A32" i="77"/>
  <c r="A31" i="77"/>
  <c r="A30" i="77"/>
  <c r="A29" i="77"/>
  <c r="A28" i="77"/>
  <c r="A24" i="77"/>
  <c r="A23" i="77"/>
  <c r="A22" i="77"/>
  <c r="A21" i="77"/>
  <c r="A20" i="77"/>
  <c r="A19" i="77"/>
  <c r="A18" i="77"/>
  <c r="A17" i="77"/>
  <c r="A16" i="77"/>
  <c r="A15" i="77"/>
  <c r="A14" i="77"/>
  <c r="A13" i="77"/>
  <c r="A12" i="77"/>
  <c r="A11" i="77"/>
  <c r="A10" i="77"/>
  <c r="A9" i="77"/>
  <c r="A8" i="77"/>
  <c r="A4" i="77"/>
  <c r="A3" i="77"/>
  <c r="A46" i="73"/>
  <c r="A45" i="73"/>
  <c r="A44" i="73"/>
  <c r="A43" i="73"/>
  <c r="A42" i="73"/>
  <c r="A41" i="73"/>
  <c r="A40" i="73"/>
  <c r="A39" i="73"/>
  <c r="A38" i="73"/>
  <c r="A37" i="73"/>
  <c r="A36" i="73"/>
  <c r="A32" i="73"/>
  <c r="A31" i="73"/>
  <c r="A30" i="73"/>
  <c r="A29" i="73"/>
  <c r="A28" i="73"/>
  <c r="A24" i="73"/>
  <c r="A23" i="73"/>
  <c r="A22" i="73"/>
  <c r="A21" i="73"/>
  <c r="A20" i="73"/>
  <c r="A19" i="73"/>
  <c r="A18" i="73"/>
  <c r="A17" i="73"/>
  <c r="A16" i="73"/>
  <c r="A15" i="73"/>
  <c r="A14" i="73"/>
  <c r="A13" i="73"/>
  <c r="A12" i="73"/>
  <c r="A11" i="73"/>
  <c r="A10" i="73"/>
  <c r="A9" i="73"/>
  <c r="A8" i="73"/>
  <c r="A4" i="73"/>
  <c r="A3" i="73"/>
  <c r="A46" i="74"/>
  <c r="A45" i="74"/>
  <c r="A44" i="74"/>
  <c r="A43" i="74"/>
  <c r="A42" i="74"/>
  <c r="A41" i="74"/>
  <c r="A40" i="74"/>
  <c r="A39" i="74"/>
  <c r="A38" i="74"/>
  <c r="A37" i="74"/>
  <c r="A36" i="74"/>
  <c r="A32" i="74"/>
  <c r="A31" i="74"/>
  <c r="A30" i="74"/>
  <c r="A29" i="74"/>
  <c r="A28" i="74"/>
  <c r="A24" i="74"/>
  <c r="A23" i="74"/>
  <c r="A22" i="74"/>
  <c r="A21" i="74"/>
  <c r="A20" i="74"/>
  <c r="A19" i="74"/>
  <c r="A18" i="74"/>
  <c r="A17" i="74"/>
  <c r="A16" i="74"/>
  <c r="A15" i="74"/>
  <c r="A14" i="74"/>
  <c r="A13" i="74"/>
  <c r="A12" i="74"/>
  <c r="A11" i="74"/>
  <c r="A10" i="74"/>
  <c r="A9" i="74"/>
  <c r="A8" i="74"/>
  <c r="A4" i="74"/>
  <c r="A3" i="74"/>
  <c r="A46" i="75"/>
  <c r="A45" i="75"/>
  <c r="A44" i="75"/>
  <c r="A43" i="75"/>
  <c r="A42" i="75"/>
  <c r="A41" i="75"/>
  <c r="A40" i="75"/>
  <c r="A39" i="75"/>
  <c r="A38" i="75"/>
  <c r="A37" i="75"/>
  <c r="A36" i="75"/>
  <c r="A32" i="75"/>
  <c r="A31" i="75"/>
  <c r="A30" i="75"/>
  <c r="A29" i="75"/>
  <c r="A28" i="75"/>
  <c r="A24" i="75"/>
  <c r="A23" i="75"/>
  <c r="A22" i="75"/>
  <c r="A21" i="75"/>
  <c r="A20" i="75"/>
  <c r="A19" i="75"/>
  <c r="A18" i="75"/>
  <c r="A17" i="75"/>
  <c r="A16" i="75"/>
  <c r="A15" i="75"/>
  <c r="A14" i="75"/>
  <c r="A13" i="75"/>
  <c r="A12" i="75"/>
  <c r="A11" i="75"/>
  <c r="A10" i="75"/>
  <c r="A9" i="75"/>
  <c r="A8" i="75"/>
  <c r="A4" i="75"/>
  <c r="A3" i="75"/>
  <c r="A46" i="76"/>
  <c r="A45" i="76"/>
  <c r="A44" i="76"/>
  <c r="A43" i="76"/>
  <c r="A42" i="76"/>
  <c r="A41" i="76"/>
  <c r="A40" i="76"/>
  <c r="A39" i="76"/>
  <c r="A38" i="76"/>
  <c r="A37" i="76"/>
  <c r="A36" i="76"/>
  <c r="A32" i="76"/>
  <c r="A31" i="76"/>
  <c r="A30" i="76"/>
  <c r="A29" i="76"/>
  <c r="A28" i="76"/>
  <c r="A24" i="76"/>
  <c r="A23" i="76"/>
  <c r="A22" i="76"/>
  <c r="A21" i="76"/>
  <c r="A20" i="76"/>
  <c r="A19" i="76"/>
  <c r="A18" i="76"/>
  <c r="A17" i="76"/>
  <c r="A16" i="76"/>
  <c r="A15" i="76"/>
  <c r="A14" i="76"/>
  <c r="A13" i="76"/>
  <c r="A12" i="76"/>
  <c r="A11" i="76"/>
  <c r="A10" i="76"/>
  <c r="A9" i="76"/>
  <c r="A8" i="76"/>
  <c r="A4" i="76"/>
  <c r="A3" i="76"/>
  <c r="A46" i="69"/>
  <c r="A45" i="69"/>
  <c r="A44" i="69"/>
  <c r="A43" i="69"/>
  <c r="A42" i="69"/>
  <c r="A41" i="69"/>
  <c r="A40" i="69"/>
  <c r="A39" i="69"/>
  <c r="A38" i="69"/>
  <c r="A37" i="69"/>
  <c r="A36" i="69"/>
  <c r="A32" i="69"/>
  <c r="A31" i="69"/>
  <c r="A30" i="69"/>
  <c r="A29" i="69"/>
  <c r="A28" i="69"/>
  <c r="A24" i="69"/>
  <c r="A23" i="69"/>
  <c r="A22" i="69"/>
  <c r="A21" i="69"/>
  <c r="A20" i="69"/>
  <c r="A19" i="69"/>
  <c r="A18" i="69"/>
  <c r="A17" i="69"/>
  <c r="A16" i="69"/>
  <c r="A15" i="69"/>
  <c r="A14" i="69"/>
  <c r="A13" i="69"/>
  <c r="A12" i="69"/>
  <c r="A11" i="69"/>
  <c r="A10" i="69"/>
  <c r="A9" i="69"/>
  <c r="A8" i="69"/>
  <c r="A4" i="69"/>
  <c r="A3" i="69"/>
  <c r="A46" i="70"/>
  <c r="A45" i="70"/>
  <c r="A44" i="70"/>
  <c r="A43" i="70"/>
  <c r="A42" i="70"/>
  <c r="A41" i="70"/>
  <c r="A40" i="70"/>
  <c r="A39" i="70"/>
  <c r="A38" i="70"/>
  <c r="A37" i="70"/>
  <c r="A36" i="70"/>
  <c r="A32" i="70"/>
  <c r="A31" i="70"/>
  <c r="A30" i="70"/>
  <c r="A29" i="70"/>
  <c r="A28" i="70"/>
  <c r="A24" i="70"/>
  <c r="A23" i="70"/>
  <c r="A22" i="70"/>
  <c r="A21" i="70"/>
  <c r="A20" i="70"/>
  <c r="A19" i="70"/>
  <c r="A18" i="70"/>
  <c r="A17" i="70"/>
  <c r="A16" i="70"/>
  <c r="A15" i="70"/>
  <c r="A14" i="70"/>
  <c r="A13" i="70"/>
  <c r="A12" i="70"/>
  <c r="A11" i="70"/>
  <c r="A10" i="70"/>
  <c r="A9" i="70"/>
  <c r="A8" i="70"/>
  <c r="A4" i="70"/>
  <c r="A3" i="70"/>
  <c r="A46" i="20"/>
  <c r="A45" i="20"/>
  <c r="A44" i="20"/>
  <c r="A43" i="20"/>
  <c r="A42" i="20"/>
  <c r="A41" i="20"/>
  <c r="A40" i="20"/>
  <c r="A39" i="20"/>
  <c r="A38" i="20"/>
  <c r="A37" i="20"/>
  <c r="A36" i="20"/>
  <c r="A32" i="20"/>
  <c r="A31" i="20"/>
  <c r="A30" i="20"/>
  <c r="A29" i="20"/>
  <c r="A28" i="20"/>
  <c r="A24" i="20"/>
  <c r="A23" i="20"/>
  <c r="A22" i="20"/>
  <c r="A21" i="20"/>
  <c r="A20" i="20"/>
  <c r="A19" i="20"/>
  <c r="A18" i="20"/>
  <c r="A17" i="20"/>
  <c r="A16" i="20"/>
  <c r="A15" i="20"/>
  <c r="A14" i="20"/>
  <c r="A13" i="20"/>
  <c r="A12" i="20"/>
  <c r="A11" i="20"/>
  <c r="A10" i="20"/>
  <c r="A9" i="20"/>
  <c r="A8" i="20"/>
  <c r="A4" i="20"/>
  <c r="A3" i="20"/>
  <c r="A46" i="67"/>
  <c r="A45" i="67"/>
  <c r="A44" i="67"/>
  <c r="A43" i="67"/>
  <c r="A42" i="67"/>
  <c r="A41" i="67"/>
  <c r="A40" i="67"/>
  <c r="A39" i="67"/>
  <c r="A38" i="67"/>
  <c r="A37" i="67"/>
  <c r="A36" i="67"/>
  <c r="A32" i="67"/>
  <c r="A31" i="67"/>
  <c r="A30" i="67"/>
  <c r="A29" i="67"/>
  <c r="A28" i="67"/>
  <c r="A24" i="67"/>
  <c r="A23" i="67"/>
  <c r="A22" i="67"/>
  <c r="A21" i="67"/>
  <c r="A20" i="67"/>
  <c r="A19" i="67"/>
  <c r="A18" i="67"/>
  <c r="A17" i="67"/>
  <c r="A16" i="67"/>
  <c r="A15" i="67"/>
  <c r="A14" i="67"/>
  <c r="A13" i="67"/>
  <c r="A12" i="67"/>
  <c r="A11" i="67"/>
  <c r="A10" i="67"/>
  <c r="A9" i="67"/>
  <c r="A8" i="67"/>
  <c r="A4" i="67"/>
  <c r="A3" i="67"/>
  <c r="A46" i="66"/>
  <c r="A45" i="66"/>
  <c r="A44" i="66"/>
  <c r="A43" i="66"/>
  <c r="A42" i="66"/>
  <c r="A41" i="66"/>
  <c r="A40" i="66"/>
  <c r="A39" i="66"/>
  <c r="A38" i="66"/>
  <c r="A37" i="66"/>
  <c r="A36" i="66"/>
  <c r="A32" i="66"/>
  <c r="A31" i="66"/>
  <c r="A30" i="66"/>
  <c r="A29" i="66"/>
  <c r="A28" i="66"/>
  <c r="A24" i="66"/>
  <c r="A23" i="66"/>
  <c r="A22" i="66"/>
  <c r="A21" i="66"/>
  <c r="A20" i="66"/>
  <c r="A19" i="66"/>
  <c r="A18" i="66"/>
  <c r="A17" i="66"/>
  <c r="A16" i="66"/>
  <c r="A15" i="66"/>
  <c r="A14" i="66"/>
  <c r="A13" i="66"/>
  <c r="A12" i="66"/>
  <c r="A11" i="66"/>
  <c r="A10" i="66"/>
  <c r="A9" i="66"/>
  <c r="A8" i="66"/>
  <c r="A4" i="66"/>
  <c r="A3" i="66"/>
  <c r="A46" i="34"/>
  <c r="A45" i="34"/>
  <c r="A44" i="34"/>
  <c r="A43" i="34"/>
  <c r="A42" i="34"/>
  <c r="A41" i="34"/>
  <c r="A40" i="34"/>
  <c r="A39" i="34"/>
  <c r="A38" i="34"/>
  <c r="A37" i="34"/>
  <c r="A36" i="34"/>
  <c r="A32" i="34"/>
  <c r="A31" i="34"/>
  <c r="A30" i="34"/>
  <c r="A29" i="34"/>
  <c r="A28" i="34"/>
  <c r="A24" i="34"/>
  <c r="A23" i="34"/>
  <c r="A22" i="34"/>
  <c r="A21" i="34"/>
  <c r="A20" i="34"/>
  <c r="A19" i="34"/>
  <c r="A18" i="34"/>
  <c r="A17" i="34"/>
  <c r="A16" i="34"/>
  <c r="A15" i="34"/>
  <c r="A14" i="34"/>
  <c r="A13" i="34"/>
  <c r="A12" i="34"/>
  <c r="A11" i="34"/>
  <c r="A10" i="34"/>
  <c r="A9" i="34"/>
  <c r="A8" i="34"/>
  <c r="A4" i="34"/>
  <c r="A3" i="34"/>
  <c r="A46" i="68"/>
  <c r="A45" i="68"/>
  <c r="A44" i="68"/>
  <c r="A43" i="68"/>
  <c r="A42" i="68"/>
  <c r="A41" i="68"/>
  <c r="A40" i="68"/>
  <c r="A39" i="68"/>
  <c r="A38" i="68"/>
  <c r="A37" i="68"/>
  <c r="A36" i="68"/>
  <c r="A32" i="68"/>
  <c r="A31" i="68"/>
  <c r="A30" i="68"/>
  <c r="A29" i="68"/>
  <c r="A28" i="68"/>
  <c r="A24" i="68"/>
  <c r="A23" i="68"/>
  <c r="A22" i="68"/>
  <c r="A21" i="68"/>
  <c r="A20" i="68"/>
  <c r="A19" i="68"/>
  <c r="A18" i="68"/>
  <c r="A17" i="68"/>
  <c r="A16" i="68"/>
  <c r="A15" i="68"/>
  <c r="A14" i="68"/>
  <c r="A13" i="68"/>
  <c r="A12" i="68"/>
  <c r="A11" i="68"/>
  <c r="A10" i="68"/>
  <c r="A9" i="68"/>
  <c r="A8" i="68"/>
  <c r="A4" i="68"/>
  <c r="A3" i="68"/>
  <c r="A46" i="19"/>
  <c r="A45" i="19"/>
  <c r="A44" i="19"/>
  <c r="A43" i="19"/>
  <c r="A42" i="19"/>
  <c r="A41" i="19"/>
  <c r="A40" i="19"/>
  <c r="A39" i="19"/>
  <c r="A38" i="19"/>
  <c r="A37" i="19"/>
  <c r="A36" i="19"/>
  <c r="A32" i="19"/>
  <c r="A31" i="19"/>
  <c r="A30" i="19"/>
  <c r="A29" i="19"/>
  <c r="A28" i="19"/>
  <c r="A24" i="19"/>
  <c r="A23" i="19"/>
  <c r="A22" i="19"/>
  <c r="A21" i="19"/>
  <c r="A20" i="19"/>
  <c r="A19" i="19"/>
  <c r="A18" i="19"/>
  <c r="A17" i="19"/>
  <c r="A16" i="19"/>
  <c r="A15" i="19"/>
  <c r="A14" i="19"/>
  <c r="A13" i="19"/>
  <c r="A12" i="19"/>
  <c r="A11" i="19"/>
  <c r="A10" i="19"/>
  <c r="A9" i="19"/>
  <c r="A8" i="19"/>
  <c r="A4" i="19"/>
  <c r="A3" i="19"/>
  <c r="A46" i="65"/>
  <c r="A45" i="65"/>
  <c r="A44" i="65"/>
  <c r="A43" i="65"/>
  <c r="A42" i="65"/>
  <c r="A41" i="65"/>
  <c r="A40" i="65"/>
  <c r="A39" i="65"/>
  <c r="A38" i="65"/>
  <c r="A37" i="65"/>
  <c r="A36" i="65"/>
  <c r="A32" i="65"/>
  <c r="A31" i="65"/>
  <c r="A30" i="65"/>
  <c r="A29" i="65"/>
  <c r="A28" i="65"/>
  <c r="A24" i="65"/>
  <c r="A23" i="65"/>
  <c r="A22" i="65"/>
  <c r="A21" i="65"/>
  <c r="A20" i="65"/>
  <c r="A19" i="65"/>
  <c r="A18" i="65"/>
  <c r="A17" i="65"/>
  <c r="A16" i="65"/>
  <c r="A15" i="65"/>
  <c r="A14" i="65"/>
  <c r="A13" i="65"/>
  <c r="A12" i="65"/>
  <c r="A11" i="65"/>
  <c r="A10" i="65"/>
  <c r="A9" i="65"/>
  <c r="A8" i="65"/>
  <c r="A4" i="65"/>
  <c r="A3" i="65"/>
  <c r="A46" i="50"/>
  <c r="A45" i="50"/>
  <c r="A44" i="50"/>
  <c r="A43" i="50"/>
  <c r="A42" i="50"/>
  <c r="A41" i="50"/>
  <c r="A40" i="50"/>
  <c r="A39" i="50"/>
  <c r="A38" i="50"/>
  <c r="A37" i="50"/>
  <c r="A36" i="50"/>
  <c r="A32" i="50"/>
  <c r="A31" i="50"/>
  <c r="A30" i="50"/>
  <c r="A29" i="50"/>
  <c r="A28" i="50"/>
  <c r="A24" i="50"/>
  <c r="A23" i="50"/>
  <c r="A22" i="50"/>
  <c r="A21" i="50"/>
  <c r="A20" i="50"/>
  <c r="A19" i="50"/>
  <c r="A18" i="50"/>
  <c r="A17" i="50"/>
  <c r="A16" i="50"/>
  <c r="A15" i="50"/>
  <c r="A14" i="50"/>
  <c r="A13" i="50"/>
  <c r="A12" i="50"/>
  <c r="A11" i="50"/>
  <c r="A10" i="50"/>
  <c r="A9" i="50"/>
  <c r="A8" i="50"/>
  <c r="A4" i="50"/>
  <c r="A3" i="50"/>
  <c r="A46" i="64"/>
  <c r="A45" i="64"/>
  <c r="A44" i="64"/>
  <c r="A43" i="64"/>
  <c r="A42" i="64"/>
  <c r="A41" i="64"/>
  <c r="A40" i="64"/>
  <c r="A39" i="64"/>
  <c r="A38" i="64"/>
  <c r="A37" i="64"/>
  <c r="A36" i="64"/>
  <c r="A32" i="64"/>
  <c r="A31" i="64"/>
  <c r="A30" i="64"/>
  <c r="A29" i="64"/>
  <c r="A28" i="64"/>
  <c r="A24" i="64"/>
  <c r="A23" i="64"/>
  <c r="A22" i="64"/>
  <c r="A21" i="64"/>
  <c r="A20" i="64"/>
  <c r="A19" i="64"/>
  <c r="A18" i="64"/>
  <c r="A17" i="64"/>
  <c r="A16" i="64"/>
  <c r="A15" i="64"/>
  <c r="A14" i="64"/>
  <c r="A13" i="64"/>
  <c r="A12" i="64"/>
  <c r="A11" i="64"/>
  <c r="A10" i="64"/>
  <c r="A9" i="64"/>
  <c r="A8" i="64"/>
  <c r="A4" i="64"/>
  <c r="A3" i="64"/>
  <c r="A46" i="39"/>
  <c r="A45" i="39"/>
  <c r="A44" i="39"/>
  <c r="A43" i="39"/>
  <c r="A42" i="39"/>
  <c r="A41" i="39"/>
  <c r="A40" i="39"/>
  <c r="A39" i="39"/>
  <c r="A38" i="39"/>
  <c r="A37" i="39"/>
  <c r="A36" i="39"/>
  <c r="A32" i="39"/>
  <c r="A31" i="39"/>
  <c r="A30" i="39"/>
  <c r="A29" i="39"/>
  <c r="A28" i="39"/>
  <c r="A24" i="39"/>
  <c r="A23" i="39"/>
  <c r="A22" i="39"/>
  <c r="A21" i="39"/>
  <c r="A20" i="39"/>
  <c r="A19" i="39"/>
  <c r="A18" i="39"/>
  <c r="A17" i="39"/>
  <c r="A16" i="39"/>
  <c r="A15" i="39"/>
  <c r="A14" i="39"/>
  <c r="A13" i="39"/>
  <c r="A12" i="39"/>
  <c r="A11" i="39"/>
  <c r="A10" i="39"/>
  <c r="A9" i="39"/>
  <c r="A8" i="39"/>
  <c r="A4" i="39"/>
  <c r="A3" i="39"/>
  <c r="A46" i="54"/>
  <c r="A45" i="54"/>
  <c r="A44" i="54"/>
  <c r="A43" i="54"/>
  <c r="A42" i="54"/>
  <c r="A41" i="54"/>
  <c r="A40" i="54"/>
  <c r="A39" i="54"/>
  <c r="A38" i="54"/>
  <c r="A37" i="54"/>
  <c r="A36" i="54"/>
  <c r="A32" i="54"/>
  <c r="A31" i="54"/>
  <c r="A30" i="54"/>
  <c r="A29" i="54"/>
  <c r="A28" i="54"/>
  <c r="A24" i="54"/>
  <c r="A23" i="54"/>
  <c r="A22" i="54"/>
  <c r="A21" i="54"/>
  <c r="A20" i="54"/>
  <c r="A19" i="54"/>
  <c r="A18" i="54"/>
  <c r="A17" i="54"/>
  <c r="A16" i="54"/>
  <c r="A15" i="54"/>
  <c r="A14" i="54"/>
  <c r="A13" i="54"/>
  <c r="A12" i="54"/>
  <c r="A11" i="54"/>
  <c r="A10" i="54"/>
  <c r="A9" i="54"/>
  <c r="A8" i="54"/>
  <c r="A4" i="54"/>
  <c r="A3" i="54"/>
  <c r="A46" i="53"/>
  <c r="A45" i="53"/>
  <c r="A44" i="53"/>
  <c r="A43" i="53"/>
  <c r="A42" i="53"/>
  <c r="A41" i="53"/>
  <c r="A40" i="53"/>
  <c r="A39" i="53"/>
  <c r="A38" i="53"/>
  <c r="A37" i="53"/>
  <c r="A36" i="53"/>
  <c r="A32" i="53"/>
  <c r="A31" i="53"/>
  <c r="A30" i="53"/>
  <c r="A29" i="53"/>
  <c r="A28" i="53"/>
  <c r="A24" i="53"/>
  <c r="A23" i="53"/>
  <c r="A22" i="53"/>
  <c r="A21" i="53"/>
  <c r="A20" i="53"/>
  <c r="A19" i="53"/>
  <c r="A18" i="53"/>
  <c r="A17" i="53"/>
  <c r="A16" i="53"/>
  <c r="A15" i="53"/>
  <c r="A14" i="53"/>
  <c r="A13" i="53"/>
  <c r="A12" i="53"/>
  <c r="A11" i="53"/>
  <c r="A10" i="53"/>
  <c r="A9" i="53"/>
  <c r="A8" i="53"/>
  <c r="A4" i="53"/>
  <c r="A3" i="53"/>
  <c r="A46" i="52"/>
  <c r="A45" i="52"/>
  <c r="A44" i="52"/>
  <c r="A43" i="52"/>
  <c r="A42" i="52"/>
  <c r="A41" i="52"/>
  <c r="A40" i="52"/>
  <c r="A39" i="52"/>
  <c r="A38" i="52"/>
  <c r="A37" i="52"/>
  <c r="A36" i="52"/>
  <c r="A32" i="52"/>
  <c r="A31" i="52"/>
  <c r="A30" i="52"/>
  <c r="A29" i="52"/>
  <c r="A28" i="52"/>
  <c r="A24" i="52"/>
  <c r="A23" i="52"/>
  <c r="A22" i="52"/>
  <c r="A21" i="52"/>
  <c r="A20" i="52"/>
  <c r="A19" i="52"/>
  <c r="A18" i="52"/>
  <c r="A17" i="52"/>
  <c r="A16" i="52"/>
  <c r="A15" i="52"/>
  <c r="A14" i="52"/>
  <c r="A13" i="52"/>
  <c r="A12" i="52"/>
  <c r="A11" i="52"/>
  <c r="A10" i="52"/>
  <c r="A9" i="52"/>
  <c r="A8" i="52"/>
  <c r="A4" i="52"/>
  <c r="A3" i="52"/>
  <c r="A46" i="48"/>
  <c r="A45" i="48"/>
  <c r="A44" i="48"/>
  <c r="A43" i="48"/>
  <c r="A42" i="48"/>
  <c r="A41" i="48"/>
  <c r="A40" i="48"/>
  <c r="A39" i="48"/>
  <c r="A38" i="48"/>
  <c r="A37" i="48"/>
  <c r="A36" i="48"/>
  <c r="A32" i="48"/>
  <c r="A31" i="48"/>
  <c r="A30" i="48"/>
  <c r="A29" i="48"/>
  <c r="A28" i="48"/>
  <c r="A24" i="48"/>
  <c r="A23" i="48"/>
  <c r="A22" i="48"/>
  <c r="A21" i="48"/>
  <c r="A20" i="48"/>
  <c r="A19" i="48"/>
  <c r="A18" i="48"/>
  <c r="A17" i="48"/>
  <c r="A16" i="48"/>
  <c r="A15" i="48"/>
  <c r="A14" i="48"/>
  <c r="A13" i="48"/>
  <c r="A12" i="48"/>
  <c r="A11" i="48"/>
  <c r="A10" i="48"/>
  <c r="A9" i="48"/>
  <c r="A8" i="48"/>
  <c r="A4" i="48"/>
  <c r="A3" i="48"/>
  <c r="A46" i="56"/>
  <c r="A45" i="56"/>
  <c r="A44" i="56"/>
  <c r="A43" i="56"/>
  <c r="A42" i="56"/>
  <c r="A41" i="56"/>
  <c r="A40" i="56"/>
  <c r="A39" i="56"/>
  <c r="A38" i="56"/>
  <c r="A37" i="56"/>
  <c r="A36" i="56"/>
  <c r="A32" i="56"/>
  <c r="A31" i="56"/>
  <c r="A30" i="56"/>
  <c r="A29" i="56"/>
  <c r="A28" i="56"/>
  <c r="A24" i="56"/>
  <c r="A23" i="56"/>
  <c r="A22" i="56"/>
  <c r="A21" i="56"/>
  <c r="A20" i="56"/>
  <c r="A19" i="56"/>
  <c r="A18" i="56"/>
  <c r="A17" i="56"/>
  <c r="A16" i="56"/>
  <c r="A15" i="56"/>
  <c r="A14" i="56"/>
  <c r="A13" i="56"/>
  <c r="A12" i="56"/>
  <c r="A11" i="56"/>
  <c r="A10" i="56"/>
  <c r="A9" i="56"/>
  <c r="A8" i="56"/>
  <c r="A4" i="56"/>
  <c r="A3" i="56"/>
  <c r="A46" i="55"/>
  <c r="A45" i="55"/>
  <c r="A44" i="55"/>
  <c r="A43" i="55"/>
  <c r="A42" i="55"/>
  <c r="A41" i="55"/>
  <c r="A40" i="55"/>
  <c r="A39" i="55"/>
  <c r="A38" i="55"/>
  <c r="A37" i="55"/>
  <c r="A36" i="55"/>
  <c r="A32" i="55"/>
  <c r="A31" i="55"/>
  <c r="A30" i="55"/>
  <c r="A29" i="55"/>
  <c r="A28" i="55"/>
  <c r="A24" i="55"/>
  <c r="A23" i="55"/>
  <c r="A22" i="55"/>
  <c r="A21" i="55"/>
  <c r="A20" i="55"/>
  <c r="A19" i="55"/>
  <c r="A18" i="55"/>
  <c r="A17" i="55"/>
  <c r="A16" i="55"/>
  <c r="A15" i="55"/>
  <c r="A14" i="55"/>
  <c r="A13" i="55"/>
  <c r="A12" i="55"/>
  <c r="A11" i="55"/>
  <c r="A10" i="55"/>
  <c r="A9" i="55"/>
  <c r="A8" i="55"/>
  <c r="A4" i="55"/>
  <c r="A3" i="55"/>
  <c r="A46" i="57"/>
  <c r="A45" i="57"/>
  <c r="A44" i="57"/>
  <c r="A43" i="57"/>
  <c r="A42" i="57"/>
  <c r="A41" i="57"/>
  <c r="A40" i="57"/>
  <c r="A39" i="57"/>
  <c r="A38" i="57"/>
  <c r="A37" i="57"/>
  <c r="A36" i="57"/>
  <c r="A32" i="57"/>
  <c r="A31" i="57"/>
  <c r="A30" i="57"/>
  <c r="A29" i="57"/>
  <c r="A28" i="57"/>
  <c r="A24" i="57"/>
  <c r="A23" i="57"/>
  <c r="A22" i="57"/>
  <c r="A21" i="57"/>
  <c r="A20" i="57"/>
  <c r="A19" i="57"/>
  <c r="A18" i="57"/>
  <c r="A17" i="57"/>
  <c r="A16" i="57"/>
  <c r="A15" i="57"/>
  <c r="A14" i="57"/>
  <c r="A13" i="57"/>
  <c r="A12" i="57"/>
  <c r="A11" i="57"/>
  <c r="A10" i="57"/>
  <c r="A9" i="57"/>
  <c r="A8" i="57"/>
  <c r="A4" i="57"/>
  <c r="A3" i="57"/>
  <c r="A46" i="58"/>
  <c r="A45" i="58"/>
  <c r="A44" i="58"/>
  <c r="A43" i="58"/>
  <c r="A42" i="58"/>
  <c r="A41" i="58"/>
  <c r="A40" i="58"/>
  <c r="A39" i="58"/>
  <c r="A38" i="58"/>
  <c r="A37" i="58"/>
  <c r="A36" i="58"/>
  <c r="A32" i="58"/>
  <c r="A31" i="58"/>
  <c r="A30" i="58"/>
  <c r="A29" i="58"/>
  <c r="A28" i="58"/>
  <c r="A24" i="58"/>
  <c r="A23" i="58"/>
  <c r="A22" i="58"/>
  <c r="A21" i="58"/>
  <c r="A20" i="58"/>
  <c r="A19" i="58"/>
  <c r="A18" i="58"/>
  <c r="A17" i="58"/>
  <c r="A16" i="58"/>
  <c r="A15" i="58"/>
  <c r="A14" i="58"/>
  <c r="A13" i="58"/>
  <c r="A12" i="58"/>
  <c r="A11" i="58"/>
  <c r="A10" i="58"/>
  <c r="A9" i="58"/>
  <c r="A8" i="58"/>
  <c r="A4" i="58"/>
  <c r="A3" i="58"/>
  <c r="A46" i="59"/>
  <c r="A45" i="59"/>
  <c r="A44" i="59"/>
  <c r="A43" i="59"/>
  <c r="A42" i="59"/>
  <c r="A41" i="59"/>
  <c r="A40" i="59"/>
  <c r="A39" i="59"/>
  <c r="A38" i="59"/>
  <c r="A37" i="59"/>
  <c r="A36" i="59"/>
  <c r="A32" i="59"/>
  <c r="A31" i="59"/>
  <c r="A30" i="59"/>
  <c r="A29" i="59"/>
  <c r="A28" i="59"/>
  <c r="A24" i="59"/>
  <c r="A23" i="59"/>
  <c r="A22" i="59"/>
  <c r="A21" i="59"/>
  <c r="A20" i="59"/>
  <c r="A19" i="59"/>
  <c r="A18" i="59"/>
  <c r="A17" i="59"/>
  <c r="A16" i="59"/>
  <c r="A15" i="59"/>
  <c r="A14" i="59"/>
  <c r="A13" i="59"/>
  <c r="A12" i="59"/>
  <c r="A11" i="59"/>
  <c r="A10" i="59"/>
  <c r="A9" i="59"/>
  <c r="A8" i="59"/>
  <c r="A4" i="59"/>
  <c r="A3" i="59"/>
  <c r="A46" i="13"/>
  <c r="A45" i="13"/>
  <c r="A44" i="13"/>
  <c r="A43" i="13"/>
  <c r="A42" i="13"/>
  <c r="A41" i="13"/>
  <c r="A40" i="13"/>
  <c r="A39" i="13"/>
  <c r="A38" i="13"/>
  <c r="A37" i="13"/>
  <c r="A36" i="13"/>
  <c r="A32" i="13"/>
  <c r="A31" i="13"/>
  <c r="A30" i="13"/>
  <c r="A29" i="13"/>
  <c r="A28" i="13"/>
  <c r="A24" i="13"/>
  <c r="A23" i="13"/>
  <c r="A22" i="13"/>
  <c r="A21" i="13"/>
  <c r="A20" i="13"/>
  <c r="A19" i="13"/>
  <c r="A18" i="13"/>
  <c r="A17" i="13"/>
  <c r="A16" i="13"/>
  <c r="A15" i="13"/>
  <c r="A14" i="13"/>
  <c r="A13" i="13"/>
  <c r="A12" i="13"/>
  <c r="A11" i="13"/>
  <c r="A10" i="13"/>
  <c r="A9" i="13"/>
  <c r="A8" i="13"/>
  <c r="A4" i="13"/>
  <c r="A3" i="13"/>
  <c r="A46" i="62"/>
  <c r="A45" i="62"/>
  <c r="A44" i="62"/>
  <c r="A43" i="62"/>
  <c r="A42" i="62"/>
  <c r="A41" i="62"/>
  <c r="A40" i="62"/>
  <c r="A39" i="62"/>
  <c r="A38" i="62"/>
  <c r="A37" i="62"/>
  <c r="A36" i="62"/>
  <c r="A32" i="62"/>
  <c r="A31" i="62"/>
  <c r="A30" i="62"/>
  <c r="A29" i="62"/>
  <c r="A28" i="62"/>
  <c r="A24" i="62"/>
  <c r="A23" i="62"/>
  <c r="A22" i="62"/>
  <c r="A21" i="62"/>
  <c r="A20" i="62"/>
  <c r="A19" i="62"/>
  <c r="A18" i="62"/>
  <c r="A17" i="62"/>
  <c r="A16" i="62"/>
  <c r="A15" i="62"/>
  <c r="A14" i="62"/>
  <c r="A13" i="62"/>
  <c r="A12" i="62"/>
  <c r="A11" i="62"/>
  <c r="A10" i="62"/>
  <c r="A9" i="62"/>
  <c r="A8" i="62"/>
  <c r="A4" i="62"/>
  <c r="A3" i="62"/>
  <c r="A46" i="63"/>
  <c r="A45" i="63"/>
  <c r="A44" i="63"/>
  <c r="A43" i="63"/>
  <c r="A42" i="63"/>
  <c r="A41" i="63"/>
  <c r="A40" i="63"/>
  <c r="A39" i="63"/>
  <c r="A38" i="63"/>
  <c r="A37" i="63"/>
  <c r="A36" i="63"/>
  <c r="A32" i="63"/>
  <c r="A31" i="63"/>
  <c r="A30" i="63"/>
  <c r="A29" i="63"/>
  <c r="A28" i="63"/>
  <c r="A24" i="63"/>
  <c r="A23" i="63"/>
  <c r="A22" i="63"/>
  <c r="A21" i="63"/>
  <c r="A20" i="63"/>
  <c r="A19" i="63"/>
  <c r="A18" i="63"/>
  <c r="A17" i="63"/>
  <c r="A16" i="63"/>
  <c r="A15" i="63"/>
  <c r="A14" i="63"/>
  <c r="A13" i="63"/>
  <c r="A12" i="63"/>
  <c r="A11" i="63"/>
  <c r="A10" i="63"/>
  <c r="A9" i="63"/>
  <c r="A8" i="63"/>
  <c r="A4" i="63"/>
  <c r="A3" i="63"/>
  <c r="A46" i="61"/>
  <c r="A45" i="61"/>
  <c r="A44" i="61"/>
  <c r="A43" i="61"/>
  <c r="A42" i="61"/>
  <c r="A41" i="61"/>
  <c r="A40" i="61"/>
  <c r="A39" i="61"/>
  <c r="A38" i="61"/>
  <c r="A37" i="61"/>
  <c r="A36" i="61"/>
  <c r="A32" i="61"/>
  <c r="A31" i="61"/>
  <c r="A30" i="61"/>
  <c r="A29" i="61"/>
  <c r="A28" i="61"/>
  <c r="A24" i="61"/>
  <c r="A23" i="61"/>
  <c r="A22" i="61"/>
  <c r="A21" i="61"/>
  <c r="A20" i="61"/>
  <c r="A19" i="61"/>
  <c r="A18" i="61"/>
  <c r="A17" i="61"/>
  <c r="A16" i="61"/>
  <c r="A15" i="61"/>
  <c r="A14" i="61"/>
  <c r="A13" i="61"/>
  <c r="A12" i="61"/>
  <c r="A11" i="61"/>
  <c r="A10" i="61"/>
  <c r="A9" i="61"/>
  <c r="A8" i="61"/>
  <c r="A4" i="61"/>
  <c r="A3" i="61"/>
  <c r="A46" i="41"/>
  <c r="A45" i="41"/>
  <c r="A44" i="41"/>
  <c r="A43" i="41"/>
  <c r="A42" i="41"/>
  <c r="A41" i="41"/>
  <c r="A40" i="41"/>
  <c r="A39" i="41"/>
  <c r="A38" i="41"/>
  <c r="A37" i="41"/>
  <c r="A36" i="41"/>
  <c r="A32" i="41"/>
  <c r="A31" i="41"/>
  <c r="A30" i="41"/>
  <c r="A29" i="41"/>
  <c r="A28" i="41"/>
  <c r="A24" i="41"/>
  <c r="A23" i="41"/>
  <c r="A22" i="41"/>
  <c r="A21" i="41"/>
  <c r="A20" i="41"/>
  <c r="A19" i="41"/>
  <c r="A18" i="41"/>
  <c r="A17" i="41"/>
  <c r="A16" i="41"/>
  <c r="A15" i="41"/>
  <c r="A14" i="41"/>
  <c r="A13" i="41"/>
  <c r="A12" i="41"/>
  <c r="A11" i="41"/>
  <c r="A10" i="41"/>
  <c r="A9" i="41"/>
  <c r="A8" i="41"/>
  <c r="A4" i="41"/>
  <c r="A3" i="41"/>
  <c r="A46" i="40"/>
  <c r="A45" i="40"/>
  <c r="A44" i="40"/>
  <c r="A43" i="40"/>
  <c r="A42" i="40"/>
  <c r="A41" i="40"/>
  <c r="A40" i="40"/>
  <c r="A39" i="40"/>
  <c r="A38" i="40"/>
  <c r="A37" i="40"/>
  <c r="A36" i="40"/>
  <c r="A32" i="40"/>
  <c r="A31" i="40"/>
  <c r="A30" i="40"/>
  <c r="A29" i="40"/>
  <c r="A28" i="40"/>
  <c r="A24" i="40"/>
  <c r="A23" i="40"/>
  <c r="A22" i="40"/>
  <c r="A21" i="40"/>
  <c r="A20" i="40"/>
  <c r="A19" i="40"/>
  <c r="A18" i="40"/>
  <c r="A17" i="40"/>
  <c r="A16" i="40"/>
  <c r="A15" i="40"/>
  <c r="A14" i="40"/>
  <c r="A13" i="40"/>
  <c r="A12" i="40"/>
  <c r="A11" i="40"/>
  <c r="A10" i="40"/>
  <c r="A9" i="40"/>
  <c r="A8" i="40"/>
  <c r="A4" i="40"/>
  <c r="A3" i="40"/>
  <c r="D32" i="67"/>
  <c r="D25" i="67"/>
  <c r="F39" i="66"/>
  <c r="D37" i="66"/>
  <c r="D34" i="66"/>
  <c r="D33" i="66"/>
  <c r="D25" i="66"/>
  <c r="J21" i="63" a="1"/>
  <c r="J21" i="63" s="1"/>
  <c r="G21" i="63" a="1"/>
  <c r="G21" i="63" s="1"/>
  <c r="J20" i="63" a="1"/>
  <c r="J20" i="63" s="1"/>
  <c r="G20" i="63" a="1"/>
  <c r="G20" i="63" s="1"/>
  <c r="J19" i="63" a="1"/>
  <c r="J19" i="63" s="1"/>
  <c r="G19" i="63" a="1"/>
  <c r="G19" i="63" s="1"/>
  <c r="J18" i="63" a="1"/>
  <c r="J18" i="63" s="1"/>
  <c r="G18" i="63" a="1"/>
  <c r="G18" i="63" s="1"/>
  <c r="J17" i="63" a="1"/>
  <c r="J17" i="63" s="1"/>
  <c r="G17" i="63" a="1"/>
  <c r="G17" i="63" s="1"/>
  <c r="E32" i="61"/>
  <c r="D305" i="19" a="1"/>
  <c r="D305"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21" i="19" a="1"/>
  <c r="D221"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7" a="1"/>
  <c r="E65" i="77" s="1"/>
  <c r="D65" i="77" a="1"/>
  <c r="D65" i="77" s="1"/>
  <c r="D63" i="77" a="1"/>
  <c r="D63" i="77" s="1"/>
  <c r="D62" i="77" a="1"/>
  <c r="D62" i="77" s="1"/>
  <c r="E60" i="77" a="1"/>
  <c r="E60" i="77" s="1"/>
  <c r="D60" i="77" a="1"/>
  <c r="D60" i="77" s="1"/>
  <c r="D58" i="77" a="1"/>
  <c r="D58" i="77" s="1"/>
  <c r="D57" i="77" a="1"/>
  <c r="D57" i="77" s="1"/>
  <c r="E55" i="77" a="1"/>
  <c r="E55" i="77" s="1"/>
  <c r="D55" i="77" a="1"/>
  <c r="D55" i="77" s="1"/>
  <c r="D53" i="77" a="1"/>
  <c r="D53" i="77" s="1"/>
  <c r="D52" i="77" a="1"/>
  <c r="D52" i="77" s="1"/>
  <c r="E50" i="77" a="1"/>
  <c r="E50" i="77" s="1"/>
  <c r="D50" i="77" a="1"/>
  <c r="D50" i="77" s="1"/>
  <c r="E49" i="77" a="1"/>
  <c r="E49" i="77" s="1"/>
  <c r="D49" i="77" a="1"/>
  <c r="D49" i="77" s="1"/>
  <c r="E48" i="77" a="1"/>
  <c r="E48" i="77" s="1"/>
  <c r="D48" i="77" a="1"/>
  <c r="D48" i="77" s="1"/>
  <c r="E47" i="77" a="1"/>
  <c r="E47" i="77" s="1"/>
  <c r="D47" i="77" a="1"/>
  <c r="D47" i="77" s="1"/>
  <c r="E46" i="77" a="1"/>
  <c r="E46" i="77" s="1"/>
  <c r="D46" i="77" a="1"/>
  <c r="D46" i="77" s="1"/>
  <c r="E45" i="77" a="1"/>
  <c r="E45" i="77" s="1"/>
  <c r="D45" i="77" a="1"/>
  <c r="D45" i="77" s="1"/>
  <c r="E44" i="77" a="1"/>
  <c r="E44" i="77" s="1"/>
  <c r="D44" i="77" a="1"/>
  <c r="D44" i="77" s="1"/>
  <c r="D42" i="77" a="1"/>
  <c r="D42" i="77" s="1"/>
  <c r="D41" i="77" a="1"/>
  <c r="D41" i="77" s="1"/>
  <c r="E39" i="77" a="1"/>
  <c r="E39" i="77" s="1"/>
  <c r="D39" i="77" a="1"/>
  <c r="D39" i="77" s="1"/>
  <c r="E38" i="77" a="1"/>
  <c r="E38" i="77" s="1"/>
  <c r="D38" i="77" a="1"/>
  <c r="D38" i="77" s="1"/>
  <c r="E37" i="77" a="1"/>
  <c r="E37" i="77" s="1"/>
  <c r="D37" i="77" a="1"/>
  <c r="D37" i="77" s="1"/>
  <c r="E36" i="77" a="1"/>
  <c r="E36" i="77" s="1"/>
  <c r="D36" i="77" a="1"/>
  <c r="D36" i="77" s="1"/>
  <c r="E35" i="77" a="1"/>
  <c r="E35" i="77" s="1"/>
  <c r="D35" i="77" a="1"/>
  <c r="D35" i="77" s="1"/>
  <c r="E34" i="77" a="1"/>
  <c r="E34" i="77" s="1"/>
  <c r="D34" i="77" a="1"/>
  <c r="D34" i="77" s="1"/>
  <c r="E33" i="77" a="1"/>
  <c r="E33" i="77" s="1"/>
  <c r="D33" i="77" a="1"/>
  <c r="D33" i="77" s="1"/>
  <c r="E32" i="77" a="1"/>
  <c r="E32" i="77" s="1"/>
  <c r="D32" i="77" a="1"/>
  <c r="D32" i="77" s="1"/>
  <c r="D30" i="77" a="1"/>
  <c r="D30" i="77" s="1"/>
  <c r="D29" i="77" a="1"/>
  <c r="D29" i="77" s="1"/>
  <c r="F27" i="77" a="1"/>
  <c r="F27" i="77" s="1"/>
  <c r="E27" i="77" a="1"/>
  <c r="E27" i="77" s="1"/>
  <c r="D27" i="77" a="1"/>
  <c r="D27" i="77" s="1"/>
  <c r="F26" i="77" a="1"/>
  <c r="F26" i="77" s="1"/>
  <c r="E26" i="77" a="1"/>
  <c r="E26" i="77" s="1"/>
  <c r="D26" i="77" a="1"/>
  <c r="D26" i="77" s="1"/>
  <c r="F25" i="77" a="1"/>
  <c r="F25" i="77" s="1"/>
  <c r="E25" i="77" a="1"/>
  <c r="E25" i="77" s="1"/>
  <c r="D25" i="77" a="1"/>
  <c r="D25" i="77" s="1"/>
  <c r="F24" i="77" a="1"/>
  <c r="F24" i="77" s="1"/>
  <c r="E24" i="77" a="1"/>
  <c r="E24" i="77" s="1"/>
  <c r="D24" i="77" a="1"/>
  <c r="D24" i="77" s="1"/>
  <c r="F23" i="77" a="1"/>
  <c r="F23" i="77" s="1"/>
  <c r="E23" i="77" a="1"/>
  <c r="E23" i="77" s="1"/>
  <c r="D23" i="77" a="1"/>
  <c r="D23" i="77" s="1"/>
  <c r="F22" i="77" a="1"/>
  <c r="F22" i="77" s="1"/>
  <c r="E22" i="77" a="1"/>
  <c r="E22" i="77" s="1"/>
  <c r="D22" i="77" a="1"/>
  <c r="D22" i="77" s="1"/>
  <c r="F21" i="77" a="1"/>
  <c r="F21" i="77" s="1"/>
  <c r="E21" i="77" a="1"/>
  <c r="E21" i="77" s="1"/>
  <c r="D21" i="77" a="1"/>
  <c r="D21" i="77" s="1"/>
  <c r="F20" i="77" a="1"/>
  <c r="F20" i="77" s="1"/>
  <c r="E20" i="77" a="1"/>
  <c r="E20" i="77" s="1"/>
  <c r="D20" i="77" a="1"/>
  <c r="D20" i="77" s="1"/>
  <c r="F19" i="77" a="1"/>
  <c r="F19" i="77" s="1"/>
  <c r="E19" i="77" a="1"/>
  <c r="E19" i="77" s="1"/>
  <c r="D19" i="77" a="1"/>
  <c r="D19" i="77" s="1"/>
  <c r="F18" i="77" a="1"/>
  <c r="F18" i="77" s="1"/>
  <c r="E18" i="77" a="1"/>
  <c r="E18" i="77" s="1"/>
  <c r="D18" i="77" a="1"/>
  <c r="D18" i="77" s="1"/>
  <c r="F17" i="77" a="1"/>
  <c r="F17" i="77" s="1"/>
  <c r="E17" i="77" a="1"/>
  <c r="E17" i="77" s="1"/>
  <c r="D17" i="77" a="1"/>
  <c r="D17" i="77" s="1"/>
  <c r="F16" i="77" a="1"/>
  <c r="F16" i="77" s="1"/>
  <c r="E16" i="77" a="1"/>
  <c r="E16" i="77" s="1"/>
  <c r="D16" i="77" a="1"/>
  <c r="D16" i="77" s="1"/>
  <c r="F15" i="77" a="1"/>
  <c r="F15" i="77" s="1"/>
  <c r="E11" i="74" s="1"/>
  <c r="E15" i="77" a="1"/>
  <c r="E15" i="77" s="1"/>
  <c r="D11" i="74" s="1"/>
  <c r="D15" i="77" a="1"/>
  <c r="D15" i="77" s="1"/>
  <c r="F14" i="77" a="1"/>
  <c r="F14" i="77" s="1"/>
  <c r="E10" i="74" s="1"/>
  <c r="E14" i="77" a="1"/>
  <c r="E14" i="77" s="1"/>
  <c r="D10" i="74" s="1"/>
  <c r="D14" i="77" a="1"/>
  <c r="D14" i="77" s="1"/>
  <c r="F13" i="77" a="1"/>
  <c r="F13" i="77" s="1"/>
  <c r="E9" i="74" s="1"/>
  <c r="E13" i="77" a="1"/>
  <c r="E13" i="77" s="1"/>
  <c r="D9" i="74" s="1"/>
  <c r="D13" i="77" a="1"/>
  <c r="D13" i="77" s="1"/>
  <c r="F12" i="77" a="1"/>
  <c r="F12" i="77" s="1"/>
  <c r="E12" i="77" a="1"/>
  <c r="E12" i="77" s="1"/>
  <c r="D12" i="77" a="1"/>
  <c r="D12" i="77" s="1"/>
  <c r="F11" i="77" a="1"/>
  <c r="F11" i="77" s="1"/>
  <c r="E11" i="77" a="1"/>
  <c r="E11" i="77" s="1"/>
  <c r="D11" i="77" a="1"/>
  <c r="D11" i="77" s="1"/>
  <c r="F10" i="77" a="1"/>
  <c r="F10" i="77" s="1"/>
  <c r="E8" i="74" s="1"/>
  <c r="E10" i="77" a="1"/>
  <c r="E10" i="77" s="1"/>
  <c r="D8" i="74" s="1"/>
  <c r="D10" i="77" a="1"/>
  <c r="D10" i="77" s="1"/>
  <c r="D8" i="77" a="1"/>
  <c r="D8" i="77" s="1"/>
  <c r="D7" i="77" a="1"/>
  <c r="D7" i="77" s="1"/>
  <c r="D6" i="77" a="1"/>
  <c r="D6" i="77" s="1"/>
  <c r="E123" i="76" a="1"/>
  <c r="E123" i="76" s="1"/>
  <c r="D123" i="76" a="1"/>
  <c r="D123" i="76" s="1"/>
  <c r="E122" i="76" a="1"/>
  <c r="E122" i="76" s="1"/>
  <c r="D122" i="76" a="1"/>
  <c r="D122" i="76" s="1"/>
  <c r="E121" i="76" a="1"/>
  <c r="E121" i="76" s="1"/>
  <c r="D121" i="76" a="1"/>
  <c r="D121" i="76" s="1"/>
  <c r="E120" i="76" a="1"/>
  <c r="E120" i="76" s="1"/>
  <c r="D120" i="76" a="1"/>
  <c r="D120" i="76" s="1"/>
  <c r="G16" i="54" s="1" a="1"/>
  <c r="G16" i="54" s="1"/>
  <c r="D118" i="76" a="1"/>
  <c r="D118" i="76" s="1"/>
  <c r="D117" i="76" a="1"/>
  <c r="D117" i="76" s="1"/>
  <c r="F115" i="76" a="1"/>
  <c r="F115" i="76" s="1"/>
  <c r="E115" i="76" a="1"/>
  <c r="E115" i="76" s="1"/>
  <c r="D115" i="76" a="1"/>
  <c r="D115" i="76" s="1"/>
  <c r="D114" i="76" a="1"/>
  <c r="D114" i="76" s="1"/>
  <c r="D113" i="76" a="1"/>
  <c r="D113" i="76" s="1"/>
  <c r="D112" i="76" a="1"/>
  <c r="D112" i="76" s="1"/>
  <c r="E110" i="76" a="1"/>
  <c r="E110" i="76" s="1"/>
  <c r="D110" i="76" a="1"/>
  <c r="D110" i="76" s="1"/>
  <c r="D109" i="76" a="1"/>
  <c r="D109" i="76" s="1"/>
  <c r="D108" i="76" a="1"/>
  <c r="D108" i="76" s="1"/>
  <c r="F105" i="76" a="1"/>
  <c r="F105" i="76" s="1"/>
  <c r="E105" i="76" a="1"/>
  <c r="E105" i="76" s="1"/>
  <c r="D105" i="76" a="1"/>
  <c r="D105" i="76" s="1"/>
  <c r="F104" i="76" a="1"/>
  <c r="F104" i="76" s="1"/>
  <c r="E104" i="76" a="1"/>
  <c r="E104" i="76" s="1"/>
  <c r="D104" i="76" a="1"/>
  <c r="D104" i="76" s="1"/>
  <c r="F103" i="76" a="1"/>
  <c r="F103" i="76" s="1"/>
  <c r="E103" i="76" a="1"/>
  <c r="E103" i="76" s="1"/>
  <c r="D103" i="76" a="1"/>
  <c r="D103" i="76" s="1"/>
  <c r="F102" i="76" a="1"/>
  <c r="F102" i="76" s="1"/>
  <c r="E102" i="76" a="1"/>
  <c r="E102" i="76" s="1"/>
  <c r="D102" i="76" a="1"/>
  <c r="D102" i="76" s="1"/>
  <c r="F101" i="76" a="1"/>
  <c r="F101" i="76" s="1"/>
  <c r="E101" i="76" a="1"/>
  <c r="E101" i="76" s="1"/>
  <c r="D101" i="76" a="1"/>
  <c r="D101" i="76" s="1"/>
  <c r="F100" i="76" a="1"/>
  <c r="F100" i="76" s="1"/>
  <c r="E100" i="76" a="1"/>
  <c r="E100" i="76" s="1"/>
  <c r="D100" i="76" a="1"/>
  <c r="D100" i="76" s="1"/>
  <c r="F99" i="76" a="1"/>
  <c r="F99" i="76" s="1"/>
  <c r="E99" i="76" a="1"/>
  <c r="E99" i="76" s="1"/>
  <c r="D99" i="76" a="1"/>
  <c r="D99" i="76" s="1"/>
  <c r="F98" i="76" a="1"/>
  <c r="F98" i="76" s="1"/>
  <c r="E98" i="76" a="1"/>
  <c r="E98" i="76" s="1"/>
  <c r="D98" i="76" a="1"/>
  <c r="D98" i="76" s="1"/>
  <c r="D96" i="76" a="1"/>
  <c r="D96" i="76" s="1"/>
  <c r="D95" i="76" a="1"/>
  <c r="D95" i="76" s="1"/>
  <c r="D94" i="76" a="1"/>
  <c r="D94" i="76" s="1"/>
  <c r="F91" i="76" a="1"/>
  <c r="F91" i="76" s="1"/>
  <c r="E91" i="76" a="1"/>
  <c r="E91" i="76" s="1"/>
  <c r="D91" i="76" a="1"/>
  <c r="D91" i="76" s="1"/>
  <c r="F90" i="76" a="1"/>
  <c r="F90" i="76" s="1"/>
  <c r="E90" i="76" a="1"/>
  <c r="E90" i="76" s="1"/>
  <c r="D90" i="76" a="1"/>
  <c r="D90" i="76" s="1"/>
  <c r="F89" i="76" a="1"/>
  <c r="F89" i="76" s="1"/>
  <c r="E89" i="76" a="1"/>
  <c r="E89" i="76" s="1"/>
  <c r="D89" i="76" a="1"/>
  <c r="D89" i="76" s="1"/>
  <c r="F88" i="76" a="1"/>
  <c r="F88" i="76" s="1"/>
  <c r="E88" i="76" a="1"/>
  <c r="E88" i="76" s="1"/>
  <c r="D88" i="76" a="1"/>
  <c r="D88" i="76" s="1"/>
  <c r="F87" i="76" a="1"/>
  <c r="F87" i="76" s="1"/>
  <c r="E87" i="76" a="1"/>
  <c r="E87" i="76" s="1"/>
  <c r="D87" i="76" a="1"/>
  <c r="D87" i="76" s="1"/>
  <c r="F86" i="76" a="1"/>
  <c r="F86" i="76" s="1"/>
  <c r="E86" i="76" a="1"/>
  <c r="E86" i="76" s="1"/>
  <c r="D86" i="76" a="1"/>
  <c r="D86" i="76" s="1"/>
  <c r="F85" i="76" a="1"/>
  <c r="F85" i="76" s="1"/>
  <c r="E85" i="76" a="1"/>
  <c r="E85" i="76" s="1"/>
  <c r="D85" i="76" a="1"/>
  <c r="D85" i="76" s="1"/>
  <c r="D83" i="76" a="1"/>
  <c r="D83" i="76" s="1"/>
  <c r="D82" i="76" a="1"/>
  <c r="D82" i="76" s="1"/>
  <c r="D81" i="76" a="1"/>
  <c r="D81" i="76" s="1"/>
  <c r="F78" i="76" a="1"/>
  <c r="F78" i="76" s="1"/>
  <c r="E78" i="76" a="1"/>
  <c r="E78" i="76" s="1"/>
  <c r="D78" i="76" a="1"/>
  <c r="D78" i="76" s="1"/>
  <c r="F77" i="76" a="1"/>
  <c r="F77" i="76" s="1"/>
  <c r="E77" i="76" a="1"/>
  <c r="E77" i="76" s="1"/>
  <c r="D77" i="76" a="1"/>
  <c r="D77" i="76" s="1"/>
  <c r="F76" i="76" a="1"/>
  <c r="F76" i="76" s="1"/>
  <c r="E76" i="76" a="1"/>
  <c r="E76" i="76" s="1"/>
  <c r="D76" i="76" a="1"/>
  <c r="D76" i="76" s="1"/>
  <c r="D74" i="76" a="1"/>
  <c r="D74" i="76" s="1"/>
  <c r="D73" i="76" a="1"/>
  <c r="D73" i="76" s="1"/>
  <c r="D72" i="76" a="1"/>
  <c r="D72" i="76" s="1"/>
  <c r="N68" i="76" a="1"/>
  <c r="N68" i="76" s="1"/>
  <c r="M68" i="76" a="1"/>
  <c r="M68" i="76" s="1"/>
  <c r="L68" i="76" a="1"/>
  <c r="L68" i="76" s="1"/>
  <c r="K68" i="76" a="1"/>
  <c r="K68" i="76" s="1"/>
  <c r="J68" i="76" a="1"/>
  <c r="J68" i="76" s="1"/>
  <c r="I68" i="76" a="1"/>
  <c r="I68" i="76" s="1"/>
  <c r="H68" i="76" a="1"/>
  <c r="H68" i="76" s="1"/>
  <c r="G68" i="76" a="1"/>
  <c r="G68" i="76" s="1"/>
  <c r="F68" i="76" a="1"/>
  <c r="F68" i="76" s="1"/>
  <c r="E68" i="76" a="1"/>
  <c r="E68" i="76" s="1"/>
  <c r="D68" i="76" a="1"/>
  <c r="D68" i="76" s="1"/>
  <c r="N67" i="76" a="1"/>
  <c r="N67" i="76" s="1"/>
  <c r="M67" i="76" a="1"/>
  <c r="M67" i="76" s="1"/>
  <c r="L67" i="76" a="1"/>
  <c r="L67" i="76" s="1"/>
  <c r="K67" i="76" a="1"/>
  <c r="K67" i="76" s="1"/>
  <c r="J67" i="76" a="1"/>
  <c r="J67" i="76" s="1"/>
  <c r="I67" i="76" a="1"/>
  <c r="I67" i="76" s="1"/>
  <c r="H67" i="76" a="1"/>
  <c r="H67" i="76" s="1"/>
  <c r="G67" i="76" a="1"/>
  <c r="G67" i="76" s="1"/>
  <c r="F67" i="76" a="1"/>
  <c r="F67" i="76" s="1"/>
  <c r="E67" i="76" a="1"/>
  <c r="E67" i="76" s="1"/>
  <c r="D67" i="76" a="1"/>
  <c r="D67" i="76" s="1"/>
  <c r="N66" i="76" a="1"/>
  <c r="N66" i="76" s="1"/>
  <c r="M66" i="76" a="1"/>
  <c r="M66" i="76" s="1"/>
  <c r="L66" i="76" a="1"/>
  <c r="L66" i="76" s="1"/>
  <c r="K66" i="76" a="1"/>
  <c r="K66" i="76" s="1"/>
  <c r="J66" i="76" a="1"/>
  <c r="J66" i="76" s="1"/>
  <c r="I66" i="76" a="1"/>
  <c r="I66" i="76" s="1"/>
  <c r="H66" i="76" a="1"/>
  <c r="H66" i="76" s="1"/>
  <c r="G66" i="76" a="1"/>
  <c r="G66" i="76" s="1"/>
  <c r="F66" i="76" a="1"/>
  <c r="F66" i="76" s="1"/>
  <c r="E66" i="76" a="1"/>
  <c r="E66" i="76" s="1"/>
  <c r="D66" i="76" a="1"/>
  <c r="D66" i="76" s="1"/>
  <c r="N65" i="76" a="1"/>
  <c r="N65" i="76" s="1"/>
  <c r="M65" i="76" a="1"/>
  <c r="M65" i="76" s="1"/>
  <c r="L65" i="76" a="1"/>
  <c r="L65" i="76" s="1"/>
  <c r="K65" i="76" a="1"/>
  <c r="K65" i="76" s="1"/>
  <c r="J65" i="76" a="1"/>
  <c r="J65" i="76" s="1"/>
  <c r="I65" i="76" a="1"/>
  <c r="I65" i="76" s="1"/>
  <c r="H65" i="76" a="1"/>
  <c r="H65" i="76" s="1"/>
  <c r="G65" i="76" a="1"/>
  <c r="G65" i="76" s="1"/>
  <c r="F65" i="76" a="1"/>
  <c r="F65" i="76" s="1"/>
  <c r="E65" i="76" a="1"/>
  <c r="E65" i="76" s="1"/>
  <c r="D65" i="76" a="1"/>
  <c r="D65" i="76" s="1"/>
  <c r="N64" i="76" a="1"/>
  <c r="N64" i="76" s="1"/>
  <c r="M64" i="76" a="1"/>
  <c r="M64" i="76" s="1"/>
  <c r="L64" i="76" a="1"/>
  <c r="L64" i="76" s="1"/>
  <c r="K64" i="76" a="1"/>
  <c r="K64" i="76" s="1"/>
  <c r="J64" i="76" a="1"/>
  <c r="J64" i="76" s="1"/>
  <c r="I64" i="76" a="1"/>
  <c r="I64" i="76" s="1"/>
  <c r="H64" i="76" a="1"/>
  <c r="H64" i="76" s="1"/>
  <c r="G64" i="76" a="1"/>
  <c r="G64" i="76" s="1"/>
  <c r="F64" i="76" a="1"/>
  <c r="F64" i="76" s="1"/>
  <c r="E64" i="76" a="1"/>
  <c r="E64" i="76" s="1"/>
  <c r="D64" i="76" a="1"/>
  <c r="D64" i="76" s="1"/>
  <c r="N63" i="76" a="1"/>
  <c r="N63" i="76" s="1"/>
  <c r="M63" i="76" a="1"/>
  <c r="M63" i="76" s="1"/>
  <c r="L63" i="76" a="1"/>
  <c r="L63" i="76" s="1"/>
  <c r="K63" i="76" a="1"/>
  <c r="K63" i="76" s="1"/>
  <c r="J63" i="76" a="1"/>
  <c r="J63" i="76" s="1"/>
  <c r="I63" i="76" a="1"/>
  <c r="I63" i="76" s="1"/>
  <c r="H63" i="76" a="1"/>
  <c r="H63" i="76" s="1"/>
  <c r="G63" i="76" a="1"/>
  <c r="G63" i="76" s="1"/>
  <c r="F63" i="76" a="1"/>
  <c r="F63" i="76" s="1"/>
  <c r="E63" i="76" a="1"/>
  <c r="E63" i="76" s="1"/>
  <c r="D63" i="76" a="1"/>
  <c r="D63" i="76" s="1"/>
  <c r="N62" i="76" a="1"/>
  <c r="N62" i="76" s="1"/>
  <c r="M62" i="76" a="1"/>
  <c r="M62" i="76" s="1"/>
  <c r="L62" i="76" a="1"/>
  <c r="L62" i="76" s="1"/>
  <c r="K62" i="76" a="1"/>
  <c r="K62" i="76" s="1"/>
  <c r="J62" i="76" a="1"/>
  <c r="J62" i="76" s="1"/>
  <c r="I62" i="76" a="1"/>
  <c r="I62" i="76" s="1"/>
  <c r="H62" i="76" a="1"/>
  <c r="H62" i="76" s="1"/>
  <c r="G62" i="76" a="1"/>
  <c r="G62" i="76" s="1"/>
  <c r="F62" i="76" a="1"/>
  <c r="F62" i="76" s="1"/>
  <c r="E62" i="76" a="1"/>
  <c r="E62" i="76" s="1"/>
  <c r="D62" i="76" a="1"/>
  <c r="D62" i="76" s="1"/>
  <c r="N61" i="76" a="1"/>
  <c r="N61" i="76" s="1"/>
  <c r="M61" i="76" a="1"/>
  <c r="M61" i="76" s="1"/>
  <c r="L61" i="76" a="1"/>
  <c r="L61" i="76" s="1"/>
  <c r="K61" i="76" a="1"/>
  <c r="K61" i="76" s="1"/>
  <c r="J61" i="76" a="1"/>
  <c r="J61" i="76" s="1"/>
  <c r="I61" i="76" a="1"/>
  <c r="I61" i="76" s="1"/>
  <c r="H61" i="76" a="1"/>
  <c r="H61" i="76" s="1"/>
  <c r="G61" i="76" a="1"/>
  <c r="G61" i="76" s="1"/>
  <c r="F61" i="76" a="1"/>
  <c r="F61" i="76" s="1"/>
  <c r="E61" i="76" a="1"/>
  <c r="E61" i="76" s="1"/>
  <c r="D61" i="76" a="1"/>
  <c r="D61" i="76" s="1"/>
  <c r="N60" i="76" a="1"/>
  <c r="N60" i="76" s="1"/>
  <c r="M60" i="76" a="1"/>
  <c r="M60" i="76" s="1"/>
  <c r="L60" i="76" a="1"/>
  <c r="L60" i="76" s="1"/>
  <c r="K60" i="76" a="1"/>
  <c r="K60" i="76" s="1"/>
  <c r="J60" i="76" a="1"/>
  <c r="J60" i="76" s="1"/>
  <c r="I60" i="76" a="1"/>
  <c r="I60" i="76" s="1"/>
  <c r="H60" i="76" a="1"/>
  <c r="H60" i="76" s="1"/>
  <c r="G60" i="76" a="1"/>
  <c r="G60" i="76" s="1"/>
  <c r="F60" i="76" a="1"/>
  <c r="F60" i="76" s="1"/>
  <c r="E60" i="76" a="1"/>
  <c r="E60" i="76" s="1"/>
  <c r="D60" i="76" a="1"/>
  <c r="D60" i="76" s="1"/>
  <c r="D53" i="76" a="1"/>
  <c r="D53" i="76" s="1"/>
  <c r="D52" i="76" a="1"/>
  <c r="D52" i="76" s="1"/>
  <c r="D51" i="76" a="1"/>
  <c r="D51" i="76" s="1"/>
  <c r="D47" i="76" a="1"/>
  <c r="D47" i="76" s="1"/>
  <c r="D46" i="76" a="1"/>
  <c r="D46" i="76" s="1"/>
  <c r="D45" i="76" a="1"/>
  <c r="D45" i="76" s="1"/>
  <c r="E21" i="76" a="1"/>
  <c r="E21" i="76" s="1"/>
  <c r="D21" i="76" a="1"/>
  <c r="D21" i="76" s="1"/>
  <c r="E20" i="76" a="1"/>
  <c r="E20" i="76" s="1"/>
  <c r="D20" i="76" a="1"/>
  <c r="D20" i="76" s="1"/>
  <c r="D18" i="76" a="1"/>
  <c r="D18" i="76" s="1"/>
  <c r="D17" i="76" a="1"/>
  <c r="D17" i="76" s="1"/>
  <c r="H13" i="76" a="1"/>
  <c r="H13" i="76" s="1"/>
  <c r="G13" i="76" a="1"/>
  <c r="G13" i="76" s="1"/>
  <c r="F13" i="76" a="1"/>
  <c r="F13" i="76" s="1"/>
  <c r="E13" i="76" a="1"/>
  <c r="E13" i="76" s="1"/>
  <c r="D13" i="76" a="1"/>
  <c r="D13" i="76" s="1"/>
  <c r="H12" i="76" a="1"/>
  <c r="H12" i="76" s="1"/>
  <c r="G12" i="76" a="1"/>
  <c r="G12" i="76" s="1"/>
  <c r="F12" i="76" a="1"/>
  <c r="F12" i="76" s="1"/>
  <c r="E12" i="76" a="1"/>
  <c r="E12" i="76" s="1"/>
  <c r="D12" i="76"/>
  <c r="D12" i="76" a="1"/>
  <c r="H11" i="76" a="1"/>
  <c r="H11" i="76" s="1"/>
  <c r="G11" i="76" a="1"/>
  <c r="G11" i="76" s="1"/>
  <c r="F11" i="76"/>
  <c r="F11" i="76" a="1"/>
  <c r="E11" i="76" a="1"/>
  <c r="E11" i="76" s="1"/>
  <c r="D11" i="76" a="1"/>
  <c r="D11" i="76" s="1"/>
  <c r="H10" i="76" a="1"/>
  <c r="H10" i="76" s="1"/>
  <c r="G10" i="76" a="1"/>
  <c r="G10" i="76" s="1"/>
  <c r="F10" i="76" a="1"/>
  <c r="F10" i="76" s="1"/>
  <c r="E10" i="76" a="1"/>
  <c r="E10" i="76" s="1"/>
  <c r="D10" i="76" a="1"/>
  <c r="D10" i="76" s="1"/>
  <c r="H9" i="76" a="1"/>
  <c r="H9" i="76" s="1"/>
  <c r="G9" i="76" a="1"/>
  <c r="G9" i="76" s="1"/>
  <c r="F9" i="76" a="1"/>
  <c r="F9" i="76" s="1"/>
  <c r="E9" i="76" a="1"/>
  <c r="E9" i="76" s="1"/>
  <c r="D9" i="76" a="1"/>
  <c r="D9" i="76" s="1"/>
  <c r="D6" i="76" a="1"/>
  <c r="D6" i="76" s="1"/>
  <c r="D5" i="76" a="1"/>
  <c r="D5" i="76" s="1"/>
  <c r="E132" i="75" a="1"/>
  <c r="E132" i="75" s="1"/>
  <c r="D132" i="75" a="1"/>
  <c r="D132" i="75" s="1"/>
  <c r="E131" i="75" a="1"/>
  <c r="E131" i="75" s="1"/>
  <c r="D131" i="75" a="1"/>
  <c r="D131" i="75" s="1"/>
  <c r="E130" i="75" a="1"/>
  <c r="E130" i="75" s="1"/>
  <c r="D130" i="75" a="1"/>
  <c r="D130" i="75" s="1"/>
  <c r="E129" i="75" a="1"/>
  <c r="E129" i="75" s="1"/>
  <c r="D129" i="75" a="1"/>
  <c r="D129" i="75" s="1"/>
  <c r="E128" i="75" a="1"/>
  <c r="E128" i="75" s="1"/>
  <c r="D128" i="75" a="1"/>
  <c r="D128" i="75" s="1"/>
  <c r="G13" i="53" s="1" a="1"/>
  <c r="G13" i="53" s="1"/>
  <c r="D126" i="75" a="1"/>
  <c r="D126" i="75" s="1"/>
  <c r="D125" i="75" a="1"/>
  <c r="D125" i="75" s="1"/>
  <c r="F122" i="75" a="1"/>
  <c r="F122" i="75" s="1"/>
  <c r="E122" i="75" a="1"/>
  <c r="E122" i="75" s="1"/>
  <c r="D122" i="75" a="1"/>
  <c r="D122" i="75" s="1"/>
  <c r="D121" i="75" a="1"/>
  <c r="D121" i="75" s="1"/>
  <c r="D120" i="75" a="1"/>
  <c r="D120" i="75" s="1"/>
  <c r="F117" i="75" a="1"/>
  <c r="F117" i="75" s="1"/>
  <c r="E117" i="75" a="1"/>
  <c r="E117" i="75" s="1"/>
  <c r="D117" i="75" a="1"/>
  <c r="D117" i="75" s="1"/>
  <c r="F116" i="75" a="1"/>
  <c r="F116" i="75" s="1"/>
  <c r="E116" i="75" a="1"/>
  <c r="E116" i="75" s="1"/>
  <c r="D116" i="75" a="1"/>
  <c r="D116" i="75" s="1"/>
  <c r="F115" i="75" a="1"/>
  <c r="F115" i="75" s="1"/>
  <c r="E115" i="75" a="1"/>
  <c r="E115" i="75" s="1"/>
  <c r="D115" i="75" a="1"/>
  <c r="D115" i="75" s="1"/>
  <c r="F114" i="75" a="1"/>
  <c r="F114" i="75" s="1"/>
  <c r="E114" i="75" a="1"/>
  <c r="E114" i="75" s="1"/>
  <c r="D114" i="75" a="1"/>
  <c r="D114" i="75" s="1"/>
  <c r="F113" i="75" a="1"/>
  <c r="F113" i="75" s="1"/>
  <c r="E113" i="75" a="1"/>
  <c r="E113" i="75" s="1"/>
  <c r="D113" i="75" a="1"/>
  <c r="D113" i="75" s="1"/>
  <c r="F112" i="75" a="1"/>
  <c r="F112" i="75" s="1"/>
  <c r="E112" i="75" a="1"/>
  <c r="E112" i="75" s="1"/>
  <c r="D112" i="75" a="1"/>
  <c r="D112" i="75" s="1"/>
  <c r="D110" i="75" a="1"/>
  <c r="D110" i="75" s="1"/>
  <c r="D109" i="75" a="1"/>
  <c r="D109" i="75" s="1"/>
  <c r="D108" i="75" a="1"/>
  <c r="D108" i="75" s="1"/>
  <c r="F105" i="75" a="1"/>
  <c r="F105" i="75" s="1"/>
  <c r="E105" i="75" a="1"/>
  <c r="E105" i="75" s="1"/>
  <c r="D105" i="75" a="1"/>
  <c r="D105" i="75" s="1"/>
  <c r="F104" i="75" a="1"/>
  <c r="F104" i="75" s="1"/>
  <c r="E104" i="75" a="1"/>
  <c r="E104" i="75" s="1"/>
  <c r="D104" i="75" a="1"/>
  <c r="D104" i="75" s="1"/>
  <c r="F103" i="75" a="1"/>
  <c r="F103" i="75" s="1"/>
  <c r="E103" i="75" a="1"/>
  <c r="E103" i="75" s="1"/>
  <c r="D103" i="75" a="1"/>
  <c r="D103" i="75" s="1"/>
  <c r="F102" i="75" a="1"/>
  <c r="F102" i="75" s="1"/>
  <c r="E102" i="75" a="1"/>
  <c r="E102" i="75" s="1"/>
  <c r="D102" i="75" a="1"/>
  <c r="D102" i="75" s="1"/>
  <c r="F101" i="75" a="1"/>
  <c r="F101" i="75" s="1"/>
  <c r="E101" i="75" a="1"/>
  <c r="E101" i="75" s="1"/>
  <c r="D101" i="75" a="1"/>
  <c r="D101" i="75" s="1"/>
  <c r="F100" i="75" a="1"/>
  <c r="F100" i="75" s="1"/>
  <c r="E100" i="75" a="1"/>
  <c r="E100" i="75" s="1"/>
  <c r="D100" i="75" a="1"/>
  <c r="D100" i="75" s="1"/>
  <c r="D98" i="75" a="1"/>
  <c r="D98" i="75" s="1"/>
  <c r="D97" i="75" a="1"/>
  <c r="D97" i="75" s="1"/>
  <c r="D96" i="75" a="1"/>
  <c r="D96" i="75" s="1"/>
  <c r="G93" i="75" a="1"/>
  <c r="G93" i="75" s="1"/>
  <c r="F93" i="75" a="1"/>
  <c r="F93" i="75" s="1"/>
  <c r="E93" i="75" a="1"/>
  <c r="E93" i="75" s="1"/>
  <c r="D93" i="75" a="1"/>
  <c r="D93" i="75" s="1"/>
  <c r="G92" i="75" a="1"/>
  <c r="G92" i="75" s="1"/>
  <c r="F92" i="75" a="1"/>
  <c r="F92" i="75" s="1"/>
  <c r="E92" i="75" a="1"/>
  <c r="E92" i="75" s="1"/>
  <c r="D92" i="75" a="1"/>
  <c r="D92" i="75" s="1"/>
  <c r="G91" i="75" a="1"/>
  <c r="G91" i="75" s="1"/>
  <c r="F91" i="75" a="1"/>
  <c r="F91" i="75" s="1"/>
  <c r="E91" i="75" a="1"/>
  <c r="E91" i="75" s="1"/>
  <c r="D91" i="75" a="1"/>
  <c r="D91" i="75" s="1"/>
  <c r="G90" i="75" a="1"/>
  <c r="G90" i="75" s="1"/>
  <c r="F90" i="75" a="1"/>
  <c r="F90" i="75" s="1"/>
  <c r="E90" i="75" a="1"/>
  <c r="E90" i="75" s="1"/>
  <c r="D90" i="75" a="1"/>
  <c r="D90" i="75" s="1"/>
  <c r="D87" i="75" a="1"/>
  <c r="D87" i="75" s="1"/>
  <c r="D86" i="75" a="1"/>
  <c r="D86" i="75" s="1"/>
  <c r="D85" i="75" a="1"/>
  <c r="D85" i="75" s="1"/>
  <c r="E82" i="75" a="1"/>
  <c r="E82" i="75" s="1"/>
  <c r="D82" i="75" a="1"/>
  <c r="D82" i="75" s="1"/>
  <c r="E81" i="75" a="1"/>
  <c r="E81" i="75" s="1"/>
  <c r="D81" i="75" a="1"/>
  <c r="D81" i="75" s="1"/>
  <c r="E80" i="75" a="1"/>
  <c r="E80" i="75" s="1"/>
  <c r="D80" i="75" a="1"/>
  <c r="D80" i="75" s="1"/>
  <c r="E79" i="75" a="1"/>
  <c r="E79" i="75" s="1"/>
  <c r="D79" i="75" a="1"/>
  <c r="D79" i="75" s="1"/>
  <c r="D76" i="75" a="1"/>
  <c r="D76" i="75" s="1"/>
  <c r="D75" i="75" a="1"/>
  <c r="D75" i="75" s="1"/>
  <c r="D74" i="75" a="1"/>
  <c r="D74" i="75" s="1"/>
  <c r="E71" i="75" a="1"/>
  <c r="E71" i="75" s="1"/>
  <c r="D71" i="75" a="1"/>
  <c r="D71" i="75" s="1"/>
  <c r="E70" i="75" a="1"/>
  <c r="E70" i="75" s="1"/>
  <c r="D70" i="75" a="1"/>
  <c r="D70" i="75" s="1"/>
  <c r="E69" i="75" a="1"/>
  <c r="E69" i="75" s="1"/>
  <c r="D69" i="75" a="1"/>
  <c r="D69" i="75" s="1"/>
  <c r="E68" i="75" a="1"/>
  <c r="E68" i="75" s="1"/>
  <c r="D68" i="75" a="1"/>
  <c r="D68" i="75" s="1"/>
  <c r="D65" i="75" a="1"/>
  <c r="D65" i="75" s="1"/>
  <c r="D64" i="75" a="1"/>
  <c r="D64" i="75" s="1"/>
  <c r="D63" i="75" a="1"/>
  <c r="D63" i="75" s="1"/>
  <c r="G56" i="75" a="1"/>
  <c r="G56" i="75" s="1"/>
  <c r="G55" i="75" a="1"/>
  <c r="G55" i="75" s="1"/>
  <c r="G54" i="75" a="1"/>
  <c r="G54" i="75" s="1"/>
  <c r="M35" i="75" a="1"/>
  <c r="M35" i="75" s="1"/>
  <c r="L35" i="75" a="1"/>
  <c r="L35" i="75" s="1"/>
  <c r="K35" i="75" a="1"/>
  <c r="K35" i="75" s="1"/>
  <c r="J35" i="75" a="1"/>
  <c r="J35" i="75" s="1"/>
  <c r="I35" i="75" a="1"/>
  <c r="I35" i="75" s="1"/>
  <c r="H35" i="75" a="1"/>
  <c r="H35" i="75" s="1"/>
  <c r="G35" i="75" a="1"/>
  <c r="G35" i="75" s="1"/>
  <c r="F35" i="75" a="1"/>
  <c r="F35" i="75" s="1"/>
  <c r="E35" i="75" a="1"/>
  <c r="E35" i="75" s="1"/>
  <c r="D35" i="75" a="1"/>
  <c r="D35" i="75" s="1"/>
  <c r="M34" i="75" a="1"/>
  <c r="M34" i="75" s="1"/>
  <c r="L34" i="75" a="1"/>
  <c r="L34" i="75" s="1"/>
  <c r="K34" i="75" a="1"/>
  <c r="K34" i="75" s="1"/>
  <c r="J34" i="75" a="1"/>
  <c r="J34" i="75" s="1"/>
  <c r="I34" i="75" a="1"/>
  <c r="I34" i="75" s="1"/>
  <c r="H34" i="75" a="1"/>
  <c r="H34" i="75" s="1"/>
  <c r="G34" i="75" a="1"/>
  <c r="G34" i="75" s="1"/>
  <c r="F34" i="75" a="1"/>
  <c r="F34" i="75" s="1"/>
  <c r="E34" i="75" a="1"/>
  <c r="E34" i="75" s="1"/>
  <c r="D34" i="75" a="1"/>
  <c r="D34" i="75" s="1"/>
  <c r="M33" i="75" a="1"/>
  <c r="M33" i="75" s="1"/>
  <c r="L33" i="75" a="1"/>
  <c r="L33" i="75" s="1"/>
  <c r="K33" i="75" a="1"/>
  <c r="K33" i="75" s="1"/>
  <c r="J33" i="75" a="1"/>
  <c r="J33" i="75" s="1"/>
  <c r="I33" i="75" a="1"/>
  <c r="I33" i="75" s="1"/>
  <c r="H33" i="75" a="1"/>
  <c r="H33" i="75" s="1"/>
  <c r="G33" i="75" a="1"/>
  <c r="G33" i="75" s="1"/>
  <c r="F33" i="75" a="1"/>
  <c r="F33" i="75" s="1"/>
  <c r="E33" i="75" a="1"/>
  <c r="E33" i="75" s="1"/>
  <c r="D33" i="75" a="1"/>
  <c r="D33" i="75" s="1"/>
  <c r="M32" i="75" a="1"/>
  <c r="M32" i="75" s="1"/>
  <c r="L32" i="75" a="1"/>
  <c r="L32" i="75" s="1"/>
  <c r="K32" i="75" a="1"/>
  <c r="K32" i="75" s="1"/>
  <c r="J32" i="75" a="1"/>
  <c r="J32" i="75" s="1"/>
  <c r="I32" i="75" a="1"/>
  <c r="I32" i="75" s="1"/>
  <c r="H32" i="75" a="1"/>
  <c r="H32" i="75" s="1"/>
  <c r="G32" i="75" a="1"/>
  <c r="G32" i="75" s="1"/>
  <c r="F32" i="75" a="1"/>
  <c r="F32" i="75" s="1"/>
  <c r="E32" i="75" a="1"/>
  <c r="E32" i="75" s="1"/>
  <c r="D32" i="75" a="1"/>
  <c r="D32" i="75" s="1"/>
  <c r="M31" i="75" a="1"/>
  <c r="M31" i="75" s="1"/>
  <c r="L31" i="75" a="1"/>
  <c r="L31" i="75" s="1"/>
  <c r="K31" i="75" a="1"/>
  <c r="K31" i="75" s="1"/>
  <c r="J31" i="75" a="1"/>
  <c r="J31" i="75" s="1"/>
  <c r="I31" i="75" a="1"/>
  <c r="I31" i="75" s="1"/>
  <c r="H31" i="75" a="1"/>
  <c r="H31" i="75" s="1"/>
  <c r="G31" i="75" a="1"/>
  <c r="G31" i="75" s="1"/>
  <c r="F31" i="75" a="1"/>
  <c r="F31" i="75" s="1"/>
  <c r="E31" i="75" a="1"/>
  <c r="E31" i="75" s="1"/>
  <c r="D31" i="75" a="1"/>
  <c r="D31" i="75" s="1"/>
  <c r="M30" i="75" a="1"/>
  <c r="M30" i="75" s="1"/>
  <c r="L30" i="75" a="1"/>
  <c r="L30" i="75" s="1"/>
  <c r="K30" i="75" a="1"/>
  <c r="K30" i="75" s="1"/>
  <c r="J30" i="75" a="1"/>
  <c r="J30" i="75" s="1"/>
  <c r="I30" i="75" a="1"/>
  <c r="I30" i="75" s="1"/>
  <c r="H30" i="75" a="1"/>
  <c r="H30" i="75" s="1"/>
  <c r="G30" i="75" a="1"/>
  <c r="G30" i="75" s="1"/>
  <c r="F30" i="75" a="1"/>
  <c r="F30" i="75" s="1"/>
  <c r="E30" i="75" a="1"/>
  <c r="E30" i="75" s="1"/>
  <c r="D30" i="75" a="1"/>
  <c r="D30" i="75" s="1"/>
  <c r="M29" i="75" a="1"/>
  <c r="M29" i="75" s="1"/>
  <c r="L29" i="75" a="1"/>
  <c r="L29" i="75" s="1"/>
  <c r="K29" i="75" a="1"/>
  <c r="K29" i="75" s="1"/>
  <c r="J29" i="75" a="1"/>
  <c r="J29" i="75" s="1"/>
  <c r="I29" i="75" a="1"/>
  <c r="I29" i="75" s="1"/>
  <c r="H29" i="75" a="1"/>
  <c r="H29" i="75" s="1"/>
  <c r="G29" i="75" a="1"/>
  <c r="G29" i="75" s="1"/>
  <c r="F29" i="75" a="1"/>
  <c r="F29" i="75" s="1"/>
  <c r="E29" i="75" a="1"/>
  <c r="E29" i="75" s="1"/>
  <c r="D29" i="75" a="1"/>
  <c r="D29" i="75" s="1"/>
  <c r="D26" i="75" a="1"/>
  <c r="D26" i="75" s="1"/>
  <c r="D25" i="75" a="1"/>
  <c r="D25" i="75" s="1"/>
  <c r="D24" i="75" a="1"/>
  <c r="D24" i="75" s="1"/>
  <c r="F21" i="75" a="1"/>
  <c r="F21" i="75" s="1"/>
  <c r="E21" i="75" a="1"/>
  <c r="E21" i="75" s="1"/>
  <c r="D21" i="75" a="1"/>
  <c r="D21" i="75" s="1"/>
  <c r="D20" i="75" a="1"/>
  <c r="D20" i="75" s="1"/>
  <c r="D19" i="75" a="1"/>
  <c r="D19" i="75" s="1"/>
  <c r="F17" i="75" a="1"/>
  <c r="F17" i="75" s="1"/>
  <c r="E17" i="75" a="1"/>
  <c r="E17" i="75" s="1"/>
  <c r="D17" i="75" a="1"/>
  <c r="D17" i="75" s="1"/>
  <c r="D16" i="75" a="1"/>
  <c r="D16" i="75" s="1"/>
  <c r="D15" i="75" a="1"/>
  <c r="D15" i="75" s="1"/>
  <c r="D14" i="75" a="1"/>
  <c r="D14" i="75" s="1"/>
  <c r="D233" i="74" a="1"/>
  <c r="D233" i="74" s="1"/>
  <c r="D232" i="74" a="1"/>
  <c r="D232" i="74" s="1"/>
  <c r="D231" i="74" a="1"/>
  <c r="D231" i="74" s="1"/>
  <c r="D230" i="74" a="1"/>
  <c r="D230" i="74" s="1"/>
  <c r="D229" i="74" a="1"/>
  <c r="D229" i="74" s="1"/>
  <c r="D227" i="74" a="1"/>
  <c r="D227" i="74" s="1"/>
  <c r="D226" i="74" a="1"/>
  <c r="D226" i="74" s="1"/>
  <c r="D225" i="74" a="1"/>
  <c r="D225" i="74" s="1"/>
  <c r="D224" i="74" a="1"/>
  <c r="D224" i="74" s="1"/>
  <c r="D223" i="74" a="1"/>
  <c r="D223" i="74" s="1"/>
  <c r="D221" i="74" a="1"/>
  <c r="D221" i="74" s="1"/>
  <c r="D220" i="74" a="1"/>
  <c r="D220" i="74" s="1"/>
  <c r="D219" i="74" a="1"/>
  <c r="D219" i="74" s="1"/>
  <c r="D218" i="74" a="1"/>
  <c r="D218" i="74" s="1"/>
  <c r="D217" i="74" a="1"/>
  <c r="D217" i="74" s="1"/>
  <c r="D215" i="74" a="1"/>
  <c r="D215" i="74" s="1"/>
  <c r="A215" i="74"/>
  <c r="D214" i="74" a="1"/>
  <c r="D214" i="74" s="1"/>
  <c r="D213" i="74" a="1"/>
  <c r="D213" i="74" s="1"/>
  <c r="D212" i="74" a="1"/>
  <c r="D212" i="74" s="1"/>
  <c r="D211" i="74" a="1"/>
  <c r="D211" i="74" s="1"/>
  <c r="D209" i="74" a="1"/>
  <c r="D209" i="74" s="1"/>
  <c r="D208" i="74" a="1"/>
  <c r="D208" i="74" s="1"/>
  <c r="D207" i="74" a="1"/>
  <c r="D207" i="74" s="1"/>
  <c r="D206" i="74" a="1"/>
  <c r="D206" i="74" s="1"/>
  <c r="D205" i="74" a="1"/>
  <c r="D205" i="74" s="1"/>
  <c r="D202" i="74" a="1"/>
  <c r="D202" i="74" s="1"/>
  <c r="D201" i="74" a="1"/>
  <c r="D201" i="74" s="1"/>
  <c r="D200" i="74" a="1"/>
  <c r="D200" i="74" s="1"/>
  <c r="D199" i="74" a="1"/>
  <c r="D199" i="74" s="1"/>
  <c r="D198" i="74" a="1"/>
  <c r="D198" i="74" s="1"/>
  <c r="D195" i="74" a="1"/>
  <c r="D195" i="74" s="1"/>
  <c r="D194" i="74" a="1"/>
  <c r="D194" i="74" s="1"/>
  <c r="D193" i="74" a="1"/>
  <c r="D193" i="74" s="1"/>
  <c r="D192" i="74" a="1"/>
  <c r="D192" i="74" s="1"/>
  <c r="D191" i="74" a="1"/>
  <c r="D191" i="74" s="1"/>
  <c r="D188" i="74" a="1"/>
  <c r="D188" i="74" s="1"/>
  <c r="D187" i="74" a="1"/>
  <c r="D187" i="74" s="1"/>
  <c r="D186" i="74" a="1"/>
  <c r="D186" i="74" s="1"/>
  <c r="D185" i="74" a="1"/>
  <c r="D185" i="74" s="1"/>
  <c r="D184" i="74" a="1"/>
  <c r="D184" i="74" s="1"/>
  <c r="D181" i="74" a="1"/>
  <c r="D181" i="74" s="1"/>
  <c r="D180" i="74" a="1"/>
  <c r="D180" i="74" s="1"/>
  <c r="D179" i="74" a="1"/>
  <c r="D179" i="74" s="1"/>
  <c r="D178" i="74" a="1"/>
  <c r="D178" i="74" s="1"/>
  <c r="D177" i="74" a="1"/>
  <c r="D177" i="74" s="1"/>
  <c r="D174" i="74" a="1"/>
  <c r="D174" i="74" s="1"/>
  <c r="A174" i="74"/>
  <c r="D173" i="74" a="1"/>
  <c r="D173" i="74" s="1"/>
  <c r="D172" i="74" a="1"/>
  <c r="D172" i="74" s="1"/>
  <c r="D171" i="74" a="1"/>
  <c r="D171" i="74" s="1"/>
  <c r="D170" i="74" a="1"/>
  <c r="D170" i="74" s="1"/>
  <c r="D167" i="74" a="1"/>
  <c r="D167" i="74" s="1"/>
  <c r="D166" i="74" a="1"/>
  <c r="D166" i="74" s="1"/>
  <c r="D165" i="74" a="1"/>
  <c r="D165" i="74" s="1"/>
  <c r="D164" i="74" a="1"/>
  <c r="D164" i="74" s="1"/>
  <c r="D163" i="74" a="1"/>
  <c r="D163" i="74" s="1"/>
  <c r="D160" i="74" a="1"/>
  <c r="D160" i="74" s="1"/>
  <c r="D159" i="74" a="1"/>
  <c r="D159" i="74" s="1"/>
  <c r="D158" i="74" a="1"/>
  <c r="D158" i="74" s="1"/>
  <c r="D157" i="74" a="1"/>
  <c r="D157" i="74" s="1"/>
  <c r="D156" i="74" a="1"/>
  <c r="D156" i="74" s="1"/>
  <c r="D153" i="74" a="1"/>
  <c r="D153" i="74" s="1"/>
  <c r="D152" i="74" a="1"/>
  <c r="D152" i="74" s="1"/>
  <c r="D151" i="74" a="1"/>
  <c r="D151" i="74" s="1"/>
  <c r="D150" i="74" a="1"/>
  <c r="D150" i="74" s="1"/>
  <c r="D149" i="74" a="1"/>
  <c r="D149" i="74" s="1"/>
  <c r="F146" i="74" a="1"/>
  <c r="F146" i="74" s="1"/>
  <c r="E146" i="74" a="1"/>
  <c r="E146" i="74" s="1"/>
  <c r="D146" i="74" a="1"/>
  <c r="D146" i="74" s="1"/>
  <c r="F145" i="74" a="1"/>
  <c r="F145" i="74" s="1"/>
  <c r="E145" i="74" a="1"/>
  <c r="E145" i="74" s="1"/>
  <c r="D145" i="74" a="1"/>
  <c r="D145" i="74" s="1"/>
  <c r="F144" i="74" a="1"/>
  <c r="F144" i="74" s="1"/>
  <c r="E144" i="74" a="1"/>
  <c r="E144" i="74" s="1"/>
  <c r="D144" i="74" a="1"/>
  <c r="D144" i="74" s="1"/>
  <c r="F143" i="74" a="1"/>
  <c r="F143" i="74" s="1"/>
  <c r="E143" i="74" a="1"/>
  <c r="E143" i="74" s="1"/>
  <c r="D143" i="74" a="1"/>
  <c r="D143" i="74" s="1"/>
  <c r="F142" i="74" a="1"/>
  <c r="F142" i="74" s="1"/>
  <c r="E142" i="74" a="1"/>
  <c r="E142" i="74" s="1"/>
  <c r="D142" i="74" a="1"/>
  <c r="D142" i="74" s="1"/>
  <c r="D140" i="74" a="1"/>
  <c r="D140" i="74" s="1"/>
  <c r="D139" i="74" a="1"/>
  <c r="D139" i="74" s="1"/>
  <c r="D138" i="74" a="1"/>
  <c r="D138" i="74" s="1"/>
  <c r="D137" i="74" a="1"/>
  <c r="D137" i="74" s="1"/>
  <c r="D136" i="74" a="1"/>
  <c r="D136" i="74" s="1"/>
  <c r="F133" i="74" a="1"/>
  <c r="F133" i="74" s="1"/>
  <c r="E133" i="74" a="1"/>
  <c r="E133" i="74" s="1"/>
  <c r="D133" i="74" a="1"/>
  <c r="D133" i="74" s="1"/>
  <c r="F132" i="74" a="1"/>
  <c r="F132" i="74" s="1"/>
  <c r="E132" i="74" a="1"/>
  <c r="E132" i="74" s="1"/>
  <c r="D132" i="74" a="1"/>
  <c r="D132" i="74" s="1"/>
  <c r="F131" i="74" a="1"/>
  <c r="F131" i="74" s="1"/>
  <c r="E131" i="74" a="1"/>
  <c r="E131" i="74" s="1"/>
  <c r="D131" i="74" a="1"/>
  <c r="D131" i="74" s="1"/>
  <c r="F130" i="74" a="1"/>
  <c r="F130" i="74" s="1"/>
  <c r="E130" i="74" a="1"/>
  <c r="E130" i="74" s="1"/>
  <c r="D130" i="74" a="1"/>
  <c r="D130" i="74" s="1"/>
  <c r="F129" i="74" a="1"/>
  <c r="F129" i="74" s="1"/>
  <c r="E129" i="74" a="1"/>
  <c r="E129" i="74" s="1"/>
  <c r="D129" i="74" a="1"/>
  <c r="D129" i="74" s="1"/>
  <c r="D127" i="74" a="1"/>
  <c r="D127" i="74" s="1"/>
  <c r="D126" i="74" a="1"/>
  <c r="D126" i="74" s="1"/>
  <c r="D125" i="74" a="1"/>
  <c r="D125" i="74" s="1"/>
  <c r="D124" i="74" a="1"/>
  <c r="D124" i="74" s="1"/>
  <c r="D123" i="74" a="1"/>
  <c r="D123" i="74" s="1"/>
  <c r="G120" i="74" a="1"/>
  <c r="G120" i="74" s="1"/>
  <c r="F120" i="74" a="1"/>
  <c r="F120" i="74" s="1"/>
  <c r="E120" i="74" a="1"/>
  <c r="E120" i="74" s="1"/>
  <c r="D120" i="74" a="1"/>
  <c r="D120" i="74" s="1"/>
  <c r="G119" i="74" a="1"/>
  <c r="G119" i="74" s="1"/>
  <c r="F119" i="74" a="1"/>
  <c r="F119" i="74" s="1"/>
  <c r="E119" i="74" a="1"/>
  <c r="E119" i="74" s="1"/>
  <c r="D119" i="74" a="1"/>
  <c r="D119" i="74" s="1"/>
  <c r="G118" i="74" a="1"/>
  <c r="G118" i="74" s="1"/>
  <c r="F118" i="74" a="1"/>
  <c r="F118" i="74" s="1"/>
  <c r="E118" i="74" a="1"/>
  <c r="E118" i="74" s="1"/>
  <c r="D118" i="74" a="1"/>
  <c r="D118" i="74" s="1"/>
  <c r="G117" i="74" a="1"/>
  <c r="G117" i="74" s="1"/>
  <c r="F117" i="74" a="1"/>
  <c r="F117" i="74" s="1"/>
  <c r="E117" i="74" a="1"/>
  <c r="E117" i="74" s="1"/>
  <c r="D117" i="74" a="1"/>
  <c r="D117" i="74" s="1"/>
  <c r="D115" i="74" a="1"/>
  <c r="D115" i="74" s="1"/>
  <c r="D114" i="74" a="1"/>
  <c r="D114" i="74" s="1"/>
  <c r="D113" i="74" a="1"/>
  <c r="D113" i="74" s="1"/>
  <c r="D112" i="74" a="1"/>
  <c r="D112" i="74" s="1"/>
  <c r="E109" i="74" a="1"/>
  <c r="E109" i="74" s="1"/>
  <c r="D109" i="74" a="1"/>
  <c r="D109" i="74" s="1"/>
  <c r="E108" i="74" a="1"/>
  <c r="E108" i="74" s="1"/>
  <c r="D108" i="74" a="1"/>
  <c r="D108" i="74" s="1"/>
  <c r="D106" i="74" a="1"/>
  <c r="D106" i="74" s="1"/>
  <c r="D105" i="74" a="1"/>
  <c r="D105" i="74" s="1"/>
  <c r="D104" i="74" a="1"/>
  <c r="D104" i="74" s="1"/>
  <c r="D103" i="74" a="1"/>
  <c r="D103" i="74" s="1"/>
  <c r="E100" i="74" a="1"/>
  <c r="E100" i="74" s="1"/>
  <c r="D100" i="74" a="1"/>
  <c r="D100" i="74" s="1"/>
  <c r="E99" i="74" a="1"/>
  <c r="E99" i="74" s="1"/>
  <c r="D99" i="74" a="1"/>
  <c r="D99" i="74" s="1"/>
  <c r="D97" i="74" a="1"/>
  <c r="D97" i="74" s="1"/>
  <c r="D96" i="74" a="1"/>
  <c r="D96" i="74" s="1"/>
  <c r="D95" i="74" a="1"/>
  <c r="D95" i="74" s="1"/>
  <c r="D94" i="74" a="1"/>
  <c r="D94" i="74" s="1"/>
  <c r="G91" i="74" a="1"/>
  <c r="G91" i="74" s="1"/>
  <c r="F91" i="74" a="1"/>
  <c r="F91" i="74" s="1"/>
  <c r="E91" i="74" a="1"/>
  <c r="E91" i="74" s="1"/>
  <c r="D91" i="74" a="1"/>
  <c r="D91" i="74" s="1"/>
  <c r="G90" i="74" a="1"/>
  <c r="G90" i="74" s="1"/>
  <c r="F90" i="74" a="1"/>
  <c r="F90" i="74" s="1"/>
  <c r="E90" i="74" a="1"/>
  <c r="E90" i="74" s="1"/>
  <c r="D90" i="74" a="1"/>
  <c r="D90" i="74" s="1"/>
  <c r="G89" i="74" a="1"/>
  <c r="G89" i="74" s="1"/>
  <c r="F89" i="74" a="1"/>
  <c r="F89" i="74" s="1"/>
  <c r="E89" i="74" a="1"/>
  <c r="E89" i="74" s="1"/>
  <c r="D89" i="74" a="1"/>
  <c r="D89" i="74" s="1"/>
  <c r="G88" i="74" a="1"/>
  <c r="G88" i="74" s="1"/>
  <c r="F88" i="74" a="1"/>
  <c r="F88" i="74" s="1"/>
  <c r="E88" i="74" a="1"/>
  <c r="E88" i="74" s="1"/>
  <c r="D88" i="74" a="1"/>
  <c r="D88" i="74" s="1"/>
  <c r="G87" i="74" a="1"/>
  <c r="G87" i="74" s="1"/>
  <c r="F87" i="74" a="1"/>
  <c r="F87" i="74" s="1"/>
  <c r="E87" i="74" a="1"/>
  <c r="E87" i="74" s="1"/>
  <c r="D87" i="74" a="1"/>
  <c r="D87" i="74" s="1"/>
  <c r="D85" i="74" a="1"/>
  <c r="D85" i="74" s="1"/>
  <c r="D84" i="74" a="1"/>
  <c r="D84" i="74" s="1"/>
  <c r="D83" i="74" a="1"/>
  <c r="D83" i="74" s="1"/>
  <c r="D82" i="74" a="1"/>
  <c r="D82" i="74" s="1"/>
  <c r="D81" i="74" a="1"/>
  <c r="D81" i="74" s="1"/>
  <c r="M78" i="74" a="1"/>
  <c r="M78" i="74" s="1"/>
  <c r="L78" i="74" a="1"/>
  <c r="L78" i="74" s="1"/>
  <c r="K78" i="74" a="1"/>
  <c r="K78" i="74" s="1"/>
  <c r="J78" i="74" a="1"/>
  <c r="J78" i="74" s="1"/>
  <c r="I78" i="74" a="1"/>
  <c r="I78" i="74" s="1"/>
  <c r="H78" i="74" a="1"/>
  <c r="H78" i="74" s="1"/>
  <c r="G78" i="74" a="1"/>
  <c r="G78" i="74" s="1"/>
  <c r="F78" i="74" a="1"/>
  <c r="F78" i="74" s="1"/>
  <c r="E78" i="74" a="1"/>
  <c r="E78" i="74" s="1"/>
  <c r="D78" i="74" a="1"/>
  <c r="D78" i="74" s="1"/>
  <c r="M77" i="74" a="1"/>
  <c r="M77" i="74" s="1"/>
  <c r="L77" i="74" a="1"/>
  <c r="L77" i="74" s="1"/>
  <c r="K77" i="74" a="1"/>
  <c r="K77" i="74" s="1"/>
  <c r="J77" i="74" a="1"/>
  <c r="J77" i="74" s="1"/>
  <c r="I77" i="74" a="1"/>
  <c r="I77" i="74" s="1"/>
  <c r="H77" i="74" a="1"/>
  <c r="H77" i="74" s="1"/>
  <c r="G77" i="74" a="1"/>
  <c r="G77" i="74" s="1"/>
  <c r="F77" i="74" a="1"/>
  <c r="F77" i="74" s="1"/>
  <c r="E77" i="74" a="1"/>
  <c r="E77" i="74" s="1"/>
  <c r="D77" i="74" a="1"/>
  <c r="D77" i="74" s="1"/>
  <c r="M76" i="74" a="1"/>
  <c r="M76" i="74" s="1"/>
  <c r="L76" i="74" a="1"/>
  <c r="L76" i="74" s="1"/>
  <c r="K76" i="74" a="1"/>
  <c r="K76" i="74" s="1"/>
  <c r="J76" i="74" a="1"/>
  <c r="J76" i="74" s="1"/>
  <c r="I76" i="74" a="1"/>
  <c r="I76" i="74" s="1"/>
  <c r="H76" i="74" a="1"/>
  <c r="H76" i="74" s="1"/>
  <c r="G76" i="74" a="1"/>
  <c r="G76" i="74" s="1"/>
  <c r="F76" i="74" a="1"/>
  <c r="F76" i="74" s="1"/>
  <c r="E76" i="74" a="1"/>
  <c r="E76" i="74" s="1"/>
  <c r="D76" i="74" a="1"/>
  <c r="D76" i="74" s="1"/>
  <c r="M75" i="74" a="1"/>
  <c r="M75" i="74" s="1"/>
  <c r="L75" i="74" a="1"/>
  <c r="L75" i="74" s="1"/>
  <c r="K75" i="74" a="1"/>
  <c r="K75" i="74" s="1"/>
  <c r="J75" i="74" a="1"/>
  <c r="J75" i="74" s="1"/>
  <c r="I75" i="74" a="1"/>
  <c r="I75" i="74" s="1"/>
  <c r="H75" i="74" a="1"/>
  <c r="H75" i="74" s="1"/>
  <c r="G75" i="74" a="1"/>
  <c r="G75" i="74" s="1"/>
  <c r="F75" i="74" a="1"/>
  <c r="F75" i="74" s="1"/>
  <c r="E75" i="74" a="1"/>
  <c r="E75" i="74" s="1"/>
  <c r="D75" i="74" a="1"/>
  <c r="D75" i="74" s="1"/>
  <c r="M74" i="74" a="1"/>
  <c r="M74" i="74" s="1"/>
  <c r="L74" i="74" a="1"/>
  <c r="L74" i="74" s="1"/>
  <c r="K74" i="74" a="1"/>
  <c r="K74" i="74" s="1"/>
  <c r="J74" i="74" a="1"/>
  <c r="J74" i="74" s="1"/>
  <c r="I74" i="74" a="1"/>
  <c r="I74" i="74" s="1"/>
  <c r="H74" i="74" a="1"/>
  <c r="H74" i="74" s="1"/>
  <c r="G74" i="74" a="1"/>
  <c r="G74" i="74" s="1"/>
  <c r="F74" i="74" a="1"/>
  <c r="F74" i="74" s="1"/>
  <c r="E74" i="74" a="1"/>
  <c r="E74" i="74" s="1"/>
  <c r="D74" i="74" a="1"/>
  <c r="D74" i="74" s="1"/>
  <c r="M73" i="74" a="1"/>
  <c r="M73" i="74" s="1"/>
  <c r="L73" i="74" a="1"/>
  <c r="L73" i="74" s="1"/>
  <c r="K73" i="74" a="1"/>
  <c r="K73" i="74" s="1"/>
  <c r="J73" i="74" a="1"/>
  <c r="J73" i="74" s="1"/>
  <c r="I73" i="74" a="1"/>
  <c r="I73" i="74" s="1"/>
  <c r="H73" i="74" a="1"/>
  <c r="H73" i="74" s="1"/>
  <c r="G73" i="74" a="1"/>
  <c r="G73" i="74" s="1"/>
  <c r="F73" i="74" a="1"/>
  <c r="F73" i="74" s="1"/>
  <c r="E73" i="74" a="1"/>
  <c r="E73" i="74" s="1"/>
  <c r="D73" i="74" a="1"/>
  <c r="D73" i="74" s="1"/>
  <c r="D71" i="74" a="1"/>
  <c r="D71" i="74" s="1"/>
  <c r="D70" i="74" a="1"/>
  <c r="D70" i="74" s="1"/>
  <c r="D69" i="74" a="1"/>
  <c r="D69" i="74" s="1"/>
  <c r="D68" i="74" a="1"/>
  <c r="D68" i="74" s="1"/>
  <c r="D67" i="74" a="1"/>
  <c r="D67" i="74" s="1"/>
  <c r="G64" i="74" a="1"/>
  <c r="G64" i="74" s="1"/>
  <c r="F64" i="74" a="1"/>
  <c r="F64" i="74" s="1"/>
  <c r="E64" i="74" a="1"/>
  <c r="E64" i="74" s="1"/>
  <c r="D64" i="74" a="1"/>
  <c r="D64" i="74" s="1"/>
  <c r="G63" i="74" a="1"/>
  <c r="G63" i="74" s="1"/>
  <c r="F63" i="74" a="1"/>
  <c r="F63" i="74" s="1"/>
  <c r="E63" i="74" a="1"/>
  <c r="E63" i="74" s="1"/>
  <c r="D63" i="74" a="1"/>
  <c r="D63" i="74" s="1"/>
  <c r="D61" i="74" a="1"/>
  <c r="D61" i="74" s="1"/>
  <c r="D60" i="74" a="1"/>
  <c r="D60" i="74" s="1"/>
  <c r="D59" i="74" a="1"/>
  <c r="D59" i="74" s="1"/>
  <c r="D58" i="74" a="1"/>
  <c r="D58" i="74" s="1"/>
  <c r="H55" i="74" a="1"/>
  <c r="H55" i="74" s="1"/>
  <c r="G55" i="74" a="1"/>
  <c r="G55" i="74" s="1"/>
  <c r="F55" i="74" a="1"/>
  <c r="F55" i="74" s="1"/>
  <c r="E55" i="74" a="1"/>
  <c r="E55" i="74" s="1"/>
  <c r="D55" i="74" a="1"/>
  <c r="D55" i="74" s="1"/>
  <c r="D53" i="74" a="1"/>
  <c r="D53" i="74" s="1"/>
  <c r="D52" i="74" a="1"/>
  <c r="D52" i="74" s="1"/>
  <c r="D51" i="74" a="1"/>
  <c r="D51" i="74" s="1"/>
  <c r="D50" i="74" a="1"/>
  <c r="D50" i="74" s="1"/>
  <c r="H47" i="74" a="1"/>
  <c r="H47" i="74" s="1"/>
  <c r="G47" i="74" a="1"/>
  <c r="G47" i="74" s="1"/>
  <c r="F47" i="74" a="1"/>
  <c r="F47" i="74" s="1"/>
  <c r="E47" i="74" a="1"/>
  <c r="E47" i="74" s="1"/>
  <c r="D47" i="74" a="1"/>
  <c r="D47" i="74" s="1"/>
  <c r="D45" i="74" a="1"/>
  <c r="D45" i="74" s="1"/>
  <c r="D44" i="74" a="1"/>
  <c r="D44" i="74" s="1"/>
  <c r="D43" i="74" a="1"/>
  <c r="D43" i="74" s="1"/>
  <c r="D42" i="74" a="1"/>
  <c r="D42" i="74" s="1"/>
  <c r="F39" i="74" a="1"/>
  <c r="F39" i="74" s="1"/>
  <c r="E39" i="74" a="1"/>
  <c r="E39" i="74" s="1"/>
  <c r="D39" i="74" a="1"/>
  <c r="D39" i="74" s="1"/>
  <c r="D37" i="74" a="1"/>
  <c r="D37" i="74" s="1"/>
  <c r="D36" i="74" a="1"/>
  <c r="D36" i="74" s="1"/>
  <c r="D35" i="74" a="1"/>
  <c r="D35" i="74" s="1"/>
  <c r="D34" i="74" a="1"/>
  <c r="D34" i="74" s="1"/>
  <c r="G31" i="74" a="1"/>
  <c r="G31" i="74" s="1"/>
  <c r="F31" i="74" a="1"/>
  <c r="F31" i="74" s="1"/>
  <c r="E31" i="74" a="1"/>
  <c r="E31" i="74" s="1"/>
  <c r="D31" i="74" a="1"/>
  <c r="D31" i="74" s="1"/>
  <c r="G30" i="74" a="1"/>
  <c r="G30" i="74" s="1"/>
  <c r="F30" i="74" a="1"/>
  <c r="F30" i="74" s="1"/>
  <c r="E30" i="74" a="1"/>
  <c r="E30" i="74" s="1"/>
  <c r="D30" i="74" a="1"/>
  <c r="D30" i="74" s="1"/>
  <c r="G29" i="74" a="1"/>
  <c r="G29" i="74" s="1"/>
  <c r="F29" i="74" a="1"/>
  <c r="F29" i="74" s="1"/>
  <c r="E29" i="74" a="1"/>
  <c r="E29" i="74" s="1"/>
  <c r="D29" i="74" a="1"/>
  <c r="D29" i="74" s="1"/>
  <c r="G28" i="74" a="1"/>
  <c r="G28" i="74" s="1"/>
  <c r="F28" i="74" a="1"/>
  <c r="F28" i="74" s="1"/>
  <c r="E28" i="74" a="1"/>
  <c r="E28" i="74" s="1"/>
  <c r="D28" i="74" a="1"/>
  <c r="D28" i="74" s="1"/>
  <c r="G27" i="74" a="1"/>
  <c r="G27" i="74" s="1"/>
  <c r="F27" i="74" a="1"/>
  <c r="F27" i="74" s="1"/>
  <c r="E27" i="74" a="1"/>
  <c r="E27" i="74" s="1"/>
  <c r="D27" i="74" a="1"/>
  <c r="D27" i="74" s="1"/>
  <c r="G26" i="74" a="1"/>
  <c r="G26" i="74" s="1"/>
  <c r="F26" i="74" a="1"/>
  <c r="F26" i="74" s="1"/>
  <c r="E26" i="74" a="1"/>
  <c r="E26" i="74" s="1"/>
  <c r="D26" i="74" a="1"/>
  <c r="D26" i="74" s="1"/>
  <c r="G25" i="74" a="1"/>
  <c r="G25" i="74" s="1"/>
  <c r="F25" i="74" a="1"/>
  <c r="F25" i="74" s="1"/>
  <c r="E25" i="74" a="1"/>
  <c r="E25" i="74" s="1"/>
  <c r="D25" i="74" a="1"/>
  <c r="D25" i="74" s="1"/>
  <c r="G24" i="74" a="1"/>
  <c r="G24" i="74" s="1"/>
  <c r="F24" i="74" a="1"/>
  <c r="F24" i="74" s="1"/>
  <c r="E24" i="74" a="1"/>
  <c r="E24" i="74" s="1"/>
  <c r="D24" i="74" a="1"/>
  <c r="D24" i="74" s="1"/>
  <c r="G23" i="74" a="1"/>
  <c r="G23" i="74" s="1"/>
  <c r="F23" i="74" a="1"/>
  <c r="F23" i="74" s="1"/>
  <c r="E23" i="74" a="1"/>
  <c r="E23" i="74" s="1"/>
  <c r="D23" i="74" a="1"/>
  <c r="D23" i="74" s="1"/>
  <c r="G22" i="74" a="1"/>
  <c r="G22" i="74" s="1"/>
  <c r="F22" i="74" a="1"/>
  <c r="F22" i="74" s="1"/>
  <c r="E22" i="74" a="1"/>
  <c r="E22" i="74" s="1"/>
  <c r="D22" i="74" a="1"/>
  <c r="D22" i="74" s="1"/>
  <c r="H9" i="52" s="1" a="1"/>
  <c r="H9" i="52" s="1"/>
  <c r="D20" i="74" a="1"/>
  <c r="D20" i="74" s="1"/>
  <c r="D19" i="74" a="1"/>
  <c r="D19" i="74" s="1"/>
  <c r="D18" i="74" a="1"/>
  <c r="D18" i="74" s="1"/>
  <c r="D17" i="74" a="1"/>
  <c r="D17" i="74" s="1"/>
  <c r="D16" i="74" a="1"/>
  <c r="D16" i="74" s="1"/>
  <c r="I483" i="73" a="1"/>
  <c r="I483" i="73" s="1"/>
  <c r="H483" i="73" a="1"/>
  <c r="H483" i="73" s="1"/>
  <c r="G483" i="73" a="1"/>
  <c r="G483" i="73" s="1"/>
  <c r="F483" i="73" a="1"/>
  <c r="F483" i="73" s="1"/>
  <c r="E483" i="73" a="1"/>
  <c r="E483" i="73" s="1"/>
  <c r="D483" i="73" a="1"/>
  <c r="D483" i="73" s="1"/>
  <c r="I482" i="73" a="1"/>
  <c r="I482" i="73" s="1"/>
  <c r="H482" i="73" a="1"/>
  <c r="H482" i="73" s="1"/>
  <c r="G482" i="73" a="1"/>
  <c r="G482" i="73" s="1"/>
  <c r="F482" i="73" a="1"/>
  <c r="F482" i="73" s="1"/>
  <c r="E482" i="73" a="1"/>
  <c r="E482" i="73" s="1"/>
  <c r="D482" i="73" a="1"/>
  <c r="D482" i="73" s="1"/>
  <c r="I481" i="73" a="1"/>
  <c r="I481" i="73" s="1"/>
  <c r="H481" i="73" a="1"/>
  <c r="H481" i="73" s="1"/>
  <c r="G481" i="73" a="1"/>
  <c r="G481" i="73" s="1"/>
  <c r="F481" i="73" a="1"/>
  <c r="F481" i="73" s="1"/>
  <c r="E481" i="73" a="1"/>
  <c r="E481" i="73" s="1"/>
  <c r="D481" i="73" a="1"/>
  <c r="D481" i="73" s="1"/>
  <c r="I480" i="73" a="1"/>
  <c r="I480" i="73" s="1"/>
  <c r="H480" i="73" a="1"/>
  <c r="H480" i="73" s="1"/>
  <c r="G480" i="73" a="1"/>
  <c r="G480" i="73" s="1"/>
  <c r="F480" i="73" a="1"/>
  <c r="F480" i="73" s="1"/>
  <c r="E480" i="73" a="1"/>
  <c r="E480" i="73" s="1"/>
  <c r="D480" i="73" a="1"/>
  <c r="D480" i="73" s="1"/>
  <c r="I479" i="73" a="1"/>
  <c r="I479" i="73" s="1"/>
  <c r="H479" i="73" a="1"/>
  <c r="H479" i="73" s="1"/>
  <c r="G479" i="73" a="1"/>
  <c r="G479" i="73" s="1"/>
  <c r="F479" i="73" a="1"/>
  <c r="F479" i="73" s="1"/>
  <c r="E479" i="73" a="1"/>
  <c r="E479" i="73" s="1"/>
  <c r="D479" i="73" a="1"/>
  <c r="D479" i="73" s="1"/>
  <c r="I478" i="73" a="1"/>
  <c r="I478" i="73" s="1"/>
  <c r="H478" i="73" a="1"/>
  <c r="H478" i="73" s="1"/>
  <c r="G478" i="73" a="1"/>
  <c r="G478" i="73" s="1"/>
  <c r="F478" i="73" a="1"/>
  <c r="F478" i="73" s="1"/>
  <c r="E478" i="73" a="1"/>
  <c r="E478" i="73" s="1"/>
  <c r="D478" i="73" a="1"/>
  <c r="D478" i="73" s="1"/>
  <c r="I477" i="73" a="1"/>
  <c r="I477" i="73" s="1"/>
  <c r="H477" i="73" a="1"/>
  <c r="H477" i="73" s="1"/>
  <c r="G477" i="73" a="1"/>
  <c r="G477" i="73" s="1"/>
  <c r="F477" i="73" a="1"/>
  <c r="F477" i="73" s="1"/>
  <c r="E477" i="73" a="1"/>
  <c r="E477" i="73" s="1"/>
  <c r="D477" i="73" a="1"/>
  <c r="D477" i="73" s="1"/>
  <c r="I476" i="73" a="1"/>
  <c r="I476" i="73" s="1"/>
  <c r="H476" i="73" a="1"/>
  <c r="H476" i="73" s="1"/>
  <c r="G476" i="73" a="1"/>
  <c r="G476" i="73" s="1"/>
  <c r="F476" i="73" a="1"/>
  <c r="F476" i="73" s="1"/>
  <c r="E476" i="73" a="1"/>
  <c r="E476" i="73" s="1"/>
  <c r="D476" i="73" a="1"/>
  <c r="D476" i="73" s="1"/>
  <c r="I475" i="73" a="1"/>
  <c r="I475" i="73" s="1"/>
  <c r="H475" i="73" a="1"/>
  <c r="H475" i="73" s="1"/>
  <c r="G475" i="73" a="1"/>
  <c r="G475" i="73" s="1"/>
  <c r="F475" i="73" a="1"/>
  <c r="F475" i="73" s="1"/>
  <c r="E475" i="73" a="1"/>
  <c r="E475" i="73" s="1"/>
  <c r="D475" i="73" a="1"/>
  <c r="D475" i="73" s="1"/>
  <c r="I474" i="73" a="1"/>
  <c r="I474" i="73" s="1"/>
  <c r="H474" i="73" a="1"/>
  <c r="H474" i="73" s="1"/>
  <c r="G474" i="73" a="1"/>
  <c r="G474" i="73" s="1"/>
  <c r="F474" i="73" a="1"/>
  <c r="F474" i="73" s="1"/>
  <c r="E474" i="73" a="1"/>
  <c r="E474" i="73" s="1"/>
  <c r="D474" i="73" a="1"/>
  <c r="D474" i="73" s="1"/>
  <c r="I473" i="73" a="1"/>
  <c r="I473" i="73" s="1"/>
  <c r="H473" i="73" a="1"/>
  <c r="H473" i="73" s="1"/>
  <c r="G473" i="73" a="1"/>
  <c r="G473" i="73" s="1"/>
  <c r="F473" i="73" a="1"/>
  <c r="F473" i="73" s="1"/>
  <c r="E473" i="73" a="1"/>
  <c r="E473" i="73" s="1"/>
  <c r="D473" i="73" a="1"/>
  <c r="D473" i="73" s="1"/>
  <c r="I472" i="73" a="1"/>
  <c r="I472" i="73" s="1"/>
  <c r="H472" i="73" a="1"/>
  <c r="H472" i="73" s="1"/>
  <c r="G472" i="73" a="1"/>
  <c r="G472" i="73" s="1"/>
  <c r="F472" i="73" a="1"/>
  <c r="F472" i="73" s="1"/>
  <c r="E472" i="73" a="1"/>
  <c r="E472" i="73" s="1"/>
  <c r="D472" i="73" a="1"/>
  <c r="D472" i="73" s="1"/>
  <c r="I471" i="73" a="1"/>
  <c r="I471" i="73" s="1"/>
  <c r="H471" i="73" a="1"/>
  <c r="H471" i="73" s="1"/>
  <c r="G471" i="73" a="1"/>
  <c r="G471" i="73" s="1"/>
  <c r="F471" i="73" a="1"/>
  <c r="F471" i="73" s="1"/>
  <c r="E471" i="73" a="1"/>
  <c r="E471" i="73" s="1"/>
  <c r="D471" i="73" a="1"/>
  <c r="D471" i="73" s="1"/>
  <c r="I470" i="73" a="1"/>
  <c r="I470" i="73" s="1"/>
  <c r="H470" i="73" a="1"/>
  <c r="H470" i="73" s="1"/>
  <c r="G470" i="73" a="1"/>
  <c r="G470" i="73" s="1"/>
  <c r="F470" i="73" a="1"/>
  <c r="F470" i="73" s="1"/>
  <c r="E470" i="73" a="1"/>
  <c r="E470" i="73" s="1"/>
  <c r="D470" i="73" a="1"/>
  <c r="D470" i="73" s="1"/>
  <c r="I469" i="73" a="1"/>
  <c r="I469" i="73" s="1"/>
  <c r="H469" i="73" a="1"/>
  <c r="H469" i="73" s="1"/>
  <c r="G469" i="73" a="1"/>
  <c r="G469" i="73" s="1"/>
  <c r="F469" i="73" a="1"/>
  <c r="F469" i="73" s="1"/>
  <c r="E469" i="73" a="1"/>
  <c r="E469" i="73" s="1"/>
  <c r="D469" i="73" a="1"/>
  <c r="D469" i="73" s="1"/>
  <c r="I468" i="73" a="1"/>
  <c r="I468" i="73" s="1"/>
  <c r="H468" i="73" a="1"/>
  <c r="H468" i="73" s="1"/>
  <c r="G468" i="73" a="1"/>
  <c r="G468" i="73" s="1"/>
  <c r="F468" i="73" a="1"/>
  <c r="F468" i="73" s="1"/>
  <c r="E468" i="73" a="1"/>
  <c r="E468" i="73" s="1"/>
  <c r="D468" i="73" a="1"/>
  <c r="D468" i="73" s="1"/>
  <c r="I467" i="73" a="1"/>
  <c r="I467" i="73" s="1"/>
  <c r="H467" i="73" a="1"/>
  <c r="H467" i="73" s="1"/>
  <c r="G467" i="73" a="1"/>
  <c r="G467" i="73" s="1"/>
  <c r="F467" i="73" a="1"/>
  <c r="F467" i="73" s="1"/>
  <c r="E467" i="73" a="1"/>
  <c r="E467" i="73" s="1"/>
  <c r="D467" i="73" a="1"/>
  <c r="D467" i="73" s="1"/>
  <c r="I466" i="73" a="1"/>
  <c r="I466" i="73" s="1"/>
  <c r="H466" i="73" a="1"/>
  <c r="H466" i="73" s="1"/>
  <c r="G466" i="73" a="1"/>
  <c r="G466" i="73" s="1"/>
  <c r="F466" i="73" a="1"/>
  <c r="F466" i="73" s="1"/>
  <c r="E466" i="73" a="1"/>
  <c r="E466" i="73" s="1"/>
  <c r="D466" i="73" a="1"/>
  <c r="D466" i="73" s="1"/>
  <c r="I465" i="73" a="1"/>
  <c r="I465" i="73" s="1"/>
  <c r="H465" i="73" a="1"/>
  <c r="H465" i="73" s="1"/>
  <c r="G465" i="73" a="1"/>
  <c r="G465" i="73" s="1"/>
  <c r="F465" i="73" a="1"/>
  <c r="F465" i="73" s="1"/>
  <c r="E465" i="73" a="1"/>
  <c r="E465" i="73" s="1"/>
  <c r="D465" i="73" a="1"/>
  <c r="D465" i="73" s="1"/>
  <c r="I464" i="73" a="1"/>
  <c r="I464" i="73" s="1"/>
  <c r="H464" i="73" a="1"/>
  <c r="H464" i="73" s="1"/>
  <c r="G464" i="73" a="1"/>
  <c r="G464" i="73" s="1"/>
  <c r="F464" i="73" a="1"/>
  <c r="F464" i="73" s="1"/>
  <c r="E464" i="73" a="1"/>
  <c r="E464" i="73" s="1"/>
  <c r="D464" i="73" a="1"/>
  <c r="D464" i="73" s="1"/>
  <c r="I463" i="73" a="1"/>
  <c r="I463" i="73" s="1"/>
  <c r="H463" i="73" a="1"/>
  <c r="H463" i="73" s="1"/>
  <c r="G463" i="73" a="1"/>
  <c r="G463" i="73" s="1"/>
  <c r="F463" i="73" a="1"/>
  <c r="F463" i="73" s="1"/>
  <c r="E463" i="73" a="1"/>
  <c r="E463" i="73" s="1"/>
  <c r="D463" i="73" a="1"/>
  <c r="D463" i="73" s="1"/>
  <c r="I462" i="73" a="1"/>
  <c r="I462" i="73" s="1"/>
  <c r="H462" i="73" a="1"/>
  <c r="H462" i="73" s="1"/>
  <c r="G462" i="73" a="1"/>
  <c r="G462" i="73" s="1"/>
  <c r="F462" i="73" a="1"/>
  <c r="F462" i="73" s="1"/>
  <c r="E462" i="73" a="1"/>
  <c r="E462" i="73" s="1"/>
  <c r="D462" i="73" a="1"/>
  <c r="D462" i="73" s="1"/>
  <c r="I461" i="73" a="1"/>
  <c r="I461" i="73" s="1"/>
  <c r="H461" i="73" a="1"/>
  <c r="H461" i="73" s="1"/>
  <c r="G461" i="73" a="1"/>
  <c r="G461" i="73" s="1"/>
  <c r="F461" i="73" a="1"/>
  <c r="F461" i="73" s="1"/>
  <c r="E461" i="73" a="1"/>
  <c r="E461" i="73" s="1"/>
  <c r="D461" i="73" a="1"/>
  <c r="D461" i="73" s="1"/>
  <c r="I460" i="73" a="1"/>
  <c r="I460" i="73" s="1"/>
  <c r="H460" i="73" a="1"/>
  <c r="H460" i="73" s="1"/>
  <c r="G460" i="73" a="1"/>
  <c r="G460" i="73" s="1"/>
  <c r="F460" i="73" a="1"/>
  <c r="F460" i="73" s="1"/>
  <c r="E460" i="73" a="1"/>
  <c r="E460" i="73" s="1"/>
  <c r="D460" i="73" a="1"/>
  <c r="D460" i="73" s="1"/>
  <c r="I459" i="73" a="1"/>
  <c r="I459" i="73" s="1"/>
  <c r="H459" i="73" a="1"/>
  <c r="H459" i="73" s="1"/>
  <c r="G459" i="73" a="1"/>
  <c r="G459" i="73" s="1"/>
  <c r="F459" i="73" a="1"/>
  <c r="F459" i="73" s="1"/>
  <c r="E459" i="73" a="1"/>
  <c r="E459" i="73" s="1"/>
  <c r="D459" i="73" a="1"/>
  <c r="D459" i="73" s="1"/>
  <c r="I458" i="73" a="1"/>
  <c r="I458" i="73" s="1"/>
  <c r="H458" i="73" a="1"/>
  <c r="H458" i="73" s="1"/>
  <c r="G458" i="73" a="1"/>
  <c r="G458" i="73" s="1"/>
  <c r="F458" i="73" a="1"/>
  <c r="F458" i="73" s="1"/>
  <c r="E458" i="73" a="1"/>
  <c r="E458" i="73" s="1"/>
  <c r="D458" i="73" a="1"/>
  <c r="D458" i="73" s="1"/>
  <c r="I457" i="73" a="1"/>
  <c r="I457" i="73" s="1"/>
  <c r="H457" i="73" a="1"/>
  <c r="H457" i="73" s="1"/>
  <c r="G457" i="73" a="1"/>
  <c r="G457" i="73" s="1"/>
  <c r="F457" i="73" a="1"/>
  <c r="F457" i="73" s="1"/>
  <c r="E457" i="73" a="1"/>
  <c r="E457" i="73" s="1"/>
  <c r="D457" i="73" a="1"/>
  <c r="D457" i="73" s="1"/>
  <c r="I456" i="73" a="1"/>
  <c r="I456" i="73" s="1"/>
  <c r="H456" i="73" a="1"/>
  <c r="H456" i="73" s="1"/>
  <c r="G456" i="73" a="1"/>
  <c r="G456" i="73" s="1"/>
  <c r="F456" i="73" a="1"/>
  <c r="F456" i="73" s="1"/>
  <c r="E456" i="73" a="1"/>
  <c r="E456" i="73" s="1"/>
  <c r="D456" i="73" a="1"/>
  <c r="D456" i="73" s="1"/>
  <c r="I455" i="73" a="1"/>
  <c r="I455" i="73" s="1"/>
  <c r="H455" i="73" a="1"/>
  <c r="H455" i="73" s="1"/>
  <c r="G455" i="73" a="1"/>
  <c r="G455" i="73" s="1"/>
  <c r="F455" i="73" a="1"/>
  <c r="F455" i="73" s="1"/>
  <c r="E455" i="73" a="1"/>
  <c r="E455" i="73" s="1"/>
  <c r="D455" i="73" a="1"/>
  <c r="D455" i="73" s="1"/>
  <c r="I454" i="73" a="1"/>
  <c r="I454" i="73" s="1"/>
  <c r="H454" i="73" a="1"/>
  <c r="H454" i="73" s="1"/>
  <c r="G454" i="73" a="1"/>
  <c r="G454" i="73" s="1"/>
  <c r="F454" i="73" a="1"/>
  <c r="F454" i="73" s="1"/>
  <c r="E454" i="73" a="1"/>
  <c r="E454" i="73" s="1"/>
  <c r="D454" i="73" a="1"/>
  <c r="D454" i="73" s="1"/>
  <c r="I453" i="73" a="1"/>
  <c r="I453" i="73" s="1"/>
  <c r="H453" i="73" a="1"/>
  <c r="H453" i="73" s="1"/>
  <c r="G453" i="73" a="1"/>
  <c r="G453" i="73" s="1"/>
  <c r="F453" i="73" a="1"/>
  <c r="F453" i="73" s="1"/>
  <c r="E453" i="73" a="1"/>
  <c r="E453" i="73" s="1"/>
  <c r="D453" i="73" a="1"/>
  <c r="D453" i="73" s="1"/>
  <c r="I452" i="73" a="1"/>
  <c r="I452" i="73" s="1"/>
  <c r="H452" i="73" a="1"/>
  <c r="H452" i="73" s="1"/>
  <c r="G452" i="73" a="1"/>
  <c r="G452" i="73" s="1"/>
  <c r="F452" i="73" a="1"/>
  <c r="F452" i="73" s="1"/>
  <c r="E452" i="73" a="1"/>
  <c r="E452" i="73" s="1"/>
  <c r="D452" i="73" a="1"/>
  <c r="D452" i="73" s="1"/>
  <c r="I451" i="73" a="1"/>
  <c r="I451" i="73" s="1"/>
  <c r="H451" i="73" a="1"/>
  <c r="H451" i="73" s="1"/>
  <c r="G451" i="73" a="1"/>
  <c r="G451" i="73" s="1"/>
  <c r="F451" i="73" a="1"/>
  <c r="F451" i="73" s="1"/>
  <c r="E451" i="73" a="1"/>
  <c r="E451" i="73" s="1"/>
  <c r="D451" i="73" a="1"/>
  <c r="D451" i="73" s="1"/>
  <c r="I450" i="73" a="1"/>
  <c r="I450" i="73" s="1"/>
  <c r="H450" i="73" a="1"/>
  <c r="H450" i="73" s="1"/>
  <c r="G450" i="73" a="1"/>
  <c r="G450" i="73" s="1"/>
  <c r="F450" i="73" a="1"/>
  <c r="F450" i="73" s="1"/>
  <c r="E450" i="73" a="1"/>
  <c r="E450" i="73" s="1"/>
  <c r="D450" i="73" a="1"/>
  <c r="D450" i="73" s="1"/>
  <c r="I449" i="73" a="1"/>
  <c r="I449" i="73" s="1"/>
  <c r="H449" i="73" a="1"/>
  <c r="H449" i="73" s="1"/>
  <c r="G449" i="73" a="1"/>
  <c r="G449" i="73" s="1"/>
  <c r="F449" i="73" a="1"/>
  <c r="F449" i="73" s="1"/>
  <c r="E449" i="73" a="1"/>
  <c r="E449" i="73" s="1"/>
  <c r="D449" i="73" a="1"/>
  <c r="D449" i="73" s="1"/>
  <c r="I448" i="73" a="1"/>
  <c r="I448" i="73" s="1"/>
  <c r="H448" i="73" a="1"/>
  <c r="H448" i="73" s="1"/>
  <c r="G448" i="73" a="1"/>
  <c r="G448" i="73" s="1"/>
  <c r="F448" i="73" a="1"/>
  <c r="F448" i="73" s="1"/>
  <c r="E448" i="73" a="1"/>
  <c r="E448" i="73" s="1"/>
  <c r="D448" i="73" a="1"/>
  <c r="D448" i="73" s="1"/>
  <c r="I447" i="73" a="1"/>
  <c r="I447" i="73" s="1"/>
  <c r="H447" i="73" a="1"/>
  <c r="H447" i="73" s="1"/>
  <c r="G447" i="73" a="1"/>
  <c r="G447" i="73" s="1"/>
  <c r="F447" i="73" a="1"/>
  <c r="F447" i="73" s="1"/>
  <c r="E447" i="73" a="1"/>
  <c r="E447" i="73" s="1"/>
  <c r="D447" i="73" a="1"/>
  <c r="D447" i="73" s="1"/>
  <c r="I446" i="73" a="1"/>
  <c r="I446" i="73" s="1"/>
  <c r="H446" i="73" a="1"/>
  <c r="H446" i="73" s="1"/>
  <c r="G446" i="73" a="1"/>
  <c r="G446" i="73" s="1"/>
  <c r="F446" i="73" a="1"/>
  <c r="F446" i="73" s="1"/>
  <c r="E446" i="73" a="1"/>
  <c r="E446" i="73" s="1"/>
  <c r="D446" i="73" a="1"/>
  <c r="D446" i="73" s="1"/>
  <c r="I445" i="73" a="1"/>
  <c r="I445" i="73" s="1"/>
  <c r="H445" i="73" a="1"/>
  <c r="H445" i="73" s="1"/>
  <c r="G445" i="73" a="1"/>
  <c r="G445" i="73" s="1"/>
  <c r="F445" i="73" a="1"/>
  <c r="F445" i="73" s="1"/>
  <c r="E445" i="73" a="1"/>
  <c r="E445" i="73" s="1"/>
  <c r="D445" i="73" a="1"/>
  <c r="D445" i="73" s="1"/>
  <c r="I444" i="73" a="1"/>
  <c r="I444" i="73" s="1"/>
  <c r="H444" i="73" a="1"/>
  <c r="H444" i="73" s="1"/>
  <c r="G444" i="73" a="1"/>
  <c r="G444" i="73" s="1"/>
  <c r="F444" i="73" a="1"/>
  <c r="F444" i="73" s="1"/>
  <c r="E444" i="73" a="1"/>
  <c r="E444" i="73" s="1"/>
  <c r="D444" i="73" a="1"/>
  <c r="D444" i="73" s="1"/>
  <c r="I443" i="73" a="1"/>
  <c r="I443" i="73" s="1"/>
  <c r="H443" i="73" a="1"/>
  <c r="H443" i="73" s="1"/>
  <c r="G443" i="73" a="1"/>
  <c r="G443" i="73" s="1"/>
  <c r="F443" i="73" a="1"/>
  <c r="F443" i="73" s="1"/>
  <c r="E443" i="73" a="1"/>
  <c r="E443" i="73" s="1"/>
  <c r="D443" i="73" a="1"/>
  <c r="D443" i="73" s="1"/>
  <c r="D440" i="73" a="1"/>
  <c r="D440" i="73" s="1"/>
  <c r="D439" i="73" a="1"/>
  <c r="D439" i="73" s="1"/>
  <c r="D438" i="73" a="1"/>
  <c r="D438" i="73" s="1"/>
  <c r="D437" i="73" a="1"/>
  <c r="D437" i="73" s="1"/>
  <c r="D436" i="73" a="1"/>
  <c r="D436" i="73" s="1"/>
  <c r="D434" i="73" a="1"/>
  <c r="D434" i="73" s="1"/>
  <c r="D433" i="73" a="1"/>
  <c r="D433" i="73" s="1"/>
  <c r="D432" i="73" a="1"/>
  <c r="D432" i="73" s="1"/>
  <c r="D431" i="73" a="1"/>
  <c r="D431" i="73" s="1"/>
  <c r="D430" i="73" a="1"/>
  <c r="D430" i="73" s="1"/>
  <c r="D428" i="73" a="1"/>
  <c r="D428" i="73" s="1"/>
  <c r="D427" i="73" a="1"/>
  <c r="D427" i="73" s="1"/>
  <c r="D426" i="73" a="1"/>
  <c r="D426" i="73" s="1"/>
  <c r="D425" i="73" a="1"/>
  <c r="D425" i="73" s="1"/>
  <c r="D424" i="73" a="1"/>
  <c r="D424" i="73" s="1"/>
  <c r="D422" i="73" a="1"/>
  <c r="D422" i="73" s="1"/>
  <c r="D421" i="73" a="1"/>
  <c r="D421" i="73" s="1"/>
  <c r="D420" i="73" a="1"/>
  <c r="D420" i="73" s="1"/>
  <c r="D419" i="73" a="1"/>
  <c r="D419" i="73" s="1"/>
  <c r="D418" i="73" a="1"/>
  <c r="D418" i="73" s="1"/>
  <c r="G415" i="73" a="1"/>
  <c r="G415" i="73" s="1"/>
  <c r="F415" i="73" a="1"/>
  <c r="F415" i="73" s="1"/>
  <c r="E415" i="73" a="1"/>
  <c r="E415" i="73" s="1"/>
  <c r="D415" i="73" a="1"/>
  <c r="D415" i="73" s="1"/>
  <c r="G414" i="73" a="1"/>
  <c r="G414" i="73" s="1"/>
  <c r="F414" i="73" a="1"/>
  <c r="F414" i="73" s="1"/>
  <c r="E414" i="73" a="1"/>
  <c r="E414" i="73" s="1"/>
  <c r="D414" i="73" a="1"/>
  <c r="D414" i="73" s="1"/>
  <c r="G413" i="73" a="1"/>
  <c r="G413" i="73" s="1"/>
  <c r="F413" i="73" a="1"/>
  <c r="F413" i="73" s="1"/>
  <c r="E413" i="73" a="1"/>
  <c r="E413" i="73" s="1"/>
  <c r="D413" i="73" a="1"/>
  <c r="D413" i="73" s="1"/>
  <c r="G412" i="73" a="1"/>
  <c r="G412" i="73" s="1"/>
  <c r="F412" i="73" a="1"/>
  <c r="F412" i="73" s="1"/>
  <c r="E412" i="73" a="1"/>
  <c r="E412" i="73" s="1"/>
  <c r="D412" i="73" a="1"/>
  <c r="D412" i="73" s="1"/>
  <c r="G411" i="73" a="1"/>
  <c r="G411" i="73" s="1"/>
  <c r="F411" i="73" a="1"/>
  <c r="F411" i="73" s="1"/>
  <c r="E411" i="73" a="1"/>
  <c r="E411" i="73" s="1"/>
  <c r="D411" i="73" a="1"/>
  <c r="D411" i="73" s="1"/>
  <c r="G410" i="73" a="1"/>
  <c r="G410" i="73" s="1"/>
  <c r="F410" i="73" a="1"/>
  <c r="F410" i="73" s="1"/>
  <c r="E410" i="73" a="1"/>
  <c r="E410" i="73" s="1"/>
  <c r="D410" i="73" a="1"/>
  <c r="D410" i="73" s="1"/>
  <c r="G409" i="73" a="1"/>
  <c r="G409" i="73" s="1"/>
  <c r="F409" i="73" a="1"/>
  <c r="F409" i="73" s="1"/>
  <c r="E409" i="73" a="1"/>
  <c r="E409" i="73" s="1"/>
  <c r="D409" i="73" a="1"/>
  <c r="D409" i="73" s="1"/>
  <c r="G408" i="73" a="1"/>
  <c r="G408" i="73" s="1"/>
  <c r="F408" i="73" a="1"/>
  <c r="F408" i="73" s="1"/>
  <c r="E408" i="73" a="1"/>
  <c r="E408" i="73" s="1"/>
  <c r="D408" i="73" a="1"/>
  <c r="D408" i="73" s="1"/>
  <c r="G407" i="73" a="1"/>
  <c r="G407" i="73" s="1"/>
  <c r="F407" i="73" a="1"/>
  <c r="F407" i="73" s="1"/>
  <c r="E407" i="73" a="1"/>
  <c r="E407" i="73" s="1"/>
  <c r="D407" i="73" a="1"/>
  <c r="D407" i="73" s="1"/>
  <c r="G406" i="73" a="1"/>
  <c r="G406" i="73" s="1"/>
  <c r="F406" i="73" a="1"/>
  <c r="F406" i="73" s="1"/>
  <c r="E406" i="73" a="1"/>
  <c r="E406" i="73" s="1"/>
  <c r="D406" i="73" a="1"/>
  <c r="D406" i="73" s="1"/>
  <c r="G405" i="73" a="1"/>
  <c r="G405" i="73" s="1"/>
  <c r="F405" i="73" a="1"/>
  <c r="F405" i="73" s="1"/>
  <c r="E405" i="73" a="1"/>
  <c r="E405" i="73" s="1"/>
  <c r="D405" i="73" a="1"/>
  <c r="D405" i="73" s="1"/>
  <c r="G404" i="73" a="1"/>
  <c r="G404" i="73" s="1"/>
  <c r="F404" i="73" a="1"/>
  <c r="F404" i="73" s="1"/>
  <c r="E404" i="73" a="1"/>
  <c r="E404" i="73" s="1"/>
  <c r="D404" i="73" a="1"/>
  <c r="D404" i="73" s="1"/>
  <c r="G403" i="73" a="1"/>
  <c r="G403" i="73" s="1"/>
  <c r="F403" i="73" a="1"/>
  <c r="F403" i="73" s="1"/>
  <c r="E403" i="73" a="1"/>
  <c r="E403" i="73" s="1"/>
  <c r="D403" i="73" a="1"/>
  <c r="D403" i="73" s="1"/>
  <c r="G402" i="73" a="1"/>
  <c r="G402" i="73" s="1"/>
  <c r="F402" i="73" a="1"/>
  <c r="F402" i="73" s="1"/>
  <c r="E402" i="73" a="1"/>
  <c r="E402" i="73" s="1"/>
  <c r="D402" i="73" a="1"/>
  <c r="D402" i="73" s="1"/>
  <c r="G401" i="73" a="1"/>
  <c r="G401" i="73" s="1"/>
  <c r="F401" i="73" a="1"/>
  <c r="F401" i="73" s="1"/>
  <c r="E401" i="73" a="1"/>
  <c r="E401" i="73" s="1"/>
  <c r="D401" i="73" a="1"/>
  <c r="D401" i="73" s="1"/>
  <c r="D399" i="73" a="1"/>
  <c r="D399" i="73" s="1"/>
  <c r="D398" i="73" a="1"/>
  <c r="D398" i="73" s="1"/>
  <c r="D397" i="73" a="1"/>
  <c r="D397" i="73" s="1"/>
  <c r="D396" i="73" a="1"/>
  <c r="D396" i="73" s="1"/>
  <c r="D395" i="73" a="1"/>
  <c r="D395" i="73" s="1"/>
  <c r="G392" i="73" a="1"/>
  <c r="G392" i="73" s="1"/>
  <c r="F392" i="73" a="1"/>
  <c r="F392" i="73" s="1"/>
  <c r="E392" i="73" a="1"/>
  <c r="E392" i="73" s="1"/>
  <c r="D392" i="73" a="1"/>
  <c r="D392" i="73" s="1"/>
  <c r="G391" i="73" a="1"/>
  <c r="G391" i="73" s="1"/>
  <c r="F391" i="73" a="1"/>
  <c r="F391" i="73" s="1"/>
  <c r="E391" i="73" a="1"/>
  <c r="E391" i="73" s="1"/>
  <c r="D391" i="73" a="1"/>
  <c r="D391" i="73" s="1"/>
  <c r="G390" i="73" a="1"/>
  <c r="G390" i="73" s="1"/>
  <c r="F390" i="73" a="1"/>
  <c r="F390" i="73" s="1"/>
  <c r="E390" i="73" a="1"/>
  <c r="E390" i="73" s="1"/>
  <c r="D390" i="73" a="1"/>
  <c r="D390" i="73" s="1"/>
  <c r="G389" i="73" a="1"/>
  <c r="G389" i="73" s="1"/>
  <c r="F389" i="73" a="1"/>
  <c r="F389" i="73" s="1"/>
  <c r="E389" i="73" a="1"/>
  <c r="E389" i="73" s="1"/>
  <c r="D389" i="73" a="1"/>
  <c r="D389" i="73" s="1"/>
  <c r="G388" i="73" a="1"/>
  <c r="G388" i="73" s="1"/>
  <c r="F388" i="73" a="1"/>
  <c r="F388" i="73" s="1"/>
  <c r="E388" i="73" a="1"/>
  <c r="E388" i="73" s="1"/>
  <c r="D388" i="73" a="1"/>
  <c r="D388" i="73" s="1"/>
  <c r="G387" i="73" a="1"/>
  <c r="G387" i="73" s="1"/>
  <c r="F387" i="73" a="1"/>
  <c r="F387" i="73" s="1"/>
  <c r="E387" i="73" a="1"/>
  <c r="E387" i="73" s="1"/>
  <c r="D387" i="73" a="1"/>
  <c r="D387" i="73" s="1"/>
  <c r="G386" i="73" a="1"/>
  <c r="G386" i="73" s="1"/>
  <c r="F386" i="73" a="1"/>
  <c r="F386" i="73" s="1"/>
  <c r="E386" i="73" a="1"/>
  <c r="E386" i="73" s="1"/>
  <c r="D386" i="73" a="1"/>
  <c r="D386" i="73" s="1"/>
  <c r="G385" i="73" a="1"/>
  <c r="G385" i="73" s="1"/>
  <c r="F385" i="73" a="1"/>
  <c r="F385" i="73" s="1"/>
  <c r="E385" i="73" a="1"/>
  <c r="E385" i="73" s="1"/>
  <c r="D385" i="73" a="1"/>
  <c r="D385" i="73" s="1"/>
  <c r="G384" i="73" a="1"/>
  <c r="G384" i="73" s="1"/>
  <c r="F384" i="73" a="1"/>
  <c r="F384" i="73" s="1"/>
  <c r="E384" i="73" a="1"/>
  <c r="E384" i="73" s="1"/>
  <c r="D384" i="73" a="1"/>
  <c r="D384" i="73" s="1"/>
  <c r="G383" i="73" a="1"/>
  <c r="G383" i="73" s="1"/>
  <c r="F383" i="73" a="1"/>
  <c r="F383" i="73" s="1"/>
  <c r="E383" i="73" a="1"/>
  <c r="E383" i="73" s="1"/>
  <c r="D383" i="73" a="1"/>
  <c r="D383" i="73" s="1"/>
  <c r="G382" i="73" a="1"/>
  <c r="G382" i="73" s="1"/>
  <c r="F382" i="73" a="1"/>
  <c r="F382" i="73" s="1"/>
  <c r="E382" i="73" a="1"/>
  <c r="E382" i="73" s="1"/>
  <c r="D382" i="73" a="1"/>
  <c r="D382" i="73" s="1"/>
  <c r="G381" i="73" a="1"/>
  <c r="G381" i="73" s="1"/>
  <c r="F381" i="73" a="1"/>
  <c r="F381" i="73" s="1"/>
  <c r="E381" i="73" a="1"/>
  <c r="E381" i="73" s="1"/>
  <c r="D381" i="73" a="1"/>
  <c r="D381" i="73" s="1"/>
  <c r="G380" i="73" a="1"/>
  <c r="G380" i="73" s="1"/>
  <c r="F380" i="73" a="1"/>
  <c r="F380" i="73" s="1"/>
  <c r="E380" i="73" a="1"/>
  <c r="E380" i="73" s="1"/>
  <c r="D380" i="73" a="1"/>
  <c r="D380" i="73" s="1"/>
  <c r="G379" i="73" a="1"/>
  <c r="G379" i="73" s="1"/>
  <c r="F379" i="73" a="1"/>
  <c r="F379" i="73" s="1"/>
  <c r="E379" i="73" a="1"/>
  <c r="E379" i="73" s="1"/>
  <c r="D379" i="73" a="1"/>
  <c r="D379" i="73" s="1"/>
  <c r="G378" i="73" a="1"/>
  <c r="G378" i="73" s="1"/>
  <c r="F378" i="73" a="1"/>
  <c r="F378" i="73" s="1"/>
  <c r="E378" i="73" a="1"/>
  <c r="E378" i="73" s="1"/>
  <c r="D378" i="73" a="1"/>
  <c r="D378" i="73" s="1"/>
  <c r="D376" i="73" a="1"/>
  <c r="D376" i="73" s="1"/>
  <c r="D375" i="73" a="1"/>
  <c r="D375" i="73" s="1"/>
  <c r="D374" i="73" a="1"/>
  <c r="D374" i="73" s="1"/>
  <c r="D373" i="73" a="1"/>
  <c r="D373" i="73" s="1"/>
  <c r="D372" i="73" a="1"/>
  <c r="D372" i="73" s="1"/>
  <c r="L358" i="73" a="1"/>
  <c r="L358" i="73" s="1"/>
  <c r="O369" i="73" s="1"/>
  <c r="K358" i="73" a="1"/>
  <c r="K358" i="73" s="1"/>
  <c r="J358" i="73" a="1"/>
  <c r="J358" i="73" s="1"/>
  <c r="K369" i="73" s="1"/>
  <c r="I358" i="73" a="1"/>
  <c r="I358" i="73" s="1"/>
  <c r="I369" i="73" s="1"/>
  <c r="H358" i="73" a="1"/>
  <c r="H358" i="73" s="1"/>
  <c r="H369" i="73" s="1"/>
  <c r="G358" i="73" a="1"/>
  <c r="G358" i="73" s="1"/>
  <c r="G369" i="73" s="1"/>
  <c r="F358" i="73" a="1"/>
  <c r="F358" i="73" s="1"/>
  <c r="F369" i="73" s="1"/>
  <c r="E358" i="73" a="1"/>
  <c r="E358" i="73" s="1"/>
  <c r="E369" i="73" s="1"/>
  <c r="D358" i="73" a="1"/>
  <c r="D358" i="73" s="1"/>
  <c r="D369" i="73" s="1"/>
  <c r="L357" i="73" a="1"/>
  <c r="L357" i="73" s="1"/>
  <c r="O368" i="73" s="1"/>
  <c r="K357" i="73" a="1"/>
  <c r="K357" i="73" s="1"/>
  <c r="M368" i="73" s="1"/>
  <c r="J357" i="73" a="1"/>
  <c r="J357" i="73" s="1"/>
  <c r="K368" i="73" s="1"/>
  <c r="I357" i="73" a="1"/>
  <c r="I357" i="73" s="1"/>
  <c r="J368" i="73" s="1"/>
  <c r="H357" i="73" a="1"/>
  <c r="H357" i="73" s="1"/>
  <c r="H368" i="73" s="1"/>
  <c r="G357" i="73" a="1"/>
  <c r="G357" i="73" s="1"/>
  <c r="G368" i="73" s="1"/>
  <c r="F357" i="73" a="1"/>
  <c r="F357" i="73" s="1"/>
  <c r="F368" i="73" s="1"/>
  <c r="E357" i="73" a="1"/>
  <c r="E357" i="73" s="1"/>
  <c r="E368" i="73" s="1"/>
  <c r="D357" i="73" a="1"/>
  <c r="D357" i="73" s="1"/>
  <c r="D368" i="73" s="1"/>
  <c r="L356" i="73" a="1"/>
  <c r="L356" i="73" s="1"/>
  <c r="O367" i="73" s="1"/>
  <c r="K356" i="73" a="1"/>
  <c r="K356" i="73" s="1"/>
  <c r="M367" i="73" s="1"/>
  <c r="J356" i="73" a="1"/>
  <c r="J356" i="73" s="1"/>
  <c r="K367" i="73" s="1"/>
  <c r="I356" i="73"/>
  <c r="J367" i="73" s="1"/>
  <c r="I356" i="73" a="1"/>
  <c r="H356" i="73" a="1"/>
  <c r="H356" i="73" s="1"/>
  <c r="H367" i="73" s="1"/>
  <c r="G356" i="73" a="1"/>
  <c r="G356" i="73" s="1"/>
  <c r="G367" i="73" s="1"/>
  <c r="F356" i="73" a="1"/>
  <c r="F356" i="73" s="1"/>
  <c r="F367" i="73" s="1"/>
  <c r="E356" i="73" a="1"/>
  <c r="E356" i="73" s="1"/>
  <c r="E367" i="73" s="1"/>
  <c r="D356" i="73" a="1"/>
  <c r="D356" i="73" s="1"/>
  <c r="D367" i="73" s="1"/>
  <c r="L355" i="73" a="1"/>
  <c r="L355" i="73" s="1"/>
  <c r="O366" i="73" s="1"/>
  <c r="K355" i="73" a="1"/>
  <c r="K355" i="73" s="1"/>
  <c r="J355" i="73" a="1"/>
  <c r="J355" i="73" s="1"/>
  <c r="K366" i="73" s="1"/>
  <c r="I355" i="73" a="1"/>
  <c r="I355" i="73" s="1"/>
  <c r="I366" i="73" s="1"/>
  <c r="H355" i="73" a="1"/>
  <c r="H355" i="73" s="1"/>
  <c r="H366" i="73" s="1"/>
  <c r="G355" i="73" a="1"/>
  <c r="G355" i="73" s="1"/>
  <c r="G366" i="73" s="1"/>
  <c r="F355" i="73" a="1"/>
  <c r="F355" i="73" s="1"/>
  <c r="F366" i="73" s="1"/>
  <c r="E355" i="73" a="1"/>
  <c r="E355" i="73" s="1"/>
  <c r="E366" i="73" s="1"/>
  <c r="D355" i="73" a="1"/>
  <c r="D355" i="73" s="1"/>
  <c r="D366" i="73" s="1"/>
  <c r="L354" i="73" a="1"/>
  <c r="L354" i="73" s="1"/>
  <c r="O365" i="73" s="1"/>
  <c r="K354" i="73" a="1"/>
  <c r="K354" i="73" s="1"/>
  <c r="J354" i="73" a="1"/>
  <c r="J354" i="73" s="1"/>
  <c r="K365" i="73" s="1"/>
  <c r="I354" i="73" a="1"/>
  <c r="I354" i="73" s="1"/>
  <c r="J365" i="73" s="1"/>
  <c r="H354" i="73" a="1"/>
  <c r="H354" i="73" s="1"/>
  <c r="H365" i="73" s="1"/>
  <c r="G354" i="73" a="1"/>
  <c r="G354" i="73" s="1"/>
  <c r="G365" i="73" s="1"/>
  <c r="F354" i="73" a="1"/>
  <c r="F354" i="73" s="1"/>
  <c r="F365" i="73" s="1"/>
  <c r="E354" i="73" a="1"/>
  <c r="E354" i="73" s="1"/>
  <c r="E365" i="73" s="1"/>
  <c r="D354" i="73" a="1"/>
  <c r="D354" i="73" s="1"/>
  <c r="D365" i="73" s="1"/>
  <c r="L353" i="73" a="1"/>
  <c r="L353" i="73" s="1"/>
  <c r="O364" i="73" s="1"/>
  <c r="K353" i="73" a="1"/>
  <c r="K353" i="73" s="1"/>
  <c r="M364" i="73" s="1"/>
  <c r="J353" i="73" a="1"/>
  <c r="J353" i="73" s="1"/>
  <c r="K364" i="73" s="1"/>
  <c r="I353" i="73" a="1"/>
  <c r="I353" i="73" s="1"/>
  <c r="I364" i="73" s="1"/>
  <c r="H353" i="73" a="1"/>
  <c r="H353" i="73" s="1"/>
  <c r="H364" i="73" s="1"/>
  <c r="G353" i="73" a="1"/>
  <c r="G353" i="73" s="1"/>
  <c r="G364" i="73" s="1"/>
  <c r="F353" i="73" a="1"/>
  <c r="F353" i="73" s="1"/>
  <c r="F364" i="73" s="1"/>
  <c r="E353" i="73" a="1"/>
  <c r="E353" i="73" s="1"/>
  <c r="E364" i="73" s="1"/>
  <c r="D353" i="73" a="1"/>
  <c r="D353" i="73" s="1"/>
  <c r="D364" i="73" s="1"/>
  <c r="L352" i="73" a="1"/>
  <c r="L352" i="73" s="1"/>
  <c r="O363" i="73" s="1"/>
  <c r="K352" i="73" a="1"/>
  <c r="K352" i="73" s="1"/>
  <c r="N363" i="73" s="1"/>
  <c r="J352" i="73" a="1"/>
  <c r="J352" i="73" s="1"/>
  <c r="K363" i="73" s="1"/>
  <c r="I352" i="73" a="1"/>
  <c r="I352" i="73" s="1"/>
  <c r="I363" i="73" s="1"/>
  <c r="H352" i="73" a="1"/>
  <c r="H352" i="73" s="1"/>
  <c r="H363" i="73" s="1"/>
  <c r="G352" i="73" a="1"/>
  <c r="G352" i="73" s="1"/>
  <c r="G363" i="73" s="1"/>
  <c r="F352" i="73" a="1"/>
  <c r="F352" i="73" s="1"/>
  <c r="F363" i="73" s="1"/>
  <c r="E352" i="73" a="1"/>
  <c r="E352" i="73" s="1"/>
  <c r="E363" i="73" s="1"/>
  <c r="D352" i="73" a="1"/>
  <c r="D352" i="73" s="1"/>
  <c r="D363" i="73" s="1"/>
  <c r="L351" i="73" a="1"/>
  <c r="L351" i="73" s="1"/>
  <c r="O362" i="73" s="1"/>
  <c r="K351" i="73" a="1"/>
  <c r="K351" i="73" s="1"/>
  <c r="J351" i="73" a="1"/>
  <c r="J351" i="73" s="1"/>
  <c r="K362" i="73" s="1"/>
  <c r="I351" i="73" a="1"/>
  <c r="I351" i="73" s="1"/>
  <c r="I362" i="73" s="1"/>
  <c r="H351" i="73" a="1"/>
  <c r="H351" i="73" s="1"/>
  <c r="H362" i="73" s="1"/>
  <c r="G351" i="73" a="1"/>
  <c r="G351" i="73" s="1"/>
  <c r="G362" i="73" s="1"/>
  <c r="F351" i="73" a="1"/>
  <c r="F351" i="73" s="1"/>
  <c r="F362" i="73" s="1"/>
  <c r="E351" i="73" a="1"/>
  <c r="E351" i="73" s="1"/>
  <c r="E362" i="73" s="1"/>
  <c r="D351" i="73" a="1"/>
  <c r="D351" i="73" s="1"/>
  <c r="D362" i="73" s="1"/>
  <c r="D349" i="73" a="1"/>
  <c r="D349" i="73" s="1"/>
  <c r="D348" i="73" a="1"/>
  <c r="D348" i="73" s="1"/>
  <c r="D347" i="73" a="1"/>
  <c r="D347" i="73" s="1"/>
  <c r="D346" i="73" a="1"/>
  <c r="D346" i="73" s="1"/>
  <c r="D345" i="73" a="1"/>
  <c r="D345" i="73" s="1"/>
  <c r="G342" i="73" a="1"/>
  <c r="G342" i="73" s="1"/>
  <c r="F342" i="73" a="1"/>
  <c r="F342" i="73" s="1"/>
  <c r="E342" i="73" a="1"/>
  <c r="E342" i="73" s="1"/>
  <c r="D342" i="73" a="1"/>
  <c r="D342" i="73" s="1"/>
  <c r="G341" i="73" a="1"/>
  <c r="G341" i="73" s="1"/>
  <c r="L338" i="73" s="1"/>
  <c r="F341" i="73" a="1"/>
  <c r="F341" i="73" s="1"/>
  <c r="K338" i="73" s="1"/>
  <c r="E341" i="73" a="1"/>
  <c r="E341" i="73" s="1"/>
  <c r="D341" i="73" a="1"/>
  <c r="D341" i="73" s="1"/>
  <c r="I338" i="73" s="1"/>
  <c r="G340" i="73" a="1"/>
  <c r="G340" i="73" s="1"/>
  <c r="L337" i="73" s="1"/>
  <c r="F340" i="73" a="1"/>
  <c r="F340" i="73" s="1"/>
  <c r="K337" i="73" s="1"/>
  <c r="E340" i="73" a="1"/>
  <c r="E340" i="73" s="1"/>
  <c r="D340" i="73" a="1"/>
  <c r="D340" i="73" s="1"/>
  <c r="I337" i="73" s="1"/>
  <c r="G339" i="73" a="1"/>
  <c r="G339" i="73" s="1"/>
  <c r="F339" i="73" a="1"/>
  <c r="F339" i="73" s="1"/>
  <c r="E339" i="73" a="1"/>
  <c r="E339" i="73" s="1"/>
  <c r="D339" i="73" a="1"/>
  <c r="D339" i="73" s="1"/>
  <c r="G338" i="73" a="1"/>
  <c r="G338" i="73" s="1"/>
  <c r="F338" i="73" a="1"/>
  <c r="F338" i="73" s="1"/>
  <c r="E338" i="73" a="1"/>
  <c r="E338" i="73" s="1"/>
  <c r="D338" i="73" a="1"/>
  <c r="D338" i="73" s="1"/>
  <c r="G337" i="73" a="1"/>
  <c r="G337" i="73" s="1"/>
  <c r="F337" i="73" a="1"/>
  <c r="F337" i="73" s="1"/>
  <c r="E337" i="73" a="1"/>
  <c r="E337" i="73" s="1"/>
  <c r="D337" i="73" a="1"/>
  <c r="D337" i="73" s="1"/>
  <c r="G336" i="73" a="1"/>
  <c r="G336" i="73" s="1"/>
  <c r="L336" i="73" s="1"/>
  <c r="F336" i="73" a="1"/>
  <c r="F336" i="73" s="1"/>
  <c r="K336" i="73" s="1"/>
  <c r="E336" i="73" a="1"/>
  <c r="E336" i="73" s="1"/>
  <c r="D336" i="73" a="1"/>
  <c r="D336" i="73" s="1"/>
  <c r="I336" i="73" s="1"/>
  <c r="G335" i="73" a="1"/>
  <c r="G335" i="73" s="1"/>
  <c r="L335" i="73" s="1"/>
  <c r="F335" i="73" a="1"/>
  <c r="F335" i="73" s="1"/>
  <c r="K335" i="73" s="1"/>
  <c r="E335" i="73" a="1"/>
  <c r="E335" i="73" s="1"/>
  <c r="D335" i="73" a="1"/>
  <c r="D335" i="73" s="1"/>
  <c r="I335" i="73" s="1"/>
  <c r="D333" i="73" a="1"/>
  <c r="D333" i="73" s="1"/>
  <c r="D332" i="73" a="1"/>
  <c r="D332" i="73" s="1"/>
  <c r="D331" i="73" a="1"/>
  <c r="D331" i="73" s="1"/>
  <c r="I328" i="73" a="1"/>
  <c r="I328" i="73" s="1"/>
  <c r="H328" i="73" a="1"/>
  <c r="H328" i="73" s="1"/>
  <c r="G328" i="73" a="1"/>
  <c r="G328" i="73" s="1"/>
  <c r="F328" i="73" a="1"/>
  <c r="F328" i="73" s="1"/>
  <c r="E328" i="73" a="1"/>
  <c r="E328" i="73" s="1"/>
  <c r="D328" i="73" a="1"/>
  <c r="D328" i="73" s="1"/>
  <c r="I327" i="73" a="1"/>
  <c r="I327" i="73" s="1"/>
  <c r="H327" i="73" a="1"/>
  <c r="H327" i="73" s="1"/>
  <c r="G327" i="73" a="1"/>
  <c r="G327" i="73" s="1"/>
  <c r="F327" i="73" a="1"/>
  <c r="F327" i="73" s="1"/>
  <c r="E327" i="73" a="1"/>
  <c r="E327" i="73" s="1"/>
  <c r="D327" i="73" a="1"/>
  <c r="D327" i="73" s="1"/>
  <c r="I326" i="73" a="1"/>
  <c r="I326" i="73" s="1"/>
  <c r="H326" i="73" a="1"/>
  <c r="H326" i="73" s="1"/>
  <c r="G326" i="73" a="1"/>
  <c r="G326" i="73" s="1"/>
  <c r="F326" i="73" a="1"/>
  <c r="F326" i="73" s="1"/>
  <c r="E326" i="73" a="1"/>
  <c r="E326" i="73" s="1"/>
  <c r="D326" i="73"/>
  <c r="D326" i="73" a="1"/>
  <c r="I325" i="73" a="1"/>
  <c r="I325" i="73" s="1"/>
  <c r="H325" i="73" a="1"/>
  <c r="H325" i="73" s="1"/>
  <c r="G325" i="73" a="1"/>
  <c r="G325" i="73" s="1"/>
  <c r="F325" i="73" a="1"/>
  <c r="F325" i="73" s="1"/>
  <c r="E325" i="73" a="1"/>
  <c r="E325" i="73" s="1"/>
  <c r="D325" i="73" a="1"/>
  <c r="D325" i="73" s="1"/>
  <c r="I324" i="73" a="1"/>
  <c r="I324" i="73" s="1"/>
  <c r="H324" i="73" a="1"/>
  <c r="H324" i="73" s="1"/>
  <c r="G324" i="73" a="1"/>
  <c r="G324" i="73" s="1"/>
  <c r="F324" i="73" a="1"/>
  <c r="F324" i="73" s="1"/>
  <c r="E324" i="73" a="1"/>
  <c r="E324" i="73" s="1"/>
  <c r="D324" i="73" a="1"/>
  <c r="D324" i="73" s="1"/>
  <c r="I323" i="73" a="1"/>
  <c r="I323" i="73" s="1"/>
  <c r="H323" i="73" a="1"/>
  <c r="H323" i="73" s="1"/>
  <c r="G323" i="73" a="1"/>
  <c r="G323" i="73" s="1"/>
  <c r="F323" i="73" a="1"/>
  <c r="F323" i="73" s="1"/>
  <c r="E323" i="73" a="1"/>
  <c r="E323" i="73" s="1"/>
  <c r="D323" i="73" a="1"/>
  <c r="D323" i="73" s="1"/>
  <c r="I322" i="73" a="1"/>
  <c r="I322" i="73" s="1"/>
  <c r="H322" i="73" a="1"/>
  <c r="H322" i="73" s="1"/>
  <c r="G322" i="73" a="1"/>
  <c r="G322" i="73" s="1"/>
  <c r="F322" i="73" a="1"/>
  <c r="F322" i="73" s="1"/>
  <c r="E322" i="73" a="1"/>
  <c r="E322" i="73" s="1"/>
  <c r="D322" i="73" a="1"/>
  <c r="D322" i="73" s="1"/>
  <c r="I321" i="73" a="1"/>
  <c r="I321" i="73" s="1"/>
  <c r="H321" i="73" a="1"/>
  <c r="H321" i="73" s="1"/>
  <c r="G321" i="73" a="1"/>
  <c r="G321" i="73" s="1"/>
  <c r="F321" i="73" a="1"/>
  <c r="F321" i="73" s="1"/>
  <c r="E321" i="73" a="1"/>
  <c r="E321" i="73" s="1"/>
  <c r="D321" i="73" a="1"/>
  <c r="D321" i="73" s="1"/>
  <c r="I320" i="73" a="1"/>
  <c r="I320" i="73" s="1"/>
  <c r="H320" i="73" a="1"/>
  <c r="H320" i="73" s="1"/>
  <c r="G320" i="73" a="1"/>
  <c r="G320" i="73" s="1"/>
  <c r="F320" i="73" a="1"/>
  <c r="F320" i="73" s="1"/>
  <c r="E320" i="73" a="1"/>
  <c r="E320" i="73" s="1"/>
  <c r="D320" i="73" a="1"/>
  <c r="D320" i="73" s="1"/>
  <c r="I319" i="73" a="1"/>
  <c r="I319" i="73" s="1"/>
  <c r="H319" i="73" a="1"/>
  <c r="H319" i="73" s="1"/>
  <c r="G319" i="73" a="1"/>
  <c r="G319" i="73" s="1"/>
  <c r="F319" i="73" a="1"/>
  <c r="F319" i="73" s="1"/>
  <c r="E319" i="73" a="1"/>
  <c r="E319" i="73" s="1"/>
  <c r="D319" i="73" a="1"/>
  <c r="D319" i="73" s="1"/>
  <c r="I318" i="73" a="1"/>
  <c r="I318" i="73" s="1"/>
  <c r="H318" i="73" a="1"/>
  <c r="H318" i="73" s="1"/>
  <c r="G318" i="73" a="1"/>
  <c r="G318" i="73" s="1"/>
  <c r="F318" i="73" a="1"/>
  <c r="F318" i="73" s="1"/>
  <c r="E318" i="73" a="1"/>
  <c r="E318" i="73" s="1"/>
  <c r="D318" i="73" a="1"/>
  <c r="D318" i="73" s="1"/>
  <c r="I317" i="73" a="1"/>
  <c r="I317" i="73" s="1"/>
  <c r="H317" i="73" a="1"/>
  <c r="H317" i="73" s="1"/>
  <c r="G317" i="73" a="1"/>
  <c r="G317" i="73" s="1"/>
  <c r="F317" i="73" a="1"/>
  <c r="F317" i="73" s="1"/>
  <c r="E317" i="73" a="1"/>
  <c r="E317" i="73" s="1"/>
  <c r="D317" i="73" a="1"/>
  <c r="D317" i="73" s="1"/>
  <c r="I316" i="73" a="1"/>
  <c r="I316" i="73" s="1"/>
  <c r="H316" i="73" a="1"/>
  <c r="H316" i="73" s="1"/>
  <c r="G316" i="73" a="1"/>
  <c r="G316" i="73" s="1"/>
  <c r="F316" i="73" a="1"/>
  <c r="F316" i="73" s="1"/>
  <c r="E316" i="73" a="1"/>
  <c r="E316" i="73" s="1"/>
  <c r="D316" i="73" a="1"/>
  <c r="D316" i="73" s="1"/>
  <c r="I315" i="73" a="1"/>
  <c r="I315" i="73" s="1"/>
  <c r="H315" i="73" a="1"/>
  <c r="H315" i="73" s="1"/>
  <c r="G315" i="73" a="1"/>
  <c r="G315" i="73" s="1"/>
  <c r="F315" i="73" a="1"/>
  <c r="F315" i="73" s="1"/>
  <c r="E315" i="73" a="1"/>
  <c r="E315" i="73" s="1"/>
  <c r="D315" i="73" a="1"/>
  <c r="D315" i="73" s="1"/>
  <c r="I314" i="73" a="1"/>
  <c r="I314" i="73" s="1"/>
  <c r="H314" i="73" a="1"/>
  <c r="H314" i="73" s="1"/>
  <c r="G314" i="73" a="1"/>
  <c r="G314" i="73" s="1"/>
  <c r="F314" i="73" a="1"/>
  <c r="F314" i="73" s="1"/>
  <c r="E314" i="73" a="1"/>
  <c r="E314" i="73" s="1"/>
  <c r="D314" i="73" a="1"/>
  <c r="D314" i="73" s="1"/>
  <c r="D312" i="73" a="1"/>
  <c r="D312" i="73" s="1"/>
  <c r="D311" i="73" a="1"/>
  <c r="D311" i="73" s="1"/>
  <c r="D310" i="73" a="1"/>
  <c r="D310" i="73" s="1"/>
  <c r="D309" i="73" a="1"/>
  <c r="D309" i="73" s="1"/>
  <c r="D308" i="73" a="1"/>
  <c r="D308" i="73" s="1"/>
  <c r="I305" i="73" a="1"/>
  <c r="I305" i="73" s="1"/>
  <c r="H305" i="73" a="1"/>
  <c r="H305" i="73" s="1"/>
  <c r="G305" i="73" a="1"/>
  <c r="G305" i="73" s="1"/>
  <c r="F305" i="73" a="1"/>
  <c r="F305" i="73" s="1"/>
  <c r="E305" i="73" a="1"/>
  <c r="E305" i="73" s="1"/>
  <c r="D305" i="73" a="1"/>
  <c r="D305" i="73" s="1"/>
  <c r="I304" i="73" a="1"/>
  <c r="I304" i="73" s="1"/>
  <c r="H304" i="73" a="1"/>
  <c r="H304" i="73" s="1"/>
  <c r="G304" i="73" a="1"/>
  <c r="G304" i="73" s="1"/>
  <c r="F304" i="73" a="1"/>
  <c r="F304" i="73" s="1"/>
  <c r="E304" i="73" a="1"/>
  <c r="E304" i="73" s="1"/>
  <c r="D304" i="73" a="1"/>
  <c r="D304" i="73" s="1"/>
  <c r="I303" i="73" a="1"/>
  <c r="I303" i="73" s="1"/>
  <c r="H303" i="73" a="1"/>
  <c r="H303" i="73" s="1"/>
  <c r="G303" i="73" a="1"/>
  <c r="G303" i="73" s="1"/>
  <c r="F303" i="73" a="1"/>
  <c r="F303" i="73" s="1"/>
  <c r="E303" i="73" a="1"/>
  <c r="E303" i="73" s="1"/>
  <c r="D303" i="73" a="1"/>
  <c r="D303" i="73" s="1"/>
  <c r="I302" i="73" a="1"/>
  <c r="I302" i="73" s="1"/>
  <c r="H302" i="73" a="1"/>
  <c r="H302" i="73" s="1"/>
  <c r="G302" i="73" a="1"/>
  <c r="G302" i="73" s="1"/>
  <c r="F302" i="73" a="1"/>
  <c r="F302" i="73" s="1"/>
  <c r="E302" i="73" a="1"/>
  <c r="E302" i="73" s="1"/>
  <c r="D302" i="73" a="1"/>
  <c r="D302" i="73" s="1"/>
  <c r="I301" i="73" a="1"/>
  <c r="I301" i="73" s="1"/>
  <c r="H301" i="73" a="1"/>
  <c r="H301" i="73" s="1"/>
  <c r="G301" i="73" a="1"/>
  <c r="G301" i="73" s="1"/>
  <c r="F301" i="73" a="1"/>
  <c r="F301" i="73" s="1"/>
  <c r="E301" i="73" a="1"/>
  <c r="E301" i="73" s="1"/>
  <c r="D301" i="73" a="1"/>
  <c r="D301" i="73" s="1"/>
  <c r="I300" i="73" a="1"/>
  <c r="I300" i="73" s="1"/>
  <c r="H300" i="73" a="1"/>
  <c r="H300" i="73" s="1"/>
  <c r="G300" i="73" a="1"/>
  <c r="G300" i="73" s="1"/>
  <c r="F300" i="73" a="1"/>
  <c r="F300" i="73" s="1"/>
  <c r="E300" i="73" a="1"/>
  <c r="E300" i="73" s="1"/>
  <c r="D300" i="73" a="1"/>
  <c r="D300" i="73" s="1"/>
  <c r="I299" i="73" a="1"/>
  <c r="I299" i="73" s="1"/>
  <c r="H299" i="73" a="1"/>
  <c r="H299" i="73" s="1"/>
  <c r="G299" i="73" a="1"/>
  <c r="G299" i="73" s="1"/>
  <c r="F299" i="73" a="1"/>
  <c r="F299" i="73" s="1"/>
  <c r="E299" i="73" a="1"/>
  <c r="E299" i="73" s="1"/>
  <c r="D299" i="73" a="1"/>
  <c r="D299" i="73" s="1"/>
  <c r="I298" i="73" a="1"/>
  <c r="I298" i="73" s="1"/>
  <c r="H298" i="73" a="1"/>
  <c r="H298" i="73" s="1"/>
  <c r="G298" i="73"/>
  <c r="G298" i="73" a="1"/>
  <c r="F298" i="73" a="1"/>
  <c r="F298" i="73" s="1"/>
  <c r="E298" i="73" a="1"/>
  <c r="E298" i="73" s="1"/>
  <c r="D298" i="73" a="1"/>
  <c r="D298" i="73" s="1"/>
  <c r="I297" i="73" a="1"/>
  <c r="I297" i="73" s="1"/>
  <c r="H297" i="73" a="1"/>
  <c r="H297" i="73" s="1"/>
  <c r="G297" i="73" a="1"/>
  <c r="G297" i="73" s="1"/>
  <c r="F297" i="73" a="1"/>
  <c r="F297" i="73" s="1"/>
  <c r="E297" i="73" a="1"/>
  <c r="E297" i="73" s="1"/>
  <c r="D297" i="73" a="1"/>
  <c r="D297" i="73" s="1"/>
  <c r="I296" i="73" a="1"/>
  <c r="I296" i="73" s="1"/>
  <c r="H296" i="73" a="1"/>
  <c r="H296" i="73" s="1"/>
  <c r="G296" i="73" a="1"/>
  <c r="G296" i="73" s="1"/>
  <c r="F296" i="73" a="1"/>
  <c r="F296" i="73" s="1"/>
  <c r="E296" i="73" a="1"/>
  <c r="E296" i="73" s="1"/>
  <c r="D296" i="73" a="1"/>
  <c r="D296" i="73" s="1"/>
  <c r="I295" i="73" a="1"/>
  <c r="I295" i="73" s="1"/>
  <c r="H295" i="73" a="1"/>
  <c r="H295" i="73" s="1"/>
  <c r="G295" i="73" a="1"/>
  <c r="G295" i="73" s="1"/>
  <c r="F295" i="73" a="1"/>
  <c r="F295" i="73" s="1"/>
  <c r="E295" i="73" a="1"/>
  <c r="E295" i="73" s="1"/>
  <c r="D295" i="73" a="1"/>
  <c r="D295" i="73" s="1"/>
  <c r="I294" i="73" a="1"/>
  <c r="I294" i="73" s="1"/>
  <c r="H294" i="73" a="1"/>
  <c r="H294" i="73" s="1"/>
  <c r="G294" i="73" a="1"/>
  <c r="G294" i="73" s="1"/>
  <c r="F294" i="73" a="1"/>
  <c r="F294" i="73" s="1"/>
  <c r="E294" i="73" a="1"/>
  <c r="E294" i="73" s="1"/>
  <c r="D294" i="73" a="1"/>
  <c r="D294" i="73" s="1"/>
  <c r="I293" i="73" a="1"/>
  <c r="I293" i="73" s="1"/>
  <c r="H293" i="73" a="1"/>
  <c r="H293" i="73" s="1"/>
  <c r="G293" i="73" a="1"/>
  <c r="G293" i="73" s="1"/>
  <c r="F293" i="73" a="1"/>
  <c r="F293" i="73" s="1"/>
  <c r="E293" i="73" a="1"/>
  <c r="E293" i="73" s="1"/>
  <c r="D293" i="73" a="1"/>
  <c r="D293" i="73" s="1"/>
  <c r="I292" i="73" a="1"/>
  <c r="I292" i="73" s="1"/>
  <c r="H292" i="73" a="1"/>
  <c r="H292" i="73" s="1"/>
  <c r="G292" i="73" a="1"/>
  <c r="G292" i="73" s="1"/>
  <c r="F292" i="73" a="1"/>
  <c r="F292" i="73" s="1"/>
  <c r="E292" i="73" a="1"/>
  <c r="E292" i="73" s="1"/>
  <c r="D292" i="73" a="1"/>
  <c r="D292" i="73" s="1"/>
  <c r="I291" i="73" a="1"/>
  <c r="I291" i="73" s="1"/>
  <c r="H291" i="73" a="1"/>
  <c r="H291" i="73" s="1"/>
  <c r="G291" i="73" a="1"/>
  <c r="G291" i="73" s="1"/>
  <c r="F291" i="73" a="1"/>
  <c r="F291" i="73" s="1"/>
  <c r="E291" i="73" a="1"/>
  <c r="E291" i="73" s="1"/>
  <c r="D291" i="73" a="1"/>
  <c r="D291" i="73" s="1"/>
  <c r="D289" i="73" a="1"/>
  <c r="D289" i="73" s="1"/>
  <c r="D288" i="73" a="1"/>
  <c r="D288" i="73" s="1"/>
  <c r="D287" i="73" a="1"/>
  <c r="D287" i="73" s="1"/>
  <c r="D286" i="73" a="1"/>
  <c r="D286" i="73" s="1"/>
  <c r="D285" i="73" a="1"/>
  <c r="D285" i="73" s="1"/>
  <c r="P217" i="73" a="1"/>
  <c r="P217" i="73" s="1"/>
  <c r="P282" i="73" s="1"/>
  <c r="O217" i="73" a="1"/>
  <c r="O217" i="73" s="1"/>
  <c r="O282" i="73" s="1"/>
  <c r="N217" i="73" a="1"/>
  <c r="N217" i="73" s="1"/>
  <c r="N282" i="73" s="1"/>
  <c r="M217" i="73" a="1"/>
  <c r="M217" i="73" s="1"/>
  <c r="M282" i="73" s="1"/>
  <c r="L217" i="73" a="1"/>
  <c r="L217" i="73" s="1"/>
  <c r="L282" i="73" s="1"/>
  <c r="K217" i="73" a="1"/>
  <c r="K217" i="73" s="1"/>
  <c r="K282" i="73" s="1"/>
  <c r="J217" i="73" a="1"/>
  <c r="J217" i="73" s="1"/>
  <c r="J282" i="73" s="1"/>
  <c r="I217" i="73" a="1"/>
  <c r="I217" i="73" s="1"/>
  <c r="I282" i="73" s="1"/>
  <c r="H217" i="73" a="1"/>
  <c r="H217" i="73" s="1"/>
  <c r="H282" i="73" s="1"/>
  <c r="G217" i="73" a="1"/>
  <c r="G217" i="73" s="1"/>
  <c r="G282" i="73" s="1"/>
  <c r="F217" i="73" a="1"/>
  <c r="F217" i="73" s="1"/>
  <c r="F282" i="73" s="1"/>
  <c r="E217" i="73" a="1"/>
  <c r="E217" i="73" s="1"/>
  <c r="E282" i="73" s="1"/>
  <c r="D217" i="73" a="1"/>
  <c r="D217" i="73" s="1"/>
  <c r="P216" i="73" a="1"/>
  <c r="P216" i="73" s="1"/>
  <c r="P281" i="73" s="1"/>
  <c r="O216" i="73" a="1"/>
  <c r="O216" i="73" s="1"/>
  <c r="O281" i="73" s="1"/>
  <c r="N216" i="73" a="1"/>
  <c r="N216" i="73" s="1"/>
  <c r="N281" i="73" s="1"/>
  <c r="M216" i="73" a="1"/>
  <c r="M216" i="73" s="1"/>
  <c r="M281" i="73" s="1"/>
  <c r="L216" i="73" a="1"/>
  <c r="L216" i="73" s="1"/>
  <c r="L281" i="73" s="1"/>
  <c r="K216" i="73" a="1"/>
  <c r="K216" i="73" s="1"/>
  <c r="K281" i="73" s="1"/>
  <c r="J216" i="73" a="1"/>
  <c r="J216" i="73" s="1"/>
  <c r="J281" i="73" s="1"/>
  <c r="I216" i="73" a="1"/>
  <c r="I216" i="73" s="1"/>
  <c r="I281" i="73" s="1"/>
  <c r="H216" i="73" a="1"/>
  <c r="H216" i="73" s="1"/>
  <c r="H281" i="73" s="1"/>
  <c r="G216" i="73" a="1"/>
  <c r="G216" i="73" s="1"/>
  <c r="G281" i="73" s="1"/>
  <c r="F216" i="73" a="1"/>
  <c r="F216" i="73" s="1"/>
  <c r="F281" i="73" s="1"/>
  <c r="E216" i="73" a="1"/>
  <c r="E216" i="73" s="1"/>
  <c r="E281" i="73" s="1"/>
  <c r="D216" i="73" a="1"/>
  <c r="D216" i="73" s="1"/>
  <c r="P215" i="73" a="1"/>
  <c r="P215" i="73" s="1"/>
  <c r="P280" i="73" s="1"/>
  <c r="O215" i="73" a="1"/>
  <c r="O215" i="73" s="1"/>
  <c r="O280" i="73" s="1"/>
  <c r="N215" i="73" a="1"/>
  <c r="N215" i="73" s="1"/>
  <c r="N280" i="73" s="1"/>
  <c r="M215" i="73" a="1"/>
  <c r="M215" i="73" s="1"/>
  <c r="M280" i="73" s="1"/>
  <c r="L215" i="73" a="1"/>
  <c r="L215" i="73" s="1"/>
  <c r="L280" i="73" s="1"/>
  <c r="K215" i="73" a="1"/>
  <c r="K215" i="73" s="1"/>
  <c r="K280" i="73" s="1"/>
  <c r="J215" i="73" a="1"/>
  <c r="J215" i="73" s="1"/>
  <c r="J280" i="73" s="1"/>
  <c r="I215" i="73" a="1"/>
  <c r="I215" i="73" s="1"/>
  <c r="I280" i="73" s="1"/>
  <c r="H215" i="73" a="1"/>
  <c r="H215" i="73" s="1"/>
  <c r="H280" i="73" s="1"/>
  <c r="G215" i="73" a="1"/>
  <c r="G215" i="73" s="1"/>
  <c r="G280" i="73" s="1"/>
  <c r="F215" i="73" a="1"/>
  <c r="F215" i="73" s="1"/>
  <c r="F280" i="73" s="1"/>
  <c r="E215" i="73" a="1"/>
  <c r="E215" i="73" s="1"/>
  <c r="E280" i="73" s="1"/>
  <c r="D215" i="73" a="1"/>
  <c r="D215" i="73" s="1"/>
  <c r="P214" i="73" a="1"/>
  <c r="P214" i="73" s="1"/>
  <c r="P279" i="73" s="1"/>
  <c r="O214" i="73" a="1"/>
  <c r="O214" i="73" s="1"/>
  <c r="O279" i="73" s="1"/>
  <c r="N214" i="73" a="1"/>
  <c r="N214" i="73" s="1"/>
  <c r="N279" i="73" s="1"/>
  <c r="M214" i="73" a="1"/>
  <c r="M214" i="73" s="1"/>
  <c r="M279" i="73" s="1"/>
  <c r="L214" i="73" a="1"/>
  <c r="L214" i="73" s="1"/>
  <c r="L279" i="73" s="1"/>
  <c r="K214" i="73" a="1"/>
  <c r="K214" i="73" s="1"/>
  <c r="K279" i="73" s="1"/>
  <c r="J214" i="73" a="1"/>
  <c r="J214" i="73" s="1"/>
  <c r="J279" i="73" s="1"/>
  <c r="I214" i="73" a="1"/>
  <c r="I214" i="73" s="1"/>
  <c r="I279" i="73" s="1"/>
  <c r="H214" i="73" a="1"/>
  <c r="H214" i="73" s="1"/>
  <c r="H279" i="73" s="1"/>
  <c r="G214" i="73" a="1"/>
  <c r="G214" i="73" s="1"/>
  <c r="G279" i="73" s="1"/>
  <c r="F214" i="73" a="1"/>
  <c r="F214" i="73" s="1"/>
  <c r="F279" i="73" s="1"/>
  <c r="E214" i="73" a="1"/>
  <c r="E214" i="73" s="1"/>
  <c r="E279" i="73" s="1"/>
  <c r="D214" i="73" a="1"/>
  <c r="D214" i="73" s="1"/>
  <c r="P213" i="73" a="1"/>
  <c r="P213" i="73" s="1"/>
  <c r="P278" i="73" s="1"/>
  <c r="O213" i="73" a="1"/>
  <c r="O213" i="73" s="1"/>
  <c r="O278" i="73" s="1"/>
  <c r="N213" i="73" a="1"/>
  <c r="N213" i="73" s="1"/>
  <c r="N278" i="73" s="1"/>
  <c r="M213" i="73" a="1"/>
  <c r="M213" i="73" s="1"/>
  <c r="M278" i="73" s="1"/>
  <c r="L213" i="73" a="1"/>
  <c r="L213" i="73" s="1"/>
  <c r="L278" i="73" s="1"/>
  <c r="K213" i="73" a="1"/>
  <c r="K213" i="73" s="1"/>
  <c r="K278" i="73" s="1"/>
  <c r="J213" i="73" a="1"/>
  <c r="J213" i="73" s="1"/>
  <c r="J278" i="73" s="1"/>
  <c r="I213" i="73" a="1"/>
  <c r="I213" i="73" s="1"/>
  <c r="I278" i="73" s="1"/>
  <c r="H213" i="73" a="1"/>
  <c r="H213" i="73" s="1"/>
  <c r="H278" i="73" s="1"/>
  <c r="G213" i="73" a="1"/>
  <c r="G213" i="73" s="1"/>
  <c r="G278" i="73" s="1"/>
  <c r="F213" i="73" a="1"/>
  <c r="F213" i="73" s="1"/>
  <c r="F278" i="73" s="1"/>
  <c r="E213" i="73" a="1"/>
  <c r="E213" i="73" s="1"/>
  <c r="E278" i="73" s="1"/>
  <c r="D213" i="73" a="1"/>
  <c r="D213" i="73" s="1"/>
  <c r="P212" i="73" a="1"/>
  <c r="P212" i="73" s="1"/>
  <c r="P277" i="73" s="1"/>
  <c r="O212" i="73" a="1"/>
  <c r="O212" i="73" s="1"/>
  <c r="O277" i="73" s="1"/>
  <c r="N212" i="73" a="1"/>
  <c r="N212" i="73" s="1"/>
  <c r="N277" i="73" s="1"/>
  <c r="M212" i="73" a="1"/>
  <c r="M212" i="73" s="1"/>
  <c r="M277" i="73" s="1"/>
  <c r="L212" i="73" a="1"/>
  <c r="L212" i="73" s="1"/>
  <c r="L277" i="73" s="1"/>
  <c r="K212" i="73" a="1"/>
  <c r="K212" i="73" s="1"/>
  <c r="K277" i="73" s="1"/>
  <c r="J212" i="73" a="1"/>
  <c r="J212" i="73" s="1"/>
  <c r="J277" i="73" s="1"/>
  <c r="I212" i="73" a="1"/>
  <c r="I212" i="73" s="1"/>
  <c r="I277" i="73" s="1"/>
  <c r="H212" i="73" a="1"/>
  <c r="H212" i="73" s="1"/>
  <c r="H277" i="73" s="1"/>
  <c r="G212" i="73" a="1"/>
  <c r="G212" i="73" s="1"/>
  <c r="G277" i="73" s="1"/>
  <c r="F212" i="73" a="1"/>
  <c r="F212" i="73" s="1"/>
  <c r="F277" i="73" s="1"/>
  <c r="E212" i="73" a="1"/>
  <c r="E212" i="73" s="1"/>
  <c r="E277" i="73" s="1"/>
  <c r="D212" i="73" a="1"/>
  <c r="D212" i="73" s="1"/>
  <c r="P211" i="73" a="1"/>
  <c r="P211" i="73" s="1"/>
  <c r="P276" i="73" s="1"/>
  <c r="O211" i="73" a="1"/>
  <c r="O211" i="73" s="1"/>
  <c r="O276" i="73" s="1"/>
  <c r="N211" i="73" a="1"/>
  <c r="N211" i="73" s="1"/>
  <c r="N276" i="73" s="1"/>
  <c r="M211" i="73" a="1"/>
  <c r="M211" i="73" s="1"/>
  <c r="M276" i="73" s="1"/>
  <c r="L211" i="73" a="1"/>
  <c r="L211" i="73" s="1"/>
  <c r="L276" i="73" s="1"/>
  <c r="K211" i="73" a="1"/>
  <c r="K211" i="73" s="1"/>
  <c r="K276" i="73" s="1"/>
  <c r="J211" i="73" a="1"/>
  <c r="J211" i="73" s="1"/>
  <c r="J276" i="73" s="1"/>
  <c r="I211" i="73" a="1"/>
  <c r="I211" i="73" s="1"/>
  <c r="I276" i="73" s="1"/>
  <c r="H211" i="73" a="1"/>
  <c r="H211" i="73" s="1"/>
  <c r="H276" i="73" s="1"/>
  <c r="G211" i="73" a="1"/>
  <c r="G211" i="73" s="1"/>
  <c r="G276" i="73" s="1"/>
  <c r="F211" i="73" a="1"/>
  <c r="F211" i="73" s="1"/>
  <c r="F276" i="73" s="1"/>
  <c r="E211" i="73" a="1"/>
  <c r="E211" i="73" s="1"/>
  <c r="E276" i="73" s="1"/>
  <c r="D211" i="73" a="1"/>
  <c r="D211" i="73" s="1"/>
  <c r="P210" i="73" a="1"/>
  <c r="P210" i="73" s="1"/>
  <c r="P275" i="73" s="1"/>
  <c r="O210" i="73" a="1"/>
  <c r="O210" i="73" s="1"/>
  <c r="O275" i="73" s="1"/>
  <c r="N210" i="73" a="1"/>
  <c r="N210" i="73" s="1"/>
  <c r="N275" i="73" s="1"/>
  <c r="M210" i="73" a="1"/>
  <c r="M210" i="73" s="1"/>
  <c r="M275" i="73" s="1"/>
  <c r="L210" i="73" a="1"/>
  <c r="L210" i="73" s="1"/>
  <c r="L275" i="73" s="1"/>
  <c r="K210" i="73" a="1"/>
  <c r="K210" i="73" s="1"/>
  <c r="K275" i="73" s="1"/>
  <c r="J210" i="73" a="1"/>
  <c r="J210" i="73" s="1"/>
  <c r="J275" i="73" s="1"/>
  <c r="I210" i="73" a="1"/>
  <c r="I210" i="73" s="1"/>
  <c r="I275" i="73" s="1"/>
  <c r="H210" i="73" a="1"/>
  <c r="H210" i="73" s="1"/>
  <c r="H275" i="73" s="1"/>
  <c r="G210" i="73" a="1"/>
  <c r="G210" i="73" s="1"/>
  <c r="G275" i="73" s="1"/>
  <c r="F210" i="73" a="1"/>
  <c r="F210" i="73" s="1"/>
  <c r="F275" i="73" s="1"/>
  <c r="E210" i="73" a="1"/>
  <c r="E210" i="73" s="1"/>
  <c r="E275" i="73" s="1"/>
  <c r="D210" i="73" a="1"/>
  <c r="D210" i="73" s="1"/>
  <c r="P209" i="73" a="1"/>
  <c r="P209" i="73" s="1"/>
  <c r="P274" i="73" s="1"/>
  <c r="O209" i="73" a="1"/>
  <c r="O209" i="73" s="1"/>
  <c r="O274" i="73" s="1"/>
  <c r="N209" i="73" a="1"/>
  <c r="N209" i="73" s="1"/>
  <c r="N274" i="73" s="1"/>
  <c r="M209" i="73" a="1"/>
  <c r="M209" i="73" s="1"/>
  <c r="M274" i="73" s="1"/>
  <c r="L209" i="73" a="1"/>
  <c r="L209" i="73" s="1"/>
  <c r="L274" i="73" s="1"/>
  <c r="K209" i="73" a="1"/>
  <c r="K209" i="73" s="1"/>
  <c r="K274" i="73" s="1"/>
  <c r="J209" i="73" a="1"/>
  <c r="J209" i="73" s="1"/>
  <c r="J274" i="73" s="1"/>
  <c r="I209" i="73" a="1"/>
  <c r="I209" i="73" s="1"/>
  <c r="I274" i="73" s="1"/>
  <c r="H209" i="73" a="1"/>
  <c r="H209" i="73" s="1"/>
  <c r="H274" i="73" s="1"/>
  <c r="G209" i="73" a="1"/>
  <c r="G209" i="73" s="1"/>
  <c r="G274" i="73" s="1"/>
  <c r="F209" i="73" a="1"/>
  <c r="F209" i="73" s="1"/>
  <c r="F274" i="73" s="1"/>
  <c r="E209" i="73" a="1"/>
  <c r="E209" i="73" s="1"/>
  <c r="E274" i="73" s="1"/>
  <c r="D209" i="73" a="1"/>
  <c r="D209" i="73" s="1"/>
  <c r="P208" i="73" a="1"/>
  <c r="P208" i="73" s="1"/>
  <c r="P273" i="73" s="1"/>
  <c r="O208" i="73" a="1"/>
  <c r="O208" i="73" s="1"/>
  <c r="O273" i="73" s="1"/>
  <c r="N208" i="73" a="1"/>
  <c r="N208" i="73" s="1"/>
  <c r="N273" i="73" s="1"/>
  <c r="M208" i="73" a="1"/>
  <c r="M208" i="73" s="1"/>
  <c r="M273" i="73" s="1"/>
  <c r="L208" i="73" a="1"/>
  <c r="L208" i="73" s="1"/>
  <c r="L273" i="73" s="1"/>
  <c r="K208" i="73" a="1"/>
  <c r="K208" i="73" s="1"/>
  <c r="K273" i="73" s="1"/>
  <c r="J208" i="73" a="1"/>
  <c r="J208" i="73" s="1"/>
  <c r="J273" i="73" s="1"/>
  <c r="I208" i="73" a="1"/>
  <c r="I208" i="73" s="1"/>
  <c r="I273" i="73" s="1"/>
  <c r="H208" i="73" a="1"/>
  <c r="H208" i="73" s="1"/>
  <c r="H273" i="73" s="1"/>
  <c r="G208" i="73" a="1"/>
  <c r="G208" i="73" s="1"/>
  <c r="G273" i="73" s="1"/>
  <c r="F208" i="73" a="1"/>
  <c r="F208" i="73" s="1"/>
  <c r="F273" i="73" s="1"/>
  <c r="E208" i="73" a="1"/>
  <c r="E208" i="73" s="1"/>
  <c r="E273" i="73" s="1"/>
  <c r="D208" i="73" a="1"/>
  <c r="D208" i="73" s="1"/>
  <c r="P207" i="73" a="1"/>
  <c r="P207" i="73" s="1"/>
  <c r="P272" i="73" s="1"/>
  <c r="O207" i="73" a="1"/>
  <c r="O207" i="73" s="1"/>
  <c r="O272" i="73" s="1"/>
  <c r="N207" i="73" a="1"/>
  <c r="N207" i="73" s="1"/>
  <c r="N272" i="73" s="1"/>
  <c r="M207" i="73" a="1"/>
  <c r="M207" i="73" s="1"/>
  <c r="M272" i="73" s="1"/>
  <c r="L207" i="73" a="1"/>
  <c r="L207" i="73" s="1"/>
  <c r="L272" i="73" s="1"/>
  <c r="K207" i="73" a="1"/>
  <c r="K207" i="73" s="1"/>
  <c r="K272" i="73" s="1"/>
  <c r="J207" i="73" a="1"/>
  <c r="J207" i="73" s="1"/>
  <c r="J272" i="73" s="1"/>
  <c r="I207" i="73" a="1"/>
  <c r="I207" i="73" s="1"/>
  <c r="I272" i="73" s="1"/>
  <c r="H207" i="73" a="1"/>
  <c r="H207" i="73" s="1"/>
  <c r="H272" i="73" s="1"/>
  <c r="G207" i="73" a="1"/>
  <c r="G207" i="73" s="1"/>
  <c r="G272" i="73" s="1"/>
  <c r="F207" i="73" a="1"/>
  <c r="F207" i="73" s="1"/>
  <c r="F272" i="73" s="1"/>
  <c r="E207" i="73" a="1"/>
  <c r="E207" i="73" s="1"/>
  <c r="E272" i="73" s="1"/>
  <c r="D207" i="73" a="1"/>
  <c r="D207" i="73" s="1"/>
  <c r="P206" i="73" a="1"/>
  <c r="P206" i="73" s="1"/>
  <c r="P271" i="73" s="1"/>
  <c r="O206" i="73" a="1"/>
  <c r="O206" i="73" s="1"/>
  <c r="O271" i="73" s="1"/>
  <c r="N206" i="73" a="1"/>
  <c r="N206" i="73" s="1"/>
  <c r="N271" i="73" s="1"/>
  <c r="M206" i="73" a="1"/>
  <c r="M206" i="73" s="1"/>
  <c r="M271" i="73" s="1"/>
  <c r="L206" i="73" a="1"/>
  <c r="L206" i="73" s="1"/>
  <c r="L271" i="73" s="1"/>
  <c r="K206" i="73" a="1"/>
  <c r="K206" i="73" s="1"/>
  <c r="K271" i="73" s="1"/>
  <c r="J206" i="73" a="1"/>
  <c r="J206" i="73" s="1"/>
  <c r="J271" i="73" s="1"/>
  <c r="I206" i="73" a="1"/>
  <c r="I206" i="73" s="1"/>
  <c r="I271" i="73" s="1"/>
  <c r="H206" i="73" a="1"/>
  <c r="H206" i="73" s="1"/>
  <c r="H271" i="73" s="1"/>
  <c r="G206" i="73" a="1"/>
  <c r="G206" i="73" s="1"/>
  <c r="G271" i="73" s="1"/>
  <c r="F206" i="73" a="1"/>
  <c r="F206" i="73" s="1"/>
  <c r="F271" i="73" s="1"/>
  <c r="E206" i="73" a="1"/>
  <c r="E206" i="73" s="1"/>
  <c r="E271" i="73" s="1"/>
  <c r="D206" i="73" a="1"/>
  <c r="D206" i="73" s="1"/>
  <c r="P205" i="73" a="1"/>
  <c r="P205" i="73" s="1"/>
  <c r="P270" i="73" s="1"/>
  <c r="O205" i="73" a="1"/>
  <c r="O205" i="73" s="1"/>
  <c r="O270" i="73" s="1"/>
  <c r="N205" i="73" a="1"/>
  <c r="N205" i="73" s="1"/>
  <c r="N270" i="73" s="1"/>
  <c r="M205" i="73" a="1"/>
  <c r="M205" i="73" s="1"/>
  <c r="M270" i="73" s="1"/>
  <c r="L205" i="73" a="1"/>
  <c r="L205" i="73" s="1"/>
  <c r="L270" i="73" s="1"/>
  <c r="K205" i="73" a="1"/>
  <c r="K205" i="73" s="1"/>
  <c r="K270" i="73" s="1"/>
  <c r="J205" i="73" a="1"/>
  <c r="J205" i="73" s="1"/>
  <c r="J270" i="73" s="1"/>
  <c r="I205" i="73" a="1"/>
  <c r="I205" i="73" s="1"/>
  <c r="I270" i="73" s="1"/>
  <c r="H205" i="73" a="1"/>
  <c r="H205" i="73" s="1"/>
  <c r="H270" i="73" s="1"/>
  <c r="G205" i="73" a="1"/>
  <c r="G205" i="73" s="1"/>
  <c r="G270" i="73" s="1"/>
  <c r="F205" i="73" a="1"/>
  <c r="F205" i="73" s="1"/>
  <c r="F270" i="73" s="1"/>
  <c r="E205" i="73" a="1"/>
  <c r="E205" i="73" s="1"/>
  <c r="E270" i="73" s="1"/>
  <c r="D205" i="73" a="1"/>
  <c r="D205" i="73" s="1"/>
  <c r="P204" i="73" a="1"/>
  <c r="P204" i="73" s="1"/>
  <c r="P269" i="73" s="1"/>
  <c r="O204" i="73" a="1"/>
  <c r="O204" i="73" s="1"/>
  <c r="O269" i="73" s="1"/>
  <c r="N204" i="73" a="1"/>
  <c r="N204" i="73" s="1"/>
  <c r="N269" i="73" s="1"/>
  <c r="M204" i="73" a="1"/>
  <c r="M204" i="73" s="1"/>
  <c r="M269" i="73" s="1"/>
  <c r="L204" i="73" a="1"/>
  <c r="L204" i="73" s="1"/>
  <c r="L269" i="73" s="1"/>
  <c r="K204" i="73" a="1"/>
  <c r="K204" i="73" s="1"/>
  <c r="K269" i="73" s="1"/>
  <c r="J204" i="73" a="1"/>
  <c r="J204" i="73" s="1"/>
  <c r="J269" i="73" s="1"/>
  <c r="I204" i="73" a="1"/>
  <c r="I204" i="73" s="1"/>
  <c r="I269" i="73" s="1"/>
  <c r="H204" i="73" a="1"/>
  <c r="H204" i="73" s="1"/>
  <c r="H269" i="73" s="1"/>
  <c r="G204" i="73" a="1"/>
  <c r="G204" i="73" s="1"/>
  <c r="G269" i="73" s="1"/>
  <c r="F204" i="73" a="1"/>
  <c r="F204" i="73" s="1"/>
  <c r="F269" i="73" s="1"/>
  <c r="E204" i="73" a="1"/>
  <c r="E204" i="73" s="1"/>
  <c r="E269" i="73" s="1"/>
  <c r="D204" i="73" a="1"/>
  <c r="D204" i="73" s="1"/>
  <c r="P203" i="73" a="1"/>
  <c r="P203" i="73" s="1"/>
  <c r="P268" i="73" s="1"/>
  <c r="O203" i="73" a="1"/>
  <c r="O203" i="73" s="1"/>
  <c r="O268" i="73" s="1"/>
  <c r="N203" i="73" a="1"/>
  <c r="N203" i="73" s="1"/>
  <c r="N268" i="73" s="1"/>
  <c r="M203" i="73" a="1"/>
  <c r="M203" i="73" s="1"/>
  <c r="M268" i="73" s="1"/>
  <c r="L203" i="73" a="1"/>
  <c r="L203" i="73" s="1"/>
  <c r="L268" i="73" s="1"/>
  <c r="K203" i="73" a="1"/>
  <c r="K203" i="73" s="1"/>
  <c r="K268" i="73" s="1"/>
  <c r="J203" i="73" a="1"/>
  <c r="J203" i="73" s="1"/>
  <c r="J268" i="73" s="1"/>
  <c r="I203" i="73" a="1"/>
  <c r="I203" i="73" s="1"/>
  <c r="I268" i="73" s="1"/>
  <c r="H203" i="73" a="1"/>
  <c r="H203" i="73" s="1"/>
  <c r="H268" i="73" s="1"/>
  <c r="G203" i="73" a="1"/>
  <c r="G203" i="73" s="1"/>
  <c r="G268" i="73" s="1"/>
  <c r="F203" i="73" a="1"/>
  <c r="F203" i="73" s="1"/>
  <c r="F268" i="73" s="1"/>
  <c r="E203" i="73" a="1"/>
  <c r="E203" i="73" s="1"/>
  <c r="E268" i="73" s="1"/>
  <c r="D203" i="73" a="1"/>
  <c r="D203" i="73" s="1"/>
  <c r="P202" i="73" a="1"/>
  <c r="P202" i="73" s="1"/>
  <c r="P267" i="73" s="1"/>
  <c r="O202" i="73" a="1"/>
  <c r="O202" i="73" s="1"/>
  <c r="O267" i="73" s="1"/>
  <c r="N202" i="73" a="1"/>
  <c r="N202" i="73" s="1"/>
  <c r="N267" i="73" s="1"/>
  <c r="M202" i="73" a="1"/>
  <c r="M202" i="73" s="1"/>
  <c r="M267" i="73" s="1"/>
  <c r="L202" i="73" a="1"/>
  <c r="L202" i="73" s="1"/>
  <c r="L267" i="73" s="1"/>
  <c r="K202" i="73" a="1"/>
  <c r="K202" i="73" s="1"/>
  <c r="K267" i="73" s="1"/>
  <c r="J202" i="73" a="1"/>
  <c r="J202" i="73" s="1"/>
  <c r="J267" i="73" s="1"/>
  <c r="I202" i="73" a="1"/>
  <c r="I202" i="73" s="1"/>
  <c r="I267" i="73" s="1"/>
  <c r="H202" i="73" a="1"/>
  <c r="H202" i="73" s="1"/>
  <c r="H267" i="73" s="1"/>
  <c r="G202" i="73" a="1"/>
  <c r="G202" i="73" s="1"/>
  <c r="G267" i="73" s="1"/>
  <c r="F202" i="73" a="1"/>
  <c r="F202" i="73" s="1"/>
  <c r="F267" i="73" s="1"/>
  <c r="E202" i="73" a="1"/>
  <c r="E202" i="73" s="1"/>
  <c r="E267" i="73" s="1"/>
  <c r="D202" i="73" a="1"/>
  <c r="D202" i="73" s="1"/>
  <c r="P201" i="73" a="1"/>
  <c r="P201" i="73" s="1"/>
  <c r="P266" i="73" s="1"/>
  <c r="O201" i="73" a="1"/>
  <c r="O201" i="73" s="1"/>
  <c r="O266" i="73" s="1"/>
  <c r="N201" i="73" a="1"/>
  <c r="N201" i="73" s="1"/>
  <c r="N266" i="73" s="1"/>
  <c r="M201" i="73" a="1"/>
  <c r="M201" i="73" s="1"/>
  <c r="M266" i="73" s="1"/>
  <c r="L201" i="73" a="1"/>
  <c r="L201" i="73" s="1"/>
  <c r="L266" i="73" s="1"/>
  <c r="K201" i="73" a="1"/>
  <c r="K201" i="73" s="1"/>
  <c r="K266" i="73" s="1"/>
  <c r="J201" i="73" a="1"/>
  <c r="J201" i="73" s="1"/>
  <c r="J266" i="73" s="1"/>
  <c r="I201" i="73" a="1"/>
  <c r="I201" i="73" s="1"/>
  <c r="I266" i="73" s="1"/>
  <c r="H201" i="73" a="1"/>
  <c r="H201" i="73" s="1"/>
  <c r="H266" i="73" s="1"/>
  <c r="G201" i="73" a="1"/>
  <c r="G201" i="73" s="1"/>
  <c r="G266" i="73" s="1"/>
  <c r="F201" i="73" a="1"/>
  <c r="F201" i="73" s="1"/>
  <c r="F266" i="73" s="1"/>
  <c r="E201" i="73" a="1"/>
  <c r="E201" i="73" s="1"/>
  <c r="E266" i="73" s="1"/>
  <c r="D201" i="73" a="1"/>
  <c r="D201" i="73" s="1"/>
  <c r="P200" i="73" a="1"/>
  <c r="P200" i="73" s="1"/>
  <c r="P265" i="73" s="1"/>
  <c r="O200" i="73" a="1"/>
  <c r="O200" i="73" s="1"/>
  <c r="O265" i="73" s="1"/>
  <c r="N200" i="73" a="1"/>
  <c r="N200" i="73" s="1"/>
  <c r="N265" i="73" s="1"/>
  <c r="M200" i="73" a="1"/>
  <c r="M200" i="73" s="1"/>
  <c r="M265" i="73" s="1"/>
  <c r="L200" i="73" a="1"/>
  <c r="L200" i="73" s="1"/>
  <c r="L265" i="73" s="1"/>
  <c r="K200" i="73" a="1"/>
  <c r="K200" i="73" s="1"/>
  <c r="K265" i="73" s="1"/>
  <c r="J200" i="73" a="1"/>
  <c r="J200" i="73" s="1"/>
  <c r="J265" i="73" s="1"/>
  <c r="I200" i="73" a="1"/>
  <c r="I200" i="73" s="1"/>
  <c r="I265" i="73" s="1"/>
  <c r="H200" i="73" a="1"/>
  <c r="H200" i="73" s="1"/>
  <c r="H265" i="73" s="1"/>
  <c r="G200" i="73" a="1"/>
  <c r="G200" i="73" s="1"/>
  <c r="G265" i="73" s="1"/>
  <c r="F200" i="73" a="1"/>
  <c r="F200" i="73" s="1"/>
  <c r="F265" i="73" s="1"/>
  <c r="E200" i="73" a="1"/>
  <c r="E200" i="73" s="1"/>
  <c r="E265" i="73" s="1"/>
  <c r="D200" i="73" a="1"/>
  <c r="D200" i="73" s="1"/>
  <c r="P199" i="73" a="1"/>
  <c r="P199" i="73" s="1"/>
  <c r="P264" i="73" s="1"/>
  <c r="O199" i="73" a="1"/>
  <c r="O199" i="73" s="1"/>
  <c r="O264" i="73" s="1"/>
  <c r="N199" i="73" a="1"/>
  <c r="N199" i="73" s="1"/>
  <c r="N264" i="73" s="1"/>
  <c r="M199" i="73" a="1"/>
  <c r="M199" i="73" s="1"/>
  <c r="M264" i="73" s="1"/>
  <c r="L199" i="73" a="1"/>
  <c r="L199" i="73" s="1"/>
  <c r="L264" i="73" s="1"/>
  <c r="K199" i="73" a="1"/>
  <c r="K199" i="73" s="1"/>
  <c r="K264" i="73" s="1"/>
  <c r="J199" i="73" a="1"/>
  <c r="J199" i="73" s="1"/>
  <c r="J264" i="73" s="1"/>
  <c r="I199" i="73" a="1"/>
  <c r="I199" i="73" s="1"/>
  <c r="I264" i="73" s="1"/>
  <c r="H199" i="73" a="1"/>
  <c r="H199" i="73" s="1"/>
  <c r="H264" i="73" s="1"/>
  <c r="G199" i="73" a="1"/>
  <c r="G199" i="73" s="1"/>
  <c r="G264" i="73" s="1"/>
  <c r="F199" i="73" a="1"/>
  <c r="F199" i="73" s="1"/>
  <c r="F264" i="73" s="1"/>
  <c r="E199" i="73" a="1"/>
  <c r="E199" i="73" s="1"/>
  <c r="E264" i="73" s="1"/>
  <c r="D199" i="73" a="1"/>
  <c r="D199" i="73" s="1"/>
  <c r="P198" i="73" a="1"/>
  <c r="P198" i="73" s="1"/>
  <c r="P263" i="73" s="1"/>
  <c r="O198" i="73" a="1"/>
  <c r="O198" i="73" s="1"/>
  <c r="O263" i="73" s="1"/>
  <c r="N198" i="73" a="1"/>
  <c r="N198" i="73" s="1"/>
  <c r="N263" i="73" s="1"/>
  <c r="M198" i="73" a="1"/>
  <c r="M198" i="73" s="1"/>
  <c r="M263" i="73" s="1"/>
  <c r="L198" i="73" a="1"/>
  <c r="L198" i="73" s="1"/>
  <c r="L263" i="73" s="1"/>
  <c r="K198" i="73" a="1"/>
  <c r="K198" i="73" s="1"/>
  <c r="K263" i="73" s="1"/>
  <c r="J198" i="73" a="1"/>
  <c r="J198" i="73" s="1"/>
  <c r="J263" i="73" s="1"/>
  <c r="I198" i="73" a="1"/>
  <c r="I198" i="73" s="1"/>
  <c r="I263" i="73" s="1"/>
  <c r="H198" i="73" a="1"/>
  <c r="H198" i="73" s="1"/>
  <c r="H263" i="73" s="1"/>
  <c r="G198" i="73" a="1"/>
  <c r="G198" i="73" s="1"/>
  <c r="G263" i="73" s="1"/>
  <c r="F198" i="73" a="1"/>
  <c r="F198" i="73" s="1"/>
  <c r="F263" i="73" s="1"/>
  <c r="E198" i="73" a="1"/>
  <c r="E198" i="73" s="1"/>
  <c r="E263" i="73" s="1"/>
  <c r="D198" i="73" a="1"/>
  <c r="D198" i="73" s="1"/>
  <c r="P197" i="73" a="1"/>
  <c r="P197" i="73" s="1"/>
  <c r="P262" i="73" s="1"/>
  <c r="O197" i="73" a="1"/>
  <c r="O197" i="73" s="1"/>
  <c r="O262" i="73" s="1"/>
  <c r="N197" i="73" a="1"/>
  <c r="N197" i="73" s="1"/>
  <c r="N262" i="73" s="1"/>
  <c r="M197" i="73" a="1"/>
  <c r="M197" i="73" s="1"/>
  <c r="M262" i="73" s="1"/>
  <c r="L197" i="73" a="1"/>
  <c r="L197" i="73" s="1"/>
  <c r="L262" i="73" s="1"/>
  <c r="K197" i="73" a="1"/>
  <c r="K197" i="73" s="1"/>
  <c r="K262" i="73" s="1"/>
  <c r="J197" i="73" a="1"/>
  <c r="J197" i="73" s="1"/>
  <c r="J262" i="73" s="1"/>
  <c r="I197" i="73" a="1"/>
  <c r="I197" i="73" s="1"/>
  <c r="I262" i="73" s="1"/>
  <c r="H197" i="73" a="1"/>
  <c r="H197" i="73" s="1"/>
  <c r="H262" i="73" s="1"/>
  <c r="G197" i="73" a="1"/>
  <c r="G197" i="73" s="1"/>
  <c r="G262" i="73" s="1"/>
  <c r="F197" i="73" a="1"/>
  <c r="F197" i="73" s="1"/>
  <c r="F262" i="73" s="1"/>
  <c r="E197" i="73" a="1"/>
  <c r="E197" i="73" s="1"/>
  <c r="E262" i="73" s="1"/>
  <c r="D197" i="73" a="1"/>
  <c r="D197" i="73" s="1"/>
  <c r="P196" i="73" a="1"/>
  <c r="P196" i="73" s="1"/>
  <c r="P261" i="73" s="1"/>
  <c r="O196" i="73" a="1"/>
  <c r="O196" i="73" s="1"/>
  <c r="O261" i="73" s="1"/>
  <c r="N196" i="73" a="1"/>
  <c r="N196" i="73" s="1"/>
  <c r="N261" i="73" s="1"/>
  <c r="M196" i="73" a="1"/>
  <c r="M196" i="73" s="1"/>
  <c r="M261" i="73" s="1"/>
  <c r="L196" i="73" a="1"/>
  <c r="L196" i="73" s="1"/>
  <c r="L261" i="73" s="1"/>
  <c r="K196" i="73" a="1"/>
  <c r="K196" i="73" s="1"/>
  <c r="K261" i="73" s="1"/>
  <c r="J196" i="73" a="1"/>
  <c r="J196" i="73" s="1"/>
  <c r="J261" i="73" s="1"/>
  <c r="I196" i="73" a="1"/>
  <c r="I196" i="73" s="1"/>
  <c r="I261" i="73" s="1"/>
  <c r="H196" i="73" a="1"/>
  <c r="H196" i="73" s="1"/>
  <c r="H261" i="73" s="1"/>
  <c r="G196" i="73" a="1"/>
  <c r="G196" i="73" s="1"/>
  <c r="G261" i="73" s="1"/>
  <c r="F196" i="73" a="1"/>
  <c r="F196" i="73" s="1"/>
  <c r="F261" i="73" s="1"/>
  <c r="E196" i="73" a="1"/>
  <c r="E196" i="73" s="1"/>
  <c r="E261" i="73" s="1"/>
  <c r="D196" i="73" a="1"/>
  <c r="D196" i="73" s="1"/>
  <c r="P195" i="73" a="1"/>
  <c r="P195" i="73" s="1"/>
  <c r="P260" i="73" s="1"/>
  <c r="O195" i="73" a="1"/>
  <c r="O195" i="73" s="1"/>
  <c r="O260" i="73" s="1"/>
  <c r="N195" i="73" a="1"/>
  <c r="N195" i="73" s="1"/>
  <c r="N260" i="73" s="1"/>
  <c r="M195" i="73" a="1"/>
  <c r="M195" i="73" s="1"/>
  <c r="M260" i="73" s="1"/>
  <c r="L195" i="73" a="1"/>
  <c r="L195" i="73" s="1"/>
  <c r="L260" i="73" s="1"/>
  <c r="K195" i="73" a="1"/>
  <c r="K195" i="73" s="1"/>
  <c r="K260" i="73" s="1"/>
  <c r="J195" i="73" a="1"/>
  <c r="J195" i="73" s="1"/>
  <c r="J260" i="73" s="1"/>
  <c r="I195" i="73" a="1"/>
  <c r="I195" i="73" s="1"/>
  <c r="I260" i="73" s="1"/>
  <c r="H195" i="73" a="1"/>
  <c r="H195" i="73" s="1"/>
  <c r="H260" i="73" s="1"/>
  <c r="G195" i="73" a="1"/>
  <c r="G195" i="73" s="1"/>
  <c r="G260" i="73" s="1"/>
  <c r="F195" i="73" a="1"/>
  <c r="F195" i="73" s="1"/>
  <c r="F260" i="73" s="1"/>
  <c r="E195" i="73" a="1"/>
  <c r="E195" i="73" s="1"/>
  <c r="E260" i="73" s="1"/>
  <c r="D195" i="73" a="1"/>
  <c r="D195" i="73" s="1"/>
  <c r="P194" i="73" a="1"/>
  <c r="P194" i="73" s="1"/>
  <c r="P259" i="73" s="1"/>
  <c r="O194" i="73" a="1"/>
  <c r="O194" i="73" s="1"/>
  <c r="O259" i="73" s="1"/>
  <c r="N194" i="73" a="1"/>
  <c r="N194" i="73" s="1"/>
  <c r="N259" i="73" s="1"/>
  <c r="M194" i="73" a="1"/>
  <c r="M194" i="73" s="1"/>
  <c r="M259" i="73" s="1"/>
  <c r="L194" i="73" a="1"/>
  <c r="L194" i="73" s="1"/>
  <c r="L259" i="73" s="1"/>
  <c r="K194" i="73" a="1"/>
  <c r="K194" i="73" s="1"/>
  <c r="K259" i="73" s="1"/>
  <c r="J194" i="73" a="1"/>
  <c r="J194" i="73" s="1"/>
  <c r="J259" i="73" s="1"/>
  <c r="I194" i="73" a="1"/>
  <c r="I194" i="73" s="1"/>
  <c r="I259" i="73" s="1"/>
  <c r="H194" i="73" a="1"/>
  <c r="H194" i="73" s="1"/>
  <c r="H259" i="73" s="1"/>
  <c r="G194" i="73" a="1"/>
  <c r="G194" i="73" s="1"/>
  <c r="G259" i="73" s="1"/>
  <c r="F194" i="73" a="1"/>
  <c r="F194" i="73" s="1"/>
  <c r="F259" i="73" s="1"/>
  <c r="E194" i="73" a="1"/>
  <c r="E194" i="73" s="1"/>
  <c r="E259" i="73" s="1"/>
  <c r="D194" i="73" a="1"/>
  <c r="D194" i="73" s="1"/>
  <c r="P193" i="73" a="1"/>
  <c r="P193" i="73" s="1"/>
  <c r="P258" i="73" s="1"/>
  <c r="O193" i="73" a="1"/>
  <c r="O193" i="73" s="1"/>
  <c r="O258" i="73" s="1"/>
  <c r="N193" i="73" a="1"/>
  <c r="N193" i="73" s="1"/>
  <c r="N258" i="73" s="1"/>
  <c r="M193" i="73" a="1"/>
  <c r="M193" i="73" s="1"/>
  <c r="M258" i="73" s="1"/>
  <c r="L193" i="73" a="1"/>
  <c r="L193" i="73" s="1"/>
  <c r="L258" i="73" s="1"/>
  <c r="K193" i="73" a="1"/>
  <c r="K193" i="73" s="1"/>
  <c r="K258" i="73" s="1"/>
  <c r="J193" i="73" a="1"/>
  <c r="J193" i="73" s="1"/>
  <c r="J258" i="73" s="1"/>
  <c r="I193" i="73" a="1"/>
  <c r="I193" i="73" s="1"/>
  <c r="I258" i="73" s="1"/>
  <c r="H193" i="73" a="1"/>
  <c r="H193" i="73" s="1"/>
  <c r="H258" i="73" s="1"/>
  <c r="G193" i="73" a="1"/>
  <c r="G193" i="73" s="1"/>
  <c r="G258" i="73" s="1"/>
  <c r="F193" i="73" a="1"/>
  <c r="F193" i="73" s="1"/>
  <c r="F258" i="73" s="1"/>
  <c r="E193" i="73" a="1"/>
  <c r="E193" i="73" s="1"/>
  <c r="E258" i="73" s="1"/>
  <c r="D193" i="73" a="1"/>
  <c r="D193" i="73" s="1"/>
  <c r="P192" i="73" a="1"/>
  <c r="P192" i="73" s="1"/>
  <c r="P257" i="73" s="1"/>
  <c r="O192" i="73" a="1"/>
  <c r="O192" i="73" s="1"/>
  <c r="O257" i="73" s="1"/>
  <c r="N192" i="73" a="1"/>
  <c r="N192" i="73" s="1"/>
  <c r="N257" i="73" s="1"/>
  <c r="M192" i="73" a="1"/>
  <c r="M192" i="73" s="1"/>
  <c r="M257" i="73" s="1"/>
  <c r="L192" i="73" a="1"/>
  <c r="L192" i="73" s="1"/>
  <c r="L257" i="73" s="1"/>
  <c r="K192" i="73" a="1"/>
  <c r="K192" i="73" s="1"/>
  <c r="K257" i="73" s="1"/>
  <c r="J192" i="73" a="1"/>
  <c r="J192" i="73" s="1"/>
  <c r="J257" i="73" s="1"/>
  <c r="I192" i="73" a="1"/>
  <c r="I192" i="73" s="1"/>
  <c r="I257" i="73" s="1"/>
  <c r="H192" i="73" a="1"/>
  <c r="H192" i="73" s="1"/>
  <c r="H257" i="73" s="1"/>
  <c r="G192" i="73" a="1"/>
  <c r="G192" i="73" s="1"/>
  <c r="G257" i="73" s="1"/>
  <c r="F192" i="73" a="1"/>
  <c r="F192" i="73" s="1"/>
  <c r="F257" i="73" s="1"/>
  <c r="E192" i="73" a="1"/>
  <c r="E192" i="73" s="1"/>
  <c r="E257" i="73" s="1"/>
  <c r="D192" i="73" a="1"/>
  <c r="D192" i="73" s="1"/>
  <c r="P191" i="73" a="1"/>
  <c r="P191" i="73" s="1"/>
  <c r="P256" i="73" s="1"/>
  <c r="O191" i="73" a="1"/>
  <c r="O191" i="73" s="1"/>
  <c r="O256" i="73" s="1"/>
  <c r="N191" i="73" a="1"/>
  <c r="N191" i="73" s="1"/>
  <c r="N256" i="73" s="1"/>
  <c r="M191" i="73" a="1"/>
  <c r="M191" i="73" s="1"/>
  <c r="M256" i="73" s="1"/>
  <c r="L191" i="73" a="1"/>
  <c r="L191" i="73" s="1"/>
  <c r="L256" i="73" s="1"/>
  <c r="K191" i="73" a="1"/>
  <c r="K191" i="73" s="1"/>
  <c r="K256" i="73" s="1"/>
  <c r="J191" i="73" a="1"/>
  <c r="J191" i="73" s="1"/>
  <c r="J256" i="73" s="1"/>
  <c r="I191" i="73" a="1"/>
  <c r="I191" i="73" s="1"/>
  <c r="I256" i="73" s="1"/>
  <c r="H191" i="73" a="1"/>
  <c r="H191" i="73" s="1"/>
  <c r="H256" i="73" s="1"/>
  <c r="G191" i="73" a="1"/>
  <c r="G191" i="73" s="1"/>
  <c r="G256" i="73" s="1"/>
  <c r="F191" i="73" a="1"/>
  <c r="F191" i="73" s="1"/>
  <c r="F256" i="73" s="1"/>
  <c r="E191" i="73" a="1"/>
  <c r="E191" i="73" s="1"/>
  <c r="E256" i="73" s="1"/>
  <c r="D191" i="73" a="1"/>
  <c r="D191" i="73" s="1"/>
  <c r="P190" i="73" a="1"/>
  <c r="P190" i="73" s="1"/>
  <c r="P255" i="73" s="1"/>
  <c r="O190" i="73" a="1"/>
  <c r="O190" i="73" s="1"/>
  <c r="O255" i="73" s="1"/>
  <c r="N190" i="73" a="1"/>
  <c r="N190" i="73" s="1"/>
  <c r="N255" i="73" s="1"/>
  <c r="M190" i="73" a="1"/>
  <c r="M190" i="73" s="1"/>
  <c r="M255" i="73" s="1"/>
  <c r="L190" i="73" a="1"/>
  <c r="L190" i="73" s="1"/>
  <c r="L255" i="73" s="1"/>
  <c r="K190" i="73" a="1"/>
  <c r="K190" i="73" s="1"/>
  <c r="K255" i="73" s="1"/>
  <c r="J190" i="73" a="1"/>
  <c r="J190" i="73" s="1"/>
  <c r="J255" i="73" s="1"/>
  <c r="I190" i="73" a="1"/>
  <c r="I190" i="73" s="1"/>
  <c r="I255" i="73" s="1"/>
  <c r="H190" i="73" a="1"/>
  <c r="H190" i="73" s="1"/>
  <c r="H255" i="73" s="1"/>
  <c r="G190" i="73" a="1"/>
  <c r="G190" i="73" s="1"/>
  <c r="G255" i="73" s="1"/>
  <c r="F190" i="73" a="1"/>
  <c r="F190" i="73" s="1"/>
  <c r="F255" i="73" s="1"/>
  <c r="E190" i="73" a="1"/>
  <c r="E190" i="73" s="1"/>
  <c r="E255" i="73" s="1"/>
  <c r="D190" i="73" a="1"/>
  <c r="D190" i="73" s="1"/>
  <c r="D188" i="73" a="1"/>
  <c r="D188" i="73" s="1"/>
  <c r="D187" i="73" a="1"/>
  <c r="D187" i="73" s="1"/>
  <c r="D186" i="73" a="1"/>
  <c r="D186" i="73" s="1"/>
  <c r="D185" i="73" a="1"/>
  <c r="D185" i="73" s="1"/>
  <c r="M182" i="73" a="1"/>
  <c r="M182" i="73" s="1"/>
  <c r="L182" i="73" a="1"/>
  <c r="L182" i="73" s="1"/>
  <c r="M254" i="73" s="1"/>
  <c r="K182" i="73" a="1"/>
  <c r="K182" i="73" s="1"/>
  <c r="J182" i="73" a="1"/>
  <c r="J182" i="73" s="1"/>
  <c r="J254" i="73" s="1"/>
  <c r="I182" i="73" a="1"/>
  <c r="I182" i="73" s="1"/>
  <c r="I254" i="73" s="1"/>
  <c r="H182" i="73" a="1"/>
  <c r="H182" i="73" s="1"/>
  <c r="H254" i="73" s="1"/>
  <c r="G182" i="73" a="1"/>
  <c r="G182" i="73" s="1"/>
  <c r="G254" i="73" s="1"/>
  <c r="F182" i="73" a="1"/>
  <c r="F182" i="73" s="1"/>
  <c r="F254" i="73" s="1"/>
  <c r="E182" i="73" a="1"/>
  <c r="E182" i="73" s="1"/>
  <c r="E254" i="73" s="1"/>
  <c r="D182" i="73" a="1"/>
  <c r="D182" i="73" s="1"/>
  <c r="M181" i="73" a="1"/>
  <c r="M181" i="73" s="1"/>
  <c r="L181" i="73" a="1"/>
  <c r="L181" i="73" s="1"/>
  <c r="M253" i="73" s="1"/>
  <c r="K181" i="73" a="1"/>
  <c r="K181" i="73" s="1"/>
  <c r="J181" i="73" a="1"/>
  <c r="J181" i="73" s="1"/>
  <c r="J253" i="73" s="1"/>
  <c r="I181" i="73" a="1"/>
  <c r="I181" i="73" s="1"/>
  <c r="I253" i="73" s="1"/>
  <c r="H181" i="73" a="1"/>
  <c r="H181" i="73" s="1"/>
  <c r="H253" i="73" s="1"/>
  <c r="G181" i="73" a="1"/>
  <c r="G181" i="73" s="1"/>
  <c r="G253" i="73" s="1"/>
  <c r="F181" i="73" a="1"/>
  <c r="F181" i="73" s="1"/>
  <c r="F253" i="73" s="1"/>
  <c r="E181" i="73" a="1"/>
  <c r="E181" i="73" s="1"/>
  <c r="E253" i="73" s="1"/>
  <c r="D181" i="73" a="1"/>
  <c r="D181" i="73" s="1"/>
  <c r="M180" i="73" a="1"/>
  <c r="M180" i="73" s="1"/>
  <c r="L180" i="73" a="1"/>
  <c r="L180" i="73" s="1"/>
  <c r="M252" i="73" s="1"/>
  <c r="K180" i="73" a="1"/>
  <c r="K180" i="73" s="1"/>
  <c r="J180" i="73" a="1"/>
  <c r="J180" i="73" s="1"/>
  <c r="J252" i="73" s="1"/>
  <c r="I180" i="73" a="1"/>
  <c r="I180" i="73" s="1"/>
  <c r="I252" i="73" s="1"/>
  <c r="H180" i="73" a="1"/>
  <c r="H180" i="73" s="1"/>
  <c r="H252" i="73" s="1"/>
  <c r="G180" i="73" a="1"/>
  <c r="G180" i="73" s="1"/>
  <c r="G252" i="73" s="1"/>
  <c r="F180" i="73" a="1"/>
  <c r="F180" i="73" s="1"/>
  <c r="F252" i="73" s="1"/>
  <c r="E180" i="73" a="1"/>
  <c r="E180" i="73" s="1"/>
  <c r="E252" i="73" s="1"/>
  <c r="D180" i="73" a="1"/>
  <c r="D180" i="73" s="1"/>
  <c r="M179" i="73" a="1"/>
  <c r="M179" i="73" s="1"/>
  <c r="L179" i="73" a="1"/>
  <c r="L179" i="73" s="1"/>
  <c r="M251" i="73" s="1"/>
  <c r="K179" i="73" a="1"/>
  <c r="K179" i="73" s="1"/>
  <c r="J179" i="73" a="1"/>
  <c r="J179" i="73" s="1"/>
  <c r="J251" i="73" s="1"/>
  <c r="I179" i="73" a="1"/>
  <c r="I179" i="73" s="1"/>
  <c r="I251" i="73" s="1"/>
  <c r="H179" i="73" a="1"/>
  <c r="H179" i="73" s="1"/>
  <c r="H251" i="73" s="1"/>
  <c r="G179" i="73" a="1"/>
  <c r="G179" i="73" s="1"/>
  <c r="G251" i="73" s="1"/>
  <c r="F179" i="73" a="1"/>
  <c r="F179" i="73" s="1"/>
  <c r="F251" i="73" s="1"/>
  <c r="E179" i="73" a="1"/>
  <c r="E179" i="73" s="1"/>
  <c r="E251" i="73" s="1"/>
  <c r="D179" i="73" a="1"/>
  <c r="D179" i="73" s="1"/>
  <c r="M178" i="73" a="1"/>
  <c r="M178" i="73" s="1"/>
  <c r="L178" i="73" a="1"/>
  <c r="L178" i="73" s="1"/>
  <c r="M250" i="73" s="1"/>
  <c r="K178" i="73" a="1"/>
  <c r="K178" i="73" s="1"/>
  <c r="J178" i="73" a="1"/>
  <c r="J178" i="73" s="1"/>
  <c r="J250" i="73" s="1"/>
  <c r="I178" i="73" a="1"/>
  <c r="I178" i="73" s="1"/>
  <c r="I250" i="73" s="1"/>
  <c r="H178" i="73" a="1"/>
  <c r="H178" i="73" s="1"/>
  <c r="H250" i="73" s="1"/>
  <c r="G178" i="73" a="1"/>
  <c r="G178" i="73" s="1"/>
  <c r="G250" i="73" s="1"/>
  <c r="F178" i="73" a="1"/>
  <c r="F178" i="73" s="1"/>
  <c r="F250" i="73" s="1"/>
  <c r="E178" i="73" a="1"/>
  <c r="E178" i="73" s="1"/>
  <c r="E250" i="73" s="1"/>
  <c r="D178" i="73" a="1"/>
  <c r="D178" i="73" s="1"/>
  <c r="M177" i="73" a="1"/>
  <c r="M177" i="73" s="1"/>
  <c r="L177" i="73" a="1"/>
  <c r="L177" i="73" s="1"/>
  <c r="M249" i="73" s="1"/>
  <c r="K177" i="73" a="1"/>
  <c r="K177" i="73" s="1"/>
  <c r="J177" i="73" a="1"/>
  <c r="J177" i="73" s="1"/>
  <c r="J249" i="73" s="1"/>
  <c r="I177" i="73" a="1"/>
  <c r="I177" i="73" s="1"/>
  <c r="I249" i="73" s="1"/>
  <c r="H177" i="73" a="1"/>
  <c r="H177" i="73" s="1"/>
  <c r="H249" i="73" s="1"/>
  <c r="G177" i="73" a="1"/>
  <c r="G177" i="73" s="1"/>
  <c r="G249" i="73" s="1"/>
  <c r="F177" i="73" a="1"/>
  <c r="F177" i="73" s="1"/>
  <c r="F249" i="73" s="1"/>
  <c r="E177" i="73" a="1"/>
  <c r="E177" i="73" s="1"/>
  <c r="E249" i="73" s="1"/>
  <c r="D177" i="73" a="1"/>
  <c r="D177" i="73" s="1"/>
  <c r="M176" i="73" a="1"/>
  <c r="M176" i="73" s="1"/>
  <c r="L176" i="73" a="1"/>
  <c r="L176" i="73" s="1"/>
  <c r="M248" i="73" s="1"/>
  <c r="K176" i="73" a="1"/>
  <c r="K176" i="73" s="1"/>
  <c r="J176" i="73" a="1"/>
  <c r="J176" i="73" s="1"/>
  <c r="J248" i="73" s="1"/>
  <c r="I176" i="73" a="1"/>
  <c r="I176" i="73" s="1"/>
  <c r="I248" i="73" s="1"/>
  <c r="H176" i="73" a="1"/>
  <c r="H176" i="73" s="1"/>
  <c r="H248" i="73" s="1"/>
  <c r="G176" i="73" a="1"/>
  <c r="G176" i="73" s="1"/>
  <c r="G248" i="73" s="1"/>
  <c r="F176" i="73" a="1"/>
  <c r="F176" i="73" s="1"/>
  <c r="F248" i="73" s="1"/>
  <c r="E176" i="73" a="1"/>
  <c r="E176" i="73" s="1"/>
  <c r="E248" i="73" s="1"/>
  <c r="D176" i="73" a="1"/>
  <c r="D176" i="73" s="1"/>
  <c r="M175" i="73" a="1"/>
  <c r="M175" i="73" s="1"/>
  <c r="L175" i="73" a="1"/>
  <c r="L175" i="73" s="1"/>
  <c r="M247" i="73" s="1"/>
  <c r="K175" i="73" a="1"/>
  <c r="K175" i="73" s="1"/>
  <c r="J175" i="73" a="1"/>
  <c r="J175" i="73" s="1"/>
  <c r="J247" i="73" s="1"/>
  <c r="I175" i="73" a="1"/>
  <c r="I175" i="73" s="1"/>
  <c r="I247" i="73" s="1"/>
  <c r="H175" i="73" a="1"/>
  <c r="H175" i="73" s="1"/>
  <c r="H247" i="73" s="1"/>
  <c r="G175" i="73" a="1"/>
  <c r="G175" i="73" s="1"/>
  <c r="G247" i="73" s="1"/>
  <c r="F175" i="73" a="1"/>
  <c r="F175" i="73" s="1"/>
  <c r="F247" i="73" s="1"/>
  <c r="E175" i="73" a="1"/>
  <c r="E175" i="73" s="1"/>
  <c r="E247" i="73" s="1"/>
  <c r="D175" i="73" a="1"/>
  <c r="D175" i="73" s="1"/>
  <c r="M174" i="73" a="1"/>
  <c r="M174" i="73" s="1"/>
  <c r="L174" i="73" a="1"/>
  <c r="L174" i="73" s="1"/>
  <c r="M246" i="73" s="1"/>
  <c r="K174" i="73" a="1"/>
  <c r="K174" i="73" s="1"/>
  <c r="J174" i="73" a="1"/>
  <c r="J174" i="73" s="1"/>
  <c r="J246" i="73" s="1"/>
  <c r="I174" i="73" a="1"/>
  <c r="I174" i="73" s="1"/>
  <c r="I246" i="73" s="1"/>
  <c r="H174" i="73" a="1"/>
  <c r="H174" i="73" s="1"/>
  <c r="H246" i="73" s="1"/>
  <c r="G174" i="73" a="1"/>
  <c r="G174" i="73" s="1"/>
  <c r="G246" i="73" s="1"/>
  <c r="F174" i="73" a="1"/>
  <c r="F174" i="73" s="1"/>
  <c r="F246" i="73" s="1"/>
  <c r="E174" i="73" a="1"/>
  <c r="E174" i="73" s="1"/>
  <c r="E246" i="73" s="1"/>
  <c r="D174" i="73" a="1"/>
  <c r="D174" i="73" s="1"/>
  <c r="M173" i="73" a="1"/>
  <c r="M173" i="73" s="1"/>
  <c r="L173" i="73" a="1"/>
  <c r="L173" i="73" s="1"/>
  <c r="M245" i="73" s="1"/>
  <c r="K173" i="73" a="1"/>
  <c r="K173" i="73" s="1"/>
  <c r="J173" i="73" a="1"/>
  <c r="J173" i="73" s="1"/>
  <c r="J245" i="73" s="1"/>
  <c r="I173" i="73" a="1"/>
  <c r="I173" i="73" s="1"/>
  <c r="I245" i="73" s="1"/>
  <c r="H173" i="73" a="1"/>
  <c r="H173" i="73" s="1"/>
  <c r="H245" i="73" s="1"/>
  <c r="G173" i="73" a="1"/>
  <c r="G173" i="73" s="1"/>
  <c r="G245" i="73" s="1"/>
  <c r="F173" i="73" a="1"/>
  <c r="F173" i="73" s="1"/>
  <c r="F245" i="73" s="1"/>
  <c r="E173" i="73" a="1"/>
  <c r="E173" i="73" s="1"/>
  <c r="E245" i="73" s="1"/>
  <c r="D173" i="73" a="1"/>
  <c r="D173" i="73" s="1"/>
  <c r="M172" i="73" a="1"/>
  <c r="M172" i="73" s="1"/>
  <c r="L172" i="73" a="1"/>
  <c r="L172" i="73" s="1"/>
  <c r="M244" i="73" s="1"/>
  <c r="K172" i="73" a="1"/>
  <c r="K172" i="73" s="1"/>
  <c r="J172" i="73" a="1"/>
  <c r="J172" i="73" s="1"/>
  <c r="J244" i="73" s="1"/>
  <c r="I172" i="73" a="1"/>
  <c r="I172" i="73" s="1"/>
  <c r="I244" i="73" s="1"/>
  <c r="H172" i="73" a="1"/>
  <c r="H172" i="73" s="1"/>
  <c r="H244" i="73" s="1"/>
  <c r="G172" i="73" a="1"/>
  <c r="G172" i="73" s="1"/>
  <c r="G244" i="73" s="1"/>
  <c r="F172" i="73" a="1"/>
  <c r="F172" i="73" s="1"/>
  <c r="F244" i="73" s="1"/>
  <c r="E172" i="73" a="1"/>
  <c r="E172" i="73" s="1"/>
  <c r="E244" i="73" s="1"/>
  <c r="D172" i="73" a="1"/>
  <c r="D172" i="73" s="1"/>
  <c r="M171" i="73" a="1"/>
  <c r="M171" i="73" s="1"/>
  <c r="L171" i="73" a="1"/>
  <c r="L171" i="73" s="1"/>
  <c r="M243" i="73" s="1"/>
  <c r="K171" i="73" a="1"/>
  <c r="K171" i="73" s="1"/>
  <c r="J171" i="73" a="1"/>
  <c r="J171" i="73" s="1"/>
  <c r="J243" i="73" s="1"/>
  <c r="I171" i="73" a="1"/>
  <c r="I171" i="73" s="1"/>
  <c r="I243" i="73" s="1"/>
  <c r="H171" i="73" a="1"/>
  <c r="H171" i="73" s="1"/>
  <c r="H243" i="73" s="1"/>
  <c r="G171" i="73" a="1"/>
  <c r="G171" i="73" s="1"/>
  <c r="G243" i="73" s="1"/>
  <c r="F171" i="73" a="1"/>
  <c r="F171" i="73" s="1"/>
  <c r="F243" i="73" s="1"/>
  <c r="E171" i="73" a="1"/>
  <c r="E171" i="73" s="1"/>
  <c r="E243" i="73" s="1"/>
  <c r="D171" i="73" a="1"/>
  <c r="D171" i="73" s="1"/>
  <c r="M170" i="73" a="1"/>
  <c r="M170" i="73" s="1"/>
  <c r="L170" i="73" a="1"/>
  <c r="L170" i="73" s="1"/>
  <c r="M242" i="73" s="1"/>
  <c r="K170" i="73" a="1"/>
  <c r="K170" i="73" s="1"/>
  <c r="J170" i="73" a="1"/>
  <c r="J170" i="73" s="1"/>
  <c r="J242" i="73" s="1"/>
  <c r="I170" i="73" a="1"/>
  <c r="I170" i="73" s="1"/>
  <c r="I242" i="73" s="1"/>
  <c r="H170" i="73" a="1"/>
  <c r="H170" i="73" s="1"/>
  <c r="H242" i="73" s="1"/>
  <c r="G170" i="73" a="1"/>
  <c r="G170" i="73" s="1"/>
  <c r="G242" i="73" s="1"/>
  <c r="F170" i="73" a="1"/>
  <c r="F170" i="73" s="1"/>
  <c r="F242" i="73" s="1"/>
  <c r="E170" i="73" a="1"/>
  <c r="E170" i="73" s="1"/>
  <c r="D170" i="73" a="1"/>
  <c r="D170" i="73" s="1"/>
  <c r="M169" i="73" a="1"/>
  <c r="M169" i="73" s="1"/>
  <c r="L169" i="73" a="1"/>
  <c r="L169" i="73" s="1"/>
  <c r="M241" i="73" s="1"/>
  <c r="K169" i="73" a="1"/>
  <c r="K169" i="73" s="1"/>
  <c r="J169" i="73" a="1"/>
  <c r="J169" i="73" s="1"/>
  <c r="J241" i="73" s="1"/>
  <c r="I169" i="73" a="1"/>
  <c r="I169" i="73" s="1"/>
  <c r="I241" i="73" s="1"/>
  <c r="H169" i="73" a="1"/>
  <c r="H169" i="73" s="1"/>
  <c r="H241" i="73" s="1"/>
  <c r="G169" i="73" a="1"/>
  <c r="G169" i="73" s="1"/>
  <c r="G241" i="73" s="1"/>
  <c r="F169" i="73" a="1"/>
  <c r="F169" i="73" s="1"/>
  <c r="F241" i="73" s="1"/>
  <c r="E169" i="73" a="1"/>
  <c r="E169" i="73" s="1"/>
  <c r="D169" i="73" a="1"/>
  <c r="D169" i="73" s="1"/>
  <c r="M168" i="73" a="1"/>
  <c r="M168" i="73" s="1"/>
  <c r="L168" i="73" a="1"/>
  <c r="L168" i="73" s="1"/>
  <c r="M240" i="73" s="1"/>
  <c r="K168" i="73" a="1"/>
  <c r="K168" i="73" s="1"/>
  <c r="J168" i="73" a="1"/>
  <c r="J168" i="73" s="1"/>
  <c r="J240" i="73" s="1"/>
  <c r="I168" i="73" a="1"/>
  <c r="I168" i="73" s="1"/>
  <c r="I240" i="73" s="1"/>
  <c r="H168" i="73" a="1"/>
  <c r="H168" i="73" s="1"/>
  <c r="H240" i="73" s="1"/>
  <c r="G168" i="73" a="1"/>
  <c r="G168" i="73" s="1"/>
  <c r="G240" i="73" s="1"/>
  <c r="F168" i="73" a="1"/>
  <c r="F168" i="73" s="1"/>
  <c r="F240" i="73" s="1"/>
  <c r="E168" i="73" a="1"/>
  <c r="E168" i="73" s="1"/>
  <c r="D168" i="73" a="1"/>
  <c r="D168" i="73" s="1"/>
  <c r="M167" i="73" a="1"/>
  <c r="M167" i="73" s="1"/>
  <c r="L167" i="73" a="1"/>
  <c r="L167" i="73" s="1"/>
  <c r="M239" i="73" s="1"/>
  <c r="K167" i="73" a="1"/>
  <c r="K167" i="73" s="1"/>
  <c r="J167" i="73" a="1"/>
  <c r="J167" i="73" s="1"/>
  <c r="J239" i="73" s="1"/>
  <c r="I167" i="73" a="1"/>
  <c r="I167" i="73" s="1"/>
  <c r="I239" i="73" s="1"/>
  <c r="H167" i="73" a="1"/>
  <c r="H167" i="73" s="1"/>
  <c r="H239" i="73" s="1"/>
  <c r="G167" i="73" a="1"/>
  <c r="G167" i="73" s="1"/>
  <c r="G239" i="73" s="1"/>
  <c r="F167" i="73" a="1"/>
  <c r="F167" i="73" s="1"/>
  <c r="F239" i="73" s="1"/>
  <c r="E167" i="73" a="1"/>
  <c r="E167" i="73" s="1"/>
  <c r="D167" i="73" a="1"/>
  <c r="D167" i="73" s="1"/>
  <c r="M166" i="73" a="1"/>
  <c r="M166" i="73" s="1"/>
  <c r="L166" i="73" a="1"/>
  <c r="L166" i="73" s="1"/>
  <c r="M238" i="73" s="1"/>
  <c r="K166" i="73" a="1"/>
  <c r="K166" i="73" s="1"/>
  <c r="J166" i="73" a="1"/>
  <c r="J166" i="73" s="1"/>
  <c r="J238" i="73" s="1"/>
  <c r="I166" i="73" a="1"/>
  <c r="I166" i="73" s="1"/>
  <c r="I238" i="73" s="1"/>
  <c r="H166" i="73" a="1"/>
  <c r="H166" i="73" s="1"/>
  <c r="H238" i="73" s="1"/>
  <c r="G166" i="73" a="1"/>
  <c r="G166" i="73" s="1"/>
  <c r="G238" i="73" s="1"/>
  <c r="F166" i="73" a="1"/>
  <c r="F166" i="73" s="1"/>
  <c r="F238" i="73" s="1"/>
  <c r="E166" i="73" a="1"/>
  <c r="E166" i="73" s="1"/>
  <c r="D166" i="73" a="1"/>
  <c r="D166" i="73" s="1"/>
  <c r="M165" i="73" a="1"/>
  <c r="M165" i="73" s="1"/>
  <c r="L165" i="73" a="1"/>
  <c r="L165" i="73" s="1"/>
  <c r="M237" i="73" s="1"/>
  <c r="K165" i="73" a="1"/>
  <c r="K165" i="73" s="1"/>
  <c r="J165" i="73" a="1"/>
  <c r="J165" i="73" s="1"/>
  <c r="J237" i="73" s="1"/>
  <c r="I165" i="73" a="1"/>
  <c r="I165" i="73" s="1"/>
  <c r="I237" i="73" s="1"/>
  <c r="H165" i="73" a="1"/>
  <c r="H165" i="73" s="1"/>
  <c r="H237" i="73" s="1"/>
  <c r="G165" i="73" a="1"/>
  <c r="G165" i="73" s="1"/>
  <c r="G237" i="73" s="1"/>
  <c r="F165" i="73" a="1"/>
  <c r="F165" i="73" s="1"/>
  <c r="F237" i="73" s="1"/>
  <c r="E165" i="73" a="1"/>
  <c r="E165" i="73" s="1"/>
  <c r="D165" i="73" a="1"/>
  <c r="D165" i="73" s="1"/>
  <c r="M164" i="73" a="1"/>
  <c r="M164" i="73" s="1"/>
  <c r="L164" i="73" a="1"/>
  <c r="L164" i="73" s="1"/>
  <c r="M236" i="73" s="1"/>
  <c r="K164" i="73" a="1"/>
  <c r="K164" i="73" s="1"/>
  <c r="J164" i="73" a="1"/>
  <c r="J164" i="73" s="1"/>
  <c r="J236" i="73" s="1"/>
  <c r="I164" i="73" a="1"/>
  <c r="I164" i="73" s="1"/>
  <c r="I236" i="73" s="1"/>
  <c r="H164" i="73" a="1"/>
  <c r="H164" i="73" s="1"/>
  <c r="H236" i="73" s="1"/>
  <c r="G164" i="73" a="1"/>
  <c r="G164" i="73" s="1"/>
  <c r="G236" i="73" s="1"/>
  <c r="F164" i="73" a="1"/>
  <c r="F164" i="73" s="1"/>
  <c r="F236" i="73" s="1"/>
  <c r="E164" i="73" a="1"/>
  <c r="E164" i="73" s="1"/>
  <c r="D164" i="73" a="1"/>
  <c r="D164" i="73" s="1"/>
  <c r="M163" i="73" a="1"/>
  <c r="M163" i="73" s="1"/>
  <c r="L163" i="73" a="1"/>
  <c r="L163" i="73" s="1"/>
  <c r="M235" i="73" s="1"/>
  <c r="K163" i="73" a="1"/>
  <c r="K163" i="73" s="1"/>
  <c r="J163" i="73" a="1"/>
  <c r="J163" i="73" s="1"/>
  <c r="J235" i="73" s="1"/>
  <c r="I163" i="73" a="1"/>
  <c r="I163" i="73" s="1"/>
  <c r="I235" i="73" s="1"/>
  <c r="H163" i="73" a="1"/>
  <c r="H163" i="73" s="1"/>
  <c r="H235" i="73" s="1"/>
  <c r="G163" i="73" a="1"/>
  <c r="G163" i="73" s="1"/>
  <c r="G235" i="73" s="1"/>
  <c r="F163" i="73" a="1"/>
  <c r="F163" i="73" s="1"/>
  <c r="F235" i="73" s="1"/>
  <c r="E163" i="73" a="1"/>
  <c r="E163" i="73" s="1"/>
  <c r="D163" i="73" a="1"/>
  <c r="D163" i="73" s="1"/>
  <c r="M162" i="73" a="1"/>
  <c r="M162" i="73" s="1"/>
  <c r="L162" i="73" a="1"/>
  <c r="L162" i="73" s="1"/>
  <c r="M234" i="73" s="1"/>
  <c r="K162" i="73" a="1"/>
  <c r="K162" i="73" s="1"/>
  <c r="J162" i="73" a="1"/>
  <c r="J162" i="73" s="1"/>
  <c r="J234" i="73" s="1"/>
  <c r="I162" i="73" a="1"/>
  <c r="I162" i="73" s="1"/>
  <c r="I234" i="73" s="1"/>
  <c r="H162" i="73" a="1"/>
  <c r="H162" i="73" s="1"/>
  <c r="H234" i="73" s="1"/>
  <c r="G162" i="73" a="1"/>
  <c r="G162" i="73" s="1"/>
  <c r="G234" i="73" s="1"/>
  <c r="F162" i="73" a="1"/>
  <c r="F162" i="73" s="1"/>
  <c r="F234" i="73" s="1"/>
  <c r="E162" i="73" a="1"/>
  <c r="E162" i="73" s="1"/>
  <c r="D162" i="73" a="1"/>
  <c r="D162" i="73" s="1"/>
  <c r="M161" i="73" a="1"/>
  <c r="M161" i="73" s="1"/>
  <c r="L161" i="73" a="1"/>
  <c r="L161" i="73" s="1"/>
  <c r="M233" i="73" s="1"/>
  <c r="K161" i="73"/>
  <c r="K161" i="73" a="1"/>
  <c r="J161" i="73" a="1"/>
  <c r="J161" i="73" s="1"/>
  <c r="J233" i="73" s="1"/>
  <c r="I161" i="73" a="1"/>
  <c r="I161" i="73" s="1"/>
  <c r="I233" i="73" s="1"/>
  <c r="H161" i="73" a="1"/>
  <c r="H161" i="73" s="1"/>
  <c r="H233" i="73" s="1"/>
  <c r="G161" i="73" a="1"/>
  <c r="G161" i="73" s="1"/>
  <c r="G233" i="73" s="1"/>
  <c r="F161" i="73" a="1"/>
  <c r="F161" i="73" s="1"/>
  <c r="F233" i="73" s="1"/>
  <c r="E161" i="73" a="1"/>
  <c r="E161" i="73" s="1"/>
  <c r="D161" i="73" a="1"/>
  <c r="D161" i="73" s="1"/>
  <c r="M160" i="73" a="1"/>
  <c r="M160" i="73" s="1"/>
  <c r="L160" i="73" a="1"/>
  <c r="L160" i="73" s="1"/>
  <c r="M232" i="73" s="1"/>
  <c r="K160" i="73" a="1"/>
  <c r="K160" i="73" s="1"/>
  <c r="J160" i="73" a="1"/>
  <c r="J160" i="73" s="1"/>
  <c r="J232" i="73" s="1"/>
  <c r="I160" i="73" a="1"/>
  <c r="I160" i="73" s="1"/>
  <c r="I232" i="73" s="1"/>
  <c r="H160" i="73" a="1"/>
  <c r="H160" i="73" s="1"/>
  <c r="H232" i="73" s="1"/>
  <c r="G160" i="73" a="1"/>
  <c r="G160" i="73" s="1"/>
  <c r="G232" i="73" s="1"/>
  <c r="F160" i="73" a="1"/>
  <c r="F160" i="73" s="1"/>
  <c r="F232" i="73" s="1"/>
  <c r="E160" i="73" a="1"/>
  <c r="E160" i="73" s="1"/>
  <c r="D160" i="73" a="1"/>
  <c r="D160" i="73" s="1"/>
  <c r="M159" i="73" a="1"/>
  <c r="M159" i="73" s="1"/>
  <c r="L159" i="73" a="1"/>
  <c r="L159" i="73" s="1"/>
  <c r="M231" i="73" s="1"/>
  <c r="K159" i="73" a="1"/>
  <c r="K159" i="73" s="1"/>
  <c r="J159" i="73" a="1"/>
  <c r="J159" i="73" s="1"/>
  <c r="J231" i="73" s="1"/>
  <c r="I159" i="73" a="1"/>
  <c r="I159" i="73" s="1"/>
  <c r="I231" i="73" s="1"/>
  <c r="H159" i="73" a="1"/>
  <c r="H159" i="73" s="1"/>
  <c r="H231" i="73" s="1"/>
  <c r="G159" i="73" a="1"/>
  <c r="G159" i="73" s="1"/>
  <c r="G231" i="73" s="1"/>
  <c r="F159" i="73" a="1"/>
  <c r="F159" i="73" s="1"/>
  <c r="F231" i="73" s="1"/>
  <c r="E159" i="73" a="1"/>
  <c r="E159" i="73" s="1"/>
  <c r="D159" i="73" a="1"/>
  <c r="D159"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D153" i="73" a="1"/>
  <c r="D153" i="73" s="1"/>
  <c r="D152" i="73" a="1"/>
  <c r="D152" i="73" s="1"/>
  <c r="D151" i="73" a="1"/>
  <c r="D151" i="73" s="1"/>
  <c r="D150" i="73" a="1"/>
  <c r="D150" i="73" s="1"/>
  <c r="P81" i="73" a="1"/>
  <c r="P81" i="73" s="1"/>
  <c r="P145" i="73" s="1"/>
  <c r="O81" i="73" a="1"/>
  <c r="O81" i="73" s="1"/>
  <c r="O145" i="73" s="1"/>
  <c r="N81" i="73" a="1"/>
  <c r="N81" i="73" s="1"/>
  <c r="N145" i="73" s="1"/>
  <c r="M81" i="73" a="1"/>
  <c r="M81" i="73" s="1"/>
  <c r="M145" i="73" s="1"/>
  <c r="L81" i="73" a="1"/>
  <c r="L81" i="73" s="1"/>
  <c r="L145" i="73" s="1"/>
  <c r="K81" i="73" a="1"/>
  <c r="K81" i="73" s="1"/>
  <c r="K145" i="73" s="1"/>
  <c r="J81" i="73" a="1"/>
  <c r="J81" i="73" s="1"/>
  <c r="J145" i="73" s="1"/>
  <c r="I81" i="73" a="1"/>
  <c r="I81" i="73" s="1"/>
  <c r="I145" i="73" s="1"/>
  <c r="H81" i="73" a="1"/>
  <c r="H81" i="73" s="1"/>
  <c r="H145" i="73" s="1"/>
  <c r="G81" i="73" a="1"/>
  <c r="G81" i="73" s="1"/>
  <c r="G145" i="73" s="1"/>
  <c r="F81" i="73" a="1"/>
  <c r="F81" i="73" s="1"/>
  <c r="F145" i="73" s="1"/>
  <c r="F149" i="73" s="1"/>
  <c r="E81" i="73" a="1"/>
  <c r="E81" i="73" s="1"/>
  <c r="E145" i="73" s="1"/>
  <c r="D81" i="73" a="1"/>
  <c r="D81" i="73" s="1"/>
  <c r="P80" i="73" a="1"/>
  <c r="P80" i="73" s="1"/>
  <c r="P144" i="73" s="1"/>
  <c r="O80" i="73" a="1"/>
  <c r="O80" i="73" s="1"/>
  <c r="O144" i="73" s="1"/>
  <c r="N80" i="73" a="1"/>
  <c r="N80" i="73" s="1"/>
  <c r="N144" i="73" s="1"/>
  <c r="M80" i="73" a="1"/>
  <c r="M80" i="73" s="1"/>
  <c r="M144" i="73" s="1"/>
  <c r="L80" i="73" a="1"/>
  <c r="L80" i="73" s="1"/>
  <c r="L144" i="73" s="1"/>
  <c r="K80" i="73" a="1"/>
  <c r="K80" i="73" s="1"/>
  <c r="K144" i="73" s="1"/>
  <c r="J80" i="73" a="1"/>
  <c r="J80" i="73" s="1"/>
  <c r="J144" i="73" s="1"/>
  <c r="I80" i="73" a="1"/>
  <c r="I80" i="73" s="1"/>
  <c r="I144" i="73" s="1"/>
  <c r="H80" i="73" a="1"/>
  <c r="H80" i="73" s="1"/>
  <c r="H144" i="73" s="1"/>
  <c r="G80" i="73" a="1"/>
  <c r="G80" i="73" s="1"/>
  <c r="G144" i="73" s="1"/>
  <c r="F80" i="73" a="1"/>
  <c r="F80" i="73" s="1"/>
  <c r="F144" i="73" s="1"/>
  <c r="F148" i="73" s="1"/>
  <c r="E80" i="73" a="1"/>
  <c r="E80" i="73" s="1"/>
  <c r="E144" i="73" s="1"/>
  <c r="D80" i="73" a="1"/>
  <c r="D80" i="73" s="1"/>
  <c r="P79" i="73" a="1"/>
  <c r="P79" i="73" s="1"/>
  <c r="P143" i="73" s="1"/>
  <c r="O79" i="73" a="1"/>
  <c r="O79" i="73" s="1"/>
  <c r="O143" i="73" s="1"/>
  <c r="N79" i="73" a="1"/>
  <c r="N79" i="73" s="1"/>
  <c r="N143" i="73" s="1"/>
  <c r="M79" i="73" a="1"/>
  <c r="M79" i="73" s="1"/>
  <c r="M143" i="73" s="1"/>
  <c r="L79" i="73" a="1"/>
  <c r="L79" i="73" s="1"/>
  <c r="L143" i="73" s="1"/>
  <c r="K79" i="73" a="1"/>
  <c r="K79" i="73" s="1"/>
  <c r="K143" i="73" s="1"/>
  <c r="J79" i="73" a="1"/>
  <c r="J79" i="73" s="1"/>
  <c r="J143" i="73" s="1"/>
  <c r="I79" i="73" a="1"/>
  <c r="I79" i="73" s="1"/>
  <c r="I143" i="73" s="1"/>
  <c r="H79" i="73" a="1"/>
  <c r="H79" i="73" s="1"/>
  <c r="H143" i="73" s="1"/>
  <c r="G79" i="73" a="1"/>
  <c r="G79" i="73" s="1"/>
  <c r="G143" i="73" s="1"/>
  <c r="F79" i="73" a="1"/>
  <c r="F79" i="73" s="1"/>
  <c r="F143" i="73" s="1"/>
  <c r="F147" i="73" s="1"/>
  <c r="E79" i="73" a="1"/>
  <c r="E79" i="73" s="1"/>
  <c r="E143" i="73" s="1"/>
  <c r="D79" i="73" a="1"/>
  <c r="D79" i="73" s="1"/>
  <c r="P78" i="73" a="1"/>
  <c r="P78" i="73" s="1"/>
  <c r="P142" i="73" s="1"/>
  <c r="O78" i="73" a="1"/>
  <c r="O78" i="73" s="1"/>
  <c r="O142" i="73" s="1"/>
  <c r="N78" i="73" a="1"/>
  <c r="N78" i="73" s="1"/>
  <c r="N142" i="73" s="1"/>
  <c r="M78" i="73" a="1"/>
  <c r="M78" i="73" s="1"/>
  <c r="M142" i="73" s="1"/>
  <c r="L78" i="73" a="1"/>
  <c r="L78" i="73" s="1"/>
  <c r="L142" i="73" s="1"/>
  <c r="K78" i="73" a="1"/>
  <c r="K78" i="73" s="1"/>
  <c r="K142" i="73" s="1"/>
  <c r="J78" i="73" a="1"/>
  <c r="J78" i="73" s="1"/>
  <c r="J142" i="73" s="1"/>
  <c r="I78" i="73" a="1"/>
  <c r="I78" i="73" s="1"/>
  <c r="I142" i="73" s="1"/>
  <c r="H78" i="73" a="1"/>
  <c r="H78" i="73" s="1"/>
  <c r="H142" i="73" s="1"/>
  <c r="G78" i="73" a="1"/>
  <c r="G78" i="73" s="1"/>
  <c r="G142" i="73" s="1"/>
  <c r="F78" i="73" a="1"/>
  <c r="F78" i="73" s="1"/>
  <c r="F142" i="73" s="1"/>
  <c r="F146" i="73" s="1"/>
  <c r="E78" i="73" a="1"/>
  <c r="E78" i="73" s="1"/>
  <c r="E142" i="73" s="1"/>
  <c r="D78" i="73" a="1"/>
  <c r="D78" i="73" s="1"/>
  <c r="P77" i="73" a="1"/>
  <c r="P77" i="73" s="1"/>
  <c r="P141" i="73" s="1"/>
  <c r="O77" i="73" a="1"/>
  <c r="O77" i="73" s="1"/>
  <c r="O141" i="73" s="1"/>
  <c r="N77" i="73" a="1"/>
  <c r="N77" i="73" s="1"/>
  <c r="N141" i="73" s="1"/>
  <c r="M77" i="73" a="1"/>
  <c r="M77" i="73" s="1"/>
  <c r="M141" i="73" s="1"/>
  <c r="L77" i="73" a="1"/>
  <c r="L77" i="73" s="1"/>
  <c r="L141" i="73" s="1"/>
  <c r="K77" i="73" a="1"/>
  <c r="K77" i="73" s="1"/>
  <c r="K141" i="73" s="1"/>
  <c r="J77" i="73" a="1"/>
  <c r="J77" i="73" s="1"/>
  <c r="J141" i="73" s="1"/>
  <c r="I77" i="73" a="1"/>
  <c r="I77" i="73" s="1"/>
  <c r="I141" i="73" s="1"/>
  <c r="H77" i="73" a="1"/>
  <c r="H77" i="73" s="1"/>
  <c r="H141" i="73" s="1"/>
  <c r="G77" i="73" a="1"/>
  <c r="G77" i="73" s="1"/>
  <c r="G141" i="73" s="1"/>
  <c r="F77" i="73" a="1"/>
  <c r="F77" i="73" s="1"/>
  <c r="F141" i="73" s="1"/>
  <c r="E77" i="73" a="1"/>
  <c r="E77" i="73" s="1"/>
  <c r="E141" i="73" s="1"/>
  <c r="D77" i="73" a="1"/>
  <c r="D77" i="73" s="1"/>
  <c r="P76" i="73" a="1"/>
  <c r="P76" i="73" s="1"/>
  <c r="P140" i="73" s="1"/>
  <c r="O76" i="73" a="1"/>
  <c r="O76" i="73" s="1"/>
  <c r="O140" i="73" s="1"/>
  <c r="N76" i="73" a="1"/>
  <c r="N76" i="73" s="1"/>
  <c r="N140" i="73" s="1"/>
  <c r="M76" i="73" a="1"/>
  <c r="M76" i="73" s="1"/>
  <c r="M140" i="73" s="1"/>
  <c r="L76" i="73" a="1"/>
  <c r="L76" i="73" s="1"/>
  <c r="L140" i="73" s="1"/>
  <c r="K76" i="73" a="1"/>
  <c r="K76" i="73" s="1"/>
  <c r="K140" i="73" s="1"/>
  <c r="J76" i="73" a="1"/>
  <c r="J76" i="73" s="1"/>
  <c r="J140" i="73" s="1"/>
  <c r="I76" i="73" a="1"/>
  <c r="I76" i="73" s="1"/>
  <c r="I140" i="73" s="1"/>
  <c r="H76" i="73" a="1"/>
  <c r="H76" i="73" s="1"/>
  <c r="H140" i="73" s="1"/>
  <c r="G76" i="73" a="1"/>
  <c r="G76" i="73" s="1"/>
  <c r="G140" i="73" s="1"/>
  <c r="F76" i="73" a="1"/>
  <c r="F76" i="73" s="1"/>
  <c r="F140" i="73" s="1"/>
  <c r="E76" i="73" a="1"/>
  <c r="E76" i="73" s="1"/>
  <c r="E140" i="73" s="1"/>
  <c r="D76" i="73" a="1"/>
  <c r="D76" i="73" s="1"/>
  <c r="P75" i="73" a="1"/>
  <c r="P75" i="73" s="1"/>
  <c r="P139" i="73" s="1"/>
  <c r="O75" i="73" a="1"/>
  <c r="O75" i="73" s="1"/>
  <c r="O139" i="73" s="1"/>
  <c r="N75" i="73" a="1"/>
  <c r="N75" i="73" s="1"/>
  <c r="N139" i="73" s="1"/>
  <c r="M75" i="73" a="1"/>
  <c r="M75" i="73" s="1"/>
  <c r="M139" i="73" s="1"/>
  <c r="L75" i="73" a="1"/>
  <c r="L75" i="73" s="1"/>
  <c r="L139" i="73" s="1"/>
  <c r="K75" i="73" a="1"/>
  <c r="K75" i="73" s="1"/>
  <c r="K139" i="73" s="1"/>
  <c r="J75" i="73" a="1"/>
  <c r="J75" i="73" s="1"/>
  <c r="J139" i="73" s="1"/>
  <c r="I75" i="73" a="1"/>
  <c r="I75" i="73" s="1"/>
  <c r="I139" i="73" s="1"/>
  <c r="H75" i="73" a="1"/>
  <c r="H75" i="73" s="1"/>
  <c r="H139" i="73" s="1"/>
  <c r="G75" i="73" a="1"/>
  <c r="G75" i="73" s="1"/>
  <c r="G139" i="73" s="1"/>
  <c r="F75" i="73"/>
  <c r="F139" i="73" s="1"/>
  <c r="F75" i="73" a="1"/>
  <c r="E75" i="73" a="1"/>
  <c r="E75" i="73" s="1"/>
  <c r="E139" i="73" s="1"/>
  <c r="D75" i="73" a="1"/>
  <c r="D75" i="73" s="1"/>
  <c r="P74" i="73" a="1"/>
  <c r="P74" i="73" s="1"/>
  <c r="P138" i="73" s="1"/>
  <c r="O74" i="73" a="1"/>
  <c r="O74" i="73" s="1"/>
  <c r="O138" i="73" s="1"/>
  <c r="N74" i="73" a="1"/>
  <c r="N74" i="73" s="1"/>
  <c r="N138" i="73" s="1"/>
  <c r="M74" i="73" a="1"/>
  <c r="M74" i="73" s="1"/>
  <c r="M138" i="73" s="1"/>
  <c r="L74" i="73" a="1"/>
  <c r="L74" i="73" s="1"/>
  <c r="L138" i="73" s="1"/>
  <c r="K74" i="73" a="1"/>
  <c r="K74" i="73" s="1"/>
  <c r="K138" i="73" s="1"/>
  <c r="J74" i="73" a="1"/>
  <c r="J74" i="73" s="1"/>
  <c r="J138" i="73" s="1"/>
  <c r="I74" i="73" a="1"/>
  <c r="I74" i="73" s="1"/>
  <c r="I138" i="73" s="1"/>
  <c r="H74" i="73" a="1"/>
  <c r="H74" i="73" s="1"/>
  <c r="H138" i="73" s="1"/>
  <c r="G74" i="73" a="1"/>
  <c r="G74" i="73" s="1"/>
  <c r="G138" i="73" s="1"/>
  <c r="F74" i="73" a="1"/>
  <c r="F74" i="73" s="1"/>
  <c r="F138" i="73" s="1"/>
  <c r="E74" i="73" a="1"/>
  <c r="E74" i="73" s="1"/>
  <c r="E138" i="73" s="1"/>
  <c r="D74" i="73" a="1"/>
  <c r="D74" i="73" s="1"/>
  <c r="P73" i="73" a="1"/>
  <c r="P73" i="73" s="1"/>
  <c r="P137" i="73" s="1"/>
  <c r="O73" i="73" a="1"/>
  <c r="O73" i="73" s="1"/>
  <c r="O137" i="73" s="1"/>
  <c r="N73" i="73" a="1"/>
  <c r="N73" i="73" s="1"/>
  <c r="N137" i="73" s="1"/>
  <c r="M73" i="73" a="1"/>
  <c r="M73" i="73" s="1"/>
  <c r="M137" i="73" s="1"/>
  <c r="L73" i="73" a="1"/>
  <c r="L73" i="73" s="1"/>
  <c r="L137" i="73" s="1"/>
  <c r="K73" i="73" a="1"/>
  <c r="K73" i="73" s="1"/>
  <c r="K137" i="73" s="1"/>
  <c r="J73" i="73" a="1"/>
  <c r="J73" i="73" s="1"/>
  <c r="J137" i="73" s="1"/>
  <c r="I73" i="73" a="1"/>
  <c r="I73" i="73" s="1"/>
  <c r="I137" i="73" s="1"/>
  <c r="H73" i="73" a="1"/>
  <c r="H73" i="73" s="1"/>
  <c r="H137" i="73" s="1"/>
  <c r="G73" i="73" a="1"/>
  <c r="G73" i="73" s="1"/>
  <c r="G137" i="73" s="1"/>
  <c r="F73" i="73" a="1"/>
  <c r="F73" i="73" s="1"/>
  <c r="F137" i="73" s="1"/>
  <c r="E73" i="73" a="1"/>
  <c r="E73" i="73" s="1"/>
  <c r="E137" i="73" s="1"/>
  <c r="D73" i="73" a="1"/>
  <c r="D73" i="73" s="1"/>
  <c r="P72" i="73" a="1"/>
  <c r="P72" i="73" s="1"/>
  <c r="P136" i="73" s="1"/>
  <c r="O72" i="73" a="1"/>
  <c r="O72" i="73" s="1"/>
  <c r="O136" i="73" s="1"/>
  <c r="N72" i="73" a="1"/>
  <c r="N72" i="73" s="1"/>
  <c r="N136" i="73" s="1"/>
  <c r="M72" i="73" a="1"/>
  <c r="M72" i="73" s="1"/>
  <c r="M136" i="73" s="1"/>
  <c r="L72" i="73" a="1"/>
  <c r="L72" i="73" s="1"/>
  <c r="L136" i="73" s="1"/>
  <c r="K72" i="73" a="1"/>
  <c r="K72" i="73" s="1"/>
  <c r="K136" i="73" s="1"/>
  <c r="J72" i="73" a="1"/>
  <c r="J72" i="73" s="1"/>
  <c r="J136" i="73" s="1"/>
  <c r="I72" i="73" a="1"/>
  <c r="I72" i="73" s="1"/>
  <c r="I136" i="73" s="1"/>
  <c r="H72" i="73" a="1"/>
  <c r="H72" i="73" s="1"/>
  <c r="H136" i="73" s="1"/>
  <c r="G72" i="73" a="1"/>
  <c r="G72" i="73" s="1"/>
  <c r="G136" i="73" s="1"/>
  <c r="F72" i="73" a="1"/>
  <c r="F72" i="73" s="1"/>
  <c r="F136" i="73" s="1"/>
  <c r="E72" i="73" a="1"/>
  <c r="E72" i="73" s="1"/>
  <c r="E136" i="73" s="1"/>
  <c r="D72" i="73" a="1"/>
  <c r="D72" i="73" s="1"/>
  <c r="P71" i="73" a="1"/>
  <c r="P71" i="73" s="1"/>
  <c r="P135" i="73" s="1"/>
  <c r="O71" i="73" a="1"/>
  <c r="O71" i="73" s="1"/>
  <c r="O135" i="73" s="1"/>
  <c r="N71" i="73" a="1"/>
  <c r="N71" i="73" s="1"/>
  <c r="N135" i="73" s="1"/>
  <c r="M71" i="73" a="1"/>
  <c r="M71" i="73" s="1"/>
  <c r="M135" i="73" s="1"/>
  <c r="L71" i="73" a="1"/>
  <c r="L71" i="73" s="1"/>
  <c r="L135" i="73" s="1"/>
  <c r="K71" i="73" a="1"/>
  <c r="K71" i="73" s="1"/>
  <c r="K135" i="73" s="1"/>
  <c r="J71" i="73" a="1"/>
  <c r="J71" i="73" s="1"/>
  <c r="J135" i="73" s="1"/>
  <c r="I71" i="73" a="1"/>
  <c r="I71" i="73" s="1"/>
  <c r="I135" i="73" s="1"/>
  <c r="H71" i="73" a="1"/>
  <c r="H71" i="73" s="1"/>
  <c r="H135" i="73" s="1"/>
  <c r="G71" i="73" a="1"/>
  <c r="G71" i="73" s="1"/>
  <c r="G135" i="73" s="1"/>
  <c r="F71" i="73" a="1"/>
  <c r="F71" i="73" s="1"/>
  <c r="F135" i="73" s="1"/>
  <c r="E71" i="73" a="1"/>
  <c r="E71" i="73" s="1"/>
  <c r="E135" i="73" s="1"/>
  <c r="D71" i="73" a="1"/>
  <c r="D71" i="73" s="1"/>
  <c r="P70" i="73" a="1"/>
  <c r="P70" i="73" s="1"/>
  <c r="P134" i="73" s="1"/>
  <c r="O70" i="73" a="1"/>
  <c r="O70" i="73" s="1"/>
  <c r="O134" i="73" s="1"/>
  <c r="N70" i="73" a="1"/>
  <c r="N70" i="73" s="1"/>
  <c r="N134" i="73" s="1"/>
  <c r="M70" i="73" a="1"/>
  <c r="M70" i="73" s="1"/>
  <c r="M134" i="73" s="1"/>
  <c r="L70" i="73" a="1"/>
  <c r="L70" i="73" s="1"/>
  <c r="L134" i="73" s="1"/>
  <c r="K70" i="73" a="1"/>
  <c r="K70" i="73" s="1"/>
  <c r="K134" i="73" s="1"/>
  <c r="J70" i="73" a="1"/>
  <c r="J70" i="73" s="1"/>
  <c r="J134" i="73" s="1"/>
  <c r="I70" i="73" a="1"/>
  <c r="I70" i="73" s="1"/>
  <c r="I134" i="73" s="1"/>
  <c r="H70" i="73" a="1"/>
  <c r="H70" i="73" s="1"/>
  <c r="H134" i="73" s="1"/>
  <c r="G70" i="73" a="1"/>
  <c r="G70" i="73" s="1"/>
  <c r="G134" i="73" s="1"/>
  <c r="F70" i="73" a="1"/>
  <c r="F70" i="73" s="1"/>
  <c r="F134" i="73" s="1"/>
  <c r="E70" i="73" a="1"/>
  <c r="E70" i="73" s="1"/>
  <c r="E134" i="73" s="1"/>
  <c r="D70" i="73" a="1"/>
  <c r="D70" i="73" s="1"/>
  <c r="P69" i="73" a="1"/>
  <c r="P69" i="73" s="1"/>
  <c r="P133" i="73" s="1"/>
  <c r="O69" i="73" a="1"/>
  <c r="O69" i="73" s="1"/>
  <c r="O133" i="73" s="1"/>
  <c r="N69" i="73" a="1"/>
  <c r="N69" i="73" s="1"/>
  <c r="N133" i="73" s="1"/>
  <c r="M69" i="73" a="1"/>
  <c r="M69" i="73" s="1"/>
  <c r="M133" i="73" s="1"/>
  <c r="L69" i="73" a="1"/>
  <c r="L69" i="73" s="1"/>
  <c r="L133" i="73" s="1"/>
  <c r="K69" i="73" a="1"/>
  <c r="K69" i="73" s="1"/>
  <c r="K133" i="73" s="1"/>
  <c r="J69" i="73" a="1"/>
  <c r="J69" i="73" s="1"/>
  <c r="J133" i="73" s="1"/>
  <c r="I69" i="73" a="1"/>
  <c r="I69" i="73" s="1"/>
  <c r="I133" i="73" s="1"/>
  <c r="H69" i="73" a="1"/>
  <c r="H69" i="73" s="1"/>
  <c r="H133" i="73" s="1"/>
  <c r="G69" i="73" a="1"/>
  <c r="G69" i="73" s="1"/>
  <c r="G133" i="73" s="1"/>
  <c r="F69" i="73" a="1"/>
  <c r="F69" i="73" s="1"/>
  <c r="F133" i="73" s="1"/>
  <c r="E69" i="73" a="1"/>
  <c r="E69" i="73" s="1"/>
  <c r="E133" i="73" s="1"/>
  <c r="D69" i="73" a="1"/>
  <c r="D69" i="73" s="1"/>
  <c r="P68" i="73" a="1"/>
  <c r="P68" i="73" s="1"/>
  <c r="P132" i="73" s="1"/>
  <c r="O68" i="73" a="1"/>
  <c r="O68" i="73" s="1"/>
  <c r="O132" i="73" s="1"/>
  <c r="N68" i="73" a="1"/>
  <c r="N68" i="73" s="1"/>
  <c r="N132" i="73" s="1"/>
  <c r="M68" i="73" a="1"/>
  <c r="M68" i="73" s="1"/>
  <c r="M132" i="73" s="1"/>
  <c r="L68" i="73" a="1"/>
  <c r="L68" i="73" s="1"/>
  <c r="L132" i="73" s="1"/>
  <c r="K68" i="73" a="1"/>
  <c r="K68" i="73" s="1"/>
  <c r="K132" i="73" s="1"/>
  <c r="J68" i="73" a="1"/>
  <c r="J68" i="73" s="1"/>
  <c r="J132" i="73" s="1"/>
  <c r="I68" i="73" a="1"/>
  <c r="I68" i="73" s="1"/>
  <c r="I132" i="73" s="1"/>
  <c r="H68" i="73" a="1"/>
  <c r="H68" i="73" s="1"/>
  <c r="H132" i="73" s="1"/>
  <c r="G68" i="73" a="1"/>
  <c r="G68" i="73" s="1"/>
  <c r="G132" i="73" s="1"/>
  <c r="F68" i="73" a="1"/>
  <c r="F68" i="73" s="1"/>
  <c r="F132" i="73" s="1"/>
  <c r="E68" i="73" a="1"/>
  <c r="E68" i="73" s="1"/>
  <c r="E132" i="73" s="1"/>
  <c r="D68" i="73" a="1"/>
  <c r="D68" i="73" s="1"/>
  <c r="P67" i="73" a="1"/>
  <c r="P67" i="73" s="1"/>
  <c r="P131" i="73" s="1"/>
  <c r="O67" i="73" a="1"/>
  <c r="O67" i="73" s="1"/>
  <c r="O131" i="73" s="1"/>
  <c r="N67" i="73" a="1"/>
  <c r="N67" i="73" s="1"/>
  <c r="N131" i="73" s="1"/>
  <c r="M67" i="73" a="1"/>
  <c r="M67" i="73" s="1"/>
  <c r="M131" i="73" s="1"/>
  <c r="L67" i="73" a="1"/>
  <c r="L67" i="73" s="1"/>
  <c r="L131" i="73" s="1"/>
  <c r="K67" i="73" a="1"/>
  <c r="K67" i="73" s="1"/>
  <c r="K131" i="73" s="1"/>
  <c r="J67" i="73" a="1"/>
  <c r="J67" i="73" s="1"/>
  <c r="J131" i="73" s="1"/>
  <c r="I67" i="73" a="1"/>
  <c r="I67" i="73" s="1"/>
  <c r="I131" i="73" s="1"/>
  <c r="H67" i="73" a="1"/>
  <c r="H67" i="73" s="1"/>
  <c r="H131" i="73" s="1"/>
  <c r="G67" i="73" a="1"/>
  <c r="G67" i="73" s="1"/>
  <c r="G131" i="73" s="1"/>
  <c r="F67" i="73" a="1"/>
  <c r="F67" i="73" s="1"/>
  <c r="F131" i="73" s="1"/>
  <c r="E67" i="73" a="1"/>
  <c r="E67" i="73" s="1"/>
  <c r="E131" i="73" s="1"/>
  <c r="D67" i="73" a="1"/>
  <c r="D67" i="73" s="1"/>
  <c r="P66" i="73" a="1"/>
  <c r="P66" i="73" s="1"/>
  <c r="P130" i="73" s="1"/>
  <c r="O66" i="73" a="1"/>
  <c r="O66" i="73" s="1"/>
  <c r="O130" i="73" s="1"/>
  <c r="N66" i="73" a="1"/>
  <c r="N66" i="73" s="1"/>
  <c r="N130" i="73" s="1"/>
  <c r="M66" i="73" a="1"/>
  <c r="M66" i="73" s="1"/>
  <c r="M130" i="73" s="1"/>
  <c r="L66" i="73" a="1"/>
  <c r="L66" i="73" s="1"/>
  <c r="L130" i="73" s="1"/>
  <c r="K66" i="73" a="1"/>
  <c r="K66" i="73" s="1"/>
  <c r="K130" i="73" s="1"/>
  <c r="J66" i="73" a="1"/>
  <c r="J66" i="73" s="1"/>
  <c r="J130" i="73" s="1"/>
  <c r="I66" i="73" a="1"/>
  <c r="I66" i="73" s="1"/>
  <c r="I130" i="73" s="1"/>
  <c r="H66" i="73" a="1"/>
  <c r="H66" i="73" s="1"/>
  <c r="H130" i="73" s="1"/>
  <c r="G66" i="73" a="1"/>
  <c r="G66" i="73" s="1"/>
  <c r="G130" i="73" s="1"/>
  <c r="F66" i="73" a="1"/>
  <c r="F66" i="73" s="1"/>
  <c r="F130" i="73" s="1"/>
  <c r="E66" i="73" a="1"/>
  <c r="E66" i="73" s="1"/>
  <c r="E130" i="73" s="1"/>
  <c r="D66" i="73" a="1"/>
  <c r="D66" i="73" s="1"/>
  <c r="P65" i="73" a="1"/>
  <c r="P65" i="73" s="1"/>
  <c r="P129" i="73" s="1"/>
  <c r="O65" i="73" a="1"/>
  <c r="O65" i="73" s="1"/>
  <c r="O129" i="73" s="1"/>
  <c r="N65" i="73" a="1"/>
  <c r="N65" i="73" s="1"/>
  <c r="N129" i="73" s="1"/>
  <c r="M65" i="73" a="1"/>
  <c r="M65" i="73" s="1"/>
  <c r="M129" i="73" s="1"/>
  <c r="L65" i="73" a="1"/>
  <c r="L65" i="73" s="1"/>
  <c r="L129" i="73" s="1"/>
  <c r="K65" i="73" a="1"/>
  <c r="K65" i="73" s="1"/>
  <c r="K129" i="73" s="1"/>
  <c r="J65" i="73" a="1"/>
  <c r="J65" i="73" s="1"/>
  <c r="J129" i="73" s="1"/>
  <c r="I65" i="73" a="1"/>
  <c r="I65" i="73" s="1"/>
  <c r="I129" i="73" s="1"/>
  <c r="H65" i="73" a="1"/>
  <c r="H65" i="73" s="1"/>
  <c r="H129" i="73" s="1"/>
  <c r="G65" i="73" a="1"/>
  <c r="G65" i="73" s="1"/>
  <c r="G129" i="73" s="1"/>
  <c r="F65" i="73" a="1"/>
  <c r="F65" i="73" s="1"/>
  <c r="F129" i="73" s="1"/>
  <c r="E65" i="73" a="1"/>
  <c r="E65" i="73" s="1"/>
  <c r="E129" i="73" s="1"/>
  <c r="D65" i="73" a="1"/>
  <c r="D65" i="73" s="1"/>
  <c r="P64" i="73" a="1"/>
  <c r="P64" i="73" s="1"/>
  <c r="P128" i="73" s="1"/>
  <c r="O64" i="73" a="1"/>
  <c r="O64" i="73" s="1"/>
  <c r="O128" i="73" s="1"/>
  <c r="N64" i="73" a="1"/>
  <c r="N64" i="73" s="1"/>
  <c r="N128" i="73" s="1"/>
  <c r="M64" i="73" a="1"/>
  <c r="M64" i="73" s="1"/>
  <c r="M128" i="73" s="1"/>
  <c r="L64" i="73" a="1"/>
  <c r="L64" i="73" s="1"/>
  <c r="L128" i="73" s="1"/>
  <c r="K64" i="73" a="1"/>
  <c r="K64" i="73" s="1"/>
  <c r="K128" i="73" s="1"/>
  <c r="J64" i="73" a="1"/>
  <c r="J64" i="73" s="1"/>
  <c r="J128" i="73" s="1"/>
  <c r="I64" i="73" a="1"/>
  <c r="I64" i="73" s="1"/>
  <c r="I128" i="73" s="1"/>
  <c r="H64" i="73" a="1"/>
  <c r="H64" i="73" s="1"/>
  <c r="H128" i="73" s="1"/>
  <c r="G64" i="73" a="1"/>
  <c r="G64" i="73" s="1"/>
  <c r="G128" i="73" s="1"/>
  <c r="F64" i="73" a="1"/>
  <c r="F64" i="73" s="1"/>
  <c r="F128" i="73" s="1"/>
  <c r="E64" i="73" a="1"/>
  <c r="E64" i="73" s="1"/>
  <c r="E128" i="73" s="1"/>
  <c r="D64" i="73" a="1"/>
  <c r="D64" i="73" s="1"/>
  <c r="P63" i="73" a="1"/>
  <c r="P63" i="73" s="1"/>
  <c r="P127" i="73" s="1"/>
  <c r="O63" i="73" a="1"/>
  <c r="O63" i="73" s="1"/>
  <c r="O127" i="73" s="1"/>
  <c r="N63" i="73" a="1"/>
  <c r="N63" i="73" s="1"/>
  <c r="N127" i="73" s="1"/>
  <c r="M63" i="73" a="1"/>
  <c r="M63" i="73" s="1"/>
  <c r="M127" i="73" s="1"/>
  <c r="L63" i="73" a="1"/>
  <c r="L63" i="73" s="1"/>
  <c r="L127" i="73" s="1"/>
  <c r="K63" i="73" a="1"/>
  <c r="K63" i="73" s="1"/>
  <c r="K127" i="73" s="1"/>
  <c r="J63" i="73" a="1"/>
  <c r="J63" i="73" s="1"/>
  <c r="J127" i="73" s="1"/>
  <c r="I63" i="73" a="1"/>
  <c r="I63" i="73" s="1"/>
  <c r="I127" i="73" s="1"/>
  <c r="H63" i="73" a="1"/>
  <c r="H63" i="73" s="1"/>
  <c r="H127" i="73" s="1"/>
  <c r="G63" i="73" a="1"/>
  <c r="G63" i="73" s="1"/>
  <c r="G127" i="73" s="1"/>
  <c r="F63" i="73" a="1"/>
  <c r="F63" i="73" s="1"/>
  <c r="F127" i="73" s="1"/>
  <c r="E63" i="73" a="1"/>
  <c r="E63" i="73" s="1"/>
  <c r="E127" i="73" s="1"/>
  <c r="D63" i="73" a="1"/>
  <c r="D63" i="73" s="1"/>
  <c r="P62" i="73" a="1"/>
  <c r="P62" i="73" s="1"/>
  <c r="P126" i="73" s="1"/>
  <c r="O62" i="73" a="1"/>
  <c r="O62" i="73" s="1"/>
  <c r="O126" i="73" s="1"/>
  <c r="N62" i="73" a="1"/>
  <c r="N62" i="73" s="1"/>
  <c r="N126" i="73" s="1"/>
  <c r="M62" i="73" a="1"/>
  <c r="M62" i="73" s="1"/>
  <c r="M126" i="73" s="1"/>
  <c r="L62" i="73" a="1"/>
  <c r="L62" i="73" s="1"/>
  <c r="L126" i="73" s="1"/>
  <c r="K62" i="73" a="1"/>
  <c r="K62" i="73" s="1"/>
  <c r="K126" i="73" s="1"/>
  <c r="J62" i="73" a="1"/>
  <c r="J62" i="73" s="1"/>
  <c r="J126" i="73" s="1"/>
  <c r="I62" i="73" a="1"/>
  <c r="I62" i="73" s="1"/>
  <c r="I126" i="73" s="1"/>
  <c r="H62" i="73" a="1"/>
  <c r="H62" i="73" s="1"/>
  <c r="H126" i="73" s="1"/>
  <c r="G62" i="73" a="1"/>
  <c r="G62" i="73" s="1"/>
  <c r="G126" i="73" s="1"/>
  <c r="F62" i="73" a="1"/>
  <c r="F62" i="73" s="1"/>
  <c r="F126" i="73" s="1"/>
  <c r="E62" i="73" a="1"/>
  <c r="E62" i="73" s="1"/>
  <c r="E126" i="73" s="1"/>
  <c r="D62" i="73" a="1"/>
  <c r="D62" i="73" s="1"/>
  <c r="P61" i="73" a="1"/>
  <c r="P61" i="73" s="1"/>
  <c r="P125" i="73" s="1"/>
  <c r="O61" i="73" a="1"/>
  <c r="O61" i="73" s="1"/>
  <c r="O125" i="73" s="1"/>
  <c r="N61" i="73" a="1"/>
  <c r="N61" i="73" s="1"/>
  <c r="N125" i="73" s="1"/>
  <c r="M61" i="73" a="1"/>
  <c r="M61" i="73" s="1"/>
  <c r="M125" i="73" s="1"/>
  <c r="L61" i="73" a="1"/>
  <c r="L61" i="73" s="1"/>
  <c r="L125" i="73" s="1"/>
  <c r="K61" i="73" a="1"/>
  <c r="K61" i="73" s="1"/>
  <c r="K125" i="73" s="1"/>
  <c r="J61" i="73" a="1"/>
  <c r="J61" i="73" s="1"/>
  <c r="J125" i="73" s="1"/>
  <c r="I61" i="73" a="1"/>
  <c r="I61" i="73" s="1"/>
  <c r="I125" i="73" s="1"/>
  <c r="H61" i="73" a="1"/>
  <c r="H61" i="73" s="1"/>
  <c r="H125" i="73" s="1"/>
  <c r="G61" i="73" a="1"/>
  <c r="G61" i="73" s="1"/>
  <c r="G125" i="73" s="1"/>
  <c r="F61" i="73" a="1"/>
  <c r="F61" i="73" s="1"/>
  <c r="F125" i="73" s="1"/>
  <c r="E61" i="73" a="1"/>
  <c r="E61" i="73" s="1"/>
  <c r="E125" i="73" s="1"/>
  <c r="D61" i="73" a="1"/>
  <c r="D61" i="73" s="1"/>
  <c r="P60" i="73" a="1"/>
  <c r="P60" i="73" s="1"/>
  <c r="P124" i="73" s="1"/>
  <c r="O60" i="73" a="1"/>
  <c r="O60" i="73" s="1"/>
  <c r="O124" i="73" s="1"/>
  <c r="N60" i="73" a="1"/>
  <c r="N60" i="73" s="1"/>
  <c r="N124" i="73" s="1"/>
  <c r="M60" i="73" a="1"/>
  <c r="M60" i="73" s="1"/>
  <c r="M124" i="73" s="1"/>
  <c r="L60" i="73" a="1"/>
  <c r="L60" i="73" s="1"/>
  <c r="L124" i="73" s="1"/>
  <c r="K60" i="73" a="1"/>
  <c r="K60" i="73" s="1"/>
  <c r="K124" i="73" s="1"/>
  <c r="J60" i="73" a="1"/>
  <c r="J60" i="73" s="1"/>
  <c r="J124" i="73" s="1"/>
  <c r="I60" i="73" a="1"/>
  <c r="I60" i="73" s="1"/>
  <c r="I124" i="73" s="1"/>
  <c r="H60" i="73" a="1"/>
  <c r="H60" i="73" s="1"/>
  <c r="H124" i="73" s="1"/>
  <c r="G60" i="73" a="1"/>
  <c r="G60" i="73" s="1"/>
  <c r="G124" i="73" s="1"/>
  <c r="F60" i="73" a="1"/>
  <c r="F60" i="73" s="1"/>
  <c r="F124" i="73" s="1"/>
  <c r="E60" i="73" a="1"/>
  <c r="E60" i="73" s="1"/>
  <c r="E124" i="73" s="1"/>
  <c r="D60" i="73" a="1"/>
  <c r="D60" i="73" s="1"/>
  <c r="P59" i="73" a="1"/>
  <c r="P59" i="73" s="1"/>
  <c r="P123" i="73" s="1"/>
  <c r="O59" i="73" a="1"/>
  <c r="O59" i="73" s="1"/>
  <c r="O123" i="73" s="1"/>
  <c r="N59" i="73" a="1"/>
  <c r="N59" i="73" s="1"/>
  <c r="N123" i="73" s="1"/>
  <c r="M59" i="73" a="1"/>
  <c r="M59" i="73" s="1"/>
  <c r="M123" i="73" s="1"/>
  <c r="L59" i="73" a="1"/>
  <c r="L59" i="73" s="1"/>
  <c r="L123" i="73" s="1"/>
  <c r="K59" i="73" a="1"/>
  <c r="K59" i="73" s="1"/>
  <c r="K123" i="73" s="1"/>
  <c r="J59" i="73" a="1"/>
  <c r="J59" i="73" s="1"/>
  <c r="J123" i="73" s="1"/>
  <c r="I59" i="73" a="1"/>
  <c r="I59" i="73" s="1"/>
  <c r="I123" i="73" s="1"/>
  <c r="H59" i="73" a="1"/>
  <c r="H59" i="73" s="1"/>
  <c r="H123" i="73" s="1"/>
  <c r="G59" i="73" a="1"/>
  <c r="G59" i="73" s="1"/>
  <c r="G123" i="73" s="1"/>
  <c r="F59" i="73" a="1"/>
  <c r="F59" i="73" s="1"/>
  <c r="F123" i="73" s="1"/>
  <c r="E59" i="73" a="1"/>
  <c r="E59" i="73" s="1"/>
  <c r="E123" i="73" s="1"/>
  <c r="D59" i="73" a="1"/>
  <c r="D59" i="73" s="1"/>
  <c r="P58" i="73" a="1"/>
  <c r="P58" i="73" s="1"/>
  <c r="P122" i="73" s="1"/>
  <c r="O58" i="73" a="1"/>
  <c r="O58" i="73" s="1"/>
  <c r="O122" i="73" s="1"/>
  <c r="N58" i="73" a="1"/>
  <c r="N58" i="73" s="1"/>
  <c r="N122" i="73" s="1"/>
  <c r="M58" i="73" a="1"/>
  <c r="M58" i="73" s="1"/>
  <c r="M122" i="73" s="1"/>
  <c r="L58" i="73" a="1"/>
  <c r="L58" i="73" s="1"/>
  <c r="L122" i="73" s="1"/>
  <c r="K58" i="73" a="1"/>
  <c r="K58" i="73" s="1"/>
  <c r="K122" i="73" s="1"/>
  <c r="J58" i="73" a="1"/>
  <c r="J58" i="73" s="1"/>
  <c r="J122" i="73" s="1"/>
  <c r="I58" i="73" a="1"/>
  <c r="I58" i="73" s="1"/>
  <c r="I122" i="73" s="1"/>
  <c r="H58" i="73" a="1"/>
  <c r="H58" i="73" s="1"/>
  <c r="H122" i="73" s="1"/>
  <c r="G58" i="73" a="1"/>
  <c r="G58" i="73" s="1"/>
  <c r="G122" i="73" s="1"/>
  <c r="F58" i="73" a="1"/>
  <c r="F58" i="73" s="1"/>
  <c r="F122" i="73" s="1"/>
  <c r="E58" i="73" a="1"/>
  <c r="E58" i="73" s="1"/>
  <c r="E122" i="73" s="1"/>
  <c r="D58" i="73" a="1"/>
  <c r="D58" i="73" s="1"/>
  <c r="P57" i="73" a="1"/>
  <c r="P57" i="73" s="1"/>
  <c r="P121" i="73" s="1"/>
  <c r="O57" i="73" a="1"/>
  <c r="O57" i="73" s="1"/>
  <c r="O121" i="73" s="1"/>
  <c r="N57" i="73" a="1"/>
  <c r="N57" i="73" s="1"/>
  <c r="N121" i="73" s="1"/>
  <c r="M57" i="73" a="1"/>
  <c r="M57" i="73" s="1"/>
  <c r="M121" i="73" s="1"/>
  <c r="L57" i="73" a="1"/>
  <c r="L57" i="73" s="1"/>
  <c r="L121" i="73" s="1"/>
  <c r="K57" i="73" a="1"/>
  <c r="K57" i="73" s="1"/>
  <c r="K121" i="73" s="1"/>
  <c r="J57" i="73" a="1"/>
  <c r="J57" i="73" s="1"/>
  <c r="J121" i="73" s="1"/>
  <c r="I57" i="73" a="1"/>
  <c r="I57" i="73" s="1"/>
  <c r="I121" i="73" s="1"/>
  <c r="H57" i="73" a="1"/>
  <c r="H57" i="73" s="1"/>
  <c r="H121" i="73" s="1"/>
  <c r="G57" i="73" a="1"/>
  <c r="G57" i="73" s="1"/>
  <c r="G121" i="73" s="1"/>
  <c r="F57" i="73" a="1"/>
  <c r="F57" i="73" s="1"/>
  <c r="F121" i="73" s="1"/>
  <c r="E57" i="73" a="1"/>
  <c r="E57" i="73" s="1"/>
  <c r="E121" i="73" s="1"/>
  <c r="D57" i="73" a="1"/>
  <c r="D57" i="73" s="1"/>
  <c r="P56" i="73" a="1"/>
  <c r="P56" i="73" s="1"/>
  <c r="P120" i="73" s="1"/>
  <c r="O56" i="73" a="1"/>
  <c r="O56" i="73" s="1"/>
  <c r="O120" i="73" s="1"/>
  <c r="N56" i="73" a="1"/>
  <c r="N56" i="73" s="1"/>
  <c r="N120" i="73" s="1"/>
  <c r="M56" i="73" a="1"/>
  <c r="M56" i="73" s="1"/>
  <c r="M120" i="73" s="1"/>
  <c r="L56" i="73" a="1"/>
  <c r="L56" i="73" s="1"/>
  <c r="L120" i="73" s="1"/>
  <c r="K56" i="73" a="1"/>
  <c r="K56" i="73" s="1"/>
  <c r="K120" i="73" s="1"/>
  <c r="J56" i="73" a="1"/>
  <c r="J56" i="73" s="1"/>
  <c r="J120" i="73" s="1"/>
  <c r="I56" i="73" a="1"/>
  <c r="I56" i="73" s="1"/>
  <c r="I120" i="73" s="1"/>
  <c r="H56" i="73" a="1"/>
  <c r="H56" i="73" s="1"/>
  <c r="H120" i="73" s="1"/>
  <c r="G56" i="73" a="1"/>
  <c r="G56" i="73" s="1"/>
  <c r="G120" i="73" s="1"/>
  <c r="F56" i="73" a="1"/>
  <c r="F56" i="73" s="1"/>
  <c r="F120" i="73" s="1"/>
  <c r="E56" i="73" a="1"/>
  <c r="E56" i="73" s="1"/>
  <c r="E120" i="73" s="1"/>
  <c r="D56" i="73" a="1"/>
  <c r="D56" i="73" s="1"/>
  <c r="P55" i="73" a="1"/>
  <c r="P55" i="73" s="1"/>
  <c r="P119" i="73" s="1"/>
  <c r="O55" i="73" a="1"/>
  <c r="O55" i="73" s="1"/>
  <c r="O119" i="73" s="1"/>
  <c r="N55" i="73" a="1"/>
  <c r="N55" i="73" s="1"/>
  <c r="N119" i="73" s="1"/>
  <c r="M55" i="73" a="1"/>
  <c r="M55" i="73" s="1"/>
  <c r="M119" i="73" s="1"/>
  <c r="L55" i="73" a="1"/>
  <c r="L55" i="73" s="1"/>
  <c r="L119" i="73" s="1"/>
  <c r="K55" i="73" a="1"/>
  <c r="K55" i="73" s="1"/>
  <c r="K119" i="73" s="1"/>
  <c r="J55" i="73" a="1"/>
  <c r="J55" i="73" s="1"/>
  <c r="J119" i="73" s="1"/>
  <c r="I55" i="73" a="1"/>
  <c r="I55" i="73" s="1"/>
  <c r="I119" i="73" s="1"/>
  <c r="H55" i="73" a="1"/>
  <c r="H55" i="73" s="1"/>
  <c r="H119" i="73" s="1"/>
  <c r="G55" i="73" a="1"/>
  <c r="G55" i="73" s="1"/>
  <c r="G119" i="73" s="1"/>
  <c r="F55" i="73" a="1"/>
  <c r="F55" i="73" s="1"/>
  <c r="F119" i="73" s="1"/>
  <c r="E55" i="73" a="1"/>
  <c r="E55" i="73" s="1"/>
  <c r="E119" i="73" s="1"/>
  <c r="D55" i="73" a="1"/>
  <c r="D55" i="73" s="1"/>
  <c r="P54" i="73" a="1"/>
  <c r="P54" i="73" s="1"/>
  <c r="P118" i="73" s="1"/>
  <c r="O54" i="73" a="1"/>
  <c r="O54" i="73" s="1"/>
  <c r="O118" i="73" s="1"/>
  <c r="N54" i="73" a="1"/>
  <c r="N54" i="73" s="1"/>
  <c r="N118" i="73" s="1"/>
  <c r="M54" i="73" a="1"/>
  <c r="M54" i="73" s="1"/>
  <c r="M118" i="73" s="1"/>
  <c r="L54" i="73" a="1"/>
  <c r="L54" i="73" s="1"/>
  <c r="L118" i="73" s="1"/>
  <c r="K54" i="73" a="1"/>
  <c r="K54" i="73" s="1"/>
  <c r="K118" i="73" s="1"/>
  <c r="J54" i="73" a="1"/>
  <c r="J54" i="73" s="1"/>
  <c r="J118" i="73" s="1"/>
  <c r="I54" i="73" a="1"/>
  <c r="I54" i="73" s="1"/>
  <c r="I118" i="73" s="1"/>
  <c r="H54" i="73" a="1"/>
  <c r="H54" i="73" s="1"/>
  <c r="H118" i="73" s="1"/>
  <c r="G54" i="73" a="1"/>
  <c r="G54" i="73" s="1"/>
  <c r="G118" i="73" s="1"/>
  <c r="F54" i="73" a="1"/>
  <c r="F54" i="73" s="1"/>
  <c r="F118" i="73" s="1"/>
  <c r="E54" i="73" a="1"/>
  <c r="E54" i="73" s="1"/>
  <c r="E118" i="73" s="1"/>
  <c r="D54" i="73" a="1"/>
  <c r="D54" i="73" s="1"/>
  <c r="D52" i="73" a="1"/>
  <c r="D52" i="73" s="1"/>
  <c r="D51" i="73" a="1"/>
  <c r="D51" i="73" s="1"/>
  <c r="D50" i="73" a="1"/>
  <c r="D50" i="73" s="1"/>
  <c r="D49" i="73" a="1"/>
  <c r="D49" i="73" s="1"/>
  <c r="M46" i="73" a="1"/>
  <c r="M46" i="73" s="1"/>
  <c r="P117" i="73" s="1"/>
  <c r="L46" i="73" a="1"/>
  <c r="L46" i="73" s="1"/>
  <c r="M117" i="73" s="1"/>
  <c r="K46" i="73" a="1"/>
  <c r="K46" i="73" s="1"/>
  <c r="L117" i="73" s="1"/>
  <c r="J46" i="73" a="1"/>
  <c r="J46" i="73" s="1"/>
  <c r="J117" i="73" s="1"/>
  <c r="I46" i="73" a="1"/>
  <c r="I46" i="73" s="1"/>
  <c r="I117" i="73" s="1"/>
  <c r="H46" i="73" a="1"/>
  <c r="H46" i="73" s="1"/>
  <c r="H117" i="73" s="1"/>
  <c r="G46" i="73" a="1"/>
  <c r="G46" i="73" s="1"/>
  <c r="G117" i="73" s="1"/>
  <c r="F46" i="73" a="1"/>
  <c r="F46" i="73" s="1"/>
  <c r="F117" i="73" s="1"/>
  <c r="E46" i="73" a="1"/>
  <c r="E46" i="73" s="1"/>
  <c r="E117" i="73" s="1"/>
  <c r="D46" i="73" a="1"/>
  <c r="D46" i="73" s="1"/>
  <c r="M45" i="73" a="1"/>
  <c r="M45" i="73" s="1"/>
  <c r="L45" i="73" a="1"/>
  <c r="L45" i="73" s="1"/>
  <c r="M116" i="73" s="1"/>
  <c r="K45" i="73" a="1"/>
  <c r="K45" i="73" s="1"/>
  <c r="J45" i="73" a="1"/>
  <c r="J45" i="73" s="1"/>
  <c r="J116" i="73" s="1"/>
  <c r="I45" i="73" a="1"/>
  <c r="I45" i="73" s="1"/>
  <c r="I116" i="73" s="1"/>
  <c r="H45" i="73" a="1"/>
  <c r="H45" i="73" s="1"/>
  <c r="H116" i="73" s="1"/>
  <c r="G45" i="73" a="1"/>
  <c r="G45" i="73" s="1"/>
  <c r="G116" i="73" s="1"/>
  <c r="F45" i="73" a="1"/>
  <c r="F45" i="73" s="1"/>
  <c r="F116" i="73" s="1"/>
  <c r="E45" i="73" a="1"/>
  <c r="E45" i="73" s="1"/>
  <c r="E116" i="73" s="1"/>
  <c r="D45" i="73" a="1"/>
  <c r="D45" i="73" s="1"/>
  <c r="M44" i="73" a="1"/>
  <c r="M44" i="73" s="1"/>
  <c r="L44" i="73" a="1"/>
  <c r="L44" i="73" s="1"/>
  <c r="M115" i="73" s="1"/>
  <c r="K44" i="73" a="1"/>
  <c r="K44" i="73" s="1"/>
  <c r="J44" i="73" a="1"/>
  <c r="J44" i="73" s="1"/>
  <c r="J115" i="73" s="1"/>
  <c r="I44" i="73" a="1"/>
  <c r="I44" i="73" s="1"/>
  <c r="I115" i="73" s="1"/>
  <c r="H44" i="73" a="1"/>
  <c r="H44" i="73" s="1"/>
  <c r="H115" i="73" s="1"/>
  <c r="G44" i="73" a="1"/>
  <c r="G44" i="73" s="1"/>
  <c r="G115" i="73" s="1"/>
  <c r="F44" i="73" a="1"/>
  <c r="F44" i="73" s="1"/>
  <c r="F115" i="73" s="1"/>
  <c r="E44" i="73" a="1"/>
  <c r="E44" i="73" s="1"/>
  <c r="E115" i="73" s="1"/>
  <c r="D44" i="73" a="1"/>
  <c r="D44" i="73" s="1"/>
  <c r="M43" i="73" a="1"/>
  <c r="M43" i="73" s="1"/>
  <c r="N114" i="73" s="1"/>
  <c r="L43" i="73" a="1"/>
  <c r="L43" i="73" s="1"/>
  <c r="M114" i="73" s="1"/>
  <c r="K43" i="73" a="1"/>
  <c r="K43" i="73" s="1"/>
  <c r="J43" i="73" a="1"/>
  <c r="J43" i="73" s="1"/>
  <c r="J114" i="73" s="1"/>
  <c r="I43" i="73" a="1"/>
  <c r="I43" i="73" s="1"/>
  <c r="I114" i="73" s="1"/>
  <c r="H43" i="73" a="1"/>
  <c r="H43" i="73" s="1"/>
  <c r="H114" i="73" s="1"/>
  <c r="G43" i="73" a="1"/>
  <c r="G43" i="73" s="1"/>
  <c r="G114" i="73" s="1"/>
  <c r="F43" i="73" a="1"/>
  <c r="F43" i="73" s="1"/>
  <c r="F114" i="73" s="1"/>
  <c r="E43" i="73" a="1"/>
  <c r="E43" i="73" s="1"/>
  <c r="E114" i="73" s="1"/>
  <c r="D43" i="73" a="1"/>
  <c r="D43" i="73" s="1"/>
  <c r="M42" i="73" a="1"/>
  <c r="M42" i="73" s="1"/>
  <c r="P113" i="73" s="1"/>
  <c r="L42" i="73" a="1"/>
  <c r="L42" i="73" s="1"/>
  <c r="M113" i="73" s="1"/>
  <c r="K42" i="73" a="1"/>
  <c r="K42" i="73" s="1"/>
  <c r="J42" i="73" a="1"/>
  <c r="J42" i="73" s="1"/>
  <c r="J113" i="73" s="1"/>
  <c r="I42" i="73"/>
  <c r="I113" i="73" s="1"/>
  <c r="I42" i="73" a="1"/>
  <c r="H42" i="73" a="1"/>
  <c r="H42" i="73" s="1"/>
  <c r="H113" i="73" s="1"/>
  <c r="G42" i="73" a="1"/>
  <c r="G42" i="73" s="1"/>
  <c r="G113" i="73" s="1"/>
  <c r="F42" i="73" a="1"/>
  <c r="F42" i="73" s="1"/>
  <c r="F113" i="73" s="1"/>
  <c r="E42" i="73" a="1"/>
  <c r="E42" i="73" s="1"/>
  <c r="E113" i="73" s="1"/>
  <c r="D42" i="73" a="1"/>
  <c r="D42" i="73" s="1"/>
  <c r="M41" i="73" a="1"/>
  <c r="M41" i="73" s="1"/>
  <c r="L41" i="73" a="1"/>
  <c r="L41" i="73" s="1"/>
  <c r="M112" i="73" s="1"/>
  <c r="K41" i="73" a="1"/>
  <c r="K41" i="73" s="1"/>
  <c r="K112" i="73" s="1"/>
  <c r="J41" i="73" a="1"/>
  <c r="J41" i="73" s="1"/>
  <c r="J112" i="73" s="1"/>
  <c r="I41" i="73" a="1"/>
  <c r="I41" i="73" s="1"/>
  <c r="I112" i="73" s="1"/>
  <c r="H41" i="73" a="1"/>
  <c r="H41" i="73" s="1"/>
  <c r="H112" i="73" s="1"/>
  <c r="G41" i="73" a="1"/>
  <c r="G41" i="73" s="1"/>
  <c r="G112" i="73" s="1"/>
  <c r="F41" i="73" a="1"/>
  <c r="F41" i="73" s="1"/>
  <c r="F112" i="73" s="1"/>
  <c r="E41" i="73" a="1"/>
  <c r="E41" i="73" s="1"/>
  <c r="E112" i="73" s="1"/>
  <c r="D41" i="73" a="1"/>
  <c r="D41" i="73" s="1"/>
  <c r="M40" i="73" a="1"/>
  <c r="M40" i="73" s="1"/>
  <c r="L40" i="73" a="1"/>
  <c r="L40" i="73" s="1"/>
  <c r="M111" i="73" s="1"/>
  <c r="K40" i="73" a="1"/>
  <c r="K40" i="73" s="1"/>
  <c r="L111" i="73" s="1"/>
  <c r="J40" i="73" a="1"/>
  <c r="J40" i="73" s="1"/>
  <c r="J111" i="73" s="1"/>
  <c r="I40" i="73" a="1"/>
  <c r="I40" i="73" s="1"/>
  <c r="I111" i="73" s="1"/>
  <c r="H40" i="73" a="1"/>
  <c r="H40" i="73" s="1"/>
  <c r="H111" i="73" s="1"/>
  <c r="G40" i="73" a="1"/>
  <c r="G40" i="73" s="1"/>
  <c r="G111" i="73" s="1"/>
  <c r="F40" i="73" a="1"/>
  <c r="F40" i="73" s="1"/>
  <c r="F111" i="73" s="1"/>
  <c r="E40" i="73" a="1"/>
  <c r="E40" i="73" s="1"/>
  <c r="E111" i="73" s="1"/>
  <c r="D40" i="73" a="1"/>
  <c r="D40" i="73" s="1"/>
  <c r="M39" i="73" a="1"/>
  <c r="M39" i="73" s="1"/>
  <c r="P110" i="73" s="1"/>
  <c r="L39" i="73" a="1"/>
  <c r="L39" i="73" s="1"/>
  <c r="M110" i="73" s="1"/>
  <c r="K39" i="73" a="1"/>
  <c r="K39" i="73" s="1"/>
  <c r="J39" i="73" a="1"/>
  <c r="J39" i="73" s="1"/>
  <c r="J110" i="73" s="1"/>
  <c r="I39" i="73" a="1"/>
  <c r="I39" i="73" s="1"/>
  <c r="I110" i="73" s="1"/>
  <c r="H39" i="73" a="1"/>
  <c r="H39" i="73" s="1"/>
  <c r="H110" i="73" s="1"/>
  <c r="G39" i="73" a="1"/>
  <c r="G39" i="73" s="1"/>
  <c r="G110" i="73" s="1"/>
  <c r="F39" i="73" a="1"/>
  <c r="F39" i="73" s="1"/>
  <c r="F110" i="73" s="1"/>
  <c r="E39" i="73" a="1"/>
  <c r="E39" i="73" s="1"/>
  <c r="E110" i="73" s="1"/>
  <c r="D39" i="73" a="1"/>
  <c r="D39" i="73" s="1"/>
  <c r="M38" i="73" a="1"/>
  <c r="M38" i="73" s="1"/>
  <c r="L38" i="73" a="1"/>
  <c r="L38" i="73" s="1"/>
  <c r="M109" i="73" s="1"/>
  <c r="K38" i="73" a="1"/>
  <c r="K38" i="73" s="1"/>
  <c r="L109" i="73" s="1"/>
  <c r="J38" i="73" a="1"/>
  <c r="J38" i="73" s="1"/>
  <c r="J109" i="73" s="1"/>
  <c r="I38" i="73" a="1"/>
  <c r="I38" i="73" s="1"/>
  <c r="I109" i="73" s="1"/>
  <c r="H38" i="73" a="1"/>
  <c r="H38" i="73" s="1"/>
  <c r="H109" i="73" s="1"/>
  <c r="G38" i="73" a="1"/>
  <c r="G38" i="73" s="1"/>
  <c r="G109" i="73" s="1"/>
  <c r="F38" i="73" a="1"/>
  <c r="F38" i="73" s="1"/>
  <c r="F109" i="73" s="1"/>
  <c r="E38" i="73" a="1"/>
  <c r="E38" i="73" s="1"/>
  <c r="E109" i="73" s="1"/>
  <c r="D38" i="73" a="1"/>
  <c r="D38" i="73" s="1"/>
  <c r="M37" i="73" a="1"/>
  <c r="M37" i="73" s="1"/>
  <c r="L37" i="73" a="1"/>
  <c r="L37" i="73" s="1"/>
  <c r="M108" i="73" s="1"/>
  <c r="K37" i="73" a="1"/>
  <c r="K37" i="73" s="1"/>
  <c r="L108" i="73" s="1"/>
  <c r="J37" i="73" a="1"/>
  <c r="J37" i="73" s="1"/>
  <c r="J108" i="73" s="1"/>
  <c r="I37" i="73" a="1"/>
  <c r="I37" i="73" s="1"/>
  <c r="I108" i="73" s="1"/>
  <c r="H37" i="73" a="1"/>
  <c r="H37" i="73" s="1"/>
  <c r="H108" i="73" s="1"/>
  <c r="G37" i="73" a="1"/>
  <c r="G37" i="73" s="1"/>
  <c r="G108" i="73" s="1"/>
  <c r="F37" i="73" a="1"/>
  <c r="F37" i="73" s="1"/>
  <c r="F108" i="73" s="1"/>
  <c r="E37" i="73" a="1"/>
  <c r="E37" i="73" s="1"/>
  <c r="E108" i="73" s="1"/>
  <c r="D37" i="73" a="1"/>
  <c r="D37" i="73" s="1"/>
  <c r="M36" i="73" a="1"/>
  <c r="M36" i="73" s="1"/>
  <c r="N107" i="73" s="1"/>
  <c r="L36" i="73" a="1"/>
  <c r="L36" i="73" s="1"/>
  <c r="M107" i="73" s="1"/>
  <c r="K36" i="73" a="1"/>
  <c r="K36" i="73" s="1"/>
  <c r="J36" i="73" a="1"/>
  <c r="J36" i="73" s="1"/>
  <c r="J107" i="73" s="1"/>
  <c r="I36" i="73" a="1"/>
  <c r="I36" i="73" s="1"/>
  <c r="I107" i="73" s="1"/>
  <c r="H36" i="73" a="1"/>
  <c r="H36" i="73" s="1"/>
  <c r="H107" i="73" s="1"/>
  <c r="G36" i="73" a="1"/>
  <c r="G36" i="73" s="1"/>
  <c r="G107" i="73" s="1"/>
  <c r="F36" i="73" a="1"/>
  <c r="F36" i="73" s="1"/>
  <c r="F107" i="73" s="1"/>
  <c r="E36" i="73" a="1"/>
  <c r="E36" i="73" s="1"/>
  <c r="E107" i="73" s="1"/>
  <c r="D36" i="73" a="1"/>
  <c r="D36" i="73" s="1"/>
  <c r="M35" i="73" a="1"/>
  <c r="M35" i="73" s="1"/>
  <c r="L35" i="73" a="1"/>
  <c r="L35" i="73" s="1"/>
  <c r="M106" i="73" s="1"/>
  <c r="K35" i="73" a="1"/>
  <c r="K35" i="73" s="1"/>
  <c r="J35" i="73" a="1"/>
  <c r="J35" i="73" s="1"/>
  <c r="J106" i="73" s="1"/>
  <c r="I35" i="73" a="1"/>
  <c r="I35" i="73" s="1"/>
  <c r="I106" i="73" s="1"/>
  <c r="H35" i="73" a="1"/>
  <c r="H35" i="73" s="1"/>
  <c r="H106" i="73" s="1"/>
  <c r="G35" i="73" a="1"/>
  <c r="G35" i="73" s="1"/>
  <c r="G106" i="73" s="1"/>
  <c r="F35" i="73" a="1"/>
  <c r="F35" i="73" s="1"/>
  <c r="E35" i="73" a="1"/>
  <c r="E35" i="73" s="1"/>
  <c r="E106" i="73" s="1"/>
  <c r="D35" i="73" a="1"/>
  <c r="D35" i="73" s="1"/>
  <c r="M34" i="73" a="1"/>
  <c r="M34" i="73" s="1"/>
  <c r="L34" i="73" a="1"/>
  <c r="L34" i="73" s="1"/>
  <c r="M105" i="73" s="1"/>
  <c r="K34" i="73" a="1"/>
  <c r="K34" i="73" s="1"/>
  <c r="L105" i="73" s="1"/>
  <c r="J34" i="73" a="1"/>
  <c r="J34" i="73" s="1"/>
  <c r="J105" i="73" s="1"/>
  <c r="I34" i="73" a="1"/>
  <c r="I34" i="73" s="1"/>
  <c r="I105" i="73" s="1"/>
  <c r="H34" i="73" a="1"/>
  <c r="H34" i="73" s="1"/>
  <c r="H105" i="73" s="1"/>
  <c r="G34" i="73" a="1"/>
  <c r="G34" i="73" s="1"/>
  <c r="G105" i="73" s="1"/>
  <c r="F34" i="73" a="1"/>
  <c r="F34" i="73" s="1"/>
  <c r="E34" i="73" a="1"/>
  <c r="E34" i="73" s="1"/>
  <c r="D34" i="73" a="1"/>
  <c r="D34" i="73" s="1"/>
  <c r="M33" i="73" a="1"/>
  <c r="M33" i="73" s="1"/>
  <c r="P104" i="73" s="1"/>
  <c r="L33" i="73" a="1"/>
  <c r="L33" i="73" s="1"/>
  <c r="M104" i="73" s="1"/>
  <c r="K33" i="73" a="1"/>
  <c r="K33" i="73" s="1"/>
  <c r="J33" i="73" a="1"/>
  <c r="J33" i="73" s="1"/>
  <c r="J104" i="73" s="1"/>
  <c r="I33" i="73" a="1"/>
  <c r="I33" i="73" s="1"/>
  <c r="I104" i="73" s="1"/>
  <c r="H33" i="73" a="1"/>
  <c r="H33" i="73" s="1"/>
  <c r="H104" i="73" s="1"/>
  <c r="G33" i="73" a="1"/>
  <c r="G33" i="73" s="1"/>
  <c r="G104" i="73" s="1"/>
  <c r="F33" i="73" a="1"/>
  <c r="F33" i="73" s="1"/>
  <c r="E33" i="73" a="1"/>
  <c r="E33" i="73" s="1"/>
  <c r="D33" i="73" a="1"/>
  <c r="D33" i="73" s="1"/>
  <c r="M32" i="73" a="1"/>
  <c r="M32" i="73" s="1"/>
  <c r="L32" i="73" a="1"/>
  <c r="L32" i="73" s="1"/>
  <c r="M103" i="73" s="1"/>
  <c r="K32" i="73" a="1"/>
  <c r="K32" i="73" s="1"/>
  <c r="J32" i="73" a="1"/>
  <c r="J32" i="73" s="1"/>
  <c r="J103" i="73" s="1"/>
  <c r="I32" i="73" a="1"/>
  <c r="I32" i="73" s="1"/>
  <c r="I103" i="73" s="1"/>
  <c r="H32" i="73" a="1"/>
  <c r="H32" i="73" s="1"/>
  <c r="H103" i="73" s="1"/>
  <c r="G32" i="73" a="1"/>
  <c r="G32" i="73" s="1"/>
  <c r="G103" i="73" s="1"/>
  <c r="F32" i="73" a="1"/>
  <c r="F32" i="73" s="1"/>
  <c r="E32" i="73" a="1"/>
  <c r="E32" i="73" s="1"/>
  <c r="D32" i="73" a="1"/>
  <c r="D32" i="73" s="1"/>
  <c r="M31" i="73" a="1"/>
  <c r="M31" i="73" s="1"/>
  <c r="P102" i="73" s="1"/>
  <c r="L31" i="73" a="1"/>
  <c r="L31" i="73" s="1"/>
  <c r="M102" i="73" s="1"/>
  <c r="K31" i="73" a="1"/>
  <c r="K31" i="73" s="1"/>
  <c r="J31" i="73" a="1"/>
  <c r="J31" i="73" s="1"/>
  <c r="J102" i="73" s="1"/>
  <c r="I31" i="73" a="1"/>
  <c r="I31" i="73" s="1"/>
  <c r="I102" i="73" s="1"/>
  <c r="H31" i="73" a="1"/>
  <c r="H31" i="73" s="1"/>
  <c r="H102" i="73" s="1"/>
  <c r="G31" i="73" a="1"/>
  <c r="G31" i="73" s="1"/>
  <c r="G102" i="73" s="1"/>
  <c r="F31" i="73" a="1"/>
  <c r="F31" i="73" s="1"/>
  <c r="F98" i="73" s="1"/>
  <c r="E31" i="73" a="1"/>
  <c r="E31" i="73" s="1"/>
  <c r="D31" i="73" a="1"/>
  <c r="D31" i="73" s="1"/>
  <c r="M30" i="73" a="1"/>
  <c r="M30" i="73" s="1"/>
  <c r="P101" i="73" s="1"/>
  <c r="L30" i="73" a="1"/>
  <c r="L30" i="73" s="1"/>
  <c r="M101" i="73" s="1"/>
  <c r="K30" i="73" a="1"/>
  <c r="K30" i="73" s="1"/>
  <c r="J30" i="73" a="1"/>
  <c r="J30" i="73" s="1"/>
  <c r="J101" i="73" s="1"/>
  <c r="I30" i="73" a="1"/>
  <c r="I30" i="73" s="1"/>
  <c r="I101" i="73" s="1"/>
  <c r="H30" i="73" a="1"/>
  <c r="H30" i="73" s="1"/>
  <c r="H101" i="73" s="1"/>
  <c r="G30" i="73" a="1"/>
  <c r="G30" i="73" s="1"/>
  <c r="G101" i="73" s="1"/>
  <c r="F30" i="73" a="1"/>
  <c r="F30" i="73" s="1"/>
  <c r="E30" i="73" a="1"/>
  <c r="E30" i="73" s="1"/>
  <c r="D30" i="73" a="1"/>
  <c r="D30" i="73" s="1"/>
  <c r="M29" i="73" a="1"/>
  <c r="M29" i="73" s="1"/>
  <c r="L29" i="73" a="1"/>
  <c r="L29" i="73" s="1"/>
  <c r="M100" i="73" s="1"/>
  <c r="K29" i="73" a="1"/>
  <c r="K29" i="73" s="1"/>
  <c r="J29" i="73" a="1"/>
  <c r="J29" i="73" s="1"/>
  <c r="J100" i="73" s="1"/>
  <c r="I29" i="73" a="1"/>
  <c r="I29" i="73" s="1"/>
  <c r="I100" i="73" s="1"/>
  <c r="H29" i="73" a="1"/>
  <c r="H29" i="73" s="1"/>
  <c r="H100" i="73" s="1"/>
  <c r="G29" i="73" a="1"/>
  <c r="G29" i="73" s="1"/>
  <c r="G100" i="73" s="1"/>
  <c r="F29" i="73" a="1"/>
  <c r="F29" i="73" s="1"/>
  <c r="E29" i="73" a="1"/>
  <c r="E29" i="73" s="1"/>
  <c r="D29" i="73" a="1"/>
  <c r="D29" i="73" s="1"/>
  <c r="M28" i="73" a="1"/>
  <c r="M28" i="73" s="1"/>
  <c r="L28" i="73" a="1"/>
  <c r="L28" i="73" s="1"/>
  <c r="M99" i="73" s="1"/>
  <c r="K28" i="73" a="1"/>
  <c r="K28" i="73" s="1"/>
  <c r="J28" i="73" a="1"/>
  <c r="J28" i="73" s="1"/>
  <c r="J99" i="73" s="1"/>
  <c r="I28" i="73" a="1"/>
  <c r="I28" i="73" s="1"/>
  <c r="I99" i="73" s="1"/>
  <c r="H28" i="73" a="1"/>
  <c r="H28" i="73" s="1"/>
  <c r="H99" i="73" s="1"/>
  <c r="G28" i="73" a="1"/>
  <c r="G28" i="73" s="1"/>
  <c r="G99" i="73" s="1"/>
  <c r="F28" i="73" a="1"/>
  <c r="F28" i="73" s="1"/>
  <c r="E28" i="73" a="1"/>
  <c r="E28" i="73" s="1"/>
  <c r="D28" i="73" a="1"/>
  <c r="D28" i="73" s="1"/>
  <c r="M27" i="73" a="1"/>
  <c r="M27" i="73" s="1"/>
  <c r="P98" i="73" s="1"/>
  <c r="L27" i="73" a="1"/>
  <c r="L27" i="73" s="1"/>
  <c r="M98" i="73" s="1"/>
  <c r="K27" i="73" a="1"/>
  <c r="K27" i="73" s="1"/>
  <c r="K98" i="73" s="1"/>
  <c r="J27" i="73" a="1"/>
  <c r="J27" i="73" s="1"/>
  <c r="J98" i="73" s="1"/>
  <c r="I27" i="73" a="1"/>
  <c r="I27" i="73" s="1"/>
  <c r="I98" i="73" s="1"/>
  <c r="H27" i="73" a="1"/>
  <c r="H27" i="73" s="1"/>
  <c r="H98" i="73" s="1"/>
  <c r="G27" i="73" a="1"/>
  <c r="G27" i="73" s="1"/>
  <c r="G98" i="73" s="1"/>
  <c r="F27" i="73" a="1"/>
  <c r="F27" i="73" s="1"/>
  <c r="F94" i="73" s="1"/>
  <c r="E27" i="73" a="1"/>
  <c r="E27" i="73" s="1"/>
  <c r="D27" i="73" a="1"/>
  <c r="D27" i="73" s="1"/>
  <c r="M26" i="73" a="1"/>
  <c r="M26" i="73" s="1"/>
  <c r="L26" i="73" a="1"/>
  <c r="L26" i="73" s="1"/>
  <c r="M97" i="73" s="1"/>
  <c r="K26" i="73" a="1"/>
  <c r="K26" i="73" s="1"/>
  <c r="J26" i="73" a="1"/>
  <c r="J26" i="73" s="1"/>
  <c r="J97" i="73" s="1"/>
  <c r="I26" i="73" a="1"/>
  <c r="I26" i="73" s="1"/>
  <c r="I97" i="73" s="1"/>
  <c r="H26" i="73" a="1"/>
  <c r="H26" i="73" s="1"/>
  <c r="H97" i="73" s="1"/>
  <c r="G26" i="73" a="1"/>
  <c r="G26" i="73" s="1"/>
  <c r="G97" i="73" s="1"/>
  <c r="F26" i="73" a="1"/>
  <c r="F26" i="73" s="1"/>
  <c r="E26" i="73" a="1"/>
  <c r="E26" i="73" s="1"/>
  <c r="D26" i="73" a="1"/>
  <c r="D26" i="73" s="1"/>
  <c r="M25" i="73" a="1"/>
  <c r="M25" i="73" s="1"/>
  <c r="L25" i="73" a="1"/>
  <c r="L25" i="73" s="1"/>
  <c r="M96" i="73" s="1"/>
  <c r="K25" i="73" a="1"/>
  <c r="K25" i="73" s="1"/>
  <c r="J25" i="73" a="1"/>
  <c r="J25" i="73" s="1"/>
  <c r="J96" i="73" s="1"/>
  <c r="I25" i="73" a="1"/>
  <c r="I25" i="73" s="1"/>
  <c r="I96" i="73" s="1"/>
  <c r="H25" i="73" a="1"/>
  <c r="H25" i="73" s="1"/>
  <c r="H96" i="73" s="1"/>
  <c r="G25" i="73" a="1"/>
  <c r="G25" i="73" s="1"/>
  <c r="G96" i="73" s="1"/>
  <c r="F25" i="73" a="1"/>
  <c r="F25" i="73" s="1"/>
  <c r="E25" i="73" a="1"/>
  <c r="E25" i="73" s="1"/>
  <c r="D25" i="73" a="1"/>
  <c r="D25" i="73" s="1"/>
  <c r="M24" i="73" a="1"/>
  <c r="M24" i="73" s="1"/>
  <c r="P95" i="73" s="1"/>
  <c r="L24" i="73" a="1"/>
  <c r="L24" i="73" s="1"/>
  <c r="M95" i="73" s="1"/>
  <c r="K24" i="73" a="1"/>
  <c r="K24" i="73" s="1"/>
  <c r="J24" i="73" a="1"/>
  <c r="J24" i="73" s="1"/>
  <c r="J95" i="73" s="1"/>
  <c r="I24" i="73" a="1"/>
  <c r="I24" i="73" s="1"/>
  <c r="I95" i="73" s="1"/>
  <c r="H24" i="73" a="1"/>
  <c r="H24" i="73" s="1"/>
  <c r="H95" i="73" s="1"/>
  <c r="G24" i="73" a="1"/>
  <c r="G24" i="73" s="1"/>
  <c r="G95" i="73" s="1"/>
  <c r="F24" i="73" a="1"/>
  <c r="F24" i="73" s="1"/>
  <c r="E24" i="73" a="1"/>
  <c r="E24" i="73" s="1"/>
  <c r="D24" i="73" a="1"/>
  <c r="D24" i="73" s="1"/>
  <c r="M23" i="73" a="1"/>
  <c r="M23" i="73" s="1"/>
  <c r="L23" i="73" a="1"/>
  <c r="L23" i="73" s="1"/>
  <c r="M94" i="73" s="1"/>
  <c r="K23" i="73" a="1"/>
  <c r="K23" i="73" s="1"/>
  <c r="J23" i="73" a="1"/>
  <c r="J23" i="73" s="1"/>
  <c r="J94" i="73" s="1"/>
  <c r="I23" i="73" a="1"/>
  <c r="I23" i="73" s="1"/>
  <c r="I94" i="73" s="1"/>
  <c r="H23" i="73" a="1"/>
  <c r="H23" i="73" s="1"/>
  <c r="H94" i="73" s="1"/>
  <c r="G23" i="73" a="1"/>
  <c r="G23" i="73" s="1"/>
  <c r="G94" i="73" s="1"/>
  <c r="F23" i="73" a="1"/>
  <c r="F23" i="73" s="1"/>
  <c r="F90" i="73" s="1"/>
  <c r="E23" i="73" a="1"/>
  <c r="E23" i="73" s="1"/>
  <c r="D23" i="73" a="1"/>
  <c r="D23" i="73" s="1"/>
  <c r="M22" i="73" a="1"/>
  <c r="M22" i="73" s="1"/>
  <c r="P89" i="73" s="1"/>
  <c r="L22" i="73" a="1"/>
  <c r="L22" i="73" s="1"/>
  <c r="K22" i="73" a="1"/>
  <c r="K22" i="73" s="1"/>
  <c r="L89" i="73" s="1"/>
  <c r="J22" i="73" a="1"/>
  <c r="J22" i="73" s="1"/>
  <c r="I22" i="73" a="1"/>
  <c r="I22" i="73" s="1"/>
  <c r="H22" i="73" a="1"/>
  <c r="H22" i="73" s="1"/>
  <c r="G22" i="73" a="1"/>
  <c r="G22" i="73" s="1"/>
  <c r="F22" i="73" a="1"/>
  <c r="F22" i="73" s="1"/>
  <c r="E22" i="73" a="1"/>
  <c r="E22" i="73" s="1"/>
  <c r="D22" i="73" a="1"/>
  <c r="D22" i="73" s="1"/>
  <c r="M21" i="73" a="1"/>
  <c r="M21" i="73" s="1"/>
  <c r="L21" i="73" a="1"/>
  <c r="L21" i="73" s="1"/>
  <c r="K21" i="73" a="1"/>
  <c r="K21" i="73" s="1"/>
  <c r="J21" i="73" a="1"/>
  <c r="J21" i="73" s="1"/>
  <c r="J92" i="73" s="1"/>
  <c r="I21" i="73" a="1"/>
  <c r="I21" i="73" s="1"/>
  <c r="H21" i="73" a="1"/>
  <c r="H21" i="73" s="1"/>
  <c r="G21" i="73" a="1"/>
  <c r="G21" i="73" s="1"/>
  <c r="G92" i="73" s="1"/>
  <c r="F21" i="73" a="1"/>
  <c r="F21" i="73" s="1"/>
  <c r="E21" i="73" a="1"/>
  <c r="E21" i="73" s="1"/>
  <c r="D21" i="73" a="1"/>
  <c r="D21" i="73" s="1"/>
  <c r="M20" i="73" a="1"/>
  <c r="M20" i="73" s="1"/>
  <c r="P87" i="73" s="1"/>
  <c r="L20" i="73" a="1"/>
  <c r="L20" i="73" s="1"/>
  <c r="K20" i="73" a="1"/>
  <c r="K20" i="73" s="1"/>
  <c r="J20" i="73" a="1"/>
  <c r="J20" i="73" s="1"/>
  <c r="I20" i="73" a="1"/>
  <c r="I20" i="73" s="1"/>
  <c r="H20" i="73" a="1"/>
  <c r="H20" i="73" s="1"/>
  <c r="G20" i="73" a="1"/>
  <c r="G20" i="73" s="1"/>
  <c r="F20" i="73" a="1"/>
  <c r="F20" i="73" s="1"/>
  <c r="E20" i="73" a="1"/>
  <c r="E20" i="73" s="1"/>
  <c r="D20" i="73" a="1"/>
  <c r="D20" i="73" s="1"/>
  <c r="M19" i="73" a="1"/>
  <c r="M19" i="73" s="1"/>
  <c r="P90" i="73" s="1"/>
  <c r="L19" i="73" a="1"/>
  <c r="L19" i="73" s="1"/>
  <c r="K19" i="73" a="1"/>
  <c r="K19" i="73" s="1"/>
  <c r="J19" i="73" a="1"/>
  <c r="J19" i="73" s="1"/>
  <c r="J90" i="73" s="1"/>
  <c r="I19" i="73" a="1"/>
  <c r="I19" i="73" s="1"/>
  <c r="H19" i="73" a="1"/>
  <c r="H19" i="73" s="1"/>
  <c r="G19" i="73" a="1"/>
  <c r="G19" i="73" s="1"/>
  <c r="F19" i="73" a="1"/>
  <c r="F19" i="73" s="1"/>
  <c r="F86" i="73" s="1"/>
  <c r="E19" i="73" a="1"/>
  <c r="E19" i="73" s="1"/>
  <c r="D19" i="73" a="1"/>
  <c r="D19" i="73" s="1"/>
  <c r="D17" i="73" a="1"/>
  <c r="D17" i="73" s="1"/>
  <c r="D16" i="73" a="1"/>
  <c r="D16" i="73" s="1"/>
  <c r="D15" i="73" a="1"/>
  <c r="D15" i="73" s="1"/>
  <c r="D14" i="73"/>
  <c r="D14" i="73" a="1"/>
  <c r="H25" i="72" a="1"/>
  <c r="H25" i="72" s="1"/>
  <c r="G25" i="72" a="1"/>
  <c r="G25" i="72" s="1"/>
  <c r="I552" i="19" s="1" a="1"/>
  <c r="I552" i="19" s="1"/>
  <c r="F25" i="72" a="1"/>
  <c r="F25" i="72" s="1"/>
  <c r="E25" i="72" a="1"/>
  <c r="E25" i="72" s="1"/>
  <c r="D25" i="72" a="1"/>
  <c r="D25" i="72" s="1"/>
  <c r="D22" i="72" a="1"/>
  <c r="D22" i="72" s="1"/>
  <c r="D21" i="72" a="1"/>
  <c r="D21" i="72" s="1"/>
  <c r="F19" i="72" a="1"/>
  <c r="F19" i="72" s="1"/>
  <c r="E19" i="72" a="1"/>
  <c r="E19" i="72" s="1"/>
  <c r="D19" i="72" a="1"/>
  <c r="D19" i="72" s="1"/>
  <c r="F18" i="72" a="1"/>
  <c r="F18" i="72" s="1"/>
  <c r="E18" i="72" a="1"/>
  <c r="E18" i="72" s="1"/>
  <c r="D18" i="72" a="1"/>
  <c r="D18" i="72" s="1"/>
  <c r="F17" i="72" a="1"/>
  <c r="F17" i="72" s="1"/>
  <c r="E17" i="72" a="1"/>
  <c r="E17" i="72" s="1"/>
  <c r="D17" i="72" a="1"/>
  <c r="D17" i="72" s="1"/>
  <c r="F16" i="72" a="1"/>
  <c r="F16" i="72" s="1"/>
  <c r="E16" i="72" a="1"/>
  <c r="E16" i="72" s="1"/>
  <c r="D16" i="72" a="1"/>
  <c r="D16" i="72" s="1"/>
  <c r="F15" i="72" a="1"/>
  <c r="F15" i="72" s="1"/>
  <c r="E15" i="72" a="1"/>
  <c r="E15" i="72" s="1"/>
  <c r="D15" i="72" a="1"/>
  <c r="D15" i="72" s="1"/>
  <c r="F14" i="72" a="1"/>
  <c r="F14" i="72" s="1"/>
  <c r="E14" i="72" a="1"/>
  <c r="E14" i="72" s="1"/>
  <c r="D14" i="72" a="1"/>
  <c r="D14" i="72" s="1"/>
  <c r="F13" i="72" a="1"/>
  <c r="F13" i="72" s="1"/>
  <c r="E13" i="72" a="1"/>
  <c r="E13" i="72" s="1"/>
  <c r="D13" i="72" a="1"/>
  <c r="D13" i="72" s="1"/>
  <c r="F12" i="72" a="1"/>
  <c r="F12" i="72" s="1"/>
  <c r="E12" i="72" a="1"/>
  <c r="E12" i="72" s="1"/>
  <c r="D12" i="72" a="1"/>
  <c r="D12" i="72" s="1"/>
  <c r="F11" i="72" a="1"/>
  <c r="F11" i="72" s="1"/>
  <c r="E11" i="72" a="1"/>
  <c r="E11" i="72" s="1"/>
  <c r="D11" i="72" a="1"/>
  <c r="D11" i="72" s="1"/>
  <c r="F10" i="72" a="1"/>
  <c r="F10" i="72" s="1"/>
  <c r="E10" i="72" a="1"/>
  <c r="E10" i="72" s="1"/>
  <c r="D10" i="72" a="1"/>
  <c r="D10" i="72" s="1"/>
  <c r="D7" i="72" a="1"/>
  <c r="D7" i="72" s="1"/>
  <c r="D6" i="72" a="1"/>
  <c r="D6" i="72" s="1"/>
  <c r="D5" i="72" a="1"/>
  <c r="D5" i="72" s="1"/>
  <c r="AH223" i="71" a="1"/>
  <c r="AH223" i="71" s="1"/>
  <c r="AG223" i="71" a="1"/>
  <c r="AG223" i="71" s="1"/>
  <c r="AF223" i="71" a="1"/>
  <c r="AF223" i="71" s="1"/>
  <c r="AE223" i="71" a="1"/>
  <c r="AE223" i="71" s="1"/>
  <c r="AD223" i="71" a="1"/>
  <c r="AD223" i="71" s="1"/>
  <c r="AC223" i="71" a="1"/>
  <c r="AC223" i="71" s="1"/>
  <c r="AB223" i="71" a="1"/>
  <c r="AB223" i="71" s="1"/>
  <c r="AA223" i="71" a="1"/>
  <c r="AA223" i="71" s="1"/>
  <c r="Z223" i="71" a="1"/>
  <c r="Z223" i="71" s="1"/>
  <c r="Y223" i="71" a="1"/>
  <c r="Y223" i="71" s="1"/>
  <c r="X223" i="71" a="1"/>
  <c r="X223" i="71" s="1"/>
  <c r="W223" i="71" a="1"/>
  <c r="W223" i="71" s="1"/>
  <c r="V223" i="71" a="1"/>
  <c r="V223" i="71" s="1"/>
  <c r="U223" i="71" a="1"/>
  <c r="U223" i="71" s="1"/>
  <c r="T223" i="71" a="1"/>
  <c r="T223" i="71" s="1"/>
  <c r="S223" i="71" a="1"/>
  <c r="S223" i="71" s="1"/>
  <c r="R223" i="71" a="1"/>
  <c r="R223" i="71" s="1"/>
  <c r="Q223" i="71" a="1"/>
  <c r="Q223" i="71" s="1"/>
  <c r="P223" i="71" a="1"/>
  <c r="P223" i="71" s="1"/>
  <c r="O223" i="71" a="1"/>
  <c r="O223" i="71" s="1"/>
  <c r="N223" i="71" a="1"/>
  <c r="N223" i="71" s="1"/>
  <c r="M223" i="71" a="1"/>
  <c r="M223" i="71" s="1"/>
  <c r="L223" i="71" a="1"/>
  <c r="L223" i="71" s="1"/>
  <c r="K223" i="71" a="1"/>
  <c r="K223" i="71" s="1"/>
  <c r="J223" i="71" a="1"/>
  <c r="J223" i="71" s="1"/>
  <c r="I223" i="71" a="1"/>
  <c r="I223" i="71" s="1"/>
  <c r="H223" i="71" a="1"/>
  <c r="H223" i="71" s="1"/>
  <c r="G223" i="71" a="1"/>
  <c r="G223" i="71" s="1"/>
  <c r="F223" i="71" a="1"/>
  <c r="F223" i="71" s="1"/>
  <c r="E223" i="71" a="1"/>
  <c r="E223" i="71" s="1"/>
  <c r="D223" i="71" a="1"/>
  <c r="D223" i="71" s="1"/>
  <c r="AH222" i="71" a="1"/>
  <c r="AH222" i="71" s="1"/>
  <c r="AG222" i="71" a="1"/>
  <c r="AG222" i="71" s="1"/>
  <c r="AF222" i="71" a="1"/>
  <c r="AF222" i="71" s="1"/>
  <c r="AE222" i="71" a="1"/>
  <c r="AE222" i="71" s="1"/>
  <c r="AD222" i="71" a="1"/>
  <c r="AD222" i="71" s="1"/>
  <c r="AC222" i="71" a="1"/>
  <c r="AC222" i="71" s="1"/>
  <c r="AB222" i="71" a="1"/>
  <c r="AB222" i="71" s="1"/>
  <c r="AA222" i="71" a="1"/>
  <c r="AA222" i="71" s="1"/>
  <c r="Z222" i="71" a="1"/>
  <c r="Z222" i="71" s="1"/>
  <c r="Y222" i="71" a="1"/>
  <c r="Y222" i="71" s="1"/>
  <c r="X222" i="71" a="1"/>
  <c r="X222" i="71" s="1"/>
  <c r="W222" i="71" a="1"/>
  <c r="W222" i="71" s="1"/>
  <c r="V222" i="71" a="1"/>
  <c r="V222" i="71" s="1"/>
  <c r="U222" i="71" a="1"/>
  <c r="U222" i="71" s="1"/>
  <c r="T222" i="71" a="1"/>
  <c r="T222" i="71" s="1"/>
  <c r="S222" i="71" a="1"/>
  <c r="S222" i="71" s="1"/>
  <c r="R222" i="71" a="1"/>
  <c r="R222" i="71" s="1"/>
  <c r="Q222" i="71" a="1"/>
  <c r="Q222" i="71" s="1"/>
  <c r="P222" i="71" a="1"/>
  <c r="P222" i="71" s="1"/>
  <c r="O222" i="71" a="1"/>
  <c r="O222" i="71" s="1"/>
  <c r="N222" i="71" a="1"/>
  <c r="N222" i="71" s="1"/>
  <c r="M222" i="71" a="1"/>
  <c r="M222" i="71" s="1"/>
  <c r="L222" i="71" a="1"/>
  <c r="L222" i="71" s="1"/>
  <c r="K222" i="71" a="1"/>
  <c r="K222" i="71" s="1"/>
  <c r="J222" i="71" a="1"/>
  <c r="J222" i="71" s="1"/>
  <c r="I222" i="71" a="1"/>
  <c r="I222" i="71" s="1"/>
  <c r="H222" i="71" a="1"/>
  <c r="H222" i="71" s="1"/>
  <c r="G222" i="71" a="1"/>
  <c r="G222" i="71" s="1"/>
  <c r="F222" i="71" a="1"/>
  <c r="F222" i="71" s="1"/>
  <c r="E222" i="71" a="1"/>
  <c r="E222" i="71" s="1"/>
  <c r="D222" i="71" a="1"/>
  <c r="D222" i="71" s="1"/>
  <c r="AH221" i="71" a="1"/>
  <c r="AH221" i="71" s="1"/>
  <c r="AG221" i="71" a="1"/>
  <c r="AG221" i="71" s="1"/>
  <c r="AF221" i="71" a="1"/>
  <c r="AF221" i="71" s="1"/>
  <c r="AE221" i="71" a="1"/>
  <c r="AE221" i="71" s="1"/>
  <c r="AD221" i="71" a="1"/>
  <c r="AD221" i="71" s="1"/>
  <c r="AC221" i="71" a="1"/>
  <c r="AC221" i="71" s="1"/>
  <c r="AB221" i="71" a="1"/>
  <c r="AB221" i="71" s="1"/>
  <c r="AA221" i="71" a="1"/>
  <c r="AA221" i="71" s="1"/>
  <c r="Z221" i="71" a="1"/>
  <c r="Z221" i="71" s="1"/>
  <c r="Y221" i="71" a="1"/>
  <c r="Y221" i="71" s="1"/>
  <c r="X221" i="71" a="1"/>
  <c r="X221" i="71" s="1"/>
  <c r="W221" i="71" a="1"/>
  <c r="W221" i="71" s="1"/>
  <c r="V221" i="71" a="1"/>
  <c r="V221" i="71" s="1"/>
  <c r="U221" i="71" a="1"/>
  <c r="U221" i="71" s="1"/>
  <c r="T221" i="71" a="1"/>
  <c r="T221" i="71" s="1"/>
  <c r="S221" i="71" a="1"/>
  <c r="S221" i="71" s="1"/>
  <c r="R221" i="71" a="1"/>
  <c r="R221" i="71" s="1"/>
  <c r="Q221" i="71" a="1"/>
  <c r="Q221" i="71" s="1"/>
  <c r="P221" i="71" a="1"/>
  <c r="P221" i="71" s="1"/>
  <c r="O221" i="71" a="1"/>
  <c r="O221" i="71" s="1"/>
  <c r="N221" i="71" a="1"/>
  <c r="N221" i="71" s="1"/>
  <c r="M221" i="71" a="1"/>
  <c r="M221" i="71" s="1"/>
  <c r="L221" i="71" a="1"/>
  <c r="L221" i="71" s="1"/>
  <c r="K221" i="71" a="1"/>
  <c r="K221" i="71" s="1"/>
  <c r="J221" i="71" a="1"/>
  <c r="J221" i="71" s="1"/>
  <c r="I221" i="71" a="1"/>
  <c r="I221" i="71" s="1"/>
  <c r="H221" i="71" a="1"/>
  <c r="H221" i="71" s="1"/>
  <c r="G221" i="71" a="1"/>
  <c r="G221" i="71" s="1"/>
  <c r="F221" i="71" a="1"/>
  <c r="F221" i="71" s="1"/>
  <c r="E221" i="71" a="1"/>
  <c r="E221" i="71" s="1"/>
  <c r="D221" i="71" a="1"/>
  <c r="D221" i="71" s="1"/>
  <c r="AH220" i="71" a="1"/>
  <c r="AH220" i="71" s="1"/>
  <c r="AG220" i="71" a="1"/>
  <c r="AG220" i="71" s="1"/>
  <c r="AF220" i="71" a="1"/>
  <c r="AF220" i="71" s="1"/>
  <c r="AE220" i="71" a="1"/>
  <c r="AE220" i="71" s="1"/>
  <c r="AD220" i="71" a="1"/>
  <c r="AD220" i="71" s="1"/>
  <c r="AC220" i="71" a="1"/>
  <c r="AC220" i="71" s="1"/>
  <c r="AB220" i="71" a="1"/>
  <c r="AB220" i="71" s="1"/>
  <c r="AA220" i="71" a="1"/>
  <c r="AA220" i="71" s="1"/>
  <c r="Z220" i="71" a="1"/>
  <c r="Z220" i="71" s="1"/>
  <c r="Y220" i="71" a="1"/>
  <c r="Y220" i="71" s="1"/>
  <c r="X220" i="71" a="1"/>
  <c r="X220" i="71" s="1"/>
  <c r="W220" i="71" a="1"/>
  <c r="W220" i="71" s="1"/>
  <c r="V220" i="71" a="1"/>
  <c r="V220" i="71" s="1"/>
  <c r="U220" i="71" a="1"/>
  <c r="U220" i="71" s="1"/>
  <c r="T220" i="71" a="1"/>
  <c r="T220" i="71" s="1"/>
  <c r="S220" i="71" a="1"/>
  <c r="S220" i="71" s="1"/>
  <c r="R220" i="71" a="1"/>
  <c r="R220" i="71" s="1"/>
  <c r="Q220" i="71" a="1"/>
  <c r="Q220" i="71" s="1"/>
  <c r="P220" i="71" a="1"/>
  <c r="P220" i="71" s="1"/>
  <c r="O220" i="71" a="1"/>
  <c r="O220" i="71" s="1"/>
  <c r="N220" i="71" a="1"/>
  <c r="N220" i="71" s="1"/>
  <c r="M220" i="71" a="1"/>
  <c r="M220" i="71" s="1"/>
  <c r="L220" i="71" a="1"/>
  <c r="L220" i="71" s="1"/>
  <c r="K220" i="71" a="1"/>
  <c r="K220" i="71" s="1"/>
  <c r="J220" i="71" a="1"/>
  <c r="J220" i="71" s="1"/>
  <c r="I220" i="71" a="1"/>
  <c r="I220" i="71" s="1"/>
  <c r="H220" i="71" a="1"/>
  <c r="H220" i="71" s="1"/>
  <c r="G220" i="71" a="1"/>
  <c r="G220" i="71" s="1"/>
  <c r="F220" i="71" a="1"/>
  <c r="F220" i="71" s="1"/>
  <c r="E220" i="71" a="1"/>
  <c r="E220" i="71" s="1"/>
  <c r="D220" i="71" a="1"/>
  <c r="D220" i="71" s="1"/>
  <c r="AH219" i="71" a="1"/>
  <c r="AH219" i="71" s="1"/>
  <c r="AG219" i="71" a="1"/>
  <c r="AG219" i="71" s="1"/>
  <c r="AF219" i="71" a="1"/>
  <c r="AF219" i="71" s="1"/>
  <c r="AE219" i="71" a="1"/>
  <c r="AE219" i="71" s="1"/>
  <c r="AD219" i="71" a="1"/>
  <c r="AD219" i="71" s="1"/>
  <c r="AC219" i="71" a="1"/>
  <c r="AC219" i="71" s="1"/>
  <c r="AB219" i="71" a="1"/>
  <c r="AB219" i="71" s="1"/>
  <c r="AA219" i="71" a="1"/>
  <c r="AA219" i="71" s="1"/>
  <c r="Z219" i="71" a="1"/>
  <c r="Z219" i="71" s="1"/>
  <c r="Y219" i="71" a="1"/>
  <c r="Y219" i="71" s="1"/>
  <c r="X219" i="71" a="1"/>
  <c r="X219" i="71" s="1"/>
  <c r="W219" i="71" a="1"/>
  <c r="W219" i="71" s="1"/>
  <c r="V219" i="71" a="1"/>
  <c r="V219" i="71" s="1"/>
  <c r="U219" i="71" a="1"/>
  <c r="U219" i="71" s="1"/>
  <c r="T219" i="71" a="1"/>
  <c r="T219" i="71" s="1"/>
  <c r="S219" i="71" a="1"/>
  <c r="S219" i="71" s="1"/>
  <c r="R219" i="71" a="1"/>
  <c r="R219" i="71" s="1"/>
  <c r="Q219" i="71" a="1"/>
  <c r="Q219" i="71" s="1"/>
  <c r="P219" i="71" a="1"/>
  <c r="P219" i="71" s="1"/>
  <c r="O219" i="71" a="1"/>
  <c r="O219" i="71" s="1"/>
  <c r="N219" i="71" a="1"/>
  <c r="N219" i="71" s="1"/>
  <c r="M219" i="71" a="1"/>
  <c r="M219" i="71" s="1"/>
  <c r="L219" i="71" a="1"/>
  <c r="L219" i="71" s="1"/>
  <c r="K219" i="71" a="1"/>
  <c r="K219" i="71" s="1"/>
  <c r="J219" i="71" a="1"/>
  <c r="J219" i="71" s="1"/>
  <c r="I219" i="71" a="1"/>
  <c r="I219" i="71" s="1"/>
  <c r="H219" i="71" a="1"/>
  <c r="H219" i="71" s="1"/>
  <c r="G219" i="71" a="1"/>
  <c r="G219" i="71" s="1"/>
  <c r="F219" i="71" a="1"/>
  <c r="F219" i="71" s="1"/>
  <c r="E219" i="71" a="1"/>
  <c r="E219" i="71" s="1"/>
  <c r="D219" i="71" a="1"/>
  <c r="D219" i="71" s="1"/>
  <c r="AH218" i="71" a="1"/>
  <c r="AH218" i="71" s="1"/>
  <c r="AG218" i="71" a="1"/>
  <c r="AG218" i="71" s="1"/>
  <c r="AF218" i="71" a="1"/>
  <c r="AF218" i="71" s="1"/>
  <c r="AE218" i="71" a="1"/>
  <c r="AE218" i="71" s="1"/>
  <c r="AD218" i="71" a="1"/>
  <c r="AD218" i="71" s="1"/>
  <c r="AC218" i="71" a="1"/>
  <c r="AC218" i="71" s="1"/>
  <c r="AB218" i="71" a="1"/>
  <c r="AB218" i="71" s="1"/>
  <c r="AA218" i="71" a="1"/>
  <c r="AA218" i="71" s="1"/>
  <c r="Z218" i="71" a="1"/>
  <c r="Z218" i="71" s="1"/>
  <c r="Y218" i="71" a="1"/>
  <c r="Y218" i="71" s="1"/>
  <c r="X218" i="71" a="1"/>
  <c r="X218" i="71" s="1"/>
  <c r="W218" i="71" a="1"/>
  <c r="W218" i="71" s="1"/>
  <c r="V218" i="71" a="1"/>
  <c r="V218" i="71" s="1"/>
  <c r="U218" i="71" a="1"/>
  <c r="U218" i="71" s="1"/>
  <c r="T218" i="71" a="1"/>
  <c r="T218" i="71" s="1"/>
  <c r="S218" i="71" a="1"/>
  <c r="S218" i="71" s="1"/>
  <c r="R218" i="71" a="1"/>
  <c r="R218" i="71" s="1"/>
  <c r="Q218" i="71" a="1"/>
  <c r="Q218" i="71" s="1"/>
  <c r="P218" i="71" a="1"/>
  <c r="P218" i="71" s="1"/>
  <c r="O218" i="71" a="1"/>
  <c r="O218" i="71" s="1"/>
  <c r="N218" i="71" a="1"/>
  <c r="N218" i="71" s="1"/>
  <c r="M218" i="71" a="1"/>
  <c r="M218" i="71" s="1"/>
  <c r="L218" i="71" a="1"/>
  <c r="L218" i="71" s="1"/>
  <c r="K218" i="71" a="1"/>
  <c r="K218" i="71" s="1"/>
  <c r="J218" i="71" a="1"/>
  <c r="J218" i="71" s="1"/>
  <c r="I218" i="71" a="1"/>
  <c r="I218" i="71" s="1"/>
  <c r="H218" i="71" a="1"/>
  <c r="H218" i="71" s="1"/>
  <c r="G218" i="71" a="1"/>
  <c r="G218" i="71" s="1"/>
  <c r="F218" i="71" a="1"/>
  <c r="F218" i="71" s="1"/>
  <c r="E218" i="71" a="1"/>
  <c r="E218" i="71" s="1"/>
  <c r="D218" i="71" a="1"/>
  <c r="D218" i="71" s="1"/>
  <c r="AH217" i="71" a="1"/>
  <c r="AH217" i="71" s="1"/>
  <c r="AG217" i="71" a="1"/>
  <c r="AG217" i="71" s="1"/>
  <c r="AF217" i="71" a="1"/>
  <c r="AF217" i="71" s="1"/>
  <c r="AE217" i="71" a="1"/>
  <c r="AE217" i="71" s="1"/>
  <c r="AD217" i="71" a="1"/>
  <c r="AD217" i="71" s="1"/>
  <c r="AC217" i="71" a="1"/>
  <c r="AC217" i="71" s="1"/>
  <c r="AB217" i="71" a="1"/>
  <c r="AB217" i="71" s="1"/>
  <c r="AA217" i="71" a="1"/>
  <c r="AA217" i="71" s="1"/>
  <c r="Z217" i="71" a="1"/>
  <c r="Z217" i="71" s="1"/>
  <c r="Y217" i="71" a="1"/>
  <c r="Y217" i="71" s="1"/>
  <c r="X217" i="71" a="1"/>
  <c r="X217" i="71" s="1"/>
  <c r="W217" i="71" a="1"/>
  <c r="W217" i="71" s="1"/>
  <c r="V217" i="71" a="1"/>
  <c r="V217" i="71" s="1"/>
  <c r="U217" i="71" a="1"/>
  <c r="U217" i="71" s="1"/>
  <c r="T217" i="71" a="1"/>
  <c r="T217" i="71" s="1"/>
  <c r="S217" i="71" a="1"/>
  <c r="S217" i="71" s="1"/>
  <c r="R217" i="71" a="1"/>
  <c r="R217" i="71" s="1"/>
  <c r="Q217" i="71" a="1"/>
  <c r="Q217" i="71" s="1"/>
  <c r="P217" i="71" a="1"/>
  <c r="P217" i="71" s="1"/>
  <c r="O217" i="71" a="1"/>
  <c r="O217" i="71" s="1"/>
  <c r="N217" i="71" a="1"/>
  <c r="N217" i="71" s="1"/>
  <c r="M217" i="71" a="1"/>
  <c r="M217" i="71" s="1"/>
  <c r="L217" i="71" a="1"/>
  <c r="L217" i="71" s="1"/>
  <c r="K217" i="71" a="1"/>
  <c r="K217" i="71" s="1"/>
  <c r="J217" i="71" a="1"/>
  <c r="J217" i="71" s="1"/>
  <c r="I217" i="71" a="1"/>
  <c r="I217" i="71" s="1"/>
  <c r="H217" i="71" a="1"/>
  <c r="H217" i="71" s="1"/>
  <c r="G217" i="71" a="1"/>
  <c r="G217" i="71" s="1"/>
  <c r="F217" i="71" a="1"/>
  <c r="F217" i="71" s="1"/>
  <c r="E217" i="71" a="1"/>
  <c r="E217" i="71" s="1"/>
  <c r="D217" i="71" a="1"/>
  <c r="D217" i="71" s="1"/>
  <c r="AH216" i="71" a="1"/>
  <c r="AH216" i="71" s="1"/>
  <c r="AG216" i="71" a="1"/>
  <c r="AG216" i="71" s="1"/>
  <c r="AF216" i="71" a="1"/>
  <c r="AF216" i="71" s="1"/>
  <c r="AE216" i="71" a="1"/>
  <c r="AE216" i="71" s="1"/>
  <c r="AD216" i="71" a="1"/>
  <c r="AD216" i="71" s="1"/>
  <c r="AC216" i="71" a="1"/>
  <c r="AC216" i="71" s="1"/>
  <c r="AB216" i="71" a="1"/>
  <c r="AB216" i="71" s="1"/>
  <c r="AA216" i="71" a="1"/>
  <c r="AA216" i="71" s="1"/>
  <c r="Z216" i="71" a="1"/>
  <c r="Z216" i="71" s="1"/>
  <c r="Y216" i="71" a="1"/>
  <c r="Y216" i="71" s="1"/>
  <c r="X216" i="71" a="1"/>
  <c r="X216" i="71" s="1"/>
  <c r="W216" i="71" a="1"/>
  <c r="W216" i="71" s="1"/>
  <c r="V216" i="71" a="1"/>
  <c r="V216" i="71" s="1"/>
  <c r="U216" i="71" a="1"/>
  <c r="U216" i="71" s="1"/>
  <c r="T216" i="71" a="1"/>
  <c r="T216" i="71" s="1"/>
  <c r="S216" i="71" a="1"/>
  <c r="S216" i="71" s="1"/>
  <c r="R216" i="71" a="1"/>
  <c r="R216" i="71" s="1"/>
  <c r="Q216" i="71" a="1"/>
  <c r="Q216" i="71" s="1"/>
  <c r="P216" i="71" a="1"/>
  <c r="P216" i="71" s="1"/>
  <c r="O216" i="71" a="1"/>
  <c r="O216" i="71" s="1"/>
  <c r="N216" i="71" a="1"/>
  <c r="N216" i="71" s="1"/>
  <c r="M216" i="71" a="1"/>
  <c r="M216" i="71" s="1"/>
  <c r="L216" i="71" a="1"/>
  <c r="L216" i="71" s="1"/>
  <c r="K216" i="71" a="1"/>
  <c r="K216" i="71" s="1"/>
  <c r="J216" i="71" a="1"/>
  <c r="J216" i="71" s="1"/>
  <c r="I216" i="71" a="1"/>
  <c r="I216" i="71" s="1"/>
  <c r="H216" i="71" a="1"/>
  <c r="H216" i="71" s="1"/>
  <c r="G216" i="71" a="1"/>
  <c r="G216" i="71" s="1"/>
  <c r="F216" i="71" a="1"/>
  <c r="F216" i="71" s="1"/>
  <c r="E216" i="71" a="1"/>
  <c r="E216" i="71" s="1"/>
  <c r="D216" i="71" a="1"/>
  <c r="D216" i="71" s="1"/>
  <c r="AH215" i="71" a="1"/>
  <c r="AH215" i="71" s="1"/>
  <c r="AG215" i="71" a="1"/>
  <c r="AG215" i="71" s="1"/>
  <c r="AF215" i="71" a="1"/>
  <c r="AF215" i="71" s="1"/>
  <c r="AE215" i="71" a="1"/>
  <c r="AE215" i="71" s="1"/>
  <c r="AD215" i="71" a="1"/>
  <c r="AD215" i="71" s="1"/>
  <c r="AC215" i="71" a="1"/>
  <c r="AC215" i="71" s="1"/>
  <c r="AB215" i="71" a="1"/>
  <c r="AB215" i="71" s="1"/>
  <c r="AA215" i="71" a="1"/>
  <c r="AA215" i="71" s="1"/>
  <c r="Z215" i="71" a="1"/>
  <c r="Z215" i="71" s="1"/>
  <c r="Y215" i="71" a="1"/>
  <c r="Y215" i="71" s="1"/>
  <c r="X215" i="71" a="1"/>
  <c r="X215" i="71" s="1"/>
  <c r="W215" i="71" a="1"/>
  <c r="W215" i="71" s="1"/>
  <c r="V215" i="71" a="1"/>
  <c r="V215" i="71" s="1"/>
  <c r="U215" i="71" a="1"/>
  <c r="U215" i="71" s="1"/>
  <c r="T215" i="71" a="1"/>
  <c r="T215" i="71" s="1"/>
  <c r="S215" i="71" a="1"/>
  <c r="S215" i="71" s="1"/>
  <c r="R215" i="71" a="1"/>
  <c r="R215" i="71" s="1"/>
  <c r="Q215" i="71" a="1"/>
  <c r="Q215" i="71" s="1"/>
  <c r="P215" i="71" a="1"/>
  <c r="P215" i="71" s="1"/>
  <c r="O215" i="71" a="1"/>
  <c r="O215" i="71" s="1"/>
  <c r="N215" i="71" a="1"/>
  <c r="N215" i="71" s="1"/>
  <c r="M215" i="71" a="1"/>
  <c r="M215" i="71" s="1"/>
  <c r="L215" i="71" a="1"/>
  <c r="L215" i="71" s="1"/>
  <c r="K215" i="71" a="1"/>
  <c r="K215" i="71" s="1"/>
  <c r="J215" i="71" a="1"/>
  <c r="J215" i="71" s="1"/>
  <c r="I215" i="71" a="1"/>
  <c r="I215" i="71" s="1"/>
  <c r="H215" i="71" a="1"/>
  <c r="H215" i="71" s="1"/>
  <c r="G215" i="71" a="1"/>
  <c r="G215" i="71" s="1"/>
  <c r="F215" i="71" a="1"/>
  <c r="F215" i="71" s="1"/>
  <c r="E215" i="71" a="1"/>
  <c r="E215" i="71" s="1"/>
  <c r="D215" i="71" a="1"/>
  <c r="D215" i="71" s="1"/>
  <c r="AH214" i="71" a="1"/>
  <c r="AH214" i="71" s="1"/>
  <c r="AG214" i="71" a="1"/>
  <c r="AG214" i="71" s="1"/>
  <c r="AF214" i="71" a="1"/>
  <c r="AF214" i="71" s="1"/>
  <c r="AE214" i="71" a="1"/>
  <c r="AE214" i="71" s="1"/>
  <c r="AD214" i="71" a="1"/>
  <c r="AD214" i="71" s="1"/>
  <c r="AC214" i="71" a="1"/>
  <c r="AC214" i="71" s="1"/>
  <c r="AB214" i="71" a="1"/>
  <c r="AB214" i="71" s="1"/>
  <c r="AA214" i="71" a="1"/>
  <c r="AA214" i="71" s="1"/>
  <c r="Z214" i="71" a="1"/>
  <c r="Z214" i="71" s="1"/>
  <c r="Y214" i="71" a="1"/>
  <c r="Y214" i="71" s="1"/>
  <c r="X214" i="71" a="1"/>
  <c r="X214" i="71" s="1"/>
  <c r="W214" i="71" a="1"/>
  <c r="W214" i="71" s="1"/>
  <c r="V214" i="71" a="1"/>
  <c r="V214" i="71" s="1"/>
  <c r="U214" i="71" a="1"/>
  <c r="U214" i="71" s="1"/>
  <c r="T214" i="71" a="1"/>
  <c r="T214" i="71" s="1"/>
  <c r="S214" i="71" a="1"/>
  <c r="S214" i="71" s="1"/>
  <c r="R214" i="71" a="1"/>
  <c r="R214" i="71" s="1"/>
  <c r="Q214" i="71" a="1"/>
  <c r="Q214" i="71" s="1"/>
  <c r="P214" i="71" a="1"/>
  <c r="P214" i="71" s="1"/>
  <c r="O214" i="71" a="1"/>
  <c r="O214" i="71" s="1"/>
  <c r="N214" i="71" a="1"/>
  <c r="N214" i="71" s="1"/>
  <c r="M214" i="71" a="1"/>
  <c r="M214" i="71" s="1"/>
  <c r="L214" i="71" a="1"/>
  <c r="L214" i="71" s="1"/>
  <c r="K214" i="71" a="1"/>
  <c r="K214" i="71" s="1"/>
  <c r="J214" i="71" a="1"/>
  <c r="J214" i="71" s="1"/>
  <c r="I214" i="71" a="1"/>
  <c r="I214" i="71" s="1"/>
  <c r="H214" i="71" a="1"/>
  <c r="H214" i="71" s="1"/>
  <c r="G214" i="71" a="1"/>
  <c r="G214" i="71" s="1"/>
  <c r="F214" i="71" a="1"/>
  <c r="F214" i="71" s="1"/>
  <c r="E214" i="71" a="1"/>
  <c r="E214" i="71" s="1"/>
  <c r="D214" i="71" a="1"/>
  <c r="D214" i="71" s="1"/>
  <c r="AH213" i="71" a="1"/>
  <c r="AH213" i="71" s="1"/>
  <c r="AG213" i="71" a="1"/>
  <c r="AG213" i="71" s="1"/>
  <c r="AF213" i="71" a="1"/>
  <c r="AF213" i="71" s="1"/>
  <c r="AE213" i="71" a="1"/>
  <c r="AE213" i="71" s="1"/>
  <c r="AD213" i="71" a="1"/>
  <c r="AD213" i="71" s="1"/>
  <c r="AC213" i="71" a="1"/>
  <c r="AC213" i="71" s="1"/>
  <c r="AB213" i="71" a="1"/>
  <c r="AB213" i="71" s="1"/>
  <c r="AA213" i="71" a="1"/>
  <c r="AA213" i="71" s="1"/>
  <c r="Z213" i="71" a="1"/>
  <c r="Z213" i="71" s="1"/>
  <c r="Y213" i="71" a="1"/>
  <c r="Y213" i="71" s="1"/>
  <c r="X213" i="71" a="1"/>
  <c r="X213" i="71" s="1"/>
  <c r="W213" i="71" a="1"/>
  <c r="W213" i="71" s="1"/>
  <c r="V213" i="71" a="1"/>
  <c r="V213" i="71" s="1"/>
  <c r="U213" i="71" a="1"/>
  <c r="U213" i="71" s="1"/>
  <c r="T213" i="71" a="1"/>
  <c r="T213" i="71" s="1"/>
  <c r="S213" i="71" a="1"/>
  <c r="S213" i="71" s="1"/>
  <c r="R213" i="71" a="1"/>
  <c r="R213" i="71" s="1"/>
  <c r="Q213" i="71" a="1"/>
  <c r="Q213" i="71" s="1"/>
  <c r="P213" i="71" a="1"/>
  <c r="P213" i="71" s="1"/>
  <c r="O213" i="71" a="1"/>
  <c r="O213" i="71" s="1"/>
  <c r="N213" i="71" a="1"/>
  <c r="N213" i="71" s="1"/>
  <c r="M213" i="71" a="1"/>
  <c r="M213" i="71" s="1"/>
  <c r="L213" i="71" a="1"/>
  <c r="L213" i="71" s="1"/>
  <c r="K213" i="71" a="1"/>
  <c r="K213" i="71" s="1"/>
  <c r="J213" i="71" a="1"/>
  <c r="J213" i="71" s="1"/>
  <c r="I213" i="71" a="1"/>
  <c r="I213" i="71" s="1"/>
  <c r="H213" i="71" a="1"/>
  <c r="H213" i="71" s="1"/>
  <c r="G213" i="71" a="1"/>
  <c r="G213" i="71" s="1"/>
  <c r="F213" i="71" a="1"/>
  <c r="F213" i="71" s="1"/>
  <c r="E213" i="71" a="1"/>
  <c r="E213" i="71" s="1"/>
  <c r="D213" i="71" a="1"/>
  <c r="D213" i="71" s="1"/>
  <c r="AH212" i="71" a="1"/>
  <c r="AH212" i="71" s="1"/>
  <c r="AG212" i="71" a="1"/>
  <c r="AG212" i="71" s="1"/>
  <c r="AF212" i="71" a="1"/>
  <c r="AF212" i="71" s="1"/>
  <c r="AE212" i="71" a="1"/>
  <c r="AE212" i="71" s="1"/>
  <c r="AD212" i="71" a="1"/>
  <c r="AD212" i="71" s="1"/>
  <c r="AC212" i="71" a="1"/>
  <c r="AC212" i="71" s="1"/>
  <c r="AB212" i="71" a="1"/>
  <c r="AB212" i="71" s="1"/>
  <c r="AA212" i="71" a="1"/>
  <c r="AA212" i="71" s="1"/>
  <c r="Z212" i="71" a="1"/>
  <c r="Z212" i="71" s="1"/>
  <c r="Y212" i="71" a="1"/>
  <c r="Y212" i="71" s="1"/>
  <c r="X212" i="71" a="1"/>
  <c r="X212" i="71" s="1"/>
  <c r="W212" i="71" a="1"/>
  <c r="W212" i="71" s="1"/>
  <c r="V212" i="71" a="1"/>
  <c r="V212" i="71" s="1"/>
  <c r="U212" i="71" a="1"/>
  <c r="U212" i="71" s="1"/>
  <c r="T212" i="71" a="1"/>
  <c r="T212" i="71" s="1"/>
  <c r="S212" i="71" a="1"/>
  <c r="S212" i="71" s="1"/>
  <c r="R212" i="71" a="1"/>
  <c r="R212" i="71" s="1"/>
  <c r="Q212" i="71" a="1"/>
  <c r="Q212" i="71" s="1"/>
  <c r="P212" i="71" a="1"/>
  <c r="P212" i="71" s="1"/>
  <c r="O212" i="71" a="1"/>
  <c r="O212" i="71" s="1"/>
  <c r="N212" i="71" a="1"/>
  <c r="N212" i="71" s="1"/>
  <c r="M212" i="71" a="1"/>
  <c r="M212" i="71" s="1"/>
  <c r="L212" i="71" a="1"/>
  <c r="L212" i="71" s="1"/>
  <c r="K212" i="71" a="1"/>
  <c r="K212" i="71" s="1"/>
  <c r="J212" i="71" a="1"/>
  <c r="J212" i="71" s="1"/>
  <c r="I212" i="71" a="1"/>
  <c r="I212" i="71" s="1"/>
  <c r="H212" i="71" a="1"/>
  <c r="H212" i="71" s="1"/>
  <c r="G212" i="71" a="1"/>
  <c r="G212" i="71" s="1"/>
  <c r="F212" i="71" a="1"/>
  <c r="F212" i="71" s="1"/>
  <c r="E212" i="71" a="1"/>
  <c r="E212" i="71" s="1"/>
  <c r="D212" i="71" a="1"/>
  <c r="D212" i="71" s="1"/>
  <c r="AH211" i="71" a="1"/>
  <c r="AH211" i="71" s="1"/>
  <c r="AG211" i="71" a="1"/>
  <c r="AG211" i="71" s="1"/>
  <c r="AF211" i="71" a="1"/>
  <c r="AF211" i="71" s="1"/>
  <c r="AE211" i="71" a="1"/>
  <c r="AE211" i="71" s="1"/>
  <c r="AD211" i="71" a="1"/>
  <c r="AD211" i="71" s="1"/>
  <c r="AC211" i="71" a="1"/>
  <c r="AC211" i="71" s="1"/>
  <c r="AB211" i="71" a="1"/>
  <c r="AB211" i="71" s="1"/>
  <c r="AA211" i="71" a="1"/>
  <c r="AA211" i="71" s="1"/>
  <c r="Z211" i="71" a="1"/>
  <c r="Z211" i="71" s="1"/>
  <c r="Y211" i="71" a="1"/>
  <c r="Y211" i="71" s="1"/>
  <c r="X211" i="71" a="1"/>
  <c r="X211" i="71" s="1"/>
  <c r="W211" i="71" a="1"/>
  <c r="W211" i="71" s="1"/>
  <c r="V211" i="71" a="1"/>
  <c r="V211" i="71" s="1"/>
  <c r="U211" i="71" a="1"/>
  <c r="U211" i="71" s="1"/>
  <c r="T211" i="71" a="1"/>
  <c r="T211" i="71" s="1"/>
  <c r="S211" i="71" a="1"/>
  <c r="S211" i="71" s="1"/>
  <c r="R211" i="71" a="1"/>
  <c r="R211" i="71" s="1"/>
  <c r="Q211" i="71" a="1"/>
  <c r="Q211" i="71" s="1"/>
  <c r="P211" i="71" a="1"/>
  <c r="P211" i="71" s="1"/>
  <c r="O211" i="71" a="1"/>
  <c r="O211" i="71" s="1"/>
  <c r="N211" i="71" a="1"/>
  <c r="N211" i="71" s="1"/>
  <c r="M211" i="71" a="1"/>
  <c r="M211" i="71" s="1"/>
  <c r="L211" i="71" a="1"/>
  <c r="L211" i="71" s="1"/>
  <c r="K211" i="71" a="1"/>
  <c r="K211" i="71" s="1"/>
  <c r="J211" i="71" a="1"/>
  <c r="J211" i="71" s="1"/>
  <c r="I211" i="71" a="1"/>
  <c r="I211" i="71" s="1"/>
  <c r="H211" i="71" a="1"/>
  <c r="H211" i="71" s="1"/>
  <c r="G211" i="71" a="1"/>
  <c r="G211" i="71" s="1"/>
  <c r="F211" i="71" a="1"/>
  <c r="F211" i="71" s="1"/>
  <c r="E211" i="71" a="1"/>
  <c r="E211" i="71" s="1"/>
  <c r="D211" i="71" a="1"/>
  <c r="D211" i="71" s="1"/>
  <c r="AH210" i="71" a="1"/>
  <c r="AH210" i="71" s="1"/>
  <c r="AG210" i="71" a="1"/>
  <c r="AG210" i="71" s="1"/>
  <c r="AF210" i="71" a="1"/>
  <c r="AF210" i="71" s="1"/>
  <c r="AE210" i="71" a="1"/>
  <c r="AE210" i="71" s="1"/>
  <c r="AD210" i="71" a="1"/>
  <c r="AD210" i="71" s="1"/>
  <c r="AC210" i="71" a="1"/>
  <c r="AC210" i="71" s="1"/>
  <c r="AB210" i="71" a="1"/>
  <c r="AB210" i="71" s="1"/>
  <c r="AA210" i="71" a="1"/>
  <c r="AA210" i="71" s="1"/>
  <c r="Z210" i="71" a="1"/>
  <c r="Z210" i="71" s="1"/>
  <c r="Y210" i="71" a="1"/>
  <c r="Y210" i="71" s="1"/>
  <c r="X210" i="71" a="1"/>
  <c r="X210" i="71" s="1"/>
  <c r="W210" i="71" a="1"/>
  <c r="W210" i="71" s="1"/>
  <c r="V210" i="71" a="1"/>
  <c r="V210" i="71" s="1"/>
  <c r="U210" i="71" a="1"/>
  <c r="U210" i="71" s="1"/>
  <c r="T210" i="71" a="1"/>
  <c r="T210" i="71" s="1"/>
  <c r="S210" i="71" a="1"/>
  <c r="S210" i="71" s="1"/>
  <c r="R210" i="71" a="1"/>
  <c r="R210" i="71" s="1"/>
  <c r="Q210" i="71" a="1"/>
  <c r="Q210" i="71" s="1"/>
  <c r="P210" i="71" a="1"/>
  <c r="P210" i="71" s="1"/>
  <c r="O210" i="71" a="1"/>
  <c r="O210" i="71" s="1"/>
  <c r="N210" i="71" a="1"/>
  <c r="N210" i="71" s="1"/>
  <c r="M210" i="71" a="1"/>
  <c r="M210" i="71" s="1"/>
  <c r="L210" i="71" a="1"/>
  <c r="L210" i="71" s="1"/>
  <c r="K210" i="71" a="1"/>
  <c r="K210" i="71" s="1"/>
  <c r="J210" i="71" a="1"/>
  <c r="J210" i="71" s="1"/>
  <c r="I210" i="71" a="1"/>
  <c r="I210" i="71" s="1"/>
  <c r="H210" i="71" a="1"/>
  <c r="H210" i="71" s="1"/>
  <c r="G210" i="71" a="1"/>
  <c r="G210" i="71" s="1"/>
  <c r="F210" i="71" a="1"/>
  <c r="F210" i="71" s="1"/>
  <c r="E210" i="71" a="1"/>
  <c r="E210" i="71" s="1"/>
  <c r="D210" i="71" a="1"/>
  <c r="D210" i="71" s="1"/>
  <c r="AH209" i="71" a="1"/>
  <c r="AH209" i="71" s="1"/>
  <c r="AG209" i="71" a="1"/>
  <c r="AG209" i="71" s="1"/>
  <c r="AF209" i="71" a="1"/>
  <c r="AF209" i="71" s="1"/>
  <c r="AE209" i="71" a="1"/>
  <c r="AE209" i="71" s="1"/>
  <c r="AD209" i="71" a="1"/>
  <c r="AD209" i="71" s="1"/>
  <c r="AC209" i="71" a="1"/>
  <c r="AC209" i="71" s="1"/>
  <c r="AB209" i="71" a="1"/>
  <c r="AB209" i="71" s="1"/>
  <c r="AA209" i="71" a="1"/>
  <c r="AA209" i="71" s="1"/>
  <c r="Z209" i="71" a="1"/>
  <c r="Z209" i="71" s="1"/>
  <c r="Y209" i="71" a="1"/>
  <c r="Y209" i="71" s="1"/>
  <c r="X209" i="71" a="1"/>
  <c r="X209" i="71" s="1"/>
  <c r="W209" i="71" a="1"/>
  <c r="W209" i="71" s="1"/>
  <c r="V209" i="71" a="1"/>
  <c r="V209" i="71" s="1"/>
  <c r="U209" i="71" a="1"/>
  <c r="U209" i="71" s="1"/>
  <c r="T209" i="71" a="1"/>
  <c r="T209" i="71" s="1"/>
  <c r="S209" i="71" a="1"/>
  <c r="S209" i="71" s="1"/>
  <c r="R209" i="71" a="1"/>
  <c r="R209" i="71" s="1"/>
  <c r="Q209" i="71" a="1"/>
  <c r="Q209" i="71" s="1"/>
  <c r="P209" i="71" a="1"/>
  <c r="P209" i="71" s="1"/>
  <c r="O209" i="71" a="1"/>
  <c r="O209" i="71" s="1"/>
  <c r="N209" i="71" a="1"/>
  <c r="N209" i="71" s="1"/>
  <c r="M209" i="71" a="1"/>
  <c r="M209" i="71" s="1"/>
  <c r="L209" i="71" a="1"/>
  <c r="L209" i="71" s="1"/>
  <c r="K209" i="71" a="1"/>
  <c r="K209" i="71" s="1"/>
  <c r="J209" i="71" a="1"/>
  <c r="J209" i="71" s="1"/>
  <c r="I209" i="71" a="1"/>
  <c r="I209" i="71" s="1"/>
  <c r="H209" i="71" a="1"/>
  <c r="H209" i="71" s="1"/>
  <c r="G209" i="71" a="1"/>
  <c r="G209" i="71" s="1"/>
  <c r="F209" i="71" a="1"/>
  <c r="F209" i="71" s="1"/>
  <c r="E209" i="71" a="1"/>
  <c r="E209" i="71" s="1"/>
  <c r="D209" i="71" a="1"/>
  <c r="D209" i="71" s="1"/>
  <c r="AH208" i="71" a="1"/>
  <c r="AH208" i="71" s="1"/>
  <c r="AG208" i="71" a="1"/>
  <c r="AG208" i="71" s="1"/>
  <c r="AF208" i="71" a="1"/>
  <c r="AF208" i="71" s="1"/>
  <c r="AE208" i="71" a="1"/>
  <c r="AE208" i="71" s="1"/>
  <c r="AD208" i="71" a="1"/>
  <c r="AD208" i="71" s="1"/>
  <c r="AC208" i="71" a="1"/>
  <c r="AC208" i="71" s="1"/>
  <c r="AB208" i="71" a="1"/>
  <c r="AB208" i="71" s="1"/>
  <c r="AA208" i="71" a="1"/>
  <c r="AA208" i="71" s="1"/>
  <c r="Z208" i="71" a="1"/>
  <c r="Z208" i="71" s="1"/>
  <c r="Y208" i="71" a="1"/>
  <c r="Y208" i="71" s="1"/>
  <c r="X208" i="71" a="1"/>
  <c r="X208" i="71" s="1"/>
  <c r="W208" i="71" a="1"/>
  <c r="W208" i="71" s="1"/>
  <c r="V208" i="71" a="1"/>
  <c r="V208" i="71" s="1"/>
  <c r="U208" i="71" a="1"/>
  <c r="U208" i="71" s="1"/>
  <c r="T208" i="71" a="1"/>
  <c r="T208" i="71" s="1"/>
  <c r="S208" i="71" a="1"/>
  <c r="S208" i="71" s="1"/>
  <c r="R208" i="71" a="1"/>
  <c r="R208" i="71" s="1"/>
  <c r="Q208" i="71" a="1"/>
  <c r="Q208" i="71" s="1"/>
  <c r="P208" i="71" a="1"/>
  <c r="P208" i="71" s="1"/>
  <c r="O208" i="71" a="1"/>
  <c r="O208" i="71" s="1"/>
  <c r="N208" i="71" a="1"/>
  <c r="N208" i="71" s="1"/>
  <c r="M208" i="71" a="1"/>
  <c r="M208" i="71" s="1"/>
  <c r="L208" i="71" a="1"/>
  <c r="L208" i="71" s="1"/>
  <c r="K208" i="71" a="1"/>
  <c r="K208" i="71" s="1"/>
  <c r="J208" i="71" a="1"/>
  <c r="J208" i="71" s="1"/>
  <c r="I208" i="71" a="1"/>
  <c r="I208" i="71" s="1"/>
  <c r="H208" i="71" a="1"/>
  <c r="H208" i="71" s="1"/>
  <c r="G208" i="71" a="1"/>
  <c r="G208" i="71" s="1"/>
  <c r="F208" i="71" a="1"/>
  <c r="F208" i="71" s="1"/>
  <c r="E208" i="71" a="1"/>
  <c r="E208" i="71" s="1"/>
  <c r="D208" i="71" a="1"/>
  <c r="D208" i="71" s="1"/>
  <c r="AH207" i="71" a="1"/>
  <c r="AH207" i="71" s="1"/>
  <c r="AG207" i="71" a="1"/>
  <c r="AG207" i="71" s="1"/>
  <c r="AF207" i="71" a="1"/>
  <c r="AF207" i="71" s="1"/>
  <c r="AE207" i="71" a="1"/>
  <c r="AE207" i="71" s="1"/>
  <c r="AD207" i="71" a="1"/>
  <c r="AD207" i="71" s="1"/>
  <c r="AC207" i="71" a="1"/>
  <c r="AC207" i="71" s="1"/>
  <c r="AB207" i="71" a="1"/>
  <c r="AB207" i="71" s="1"/>
  <c r="AA207" i="71" a="1"/>
  <c r="AA207" i="71" s="1"/>
  <c r="Z207" i="71" a="1"/>
  <c r="Z207" i="71" s="1"/>
  <c r="Y207" i="71" a="1"/>
  <c r="Y207" i="71" s="1"/>
  <c r="X207" i="71" a="1"/>
  <c r="X207" i="71" s="1"/>
  <c r="W207" i="71" a="1"/>
  <c r="W207" i="71" s="1"/>
  <c r="V207" i="71" a="1"/>
  <c r="V207" i="71" s="1"/>
  <c r="U207" i="71" a="1"/>
  <c r="U207" i="71" s="1"/>
  <c r="T207" i="71" a="1"/>
  <c r="T207" i="71" s="1"/>
  <c r="S207" i="71" a="1"/>
  <c r="S207" i="71" s="1"/>
  <c r="R207" i="71" a="1"/>
  <c r="R207" i="71" s="1"/>
  <c r="Q207" i="71" a="1"/>
  <c r="Q207" i="71" s="1"/>
  <c r="P207" i="71" a="1"/>
  <c r="P207" i="71" s="1"/>
  <c r="O207" i="71" a="1"/>
  <c r="O207" i="71" s="1"/>
  <c r="N207" i="71" a="1"/>
  <c r="N207" i="71" s="1"/>
  <c r="M207" i="71" a="1"/>
  <c r="M207" i="71" s="1"/>
  <c r="L207" i="71" a="1"/>
  <c r="L207" i="71" s="1"/>
  <c r="K207" i="71" a="1"/>
  <c r="K207" i="71" s="1"/>
  <c r="J207" i="71" a="1"/>
  <c r="J207" i="71" s="1"/>
  <c r="I207" i="71" a="1"/>
  <c r="I207" i="71" s="1"/>
  <c r="H207" i="71" a="1"/>
  <c r="H207" i="71" s="1"/>
  <c r="G207" i="71" a="1"/>
  <c r="G207" i="71" s="1"/>
  <c r="F207" i="71" a="1"/>
  <c r="F207" i="71" s="1"/>
  <c r="E207" i="71" a="1"/>
  <c r="E207" i="71" s="1"/>
  <c r="D207" i="71" a="1"/>
  <c r="D207" i="71" s="1"/>
  <c r="AH206" i="71" a="1"/>
  <c r="AH206" i="71" s="1"/>
  <c r="AG206" i="71" a="1"/>
  <c r="AG206" i="71" s="1"/>
  <c r="AF206" i="71" a="1"/>
  <c r="AF206" i="71" s="1"/>
  <c r="AE206" i="71" a="1"/>
  <c r="AE206" i="71" s="1"/>
  <c r="AD206" i="71" a="1"/>
  <c r="AD206" i="71" s="1"/>
  <c r="AC206" i="71" a="1"/>
  <c r="AC206" i="71" s="1"/>
  <c r="AB206" i="71" a="1"/>
  <c r="AB206" i="71" s="1"/>
  <c r="AA206" i="71" a="1"/>
  <c r="AA206" i="71" s="1"/>
  <c r="Z206" i="71" a="1"/>
  <c r="Z206" i="71" s="1"/>
  <c r="Y206" i="71" a="1"/>
  <c r="Y206" i="71" s="1"/>
  <c r="X206" i="71" a="1"/>
  <c r="X206" i="71" s="1"/>
  <c r="W206" i="71" a="1"/>
  <c r="W206" i="71" s="1"/>
  <c r="V206" i="71" a="1"/>
  <c r="V206" i="71" s="1"/>
  <c r="U206" i="71" a="1"/>
  <c r="U206" i="71" s="1"/>
  <c r="T206" i="71" a="1"/>
  <c r="T206" i="71" s="1"/>
  <c r="S206" i="71" a="1"/>
  <c r="S206" i="71" s="1"/>
  <c r="R206" i="71" a="1"/>
  <c r="R206" i="71" s="1"/>
  <c r="Q206" i="71" a="1"/>
  <c r="Q206" i="71" s="1"/>
  <c r="P206" i="71" a="1"/>
  <c r="P206" i="71" s="1"/>
  <c r="O206" i="71" a="1"/>
  <c r="O206" i="71" s="1"/>
  <c r="N206" i="71" a="1"/>
  <c r="N206" i="71" s="1"/>
  <c r="M206" i="71" a="1"/>
  <c r="M206" i="71" s="1"/>
  <c r="L206" i="71" a="1"/>
  <c r="L206" i="71" s="1"/>
  <c r="K206" i="71" a="1"/>
  <c r="K206" i="71" s="1"/>
  <c r="J206" i="71" a="1"/>
  <c r="J206" i="71" s="1"/>
  <c r="I206" i="71" a="1"/>
  <c r="I206" i="71" s="1"/>
  <c r="H206" i="71" a="1"/>
  <c r="H206" i="71" s="1"/>
  <c r="G206" i="71" a="1"/>
  <c r="G206" i="71" s="1"/>
  <c r="F206" i="71" a="1"/>
  <c r="F206" i="71" s="1"/>
  <c r="E206" i="71" a="1"/>
  <c r="E206" i="71" s="1"/>
  <c r="D206" i="71" a="1"/>
  <c r="D206" i="71" s="1"/>
  <c r="AH205" i="71" a="1"/>
  <c r="AH205" i="71" s="1"/>
  <c r="AG205" i="71" a="1"/>
  <c r="AG205" i="71" s="1"/>
  <c r="AF205" i="71" a="1"/>
  <c r="AF205" i="71" s="1"/>
  <c r="AE205" i="71" a="1"/>
  <c r="AE205" i="71" s="1"/>
  <c r="AD205" i="71" a="1"/>
  <c r="AD205" i="71" s="1"/>
  <c r="AC205" i="71" a="1"/>
  <c r="AC205" i="71" s="1"/>
  <c r="AB205" i="71" a="1"/>
  <c r="AB205" i="71" s="1"/>
  <c r="AA205" i="71" a="1"/>
  <c r="AA205" i="71" s="1"/>
  <c r="Z205" i="71" a="1"/>
  <c r="Z205" i="71" s="1"/>
  <c r="Y205" i="71" a="1"/>
  <c r="Y205" i="71" s="1"/>
  <c r="X205" i="71" a="1"/>
  <c r="X205" i="71" s="1"/>
  <c r="W205" i="71" a="1"/>
  <c r="W205" i="71" s="1"/>
  <c r="V205" i="71" a="1"/>
  <c r="V205" i="71" s="1"/>
  <c r="U205" i="71" a="1"/>
  <c r="U205" i="71" s="1"/>
  <c r="T205" i="71" a="1"/>
  <c r="T205" i="71" s="1"/>
  <c r="S205" i="71" a="1"/>
  <c r="S205" i="71" s="1"/>
  <c r="R205" i="71" a="1"/>
  <c r="R205" i="71" s="1"/>
  <c r="Q205" i="71" a="1"/>
  <c r="Q205" i="71" s="1"/>
  <c r="P205" i="71" a="1"/>
  <c r="P205" i="71" s="1"/>
  <c r="O205" i="71" a="1"/>
  <c r="O205" i="71" s="1"/>
  <c r="N205" i="71" a="1"/>
  <c r="N205" i="71" s="1"/>
  <c r="M205" i="71" a="1"/>
  <c r="M205" i="71" s="1"/>
  <c r="L205" i="71" a="1"/>
  <c r="L205" i="71" s="1"/>
  <c r="K205" i="71" a="1"/>
  <c r="K205" i="71" s="1"/>
  <c r="J205" i="71" a="1"/>
  <c r="J205" i="71" s="1"/>
  <c r="I205" i="71" a="1"/>
  <c r="I205" i="71" s="1"/>
  <c r="H205" i="71" a="1"/>
  <c r="H205" i="71" s="1"/>
  <c r="G205" i="71" a="1"/>
  <c r="G205" i="71" s="1"/>
  <c r="F205" i="71" a="1"/>
  <c r="F205" i="71" s="1"/>
  <c r="E205" i="71" a="1"/>
  <c r="E205" i="71" s="1"/>
  <c r="D205" i="71" a="1"/>
  <c r="D205" i="71" s="1"/>
  <c r="AH204" i="71" a="1"/>
  <c r="AH204" i="71" s="1"/>
  <c r="AG204" i="71" a="1"/>
  <c r="AG204" i="71" s="1"/>
  <c r="AF204" i="71" a="1"/>
  <c r="AF204" i="71" s="1"/>
  <c r="AE204" i="71" a="1"/>
  <c r="AE204" i="71" s="1"/>
  <c r="AD204" i="71" a="1"/>
  <c r="AD204" i="71" s="1"/>
  <c r="AC204" i="71" a="1"/>
  <c r="AC204" i="71" s="1"/>
  <c r="AB204" i="71" a="1"/>
  <c r="AB204" i="71" s="1"/>
  <c r="AA204" i="71" a="1"/>
  <c r="AA204" i="71" s="1"/>
  <c r="Z204" i="71" a="1"/>
  <c r="Z204" i="71" s="1"/>
  <c r="Y204" i="71" a="1"/>
  <c r="Y204" i="71" s="1"/>
  <c r="X204" i="71" a="1"/>
  <c r="X204" i="71" s="1"/>
  <c r="W204" i="71" a="1"/>
  <c r="W204" i="71" s="1"/>
  <c r="V204" i="71" a="1"/>
  <c r="V204" i="71" s="1"/>
  <c r="U204" i="71" a="1"/>
  <c r="U204" i="71" s="1"/>
  <c r="T204" i="71" a="1"/>
  <c r="T204" i="71" s="1"/>
  <c r="S204" i="71" a="1"/>
  <c r="S204" i="71" s="1"/>
  <c r="R204" i="71" a="1"/>
  <c r="R204" i="71" s="1"/>
  <c r="Q204" i="71" a="1"/>
  <c r="Q204" i="71" s="1"/>
  <c r="P204" i="71" a="1"/>
  <c r="P204" i="71" s="1"/>
  <c r="O204" i="71" a="1"/>
  <c r="O204" i="71" s="1"/>
  <c r="N204" i="71" a="1"/>
  <c r="N204" i="71" s="1"/>
  <c r="M204" i="71" a="1"/>
  <c r="M204" i="71" s="1"/>
  <c r="L204" i="71" a="1"/>
  <c r="L204" i="71" s="1"/>
  <c r="K204" i="71" a="1"/>
  <c r="K204" i="71" s="1"/>
  <c r="J204" i="71" a="1"/>
  <c r="J204" i="71" s="1"/>
  <c r="I204" i="71" a="1"/>
  <c r="I204" i="71" s="1"/>
  <c r="H204" i="71" a="1"/>
  <c r="H204" i="71" s="1"/>
  <c r="G204" i="71" a="1"/>
  <c r="G204" i="71" s="1"/>
  <c r="F204" i="71" a="1"/>
  <c r="F204" i="71" s="1"/>
  <c r="E204" i="71" a="1"/>
  <c r="E204" i="71" s="1"/>
  <c r="D204" i="71" a="1"/>
  <c r="D204" i="71" s="1"/>
  <c r="AH203" i="71" a="1"/>
  <c r="AH203" i="71" s="1"/>
  <c r="AG203" i="71" a="1"/>
  <c r="AG203" i="71" s="1"/>
  <c r="AF203" i="71" a="1"/>
  <c r="AF203" i="71" s="1"/>
  <c r="AE203" i="71" a="1"/>
  <c r="AE203" i="71" s="1"/>
  <c r="AD203" i="71" a="1"/>
  <c r="AD203" i="71" s="1"/>
  <c r="AC203" i="71" a="1"/>
  <c r="AC203" i="71" s="1"/>
  <c r="AB203" i="71" a="1"/>
  <c r="AB203" i="71" s="1"/>
  <c r="AA203" i="71" a="1"/>
  <c r="AA203" i="71" s="1"/>
  <c r="Z203" i="71" a="1"/>
  <c r="Z203" i="71" s="1"/>
  <c r="Y203" i="71" a="1"/>
  <c r="Y203" i="71" s="1"/>
  <c r="X203" i="71" a="1"/>
  <c r="X203" i="71" s="1"/>
  <c r="W203" i="71" a="1"/>
  <c r="W203" i="71" s="1"/>
  <c r="V203" i="71" a="1"/>
  <c r="V203" i="71" s="1"/>
  <c r="U203" i="71" a="1"/>
  <c r="U203" i="71" s="1"/>
  <c r="T203" i="71" a="1"/>
  <c r="T203" i="71" s="1"/>
  <c r="S203" i="71" a="1"/>
  <c r="S203" i="71" s="1"/>
  <c r="R203" i="71" a="1"/>
  <c r="R203" i="71" s="1"/>
  <c r="Q203" i="71" a="1"/>
  <c r="Q203" i="71" s="1"/>
  <c r="P203" i="71" a="1"/>
  <c r="P203" i="71" s="1"/>
  <c r="O203" i="71" a="1"/>
  <c r="O203" i="71" s="1"/>
  <c r="N203" i="71" a="1"/>
  <c r="N203" i="71" s="1"/>
  <c r="M203" i="71" a="1"/>
  <c r="M203" i="71" s="1"/>
  <c r="L203" i="71" a="1"/>
  <c r="L203" i="71" s="1"/>
  <c r="K203" i="71" a="1"/>
  <c r="K203" i="71" s="1"/>
  <c r="J203" i="71" a="1"/>
  <c r="J203" i="71" s="1"/>
  <c r="I203" i="71" a="1"/>
  <c r="I203" i="71" s="1"/>
  <c r="H203" i="71" a="1"/>
  <c r="H203" i="71" s="1"/>
  <c r="G203" i="71" a="1"/>
  <c r="G203" i="71" s="1"/>
  <c r="F203" i="71" a="1"/>
  <c r="F203" i="71" s="1"/>
  <c r="E203" i="71" a="1"/>
  <c r="E203" i="71" s="1"/>
  <c r="D203" i="71" a="1"/>
  <c r="D203" i="71" s="1"/>
  <c r="AH202" i="71" a="1"/>
  <c r="AH202" i="71" s="1"/>
  <c r="AG202" i="71" a="1"/>
  <c r="AG202" i="71" s="1"/>
  <c r="AF202" i="71" a="1"/>
  <c r="AF202" i="71" s="1"/>
  <c r="AE202" i="71" a="1"/>
  <c r="AE202" i="71" s="1"/>
  <c r="AD202" i="71" a="1"/>
  <c r="AD202" i="71" s="1"/>
  <c r="AC202" i="71" a="1"/>
  <c r="AC202" i="71" s="1"/>
  <c r="AB202" i="71" a="1"/>
  <c r="AB202" i="71" s="1"/>
  <c r="AA202" i="71" a="1"/>
  <c r="AA202" i="71" s="1"/>
  <c r="Z202" i="71" a="1"/>
  <c r="Z202" i="71" s="1"/>
  <c r="Y202" i="71" a="1"/>
  <c r="Y202" i="71" s="1"/>
  <c r="X202" i="71" a="1"/>
  <c r="X202" i="71" s="1"/>
  <c r="W202" i="71" a="1"/>
  <c r="W202" i="71" s="1"/>
  <c r="V202" i="71" a="1"/>
  <c r="V202" i="71" s="1"/>
  <c r="U202" i="71" a="1"/>
  <c r="U202" i="71" s="1"/>
  <c r="T202" i="71" a="1"/>
  <c r="T202" i="71" s="1"/>
  <c r="S202" i="71" a="1"/>
  <c r="S202" i="71" s="1"/>
  <c r="R202" i="71" a="1"/>
  <c r="R202" i="71" s="1"/>
  <c r="Q202" i="71" a="1"/>
  <c r="Q202" i="71" s="1"/>
  <c r="P202" i="71" a="1"/>
  <c r="P202" i="71" s="1"/>
  <c r="O202" i="71" a="1"/>
  <c r="O202" i="71" s="1"/>
  <c r="N202" i="71" a="1"/>
  <c r="N202" i="71" s="1"/>
  <c r="M202" i="71" a="1"/>
  <c r="M202" i="71" s="1"/>
  <c r="L202" i="71" a="1"/>
  <c r="L202" i="71" s="1"/>
  <c r="K202" i="71" a="1"/>
  <c r="K202" i="71" s="1"/>
  <c r="J202" i="71" a="1"/>
  <c r="J202" i="71" s="1"/>
  <c r="I202" i="71" a="1"/>
  <c r="I202" i="71" s="1"/>
  <c r="H202" i="71" a="1"/>
  <c r="H202" i="71" s="1"/>
  <c r="G202" i="71" a="1"/>
  <c r="G202" i="71" s="1"/>
  <c r="F202" i="71" a="1"/>
  <c r="F202" i="71" s="1"/>
  <c r="E202" i="71" a="1"/>
  <c r="E202" i="71" s="1"/>
  <c r="D202" i="71" a="1"/>
  <c r="D202" i="71" s="1"/>
  <c r="AH201" i="71" a="1"/>
  <c r="AH201" i="71" s="1"/>
  <c r="AG201" i="71" a="1"/>
  <c r="AG201" i="71" s="1"/>
  <c r="AF201" i="71" a="1"/>
  <c r="AF201" i="71" s="1"/>
  <c r="AE201" i="71" a="1"/>
  <c r="AE201" i="71" s="1"/>
  <c r="AD201" i="71" a="1"/>
  <c r="AD201" i="71" s="1"/>
  <c r="AC201" i="71" a="1"/>
  <c r="AC201" i="71" s="1"/>
  <c r="AB201" i="71" a="1"/>
  <c r="AB201" i="71" s="1"/>
  <c r="AA201" i="71" a="1"/>
  <c r="AA201" i="71" s="1"/>
  <c r="Z201" i="71" a="1"/>
  <c r="Z201" i="71" s="1"/>
  <c r="Y201" i="71" a="1"/>
  <c r="Y201" i="71" s="1"/>
  <c r="X201" i="71" a="1"/>
  <c r="X201" i="71" s="1"/>
  <c r="W201" i="71" a="1"/>
  <c r="W201" i="71" s="1"/>
  <c r="V201" i="71" a="1"/>
  <c r="V201" i="71" s="1"/>
  <c r="U201" i="71" a="1"/>
  <c r="U201" i="71" s="1"/>
  <c r="T201" i="71" a="1"/>
  <c r="T201" i="71" s="1"/>
  <c r="S201" i="71" a="1"/>
  <c r="S201" i="71" s="1"/>
  <c r="R201" i="71" a="1"/>
  <c r="R201" i="71" s="1"/>
  <c r="Q201" i="71" a="1"/>
  <c r="Q201" i="71" s="1"/>
  <c r="P201" i="71" a="1"/>
  <c r="P201" i="71" s="1"/>
  <c r="O201" i="71" a="1"/>
  <c r="O201" i="71" s="1"/>
  <c r="N201" i="71" a="1"/>
  <c r="N201" i="71" s="1"/>
  <c r="M201" i="71" a="1"/>
  <c r="M201" i="71" s="1"/>
  <c r="L201" i="71" a="1"/>
  <c r="L201" i="71" s="1"/>
  <c r="K201" i="71" a="1"/>
  <c r="K201" i="71" s="1"/>
  <c r="J201" i="71" a="1"/>
  <c r="J201" i="71" s="1"/>
  <c r="I201" i="71" a="1"/>
  <c r="I201" i="71" s="1"/>
  <c r="H201" i="71" a="1"/>
  <c r="H201" i="71" s="1"/>
  <c r="G201" i="71" a="1"/>
  <c r="G201" i="71" s="1"/>
  <c r="F201" i="71" a="1"/>
  <c r="F201" i="71" s="1"/>
  <c r="E201" i="71" a="1"/>
  <c r="E201" i="71" s="1"/>
  <c r="D201" i="71" a="1"/>
  <c r="D201" i="71" s="1"/>
  <c r="AH200" i="71" a="1"/>
  <c r="AH200" i="71" s="1"/>
  <c r="AG200" i="71" a="1"/>
  <c r="AG200" i="71" s="1"/>
  <c r="AF200" i="71" a="1"/>
  <c r="AF200" i="71" s="1"/>
  <c r="AE200" i="71" a="1"/>
  <c r="AE200" i="71" s="1"/>
  <c r="AD200" i="71" a="1"/>
  <c r="AD200" i="71" s="1"/>
  <c r="AC200" i="71" a="1"/>
  <c r="AC200" i="71" s="1"/>
  <c r="AB200" i="71" a="1"/>
  <c r="AB200" i="71" s="1"/>
  <c r="AA200" i="71" a="1"/>
  <c r="AA200" i="71" s="1"/>
  <c r="Z200" i="71" a="1"/>
  <c r="Z200" i="71" s="1"/>
  <c r="Y200" i="71" a="1"/>
  <c r="Y200" i="71" s="1"/>
  <c r="X200" i="71" a="1"/>
  <c r="X200" i="71" s="1"/>
  <c r="W200" i="71" a="1"/>
  <c r="W200" i="71" s="1"/>
  <c r="V200" i="71" a="1"/>
  <c r="V200" i="71" s="1"/>
  <c r="U200" i="71" a="1"/>
  <c r="U200" i="71" s="1"/>
  <c r="T200" i="71" a="1"/>
  <c r="T200" i="71" s="1"/>
  <c r="S200" i="71" a="1"/>
  <c r="S200" i="71" s="1"/>
  <c r="R200" i="71" a="1"/>
  <c r="R200" i="71" s="1"/>
  <c r="Q200" i="71" a="1"/>
  <c r="Q200" i="71" s="1"/>
  <c r="P200" i="71" a="1"/>
  <c r="P200" i="71" s="1"/>
  <c r="O200" i="71" a="1"/>
  <c r="O200" i="71" s="1"/>
  <c r="N200" i="71" a="1"/>
  <c r="N200" i="71" s="1"/>
  <c r="M200" i="71" a="1"/>
  <c r="M200" i="71" s="1"/>
  <c r="L200" i="71" a="1"/>
  <c r="L200" i="71" s="1"/>
  <c r="K200" i="71" a="1"/>
  <c r="K200" i="71" s="1"/>
  <c r="J200" i="71" a="1"/>
  <c r="J200" i="71" s="1"/>
  <c r="I200" i="71" a="1"/>
  <c r="I200" i="71" s="1"/>
  <c r="H200" i="71" a="1"/>
  <c r="H200" i="71" s="1"/>
  <c r="G200" i="71" a="1"/>
  <c r="G200" i="71" s="1"/>
  <c r="F200" i="71" a="1"/>
  <c r="F200" i="71" s="1"/>
  <c r="E200" i="71" a="1"/>
  <c r="E200" i="71" s="1"/>
  <c r="D200" i="71" a="1"/>
  <c r="D200" i="71" s="1"/>
  <c r="AH199" i="71" a="1"/>
  <c r="AH199" i="71" s="1"/>
  <c r="AG199" i="71" a="1"/>
  <c r="AG199" i="71" s="1"/>
  <c r="AF199" i="71" a="1"/>
  <c r="AF199" i="71" s="1"/>
  <c r="AE199" i="71" a="1"/>
  <c r="AE199" i="71" s="1"/>
  <c r="AD199" i="71" a="1"/>
  <c r="AD199" i="71" s="1"/>
  <c r="AC199" i="71" a="1"/>
  <c r="AC199" i="71" s="1"/>
  <c r="AB199" i="71" a="1"/>
  <c r="AB199" i="71" s="1"/>
  <c r="AA199" i="71" a="1"/>
  <c r="AA199" i="71" s="1"/>
  <c r="Z199" i="71" a="1"/>
  <c r="Z199" i="71" s="1"/>
  <c r="Y199" i="71" a="1"/>
  <c r="Y199" i="71" s="1"/>
  <c r="X199" i="71" a="1"/>
  <c r="X199" i="71" s="1"/>
  <c r="W199" i="71" a="1"/>
  <c r="W199" i="71" s="1"/>
  <c r="V199" i="71" a="1"/>
  <c r="V199" i="71" s="1"/>
  <c r="U199" i="71" a="1"/>
  <c r="U199" i="71" s="1"/>
  <c r="T199" i="71" a="1"/>
  <c r="T199" i="71" s="1"/>
  <c r="S199" i="71" a="1"/>
  <c r="S199" i="71" s="1"/>
  <c r="R199" i="71" a="1"/>
  <c r="R199" i="71" s="1"/>
  <c r="Q199" i="71" a="1"/>
  <c r="Q199" i="71" s="1"/>
  <c r="P199" i="71" a="1"/>
  <c r="P199" i="71" s="1"/>
  <c r="O199" i="71" a="1"/>
  <c r="O199" i="71" s="1"/>
  <c r="N199" i="71" a="1"/>
  <c r="N199" i="71" s="1"/>
  <c r="M199" i="71" a="1"/>
  <c r="M199" i="71" s="1"/>
  <c r="L199" i="71" a="1"/>
  <c r="L199" i="71" s="1"/>
  <c r="K199" i="71" a="1"/>
  <c r="K199" i="71" s="1"/>
  <c r="J199" i="71" a="1"/>
  <c r="J199" i="71" s="1"/>
  <c r="I199" i="71" a="1"/>
  <c r="I199" i="71" s="1"/>
  <c r="H199" i="71" a="1"/>
  <c r="H199" i="71" s="1"/>
  <c r="G199" i="71" a="1"/>
  <c r="G199" i="71" s="1"/>
  <c r="F199" i="71" a="1"/>
  <c r="F199" i="71" s="1"/>
  <c r="E199" i="71" a="1"/>
  <c r="E199" i="71" s="1"/>
  <c r="D199" i="71" a="1"/>
  <c r="D199" i="71" s="1"/>
  <c r="AH198" i="71" a="1"/>
  <c r="AH198" i="71" s="1"/>
  <c r="AG198" i="71" a="1"/>
  <c r="AG198" i="71" s="1"/>
  <c r="AF198" i="71" a="1"/>
  <c r="AF198" i="71" s="1"/>
  <c r="AE198" i="71" a="1"/>
  <c r="AE198" i="71" s="1"/>
  <c r="AD198" i="71" a="1"/>
  <c r="AD198" i="71" s="1"/>
  <c r="AC198" i="71" a="1"/>
  <c r="AC198" i="71" s="1"/>
  <c r="AB198" i="71" a="1"/>
  <c r="AB198" i="71" s="1"/>
  <c r="AA198" i="71" a="1"/>
  <c r="AA198" i="71" s="1"/>
  <c r="Z198" i="71" a="1"/>
  <c r="Z198" i="71" s="1"/>
  <c r="Y198" i="71" a="1"/>
  <c r="Y198" i="71" s="1"/>
  <c r="X198" i="71" a="1"/>
  <c r="X198" i="71" s="1"/>
  <c r="W198" i="71" a="1"/>
  <c r="W198" i="71" s="1"/>
  <c r="V198" i="71" a="1"/>
  <c r="V198" i="71" s="1"/>
  <c r="U198" i="71" a="1"/>
  <c r="U198" i="71" s="1"/>
  <c r="T198" i="71" a="1"/>
  <c r="T198" i="71" s="1"/>
  <c r="S198" i="71" a="1"/>
  <c r="S198" i="71" s="1"/>
  <c r="R198" i="71" a="1"/>
  <c r="R198" i="71" s="1"/>
  <c r="Q198" i="71" a="1"/>
  <c r="Q198" i="71" s="1"/>
  <c r="P198" i="71" a="1"/>
  <c r="P198" i="71" s="1"/>
  <c r="O198" i="71" a="1"/>
  <c r="O198" i="71" s="1"/>
  <c r="N198" i="71" a="1"/>
  <c r="N198" i="71" s="1"/>
  <c r="M198" i="71" a="1"/>
  <c r="M198" i="71" s="1"/>
  <c r="L198" i="71" a="1"/>
  <c r="L198" i="71" s="1"/>
  <c r="K198" i="71" a="1"/>
  <c r="K198" i="71" s="1"/>
  <c r="J198" i="71" a="1"/>
  <c r="J198" i="71" s="1"/>
  <c r="I198" i="71" a="1"/>
  <c r="I198" i="71" s="1"/>
  <c r="H198" i="71" a="1"/>
  <c r="H198" i="71" s="1"/>
  <c r="G198" i="71" a="1"/>
  <c r="G198" i="71" s="1"/>
  <c r="F198" i="71" a="1"/>
  <c r="F198" i="71" s="1"/>
  <c r="E198" i="71" a="1"/>
  <c r="E198" i="71" s="1"/>
  <c r="D198" i="71" a="1"/>
  <c r="D198" i="71" s="1"/>
  <c r="AH197" i="71" a="1"/>
  <c r="AH197" i="71" s="1"/>
  <c r="AG197" i="71" a="1"/>
  <c r="AG197" i="71" s="1"/>
  <c r="AF197" i="71" a="1"/>
  <c r="AF197" i="71" s="1"/>
  <c r="AE197" i="71" a="1"/>
  <c r="AE197" i="71" s="1"/>
  <c r="AD197" i="71" a="1"/>
  <c r="AD197" i="71" s="1"/>
  <c r="AC197" i="71" a="1"/>
  <c r="AC197" i="71" s="1"/>
  <c r="AB197" i="71" a="1"/>
  <c r="AB197" i="71" s="1"/>
  <c r="AA197" i="71" a="1"/>
  <c r="AA197" i="71" s="1"/>
  <c r="Z197" i="71" a="1"/>
  <c r="Z197" i="71" s="1"/>
  <c r="Y197" i="71" a="1"/>
  <c r="Y197" i="71" s="1"/>
  <c r="X197" i="71" a="1"/>
  <c r="X197" i="71" s="1"/>
  <c r="W197" i="71" a="1"/>
  <c r="W197" i="71" s="1"/>
  <c r="V197" i="71" a="1"/>
  <c r="V197" i="71" s="1"/>
  <c r="U197" i="71" a="1"/>
  <c r="U197" i="71" s="1"/>
  <c r="T197" i="71" a="1"/>
  <c r="T197" i="71" s="1"/>
  <c r="S197" i="71" a="1"/>
  <c r="S197" i="71" s="1"/>
  <c r="R197" i="71" a="1"/>
  <c r="R197" i="71" s="1"/>
  <c r="Q197" i="71" a="1"/>
  <c r="Q197" i="71" s="1"/>
  <c r="P197" i="71" a="1"/>
  <c r="P197" i="71" s="1"/>
  <c r="O197" i="71" a="1"/>
  <c r="O197" i="71" s="1"/>
  <c r="N197" i="71" a="1"/>
  <c r="N197" i="71" s="1"/>
  <c r="M197" i="71" a="1"/>
  <c r="M197" i="71" s="1"/>
  <c r="L197" i="71" a="1"/>
  <c r="L197" i="71" s="1"/>
  <c r="K197" i="71" a="1"/>
  <c r="K197" i="71" s="1"/>
  <c r="J197" i="71" a="1"/>
  <c r="J197" i="71" s="1"/>
  <c r="I197" i="71" a="1"/>
  <c r="I197" i="71" s="1"/>
  <c r="H197" i="71" a="1"/>
  <c r="H197" i="71" s="1"/>
  <c r="G197" i="71" a="1"/>
  <c r="G197" i="71" s="1"/>
  <c r="F197" i="71" a="1"/>
  <c r="F197" i="71" s="1"/>
  <c r="E197" i="71" a="1"/>
  <c r="E197" i="71" s="1"/>
  <c r="D197" i="71" a="1"/>
  <c r="D197" i="71" s="1"/>
  <c r="AH196" i="71" a="1"/>
  <c r="AH196" i="71" s="1"/>
  <c r="AG196" i="71" a="1"/>
  <c r="AG196" i="71" s="1"/>
  <c r="AF196" i="71" a="1"/>
  <c r="AF196" i="71" s="1"/>
  <c r="AE196" i="71" a="1"/>
  <c r="AE196" i="71" s="1"/>
  <c r="AD196" i="71" a="1"/>
  <c r="AD196" i="71" s="1"/>
  <c r="AC196" i="71" a="1"/>
  <c r="AC196" i="71" s="1"/>
  <c r="AB196" i="71" a="1"/>
  <c r="AB196" i="71" s="1"/>
  <c r="AA196" i="71" a="1"/>
  <c r="AA196" i="71" s="1"/>
  <c r="Z196" i="71" a="1"/>
  <c r="Z196" i="71" s="1"/>
  <c r="Y196" i="71" a="1"/>
  <c r="Y196" i="71" s="1"/>
  <c r="X196" i="71" a="1"/>
  <c r="X196" i="71" s="1"/>
  <c r="W196" i="71" a="1"/>
  <c r="W196" i="71" s="1"/>
  <c r="V196" i="71" a="1"/>
  <c r="V196" i="71" s="1"/>
  <c r="U196" i="71" a="1"/>
  <c r="U196" i="71" s="1"/>
  <c r="T196" i="71" a="1"/>
  <c r="T196" i="71" s="1"/>
  <c r="S196" i="71" a="1"/>
  <c r="S196" i="71" s="1"/>
  <c r="R196" i="71" a="1"/>
  <c r="R196" i="71" s="1"/>
  <c r="Q196" i="71" a="1"/>
  <c r="Q196" i="71" s="1"/>
  <c r="P196" i="71" a="1"/>
  <c r="P196" i="71" s="1"/>
  <c r="O196" i="71" a="1"/>
  <c r="O196" i="71" s="1"/>
  <c r="N196" i="71" a="1"/>
  <c r="N196" i="71" s="1"/>
  <c r="M196" i="71" a="1"/>
  <c r="M196" i="71" s="1"/>
  <c r="L196" i="71" a="1"/>
  <c r="L196" i="71" s="1"/>
  <c r="K196" i="71" a="1"/>
  <c r="K196" i="71" s="1"/>
  <c r="J196" i="71" a="1"/>
  <c r="J196" i="71" s="1"/>
  <c r="I196" i="71" a="1"/>
  <c r="I196" i="71" s="1"/>
  <c r="H196" i="71" a="1"/>
  <c r="H196" i="71" s="1"/>
  <c r="G196" i="71" a="1"/>
  <c r="G196" i="71" s="1"/>
  <c r="F196" i="71" a="1"/>
  <c r="F196" i="71" s="1"/>
  <c r="E196" i="71" a="1"/>
  <c r="E196" i="71" s="1"/>
  <c r="D196" i="71" a="1"/>
  <c r="D196" i="71" s="1"/>
  <c r="AH195" i="71" a="1"/>
  <c r="AH195" i="71" s="1"/>
  <c r="AG195" i="71" a="1"/>
  <c r="AG195" i="71" s="1"/>
  <c r="AF195" i="71" a="1"/>
  <c r="AF195" i="71" s="1"/>
  <c r="AE195" i="71" a="1"/>
  <c r="AE195" i="71" s="1"/>
  <c r="AD195" i="71" a="1"/>
  <c r="AD195" i="71" s="1"/>
  <c r="AC195" i="71" a="1"/>
  <c r="AC195" i="71" s="1"/>
  <c r="AB195" i="71" a="1"/>
  <c r="AB195" i="71" s="1"/>
  <c r="AA195" i="71" a="1"/>
  <c r="AA195" i="71" s="1"/>
  <c r="Z195" i="71" a="1"/>
  <c r="Z195" i="71" s="1"/>
  <c r="Y195" i="71" a="1"/>
  <c r="Y195" i="71" s="1"/>
  <c r="X195" i="71" a="1"/>
  <c r="X195" i="71" s="1"/>
  <c r="W195" i="71" a="1"/>
  <c r="W195" i="71" s="1"/>
  <c r="V195" i="71" a="1"/>
  <c r="V195" i="71" s="1"/>
  <c r="U195" i="71" a="1"/>
  <c r="U195" i="71" s="1"/>
  <c r="T195" i="71" a="1"/>
  <c r="T195" i="71" s="1"/>
  <c r="S195" i="71" a="1"/>
  <c r="S195" i="71" s="1"/>
  <c r="R195" i="71" a="1"/>
  <c r="R195" i="71" s="1"/>
  <c r="Q195" i="71" a="1"/>
  <c r="Q195" i="71" s="1"/>
  <c r="P195" i="71" a="1"/>
  <c r="P195" i="71" s="1"/>
  <c r="O195" i="71" a="1"/>
  <c r="O195" i="71" s="1"/>
  <c r="N195" i="71" a="1"/>
  <c r="N195" i="71" s="1"/>
  <c r="M195" i="71" a="1"/>
  <c r="M195" i="71" s="1"/>
  <c r="L195" i="71" a="1"/>
  <c r="L195" i="71" s="1"/>
  <c r="K195" i="71" a="1"/>
  <c r="K195" i="71" s="1"/>
  <c r="J195" i="71" a="1"/>
  <c r="J195" i="71" s="1"/>
  <c r="I195" i="71" a="1"/>
  <c r="I195" i="71" s="1"/>
  <c r="H195" i="71" a="1"/>
  <c r="H195" i="71" s="1"/>
  <c r="G195" i="71" a="1"/>
  <c r="G195" i="71" s="1"/>
  <c r="F195" i="71" a="1"/>
  <c r="F195" i="71" s="1"/>
  <c r="E195" i="71" a="1"/>
  <c r="E195" i="71" s="1"/>
  <c r="D195" i="71" a="1"/>
  <c r="D195" i="71" s="1"/>
  <c r="AH194" i="71" a="1"/>
  <c r="AH194" i="71" s="1"/>
  <c r="AG194" i="71" a="1"/>
  <c r="AG194" i="71" s="1"/>
  <c r="AF194" i="71" a="1"/>
  <c r="AF194" i="71" s="1"/>
  <c r="AE194" i="71" a="1"/>
  <c r="AE194" i="71" s="1"/>
  <c r="AD194" i="71" a="1"/>
  <c r="AD194" i="71" s="1"/>
  <c r="AC194" i="71" a="1"/>
  <c r="AC194" i="71" s="1"/>
  <c r="AB194" i="71" a="1"/>
  <c r="AB194" i="71" s="1"/>
  <c r="AA194" i="71" a="1"/>
  <c r="AA194" i="71" s="1"/>
  <c r="Z194" i="71" a="1"/>
  <c r="Z194" i="71" s="1"/>
  <c r="Y194" i="71" a="1"/>
  <c r="Y194" i="71" s="1"/>
  <c r="X194" i="71" a="1"/>
  <c r="X194" i="71" s="1"/>
  <c r="W194" i="71" a="1"/>
  <c r="W194" i="71" s="1"/>
  <c r="V194" i="71" a="1"/>
  <c r="V194" i="71" s="1"/>
  <c r="U194" i="71" a="1"/>
  <c r="U194" i="71" s="1"/>
  <c r="T194" i="71" a="1"/>
  <c r="T194" i="71" s="1"/>
  <c r="S194" i="71" a="1"/>
  <c r="S194" i="71" s="1"/>
  <c r="R194" i="71" a="1"/>
  <c r="R194" i="71" s="1"/>
  <c r="Q194" i="71" a="1"/>
  <c r="Q194" i="71" s="1"/>
  <c r="P194" i="71" a="1"/>
  <c r="P194" i="71" s="1"/>
  <c r="O194" i="71" a="1"/>
  <c r="O194" i="71" s="1"/>
  <c r="N194" i="71" a="1"/>
  <c r="N194" i="71" s="1"/>
  <c r="M194" i="71" a="1"/>
  <c r="M194" i="71" s="1"/>
  <c r="L194" i="71" a="1"/>
  <c r="L194" i="71" s="1"/>
  <c r="K194" i="71" a="1"/>
  <c r="K194" i="71" s="1"/>
  <c r="J194" i="71" a="1"/>
  <c r="J194" i="71" s="1"/>
  <c r="I194" i="71" a="1"/>
  <c r="I194" i="71" s="1"/>
  <c r="H194" i="71" a="1"/>
  <c r="H194" i="71" s="1"/>
  <c r="G194" i="71" a="1"/>
  <c r="G194" i="71" s="1"/>
  <c r="F194" i="71" a="1"/>
  <c r="F194" i="71" s="1"/>
  <c r="E194" i="71" a="1"/>
  <c r="E194" i="71" s="1"/>
  <c r="D194" i="71" a="1"/>
  <c r="D194" i="71" s="1"/>
  <c r="AH193" i="71" a="1"/>
  <c r="AH193" i="71" s="1"/>
  <c r="AG193" i="71" a="1"/>
  <c r="AG193" i="71" s="1"/>
  <c r="AF193" i="71" a="1"/>
  <c r="AF193" i="71" s="1"/>
  <c r="AE193" i="71" a="1"/>
  <c r="AE193" i="71" s="1"/>
  <c r="AD193" i="71" a="1"/>
  <c r="AD193" i="71" s="1"/>
  <c r="AC193" i="71" a="1"/>
  <c r="AC193" i="71" s="1"/>
  <c r="AB193" i="71" a="1"/>
  <c r="AB193" i="71" s="1"/>
  <c r="AA193" i="71" a="1"/>
  <c r="AA193" i="71" s="1"/>
  <c r="Z193" i="71" a="1"/>
  <c r="Z193" i="71" s="1"/>
  <c r="Y193" i="71" a="1"/>
  <c r="Y193" i="71" s="1"/>
  <c r="X193" i="71" a="1"/>
  <c r="X193" i="71" s="1"/>
  <c r="W193" i="71" a="1"/>
  <c r="W193" i="71" s="1"/>
  <c r="V193" i="71" a="1"/>
  <c r="V193" i="71" s="1"/>
  <c r="U193" i="71" a="1"/>
  <c r="U193" i="71" s="1"/>
  <c r="T193" i="71" a="1"/>
  <c r="T193" i="71" s="1"/>
  <c r="S193" i="71" a="1"/>
  <c r="S193" i="71" s="1"/>
  <c r="R193" i="71" a="1"/>
  <c r="R193" i="71" s="1"/>
  <c r="Q193" i="71" a="1"/>
  <c r="Q193" i="71" s="1"/>
  <c r="P193" i="71" a="1"/>
  <c r="P193" i="71" s="1"/>
  <c r="O193" i="71" a="1"/>
  <c r="O193" i="71" s="1"/>
  <c r="N193" i="71" a="1"/>
  <c r="N193" i="71" s="1"/>
  <c r="M193" i="71" a="1"/>
  <c r="M193" i="71" s="1"/>
  <c r="L193" i="71" a="1"/>
  <c r="L193" i="71" s="1"/>
  <c r="K193" i="71" a="1"/>
  <c r="K193" i="71" s="1"/>
  <c r="J193" i="71" a="1"/>
  <c r="J193" i="71" s="1"/>
  <c r="I193" i="71" a="1"/>
  <c r="I193" i="71" s="1"/>
  <c r="H193" i="71" a="1"/>
  <c r="H193" i="71" s="1"/>
  <c r="G193" i="71" a="1"/>
  <c r="G193" i="71" s="1"/>
  <c r="F193" i="71" a="1"/>
  <c r="F193" i="71" s="1"/>
  <c r="E193" i="71" a="1"/>
  <c r="E193" i="71" s="1"/>
  <c r="D193" i="71" a="1"/>
  <c r="D193" i="71" s="1"/>
  <c r="AH192" i="71" a="1"/>
  <c r="AH192" i="71" s="1"/>
  <c r="AG192" i="71" a="1"/>
  <c r="AG192" i="71" s="1"/>
  <c r="AF192" i="71" a="1"/>
  <c r="AF192" i="71" s="1"/>
  <c r="AE192" i="71" a="1"/>
  <c r="AE192" i="71" s="1"/>
  <c r="AD192" i="71" a="1"/>
  <c r="AD192" i="71" s="1"/>
  <c r="AC192" i="71" a="1"/>
  <c r="AC192" i="71" s="1"/>
  <c r="AB192" i="71" a="1"/>
  <c r="AB192" i="71" s="1"/>
  <c r="AA192" i="71" a="1"/>
  <c r="AA192" i="71" s="1"/>
  <c r="Z192" i="71" a="1"/>
  <c r="Z192" i="71" s="1"/>
  <c r="Y192" i="71" a="1"/>
  <c r="Y192" i="71" s="1"/>
  <c r="X192" i="71" a="1"/>
  <c r="X192" i="71" s="1"/>
  <c r="W192" i="71" a="1"/>
  <c r="W192" i="71" s="1"/>
  <c r="V192" i="71" a="1"/>
  <c r="V192" i="71" s="1"/>
  <c r="U192" i="71" a="1"/>
  <c r="U192" i="71" s="1"/>
  <c r="T192" i="71" a="1"/>
  <c r="T192" i="71" s="1"/>
  <c r="S192" i="71" a="1"/>
  <c r="S192" i="71" s="1"/>
  <c r="R192" i="71" a="1"/>
  <c r="R192" i="71" s="1"/>
  <c r="Q192" i="71" a="1"/>
  <c r="Q192" i="71" s="1"/>
  <c r="P192" i="71" a="1"/>
  <c r="P192" i="71" s="1"/>
  <c r="O192" i="71" a="1"/>
  <c r="O192" i="71" s="1"/>
  <c r="N192" i="71" a="1"/>
  <c r="N192" i="71" s="1"/>
  <c r="M192" i="71" a="1"/>
  <c r="M192" i="71" s="1"/>
  <c r="L192" i="71" a="1"/>
  <c r="L192" i="71" s="1"/>
  <c r="K192" i="71" a="1"/>
  <c r="K192" i="71" s="1"/>
  <c r="J192" i="71" a="1"/>
  <c r="J192" i="71" s="1"/>
  <c r="I192" i="71" a="1"/>
  <c r="I192" i="71" s="1"/>
  <c r="H192" i="71" a="1"/>
  <c r="H192" i="71" s="1"/>
  <c r="G192" i="71" a="1"/>
  <c r="G192" i="71" s="1"/>
  <c r="F192" i="71" a="1"/>
  <c r="F192" i="71" s="1"/>
  <c r="E192" i="71" a="1"/>
  <c r="E192" i="71" s="1"/>
  <c r="D192" i="71" a="1"/>
  <c r="D192" i="71" s="1"/>
  <c r="AH191" i="71" a="1"/>
  <c r="AH191" i="71" s="1"/>
  <c r="AG191" i="71" a="1"/>
  <c r="AG191" i="71" s="1"/>
  <c r="AF191" i="71" a="1"/>
  <c r="AF191" i="71" s="1"/>
  <c r="AE191" i="71" a="1"/>
  <c r="AE191" i="71" s="1"/>
  <c r="AD191" i="71" a="1"/>
  <c r="AD191" i="71" s="1"/>
  <c r="AC191" i="71" a="1"/>
  <c r="AC191" i="71" s="1"/>
  <c r="AB191" i="71" a="1"/>
  <c r="AB191" i="71" s="1"/>
  <c r="AA191" i="71" a="1"/>
  <c r="AA191" i="71" s="1"/>
  <c r="Z191" i="71" a="1"/>
  <c r="Z191" i="71" s="1"/>
  <c r="Y191" i="71" a="1"/>
  <c r="Y191" i="71" s="1"/>
  <c r="X191" i="71" a="1"/>
  <c r="X191" i="71" s="1"/>
  <c r="W191" i="71" a="1"/>
  <c r="W191" i="71" s="1"/>
  <c r="V191" i="71" a="1"/>
  <c r="V191" i="71" s="1"/>
  <c r="U191" i="71" a="1"/>
  <c r="U191" i="71" s="1"/>
  <c r="T191" i="71" a="1"/>
  <c r="T191" i="71" s="1"/>
  <c r="S191" i="71" a="1"/>
  <c r="S191" i="71" s="1"/>
  <c r="R191" i="71" a="1"/>
  <c r="R191" i="71" s="1"/>
  <c r="Q191" i="71" a="1"/>
  <c r="Q191" i="71" s="1"/>
  <c r="P191" i="71" a="1"/>
  <c r="P191" i="71" s="1"/>
  <c r="O191" i="71" a="1"/>
  <c r="O191" i="71" s="1"/>
  <c r="N191" i="71" a="1"/>
  <c r="N191" i="71" s="1"/>
  <c r="M191" i="71" a="1"/>
  <c r="M191" i="71" s="1"/>
  <c r="L191" i="71" a="1"/>
  <c r="L191" i="71" s="1"/>
  <c r="K191" i="71" a="1"/>
  <c r="K191" i="71" s="1"/>
  <c r="J191" i="71" a="1"/>
  <c r="J191" i="71" s="1"/>
  <c r="I191" i="71" a="1"/>
  <c r="I191" i="71" s="1"/>
  <c r="H191" i="71" a="1"/>
  <c r="H191" i="71" s="1"/>
  <c r="G191" i="71" a="1"/>
  <c r="G191" i="71" s="1"/>
  <c r="F191" i="71" a="1"/>
  <c r="F191" i="71" s="1"/>
  <c r="E191" i="71" a="1"/>
  <c r="E191" i="71" s="1"/>
  <c r="D191" i="71" a="1"/>
  <c r="D191" i="71" s="1"/>
  <c r="AH190" i="71" a="1"/>
  <c r="AH190" i="71" s="1"/>
  <c r="AG190" i="71" a="1"/>
  <c r="AG190" i="71" s="1"/>
  <c r="AF190" i="71" a="1"/>
  <c r="AF190" i="71" s="1"/>
  <c r="AE190" i="71" a="1"/>
  <c r="AE190" i="71" s="1"/>
  <c r="AD190" i="71" a="1"/>
  <c r="AD190" i="71" s="1"/>
  <c r="AC190" i="71" a="1"/>
  <c r="AC190" i="71" s="1"/>
  <c r="AB190" i="71" a="1"/>
  <c r="AB190" i="71" s="1"/>
  <c r="AA190" i="71" a="1"/>
  <c r="AA190" i="71" s="1"/>
  <c r="Z190" i="71" a="1"/>
  <c r="Z190" i="71" s="1"/>
  <c r="Y190" i="71" a="1"/>
  <c r="Y190" i="71" s="1"/>
  <c r="X190" i="71" a="1"/>
  <c r="X190" i="71" s="1"/>
  <c r="W190" i="71" a="1"/>
  <c r="W190" i="71" s="1"/>
  <c r="V190" i="71" a="1"/>
  <c r="V190" i="71" s="1"/>
  <c r="U190" i="71" a="1"/>
  <c r="U190" i="71" s="1"/>
  <c r="T190" i="71" a="1"/>
  <c r="T190" i="71" s="1"/>
  <c r="S190" i="71" a="1"/>
  <c r="S190" i="71" s="1"/>
  <c r="R190" i="71" a="1"/>
  <c r="R190" i="71" s="1"/>
  <c r="Q190" i="71" a="1"/>
  <c r="Q190" i="71" s="1"/>
  <c r="P190" i="71" a="1"/>
  <c r="P190" i="71" s="1"/>
  <c r="O190" i="71" a="1"/>
  <c r="O190" i="71" s="1"/>
  <c r="N190" i="71" a="1"/>
  <c r="N190" i="71" s="1"/>
  <c r="M190" i="71" a="1"/>
  <c r="M190" i="71" s="1"/>
  <c r="L190" i="71" a="1"/>
  <c r="L190" i="71" s="1"/>
  <c r="K190" i="71" a="1"/>
  <c r="K190" i="71" s="1"/>
  <c r="J190" i="71" a="1"/>
  <c r="J190" i="71" s="1"/>
  <c r="I190" i="71" a="1"/>
  <c r="I190" i="71" s="1"/>
  <c r="H190" i="71" a="1"/>
  <c r="H190" i="71" s="1"/>
  <c r="G190" i="71" a="1"/>
  <c r="G190" i="71" s="1"/>
  <c r="F190" i="71" a="1"/>
  <c r="F190" i="71" s="1"/>
  <c r="E190" i="71" a="1"/>
  <c r="E190" i="71" s="1"/>
  <c r="D190" i="71" a="1"/>
  <c r="D190" i="71" s="1"/>
  <c r="AH189" i="71" a="1"/>
  <c r="AH189" i="71" s="1"/>
  <c r="AG189" i="71" a="1"/>
  <c r="AG189" i="71" s="1"/>
  <c r="AF189" i="71" a="1"/>
  <c r="AF189" i="71" s="1"/>
  <c r="AE189" i="71" a="1"/>
  <c r="AE189" i="71" s="1"/>
  <c r="AD189" i="71" a="1"/>
  <c r="AD189" i="71" s="1"/>
  <c r="AC189" i="71" a="1"/>
  <c r="AC189" i="71" s="1"/>
  <c r="AB189" i="71" a="1"/>
  <c r="AB189" i="71" s="1"/>
  <c r="AA189" i="71" a="1"/>
  <c r="AA189" i="71" s="1"/>
  <c r="Z189" i="71" a="1"/>
  <c r="Z189" i="71" s="1"/>
  <c r="Y189" i="71" a="1"/>
  <c r="Y189" i="71" s="1"/>
  <c r="X189" i="71" a="1"/>
  <c r="X189" i="71" s="1"/>
  <c r="W189" i="71" a="1"/>
  <c r="W189" i="71" s="1"/>
  <c r="V189" i="71" a="1"/>
  <c r="V189" i="71" s="1"/>
  <c r="U189" i="71" a="1"/>
  <c r="U189" i="71" s="1"/>
  <c r="T189" i="71" a="1"/>
  <c r="T189" i="71" s="1"/>
  <c r="S189" i="71" a="1"/>
  <c r="S189" i="71" s="1"/>
  <c r="R189" i="71" a="1"/>
  <c r="R189" i="71" s="1"/>
  <c r="Q189" i="71" a="1"/>
  <c r="Q189" i="71" s="1"/>
  <c r="P189" i="71" a="1"/>
  <c r="P189" i="71" s="1"/>
  <c r="O189" i="71" a="1"/>
  <c r="O189" i="71" s="1"/>
  <c r="N189" i="71" a="1"/>
  <c r="N189" i="71" s="1"/>
  <c r="M189" i="71" a="1"/>
  <c r="M189" i="71" s="1"/>
  <c r="L189" i="71" a="1"/>
  <c r="L189" i="71" s="1"/>
  <c r="K189" i="71" a="1"/>
  <c r="K189" i="71" s="1"/>
  <c r="J189" i="71" a="1"/>
  <c r="J189" i="71" s="1"/>
  <c r="I189" i="71" a="1"/>
  <c r="I189" i="71" s="1"/>
  <c r="H189" i="71" a="1"/>
  <c r="H189" i="71" s="1"/>
  <c r="G189" i="71" a="1"/>
  <c r="G189" i="71" s="1"/>
  <c r="F189" i="71" a="1"/>
  <c r="F189" i="71" s="1"/>
  <c r="E189" i="71" a="1"/>
  <c r="E189" i="71" s="1"/>
  <c r="D189" i="71" a="1"/>
  <c r="D189" i="71" s="1"/>
  <c r="AH188" i="71" a="1"/>
  <c r="AH188" i="71" s="1"/>
  <c r="AG188" i="71" a="1"/>
  <c r="AG188" i="71" s="1"/>
  <c r="AF188" i="71" a="1"/>
  <c r="AF188" i="71" s="1"/>
  <c r="AE188" i="71" a="1"/>
  <c r="AE188" i="71" s="1"/>
  <c r="AD188" i="71" a="1"/>
  <c r="AD188" i="71" s="1"/>
  <c r="AC188" i="71" a="1"/>
  <c r="AC188" i="71" s="1"/>
  <c r="AB188" i="71" a="1"/>
  <c r="AB188" i="71" s="1"/>
  <c r="AA188" i="71" a="1"/>
  <c r="AA188" i="71" s="1"/>
  <c r="Z188" i="71" a="1"/>
  <c r="Z188" i="71" s="1"/>
  <c r="Y188" i="71" a="1"/>
  <c r="Y188" i="71" s="1"/>
  <c r="X188" i="71" a="1"/>
  <c r="X188" i="71" s="1"/>
  <c r="W188" i="71" a="1"/>
  <c r="W188" i="71" s="1"/>
  <c r="V188" i="71" a="1"/>
  <c r="V188" i="71" s="1"/>
  <c r="U188" i="71" a="1"/>
  <c r="U188" i="71" s="1"/>
  <c r="T188" i="71" a="1"/>
  <c r="T188" i="71" s="1"/>
  <c r="S188" i="71" a="1"/>
  <c r="S188" i="71" s="1"/>
  <c r="R188" i="71" a="1"/>
  <c r="R188" i="71" s="1"/>
  <c r="Q188" i="71" a="1"/>
  <c r="Q188" i="71" s="1"/>
  <c r="P188" i="71" a="1"/>
  <c r="P188" i="71" s="1"/>
  <c r="O188" i="71" a="1"/>
  <c r="O188" i="71" s="1"/>
  <c r="N188" i="71" a="1"/>
  <c r="N188" i="71" s="1"/>
  <c r="M188" i="71" a="1"/>
  <c r="M188" i="71" s="1"/>
  <c r="L188" i="71" a="1"/>
  <c r="L188" i="71" s="1"/>
  <c r="K188" i="71" a="1"/>
  <c r="K188" i="71" s="1"/>
  <c r="J188" i="71" a="1"/>
  <c r="J188" i="71" s="1"/>
  <c r="I188" i="71" a="1"/>
  <c r="I188" i="71" s="1"/>
  <c r="H188" i="71" a="1"/>
  <c r="H188" i="71" s="1"/>
  <c r="G188" i="71" a="1"/>
  <c r="G188" i="71" s="1"/>
  <c r="F188" i="71" a="1"/>
  <c r="F188" i="71" s="1"/>
  <c r="E188" i="71" a="1"/>
  <c r="E188" i="71" s="1"/>
  <c r="D188" i="71" a="1"/>
  <c r="D188" i="71" s="1"/>
  <c r="AH187" i="71" a="1"/>
  <c r="AH187" i="71" s="1"/>
  <c r="AG187" i="71" a="1"/>
  <c r="AG187" i="71" s="1"/>
  <c r="AF187" i="71" a="1"/>
  <c r="AF187" i="71" s="1"/>
  <c r="AE187" i="71" a="1"/>
  <c r="AE187" i="71" s="1"/>
  <c r="AD187" i="71" a="1"/>
  <c r="AD187" i="71" s="1"/>
  <c r="AC187" i="71" a="1"/>
  <c r="AC187" i="71" s="1"/>
  <c r="AB187" i="71" a="1"/>
  <c r="AB187" i="71" s="1"/>
  <c r="AA187" i="71" a="1"/>
  <c r="AA187" i="71" s="1"/>
  <c r="Z187" i="71" a="1"/>
  <c r="Z187" i="71" s="1"/>
  <c r="Y187" i="71" a="1"/>
  <c r="Y187" i="71" s="1"/>
  <c r="X187" i="71" a="1"/>
  <c r="X187" i="71" s="1"/>
  <c r="W187" i="71" a="1"/>
  <c r="W187" i="71" s="1"/>
  <c r="V187" i="71" a="1"/>
  <c r="V187" i="71" s="1"/>
  <c r="U187" i="71" a="1"/>
  <c r="U187" i="71" s="1"/>
  <c r="T187" i="71" a="1"/>
  <c r="T187" i="71" s="1"/>
  <c r="S187" i="71" a="1"/>
  <c r="S187" i="71" s="1"/>
  <c r="R187" i="71" a="1"/>
  <c r="R187" i="71" s="1"/>
  <c r="Q187" i="71" a="1"/>
  <c r="Q187" i="71" s="1"/>
  <c r="P187" i="71" a="1"/>
  <c r="P187" i="71" s="1"/>
  <c r="O187" i="71" a="1"/>
  <c r="O187" i="71" s="1"/>
  <c r="N187" i="71" a="1"/>
  <c r="N187" i="71" s="1"/>
  <c r="M187" i="71" a="1"/>
  <c r="M187" i="71" s="1"/>
  <c r="L187" i="71" a="1"/>
  <c r="L187" i="71" s="1"/>
  <c r="K187" i="71" a="1"/>
  <c r="K187" i="71" s="1"/>
  <c r="J187" i="71" a="1"/>
  <c r="J187" i="71" s="1"/>
  <c r="I187" i="71" a="1"/>
  <c r="I187" i="71" s="1"/>
  <c r="H187" i="71" a="1"/>
  <c r="H187" i="71" s="1"/>
  <c r="G187" i="71" a="1"/>
  <c r="G187" i="71" s="1"/>
  <c r="F187" i="71" a="1"/>
  <c r="F187" i="71" s="1"/>
  <c r="E187" i="71" a="1"/>
  <c r="E187" i="71" s="1"/>
  <c r="D187" i="71" a="1"/>
  <c r="D187" i="71" s="1"/>
  <c r="AH186" i="71" a="1"/>
  <c r="AH186" i="71" s="1"/>
  <c r="AG186" i="71" a="1"/>
  <c r="AG186" i="71" s="1"/>
  <c r="AF186" i="71" a="1"/>
  <c r="AF186" i="71" s="1"/>
  <c r="AE186" i="71" a="1"/>
  <c r="AE186" i="71" s="1"/>
  <c r="AD186" i="71" a="1"/>
  <c r="AD186" i="71" s="1"/>
  <c r="AC186" i="71" a="1"/>
  <c r="AC186" i="71" s="1"/>
  <c r="AB186" i="71" a="1"/>
  <c r="AB186" i="71" s="1"/>
  <c r="AA186" i="71" a="1"/>
  <c r="AA186" i="71" s="1"/>
  <c r="Z186" i="71" a="1"/>
  <c r="Z186" i="71" s="1"/>
  <c r="Y186" i="71" a="1"/>
  <c r="Y186" i="71" s="1"/>
  <c r="X186" i="71" a="1"/>
  <c r="X186" i="71" s="1"/>
  <c r="W186" i="71" a="1"/>
  <c r="W186" i="71" s="1"/>
  <c r="V186" i="71" a="1"/>
  <c r="V186" i="71" s="1"/>
  <c r="U186" i="71" a="1"/>
  <c r="U186" i="71" s="1"/>
  <c r="T186" i="71" a="1"/>
  <c r="T186" i="71" s="1"/>
  <c r="S186" i="71" a="1"/>
  <c r="S186" i="71" s="1"/>
  <c r="R186" i="71" a="1"/>
  <c r="R186" i="71" s="1"/>
  <c r="Q186" i="71" a="1"/>
  <c r="Q186" i="71" s="1"/>
  <c r="P186" i="71" a="1"/>
  <c r="P186" i="71" s="1"/>
  <c r="O186" i="71" a="1"/>
  <c r="O186" i="71" s="1"/>
  <c r="N186" i="71" a="1"/>
  <c r="N186" i="71" s="1"/>
  <c r="M186" i="71" a="1"/>
  <c r="M186" i="71" s="1"/>
  <c r="L186" i="71" a="1"/>
  <c r="L186" i="71" s="1"/>
  <c r="K186" i="71" a="1"/>
  <c r="K186" i="71" s="1"/>
  <c r="J186" i="71" a="1"/>
  <c r="J186" i="71" s="1"/>
  <c r="I186" i="71" a="1"/>
  <c r="I186" i="71" s="1"/>
  <c r="H186" i="71" a="1"/>
  <c r="H186" i="71" s="1"/>
  <c r="G186" i="71" a="1"/>
  <c r="G186" i="71" s="1"/>
  <c r="F186" i="71" a="1"/>
  <c r="F186" i="71" s="1"/>
  <c r="E186" i="71" a="1"/>
  <c r="E186" i="71" s="1"/>
  <c r="D186" i="71" a="1"/>
  <c r="D186" i="71" s="1"/>
  <c r="AH185" i="71" a="1"/>
  <c r="AH185" i="71" s="1"/>
  <c r="AG185" i="71" a="1"/>
  <c r="AG185" i="71" s="1"/>
  <c r="AF185" i="71" a="1"/>
  <c r="AF185" i="71" s="1"/>
  <c r="AE185" i="71" a="1"/>
  <c r="AE185" i="71" s="1"/>
  <c r="AD185" i="71" a="1"/>
  <c r="AD185" i="71" s="1"/>
  <c r="AC185" i="71" a="1"/>
  <c r="AC185" i="71" s="1"/>
  <c r="AB185" i="71" a="1"/>
  <c r="AB185" i="71" s="1"/>
  <c r="AA185" i="71" a="1"/>
  <c r="AA185" i="71" s="1"/>
  <c r="Z185" i="71" a="1"/>
  <c r="Z185" i="71" s="1"/>
  <c r="Y185" i="71" a="1"/>
  <c r="Y185" i="71" s="1"/>
  <c r="X185" i="71" a="1"/>
  <c r="X185" i="71" s="1"/>
  <c r="W185" i="71" a="1"/>
  <c r="W185" i="71" s="1"/>
  <c r="V185" i="71" a="1"/>
  <c r="V185" i="71" s="1"/>
  <c r="U185" i="71" a="1"/>
  <c r="U185" i="71" s="1"/>
  <c r="T185" i="71" a="1"/>
  <c r="T185" i="71" s="1"/>
  <c r="S185" i="71" a="1"/>
  <c r="S185" i="71" s="1"/>
  <c r="R185" i="71" a="1"/>
  <c r="R185" i="71" s="1"/>
  <c r="Q185" i="71" a="1"/>
  <c r="Q185" i="71" s="1"/>
  <c r="P185" i="71" a="1"/>
  <c r="P185" i="71" s="1"/>
  <c r="O185" i="71" a="1"/>
  <c r="O185" i="71" s="1"/>
  <c r="N185" i="71" a="1"/>
  <c r="N185" i="71" s="1"/>
  <c r="M185" i="71" a="1"/>
  <c r="M185" i="71" s="1"/>
  <c r="L185" i="71" a="1"/>
  <c r="L185" i="71" s="1"/>
  <c r="K185" i="71" a="1"/>
  <c r="K185" i="71" s="1"/>
  <c r="J185" i="71" a="1"/>
  <c r="J185" i="71" s="1"/>
  <c r="I185" i="71" a="1"/>
  <c r="I185" i="71" s="1"/>
  <c r="H185" i="71" a="1"/>
  <c r="H185" i="71" s="1"/>
  <c r="G185" i="71" a="1"/>
  <c r="G185" i="71" s="1"/>
  <c r="F185" i="71" a="1"/>
  <c r="F185" i="71" s="1"/>
  <c r="E185" i="71" a="1"/>
  <c r="E185" i="71" s="1"/>
  <c r="D185" i="71" a="1"/>
  <c r="D185" i="71" s="1"/>
  <c r="AH184" i="71" a="1"/>
  <c r="AH184" i="71" s="1"/>
  <c r="AG184" i="71" a="1"/>
  <c r="AG184" i="71" s="1"/>
  <c r="AF184" i="71" a="1"/>
  <c r="AF184" i="71" s="1"/>
  <c r="AE184" i="71" a="1"/>
  <c r="AE184" i="71" s="1"/>
  <c r="AD184" i="71" a="1"/>
  <c r="AD184" i="71" s="1"/>
  <c r="AC184" i="71" a="1"/>
  <c r="AC184" i="71" s="1"/>
  <c r="AB184" i="71" a="1"/>
  <c r="AB184" i="71" s="1"/>
  <c r="AA184" i="71" a="1"/>
  <c r="AA184" i="71" s="1"/>
  <c r="Z184" i="71" a="1"/>
  <c r="Z184" i="71" s="1"/>
  <c r="Y184" i="71" a="1"/>
  <c r="Y184" i="71" s="1"/>
  <c r="X184" i="71" a="1"/>
  <c r="X184" i="71" s="1"/>
  <c r="W184" i="71" a="1"/>
  <c r="W184" i="71" s="1"/>
  <c r="V184" i="71" a="1"/>
  <c r="V184" i="71" s="1"/>
  <c r="U184" i="71" a="1"/>
  <c r="U184" i="71" s="1"/>
  <c r="T184" i="71" a="1"/>
  <c r="T184" i="71" s="1"/>
  <c r="S184" i="71" a="1"/>
  <c r="S184" i="71" s="1"/>
  <c r="R184" i="71" a="1"/>
  <c r="R184" i="71" s="1"/>
  <c r="Q184" i="71" a="1"/>
  <c r="Q184" i="71" s="1"/>
  <c r="P184" i="71" a="1"/>
  <c r="P184" i="71" s="1"/>
  <c r="O184" i="71" a="1"/>
  <c r="O184" i="71" s="1"/>
  <c r="N184" i="71" a="1"/>
  <c r="N184" i="71" s="1"/>
  <c r="M184" i="71" a="1"/>
  <c r="M184" i="71" s="1"/>
  <c r="L184" i="71" a="1"/>
  <c r="L184" i="71" s="1"/>
  <c r="K184" i="71" a="1"/>
  <c r="K184" i="71" s="1"/>
  <c r="J184" i="71" a="1"/>
  <c r="J184" i="71" s="1"/>
  <c r="I184" i="71" a="1"/>
  <c r="I184" i="71" s="1"/>
  <c r="H184" i="71" a="1"/>
  <c r="H184" i="71" s="1"/>
  <c r="G184" i="71" a="1"/>
  <c r="G184" i="71" s="1"/>
  <c r="F184" i="71" a="1"/>
  <c r="F184" i="71" s="1"/>
  <c r="E184" i="71" a="1"/>
  <c r="E184" i="71" s="1"/>
  <c r="D184" i="71" a="1"/>
  <c r="D184" i="71" s="1"/>
  <c r="AH183" i="71" a="1"/>
  <c r="AH183" i="71" s="1"/>
  <c r="AG183" i="71" a="1"/>
  <c r="AG183" i="71" s="1"/>
  <c r="AF183" i="71" a="1"/>
  <c r="AF183" i="71" s="1"/>
  <c r="AE183" i="71" a="1"/>
  <c r="AE183" i="71" s="1"/>
  <c r="AD183" i="71" a="1"/>
  <c r="AD183" i="71" s="1"/>
  <c r="AC183" i="71" a="1"/>
  <c r="AC183" i="71" s="1"/>
  <c r="AB183" i="71" a="1"/>
  <c r="AB183" i="71" s="1"/>
  <c r="AA183" i="71" a="1"/>
  <c r="AA183" i="71" s="1"/>
  <c r="Z183" i="71" a="1"/>
  <c r="Z183" i="71" s="1"/>
  <c r="Y183" i="71" a="1"/>
  <c r="Y183" i="71" s="1"/>
  <c r="X183" i="71" a="1"/>
  <c r="X183" i="71" s="1"/>
  <c r="W183" i="71" a="1"/>
  <c r="W183" i="71" s="1"/>
  <c r="V183" i="71" a="1"/>
  <c r="V183" i="71" s="1"/>
  <c r="U183" i="71" a="1"/>
  <c r="U183" i="71" s="1"/>
  <c r="T183" i="71" a="1"/>
  <c r="T183" i="71" s="1"/>
  <c r="S183" i="71" a="1"/>
  <c r="S183" i="71" s="1"/>
  <c r="R183" i="71" a="1"/>
  <c r="R183" i="71" s="1"/>
  <c r="Q183" i="71" a="1"/>
  <c r="Q183" i="71" s="1"/>
  <c r="P183" i="71" a="1"/>
  <c r="P183" i="71" s="1"/>
  <c r="O183" i="71" a="1"/>
  <c r="O183" i="71" s="1"/>
  <c r="N183" i="71" a="1"/>
  <c r="N183" i="71" s="1"/>
  <c r="M183" i="71" a="1"/>
  <c r="M183" i="71" s="1"/>
  <c r="L183" i="71" a="1"/>
  <c r="L183" i="71" s="1"/>
  <c r="K183" i="71" a="1"/>
  <c r="K183" i="71" s="1"/>
  <c r="J183" i="71" a="1"/>
  <c r="J183" i="71" s="1"/>
  <c r="I183" i="71" a="1"/>
  <c r="I183" i="71" s="1"/>
  <c r="H183" i="71" a="1"/>
  <c r="H183" i="71" s="1"/>
  <c r="G183" i="71" a="1"/>
  <c r="G183" i="71" s="1"/>
  <c r="F183" i="71" a="1"/>
  <c r="F183" i="71" s="1"/>
  <c r="E183" i="71" a="1"/>
  <c r="E183" i="71" s="1"/>
  <c r="D183" i="71" a="1"/>
  <c r="D183" i="71" s="1"/>
  <c r="AH182" i="71" a="1"/>
  <c r="AH182" i="71" s="1"/>
  <c r="AG182" i="71" a="1"/>
  <c r="AG182" i="71" s="1"/>
  <c r="AF182" i="71" a="1"/>
  <c r="AF182" i="71" s="1"/>
  <c r="AE182" i="71" a="1"/>
  <c r="AE182" i="71" s="1"/>
  <c r="AD182" i="71" a="1"/>
  <c r="AD182" i="71" s="1"/>
  <c r="AC182" i="71" a="1"/>
  <c r="AC182" i="71" s="1"/>
  <c r="AB182" i="71" a="1"/>
  <c r="AB182" i="71" s="1"/>
  <c r="AA182" i="71" a="1"/>
  <c r="AA182" i="71" s="1"/>
  <c r="Z182" i="71" a="1"/>
  <c r="Z182" i="71" s="1"/>
  <c r="Y182" i="71" a="1"/>
  <c r="Y182" i="71" s="1"/>
  <c r="X182" i="71" a="1"/>
  <c r="X182" i="71" s="1"/>
  <c r="W182" i="71" a="1"/>
  <c r="W182" i="71" s="1"/>
  <c r="V182" i="71" a="1"/>
  <c r="V182" i="71" s="1"/>
  <c r="U182" i="71" a="1"/>
  <c r="U182" i="71" s="1"/>
  <c r="T182" i="71" a="1"/>
  <c r="T182" i="71" s="1"/>
  <c r="S182" i="71" a="1"/>
  <c r="S182" i="71" s="1"/>
  <c r="R182" i="71" a="1"/>
  <c r="R182" i="71" s="1"/>
  <c r="Q182" i="71" a="1"/>
  <c r="Q182" i="71" s="1"/>
  <c r="P182" i="71" a="1"/>
  <c r="P182" i="71" s="1"/>
  <c r="O182" i="71" a="1"/>
  <c r="O182" i="71" s="1"/>
  <c r="N182" i="71" a="1"/>
  <c r="N182" i="71" s="1"/>
  <c r="M182" i="71" a="1"/>
  <c r="M182" i="71" s="1"/>
  <c r="L182" i="71" a="1"/>
  <c r="L182" i="71" s="1"/>
  <c r="K182" i="71" a="1"/>
  <c r="K182" i="71" s="1"/>
  <c r="J182" i="71" a="1"/>
  <c r="J182" i="71" s="1"/>
  <c r="I182" i="71" a="1"/>
  <c r="I182" i="71" s="1"/>
  <c r="H182" i="71" a="1"/>
  <c r="H182" i="71" s="1"/>
  <c r="G182" i="71" a="1"/>
  <c r="G182" i="71" s="1"/>
  <c r="F182" i="71" a="1"/>
  <c r="F182" i="71" s="1"/>
  <c r="E182" i="71" a="1"/>
  <c r="E182" i="71" s="1"/>
  <c r="D182" i="71" a="1"/>
  <c r="D182" i="71" s="1"/>
  <c r="AH181" i="71" a="1"/>
  <c r="AH181" i="71" s="1"/>
  <c r="AG181" i="71" a="1"/>
  <c r="AG181" i="71" s="1"/>
  <c r="AF181" i="71" a="1"/>
  <c r="AF181" i="71" s="1"/>
  <c r="AE181" i="71" a="1"/>
  <c r="AE181" i="71" s="1"/>
  <c r="AD181" i="71" a="1"/>
  <c r="AD181" i="71" s="1"/>
  <c r="AC181" i="71" a="1"/>
  <c r="AC181" i="71" s="1"/>
  <c r="AB181" i="71" a="1"/>
  <c r="AB181" i="71" s="1"/>
  <c r="AA181" i="71" a="1"/>
  <c r="AA181" i="71" s="1"/>
  <c r="Z181" i="71" a="1"/>
  <c r="Z181" i="71" s="1"/>
  <c r="Y181" i="71" a="1"/>
  <c r="Y181" i="71" s="1"/>
  <c r="X181" i="71" a="1"/>
  <c r="X181" i="71" s="1"/>
  <c r="W181" i="71" a="1"/>
  <c r="W181" i="71" s="1"/>
  <c r="V181" i="71" a="1"/>
  <c r="V181" i="71" s="1"/>
  <c r="U181" i="71" a="1"/>
  <c r="U181" i="71" s="1"/>
  <c r="T181" i="71" a="1"/>
  <c r="T181" i="71" s="1"/>
  <c r="S181" i="71" a="1"/>
  <c r="S181" i="71" s="1"/>
  <c r="R181" i="71" a="1"/>
  <c r="R181" i="71" s="1"/>
  <c r="Q181" i="71" a="1"/>
  <c r="Q181" i="71" s="1"/>
  <c r="P181" i="71" a="1"/>
  <c r="P181" i="71" s="1"/>
  <c r="O181" i="71" a="1"/>
  <c r="O181" i="71" s="1"/>
  <c r="N181" i="71" a="1"/>
  <c r="N181" i="71" s="1"/>
  <c r="M181" i="71" a="1"/>
  <c r="M181" i="71" s="1"/>
  <c r="L181" i="71" a="1"/>
  <c r="L181" i="71" s="1"/>
  <c r="K181" i="71" a="1"/>
  <c r="K181" i="71" s="1"/>
  <c r="J181" i="71" a="1"/>
  <c r="J181" i="71" s="1"/>
  <c r="I181" i="71" a="1"/>
  <c r="I181" i="71" s="1"/>
  <c r="H181" i="71" a="1"/>
  <c r="H181" i="71" s="1"/>
  <c r="G181" i="71" a="1"/>
  <c r="G181" i="71" s="1"/>
  <c r="F181" i="71" a="1"/>
  <c r="F181" i="71" s="1"/>
  <c r="E181" i="71" a="1"/>
  <c r="E181" i="71" s="1"/>
  <c r="D181" i="71" a="1"/>
  <c r="D181" i="71" s="1"/>
  <c r="AH180" i="71" a="1"/>
  <c r="AH180" i="71" s="1"/>
  <c r="AG180" i="71" a="1"/>
  <c r="AG180" i="71" s="1"/>
  <c r="AF180" i="71" a="1"/>
  <c r="AF180" i="71" s="1"/>
  <c r="AE180" i="71" a="1"/>
  <c r="AE180" i="71" s="1"/>
  <c r="AD180" i="71" a="1"/>
  <c r="AD180" i="71" s="1"/>
  <c r="AC180" i="71" a="1"/>
  <c r="AC180" i="71" s="1"/>
  <c r="AB180" i="71" a="1"/>
  <c r="AB180" i="71" s="1"/>
  <c r="AA180" i="71" a="1"/>
  <c r="AA180" i="71" s="1"/>
  <c r="Z180" i="71" a="1"/>
  <c r="Z180" i="71" s="1"/>
  <c r="Y180" i="71" a="1"/>
  <c r="Y180" i="71" s="1"/>
  <c r="X180" i="71" a="1"/>
  <c r="X180" i="71" s="1"/>
  <c r="W180" i="71" a="1"/>
  <c r="W180" i="71" s="1"/>
  <c r="V180" i="71" a="1"/>
  <c r="V180" i="71" s="1"/>
  <c r="U180" i="71" a="1"/>
  <c r="U180" i="71" s="1"/>
  <c r="T180" i="71" a="1"/>
  <c r="T180" i="71" s="1"/>
  <c r="S180" i="71" a="1"/>
  <c r="S180" i="71" s="1"/>
  <c r="R180" i="71" a="1"/>
  <c r="R180" i="71" s="1"/>
  <c r="Q180" i="71" a="1"/>
  <c r="Q180" i="71" s="1"/>
  <c r="P180" i="71" a="1"/>
  <c r="P180" i="71" s="1"/>
  <c r="O180" i="71" a="1"/>
  <c r="O180" i="71" s="1"/>
  <c r="N180" i="71" a="1"/>
  <c r="N180" i="71" s="1"/>
  <c r="M180" i="71" a="1"/>
  <c r="M180" i="71" s="1"/>
  <c r="L180" i="71" a="1"/>
  <c r="L180" i="71" s="1"/>
  <c r="K180" i="71" a="1"/>
  <c r="K180" i="71" s="1"/>
  <c r="J180" i="71" a="1"/>
  <c r="J180" i="71" s="1"/>
  <c r="I180" i="71" a="1"/>
  <c r="I180" i="71" s="1"/>
  <c r="H180" i="71" a="1"/>
  <c r="H180" i="71" s="1"/>
  <c r="G180" i="71" a="1"/>
  <c r="G180" i="71" s="1"/>
  <c r="F180" i="71" a="1"/>
  <c r="F180" i="71" s="1"/>
  <c r="E180" i="71" a="1"/>
  <c r="E180" i="71" s="1"/>
  <c r="D180" i="71" a="1"/>
  <c r="D180" i="71" s="1"/>
  <c r="AH179" i="71" a="1"/>
  <c r="AH179" i="71" s="1"/>
  <c r="AG179" i="71" a="1"/>
  <c r="AG179" i="71" s="1"/>
  <c r="AF179" i="71" a="1"/>
  <c r="AF179" i="71" s="1"/>
  <c r="AE179" i="71" a="1"/>
  <c r="AE179" i="71" s="1"/>
  <c r="AD179" i="71" a="1"/>
  <c r="AD179" i="71" s="1"/>
  <c r="AC179" i="71" a="1"/>
  <c r="AC179" i="71" s="1"/>
  <c r="AB179" i="71" a="1"/>
  <c r="AB179" i="71" s="1"/>
  <c r="AA179" i="71" a="1"/>
  <c r="AA179" i="71" s="1"/>
  <c r="Z179" i="71" a="1"/>
  <c r="Z179" i="71" s="1"/>
  <c r="Y179" i="71" a="1"/>
  <c r="Y179" i="71" s="1"/>
  <c r="X179" i="71" a="1"/>
  <c r="X179" i="71" s="1"/>
  <c r="W179" i="71" a="1"/>
  <c r="W179" i="71" s="1"/>
  <c r="V179" i="71" a="1"/>
  <c r="V179" i="71" s="1"/>
  <c r="U179" i="71" a="1"/>
  <c r="U179" i="71" s="1"/>
  <c r="T179" i="71" a="1"/>
  <c r="T179" i="71" s="1"/>
  <c r="S179" i="71" a="1"/>
  <c r="S179" i="71" s="1"/>
  <c r="R179" i="71" a="1"/>
  <c r="R179" i="71" s="1"/>
  <c r="Q179" i="71" a="1"/>
  <c r="Q179" i="71" s="1"/>
  <c r="P179" i="71" a="1"/>
  <c r="P179" i="71" s="1"/>
  <c r="O179" i="71" a="1"/>
  <c r="O179" i="71" s="1"/>
  <c r="N179" i="71" a="1"/>
  <c r="N179" i="71" s="1"/>
  <c r="M179" i="71" a="1"/>
  <c r="M179" i="71" s="1"/>
  <c r="L179" i="71" a="1"/>
  <c r="L179" i="71" s="1"/>
  <c r="K179" i="71" a="1"/>
  <c r="K179" i="71" s="1"/>
  <c r="J179" i="71" a="1"/>
  <c r="J179" i="71" s="1"/>
  <c r="I179" i="71" a="1"/>
  <c r="I179" i="71" s="1"/>
  <c r="H179" i="71" a="1"/>
  <c r="H179" i="71" s="1"/>
  <c r="G179" i="71" a="1"/>
  <c r="G179" i="71" s="1"/>
  <c r="F179" i="71" a="1"/>
  <c r="F179" i="71" s="1"/>
  <c r="E179" i="71" a="1"/>
  <c r="E179" i="71" s="1"/>
  <c r="D179" i="71" a="1"/>
  <c r="D179" i="71" s="1"/>
  <c r="AH178" i="71" a="1"/>
  <c r="AH178" i="71" s="1"/>
  <c r="AG178" i="71" a="1"/>
  <c r="AG178" i="71" s="1"/>
  <c r="AF178" i="71" a="1"/>
  <c r="AF178" i="71" s="1"/>
  <c r="AE178" i="71" a="1"/>
  <c r="AE178" i="71" s="1"/>
  <c r="AD178" i="71" a="1"/>
  <c r="AD178" i="71" s="1"/>
  <c r="AC178" i="71" a="1"/>
  <c r="AC178" i="71" s="1"/>
  <c r="AB178" i="71" a="1"/>
  <c r="AB178" i="71" s="1"/>
  <c r="AA178" i="71" a="1"/>
  <c r="AA178" i="71" s="1"/>
  <c r="Z178" i="71" a="1"/>
  <c r="Z178" i="71" s="1"/>
  <c r="Y178" i="71" a="1"/>
  <c r="Y178" i="71" s="1"/>
  <c r="X178" i="71" a="1"/>
  <c r="X178" i="71" s="1"/>
  <c r="W178" i="71" a="1"/>
  <c r="W178" i="71" s="1"/>
  <c r="V178" i="71" a="1"/>
  <c r="V178" i="71" s="1"/>
  <c r="U178" i="71" a="1"/>
  <c r="U178" i="71" s="1"/>
  <c r="T178" i="71" a="1"/>
  <c r="T178" i="71" s="1"/>
  <c r="S178" i="71" a="1"/>
  <c r="S178" i="71" s="1"/>
  <c r="R178" i="71" a="1"/>
  <c r="R178" i="71" s="1"/>
  <c r="Q178" i="71" a="1"/>
  <c r="Q178" i="71" s="1"/>
  <c r="P178" i="71" a="1"/>
  <c r="P178" i="71" s="1"/>
  <c r="O178" i="71" a="1"/>
  <c r="O178" i="71" s="1"/>
  <c r="N178" i="71" a="1"/>
  <c r="N178" i="71" s="1"/>
  <c r="M178" i="71" a="1"/>
  <c r="M178" i="71" s="1"/>
  <c r="L178" i="71" a="1"/>
  <c r="L178" i="71" s="1"/>
  <c r="K178" i="71" a="1"/>
  <c r="K178" i="71" s="1"/>
  <c r="J178" i="71" a="1"/>
  <c r="J178" i="71" s="1"/>
  <c r="I178" i="71" a="1"/>
  <c r="I178" i="71" s="1"/>
  <c r="H178" i="71" a="1"/>
  <c r="H178" i="71" s="1"/>
  <c r="G178" i="71" a="1"/>
  <c r="G178" i="71" s="1"/>
  <c r="F178" i="71" a="1"/>
  <c r="F178" i="71" s="1"/>
  <c r="E178" i="71" a="1"/>
  <c r="E178" i="71" s="1"/>
  <c r="D178" i="71" a="1"/>
  <c r="D178" i="71" s="1"/>
  <c r="AH177" i="71" a="1"/>
  <c r="AH177" i="71" s="1"/>
  <c r="AG177" i="71" a="1"/>
  <c r="AG177" i="71" s="1"/>
  <c r="AF177" i="71" a="1"/>
  <c r="AF177" i="71" s="1"/>
  <c r="AE177" i="71" a="1"/>
  <c r="AE177" i="71" s="1"/>
  <c r="AD177" i="71" a="1"/>
  <c r="AD177" i="71" s="1"/>
  <c r="AC177" i="71" a="1"/>
  <c r="AC177" i="71" s="1"/>
  <c r="AB177" i="71" a="1"/>
  <c r="AB177" i="71" s="1"/>
  <c r="AA177" i="71" a="1"/>
  <c r="AA177" i="71" s="1"/>
  <c r="Z177" i="71" a="1"/>
  <c r="Z177" i="71" s="1"/>
  <c r="Y177" i="71" a="1"/>
  <c r="Y177" i="71" s="1"/>
  <c r="X177" i="71" a="1"/>
  <c r="X177" i="71" s="1"/>
  <c r="W177" i="71" a="1"/>
  <c r="W177" i="71" s="1"/>
  <c r="V177" i="71" a="1"/>
  <c r="V177" i="71" s="1"/>
  <c r="U177" i="71" a="1"/>
  <c r="U177" i="71" s="1"/>
  <c r="T177" i="71" a="1"/>
  <c r="T177" i="71" s="1"/>
  <c r="S177" i="71" a="1"/>
  <c r="S177" i="71" s="1"/>
  <c r="R177" i="71" a="1"/>
  <c r="R177" i="71" s="1"/>
  <c r="Q177" i="71" a="1"/>
  <c r="Q177" i="71" s="1"/>
  <c r="P177" i="71" a="1"/>
  <c r="P177" i="71" s="1"/>
  <c r="O177" i="71" a="1"/>
  <c r="O177" i="71" s="1"/>
  <c r="N177" i="71" a="1"/>
  <c r="N177" i="71" s="1"/>
  <c r="M177" i="71" a="1"/>
  <c r="M177" i="71" s="1"/>
  <c r="L177" i="71" a="1"/>
  <c r="L177" i="71" s="1"/>
  <c r="K177" i="71" a="1"/>
  <c r="K177" i="71" s="1"/>
  <c r="J177" i="71" a="1"/>
  <c r="J177" i="71" s="1"/>
  <c r="I177" i="71" a="1"/>
  <c r="I177" i="71" s="1"/>
  <c r="H177" i="71" a="1"/>
  <c r="H177" i="71" s="1"/>
  <c r="G177" i="71" a="1"/>
  <c r="G177" i="71" s="1"/>
  <c r="F177" i="71" a="1"/>
  <c r="F177" i="71" s="1"/>
  <c r="E177" i="71" a="1"/>
  <c r="E177" i="71" s="1"/>
  <c r="D177" i="71" a="1"/>
  <c r="D177" i="71" s="1"/>
  <c r="AH176" i="71" a="1"/>
  <c r="AH176" i="71" s="1"/>
  <c r="AG176" i="71" a="1"/>
  <c r="AG176" i="71" s="1"/>
  <c r="AF176" i="71" a="1"/>
  <c r="AF176" i="71" s="1"/>
  <c r="AE176" i="71" a="1"/>
  <c r="AE176" i="71" s="1"/>
  <c r="AD176" i="71" a="1"/>
  <c r="AD176" i="71" s="1"/>
  <c r="AC176" i="71" a="1"/>
  <c r="AC176" i="71" s="1"/>
  <c r="AB176" i="71" a="1"/>
  <c r="AB176" i="71" s="1"/>
  <c r="AA176" i="71" a="1"/>
  <c r="AA176" i="71" s="1"/>
  <c r="Z176" i="71" a="1"/>
  <c r="Z176" i="71" s="1"/>
  <c r="Y176" i="71" a="1"/>
  <c r="Y176" i="71" s="1"/>
  <c r="X176" i="71" a="1"/>
  <c r="X176" i="71" s="1"/>
  <c r="W176" i="71" a="1"/>
  <c r="W176" i="71" s="1"/>
  <c r="V176" i="71" a="1"/>
  <c r="V176" i="71" s="1"/>
  <c r="U176" i="71" a="1"/>
  <c r="U176" i="71" s="1"/>
  <c r="T176" i="71" a="1"/>
  <c r="T176" i="71" s="1"/>
  <c r="S176" i="71" a="1"/>
  <c r="S176" i="71" s="1"/>
  <c r="R176" i="71" a="1"/>
  <c r="R176" i="71" s="1"/>
  <c r="Q176" i="71" a="1"/>
  <c r="Q176" i="71" s="1"/>
  <c r="P176" i="71" a="1"/>
  <c r="P176" i="71" s="1"/>
  <c r="O176" i="71" a="1"/>
  <c r="O176" i="71" s="1"/>
  <c r="N176" i="71" a="1"/>
  <c r="N176" i="71" s="1"/>
  <c r="M176" i="71" a="1"/>
  <c r="M176" i="71" s="1"/>
  <c r="L176" i="71" a="1"/>
  <c r="L176" i="71" s="1"/>
  <c r="K176" i="71" a="1"/>
  <c r="K176" i="71" s="1"/>
  <c r="J176" i="71" a="1"/>
  <c r="J176" i="71" s="1"/>
  <c r="I176" i="71" a="1"/>
  <c r="I176" i="71" s="1"/>
  <c r="H176" i="71" a="1"/>
  <c r="H176" i="71" s="1"/>
  <c r="G176" i="71" a="1"/>
  <c r="G176" i="71" s="1"/>
  <c r="F176" i="71" a="1"/>
  <c r="F176" i="71" s="1"/>
  <c r="E176" i="71" a="1"/>
  <c r="E176" i="71" s="1"/>
  <c r="D176" i="71" a="1"/>
  <c r="D176" i="71" s="1"/>
  <c r="AH175" i="71" a="1"/>
  <c r="AH175" i="71" s="1"/>
  <c r="AG175" i="71" a="1"/>
  <c r="AG175" i="71" s="1"/>
  <c r="AF175" i="71" a="1"/>
  <c r="AF175" i="71" s="1"/>
  <c r="AE175" i="71" a="1"/>
  <c r="AE175" i="71" s="1"/>
  <c r="AD175" i="71" a="1"/>
  <c r="AD175" i="71" s="1"/>
  <c r="AC175" i="71" a="1"/>
  <c r="AC175" i="71" s="1"/>
  <c r="AB175" i="71" a="1"/>
  <c r="AB175" i="71" s="1"/>
  <c r="AA175" i="71" a="1"/>
  <c r="AA175" i="71" s="1"/>
  <c r="Z175" i="71" a="1"/>
  <c r="Z175" i="71" s="1"/>
  <c r="Y175" i="71" a="1"/>
  <c r="Y175" i="71" s="1"/>
  <c r="X175" i="71" a="1"/>
  <c r="X175" i="71" s="1"/>
  <c r="W175" i="71" a="1"/>
  <c r="W175" i="71" s="1"/>
  <c r="V175" i="71" a="1"/>
  <c r="V175" i="71" s="1"/>
  <c r="U175" i="71" a="1"/>
  <c r="U175" i="71" s="1"/>
  <c r="T175" i="71" a="1"/>
  <c r="T175" i="71" s="1"/>
  <c r="S175" i="71" a="1"/>
  <c r="S175" i="71" s="1"/>
  <c r="R175" i="71" a="1"/>
  <c r="R175" i="71" s="1"/>
  <c r="Q175" i="71" a="1"/>
  <c r="Q175" i="71" s="1"/>
  <c r="P175" i="71" a="1"/>
  <c r="P175" i="71" s="1"/>
  <c r="O175" i="71" a="1"/>
  <c r="O175" i="71" s="1"/>
  <c r="N175" i="71" a="1"/>
  <c r="N175" i="71" s="1"/>
  <c r="M175" i="71" a="1"/>
  <c r="M175" i="71" s="1"/>
  <c r="L175" i="71" a="1"/>
  <c r="L175" i="71" s="1"/>
  <c r="K175" i="71" a="1"/>
  <c r="K175" i="71" s="1"/>
  <c r="J175" i="71" a="1"/>
  <c r="J175" i="71" s="1"/>
  <c r="I175" i="71" a="1"/>
  <c r="I175" i="71" s="1"/>
  <c r="H175" i="71" a="1"/>
  <c r="H175" i="71" s="1"/>
  <c r="G175" i="71" a="1"/>
  <c r="G175" i="71" s="1"/>
  <c r="F175" i="71" a="1"/>
  <c r="F175" i="71" s="1"/>
  <c r="E175" i="71" a="1"/>
  <c r="E175" i="71" s="1"/>
  <c r="D175" i="71" a="1"/>
  <c r="D175" i="71" s="1"/>
  <c r="AH174" i="71" a="1"/>
  <c r="AH174" i="71" s="1"/>
  <c r="AG174" i="71" a="1"/>
  <c r="AG174" i="71" s="1"/>
  <c r="AF174" i="71" a="1"/>
  <c r="AF174" i="71" s="1"/>
  <c r="AE174" i="71" a="1"/>
  <c r="AE174" i="71" s="1"/>
  <c r="AD174" i="71" a="1"/>
  <c r="AD174" i="71" s="1"/>
  <c r="AC174" i="71" a="1"/>
  <c r="AC174" i="71" s="1"/>
  <c r="AB174" i="71" a="1"/>
  <c r="AB174" i="71" s="1"/>
  <c r="AA174" i="71" a="1"/>
  <c r="AA174" i="71" s="1"/>
  <c r="Z174" i="71" a="1"/>
  <c r="Z174" i="71" s="1"/>
  <c r="Y174" i="71" a="1"/>
  <c r="Y174" i="71" s="1"/>
  <c r="X174" i="71" a="1"/>
  <c r="X174" i="71" s="1"/>
  <c r="W174" i="71" a="1"/>
  <c r="W174" i="71" s="1"/>
  <c r="V174" i="71" a="1"/>
  <c r="V174" i="71" s="1"/>
  <c r="U174" i="71" a="1"/>
  <c r="U174" i="71" s="1"/>
  <c r="T174" i="71" a="1"/>
  <c r="T174" i="71" s="1"/>
  <c r="S174" i="71" a="1"/>
  <c r="S174" i="71" s="1"/>
  <c r="R174" i="71" a="1"/>
  <c r="R174" i="71" s="1"/>
  <c r="Q174" i="71" a="1"/>
  <c r="Q174" i="71" s="1"/>
  <c r="P174" i="71" a="1"/>
  <c r="P174" i="71" s="1"/>
  <c r="O174" i="71" a="1"/>
  <c r="O174" i="71" s="1"/>
  <c r="N174" i="71" a="1"/>
  <c r="N174" i="71" s="1"/>
  <c r="M174" i="71" a="1"/>
  <c r="M174" i="71" s="1"/>
  <c r="L174" i="71" a="1"/>
  <c r="L174" i="71" s="1"/>
  <c r="K174" i="71" a="1"/>
  <c r="K174" i="71" s="1"/>
  <c r="J174" i="71" a="1"/>
  <c r="J174" i="71" s="1"/>
  <c r="I174" i="71" a="1"/>
  <c r="I174" i="71" s="1"/>
  <c r="H174" i="71" a="1"/>
  <c r="H174" i="71" s="1"/>
  <c r="G174" i="71" a="1"/>
  <c r="G174" i="71" s="1"/>
  <c r="F174" i="71" a="1"/>
  <c r="F174" i="71" s="1"/>
  <c r="E174" i="71" a="1"/>
  <c r="E174" i="71" s="1"/>
  <c r="D174" i="71" a="1"/>
  <c r="D174" i="71" s="1"/>
  <c r="AH173" i="71" a="1"/>
  <c r="AH173" i="71" s="1"/>
  <c r="AG173" i="71" a="1"/>
  <c r="AG173" i="71" s="1"/>
  <c r="AF173" i="71" a="1"/>
  <c r="AF173" i="71" s="1"/>
  <c r="AE173" i="71" a="1"/>
  <c r="AE173" i="71" s="1"/>
  <c r="AD173" i="71" a="1"/>
  <c r="AD173" i="71" s="1"/>
  <c r="AC173" i="71" a="1"/>
  <c r="AC173" i="71" s="1"/>
  <c r="AB173" i="71" a="1"/>
  <c r="AB173" i="71" s="1"/>
  <c r="AA173" i="71" a="1"/>
  <c r="AA173" i="71" s="1"/>
  <c r="Z173" i="71" a="1"/>
  <c r="Z173" i="71" s="1"/>
  <c r="Y173" i="71" a="1"/>
  <c r="Y173" i="71" s="1"/>
  <c r="X173" i="71" a="1"/>
  <c r="X173" i="71" s="1"/>
  <c r="W173" i="71" a="1"/>
  <c r="W173" i="71" s="1"/>
  <c r="V173" i="71" a="1"/>
  <c r="V173" i="71" s="1"/>
  <c r="U173" i="71" a="1"/>
  <c r="U173" i="71" s="1"/>
  <c r="T173" i="71" a="1"/>
  <c r="T173" i="71" s="1"/>
  <c r="S173" i="71" a="1"/>
  <c r="S173" i="71" s="1"/>
  <c r="R173" i="71" a="1"/>
  <c r="R173" i="71" s="1"/>
  <c r="Q173" i="71" a="1"/>
  <c r="Q173" i="71" s="1"/>
  <c r="P173" i="71" a="1"/>
  <c r="P173" i="71" s="1"/>
  <c r="O173" i="71" a="1"/>
  <c r="O173" i="71" s="1"/>
  <c r="N173" i="71" a="1"/>
  <c r="N173" i="71" s="1"/>
  <c r="M173" i="71" a="1"/>
  <c r="M173" i="71" s="1"/>
  <c r="L173" i="71" a="1"/>
  <c r="L173" i="71" s="1"/>
  <c r="K173" i="71" a="1"/>
  <c r="K173" i="71" s="1"/>
  <c r="J173" i="71" a="1"/>
  <c r="J173" i="71" s="1"/>
  <c r="I173" i="71" a="1"/>
  <c r="I173" i="71" s="1"/>
  <c r="H173" i="71" a="1"/>
  <c r="H173" i="71" s="1"/>
  <c r="G173" i="71" a="1"/>
  <c r="G173" i="71" s="1"/>
  <c r="F173" i="71" a="1"/>
  <c r="F173" i="71" s="1"/>
  <c r="E173" i="71" a="1"/>
  <c r="E173" i="71" s="1"/>
  <c r="D173" i="71" a="1"/>
  <c r="D173" i="71" s="1"/>
  <c r="AH172" i="71" a="1"/>
  <c r="AH172" i="71" s="1"/>
  <c r="AG172" i="71" a="1"/>
  <c r="AG172" i="71" s="1"/>
  <c r="AF172" i="71" a="1"/>
  <c r="AF172" i="71" s="1"/>
  <c r="AE172" i="71" a="1"/>
  <c r="AE172" i="71" s="1"/>
  <c r="AD172" i="71" a="1"/>
  <c r="AD172" i="71" s="1"/>
  <c r="AC172" i="71" a="1"/>
  <c r="AC172" i="71" s="1"/>
  <c r="AB172" i="71" a="1"/>
  <c r="AB172" i="71" s="1"/>
  <c r="AA172" i="71" a="1"/>
  <c r="AA172" i="71" s="1"/>
  <c r="Z172" i="71" a="1"/>
  <c r="Z172" i="71" s="1"/>
  <c r="Y172" i="71" a="1"/>
  <c r="Y172" i="71" s="1"/>
  <c r="X172" i="71" a="1"/>
  <c r="X172" i="71" s="1"/>
  <c r="W172" i="71" a="1"/>
  <c r="W172" i="71" s="1"/>
  <c r="V172" i="71" a="1"/>
  <c r="V172" i="71" s="1"/>
  <c r="U172" i="71" a="1"/>
  <c r="U172" i="71" s="1"/>
  <c r="T172" i="71" a="1"/>
  <c r="T172" i="71" s="1"/>
  <c r="S172" i="71" a="1"/>
  <c r="S172" i="71" s="1"/>
  <c r="R172" i="71" a="1"/>
  <c r="R172" i="71" s="1"/>
  <c r="Q172" i="71" a="1"/>
  <c r="Q172" i="71" s="1"/>
  <c r="P172" i="71" a="1"/>
  <c r="P172" i="71" s="1"/>
  <c r="O172" i="71" a="1"/>
  <c r="O172" i="71" s="1"/>
  <c r="N172" i="71" a="1"/>
  <c r="N172" i="71" s="1"/>
  <c r="M172" i="71" a="1"/>
  <c r="M172" i="71" s="1"/>
  <c r="L172" i="71" a="1"/>
  <c r="L172" i="71" s="1"/>
  <c r="K172" i="71" a="1"/>
  <c r="K172" i="71" s="1"/>
  <c r="J172" i="71" a="1"/>
  <c r="J172" i="71" s="1"/>
  <c r="I172" i="71" a="1"/>
  <c r="I172" i="71" s="1"/>
  <c r="H172" i="71" a="1"/>
  <c r="H172" i="71" s="1"/>
  <c r="G172" i="71" a="1"/>
  <c r="G172" i="71" s="1"/>
  <c r="F172" i="71" a="1"/>
  <c r="F172" i="71" s="1"/>
  <c r="E172" i="71" a="1"/>
  <c r="E172" i="71" s="1"/>
  <c r="D172" i="71" a="1"/>
  <c r="D172" i="71" s="1"/>
  <c r="AH171" i="71" a="1"/>
  <c r="AH171" i="71" s="1"/>
  <c r="AG171" i="71" a="1"/>
  <c r="AG171" i="71" s="1"/>
  <c r="AF171" i="71" a="1"/>
  <c r="AF171" i="71" s="1"/>
  <c r="AE171" i="71" a="1"/>
  <c r="AE171" i="71" s="1"/>
  <c r="AD171" i="71" a="1"/>
  <c r="AD171" i="71" s="1"/>
  <c r="AC171" i="71" a="1"/>
  <c r="AC171" i="71" s="1"/>
  <c r="AB171" i="71" a="1"/>
  <c r="AB171" i="71" s="1"/>
  <c r="AA171" i="71" a="1"/>
  <c r="AA171" i="71" s="1"/>
  <c r="Z171" i="71" a="1"/>
  <c r="Z171" i="71" s="1"/>
  <c r="Y171" i="71" a="1"/>
  <c r="Y171" i="71" s="1"/>
  <c r="X171" i="71" a="1"/>
  <c r="X171" i="71" s="1"/>
  <c r="W171" i="71" a="1"/>
  <c r="W171" i="71" s="1"/>
  <c r="V171" i="71" a="1"/>
  <c r="V171" i="71" s="1"/>
  <c r="U171" i="71" a="1"/>
  <c r="U171" i="71" s="1"/>
  <c r="T171" i="71" a="1"/>
  <c r="T171" i="71" s="1"/>
  <c r="S171" i="71" a="1"/>
  <c r="S171" i="71" s="1"/>
  <c r="R171" i="71" a="1"/>
  <c r="R171" i="71" s="1"/>
  <c r="Q171" i="71" a="1"/>
  <c r="Q171" i="71" s="1"/>
  <c r="P171" i="71" a="1"/>
  <c r="P171" i="71" s="1"/>
  <c r="O171" i="71" a="1"/>
  <c r="O171" i="71" s="1"/>
  <c r="N171" i="71" a="1"/>
  <c r="N171" i="71" s="1"/>
  <c r="M171" i="71" a="1"/>
  <c r="M171" i="71" s="1"/>
  <c r="L171" i="71" a="1"/>
  <c r="L171" i="71" s="1"/>
  <c r="K171" i="71" a="1"/>
  <c r="K171" i="71" s="1"/>
  <c r="J171" i="71" a="1"/>
  <c r="J171" i="71" s="1"/>
  <c r="I171" i="71" a="1"/>
  <c r="I171" i="71" s="1"/>
  <c r="H171" i="71" a="1"/>
  <c r="H171" i="71" s="1"/>
  <c r="G171" i="71" a="1"/>
  <c r="G171" i="71" s="1"/>
  <c r="F171" i="71" a="1"/>
  <c r="F171" i="71" s="1"/>
  <c r="E171" i="71" a="1"/>
  <c r="E171" i="71" s="1"/>
  <c r="D171" i="71" a="1"/>
  <c r="D171" i="71" s="1"/>
  <c r="AH170" i="71" a="1"/>
  <c r="AH170" i="71" s="1"/>
  <c r="AG170" i="71" a="1"/>
  <c r="AG170" i="71" s="1"/>
  <c r="AF170" i="71" a="1"/>
  <c r="AF170" i="71" s="1"/>
  <c r="AE170" i="71" a="1"/>
  <c r="AE170" i="71" s="1"/>
  <c r="AD170" i="71" a="1"/>
  <c r="AD170" i="71" s="1"/>
  <c r="AC170" i="71" a="1"/>
  <c r="AC170" i="71" s="1"/>
  <c r="AB170" i="71" a="1"/>
  <c r="AB170" i="71" s="1"/>
  <c r="AA170" i="71" a="1"/>
  <c r="AA170" i="71" s="1"/>
  <c r="Z170" i="71" a="1"/>
  <c r="Z170" i="71" s="1"/>
  <c r="Y170" i="71" a="1"/>
  <c r="Y170" i="71" s="1"/>
  <c r="X170" i="71" a="1"/>
  <c r="X170" i="71" s="1"/>
  <c r="W170" i="71" a="1"/>
  <c r="W170" i="71" s="1"/>
  <c r="V170" i="71" a="1"/>
  <c r="V170" i="71" s="1"/>
  <c r="U170" i="71" a="1"/>
  <c r="U170" i="71" s="1"/>
  <c r="T170" i="71" a="1"/>
  <c r="T170" i="71" s="1"/>
  <c r="S170" i="71" a="1"/>
  <c r="S170" i="71" s="1"/>
  <c r="R170" i="71" a="1"/>
  <c r="R170" i="71" s="1"/>
  <c r="Q170" i="71" a="1"/>
  <c r="Q170" i="71" s="1"/>
  <c r="P170" i="71" a="1"/>
  <c r="P170" i="71" s="1"/>
  <c r="O170" i="71" a="1"/>
  <c r="O170" i="71" s="1"/>
  <c r="N170" i="71" a="1"/>
  <c r="N170" i="71" s="1"/>
  <c r="M170" i="71" a="1"/>
  <c r="M170" i="71" s="1"/>
  <c r="L170" i="71" a="1"/>
  <c r="L170" i="71" s="1"/>
  <c r="K170" i="71" a="1"/>
  <c r="K170" i="71" s="1"/>
  <c r="J170" i="71" a="1"/>
  <c r="J170" i="71" s="1"/>
  <c r="I170" i="71" a="1"/>
  <c r="I170" i="71" s="1"/>
  <c r="H170" i="71" a="1"/>
  <c r="H170" i="71" s="1"/>
  <c r="G170" i="71" a="1"/>
  <c r="G170" i="71" s="1"/>
  <c r="F170" i="71" a="1"/>
  <c r="F170" i="71" s="1"/>
  <c r="E170" i="71" a="1"/>
  <c r="E170" i="71" s="1"/>
  <c r="D170" i="71" a="1"/>
  <c r="D170" i="71" s="1"/>
  <c r="AH169" i="71" a="1"/>
  <c r="AH169" i="71" s="1"/>
  <c r="AG169" i="71" a="1"/>
  <c r="AG169" i="71" s="1"/>
  <c r="AF169" i="71" a="1"/>
  <c r="AF169" i="71" s="1"/>
  <c r="AE169" i="71" a="1"/>
  <c r="AE169" i="71" s="1"/>
  <c r="AD169" i="71" a="1"/>
  <c r="AD169" i="71" s="1"/>
  <c r="AC169" i="71" a="1"/>
  <c r="AC169" i="71" s="1"/>
  <c r="AB169" i="71" a="1"/>
  <c r="AB169" i="71" s="1"/>
  <c r="AA169" i="71" a="1"/>
  <c r="AA169" i="71" s="1"/>
  <c r="Z169" i="71" a="1"/>
  <c r="Z169" i="71" s="1"/>
  <c r="Y169" i="71" a="1"/>
  <c r="Y169" i="71" s="1"/>
  <c r="X169" i="71" a="1"/>
  <c r="X169" i="71" s="1"/>
  <c r="W169" i="71" a="1"/>
  <c r="W169" i="71" s="1"/>
  <c r="V169" i="71" a="1"/>
  <c r="V169" i="71" s="1"/>
  <c r="U169" i="71" a="1"/>
  <c r="U169" i="71" s="1"/>
  <c r="T169" i="71" a="1"/>
  <c r="T169" i="71" s="1"/>
  <c r="S169" i="71" a="1"/>
  <c r="S169" i="71" s="1"/>
  <c r="R169" i="71" a="1"/>
  <c r="R169" i="71" s="1"/>
  <c r="Q169" i="71" a="1"/>
  <c r="Q169" i="71" s="1"/>
  <c r="P169" i="71" a="1"/>
  <c r="P169" i="71" s="1"/>
  <c r="O169" i="71" a="1"/>
  <c r="O169" i="71" s="1"/>
  <c r="N169" i="71" a="1"/>
  <c r="N169" i="71" s="1"/>
  <c r="M169" i="71" a="1"/>
  <c r="M169" i="71" s="1"/>
  <c r="L169" i="71" a="1"/>
  <c r="L169" i="71" s="1"/>
  <c r="K169" i="71" a="1"/>
  <c r="K169" i="71" s="1"/>
  <c r="J169" i="71" a="1"/>
  <c r="J169" i="71" s="1"/>
  <c r="I169" i="71" a="1"/>
  <c r="I169" i="71" s="1"/>
  <c r="H169" i="71" a="1"/>
  <c r="H169" i="71" s="1"/>
  <c r="G169" i="71" a="1"/>
  <c r="G169" i="71" s="1"/>
  <c r="F169" i="71" a="1"/>
  <c r="F169" i="71" s="1"/>
  <c r="E169" i="71" a="1"/>
  <c r="E169" i="71" s="1"/>
  <c r="D169" i="71" a="1"/>
  <c r="D169" i="71" s="1"/>
  <c r="AH168" i="71" a="1"/>
  <c r="AH168" i="71" s="1"/>
  <c r="AG168" i="71" a="1"/>
  <c r="AG168" i="71" s="1"/>
  <c r="AF168" i="71" a="1"/>
  <c r="AF168" i="71" s="1"/>
  <c r="AE168" i="71" a="1"/>
  <c r="AE168" i="71" s="1"/>
  <c r="AD168" i="71" a="1"/>
  <c r="AD168" i="71" s="1"/>
  <c r="AC168" i="71" a="1"/>
  <c r="AC168" i="71" s="1"/>
  <c r="AB168" i="71" a="1"/>
  <c r="AB168" i="71" s="1"/>
  <c r="AA168" i="71" a="1"/>
  <c r="AA168" i="71" s="1"/>
  <c r="Z168" i="71" a="1"/>
  <c r="Z168" i="71" s="1"/>
  <c r="Y168" i="71" a="1"/>
  <c r="Y168" i="71" s="1"/>
  <c r="X168" i="71" a="1"/>
  <c r="X168" i="71" s="1"/>
  <c r="W168" i="71" a="1"/>
  <c r="W168" i="71" s="1"/>
  <c r="V168" i="71" a="1"/>
  <c r="V168" i="71" s="1"/>
  <c r="U168" i="71" a="1"/>
  <c r="U168" i="71" s="1"/>
  <c r="T168" i="71" a="1"/>
  <c r="T168" i="71" s="1"/>
  <c r="S168" i="71" a="1"/>
  <c r="S168" i="71" s="1"/>
  <c r="R168" i="71" a="1"/>
  <c r="R168" i="71" s="1"/>
  <c r="Q168" i="71" a="1"/>
  <c r="Q168" i="71" s="1"/>
  <c r="P168" i="71" a="1"/>
  <c r="P168" i="71" s="1"/>
  <c r="O168" i="71" a="1"/>
  <c r="O168" i="71" s="1"/>
  <c r="N168" i="71" a="1"/>
  <c r="N168" i="71" s="1"/>
  <c r="M168" i="71" a="1"/>
  <c r="M168" i="71" s="1"/>
  <c r="L168" i="71" a="1"/>
  <c r="L168" i="71" s="1"/>
  <c r="K168" i="71" a="1"/>
  <c r="K168" i="71" s="1"/>
  <c r="J168" i="71" a="1"/>
  <c r="J168" i="71" s="1"/>
  <c r="I168" i="71" a="1"/>
  <c r="I168" i="71" s="1"/>
  <c r="H168" i="71" a="1"/>
  <c r="H168" i="71" s="1"/>
  <c r="G168" i="71" a="1"/>
  <c r="G168" i="71" s="1"/>
  <c r="F168" i="71" a="1"/>
  <c r="F168" i="71" s="1"/>
  <c r="E168" i="71" a="1"/>
  <c r="E168" i="71" s="1"/>
  <c r="D168" i="71" a="1"/>
  <c r="D168" i="71" s="1"/>
  <c r="AH167" i="71" a="1"/>
  <c r="AH167" i="71" s="1"/>
  <c r="AG167" i="71" a="1"/>
  <c r="AG167" i="71" s="1"/>
  <c r="AF167" i="71" a="1"/>
  <c r="AF167" i="71" s="1"/>
  <c r="AE167" i="71" a="1"/>
  <c r="AE167" i="71" s="1"/>
  <c r="AD167" i="71" a="1"/>
  <c r="AD167" i="71" s="1"/>
  <c r="AC167" i="71" a="1"/>
  <c r="AC167" i="71" s="1"/>
  <c r="AB167" i="71" a="1"/>
  <c r="AB167" i="71" s="1"/>
  <c r="AA167" i="71" a="1"/>
  <c r="AA167" i="71" s="1"/>
  <c r="Z167" i="71" a="1"/>
  <c r="Z167" i="71" s="1"/>
  <c r="Y167" i="71" a="1"/>
  <c r="Y167" i="71" s="1"/>
  <c r="X167" i="71" a="1"/>
  <c r="X167" i="71" s="1"/>
  <c r="W167" i="71" a="1"/>
  <c r="W167" i="71" s="1"/>
  <c r="V167" i="71" a="1"/>
  <c r="V167" i="71" s="1"/>
  <c r="U167" i="71" a="1"/>
  <c r="U167" i="71" s="1"/>
  <c r="T167" i="71" a="1"/>
  <c r="T167" i="71" s="1"/>
  <c r="S167" i="71" a="1"/>
  <c r="S167" i="71" s="1"/>
  <c r="R167" i="71" a="1"/>
  <c r="R167" i="71" s="1"/>
  <c r="Q167" i="71" a="1"/>
  <c r="Q167" i="71" s="1"/>
  <c r="P167" i="71" a="1"/>
  <c r="P167" i="71" s="1"/>
  <c r="O167" i="71" a="1"/>
  <c r="O167" i="71" s="1"/>
  <c r="N167" i="71" a="1"/>
  <c r="N167" i="71" s="1"/>
  <c r="M167" i="71" a="1"/>
  <c r="M167" i="71" s="1"/>
  <c r="L167" i="71" a="1"/>
  <c r="L167" i="71" s="1"/>
  <c r="K167" i="71" a="1"/>
  <c r="K167" i="71" s="1"/>
  <c r="J167" i="71" a="1"/>
  <c r="J167" i="71" s="1"/>
  <c r="I167" i="71" a="1"/>
  <c r="I167" i="71" s="1"/>
  <c r="H167" i="71" a="1"/>
  <c r="H167" i="71" s="1"/>
  <c r="G167" i="71" a="1"/>
  <c r="G167" i="71" s="1"/>
  <c r="F167" i="71" a="1"/>
  <c r="F167" i="71" s="1"/>
  <c r="E167" i="71" a="1"/>
  <c r="E167" i="71" s="1"/>
  <c r="D167" i="71" a="1"/>
  <c r="D167" i="71" s="1"/>
  <c r="AH166" i="71" a="1"/>
  <c r="AH166" i="71" s="1"/>
  <c r="AG166" i="71" a="1"/>
  <c r="AG166" i="71" s="1"/>
  <c r="AF166" i="71" a="1"/>
  <c r="AF166" i="71" s="1"/>
  <c r="AE166" i="71" a="1"/>
  <c r="AE166" i="71" s="1"/>
  <c r="AD166" i="71" a="1"/>
  <c r="AD166" i="71" s="1"/>
  <c r="AC166" i="71" a="1"/>
  <c r="AC166" i="71" s="1"/>
  <c r="AB166" i="71" a="1"/>
  <c r="AB166" i="71" s="1"/>
  <c r="AA166" i="71" a="1"/>
  <c r="AA166" i="71" s="1"/>
  <c r="Z166" i="71" a="1"/>
  <c r="Z166" i="71" s="1"/>
  <c r="Y166" i="71" a="1"/>
  <c r="Y166" i="71" s="1"/>
  <c r="X166" i="71" a="1"/>
  <c r="X166" i="71" s="1"/>
  <c r="W166" i="71" a="1"/>
  <c r="W166" i="71" s="1"/>
  <c r="V166" i="71" a="1"/>
  <c r="V166" i="71" s="1"/>
  <c r="U166" i="71" a="1"/>
  <c r="U166" i="71" s="1"/>
  <c r="T166" i="71" a="1"/>
  <c r="T166" i="71" s="1"/>
  <c r="S166" i="71" a="1"/>
  <c r="S166" i="71" s="1"/>
  <c r="R166" i="71" a="1"/>
  <c r="R166" i="71" s="1"/>
  <c r="Q166" i="71" a="1"/>
  <c r="Q166" i="71" s="1"/>
  <c r="P166" i="71" a="1"/>
  <c r="P166" i="71" s="1"/>
  <c r="O166" i="71" a="1"/>
  <c r="O166" i="71" s="1"/>
  <c r="N166" i="71" a="1"/>
  <c r="N166" i="71" s="1"/>
  <c r="M166" i="71" a="1"/>
  <c r="M166" i="71" s="1"/>
  <c r="L166" i="71" a="1"/>
  <c r="L166" i="71" s="1"/>
  <c r="K166" i="71" a="1"/>
  <c r="K166" i="71" s="1"/>
  <c r="J166" i="71" a="1"/>
  <c r="J166" i="71" s="1"/>
  <c r="I166" i="71" a="1"/>
  <c r="I166" i="71" s="1"/>
  <c r="H166" i="71" a="1"/>
  <c r="H166" i="71" s="1"/>
  <c r="G166" i="71" a="1"/>
  <c r="G166" i="71" s="1"/>
  <c r="F166" i="71" a="1"/>
  <c r="F166" i="71" s="1"/>
  <c r="E166" i="71" a="1"/>
  <c r="E166" i="71" s="1"/>
  <c r="D166" i="71" a="1"/>
  <c r="D166" i="71" s="1"/>
  <c r="AH165" i="71" a="1"/>
  <c r="AH165" i="71" s="1"/>
  <c r="AG165" i="71" a="1"/>
  <c r="AG165" i="71" s="1"/>
  <c r="AF165" i="71" a="1"/>
  <c r="AF165" i="71" s="1"/>
  <c r="AE165" i="71" a="1"/>
  <c r="AE165" i="71" s="1"/>
  <c r="AD165" i="71" a="1"/>
  <c r="AD165" i="71" s="1"/>
  <c r="AC165" i="71" a="1"/>
  <c r="AC165" i="71" s="1"/>
  <c r="AB165" i="71" a="1"/>
  <c r="AB165" i="71" s="1"/>
  <c r="AA165" i="71" a="1"/>
  <c r="AA165" i="71" s="1"/>
  <c r="Z165" i="71" a="1"/>
  <c r="Z165" i="71" s="1"/>
  <c r="Y165" i="71" a="1"/>
  <c r="Y165" i="71" s="1"/>
  <c r="X165" i="71" a="1"/>
  <c r="X165" i="71" s="1"/>
  <c r="W165" i="71" a="1"/>
  <c r="W165" i="71" s="1"/>
  <c r="V165" i="71" a="1"/>
  <c r="V165" i="71" s="1"/>
  <c r="U165" i="71" a="1"/>
  <c r="U165" i="71" s="1"/>
  <c r="T165" i="71" a="1"/>
  <c r="T165" i="71" s="1"/>
  <c r="S165" i="71" a="1"/>
  <c r="S165" i="71" s="1"/>
  <c r="R165" i="71" a="1"/>
  <c r="R165" i="71" s="1"/>
  <c r="Q165" i="71" a="1"/>
  <c r="Q165" i="71" s="1"/>
  <c r="P165" i="71" a="1"/>
  <c r="P165" i="71" s="1"/>
  <c r="O165" i="71" a="1"/>
  <c r="O165" i="71" s="1"/>
  <c r="N165" i="71" a="1"/>
  <c r="N165" i="71" s="1"/>
  <c r="M165" i="71" a="1"/>
  <c r="M165" i="71" s="1"/>
  <c r="L165" i="71" a="1"/>
  <c r="L165" i="71" s="1"/>
  <c r="K165" i="71" a="1"/>
  <c r="K165" i="71" s="1"/>
  <c r="J165" i="71" a="1"/>
  <c r="J165" i="71" s="1"/>
  <c r="I165" i="71" a="1"/>
  <c r="I165" i="71" s="1"/>
  <c r="H165" i="71" a="1"/>
  <c r="H165" i="71" s="1"/>
  <c r="G165" i="71" a="1"/>
  <c r="G165" i="71" s="1"/>
  <c r="F165" i="71" a="1"/>
  <c r="F165" i="71" s="1"/>
  <c r="E165" i="71" a="1"/>
  <c r="E165" i="71" s="1"/>
  <c r="D165" i="71" a="1"/>
  <c r="D165" i="71" s="1"/>
  <c r="AH164" i="71" a="1"/>
  <c r="AH164" i="71" s="1"/>
  <c r="AG164" i="71" a="1"/>
  <c r="AG164" i="71" s="1"/>
  <c r="AF164" i="71" a="1"/>
  <c r="AF164" i="71" s="1"/>
  <c r="AE164" i="71" a="1"/>
  <c r="AE164" i="71" s="1"/>
  <c r="AD164" i="71" a="1"/>
  <c r="AD164" i="71" s="1"/>
  <c r="AC164" i="71" a="1"/>
  <c r="AC164" i="71" s="1"/>
  <c r="AB164" i="71" a="1"/>
  <c r="AB164" i="71" s="1"/>
  <c r="AA164" i="71" a="1"/>
  <c r="AA164" i="71" s="1"/>
  <c r="Z164" i="71" a="1"/>
  <c r="Z164" i="71" s="1"/>
  <c r="Y164" i="71" a="1"/>
  <c r="Y164" i="71" s="1"/>
  <c r="X164" i="71" a="1"/>
  <c r="X164" i="71" s="1"/>
  <c r="W164" i="71" a="1"/>
  <c r="W164" i="71" s="1"/>
  <c r="V164" i="71" a="1"/>
  <c r="V164" i="71" s="1"/>
  <c r="U164" i="71" a="1"/>
  <c r="U164" i="71" s="1"/>
  <c r="T164" i="71" a="1"/>
  <c r="T164" i="71" s="1"/>
  <c r="S164" i="71" a="1"/>
  <c r="S164" i="71" s="1"/>
  <c r="R164" i="71" a="1"/>
  <c r="R164" i="71" s="1"/>
  <c r="Q164" i="71" a="1"/>
  <c r="Q164" i="71" s="1"/>
  <c r="P164" i="71" a="1"/>
  <c r="P164" i="71" s="1"/>
  <c r="O164" i="71" a="1"/>
  <c r="O164" i="71" s="1"/>
  <c r="N164" i="71" a="1"/>
  <c r="N164" i="71" s="1"/>
  <c r="M164" i="71" a="1"/>
  <c r="M164" i="71" s="1"/>
  <c r="L164" i="71" a="1"/>
  <c r="L164" i="71" s="1"/>
  <c r="K164" i="71" a="1"/>
  <c r="K164" i="71" s="1"/>
  <c r="J164" i="71" a="1"/>
  <c r="J164" i="71" s="1"/>
  <c r="I164" i="71" a="1"/>
  <c r="I164" i="71" s="1"/>
  <c r="H164" i="71" a="1"/>
  <c r="H164" i="71" s="1"/>
  <c r="G164" i="71" a="1"/>
  <c r="G164" i="71" s="1"/>
  <c r="F164" i="71" a="1"/>
  <c r="F164" i="71" s="1"/>
  <c r="E164" i="71" a="1"/>
  <c r="E164" i="71" s="1"/>
  <c r="D164" i="71" a="1"/>
  <c r="D164" i="71" s="1"/>
  <c r="AH163" i="71" a="1"/>
  <c r="AH163" i="71" s="1"/>
  <c r="AG163" i="71" a="1"/>
  <c r="AG163" i="71" s="1"/>
  <c r="AF163" i="71" a="1"/>
  <c r="AF163" i="71" s="1"/>
  <c r="AE163" i="71" a="1"/>
  <c r="AE163" i="71" s="1"/>
  <c r="AD163" i="71" a="1"/>
  <c r="AD163" i="71" s="1"/>
  <c r="AC163" i="71" a="1"/>
  <c r="AC163" i="71" s="1"/>
  <c r="AB163" i="71" a="1"/>
  <c r="AB163" i="71" s="1"/>
  <c r="AA163" i="71" a="1"/>
  <c r="AA163" i="71" s="1"/>
  <c r="Z163" i="71" a="1"/>
  <c r="Z163" i="71" s="1"/>
  <c r="Y163" i="71" a="1"/>
  <c r="Y163" i="71" s="1"/>
  <c r="X163" i="71" a="1"/>
  <c r="X163" i="71" s="1"/>
  <c r="W163" i="71" a="1"/>
  <c r="W163" i="71" s="1"/>
  <c r="V163" i="71" a="1"/>
  <c r="V163" i="71" s="1"/>
  <c r="U163" i="71" a="1"/>
  <c r="U163" i="71" s="1"/>
  <c r="T163" i="71" a="1"/>
  <c r="T163" i="71" s="1"/>
  <c r="S163" i="71" a="1"/>
  <c r="S163" i="71" s="1"/>
  <c r="R163" i="71" a="1"/>
  <c r="R163" i="71" s="1"/>
  <c r="Q163" i="71" a="1"/>
  <c r="Q163" i="71" s="1"/>
  <c r="P163" i="71" a="1"/>
  <c r="P163" i="71" s="1"/>
  <c r="O163" i="71" a="1"/>
  <c r="O163" i="71" s="1"/>
  <c r="N163" i="71" a="1"/>
  <c r="N163" i="71" s="1"/>
  <c r="M163" i="71" a="1"/>
  <c r="M163" i="71" s="1"/>
  <c r="L163" i="71" a="1"/>
  <c r="L163" i="71" s="1"/>
  <c r="K163" i="71" a="1"/>
  <c r="K163" i="71" s="1"/>
  <c r="J163" i="71" a="1"/>
  <c r="J163" i="71" s="1"/>
  <c r="I163" i="71" a="1"/>
  <c r="I163" i="71" s="1"/>
  <c r="H163" i="71" a="1"/>
  <c r="H163" i="71" s="1"/>
  <c r="G163" i="71" a="1"/>
  <c r="G163" i="71" s="1"/>
  <c r="F163" i="71" a="1"/>
  <c r="F163" i="71" s="1"/>
  <c r="E163" i="71" a="1"/>
  <c r="E163" i="71" s="1"/>
  <c r="D163" i="71" a="1"/>
  <c r="D163" i="71" s="1"/>
  <c r="AH162" i="71" a="1"/>
  <c r="AH162" i="71" s="1"/>
  <c r="AG162" i="71" a="1"/>
  <c r="AG162" i="71" s="1"/>
  <c r="AF162" i="71" a="1"/>
  <c r="AF162" i="71" s="1"/>
  <c r="AE162" i="71" a="1"/>
  <c r="AE162" i="71" s="1"/>
  <c r="AD162" i="71" a="1"/>
  <c r="AD162" i="71" s="1"/>
  <c r="AC162" i="71" a="1"/>
  <c r="AC162" i="71" s="1"/>
  <c r="AB162" i="71" a="1"/>
  <c r="AB162" i="71" s="1"/>
  <c r="AA162" i="71" a="1"/>
  <c r="AA162" i="71" s="1"/>
  <c r="Z162" i="71" a="1"/>
  <c r="Z162" i="71" s="1"/>
  <c r="Y162" i="71" a="1"/>
  <c r="Y162" i="71" s="1"/>
  <c r="X162" i="71" a="1"/>
  <c r="X162" i="71" s="1"/>
  <c r="W162" i="71" a="1"/>
  <c r="W162" i="71" s="1"/>
  <c r="V162" i="71" a="1"/>
  <c r="V162" i="71" s="1"/>
  <c r="U162" i="71" a="1"/>
  <c r="U162" i="71" s="1"/>
  <c r="T162" i="71" a="1"/>
  <c r="T162" i="71" s="1"/>
  <c r="S162" i="71" a="1"/>
  <c r="S162" i="71" s="1"/>
  <c r="R162" i="71" a="1"/>
  <c r="R162" i="71" s="1"/>
  <c r="Q162" i="71" a="1"/>
  <c r="Q162" i="71" s="1"/>
  <c r="P162" i="71" a="1"/>
  <c r="P162" i="71" s="1"/>
  <c r="O162" i="71" a="1"/>
  <c r="O162" i="71" s="1"/>
  <c r="N162" i="71" a="1"/>
  <c r="N162" i="71" s="1"/>
  <c r="M162" i="71" a="1"/>
  <c r="M162" i="71" s="1"/>
  <c r="L162" i="71" a="1"/>
  <c r="L162" i="71" s="1"/>
  <c r="K162" i="71" a="1"/>
  <c r="K162" i="71" s="1"/>
  <c r="J162" i="71" a="1"/>
  <c r="J162" i="71" s="1"/>
  <c r="I162" i="71" a="1"/>
  <c r="I162" i="71" s="1"/>
  <c r="H162" i="71" a="1"/>
  <c r="H162" i="71" s="1"/>
  <c r="G162" i="71" a="1"/>
  <c r="G162" i="71" s="1"/>
  <c r="F162" i="71" a="1"/>
  <c r="F162" i="71" s="1"/>
  <c r="E162" i="71" a="1"/>
  <c r="E162" i="71" s="1"/>
  <c r="D162" i="71" a="1"/>
  <c r="D162" i="71" s="1"/>
  <c r="AH161" i="71" a="1"/>
  <c r="AH161" i="71" s="1"/>
  <c r="AG161" i="71" a="1"/>
  <c r="AG161" i="71" s="1"/>
  <c r="AF161" i="71" a="1"/>
  <c r="AF161" i="71" s="1"/>
  <c r="AE161" i="71" a="1"/>
  <c r="AE161" i="71" s="1"/>
  <c r="AD161" i="71" a="1"/>
  <c r="AD161" i="71" s="1"/>
  <c r="AC161" i="71" a="1"/>
  <c r="AC161" i="71" s="1"/>
  <c r="AB161" i="71" a="1"/>
  <c r="AB161" i="71" s="1"/>
  <c r="AA161" i="71" a="1"/>
  <c r="AA161" i="71" s="1"/>
  <c r="Z161" i="71" a="1"/>
  <c r="Z161" i="71" s="1"/>
  <c r="Y161" i="71" a="1"/>
  <c r="Y161" i="71" s="1"/>
  <c r="X161" i="71" a="1"/>
  <c r="X161" i="71" s="1"/>
  <c r="W161" i="71" a="1"/>
  <c r="W161" i="71" s="1"/>
  <c r="V161" i="71" a="1"/>
  <c r="V161" i="71" s="1"/>
  <c r="U161" i="71" a="1"/>
  <c r="U161" i="71" s="1"/>
  <c r="T161" i="71" a="1"/>
  <c r="T161" i="71" s="1"/>
  <c r="S161" i="71" a="1"/>
  <c r="S161" i="71" s="1"/>
  <c r="R161" i="71" a="1"/>
  <c r="R161" i="71" s="1"/>
  <c r="Q161" i="71" a="1"/>
  <c r="Q161" i="71" s="1"/>
  <c r="P161" i="71" a="1"/>
  <c r="P161" i="71" s="1"/>
  <c r="O161" i="71" a="1"/>
  <c r="O161" i="71" s="1"/>
  <c r="N161" i="71" a="1"/>
  <c r="N161" i="71" s="1"/>
  <c r="M161" i="71" a="1"/>
  <c r="M161" i="71" s="1"/>
  <c r="L161" i="71" a="1"/>
  <c r="L161" i="71" s="1"/>
  <c r="K161" i="71" a="1"/>
  <c r="K161" i="71" s="1"/>
  <c r="J161" i="71" a="1"/>
  <c r="J161" i="71" s="1"/>
  <c r="I161" i="71" a="1"/>
  <c r="I161" i="71" s="1"/>
  <c r="H161" i="71" a="1"/>
  <c r="H161" i="71" s="1"/>
  <c r="G161" i="71" a="1"/>
  <c r="G161" i="71" s="1"/>
  <c r="F161" i="71" a="1"/>
  <c r="F161" i="71" s="1"/>
  <c r="E161" i="71" a="1"/>
  <c r="E161" i="71" s="1"/>
  <c r="D161" i="71" a="1"/>
  <c r="D161" i="71" s="1"/>
  <c r="AH160" i="71" a="1"/>
  <c r="AH160" i="71" s="1"/>
  <c r="AG160" i="71" a="1"/>
  <c r="AG160" i="71" s="1"/>
  <c r="AF160" i="71" a="1"/>
  <c r="AF160" i="71" s="1"/>
  <c r="AE160" i="71" a="1"/>
  <c r="AE160" i="71" s="1"/>
  <c r="AD160" i="71" a="1"/>
  <c r="AD160" i="71" s="1"/>
  <c r="AC160" i="71" a="1"/>
  <c r="AC160" i="71" s="1"/>
  <c r="AB160" i="71" a="1"/>
  <c r="AB160" i="71" s="1"/>
  <c r="AA160" i="71"/>
  <c r="AA160" i="71" a="1"/>
  <c r="Z160" i="71" a="1"/>
  <c r="Z160" i="71" s="1"/>
  <c r="Y160" i="71" a="1"/>
  <c r="Y160" i="71" s="1"/>
  <c r="X160" i="71" a="1"/>
  <c r="X160" i="71" s="1"/>
  <c r="W160" i="71" a="1"/>
  <c r="W160" i="71" s="1"/>
  <c r="V160" i="71" a="1"/>
  <c r="V160" i="71" s="1"/>
  <c r="U160" i="71" a="1"/>
  <c r="U160" i="71" s="1"/>
  <c r="T160" i="71" a="1"/>
  <c r="T160" i="71" s="1"/>
  <c r="S160" i="71" a="1"/>
  <c r="S160" i="71" s="1"/>
  <c r="R160" i="71" a="1"/>
  <c r="R160" i="71" s="1"/>
  <c r="Q160" i="71" a="1"/>
  <c r="Q160" i="71" s="1"/>
  <c r="P160" i="71" a="1"/>
  <c r="P160" i="71" s="1"/>
  <c r="O160" i="71" a="1"/>
  <c r="O160" i="71" s="1"/>
  <c r="N160" i="71" a="1"/>
  <c r="N160" i="71" s="1"/>
  <c r="M160" i="71" a="1"/>
  <c r="M160" i="71" s="1"/>
  <c r="L160" i="71" a="1"/>
  <c r="L160" i="71" s="1"/>
  <c r="K160" i="71" a="1"/>
  <c r="K160" i="71" s="1"/>
  <c r="J160" i="71" a="1"/>
  <c r="J160" i="71" s="1"/>
  <c r="I160" i="71" a="1"/>
  <c r="I160" i="71" s="1"/>
  <c r="H160" i="71" a="1"/>
  <c r="H160" i="71" s="1"/>
  <c r="G160" i="71" a="1"/>
  <c r="G160" i="71" s="1"/>
  <c r="F160" i="71" a="1"/>
  <c r="F160" i="71" s="1"/>
  <c r="E160" i="71" a="1"/>
  <c r="E160" i="71" s="1"/>
  <c r="D160" i="71" a="1"/>
  <c r="D160" i="71" s="1"/>
  <c r="AH159" i="71" a="1"/>
  <c r="AH159" i="71" s="1"/>
  <c r="AG159" i="71" a="1"/>
  <c r="AG159" i="71" s="1"/>
  <c r="AF159" i="71" a="1"/>
  <c r="AF159" i="71" s="1"/>
  <c r="AE159" i="71" a="1"/>
  <c r="AE159" i="71" s="1"/>
  <c r="AD159" i="71" a="1"/>
  <c r="AD159" i="71" s="1"/>
  <c r="AC159" i="71" a="1"/>
  <c r="AC159" i="71" s="1"/>
  <c r="AB159" i="71" a="1"/>
  <c r="AB159" i="71" s="1"/>
  <c r="AA159" i="71" a="1"/>
  <c r="AA159" i="71" s="1"/>
  <c r="Z159" i="71" a="1"/>
  <c r="Z159" i="71" s="1"/>
  <c r="Y159" i="71" a="1"/>
  <c r="Y159" i="71" s="1"/>
  <c r="X159" i="71" a="1"/>
  <c r="X159" i="71" s="1"/>
  <c r="W159" i="71" a="1"/>
  <c r="W159" i="71" s="1"/>
  <c r="V159" i="71" a="1"/>
  <c r="V159" i="71" s="1"/>
  <c r="U159" i="71" a="1"/>
  <c r="U159" i="71" s="1"/>
  <c r="T159" i="71" a="1"/>
  <c r="T159" i="71" s="1"/>
  <c r="S159" i="71" a="1"/>
  <c r="S159" i="71" s="1"/>
  <c r="R159" i="71" a="1"/>
  <c r="R159" i="71" s="1"/>
  <c r="Q159" i="71" a="1"/>
  <c r="Q159" i="71" s="1"/>
  <c r="P159" i="71" a="1"/>
  <c r="P159" i="71" s="1"/>
  <c r="O159" i="71" a="1"/>
  <c r="O159" i="71" s="1"/>
  <c r="N159" i="71" a="1"/>
  <c r="N159" i="71" s="1"/>
  <c r="M159" i="71" a="1"/>
  <c r="M159" i="71" s="1"/>
  <c r="L159" i="71" a="1"/>
  <c r="L159" i="71" s="1"/>
  <c r="K159" i="71" a="1"/>
  <c r="K159" i="71" s="1"/>
  <c r="J159" i="71" a="1"/>
  <c r="J159" i="71" s="1"/>
  <c r="I159" i="71" a="1"/>
  <c r="I159" i="71" s="1"/>
  <c r="H159" i="71" a="1"/>
  <c r="H159" i="71" s="1"/>
  <c r="G159" i="71" a="1"/>
  <c r="G159" i="71" s="1"/>
  <c r="F159" i="71" a="1"/>
  <c r="F159" i="71" s="1"/>
  <c r="E159" i="71" a="1"/>
  <c r="E159" i="71" s="1"/>
  <c r="D159" i="71" a="1"/>
  <c r="D159" i="71" s="1"/>
  <c r="AH158" i="71" a="1"/>
  <c r="AH158" i="71" s="1"/>
  <c r="AG158" i="71" a="1"/>
  <c r="AG158" i="71" s="1"/>
  <c r="AF158" i="71" a="1"/>
  <c r="AF158" i="71" s="1"/>
  <c r="AE158" i="71" a="1"/>
  <c r="AE158" i="71" s="1"/>
  <c r="AD158" i="71" a="1"/>
  <c r="AD158" i="71" s="1"/>
  <c r="AC158" i="71" a="1"/>
  <c r="AC158" i="71" s="1"/>
  <c r="AB158" i="71" a="1"/>
  <c r="AB158" i="71" s="1"/>
  <c r="AA158" i="71" a="1"/>
  <c r="AA158" i="71" s="1"/>
  <c r="Z158" i="71" a="1"/>
  <c r="Z158" i="71" s="1"/>
  <c r="Y158" i="71" a="1"/>
  <c r="Y158" i="71" s="1"/>
  <c r="X158" i="71" a="1"/>
  <c r="X158" i="71" s="1"/>
  <c r="W158" i="71" a="1"/>
  <c r="W158" i="71" s="1"/>
  <c r="V158" i="71" a="1"/>
  <c r="V158" i="71" s="1"/>
  <c r="U158" i="71" a="1"/>
  <c r="U158" i="71" s="1"/>
  <c r="T158" i="71" a="1"/>
  <c r="T158" i="71" s="1"/>
  <c r="S158" i="71" a="1"/>
  <c r="S158" i="71" s="1"/>
  <c r="R158" i="71" a="1"/>
  <c r="R158" i="71" s="1"/>
  <c r="Q158" i="71" a="1"/>
  <c r="Q158" i="71" s="1"/>
  <c r="P158" i="71" a="1"/>
  <c r="P158" i="71" s="1"/>
  <c r="O158" i="71" a="1"/>
  <c r="O158" i="71" s="1"/>
  <c r="N158" i="71" a="1"/>
  <c r="N158" i="71" s="1"/>
  <c r="M158" i="71" a="1"/>
  <c r="M158" i="71" s="1"/>
  <c r="L158" i="71" a="1"/>
  <c r="L158" i="71" s="1"/>
  <c r="K158" i="71" a="1"/>
  <c r="K158" i="71" s="1"/>
  <c r="J158" i="71" a="1"/>
  <c r="J158" i="71" s="1"/>
  <c r="I158" i="71" a="1"/>
  <c r="I158" i="71" s="1"/>
  <c r="H158" i="71" a="1"/>
  <c r="H158" i="71" s="1"/>
  <c r="G158" i="71" a="1"/>
  <c r="G158" i="71" s="1"/>
  <c r="F158" i="71" a="1"/>
  <c r="F158" i="71" s="1"/>
  <c r="E158" i="71" a="1"/>
  <c r="E158" i="71" s="1"/>
  <c r="D158" i="71" a="1"/>
  <c r="D158" i="71" s="1"/>
  <c r="AH157" i="71" a="1"/>
  <c r="AH157" i="71" s="1"/>
  <c r="AG157" i="71" a="1"/>
  <c r="AG157" i="71" s="1"/>
  <c r="AF157" i="71" a="1"/>
  <c r="AF157" i="71" s="1"/>
  <c r="AE157" i="71" a="1"/>
  <c r="AE157" i="71" s="1"/>
  <c r="AD157" i="71" a="1"/>
  <c r="AD157" i="71" s="1"/>
  <c r="AC157" i="71" a="1"/>
  <c r="AC157" i="71" s="1"/>
  <c r="AB157" i="71" a="1"/>
  <c r="AB157" i="71" s="1"/>
  <c r="AA157" i="71" a="1"/>
  <c r="AA157" i="71" s="1"/>
  <c r="Z157" i="71" a="1"/>
  <c r="Z157" i="71" s="1"/>
  <c r="Y157" i="71" a="1"/>
  <c r="Y157" i="71" s="1"/>
  <c r="X157" i="71" a="1"/>
  <c r="X157" i="71" s="1"/>
  <c r="W157" i="71" a="1"/>
  <c r="W157" i="71" s="1"/>
  <c r="V157" i="71" a="1"/>
  <c r="V157" i="71" s="1"/>
  <c r="U157" i="71" a="1"/>
  <c r="U157" i="71" s="1"/>
  <c r="T157" i="71" a="1"/>
  <c r="T157" i="71" s="1"/>
  <c r="S157" i="71" a="1"/>
  <c r="S157" i="71" s="1"/>
  <c r="R157" i="71" a="1"/>
  <c r="R157" i="71" s="1"/>
  <c r="Q157" i="71" a="1"/>
  <c r="Q157" i="71" s="1"/>
  <c r="P157" i="71" a="1"/>
  <c r="P157" i="71" s="1"/>
  <c r="O157" i="71" a="1"/>
  <c r="O157" i="71" s="1"/>
  <c r="N157" i="71" a="1"/>
  <c r="N157" i="71" s="1"/>
  <c r="M157" i="71" a="1"/>
  <c r="M157" i="71" s="1"/>
  <c r="L157" i="71" a="1"/>
  <c r="L157" i="71" s="1"/>
  <c r="K157" i="71" a="1"/>
  <c r="K157" i="71" s="1"/>
  <c r="J157" i="71" a="1"/>
  <c r="J157" i="71" s="1"/>
  <c r="I157" i="71" a="1"/>
  <c r="I157" i="71" s="1"/>
  <c r="H157" i="71" a="1"/>
  <c r="H157" i="71" s="1"/>
  <c r="G157" i="71" a="1"/>
  <c r="G157" i="71" s="1"/>
  <c r="F157" i="71" a="1"/>
  <c r="F157" i="71" s="1"/>
  <c r="E157" i="71" a="1"/>
  <c r="E157" i="71" s="1"/>
  <c r="D157" i="71" a="1"/>
  <c r="D157" i="71" s="1"/>
  <c r="AH156" i="71" a="1"/>
  <c r="AH156" i="71" s="1"/>
  <c r="AG156" i="71" a="1"/>
  <c r="AG156" i="71" s="1"/>
  <c r="AF156" i="71" a="1"/>
  <c r="AF156" i="71" s="1"/>
  <c r="AE156" i="71" a="1"/>
  <c r="AE156" i="71" s="1"/>
  <c r="AD156" i="71" a="1"/>
  <c r="AD156" i="71" s="1"/>
  <c r="AC156" i="71" a="1"/>
  <c r="AC156" i="71" s="1"/>
  <c r="AB156" i="71" a="1"/>
  <c r="AB156" i="71" s="1"/>
  <c r="AA156" i="71" a="1"/>
  <c r="AA156" i="71" s="1"/>
  <c r="Z156" i="71" a="1"/>
  <c r="Z156" i="71" s="1"/>
  <c r="Y156" i="71" a="1"/>
  <c r="Y156" i="71" s="1"/>
  <c r="X156" i="71" a="1"/>
  <c r="X156" i="71" s="1"/>
  <c r="W156" i="71" a="1"/>
  <c r="W156" i="71" s="1"/>
  <c r="V156" i="71" a="1"/>
  <c r="V156" i="71" s="1"/>
  <c r="U156" i="71" a="1"/>
  <c r="U156" i="71" s="1"/>
  <c r="T156" i="71" a="1"/>
  <c r="T156" i="71" s="1"/>
  <c r="S156" i="71" a="1"/>
  <c r="S156" i="71" s="1"/>
  <c r="R156" i="71" a="1"/>
  <c r="R156" i="71" s="1"/>
  <c r="Q156" i="71" a="1"/>
  <c r="Q156" i="71" s="1"/>
  <c r="P156" i="71" a="1"/>
  <c r="P156" i="71" s="1"/>
  <c r="O156" i="71" a="1"/>
  <c r="O156" i="71" s="1"/>
  <c r="N156" i="71" a="1"/>
  <c r="N156" i="71" s="1"/>
  <c r="M156" i="71" a="1"/>
  <c r="M156" i="71" s="1"/>
  <c r="L156" i="71" a="1"/>
  <c r="L156" i="71" s="1"/>
  <c r="K156" i="71" a="1"/>
  <c r="K156" i="71" s="1"/>
  <c r="J156" i="71" a="1"/>
  <c r="J156" i="71" s="1"/>
  <c r="I156" i="71" a="1"/>
  <c r="I156" i="71" s="1"/>
  <c r="H156" i="71" a="1"/>
  <c r="H156" i="71" s="1"/>
  <c r="G156" i="71" a="1"/>
  <c r="G156" i="71" s="1"/>
  <c r="F156" i="71" a="1"/>
  <c r="F156" i="71" s="1"/>
  <c r="E156" i="71" a="1"/>
  <c r="E156" i="71" s="1"/>
  <c r="D156" i="71" a="1"/>
  <c r="D156" i="71" s="1"/>
  <c r="AH155" i="71" a="1"/>
  <c r="AH155" i="71" s="1"/>
  <c r="AG155" i="71" a="1"/>
  <c r="AG155" i="71" s="1"/>
  <c r="AF155" i="71" a="1"/>
  <c r="AF155" i="71" s="1"/>
  <c r="AE155" i="71" a="1"/>
  <c r="AE155" i="71" s="1"/>
  <c r="AD155" i="71" a="1"/>
  <c r="AD155" i="71" s="1"/>
  <c r="AC155" i="71" a="1"/>
  <c r="AC155" i="71" s="1"/>
  <c r="AB155" i="71" a="1"/>
  <c r="AB155" i="71" s="1"/>
  <c r="AA155" i="71" a="1"/>
  <c r="AA155" i="71" s="1"/>
  <c r="Z155" i="71" a="1"/>
  <c r="Z155" i="71" s="1"/>
  <c r="Y155" i="71" a="1"/>
  <c r="Y155" i="71" s="1"/>
  <c r="X155" i="71" a="1"/>
  <c r="X155" i="71" s="1"/>
  <c r="W155" i="71" a="1"/>
  <c r="W155" i="71" s="1"/>
  <c r="V155" i="71" a="1"/>
  <c r="V155" i="71" s="1"/>
  <c r="U155" i="71" a="1"/>
  <c r="U155" i="71" s="1"/>
  <c r="T155" i="71" a="1"/>
  <c r="T155" i="71" s="1"/>
  <c r="S155" i="71" a="1"/>
  <c r="S155" i="71" s="1"/>
  <c r="R155" i="71" a="1"/>
  <c r="R155" i="71" s="1"/>
  <c r="Q155" i="71" a="1"/>
  <c r="Q155" i="71" s="1"/>
  <c r="P155" i="71" a="1"/>
  <c r="P155" i="71" s="1"/>
  <c r="O155" i="71" a="1"/>
  <c r="O155" i="71" s="1"/>
  <c r="N155" i="71" a="1"/>
  <c r="N155" i="71" s="1"/>
  <c r="M155" i="71" a="1"/>
  <c r="M155" i="71" s="1"/>
  <c r="L155" i="71" a="1"/>
  <c r="L155" i="71" s="1"/>
  <c r="K155" i="71" a="1"/>
  <c r="K155" i="71" s="1"/>
  <c r="J155" i="71" a="1"/>
  <c r="J155" i="71" s="1"/>
  <c r="I155" i="71" a="1"/>
  <c r="I155" i="71" s="1"/>
  <c r="H155" i="71" a="1"/>
  <c r="H155" i="71" s="1"/>
  <c r="G155" i="71" a="1"/>
  <c r="G155" i="71" s="1"/>
  <c r="F155" i="71" a="1"/>
  <c r="F155" i="71" s="1"/>
  <c r="E155" i="71" a="1"/>
  <c r="E155" i="71" s="1"/>
  <c r="D155" i="71" a="1"/>
  <c r="D155" i="71" s="1"/>
  <c r="AH154" i="71" a="1"/>
  <c r="AH154" i="71" s="1"/>
  <c r="AG154" i="71" a="1"/>
  <c r="AG154" i="71" s="1"/>
  <c r="AF154" i="71" a="1"/>
  <c r="AF154" i="71" s="1"/>
  <c r="AE154" i="71" a="1"/>
  <c r="AE154" i="71" s="1"/>
  <c r="AD154" i="71" a="1"/>
  <c r="AD154" i="71" s="1"/>
  <c r="AC154" i="71" a="1"/>
  <c r="AC154" i="71" s="1"/>
  <c r="AB154" i="71" a="1"/>
  <c r="AB154" i="71" s="1"/>
  <c r="AA154" i="71" a="1"/>
  <c r="AA154" i="71" s="1"/>
  <c r="Z154" i="71" a="1"/>
  <c r="Z154" i="71" s="1"/>
  <c r="Y154" i="71" a="1"/>
  <c r="Y154" i="71" s="1"/>
  <c r="X154" i="71" a="1"/>
  <c r="X154" i="71" s="1"/>
  <c r="W154" i="71" a="1"/>
  <c r="W154" i="71" s="1"/>
  <c r="V154" i="71" a="1"/>
  <c r="V154" i="71" s="1"/>
  <c r="U154" i="71" a="1"/>
  <c r="U154" i="71" s="1"/>
  <c r="T154" i="71" a="1"/>
  <c r="T154" i="71" s="1"/>
  <c r="S154" i="71" a="1"/>
  <c r="S154" i="71" s="1"/>
  <c r="R154" i="71" a="1"/>
  <c r="R154" i="71" s="1"/>
  <c r="Q154" i="71" a="1"/>
  <c r="Q154" i="71" s="1"/>
  <c r="P154" i="71" a="1"/>
  <c r="P154" i="71" s="1"/>
  <c r="O154" i="71" a="1"/>
  <c r="O154" i="71" s="1"/>
  <c r="N154" i="71" a="1"/>
  <c r="N154" i="71" s="1"/>
  <c r="M154" i="71" a="1"/>
  <c r="M154" i="71" s="1"/>
  <c r="L154" i="71" a="1"/>
  <c r="L154" i="71" s="1"/>
  <c r="K154" i="71" a="1"/>
  <c r="K154" i="71" s="1"/>
  <c r="J154" i="71" a="1"/>
  <c r="J154" i="71" s="1"/>
  <c r="I154" i="71" a="1"/>
  <c r="I154" i="71" s="1"/>
  <c r="H154" i="71" a="1"/>
  <c r="H154" i="71" s="1"/>
  <c r="G154" i="71" a="1"/>
  <c r="G154" i="71" s="1"/>
  <c r="F154" i="71" a="1"/>
  <c r="F154" i="71" s="1"/>
  <c r="E154" i="71" a="1"/>
  <c r="E154" i="71" s="1"/>
  <c r="D154" i="71" a="1"/>
  <c r="D154" i="71" s="1"/>
  <c r="AH153" i="71" a="1"/>
  <c r="AH153" i="71" s="1"/>
  <c r="AG153" i="71" a="1"/>
  <c r="AG153" i="71" s="1"/>
  <c r="AF153" i="71" a="1"/>
  <c r="AF153" i="71" s="1"/>
  <c r="AE153" i="71" a="1"/>
  <c r="AE153" i="71" s="1"/>
  <c r="AD153" i="71" a="1"/>
  <c r="AD153" i="71" s="1"/>
  <c r="AC153" i="71" a="1"/>
  <c r="AC153" i="71" s="1"/>
  <c r="AB153" i="71" a="1"/>
  <c r="AB153" i="71" s="1"/>
  <c r="AA153" i="71" a="1"/>
  <c r="AA153" i="71" s="1"/>
  <c r="Z153" i="71" a="1"/>
  <c r="Z153" i="71" s="1"/>
  <c r="Y153" i="71" a="1"/>
  <c r="Y153" i="71" s="1"/>
  <c r="X153" i="71" a="1"/>
  <c r="X153" i="71" s="1"/>
  <c r="W153" i="71" a="1"/>
  <c r="W153" i="71" s="1"/>
  <c r="V153" i="71" a="1"/>
  <c r="V153" i="71" s="1"/>
  <c r="U153" i="71" a="1"/>
  <c r="U153" i="71" s="1"/>
  <c r="T153" i="71" a="1"/>
  <c r="T153" i="71" s="1"/>
  <c r="S153" i="71" a="1"/>
  <c r="S153" i="71" s="1"/>
  <c r="R153" i="71" a="1"/>
  <c r="R153" i="71" s="1"/>
  <c r="Q153" i="71" a="1"/>
  <c r="Q153" i="71" s="1"/>
  <c r="P153" i="71" a="1"/>
  <c r="P153" i="71" s="1"/>
  <c r="O153" i="71" a="1"/>
  <c r="O153" i="71" s="1"/>
  <c r="N153" i="71" a="1"/>
  <c r="N153" i="71" s="1"/>
  <c r="M153" i="71" a="1"/>
  <c r="M153" i="71" s="1"/>
  <c r="L153" i="71" a="1"/>
  <c r="L153" i="71" s="1"/>
  <c r="K153" i="71" a="1"/>
  <c r="K153" i="71" s="1"/>
  <c r="J153" i="71" a="1"/>
  <c r="J153" i="71" s="1"/>
  <c r="I153" i="71" a="1"/>
  <c r="I153" i="71" s="1"/>
  <c r="H153" i="71" a="1"/>
  <c r="H153" i="71" s="1"/>
  <c r="G153" i="71" a="1"/>
  <c r="G153" i="71" s="1"/>
  <c r="F153" i="71" a="1"/>
  <c r="F153" i="71" s="1"/>
  <c r="E153" i="71" a="1"/>
  <c r="E153" i="71" s="1"/>
  <c r="D153" i="71" a="1"/>
  <c r="D153" i="71" s="1"/>
  <c r="AH152" i="71" a="1"/>
  <c r="AH152" i="71" s="1"/>
  <c r="AG152" i="71" a="1"/>
  <c r="AG152" i="71" s="1"/>
  <c r="AF152" i="71" a="1"/>
  <c r="AF152" i="71" s="1"/>
  <c r="AE152" i="71" a="1"/>
  <c r="AE152" i="71" s="1"/>
  <c r="AD152" i="71" a="1"/>
  <c r="AD152" i="71" s="1"/>
  <c r="AC152" i="71" a="1"/>
  <c r="AC152" i="71" s="1"/>
  <c r="AB152" i="71" a="1"/>
  <c r="AB152" i="71" s="1"/>
  <c r="AA152" i="71" a="1"/>
  <c r="AA152" i="71" s="1"/>
  <c r="Z152" i="71" a="1"/>
  <c r="Z152" i="71" s="1"/>
  <c r="Y152" i="71" a="1"/>
  <c r="Y152" i="71" s="1"/>
  <c r="X152" i="71" a="1"/>
  <c r="X152" i="71" s="1"/>
  <c r="W152" i="71" a="1"/>
  <c r="W152" i="71" s="1"/>
  <c r="V152" i="71" a="1"/>
  <c r="V152" i="71" s="1"/>
  <c r="U152" i="71" a="1"/>
  <c r="U152" i="71" s="1"/>
  <c r="T152" i="71" a="1"/>
  <c r="T152" i="71" s="1"/>
  <c r="S152" i="71" a="1"/>
  <c r="S152" i="71" s="1"/>
  <c r="R152" i="71" a="1"/>
  <c r="R152" i="71" s="1"/>
  <c r="Q152" i="71" a="1"/>
  <c r="Q152" i="71" s="1"/>
  <c r="P152" i="71" a="1"/>
  <c r="P152" i="71" s="1"/>
  <c r="O152" i="71" a="1"/>
  <c r="O152" i="71" s="1"/>
  <c r="N152" i="71" a="1"/>
  <c r="N152" i="71" s="1"/>
  <c r="M152" i="71" a="1"/>
  <c r="M152" i="71" s="1"/>
  <c r="L152" i="71" a="1"/>
  <c r="L152" i="71" s="1"/>
  <c r="K152" i="71" a="1"/>
  <c r="K152" i="71" s="1"/>
  <c r="J152" i="71" a="1"/>
  <c r="J152" i="71" s="1"/>
  <c r="I152" i="71" a="1"/>
  <c r="I152" i="71" s="1"/>
  <c r="H152" i="71" a="1"/>
  <c r="H152" i="71" s="1"/>
  <c r="G152" i="71" a="1"/>
  <c r="G152" i="71" s="1"/>
  <c r="F152" i="71" a="1"/>
  <c r="F152" i="71" s="1"/>
  <c r="E152" i="71" a="1"/>
  <c r="E152" i="71" s="1"/>
  <c r="D152" i="71" a="1"/>
  <c r="D152" i="71" s="1"/>
  <c r="AH151" i="71" a="1"/>
  <c r="AH151" i="71" s="1"/>
  <c r="AG151" i="71" a="1"/>
  <c r="AG151" i="71" s="1"/>
  <c r="AF151" i="71" a="1"/>
  <c r="AF151" i="71" s="1"/>
  <c r="AE151" i="71" a="1"/>
  <c r="AE151" i="71" s="1"/>
  <c r="AD151" i="71" a="1"/>
  <c r="AD151" i="71" s="1"/>
  <c r="AC151" i="71" a="1"/>
  <c r="AC151" i="71" s="1"/>
  <c r="AB151" i="71" a="1"/>
  <c r="AB151" i="71" s="1"/>
  <c r="AA151" i="71" a="1"/>
  <c r="AA151" i="71" s="1"/>
  <c r="Z151" i="71" a="1"/>
  <c r="Z151" i="71" s="1"/>
  <c r="Y151" i="71" a="1"/>
  <c r="Y151" i="71" s="1"/>
  <c r="X151" i="71" a="1"/>
  <c r="X151" i="71" s="1"/>
  <c r="W151" i="71" a="1"/>
  <c r="W151" i="71" s="1"/>
  <c r="V151" i="71" a="1"/>
  <c r="V151" i="71" s="1"/>
  <c r="U151" i="71" a="1"/>
  <c r="U151" i="71" s="1"/>
  <c r="T151" i="71" a="1"/>
  <c r="T151" i="71" s="1"/>
  <c r="S151" i="71" a="1"/>
  <c r="S151" i="71" s="1"/>
  <c r="R151" i="71" a="1"/>
  <c r="R151" i="71" s="1"/>
  <c r="Q151" i="71" a="1"/>
  <c r="Q151" i="71" s="1"/>
  <c r="P151" i="71" a="1"/>
  <c r="P151" i="71" s="1"/>
  <c r="O151" i="71" a="1"/>
  <c r="O151" i="71" s="1"/>
  <c r="N151" i="71" a="1"/>
  <c r="N151" i="71" s="1"/>
  <c r="M151" i="71" a="1"/>
  <c r="M151" i="71" s="1"/>
  <c r="L151" i="71" a="1"/>
  <c r="L151" i="71" s="1"/>
  <c r="K151" i="71" a="1"/>
  <c r="K151" i="71" s="1"/>
  <c r="J151" i="71" a="1"/>
  <c r="J151" i="71" s="1"/>
  <c r="I151" i="71" a="1"/>
  <c r="I151" i="71" s="1"/>
  <c r="H151" i="71" a="1"/>
  <c r="H151" i="71" s="1"/>
  <c r="G151" i="71" a="1"/>
  <c r="G151" i="71" s="1"/>
  <c r="F151" i="71" a="1"/>
  <c r="F151" i="71" s="1"/>
  <c r="E151" i="71" a="1"/>
  <c r="E151" i="71" s="1"/>
  <c r="D151" i="71" a="1"/>
  <c r="D151" i="71" s="1"/>
  <c r="AH150" i="71" a="1"/>
  <c r="AH150" i="71" s="1"/>
  <c r="AG150" i="71" a="1"/>
  <c r="AG150" i="71" s="1"/>
  <c r="AF150" i="71" a="1"/>
  <c r="AF150" i="71" s="1"/>
  <c r="AE150" i="71" a="1"/>
  <c r="AE150" i="71" s="1"/>
  <c r="AD150" i="71" a="1"/>
  <c r="AD150" i="71" s="1"/>
  <c r="AC150" i="71" a="1"/>
  <c r="AC150" i="71" s="1"/>
  <c r="AB150" i="71" a="1"/>
  <c r="AB150" i="71" s="1"/>
  <c r="AA150" i="71" a="1"/>
  <c r="AA150" i="71" s="1"/>
  <c r="Z150" i="71" a="1"/>
  <c r="Z150" i="71" s="1"/>
  <c r="Y150" i="71" a="1"/>
  <c r="Y150" i="71" s="1"/>
  <c r="X150" i="71" a="1"/>
  <c r="X150" i="71" s="1"/>
  <c r="W150" i="71" a="1"/>
  <c r="W150" i="71" s="1"/>
  <c r="V150" i="71" a="1"/>
  <c r="V150" i="71" s="1"/>
  <c r="U150" i="71" a="1"/>
  <c r="U150" i="71" s="1"/>
  <c r="T150" i="71" a="1"/>
  <c r="T150" i="71" s="1"/>
  <c r="S150" i="71" a="1"/>
  <c r="S150" i="71" s="1"/>
  <c r="R150" i="71" a="1"/>
  <c r="R150" i="71" s="1"/>
  <c r="Q150" i="71" a="1"/>
  <c r="Q150" i="71" s="1"/>
  <c r="P150" i="71" a="1"/>
  <c r="P150" i="71" s="1"/>
  <c r="O150" i="71" a="1"/>
  <c r="O150" i="71" s="1"/>
  <c r="N150" i="71" a="1"/>
  <c r="N150" i="71" s="1"/>
  <c r="M150" i="71" a="1"/>
  <c r="M150" i="71" s="1"/>
  <c r="L150" i="71" a="1"/>
  <c r="L150" i="71" s="1"/>
  <c r="K150" i="71" a="1"/>
  <c r="K150" i="71" s="1"/>
  <c r="J150" i="71" a="1"/>
  <c r="J150" i="71" s="1"/>
  <c r="I150" i="71" a="1"/>
  <c r="I150" i="71" s="1"/>
  <c r="H150" i="71" a="1"/>
  <c r="H150" i="71" s="1"/>
  <c r="G150" i="71" a="1"/>
  <c r="G150" i="71" s="1"/>
  <c r="F150" i="71" a="1"/>
  <c r="F150" i="71" s="1"/>
  <c r="E150" i="71" a="1"/>
  <c r="E150" i="71" s="1"/>
  <c r="D150" i="71" a="1"/>
  <c r="D150" i="71" s="1"/>
  <c r="AH149" i="71" a="1"/>
  <c r="AH149" i="71" s="1"/>
  <c r="AG149" i="71" a="1"/>
  <c r="AG149" i="71" s="1"/>
  <c r="AF149" i="71" a="1"/>
  <c r="AF149" i="71" s="1"/>
  <c r="AE149" i="71" a="1"/>
  <c r="AE149" i="71" s="1"/>
  <c r="AD149" i="71" a="1"/>
  <c r="AD149" i="71" s="1"/>
  <c r="AC149" i="71" a="1"/>
  <c r="AC149" i="71" s="1"/>
  <c r="AB149" i="71" a="1"/>
  <c r="AB149" i="71" s="1"/>
  <c r="AA149" i="71" a="1"/>
  <c r="AA149" i="71" s="1"/>
  <c r="Z149" i="71" a="1"/>
  <c r="Z149" i="71" s="1"/>
  <c r="Y149" i="71" a="1"/>
  <c r="Y149" i="71" s="1"/>
  <c r="X149" i="71" a="1"/>
  <c r="X149" i="71" s="1"/>
  <c r="W149" i="71" a="1"/>
  <c r="W149" i="71" s="1"/>
  <c r="V149" i="71" a="1"/>
  <c r="V149" i="71" s="1"/>
  <c r="U149" i="71" a="1"/>
  <c r="U149" i="71" s="1"/>
  <c r="T149" i="71" a="1"/>
  <c r="T149" i="71" s="1"/>
  <c r="S149" i="71" a="1"/>
  <c r="S149" i="71" s="1"/>
  <c r="R149" i="71" a="1"/>
  <c r="R149" i="71" s="1"/>
  <c r="Q149" i="71" a="1"/>
  <c r="Q149" i="71" s="1"/>
  <c r="P149" i="71" a="1"/>
  <c r="P149" i="71" s="1"/>
  <c r="O149" i="71" a="1"/>
  <c r="O149" i="71" s="1"/>
  <c r="N149" i="71" a="1"/>
  <c r="N149" i="71" s="1"/>
  <c r="M149" i="71" a="1"/>
  <c r="M149" i="71" s="1"/>
  <c r="L149" i="71" a="1"/>
  <c r="L149" i="71" s="1"/>
  <c r="K149" i="71" a="1"/>
  <c r="K149" i="71" s="1"/>
  <c r="J149" i="71" a="1"/>
  <c r="J149" i="71" s="1"/>
  <c r="I149" i="71" a="1"/>
  <c r="I149" i="71" s="1"/>
  <c r="H149" i="71" a="1"/>
  <c r="H149" i="71" s="1"/>
  <c r="G149" i="71" a="1"/>
  <c r="G149" i="71" s="1"/>
  <c r="F149" i="71" a="1"/>
  <c r="F149" i="71" s="1"/>
  <c r="E149" i="71" a="1"/>
  <c r="E149" i="71" s="1"/>
  <c r="D149" i="71" a="1"/>
  <c r="D149" i="71" s="1"/>
  <c r="AH148" i="71" a="1"/>
  <c r="AH148" i="71" s="1"/>
  <c r="AG148" i="71" a="1"/>
  <c r="AG148" i="71" s="1"/>
  <c r="AF148" i="71" a="1"/>
  <c r="AF148" i="71" s="1"/>
  <c r="AE148" i="71" a="1"/>
  <c r="AE148" i="71" s="1"/>
  <c r="AD148" i="71" a="1"/>
  <c r="AD148" i="71" s="1"/>
  <c r="AC148" i="71" a="1"/>
  <c r="AC148" i="71" s="1"/>
  <c r="AB148" i="71" a="1"/>
  <c r="AB148" i="71" s="1"/>
  <c r="AA148" i="71" a="1"/>
  <c r="AA148" i="71" s="1"/>
  <c r="Z148" i="71" a="1"/>
  <c r="Z148" i="71" s="1"/>
  <c r="Y148" i="71" a="1"/>
  <c r="Y148" i="71" s="1"/>
  <c r="X148" i="71" a="1"/>
  <c r="X148" i="71" s="1"/>
  <c r="W148" i="71" a="1"/>
  <c r="W148" i="71" s="1"/>
  <c r="V148" i="71" a="1"/>
  <c r="V148" i="71" s="1"/>
  <c r="U148" i="71" a="1"/>
  <c r="U148" i="71" s="1"/>
  <c r="T148" i="71" a="1"/>
  <c r="T148" i="71" s="1"/>
  <c r="S148" i="71" a="1"/>
  <c r="S148" i="71" s="1"/>
  <c r="R148" i="71" a="1"/>
  <c r="R148" i="71" s="1"/>
  <c r="Q148" i="71" a="1"/>
  <c r="Q148" i="71" s="1"/>
  <c r="P148" i="71" a="1"/>
  <c r="P148" i="71" s="1"/>
  <c r="O148" i="71" a="1"/>
  <c r="O148" i="71" s="1"/>
  <c r="N148" i="71" a="1"/>
  <c r="N148" i="71" s="1"/>
  <c r="M148" i="71" a="1"/>
  <c r="M148" i="71" s="1"/>
  <c r="L148" i="71" a="1"/>
  <c r="L148" i="71" s="1"/>
  <c r="K148" i="71" a="1"/>
  <c r="K148" i="71" s="1"/>
  <c r="J148" i="71" a="1"/>
  <c r="J148" i="71" s="1"/>
  <c r="I148" i="71" a="1"/>
  <c r="I148" i="71" s="1"/>
  <c r="H148" i="71" a="1"/>
  <c r="H148" i="71" s="1"/>
  <c r="G148" i="71" a="1"/>
  <c r="G148" i="71" s="1"/>
  <c r="F148" i="71" a="1"/>
  <c r="F148" i="71" s="1"/>
  <c r="E148" i="71" a="1"/>
  <c r="E148" i="71" s="1"/>
  <c r="D148" i="71" a="1"/>
  <c r="D148" i="71" s="1"/>
  <c r="AH147" i="71" a="1"/>
  <c r="AH147" i="71" s="1"/>
  <c r="AG147" i="71" a="1"/>
  <c r="AG147" i="71" s="1"/>
  <c r="AF147" i="71" a="1"/>
  <c r="AF147" i="71" s="1"/>
  <c r="AE147" i="71" a="1"/>
  <c r="AE147" i="71" s="1"/>
  <c r="AD147" i="71" a="1"/>
  <c r="AD147" i="71" s="1"/>
  <c r="AC147" i="71" a="1"/>
  <c r="AC147" i="71" s="1"/>
  <c r="AB147" i="71" a="1"/>
  <c r="AB147" i="71" s="1"/>
  <c r="AA147" i="71" a="1"/>
  <c r="AA147" i="71" s="1"/>
  <c r="Z147" i="71" a="1"/>
  <c r="Z147" i="71" s="1"/>
  <c r="Y147" i="71" a="1"/>
  <c r="Y147" i="71" s="1"/>
  <c r="X147" i="71" a="1"/>
  <c r="X147" i="71" s="1"/>
  <c r="W147" i="71" a="1"/>
  <c r="W147" i="71" s="1"/>
  <c r="V147" i="71" a="1"/>
  <c r="V147" i="71" s="1"/>
  <c r="U147" i="71" a="1"/>
  <c r="U147" i="71" s="1"/>
  <c r="T147" i="71" a="1"/>
  <c r="T147" i="71" s="1"/>
  <c r="S147" i="71" a="1"/>
  <c r="S147" i="71" s="1"/>
  <c r="R147" i="71" a="1"/>
  <c r="R147" i="71" s="1"/>
  <c r="Q147" i="71" a="1"/>
  <c r="Q147" i="71" s="1"/>
  <c r="P147" i="71" a="1"/>
  <c r="P147" i="71" s="1"/>
  <c r="O147" i="71" a="1"/>
  <c r="O147" i="71" s="1"/>
  <c r="N147" i="71" a="1"/>
  <c r="N147" i="71" s="1"/>
  <c r="M147" i="71" a="1"/>
  <c r="M147" i="71" s="1"/>
  <c r="L147" i="71" a="1"/>
  <c r="L147" i="71" s="1"/>
  <c r="K147" i="71" a="1"/>
  <c r="K147" i="71" s="1"/>
  <c r="J147" i="71" a="1"/>
  <c r="J147" i="71" s="1"/>
  <c r="I147" i="71" a="1"/>
  <c r="I147" i="71" s="1"/>
  <c r="H147" i="71" a="1"/>
  <c r="H147" i="71" s="1"/>
  <c r="G147" i="71" a="1"/>
  <c r="G147" i="71" s="1"/>
  <c r="F147" i="71" a="1"/>
  <c r="F147" i="71" s="1"/>
  <c r="E147" i="71" a="1"/>
  <c r="E147" i="71" s="1"/>
  <c r="D147" i="71" a="1"/>
  <c r="D147" i="71" s="1"/>
  <c r="AH146" i="71" a="1"/>
  <c r="AH146" i="71" s="1"/>
  <c r="AG146" i="71" a="1"/>
  <c r="AG146" i="71" s="1"/>
  <c r="AF146" i="71" a="1"/>
  <c r="AF146" i="71" s="1"/>
  <c r="AE146" i="71" a="1"/>
  <c r="AE146" i="71" s="1"/>
  <c r="AD146" i="71" a="1"/>
  <c r="AD146" i="71" s="1"/>
  <c r="AC146" i="71" a="1"/>
  <c r="AC146" i="71" s="1"/>
  <c r="AB146" i="71" a="1"/>
  <c r="AB146" i="71" s="1"/>
  <c r="AA146" i="71" a="1"/>
  <c r="AA146" i="71" s="1"/>
  <c r="Z146" i="71" a="1"/>
  <c r="Z146" i="71" s="1"/>
  <c r="Y146" i="71" a="1"/>
  <c r="Y146" i="71" s="1"/>
  <c r="X146" i="71" a="1"/>
  <c r="X146" i="71" s="1"/>
  <c r="W146" i="71" a="1"/>
  <c r="W146" i="71" s="1"/>
  <c r="V146" i="71" a="1"/>
  <c r="V146" i="71" s="1"/>
  <c r="U146" i="71" a="1"/>
  <c r="U146" i="71" s="1"/>
  <c r="T146" i="71" a="1"/>
  <c r="T146" i="71" s="1"/>
  <c r="S146" i="71" a="1"/>
  <c r="S146" i="71" s="1"/>
  <c r="R146" i="71" a="1"/>
  <c r="R146" i="71" s="1"/>
  <c r="Q146" i="71" a="1"/>
  <c r="Q146" i="71" s="1"/>
  <c r="P146" i="71" a="1"/>
  <c r="P146" i="71" s="1"/>
  <c r="O146" i="71" a="1"/>
  <c r="O146" i="71" s="1"/>
  <c r="N146" i="71" a="1"/>
  <c r="N146" i="71" s="1"/>
  <c r="M146" i="71" a="1"/>
  <c r="M146" i="71" s="1"/>
  <c r="L146" i="71" a="1"/>
  <c r="L146" i="71" s="1"/>
  <c r="K146" i="71" a="1"/>
  <c r="K146" i="71" s="1"/>
  <c r="J146" i="71" a="1"/>
  <c r="J146" i="71" s="1"/>
  <c r="I146" i="71" a="1"/>
  <c r="I146" i="71" s="1"/>
  <c r="H146" i="71" a="1"/>
  <c r="H146" i="71" s="1"/>
  <c r="G146" i="71" a="1"/>
  <c r="G146" i="71" s="1"/>
  <c r="F146" i="71" a="1"/>
  <c r="F146" i="71" s="1"/>
  <c r="E146" i="71" a="1"/>
  <c r="E146" i="71" s="1"/>
  <c r="D146" i="71" a="1"/>
  <c r="D146" i="71" s="1"/>
  <c r="AH145" i="71" a="1"/>
  <c r="AH145" i="71" s="1"/>
  <c r="AG145" i="71" a="1"/>
  <c r="AG145" i="71" s="1"/>
  <c r="AF145" i="71" a="1"/>
  <c r="AF145" i="71" s="1"/>
  <c r="AE145" i="71" a="1"/>
  <c r="AE145" i="71" s="1"/>
  <c r="AD145" i="71" a="1"/>
  <c r="AD145" i="71" s="1"/>
  <c r="AC145" i="71" a="1"/>
  <c r="AC145" i="71" s="1"/>
  <c r="AB145" i="71" a="1"/>
  <c r="AB145" i="71" s="1"/>
  <c r="AA145" i="71" a="1"/>
  <c r="AA145" i="71" s="1"/>
  <c r="Z145" i="71" a="1"/>
  <c r="Z145" i="71" s="1"/>
  <c r="Y145" i="71" a="1"/>
  <c r="Y145" i="71" s="1"/>
  <c r="X145" i="71" a="1"/>
  <c r="X145" i="71" s="1"/>
  <c r="W145" i="71" a="1"/>
  <c r="W145" i="71" s="1"/>
  <c r="V145" i="71" a="1"/>
  <c r="V145" i="71" s="1"/>
  <c r="U145" i="71" a="1"/>
  <c r="U145" i="71" s="1"/>
  <c r="T145" i="71" a="1"/>
  <c r="T145" i="71" s="1"/>
  <c r="S145" i="71" a="1"/>
  <c r="S145" i="71" s="1"/>
  <c r="R145" i="71" a="1"/>
  <c r="R145" i="71" s="1"/>
  <c r="Q145" i="71" a="1"/>
  <c r="Q145" i="71" s="1"/>
  <c r="P145" i="71" a="1"/>
  <c r="P145" i="71" s="1"/>
  <c r="O145" i="71" a="1"/>
  <c r="O145" i="71" s="1"/>
  <c r="N145" i="71" a="1"/>
  <c r="N145" i="71" s="1"/>
  <c r="M145" i="71" a="1"/>
  <c r="M145" i="71" s="1"/>
  <c r="L145" i="71" a="1"/>
  <c r="L145" i="71" s="1"/>
  <c r="K145" i="71" a="1"/>
  <c r="K145" i="71" s="1"/>
  <c r="J145" i="71" a="1"/>
  <c r="J145" i="71" s="1"/>
  <c r="I145" i="71" a="1"/>
  <c r="I145" i="71" s="1"/>
  <c r="H145" i="71" a="1"/>
  <c r="H145" i="71" s="1"/>
  <c r="G145" i="71" a="1"/>
  <c r="G145" i="71" s="1"/>
  <c r="F145" i="71" a="1"/>
  <c r="F145" i="71" s="1"/>
  <c r="E145" i="71" a="1"/>
  <c r="E145" i="71" s="1"/>
  <c r="D145" i="71" a="1"/>
  <c r="D145" i="71" s="1"/>
  <c r="AH144" i="71" a="1"/>
  <c r="AH144" i="71" s="1"/>
  <c r="AG144" i="71" a="1"/>
  <c r="AG144" i="71" s="1"/>
  <c r="AF144" i="71" a="1"/>
  <c r="AF144" i="71" s="1"/>
  <c r="AE144" i="71" a="1"/>
  <c r="AE144" i="71" s="1"/>
  <c r="AD144" i="71" a="1"/>
  <c r="AD144" i="71" s="1"/>
  <c r="AC144" i="71" a="1"/>
  <c r="AC144" i="71" s="1"/>
  <c r="AB144" i="71" a="1"/>
  <c r="AB144" i="71" s="1"/>
  <c r="AA144" i="71" a="1"/>
  <c r="AA144" i="71" s="1"/>
  <c r="Z144" i="71" a="1"/>
  <c r="Z144" i="71" s="1"/>
  <c r="Y144" i="71" a="1"/>
  <c r="Y144" i="71" s="1"/>
  <c r="X144" i="71" a="1"/>
  <c r="X144" i="71" s="1"/>
  <c r="W144" i="71" a="1"/>
  <c r="W144" i="71" s="1"/>
  <c r="V144" i="71" a="1"/>
  <c r="V144" i="71" s="1"/>
  <c r="U144" i="71" a="1"/>
  <c r="U144" i="71" s="1"/>
  <c r="T144" i="71" a="1"/>
  <c r="T144" i="71" s="1"/>
  <c r="S144" i="71" a="1"/>
  <c r="S144" i="71" s="1"/>
  <c r="R144" i="71" a="1"/>
  <c r="R144" i="71" s="1"/>
  <c r="Q144" i="71" a="1"/>
  <c r="Q144" i="71" s="1"/>
  <c r="P144" i="71" a="1"/>
  <c r="P144" i="71" s="1"/>
  <c r="O144" i="71" a="1"/>
  <c r="O144" i="71" s="1"/>
  <c r="N144" i="71" a="1"/>
  <c r="N144" i="71" s="1"/>
  <c r="M144" i="71" a="1"/>
  <c r="M144" i="71" s="1"/>
  <c r="L144" i="71" a="1"/>
  <c r="L144" i="71" s="1"/>
  <c r="K144" i="71" a="1"/>
  <c r="K144" i="71" s="1"/>
  <c r="J144" i="71" a="1"/>
  <c r="J144" i="71" s="1"/>
  <c r="I144" i="71" a="1"/>
  <c r="I144" i="71" s="1"/>
  <c r="H144" i="71" a="1"/>
  <c r="H144" i="71" s="1"/>
  <c r="G144" i="71" a="1"/>
  <c r="G144" i="71" s="1"/>
  <c r="F144" i="71" a="1"/>
  <c r="F144" i="71" s="1"/>
  <c r="E144" i="71" a="1"/>
  <c r="E144" i="71" s="1"/>
  <c r="D144" i="71" a="1"/>
  <c r="D144" i="71" s="1"/>
  <c r="AH143" i="71" a="1"/>
  <c r="AH143" i="71" s="1"/>
  <c r="AG143" i="71" a="1"/>
  <c r="AG143" i="71" s="1"/>
  <c r="AF143" i="71" a="1"/>
  <c r="AF143" i="71" s="1"/>
  <c r="AE143" i="71" a="1"/>
  <c r="AE143" i="71" s="1"/>
  <c r="AD143" i="71" a="1"/>
  <c r="AD143" i="71" s="1"/>
  <c r="AC143" i="71" a="1"/>
  <c r="AC143" i="71" s="1"/>
  <c r="AB143" i="71" a="1"/>
  <c r="AB143" i="71" s="1"/>
  <c r="AA143" i="71" a="1"/>
  <c r="AA143" i="71" s="1"/>
  <c r="Z143" i="71" a="1"/>
  <c r="Z143" i="71" s="1"/>
  <c r="Y143" i="71" a="1"/>
  <c r="Y143" i="71" s="1"/>
  <c r="X143" i="71" a="1"/>
  <c r="X143" i="71" s="1"/>
  <c r="W143" i="71" a="1"/>
  <c r="W143" i="71" s="1"/>
  <c r="V143" i="71" a="1"/>
  <c r="V143" i="71" s="1"/>
  <c r="U143" i="71" a="1"/>
  <c r="U143" i="71" s="1"/>
  <c r="T143" i="71" a="1"/>
  <c r="T143" i="71" s="1"/>
  <c r="S143" i="71" a="1"/>
  <c r="S143" i="71" s="1"/>
  <c r="R143" i="71" a="1"/>
  <c r="R143" i="71" s="1"/>
  <c r="Q143" i="71" a="1"/>
  <c r="Q143" i="71" s="1"/>
  <c r="P143" i="71" a="1"/>
  <c r="P143" i="71" s="1"/>
  <c r="O143" i="71" a="1"/>
  <c r="O143" i="71" s="1"/>
  <c r="N143" i="71" a="1"/>
  <c r="N143" i="71" s="1"/>
  <c r="M143" i="71" a="1"/>
  <c r="M143" i="71" s="1"/>
  <c r="L143" i="71" a="1"/>
  <c r="L143" i="71" s="1"/>
  <c r="K143" i="71" a="1"/>
  <c r="K143" i="71" s="1"/>
  <c r="J143" i="71" a="1"/>
  <c r="J143" i="71" s="1"/>
  <c r="I143" i="71" a="1"/>
  <c r="I143" i="71" s="1"/>
  <c r="H143" i="71" a="1"/>
  <c r="H143" i="71" s="1"/>
  <c r="G143" i="71" a="1"/>
  <c r="G143" i="71" s="1"/>
  <c r="F143" i="71" a="1"/>
  <c r="F143" i="71" s="1"/>
  <c r="E143" i="71" a="1"/>
  <c r="E143" i="71" s="1"/>
  <c r="D143" i="71" a="1"/>
  <c r="D143" i="71" s="1"/>
  <c r="AH142" i="71" a="1"/>
  <c r="AH142" i="71" s="1"/>
  <c r="AG142" i="71" a="1"/>
  <c r="AG142" i="71" s="1"/>
  <c r="AF142" i="71" a="1"/>
  <c r="AF142" i="71" s="1"/>
  <c r="AE142" i="71" a="1"/>
  <c r="AE142" i="71" s="1"/>
  <c r="AD142" i="71" a="1"/>
  <c r="AD142" i="71" s="1"/>
  <c r="AC142" i="71" a="1"/>
  <c r="AC142" i="71" s="1"/>
  <c r="AB142" i="71" a="1"/>
  <c r="AB142" i="71" s="1"/>
  <c r="AA142" i="71" a="1"/>
  <c r="AA142" i="71" s="1"/>
  <c r="Z142" i="71" a="1"/>
  <c r="Z142" i="71" s="1"/>
  <c r="Y142" i="71" a="1"/>
  <c r="Y142" i="71" s="1"/>
  <c r="X142" i="71" a="1"/>
  <c r="X142" i="71" s="1"/>
  <c r="W142" i="71" a="1"/>
  <c r="W142" i="71" s="1"/>
  <c r="V142" i="71" a="1"/>
  <c r="V142" i="71" s="1"/>
  <c r="U142" i="71" a="1"/>
  <c r="U142" i="71" s="1"/>
  <c r="T142" i="71" a="1"/>
  <c r="T142" i="71" s="1"/>
  <c r="S142" i="71" a="1"/>
  <c r="S142" i="71" s="1"/>
  <c r="R142" i="71" a="1"/>
  <c r="R142" i="71" s="1"/>
  <c r="Q142" i="71" a="1"/>
  <c r="Q142" i="71" s="1"/>
  <c r="P142" i="71" a="1"/>
  <c r="P142" i="71" s="1"/>
  <c r="O142" i="71" a="1"/>
  <c r="O142" i="71" s="1"/>
  <c r="N142" i="71" a="1"/>
  <c r="N142" i="71" s="1"/>
  <c r="M142" i="71" a="1"/>
  <c r="M142" i="71" s="1"/>
  <c r="L142" i="71" a="1"/>
  <c r="L142" i="71" s="1"/>
  <c r="K142" i="71" a="1"/>
  <c r="K142" i="71" s="1"/>
  <c r="J142" i="71" a="1"/>
  <c r="J142" i="71" s="1"/>
  <c r="I142" i="71" a="1"/>
  <c r="I142" i="71" s="1"/>
  <c r="H142" i="71" a="1"/>
  <c r="H142" i="71" s="1"/>
  <c r="G142" i="71" a="1"/>
  <c r="G142" i="71" s="1"/>
  <c r="F142" i="71" a="1"/>
  <c r="F142" i="71" s="1"/>
  <c r="E142" i="71" a="1"/>
  <c r="E142" i="71" s="1"/>
  <c r="D142" i="71" a="1"/>
  <c r="D142" i="71" s="1"/>
  <c r="AH141" i="71" a="1"/>
  <c r="AH141" i="71" s="1"/>
  <c r="AG141" i="71" a="1"/>
  <c r="AG141" i="71" s="1"/>
  <c r="AF141" i="71" a="1"/>
  <c r="AF141" i="71" s="1"/>
  <c r="AE141" i="71" a="1"/>
  <c r="AE141" i="71" s="1"/>
  <c r="AD141" i="71" a="1"/>
  <c r="AD141" i="71" s="1"/>
  <c r="AC141" i="71" a="1"/>
  <c r="AC141" i="71" s="1"/>
  <c r="AB141" i="71" a="1"/>
  <c r="AB141" i="71" s="1"/>
  <c r="AA141" i="71" a="1"/>
  <c r="AA141" i="71" s="1"/>
  <c r="Z141" i="71" a="1"/>
  <c r="Z141" i="71" s="1"/>
  <c r="Y141" i="71" a="1"/>
  <c r="Y141" i="71" s="1"/>
  <c r="X141" i="71" a="1"/>
  <c r="X141" i="71" s="1"/>
  <c r="W141" i="71" a="1"/>
  <c r="W141" i="71" s="1"/>
  <c r="V141" i="71" a="1"/>
  <c r="V141" i="71" s="1"/>
  <c r="U141" i="71" a="1"/>
  <c r="U141" i="71" s="1"/>
  <c r="T141" i="71" a="1"/>
  <c r="T141" i="71" s="1"/>
  <c r="S141" i="71" a="1"/>
  <c r="S141" i="71" s="1"/>
  <c r="R141" i="71" a="1"/>
  <c r="R141" i="71" s="1"/>
  <c r="Q141" i="71" a="1"/>
  <c r="Q141" i="71" s="1"/>
  <c r="P141" i="71" a="1"/>
  <c r="P141" i="71" s="1"/>
  <c r="O141" i="71" a="1"/>
  <c r="O141" i="71" s="1"/>
  <c r="N141" i="71" a="1"/>
  <c r="N141" i="71" s="1"/>
  <c r="M141" i="71" a="1"/>
  <c r="M141" i="71" s="1"/>
  <c r="L141" i="71" a="1"/>
  <c r="L141" i="71" s="1"/>
  <c r="K141" i="71" a="1"/>
  <c r="K141" i="71" s="1"/>
  <c r="J141" i="71" a="1"/>
  <c r="J141" i="71" s="1"/>
  <c r="I141" i="71" a="1"/>
  <c r="I141" i="71" s="1"/>
  <c r="H141" i="71" a="1"/>
  <c r="H141" i="71" s="1"/>
  <c r="G141" i="71" a="1"/>
  <c r="G141" i="71" s="1"/>
  <c r="F141" i="71" a="1"/>
  <c r="F141" i="71" s="1"/>
  <c r="E141" i="71" a="1"/>
  <c r="E141" i="71" s="1"/>
  <c r="D141" i="71" a="1"/>
  <c r="D141" i="71" s="1"/>
  <c r="AH140" i="71" a="1"/>
  <c r="AH140" i="71" s="1"/>
  <c r="AG140" i="71" a="1"/>
  <c r="AG140" i="71" s="1"/>
  <c r="AF140" i="71" a="1"/>
  <c r="AF140" i="71" s="1"/>
  <c r="AE140" i="71" a="1"/>
  <c r="AE140" i="71" s="1"/>
  <c r="AD140" i="71" a="1"/>
  <c r="AD140" i="71" s="1"/>
  <c r="AC140" i="71" a="1"/>
  <c r="AC140" i="71" s="1"/>
  <c r="AB140" i="71" a="1"/>
  <c r="AB140" i="71" s="1"/>
  <c r="AA140" i="71" a="1"/>
  <c r="AA140" i="71" s="1"/>
  <c r="Z140" i="71" a="1"/>
  <c r="Z140" i="71" s="1"/>
  <c r="Y140" i="71" a="1"/>
  <c r="Y140" i="71" s="1"/>
  <c r="X140" i="71" a="1"/>
  <c r="X140" i="71" s="1"/>
  <c r="W140" i="71" a="1"/>
  <c r="W140" i="71" s="1"/>
  <c r="V140" i="71" a="1"/>
  <c r="V140" i="71" s="1"/>
  <c r="U140" i="71" a="1"/>
  <c r="U140" i="71" s="1"/>
  <c r="T140" i="71" a="1"/>
  <c r="T140" i="71" s="1"/>
  <c r="S140" i="71" a="1"/>
  <c r="S140" i="71" s="1"/>
  <c r="R140" i="71" a="1"/>
  <c r="R140" i="71" s="1"/>
  <c r="Q140" i="71" a="1"/>
  <c r="Q140" i="71" s="1"/>
  <c r="P140" i="71" a="1"/>
  <c r="P140" i="71" s="1"/>
  <c r="O140" i="71" a="1"/>
  <c r="O140" i="71" s="1"/>
  <c r="N140" i="71" a="1"/>
  <c r="N140" i="71" s="1"/>
  <c r="M140" i="71" a="1"/>
  <c r="M140" i="71" s="1"/>
  <c r="L140" i="71" a="1"/>
  <c r="L140" i="71" s="1"/>
  <c r="K140" i="71" a="1"/>
  <c r="K140" i="71" s="1"/>
  <c r="J140" i="71" a="1"/>
  <c r="J140" i="71" s="1"/>
  <c r="I140" i="71" a="1"/>
  <c r="I140" i="71" s="1"/>
  <c r="H140" i="71" a="1"/>
  <c r="H140" i="71" s="1"/>
  <c r="G140" i="71" a="1"/>
  <c r="G140" i="71" s="1"/>
  <c r="F140" i="71" a="1"/>
  <c r="F140" i="71" s="1"/>
  <c r="E140" i="71" a="1"/>
  <c r="E140" i="71" s="1"/>
  <c r="D140" i="71" a="1"/>
  <c r="D140" i="71" s="1"/>
  <c r="AH139" i="71" a="1"/>
  <c r="AH139" i="71" s="1"/>
  <c r="AG139" i="71" a="1"/>
  <c r="AG139" i="71" s="1"/>
  <c r="AF139" i="71" a="1"/>
  <c r="AF139" i="71" s="1"/>
  <c r="AE139" i="71" a="1"/>
  <c r="AE139" i="71" s="1"/>
  <c r="AD139" i="71" a="1"/>
  <c r="AD139" i="71" s="1"/>
  <c r="AC139" i="71" a="1"/>
  <c r="AC139" i="71" s="1"/>
  <c r="AB139" i="71" a="1"/>
  <c r="AB139" i="71" s="1"/>
  <c r="AA139" i="71" a="1"/>
  <c r="AA139" i="71" s="1"/>
  <c r="Z139" i="71" a="1"/>
  <c r="Z139" i="71" s="1"/>
  <c r="Y139" i="71" a="1"/>
  <c r="Y139" i="71" s="1"/>
  <c r="X139" i="71" a="1"/>
  <c r="X139" i="71" s="1"/>
  <c r="W139" i="71" a="1"/>
  <c r="W139" i="71" s="1"/>
  <c r="V139" i="71" a="1"/>
  <c r="V139" i="71" s="1"/>
  <c r="U139" i="71" a="1"/>
  <c r="U139" i="71" s="1"/>
  <c r="T139" i="71" a="1"/>
  <c r="T139" i="71" s="1"/>
  <c r="S139" i="71" a="1"/>
  <c r="S139" i="71" s="1"/>
  <c r="R139" i="71" a="1"/>
  <c r="R139" i="71" s="1"/>
  <c r="Q139" i="71" a="1"/>
  <c r="Q139" i="71" s="1"/>
  <c r="P139" i="71" a="1"/>
  <c r="P139" i="71" s="1"/>
  <c r="O139" i="71" a="1"/>
  <c r="O139" i="71" s="1"/>
  <c r="N139" i="71" a="1"/>
  <c r="N139" i="71" s="1"/>
  <c r="M139" i="71" a="1"/>
  <c r="M139" i="71" s="1"/>
  <c r="L139" i="71" a="1"/>
  <c r="L139" i="71" s="1"/>
  <c r="K139" i="71" a="1"/>
  <c r="K139" i="71" s="1"/>
  <c r="J139" i="71" a="1"/>
  <c r="J139" i="71" s="1"/>
  <c r="I139" i="71" a="1"/>
  <c r="I139" i="71" s="1"/>
  <c r="H139" i="71" a="1"/>
  <c r="H139" i="71" s="1"/>
  <c r="G139" i="71" a="1"/>
  <c r="G139" i="71" s="1"/>
  <c r="F139" i="71" a="1"/>
  <c r="F139" i="71" s="1"/>
  <c r="E139" i="71" a="1"/>
  <c r="E139" i="71" s="1"/>
  <c r="D139" i="71" a="1"/>
  <c r="D139" i="71" s="1"/>
  <c r="AH138" i="71" a="1"/>
  <c r="AH138" i="71" s="1"/>
  <c r="AG138" i="71" a="1"/>
  <c r="AG138" i="71" s="1"/>
  <c r="AF138" i="71" a="1"/>
  <c r="AF138" i="71" s="1"/>
  <c r="AE138" i="71" a="1"/>
  <c r="AE138" i="71" s="1"/>
  <c r="AD138" i="71" a="1"/>
  <c r="AD138" i="71" s="1"/>
  <c r="AC138" i="71" a="1"/>
  <c r="AC138" i="71" s="1"/>
  <c r="AB138" i="71" a="1"/>
  <c r="AB138" i="71" s="1"/>
  <c r="AA138" i="71" a="1"/>
  <c r="AA138" i="71" s="1"/>
  <c r="Z138" i="71" a="1"/>
  <c r="Z138" i="71" s="1"/>
  <c r="Y138" i="71" a="1"/>
  <c r="Y138" i="71" s="1"/>
  <c r="X138" i="71" a="1"/>
  <c r="X138" i="71" s="1"/>
  <c r="W138" i="71" a="1"/>
  <c r="W138" i="71" s="1"/>
  <c r="V138" i="71" a="1"/>
  <c r="V138" i="71" s="1"/>
  <c r="U138" i="71" a="1"/>
  <c r="U138" i="71" s="1"/>
  <c r="T138" i="71" a="1"/>
  <c r="T138" i="71" s="1"/>
  <c r="S138" i="71" a="1"/>
  <c r="S138" i="71" s="1"/>
  <c r="R138" i="71" a="1"/>
  <c r="R138" i="71" s="1"/>
  <c r="Q138" i="71" a="1"/>
  <c r="Q138" i="71" s="1"/>
  <c r="P138" i="71" a="1"/>
  <c r="P138" i="71" s="1"/>
  <c r="O138" i="71" a="1"/>
  <c r="O138" i="71" s="1"/>
  <c r="N138" i="71" a="1"/>
  <c r="N138" i="71" s="1"/>
  <c r="M138" i="71" a="1"/>
  <c r="M138" i="71" s="1"/>
  <c r="L138" i="71" a="1"/>
  <c r="L138" i="71" s="1"/>
  <c r="K138" i="71" a="1"/>
  <c r="K138" i="71" s="1"/>
  <c r="J138" i="71" a="1"/>
  <c r="J138" i="71" s="1"/>
  <c r="I138" i="71" a="1"/>
  <c r="I138" i="71" s="1"/>
  <c r="H138" i="71" a="1"/>
  <c r="H138" i="71" s="1"/>
  <c r="G138" i="71" a="1"/>
  <c r="G138" i="71" s="1"/>
  <c r="F138" i="71" a="1"/>
  <c r="F138" i="71" s="1"/>
  <c r="E138" i="71" a="1"/>
  <c r="E138" i="71" s="1"/>
  <c r="D138" i="71" a="1"/>
  <c r="D138" i="71" s="1"/>
  <c r="AH137" i="71" a="1"/>
  <c r="AH137" i="71" s="1"/>
  <c r="AG137" i="71" a="1"/>
  <c r="AG137" i="71" s="1"/>
  <c r="AF137" i="71" a="1"/>
  <c r="AF137" i="71" s="1"/>
  <c r="AE137" i="71" a="1"/>
  <c r="AE137" i="71" s="1"/>
  <c r="AD137" i="71" a="1"/>
  <c r="AD137" i="71" s="1"/>
  <c r="AC137" i="71" a="1"/>
  <c r="AC137" i="71" s="1"/>
  <c r="AB137" i="71" a="1"/>
  <c r="AB137" i="71" s="1"/>
  <c r="AA137" i="71" a="1"/>
  <c r="AA137" i="71" s="1"/>
  <c r="Z137" i="71" a="1"/>
  <c r="Z137" i="71" s="1"/>
  <c r="Y137" i="71" a="1"/>
  <c r="Y137" i="71" s="1"/>
  <c r="X137" i="71" a="1"/>
  <c r="X137" i="71" s="1"/>
  <c r="W137" i="71" a="1"/>
  <c r="W137" i="71" s="1"/>
  <c r="V137" i="71" a="1"/>
  <c r="V137" i="71" s="1"/>
  <c r="U137" i="71" a="1"/>
  <c r="U137" i="71" s="1"/>
  <c r="T137" i="71" a="1"/>
  <c r="T137" i="71" s="1"/>
  <c r="S137" i="71" a="1"/>
  <c r="S137" i="71" s="1"/>
  <c r="R137" i="71" a="1"/>
  <c r="R137" i="71" s="1"/>
  <c r="Q137" i="71" a="1"/>
  <c r="Q137" i="71" s="1"/>
  <c r="P137" i="71" a="1"/>
  <c r="P137" i="71" s="1"/>
  <c r="O137" i="71" a="1"/>
  <c r="O137" i="71" s="1"/>
  <c r="N137" i="71" a="1"/>
  <c r="N137" i="71" s="1"/>
  <c r="M137" i="71" a="1"/>
  <c r="M137" i="71" s="1"/>
  <c r="L137" i="71" a="1"/>
  <c r="L137" i="71" s="1"/>
  <c r="K137" i="71" a="1"/>
  <c r="K137" i="71" s="1"/>
  <c r="J137" i="71" a="1"/>
  <c r="J137" i="71" s="1"/>
  <c r="I137" i="71" a="1"/>
  <c r="I137" i="71" s="1"/>
  <c r="H137" i="71" a="1"/>
  <c r="H137" i="71" s="1"/>
  <c r="G137" i="71" a="1"/>
  <c r="G137" i="71" s="1"/>
  <c r="F137" i="71" a="1"/>
  <c r="F137" i="71" s="1"/>
  <c r="E137" i="71" a="1"/>
  <c r="E137" i="71" s="1"/>
  <c r="D137" i="71" a="1"/>
  <c r="D137" i="71" s="1"/>
  <c r="AH136" i="71" a="1"/>
  <c r="AH136" i="71" s="1"/>
  <c r="AG136" i="71" a="1"/>
  <c r="AG136" i="71" s="1"/>
  <c r="AF136" i="71" a="1"/>
  <c r="AF136" i="71" s="1"/>
  <c r="AE136" i="71" a="1"/>
  <c r="AE136" i="71" s="1"/>
  <c r="AD136" i="71" a="1"/>
  <c r="AD136" i="71" s="1"/>
  <c r="AC136" i="71" a="1"/>
  <c r="AC136" i="71" s="1"/>
  <c r="AB136" i="71" a="1"/>
  <c r="AB136" i="71" s="1"/>
  <c r="AA136" i="71" a="1"/>
  <c r="AA136" i="71" s="1"/>
  <c r="Z136" i="71" a="1"/>
  <c r="Z136" i="71" s="1"/>
  <c r="Y136" i="71" a="1"/>
  <c r="Y136" i="71" s="1"/>
  <c r="X136" i="71" a="1"/>
  <c r="X136" i="71" s="1"/>
  <c r="W136" i="71" a="1"/>
  <c r="W136" i="71" s="1"/>
  <c r="V136" i="71" a="1"/>
  <c r="V136" i="71" s="1"/>
  <c r="U136" i="71" a="1"/>
  <c r="U136" i="71" s="1"/>
  <c r="T136" i="71" a="1"/>
  <c r="T136" i="71" s="1"/>
  <c r="S136" i="71" a="1"/>
  <c r="S136" i="71" s="1"/>
  <c r="R136" i="71" a="1"/>
  <c r="R136" i="71" s="1"/>
  <c r="Q136" i="71" a="1"/>
  <c r="Q136" i="71" s="1"/>
  <c r="P136" i="71" a="1"/>
  <c r="P136" i="71" s="1"/>
  <c r="O136" i="71" a="1"/>
  <c r="O136" i="71" s="1"/>
  <c r="N136" i="71" a="1"/>
  <c r="N136" i="71" s="1"/>
  <c r="M136" i="71" a="1"/>
  <c r="M136" i="71" s="1"/>
  <c r="L136" i="71" a="1"/>
  <c r="L136" i="71" s="1"/>
  <c r="K136" i="71" a="1"/>
  <c r="K136" i="71" s="1"/>
  <c r="J136" i="71" a="1"/>
  <c r="J136" i="71" s="1"/>
  <c r="I136" i="71" a="1"/>
  <c r="I136" i="71" s="1"/>
  <c r="H136" i="71" a="1"/>
  <c r="H136" i="71" s="1"/>
  <c r="G136" i="71" a="1"/>
  <c r="G136" i="71" s="1"/>
  <c r="F136" i="71" a="1"/>
  <c r="F136" i="71" s="1"/>
  <c r="E136" i="71" a="1"/>
  <c r="E136" i="71" s="1"/>
  <c r="D136" i="71" a="1"/>
  <c r="D136" i="71" s="1"/>
  <c r="AH135" i="71" a="1"/>
  <c r="AH135" i="71" s="1"/>
  <c r="AG135" i="71" a="1"/>
  <c r="AG135" i="71" s="1"/>
  <c r="AF135" i="71" a="1"/>
  <c r="AF135" i="71" s="1"/>
  <c r="AE135" i="71" a="1"/>
  <c r="AE135" i="71" s="1"/>
  <c r="AD135" i="71" a="1"/>
  <c r="AD135" i="71" s="1"/>
  <c r="AC135" i="71" a="1"/>
  <c r="AC135" i="71" s="1"/>
  <c r="AB135" i="71" a="1"/>
  <c r="AB135" i="71" s="1"/>
  <c r="AA135" i="71" a="1"/>
  <c r="AA135" i="71" s="1"/>
  <c r="Z135" i="71" a="1"/>
  <c r="Z135" i="71" s="1"/>
  <c r="Y135" i="71" a="1"/>
  <c r="Y135" i="71" s="1"/>
  <c r="X135" i="71" a="1"/>
  <c r="X135" i="71" s="1"/>
  <c r="W135" i="71" a="1"/>
  <c r="W135" i="71" s="1"/>
  <c r="V135" i="71" a="1"/>
  <c r="V135" i="71" s="1"/>
  <c r="U135" i="71" a="1"/>
  <c r="U135" i="71" s="1"/>
  <c r="T135" i="71" a="1"/>
  <c r="T135" i="71" s="1"/>
  <c r="S135" i="71" a="1"/>
  <c r="S135" i="71" s="1"/>
  <c r="R135" i="71" a="1"/>
  <c r="R135" i="71" s="1"/>
  <c r="Q135" i="71" a="1"/>
  <c r="Q135" i="71" s="1"/>
  <c r="P135" i="71" a="1"/>
  <c r="P135" i="71" s="1"/>
  <c r="O135" i="71" a="1"/>
  <c r="O135" i="71" s="1"/>
  <c r="N135" i="71" a="1"/>
  <c r="N135" i="71" s="1"/>
  <c r="M135" i="71" a="1"/>
  <c r="M135" i="71" s="1"/>
  <c r="L135" i="71" a="1"/>
  <c r="L135" i="71" s="1"/>
  <c r="K135" i="71" a="1"/>
  <c r="K135" i="71" s="1"/>
  <c r="J135" i="71" a="1"/>
  <c r="J135" i="71" s="1"/>
  <c r="I135" i="71" a="1"/>
  <c r="I135" i="71" s="1"/>
  <c r="H135" i="71" a="1"/>
  <c r="H135" i="71" s="1"/>
  <c r="G135" i="71" a="1"/>
  <c r="G135" i="71" s="1"/>
  <c r="F135" i="71" a="1"/>
  <c r="F135" i="71" s="1"/>
  <c r="E135" i="71" a="1"/>
  <c r="E135" i="71" s="1"/>
  <c r="D135" i="71" a="1"/>
  <c r="D135" i="71" s="1"/>
  <c r="AH134" i="71" a="1"/>
  <c r="AH134" i="71" s="1"/>
  <c r="AG134" i="71" a="1"/>
  <c r="AG134" i="71" s="1"/>
  <c r="AF134" i="71" a="1"/>
  <c r="AF134" i="71" s="1"/>
  <c r="AE134" i="71" a="1"/>
  <c r="AE134" i="71" s="1"/>
  <c r="AD134" i="71" a="1"/>
  <c r="AD134" i="71" s="1"/>
  <c r="AC134" i="71" a="1"/>
  <c r="AC134" i="71" s="1"/>
  <c r="AB134" i="71" a="1"/>
  <c r="AB134" i="71" s="1"/>
  <c r="AA134" i="71" a="1"/>
  <c r="AA134" i="71" s="1"/>
  <c r="Z134" i="71" a="1"/>
  <c r="Z134" i="71" s="1"/>
  <c r="Y134" i="71" a="1"/>
  <c r="Y134" i="71" s="1"/>
  <c r="X134" i="71" a="1"/>
  <c r="X134" i="71" s="1"/>
  <c r="W134" i="71" a="1"/>
  <c r="W134" i="71" s="1"/>
  <c r="V134" i="71" a="1"/>
  <c r="V134" i="71" s="1"/>
  <c r="U134" i="71" a="1"/>
  <c r="U134" i="71" s="1"/>
  <c r="T134" i="71" a="1"/>
  <c r="T134" i="71" s="1"/>
  <c r="S134" i="71" a="1"/>
  <c r="S134" i="71" s="1"/>
  <c r="R134" i="71" a="1"/>
  <c r="R134" i="71" s="1"/>
  <c r="Q134" i="71" a="1"/>
  <c r="Q134" i="71" s="1"/>
  <c r="P134" i="71" a="1"/>
  <c r="P134" i="71" s="1"/>
  <c r="O134" i="71" a="1"/>
  <c r="O134" i="71" s="1"/>
  <c r="N134" i="71" a="1"/>
  <c r="N134" i="71" s="1"/>
  <c r="M134" i="71" a="1"/>
  <c r="M134" i="71" s="1"/>
  <c r="L134" i="71" a="1"/>
  <c r="L134" i="71" s="1"/>
  <c r="K134" i="71" a="1"/>
  <c r="K134" i="71" s="1"/>
  <c r="J134" i="71" a="1"/>
  <c r="J134" i="71" s="1"/>
  <c r="I134" i="71" a="1"/>
  <c r="I134" i="71" s="1"/>
  <c r="H134" i="71" a="1"/>
  <c r="H134" i="71" s="1"/>
  <c r="G134" i="71" a="1"/>
  <c r="G134" i="71" s="1"/>
  <c r="F134" i="71" a="1"/>
  <c r="F134" i="71" s="1"/>
  <c r="E134" i="71" a="1"/>
  <c r="E134" i="71" s="1"/>
  <c r="D134" i="71" a="1"/>
  <c r="D134" i="71" s="1"/>
  <c r="AH133" i="71" a="1"/>
  <c r="AH133" i="71" s="1"/>
  <c r="AG133" i="71" a="1"/>
  <c r="AG133" i="71" s="1"/>
  <c r="AF133" i="71" a="1"/>
  <c r="AF133" i="71" s="1"/>
  <c r="AE133" i="71" a="1"/>
  <c r="AE133" i="71" s="1"/>
  <c r="AD133" i="71" a="1"/>
  <c r="AD133" i="71" s="1"/>
  <c r="AC133" i="71" a="1"/>
  <c r="AC133" i="71" s="1"/>
  <c r="AB133" i="71" a="1"/>
  <c r="AB133" i="71" s="1"/>
  <c r="AA133" i="71" a="1"/>
  <c r="AA133" i="71" s="1"/>
  <c r="Z133" i="71" a="1"/>
  <c r="Z133" i="71" s="1"/>
  <c r="Y133" i="71" a="1"/>
  <c r="Y133" i="71" s="1"/>
  <c r="X133" i="71" a="1"/>
  <c r="X133" i="71" s="1"/>
  <c r="W133" i="71" a="1"/>
  <c r="W133" i="71" s="1"/>
  <c r="V133" i="71" a="1"/>
  <c r="V133" i="71" s="1"/>
  <c r="U133" i="71" a="1"/>
  <c r="U133" i="71" s="1"/>
  <c r="T133" i="71" a="1"/>
  <c r="T133" i="71" s="1"/>
  <c r="S133" i="71" a="1"/>
  <c r="S133" i="71" s="1"/>
  <c r="R133" i="71" a="1"/>
  <c r="R133" i="71" s="1"/>
  <c r="Q133" i="71" a="1"/>
  <c r="Q133" i="71" s="1"/>
  <c r="P133" i="71" a="1"/>
  <c r="P133" i="71" s="1"/>
  <c r="O133" i="71" a="1"/>
  <c r="O133" i="71" s="1"/>
  <c r="N133" i="71" a="1"/>
  <c r="N133" i="71" s="1"/>
  <c r="M133" i="71" a="1"/>
  <c r="M133" i="71" s="1"/>
  <c r="L133" i="71" a="1"/>
  <c r="L133" i="71" s="1"/>
  <c r="K133" i="71" a="1"/>
  <c r="K133" i="71" s="1"/>
  <c r="J133" i="71" a="1"/>
  <c r="J133" i="71" s="1"/>
  <c r="I133" i="71" a="1"/>
  <c r="I133" i="71" s="1"/>
  <c r="H133" i="71" a="1"/>
  <c r="H133" i="71" s="1"/>
  <c r="G133" i="71" a="1"/>
  <c r="G133" i="71" s="1"/>
  <c r="F133" i="71" a="1"/>
  <c r="F133" i="71" s="1"/>
  <c r="E133" i="71" a="1"/>
  <c r="E133" i="71" s="1"/>
  <c r="D133" i="71" a="1"/>
  <c r="D133" i="71" s="1"/>
  <c r="AH132" i="71" a="1"/>
  <c r="AH132" i="71" s="1"/>
  <c r="AG132" i="71" a="1"/>
  <c r="AG132" i="71" s="1"/>
  <c r="AF132" i="71" a="1"/>
  <c r="AF132" i="71" s="1"/>
  <c r="AE132" i="71" a="1"/>
  <c r="AE132" i="71" s="1"/>
  <c r="AD132" i="71" a="1"/>
  <c r="AD132" i="71" s="1"/>
  <c r="AC132" i="71" a="1"/>
  <c r="AC132" i="71" s="1"/>
  <c r="AB132" i="71" a="1"/>
  <c r="AB132" i="71" s="1"/>
  <c r="AA132" i="71" a="1"/>
  <c r="AA132" i="71" s="1"/>
  <c r="Z132" i="71" a="1"/>
  <c r="Z132" i="71" s="1"/>
  <c r="Y132" i="71" a="1"/>
  <c r="Y132" i="71" s="1"/>
  <c r="X132" i="71" a="1"/>
  <c r="X132" i="71" s="1"/>
  <c r="W132" i="71" a="1"/>
  <c r="W132" i="71" s="1"/>
  <c r="V132" i="71" a="1"/>
  <c r="V132" i="71" s="1"/>
  <c r="U132" i="71" a="1"/>
  <c r="U132" i="71" s="1"/>
  <c r="T132" i="71" a="1"/>
  <c r="T132" i="71" s="1"/>
  <c r="S132" i="71" a="1"/>
  <c r="S132" i="71" s="1"/>
  <c r="R132" i="71" a="1"/>
  <c r="R132" i="71" s="1"/>
  <c r="Q132" i="71" a="1"/>
  <c r="Q132" i="71" s="1"/>
  <c r="P132" i="71" a="1"/>
  <c r="P132" i="71" s="1"/>
  <c r="O132" i="71" a="1"/>
  <c r="O132" i="71" s="1"/>
  <c r="N132" i="71" a="1"/>
  <c r="N132" i="71" s="1"/>
  <c r="M132" i="71" a="1"/>
  <c r="M132" i="71" s="1"/>
  <c r="L132" i="71" a="1"/>
  <c r="L132" i="71" s="1"/>
  <c r="K132" i="71" a="1"/>
  <c r="K132" i="71" s="1"/>
  <c r="J132" i="71" a="1"/>
  <c r="J132" i="71" s="1"/>
  <c r="I132" i="71" a="1"/>
  <c r="I132" i="71" s="1"/>
  <c r="H132" i="71" a="1"/>
  <c r="H132" i="71" s="1"/>
  <c r="G132" i="71" a="1"/>
  <c r="G132" i="71" s="1"/>
  <c r="F132" i="71" a="1"/>
  <c r="F132" i="71" s="1"/>
  <c r="E132" i="71" a="1"/>
  <c r="E132" i="71" s="1"/>
  <c r="D132" i="71" a="1"/>
  <c r="D132" i="71" s="1"/>
  <c r="AH131" i="71" a="1"/>
  <c r="AH131" i="71" s="1"/>
  <c r="AG131" i="71" a="1"/>
  <c r="AG131" i="71" s="1"/>
  <c r="AF131" i="71" a="1"/>
  <c r="AF131" i="71" s="1"/>
  <c r="AE131" i="71" a="1"/>
  <c r="AE131" i="71" s="1"/>
  <c r="AD131" i="71" a="1"/>
  <c r="AD131" i="71" s="1"/>
  <c r="AC131" i="71" a="1"/>
  <c r="AC131" i="71" s="1"/>
  <c r="AB131" i="71" a="1"/>
  <c r="AB131" i="71" s="1"/>
  <c r="AA131" i="71" a="1"/>
  <c r="AA131" i="71" s="1"/>
  <c r="Z131" i="71" a="1"/>
  <c r="Z131" i="71" s="1"/>
  <c r="Y131" i="71" a="1"/>
  <c r="Y131" i="71" s="1"/>
  <c r="X131" i="71" a="1"/>
  <c r="X131" i="71" s="1"/>
  <c r="W131" i="71" a="1"/>
  <c r="W131" i="71" s="1"/>
  <c r="V131" i="71" a="1"/>
  <c r="V131" i="71" s="1"/>
  <c r="U131" i="71" a="1"/>
  <c r="U131" i="71" s="1"/>
  <c r="T131" i="71" a="1"/>
  <c r="T131" i="71" s="1"/>
  <c r="S131" i="71" a="1"/>
  <c r="S131" i="71" s="1"/>
  <c r="R131" i="71" a="1"/>
  <c r="R131" i="71" s="1"/>
  <c r="Q131" i="71" a="1"/>
  <c r="Q131" i="71" s="1"/>
  <c r="P131" i="71" a="1"/>
  <c r="P131" i="71" s="1"/>
  <c r="O131" i="71" a="1"/>
  <c r="O131" i="71" s="1"/>
  <c r="N131" i="71" a="1"/>
  <c r="N131" i="71" s="1"/>
  <c r="M131" i="71" a="1"/>
  <c r="M131" i="71" s="1"/>
  <c r="L131" i="71" a="1"/>
  <c r="L131" i="71" s="1"/>
  <c r="K131" i="71" a="1"/>
  <c r="K131" i="71" s="1"/>
  <c r="J131" i="71" a="1"/>
  <c r="J131" i="71" s="1"/>
  <c r="I131" i="71" a="1"/>
  <c r="I131" i="71" s="1"/>
  <c r="H131" i="71" a="1"/>
  <c r="H131" i="71" s="1"/>
  <c r="G131" i="71" a="1"/>
  <c r="G131" i="71" s="1"/>
  <c r="F131" i="71" a="1"/>
  <c r="F131" i="71" s="1"/>
  <c r="E131" i="71" a="1"/>
  <c r="E131" i="71" s="1"/>
  <c r="D131" i="71" a="1"/>
  <c r="D131" i="71" s="1"/>
  <c r="AH130" i="71" a="1"/>
  <c r="AH130" i="71" s="1"/>
  <c r="AG130" i="71" a="1"/>
  <c r="AG130" i="71" s="1"/>
  <c r="AF130" i="71" a="1"/>
  <c r="AF130" i="71" s="1"/>
  <c r="AE130" i="71" a="1"/>
  <c r="AE130" i="71" s="1"/>
  <c r="AD130" i="71" a="1"/>
  <c r="AD130" i="71" s="1"/>
  <c r="AC130" i="71" a="1"/>
  <c r="AC130" i="71" s="1"/>
  <c r="AB130" i="71" a="1"/>
  <c r="AB130" i="71" s="1"/>
  <c r="AA130" i="71" a="1"/>
  <c r="AA130" i="71" s="1"/>
  <c r="Z130" i="71" a="1"/>
  <c r="Z130" i="71" s="1"/>
  <c r="Y130" i="71" a="1"/>
  <c r="Y130" i="71" s="1"/>
  <c r="X130" i="71" a="1"/>
  <c r="X130" i="71" s="1"/>
  <c r="W130" i="71" a="1"/>
  <c r="W130" i="71" s="1"/>
  <c r="V130" i="71" a="1"/>
  <c r="V130" i="71" s="1"/>
  <c r="U130" i="71" a="1"/>
  <c r="U130" i="71" s="1"/>
  <c r="T130" i="71" a="1"/>
  <c r="T130" i="71" s="1"/>
  <c r="S130" i="71" a="1"/>
  <c r="S130" i="71" s="1"/>
  <c r="R130" i="71" a="1"/>
  <c r="R130" i="71" s="1"/>
  <c r="Q130" i="71" a="1"/>
  <c r="Q130" i="71" s="1"/>
  <c r="P130" i="71" a="1"/>
  <c r="P130" i="71" s="1"/>
  <c r="O130" i="71" a="1"/>
  <c r="O130" i="71" s="1"/>
  <c r="N130" i="71" a="1"/>
  <c r="N130" i="71" s="1"/>
  <c r="M130" i="71" a="1"/>
  <c r="M130" i="71" s="1"/>
  <c r="L130" i="71" a="1"/>
  <c r="L130" i="71" s="1"/>
  <c r="K130" i="71" a="1"/>
  <c r="K130" i="71" s="1"/>
  <c r="J130" i="71" a="1"/>
  <c r="J130" i="71" s="1"/>
  <c r="I130" i="71" a="1"/>
  <c r="I130" i="71" s="1"/>
  <c r="H130" i="71" a="1"/>
  <c r="H130" i="71" s="1"/>
  <c r="G130" i="71" a="1"/>
  <c r="G130" i="71" s="1"/>
  <c r="F130" i="71" a="1"/>
  <c r="F130" i="71" s="1"/>
  <c r="E130" i="71" a="1"/>
  <c r="E130" i="71" s="1"/>
  <c r="D130" i="71" a="1"/>
  <c r="D130" i="71" s="1"/>
  <c r="AH129" i="71" a="1"/>
  <c r="AH129" i="71" s="1"/>
  <c r="AG129" i="71" a="1"/>
  <c r="AG129" i="71" s="1"/>
  <c r="AF129" i="71" a="1"/>
  <c r="AF129" i="71" s="1"/>
  <c r="AE129" i="71" a="1"/>
  <c r="AE129" i="71" s="1"/>
  <c r="AD129" i="71" a="1"/>
  <c r="AD129" i="71" s="1"/>
  <c r="AC129" i="71" a="1"/>
  <c r="AC129" i="71" s="1"/>
  <c r="AB129" i="71" a="1"/>
  <c r="AB129" i="71" s="1"/>
  <c r="AA129" i="71" a="1"/>
  <c r="AA129" i="71" s="1"/>
  <c r="Z129" i="71" a="1"/>
  <c r="Z129" i="71" s="1"/>
  <c r="Y129" i="71" a="1"/>
  <c r="Y129" i="71" s="1"/>
  <c r="X129" i="71" a="1"/>
  <c r="X129" i="71" s="1"/>
  <c r="W129" i="71" a="1"/>
  <c r="W129" i="71" s="1"/>
  <c r="V129" i="71" a="1"/>
  <c r="V129" i="71" s="1"/>
  <c r="U129" i="71" a="1"/>
  <c r="U129" i="71" s="1"/>
  <c r="T129" i="71" a="1"/>
  <c r="T129" i="71" s="1"/>
  <c r="S129" i="71" a="1"/>
  <c r="S129" i="71" s="1"/>
  <c r="R129" i="71" a="1"/>
  <c r="R129" i="71" s="1"/>
  <c r="Q129" i="71" a="1"/>
  <c r="Q129" i="71" s="1"/>
  <c r="P129" i="71" a="1"/>
  <c r="P129" i="71" s="1"/>
  <c r="O129" i="71" a="1"/>
  <c r="O129" i="71" s="1"/>
  <c r="N129" i="71" a="1"/>
  <c r="N129" i="71" s="1"/>
  <c r="M129" i="71" a="1"/>
  <c r="M129" i="71" s="1"/>
  <c r="L129" i="71" a="1"/>
  <c r="L129" i="71" s="1"/>
  <c r="K129" i="71" a="1"/>
  <c r="K129" i="71" s="1"/>
  <c r="J129" i="71" a="1"/>
  <c r="J129" i="71" s="1"/>
  <c r="I129" i="71" a="1"/>
  <c r="I129" i="71" s="1"/>
  <c r="H129" i="71" a="1"/>
  <c r="H129" i="71" s="1"/>
  <c r="G129" i="71" a="1"/>
  <c r="G129" i="71" s="1"/>
  <c r="F129" i="71" a="1"/>
  <c r="F129" i="71" s="1"/>
  <c r="E129" i="71" a="1"/>
  <c r="E129" i="71" s="1"/>
  <c r="D129" i="71" a="1"/>
  <c r="D129" i="71" s="1"/>
  <c r="AH128" i="71" a="1"/>
  <c r="AH128" i="71" s="1"/>
  <c r="AG128" i="71" a="1"/>
  <c r="AG128" i="71" s="1"/>
  <c r="AF128" i="71" a="1"/>
  <c r="AF128" i="71" s="1"/>
  <c r="AE128" i="71" a="1"/>
  <c r="AE128" i="71" s="1"/>
  <c r="AD128" i="71" a="1"/>
  <c r="AD128" i="71" s="1"/>
  <c r="AC128" i="71" a="1"/>
  <c r="AC128" i="71" s="1"/>
  <c r="AB128" i="71" a="1"/>
  <c r="AB128" i="71" s="1"/>
  <c r="AA128" i="71" a="1"/>
  <c r="AA128" i="71" s="1"/>
  <c r="Z128" i="71" a="1"/>
  <c r="Z128" i="71" s="1"/>
  <c r="Y128" i="71" a="1"/>
  <c r="Y128" i="71" s="1"/>
  <c r="X128" i="71" a="1"/>
  <c r="X128" i="71" s="1"/>
  <c r="W128" i="71" a="1"/>
  <c r="W128" i="71" s="1"/>
  <c r="V128" i="71" a="1"/>
  <c r="V128" i="71" s="1"/>
  <c r="U128" i="71" a="1"/>
  <c r="U128" i="71" s="1"/>
  <c r="T128" i="71" a="1"/>
  <c r="T128" i="71" s="1"/>
  <c r="S128" i="71" a="1"/>
  <c r="S128" i="71" s="1"/>
  <c r="R128" i="71" a="1"/>
  <c r="R128" i="71" s="1"/>
  <c r="Q128" i="71" a="1"/>
  <c r="Q128" i="71" s="1"/>
  <c r="P128" i="71" a="1"/>
  <c r="P128" i="71" s="1"/>
  <c r="O128" i="71" a="1"/>
  <c r="O128" i="71" s="1"/>
  <c r="N128" i="71" a="1"/>
  <c r="N128" i="71" s="1"/>
  <c r="M128" i="71" a="1"/>
  <c r="M128" i="71" s="1"/>
  <c r="L128" i="71" a="1"/>
  <c r="L128" i="71" s="1"/>
  <c r="K128" i="71" a="1"/>
  <c r="K128" i="71" s="1"/>
  <c r="J128" i="71" a="1"/>
  <c r="J128" i="71" s="1"/>
  <c r="I128" i="71" a="1"/>
  <c r="I128" i="71" s="1"/>
  <c r="H128" i="71" a="1"/>
  <c r="H128" i="71" s="1"/>
  <c r="G128" i="71" a="1"/>
  <c r="G128" i="71" s="1"/>
  <c r="F128" i="71" a="1"/>
  <c r="F128" i="71" s="1"/>
  <c r="E128" i="71" a="1"/>
  <c r="E128" i="71" s="1"/>
  <c r="D128" i="71" a="1"/>
  <c r="D128" i="71" s="1"/>
  <c r="AH127" i="71" a="1"/>
  <c r="AH127" i="71" s="1"/>
  <c r="AG127" i="71" a="1"/>
  <c r="AG127" i="71" s="1"/>
  <c r="AF127" i="71" a="1"/>
  <c r="AF127" i="71" s="1"/>
  <c r="AE127" i="71" a="1"/>
  <c r="AE127" i="71" s="1"/>
  <c r="AD127" i="71" a="1"/>
  <c r="AD127" i="71" s="1"/>
  <c r="AC127" i="71" a="1"/>
  <c r="AC127" i="71" s="1"/>
  <c r="AB127" i="71" a="1"/>
  <c r="AB127" i="71" s="1"/>
  <c r="AA127" i="71" a="1"/>
  <c r="AA127" i="71" s="1"/>
  <c r="Z127" i="71" a="1"/>
  <c r="Z127" i="71" s="1"/>
  <c r="Y127" i="71" a="1"/>
  <c r="Y127" i="71" s="1"/>
  <c r="X127" i="71" a="1"/>
  <c r="X127" i="71" s="1"/>
  <c r="W127" i="71" a="1"/>
  <c r="W127" i="71" s="1"/>
  <c r="V127" i="71" a="1"/>
  <c r="V127" i="71" s="1"/>
  <c r="U127" i="71" a="1"/>
  <c r="U127" i="71" s="1"/>
  <c r="T127" i="71" a="1"/>
  <c r="T127" i="71" s="1"/>
  <c r="S127" i="71" a="1"/>
  <c r="S127" i="71" s="1"/>
  <c r="R127" i="71" a="1"/>
  <c r="R127" i="71" s="1"/>
  <c r="Q127" i="71" a="1"/>
  <c r="Q127" i="71" s="1"/>
  <c r="P127" i="71" a="1"/>
  <c r="P127" i="71" s="1"/>
  <c r="O127" i="71" a="1"/>
  <c r="O127" i="71" s="1"/>
  <c r="N127" i="71" a="1"/>
  <c r="N127" i="71" s="1"/>
  <c r="M127" i="71" a="1"/>
  <c r="M127" i="71" s="1"/>
  <c r="L127" i="71" a="1"/>
  <c r="L127" i="71" s="1"/>
  <c r="K127" i="71" a="1"/>
  <c r="K127" i="71" s="1"/>
  <c r="J127" i="71" a="1"/>
  <c r="J127" i="71" s="1"/>
  <c r="I127" i="71" a="1"/>
  <c r="I127" i="71" s="1"/>
  <c r="H127" i="71" a="1"/>
  <c r="H127" i="71" s="1"/>
  <c r="G127" i="71" a="1"/>
  <c r="G127" i="71" s="1"/>
  <c r="F127" i="71" a="1"/>
  <c r="F127" i="71" s="1"/>
  <c r="E127" i="71" a="1"/>
  <c r="E127" i="71" s="1"/>
  <c r="D127" i="71" a="1"/>
  <c r="D127" i="71" s="1"/>
  <c r="AH126" i="71" a="1"/>
  <c r="AH126" i="71" s="1"/>
  <c r="AG126" i="71" a="1"/>
  <c r="AG126" i="71" s="1"/>
  <c r="AF126" i="71" a="1"/>
  <c r="AF126" i="71" s="1"/>
  <c r="AE126" i="71" a="1"/>
  <c r="AE126" i="71" s="1"/>
  <c r="AD126" i="71" a="1"/>
  <c r="AD126" i="71" s="1"/>
  <c r="AC126" i="71" a="1"/>
  <c r="AC126" i="71" s="1"/>
  <c r="AB126" i="71" a="1"/>
  <c r="AB126" i="71" s="1"/>
  <c r="AA126" i="71" a="1"/>
  <c r="AA126" i="71" s="1"/>
  <c r="Z126" i="71" a="1"/>
  <c r="Z126" i="71" s="1"/>
  <c r="Y126" i="71" a="1"/>
  <c r="Y126" i="71" s="1"/>
  <c r="X126" i="71" a="1"/>
  <c r="X126" i="71" s="1"/>
  <c r="W126" i="71" a="1"/>
  <c r="W126" i="71" s="1"/>
  <c r="V126" i="71" a="1"/>
  <c r="V126" i="71" s="1"/>
  <c r="U126" i="71" a="1"/>
  <c r="U126" i="71" s="1"/>
  <c r="T126" i="71" a="1"/>
  <c r="T126" i="71" s="1"/>
  <c r="S126" i="71" a="1"/>
  <c r="S126" i="71" s="1"/>
  <c r="R126" i="71" a="1"/>
  <c r="R126" i="71" s="1"/>
  <c r="Q126" i="71" a="1"/>
  <c r="Q126" i="71" s="1"/>
  <c r="P126" i="71" a="1"/>
  <c r="P126" i="71" s="1"/>
  <c r="O126" i="71" a="1"/>
  <c r="O126" i="71" s="1"/>
  <c r="N126" i="71" a="1"/>
  <c r="N126" i="71" s="1"/>
  <c r="M126" i="71" a="1"/>
  <c r="M126" i="71" s="1"/>
  <c r="L126" i="71" a="1"/>
  <c r="L126" i="71" s="1"/>
  <c r="K126" i="71" a="1"/>
  <c r="K126" i="71" s="1"/>
  <c r="J126" i="71" a="1"/>
  <c r="J126" i="71" s="1"/>
  <c r="I126" i="71" a="1"/>
  <c r="I126" i="71" s="1"/>
  <c r="H126" i="71" a="1"/>
  <c r="H126" i="71" s="1"/>
  <c r="G126" i="71" a="1"/>
  <c r="G126" i="71" s="1"/>
  <c r="F126" i="71" a="1"/>
  <c r="F126" i="71" s="1"/>
  <c r="E126" i="71" a="1"/>
  <c r="E126" i="71" s="1"/>
  <c r="D126" i="71" a="1"/>
  <c r="D126" i="71" s="1"/>
  <c r="AH125" i="71" a="1"/>
  <c r="AH125" i="71" s="1"/>
  <c r="AG125" i="71" a="1"/>
  <c r="AG125" i="71" s="1"/>
  <c r="AF125" i="71" a="1"/>
  <c r="AF125" i="71" s="1"/>
  <c r="AE125" i="71" a="1"/>
  <c r="AE125" i="71" s="1"/>
  <c r="AD125" i="71" a="1"/>
  <c r="AD125" i="71" s="1"/>
  <c r="AC125" i="71" a="1"/>
  <c r="AC125" i="71" s="1"/>
  <c r="AB125" i="71" a="1"/>
  <c r="AB125" i="71" s="1"/>
  <c r="AA125" i="71" a="1"/>
  <c r="AA125" i="71" s="1"/>
  <c r="Z125" i="71" a="1"/>
  <c r="Z125" i="71" s="1"/>
  <c r="Y125" i="71" a="1"/>
  <c r="Y125" i="71" s="1"/>
  <c r="X125" i="71" a="1"/>
  <c r="X125" i="71" s="1"/>
  <c r="W125" i="71" a="1"/>
  <c r="W125" i="71" s="1"/>
  <c r="V125" i="71" a="1"/>
  <c r="V125" i="71" s="1"/>
  <c r="U125" i="71" a="1"/>
  <c r="U125" i="71" s="1"/>
  <c r="T125" i="71" a="1"/>
  <c r="T125" i="71" s="1"/>
  <c r="S125" i="71" a="1"/>
  <c r="S125" i="71" s="1"/>
  <c r="R125" i="71" a="1"/>
  <c r="R125" i="71" s="1"/>
  <c r="Q125" i="71" a="1"/>
  <c r="Q125" i="71" s="1"/>
  <c r="P125" i="71" a="1"/>
  <c r="P125" i="71" s="1"/>
  <c r="O125" i="71" a="1"/>
  <c r="O125" i="71" s="1"/>
  <c r="N125" i="71" a="1"/>
  <c r="N125" i="71" s="1"/>
  <c r="M125" i="71" a="1"/>
  <c r="M125" i="71" s="1"/>
  <c r="L125" i="71" a="1"/>
  <c r="L125" i="71" s="1"/>
  <c r="K125" i="71" a="1"/>
  <c r="K125" i="71" s="1"/>
  <c r="J125" i="71" a="1"/>
  <c r="J125" i="71" s="1"/>
  <c r="I125" i="71" a="1"/>
  <c r="I125" i="71" s="1"/>
  <c r="H125" i="71" a="1"/>
  <c r="H125" i="71" s="1"/>
  <c r="G125" i="71" a="1"/>
  <c r="G125" i="71" s="1"/>
  <c r="F125" i="71" a="1"/>
  <c r="F125" i="71" s="1"/>
  <c r="E125" i="71" a="1"/>
  <c r="E125" i="71" s="1"/>
  <c r="D125" i="71" a="1"/>
  <c r="D125" i="71" s="1"/>
  <c r="AH124" i="71" a="1"/>
  <c r="AH124" i="71" s="1"/>
  <c r="AG124" i="71" a="1"/>
  <c r="AG124" i="71" s="1"/>
  <c r="AF124" i="71" a="1"/>
  <c r="AF124" i="71" s="1"/>
  <c r="AE124" i="71" a="1"/>
  <c r="AE124" i="71" s="1"/>
  <c r="AD124" i="71" a="1"/>
  <c r="AD124" i="71" s="1"/>
  <c r="AC124" i="71" a="1"/>
  <c r="AC124" i="71" s="1"/>
  <c r="AB124" i="71" a="1"/>
  <c r="AB124" i="71" s="1"/>
  <c r="AA124" i="71" a="1"/>
  <c r="AA124" i="71" s="1"/>
  <c r="Z124" i="71" a="1"/>
  <c r="Z124" i="71" s="1"/>
  <c r="Y124" i="71" a="1"/>
  <c r="Y124" i="71" s="1"/>
  <c r="X124" i="71" a="1"/>
  <c r="X124" i="71" s="1"/>
  <c r="W124" i="71" a="1"/>
  <c r="W124" i="71" s="1"/>
  <c r="V124" i="71" a="1"/>
  <c r="V124" i="71" s="1"/>
  <c r="U124" i="71" a="1"/>
  <c r="U124" i="71" s="1"/>
  <c r="T124" i="71" a="1"/>
  <c r="T124" i="71" s="1"/>
  <c r="S124" i="71" a="1"/>
  <c r="S124" i="71" s="1"/>
  <c r="R124" i="71" a="1"/>
  <c r="R124" i="71" s="1"/>
  <c r="Q124" i="71" a="1"/>
  <c r="Q124" i="71" s="1"/>
  <c r="P124" i="71" a="1"/>
  <c r="P124" i="71" s="1"/>
  <c r="O124" i="71" a="1"/>
  <c r="O124" i="71" s="1"/>
  <c r="N124" i="71" a="1"/>
  <c r="N124" i="71" s="1"/>
  <c r="M124" i="71" a="1"/>
  <c r="M124" i="71" s="1"/>
  <c r="L124" i="71" a="1"/>
  <c r="L124" i="71" s="1"/>
  <c r="K124" i="71" a="1"/>
  <c r="K124" i="71" s="1"/>
  <c r="J124" i="71" a="1"/>
  <c r="J124" i="71" s="1"/>
  <c r="I124" i="71" a="1"/>
  <c r="I124" i="71" s="1"/>
  <c r="H124" i="71" a="1"/>
  <c r="H124" i="71" s="1"/>
  <c r="G124" i="71" a="1"/>
  <c r="G124" i="71" s="1"/>
  <c r="F124" i="71" a="1"/>
  <c r="F124" i="71" s="1"/>
  <c r="E124" i="71" a="1"/>
  <c r="E124" i="71" s="1"/>
  <c r="D124" i="71" a="1"/>
  <c r="D124" i="71" s="1"/>
  <c r="AH123" i="71" a="1"/>
  <c r="AH123" i="71" s="1"/>
  <c r="AG123" i="71" a="1"/>
  <c r="AG123" i="71" s="1"/>
  <c r="AF123" i="71" a="1"/>
  <c r="AF123" i="71" s="1"/>
  <c r="AE123" i="71" a="1"/>
  <c r="AE123" i="71" s="1"/>
  <c r="AD123" i="71" a="1"/>
  <c r="AD123" i="71" s="1"/>
  <c r="AC123" i="71" a="1"/>
  <c r="AC123" i="71" s="1"/>
  <c r="AB123" i="71" a="1"/>
  <c r="AB123" i="71" s="1"/>
  <c r="AA123" i="71" a="1"/>
  <c r="AA123" i="71" s="1"/>
  <c r="Z123" i="71" a="1"/>
  <c r="Z123" i="71" s="1"/>
  <c r="Y123" i="71" a="1"/>
  <c r="Y123" i="71" s="1"/>
  <c r="X123" i="71" a="1"/>
  <c r="X123" i="71" s="1"/>
  <c r="W123" i="71" a="1"/>
  <c r="W123" i="71" s="1"/>
  <c r="V123" i="71" a="1"/>
  <c r="V123" i="71" s="1"/>
  <c r="U123" i="71" a="1"/>
  <c r="U123" i="71" s="1"/>
  <c r="T123" i="71" a="1"/>
  <c r="T123" i="71" s="1"/>
  <c r="S123" i="71" a="1"/>
  <c r="S123" i="71" s="1"/>
  <c r="R123" i="71" a="1"/>
  <c r="R123" i="71" s="1"/>
  <c r="Q123" i="71" a="1"/>
  <c r="Q123" i="71" s="1"/>
  <c r="P123" i="71" a="1"/>
  <c r="P123" i="71" s="1"/>
  <c r="O123" i="71" a="1"/>
  <c r="O123" i="71" s="1"/>
  <c r="N123" i="71" a="1"/>
  <c r="N123" i="71" s="1"/>
  <c r="M123" i="71" a="1"/>
  <c r="M123" i="71" s="1"/>
  <c r="L123" i="71" a="1"/>
  <c r="L123" i="71" s="1"/>
  <c r="K123" i="71" a="1"/>
  <c r="K123" i="71" s="1"/>
  <c r="J123" i="71" a="1"/>
  <c r="J123" i="71" s="1"/>
  <c r="I123" i="71" a="1"/>
  <c r="I123" i="71" s="1"/>
  <c r="H123" i="71" a="1"/>
  <c r="H123" i="71" s="1"/>
  <c r="G123" i="71" a="1"/>
  <c r="G123" i="71" s="1"/>
  <c r="F123" i="71" a="1"/>
  <c r="F123" i="71" s="1"/>
  <c r="E123" i="71" a="1"/>
  <c r="E123" i="71" s="1"/>
  <c r="D123" i="71" a="1"/>
  <c r="D123" i="71" s="1"/>
  <c r="AH122" i="71" a="1"/>
  <c r="AH122" i="71" s="1"/>
  <c r="AG122" i="71" a="1"/>
  <c r="AG122" i="71" s="1"/>
  <c r="AF122" i="71" a="1"/>
  <c r="AF122" i="71" s="1"/>
  <c r="AE122" i="71" a="1"/>
  <c r="AE122" i="71" s="1"/>
  <c r="AD122" i="71" a="1"/>
  <c r="AD122" i="71" s="1"/>
  <c r="AC122" i="71" a="1"/>
  <c r="AC122" i="71" s="1"/>
  <c r="AB122" i="71" a="1"/>
  <c r="AB122" i="71" s="1"/>
  <c r="AA122" i="71" a="1"/>
  <c r="AA122" i="71" s="1"/>
  <c r="Z122" i="71" a="1"/>
  <c r="Z122" i="71" s="1"/>
  <c r="Y122" i="71" a="1"/>
  <c r="Y122" i="71" s="1"/>
  <c r="X122" i="71" a="1"/>
  <c r="X122" i="71" s="1"/>
  <c r="W122" i="71" a="1"/>
  <c r="W122" i="71" s="1"/>
  <c r="V122" i="71" a="1"/>
  <c r="V122" i="71" s="1"/>
  <c r="U122" i="71" a="1"/>
  <c r="U122" i="71" s="1"/>
  <c r="T122" i="71" a="1"/>
  <c r="T122" i="71" s="1"/>
  <c r="S122" i="71" a="1"/>
  <c r="S122" i="71" s="1"/>
  <c r="R122" i="71" a="1"/>
  <c r="R122" i="71" s="1"/>
  <c r="Q122" i="71" a="1"/>
  <c r="Q122" i="71" s="1"/>
  <c r="P122" i="71" a="1"/>
  <c r="P122" i="71" s="1"/>
  <c r="O122" i="71" a="1"/>
  <c r="O122" i="71" s="1"/>
  <c r="N122" i="71" a="1"/>
  <c r="N122" i="71" s="1"/>
  <c r="M122" i="71" a="1"/>
  <c r="M122" i="71" s="1"/>
  <c r="L122" i="71" a="1"/>
  <c r="L122" i="71" s="1"/>
  <c r="K122" i="71" a="1"/>
  <c r="K122" i="71" s="1"/>
  <c r="J122" i="71" a="1"/>
  <c r="J122" i="71" s="1"/>
  <c r="I122" i="71" a="1"/>
  <c r="I122" i="71" s="1"/>
  <c r="H122" i="71" a="1"/>
  <c r="H122" i="71" s="1"/>
  <c r="G122" i="71" a="1"/>
  <c r="G122" i="71" s="1"/>
  <c r="F122" i="71" a="1"/>
  <c r="F122" i="71" s="1"/>
  <c r="E122" i="71" a="1"/>
  <c r="E122" i="71" s="1"/>
  <c r="D122" i="71" a="1"/>
  <c r="D122" i="71" s="1"/>
  <c r="AH121" i="71" a="1"/>
  <c r="AH121" i="71" s="1"/>
  <c r="AG121" i="71" a="1"/>
  <c r="AG121" i="71" s="1"/>
  <c r="AF121" i="71" a="1"/>
  <c r="AF121" i="71" s="1"/>
  <c r="AE121" i="71" a="1"/>
  <c r="AE121" i="71" s="1"/>
  <c r="AD121" i="71" a="1"/>
  <c r="AD121" i="71" s="1"/>
  <c r="AC121" i="71" a="1"/>
  <c r="AC121" i="71" s="1"/>
  <c r="AB121" i="71" a="1"/>
  <c r="AB121" i="71" s="1"/>
  <c r="AA121" i="71" a="1"/>
  <c r="AA121" i="71" s="1"/>
  <c r="Z121" i="71" a="1"/>
  <c r="Z121" i="71" s="1"/>
  <c r="Y121" i="71" a="1"/>
  <c r="Y121" i="71" s="1"/>
  <c r="X121" i="71" a="1"/>
  <c r="X121" i="71" s="1"/>
  <c r="W121" i="71" a="1"/>
  <c r="W121" i="71" s="1"/>
  <c r="V121" i="71" a="1"/>
  <c r="V121" i="71" s="1"/>
  <c r="U121" i="71" a="1"/>
  <c r="U121" i="71" s="1"/>
  <c r="T121" i="71" a="1"/>
  <c r="T121" i="71" s="1"/>
  <c r="S121" i="71" a="1"/>
  <c r="S121" i="71" s="1"/>
  <c r="R121" i="71" a="1"/>
  <c r="R121" i="71" s="1"/>
  <c r="Q121" i="71" a="1"/>
  <c r="Q121" i="71" s="1"/>
  <c r="P121" i="71" a="1"/>
  <c r="P121" i="71" s="1"/>
  <c r="O121" i="71" a="1"/>
  <c r="O121" i="71" s="1"/>
  <c r="N121" i="71" a="1"/>
  <c r="N121" i="71" s="1"/>
  <c r="M121" i="71" a="1"/>
  <c r="M121" i="71" s="1"/>
  <c r="L121" i="71" a="1"/>
  <c r="L121" i="71" s="1"/>
  <c r="K121" i="71" a="1"/>
  <c r="K121" i="71" s="1"/>
  <c r="J121" i="71" a="1"/>
  <c r="J121" i="71" s="1"/>
  <c r="I121" i="71" a="1"/>
  <c r="I121" i="71" s="1"/>
  <c r="H121" i="71" a="1"/>
  <c r="H121" i="71" s="1"/>
  <c r="G121" i="71" a="1"/>
  <c r="G121" i="71" s="1"/>
  <c r="F121" i="71" a="1"/>
  <c r="F121" i="71" s="1"/>
  <c r="E121" i="71" a="1"/>
  <c r="E121" i="71" s="1"/>
  <c r="D121" i="71" a="1"/>
  <c r="D121" i="71" s="1"/>
  <c r="AH120" i="71" a="1"/>
  <c r="AH120" i="71" s="1"/>
  <c r="AG120" i="71" a="1"/>
  <c r="AG120" i="71" s="1"/>
  <c r="AF120" i="71" a="1"/>
  <c r="AF120" i="71" s="1"/>
  <c r="AE120" i="71" a="1"/>
  <c r="AE120" i="71" s="1"/>
  <c r="AD120" i="71" a="1"/>
  <c r="AD120" i="71" s="1"/>
  <c r="AC120" i="71" a="1"/>
  <c r="AC120" i="71" s="1"/>
  <c r="AB120" i="71" a="1"/>
  <c r="AB120" i="71" s="1"/>
  <c r="AA120" i="71" a="1"/>
  <c r="AA120" i="71" s="1"/>
  <c r="Z120" i="71" a="1"/>
  <c r="Z120" i="71" s="1"/>
  <c r="Y120" i="71" a="1"/>
  <c r="Y120" i="71" s="1"/>
  <c r="X120" i="71" a="1"/>
  <c r="X120" i="71" s="1"/>
  <c r="W120" i="71" a="1"/>
  <c r="W120" i="71" s="1"/>
  <c r="V120" i="71" a="1"/>
  <c r="V120" i="71" s="1"/>
  <c r="U120" i="71" a="1"/>
  <c r="U120" i="71" s="1"/>
  <c r="T120" i="71" a="1"/>
  <c r="T120" i="71" s="1"/>
  <c r="S120" i="71" a="1"/>
  <c r="S120" i="71" s="1"/>
  <c r="R120" i="71" a="1"/>
  <c r="R120" i="71" s="1"/>
  <c r="Q120" i="71" a="1"/>
  <c r="Q120" i="71" s="1"/>
  <c r="P120" i="71" a="1"/>
  <c r="P120" i="71" s="1"/>
  <c r="O120" i="71" a="1"/>
  <c r="O120" i="71" s="1"/>
  <c r="N120" i="71" a="1"/>
  <c r="N120" i="71" s="1"/>
  <c r="M120" i="71" a="1"/>
  <c r="M120" i="71" s="1"/>
  <c r="L120" i="71" a="1"/>
  <c r="L120" i="71" s="1"/>
  <c r="K120" i="71" a="1"/>
  <c r="K120" i="71" s="1"/>
  <c r="J120" i="71" a="1"/>
  <c r="J120" i="71" s="1"/>
  <c r="I120" i="71" a="1"/>
  <c r="I120" i="71" s="1"/>
  <c r="H120" i="71" a="1"/>
  <c r="H120" i="71" s="1"/>
  <c r="G120" i="71" a="1"/>
  <c r="G120" i="71" s="1"/>
  <c r="F120" i="71" a="1"/>
  <c r="F120" i="71" s="1"/>
  <c r="E120" i="71" a="1"/>
  <c r="E120" i="71" s="1"/>
  <c r="D120" i="71" a="1"/>
  <c r="D120" i="71" s="1"/>
  <c r="AH119" i="71" a="1"/>
  <c r="AH119" i="71" s="1"/>
  <c r="AG119" i="71" a="1"/>
  <c r="AG119" i="71" s="1"/>
  <c r="AF119" i="71" a="1"/>
  <c r="AF119" i="71" s="1"/>
  <c r="AE119" i="71" a="1"/>
  <c r="AE119" i="71" s="1"/>
  <c r="AD119" i="71" a="1"/>
  <c r="AD119" i="71" s="1"/>
  <c r="AC119" i="71" a="1"/>
  <c r="AC119" i="71" s="1"/>
  <c r="AB119" i="71" a="1"/>
  <c r="AB119" i="71" s="1"/>
  <c r="AA119" i="71" a="1"/>
  <c r="AA119" i="71" s="1"/>
  <c r="Z119" i="71" a="1"/>
  <c r="Z119" i="71" s="1"/>
  <c r="Y119" i="71" a="1"/>
  <c r="Y119" i="71" s="1"/>
  <c r="X119" i="71" a="1"/>
  <c r="X119" i="71" s="1"/>
  <c r="W119" i="71" a="1"/>
  <c r="W119" i="71" s="1"/>
  <c r="V119" i="71" a="1"/>
  <c r="V119" i="71" s="1"/>
  <c r="U119" i="71" a="1"/>
  <c r="U119" i="71" s="1"/>
  <c r="T119" i="71" a="1"/>
  <c r="T119" i="71" s="1"/>
  <c r="S119" i="71" a="1"/>
  <c r="S119" i="71" s="1"/>
  <c r="R119" i="71" a="1"/>
  <c r="R119" i="71" s="1"/>
  <c r="Q119" i="71" a="1"/>
  <c r="Q119" i="71" s="1"/>
  <c r="P119" i="71" a="1"/>
  <c r="P119" i="71" s="1"/>
  <c r="O119" i="71" a="1"/>
  <c r="O119" i="71" s="1"/>
  <c r="N119" i="71" a="1"/>
  <c r="N119" i="71" s="1"/>
  <c r="M119" i="71" a="1"/>
  <c r="M119" i="71" s="1"/>
  <c r="L119" i="71" a="1"/>
  <c r="L119" i="71" s="1"/>
  <c r="K119" i="71" a="1"/>
  <c r="K119" i="71" s="1"/>
  <c r="J119" i="71" a="1"/>
  <c r="J119" i="71" s="1"/>
  <c r="I119" i="71" a="1"/>
  <c r="I119" i="71" s="1"/>
  <c r="H119" i="71" a="1"/>
  <c r="H119" i="71" s="1"/>
  <c r="G119" i="71" a="1"/>
  <c r="G119" i="71" s="1"/>
  <c r="F119" i="71" a="1"/>
  <c r="F119" i="71" s="1"/>
  <c r="E119" i="71" a="1"/>
  <c r="E119" i="71" s="1"/>
  <c r="D119" i="71" a="1"/>
  <c r="D119" i="71" s="1"/>
  <c r="AH118" i="71" a="1"/>
  <c r="AH118" i="71" s="1"/>
  <c r="AG118" i="71" a="1"/>
  <c r="AG118" i="71" s="1"/>
  <c r="AF118" i="71" a="1"/>
  <c r="AF118" i="71" s="1"/>
  <c r="AE118" i="71" a="1"/>
  <c r="AE118" i="71" s="1"/>
  <c r="AD118" i="71" a="1"/>
  <c r="AD118" i="71" s="1"/>
  <c r="AC118" i="71" a="1"/>
  <c r="AC118" i="71" s="1"/>
  <c r="AB118" i="71" a="1"/>
  <c r="AB118" i="71" s="1"/>
  <c r="AA118" i="71" a="1"/>
  <c r="AA118" i="71" s="1"/>
  <c r="Z118" i="71" a="1"/>
  <c r="Z118" i="71" s="1"/>
  <c r="Y118" i="71" a="1"/>
  <c r="Y118" i="71" s="1"/>
  <c r="X118" i="71" a="1"/>
  <c r="X118" i="71" s="1"/>
  <c r="W118" i="71" a="1"/>
  <c r="W118" i="71" s="1"/>
  <c r="V118" i="71" a="1"/>
  <c r="V118" i="71" s="1"/>
  <c r="U118" i="71" a="1"/>
  <c r="U118" i="71" s="1"/>
  <c r="T118" i="71" a="1"/>
  <c r="T118" i="71" s="1"/>
  <c r="S118" i="71" a="1"/>
  <c r="S118" i="71" s="1"/>
  <c r="R118" i="71" a="1"/>
  <c r="R118" i="71" s="1"/>
  <c r="Q118" i="71" a="1"/>
  <c r="Q118" i="71" s="1"/>
  <c r="P118" i="71" a="1"/>
  <c r="P118" i="71" s="1"/>
  <c r="O118" i="71" a="1"/>
  <c r="O118" i="71" s="1"/>
  <c r="N118" i="71" a="1"/>
  <c r="N118" i="71" s="1"/>
  <c r="M118" i="71" a="1"/>
  <c r="M118" i="71" s="1"/>
  <c r="L118" i="71" a="1"/>
  <c r="L118" i="71" s="1"/>
  <c r="K118" i="71" a="1"/>
  <c r="K118" i="71" s="1"/>
  <c r="J118" i="71" a="1"/>
  <c r="J118" i="71" s="1"/>
  <c r="I118" i="71" a="1"/>
  <c r="I118" i="71" s="1"/>
  <c r="H118" i="71" a="1"/>
  <c r="H118" i="71" s="1"/>
  <c r="G118" i="71" a="1"/>
  <c r="G118" i="71" s="1"/>
  <c r="F118" i="71" a="1"/>
  <c r="F118" i="71" s="1"/>
  <c r="E118" i="71" a="1"/>
  <c r="E118" i="71" s="1"/>
  <c r="D118" i="71" a="1"/>
  <c r="D118" i="71" s="1"/>
  <c r="AH117" i="71" a="1"/>
  <c r="AH117" i="71" s="1"/>
  <c r="AG117" i="71" a="1"/>
  <c r="AG117" i="71" s="1"/>
  <c r="AF117" i="71" a="1"/>
  <c r="AF117" i="71" s="1"/>
  <c r="AE117" i="71" a="1"/>
  <c r="AE117" i="71" s="1"/>
  <c r="AD117" i="71" a="1"/>
  <c r="AD117" i="71" s="1"/>
  <c r="AC117" i="71" a="1"/>
  <c r="AC117" i="71" s="1"/>
  <c r="AB117" i="71" a="1"/>
  <c r="AB117" i="71" s="1"/>
  <c r="AA117" i="71" a="1"/>
  <c r="AA117" i="71" s="1"/>
  <c r="Z117" i="71" a="1"/>
  <c r="Z117" i="71" s="1"/>
  <c r="Y117" i="71" a="1"/>
  <c r="Y117" i="71" s="1"/>
  <c r="X117" i="71" a="1"/>
  <c r="X117" i="71" s="1"/>
  <c r="W117" i="71" a="1"/>
  <c r="W117" i="71" s="1"/>
  <c r="V117" i="71" a="1"/>
  <c r="V117" i="71" s="1"/>
  <c r="U117" i="71" a="1"/>
  <c r="U117" i="71" s="1"/>
  <c r="T117" i="71" a="1"/>
  <c r="T117" i="71" s="1"/>
  <c r="S117" i="71" a="1"/>
  <c r="S117" i="71" s="1"/>
  <c r="R117" i="71" a="1"/>
  <c r="R117" i="71" s="1"/>
  <c r="Q117" i="71" a="1"/>
  <c r="Q117" i="71" s="1"/>
  <c r="P117" i="71" a="1"/>
  <c r="P117" i="71" s="1"/>
  <c r="O117" i="71" a="1"/>
  <c r="O117" i="71" s="1"/>
  <c r="N117" i="71" a="1"/>
  <c r="N117" i="71" s="1"/>
  <c r="M117" i="71" a="1"/>
  <c r="M117" i="71" s="1"/>
  <c r="L117" i="71" a="1"/>
  <c r="L117" i="71" s="1"/>
  <c r="K117" i="71" a="1"/>
  <c r="K117" i="71" s="1"/>
  <c r="J117" i="71" a="1"/>
  <c r="J117" i="71" s="1"/>
  <c r="I117" i="71" a="1"/>
  <c r="I117" i="71" s="1"/>
  <c r="H117" i="71" a="1"/>
  <c r="H117" i="71" s="1"/>
  <c r="G117" i="71" a="1"/>
  <c r="G117" i="71" s="1"/>
  <c r="F117" i="71" a="1"/>
  <c r="F117" i="71" s="1"/>
  <c r="E117" i="71" a="1"/>
  <c r="E117" i="71" s="1"/>
  <c r="D117" i="71" a="1"/>
  <c r="D117" i="71" s="1"/>
  <c r="AH116" i="71" a="1"/>
  <c r="AH116" i="71" s="1"/>
  <c r="AG116" i="71" a="1"/>
  <c r="AG116" i="71" s="1"/>
  <c r="AF116" i="71" a="1"/>
  <c r="AF116" i="71" s="1"/>
  <c r="AE116" i="71" a="1"/>
  <c r="AE116" i="71" s="1"/>
  <c r="AD116" i="71" a="1"/>
  <c r="AD116" i="71" s="1"/>
  <c r="AC116" i="71" a="1"/>
  <c r="AC116" i="71" s="1"/>
  <c r="AB116" i="71" a="1"/>
  <c r="AB116" i="71" s="1"/>
  <c r="AA116" i="71" a="1"/>
  <c r="AA116" i="71" s="1"/>
  <c r="Z116" i="71" a="1"/>
  <c r="Z116" i="71" s="1"/>
  <c r="Y116" i="71" a="1"/>
  <c r="Y116" i="71" s="1"/>
  <c r="X116" i="71" a="1"/>
  <c r="X116" i="71" s="1"/>
  <c r="W116" i="71" a="1"/>
  <c r="W116" i="71" s="1"/>
  <c r="V116" i="71" a="1"/>
  <c r="V116" i="71" s="1"/>
  <c r="U116" i="71" a="1"/>
  <c r="U116" i="71" s="1"/>
  <c r="T116" i="71" a="1"/>
  <c r="T116" i="71" s="1"/>
  <c r="S116" i="71" a="1"/>
  <c r="S116" i="71" s="1"/>
  <c r="R116" i="71" a="1"/>
  <c r="R116" i="71" s="1"/>
  <c r="Q116" i="71" a="1"/>
  <c r="Q116" i="71" s="1"/>
  <c r="P116" i="71" a="1"/>
  <c r="P116" i="71" s="1"/>
  <c r="O116" i="71" a="1"/>
  <c r="O116" i="71" s="1"/>
  <c r="N116" i="71" a="1"/>
  <c r="N116" i="71" s="1"/>
  <c r="M116" i="71" a="1"/>
  <c r="M116" i="71" s="1"/>
  <c r="L116" i="71" a="1"/>
  <c r="L116" i="71" s="1"/>
  <c r="K116" i="71" a="1"/>
  <c r="K116" i="71" s="1"/>
  <c r="J116" i="71" a="1"/>
  <c r="J116" i="71" s="1"/>
  <c r="I116" i="71" a="1"/>
  <c r="I116" i="71" s="1"/>
  <c r="H116" i="71" a="1"/>
  <c r="H116" i="71" s="1"/>
  <c r="G116" i="71" a="1"/>
  <c r="G116" i="71" s="1"/>
  <c r="F116" i="71" a="1"/>
  <c r="F116" i="71" s="1"/>
  <c r="E116" i="71" a="1"/>
  <c r="E116" i="71" s="1"/>
  <c r="D116" i="71" a="1"/>
  <c r="D116" i="71" s="1"/>
  <c r="AH115" i="71" a="1"/>
  <c r="AH115" i="71" s="1"/>
  <c r="AG115" i="71" a="1"/>
  <c r="AG115" i="71" s="1"/>
  <c r="AF115" i="71" a="1"/>
  <c r="AF115" i="71" s="1"/>
  <c r="AE115" i="71" a="1"/>
  <c r="AE115" i="71" s="1"/>
  <c r="AD115" i="71" a="1"/>
  <c r="AD115" i="71" s="1"/>
  <c r="AC115" i="71" a="1"/>
  <c r="AC115" i="71" s="1"/>
  <c r="AB115" i="71" a="1"/>
  <c r="AB115" i="71" s="1"/>
  <c r="AA115" i="71" a="1"/>
  <c r="AA115" i="71" s="1"/>
  <c r="Z115" i="71" a="1"/>
  <c r="Z115" i="71" s="1"/>
  <c r="Y115" i="71" a="1"/>
  <c r="Y115" i="71" s="1"/>
  <c r="X115" i="71" a="1"/>
  <c r="X115" i="71" s="1"/>
  <c r="W115" i="71" a="1"/>
  <c r="W115" i="71" s="1"/>
  <c r="V115" i="71" a="1"/>
  <c r="V115" i="71" s="1"/>
  <c r="U115" i="71" a="1"/>
  <c r="U115" i="71" s="1"/>
  <c r="T115" i="71" a="1"/>
  <c r="T115" i="71" s="1"/>
  <c r="S115" i="71" a="1"/>
  <c r="S115" i="71" s="1"/>
  <c r="R115" i="71" a="1"/>
  <c r="R115" i="71" s="1"/>
  <c r="Q115" i="71" a="1"/>
  <c r="Q115" i="71" s="1"/>
  <c r="P115" i="71" a="1"/>
  <c r="P115" i="71" s="1"/>
  <c r="O115" i="71" a="1"/>
  <c r="O115" i="71" s="1"/>
  <c r="N115" i="71" a="1"/>
  <c r="N115" i="71" s="1"/>
  <c r="M115" i="71" a="1"/>
  <c r="M115" i="71" s="1"/>
  <c r="L115" i="71" a="1"/>
  <c r="L115" i="71" s="1"/>
  <c r="K115" i="71" a="1"/>
  <c r="K115" i="71" s="1"/>
  <c r="J115" i="71" a="1"/>
  <c r="J115" i="71" s="1"/>
  <c r="I115" i="71" a="1"/>
  <c r="I115" i="71" s="1"/>
  <c r="H115" i="71" a="1"/>
  <c r="H115" i="71" s="1"/>
  <c r="G115" i="71" a="1"/>
  <c r="G115" i="71" s="1"/>
  <c r="F115" i="71" a="1"/>
  <c r="F115" i="71" s="1"/>
  <c r="E115" i="71" a="1"/>
  <c r="E115" i="71" s="1"/>
  <c r="D115" i="71" a="1"/>
  <c r="D115" i="71" s="1"/>
  <c r="AH114" i="71" a="1"/>
  <c r="AH114" i="71" s="1"/>
  <c r="AG114" i="71" a="1"/>
  <c r="AG114" i="71" s="1"/>
  <c r="AF114" i="71" a="1"/>
  <c r="AF114" i="71" s="1"/>
  <c r="AE114" i="71" a="1"/>
  <c r="AE114" i="71" s="1"/>
  <c r="AD114" i="71" a="1"/>
  <c r="AD114" i="71" s="1"/>
  <c r="AC114" i="71" a="1"/>
  <c r="AC114" i="71" s="1"/>
  <c r="AB114" i="71" a="1"/>
  <c r="AB114" i="71" s="1"/>
  <c r="AA114" i="71" a="1"/>
  <c r="AA114" i="71" s="1"/>
  <c r="Z114" i="71" a="1"/>
  <c r="Z114" i="71" s="1"/>
  <c r="Y114" i="71" a="1"/>
  <c r="Y114" i="71" s="1"/>
  <c r="X114" i="71" a="1"/>
  <c r="X114" i="71" s="1"/>
  <c r="W114" i="71" a="1"/>
  <c r="W114" i="71" s="1"/>
  <c r="V114" i="71" a="1"/>
  <c r="V114" i="71" s="1"/>
  <c r="U114" i="71" a="1"/>
  <c r="U114" i="71" s="1"/>
  <c r="T114" i="71" a="1"/>
  <c r="T114" i="71" s="1"/>
  <c r="S114" i="71" a="1"/>
  <c r="S114" i="71" s="1"/>
  <c r="R114" i="71" a="1"/>
  <c r="R114" i="71" s="1"/>
  <c r="Q114" i="71" a="1"/>
  <c r="Q114" i="71" s="1"/>
  <c r="P114" i="71" a="1"/>
  <c r="P114" i="71" s="1"/>
  <c r="O114" i="71" a="1"/>
  <c r="O114" i="71" s="1"/>
  <c r="N114" i="71" a="1"/>
  <c r="N114" i="71" s="1"/>
  <c r="M114" i="71" a="1"/>
  <c r="M114" i="71" s="1"/>
  <c r="L114" i="71" a="1"/>
  <c r="L114" i="71" s="1"/>
  <c r="K114" i="71" a="1"/>
  <c r="K114" i="71" s="1"/>
  <c r="J114" i="71" a="1"/>
  <c r="J114" i="71" s="1"/>
  <c r="I114" i="71" a="1"/>
  <c r="I114" i="71" s="1"/>
  <c r="H114" i="71" a="1"/>
  <c r="H114" i="71" s="1"/>
  <c r="G114" i="71" a="1"/>
  <c r="G114" i="71" s="1"/>
  <c r="F114" i="71" a="1"/>
  <c r="F114" i="71" s="1"/>
  <c r="E114" i="71" a="1"/>
  <c r="E114" i="71" s="1"/>
  <c r="D114" i="71" a="1"/>
  <c r="D114" i="71" s="1"/>
  <c r="AH113" i="71" a="1"/>
  <c r="AH113" i="71" s="1"/>
  <c r="AG113" i="71" a="1"/>
  <c r="AG113" i="71" s="1"/>
  <c r="AF113" i="71" a="1"/>
  <c r="AF113" i="71" s="1"/>
  <c r="AE113" i="71" a="1"/>
  <c r="AE113" i="71" s="1"/>
  <c r="AD113" i="71" a="1"/>
  <c r="AD113" i="71" s="1"/>
  <c r="AC113" i="71" a="1"/>
  <c r="AC113" i="71" s="1"/>
  <c r="AB113" i="71" a="1"/>
  <c r="AB113" i="71" s="1"/>
  <c r="AA113" i="71" a="1"/>
  <c r="AA113" i="71" s="1"/>
  <c r="Z113" i="71" a="1"/>
  <c r="Z113" i="71" s="1"/>
  <c r="Y113" i="71" a="1"/>
  <c r="Y113" i="71" s="1"/>
  <c r="X113" i="71" a="1"/>
  <c r="X113" i="71" s="1"/>
  <c r="W113" i="71" a="1"/>
  <c r="W113" i="71" s="1"/>
  <c r="V113" i="71" a="1"/>
  <c r="V113" i="71" s="1"/>
  <c r="U113" i="71" a="1"/>
  <c r="U113" i="71" s="1"/>
  <c r="T113" i="71" a="1"/>
  <c r="T113" i="71" s="1"/>
  <c r="S113" i="71" a="1"/>
  <c r="S113" i="71" s="1"/>
  <c r="R113" i="71" a="1"/>
  <c r="R113" i="71" s="1"/>
  <c r="Q113" i="71" a="1"/>
  <c r="Q113" i="71" s="1"/>
  <c r="P113" i="71" a="1"/>
  <c r="P113" i="71" s="1"/>
  <c r="O113" i="71" a="1"/>
  <c r="O113" i="71" s="1"/>
  <c r="N113" i="71" a="1"/>
  <c r="N113" i="71" s="1"/>
  <c r="M113" i="71" a="1"/>
  <c r="M113" i="71" s="1"/>
  <c r="L113" i="71" a="1"/>
  <c r="L113" i="71" s="1"/>
  <c r="K113" i="71" a="1"/>
  <c r="K113" i="71" s="1"/>
  <c r="J113" i="71" a="1"/>
  <c r="J113" i="71" s="1"/>
  <c r="I113" i="71" a="1"/>
  <c r="I113" i="71" s="1"/>
  <c r="H113" i="71" a="1"/>
  <c r="H113" i="71" s="1"/>
  <c r="G113" i="71" a="1"/>
  <c r="G113" i="71" s="1"/>
  <c r="F113" i="71" a="1"/>
  <c r="F113" i="71" s="1"/>
  <c r="E113" i="71" a="1"/>
  <c r="E113" i="71" s="1"/>
  <c r="D113" i="71" a="1"/>
  <c r="D113" i="71" s="1"/>
  <c r="AH112" i="71" a="1"/>
  <c r="AH112" i="71" s="1"/>
  <c r="AG112" i="71" a="1"/>
  <c r="AG112" i="71" s="1"/>
  <c r="AF112" i="71" a="1"/>
  <c r="AF112" i="71" s="1"/>
  <c r="AE112" i="71" a="1"/>
  <c r="AE112" i="71" s="1"/>
  <c r="AD112" i="71" a="1"/>
  <c r="AD112" i="71" s="1"/>
  <c r="AC112" i="71" a="1"/>
  <c r="AC112" i="71" s="1"/>
  <c r="AB112" i="71" a="1"/>
  <c r="AB112" i="71" s="1"/>
  <c r="AA112" i="71" a="1"/>
  <c r="AA112" i="71" s="1"/>
  <c r="Z112" i="71" a="1"/>
  <c r="Z112" i="71" s="1"/>
  <c r="Y112" i="71" a="1"/>
  <c r="Y112" i="71" s="1"/>
  <c r="X112" i="71" a="1"/>
  <c r="X112" i="71" s="1"/>
  <c r="W112" i="71" a="1"/>
  <c r="W112" i="71" s="1"/>
  <c r="V112" i="71" a="1"/>
  <c r="V112" i="71" s="1"/>
  <c r="U112" i="71" a="1"/>
  <c r="U112" i="71" s="1"/>
  <c r="T112" i="71" a="1"/>
  <c r="T112" i="71" s="1"/>
  <c r="S112" i="71" a="1"/>
  <c r="S112" i="71" s="1"/>
  <c r="R112" i="71" a="1"/>
  <c r="R112" i="71" s="1"/>
  <c r="Q112" i="71" a="1"/>
  <c r="Q112" i="71" s="1"/>
  <c r="P112" i="71" a="1"/>
  <c r="P112" i="71" s="1"/>
  <c r="O112" i="71" a="1"/>
  <c r="O112" i="71" s="1"/>
  <c r="N112" i="71" a="1"/>
  <c r="N112" i="71" s="1"/>
  <c r="M112" i="71" a="1"/>
  <c r="M112" i="71" s="1"/>
  <c r="L112" i="71" a="1"/>
  <c r="L112" i="71" s="1"/>
  <c r="K112" i="71" a="1"/>
  <c r="K112" i="71" s="1"/>
  <c r="J112" i="71" a="1"/>
  <c r="J112" i="71" s="1"/>
  <c r="I112" i="71" a="1"/>
  <c r="I112" i="71" s="1"/>
  <c r="H112" i="71" a="1"/>
  <c r="H112" i="71" s="1"/>
  <c r="G112" i="71" a="1"/>
  <c r="G112" i="71" s="1"/>
  <c r="F112" i="71" a="1"/>
  <c r="F112" i="71" s="1"/>
  <c r="E112" i="71" a="1"/>
  <c r="E112" i="71" s="1"/>
  <c r="D112" i="71" a="1"/>
  <c r="D112" i="71" s="1"/>
  <c r="AH111" i="71" a="1"/>
  <c r="AH111" i="71" s="1"/>
  <c r="AG111" i="71" a="1"/>
  <c r="AG111" i="71" s="1"/>
  <c r="AF111" i="71" a="1"/>
  <c r="AF111" i="71" s="1"/>
  <c r="AE111" i="71" a="1"/>
  <c r="AE111" i="71" s="1"/>
  <c r="AD111" i="71" a="1"/>
  <c r="AD111" i="71" s="1"/>
  <c r="AC111" i="71" a="1"/>
  <c r="AC111" i="71" s="1"/>
  <c r="AB111" i="71" a="1"/>
  <c r="AB111" i="71" s="1"/>
  <c r="AA111" i="71" a="1"/>
  <c r="AA111" i="71" s="1"/>
  <c r="Z111" i="71" a="1"/>
  <c r="Z111" i="71" s="1"/>
  <c r="Y111" i="71" a="1"/>
  <c r="Y111" i="71" s="1"/>
  <c r="X111" i="71" a="1"/>
  <c r="X111" i="71" s="1"/>
  <c r="W111" i="71" a="1"/>
  <c r="W111" i="71" s="1"/>
  <c r="V111" i="71" a="1"/>
  <c r="V111" i="71" s="1"/>
  <c r="U111" i="71" a="1"/>
  <c r="U111" i="71" s="1"/>
  <c r="T111" i="71" a="1"/>
  <c r="T111" i="71" s="1"/>
  <c r="S111" i="71" a="1"/>
  <c r="S111" i="71" s="1"/>
  <c r="R111" i="71" a="1"/>
  <c r="R111" i="71" s="1"/>
  <c r="Q111" i="71" a="1"/>
  <c r="Q111" i="71" s="1"/>
  <c r="P111" i="71" a="1"/>
  <c r="P111" i="71" s="1"/>
  <c r="O111" i="71" a="1"/>
  <c r="O111" i="71" s="1"/>
  <c r="N111" i="71" a="1"/>
  <c r="N111" i="71" s="1"/>
  <c r="M111" i="71" a="1"/>
  <c r="M111" i="71" s="1"/>
  <c r="L111" i="71" a="1"/>
  <c r="L111" i="71" s="1"/>
  <c r="K111" i="71" a="1"/>
  <c r="K111" i="71" s="1"/>
  <c r="J111" i="71" a="1"/>
  <c r="J111" i="71" s="1"/>
  <c r="I111" i="71" a="1"/>
  <c r="I111" i="71" s="1"/>
  <c r="H111" i="71" a="1"/>
  <c r="H111" i="71" s="1"/>
  <c r="G111" i="71" a="1"/>
  <c r="G111" i="71" s="1"/>
  <c r="F111" i="71" a="1"/>
  <c r="F111" i="71" s="1"/>
  <c r="E111" i="71" a="1"/>
  <c r="E111" i="71" s="1"/>
  <c r="D111" i="71" a="1"/>
  <c r="D111" i="71" s="1"/>
  <c r="AH110" i="71" a="1"/>
  <c r="AH110" i="71" s="1"/>
  <c r="AG110" i="71" a="1"/>
  <c r="AG110" i="71" s="1"/>
  <c r="AF110" i="71" a="1"/>
  <c r="AF110" i="71" s="1"/>
  <c r="AE110" i="71" a="1"/>
  <c r="AE110" i="71" s="1"/>
  <c r="AD110" i="71" a="1"/>
  <c r="AD110" i="71" s="1"/>
  <c r="AC110" i="71" a="1"/>
  <c r="AC110" i="71" s="1"/>
  <c r="AB110" i="71" a="1"/>
  <c r="AB110" i="71" s="1"/>
  <c r="AA110" i="71" a="1"/>
  <c r="AA110" i="71" s="1"/>
  <c r="Z110" i="71" a="1"/>
  <c r="Z110" i="71" s="1"/>
  <c r="Y110" i="71" a="1"/>
  <c r="Y110" i="71" s="1"/>
  <c r="X110" i="71" a="1"/>
  <c r="X110" i="71" s="1"/>
  <c r="W110" i="71" a="1"/>
  <c r="W110" i="71" s="1"/>
  <c r="V110" i="71" a="1"/>
  <c r="V110" i="71" s="1"/>
  <c r="U110" i="71" a="1"/>
  <c r="U110" i="71" s="1"/>
  <c r="T110" i="71" a="1"/>
  <c r="T110" i="71" s="1"/>
  <c r="S110" i="71" a="1"/>
  <c r="S110" i="71" s="1"/>
  <c r="R110" i="71" a="1"/>
  <c r="R110" i="71" s="1"/>
  <c r="Q110" i="71" a="1"/>
  <c r="Q110" i="71" s="1"/>
  <c r="P110" i="71" a="1"/>
  <c r="P110" i="71" s="1"/>
  <c r="O110" i="71" a="1"/>
  <c r="O110" i="71" s="1"/>
  <c r="N110" i="71" a="1"/>
  <c r="N110" i="71" s="1"/>
  <c r="M110" i="71" a="1"/>
  <c r="M110" i="71" s="1"/>
  <c r="L110" i="71" a="1"/>
  <c r="L110" i="71" s="1"/>
  <c r="K110" i="71" a="1"/>
  <c r="K110" i="71" s="1"/>
  <c r="J110" i="71" a="1"/>
  <c r="J110" i="71" s="1"/>
  <c r="I110" i="71" a="1"/>
  <c r="I110" i="71" s="1"/>
  <c r="H110" i="71" a="1"/>
  <c r="H110" i="71" s="1"/>
  <c r="G110" i="71" a="1"/>
  <c r="G110" i="71" s="1"/>
  <c r="F110" i="71" a="1"/>
  <c r="F110" i="71" s="1"/>
  <c r="E110" i="71" a="1"/>
  <c r="E110" i="71" s="1"/>
  <c r="D110" i="71" a="1"/>
  <c r="D110" i="71" s="1"/>
  <c r="AH109" i="71" a="1"/>
  <c r="AH109" i="71" s="1"/>
  <c r="AG109" i="71" a="1"/>
  <c r="AG109" i="71" s="1"/>
  <c r="AF109" i="71" a="1"/>
  <c r="AF109" i="71" s="1"/>
  <c r="AE109" i="71" a="1"/>
  <c r="AE109" i="71" s="1"/>
  <c r="AD109" i="71" a="1"/>
  <c r="AD109" i="71" s="1"/>
  <c r="AC109" i="71" a="1"/>
  <c r="AC109" i="71" s="1"/>
  <c r="AB109" i="71" a="1"/>
  <c r="AB109" i="71" s="1"/>
  <c r="AA109" i="71" a="1"/>
  <c r="AA109" i="71" s="1"/>
  <c r="Z109" i="71" a="1"/>
  <c r="Z109" i="71" s="1"/>
  <c r="Y109" i="71" a="1"/>
  <c r="Y109" i="71" s="1"/>
  <c r="X109" i="71" a="1"/>
  <c r="X109" i="71" s="1"/>
  <c r="W109" i="71" a="1"/>
  <c r="W109" i="71" s="1"/>
  <c r="V109" i="71" a="1"/>
  <c r="V109" i="71" s="1"/>
  <c r="U109" i="71" a="1"/>
  <c r="U109" i="71" s="1"/>
  <c r="T109" i="71" a="1"/>
  <c r="T109" i="71" s="1"/>
  <c r="S109" i="71" a="1"/>
  <c r="S109" i="71" s="1"/>
  <c r="R109" i="71" a="1"/>
  <c r="R109" i="71" s="1"/>
  <c r="Q109" i="71" a="1"/>
  <c r="Q109" i="71" s="1"/>
  <c r="P109" i="71" a="1"/>
  <c r="P109" i="71" s="1"/>
  <c r="O109" i="71" a="1"/>
  <c r="O109" i="71" s="1"/>
  <c r="N109" i="71" a="1"/>
  <c r="N109" i="71" s="1"/>
  <c r="M109" i="71" a="1"/>
  <c r="M109" i="71" s="1"/>
  <c r="L109" i="71" a="1"/>
  <c r="L109" i="71" s="1"/>
  <c r="K109" i="71" a="1"/>
  <c r="K109" i="71" s="1"/>
  <c r="J109" i="71" a="1"/>
  <c r="J109" i="71" s="1"/>
  <c r="I109" i="71" a="1"/>
  <c r="I109" i="71" s="1"/>
  <c r="H109" i="71" a="1"/>
  <c r="H109" i="71" s="1"/>
  <c r="G109" i="71" a="1"/>
  <c r="G109" i="71" s="1"/>
  <c r="F109" i="71" a="1"/>
  <c r="F109" i="71" s="1"/>
  <c r="E109" i="71" a="1"/>
  <c r="E109" i="71" s="1"/>
  <c r="D109" i="71" a="1"/>
  <c r="D109" i="71" s="1"/>
  <c r="AH108" i="71" a="1"/>
  <c r="AH108" i="71" s="1"/>
  <c r="AG108" i="71" a="1"/>
  <c r="AG108" i="71" s="1"/>
  <c r="AF108" i="71" a="1"/>
  <c r="AF108" i="71" s="1"/>
  <c r="AE108" i="71" a="1"/>
  <c r="AE108" i="71" s="1"/>
  <c r="AD108" i="71" a="1"/>
  <c r="AD108" i="71" s="1"/>
  <c r="AC108" i="71" a="1"/>
  <c r="AC108" i="71" s="1"/>
  <c r="AB108" i="71" a="1"/>
  <c r="AB108" i="71" s="1"/>
  <c r="AA108" i="71" a="1"/>
  <c r="AA108" i="71" s="1"/>
  <c r="Z108" i="71" a="1"/>
  <c r="Z108" i="71" s="1"/>
  <c r="Y108" i="71" a="1"/>
  <c r="Y108" i="71" s="1"/>
  <c r="X108" i="71" a="1"/>
  <c r="X108" i="71" s="1"/>
  <c r="W108" i="71" a="1"/>
  <c r="W108" i="71" s="1"/>
  <c r="V108" i="71" a="1"/>
  <c r="V108" i="71" s="1"/>
  <c r="U108" i="71" a="1"/>
  <c r="U108" i="71" s="1"/>
  <c r="T108" i="71" a="1"/>
  <c r="T108" i="71" s="1"/>
  <c r="S108" i="71" a="1"/>
  <c r="S108" i="71" s="1"/>
  <c r="R108" i="71" a="1"/>
  <c r="R108" i="71" s="1"/>
  <c r="Q108" i="71" a="1"/>
  <c r="Q108" i="71" s="1"/>
  <c r="P108" i="71" a="1"/>
  <c r="P108" i="71" s="1"/>
  <c r="O108" i="71" a="1"/>
  <c r="O108" i="71" s="1"/>
  <c r="N108" i="71" a="1"/>
  <c r="N108" i="71" s="1"/>
  <c r="M108" i="71" a="1"/>
  <c r="M108" i="71" s="1"/>
  <c r="L108" i="71" a="1"/>
  <c r="L108" i="71" s="1"/>
  <c r="K108" i="71" a="1"/>
  <c r="K108" i="71" s="1"/>
  <c r="J108" i="71" a="1"/>
  <c r="J108" i="71" s="1"/>
  <c r="I108" i="71" a="1"/>
  <c r="I108" i="71" s="1"/>
  <c r="H108" i="71" a="1"/>
  <c r="H108" i="71" s="1"/>
  <c r="G108" i="71" a="1"/>
  <c r="G108" i="71" s="1"/>
  <c r="F108" i="71" a="1"/>
  <c r="F108" i="71" s="1"/>
  <c r="E108" i="71" a="1"/>
  <c r="E108" i="71" s="1"/>
  <c r="D108" i="71" a="1"/>
  <c r="D108" i="71" s="1"/>
  <c r="AH107" i="71" a="1"/>
  <c r="AH107" i="71" s="1"/>
  <c r="AG107" i="71" a="1"/>
  <c r="AG107" i="71" s="1"/>
  <c r="AF107" i="71" a="1"/>
  <c r="AF107" i="71" s="1"/>
  <c r="AE107" i="71" a="1"/>
  <c r="AE107" i="71" s="1"/>
  <c r="AD107" i="71" a="1"/>
  <c r="AD107" i="71" s="1"/>
  <c r="AC107" i="71" a="1"/>
  <c r="AC107" i="71" s="1"/>
  <c r="AB107" i="71" a="1"/>
  <c r="AB107" i="71" s="1"/>
  <c r="AA107" i="71" a="1"/>
  <c r="AA107" i="71" s="1"/>
  <c r="Z107" i="71" a="1"/>
  <c r="Z107" i="71" s="1"/>
  <c r="Y107" i="71" a="1"/>
  <c r="Y107" i="71" s="1"/>
  <c r="X107" i="71" a="1"/>
  <c r="X107" i="71" s="1"/>
  <c r="W107" i="71" a="1"/>
  <c r="W107" i="71" s="1"/>
  <c r="V107" i="71" a="1"/>
  <c r="V107" i="71" s="1"/>
  <c r="U107" i="71" a="1"/>
  <c r="U107" i="71" s="1"/>
  <c r="T107" i="71" a="1"/>
  <c r="T107" i="71" s="1"/>
  <c r="S107" i="71" a="1"/>
  <c r="S107" i="71" s="1"/>
  <c r="R107" i="71" a="1"/>
  <c r="R107" i="71" s="1"/>
  <c r="Q107" i="71" a="1"/>
  <c r="Q107" i="71" s="1"/>
  <c r="P107" i="71" a="1"/>
  <c r="P107" i="71" s="1"/>
  <c r="O107" i="71" a="1"/>
  <c r="O107" i="71" s="1"/>
  <c r="N107" i="71" a="1"/>
  <c r="N107" i="71" s="1"/>
  <c r="M107" i="71" a="1"/>
  <c r="M107" i="71" s="1"/>
  <c r="L107" i="71" a="1"/>
  <c r="L107" i="71" s="1"/>
  <c r="K107" i="71" a="1"/>
  <c r="K107" i="71" s="1"/>
  <c r="J107" i="71" a="1"/>
  <c r="J107" i="71" s="1"/>
  <c r="I107" i="71" a="1"/>
  <c r="I107" i="71" s="1"/>
  <c r="H107" i="71" a="1"/>
  <c r="H107" i="71" s="1"/>
  <c r="G107" i="71" a="1"/>
  <c r="G107" i="71" s="1"/>
  <c r="F107" i="71" a="1"/>
  <c r="F107" i="71" s="1"/>
  <c r="E107" i="71" a="1"/>
  <c r="E107" i="71" s="1"/>
  <c r="D107" i="71" a="1"/>
  <c r="D107" i="71" s="1"/>
  <c r="AH106" i="71" a="1"/>
  <c r="AH106" i="71" s="1"/>
  <c r="AG106" i="71" a="1"/>
  <c r="AG106" i="71" s="1"/>
  <c r="AF106" i="71" a="1"/>
  <c r="AF106" i="71" s="1"/>
  <c r="AE106" i="71" a="1"/>
  <c r="AE106" i="71" s="1"/>
  <c r="AD106" i="71" a="1"/>
  <c r="AD106" i="71" s="1"/>
  <c r="AC106" i="71" a="1"/>
  <c r="AC106" i="71" s="1"/>
  <c r="AB106" i="71" a="1"/>
  <c r="AB106" i="71" s="1"/>
  <c r="AA106" i="71" a="1"/>
  <c r="AA106" i="71" s="1"/>
  <c r="Z106" i="71" a="1"/>
  <c r="Z106" i="71" s="1"/>
  <c r="Y106" i="71" a="1"/>
  <c r="Y106" i="71" s="1"/>
  <c r="X106" i="71" a="1"/>
  <c r="X106" i="71" s="1"/>
  <c r="W106" i="71" a="1"/>
  <c r="W106" i="71" s="1"/>
  <c r="V106" i="71" a="1"/>
  <c r="V106" i="71" s="1"/>
  <c r="U106" i="71" a="1"/>
  <c r="U106" i="71" s="1"/>
  <c r="T106" i="71" a="1"/>
  <c r="T106" i="71" s="1"/>
  <c r="S106" i="71" a="1"/>
  <c r="S106" i="71" s="1"/>
  <c r="R106" i="71" a="1"/>
  <c r="R106" i="71" s="1"/>
  <c r="Q106" i="71" a="1"/>
  <c r="Q106" i="71" s="1"/>
  <c r="P106" i="71" a="1"/>
  <c r="P106" i="71" s="1"/>
  <c r="O106" i="71" a="1"/>
  <c r="O106" i="71" s="1"/>
  <c r="N106" i="71" a="1"/>
  <c r="N106" i="71" s="1"/>
  <c r="M106" i="71" a="1"/>
  <c r="M106" i="71" s="1"/>
  <c r="L106" i="71" a="1"/>
  <c r="L106" i="71" s="1"/>
  <c r="K106" i="71" a="1"/>
  <c r="K106" i="71" s="1"/>
  <c r="J106" i="71" a="1"/>
  <c r="J106" i="71" s="1"/>
  <c r="I106" i="71" a="1"/>
  <c r="I106" i="71" s="1"/>
  <c r="H106" i="71" a="1"/>
  <c r="H106" i="71" s="1"/>
  <c r="G106" i="71" a="1"/>
  <c r="G106" i="71" s="1"/>
  <c r="F106" i="71" a="1"/>
  <c r="F106" i="71" s="1"/>
  <c r="E106" i="71" a="1"/>
  <c r="E106" i="71" s="1"/>
  <c r="D106" i="71" a="1"/>
  <c r="D106" i="71" s="1"/>
  <c r="AH105" i="71" a="1"/>
  <c r="AH105" i="71" s="1"/>
  <c r="AG105" i="71" a="1"/>
  <c r="AG105" i="71" s="1"/>
  <c r="AF105" i="71" a="1"/>
  <c r="AF105" i="71" s="1"/>
  <c r="AE105" i="71" a="1"/>
  <c r="AE105" i="71" s="1"/>
  <c r="AD105" i="71" a="1"/>
  <c r="AD105" i="71" s="1"/>
  <c r="AC105" i="71" a="1"/>
  <c r="AC105" i="71" s="1"/>
  <c r="AB105" i="71" a="1"/>
  <c r="AB105" i="71" s="1"/>
  <c r="AA105" i="71" a="1"/>
  <c r="AA105" i="71" s="1"/>
  <c r="Z105" i="71" a="1"/>
  <c r="Z105" i="71" s="1"/>
  <c r="Y105" i="71" a="1"/>
  <c r="Y105" i="71" s="1"/>
  <c r="X105" i="71" a="1"/>
  <c r="X105" i="71" s="1"/>
  <c r="W105" i="71" a="1"/>
  <c r="W105" i="71" s="1"/>
  <c r="V105" i="71" a="1"/>
  <c r="V105" i="71" s="1"/>
  <c r="U105" i="71" a="1"/>
  <c r="U105" i="71" s="1"/>
  <c r="T105" i="71" a="1"/>
  <c r="T105" i="71" s="1"/>
  <c r="S105" i="71" a="1"/>
  <c r="S105" i="71" s="1"/>
  <c r="R105" i="71" a="1"/>
  <c r="R105" i="71" s="1"/>
  <c r="Q105" i="71" a="1"/>
  <c r="Q105" i="71" s="1"/>
  <c r="P105" i="71" a="1"/>
  <c r="P105" i="71" s="1"/>
  <c r="O105" i="71" a="1"/>
  <c r="O105" i="71" s="1"/>
  <c r="N105" i="71" a="1"/>
  <c r="N105" i="71" s="1"/>
  <c r="M105" i="71" a="1"/>
  <c r="M105" i="71" s="1"/>
  <c r="L105" i="71" a="1"/>
  <c r="L105" i="71" s="1"/>
  <c r="K105" i="71" a="1"/>
  <c r="K105" i="71" s="1"/>
  <c r="J105" i="71" a="1"/>
  <c r="J105" i="71" s="1"/>
  <c r="I105" i="71" a="1"/>
  <c r="I105" i="71" s="1"/>
  <c r="H105" i="71" a="1"/>
  <c r="H105" i="71" s="1"/>
  <c r="G105" i="71" a="1"/>
  <c r="G105" i="71" s="1"/>
  <c r="F105" i="71" a="1"/>
  <c r="F105" i="71" s="1"/>
  <c r="E105" i="71" a="1"/>
  <c r="E105" i="71" s="1"/>
  <c r="D105" i="71" a="1"/>
  <c r="D105" i="71" s="1"/>
  <c r="AH104" i="71" a="1"/>
  <c r="AH104" i="71" s="1"/>
  <c r="AG104" i="71" a="1"/>
  <c r="AG104" i="71" s="1"/>
  <c r="AF104" i="71" a="1"/>
  <c r="AF104" i="71" s="1"/>
  <c r="AE104" i="71" a="1"/>
  <c r="AE104" i="71" s="1"/>
  <c r="AD104" i="71" a="1"/>
  <c r="AD104" i="71" s="1"/>
  <c r="AC104" i="71" a="1"/>
  <c r="AC104" i="71" s="1"/>
  <c r="AB104" i="71" a="1"/>
  <c r="AB104" i="71" s="1"/>
  <c r="AA104" i="71" a="1"/>
  <c r="AA104" i="71" s="1"/>
  <c r="Z104" i="71" a="1"/>
  <c r="Z104" i="71" s="1"/>
  <c r="Y104" i="71" a="1"/>
  <c r="Y104" i="71" s="1"/>
  <c r="X104" i="71" a="1"/>
  <c r="X104" i="71" s="1"/>
  <c r="W104" i="71" a="1"/>
  <c r="W104" i="71" s="1"/>
  <c r="V104" i="71" a="1"/>
  <c r="V104" i="71" s="1"/>
  <c r="U104" i="71" a="1"/>
  <c r="U104" i="71" s="1"/>
  <c r="T104" i="71" a="1"/>
  <c r="T104" i="71" s="1"/>
  <c r="S104" i="71" a="1"/>
  <c r="S104" i="71" s="1"/>
  <c r="R104" i="71" a="1"/>
  <c r="R104" i="71" s="1"/>
  <c r="Q104" i="71" a="1"/>
  <c r="Q104" i="71" s="1"/>
  <c r="P104" i="71" a="1"/>
  <c r="P104" i="71" s="1"/>
  <c r="O104" i="71" a="1"/>
  <c r="O104" i="71" s="1"/>
  <c r="N104" i="71" a="1"/>
  <c r="N104" i="71" s="1"/>
  <c r="M104" i="71" a="1"/>
  <c r="M104" i="71" s="1"/>
  <c r="L104" i="71" a="1"/>
  <c r="L104" i="71" s="1"/>
  <c r="K104" i="71" a="1"/>
  <c r="K104" i="71" s="1"/>
  <c r="J104" i="71" a="1"/>
  <c r="J104" i="71" s="1"/>
  <c r="I104" i="71" a="1"/>
  <c r="I104" i="71" s="1"/>
  <c r="H104" i="71" a="1"/>
  <c r="H104" i="71" s="1"/>
  <c r="G104" i="71" a="1"/>
  <c r="G104" i="71" s="1"/>
  <c r="F104" i="71" a="1"/>
  <c r="F104" i="71" s="1"/>
  <c r="E104" i="71" a="1"/>
  <c r="E104" i="71" s="1"/>
  <c r="D104" i="71" a="1"/>
  <c r="D104" i="71" s="1"/>
  <c r="AH103" i="71" a="1"/>
  <c r="AH103" i="71" s="1"/>
  <c r="AG103" i="71" a="1"/>
  <c r="AG103" i="71" s="1"/>
  <c r="AF103" i="71" a="1"/>
  <c r="AF103" i="71" s="1"/>
  <c r="AE103" i="71" a="1"/>
  <c r="AE103" i="71" s="1"/>
  <c r="AD103" i="71" a="1"/>
  <c r="AD103" i="71" s="1"/>
  <c r="AC103" i="71" a="1"/>
  <c r="AC103" i="71" s="1"/>
  <c r="AB103" i="71" a="1"/>
  <c r="AB103" i="71" s="1"/>
  <c r="AA103" i="71" a="1"/>
  <c r="AA103" i="71" s="1"/>
  <c r="Z103" i="71" a="1"/>
  <c r="Z103" i="71" s="1"/>
  <c r="Y103" i="71" a="1"/>
  <c r="Y103" i="71" s="1"/>
  <c r="X103" i="71" a="1"/>
  <c r="X103" i="71" s="1"/>
  <c r="W103" i="71" a="1"/>
  <c r="W103" i="71" s="1"/>
  <c r="V103" i="71" a="1"/>
  <c r="V103" i="71" s="1"/>
  <c r="U103" i="71" a="1"/>
  <c r="U103" i="71" s="1"/>
  <c r="T103" i="71" a="1"/>
  <c r="T103" i="71" s="1"/>
  <c r="S103" i="71" a="1"/>
  <c r="S103" i="71" s="1"/>
  <c r="R103" i="71" a="1"/>
  <c r="R103" i="71" s="1"/>
  <c r="Q103" i="71" a="1"/>
  <c r="Q103" i="71" s="1"/>
  <c r="P103" i="71" a="1"/>
  <c r="P103" i="71" s="1"/>
  <c r="O103" i="71" a="1"/>
  <c r="O103" i="71" s="1"/>
  <c r="N103" i="71" a="1"/>
  <c r="N103" i="71" s="1"/>
  <c r="M103" i="71" a="1"/>
  <c r="M103" i="71" s="1"/>
  <c r="L103" i="71" a="1"/>
  <c r="L103" i="71" s="1"/>
  <c r="K103" i="71" a="1"/>
  <c r="K103" i="71" s="1"/>
  <c r="J103" i="71" a="1"/>
  <c r="J103" i="71" s="1"/>
  <c r="I103" i="71" a="1"/>
  <c r="I103" i="71" s="1"/>
  <c r="H103" i="71" a="1"/>
  <c r="H103" i="71" s="1"/>
  <c r="G103" i="71" a="1"/>
  <c r="G103" i="71" s="1"/>
  <c r="F103" i="71" a="1"/>
  <c r="F103" i="71" s="1"/>
  <c r="E103" i="71" a="1"/>
  <c r="E103" i="71" s="1"/>
  <c r="D103" i="71" a="1"/>
  <c r="D103" i="71" s="1"/>
  <c r="AH102" i="71" a="1"/>
  <c r="AH102" i="71" s="1"/>
  <c r="AG102" i="71" a="1"/>
  <c r="AG102" i="71" s="1"/>
  <c r="AF102" i="71" a="1"/>
  <c r="AF102" i="71" s="1"/>
  <c r="AE102" i="71" a="1"/>
  <c r="AE102" i="71" s="1"/>
  <c r="AD102" i="71" a="1"/>
  <c r="AD102" i="71" s="1"/>
  <c r="AC102" i="71" a="1"/>
  <c r="AC102" i="71" s="1"/>
  <c r="AB102" i="71" a="1"/>
  <c r="AB102" i="71" s="1"/>
  <c r="AA102" i="71" a="1"/>
  <c r="AA102" i="71" s="1"/>
  <c r="Z102" i="71" a="1"/>
  <c r="Z102" i="71" s="1"/>
  <c r="Y102" i="71" a="1"/>
  <c r="Y102" i="71" s="1"/>
  <c r="X102" i="71" a="1"/>
  <c r="X102" i="71" s="1"/>
  <c r="W102" i="71" a="1"/>
  <c r="W102" i="71" s="1"/>
  <c r="V102" i="71" a="1"/>
  <c r="V102" i="71" s="1"/>
  <c r="U102" i="71" a="1"/>
  <c r="U102" i="71" s="1"/>
  <c r="T102" i="71" a="1"/>
  <c r="T102" i="71" s="1"/>
  <c r="S102" i="71" a="1"/>
  <c r="S102" i="71" s="1"/>
  <c r="R102" i="71" a="1"/>
  <c r="R102" i="71" s="1"/>
  <c r="Q102" i="71" a="1"/>
  <c r="Q102" i="71" s="1"/>
  <c r="P102" i="71" a="1"/>
  <c r="P102" i="71" s="1"/>
  <c r="O102" i="71" a="1"/>
  <c r="O102" i="71" s="1"/>
  <c r="N102" i="71" a="1"/>
  <c r="N102" i="71" s="1"/>
  <c r="M102" i="71" a="1"/>
  <c r="M102" i="71" s="1"/>
  <c r="L102" i="71" a="1"/>
  <c r="L102" i="71" s="1"/>
  <c r="K102" i="71" a="1"/>
  <c r="K102" i="71" s="1"/>
  <c r="J102" i="71" a="1"/>
  <c r="J102" i="71" s="1"/>
  <c r="I102" i="71" a="1"/>
  <c r="I102" i="71" s="1"/>
  <c r="H102" i="71" a="1"/>
  <c r="H102" i="71" s="1"/>
  <c r="G102" i="71" a="1"/>
  <c r="G102" i="71" s="1"/>
  <c r="F102" i="71" a="1"/>
  <c r="F102" i="71" s="1"/>
  <c r="E102" i="71" a="1"/>
  <c r="E102" i="71" s="1"/>
  <c r="D102" i="71" a="1"/>
  <c r="D102" i="71" s="1"/>
  <c r="AH101" i="71" a="1"/>
  <c r="AH101" i="71" s="1"/>
  <c r="AG101" i="71" a="1"/>
  <c r="AG101" i="71" s="1"/>
  <c r="AF101" i="71" a="1"/>
  <c r="AF101" i="71" s="1"/>
  <c r="AE101" i="71" a="1"/>
  <c r="AE101" i="71" s="1"/>
  <c r="AD101" i="71" a="1"/>
  <c r="AD101" i="71" s="1"/>
  <c r="AC101" i="71" a="1"/>
  <c r="AC101" i="71" s="1"/>
  <c r="AB101" i="71" a="1"/>
  <c r="AB101" i="71" s="1"/>
  <c r="AA101" i="71" a="1"/>
  <c r="AA101" i="71" s="1"/>
  <c r="Z101" i="71" a="1"/>
  <c r="Z101" i="71" s="1"/>
  <c r="Y101" i="71" a="1"/>
  <c r="Y101" i="71" s="1"/>
  <c r="X101" i="71" a="1"/>
  <c r="X101" i="71" s="1"/>
  <c r="W101" i="71" a="1"/>
  <c r="W101" i="71" s="1"/>
  <c r="V101" i="71" a="1"/>
  <c r="V101" i="71" s="1"/>
  <c r="U101" i="71" a="1"/>
  <c r="U101" i="71" s="1"/>
  <c r="T101" i="71" a="1"/>
  <c r="T101" i="71" s="1"/>
  <c r="S101" i="71" a="1"/>
  <c r="S101" i="71" s="1"/>
  <c r="R101" i="71" a="1"/>
  <c r="R101" i="71" s="1"/>
  <c r="Q101" i="71" a="1"/>
  <c r="Q101" i="71" s="1"/>
  <c r="P101" i="71" a="1"/>
  <c r="P101" i="71" s="1"/>
  <c r="O101" i="71" a="1"/>
  <c r="O101" i="71" s="1"/>
  <c r="N101" i="71" a="1"/>
  <c r="N101" i="71" s="1"/>
  <c r="M101" i="71" a="1"/>
  <c r="M101" i="71" s="1"/>
  <c r="L101" i="71" a="1"/>
  <c r="L101" i="71" s="1"/>
  <c r="K101" i="71" a="1"/>
  <c r="K101" i="71" s="1"/>
  <c r="J101" i="71" a="1"/>
  <c r="J101" i="71" s="1"/>
  <c r="I101" i="71" a="1"/>
  <c r="I101" i="71" s="1"/>
  <c r="H101" i="71" a="1"/>
  <c r="H101" i="71" s="1"/>
  <c r="G101" i="71" a="1"/>
  <c r="G101" i="71" s="1"/>
  <c r="F101" i="71" a="1"/>
  <c r="F101" i="71" s="1"/>
  <c r="E101" i="71" a="1"/>
  <c r="E101" i="71" s="1"/>
  <c r="D101" i="71" a="1"/>
  <c r="D101" i="71" s="1"/>
  <c r="AH100" i="71" a="1"/>
  <c r="AH100" i="71" s="1"/>
  <c r="AG100" i="71" a="1"/>
  <c r="AG100" i="71" s="1"/>
  <c r="AF100" i="71" a="1"/>
  <c r="AF100" i="71" s="1"/>
  <c r="AE100" i="71" a="1"/>
  <c r="AE100" i="71" s="1"/>
  <c r="AD100" i="71" a="1"/>
  <c r="AD100" i="71" s="1"/>
  <c r="AC100" i="71" a="1"/>
  <c r="AC100" i="71" s="1"/>
  <c r="AB100" i="71" a="1"/>
  <c r="AB100" i="71" s="1"/>
  <c r="AA100" i="71" a="1"/>
  <c r="AA100" i="71" s="1"/>
  <c r="Z100" i="71" a="1"/>
  <c r="Z100" i="71" s="1"/>
  <c r="Y100" i="71" a="1"/>
  <c r="Y100" i="71" s="1"/>
  <c r="X100" i="71" a="1"/>
  <c r="X100" i="71" s="1"/>
  <c r="W100" i="71" a="1"/>
  <c r="W100" i="71" s="1"/>
  <c r="V100" i="71" a="1"/>
  <c r="V100" i="71" s="1"/>
  <c r="U100" i="71" a="1"/>
  <c r="U100" i="71" s="1"/>
  <c r="T100" i="71" a="1"/>
  <c r="T100" i="71" s="1"/>
  <c r="S100" i="71" a="1"/>
  <c r="S100" i="71" s="1"/>
  <c r="R100" i="71" a="1"/>
  <c r="R100" i="71" s="1"/>
  <c r="Q100" i="71" a="1"/>
  <c r="Q100" i="71" s="1"/>
  <c r="P100" i="71" a="1"/>
  <c r="P100" i="71" s="1"/>
  <c r="O100" i="71" a="1"/>
  <c r="O100" i="71" s="1"/>
  <c r="N100" i="71" a="1"/>
  <c r="N100" i="71" s="1"/>
  <c r="M100" i="71" a="1"/>
  <c r="M100" i="71" s="1"/>
  <c r="L100" i="71" a="1"/>
  <c r="L100" i="71" s="1"/>
  <c r="K100" i="71" a="1"/>
  <c r="K100" i="71" s="1"/>
  <c r="J100" i="71" a="1"/>
  <c r="J100" i="71" s="1"/>
  <c r="I100" i="71" a="1"/>
  <c r="I100" i="71" s="1"/>
  <c r="H100" i="71" a="1"/>
  <c r="H100" i="71" s="1"/>
  <c r="G100" i="71" a="1"/>
  <c r="G100" i="71" s="1"/>
  <c r="F100" i="71" a="1"/>
  <c r="F100" i="71" s="1"/>
  <c r="E100" i="71" a="1"/>
  <c r="E100" i="71" s="1"/>
  <c r="D100" i="71" a="1"/>
  <c r="D100" i="71" s="1"/>
  <c r="AH99" i="71" a="1"/>
  <c r="AH99" i="71" s="1"/>
  <c r="AG99" i="71" a="1"/>
  <c r="AG99" i="71" s="1"/>
  <c r="AF99" i="71" a="1"/>
  <c r="AF99" i="71" s="1"/>
  <c r="AE99" i="71" a="1"/>
  <c r="AE99" i="71" s="1"/>
  <c r="AD99" i="71" a="1"/>
  <c r="AD99" i="71" s="1"/>
  <c r="AC99" i="71" a="1"/>
  <c r="AC99" i="71" s="1"/>
  <c r="AB99" i="71" a="1"/>
  <c r="AB99" i="71" s="1"/>
  <c r="AA99" i="71" a="1"/>
  <c r="AA99" i="71" s="1"/>
  <c r="Z99" i="71" a="1"/>
  <c r="Z99" i="71" s="1"/>
  <c r="Y99" i="71" a="1"/>
  <c r="Y99" i="71" s="1"/>
  <c r="X99" i="71" a="1"/>
  <c r="X99" i="71" s="1"/>
  <c r="W99" i="71" a="1"/>
  <c r="W99" i="71" s="1"/>
  <c r="V99" i="71" a="1"/>
  <c r="V99" i="71" s="1"/>
  <c r="U99" i="71" a="1"/>
  <c r="U99" i="71" s="1"/>
  <c r="T99" i="71" a="1"/>
  <c r="T99" i="71" s="1"/>
  <c r="S99" i="71" a="1"/>
  <c r="S99" i="71" s="1"/>
  <c r="R99" i="71" a="1"/>
  <c r="R99" i="71" s="1"/>
  <c r="Q99" i="71" a="1"/>
  <c r="Q99" i="71" s="1"/>
  <c r="P99" i="71" a="1"/>
  <c r="P99" i="71" s="1"/>
  <c r="O99" i="71" a="1"/>
  <c r="O99" i="71" s="1"/>
  <c r="N99" i="71" a="1"/>
  <c r="N99" i="71" s="1"/>
  <c r="M99" i="71" a="1"/>
  <c r="M99" i="71" s="1"/>
  <c r="L99" i="71" a="1"/>
  <c r="L99" i="71" s="1"/>
  <c r="K99" i="71" a="1"/>
  <c r="K99" i="71" s="1"/>
  <c r="J99" i="71" a="1"/>
  <c r="J99" i="71" s="1"/>
  <c r="I99" i="71" a="1"/>
  <c r="I99" i="71" s="1"/>
  <c r="H99" i="71" a="1"/>
  <c r="H99" i="71" s="1"/>
  <c r="G99" i="71" a="1"/>
  <c r="G99" i="71" s="1"/>
  <c r="F99" i="71" a="1"/>
  <c r="F99" i="71" s="1"/>
  <c r="E99" i="71" a="1"/>
  <c r="E99" i="71" s="1"/>
  <c r="D99" i="71" a="1"/>
  <c r="D99" i="71" s="1"/>
  <c r="AH98" i="71" a="1"/>
  <c r="AH98" i="71" s="1"/>
  <c r="AG98" i="71" a="1"/>
  <c r="AG98" i="71" s="1"/>
  <c r="AF98" i="71" a="1"/>
  <c r="AF98" i="71" s="1"/>
  <c r="AE98" i="71" a="1"/>
  <c r="AE98" i="71" s="1"/>
  <c r="AD98" i="71" a="1"/>
  <c r="AD98" i="71" s="1"/>
  <c r="AC98" i="71" a="1"/>
  <c r="AC98" i="71" s="1"/>
  <c r="AB98" i="71" a="1"/>
  <c r="AB98" i="71" s="1"/>
  <c r="AA98" i="71" a="1"/>
  <c r="AA98" i="71" s="1"/>
  <c r="Z98" i="71" a="1"/>
  <c r="Z98" i="71" s="1"/>
  <c r="Y98" i="71" a="1"/>
  <c r="Y98" i="71" s="1"/>
  <c r="X98" i="71" a="1"/>
  <c r="X98" i="71" s="1"/>
  <c r="W98" i="71" a="1"/>
  <c r="W98" i="71" s="1"/>
  <c r="V98" i="71" a="1"/>
  <c r="V98" i="71" s="1"/>
  <c r="U98" i="71" a="1"/>
  <c r="U98" i="71" s="1"/>
  <c r="T98" i="71" a="1"/>
  <c r="T98" i="71" s="1"/>
  <c r="S98" i="71" a="1"/>
  <c r="S98" i="71" s="1"/>
  <c r="R98" i="71" a="1"/>
  <c r="R98" i="71" s="1"/>
  <c r="Q98" i="71" a="1"/>
  <c r="Q98" i="71" s="1"/>
  <c r="P98" i="71" a="1"/>
  <c r="P98" i="71" s="1"/>
  <c r="O98" i="71" a="1"/>
  <c r="O98" i="71" s="1"/>
  <c r="N98" i="71" a="1"/>
  <c r="N98" i="71" s="1"/>
  <c r="M98" i="71" a="1"/>
  <c r="M98" i="71" s="1"/>
  <c r="L98" i="71" a="1"/>
  <c r="L98" i="71" s="1"/>
  <c r="K98" i="71" a="1"/>
  <c r="K98" i="71" s="1"/>
  <c r="J98" i="71" a="1"/>
  <c r="J98" i="71" s="1"/>
  <c r="I98" i="71" a="1"/>
  <c r="I98" i="71" s="1"/>
  <c r="H98" i="71" a="1"/>
  <c r="H98" i="71" s="1"/>
  <c r="G98" i="71" a="1"/>
  <c r="G98" i="71" s="1"/>
  <c r="F98" i="71" a="1"/>
  <c r="F98" i="71" s="1"/>
  <c r="E98" i="71" a="1"/>
  <c r="E98" i="71" s="1"/>
  <c r="D98" i="71" a="1"/>
  <c r="D98" i="71" s="1"/>
  <c r="AH97" i="71" a="1"/>
  <c r="AH97" i="71" s="1"/>
  <c r="AG97" i="71" a="1"/>
  <c r="AG97" i="71" s="1"/>
  <c r="AF97" i="71" a="1"/>
  <c r="AF97" i="71" s="1"/>
  <c r="AE97" i="71" a="1"/>
  <c r="AE97" i="71" s="1"/>
  <c r="AD97" i="71" a="1"/>
  <c r="AD97" i="71" s="1"/>
  <c r="AC97" i="71" a="1"/>
  <c r="AC97" i="71" s="1"/>
  <c r="AB97" i="71" a="1"/>
  <c r="AB97" i="71" s="1"/>
  <c r="AA97" i="71" a="1"/>
  <c r="AA97" i="71" s="1"/>
  <c r="Z97" i="71" a="1"/>
  <c r="Z97" i="71" s="1"/>
  <c r="Y97" i="71" a="1"/>
  <c r="Y97" i="71" s="1"/>
  <c r="X97" i="71" a="1"/>
  <c r="X97" i="71" s="1"/>
  <c r="W97" i="71" a="1"/>
  <c r="W97" i="71" s="1"/>
  <c r="V97" i="71" a="1"/>
  <c r="V97" i="71" s="1"/>
  <c r="U97" i="71" a="1"/>
  <c r="U97" i="71" s="1"/>
  <c r="T97" i="71" a="1"/>
  <c r="T97" i="71" s="1"/>
  <c r="S97" i="71" a="1"/>
  <c r="S97" i="71" s="1"/>
  <c r="R97" i="71" a="1"/>
  <c r="R97" i="71" s="1"/>
  <c r="Q97" i="71" a="1"/>
  <c r="Q97" i="71" s="1"/>
  <c r="P97" i="71" a="1"/>
  <c r="P97" i="71" s="1"/>
  <c r="O97" i="71" a="1"/>
  <c r="O97" i="71" s="1"/>
  <c r="N97" i="71" a="1"/>
  <c r="N97" i="71" s="1"/>
  <c r="M97" i="71" a="1"/>
  <c r="M97" i="71" s="1"/>
  <c r="L97" i="71" a="1"/>
  <c r="L97" i="71" s="1"/>
  <c r="K97" i="71" a="1"/>
  <c r="K97" i="71" s="1"/>
  <c r="J97" i="71" a="1"/>
  <c r="J97" i="71" s="1"/>
  <c r="I97" i="71" a="1"/>
  <c r="I97" i="71" s="1"/>
  <c r="H97" i="71" a="1"/>
  <c r="H97" i="71" s="1"/>
  <c r="G97" i="71" a="1"/>
  <c r="G97" i="71" s="1"/>
  <c r="F97" i="71" a="1"/>
  <c r="F97" i="71" s="1"/>
  <c r="E97" i="71" a="1"/>
  <c r="E97" i="71" s="1"/>
  <c r="D97" i="71" a="1"/>
  <c r="D97" i="71" s="1"/>
  <c r="AH96" i="71" a="1"/>
  <c r="AH96" i="71" s="1"/>
  <c r="AG96" i="71" a="1"/>
  <c r="AG96" i="71" s="1"/>
  <c r="AF96" i="71" a="1"/>
  <c r="AF96" i="71" s="1"/>
  <c r="AE96" i="71" a="1"/>
  <c r="AE96" i="71" s="1"/>
  <c r="AD96" i="71" a="1"/>
  <c r="AD96" i="71" s="1"/>
  <c r="AC96" i="71" a="1"/>
  <c r="AC96" i="71" s="1"/>
  <c r="AB96" i="71" a="1"/>
  <c r="AB96" i="71" s="1"/>
  <c r="AA96" i="71" a="1"/>
  <c r="AA96" i="71" s="1"/>
  <c r="Z96" i="71" a="1"/>
  <c r="Z96" i="71" s="1"/>
  <c r="Y96" i="71" a="1"/>
  <c r="Y96" i="71" s="1"/>
  <c r="X96" i="71" a="1"/>
  <c r="X96" i="71" s="1"/>
  <c r="W96" i="71" a="1"/>
  <c r="W96" i="71" s="1"/>
  <c r="V96" i="71" a="1"/>
  <c r="V96" i="71" s="1"/>
  <c r="U96" i="71" a="1"/>
  <c r="U96" i="71" s="1"/>
  <c r="T96" i="71" a="1"/>
  <c r="T96" i="71" s="1"/>
  <c r="S96" i="71" a="1"/>
  <c r="S96" i="71" s="1"/>
  <c r="R96" i="71" a="1"/>
  <c r="R96" i="71" s="1"/>
  <c r="Q96" i="71" a="1"/>
  <c r="Q96" i="71" s="1"/>
  <c r="P96" i="71" a="1"/>
  <c r="P96" i="71" s="1"/>
  <c r="O96" i="71" a="1"/>
  <c r="O96" i="71" s="1"/>
  <c r="N96" i="71" a="1"/>
  <c r="N96" i="71" s="1"/>
  <c r="M96" i="71" a="1"/>
  <c r="M96" i="71" s="1"/>
  <c r="L96" i="71" a="1"/>
  <c r="L96" i="71" s="1"/>
  <c r="K96" i="71" a="1"/>
  <c r="K96" i="71" s="1"/>
  <c r="J96" i="71" a="1"/>
  <c r="J96" i="71" s="1"/>
  <c r="I96" i="71" a="1"/>
  <c r="I96" i="71" s="1"/>
  <c r="H96" i="71" a="1"/>
  <c r="H96" i="71" s="1"/>
  <c r="G96" i="71" a="1"/>
  <c r="G96" i="71" s="1"/>
  <c r="F96" i="71" a="1"/>
  <c r="F96" i="71" s="1"/>
  <c r="E96" i="71" a="1"/>
  <c r="E96" i="71" s="1"/>
  <c r="D96" i="71" a="1"/>
  <c r="D96" i="71" s="1"/>
  <c r="AH95" i="71" a="1"/>
  <c r="AH95" i="71" s="1"/>
  <c r="AG95" i="71" a="1"/>
  <c r="AG95" i="71" s="1"/>
  <c r="AF95" i="71" a="1"/>
  <c r="AF95" i="71" s="1"/>
  <c r="AE95" i="71" a="1"/>
  <c r="AE95" i="71" s="1"/>
  <c r="AD95" i="71" a="1"/>
  <c r="AD95" i="71" s="1"/>
  <c r="AC95" i="71" a="1"/>
  <c r="AC95" i="71" s="1"/>
  <c r="AB95" i="71" a="1"/>
  <c r="AB95" i="71" s="1"/>
  <c r="AA95" i="71" a="1"/>
  <c r="AA95" i="71" s="1"/>
  <c r="Z95" i="71" a="1"/>
  <c r="Z95" i="71" s="1"/>
  <c r="Y95" i="71" a="1"/>
  <c r="Y95" i="71" s="1"/>
  <c r="X95" i="71" a="1"/>
  <c r="X95" i="71" s="1"/>
  <c r="W95" i="71" a="1"/>
  <c r="W95" i="71" s="1"/>
  <c r="V95" i="71" a="1"/>
  <c r="V95" i="71" s="1"/>
  <c r="U95" i="71" a="1"/>
  <c r="U95" i="71" s="1"/>
  <c r="T95" i="71" a="1"/>
  <c r="T95" i="71" s="1"/>
  <c r="S95" i="71" a="1"/>
  <c r="S95" i="71" s="1"/>
  <c r="R95" i="71" a="1"/>
  <c r="R95" i="71" s="1"/>
  <c r="Q95" i="71" a="1"/>
  <c r="Q95" i="71" s="1"/>
  <c r="P95" i="71" a="1"/>
  <c r="P95" i="71" s="1"/>
  <c r="O95" i="71" a="1"/>
  <c r="O95" i="71" s="1"/>
  <c r="N95" i="71" a="1"/>
  <c r="N95" i="71" s="1"/>
  <c r="M95" i="71" a="1"/>
  <c r="M95" i="71" s="1"/>
  <c r="L95" i="71" a="1"/>
  <c r="L95" i="71" s="1"/>
  <c r="K95" i="71" a="1"/>
  <c r="K95" i="71" s="1"/>
  <c r="J95" i="71" a="1"/>
  <c r="J95" i="71" s="1"/>
  <c r="I95" i="71" a="1"/>
  <c r="I95" i="71" s="1"/>
  <c r="H95" i="71" a="1"/>
  <c r="H95" i="71" s="1"/>
  <c r="G95" i="71" a="1"/>
  <c r="G95" i="71" s="1"/>
  <c r="F95" i="71" a="1"/>
  <c r="F95" i="71" s="1"/>
  <c r="E95" i="71" a="1"/>
  <c r="E95" i="71" s="1"/>
  <c r="D95" i="71" a="1"/>
  <c r="D95" i="71" s="1"/>
  <c r="AH94" i="71" a="1"/>
  <c r="AH94" i="71" s="1"/>
  <c r="AG94" i="71" a="1"/>
  <c r="AG94" i="71" s="1"/>
  <c r="AF94" i="71" a="1"/>
  <c r="AF94" i="71" s="1"/>
  <c r="AE94" i="71" a="1"/>
  <c r="AE94" i="71" s="1"/>
  <c r="AD94" i="71" a="1"/>
  <c r="AD94" i="71" s="1"/>
  <c r="AC94" i="71" a="1"/>
  <c r="AC94" i="71" s="1"/>
  <c r="AB94" i="71" a="1"/>
  <c r="AB94" i="71" s="1"/>
  <c r="AA94" i="71" a="1"/>
  <c r="AA94" i="71" s="1"/>
  <c r="Z94" i="71" a="1"/>
  <c r="Z94" i="71" s="1"/>
  <c r="Y94" i="71" a="1"/>
  <c r="Y94" i="71" s="1"/>
  <c r="X94" i="71" a="1"/>
  <c r="X94" i="71" s="1"/>
  <c r="W94" i="71" a="1"/>
  <c r="W94" i="71" s="1"/>
  <c r="V94" i="71" a="1"/>
  <c r="V94" i="71" s="1"/>
  <c r="U94" i="71" a="1"/>
  <c r="U94" i="71" s="1"/>
  <c r="T94" i="71" a="1"/>
  <c r="T94" i="71" s="1"/>
  <c r="S94" i="71" a="1"/>
  <c r="S94" i="71" s="1"/>
  <c r="R94" i="71" a="1"/>
  <c r="R94" i="71" s="1"/>
  <c r="Q94" i="71" a="1"/>
  <c r="Q94" i="71" s="1"/>
  <c r="P94" i="71" a="1"/>
  <c r="P94" i="71" s="1"/>
  <c r="O94" i="71" a="1"/>
  <c r="O94" i="71" s="1"/>
  <c r="N94" i="71" a="1"/>
  <c r="N94" i="71" s="1"/>
  <c r="M94" i="71" a="1"/>
  <c r="M94" i="71" s="1"/>
  <c r="L94" i="71" a="1"/>
  <c r="L94" i="71" s="1"/>
  <c r="K94" i="71" a="1"/>
  <c r="K94" i="71" s="1"/>
  <c r="J94" i="71" a="1"/>
  <c r="J94" i="71" s="1"/>
  <c r="I94" i="71" a="1"/>
  <c r="I94" i="71" s="1"/>
  <c r="H94" i="71" a="1"/>
  <c r="H94" i="71" s="1"/>
  <c r="G94" i="71" a="1"/>
  <c r="G94" i="71" s="1"/>
  <c r="F94" i="71" a="1"/>
  <c r="F94" i="71" s="1"/>
  <c r="E94" i="71" a="1"/>
  <c r="E94" i="71" s="1"/>
  <c r="D94" i="71" a="1"/>
  <c r="D94" i="71" s="1"/>
  <c r="AH93" i="71" a="1"/>
  <c r="AH93" i="71" s="1"/>
  <c r="AG93" i="71" a="1"/>
  <c r="AG93" i="71" s="1"/>
  <c r="AF93" i="71" a="1"/>
  <c r="AF93" i="71" s="1"/>
  <c r="AE93" i="71" a="1"/>
  <c r="AE93" i="71" s="1"/>
  <c r="AD93" i="71" a="1"/>
  <c r="AD93" i="71" s="1"/>
  <c r="AC93" i="71" a="1"/>
  <c r="AC93" i="71" s="1"/>
  <c r="AB93" i="71" a="1"/>
  <c r="AB93" i="71" s="1"/>
  <c r="AA93" i="71" a="1"/>
  <c r="AA93" i="71" s="1"/>
  <c r="Z93" i="71" a="1"/>
  <c r="Z93" i="71" s="1"/>
  <c r="Y93" i="71" a="1"/>
  <c r="Y93" i="71" s="1"/>
  <c r="X93" i="71" a="1"/>
  <c r="X93" i="71" s="1"/>
  <c r="W93" i="71" a="1"/>
  <c r="W93" i="71" s="1"/>
  <c r="V93" i="71" a="1"/>
  <c r="V93" i="71" s="1"/>
  <c r="U93" i="71" a="1"/>
  <c r="U93" i="71" s="1"/>
  <c r="T93" i="71" a="1"/>
  <c r="T93" i="71" s="1"/>
  <c r="S93" i="71" a="1"/>
  <c r="S93" i="71" s="1"/>
  <c r="R93" i="71" a="1"/>
  <c r="R93" i="71" s="1"/>
  <c r="Q93" i="71" a="1"/>
  <c r="Q93" i="71" s="1"/>
  <c r="P93" i="71" a="1"/>
  <c r="P93" i="71" s="1"/>
  <c r="O93" i="71" a="1"/>
  <c r="O93" i="71" s="1"/>
  <c r="N93" i="71" a="1"/>
  <c r="N93" i="71" s="1"/>
  <c r="M93" i="71" a="1"/>
  <c r="M93" i="71" s="1"/>
  <c r="L93" i="71" a="1"/>
  <c r="L93" i="71" s="1"/>
  <c r="K93" i="71" a="1"/>
  <c r="K93" i="71" s="1"/>
  <c r="J93" i="71" a="1"/>
  <c r="J93" i="71" s="1"/>
  <c r="I93" i="71" a="1"/>
  <c r="I93" i="71" s="1"/>
  <c r="H93" i="71" a="1"/>
  <c r="H93" i="71" s="1"/>
  <c r="G93" i="71" a="1"/>
  <c r="G93" i="71" s="1"/>
  <c r="F93" i="71" a="1"/>
  <c r="F93" i="71" s="1"/>
  <c r="E93" i="71" a="1"/>
  <c r="E93" i="71" s="1"/>
  <c r="D93" i="71" a="1"/>
  <c r="D93" i="71" s="1"/>
  <c r="AH92" i="71" a="1"/>
  <c r="AH92" i="71" s="1"/>
  <c r="AG92" i="71" a="1"/>
  <c r="AG92" i="71" s="1"/>
  <c r="AF92" i="71" a="1"/>
  <c r="AF92" i="71" s="1"/>
  <c r="AE92" i="71" a="1"/>
  <c r="AE92" i="71" s="1"/>
  <c r="AD92" i="71" a="1"/>
  <c r="AD92" i="71" s="1"/>
  <c r="AC92" i="71" a="1"/>
  <c r="AC92" i="71" s="1"/>
  <c r="AB92" i="71" a="1"/>
  <c r="AB92" i="71" s="1"/>
  <c r="AA92" i="71" a="1"/>
  <c r="AA92" i="71" s="1"/>
  <c r="Z92" i="71" a="1"/>
  <c r="Z92" i="71" s="1"/>
  <c r="Y92" i="71" a="1"/>
  <c r="Y92" i="71" s="1"/>
  <c r="X92" i="71" a="1"/>
  <c r="X92" i="71" s="1"/>
  <c r="W92" i="71" a="1"/>
  <c r="W92" i="71" s="1"/>
  <c r="V92" i="71" a="1"/>
  <c r="V92" i="71" s="1"/>
  <c r="U92" i="71" a="1"/>
  <c r="U92" i="71" s="1"/>
  <c r="T92" i="71" a="1"/>
  <c r="T92" i="71" s="1"/>
  <c r="S92" i="71" a="1"/>
  <c r="S92" i="71" s="1"/>
  <c r="R92" i="71" a="1"/>
  <c r="R92" i="71" s="1"/>
  <c r="Q92" i="71" a="1"/>
  <c r="Q92" i="71" s="1"/>
  <c r="P92" i="71" a="1"/>
  <c r="P92" i="71" s="1"/>
  <c r="O92" i="71" a="1"/>
  <c r="O92" i="71" s="1"/>
  <c r="N92" i="71" a="1"/>
  <c r="N92" i="71" s="1"/>
  <c r="M92" i="71" a="1"/>
  <c r="M92" i="71" s="1"/>
  <c r="L92" i="71" a="1"/>
  <c r="L92" i="71" s="1"/>
  <c r="K92" i="71" a="1"/>
  <c r="K92" i="71" s="1"/>
  <c r="J92" i="71" a="1"/>
  <c r="J92" i="71" s="1"/>
  <c r="I92" i="71" a="1"/>
  <c r="I92" i="71" s="1"/>
  <c r="H92" i="71" a="1"/>
  <c r="H92" i="71" s="1"/>
  <c r="G92" i="71" a="1"/>
  <c r="G92" i="71" s="1"/>
  <c r="F92" i="71" a="1"/>
  <c r="F92" i="71" s="1"/>
  <c r="E92" i="71" a="1"/>
  <c r="E92" i="71" s="1"/>
  <c r="D92" i="71" a="1"/>
  <c r="D92" i="71" s="1"/>
  <c r="AH91" i="71" a="1"/>
  <c r="AH91" i="71" s="1"/>
  <c r="AG91" i="71" a="1"/>
  <c r="AG91" i="71" s="1"/>
  <c r="AF91" i="71" a="1"/>
  <c r="AF91" i="71" s="1"/>
  <c r="AE91" i="71" a="1"/>
  <c r="AE91" i="71" s="1"/>
  <c r="AD91" i="71" a="1"/>
  <c r="AD91" i="71" s="1"/>
  <c r="AC91" i="71" a="1"/>
  <c r="AC91" i="71" s="1"/>
  <c r="AB91" i="71" a="1"/>
  <c r="AB91" i="71" s="1"/>
  <c r="AA91" i="71" a="1"/>
  <c r="AA91" i="71" s="1"/>
  <c r="Z91" i="71" a="1"/>
  <c r="Z91" i="71" s="1"/>
  <c r="Y91" i="71" a="1"/>
  <c r="Y91" i="71" s="1"/>
  <c r="X91" i="71" a="1"/>
  <c r="X91" i="71" s="1"/>
  <c r="W91" i="71" a="1"/>
  <c r="W91" i="71" s="1"/>
  <c r="V91" i="71" a="1"/>
  <c r="V91" i="71" s="1"/>
  <c r="U91" i="71" a="1"/>
  <c r="U91" i="71" s="1"/>
  <c r="T91" i="71" a="1"/>
  <c r="T91" i="71" s="1"/>
  <c r="S91" i="71" a="1"/>
  <c r="S91" i="71" s="1"/>
  <c r="R91" i="71" a="1"/>
  <c r="R91" i="71" s="1"/>
  <c r="Q91" i="71" a="1"/>
  <c r="Q91" i="71" s="1"/>
  <c r="P91" i="71" a="1"/>
  <c r="P91" i="71" s="1"/>
  <c r="O91" i="71" a="1"/>
  <c r="O91" i="71" s="1"/>
  <c r="N91" i="71" a="1"/>
  <c r="N91" i="71" s="1"/>
  <c r="M91" i="71" a="1"/>
  <c r="M91" i="71" s="1"/>
  <c r="L91" i="71" a="1"/>
  <c r="L91" i="71" s="1"/>
  <c r="K91" i="71" a="1"/>
  <c r="K91" i="71" s="1"/>
  <c r="J91" i="71" a="1"/>
  <c r="J91" i="71" s="1"/>
  <c r="I91" i="71" a="1"/>
  <c r="I91" i="71" s="1"/>
  <c r="H91" i="71" a="1"/>
  <c r="H91" i="71" s="1"/>
  <c r="G91" i="71" a="1"/>
  <c r="G91" i="71" s="1"/>
  <c r="F91" i="71" a="1"/>
  <c r="F91" i="71" s="1"/>
  <c r="E91" i="71" a="1"/>
  <c r="E91" i="71" s="1"/>
  <c r="D91" i="71" a="1"/>
  <c r="D91" i="71" s="1"/>
  <c r="AH90" i="71" a="1"/>
  <c r="AH90" i="71" s="1"/>
  <c r="AG90" i="71" a="1"/>
  <c r="AG90" i="71" s="1"/>
  <c r="AF90" i="71" a="1"/>
  <c r="AF90" i="71" s="1"/>
  <c r="AE90" i="71" a="1"/>
  <c r="AE90" i="71" s="1"/>
  <c r="AD90" i="71" a="1"/>
  <c r="AD90" i="71" s="1"/>
  <c r="AC90" i="71" a="1"/>
  <c r="AC90" i="71" s="1"/>
  <c r="AB90" i="71" a="1"/>
  <c r="AB90" i="71" s="1"/>
  <c r="AA90" i="71" a="1"/>
  <c r="AA90" i="71" s="1"/>
  <c r="Z90" i="71" a="1"/>
  <c r="Z90" i="71" s="1"/>
  <c r="Y90" i="71" a="1"/>
  <c r="Y90" i="71" s="1"/>
  <c r="X90" i="71" a="1"/>
  <c r="X90" i="71" s="1"/>
  <c r="W90" i="71" a="1"/>
  <c r="W90" i="71" s="1"/>
  <c r="V90" i="71" a="1"/>
  <c r="V90" i="71" s="1"/>
  <c r="U90" i="71" a="1"/>
  <c r="U90" i="71" s="1"/>
  <c r="T90" i="71" a="1"/>
  <c r="T90" i="71" s="1"/>
  <c r="S90" i="71" a="1"/>
  <c r="S90" i="71" s="1"/>
  <c r="R90" i="71" a="1"/>
  <c r="R90" i="71" s="1"/>
  <c r="Q90" i="71" a="1"/>
  <c r="Q90" i="71" s="1"/>
  <c r="P90" i="71" a="1"/>
  <c r="P90" i="71" s="1"/>
  <c r="O90" i="71" a="1"/>
  <c r="O90" i="71" s="1"/>
  <c r="N90" i="71" a="1"/>
  <c r="N90" i="71" s="1"/>
  <c r="M90" i="71" a="1"/>
  <c r="M90" i="71" s="1"/>
  <c r="L90" i="71" a="1"/>
  <c r="L90" i="71" s="1"/>
  <c r="K90" i="71" a="1"/>
  <c r="K90" i="71" s="1"/>
  <c r="J90" i="71" a="1"/>
  <c r="J90" i="71" s="1"/>
  <c r="I90" i="71" a="1"/>
  <c r="I90" i="71" s="1"/>
  <c r="H90" i="71" a="1"/>
  <c r="H90" i="71" s="1"/>
  <c r="G90" i="71" a="1"/>
  <c r="G90" i="71" s="1"/>
  <c r="F90" i="71" a="1"/>
  <c r="F90" i="71" s="1"/>
  <c r="E90" i="71" a="1"/>
  <c r="E90" i="71" s="1"/>
  <c r="R21" i="62" s="1" a="1"/>
  <c r="R21" i="62" s="1"/>
  <c r="D90" i="71" a="1"/>
  <c r="D90" i="71" s="1"/>
  <c r="F83" i="71" a="1"/>
  <c r="F83" i="71" s="1"/>
  <c r="E83" i="71" a="1"/>
  <c r="E83" i="71" s="1"/>
  <c r="D83" i="71" a="1"/>
  <c r="D83" i="71" s="1"/>
  <c r="D82" i="71" a="1"/>
  <c r="D82" i="71" s="1"/>
  <c r="D81" i="71" a="1"/>
  <c r="D81" i="71" s="1"/>
  <c r="F78" i="71" a="1"/>
  <c r="F78" i="71" s="1"/>
  <c r="E78" i="71" a="1"/>
  <c r="E78" i="71" s="1"/>
  <c r="D78" i="71" a="1"/>
  <c r="D78" i="71" s="1"/>
  <c r="D77" i="71" a="1"/>
  <c r="D77" i="71" s="1"/>
  <c r="D76" i="71" a="1"/>
  <c r="D76" i="71" s="1"/>
  <c r="F73" i="71" a="1"/>
  <c r="F73" i="71" s="1"/>
  <c r="E73" i="71" a="1"/>
  <c r="E73" i="71" s="1"/>
  <c r="D73" i="71" a="1"/>
  <c r="D73" i="71" s="1"/>
  <c r="D72" i="71" a="1"/>
  <c r="D72" i="71" s="1"/>
  <c r="D71" i="71" a="1"/>
  <c r="D71" i="71" s="1"/>
  <c r="F68" i="71" a="1"/>
  <c r="F68" i="71" s="1"/>
  <c r="E68" i="71" a="1"/>
  <c r="E68" i="71" s="1"/>
  <c r="D68" i="71" a="1"/>
  <c r="D68" i="71" s="1"/>
  <c r="F67" i="71" a="1"/>
  <c r="F67" i="71" s="1"/>
  <c r="E67" i="71" a="1"/>
  <c r="E67" i="71" s="1"/>
  <c r="D67" i="71" a="1"/>
  <c r="D67" i="71" s="1"/>
  <c r="F66" i="71" a="1"/>
  <c r="F66" i="71" s="1"/>
  <c r="E66" i="71" a="1"/>
  <c r="E66" i="71" s="1"/>
  <c r="D66" i="71" a="1"/>
  <c r="D66" i="71" s="1"/>
  <c r="D64" i="71" a="1"/>
  <c r="D64" i="71" s="1"/>
  <c r="D63" i="71" a="1"/>
  <c r="D63" i="71" s="1"/>
  <c r="F60" i="71" a="1"/>
  <c r="F60" i="71" s="1"/>
  <c r="E60" i="71" a="1"/>
  <c r="E60" i="71" s="1"/>
  <c r="D60" i="71" a="1"/>
  <c r="D60" i="71" s="1"/>
  <c r="D59" i="71" a="1"/>
  <c r="D59" i="71" s="1"/>
  <c r="D58" i="71" a="1"/>
  <c r="D58" i="71" s="1"/>
  <c r="E55" i="71" a="1"/>
  <c r="E55" i="71" s="1"/>
  <c r="D55" i="71" a="1"/>
  <c r="D55" i="71" s="1"/>
  <c r="E54" i="71" a="1"/>
  <c r="E54" i="71" s="1"/>
  <c r="D54" i="71" a="1"/>
  <c r="D54" i="71" s="1"/>
  <c r="E53" i="71" a="1"/>
  <c r="E53" i="71" s="1"/>
  <c r="D53" i="71" a="1"/>
  <c r="D53" i="71" s="1"/>
  <c r="E52" i="71" a="1"/>
  <c r="E52" i="71" s="1"/>
  <c r="D52" i="71" a="1"/>
  <c r="D52" i="71" s="1"/>
  <c r="E51" i="71" a="1"/>
  <c r="E51" i="71" s="1"/>
  <c r="D51" i="71" a="1"/>
  <c r="D51" i="71" s="1"/>
  <c r="D49" i="71" a="1"/>
  <c r="D49" i="71" s="1"/>
  <c r="D48" i="71" a="1"/>
  <c r="D48" i="71" s="1"/>
  <c r="I38" i="71" a="1"/>
  <c r="I38" i="71" s="1"/>
  <c r="H38" i="71" a="1"/>
  <c r="H38" i="71" s="1"/>
  <c r="G38" i="71" a="1"/>
  <c r="G38" i="71" s="1"/>
  <c r="F38" i="71" a="1"/>
  <c r="F38" i="71" s="1"/>
  <c r="E38" i="71" a="1"/>
  <c r="E38" i="71" s="1"/>
  <c r="D38" i="71" a="1"/>
  <c r="D38" i="71" s="1"/>
  <c r="G180" i="20" s="1"/>
  <c r="I37" i="71" a="1"/>
  <c r="I37" i="71" s="1"/>
  <c r="H37" i="71" a="1"/>
  <c r="H37" i="71" s="1"/>
  <c r="G37" i="71" a="1"/>
  <c r="G37" i="71" s="1"/>
  <c r="F37" i="71" a="1"/>
  <c r="F37" i="71" s="1"/>
  <c r="E37" i="71" a="1"/>
  <c r="E37" i="71" s="1"/>
  <c r="D37" i="71" a="1"/>
  <c r="D37" i="71" s="1"/>
  <c r="G177" i="20" s="1"/>
  <c r="I36" i="71" a="1"/>
  <c r="I36" i="71" s="1"/>
  <c r="H36" i="71" a="1"/>
  <c r="H36" i="71" s="1"/>
  <c r="G36" i="71" a="1"/>
  <c r="G36" i="71" s="1"/>
  <c r="F36" i="71" a="1"/>
  <c r="F36" i="71" s="1"/>
  <c r="E36" i="71" a="1"/>
  <c r="E36" i="71" s="1"/>
  <c r="D36" i="71" a="1"/>
  <c r="D36" i="71" s="1"/>
  <c r="G190" i="20" s="1"/>
  <c r="I35" i="71" a="1"/>
  <c r="I35" i="71" s="1"/>
  <c r="H35" i="71" a="1"/>
  <c r="H35" i="71" s="1"/>
  <c r="G35" i="71" a="1"/>
  <c r="G35" i="71" s="1"/>
  <c r="F35" i="71" a="1"/>
  <c r="F35" i="71" s="1"/>
  <c r="E35" i="71" a="1"/>
  <c r="E35" i="71" s="1"/>
  <c r="D35" i="71" a="1"/>
  <c r="D35" i="71" s="1"/>
  <c r="G182" i="20" s="1"/>
  <c r="I34" i="71" a="1"/>
  <c r="I34" i="71" s="1"/>
  <c r="H34" i="71" a="1"/>
  <c r="H34" i="71" s="1"/>
  <c r="G34" i="71" a="1"/>
  <c r="G34" i="71" s="1"/>
  <c r="F34" i="71" a="1"/>
  <c r="F34" i="71" s="1"/>
  <c r="E34" i="71" a="1"/>
  <c r="E34" i="71" s="1"/>
  <c r="D34" i="71" a="1"/>
  <c r="D34" i="71" s="1"/>
  <c r="G184" i="20" s="1"/>
  <c r="I33" i="71" a="1"/>
  <c r="I33" i="71" s="1"/>
  <c r="H33" i="71" a="1"/>
  <c r="H33" i="71" s="1"/>
  <c r="G33" i="71" a="1"/>
  <c r="G33" i="71" s="1"/>
  <c r="F33" i="71" a="1"/>
  <c r="F33" i="71" s="1"/>
  <c r="E33" i="71" a="1"/>
  <c r="E33" i="71" s="1"/>
  <c r="D33" i="71" a="1"/>
  <c r="D33" i="71" s="1"/>
  <c r="G198" i="20" s="1"/>
  <c r="I32" i="71" a="1"/>
  <c r="I32" i="71" s="1"/>
  <c r="H32" i="71" a="1"/>
  <c r="H32" i="71" s="1"/>
  <c r="G32" i="71" a="1"/>
  <c r="G32" i="71" s="1"/>
  <c r="F32" i="71" a="1"/>
  <c r="F32" i="71" s="1"/>
  <c r="E32" i="71" a="1"/>
  <c r="E32" i="71" s="1"/>
  <c r="D32" i="71" a="1"/>
  <c r="D32" i="71" s="1"/>
  <c r="G191" i="20" s="1"/>
  <c r="I31" i="71" a="1"/>
  <c r="I31" i="71" s="1"/>
  <c r="H31" i="71" a="1"/>
  <c r="H31" i="71" s="1"/>
  <c r="G31" i="71" a="1"/>
  <c r="G31" i="71" s="1"/>
  <c r="F31" i="71" a="1"/>
  <c r="F31" i="71" s="1"/>
  <c r="E31" i="71" a="1"/>
  <c r="E31" i="71" s="1"/>
  <c r="D31" i="71" a="1"/>
  <c r="D31" i="71" s="1"/>
  <c r="G189" i="20" s="1"/>
  <c r="I30" i="71" a="1"/>
  <c r="I30" i="71" s="1"/>
  <c r="H30" i="71" a="1"/>
  <c r="H30" i="71" s="1"/>
  <c r="G30" i="71" a="1"/>
  <c r="G30" i="71" s="1"/>
  <c r="F30" i="71" a="1"/>
  <c r="F30" i="71" s="1"/>
  <c r="E30" i="71" a="1"/>
  <c r="E30" i="71" s="1"/>
  <c r="D30" i="71" a="1"/>
  <c r="D30" i="71" s="1"/>
  <c r="G188" i="20" s="1"/>
  <c r="I29" i="71" a="1"/>
  <c r="I29" i="71" s="1"/>
  <c r="H29" i="71" a="1"/>
  <c r="H29" i="71" s="1"/>
  <c r="G29" i="71" a="1"/>
  <c r="G29" i="71" s="1"/>
  <c r="F29" i="71" a="1"/>
  <c r="F29" i="71" s="1"/>
  <c r="E29" i="71" a="1"/>
  <c r="E29" i="71" s="1"/>
  <c r="D29" i="71" a="1"/>
  <c r="D29" i="71" s="1"/>
  <c r="G186" i="20" s="1"/>
  <c r="R28" i="71" a="1"/>
  <c r="R28" i="71" s="1"/>
  <c r="Q28" i="71" a="1"/>
  <c r="Q28" i="71" s="1"/>
  <c r="L28" i="71" a="1"/>
  <c r="L28" i="71" s="1"/>
  <c r="K28" i="71" a="1"/>
  <c r="K28" i="71" s="1"/>
  <c r="I28" i="71" a="1"/>
  <c r="I28" i="71" s="1"/>
  <c r="H28" i="71" a="1"/>
  <c r="H28" i="71" s="1"/>
  <c r="G28" i="71" a="1"/>
  <c r="G28" i="71" s="1"/>
  <c r="F28" i="71" a="1"/>
  <c r="F28" i="71" s="1"/>
  <c r="E28" i="71" a="1"/>
  <c r="E28" i="71" s="1"/>
  <c r="D28" i="71" a="1"/>
  <c r="D28" i="71" s="1"/>
  <c r="G187" i="20" s="1"/>
  <c r="R27" i="71" a="1"/>
  <c r="R27" i="71" s="1"/>
  <c r="Q27" i="71" a="1"/>
  <c r="Q27" i="71" s="1"/>
  <c r="L27" i="71" a="1"/>
  <c r="L27" i="71" s="1"/>
  <c r="K27" i="71" a="1"/>
  <c r="K27" i="71" s="1"/>
  <c r="I27" i="71" a="1"/>
  <c r="I27" i="71" s="1"/>
  <c r="H27" i="71" a="1"/>
  <c r="H27" i="71" s="1"/>
  <c r="G27" i="71" a="1"/>
  <c r="G27" i="71" s="1"/>
  <c r="F27" i="71" a="1"/>
  <c r="F27" i="71" s="1"/>
  <c r="E27" i="71" a="1"/>
  <c r="E27" i="71" s="1"/>
  <c r="D27" i="71" a="1"/>
  <c r="D27" i="71" s="1"/>
  <c r="G185" i="20" s="1"/>
  <c r="R26" i="71" a="1"/>
  <c r="R26" i="71" s="1"/>
  <c r="Q26" i="71" a="1"/>
  <c r="Q26" i="71" s="1"/>
  <c r="L26" i="71" a="1"/>
  <c r="L26" i="71" s="1"/>
  <c r="K26" i="71" a="1"/>
  <c r="K26" i="71" s="1"/>
  <c r="I26" i="71" a="1"/>
  <c r="I26" i="71" s="1"/>
  <c r="H26" i="71" a="1"/>
  <c r="H26" i="71" s="1"/>
  <c r="G26" i="71" a="1"/>
  <c r="G26" i="71" s="1"/>
  <c r="F26" i="71" a="1"/>
  <c r="F26" i="71" s="1"/>
  <c r="E26" i="71" a="1"/>
  <c r="E26" i="71" s="1"/>
  <c r="D26" i="71" a="1"/>
  <c r="D26" i="71" s="1"/>
  <c r="G179" i="20" s="1"/>
  <c r="R25" i="71" a="1"/>
  <c r="R25" i="71" s="1"/>
  <c r="Q25" i="71" a="1"/>
  <c r="Q25" i="71" s="1"/>
  <c r="L25" i="71" a="1"/>
  <c r="L25" i="71" s="1"/>
  <c r="K25" i="71" a="1"/>
  <c r="K25" i="71" s="1"/>
  <c r="I25" i="71" a="1"/>
  <c r="I25" i="71" s="1"/>
  <c r="H25" i="71" a="1"/>
  <c r="H25" i="71" s="1"/>
  <c r="G25" i="71" a="1"/>
  <c r="G25" i="71" s="1"/>
  <c r="F25" i="71" a="1"/>
  <c r="F25" i="71" s="1"/>
  <c r="E25" i="71" a="1"/>
  <c r="E25" i="71" s="1"/>
  <c r="D25" i="71" a="1"/>
  <c r="D25" i="71" s="1"/>
  <c r="G178" i="20" s="1"/>
  <c r="R24" i="71" a="1"/>
  <c r="R24" i="71" s="1"/>
  <c r="Q24" i="71" a="1"/>
  <c r="Q24" i="71" s="1"/>
  <c r="L24" i="71" a="1"/>
  <c r="L24" i="71" s="1"/>
  <c r="K24" i="71" a="1"/>
  <c r="K24" i="71" s="1"/>
  <c r="I24" i="71" a="1"/>
  <c r="I24" i="71" s="1"/>
  <c r="H24" i="71" a="1"/>
  <c r="H24" i="71" s="1"/>
  <c r="G24" i="71" a="1"/>
  <c r="G24" i="71" s="1"/>
  <c r="F24" i="71" a="1"/>
  <c r="F24" i="71" s="1"/>
  <c r="E24" i="71" a="1"/>
  <c r="E24" i="71" s="1"/>
  <c r="D24" i="71" a="1"/>
  <c r="D24" i="71" s="1"/>
  <c r="G193" i="20" s="1"/>
  <c r="V23" i="71" a="1"/>
  <c r="V23" i="71" s="1"/>
  <c r="I177" i="20" s="1"/>
  <c r="R23" i="71" a="1"/>
  <c r="R23" i="71" s="1"/>
  <c r="Q23" i="71" a="1"/>
  <c r="Q23" i="71" s="1"/>
  <c r="L23" i="71" a="1"/>
  <c r="L23" i="71" s="1"/>
  <c r="K23" i="71" a="1"/>
  <c r="K23" i="71" s="1"/>
  <c r="I23" i="71" a="1"/>
  <c r="I23" i="71" s="1"/>
  <c r="H23" i="71" a="1"/>
  <c r="H23" i="71" s="1"/>
  <c r="G23" i="71" a="1"/>
  <c r="G23" i="71" s="1"/>
  <c r="F23" i="71" a="1"/>
  <c r="F23" i="71" s="1"/>
  <c r="E23" i="71" a="1"/>
  <c r="E23" i="71" s="1"/>
  <c r="D23" i="71" a="1"/>
  <c r="D23" i="71" s="1"/>
  <c r="G192" i="20" s="1"/>
  <c r="V22" i="71" a="1"/>
  <c r="V22" i="71" s="1"/>
  <c r="I176" i="20" s="1"/>
  <c r="R22" i="71" a="1"/>
  <c r="R22" i="71" s="1"/>
  <c r="Q22" i="71" a="1"/>
  <c r="Q22" i="71" s="1"/>
  <c r="L22" i="71" a="1"/>
  <c r="L22" i="71" s="1"/>
  <c r="K22" i="71" a="1"/>
  <c r="K22" i="71" s="1"/>
  <c r="I22" i="71" a="1"/>
  <c r="I22" i="71" s="1"/>
  <c r="H22" i="71" a="1"/>
  <c r="H22" i="71" s="1"/>
  <c r="G22" i="71" a="1"/>
  <c r="G22" i="71" s="1"/>
  <c r="F22" i="71" a="1"/>
  <c r="F22" i="71" s="1"/>
  <c r="E22" i="71" a="1"/>
  <c r="E22" i="71" s="1"/>
  <c r="D22" i="71" a="1"/>
  <c r="D22" i="71" s="1"/>
  <c r="G197" i="20" s="1"/>
  <c r="V21" i="71" a="1"/>
  <c r="V21" i="71" s="1"/>
  <c r="I175" i="20" s="1"/>
  <c r="R21" i="71" a="1"/>
  <c r="R21" i="71" s="1"/>
  <c r="Q21" i="71" a="1"/>
  <c r="Q21" i="71" s="1"/>
  <c r="L21" i="71" a="1"/>
  <c r="L21" i="71" s="1"/>
  <c r="K21" i="71" a="1"/>
  <c r="K21" i="71" s="1"/>
  <c r="I21" i="71" a="1"/>
  <c r="I21" i="71" s="1"/>
  <c r="H21" i="71" a="1"/>
  <c r="H21" i="71" s="1"/>
  <c r="G21" i="71" a="1"/>
  <c r="G21" i="71" s="1"/>
  <c r="F21" i="71" a="1"/>
  <c r="F21" i="71" s="1"/>
  <c r="E21" i="71" a="1"/>
  <c r="E21" i="71" s="1"/>
  <c r="D21" i="71" a="1"/>
  <c r="D21" i="71" s="1"/>
  <c r="G181" i="20" s="1"/>
  <c r="V20" i="71" a="1"/>
  <c r="V20" i="71" s="1"/>
  <c r="I174" i="20" s="1"/>
  <c r="R20" i="71" a="1"/>
  <c r="R20" i="71" s="1"/>
  <c r="Q20" i="71" a="1"/>
  <c r="Q20" i="71" s="1"/>
  <c r="L20" i="71" a="1"/>
  <c r="L20" i="71" s="1"/>
  <c r="K20" i="71" a="1"/>
  <c r="K20" i="71" s="1"/>
  <c r="I20" i="71" a="1"/>
  <c r="I20" i="71" s="1"/>
  <c r="H20" i="71" a="1"/>
  <c r="H20" i="71" s="1"/>
  <c r="G20" i="71" a="1"/>
  <c r="G20" i="71" s="1"/>
  <c r="F20" i="71" a="1"/>
  <c r="F20" i="71" s="1"/>
  <c r="E20" i="71" a="1"/>
  <c r="E20" i="71" s="1"/>
  <c r="D20" i="71" a="1"/>
  <c r="D20" i="71" s="1"/>
  <c r="P31" i="62" s="1"/>
  <c r="V18" i="71" a="1"/>
  <c r="V18" i="71" s="1"/>
  <c r="Q18" i="71" a="1"/>
  <c r="Q18" i="71" s="1"/>
  <c r="K18" i="71" a="1"/>
  <c r="K18" i="71" s="1"/>
  <c r="V17" i="71" a="1"/>
  <c r="V17" i="71" s="1"/>
  <c r="Q17" i="71" a="1"/>
  <c r="Q17" i="71" s="1"/>
  <c r="K17" i="71" a="1"/>
  <c r="K17" i="71" s="1"/>
  <c r="D7" i="71" a="1"/>
  <c r="D7" i="71" s="1"/>
  <c r="D6" i="71" a="1"/>
  <c r="D6" i="71" s="1"/>
  <c r="D5" i="71" a="1"/>
  <c r="D5" i="71" s="1"/>
  <c r="E68" i="70" a="1"/>
  <c r="E68" i="70" s="1"/>
  <c r="D68" i="70" a="1"/>
  <c r="D68" i="70" s="1"/>
  <c r="E67" i="70" a="1"/>
  <c r="E67" i="70" s="1"/>
  <c r="D67" i="70" a="1"/>
  <c r="D67" i="70" s="1"/>
  <c r="E66" i="70" a="1"/>
  <c r="E66" i="70" s="1"/>
  <c r="D66" i="70" a="1"/>
  <c r="D66" i="70" s="1"/>
  <c r="E65" i="70" a="1"/>
  <c r="E65" i="70" s="1"/>
  <c r="D65" i="70" a="1"/>
  <c r="D65" i="70" s="1"/>
  <c r="E64" i="70" a="1"/>
  <c r="E64" i="70" s="1"/>
  <c r="D64" i="70" a="1"/>
  <c r="D64" i="70" s="1"/>
  <c r="E63" i="70" a="1"/>
  <c r="E63" i="70" s="1"/>
  <c r="D63" i="70" a="1"/>
  <c r="D63" i="70" s="1"/>
  <c r="E62" i="70" a="1"/>
  <c r="E62" i="70" s="1"/>
  <c r="D62" i="70" a="1"/>
  <c r="D62" i="70" s="1"/>
  <c r="E61" i="70" a="1"/>
  <c r="E61" i="70" s="1"/>
  <c r="D61" i="70" a="1"/>
  <c r="D61" i="70" s="1"/>
  <c r="E60" i="70" a="1"/>
  <c r="E60" i="70" s="1"/>
  <c r="D60" i="70" a="1"/>
  <c r="D60" i="70" s="1"/>
  <c r="E59" i="70" a="1"/>
  <c r="E59" i="70" s="1"/>
  <c r="D59" i="70" a="1"/>
  <c r="D59" i="70" s="1"/>
  <c r="E58" i="70" a="1"/>
  <c r="E58" i="70" s="1"/>
  <c r="D58" i="70" a="1"/>
  <c r="D58" i="70" s="1"/>
  <c r="D56" i="70" a="1"/>
  <c r="D56" i="70" s="1"/>
  <c r="D55" i="70" a="1"/>
  <c r="D55" i="70" s="1"/>
  <c r="D54" i="70" a="1"/>
  <c r="D54" i="70" s="1"/>
  <c r="D53" i="70" a="1"/>
  <c r="D53" i="70" s="1"/>
  <c r="D52" i="70" a="1"/>
  <c r="D52" i="70" s="1"/>
  <c r="G50" i="70" a="1"/>
  <c r="G50" i="70" s="1"/>
  <c r="F50" i="70" a="1"/>
  <c r="F50" i="70" s="1"/>
  <c r="E50" i="70" a="1"/>
  <c r="E50" i="70" s="1"/>
  <c r="O21" i="70" s="1"/>
  <c r="D50" i="70" a="1"/>
  <c r="D50" i="70" s="1"/>
  <c r="G49" i="70" a="1"/>
  <c r="G49" i="70" s="1"/>
  <c r="F49" i="70" a="1"/>
  <c r="F49" i="70" s="1"/>
  <c r="E49" i="70" a="1"/>
  <c r="E49" i="70" s="1"/>
  <c r="O20" i="70" s="1"/>
  <c r="D49" i="70" a="1"/>
  <c r="D49" i="70" s="1"/>
  <c r="G48" i="70" a="1"/>
  <c r="G48" i="70" s="1"/>
  <c r="F48" i="70" a="1"/>
  <c r="F48" i="70" s="1"/>
  <c r="E48" i="70" a="1"/>
  <c r="E48" i="70" s="1"/>
  <c r="O19" i="70" s="1"/>
  <c r="D48" i="70" a="1"/>
  <c r="D48" i="70" s="1"/>
  <c r="G47" i="70" a="1"/>
  <c r="G47" i="70" s="1"/>
  <c r="F47" i="70" a="1"/>
  <c r="F47" i="70" s="1"/>
  <c r="E47" i="70" a="1"/>
  <c r="E47" i="70" s="1"/>
  <c r="O18" i="70" s="1"/>
  <c r="D47" i="70" a="1"/>
  <c r="D47" i="70" s="1"/>
  <c r="G46" i="70" a="1"/>
  <c r="G46" i="70" s="1"/>
  <c r="F46" i="70" a="1"/>
  <c r="F46" i="70" s="1"/>
  <c r="E46" i="70" a="1"/>
  <c r="E46" i="70" s="1"/>
  <c r="O17" i="70" s="1"/>
  <c r="D46" i="70" a="1"/>
  <c r="D46" i="70" s="1"/>
  <c r="G45" i="70" a="1"/>
  <c r="G45" i="70" s="1"/>
  <c r="F45" i="70" a="1"/>
  <c r="F45" i="70" s="1"/>
  <c r="E45" i="70" a="1"/>
  <c r="E45" i="70" s="1"/>
  <c r="D45" i="70" a="1"/>
  <c r="D45" i="70" s="1"/>
  <c r="G44" i="70" a="1"/>
  <c r="G44" i="70" s="1"/>
  <c r="F44" i="70" a="1"/>
  <c r="F44" i="70" s="1"/>
  <c r="E44" i="70" a="1"/>
  <c r="E44" i="70" s="1"/>
  <c r="M21" i="70" s="1"/>
  <c r="D44" i="70" a="1"/>
  <c r="D44" i="70" s="1"/>
  <c r="G43" i="70" a="1"/>
  <c r="G43" i="70" s="1"/>
  <c r="F43" i="70" a="1"/>
  <c r="F43" i="70" s="1"/>
  <c r="E43" i="70" a="1"/>
  <c r="E43" i="70" s="1"/>
  <c r="M20" i="70" s="1"/>
  <c r="D43" i="70" a="1"/>
  <c r="D43" i="70" s="1"/>
  <c r="G42" i="70" a="1"/>
  <c r="G42" i="70" s="1"/>
  <c r="F42" i="70" a="1"/>
  <c r="F42" i="70" s="1"/>
  <c r="E42" i="70" a="1"/>
  <c r="E42" i="70" s="1"/>
  <c r="M19" i="70" s="1"/>
  <c r="D42" i="70" a="1"/>
  <c r="D42" i="70" s="1"/>
  <c r="G41" i="70" a="1"/>
  <c r="G41" i="70" s="1"/>
  <c r="F41" i="70" a="1"/>
  <c r="F41" i="70" s="1"/>
  <c r="E41" i="70" a="1"/>
  <c r="E41" i="70" s="1"/>
  <c r="M18" i="70" s="1"/>
  <c r="D41" i="70" a="1"/>
  <c r="D41" i="70" s="1"/>
  <c r="G40" i="70" a="1"/>
  <c r="G40" i="70" s="1"/>
  <c r="F40" i="70" a="1"/>
  <c r="F40" i="70" s="1"/>
  <c r="E40" i="70" a="1"/>
  <c r="E40" i="70" s="1"/>
  <c r="M17" i="70" s="1"/>
  <c r="D40" i="70" a="1"/>
  <c r="D40" i="70" s="1"/>
  <c r="G39" i="70" a="1"/>
  <c r="G39" i="70" s="1"/>
  <c r="F39" i="70" a="1"/>
  <c r="F39" i="70" s="1"/>
  <c r="E39" i="70" a="1"/>
  <c r="E39" i="70" s="1"/>
  <c r="D39" i="70" a="1"/>
  <c r="D39" i="70" s="1"/>
  <c r="G38" i="70" a="1"/>
  <c r="G38" i="70" s="1"/>
  <c r="F38" i="70" a="1"/>
  <c r="F38" i="70" s="1"/>
  <c r="E38" i="70" a="1"/>
  <c r="E38" i="70" s="1"/>
  <c r="K26" i="70" s="1"/>
  <c r="D38" i="70" a="1"/>
  <c r="D38" i="70" s="1"/>
  <c r="G37" i="70" a="1"/>
  <c r="G37" i="70" s="1"/>
  <c r="F37" i="70" a="1"/>
  <c r="F37" i="70" s="1"/>
  <c r="E37" i="70" a="1"/>
  <c r="E37" i="70" s="1"/>
  <c r="K25" i="70" s="1"/>
  <c r="D37" i="70" a="1"/>
  <c r="D37" i="70" s="1"/>
  <c r="G36" i="70" a="1"/>
  <c r="G36" i="70" s="1"/>
  <c r="F36" i="70" a="1"/>
  <c r="F36" i="70" s="1"/>
  <c r="E36" i="70" a="1"/>
  <c r="E36" i="70" s="1"/>
  <c r="K24" i="70" s="1"/>
  <c r="D36" i="70" a="1"/>
  <c r="D36" i="70" s="1"/>
  <c r="G35" i="70" a="1"/>
  <c r="G35" i="70" s="1"/>
  <c r="F35" i="70" a="1"/>
  <c r="F35" i="70" s="1"/>
  <c r="E35" i="70" a="1"/>
  <c r="E35" i="70" s="1"/>
  <c r="K23" i="70" s="1"/>
  <c r="D35" i="70" a="1"/>
  <c r="D35" i="70" s="1"/>
  <c r="G34" i="70" a="1"/>
  <c r="G34" i="70" s="1"/>
  <c r="F34" i="70" a="1"/>
  <c r="F34" i="70" s="1"/>
  <c r="E34" i="70" a="1"/>
  <c r="E34" i="70" s="1"/>
  <c r="K22" i="70" s="1"/>
  <c r="D34" i="70" a="1"/>
  <c r="D34" i="70" s="1"/>
  <c r="G33" i="70" a="1"/>
  <c r="G33" i="70" s="1"/>
  <c r="F33" i="70" a="1"/>
  <c r="F33" i="70" s="1"/>
  <c r="E33" i="70" a="1"/>
  <c r="E33" i="70" s="1"/>
  <c r="K21" i="70" s="1"/>
  <c r="D33" i="70" a="1"/>
  <c r="D33" i="70" s="1"/>
  <c r="G32" i="70" a="1"/>
  <c r="G32" i="70" s="1"/>
  <c r="F32" i="70" a="1"/>
  <c r="F32" i="70" s="1"/>
  <c r="E32" i="70" a="1"/>
  <c r="E32" i="70" s="1"/>
  <c r="K20" i="70" s="1"/>
  <c r="D32" i="70" a="1"/>
  <c r="D32" i="70" s="1"/>
  <c r="G31" i="70" a="1"/>
  <c r="G31" i="70" s="1"/>
  <c r="F31" i="70" a="1"/>
  <c r="F31" i="70" s="1"/>
  <c r="E31" i="70" a="1"/>
  <c r="E31" i="70" s="1"/>
  <c r="K19" i="70" s="1"/>
  <c r="D31" i="70" a="1"/>
  <c r="D31" i="70" s="1"/>
  <c r="G30" i="70" a="1"/>
  <c r="G30" i="70" s="1"/>
  <c r="F30" i="70" a="1"/>
  <c r="F30" i="70" s="1"/>
  <c r="E30" i="70" a="1"/>
  <c r="E30" i="70" s="1"/>
  <c r="K18" i="70" s="1"/>
  <c r="D30" i="70" a="1"/>
  <c r="D30" i="70" s="1"/>
  <c r="G29" i="70" a="1"/>
  <c r="G29" i="70" s="1"/>
  <c r="F29" i="70" a="1"/>
  <c r="F29" i="70" s="1"/>
  <c r="E29" i="70" a="1"/>
  <c r="E29" i="70" s="1"/>
  <c r="K17" i="70" s="1"/>
  <c r="D29" i="70" a="1"/>
  <c r="D29" i="70" s="1"/>
  <c r="G28" i="70" a="1"/>
  <c r="G28" i="70" s="1"/>
  <c r="F28" i="70" a="1"/>
  <c r="F28" i="70" s="1"/>
  <c r="E28" i="70" a="1"/>
  <c r="E28" i="70" s="1"/>
  <c r="D28" i="70" a="1"/>
  <c r="D28" i="70" s="1"/>
  <c r="G27" i="70" a="1"/>
  <c r="G27" i="70" s="1"/>
  <c r="F27" i="70" a="1"/>
  <c r="F27" i="70" s="1"/>
  <c r="E27" i="70" a="1"/>
  <c r="E27" i="70" s="1"/>
  <c r="I27" i="70" s="1"/>
  <c r="D27" i="70" a="1"/>
  <c r="D27" i="70" s="1"/>
  <c r="G26" i="70" a="1"/>
  <c r="G26" i="70" s="1"/>
  <c r="F26" i="70" a="1"/>
  <c r="F26" i="70" s="1"/>
  <c r="E26" i="70" a="1"/>
  <c r="E26" i="70" s="1"/>
  <c r="I26" i="70" s="1"/>
  <c r="D26" i="70" a="1"/>
  <c r="D26" i="70" s="1"/>
  <c r="G25" i="70" a="1"/>
  <c r="G25" i="70" s="1"/>
  <c r="F25" i="70" a="1"/>
  <c r="F25" i="70" s="1"/>
  <c r="E25" i="70" a="1"/>
  <c r="E25" i="70" s="1"/>
  <c r="I25" i="70" s="1"/>
  <c r="D25" i="70" a="1"/>
  <c r="D25" i="70" s="1"/>
  <c r="G24" i="70" a="1"/>
  <c r="G24" i="70" s="1"/>
  <c r="F24" i="70" a="1"/>
  <c r="F24" i="70" s="1"/>
  <c r="E24" i="70" a="1"/>
  <c r="E24" i="70" s="1"/>
  <c r="I24" i="70" s="1"/>
  <c r="D24" i="70" a="1"/>
  <c r="D24" i="70" s="1"/>
  <c r="G23" i="70" a="1"/>
  <c r="G23" i="70" s="1"/>
  <c r="F23" i="70" a="1"/>
  <c r="F23" i="70" s="1"/>
  <c r="E23" i="70" a="1"/>
  <c r="E23" i="70" s="1"/>
  <c r="I23" i="70" s="1"/>
  <c r="D23" i="70" a="1"/>
  <c r="D23" i="70" s="1"/>
  <c r="G22" i="70" a="1"/>
  <c r="G22" i="70" s="1"/>
  <c r="F22" i="70" a="1"/>
  <c r="F22" i="70" s="1"/>
  <c r="E22" i="70" a="1"/>
  <c r="E22" i="70" s="1"/>
  <c r="I22" i="70" s="1"/>
  <c r="D22" i="70" a="1"/>
  <c r="D22" i="70" s="1"/>
  <c r="G21" i="70" a="1"/>
  <c r="G21" i="70" s="1"/>
  <c r="F21" i="70" a="1"/>
  <c r="F21" i="70" s="1"/>
  <c r="E21" i="70" a="1"/>
  <c r="E21" i="70" s="1"/>
  <c r="I21" i="70" s="1"/>
  <c r="D21" i="70" a="1"/>
  <c r="D21" i="70" s="1"/>
  <c r="G20" i="70" a="1"/>
  <c r="G20" i="70" s="1"/>
  <c r="F20" i="70" a="1"/>
  <c r="F20" i="70" s="1"/>
  <c r="E20" i="70" a="1"/>
  <c r="E20" i="70" s="1"/>
  <c r="I20" i="70" s="1"/>
  <c r="D20" i="70" a="1"/>
  <c r="D20" i="70" s="1"/>
  <c r="G19" i="70" a="1"/>
  <c r="G19" i="70" s="1"/>
  <c r="F19" i="70" a="1"/>
  <c r="F19" i="70" s="1"/>
  <c r="E19" i="70" a="1"/>
  <c r="E19" i="70" s="1"/>
  <c r="I19" i="70" s="1"/>
  <c r="D19" i="70" a="1"/>
  <c r="D19" i="70" s="1"/>
  <c r="G18" i="70" a="1"/>
  <c r="G18" i="70" s="1"/>
  <c r="F18" i="70" a="1"/>
  <c r="F18" i="70" s="1"/>
  <c r="E18" i="70" a="1"/>
  <c r="E18" i="70" s="1"/>
  <c r="I18" i="70" s="1"/>
  <c r="D18" i="70" a="1"/>
  <c r="D18" i="70" s="1"/>
  <c r="G17" i="70" a="1"/>
  <c r="G17" i="70" s="1"/>
  <c r="F17" i="70" a="1"/>
  <c r="F17" i="70" s="1"/>
  <c r="E17" i="70" a="1"/>
  <c r="E17" i="70" s="1"/>
  <c r="I17" i="70" s="1"/>
  <c r="D17" i="70" a="1"/>
  <c r="D17" i="70" s="1"/>
  <c r="D15" i="70" a="1"/>
  <c r="D15" i="70" s="1"/>
  <c r="D14" i="70" a="1"/>
  <c r="D14" i="70" s="1"/>
  <c r="D7" i="70" a="1"/>
  <c r="D7" i="70" s="1"/>
  <c r="D6" i="70" a="1"/>
  <c r="D6" i="70" s="1"/>
  <c r="D5" i="70" a="1"/>
  <c r="D5" i="70" s="1"/>
  <c r="E139" i="69"/>
  <c r="F40" i="67" s="1"/>
  <c r="G138" i="69"/>
  <c r="F32" i="66" s="1"/>
  <c r="E138" i="69"/>
  <c r="F39" i="67" s="1"/>
  <c r="G137" i="69"/>
  <c r="F31" i="66" s="1"/>
  <c r="E137" i="69"/>
  <c r="F38" i="67" s="1"/>
  <c r="D137" i="69"/>
  <c r="F31" i="67" s="1"/>
  <c r="G136" i="69"/>
  <c r="F30" i="66" s="1"/>
  <c r="E136" i="69"/>
  <c r="F37" i="67" s="1"/>
  <c r="D136" i="69"/>
  <c r="F30" i="67" s="1"/>
  <c r="G135" i="69"/>
  <c r="F29" i="66" s="1"/>
  <c r="E135" i="69"/>
  <c r="F36" i="67" s="1"/>
  <c r="D135" i="69"/>
  <c r="F29" i="67" s="1"/>
  <c r="G134" i="69"/>
  <c r="F28" i="66" s="1"/>
  <c r="E134" i="69"/>
  <c r="F35" i="67" s="1"/>
  <c r="D134" i="69"/>
  <c r="F28" i="67" s="1"/>
  <c r="G133" i="69"/>
  <c r="F27" i="66" s="1"/>
  <c r="F133" i="69"/>
  <c r="F36" i="66" s="1"/>
  <c r="E133" i="69"/>
  <c r="F34" i="67" s="1"/>
  <c r="D133" i="69"/>
  <c r="F27" i="67" s="1"/>
  <c r="I132" i="69"/>
  <c r="F38" i="66" s="1"/>
  <c r="G132" i="69"/>
  <c r="F26" i="66" s="1"/>
  <c r="F132" i="69"/>
  <c r="F35" i="66" s="1"/>
  <c r="E132" i="69"/>
  <c r="F33" i="67" s="1"/>
  <c r="D132" i="69"/>
  <c r="F26" i="67" s="1"/>
  <c r="I131" i="69"/>
  <c r="F37" i="66" s="1"/>
  <c r="H131" i="69"/>
  <c r="F33" i="66" s="1"/>
  <c r="G131" i="69"/>
  <c r="F25" i="66" s="1"/>
  <c r="F131" i="69"/>
  <c r="F34" i="66" s="1"/>
  <c r="E131" i="69"/>
  <c r="F32" i="67" s="1"/>
  <c r="D131" i="69"/>
  <c r="F25" i="67" s="1"/>
  <c r="F120" i="69" a="1"/>
  <c r="F120" i="69" s="1"/>
  <c r="E120" i="69" a="1"/>
  <c r="E120" i="69" s="1"/>
  <c r="D120" i="69" a="1"/>
  <c r="D120" i="69" s="1"/>
  <c r="F119" i="69" a="1"/>
  <c r="F119" i="69" s="1"/>
  <c r="E119" i="69" a="1"/>
  <c r="E119" i="69" s="1"/>
  <c r="D119" i="69" a="1"/>
  <c r="D119" i="69" s="1"/>
  <c r="F118" i="69" a="1"/>
  <c r="F118" i="69" s="1"/>
  <c r="E118" i="69" a="1"/>
  <c r="E118" i="69" s="1"/>
  <c r="D118" i="69" a="1"/>
  <c r="D118" i="69"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G113" i="69" a="1"/>
  <c r="G113" i="69" s="1"/>
  <c r="F113" i="69" a="1"/>
  <c r="F113" i="69" s="1"/>
  <c r="E113" i="69" a="1"/>
  <c r="E113" i="69" s="1"/>
  <c r="D113" i="69" a="1"/>
  <c r="D113" i="69" s="1"/>
  <c r="D110" i="69" a="1"/>
  <c r="D110" i="69" s="1"/>
  <c r="D109" i="69" a="1"/>
  <c r="D109" i="69" s="1"/>
  <c r="D108" i="69" a="1"/>
  <c r="D108" i="69" s="1"/>
  <c r="D107" i="69" a="1"/>
  <c r="D107" i="69" s="1"/>
  <c r="J104" i="69" a="1"/>
  <c r="J104" i="69" s="1"/>
  <c r="I104" i="69" a="1"/>
  <c r="I104" i="69" s="1"/>
  <c r="H104" i="69" a="1"/>
  <c r="H104" i="69" s="1"/>
  <c r="G104" i="69" a="1"/>
  <c r="G104" i="69" s="1"/>
  <c r="F104" i="69" a="1"/>
  <c r="F104" i="69" s="1"/>
  <c r="E104" i="69" a="1"/>
  <c r="E104" i="69" s="1"/>
  <c r="D104" i="69" a="1"/>
  <c r="D104" i="69" s="1"/>
  <c r="E40" i="67" s="1"/>
  <c r="J103" i="69" a="1"/>
  <c r="J103" i="69" s="1"/>
  <c r="I103" i="69" a="1"/>
  <c r="I103" i="69" s="1"/>
  <c r="H103" i="69" a="1"/>
  <c r="H103" i="69" s="1"/>
  <c r="G103" i="69" a="1"/>
  <c r="G103" i="69" s="1"/>
  <c r="F103" i="69" a="1"/>
  <c r="F103" i="69" s="1"/>
  <c r="E103" i="69" a="1"/>
  <c r="E103" i="69" s="1"/>
  <c r="D103" i="69" a="1"/>
  <c r="D103" i="69" s="1"/>
  <c r="E39" i="67" s="1"/>
  <c r="J102" i="69" a="1"/>
  <c r="J102" i="69" s="1"/>
  <c r="I102" i="69" a="1"/>
  <c r="I102" i="69" s="1"/>
  <c r="H102" i="69" a="1"/>
  <c r="H102" i="69" s="1"/>
  <c r="G102" i="69" a="1"/>
  <c r="G102" i="69" s="1"/>
  <c r="F102" i="69" a="1"/>
  <c r="F102" i="69" s="1"/>
  <c r="E102" i="69" a="1"/>
  <c r="E102" i="69" s="1"/>
  <c r="D102" i="69" a="1"/>
  <c r="D102" i="69" s="1"/>
  <c r="J101" i="69" a="1"/>
  <c r="J101" i="69" s="1"/>
  <c r="I101" i="69" a="1"/>
  <c r="I101" i="69" s="1"/>
  <c r="H101" i="69" a="1"/>
  <c r="H101" i="69" s="1"/>
  <c r="G101" i="69" a="1"/>
  <c r="G101" i="69" s="1"/>
  <c r="F101" i="69" a="1"/>
  <c r="F101" i="69" s="1"/>
  <c r="E101" i="69" a="1"/>
  <c r="E101" i="69" s="1"/>
  <c r="D101" i="69" a="1"/>
  <c r="D101" i="69" s="1"/>
  <c r="J100" i="69" a="1"/>
  <c r="J100" i="69" s="1"/>
  <c r="I100" i="69" a="1"/>
  <c r="I100" i="69" s="1"/>
  <c r="H100" i="69" a="1"/>
  <c r="H100" i="69" s="1"/>
  <c r="G100" i="69" a="1"/>
  <c r="G100" i="69" s="1"/>
  <c r="F100" i="69" a="1"/>
  <c r="F100" i="69" s="1"/>
  <c r="E100" i="69" a="1"/>
  <c r="E100" i="69" s="1"/>
  <c r="D100" i="69" a="1"/>
  <c r="D100" i="69" s="1"/>
  <c r="J99" i="69" a="1"/>
  <c r="J99" i="69" s="1"/>
  <c r="I99" i="69" a="1"/>
  <c r="I99" i="69" s="1"/>
  <c r="H99" i="69" a="1"/>
  <c r="H99" i="69" s="1"/>
  <c r="G99" i="69" a="1"/>
  <c r="G99" i="69" s="1"/>
  <c r="F99" i="69" a="1"/>
  <c r="F99" i="69" s="1"/>
  <c r="E99" i="69" a="1"/>
  <c r="E99" i="69" s="1"/>
  <c r="D99" i="69" a="1"/>
  <c r="D99" i="69" s="1"/>
  <c r="J98" i="69" a="1"/>
  <c r="J98" i="69" s="1"/>
  <c r="I98" i="69" a="1"/>
  <c r="I98" i="69" s="1"/>
  <c r="H98" i="69" a="1"/>
  <c r="H98" i="69" s="1"/>
  <c r="G98" i="69" a="1"/>
  <c r="G98" i="69" s="1"/>
  <c r="F98" i="69" a="1"/>
  <c r="F98" i="69" s="1"/>
  <c r="E98" i="69" a="1"/>
  <c r="E98" i="69" s="1"/>
  <c r="D98" i="69" a="1"/>
  <c r="D98" i="69" s="1"/>
  <c r="J97" i="69" a="1"/>
  <c r="J97" i="69" s="1"/>
  <c r="I97" i="69" a="1"/>
  <c r="I97" i="69" s="1"/>
  <c r="H97" i="69" a="1"/>
  <c r="H97" i="69" s="1"/>
  <c r="G97" i="69" a="1"/>
  <c r="G97" i="69" s="1"/>
  <c r="F97" i="69" a="1"/>
  <c r="F97" i="69" s="1"/>
  <c r="E97" i="69" a="1"/>
  <c r="E97" i="69" s="1"/>
  <c r="D97" i="69" a="1"/>
  <c r="D97" i="69" s="1"/>
  <c r="J96" i="69" a="1"/>
  <c r="J96" i="69" s="1"/>
  <c r="I96" i="69" a="1"/>
  <c r="I96" i="69" s="1"/>
  <c r="H96" i="69" a="1"/>
  <c r="H96" i="69" s="1"/>
  <c r="G96" i="69" a="1"/>
  <c r="G96" i="69" s="1"/>
  <c r="F96" i="69" a="1"/>
  <c r="F96" i="69" s="1"/>
  <c r="E96" i="69" a="1"/>
  <c r="E96" i="69" s="1"/>
  <c r="D96" i="69" a="1"/>
  <c r="D96" i="69" s="1"/>
  <c r="J95" i="69" a="1"/>
  <c r="J95" i="69" s="1"/>
  <c r="I95" i="69" a="1"/>
  <c r="I95" i="69" s="1"/>
  <c r="H95" i="69" a="1"/>
  <c r="H95" i="69" s="1"/>
  <c r="G95" i="69" a="1"/>
  <c r="G95" i="69" s="1"/>
  <c r="F95" i="69" a="1"/>
  <c r="F95" i="69" s="1"/>
  <c r="E95" i="69" a="1"/>
  <c r="E95" i="69" s="1"/>
  <c r="D95" i="69" a="1"/>
  <c r="D95" i="69" s="1"/>
  <c r="J94" i="69" a="1"/>
  <c r="J94" i="69" s="1"/>
  <c r="I94" i="69" a="1"/>
  <c r="I94" i="69" s="1"/>
  <c r="H94" i="69" a="1"/>
  <c r="H94" i="69" s="1"/>
  <c r="G94" i="69" a="1"/>
  <c r="G94" i="69" s="1"/>
  <c r="F94" i="69" a="1"/>
  <c r="F94" i="69" s="1"/>
  <c r="E94" i="69" a="1"/>
  <c r="E94" i="69" s="1"/>
  <c r="D94" i="69" a="1"/>
  <c r="D94" i="69" s="1"/>
  <c r="J93" i="69" a="1"/>
  <c r="J93" i="69" s="1"/>
  <c r="I93" i="69" a="1"/>
  <c r="I93" i="69" s="1"/>
  <c r="H93" i="69" a="1"/>
  <c r="H93" i="69" s="1"/>
  <c r="G93" i="69" a="1"/>
  <c r="G93" i="69" s="1"/>
  <c r="F93" i="69" a="1"/>
  <c r="F93" i="69" s="1"/>
  <c r="E93" i="69" a="1"/>
  <c r="E93" i="69" s="1"/>
  <c r="D93" i="69" a="1"/>
  <c r="D93" i="69" s="1"/>
  <c r="J92" i="69" a="1"/>
  <c r="J92" i="69" s="1"/>
  <c r="I92" i="69" a="1"/>
  <c r="I92" i="69" s="1"/>
  <c r="H92" i="69" a="1"/>
  <c r="H92" i="69" s="1"/>
  <c r="G92" i="69" a="1"/>
  <c r="G92" i="69" s="1"/>
  <c r="F92" i="69" a="1"/>
  <c r="F92" i="69" s="1"/>
  <c r="E92" i="69" a="1"/>
  <c r="E92" i="69" s="1"/>
  <c r="D92" i="69" a="1"/>
  <c r="D92" i="69" s="1"/>
  <c r="J91" i="69" a="1"/>
  <c r="J91" i="69" s="1"/>
  <c r="I91" i="69" a="1"/>
  <c r="I91" i="69" s="1"/>
  <c r="H91" i="69" a="1"/>
  <c r="H91" i="69" s="1"/>
  <c r="G91" i="69" a="1"/>
  <c r="G91" i="69" s="1"/>
  <c r="F91" i="69" a="1"/>
  <c r="F91" i="69" s="1"/>
  <c r="E91" i="69" a="1"/>
  <c r="E91" i="69" s="1"/>
  <c r="D91" i="69" a="1"/>
  <c r="D91" i="69" s="1"/>
  <c r="J90" i="69" a="1"/>
  <c r="J90" i="69" s="1"/>
  <c r="I90" i="69" a="1"/>
  <c r="I90" i="69" s="1"/>
  <c r="H90" i="69" a="1"/>
  <c r="H90" i="69" s="1"/>
  <c r="G90" i="69" a="1"/>
  <c r="G90" i="69" s="1"/>
  <c r="F90" i="69" a="1"/>
  <c r="F90" i="69" s="1"/>
  <c r="E90" i="69" a="1"/>
  <c r="E90" i="69" s="1"/>
  <c r="D90" i="69" a="1"/>
  <c r="D90" i="69" s="1"/>
  <c r="J89" i="69" a="1"/>
  <c r="J89" i="69" s="1"/>
  <c r="I89" i="69" a="1"/>
  <c r="I89" i="69" s="1"/>
  <c r="H89" i="69" a="1"/>
  <c r="H89" i="69" s="1"/>
  <c r="G89" i="69" a="1"/>
  <c r="G89" i="69" s="1"/>
  <c r="F89" i="69" a="1"/>
  <c r="F89" i="69" s="1"/>
  <c r="E89" i="69" a="1"/>
  <c r="E89" i="69" s="1"/>
  <c r="D89" i="69" a="1"/>
  <c r="D89" i="69" s="1"/>
  <c r="J88" i="69" a="1"/>
  <c r="J88" i="69" s="1"/>
  <c r="I88" i="69" a="1"/>
  <c r="I88" i="69" s="1"/>
  <c r="H88" i="69" a="1"/>
  <c r="H88" i="69" s="1"/>
  <c r="G88" i="69" a="1"/>
  <c r="G88" i="69" s="1"/>
  <c r="F88" i="69" a="1"/>
  <c r="F88" i="69" s="1"/>
  <c r="E88" i="69" a="1"/>
  <c r="E88" i="69" s="1"/>
  <c r="D88" i="69" a="1"/>
  <c r="D88" i="69" s="1"/>
  <c r="J87" i="69" a="1"/>
  <c r="J87" i="69" s="1"/>
  <c r="I87" i="69" a="1"/>
  <c r="I87" i="69" s="1"/>
  <c r="H87" i="69" a="1"/>
  <c r="H87" i="69" s="1"/>
  <c r="G87" i="69" a="1"/>
  <c r="G87" i="69" s="1"/>
  <c r="F87" i="69" a="1"/>
  <c r="F87" i="69" s="1"/>
  <c r="E87" i="69" a="1"/>
  <c r="E87" i="69" s="1"/>
  <c r="D87" i="69" a="1"/>
  <c r="D87" i="69" s="1"/>
  <c r="D84" i="69" a="1"/>
  <c r="D84" i="69" s="1"/>
  <c r="D83" i="69" a="1"/>
  <c r="D83" i="69" s="1"/>
  <c r="D82" i="69" a="1"/>
  <c r="D82" i="69" s="1"/>
  <c r="D81" i="69" a="1"/>
  <c r="D81" i="69" s="1"/>
  <c r="K77" i="69" a="1"/>
  <c r="K77" i="69" s="1"/>
  <c r="J77" i="69" a="1"/>
  <c r="J77" i="69" s="1"/>
  <c r="I77" i="69" a="1"/>
  <c r="I77" i="69" s="1"/>
  <c r="H77" i="69" a="1"/>
  <c r="H77" i="69" s="1"/>
  <c r="G77" i="69" a="1"/>
  <c r="G77" i="69" s="1"/>
  <c r="F77" i="69" a="1"/>
  <c r="F77" i="69" s="1"/>
  <c r="E77" i="69" a="1"/>
  <c r="E77" i="69" s="1"/>
  <c r="D77" i="69" a="1"/>
  <c r="D77" i="69" s="1"/>
  <c r="E38" i="67" s="1"/>
  <c r="K76" i="69" a="1"/>
  <c r="K76" i="69" s="1"/>
  <c r="J76" i="69" a="1"/>
  <c r="J76" i="69" s="1"/>
  <c r="I76" i="69" a="1"/>
  <c r="I76" i="69" s="1"/>
  <c r="H76" i="69" a="1"/>
  <c r="H76" i="69" s="1"/>
  <c r="G76" i="69" a="1"/>
  <c r="G76" i="69" s="1"/>
  <c r="F76" i="69" a="1"/>
  <c r="F76" i="69" s="1"/>
  <c r="E76" i="69" a="1"/>
  <c r="E76" i="69" s="1"/>
  <c r="D76" i="69" a="1"/>
  <c r="D76" i="69" s="1"/>
  <c r="K75" i="69" a="1"/>
  <c r="K75" i="69" s="1"/>
  <c r="J75" i="69" a="1"/>
  <c r="J75" i="69" s="1"/>
  <c r="I75" i="69" a="1"/>
  <c r="I75" i="69" s="1"/>
  <c r="H75" i="69" a="1"/>
  <c r="H75" i="69" s="1"/>
  <c r="G75" i="69" a="1"/>
  <c r="G75" i="69" s="1"/>
  <c r="F75" i="69" a="1"/>
  <c r="F75" i="69" s="1"/>
  <c r="E75" i="69" a="1"/>
  <c r="E75" i="69" s="1"/>
  <c r="D75" i="69" a="1"/>
  <c r="D75" i="69" s="1"/>
  <c r="E30" i="67" s="1"/>
  <c r="K74" i="69" a="1"/>
  <c r="K74" i="69" s="1"/>
  <c r="J74" i="69" a="1"/>
  <c r="J74" i="69" s="1"/>
  <c r="I74" i="69" a="1"/>
  <c r="I74" i="69" s="1"/>
  <c r="H74" i="69" a="1"/>
  <c r="H74" i="69" s="1"/>
  <c r="G74" i="69" a="1"/>
  <c r="G74" i="69" s="1"/>
  <c r="F74" i="69" a="1"/>
  <c r="F74" i="69" s="1"/>
  <c r="E74" i="69" a="1"/>
  <c r="E74" i="69" s="1"/>
  <c r="D74" i="69" a="1"/>
  <c r="D74" i="69" s="1"/>
  <c r="E29" i="67" s="1"/>
  <c r="K73" i="69" a="1"/>
  <c r="K73" i="69" s="1"/>
  <c r="J73" i="69" a="1"/>
  <c r="J73" i="69" s="1"/>
  <c r="I73" i="69" a="1"/>
  <c r="I73" i="69" s="1"/>
  <c r="H73" i="69" a="1"/>
  <c r="H73" i="69" s="1"/>
  <c r="G73" i="69" a="1"/>
  <c r="G73" i="69" s="1"/>
  <c r="F73" i="69" a="1"/>
  <c r="F73" i="69" s="1"/>
  <c r="E73" i="69" a="1"/>
  <c r="E73" i="69" s="1"/>
  <c r="D73" i="69" a="1"/>
  <c r="D73" i="69" s="1"/>
  <c r="E35" i="67" s="1"/>
  <c r="K72" i="69" a="1"/>
  <c r="K72" i="69" s="1"/>
  <c r="J72" i="69" a="1"/>
  <c r="J72" i="69" s="1"/>
  <c r="I72" i="69" a="1"/>
  <c r="I72" i="69" s="1"/>
  <c r="H72" i="69" a="1"/>
  <c r="H72" i="69" s="1"/>
  <c r="G72" i="69" a="1"/>
  <c r="G72" i="69" s="1"/>
  <c r="F72" i="69" a="1"/>
  <c r="F72" i="69" s="1"/>
  <c r="E72" i="69" a="1"/>
  <c r="E72" i="69" s="1"/>
  <c r="D72" i="69" a="1"/>
  <c r="D72" i="69" s="1"/>
  <c r="K71" i="69" a="1"/>
  <c r="K71" i="69" s="1"/>
  <c r="J71" i="69" a="1"/>
  <c r="J71" i="69" s="1"/>
  <c r="I71" i="69" a="1"/>
  <c r="I71" i="69" s="1"/>
  <c r="H71" i="69" a="1"/>
  <c r="H71" i="69" s="1"/>
  <c r="G71" i="69" a="1"/>
  <c r="G71" i="69" s="1"/>
  <c r="F71" i="69" a="1"/>
  <c r="F71" i="69" s="1"/>
  <c r="E71" i="69" a="1"/>
  <c r="E71" i="69" s="1"/>
  <c r="D71" i="69" a="1"/>
  <c r="D71" i="69" s="1"/>
  <c r="K70" i="69" a="1"/>
  <c r="K70" i="69" s="1"/>
  <c r="J70" i="69" a="1"/>
  <c r="J70" i="69" s="1"/>
  <c r="I70" i="69" a="1"/>
  <c r="I70" i="69" s="1"/>
  <c r="H70" i="69" a="1"/>
  <c r="H70" i="69" s="1"/>
  <c r="G70" i="69" a="1"/>
  <c r="G70" i="69" s="1"/>
  <c r="F70" i="69" a="1"/>
  <c r="F70" i="69" s="1"/>
  <c r="E70" i="69" a="1"/>
  <c r="E70" i="69" s="1"/>
  <c r="D70" i="69" a="1"/>
  <c r="D70" i="69" s="1"/>
  <c r="K69" i="69" a="1"/>
  <c r="K69" i="69" s="1"/>
  <c r="J69" i="69" a="1"/>
  <c r="J69" i="69" s="1"/>
  <c r="I69" i="69" a="1"/>
  <c r="I69" i="69" s="1"/>
  <c r="H69" i="69" a="1"/>
  <c r="H69" i="69" s="1"/>
  <c r="G69" i="69" a="1"/>
  <c r="G69" i="69" s="1"/>
  <c r="F69" i="69" a="1"/>
  <c r="F69" i="69" s="1"/>
  <c r="E69" i="69" a="1"/>
  <c r="E69" i="69" s="1"/>
  <c r="D69" i="69" a="1"/>
  <c r="D69" i="69" s="1"/>
  <c r="K68" i="69" a="1"/>
  <c r="K68" i="69" s="1"/>
  <c r="J68" i="69" a="1"/>
  <c r="J68" i="69" s="1"/>
  <c r="I68" i="69" a="1"/>
  <c r="I68" i="69" s="1"/>
  <c r="H68" i="69" a="1"/>
  <c r="H68" i="69" s="1"/>
  <c r="G68" i="69" a="1"/>
  <c r="G68" i="69" s="1"/>
  <c r="F68" i="69" a="1"/>
  <c r="F68" i="69" s="1"/>
  <c r="E68" i="69" a="1"/>
  <c r="E68" i="69" s="1"/>
  <c r="D68" i="69" a="1"/>
  <c r="D68" i="69" s="1"/>
  <c r="K67" i="69" a="1"/>
  <c r="K67" i="69" s="1"/>
  <c r="J67" i="69" a="1"/>
  <c r="J67" i="69" s="1"/>
  <c r="I67" i="69" a="1"/>
  <c r="I67" i="69" s="1"/>
  <c r="H67" i="69" a="1"/>
  <c r="H67" i="69" s="1"/>
  <c r="G67" i="69" a="1"/>
  <c r="G67" i="69" s="1"/>
  <c r="F67" i="69" a="1"/>
  <c r="F67" i="69" s="1"/>
  <c r="E67" i="69" a="1"/>
  <c r="E67" i="69" s="1"/>
  <c r="D67" i="69" a="1"/>
  <c r="D67" i="69" s="1"/>
  <c r="E27" i="67" s="1"/>
  <c r="K66" i="69" a="1"/>
  <c r="K66" i="69" s="1"/>
  <c r="J66" i="69" a="1"/>
  <c r="J66" i="69" s="1"/>
  <c r="I66" i="69" a="1"/>
  <c r="I66" i="69" s="1"/>
  <c r="H66" i="69" a="1"/>
  <c r="H66" i="69" s="1"/>
  <c r="G66" i="69" a="1"/>
  <c r="G66" i="69" s="1"/>
  <c r="F66" i="69" a="1"/>
  <c r="F66" i="69" s="1"/>
  <c r="E66" i="69" a="1"/>
  <c r="E66" i="69" s="1"/>
  <c r="D66" i="69" a="1"/>
  <c r="D66" i="69" s="1"/>
  <c r="K65" i="69" a="1"/>
  <c r="K65" i="69" s="1"/>
  <c r="J65" i="69" a="1"/>
  <c r="J65" i="69" s="1"/>
  <c r="I65" i="69" a="1"/>
  <c r="I65" i="69" s="1"/>
  <c r="H65" i="69" a="1"/>
  <c r="H65" i="69" s="1"/>
  <c r="G65" i="69" a="1"/>
  <c r="G65" i="69" s="1"/>
  <c r="F65" i="69" a="1"/>
  <c r="F65" i="69" s="1"/>
  <c r="E65" i="69" a="1"/>
  <c r="E65" i="69" s="1"/>
  <c r="D65" i="69" a="1"/>
  <c r="D65" i="69" s="1"/>
  <c r="K64" i="69" a="1"/>
  <c r="K64" i="69" s="1"/>
  <c r="J64" i="69" a="1"/>
  <c r="J64" i="69" s="1"/>
  <c r="I64" i="69" a="1"/>
  <c r="I64" i="69" s="1"/>
  <c r="H64" i="69" a="1"/>
  <c r="H64" i="69" s="1"/>
  <c r="G64" i="69" a="1"/>
  <c r="G64" i="69" s="1"/>
  <c r="F64" i="69" a="1"/>
  <c r="F64" i="69" s="1"/>
  <c r="E64" i="69" a="1"/>
  <c r="E64" i="69" s="1"/>
  <c r="D64" i="69" a="1"/>
  <c r="D64" i="69" s="1"/>
  <c r="K63" i="69" a="1"/>
  <c r="K63" i="69" s="1"/>
  <c r="J63" i="69" a="1"/>
  <c r="J63" i="69" s="1"/>
  <c r="I63" i="69" a="1"/>
  <c r="I63" i="69" s="1"/>
  <c r="H63" i="69" a="1"/>
  <c r="H63" i="69" s="1"/>
  <c r="G63" i="69" a="1"/>
  <c r="G63" i="69" s="1"/>
  <c r="F63" i="69" a="1"/>
  <c r="F63" i="69" s="1"/>
  <c r="E63" i="69" a="1"/>
  <c r="E63" i="69" s="1"/>
  <c r="D63" i="69" a="1"/>
  <c r="D63" i="69" s="1"/>
  <c r="E26" i="67" s="1"/>
  <c r="K62" i="69" a="1"/>
  <c r="K62" i="69" s="1"/>
  <c r="J62" i="69" a="1"/>
  <c r="J62" i="69" s="1"/>
  <c r="I62" i="69" a="1"/>
  <c r="I62" i="69" s="1"/>
  <c r="H62" i="69" a="1"/>
  <c r="H62" i="69" s="1"/>
  <c r="G62" i="69" a="1"/>
  <c r="G62" i="69" s="1"/>
  <c r="F62" i="69" a="1"/>
  <c r="F62" i="69" s="1"/>
  <c r="E62" i="69" a="1"/>
  <c r="E62" i="69" s="1"/>
  <c r="D62" i="69" a="1"/>
  <c r="D62" i="69" s="1"/>
  <c r="K61" i="69" a="1"/>
  <c r="K61" i="69" s="1"/>
  <c r="J61" i="69" a="1"/>
  <c r="J61" i="69" s="1"/>
  <c r="I61" i="69" a="1"/>
  <c r="I61" i="69" s="1"/>
  <c r="H61" i="69" a="1"/>
  <c r="H61" i="69" s="1"/>
  <c r="G61" i="69" a="1"/>
  <c r="G61" i="69" s="1"/>
  <c r="F61" i="69" a="1"/>
  <c r="F61" i="69" s="1"/>
  <c r="E61" i="69" a="1"/>
  <c r="E61" i="69" s="1"/>
  <c r="D61" i="69" a="1"/>
  <c r="D61" i="69" s="1"/>
  <c r="K60" i="69" a="1"/>
  <c r="K60" i="69" s="1"/>
  <c r="J60" i="69" a="1"/>
  <c r="J60" i="69" s="1"/>
  <c r="I60" i="69" a="1"/>
  <c r="I60" i="69" s="1"/>
  <c r="H60" i="69" a="1"/>
  <c r="H60" i="69" s="1"/>
  <c r="G60" i="69" a="1"/>
  <c r="G60" i="69" s="1"/>
  <c r="F60" i="69" a="1"/>
  <c r="F60" i="69" s="1"/>
  <c r="E60" i="69" a="1"/>
  <c r="E60" i="69" s="1"/>
  <c r="D60" i="69" a="1"/>
  <c r="D60" i="69" s="1"/>
  <c r="K59" i="69" a="1"/>
  <c r="K59" i="69" s="1"/>
  <c r="J59" i="69" a="1"/>
  <c r="J59" i="69" s="1"/>
  <c r="I59" i="69" a="1"/>
  <c r="I59" i="69" s="1"/>
  <c r="H59" i="69" a="1"/>
  <c r="H59" i="69" s="1"/>
  <c r="G59" i="69" a="1"/>
  <c r="G59" i="69" s="1"/>
  <c r="F59" i="69" a="1"/>
  <c r="F59" i="69" s="1"/>
  <c r="E59" i="69" a="1"/>
  <c r="E59" i="69" s="1"/>
  <c r="D59" i="69" a="1"/>
  <c r="D59" i="69" s="1"/>
  <c r="K58" i="69" a="1"/>
  <c r="K58" i="69" s="1"/>
  <c r="J58" i="69" a="1"/>
  <c r="J58" i="69" s="1"/>
  <c r="I58" i="69" a="1"/>
  <c r="I58" i="69" s="1"/>
  <c r="H58" i="69" a="1"/>
  <c r="H58" i="69" s="1"/>
  <c r="G58" i="69" a="1"/>
  <c r="G58" i="69" s="1"/>
  <c r="F58" i="69" a="1"/>
  <c r="F58" i="69" s="1"/>
  <c r="E58" i="69" a="1"/>
  <c r="E58" i="69" s="1"/>
  <c r="D58" i="69" a="1"/>
  <c r="D58" i="69" s="1"/>
  <c r="E32" i="67" s="1"/>
  <c r="K57" i="69" a="1"/>
  <c r="K57" i="69" s="1"/>
  <c r="J57" i="69" a="1"/>
  <c r="J57" i="69" s="1"/>
  <c r="I57" i="69" a="1"/>
  <c r="I57" i="69" s="1"/>
  <c r="H57" i="69" a="1"/>
  <c r="H57" i="69" s="1"/>
  <c r="G57" i="69" a="1"/>
  <c r="G57" i="69" s="1"/>
  <c r="F57" i="69" a="1"/>
  <c r="F57" i="69" s="1"/>
  <c r="E57" i="69" a="1"/>
  <c r="E57" i="69" s="1"/>
  <c r="D57" i="69" a="1"/>
  <c r="D57" i="69" s="1"/>
  <c r="K56" i="69" a="1"/>
  <c r="K56" i="69" s="1"/>
  <c r="J56" i="69" a="1"/>
  <c r="J56" i="69" s="1"/>
  <c r="I56" i="69" a="1"/>
  <c r="I56" i="69" s="1"/>
  <c r="H56" i="69" a="1"/>
  <c r="H56" i="69" s="1"/>
  <c r="G56" i="69" a="1"/>
  <c r="G56" i="69" s="1"/>
  <c r="F56" i="69" a="1"/>
  <c r="F56" i="69" s="1"/>
  <c r="E56" i="69" a="1"/>
  <c r="E56" i="69" s="1"/>
  <c r="D56" i="69" a="1"/>
  <c r="D56" i="69" s="1"/>
  <c r="K55" i="69" a="1"/>
  <c r="K55" i="69" s="1"/>
  <c r="J55" i="69" a="1"/>
  <c r="J55" i="69" s="1"/>
  <c r="I55" i="69" a="1"/>
  <c r="I55" i="69" s="1"/>
  <c r="H55" i="69" a="1"/>
  <c r="H55" i="69" s="1"/>
  <c r="G55" i="69" a="1"/>
  <c r="G55" i="69" s="1"/>
  <c r="F55" i="69" a="1"/>
  <c r="F55" i="69" s="1"/>
  <c r="E55" i="69" a="1"/>
  <c r="E55" i="69" s="1"/>
  <c r="D55" i="69" a="1"/>
  <c r="D55" i="69" s="1"/>
  <c r="K54" i="69" a="1"/>
  <c r="K54" i="69" s="1"/>
  <c r="J54" i="69" a="1"/>
  <c r="J54" i="69" s="1"/>
  <c r="I54" i="69" a="1"/>
  <c r="I54" i="69" s="1"/>
  <c r="H54" i="69" a="1"/>
  <c r="H54" i="69" s="1"/>
  <c r="G54" i="69" a="1"/>
  <c r="G54" i="69" s="1"/>
  <c r="F54" i="69" a="1"/>
  <c r="F54" i="69" s="1"/>
  <c r="E54" i="69" a="1"/>
  <c r="E54" i="69" s="1"/>
  <c r="D54" i="69" a="1"/>
  <c r="D54" i="69" s="1"/>
  <c r="D52" i="69" a="1"/>
  <c r="D52" i="69" s="1"/>
  <c r="D51" i="69" a="1"/>
  <c r="D51" i="69" s="1"/>
  <c r="D50" i="69" a="1"/>
  <c r="D50" i="69" s="1"/>
  <c r="D49" i="69" a="1"/>
  <c r="D49" i="69" s="1"/>
  <c r="J43" i="69" a="1"/>
  <c r="J43" i="69" s="1"/>
  <c r="I43" i="69" a="1"/>
  <c r="I43" i="69" s="1"/>
  <c r="H43" i="69" a="1"/>
  <c r="H43" i="69" s="1"/>
  <c r="G43" i="69" a="1"/>
  <c r="G43" i="69" s="1"/>
  <c r="F43" i="69" a="1"/>
  <c r="F43" i="69" s="1"/>
  <c r="E43" i="69" a="1"/>
  <c r="E43" i="69" s="1"/>
  <c r="D43" i="69" a="1"/>
  <c r="D43" i="69" s="1"/>
  <c r="J42" i="69" a="1"/>
  <c r="J42" i="69" s="1"/>
  <c r="I42" i="69" a="1"/>
  <c r="I42" i="69" s="1"/>
  <c r="H42" i="69" a="1"/>
  <c r="H42" i="69" s="1"/>
  <c r="G42" i="69" a="1"/>
  <c r="G42" i="69" s="1"/>
  <c r="F42" i="69" a="1"/>
  <c r="F42" i="69" s="1"/>
  <c r="E42" i="69" a="1"/>
  <c r="E42" i="69" s="1"/>
  <c r="D42" i="69" a="1"/>
  <c r="D42" i="69" s="1"/>
  <c r="J41" i="69" a="1"/>
  <c r="J41" i="69" s="1"/>
  <c r="I41" i="69" a="1"/>
  <c r="I41" i="69" s="1"/>
  <c r="H41" i="69" a="1"/>
  <c r="H41" i="69" s="1"/>
  <c r="G41" i="69" a="1"/>
  <c r="G41" i="69" s="1"/>
  <c r="F41" i="69" a="1"/>
  <c r="F41" i="69" s="1"/>
  <c r="E41" i="69" a="1"/>
  <c r="E41" i="69" s="1"/>
  <c r="D41" i="69" a="1"/>
  <c r="D41" i="69" s="1"/>
  <c r="J40" i="69" a="1"/>
  <c r="J40" i="69" s="1"/>
  <c r="I40" i="69" a="1"/>
  <c r="I40" i="69" s="1"/>
  <c r="H40" i="69" a="1"/>
  <c r="H40" i="69" s="1"/>
  <c r="G40" i="69" a="1"/>
  <c r="G40" i="69" s="1"/>
  <c r="F40" i="69" a="1"/>
  <c r="F40" i="69" s="1"/>
  <c r="E40" i="69" a="1"/>
  <c r="E40" i="69" s="1"/>
  <c r="D40" i="69" a="1"/>
  <c r="D40" i="69" s="1"/>
  <c r="D38" i="69" a="1"/>
  <c r="D38" i="69" s="1"/>
  <c r="D37" i="69" a="1"/>
  <c r="D37" i="69" s="1"/>
  <c r="L34" i="69" a="1"/>
  <c r="L34" i="69" s="1"/>
  <c r="K34" i="69" a="1"/>
  <c r="K34" i="69" s="1"/>
  <c r="J34" i="69" a="1"/>
  <c r="J34" i="69" s="1"/>
  <c r="I34" i="69" a="1"/>
  <c r="I34" i="69" s="1"/>
  <c r="H34" i="69" a="1"/>
  <c r="H34" i="69" s="1"/>
  <c r="G34" i="69" a="1"/>
  <c r="G34" i="69" s="1"/>
  <c r="F34" i="69" a="1"/>
  <c r="F34" i="69" s="1"/>
  <c r="E34" i="69" a="1"/>
  <c r="E34" i="69" s="1"/>
  <c r="D34" i="69" a="1"/>
  <c r="D34" i="69" s="1"/>
  <c r="L33" i="69" a="1"/>
  <c r="L33" i="69" s="1"/>
  <c r="K33" i="69" a="1"/>
  <c r="K33" i="69" s="1"/>
  <c r="J33" i="69" a="1"/>
  <c r="J33" i="69" s="1"/>
  <c r="I33" i="69" a="1"/>
  <c r="I33" i="69" s="1"/>
  <c r="H33" i="69" a="1"/>
  <c r="H33" i="69" s="1"/>
  <c r="G33" i="69" a="1"/>
  <c r="G33" i="69" s="1"/>
  <c r="F33" i="69" a="1"/>
  <c r="F33" i="69" s="1"/>
  <c r="E33" i="69" a="1"/>
  <c r="E33" i="69" s="1"/>
  <c r="E39" i="66" s="1"/>
  <c r="D33" i="69" a="1"/>
  <c r="D33" i="69" s="1"/>
  <c r="L32" i="69" a="1"/>
  <c r="L32" i="69" s="1"/>
  <c r="K32" i="69" a="1"/>
  <c r="K32" i="69" s="1"/>
  <c r="J32" i="69" a="1"/>
  <c r="J32" i="69" s="1"/>
  <c r="I32" i="69" a="1"/>
  <c r="I32" i="69" s="1"/>
  <c r="H32" i="69" a="1"/>
  <c r="H32" i="69" s="1"/>
  <c r="G32" i="69" a="1"/>
  <c r="G32" i="69" s="1"/>
  <c r="F32" i="69" a="1"/>
  <c r="F32" i="69" s="1"/>
  <c r="E32" i="69" a="1"/>
  <c r="E32" i="69" s="1"/>
  <c r="D32" i="69" a="1"/>
  <c r="D32" i="69" s="1"/>
  <c r="L31" i="69" a="1"/>
  <c r="L31" i="69" s="1"/>
  <c r="K31" i="69" a="1"/>
  <c r="K31" i="69" s="1"/>
  <c r="J31" i="69" a="1"/>
  <c r="J31" i="69" s="1"/>
  <c r="I31" i="69" a="1"/>
  <c r="I31" i="69" s="1"/>
  <c r="H31" i="69" a="1"/>
  <c r="H31" i="69" s="1"/>
  <c r="G31" i="69" a="1"/>
  <c r="G31" i="69" s="1"/>
  <c r="F31" i="69" a="1"/>
  <c r="F31" i="69" s="1"/>
  <c r="E31" i="69" a="1"/>
  <c r="E31" i="69" s="1"/>
  <c r="D31" i="69" a="1"/>
  <c r="D31" i="69" s="1"/>
  <c r="L30" i="69" a="1"/>
  <c r="L30" i="69" s="1"/>
  <c r="K30" i="69" a="1"/>
  <c r="K30" i="69" s="1"/>
  <c r="J30" i="69" a="1"/>
  <c r="J30" i="69" s="1"/>
  <c r="I30" i="69" a="1"/>
  <c r="I30" i="69" s="1"/>
  <c r="H30" i="69" a="1"/>
  <c r="H30" i="69" s="1"/>
  <c r="G30" i="69" a="1"/>
  <c r="G30" i="69" s="1"/>
  <c r="F30" i="69" a="1"/>
  <c r="F30" i="69" s="1"/>
  <c r="E30" i="69" a="1"/>
  <c r="E30" i="69" s="1"/>
  <c r="E36" i="66" s="1"/>
  <c r="D30" i="69" a="1"/>
  <c r="D30" i="69" s="1"/>
  <c r="L29" i="69" a="1"/>
  <c r="L29" i="69" s="1"/>
  <c r="K29" i="69" a="1"/>
  <c r="K29" i="69" s="1"/>
  <c r="J29" i="69" a="1"/>
  <c r="J29" i="69" s="1"/>
  <c r="I29" i="69" a="1"/>
  <c r="I29" i="69" s="1"/>
  <c r="H29" i="69" a="1"/>
  <c r="H29" i="69" s="1"/>
  <c r="G29" i="69" a="1"/>
  <c r="G29" i="69" s="1"/>
  <c r="F29" i="69" a="1"/>
  <c r="F29" i="69" s="1"/>
  <c r="E29" i="69" a="1"/>
  <c r="E29" i="69" s="1"/>
  <c r="E35" i="66" s="1"/>
  <c r="D29" i="69" a="1"/>
  <c r="D29" i="69" s="1"/>
  <c r="L28" i="69" a="1"/>
  <c r="L28" i="69" s="1"/>
  <c r="K28" i="69" a="1"/>
  <c r="K28" i="69" s="1"/>
  <c r="J28" i="69" a="1"/>
  <c r="J28" i="69" s="1"/>
  <c r="I28" i="69" a="1"/>
  <c r="I28" i="69" s="1"/>
  <c r="H28" i="69" a="1"/>
  <c r="H28" i="69" s="1"/>
  <c r="G28" i="69" a="1"/>
  <c r="G28" i="69" s="1"/>
  <c r="F28" i="69" a="1"/>
  <c r="F28" i="69" s="1"/>
  <c r="E28" i="69" a="1"/>
  <c r="E28" i="69" s="1"/>
  <c r="E34" i="66" s="1"/>
  <c r="D28" i="69" a="1"/>
  <c r="D28" i="69" s="1"/>
  <c r="L27" i="69" a="1"/>
  <c r="L27" i="69" s="1"/>
  <c r="K27" i="69" a="1"/>
  <c r="K27" i="69" s="1"/>
  <c r="J27" i="69" a="1"/>
  <c r="J27" i="69" s="1"/>
  <c r="I27" i="69" a="1"/>
  <c r="I27" i="69" s="1"/>
  <c r="H27" i="69" a="1"/>
  <c r="H27" i="69" s="1"/>
  <c r="G27" i="69" a="1"/>
  <c r="G27" i="69" s="1"/>
  <c r="F27" i="69" a="1"/>
  <c r="F27" i="69" s="1"/>
  <c r="E27" i="69" a="1"/>
  <c r="E27" i="69" s="1"/>
  <c r="D27" i="69" a="1"/>
  <c r="D27" i="69" s="1"/>
  <c r="L26" i="69" a="1"/>
  <c r="L26" i="69" s="1"/>
  <c r="K26" i="69" a="1"/>
  <c r="K26" i="69" s="1"/>
  <c r="J26" i="69" a="1"/>
  <c r="J26" i="69" s="1"/>
  <c r="I26" i="69" a="1"/>
  <c r="I26" i="69" s="1"/>
  <c r="H26" i="69" a="1"/>
  <c r="H26" i="69" s="1"/>
  <c r="G26" i="69" a="1"/>
  <c r="G26" i="69" s="1"/>
  <c r="F26" i="69" a="1"/>
  <c r="F26" i="69" s="1"/>
  <c r="E26" i="69" a="1"/>
  <c r="E26" i="69" s="1"/>
  <c r="D26" i="69" a="1"/>
  <c r="D26" i="69" s="1"/>
  <c r="L25" i="69" a="1"/>
  <c r="L25" i="69" s="1"/>
  <c r="K25" i="69" a="1"/>
  <c r="K25" i="69" s="1"/>
  <c r="J25" i="69" a="1"/>
  <c r="J25" i="69" s="1"/>
  <c r="I25" i="69" a="1"/>
  <c r="I25" i="69" s="1"/>
  <c r="H25" i="69" a="1"/>
  <c r="H25" i="69" s="1"/>
  <c r="G25" i="69" a="1"/>
  <c r="G25" i="69" s="1"/>
  <c r="F25" i="69" a="1"/>
  <c r="F25" i="69" s="1"/>
  <c r="E25" i="69" a="1"/>
  <c r="E25" i="69" s="1"/>
  <c r="D25" i="69" a="1"/>
  <c r="D25" i="69" s="1"/>
  <c r="L24" i="69" a="1"/>
  <c r="L24" i="69" s="1"/>
  <c r="K24" i="69" a="1"/>
  <c r="K24" i="69" s="1"/>
  <c r="J24" i="69" a="1"/>
  <c r="J24" i="69" s="1"/>
  <c r="I24" i="69" a="1"/>
  <c r="I24" i="69" s="1"/>
  <c r="H24" i="69" a="1"/>
  <c r="H24" i="69" s="1"/>
  <c r="G24" i="69" a="1"/>
  <c r="G24" i="69" s="1"/>
  <c r="F24" i="69" a="1"/>
  <c r="F24" i="69" s="1"/>
  <c r="E24" i="69" a="1"/>
  <c r="E24" i="69" s="1"/>
  <c r="D24" i="69" a="1"/>
  <c r="D24" i="69" s="1"/>
  <c r="L23" i="69" a="1"/>
  <c r="L23" i="69" s="1"/>
  <c r="K23" i="69" a="1"/>
  <c r="K23" i="69" s="1"/>
  <c r="J23" i="69" a="1"/>
  <c r="J23" i="69" s="1"/>
  <c r="I23" i="69" a="1"/>
  <c r="I23" i="69" s="1"/>
  <c r="H23" i="69" a="1"/>
  <c r="H23" i="69" s="1"/>
  <c r="G23" i="69" a="1"/>
  <c r="G23" i="69" s="1"/>
  <c r="F23" i="69" a="1"/>
  <c r="F23" i="69" s="1"/>
  <c r="E23" i="69" a="1"/>
  <c r="E23" i="69" s="1"/>
  <c r="D23" i="69" a="1"/>
  <c r="D23" i="69" s="1"/>
  <c r="L22" i="69" a="1"/>
  <c r="L22" i="69" s="1"/>
  <c r="K22" i="69" a="1"/>
  <c r="K22" i="69" s="1"/>
  <c r="J22" i="69" a="1"/>
  <c r="J22" i="69" s="1"/>
  <c r="I22" i="69" a="1"/>
  <c r="I22" i="69" s="1"/>
  <c r="H22" i="69" a="1"/>
  <c r="H22" i="69" s="1"/>
  <c r="G22" i="69" a="1"/>
  <c r="G22" i="69" s="1"/>
  <c r="F22" i="69" a="1"/>
  <c r="F22" i="69" s="1"/>
  <c r="E22" i="69" a="1"/>
  <c r="E22" i="69" s="1"/>
  <c r="D22" i="69" a="1"/>
  <c r="D22" i="69" s="1"/>
  <c r="L21" i="69" a="1"/>
  <c r="L21" i="69" s="1"/>
  <c r="K21" i="69" a="1"/>
  <c r="K21" i="69" s="1"/>
  <c r="J21" i="69" a="1"/>
  <c r="J21" i="69" s="1"/>
  <c r="I21" i="69" a="1"/>
  <c r="I21" i="69" s="1"/>
  <c r="H21" i="69" a="1"/>
  <c r="H21" i="69" s="1"/>
  <c r="G21" i="69" a="1"/>
  <c r="G21" i="69" s="1"/>
  <c r="F21" i="69" a="1"/>
  <c r="F21" i="69" s="1"/>
  <c r="E21" i="69" a="1"/>
  <c r="E21" i="69" s="1"/>
  <c r="D21" i="69" a="1"/>
  <c r="D21" i="69" s="1"/>
  <c r="L20" i="69" a="1"/>
  <c r="L20" i="69" s="1"/>
  <c r="K20" i="69" a="1"/>
  <c r="K20" i="69" s="1"/>
  <c r="J20" i="69" a="1"/>
  <c r="J20" i="69" s="1"/>
  <c r="I20" i="69" a="1"/>
  <c r="I20" i="69" s="1"/>
  <c r="H20" i="69" a="1"/>
  <c r="H20" i="69" s="1"/>
  <c r="G20" i="69" a="1"/>
  <c r="G20" i="69" s="1"/>
  <c r="F20" i="69" a="1"/>
  <c r="F20" i="69" s="1"/>
  <c r="E20" i="69" a="1"/>
  <c r="E20" i="69" s="1"/>
  <c r="D20" i="69" a="1"/>
  <c r="D20" i="69" s="1"/>
  <c r="L19" i="69" a="1"/>
  <c r="L19" i="69" s="1"/>
  <c r="K19" i="69" a="1"/>
  <c r="K19" i="69" s="1"/>
  <c r="J19" i="69" a="1"/>
  <c r="J19" i="69" s="1"/>
  <c r="I19" i="69" a="1"/>
  <c r="I19" i="69" s="1"/>
  <c r="H19" i="69" a="1"/>
  <c r="H19" i="69" s="1"/>
  <c r="G19" i="69" a="1"/>
  <c r="G19" i="69" s="1"/>
  <c r="F19" i="69" a="1"/>
  <c r="F19" i="69" s="1"/>
  <c r="E19" i="69" a="1"/>
  <c r="E19" i="69" s="1"/>
  <c r="D19" i="69" a="1"/>
  <c r="D19" i="69" s="1"/>
  <c r="L18" i="69" a="1"/>
  <c r="L18" i="69" s="1"/>
  <c r="K18" i="69" a="1"/>
  <c r="K18" i="69" s="1"/>
  <c r="J18" i="69" a="1"/>
  <c r="J18" i="69" s="1"/>
  <c r="I18" i="69" a="1"/>
  <c r="I18" i="69" s="1"/>
  <c r="H18" i="69" a="1"/>
  <c r="H18" i="69" s="1"/>
  <c r="G18" i="69" a="1"/>
  <c r="G18" i="69" s="1"/>
  <c r="F18" i="69" a="1"/>
  <c r="F18" i="69" s="1"/>
  <c r="E18" i="69" a="1"/>
  <c r="E18" i="69" s="1"/>
  <c r="D18" i="69" a="1"/>
  <c r="D18" i="69" s="1"/>
  <c r="L17" i="69" a="1"/>
  <c r="L17" i="69" s="1"/>
  <c r="K17" i="69" a="1"/>
  <c r="K17" i="69" s="1"/>
  <c r="J17" i="69" a="1"/>
  <c r="J17" i="69" s="1"/>
  <c r="I17" i="69" a="1"/>
  <c r="I17" i="69" s="1"/>
  <c r="H17" i="69" a="1"/>
  <c r="H17" i="69" s="1"/>
  <c r="G17" i="69" a="1"/>
  <c r="G17" i="69" s="1"/>
  <c r="F17" i="69" a="1"/>
  <c r="F17" i="69" s="1"/>
  <c r="E17" i="69" a="1"/>
  <c r="E17" i="69" s="1"/>
  <c r="E32" i="66" s="1"/>
  <c r="D17" i="69" a="1"/>
  <c r="D17" i="69" s="1"/>
  <c r="L16" i="69" a="1"/>
  <c r="L16" i="69" s="1"/>
  <c r="K16" i="69" a="1"/>
  <c r="K16" i="69" s="1"/>
  <c r="J16" i="69" a="1"/>
  <c r="J16" i="69" s="1"/>
  <c r="I16" i="69" a="1"/>
  <c r="I16" i="69" s="1"/>
  <c r="H16" i="69" a="1"/>
  <c r="H16" i="69" s="1"/>
  <c r="G16" i="69" a="1"/>
  <c r="G16" i="69" s="1"/>
  <c r="F16" i="69" a="1"/>
  <c r="F16" i="69" s="1"/>
  <c r="E16" i="69" a="1"/>
  <c r="E16" i="69" s="1"/>
  <c r="E31" i="66" s="1"/>
  <c r="D16" i="69" a="1"/>
  <c r="D16" i="69" s="1"/>
  <c r="L15" i="69" a="1"/>
  <c r="L15" i="69" s="1"/>
  <c r="K15" i="69" a="1"/>
  <c r="K15" i="69" s="1"/>
  <c r="J15" i="69" a="1"/>
  <c r="J15" i="69" s="1"/>
  <c r="I15" i="69" a="1"/>
  <c r="I15" i="69" s="1"/>
  <c r="H15" i="69" a="1"/>
  <c r="H15" i="69" s="1"/>
  <c r="G15" i="69" a="1"/>
  <c r="G15" i="69" s="1"/>
  <c r="F15" i="69" a="1"/>
  <c r="F15" i="69" s="1"/>
  <c r="E15" i="69" a="1"/>
  <c r="E15" i="69" s="1"/>
  <c r="E30" i="66" s="1"/>
  <c r="D15" i="69" a="1"/>
  <c r="D15" i="69" s="1"/>
  <c r="L14" i="69" a="1"/>
  <c r="L14" i="69" s="1"/>
  <c r="K14" i="69" a="1"/>
  <c r="K14" i="69" s="1"/>
  <c r="J14" i="69" a="1"/>
  <c r="J14" i="69" s="1"/>
  <c r="I14" i="69" a="1"/>
  <c r="I14" i="69" s="1"/>
  <c r="H14" i="69" a="1"/>
  <c r="H14" i="69" s="1"/>
  <c r="G14" i="69" a="1"/>
  <c r="G14" i="69" s="1"/>
  <c r="F14" i="69" a="1"/>
  <c r="F14" i="69" s="1"/>
  <c r="E14" i="69" a="1"/>
  <c r="E14" i="69" s="1"/>
  <c r="E29" i="66" s="1"/>
  <c r="D14" i="69" a="1"/>
  <c r="D14" i="69" s="1"/>
  <c r="L13" i="69" a="1"/>
  <c r="L13" i="69" s="1"/>
  <c r="K13" i="69" a="1"/>
  <c r="K13" i="69" s="1"/>
  <c r="J13" i="69" a="1"/>
  <c r="J13" i="69" s="1"/>
  <c r="I13" i="69" a="1"/>
  <c r="I13" i="69" s="1"/>
  <c r="H13" i="69" a="1"/>
  <c r="H13" i="69" s="1"/>
  <c r="G13" i="69" a="1"/>
  <c r="G13" i="69" s="1"/>
  <c r="F13" i="69" a="1"/>
  <c r="F13" i="69" s="1"/>
  <c r="E13" i="69" a="1"/>
  <c r="E13" i="69" s="1"/>
  <c r="E28" i="66" s="1"/>
  <c r="D13" i="69" a="1"/>
  <c r="D13" i="69" s="1"/>
  <c r="L12" i="69" a="1"/>
  <c r="L12" i="69" s="1"/>
  <c r="K12" i="69" a="1"/>
  <c r="K12" i="69" s="1"/>
  <c r="J12" i="69" a="1"/>
  <c r="J12" i="69" s="1"/>
  <c r="I12" i="69" a="1"/>
  <c r="I12" i="69" s="1"/>
  <c r="H12" i="69" a="1"/>
  <c r="H12" i="69" s="1"/>
  <c r="G12" i="69" a="1"/>
  <c r="G12" i="69" s="1"/>
  <c r="F12" i="69" a="1"/>
  <c r="F12" i="69" s="1"/>
  <c r="E12" i="69" a="1"/>
  <c r="E12" i="69" s="1"/>
  <c r="E27" i="66" s="1"/>
  <c r="D12" i="69" a="1"/>
  <c r="D12" i="69" s="1"/>
  <c r="L11" i="69" a="1"/>
  <c r="L11" i="69" s="1"/>
  <c r="K11" i="69" a="1"/>
  <c r="K11" i="69" s="1"/>
  <c r="J11" i="69" a="1"/>
  <c r="J11" i="69" s="1"/>
  <c r="I11" i="69" a="1"/>
  <c r="I11" i="69" s="1"/>
  <c r="H11" i="69" a="1"/>
  <c r="H11" i="69" s="1"/>
  <c r="G11" i="69" a="1"/>
  <c r="G11" i="69" s="1"/>
  <c r="F11" i="69" a="1"/>
  <c r="F11" i="69" s="1"/>
  <c r="E11" i="69" a="1"/>
  <c r="E11" i="69" s="1"/>
  <c r="E38" i="66" s="1"/>
  <c r="D11" i="69" a="1"/>
  <c r="D11" i="69" s="1"/>
  <c r="L10" i="69" a="1"/>
  <c r="L10" i="69" s="1"/>
  <c r="K10" i="69" a="1"/>
  <c r="K10" i="69" s="1"/>
  <c r="J10" i="69" a="1"/>
  <c r="J10" i="69" s="1"/>
  <c r="I10" i="69" a="1"/>
  <c r="I10" i="69" s="1"/>
  <c r="H10" i="69" a="1"/>
  <c r="H10" i="69" s="1"/>
  <c r="G10" i="69" a="1"/>
  <c r="G10" i="69" s="1"/>
  <c r="F10" i="69" a="1"/>
  <c r="F10" i="69" s="1"/>
  <c r="E10" i="69" a="1"/>
  <c r="E10" i="69" s="1"/>
  <c r="D10" i="69" a="1"/>
  <c r="D10" i="69" s="1"/>
  <c r="D8" i="69" a="1"/>
  <c r="D8" i="69" s="1"/>
  <c r="D7" i="69" a="1"/>
  <c r="D7" i="69" s="1"/>
  <c r="D6" i="69" a="1"/>
  <c r="D6" i="69" s="1"/>
  <c r="D5" i="69" a="1"/>
  <c r="D5" i="69" s="1"/>
  <c r="H185" i="68"/>
  <c r="H179" i="68"/>
  <c r="H168" i="68"/>
  <c r="H144" i="68"/>
  <c r="H138" i="68"/>
  <c r="H127" i="68"/>
  <c r="H105" i="68" a="1"/>
  <c r="H105" i="68" s="1"/>
  <c r="D105" i="68" a="1"/>
  <c r="D105" i="68" s="1"/>
  <c r="E103" i="68" a="1"/>
  <c r="E103" i="68" s="1"/>
  <c r="E102" i="68" a="1"/>
  <c r="E102" i="68" s="1"/>
  <c r="D98" i="68" a="1"/>
  <c r="D98" i="68" s="1"/>
  <c r="D97" i="68" a="1"/>
  <c r="D97" i="68" s="1"/>
  <c r="D96" i="68" a="1"/>
  <c r="D96" i="68" s="1"/>
  <c r="J16" i="68" a="1"/>
  <c r="J16" i="68" s="1"/>
  <c r="I16" i="68" a="1"/>
  <c r="I16" i="68" s="1"/>
  <c r="J15" i="68" a="1"/>
  <c r="J15" i="68" s="1"/>
  <c r="I15" i="68" a="1"/>
  <c r="I15" i="68" s="1"/>
  <c r="J14" i="68" a="1"/>
  <c r="J14" i="68" s="1"/>
  <c r="I14" i="68" a="1"/>
  <c r="I14" i="68" s="1"/>
  <c r="J13" i="68" a="1"/>
  <c r="J13" i="68" s="1"/>
  <c r="I13" i="68" a="1"/>
  <c r="I13" i="68" s="1"/>
  <c r="G13" i="68" a="1"/>
  <c r="G13" i="68" s="1"/>
  <c r="D13" i="68" a="1"/>
  <c r="D13" i="68" s="1"/>
  <c r="E11" i="68" a="1"/>
  <c r="E11" i="68" s="1"/>
  <c r="E10" i="68" a="1"/>
  <c r="E10" i="68" s="1"/>
  <c r="D6" i="68" a="1"/>
  <c r="D6" i="68" s="1"/>
  <c r="D5" i="68" a="1"/>
  <c r="D5" i="68" s="1"/>
  <c r="D34" i="67"/>
  <c r="D36" i="67"/>
  <c r="D27" i="67"/>
  <c r="D29" i="67"/>
  <c r="P18" i="67"/>
  <c r="P17" i="67"/>
  <c r="K39" i="67" s="1" a="1"/>
  <c r="K39" i="67" s="1"/>
  <c r="P16" i="67" a="1"/>
  <c r="P16" i="67" s="1"/>
  <c r="I16" i="67" a="1"/>
  <c r="I16" i="67" s="1"/>
  <c r="P15" i="67" a="1"/>
  <c r="P15" i="67" s="1"/>
  <c r="I15" i="67" a="1"/>
  <c r="I15" i="67" s="1"/>
  <c r="P14" i="67" a="1"/>
  <c r="P14" i="67" s="1"/>
  <c r="N14" i="67" a="1"/>
  <c r="N14" i="67" s="1"/>
  <c r="K14" i="67" a="1"/>
  <c r="K14" i="67" s="1"/>
  <c r="I14" i="67" a="1"/>
  <c r="I14" i="67" s="1"/>
  <c r="G14" i="67" a="1"/>
  <c r="G14" i="67" s="1"/>
  <c r="D14" i="67" a="1"/>
  <c r="D14" i="67" s="1"/>
  <c r="L12" i="67" a="1"/>
  <c r="L12" i="67" s="1"/>
  <c r="E12" i="67" a="1"/>
  <c r="E12" i="67" s="1"/>
  <c r="L11" i="67" a="1"/>
  <c r="L11" i="67" s="1"/>
  <c r="E11" i="67" a="1"/>
  <c r="E11" i="67" s="1"/>
  <c r="K7" i="67" a="1"/>
  <c r="K7" i="67" s="1"/>
  <c r="K6" i="67" a="1"/>
  <c r="K6" i="67" s="1"/>
  <c r="D6" i="67" a="1"/>
  <c r="D6" i="67" s="1"/>
  <c r="K5" i="67" a="1"/>
  <c r="K5" i="67" s="1"/>
  <c r="D5" i="67" a="1"/>
  <c r="D5" i="67" s="1"/>
  <c r="D39" i="66"/>
  <c r="D38" i="66"/>
  <c r="D60" i="66"/>
  <c r="P16" i="66" a="1"/>
  <c r="P16" i="66" s="1"/>
  <c r="I16" i="66" a="1"/>
  <c r="I16" i="66" s="1"/>
  <c r="P15" i="66" a="1"/>
  <c r="P15" i="66" s="1"/>
  <c r="I15" i="66" a="1"/>
  <c r="I15" i="66" s="1"/>
  <c r="P14" i="66" a="1"/>
  <c r="P14" i="66" s="1"/>
  <c r="N14" i="66" a="1"/>
  <c r="N14" i="66" s="1"/>
  <c r="K14" i="66" a="1"/>
  <c r="K14" i="66" s="1"/>
  <c r="I14" i="66" a="1"/>
  <c r="I14" i="66" s="1"/>
  <c r="G14" i="66" a="1"/>
  <c r="G14" i="66" s="1"/>
  <c r="D14" i="66" a="1"/>
  <c r="D14" i="66" s="1"/>
  <c r="L12" i="66" a="1"/>
  <c r="L12" i="66" s="1"/>
  <c r="E12" i="66" a="1"/>
  <c r="E12" i="66" s="1"/>
  <c r="L11" i="66" a="1"/>
  <c r="L11" i="66" s="1"/>
  <c r="E11" i="66" a="1"/>
  <c r="E11" i="66" s="1"/>
  <c r="K6" i="66" a="1"/>
  <c r="K6" i="66" s="1"/>
  <c r="D6" i="66" a="1"/>
  <c r="D6" i="66" s="1"/>
  <c r="K5" i="66" a="1"/>
  <c r="K5" i="66" s="1"/>
  <c r="D5" i="66" a="1"/>
  <c r="D5" i="66" s="1"/>
  <c r="H48" i="65"/>
  <c r="E48" i="65"/>
  <c r="H47" i="65"/>
  <c r="E47" i="65"/>
  <c r="H46" i="65"/>
  <c r="E46" i="65"/>
  <c r="H39" i="65"/>
  <c r="H38" i="65"/>
  <c r="H37" i="65"/>
  <c r="E29" i="65"/>
  <c r="E16" i="65"/>
  <c r="E22" i="65" s="1"/>
  <c r="E6" i="65"/>
  <c r="H21" i="63"/>
  <c r="H20" i="63"/>
  <c r="H19" i="63"/>
  <c r="H18" i="63"/>
  <c r="H17" i="63"/>
  <c r="I56" i="62"/>
  <c r="G56" i="62"/>
  <c r="I55" i="62"/>
  <c r="G55" i="62"/>
  <c r="I54" i="62"/>
  <c r="G54" i="62"/>
  <c r="K44" i="62"/>
  <c r="G44" i="62"/>
  <c r="K43" i="62"/>
  <c r="G43" i="62"/>
  <c r="K42" i="62"/>
  <c r="G42" i="62"/>
  <c r="E305" i="19" s="1" a="1"/>
  <c r="E305" i="19" s="1"/>
  <c r="F34" i="62"/>
  <c r="G34" i="62" s="1"/>
  <c r="F33" i="62"/>
  <c r="G33" i="62" s="1"/>
  <c r="F32" i="62"/>
  <c r="G32" i="62" s="1"/>
  <c r="F31" i="62"/>
  <c r="G31" i="62" s="1"/>
  <c r="F30" i="62"/>
  <c r="G30" i="62" s="1"/>
  <c r="F29" i="62"/>
  <c r="G29" i="62" s="1"/>
  <c r="F28" i="62"/>
  <c r="G28" i="62" s="1"/>
  <c r="F27" i="62"/>
  <c r="G27" i="62" s="1"/>
  <c r="F26" i="62"/>
  <c r="G26" i="62" s="1"/>
  <c r="F25" i="62"/>
  <c r="G25" i="62" s="1"/>
  <c r="E237" i="19" s="1" a="1"/>
  <c r="E237" i="19" s="1"/>
  <c r="G21" i="62"/>
  <c r="G20" i="62"/>
  <c r="G19" i="62"/>
  <c r="G18" i="62"/>
  <c r="G17" i="62"/>
  <c r="G16" i="62"/>
  <c r="G15" i="62"/>
  <c r="G14" i="62"/>
  <c r="G13" i="62"/>
  <c r="G12" i="62"/>
  <c r="E29" i="61"/>
  <c r="E13" i="61"/>
  <c r="E30" i="65" s="1"/>
  <c r="I37" i="65" s="1"/>
  <c r="E259" i="60" a="1"/>
  <c r="E259" i="60" s="1"/>
  <c r="D259" i="60" a="1"/>
  <c r="D259" i="60" s="1"/>
  <c r="E258" i="60" a="1"/>
  <c r="E258" i="60" s="1"/>
  <c r="D258" i="60" a="1"/>
  <c r="D258" i="60" s="1"/>
  <c r="D256" i="60" a="1"/>
  <c r="D256" i="60" s="1"/>
  <c r="D255" i="60" a="1"/>
  <c r="D255" i="60" s="1"/>
  <c r="D254" i="60" a="1"/>
  <c r="D254" i="60" s="1"/>
  <c r="D253" i="60" a="1"/>
  <c r="D253" i="60" s="1"/>
  <c r="S250" i="60" a="1"/>
  <c r="S250" i="60" s="1"/>
  <c r="R250" i="60" a="1"/>
  <c r="R250" i="60" s="1"/>
  <c r="Q250" i="60" a="1"/>
  <c r="Q250" i="60" s="1"/>
  <c r="P250" i="60" a="1"/>
  <c r="P250" i="60" s="1"/>
  <c r="O250" i="60" a="1"/>
  <c r="O250" i="60" s="1"/>
  <c r="N250" i="60" a="1"/>
  <c r="N250" i="60" s="1"/>
  <c r="M250" i="60" a="1"/>
  <c r="M250" i="60" s="1"/>
  <c r="L250" i="60" a="1"/>
  <c r="L250" i="60" s="1"/>
  <c r="K250" i="60" a="1"/>
  <c r="K250" i="60" s="1"/>
  <c r="J250" i="60" a="1"/>
  <c r="J250" i="60" s="1"/>
  <c r="I250" i="60" a="1"/>
  <c r="I250" i="60" s="1"/>
  <c r="H250" i="60" a="1"/>
  <c r="H250" i="60" s="1"/>
  <c r="G250" i="60" a="1"/>
  <c r="G250" i="60" s="1"/>
  <c r="F250" i="60" a="1"/>
  <c r="F250" i="60" s="1"/>
  <c r="E250" i="60" a="1"/>
  <c r="E250" i="60" s="1"/>
  <c r="D250" i="60" a="1"/>
  <c r="D250" i="60" s="1"/>
  <c r="S249" i="60" a="1"/>
  <c r="S249" i="60" s="1"/>
  <c r="R249" i="60" a="1"/>
  <c r="R249" i="60" s="1"/>
  <c r="Q249" i="60" a="1"/>
  <c r="Q249" i="60" s="1"/>
  <c r="P249" i="60" a="1"/>
  <c r="P249" i="60" s="1"/>
  <c r="O249" i="60" a="1"/>
  <c r="O249" i="60" s="1"/>
  <c r="N249" i="60" a="1"/>
  <c r="N249" i="60" s="1"/>
  <c r="M249" i="60" a="1"/>
  <c r="M249" i="60" s="1"/>
  <c r="L249" i="60" a="1"/>
  <c r="L249" i="60" s="1"/>
  <c r="K249" i="60" a="1"/>
  <c r="K249" i="60" s="1"/>
  <c r="J249" i="60" a="1"/>
  <c r="J249" i="60" s="1"/>
  <c r="I249" i="60" a="1"/>
  <c r="I249" i="60" s="1"/>
  <c r="H249" i="60" a="1"/>
  <c r="H249" i="60" s="1"/>
  <c r="G249" i="60" a="1"/>
  <c r="G249" i="60" s="1"/>
  <c r="F249" i="60" a="1"/>
  <c r="F249" i="60" s="1"/>
  <c r="E249" i="60" a="1"/>
  <c r="E249" i="60" s="1"/>
  <c r="D249" i="60" a="1"/>
  <c r="D249" i="60" s="1"/>
  <c r="S248" i="60" a="1"/>
  <c r="S248" i="60" s="1"/>
  <c r="R248" i="60" a="1"/>
  <c r="R248" i="60" s="1"/>
  <c r="Q248" i="60" a="1"/>
  <c r="Q248" i="60" s="1"/>
  <c r="P248" i="60" a="1"/>
  <c r="P248" i="60" s="1"/>
  <c r="O248" i="60" a="1"/>
  <c r="O248" i="60" s="1"/>
  <c r="N248" i="60" a="1"/>
  <c r="N248" i="60" s="1"/>
  <c r="M248" i="60" a="1"/>
  <c r="M248" i="60" s="1"/>
  <c r="L248" i="60" a="1"/>
  <c r="L248" i="60" s="1"/>
  <c r="K248" i="60" a="1"/>
  <c r="K248" i="60" s="1"/>
  <c r="J248" i="60" a="1"/>
  <c r="J248" i="60" s="1"/>
  <c r="I248" i="60" a="1"/>
  <c r="I248" i="60" s="1"/>
  <c r="H248" i="60" a="1"/>
  <c r="H248" i="60" s="1"/>
  <c r="G248" i="60" a="1"/>
  <c r="G248" i="60" s="1"/>
  <c r="F248" i="60" a="1"/>
  <c r="F248" i="60" s="1"/>
  <c r="E248" i="60" a="1"/>
  <c r="E248" i="60" s="1"/>
  <c r="D248" i="60" a="1"/>
  <c r="D248" i="60" s="1"/>
  <c r="S247" i="60" a="1"/>
  <c r="S247" i="60" s="1"/>
  <c r="R247" i="60" a="1"/>
  <c r="R247" i="60" s="1"/>
  <c r="Q247" i="60" a="1"/>
  <c r="Q247" i="60" s="1"/>
  <c r="P247" i="60" a="1"/>
  <c r="P247" i="60" s="1"/>
  <c r="O247" i="60" a="1"/>
  <c r="O247" i="60" s="1"/>
  <c r="N247" i="60" a="1"/>
  <c r="N247" i="60" s="1"/>
  <c r="M247" i="60" a="1"/>
  <c r="M247" i="60" s="1"/>
  <c r="L247" i="60" a="1"/>
  <c r="L247" i="60" s="1"/>
  <c r="K247" i="60" a="1"/>
  <c r="K247" i="60" s="1"/>
  <c r="J247" i="60" a="1"/>
  <c r="J247" i="60" s="1"/>
  <c r="I247" i="60" a="1"/>
  <c r="I247" i="60" s="1"/>
  <c r="H247" i="60" a="1"/>
  <c r="H247" i="60" s="1"/>
  <c r="G247" i="60" a="1"/>
  <c r="G247" i="60" s="1"/>
  <c r="F247" i="60" a="1"/>
  <c r="F247" i="60" s="1"/>
  <c r="E247" i="60" a="1"/>
  <c r="E247" i="60" s="1"/>
  <c r="D247" i="60" a="1"/>
  <c r="D247" i="60" s="1"/>
  <c r="S246" i="60" a="1"/>
  <c r="S246" i="60" s="1"/>
  <c r="R246" i="60" a="1"/>
  <c r="R246" i="60" s="1"/>
  <c r="Q246" i="60" a="1"/>
  <c r="Q246" i="60" s="1"/>
  <c r="P246" i="60" a="1"/>
  <c r="P246" i="60" s="1"/>
  <c r="O246" i="60" a="1"/>
  <c r="O246" i="60" s="1"/>
  <c r="N246" i="60" a="1"/>
  <c r="N246" i="60" s="1"/>
  <c r="M246" i="60" a="1"/>
  <c r="M246" i="60" s="1"/>
  <c r="L246" i="60" a="1"/>
  <c r="L246" i="60" s="1"/>
  <c r="K246" i="60" a="1"/>
  <c r="K246" i="60" s="1"/>
  <c r="J246" i="60" a="1"/>
  <c r="J246" i="60" s="1"/>
  <c r="I246" i="60" a="1"/>
  <c r="I246" i="60" s="1"/>
  <c r="H246" i="60" a="1"/>
  <c r="H246" i="60" s="1"/>
  <c r="G246" i="60" a="1"/>
  <c r="G246" i="60" s="1"/>
  <c r="F246" i="60" a="1"/>
  <c r="F246" i="60" s="1"/>
  <c r="E246" i="60" a="1"/>
  <c r="E246" i="60" s="1"/>
  <c r="D246" i="60" a="1"/>
  <c r="D246" i="60" s="1"/>
  <c r="S245" i="60" a="1"/>
  <c r="S245" i="60" s="1"/>
  <c r="R245" i="60" a="1"/>
  <c r="R245" i="60" s="1"/>
  <c r="Q245" i="60" a="1"/>
  <c r="Q245" i="60" s="1"/>
  <c r="P245" i="60" a="1"/>
  <c r="P245" i="60" s="1"/>
  <c r="O245" i="60" a="1"/>
  <c r="O245" i="60" s="1"/>
  <c r="N245" i="60" a="1"/>
  <c r="N245" i="60" s="1"/>
  <c r="M245" i="60" a="1"/>
  <c r="M245" i="60" s="1"/>
  <c r="L245" i="60" a="1"/>
  <c r="L245" i="60" s="1"/>
  <c r="K245" i="60" a="1"/>
  <c r="K245" i="60" s="1"/>
  <c r="J245" i="60" a="1"/>
  <c r="J245" i="60" s="1"/>
  <c r="I245" i="60" a="1"/>
  <c r="I245" i="60" s="1"/>
  <c r="H245" i="60" a="1"/>
  <c r="H245" i="60" s="1"/>
  <c r="G245" i="60" a="1"/>
  <c r="G245" i="60" s="1"/>
  <c r="F245" i="60" a="1"/>
  <c r="F245" i="60" s="1"/>
  <c r="E245" i="60" a="1"/>
  <c r="E245" i="60" s="1"/>
  <c r="D245" i="60" a="1"/>
  <c r="D245" i="60" s="1"/>
  <c r="S244" i="60" a="1"/>
  <c r="S244" i="60" s="1"/>
  <c r="R244" i="60" a="1"/>
  <c r="R244" i="60" s="1"/>
  <c r="Q244" i="60" a="1"/>
  <c r="Q244" i="60" s="1"/>
  <c r="P244" i="60" a="1"/>
  <c r="P244" i="60" s="1"/>
  <c r="O244" i="60" a="1"/>
  <c r="O244" i="60" s="1"/>
  <c r="N244" i="60" a="1"/>
  <c r="N244" i="60" s="1"/>
  <c r="M244" i="60" a="1"/>
  <c r="M244" i="60" s="1"/>
  <c r="L244" i="60" a="1"/>
  <c r="L244" i="60" s="1"/>
  <c r="K244" i="60" a="1"/>
  <c r="K244" i="60" s="1"/>
  <c r="J244" i="60" a="1"/>
  <c r="J244" i="60" s="1"/>
  <c r="I244" i="60" a="1"/>
  <c r="I244" i="60" s="1"/>
  <c r="H244" i="60" a="1"/>
  <c r="H244" i="60" s="1"/>
  <c r="G244" i="60" a="1"/>
  <c r="G244" i="60" s="1"/>
  <c r="F244" i="60" a="1"/>
  <c r="F244" i="60" s="1"/>
  <c r="E244" i="60" a="1"/>
  <c r="E244" i="60" s="1"/>
  <c r="D244" i="60" a="1"/>
  <c r="D244" i="60" s="1"/>
  <c r="S243" i="60" a="1"/>
  <c r="S243" i="60" s="1"/>
  <c r="R243" i="60" a="1"/>
  <c r="R243" i="60" s="1"/>
  <c r="Q243" i="60" a="1"/>
  <c r="Q243" i="60" s="1"/>
  <c r="P243" i="60" a="1"/>
  <c r="P243" i="60" s="1"/>
  <c r="O243" i="60" a="1"/>
  <c r="O243" i="60" s="1"/>
  <c r="N243" i="60" a="1"/>
  <c r="N243" i="60" s="1"/>
  <c r="M243" i="60" a="1"/>
  <c r="M243" i="60" s="1"/>
  <c r="L243" i="60" a="1"/>
  <c r="L243" i="60" s="1"/>
  <c r="K243" i="60" a="1"/>
  <c r="K243" i="60" s="1"/>
  <c r="J243" i="60" a="1"/>
  <c r="J243" i="60" s="1"/>
  <c r="I243" i="60" a="1"/>
  <c r="I243" i="60" s="1"/>
  <c r="H243" i="60" a="1"/>
  <c r="H243" i="60" s="1"/>
  <c r="G243" i="60" a="1"/>
  <c r="G243" i="60" s="1"/>
  <c r="F243" i="60" a="1"/>
  <c r="F243" i="60" s="1"/>
  <c r="E243" i="60" a="1"/>
  <c r="E243" i="60" s="1"/>
  <c r="D243" i="60" a="1"/>
  <c r="D243" i="60" s="1"/>
  <c r="S242" i="60" a="1"/>
  <c r="S242" i="60" s="1"/>
  <c r="R242" i="60" a="1"/>
  <c r="R242" i="60" s="1"/>
  <c r="Q242" i="60" a="1"/>
  <c r="Q242" i="60" s="1"/>
  <c r="P242" i="60" a="1"/>
  <c r="P242" i="60" s="1"/>
  <c r="O242" i="60" a="1"/>
  <c r="O242" i="60" s="1"/>
  <c r="N242" i="60" a="1"/>
  <c r="N242" i="60" s="1"/>
  <c r="M242" i="60" a="1"/>
  <c r="M242" i="60" s="1"/>
  <c r="L242" i="60" a="1"/>
  <c r="L242" i="60" s="1"/>
  <c r="K242" i="60" a="1"/>
  <c r="K242" i="60" s="1"/>
  <c r="J242" i="60" a="1"/>
  <c r="J242" i="60" s="1"/>
  <c r="I242" i="60" a="1"/>
  <c r="I242" i="60" s="1"/>
  <c r="H242" i="60" a="1"/>
  <c r="H242" i="60" s="1"/>
  <c r="G242" i="60" a="1"/>
  <c r="G242" i="60" s="1"/>
  <c r="F242" i="60" a="1"/>
  <c r="F242" i="60" s="1"/>
  <c r="E242" i="60" a="1"/>
  <c r="E242" i="60" s="1"/>
  <c r="D242" i="60" a="1"/>
  <c r="D242" i="60" s="1"/>
  <c r="S241" i="60" a="1"/>
  <c r="S241" i="60" s="1"/>
  <c r="R241" i="60" a="1"/>
  <c r="R241" i="60" s="1"/>
  <c r="Q241" i="60" a="1"/>
  <c r="Q241" i="60" s="1"/>
  <c r="P241" i="60" a="1"/>
  <c r="P241" i="60" s="1"/>
  <c r="O241" i="60" a="1"/>
  <c r="O241" i="60" s="1"/>
  <c r="N241" i="60" a="1"/>
  <c r="N241" i="60" s="1"/>
  <c r="M241" i="60" a="1"/>
  <c r="M241" i="60" s="1"/>
  <c r="L241" i="60" a="1"/>
  <c r="L241" i="60" s="1"/>
  <c r="K241" i="60" a="1"/>
  <c r="K241" i="60" s="1"/>
  <c r="J241" i="60" a="1"/>
  <c r="J241" i="60" s="1"/>
  <c r="I241" i="60" a="1"/>
  <c r="I241" i="60" s="1"/>
  <c r="H241" i="60" a="1"/>
  <c r="H241" i="60" s="1"/>
  <c r="G241" i="60" a="1"/>
  <c r="G241" i="60" s="1"/>
  <c r="F241" i="60" a="1"/>
  <c r="F241" i="60" s="1"/>
  <c r="E241" i="60" a="1"/>
  <c r="E241" i="60" s="1"/>
  <c r="D241" i="60" a="1"/>
  <c r="D241" i="60" s="1"/>
  <c r="S240" i="60" a="1"/>
  <c r="S240" i="60" s="1"/>
  <c r="R240" i="60" a="1"/>
  <c r="R240" i="60" s="1"/>
  <c r="Q240" i="60" a="1"/>
  <c r="Q240" i="60" s="1"/>
  <c r="P240" i="60" a="1"/>
  <c r="P240" i="60" s="1"/>
  <c r="O240" i="60" a="1"/>
  <c r="O240" i="60" s="1"/>
  <c r="N240" i="60" a="1"/>
  <c r="N240" i="60" s="1"/>
  <c r="M240" i="60" a="1"/>
  <c r="M240" i="60" s="1"/>
  <c r="L240" i="60" a="1"/>
  <c r="L240" i="60" s="1"/>
  <c r="K240" i="60" a="1"/>
  <c r="K240" i="60" s="1"/>
  <c r="J240" i="60" a="1"/>
  <c r="J240" i="60" s="1"/>
  <c r="I240" i="60" a="1"/>
  <c r="I240" i="60" s="1"/>
  <c r="H240" i="60" a="1"/>
  <c r="H240" i="60" s="1"/>
  <c r="G240" i="60" a="1"/>
  <c r="G240" i="60" s="1"/>
  <c r="F240" i="60" a="1"/>
  <c r="F240" i="60" s="1"/>
  <c r="E240" i="60" a="1"/>
  <c r="E240" i="60" s="1"/>
  <c r="D240" i="60" a="1"/>
  <c r="D240" i="60" s="1"/>
  <c r="S239" i="60" a="1"/>
  <c r="S239" i="60" s="1"/>
  <c r="R239" i="60" a="1"/>
  <c r="R239" i="60" s="1"/>
  <c r="Q239" i="60" a="1"/>
  <c r="Q239" i="60" s="1"/>
  <c r="P239" i="60" a="1"/>
  <c r="P239" i="60" s="1"/>
  <c r="O239" i="60" a="1"/>
  <c r="O239" i="60" s="1"/>
  <c r="N239" i="60" a="1"/>
  <c r="N239" i="60" s="1"/>
  <c r="M239" i="60" a="1"/>
  <c r="M239" i="60" s="1"/>
  <c r="L239" i="60" a="1"/>
  <c r="L239" i="60" s="1"/>
  <c r="K239" i="60" a="1"/>
  <c r="K239" i="60" s="1"/>
  <c r="J239" i="60" a="1"/>
  <c r="J239" i="60" s="1"/>
  <c r="I239" i="60" a="1"/>
  <c r="I239" i="60" s="1"/>
  <c r="H239" i="60" a="1"/>
  <c r="H239" i="60" s="1"/>
  <c r="G239" i="60" a="1"/>
  <c r="G239" i="60" s="1"/>
  <c r="F239" i="60" a="1"/>
  <c r="F239" i="60" s="1"/>
  <c r="E239" i="60" a="1"/>
  <c r="E239" i="60" s="1"/>
  <c r="D239" i="60" a="1"/>
  <c r="D239" i="60" s="1"/>
  <c r="S238" i="60" a="1"/>
  <c r="S238" i="60" s="1"/>
  <c r="R238" i="60" a="1"/>
  <c r="R238" i="60" s="1"/>
  <c r="Q238" i="60" a="1"/>
  <c r="Q238" i="60" s="1"/>
  <c r="P238" i="60" a="1"/>
  <c r="P238" i="60" s="1"/>
  <c r="O238" i="60" a="1"/>
  <c r="O238" i="60" s="1"/>
  <c r="N238" i="60" a="1"/>
  <c r="N238" i="60" s="1"/>
  <c r="M238" i="60" a="1"/>
  <c r="M238" i="60" s="1"/>
  <c r="L238" i="60" a="1"/>
  <c r="L238" i="60" s="1"/>
  <c r="K238" i="60" a="1"/>
  <c r="K238" i="60" s="1"/>
  <c r="J238" i="60" a="1"/>
  <c r="J238" i="60" s="1"/>
  <c r="I238" i="60" a="1"/>
  <c r="I238" i="60" s="1"/>
  <c r="H238" i="60" a="1"/>
  <c r="H238" i="60" s="1"/>
  <c r="G238" i="60" a="1"/>
  <c r="G238" i="60" s="1"/>
  <c r="F238" i="60" a="1"/>
  <c r="F238" i="60" s="1"/>
  <c r="E238" i="60" a="1"/>
  <c r="E238" i="60" s="1"/>
  <c r="D238" i="60" a="1"/>
  <c r="D238" i="60" s="1"/>
  <c r="S237" i="60" a="1"/>
  <c r="S237" i="60" s="1"/>
  <c r="R237" i="60" a="1"/>
  <c r="R237" i="60" s="1"/>
  <c r="Q237" i="60" a="1"/>
  <c r="Q237" i="60" s="1"/>
  <c r="P237" i="60" a="1"/>
  <c r="P237" i="60" s="1"/>
  <c r="O237" i="60" a="1"/>
  <c r="O237" i="60" s="1"/>
  <c r="N237" i="60" a="1"/>
  <c r="N237" i="60" s="1"/>
  <c r="M237" i="60" a="1"/>
  <c r="M237" i="60" s="1"/>
  <c r="L237" i="60" a="1"/>
  <c r="L237" i="60" s="1"/>
  <c r="K237" i="60" a="1"/>
  <c r="K237" i="60" s="1"/>
  <c r="J237" i="60" a="1"/>
  <c r="J237" i="60" s="1"/>
  <c r="I237" i="60" a="1"/>
  <c r="I237" i="60" s="1"/>
  <c r="H237" i="60" a="1"/>
  <c r="H237" i="60" s="1"/>
  <c r="G237" i="60" a="1"/>
  <c r="G237" i="60" s="1"/>
  <c r="F237" i="60" a="1"/>
  <c r="F237" i="60" s="1"/>
  <c r="E237" i="60" a="1"/>
  <c r="E237" i="60" s="1"/>
  <c r="D237" i="60" a="1"/>
  <c r="D237" i="60" s="1"/>
  <c r="S236" i="60" a="1"/>
  <c r="S236" i="60" s="1"/>
  <c r="R236" i="60" a="1"/>
  <c r="R236" i="60" s="1"/>
  <c r="Q236" i="60" a="1"/>
  <c r="Q236" i="60" s="1"/>
  <c r="P236" i="60" a="1"/>
  <c r="P236" i="60" s="1"/>
  <c r="O236" i="60" a="1"/>
  <c r="O236" i="60" s="1"/>
  <c r="N236" i="60" a="1"/>
  <c r="N236" i="60" s="1"/>
  <c r="M236" i="60" a="1"/>
  <c r="M236" i="60" s="1"/>
  <c r="L236" i="60" a="1"/>
  <c r="L236" i="60" s="1"/>
  <c r="K236" i="60" a="1"/>
  <c r="K236" i="60" s="1"/>
  <c r="J236" i="60" a="1"/>
  <c r="J236" i="60" s="1"/>
  <c r="I236" i="60" a="1"/>
  <c r="I236" i="60" s="1"/>
  <c r="H236" i="60" a="1"/>
  <c r="H236" i="60" s="1"/>
  <c r="G236" i="60" a="1"/>
  <c r="G236" i="60" s="1"/>
  <c r="F236" i="60" a="1"/>
  <c r="F236" i="60" s="1"/>
  <c r="E236" i="60" a="1"/>
  <c r="E236" i="60" s="1"/>
  <c r="D236" i="60" a="1"/>
  <c r="D236" i="60" s="1"/>
  <c r="S235" i="60" a="1"/>
  <c r="S235" i="60" s="1"/>
  <c r="R235" i="60" a="1"/>
  <c r="R235" i="60" s="1"/>
  <c r="Q235" i="60" a="1"/>
  <c r="Q235" i="60" s="1"/>
  <c r="P235" i="60" a="1"/>
  <c r="P235" i="60" s="1"/>
  <c r="O235" i="60" a="1"/>
  <c r="O235" i="60" s="1"/>
  <c r="N235" i="60" a="1"/>
  <c r="N235" i="60" s="1"/>
  <c r="M235" i="60" a="1"/>
  <c r="M235" i="60" s="1"/>
  <c r="L235" i="60" a="1"/>
  <c r="L235" i="60" s="1"/>
  <c r="K235" i="60" a="1"/>
  <c r="K235" i="60" s="1"/>
  <c r="J235" i="60" a="1"/>
  <c r="J235" i="60" s="1"/>
  <c r="I235" i="60" a="1"/>
  <c r="I235" i="60" s="1"/>
  <c r="H235" i="60" a="1"/>
  <c r="H235" i="60" s="1"/>
  <c r="G235" i="60" a="1"/>
  <c r="G235" i="60" s="1"/>
  <c r="F235" i="60" a="1"/>
  <c r="F235" i="60" s="1"/>
  <c r="E235" i="60" a="1"/>
  <c r="E235" i="60" s="1"/>
  <c r="D235" i="60" a="1"/>
  <c r="D235" i="60" s="1"/>
  <c r="S234" i="60" a="1"/>
  <c r="S234" i="60" s="1"/>
  <c r="R234" i="60" a="1"/>
  <c r="R234" i="60" s="1"/>
  <c r="Q234" i="60" a="1"/>
  <c r="Q234" i="60" s="1"/>
  <c r="P234" i="60" a="1"/>
  <c r="P234" i="60" s="1"/>
  <c r="O234" i="60" a="1"/>
  <c r="O234" i="60" s="1"/>
  <c r="N234" i="60" a="1"/>
  <c r="N234" i="60" s="1"/>
  <c r="M234" i="60" a="1"/>
  <c r="M234" i="60" s="1"/>
  <c r="L234" i="60" a="1"/>
  <c r="L234" i="60" s="1"/>
  <c r="K234" i="60" a="1"/>
  <c r="K234" i="60" s="1"/>
  <c r="J234" i="60" a="1"/>
  <c r="J234" i="60" s="1"/>
  <c r="I234" i="60" a="1"/>
  <c r="I234" i="60" s="1"/>
  <c r="H234" i="60" a="1"/>
  <c r="H234" i="60" s="1"/>
  <c r="G234" i="60" a="1"/>
  <c r="G234" i="60" s="1"/>
  <c r="F234" i="60" a="1"/>
  <c r="F234" i="60" s="1"/>
  <c r="E234" i="60" a="1"/>
  <c r="E234" i="60" s="1"/>
  <c r="D234" i="60" a="1"/>
  <c r="D234" i="60" s="1"/>
  <c r="S233" i="60" a="1"/>
  <c r="S233" i="60" s="1"/>
  <c r="R233" i="60" a="1"/>
  <c r="R233" i="60" s="1"/>
  <c r="Q233" i="60" a="1"/>
  <c r="Q233" i="60" s="1"/>
  <c r="P233" i="60" a="1"/>
  <c r="P233" i="60" s="1"/>
  <c r="O233" i="60" a="1"/>
  <c r="O233" i="60" s="1"/>
  <c r="N233" i="60" a="1"/>
  <c r="N233" i="60" s="1"/>
  <c r="M233" i="60" a="1"/>
  <c r="M233" i="60" s="1"/>
  <c r="L233" i="60" a="1"/>
  <c r="L233" i="60" s="1"/>
  <c r="K233" i="60" a="1"/>
  <c r="K233" i="60" s="1"/>
  <c r="J233" i="60" a="1"/>
  <c r="J233" i="60" s="1"/>
  <c r="I233" i="60" a="1"/>
  <c r="I233" i="60" s="1"/>
  <c r="H233" i="60" a="1"/>
  <c r="H233" i="60" s="1"/>
  <c r="G233" i="60" a="1"/>
  <c r="G233" i="60" s="1"/>
  <c r="F233" i="60" a="1"/>
  <c r="F233" i="60" s="1"/>
  <c r="E233" i="60" a="1"/>
  <c r="E233" i="60" s="1"/>
  <c r="D233" i="60" a="1"/>
  <c r="D233" i="60" s="1"/>
  <c r="S232" i="60" a="1"/>
  <c r="S232" i="60" s="1"/>
  <c r="R232" i="60" a="1"/>
  <c r="R232" i="60" s="1"/>
  <c r="Q232" i="60" a="1"/>
  <c r="Q232" i="60" s="1"/>
  <c r="P232" i="60" a="1"/>
  <c r="P232" i="60" s="1"/>
  <c r="O232" i="60" a="1"/>
  <c r="O232" i="60" s="1"/>
  <c r="N232" i="60" a="1"/>
  <c r="N232" i="60" s="1"/>
  <c r="M232" i="60" a="1"/>
  <c r="M232" i="60" s="1"/>
  <c r="L232" i="60" a="1"/>
  <c r="L232" i="60" s="1"/>
  <c r="K232" i="60" a="1"/>
  <c r="K232" i="60" s="1"/>
  <c r="J232" i="60" a="1"/>
  <c r="J232" i="60" s="1"/>
  <c r="I232" i="60" a="1"/>
  <c r="I232" i="60" s="1"/>
  <c r="H232" i="60" a="1"/>
  <c r="H232" i="60" s="1"/>
  <c r="G232" i="60" a="1"/>
  <c r="G232" i="60" s="1"/>
  <c r="F232" i="60" a="1"/>
  <c r="F232" i="60" s="1"/>
  <c r="E232" i="60" a="1"/>
  <c r="E232" i="60" s="1"/>
  <c r="D232" i="60" a="1"/>
  <c r="D232" i="60" s="1"/>
  <c r="D229" i="60" a="1"/>
  <c r="D229" i="60" s="1"/>
  <c r="D228" i="60" a="1"/>
  <c r="D228" i="60" s="1"/>
  <c r="D227" i="60" a="1"/>
  <c r="D227" i="60" s="1"/>
  <c r="E224" i="60" a="1"/>
  <c r="E224" i="60" s="1"/>
  <c r="D224" i="60" a="1"/>
  <c r="D224" i="60" s="1"/>
  <c r="E223" i="60" a="1"/>
  <c r="E223" i="60" s="1"/>
  <c r="D223" i="60" a="1"/>
  <c r="D223" i="60" s="1"/>
  <c r="E222" i="60" a="1"/>
  <c r="E222" i="60" s="1"/>
  <c r="D222" i="60" a="1"/>
  <c r="D222" i="60" s="1"/>
  <c r="E221" i="60" a="1"/>
  <c r="E221" i="60" s="1"/>
  <c r="D221" i="60" a="1"/>
  <c r="D221" i="60" s="1"/>
  <c r="E220" i="60" a="1"/>
  <c r="E220" i="60" s="1"/>
  <c r="D220" i="60" a="1"/>
  <c r="D220" i="60" s="1"/>
  <c r="E219" i="60" a="1"/>
  <c r="E219" i="60" s="1"/>
  <c r="D219" i="60" a="1"/>
  <c r="D219" i="60" s="1"/>
  <c r="E218" i="60" a="1"/>
  <c r="E218" i="60" s="1"/>
  <c r="D218" i="60" a="1"/>
  <c r="D218" i="60" s="1"/>
  <c r="E217" i="60" a="1"/>
  <c r="E217" i="60" s="1"/>
  <c r="D217" i="60" a="1"/>
  <c r="D217" i="60" s="1"/>
  <c r="E216" i="60" a="1"/>
  <c r="E216" i="60" s="1"/>
  <c r="D216" i="60" a="1"/>
  <c r="D216" i="60" s="1"/>
  <c r="E215" i="60" a="1"/>
  <c r="E215" i="60" s="1"/>
  <c r="D215" i="60" a="1"/>
  <c r="D215" i="60" s="1"/>
  <c r="E214" i="60" a="1"/>
  <c r="E214" i="60" s="1"/>
  <c r="D214" i="60" a="1"/>
  <c r="D214" i="60" s="1"/>
  <c r="E213" i="60" a="1"/>
  <c r="E213" i="60" s="1"/>
  <c r="D213" i="60" a="1"/>
  <c r="D213" i="60" s="1"/>
  <c r="D211" i="60" a="1"/>
  <c r="D211" i="60" s="1"/>
  <c r="E208" i="60" a="1"/>
  <c r="E208" i="60" s="1"/>
  <c r="D208" i="60" a="1"/>
  <c r="D208" i="60" s="1"/>
  <c r="E207" i="60" a="1"/>
  <c r="E207" i="60" s="1"/>
  <c r="D207" i="60" a="1"/>
  <c r="D207" i="60" s="1"/>
  <c r="D205" i="60" a="1"/>
  <c r="D205" i="60" s="1"/>
  <c r="D204" i="60" a="1"/>
  <c r="D204" i="60" s="1"/>
  <c r="D203" i="60" a="1"/>
  <c r="D203" i="60" s="1"/>
  <c r="D202" i="60" a="1"/>
  <c r="D202" i="60" s="1"/>
  <c r="H199" i="60" a="1"/>
  <c r="H199" i="60" s="1"/>
  <c r="G199" i="60" a="1"/>
  <c r="G199" i="60" s="1"/>
  <c r="F199" i="60" a="1"/>
  <c r="F199" i="60" s="1"/>
  <c r="E199" i="60" a="1"/>
  <c r="E199" i="60" s="1"/>
  <c r="D199" i="60" a="1"/>
  <c r="D199" i="60" s="1"/>
  <c r="H198" i="60" a="1"/>
  <c r="H198" i="60" s="1"/>
  <c r="G198" i="60" a="1"/>
  <c r="G198" i="60" s="1"/>
  <c r="F198" i="60" a="1"/>
  <c r="F198" i="60" s="1"/>
  <c r="E198" i="60" a="1"/>
  <c r="E198" i="60" s="1"/>
  <c r="D198" i="60" a="1"/>
  <c r="D198" i="60" s="1"/>
  <c r="H197" i="60" a="1"/>
  <c r="H197" i="60" s="1"/>
  <c r="G197" i="60" a="1"/>
  <c r="G197" i="60" s="1"/>
  <c r="F197" i="60" a="1"/>
  <c r="F197" i="60" s="1"/>
  <c r="E197" i="60" a="1"/>
  <c r="E197" i="60" s="1"/>
  <c r="D197" i="60" a="1"/>
  <c r="D197" i="60" s="1"/>
  <c r="H196" i="60" a="1"/>
  <c r="H196" i="60" s="1"/>
  <c r="G196" i="60" a="1"/>
  <c r="G196" i="60" s="1"/>
  <c r="F196" i="60" a="1"/>
  <c r="F196" i="60" s="1"/>
  <c r="E196" i="60" a="1"/>
  <c r="E196" i="60" s="1"/>
  <c r="D196" i="60" a="1"/>
  <c r="D196" i="60" s="1"/>
  <c r="H195" i="60" a="1"/>
  <c r="H195" i="60" s="1"/>
  <c r="G195" i="60" a="1"/>
  <c r="G195" i="60" s="1"/>
  <c r="F195" i="60" a="1"/>
  <c r="F195" i="60" s="1"/>
  <c r="E195" i="60" a="1"/>
  <c r="E195" i="60" s="1"/>
  <c r="D195" i="60" a="1"/>
  <c r="D195" i="60" s="1"/>
  <c r="H194" i="60" a="1"/>
  <c r="H194" i="60" s="1"/>
  <c r="G194" i="60" a="1"/>
  <c r="G194" i="60" s="1"/>
  <c r="F194" i="60" a="1"/>
  <c r="F194" i="60" s="1"/>
  <c r="E194" i="60" a="1"/>
  <c r="E194" i="60" s="1"/>
  <c r="D194" i="60" a="1"/>
  <c r="D194" i="60" s="1"/>
  <c r="H193" i="60" a="1"/>
  <c r="H193" i="60" s="1"/>
  <c r="G193" i="60" a="1"/>
  <c r="G193" i="60" s="1"/>
  <c r="F193" i="60" a="1"/>
  <c r="F193" i="60" s="1"/>
  <c r="E193" i="60" a="1"/>
  <c r="E193" i="60" s="1"/>
  <c r="D193" i="60" a="1"/>
  <c r="D193" i="60" s="1"/>
  <c r="H192" i="60" a="1"/>
  <c r="H192" i="60" s="1"/>
  <c r="G192" i="60" a="1"/>
  <c r="G192" i="60" s="1"/>
  <c r="F192" i="60" a="1"/>
  <c r="F192" i="60" s="1"/>
  <c r="E192" i="60" a="1"/>
  <c r="E192" i="60" s="1"/>
  <c r="D192" i="60" a="1"/>
  <c r="D192" i="60" s="1"/>
  <c r="H191" i="60" a="1"/>
  <c r="H191" i="60" s="1"/>
  <c r="G191" i="60" a="1"/>
  <c r="G191" i="60" s="1"/>
  <c r="F191" i="60" a="1"/>
  <c r="F191" i="60" s="1"/>
  <c r="E191" i="60" a="1"/>
  <c r="E191" i="60" s="1"/>
  <c r="D191" i="60" a="1"/>
  <c r="D191" i="60" s="1"/>
  <c r="H190" i="60" a="1"/>
  <c r="H190" i="60" s="1"/>
  <c r="G190" i="60" a="1"/>
  <c r="G190" i="60" s="1"/>
  <c r="F190" i="60" a="1"/>
  <c r="F190" i="60" s="1"/>
  <c r="E190" i="60" a="1"/>
  <c r="E190" i="60" s="1"/>
  <c r="D190" i="60" a="1"/>
  <c r="D190" i="60" s="1"/>
  <c r="H189" i="60" a="1"/>
  <c r="H189" i="60" s="1"/>
  <c r="G189" i="60" a="1"/>
  <c r="G189" i="60" s="1"/>
  <c r="F189" i="60" a="1"/>
  <c r="F189" i="60" s="1"/>
  <c r="E189" i="60" a="1"/>
  <c r="E189" i="60" s="1"/>
  <c r="D189" i="60" a="1"/>
  <c r="D189" i="60" s="1"/>
  <c r="H188" i="60" a="1"/>
  <c r="H188" i="60" s="1"/>
  <c r="G188" i="60" a="1"/>
  <c r="G188" i="60" s="1"/>
  <c r="F188" i="60" a="1"/>
  <c r="F188" i="60" s="1"/>
  <c r="G46" i="76" s="1"/>
  <c r="E188" i="60" a="1"/>
  <c r="E188" i="60" s="1"/>
  <c r="D188" i="60" a="1"/>
  <c r="D188" i="60" s="1"/>
  <c r="H187" i="60" a="1"/>
  <c r="H187" i="60" s="1"/>
  <c r="G187" i="60" a="1"/>
  <c r="G187" i="60" s="1"/>
  <c r="F187" i="60" a="1"/>
  <c r="F187" i="60" s="1"/>
  <c r="G8" i="74" s="1"/>
  <c r="E187" i="60" a="1"/>
  <c r="E187" i="60" s="1"/>
  <c r="D187" i="60" a="1"/>
  <c r="D187" i="60" s="1"/>
  <c r="D181" i="60" a="1"/>
  <c r="D181" i="60" s="1"/>
  <c r="D180" i="60" a="1"/>
  <c r="D180" i="60" s="1"/>
  <c r="D179" i="60" a="1"/>
  <c r="D179" i="60" s="1"/>
  <c r="D178" i="60" a="1"/>
  <c r="D178" i="60" s="1"/>
  <c r="E175" i="60" a="1"/>
  <c r="E175" i="60" s="1"/>
  <c r="D175" i="60" a="1"/>
  <c r="D175" i="60" s="1"/>
  <c r="D174" i="60" a="1"/>
  <c r="D174" i="60" s="1"/>
  <c r="D173" i="60" a="1"/>
  <c r="D173" i="60" s="1"/>
  <c r="D170" i="60" a="1"/>
  <c r="D170" i="60" s="1"/>
  <c r="D169" i="60" a="1"/>
  <c r="D169" i="60" s="1"/>
  <c r="D168" i="60" a="1"/>
  <c r="D168" i="60" s="1"/>
  <c r="D167" i="60" a="1"/>
  <c r="D167" i="60" s="1"/>
  <c r="D164" i="60" a="1"/>
  <c r="D164" i="60" s="1"/>
  <c r="D163" i="60" a="1"/>
  <c r="D163" i="60" s="1"/>
  <c r="D162" i="60" a="1"/>
  <c r="D162" i="60" s="1"/>
  <c r="D161" i="60" a="1"/>
  <c r="D161" i="60" s="1"/>
  <c r="E158" i="60" a="1"/>
  <c r="E158" i="60" s="1"/>
  <c r="D158" i="60" a="1"/>
  <c r="D158" i="60" s="1"/>
  <c r="E157" i="60" a="1"/>
  <c r="E157" i="60" s="1"/>
  <c r="D157" i="60" a="1"/>
  <c r="D157" i="60" s="1"/>
  <c r="E156" i="60" a="1"/>
  <c r="E156" i="60" s="1"/>
  <c r="D156" i="60" a="1"/>
  <c r="D156" i="60" s="1"/>
  <c r="E155" i="60" a="1"/>
  <c r="E155" i="60" s="1"/>
  <c r="D155" i="60" a="1"/>
  <c r="D155" i="60" s="1"/>
  <c r="E154" i="60" a="1"/>
  <c r="E154" i="60" s="1"/>
  <c r="D154" i="60" a="1"/>
  <c r="D154" i="60" s="1"/>
  <c r="D151" i="60" a="1"/>
  <c r="D151" i="60" s="1"/>
  <c r="D150" i="60" a="1"/>
  <c r="D150" i="60" s="1"/>
  <c r="E147" i="60" a="1"/>
  <c r="E147" i="60" s="1"/>
  <c r="D147" i="60" a="1"/>
  <c r="D147" i="60" s="1"/>
  <c r="E146" i="60" a="1"/>
  <c r="E146" i="60" s="1"/>
  <c r="D146" i="60" a="1"/>
  <c r="D146" i="60" s="1"/>
  <c r="E145" i="60" a="1"/>
  <c r="E145" i="60" s="1"/>
  <c r="D145" i="60" a="1"/>
  <c r="D145" i="60" s="1"/>
  <c r="E144" i="60" a="1"/>
  <c r="E144" i="60" s="1"/>
  <c r="D144" i="60" a="1"/>
  <c r="D144" i="60" s="1"/>
  <c r="E143" i="60" a="1"/>
  <c r="E143" i="60" s="1"/>
  <c r="D143" i="60" a="1"/>
  <c r="D143" i="60" s="1"/>
  <c r="D141" i="60" a="1"/>
  <c r="D141" i="60" s="1"/>
  <c r="D140" i="60" a="1"/>
  <c r="D140" i="60" s="1"/>
  <c r="D139" i="60" a="1"/>
  <c r="D139" i="60" s="1"/>
  <c r="E136" i="60" a="1"/>
  <c r="E136" i="60" s="1"/>
  <c r="D136" i="60" a="1"/>
  <c r="D136" i="60" s="1"/>
  <c r="E135" i="60" a="1"/>
  <c r="E135" i="60" s="1"/>
  <c r="D135" i="60" a="1"/>
  <c r="D135" i="60" s="1"/>
  <c r="D133" i="60" a="1"/>
  <c r="D133" i="60" s="1"/>
  <c r="D132" i="60" a="1"/>
  <c r="D132" i="60" s="1"/>
  <c r="E129" i="60" a="1"/>
  <c r="E129" i="60" s="1"/>
  <c r="D129" i="60" a="1"/>
  <c r="D129" i="60" s="1"/>
  <c r="E128" i="60" a="1"/>
  <c r="E128" i="60" s="1"/>
  <c r="D128" i="60" a="1"/>
  <c r="D128" i="60" s="1"/>
  <c r="D125" i="60" a="1"/>
  <c r="D125" i="60" s="1"/>
  <c r="D124" i="60" a="1"/>
  <c r="D124" i="60" s="1"/>
  <c r="G121" i="60" a="1"/>
  <c r="G121" i="60" s="1"/>
  <c r="F121" i="60" a="1"/>
  <c r="F121" i="60" s="1"/>
  <c r="E121" i="60" a="1"/>
  <c r="E121" i="60" s="1"/>
  <c r="D121" i="60" a="1"/>
  <c r="D121" i="60" s="1"/>
  <c r="G120" i="60" a="1"/>
  <c r="G120" i="60" s="1"/>
  <c r="F120" i="60" a="1"/>
  <c r="F120" i="60" s="1"/>
  <c r="E30" i="61" s="1"/>
  <c r="E120" i="60" a="1"/>
  <c r="E120" i="60" s="1"/>
  <c r="D120" i="60" a="1"/>
  <c r="D120" i="60" s="1"/>
  <c r="D117" i="60" a="1"/>
  <c r="D117" i="60" s="1"/>
  <c r="D116" i="60" a="1"/>
  <c r="D116" i="60" s="1"/>
  <c r="D115" i="60" a="1"/>
  <c r="D115" i="60" s="1"/>
  <c r="G112" i="60" a="1"/>
  <c r="G112" i="60" s="1"/>
  <c r="F112" i="60" a="1"/>
  <c r="F112" i="60" s="1"/>
  <c r="E112" i="60" a="1"/>
  <c r="E112" i="60" s="1"/>
  <c r="D112" i="60" a="1"/>
  <c r="D112" i="60" s="1"/>
  <c r="G111" i="60" a="1"/>
  <c r="G111" i="60" s="1"/>
  <c r="F111" i="60" a="1"/>
  <c r="F111" i="60" s="1"/>
  <c r="E111" i="60" a="1"/>
  <c r="E111" i="60" s="1"/>
  <c r="D111" i="60" a="1"/>
  <c r="D111" i="60" s="1"/>
  <c r="G110" i="60" a="1"/>
  <c r="G110" i="60" s="1"/>
  <c r="F110" i="60" a="1"/>
  <c r="F110" i="60" s="1"/>
  <c r="E33" i="61" s="1"/>
  <c r="E110" i="60" a="1"/>
  <c r="E110" i="60" s="1"/>
  <c r="D110" i="60" a="1"/>
  <c r="D110" i="60" s="1"/>
  <c r="D107" i="60" a="1"/>
  <c r="D107" i="60" s="1"/>
  <c r="D106" i="60" a="1"/>
  <c r="D106" i="60" s="1"/>
  <c r="D105" i="60" a="1"/>
  <c r="D105" i="60" s="1"/>
  <c r="D99" i="60" a="1"/>
  <c r="D99" i="60" s="1"/>
  <c r="S97" i="60" a="1"/>
  <c r="S97" i="60" s="1"/>
  <c r="R97" i="60" a="1"/>
  <c r="R97" i="60" s="1"/>
  <c r="Q97" i="60" a="1"/>
  <c r="Q97" i="60" s="1"/>
  <c r="P97" i="60" a="1"/>
  <c r="P97" i="60" s="1"/>
  <c r="O97" i="60" a="1"/>
  <c r="O97" i="60" s="1"/>
  <c r="N97" i="60" a="1"/>
  <c r="N97" i="60" s="1"/>
  <c r="M97" i="60" a="1"/>
  <c r="M97" i="60" s="1"/>
  <c r="L97" i="60" a="1"/>
  <c r="L97" i="60" s="1"/>
  <c r="K97" i="60" a="1"/>
  <c r="K97" i="60" s="1"/>
  <c r="J97" i="60" a="1"/>
  <c r="J97" i="60" s="1"/>
  <c r="I97" i="60" a="1"/>
  <c r="I97" i="60" s="1"/>
  <c r="H97" i="60" a="1"/>
  <c r="H97" i="60" s="1"/>
  <c r="G97" i="60" a="1"/>
  <c r="G97" i="60" s="1"/>
  <c r="F97" i="60" a="1"/>
  <c r="F97" i="60" s="1"/>
  <c r="E97" i="60" a="1"/>
  <c r="E97" i="60" s="1"/>
  <c r="D97" i="60" a="1"/>
  <c r="D97" i="60" s="1"/>
  <c r="S96" i="60" a="1"/>
  <c r="S96" i="60" s="1"/>
  <c r="R96" i="60" a="1"/>
  <c r="R96" i="60" s="1"/>
  <c r="Q96" i="60" a="1"/>
  <c r="Q96" i="60" s="1"/>
  <c r="P96" i="60" a="1"/>
  <c r="P96" i="60" s="1"/>
  <c r="O96" i="60" a="1"/>
  <c r="O96" i="60" s="1"/>
  <c r="N96" i="60" a="1"/>
  <c r="N96" i="60" s="1"/>
  <c r="M96" i="60" a="1"/>
  <c r="M96" i="60" s="1"/>
  <c r="L96" i="60" a="1"/>
  <c r="L96" i="60" s="1"/>
  <c r="K96" i="60" a="1"/>
  <c r="K96" i="60" s="1"/>
  <c r="J96" i="60" a="1"/>
  <c r="J96" i="60" s="1"/>
  <c r="I96" i="60" a="1"/>
  <c r="I96" i="60" s="1"/>
  <c r="H96" i="60" a="1"/>
  <c r="H96" i="60" s="1"/>
  <c r="G96" i="60" a="1"/>
  <c r="G96" i="60" s="1"/>
  <c r="F96" i="60" a="1"/>
  <c r="F96" i="60" s="1"/>
  <c r="E96" i="60" a="1"/>
  <c r="E96" i="60" s="1"/>
  <c r="D96" i="60" a="1"/>
  <c r="D96" i="60" s="1"/>
  <c r="S95" i="60" a="1"/>
  <c r="S95" i="60" s="1"/>
  <c r="R95" i="60" a="1"/>
  <c r="R95" i="60" s="1"/>
  <c r="Q95" i="60" a="1"/>
  <c r="Q95" i="60" s="1"/>
  <c r="P95" i="60" a="1"/>
  <c r="P95" i="60" s="1"/>
  <c r="O95" i="60" a="1"/>
  <c r="O95" i="60" s="1"/>
  <c r="N95" i="60" a="1"/>
  <c r="N95" i="60" s="1"/>
  <c r="M95" i="60" a="1"/>
  <c r="M95" i="60" s="1"/>
  <c r="L95" i="60" a="1"/>
  <c r="L95" i="60" s="1"/>
  <c r="K95" i="60" a="1"/>
  <c r="K95" i="60" s="1"/>
  <c r="J95" i="60" a="1"/>
  <c r="J95" i="60" s="1"/>
  <c r="I95" i="60" a="1"/>
  <c r="I95" i="60" s="1"/>
  <c r="H95" i="60" a="1"/>
  <c r="H95" i="60" s="1"/>
  <c r="G95" i="60" a="1"/>
  <c r="G95" i="60" s="1"/>
  <c r="F95" i="60" a="1"/>
  <c r="F95" i="60" s="1"/>
  <c r="E95" i="60" a="1"/>
  <c r="E95" i="60" s="1"/>
  <c r="D95" i="60" a="1"/>
  <c r="D95" i="60" s="1"/>
  <c r="S94" i="60" a="1"/>
  <c r="S94" i="60" s="1"/>
  <c r="R94" i="60" a="1"/>
  <c r="R94" i="60" s="1"/>
  <c r="Q94" i="60" a="1"/>
  <c r="Q94" i="60" s="1"/>
  <c r="P94" i="60" a="1"/>
  <c r="P94" i="60" s="1"/>
  <c r="O94" i="60" a="1"/>
  <c r="O94" i="60" s="1"/>
  <c r="N94" i="60" a="1"/>
  <c r="N94" i="60" s="1"/>
  <c r="M94" i="60" a="1"/>
  <c r="M94" i="60" s="1"/>
  <c r="L94" i="60" a="1"/>
  <c r="L94" i="60" s="1"/>
  <c r="K94" i="60" a="1"/>
  <c r="K94" i="60" s="1"/>
  <c r="J94" i="60" a="1"/>
  <c r="J94" i="60" s="1"/>
  <c r="I94" i="60" a="1"/>
  <c r="I94" i="60" s="1"/>
  <c r="H94" i="60" a="1"/>
  <c r="H94" i="60" s="1"/>
  <c r="G94" i="60" a="1"/>
  <c r="G94" i="60" s="1"/>
  <c r="F94" i="60" a="1"/>
  <c r="F94" i="60" s="1"/>
  <c r="E94" i="60" a="1"/>
  <c r="E94" i="60" s="1"/>
  <c r="D94" i="60" a="1"/>
  <c r="D94" i="60" s="1"/>
  <c r="S93" i="60" a="1"/>
  <c r="S93" i="60" s="1"/>
  <c r="R93" i="60" a="1"/>
  <c r="R93" i="60" s="1"/>
  <c r="Q93" i="60" a="1"/>
  <c r="Q93" i="60" s="1"/>
  <c r="P93" i="60" a="1"/>
  <c r="P93" i="60" s="1"/>
  <c r="O93" i="60" a="1"/>
  <c r="O93" i="60" s="1"/>
  <c r="N93" i="60" a="1"/>
  <c r="N93" i="60" s="1"/>
  <c r="M93" i="60" a="1"/>
  <c r="M93" i="60" s="1"/>
  <c r="L93" i="60" a="1"/>
  <c r="L93" i="60" s="1"/>
  <c r="K93" i="60" a="1"/>
  <c r="K93" i="60" s="1"/>
  <c r="J93" i="60" a="1"/>
  <c r="J93" i="60" s="1"/>
  <c r="I93" i="60" a="1"/>
  <c r="I93" i="60" s="1"/>
  <c r="H93" i="60" a="1"/>
  <c r="H93" i="60" s="1"/>
  <c r="G93" i="60" a="1"/>
  <c r="G93" i="60" s="1"/>
  <c r="F93" i="60" a="1"/>
  <c r="F93" i="60" s="1"/>
  <c r="E93" i="60" a="1"/>
  <c r="E93" i="60" s="1"/>
  <c r="D93" i="60" a="1"/>
  <c r="D93" i="60" s="1"/>
  <c r="S92" i="60" a="1"/>
  <c r="S92" i="60" s="1"/>
  <c r="R92" i="60" a="1"/>
  <c r="R92" i="60" s="1"/>
  <c r="Q92" i="60" a="1"/>
  <c r="Q92" i="60" s="1"/>
  <c r="P92" i="60" a="1"/>
  <c r="P92" i="60" s="1"/>
  <c r="O92" i="60" a="1"/>
  <c r="O92" i="60" s="1"/>
  <c r="N92" i="60" a="1"/>
  <c r="N92" i="60" s="1"/>
  <c r="M92" i="60" a="1"/>
  <c r="M92" i="60" s="1"/>
  <c r="L92" i="60" a="1"/>
  <c r="L92" i="60" s="1"/>
  <c r="K92" i="60" a="1"/>
  <c r="K92" i="60" s="1"/>
  <c r="J92" i="60" a="1"/>
  <c r="J92" i="60" s="1"/>
  <c r="I92" i="60" a="1"/>
  <c r="I92" i="60" s="1"/>
  <c r="H92" i="60" a="1"/>
  <c r="H92" i="60" s="1"/>
  <c r="G92" i="60" a="1"/>
  <c r="G92" i="60" s="1"/>
  <c r="F92" i="60" a="1"/>
  <c r="F92" i="60" s="1"/>
  <c r="E92" i="60" a="1"/>
  <c r="E92" i="60" s="1"/>
  <c r="D92" i="60" a="1"/>
  <c r="D92" i="60" s="1"/>
  <c r="S91" i="60" a="1"/>
  <c r="S91" i="60" s="1"/>
  <c r="R91" i="60" a="1"/>
  <c r="R91" i="60" s="1"/>
  <c r="Q91" i="60" a="1"/>
  <c r="Q91" i="60" s="1"/>
  <c r="P91" i="60" a="1"/>
  <c r="P91" i="60" s="1"/>
  <c r="O91" i="60" a="1"/>
  <c r="O91" i="60" s="1"/>
  <c r="N91" i="60" a="1"/>
  <c r="N91" i="60" s="1"/>
  <c r="M91" i="60" a="1"/>
  <c r="M91" i="60" s="1"/>
  <c r="L91" i="60" a="1"/>
  <c r="L91" i="60" s="1"/>
  <c r="K91" i="60" a="1"/>
  <c r="K91" i="60" s="1"/>
  <c r="J91" i="60" a="1"/>
  <c r="J91" i="60" s="1"/>
  <c r="I91" i="60" a="1"/>
  <c r="I91" i="60" s="1"/>
  <c r="H91" i="60" a="1"/>
  <c r="H91" i="60" s="1"/>
  <c r="G91" i="60" a="1"/>
  <c r="G91" i="60" s="1"/>
  <c r="F91" i="60" a="1"/>
  <c r="F91" i="60" s="1"/>
  <c r="E91" i="60" a="1"/>
  <c r="E91" i="60" s="1"/>
  <c r="D91" i="60" a="1"/>
  <c r="D91" i="60" s="1"/>
  <c r="S90" i="60" a="1"/>
  <c r="S90" i="60" s="1"/>
  <c r="R90" i="60" a="1"/>
  <c r="R90" i="60" s="1"/>
  <c r="Q90" i="60" a="1"/>
  <c r="Q90" i="60" s="1"/>
  <c r="P90" i="60" a="1"/>
  <c r="P90" i="60" s="1"/>
  <c r="O90" i="60" a="1"/>
  <c r="O90" i="60" s="1"/>
  <c r="N90" i="60" a="1"/>
  <c r="N90" i="60" s="1"/>
  <c r="M90" i="60" a="1"/>
  <c r="M90" i="60" s="1"/>
  <c r="L90" i="60" a="1"/>
  <c r="L90" i="60" s="1"/>
  <c r="K90" i="60" a="1"/>
  <c r="K90" i="60" s="1"/>
  <c r="J90" i="60" a="1"/>
  <c r="J90" i="60" s="1"/>
  <c r="E31" i="61" s="1"/>
  <c r="I90" i="60" a="1"/>
  <c r="I90" i="60" s="1"/>
  <c r="H90" i="60" a="1"/>
  <c r="H90" i="60" s="1"/>
  <c r="G90" i="60" a="1"/>
  <c r="G90" i="60" s="1"/>
  <c r="F90" i="60" a="1"/>
  <c r="F90" i="60" s="1"/>
  <c r="E90" i="60" a="1"/>
  <c r="E90" i="60" s="1"/>
  <c r="D90" i="60" a="1"/>
  <c r="D90" i="60" s="1"/>
  <c r="D83" i="60" a="1"/>
  <c r="D83" i="60" s="1"/>
  <c r="D82" i="60" a="1"/>
  <c r="D82" i="60" s="1"/>
  <c r="D81" i="60" a="1"/>
  <c r="D81" i="60" s="1"/>
  <c r="E77" i="60" a="1"/>
  <c r="E77" i="60" s="1"/>
  <c r="D77" i="60" a="1"/>
  <c r="D77" i="60" s="1"/>
  <c r="E76" i="60" a="1"/>
  <c r="E76" i="60" s="1"/>
  <c r="D76" i="60" a="1"/>
  <c r="D76" i="60" s="1"/>
  <c r="E75" i="60" a="1"/>
  <c r="E75" i="60" s="1"/>
  <c r="D75" i="60" a="1"/>
  <c r="D75" i="60" s="1"/>
  <c r="E74" i="60" a="1"/>
  <c r="E74" i="60" s="1"/>
  <c r="D74" i="60" a="1"/>
  <c r="D74" i="60" s="1"/>
  <c r="E73" i="60" a="1"/>
  <c r="E73" i="60" s="1"/>
  <c r="D73" i="60" a="1"/>
  <c r="D73" i="60" s="1"/>
  <c r="E72" i="60" a="1"/>
  <c r="E72" i="60" s="1"/>
  <c r="D72" i="60" a="1"/>
  <c r="D72" i="60" s="1"/>
  <c r="E71" i="60" a="1"/>
  <c r="E71" i="60" s="1"/>
  <c r="D71" i="60" a="1"/>
  <c r="D71" i="60" s="1"/>
  <c r="E70" i="60" a="1"/>
  <c r="E70" i="60" s="1"/>
  <c r="D70" i="60" a="1"/>
  <c r="D70" i="60" s="1"/>
  <c r="E69" i="60" a="1"/>
  <c r="E69" i="60" s="1"/>
  <c r="D69" i="60" a="1"/>
  <c r="D69" i="60" s="1"/>
  <c r="E68" i="60" a="1"/>
  <c r="E68" i="60" s="1"/>
  <c r="D68" i="60" a="1"/>
  <c r="D68" i="60" s="1"/>
  <c r="E67" i="60" a="1"/>
  <c r="E67" i="60" s="1"/>
  <c r="D67" i="60" a="1"/>
  <c r="D67" i="60" s="1"/>
  <c r="E66" i="60" a="1"/>
  <c r="E66" i="60" s="1"/>
  <c r="D66" i="60" a="1"/>
  <c r="D66" i="60" s="1"/>
  <c r="E65" i="60" a="1"/>
  <c r="E65" i="60" s="1"/>
  <c r="D65" i="60" a="1"/>
  <c r="D65" i="60" s="1"/>
  <c r="E64" i="60" a="1"/>
  <c r="E64" i="60" s="1"/>
  <c r="D64" i="60" a="1"/>
  <c r="D64" i="60" s="1"/>
  <c r="D59" i="60" a="1"/>
  <c r="D59" i="60" s="1"/>
  <c r="D58" i="60" a="1"/>
  <c r="D58" i="60" s="1"/>
  <c r="D57" i="60" a="1"/>
  <c r="D57" i="60" s="1"/>
  <c r="G54" i="60" a="1"/>
  <c r="G54" i="60" s="1"/>
  <c r="F54" i="60" a="1"/>
  <c r="F54" i="60" s="1"/>
  <c r="E54" i="60" a="1"/>
  <c r="E54" i="60" s="1"/>
  <c r="D54" i="60" a="1"/>
  <c r="D54" i="60" s="1"/>
  <c r="G53" i="60" a="1"/>
  <c r="G53" i="60" s="1"/>
  <c r="F53" i="60" a="1"/>
  <c r="F53" i="60" s="1"/>
  <c r="E53" i="60" a="1"/>
  <c r="E53" i="60" s="1"/>
  <c r="D53" i="60" a="1"/>
  <c r="D53" i="60" s="1"/>
  <c r="G52" i="60" a="1"/>
  <c r="G52" i="60" s="1"/>
  <c r="F52" i="60" a="1"/>
  <c r="F52" i="60" s="1"/>
  <c r="E52" i="60" a="1"/>
  <c r="E52" i="60" s="1"/>
  <c r="D52" i="60" a="1"/>
  <c r="D52" i="60" s="1"/>
  <c r="G51" i="60" a="1"/>
  <c r="G51" i="60" s="1"/>
  <c r="F51" i="60" a="1"/>
  <c r="F51" i="60" s="1"/>
  <c r="E51" i="60" a="1"/>
  <c r="E51" i="60" s="1"/>
  <c r="D51" i="60" a="1"/>
  <c r="D51" i="60" s="1"/>
  <c r="G50" i="60" a="1"/>
  <c r="G50" i="60" s="1"/>
  <c r="F50" i="60" a="1"/>
  <c r="F50" i="60" s="1"/>
  <c r="E50" i="60" a="1"/>
  <c r="E50" i="60" s="1"/>
  <c r="D50" i="60" a="1"/>
  <c r="D50" i="60" s="1"/>
  <c r="G49" i="60" a="1"/>
  <c r="G49" i="60" s="1"/>
  <c r="F49" i="60" a="1"/>
  <c r="F49" i="60" s="1"/>
  <c r="E49" i="60" a="1"/>
  <c r="E49" i="60" s="1"/>
  <c r="D49" i="60" a="1"/>
  <c r="D49" i="60" s="1"/>
  <c r="G48" i="60" a="1"/>
  <c r="G48" i="60" s="1"/>
  <c r="F48" i="60" a="1"/>
  <c r="F48" i="60" s="1"/>
  <c r="E48" i="60" a="1"/>
  <c r="E48" i="60" s="1"/>
  <c r="D48" i="60" a="1"/>
  <c r="D48" i="60" s="1"/>
  <c r="D46" i="60" a="1"/>
  <c r="D46" i="60" s="1"/>
  <c r="D45" i="60" a="1"/>
  <c r="D45" i="60" s="1"/>
  <c r="E43" i="60" a="1"/>
  <c r="E43" i="60" s="1"/>
  <c r="D43" i="60" a="1"/>
  <c r="D43" i="60" s="1"/>
  <c r="E42" i="60" a="1"/>
  <c r="E42" i="60" s="1"/>
  <c r="D42" i="60" a="1"/>
  <c r="D42" i="60" s="1"/>
  <c r="E41" i="60" a="1"/>
  <c r="E41" i="60" s="1"/>
  <c r="D41" i="60" a="1"/>
  <c r="D41" i="60" s="1"/>
  <c r="E40" i="60" a="1"/>
  <c r="E40" i="60" s="1"/>
  <c r="D40" i="60" a="1"/>
  <c r="D40" i="60" s="1"/>
  <c r="E39" i="60" a="1"/>
  <c r="E39" i="60" s="1"/>
  <c r="D39" i="60" a="1"/>
  <c r="D39" i="60" s="1"/>
  <c r="E38" i="60" a="1"/>
  <c r="E38" i="60" s="1"/>
  <c r="D38" i="60" a="1"/>
  <c r="D38" i="60" s="1"/>
  <c r="E37" i="60" a="1"/>
  <c r="E37" i="60" s="1"/>
  <c r="D37" i="60" a="1"/>
  <c r="D37" i="60" s="1"/>
  <c r="D35" i="60" a="1"/>
  <c r="D35" i="60" s="1"/>
  <c r="D34" i="60" a="1"/>
  <c r="D34"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19" i="60" a="1"/>
  <c r="D19" i="60" s="1"/>
  <c r="D18" i="60" a="1"/>
  <c r="D18" i="60" s="1"/>
  <c r="F14" i="60" a="1"/>
  <c r="F14" i="60" s="1"/>
  <c r="E14" i="60" a="1"/>
  <c r="E14" i="60" s="1"/>
  <c r="D14" i="60" a="1"/>
  <c r="D14" i="60" s="1"/>
  <c r="F13" i="60" a="1"/>
  <c r="F13" i="60" s="1"/>
  <c r="E13" i="60" a="1"/>
  <c r="E13" i="60" s="1"/>
  <c r="D13" i="60" a="1"/>
  <c r="D13" i="60" s="1"/>
  <c r="F12" i="60" a="1"/>
  <c r="F12" i="60" s="1"/>
  <c r="E12" i="60" a="1"/>
  <c r="E12" i="60" s="1"/>
  <c r="D12" i="60" a="1"/>
  <c r="D12" i="60" s="1"/>
  <c r="F11" i="60" a="1"/>
  <c r="F11" i="60" s="1"/>
  <c r="E11" i="60" a="1"/>
  <c r="E11" i="60" s="1"/>
  <c r="D11" i="60" a="1"/>
  <c r="D11" i="60" s="1"/>
  <c r="F10" i="60" a="1"/>
  <c r="F10" i="60" s="1"/>
  <c r="E10" i="60" a="1"/>
  <c r="E10" i="60" s="1"/>
  <c r="D10" i="60" a="1"/>
  <c r="D10" i="60" s="1"/>
  <c r="F9" i="60" a="1"/>
  <c r="F9" i="60" s="1"/>
  <c r="E9" i="60" a="1"/>
  <c r="E9" i="60" s="1"/>
  <c r="D9" i="60" a="1"/>
  <c r="D9" i="60" s="1"/>
  <c r="F8" i="60" a="1"/>
  <c r="F8" i="60" s="1"/>
  <c r="E8" i="60" a="1"/>
  <c r="E8" i="60" s="1"/>
  <c r="D8" i="60" a="1"/>
  <c r="D8" i="60" s="1"/>
  <c r="F7" i="60" a="1"/>
  <c r="F7" i="60" s="1"/>
  <c r="E7" i="60" a="1"/>
  <c r="E7" i="60" s="1"/>
  <c r="D7" i="60" a="1"/>
  <c r="D7" i="60" s="1"/>
  <c r="D5" i="60" a="1"/>
  <c r="D5" i="60"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78" i="19" a="1"/>
  <c r="N578" i="19" s="1"/>
  <c r="L575" i="19" a="1"/>
  <c r="L575" i="19" s="1"/>
  <c r="P569" i="19" a="1"/>
  <c r="P569" i="19" s="1"/>
  <c r="L569" i="19" a="1"/>
  <c r="L569" i="19" s="1"/>
  <c r="E7" i="34"/>
  <c r="E42" i="34"/>
  <c r="O79" i="34"/>
  <c r="E7" i="68" a="1"/>
  <c r="E508" i="19"/>
  <c r="E79" i="34"/>
  <c r="E523" i="19"/>
  <c r="L8" i="67" a="1"/>
  <c r="E7" i="66" a="1"/>
  <c r="E540" i="19"/>
  <c r="E99" i="68" a="1"/>
  <c r="O42" i="34"/>
  <c r="E7" i="67" a="1"/>
  <c r="O7" i="34"/>
  <c r="L7" i="66" a="1"/>
  <c r="M35" i="67" l="1" a="1"/>
  <c r="M35" i="67" s="1"/>
  <c r="M28" i="66" a="1"/>
  <c r="M28" i="66" s="1"/>
  <c r="K30" i="67"/>
  <c r="J30" i="67"/>
  <c r="I30" i="67"/>
  <c r="H30" i="67"/>
  <c r="G30" i="67"/>
  <c r="J39" i="67"/>
  <c r="I39" i="67"/>
  <c r="H39" i="67"/>
  <c r="G39" i="67"/>
  <c r="M36" i="66" a="1"/>
  <c r="M36" i="66" s="1"/>
  <c r="M39" i="67" a="1"/>
  <c r="M39" i="67" s="1"/>
  <c r="M25" i="67" a="1"/>
  <c r="M25" i="67" s="1"/>
  <c r="L25" i="67" a="1"/>
  <c r="L25" i="67" s="1"/>
  <c r="M27" i="66" a="1"/>
  <c r="M27" i="66" s="1"/>
  <c r="M32" i="66" a="1"/>
  <c r="M32" i="66" s="1"/>
  <c r="G26" i="67"/>
  <c r="K26" i="67"/>
  <c r="J26" i="67"/>
  <c r="I26" i="67"/>
  <c r="H26" i="67"/>
  <c r="I38" i="67"/>
  <c r="H38" i="67"/>
  <c r="G38" i="67"/>
  <c r="K38" i="67"/>
  <c r="J38" i="67"/>
  <c r="M32" i="67" a="1"/>
  <c r="M32" i="67" s="1"/>
  <c r="M28" i="67" a="1"/>
  <c r="M28" i="67" s="1"/>
  <c r="L28" i="67" a="1"/>
  <c r="L28" i="67" s="1"/>
  <c r="M40" i="67" a="1"/>
  <c r="M40" i="67" s="1"/>
  <c r="M34" i="66" a="1"/>
  <c r="M34" i="66" s="1"/>
  <c r="L34" i="66" a="1"/>
  <c r="L34" i="66" s="1"/>
  <c r="M25" i="66" a="1"/>
  <c r="M25" i="66" s="1"/>
  <c r="L25" i="66" a="1"/>
  <c r="L25" i="66" s="1"/>
  <c r="L33" i="66" a="1"/>
  <c r="L33" i="66" s="1"/>
  <c r="M33" i="66" a="1"/>
  <c r="M33" i="66" s="1"/>
  <c r="M29" i="67" a="1"/>
  <c r="M29" i="67" s="1"/>
  <c r="L29" i="67" a="1"/>
  <c r="L29" i="67" s="1"/>
  <c r="K27" i="67"/>
  <c r="J27" i="67"/>
  <c r="I27" i="67"/>
  <c r="H27" i="67"/>
  <c r="G27" i="67"/>
  <c r="H29" i="67"/>
  <c r="G29" i="67"/>
  <c r="K29" i="67"/>
  <c r="J29" i="67"/>
  <c r="I29" i="67"/>
  <c r="M37" i="66" a="1"/>
  <c r="M37" i="66" s="1"/>
  <c r="L37" i="66" a="1"/>
  <c r="L37" i="66" s="1"/>
  <c r="M36" i="67" a="1"/>
  <c r="M36" i="67" s="1"/>
  <c r="L36" i="67" a="1"/>
  <c r="L36" i="67" s="1"/>
  <c r="J40" i="67"/>
  <c r="I40" i="67"/>
  <c r="H40" i="67"/>
  <c r="G40" i="67"/>
  <c r="G38" i="66" a="1"/>
  <c r="G38" i="66" s="1"/>
  <c r="M33" i="67" a="1"/>
  <c r="M33" i="67" s="1"/>
  <c r="M30" i="67" a="1"/>
  <c r="M30" i="67" s="1"/>
  <c r="M29" i="66" a="1"/>
  <c r="M29" i="66" s="1"/>
  <c r="L29" i="66" a="1"/>
  <c r="L29" i="66" s="1"/>
  <c r="M35" i="66" a="1"/>
  <c r="M35" i="66" s="1"/>
  <c r="M37" i="67" a="1"/>
  <c r="M37" i="67" s="1"/>
  <c r="H32" i="67"/>
  <c r="G32" i="67"/>
  <c r="K32" i="67"/>
  <c r="J32" i="67"/>
  <c r="I32" i="67"/>
  <c r="M26" i="66" a="1"/>
  <c r="M26" i="66" s="1"/>
  <c r="M30" i="66" a="1"/>
  <c r="M30" i="66" s="1"/>
  <c r="M26" i="67" a="1"/>
  <c r="M26" i="67" s="1"/>
  <c r="M38" i="66" a="1"/>
  <c r="M38" i="66" s="1"/>
  <c r="L38" i="66" a="1"/>
  <c r="L38" i="66" s="1"/>
  <c r="M31" i="67" a="1"/>
  <c r="M31" i="67" s="1"/>
  <c r="L31" i="67" a="1"/>
  <c r="L31" i="67" s="1"/>
  <c r="H35" i="67"/>
  <c r="G35" i="67"/>
  <c r="K35" i="67"/>
  <c r="J35" i="67"/>
  <c r="I35" i="67"/>
  <c r="L27" i="67" a="1"/>
  <c r="L27" i="67" s="1"/>
  <c r="M27" i="67" a="1"/>
  <c r="M27" i="67" s="1"/>
  <c r="M38" i="67" a="1"/>
  <c r="M38" i="67" s="1"/>
  <c r="L38" i="67" a="1"/>
  <c r="L38" i="67" s="1"/>
  <c r="H305" i="19" a="1"/>
  <c r="H305" i="19" s="1"/>
  <c r="G305" i="19" a="1"/>
  <c r="G305" i="19" s="1"/>
  <c r="F305" i="19" a="1"/>
  <c r="F305" i="19" s="1"/>
  <c r="M34" i="67" a="1"/>
  <c r="M34" i="67" s="1"/>
  <c r="L34" i="67" a="1"/>
  <c r="L34" i="67" s="1"/>
  <c r="M31" i="66" a="1"/>
  <c r="M31" i="66" s="1"/>
  <c r="G14" i="53" a="1"/>
  <c r="G14" i="53" s="1"/>
  <c r="G194" i="20"/>
  <c r="M12" i="62" a="1"/>
  <c r="M12" i="62" s="1"/>
  <c r="H13" i="62"/>
  <c r="W13" i="62" a="1"/>
  <c r="W13" i="62" s="1"/>
  <c r="S14" i="62" a="1"/>
  <c r="S14" i="62" s="1"/>
  <c r="O15" i="62" a="1"/>
  <c r="O15" i="62" s="1"/>
  <c r="K16" i="62" a="1"/>
  <c r="K16" i="62" s="1"/>
  <c r="Z16" i="62"/>
  <c r="U17" i="62" a="1"/>
  <c r="U17" i="62" s="1"/>
  <c r="Q18" i="62" a="1"/>
  <c r="Q18" i="62" s="1"/>
  <c r="M19" i="62" a="1"/>
  <c r="M19" i="62" s="1"/>
  <c r="H20" i="62"/>
  <c r="I20" i="62" s="1"/>
  <c r="W20" i="62" a="1"/>
  <c r="W20" i="62" s="1"/>
  <c r="S21" i="62" a="1"/>
  <c r="S21" i="62" s="1"/>
  <c r="P32" i="62"/>
  <c r="J177" i="68" a="1"/>
  <c r="J177" i="68" s="1"/>
  <c r="H26" i="66" a="1"/>
  <c r="H26" i="66" s="1"/>
  <c r="H29" i="66" a="1"/>
  <c r="H29" i="66" s="1"/>
  <c r="I32" i="66" a="1"/>
  <c r="I32" i="66" s="1"/>
  <c r="H35" i="66" a="1"/>
  <c r="H35" i="66" s="1"/>
  <c r="H38" i="66" a="1"/>
  <c r="H38" i="66" s="1"/>
  <c r="M39" i="66" a="1"/>
  <c r="M39" i="66" s="1"/>
  <c r="E31" i="67"/>
  <c r="E34" i="67"/>
  <c r="E37" i="67"/>
  <c r="G9" i="74"/>
  <c r="G15" i="53" a="1"/>
  <c r="G15" i="53" s="1"/>
  <c r="H194" i="20"/>
  <c r="I18" i="63"/>
  <c r="L32" i="67" s="1" a="1"/>
  <c r="L32" i="67" s="1"/>
  <c r="N12" i="62" a="1"/>
  <c r="N12" i="62" s="1"/>
  <c r="J13" i="62" a="1"/>
  <c r="J13" i="62" s="1"/>
  <c r="Y13" i="62"/>
  <c r="T14" i="62" a="1"/>
  <c r="T14" i="62" s="1"/>
  <c r="P15" i="62" a="1"/>
  <c r="P15" i="62" s="1"/>
  <c r="L16" i="62" a="1"/>
  <c r="L16" i="62" s="1"/>
  <c r="F17" i="62"/>
  <c r="R18" i="62" a="1"/>
  <c r="R18" i="62" s="1"/>
  <c r="N19" i="62" a="1"/>
  <c r="N19" i="62" s="1"/>
  <c r="J20" i="62" a="1"/>
  <c r="J20" i="62" s="1"/>
  <c r="Y20" i="62"/>
  <c r="T21" i="62" a="1"/>
  <c r="T21" i="62" s="1"/>
  <c r="P33" i="62"/>
  <c r="J135" i="68" a="1"/>
  <c r="J135" i="68" s="1"/>
  <c r="J161" i="68" a="1"/>
  <c r="J161" i="68" s="1"/>
  <c r="I29" i="66" a="1"/>
  <c r="I29" i="66" s="1"/>
  <c r="J32" i="66" a="1"/>
  <c r="J32" i="66" s="1"/>
  <c r="I35" i="66" a="1"/>
  <c r="I35" i="66" s="1"/>
  <c r="I38" i="66" a="1"/>
  <c r="I38" i="66" s="1"/>
  <c r="O38" i="66" s="1" a="1"/>
  <c r="O38" i="66" s="1"/>
  <c r="E28" i="67"/>
  <c r="G16" i="53" a="1"/>
  <c r="G16" i="53" s="1"/>
  <c r="G195" i="20"/>
  <c r="O12" i="62" a="1"/>
  <c r="O12" i="62" s="1"/>
  <c r="K13" i="62" a="1"/>
  <c r="K13" i="62" s="1"/>
  <c r="Z13" i="62"/>
  <c r="U14" i="62" a="1"/>
  <c r="U14" i="62" s="1"/>
  <c r="Q15" i="62" a="1"/>
  <c r="Q15" i="62" s="1"/>
  <c r="M16" i="62" a="1"/>
  <c r="M16" i="62" s="1"/>
  <c r="H17" i="62"/>
  <c r="W17" i="62" a="1"/>
  <c r="W17" i="62" s="1"/>
  <c r="S18" i="62" a="1"/>
  <c r="S18" i="62" s="1"/>
  <c r="O19" i="62" a="1"/>
  <c r="O19" i="62" s="1"/>
  <c r="K20" i="62" a="1"/>
  <c r="K20" i="62" s="1"/>
  <c r="Z20" i="62"/>
  <c r="U21" i="62" a="1"/>
  <c r="U21" i="62" s="1"/>
  <c r="P34" i="62"/>
  <c r="E25" i="66"/>
  <c r="I25" i="66" s="1" a="1"/>
  <c r="I25" i="66" s="1"/>
  <c r="J29" i="66" a="1"/>
  <c r="J29" i="66" s="1"/>
  <c r="K32" i="66" a="1"/>
  <c r="K32" i="66" s="1"/>
  <c r="J35" i="66" a="1"/>
  <c r="J35" i="66" s="1"/>
  <c r="E37" i="66"/>
  <c r="G37" i="66" s="1" a="1"/>
  <c r="G37" i="66" s="1"/>
  <c r="O37" i="66" s="1" a="1"/>
  <c r="O37" i="66" s="1"/>
  <c r="J38" i="66" a="1"/>
  <c r="J38" i="66" s="1"/>
  <c r="E25" i="67"/>
  <c r="G7" i="54" a="1"/>
  <c r="G7" i="54" s="1"/>
  <c r="G183" i="20"/>
  <c r="H195" i="20"/>
  <c r="I19" i="63"/>
  <c r="P12" i="62" a="1"/>
  <c r="P12" i="62" s="1"/>
  <c r="L13" i="62" a="1"/>
  <c r="L13" i="62" s="1"/>
  <c r="F14" i="62"/>
  <c r="R15" i="62" a="1"/>
  <c r="R15" i="62" s="1"/>
  <c r="N16" i="62" a="1"/>
  <c r="N16" i="62" s="1"/>
  <c r="J17" i="62" a="1"/>
  <c r="J17" i="62" s="1"/>
  <c r="Y17" i="62"/>
  <c r="T18" i="62" a="1"/>
  <c r="T18" i="62" s="1"/>
  <c r="P19" i="62" a="1"/>
  <c r="P19" i="62" s="1"/>
  <c r="L20" i="62" a="1"/>
  <c r="L20" i="62" s="1"/>
  <c r="F21" i="62"/>
  <c r="D21" i="68" a="1"/>
  <c r="J127" i="68" a="1"/>
  <c r="J127" i="68" s="1"/>
  <c r="K29" i="66" a="1"/>
  <c r="K29" i="66" s="1"/>
  <c r="G31" i="66" a="1"/>
  <c r="G31" i="66" s="1"/>
  <c r="K35" i="66" a="1"/>
  <c r="K35" i="66" s="1"/>
  <c r="K38" i="66" a="1"/>
  <c r="K38" i="66" s="1"/>
  <c r="G8" i="54" a="1"/>
  <c r="G8" i="54" s="1"/>
  <c r="G174" i="20"/>
  <c r="G196" i="20"/>
  <c r="Q12" i="62" a="1"/>
  <c r="Q12" i="62" s="1"/>
  <c r="AD221" i="19" s="1" a="1"/>
  <c r="AD221" i="19" s="1"/>
  <c r="M13" i="62" a="1"/>
  <c r="M13" i="62" s="1"/>
  <c r="H14" i="62"/>
  <c r="I14" i="62" s="1"/>
  <c r="W14" i="62" a="1"/>
  <c r="W14" i="62" s="1"/>
  <c r="S15" i="62" a="1"/>
  <c r="S15" i="62" s="1"/>
  <c r="O16" i="62" a="1"/>
  <c r="O16" i="62" s="1"/>
  <c r="K17" i="62" a="1"/>
  <c r="K17" i="62" s="1"/>
  <c r="Z17" i="62"/>
  <c r="U18" i="62" a="1"/>
  <c r="U18" i="62" s="1"/>
  <c r="Q19" i="62" a="1"/>
  <c r="Q19" i="62" s="1"/>
  <c r="M20" i="62" a="1"/>
  <c r="M20" i="62" s="1"/>
  <c r="H21" i="62"/>
  <c r="W21" i="62" a="1"/>
  <c r="W21" i="62" s="1"/>
  <c r="E21" i="68" a="1"/>
  <c r="J120" i="68" a="1"/>
  <c r="J120" i="68" s="1"/>
  <c r="D157" i="68" a="1"/>
  <c r="D157" i="68" s="1"/>
  <c r="G25" i="66" a="1"/>
  <c r="G25" i="66" s="1"/>
  <c r="Q25" i="66" s="1" a="1"/>
  <c r="Q25" i="66" s="1"/>
  <c r="G28" i="66" a="1"/>
  <c r="G28" i="66" s="1"/>
  <c r="H31" i="66" a="1"/>
  <c r="H31" i="66" s="1"/>
  <c r="G34" i="66" a="1"/>
  <c r="G34" i="66" s="1"/>
  <c r="Q34" i="66" s="1" a="1"/>
  <c r="Q34" i="66" s="1"/>
  <c r="G9" i="54" a="1"/>
  <c r="G9" i="54" s="1"/>
  <c r="H196" i="20"/>
  <c r="I20" i="63"/>
  <c r="R12" i="62" a="1"/>
  <c r="R12" i="62" s="1"/>
  <c r="N13" i="62" a="1"/>
  <c r="N13" i="62" s="1"/>
  <c r="J14" i="62" a="1"/>
  <c r="J14" i="62" s="1"/>
  <c r="Y14" i="62"/>
  <c r="O221" i="19" s="1" a="1"/>
  <c r="O221" i="19" s="1"/>
  <c r="T15" i="62" a="1"/>
  <c r="T15" i="62" s="1"/>
  <c r="AK221" i="19" s="1" a="1"/>
  <c r="AK221" i="19" s="1"/>
  <c r="P16" i="62" a="1"/>
  <c r="P16" i="62" s="1"/>
  <c r="L17" i="62" a="1"/>
  <c r="L17" i="62" s="1"/>
  <c r="F18" i="62"/>
  <c r="R19" i="62" a="1"/>
  <c r="R19" i="62" s="1"/>
  <c r="N20" i="62" a="1"/>
  <c r="N20" i="62" s="1"/>
  <c r="J21" i="62" a="1"/>
  <c r="J21" i="62" s="1"/>
  <c r="Y21" i="62"/>
  <c r="J137" i="68" a="1"/>
  <c r="J137" i="68" s="1"/>
  <c r="E157" i="68" a="1"/>
  <c r="E157" i="68" s="1"/>
  <c r="J163" i="68" a="1"/>
  <c r="J163" i="68" s="1"/>
  <c r="H25" i="66" a="1"/>
  <c r="H25" i="66" s="1"/>
  <c r="H28" i="66" a="1"/>
  <c r="H28" i="66" s="1"/>
  <c r="I31" i="66" a="1"/>
  <c r="I31" i="66" s="1"/>
  <c r="H34" i="66" a="1"/>
  <c r="H34" i="66" s="1"/>
  <c r="H37" i="66" a="1"/>
  <c r="H37" i="66" s="1"/>
  <c r="E33" i="67"/>
  <c r="E36" i="67"/>
  <c r="D8" i="73"/>
  <c r="G10" i="54" a="1"/>
  <c r="G10" i="54" s="1"/>
  <c r="G175" i="20"/>
  <c r="S12" i="62" a="1"/>
  <c r="S12" i="62" s="1"/>
  <c r="AH221" i="19" s="1" a="1"/>
  <c r="AH221" i="19" s="1"/>
  <c r="O13" i="62" a="1"/>
  <c r="O13" i="62" s="1"/>
  <c r="K14" i="62" a="1"/>
  <c r="K14" i="62" s="1"/>
  <c r="Z14" i="62"/>
  <c r="P221" i="19" s="1" a="1"/>
  <c r="P221" i="19" s="1"/>
  <c r="U15" i="62" a="1"/>
  <c r="U15" i="62" s="1"/>
  <c r="Q16" i="62" a="1"/>
  <c r="Q16" i="62" s="1"/>
  <c r="M17" i="62" a="1"/>
  <c r="M17" i="62" s="1"/>
  <c r="H18" i="62"/>
  <c r="W18" i="62" a="1"/>
  <c r="W18" i="62" s="1"/>
  <c r="S19" i="62" a="1"/>
  <c r="S19" i="62" s="1"/>
  <c r="O20" i="62" a="1"/>
  <c r="O20" i="62" s="1"/>
  <c r="K21" i="62" a="1"/>
  <c r="K21" i="62" s="1"/>
  <c r="Z21" i="62"/>
  <c r="J138" i="68" a="1"/>
  <c r="J138" i="68" s="1"/>
  <c r="J173" i="68" a="1"/>
  <c r="J173" i="68" s="1"/>
  <c r="I28" i="66" a="1"/>
  <c r="I28" i="66" s="1"/>
  <c r="J31" i="66" a="1"/>
  <c r="J31" i="66" s="1"/>
  <c r="E33" i="66"/>
  <c r="I34" i="66" a="1"/>
  <c r="I34" i="66" s="1"/>
  <c r="I37" i="66" a="1"/>
  <c r="I37" i="66" s="1"/>
  <c r="D9" i="73"/>
  <c r="G7" i="53" a="1"/>
  <c r="G7" i="53" s="1"/>
  <c r="G11" i="54" a="1"/>
  <c r="G11" i="54" s="1"/>
  <c r="H197" i="20"/>
  <c r="I21" i="63"/>
  <c r="L39" i="66" s="1" a="1"/>
  <c r="L39" i="66" s="1"/>
  <c r="Q39" i="66" s="1" a="1"/>
  <c r="Q39" i="66" s="1"/>
  <c r="T12" i="62" a="1"/>
  <c r="T12" i="62" s="1"/>
  <c r="P13" i="62" a="1"/>
  <c r="P13" i="62" s="1"/>
  <c r="AC221" i="19" s="1" a="1"/>
  <c r="AC221" i="19" s="1"/>
  <c r="L14" i="62" a="1"/>
  <c r="L14" i="62" s="1"/>
  <c r="F15" i="62"/>
  <c r="R16" i="62" a="1"/>
  <c r="R16" i="62" s="1"/>
  <c r="N17" i="62" a="1"/>
  <c r="N17" i="62" s="1"/>
  <c r="J18" i="62" a="1"/>
  <c r="J18" i="62" s="1"/>
  <c r="Y18" i="62"/>
  <c r="T19" i="62" a="1"/>
  <c r="T19" i="62" s="1"/>
  <c r="P20" i="62" a="1"/>
  <c r="P20" i="62" s="1"/>
  <c r="L21" i="62" a="1"/>
  <c r="L21" i="62" s="1"/>
  <c r="P25" i="62"/>
  <c r="D116" i="68" a="1"/>
  <c r="D116" i="68" s="1"/>
  <c r="J157" i="68" a="1"/>
  <c r="J157" i="68" s="1"/>
  <c r="J164" i="68" a="1"/>
  <c r="J164" i="68" s="1"/>
  <c r="J25" i="66" a="1"/>
  <c r="J25" i="66" s="1"/>
  <c r="J28" i="66" a="1"/>
  <c r="J28" i="66" s="1"/>
  <c r="K31" i="66" a="1"/>
  <c r="K31" i="66" s="1"/>
  <c r="J34" i="66" a="1"/>
  <c r="J34" i="66" s="1"/>
  <c r="J37" i="66" a="1"/>
  <c r="J37" i="66" s="1"/>
  <c r="G45" i="76"/>
  <c r="G8" i="53" a="1"/>
  <c r="G8" i="53" s="1"/>
  <c r="G12" i="54" a="1"/>
  <c r="G12" i="54" s="1"/>
  <c r="G176" i="20"/>
  <c r="U12" i="62" a="1"/>
  <c r="U12" i="62" s="1"/>
  <c r="AL221" i="19" s="1" a="1"/>
  <c r="AL221" i="19" s="1"/>
  <c r="Q13" i="62" a="1"/>
  <c r="Q13" i="62" s="1"/>
  <c r="M14" i="62" a="1"/>
  <c r="M14" i="62" s="1"/>
  <c r="H15" i="62"/>
  <c r="W15" i="62" a="1"/>
  <c r="W15" i="62" s="1"/>
  <c r="S16" i="62" a="1"/>
  <c r="S16" i="62" s="1"/>
  <c r="O17" i="62" a="1"/>
  <c r="O17" i="62" s="1"/>
  <c r="K18" i="62" a="1"/>
  <c r="K18" i="62" s="1"/>
  <c r="Z18" i="62"/>
  <c r="U19" i="62" a="1"/>
  <c r="U19" i="62" s="1"/>
  <c r="Q20" i="62" a="1"/>
  <c r="Q20" i="62" s="1"/>
  <c r="M21" i="62" a="1"/>
  <c r="M21" i="62" s="1"/>
  <c r="P26" i="62"/>
  <c r="E116" i="68" a="1"/>
  <c r="E116" i="68" s="1"/>
  <c r="J122" i="68" a="1"/>
  <c r="J122" i="68" s="1"/>
  <c r="J174" i="68" a="1"/>
  <c r="J174" i="68" s="1"/>
  <c r="K25" i="66" a="1"/>
  <c r="K25" i="66" s="1"/>
  <c r="G27" i="66" a="1"/>
  <c r="G27" i="66" s="1"/>
  <c r="K28" i="66" a="1"/>
  <c r="K28" i="66" s="1"/>
  <c r="G30" i="66" a="1"/>
  <c r="G30" i="66" s="1"/>
  <c r="G33" i="66" a="1"/>
  <c r="G33" i="66" s="1"/>
  <c r="P33" i="66" s="1" a="1"/>
  <c r="P33" i="66" s="1"/>
  <c r="E51" i="66" s="1"/>
  <c r="K34" i="66" a="1"/>
  <c r="K34" i="66" s="1"/>
  <c r="G36" i="66" a="1"/>
  <c r="G36" i="66" s="1"/>
  <c r="K37" i="66" a="1"/>
  <c r="K37" i="66" s="1"/>
  <c r="G39" i="66" a="1"/>
  <c r="G39" i="66" s="1"/>
  <c r="G9" i="53" a="1"/>
  <c r="G9" i="53" s="1"/>
  <c r="G13" i="54" a="1"/>
  <c r="G13" i="54" s="1"/>
  <c r="F12" i="62"/>
  <c r="R13" i="62" a="1"/>
  <c r="R13" i="62" s="1"/>
  <c r="AG221" i="19" s="1" a="1"/>
  <c r="AG221" i="19" s="1"/>
  <c r="N14" i="62" a="1"/>
  <c r="N14" i="62" s="1"/>
  <c r="J15" i="62" a="1"/>
  <c r="J15" i="62" s="1"/>
  <c r="Y15" i="62"/>
  <c r="T16" i="62" a="1"/>
  <c r="T16" i="62" s="1"/>
  <c r="P17" i="62" a="1"/>
  <c r="P17" i="62" s="1"/>
  <c r="L18" i="62" a="1"/>
  <c r="L18" i="62" s="1"/>
  <c r="F19" i="62"/>
  <c r="R20" i="62" a="1"/>
  <c r="R20" i="62" s="1"/>
  <c r="N21" i="62" a="1"/>
  <c r="N21" i="62" s="1"/>
  <c r="P27" i="62"/>
  <c r="J132" i="68" a="1"/>
  <c r="J132" i="68" s="1"/>
  <c r="J158" i="68" a="1"/>
  <c r="J158" i="68" s="1"/>
  <c r="J165" i="68" a="1"/>
  <c r="J165" i="68" s="1"/>
  <c r="J185" i="68" a="1"/>
  <c r="J185" i="68" s="1"/>
  <c r="H27" i="66" a="1"/>
  <c r="H27" i="66" s="1"/>
  <c r="H30" i="66" a="1"/>
  <c r="H30" i="66" s="1"/>
  <c r="H33" i="66" a="1"/>
  <c r="H33" i="66" s="1"/>
  <c r="H36" i="66" a="1"/>
  <c r="H36" i="66" s="1"/>
  <c r="H39" i="66" a="1"/>
  <c r="H39" i="66" s="1"/>
  <c r="K40" i="67" a="1"/>
  <c r="K40" i="67" s="1"/>
  <c r="G10" i="53" a="1"/>
  <c r="G10" i="53" s="1"/>
  <c r="G14" i="54" a="1"/>
  <c r="G14" i="54" s="1"/>
  <c r="H12" i="62"/>
  <c r="I12" i="62" s="1"/>
  <c r="W12" i="62" a="1"/>
  <c r="W12" i="62" s="1"/>
  <c r="S13" i="62" a="1"/>
  <c r="S13" i="62" s="1"/>
  <c r="O14" i="62" a="1"/>
  <c r="O14" i="62" s="1"/>
  <c r="Z221" i="19" s="1" a="1"/>
  <c r="Z221" i="19" s="1"/>
  <c r="K15" i="62" a="1"/>
  <c r="K15" i="62" s="1"/>
  <c r="Z15" i="62"/>
  <c r="U16" i="62" a="1"/>
  <c r="U16" i="62" s="1"/>
  <c r="Q17" i="62" a="1"/>
  <c r="Q17" i="62" s="1"/>
  <c r="M18" i="62" a="1"/>
  <c r="M18" i="62" s="1"/>
  <c r="H19" i="62"/>
  <c r="W19" i="62" a="1"/>
  <c r="W19" i="62" s="1"/>
  <c r="S20" i="62" a="1"/>
  <c r="S20" i="62" s="1"/>
  <c r="O21" i="62" a="1"/>
  <c r="O21" i="62" s="1"/>
  <c r="P28" i="62"/>
  <c r="J116" i="68" a="1"/>
  <c r="J116" i="68" s="1"/>
  <c r="J123" i="68" a="1"/>
  <c r="J123" i="68" s="1"/>
  <c r="J175" i="68" a="1"/>
  <c r="J175" i="68" s="1"/>
  <c r="I27" i="66" a="1"/>
  <c r="I27" i="66" s="1"/>
  <c r="I30" i="66" a="1"/>
  <c r="I30" i="66" s="1"/>
  <c r="I33" i="66" a="1"/>
  <c r="I33" i="66" s="1"/>
  <c r="I36" i="66" a="1"/>
  <c r="I36" i="66" s="1"/>
  <c r="I39" i="66" a="1"/>
  <c r="I39" i="66" s="1"/>
  <c r="H7" i="52" a="1"/>
  <c r="H7" i="52" s="1"/>
  <c r="G11" i="53" a="1"/>
  <c r="G11" i="53" s="1"/>
  <c r="G15" i="54" a="1"/>
  <c r="G15" i="54" s="1"/>
  <c r="J12" i="62" a="1"/>
  <c r="J12" i="62" s="1"/>
  <c r="Y12" i="62"/>
  <c r="T13" i="62" a="1"/>
  <c r="T13" i="62" s="1"/>
  <c r="P14" i="62" a="1"/>
  <c r="P14" i="62" s="1"/>
  <c r="L15" i="62" a="1"/>
  <c r="L15" i="62" s="1"/>
  <c r="F16" i="62"/>
  <c r="R17" i="62" a="1"/>
  <c r="R17" i="62" s="1"/>
  <c r="N18" i="62" a="1"/>
  <c r="N18" i="62" s="1"/>
  <c r="J19" i="62" a="1"/>
  <c r="J19" i="62" s="1"/>
  <c r="Y19" i="62"/>
  <c r="T20" i="62" a="1"/>
  <c r="T20" i="62" s="1"/>
  <c r="P21" i="62" a="1"/>
  <c r="P21" i="62" s="1"/>
  <c r="P29" i="62"/>
  <c r="J133" i="68" a="1"/>
  <c r="J133" i="68" s="1"/>
  <c r="J159" i="68" a="1"/>
  <c r="J159" i="68" s="1"/>
  <c r="E26" i="66"/>
  <c r="K26" i="66" s="1" a="1"/>
  <c r="K26" i="66" s="1"/>
  <c r="J27" i="66" a="1"/>
  <c r="J27" i="66" s="1"/>
  <c r="J30" i="66" a="1"/>
  <c r="J30" i="66" s="1"/>
  <c r="J33" i="66" a="1"/>
  <c r="J33" i="66" s="1"/>
  <c r="J36" i="66" a="1"/>
  <c r="J36" i="66" s="1"/>
  <c r="J39" i="66" a="1"/>
  <c r="J39" i="66" s="1"/>
  <c r="H8" i="52" a="1"/>
  <c r="H8" i="52" s="1"/>
  <c r="G12" i="53" a="1"/>
  <c r="G12" i="53" s="1"/>
  <c r="K12" i="62" a="1"/>
  <c r="K12" i="62" s="1"/>
  <c r="Z12" i="62"/>
  <c r="U13" i="62" a="1"/>
  <c r="U13" i="62" s="1"/>
  <c r="Q14" i="62" a="1"/>
  <c r="Q14" i="62" s="1"/>
  <c r="M15" i="62" a="1"/>
  <c r="M15" i="62" s="1"/>
  <c r="V221" i="19" s="1" a="1"/>
  <c r="V221" i="19" s="1"/>
  <c r="H16" i="62"/>
  <c r="W16" i="62" a="1"/>
  <c r="W16" i="62" s="1"/>
  <c r="S17" i="62" a="1"/>
  <c r="S17" i="62" s="1"/>
  <c r="O18" i="62" a="1"/>
  <c r="O18" i="62" s="1"/>
  <c r="K19" i="62" a="1"/>
  <c r="K19" i="62" s="1"/>
  <c r="R221" i="19" s="1" a="1"/>
  <c r="R221" i="19" s="1"/>
  <c r="Z19" i="62"/>
  <c r="U20" i="62" a="1"/>
  <c r="U20" i="62" s="1"/>
  <c r="Q21" i="62" a="1"/>
  <c r="Q21" i="62" s="1"/>
  <c r="P30" i="62"/>
  <c r="D59" i="68" a="1"/>
  <c r="J117" i="68" a="1"/>
  <c r="J117" i="68" s="1"/>
  <c r="J124" i="68" a="1"/>
  <c r="J124" i="68" s="1"/>
  <c r="J144" i="68" a="1"/>
  <c r="J144" i="68" s="1"/>
  <c r="J176" i="68" a="1"/>
  <c r="J176" i="68" s="1"/>
  <c r="K30" i="66" a="1"/>
  <c r="K30" i="66" s="1"/>
  <c r="G32" i="66" a="1"/>
  <c r="G32" i="66" s="1"/>
  <c r="K33" i="66" a="1"/>
  <c r="K33" i="66" s="1"/>
  <c r="K36" i="66" a="1"/>
  <c r="K36" i="66" s="1"/>
  <c r="K39" i="66" a="1"/>
  <c r="K39" i="66" s="1"/>
  <c r="L12" i="62" a="1"/>
  <c r="L12" i="62" s="1"/>
  <c r="U221" i="19" s="1" a="1"/>
  <c r="U221" i="19" s="1"/>
  <c r="F13" i="62"/>
  <c r="R14" i="62" a="1"/>
  <c r="R14" i="62" s="1"/>
  <c r="N15" i="62" a="1"/>
  <c r="N15" i="62" s="1"/>
  <c r="J16" i="62" a="1"/>
  <c r="J16" i="62" s="1"/>
  <c r="Y16" i="62"/>
  <c r="T17" i="62" a="1"/>
  <c r="T17" i="62" s="1"/>
  <c r="P18" i="62" a="1"/>
  <c r="P18" i="62" s="1"/>
  <c r="L19" i="62" a="1"/>
  <c r="L19" i="62" s="1"/>
  <c r="F20" i="62"/>
  <c r="E59" i="68" a="1"/>
  <c r="J134" i="68" a="1"/>
  <c r="J134" i="68" s="1"/>
  <c r="J160" i="68" a="1"/>
  <c r="J160" i="68" s="1"/>
  <c r="G26" i="66" a="1"/>
  <c r="G26" i="66" s="1"/>
  <c r="K27" i="66" a="1"/>
  <c r="K27" i="66" s="1"/>
  <c r="G29" i="66" a="1"/>
  <c r="G29" i="66" s="1"/>
  <c r="H32" i="66" a="1"/>
  <c r="H32" i="66" s="1"/>
  <c r="G35" i="66" a="1"/>
  <c r="G35" i="66" s="1"/>
  <c r="Y221" i="19" a="1"/>
  <c r="Y221" i="19" s="1"/>
  <c r="L364" i="73"/>
  <c r="L367" i="73"/>
  <c r="N364" i="73"/>
  <c r="J366" i="73"/>
  <c r="I368" i="73"/>
  <c r="J369" i="73"/>
  <c r="N362" i="73"/>
  <c r="M362" i="73"/>
  <c r="L362" i="73"/>
  <c r="I367" i="73"/>
  <c r="N367" i="73"/>
  <c r="I365" i="73"/>
  <c r="H92" i="73"/>
  <c r="H88" i="73"/>
  <c r="L100" i="73"/>
  <c r="K100" i="73"/>
  <c r="H86" i="73"/>
  <c r="H90" i="73"/>
  <c r="I87" i="73"/>
  <c r="I91" i="73"/>
  <c r="L94" i="73"/>
  <c r="K94" i="73"/>
  <c r="P100" i="73"/>
  <c r="O100" i="73"/>
  <c r="N100" i="73"/>
  <c r="L106" i="73"/>
  <c r="K106" i="73"/>
  <c r="L223" i="73"/>
  <c r="L227" i="73"/>
  <c r="K223" i="73"/>
  <c r="K227" i="73"/>
  <c r="I86" i="73"/>
  <c r="I90" i="73"/>
  <c r="L99" i="73"/>
  <c r="K99" i="73"/>
  <c r="L88" i="73"/>
  <c r="L92" i="73"/>
  <c r="K92" i="73"/>
  <c r="K88" i="73"/>
  <c r="M89" i="73"/>
  <c r="M93" i="73"/>
  <c r="O94" i="73"/>
  <c r="N94" i="73"/>
  <c r="P94" i="73"/>
  <c r="P106" i="73"/>
  <c r="O106" i="73"/>
  <c r="N106" i="73"/>
  <c r="F226" i="73"/>
  <c r="F230" i="73"/>
  <c r="P237" i="73"/>
  <c r="O237" i="73"/>
  <c r="N237" i="73"/>
  <c r="K91" i="73"/>
  <c r="L91" i="73"/>
  <c r="L87" i="73"/>
  <c r="K87" i="73"/>
  <c r="M88" i="73"/>
  <c r="M92" i="73"/>
  <c r="P99" i="73"/>
  <c r="O99" i="73"/>
  <c r="N99" i="73"/>
  <c r="L104" i="73"/>
  <c r="K104" i="73"/>
  <c r="L116" i="73"/>
  <c r="K116" i="73"/>
  <c r="O235" i="73"/>
  <c r="P235" i="73"/>
  <c r="N235" i="73"/>
  <c r="L90" i="73"/>
  <c r="K90" i="73"/>
  <c r="L86" i="73"/>
  <c r="K86" i="73"/>
  <c r="M87" i="73"/>
  <c r="M91" i="73"/>
  <c r="O92" i="73"/>
  <c r="N88" i="73"/>
  <c r="N92" i="73"/>
  <c r="P92" i="73"/>
  <c r="P88" i="73"/>
  <c r="O88" i="73"/>
  <c r="O105" i="73"/>
  <c r="N105" i="73"/>
  <c r="P105" i="73"/>
  <c r="L115" i="73"/>
  <c r="K115" i="73"/>
  <c r="M90" i="73"/>
  <c r="M86" i="73"/>
  <c r="F224" i="73"/>
  <c r="F228" i="73"/>
  <c r="H226" i="73"/>
  <c r="H230" i="73"/>
  <c r="L97" i="73"/>
  <c r="K97" i="73"/>
  <c r="L103" i="73"/>
  <c r="K103" i="73"/>
  <c r="L113" i="73"/>
  <c r="K113" i="73"/>
  <c r="N115" i="73"/>
  <c r="P115" i="73"/>
  <c r="O115" i="73"/>
  <c r="G224" i="73"/>
  <c r="G228" i="73"/>
  <c r="P97" i="73"/>
  <c r="O97" i="73"/>
  <c r="N97" i="73"/>
  <c r="L102" i="73"/>
  <c r="K102" i="73"/>
  <c r="N103" i="73"/>
  <c r="P103" i="73"/>
  <c r="O103" i="73"/>
  <c r="L110" i="73"/>
  <c r="K110" i="73"/>
  <c r="I225" i="73"/>
  <c r="I229" i="73"/>
  <c r="F106" i="73"/>
  <c r="F102" i="73"/>
  <c r="J7" i="48" s="1" a="1"/>
  <c r="J7" i="48" s="1"/>
  <c r="P233" i="73"/>
  <c r="O233" i="73"/>
  <c r="N233" i="73"/>
  <c r="L96" i="73"/>
  <c r="K96" i="73"/>
  <c r="J225" i="73"/>
  <c r="J229" i="73"/>
  <c r="G93" i="73"/>
  <c r="G89" i="73"/>
  <c r="L101" i="73"/>
  <c r="K101" i="73"/>
  <c r="P112" i="73"/>
  <c r="O112" i="73"/>
  <c r="N112" i="73"/>
  <c r="H223" i="73"/>
  <c r="H227" i="73"/>
  <c r="P231" i="73"/>
  <c r="O231" i="73"/>
  <c r="N231" i="73"/>
  <c r="H93" i="73"/>
  <c r="H89" i="73"/>
  <c r="P96" i="73"/>
  <c r="O96" i="73"/>
  <c r="N96" i="73"/>
  <c r="L107" i="73"/>
  <c r="K107" i="73"/>
  <c r="P111" i="73"/>
  <c r="O111" i="73"/>
  <c r="N111" i="73"/>
  <c r="I223" i="73"/>
  <c r="I227" i="73"/>
  <c r="N230" i="73"/>
  <c r="P226" i="73"/>
  <c r="O226" i="73"/>
  <c r="P230" i="73"/>
  <c r="N226" i="73"/>
  <c r="O230" i="73"/>
  <c r="G91" i="73"/>
  <c r="G87" i="73"/>
  <c r="I93" i="73"/>
  <c r="I89" i="73"/>
  <c r="L95" i="73"/>
  <c r="K95" i="73"/>
  <c r="M225" i="73"/>
  <c r="M229" i="73"/>
  <c r="G90" i="73"/>
  <c r="G86" i="73"/>
  <c r="G146" i="73" s="1"/>
  <c r="H87" i="73"/>
  <c r="H91" i="73"/>
  <c r="I92" i="73"/>
  <c r="I88" i="73"/>
  <c r="J89" i="73"/>
  <c r="J93" i="73"/>
  <c r="N108" i="73"/>
  <c r="P108" i="73"/>
  <c r="O108" i="73"/>
  <c r="L240" i="73"/>
  <c r="K240" i="73"/>
  <c r="L114" i="73"/>
  <c r="K114" i="73"/>
  <c r="J86" i="73"/>
  <c r="J146" i="73" s="1"/>
  <c r="G88" i="73"/>
  <c r="G148" i="73" s="1"/>
  <c r="N89" i="73"/>
  <c r="L98" i="73"/>
  <c r="N110" i="73"/>
  <c r="L112" i="73"/>
  <c r="J223" i="73"/>
  <c r="J227" i="73"/>
  <c r="I224" i="73"/>
  <c r="I228" i="73"/>
  <c r="G226" i="73"/>
  <c r="G230" i="73"/>
  <c r="L234" i="73"/>
  <c r="K234" i="73"/>
  <c r="L235" i="73"/>
  <c r="K235" i="73"/>
  <c r="O89" i="73"/>
  <c r="N91" i="73"/>
  <c r="K93" i="73"/>
  <c r="O107" i="73"/>
  <c r="O110" i="73"/>
  <c r="K117" i="73"/>
  <c r="J224" i="73"/>
  <c r="J228" i="73"/>
  <c r="O91" i="73"/>
  <c r="L93" i="73"/>
  <c r="N98" i="73"/>
  <c r="P107" i="73"/>
  <c r="K228" i="73"/>
  <c r="L224" i="73"/>
  <c r="L228" i="73"/>
  <c r="K224" i="73"/>
  <c r="P234" i="73"/>
  <c r="O234" i="73"/>
  <c r="N234" i="73"/>
  <c r="K243" i="73"/>
  <c r="L243" i="73"/>
  <c r="L244" i="73"/>
  <c r="K244" i="73"/>
  <c r="L252" i="73"/>
  <c r="K252" i="73"/>
  <c r="N254" i="73"/>
  <c r="P254" i="73"/>
  <c r="O254" i="73"/>
  <c r="J88" i="73"/>
  <c r="J148" i="73" s="1"/>
  <c r="P91" i="73"/>
  <c r="O98" i="73"/>
  <c r="K109" i="73"/>
  <c r="M223" i="73"/>
  <c r="M227" i="73"/>
  <c r="L236" i="73"/>
  <c r="K236" i="73"/>
  <c r="L246" i="73"/>
  <c r="K246" i="73"/>
  <c r="L247" i="73"/>
  <c r="K247" i="73"/>
  <c r="L250" i="73"/>
  <c r="K250" i="73"/>
  <c r="N86" i="73"/>
  <c r="N93" i="73"/>
  <c r="N102" i="73"/>
  <c r="N117" i="73"/>
  <c r="P223" i="73"/>
  <c r="P227" i="73"/>
  <c r="O223" i="73"/>
  <c r="O227" i="73"/>
  <c r="N223" i="73"/>
  <c r="N227" i="73"/>
  <c r="M224" i="73"/>
  <c r="M228" i="73"/>
  <c r="I226" i="73"/>
  <c r="I230" i="73"/>
  <c r="L237" i="73"/>
  <c r="K237" i="73"/>
  <c r="N252" i="73"/>
  <c r="P252" i="73"/>
  <c r="O252" i="73"/>
  <c r="O86" i="73"/>
  <c r="O93" i="73"/>
  <c r="N95" i="73"/>
  <c r="O102" i="73"/>
  <c r="K111" i="73"/>
  <c r="O114" i="73"/>
  <c r="O117" i="73"/>
  <c r="K229" i="73"/>
  <c r="L225" i="73"/>
  <c r="K225" i="73"/>
  <c r="L229" i="73"/>
  <c r="J226" i="73"/>
  <c r="J230" i="73"/>
  <c r="P242" i="73"/>
  <c r="O242" i="73"/>
  <c r="N242" i="73"/>
  <c r="N249" i="73"/>
  <c r="P249" i="73"/>
  <c r="O249" i="73"/>
  <c r="P86" i="73"/>
  <c r="P93" i="73"/>
  <c r="O95" i="73"/>
  <c r="N104" i="73"/>
  <c r="P114" i="73"/>
  <c r="P224" i="73"/>
  <c r="P228" i="73"/>
  <c r="O224" i="73"/>
  <c r="O228" i="73"/>
  <c r="N224" i="73"/>
  <c r="N228" i="73"/>
  <c r="L226" i="73"/>
  <c r="L230" i="73"/>
  <c r="K226" i="73"/>
  <c r="K230" i="73"/>
  <c r="P236" i="73"/>
  <c r="O236" i="73"/>
  <c r="N236" i="73"/>
  <c r="L238" i="73"/>
  <c r="K238" i="73"/>
  <c r="P243" i="73"/>
  <c r="O243" i="73"/>
  <c r="N243" i="73"/>
  <c r="N245" i="73"/>
  <c r="P245" i="73"/>
  <c r="O245" i="73"/>
  <c r="P248" i="73"/>
  <c r="O248" i="73"/>
  <c r="N248" i="73"/>
  <c r="O104" i="73"/>
  <c r="F227" i="73"/>
  <c r="F223" i="73"/>
  <c r="M226" i="73"/>
  <c r="M230" i="73"/>
  <c r="P246" i="73"/>
  <c r="O246" i="73"/>
  <c r="N246" i="73"/>
  <c r="N90" i="73"/>
  <c r="G223" i="73"/>
  <c r="G227" i="73"/>
  <c r="O229" i="73"/>
  <c r="N225" i="73"/>
  <c r="N229" i="73"/>
  <c r="P225" i="73"/>
  <c r="P229" i="73"/>
  <c r="O225" i="73"/>
  <c r="L231" i="73"/>
  <c r="K231" i="73"/>
  <c r="L239" i="73"/>
  <c r="K239" i="73"/>
  <c r="O90" i="73"/>
  <c r="K105" i="73"/>
  <c r="K108" i="73"/>
  <c r="N113" i="73"/>
  <c r="L232" i="73"/>
  <c r="K232" i="73"/>
  <c r="P238" i="73"/>
  <c r="O238" i="73"/>
  <c r="N238" i="73"/>
  <c r="P239" i="73"/>
  <c r="O239" i="73"/>
  <c r="N239" i="73"/>
  <c r="N87" i="73"/>
  <c r="K89" i="73"/>
  <c r="N101" i="73"/>
  <c r="O113" i="73"/>
  <c r="F225" i="73"/>
  <c r="F229" i="73"/>
  <c r="L233" i="73"/>
  <c r="K233" i="73"/>
  <c r="P109" i="73"/>
  <c r="O109" i="73"/>
  <c r="N109" i="73"/>
  <c r="P116" i="73"/>
  <c r="O116" i="73"/>
  <c r="N116" i="73"/>
  <c r="O87" i="73"/>
  <c r="O101" i="73"/>
  <c r="G225" i="73"/>
  <c r="G229" i="73"/>
  <c r="P232" i="73"/>
  <c r="O232" i="73"/>
  <c r="N232" i="73"/>
  <c r="J87" i="73"/>
  <c r="J91" i="73"/>
  <c r="H228" i="73"/>
  <c r="H224" i="73"/>
  <c r="H225" i="73"/>
  <c r="H229" i="73"/>
  <c r="P240" i="73"/>
  <c r="N240" i="73"/>
  <c r="O240" i="73"/>
  <c r="L241" i="73"/>
  <c r="K241" i="73"/>
  <c r="L245" i="73"/>
  <c r="K245" i="73"/>
  <c r="K248" i="73"/>
  <c r="L248" i="73"/>
  <c r="L251" i="73"/>
  <c r="K251" i="73"/>
  <c r="N369" i="73"/>
  <c r="M369" i="73"/>
  <c r="L369" i="73"/>
  <c r="L242" i="73"/>
  <c r="K242" i="73"/>
  <c r="P251" i="73"/>
  <c r="O251" i="73"/>
  <c r="N251" i="73"/>
  <c r="L249" i="73"/>
  <c r="K249" i="73"/>
  <c r="K253" i="73"/>
  <c r="L253" i="73"/>
  <c r="M366" i="73"/>
  <c r="L366" i="73"/>
  <c r="N366" i="73"/>
  <c r="P241" i="73"/>
  <c r="O241" i="73"/>
  <c r="N241" i="73"/>
  <c r="N244" i="73"/>
  <c r="P244" i="73"/>
  <c r="O244" i="73"/>
  <c r="P247" i="73"/>
  <c r="O247" i="73"/>
  <c r="N247" i="73"/>
  <c r="P250" i="73"/>
  <c r="O250" i="73"/>
  <c r="N250" i="73"/>
  <c r="P253" i="73"/>
  <c r="O253" i="73"/>
  <c r="N253" i="73"/>
  <c r="L254" i="73"/>
  <c r="K254" i="73"/>
  <c r="J363" i="73"/>
  <c r="L363" i="73"/>
  <c r="L368" i="73"/>
  <c r="M363" i="73"/>
  <c r="N368" i="73"/>
  <c r="M365" i="73"/>
  <c r="N365" i="73"/>
  <c r="L365" i="73"/>
  <c r="J362" i="73"/>
  <c r="J364" i="73"/>
  <c r="E99" i="68"/>
  <c r="E7" i="68"/>
  <c r="F192" i="68"/>
  <c r="F151" i="68"/>
  <c r="E7" i="67"/>
  <c r="L8" i="67"/>
  <c r="F58" i="67"/>
  <c r="F49" i="67"/>
  <c r="F57" i="67"/>
  <c r="F46" i="67"/>
  <c r="F56" i="67"/>
  <c r="F45" i="67"/>
  <c r="F55" i="67"/>
  <c r="F44" i="67"/>
  <c r="F52" i="67"/>
  <c r="F43" i="67"/>
  <c r="F51" i="67"/>
  <c r="F50" i="67"/>
  <c r="D39" i="67"/>
  <c r="L39" i="67" s="1" a="1"/>
  <c r="L39" i="67" s="1"/>
  <c r="D42" i="67"/>
  <c r="D30" i="67"/>
  <c r="L30" i="67" s="1" a="1"/>
  <c r="L30" i="67" s="1"/>
  <c r="D37" i="67"/>
  <c r="L37" i="67" s="1" a="1"/>
  <c r="L37" i="67" s="1"/>
  <c r="D28" i="67"/>
  <c r="D35" i="67"/>
  <c r="L35" i="67" s="1" a="1"/>
  <c r="L35" i="67" s="1"/>
  <c r="D26" i="67"/>
  <c r="L26" i="67" s="1" a="1"/>
  <c r="L26" i="67" s="1"/>
  <c r="D33" i="67"/>
  <c r="L33" i="67" s="1" a="1"/>
  <c r="L33" i="67" s="1"/>
  <c r="D40" i="67"/>
  <c r="D31" i="67"/>
  <c r="D38" i="67"/>
  <c r="D48" i="67"/>
  <c r="E7" i="66"/>
  <c r="L7" i="66"/>
  <c r="F70" i="66"/>
  <c r="F61" i="66"/>
  <c r="F51" i="66"/>
  <c r="F69" i="66"/>
  <c r="F50" i="66"/>
  <c r="F58" i="66"/>
  <c r="F68" i="66"/>
  <c r="F49" i="66"/>
  <c r="F57" i="66"/>
  <c r="F67" i="66"/>
  <c r="F56" i="66"/>
  <c r="F46" i="66"/>
  <c r="F64" i="66"/>
  <c r="F55" i="66"/>
  <c r="F45" i="66"/>
  <c r="F63" i="66"/>
  <c r="F44" i="66"/>
  <c r="F62" i="66"/>
  <c r="F52" i="66"/>
  <c r="F43" i="66"/>
  <c r="D30" i="66"/>
  <c r="L30" i="66" s="1" a="1"/>
  <c r="L30" i="66" s="1"/>
  <c r="Q38" i="66" a="1"/>
  <c r="Q38" i="66" s="1"/>
  <c r="D54" i="66"/>
  <c r="D29" i="66"/>
  <c r="D28" i="66"/>
  <c r="L28" i="66" s="1" a="1"/>
  <c r="L28" i="66" s="1"/>
  <c r="P38" i="66" a="1"/>
  <c r="P38" i="66" s="1"/>
  <c r="D48" i="66"/>
  <c r="D32" i="66"/>
  <c r="L32" i="66" s="1" a="1"/>
  <c r="L32" i="66" s="1"/>
  <c r="D27" i="66"/>
  <c r="L27" i="66" s="1" a="1"/>
  <c r="L27" i="66" s="1"/>
  <c r="N38" i="66" a="1"/>
  <c r="N38" i="66" s="1"/>
  <c r="D36" i="66"/>
  <c r="L36" i="66" s="1" a="1"/>
  <c r="L36" i="66" s="1"/>
  <c r="I48" i="65"/>
  <c r="D31" i="66"/>
  <c r="L31" i="66" s="1" a="1"/>
  <c r="L31" i="66" s="1"/>
  <c r="D26" i="66"/>
  <c r="L26" i="66" s="1" a="1"/>
  <c r="L26" i="66" s="1"/>
  <c r="D42" i="66"/>
  <c r="D35" i="66"/>
  <c r="L35" i="66" s="1" a="1"/>
  <c r="L35" i="66" s="1"/>
  <c r="J54" i="62"/>
  <c r="I38" i="65"/>
  <c r="I39" i="65"/>
  <c r="I46" i="65"/>
  <c r="I47" i="65"/>
  <c r="I17" i="63"/>
  <c r="J55" i="62"/>
  <c r="D40" i="62"/>
  <c r="J56" i="62"/>
  <c r="G576" i="19"/>
  <c r="I19" i="62"/>
  <c r="I13" i="62"/>
  <c r="I17" i="62"/>
  <c r="I15" i="62"/>
  <c r="I16" i="62"/>
  <c r="I21" i="62"/>
  <c r="O576" i="19"/>
  <c r="H50" i="60"/>
  <c r="J88" i="34" s="1"/>
  <c r="H52" i="60"/>
  <c r="H53" i="60"/>
  <c r="H49" i="60"/>
  <c r="H51" i="60"/>
  <c r="H54" i="60"/>
  <c r="H48" i="60"/>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26" i="34" a="1"/>
  <c r="O61" i="34" a="1"/>
  <c r="I18" i="62" l="1"/>
  <c r="I148" i="73"/>
  <c r="K36" i="67"/>
  <c r="J36" i="67"/>
  <c r="I36" i="67"/>
  <c r="H36" i="67"/>
  <c r="G36" i="67"/>
  <c r="J136" i="68" a="1"/>
  <c r="J136" i="68" s="1"/>
  <c r="J119" i="68" a="1"/>
  <c r="J119" i="68" s="1"/>
  <c r="V20" i="62"/>
  <c r="V19" i="62"/>
  <c r="X19" i="62" s="1"/>
  <c r="K33" i="67"/>
  <c r="Q33" i="67" s="1" a="1"/>
  <c r="Q33" i="67" s="1"/>
  <c r="J33" i="67"/>
  <c r="I33" i="67"/>
  <c r="H33" i="67"/>
  <c r="G33" i="67"/>
  <c r="K37" i="67"/>
  <c r="J37" i="67"/>
  <c r="I37" i="67"/>
  <c r="H37" i="67"/>
  <c r="G37" i="67"/>
  <c r="D21" i="68"/>
  <c r="G189" i="68" a="1"/>
  <c r="G189" i="68" s="1"/>
  <c r="G177" i="68" a="1"/>
  <c r="G177" i="68" s="1"/>
  <c r="G145" i="68" a="1"/>
  <c r="G145" i="68" s="1"/>
  <c r="G125" i="68" a="1"/>
  <c r="G125" i="68" s="1"/>
  <c r="G118" i="68" a="1"/>
  <c r="G118" i="68" s="1"/>
  <c r="G33" i="68" a="1"/>
  <c r="G33" i="68" s="1"/>
  <c r="G25" i="68" a="1"/>
  <c r="G25" i="68" s="1"/>
  <c r="G188" i="68" a="1"/>
  <c r="G188" i="68" s="1"/>
  <c r="G167" i="68" a="1"/>
  <c r="G167" i="68" s="1"/>
  <c r="G160" i="68" a="1"/>
  <c r="G160" i="68" s="1"/>
  <c r="G134" i="68" a="1"/>
  <c r="G134" i="68" s="1"/>
  <c r="G47" i="68" a="1"/>
  <c r="G47" i="68" s="1"/>
  <c r="G187" i="68" a="1"/>
  <c r="G187" i="68" s="1"/>
  <c r="G176" i="68" a="1"/>
  <c r="G176" i="68" s="1"/>
  <c r="G143" i="68" a="1"/>
  <c r="G143" i="68" s="1"/>
  <c r="G124" i="68" a="1"/>
  <c r="G124" i="68" s="1"/>
  <c r="G117" i="68" a="1"/>
  <c r="G117" i="68" s="1"/>
  <c r="G39" i="68" a="1"/>
  <c r="G39" i="68" s="1"/>
  <c r="G31" i="68" a="1"/>
  <c r="G31" i="68" s="1"/>
  <c r="I31" i="68" s="1" a="1"/>
  <c r="I31" i="68" s="1"/>
  <c r="H126" i="68" s="1"/>
  <c r="I126" i="68" s="1"/>
  <c r="K126" i="68" s="1" a="1"/>
  <c r="K126" i="68" s="1"/>
  <c r="G24" i="68" a="1"/>
  <c r="G24" i="68" s="1"/>
  <c r="G186" i="68" a="1"/>
  <c r="G186" i="68" s="1"/>
  <c r="G166" i="68" a="1"/>
  <c r="G166" i="68" s="1"/>
  <c r="G159" i="68" a="1"/>
  <c r="G159" i="68" s="1"/>
  <c r="G142" i="68" a="1"/>
  <c r="G142" i="68" s="1"/>
  <c r="G133" i="68" a="1"/>
  <c r="G133" i="68" s="1"/>
  <c r="G54" i="68" a="1"/>
  <c r="G54" i="68" s="1"/>
  <c r="G46" i="68" a="1"/>
  <c r="G46" i="68" s="1"/>
  <c r="G175" i="68" a="1"/>
  <c r="G175" i="68" s="1"/>
  <c r="G141" i="68" a="1"/>
  <c r="G141" i="68" s="1"/>
  <c r="G123" i="68" a="1"/>
  <c r="G123" i="68" s="1"/>
  <c r="G38" i="68" a="1"/>
  <c r="G38" i="68" s="1"/>
  <c r="G30" i="68" a="1"/>
  <c r="G30" i="68" s="1"/>
  <c r="G23" i="68" a="1"/>
  <c r="G23" i="68" s="1"/>
  <c r="G184" i="68" a="1"/>
  <c r="G184" i="68" s="1"/>
  <c r="G165" i="68" a="1"/>
  <c r="G165" i="68" s="1"/>
  <c r="G158" i="68" a="1"/>
  <c r="G158" i="68" s="1"/>
  <c r="G140" i="68" a="1"/>
  <c r="G140" i="68" s="1"/>
  <c r="G132" i="68" a="1"/>
  <c r="G132" i="68" s="1"/>
  <c r="G53" i="68" a="1"/>
  <c r="G53" i="68" s="1"/>
  <c r="I53" i="68" s="1" a="1"/>
  <c r="I53" i="68" s="1"/>
  <c r="H148" i="68" s="1"/>
  <c r="G45" i="68" a="1"/>
  <c r="G45" i="68" s="1"/>
  <c r="G183" i="68" a="1"/>
  <c r="G183" i="68" s="1"/>
  <c r="G174" i="68" a="1"/>
  <c r="G174" i="68" s="1"/>
  <c r="G139" i="68" a="1"/>
  <c r="G139" i="68" s="1"/>
  <c r="G131" i="68" a="1"/>
  <c r="G131" i="68" s="1"/>
  <c r="G122" i="68" a="1"/>
  <c r="G122" i="68" s="1"/>
  <c r="G37" i="68" a="1"/>
  <c r="G37" i="68" s="1"/>
  <c r="G29" i="68" a="1"/>
  <c r="G29" i="68" s="1"/>
  <c r="I29" i="68" s="1" a="1"/>
  <c r="I29" i="68" s="1"/>
  <c r="H124" i="68" s="1"/>
  <c r="I124" i="68" s="1"/>
  <c r="K124" i="68" s="1" a="1"/>
  <c r="K124" i="68" s="1"/>
  <c r="G22" i="68" a="1"/>
  <c r="G22" i="68" s="1"/>
  <c r="G182" i="68" a="1"/>
  <c r="G182" i="68" s="1"/>
  <c r="G164" i="68" a="1"/>
  <c r="G164" i="68" s="1"/>
  <c r="G130" i="68" a="1"/>
  <c r="G130" i="68" s="1"/>
  <c r="G52" i="68" a="1"/>
  <c r="G52" i="68" s="1"/>
  <c r="G44" i="68" a="1"/>
  <c r="G44" i="68" s="1"/>
  <c r="G181" i="68" a="1"/>
  <c r="G181" i="68" s="1"/>
  <c r="G173" i="68" a="1"/>
  <c r="G173" i="68" s="1"/>
  <c r="G129" i="68" a="1"/>
  <c r="G129" i="68" s="1"/>
  <c r="G121" i="68" a="1"/>
  <c r="G121" i="68" s="1"/>
  <c r="G36" i="68" a="1"/>
  <c r="G36" i="68" s="1"/>
  <c r="G28" i="68" a="1"/>
  <c r="G28" i="68" s="1"/>
  <c r="G180" i="68" a="1"/>
  <c r="G180" i="68" s="1"/>
  <c r="G172" i="68" a="1"/>
  <c r="G172" i="68" s="1"/>
  <c r="G163" i="68" a="1"/>
  <c r="G163" i="68" s="1"/>
  <c r="G137" i="68" a="1"/>
  <c r="G137" i="68" s="1"/>
  <c r="G128" i="68" a="1"/>
  <c r="G128" i="68" s="1"/>
  <c r="G51" i="68" a="1"/>
  <c r="G51" i="68" s="1"/>
  <c r="G42" i="68" a="1"/>
  <c r="G42" i="68" s="1"/>
  <c r="G171" i="68" a="1"/>
  <c r="G171" i="68" s="1"/>
  <c r="G149" i="68" a="1"/>
  <c r="G149" i="68" s="1"/>
  <c r="G120" i="68" a="1"/>
  <c r="G120" i="68" s="1"/>
  <c r="G35" i="68" a="1"/>
  <c r="G35" i="68" s="1"/>
  <c r="G27" i="68" a="1"/>
  <c r="G27" i="68" s="1"/>
  <c r="G170" i="68" a="1"/>
  <c r="G170" i="68" s="1"/>
  <c r="G162" i="68" a="1"/>
  <c r="G162" i="68" s="1"/>
  <c r="G148" i="68" a="1"/>
  <c r="G148" i="68" s="1"/>
  <c r="G136" i="68" a="1"/>
  <c r="G136" i="68" s="1"/>
  <c r="G50" i="68" a="1"/>
  <c r="G50" i="68" s="1"/>
  <c r="I50" i="68" s="1" a="1"/>
  <c r="I50" i="68" s="1"/>
  <c r="H145" i="68" s="1"/>
  <c r="G41" i="68" a="1"/>
  <c r="G41" i="68" s="1"/>
  <c r="G178" i="68" a="1"/>
  <c r="G178" i="68" s="1"/>
  <c r="G169" i="68" a="1"/>
  <c r="G169" i="68" s="1"/>
  <c r="G147" i="68" a="1"/>
  <c r="G147" i="68" s="1"/>
  <c r="G126" i="68" a="1"/>
  <c r="G126" i="68" s="1"/>
  <c r="G119" i="68" a="1"/>
  <c r="G119" i="68" s="1"/>
  <c r="G34" i="68" a="1"/>
  <c r="G34" i="68" s="1"/>
  <c r="G26" i="68" a="1"/>
  <c r="G26" i="68" s="1"/>
  <c r="G190" i="68" a="1"/>
  <c r="G190" i="68" s="1"/>
  <c r="G161" i="68" a="1"/>
  <c r="G161" i="68" s="1"/>
  <c r="G146" i="68" a="1"/>
  <c r="G146" i="68" s="1"/>
  <c r="G135" i="68" a="1"/>
  <c r="G135" i="68" s="1"/>
  <c r="G48" i="68" a="1"/>
  <c r="G48" i="68" s="1"/>
  <c r="I48" i="68" s="1" a="1"/>
  <c r="I48" i="68" s="1"/>
  <c r="H143" i="68" s="1"/>
  <c r="G40" i="68" a="1"/>
  <c r="G40" i="68" s="1"/>
  <c r="K34" i="67"/>
  <c r="J34" i="67"/>
  <c r="I34" i="67"/>
  <c r="H34" i="67"/>
  <c r="G34" i="67"/>
  <c r="N34" i="67" s="1" a="1"/>
  <c r="N34" i="67" s="1"/>
  <c r="L40" i="67" a="1"/>
  <c r="L40" i="67" s="1"/>
  <c r="Q40" i="67" s="1" a="1"/>
  <c r="Q40" i="67" s="1"/>
  <c r="E21" i="68"/>
  <c r="H21" i="68" s="1" a="1"/>
  <c r="H21" i="68" s="1"/>
  <c r="H47" i="68" a="1"/>
  <c r="H47" i="68" s="1"/>
  <c r="H39" i="68" a="1"/>
  <c r="H39" i="68" s="1"/>
  <c r="H31" i="68" a="1"/>
  <c r="H31" i="68" s="1"/>
  <c r="H24" i="68" a="1"/>
  <c r="H24" i="68" s="1"/>
  <c r="H54" i="68" a="1"/>
  <c r="H54" i="68" s="1"/>
  <c r="H46" i="68" a="1"/>
  <c r="H46" i="68" s="1"/>
  <c r="I46" i="68" s="1" a="1"/>
  <c r="I46" i="68" s="1"/>
  <c r="H141" i="68" s="1"/>
  <c r="H38" i="68" a="1"/>
  <c r="H38" i="68" s="1"/>
  <c r="H30" i="68" a="1"/>
  <c r="H30" i="68" s="1"/>
  <c r="H23" i="68" a="1"/>
  <c r="H23" i="68" s="1"/>
  <c r="H53" i="68" a="1"/>
  <c r="H53" i="68" s="1"/>
  <c r="H45" i="68" a="1"/>
  <c r="H45" i="68" s="1"/>
  <c r="I45" i="68" s="1" a="1"/>
  <c r="I45" i="68" s="1"/>
  <c r="H140" i="68" s="1"/>
  <c r="H37" i="68" a="1"/>
  <c r="H37" i="68" s="1"/>
  <c r="H29" i="68" a="1"/>
  <c r="H29" i="68" s="1"/>
  <c r="H22" i="68" a="1"/>
  <c r="H22" i="68" s="1"/>
  <c r="H52" i="68" a="1"/>
  <c r="H52" i="68" s="1"/>
  <c r="H44" i="68" a="1"/>
  <c r="H44" i="68" s="1"/>
  <c r="H36" i="68" a="1"/>
  <c r="H36" i="68" s="1"/>
  <c r="H28" i="68" a="1"/>
  <c r="H28" i="68" s="1"/>
  <c r="H51" i="68" a="1"/>
  <c r="H51" i="68" s="1"/>
  <c r="H42" i="68" a="1"/>
  <c r="H42" i="68" s="1"/>
  <c r="I42" i="68" s="1" a="1"/>
  <c r="I42" i="68" s="1"/>
  <c r="H137" i="68" s="1"/>
  <c r="I137" i="68" s="1"/>
  <c r="K137" i="68" s="1" a="1"/>
  <c r="K137" i="68" s="1"/>
  <c r="H35" i="68" a="1"/>
  <c r="H35" i="68" s="1"/>
  <c r="I35" i="68" s="1" a="1"/>
  <c r="I35" i="68" s="1"/>
  <c r="H130" i="68" s="1"/>
  <c r="H27" i="68" a="1"/>
  <c r="H27" i="68" s="1"/>
  <c r="H50" i="68" a="1"/>
  <c r="H50" i="68" s="1"/>
  <c r="H41" i="68" a="1"/>
  <c r="H41" i="68" s="1"/>
  <c r="H34" i="68" a="1"/>
  <c r="H34" i="68" s="1"/>
  <c r="I34" i="68" s="1" a="1"/>
  <c r="I34" i="68" s="1"/>
  <c r="H129" i="68" s="1"/>
  <c r="H26" i="68" a="1"/>
  <c r="H26" i="68" s="1"/>
  <c r="H48" i="68" a="1"/>
  <c r="H48" i="68" s="1"/>
  <c r="H40" i="68" a="1"/>
  <c r="H40" i="68" s="1"/>
  <c r="H33" i="68" a="1"/>
  <c r="H33" i="68" s="1"/>
  <c r="H25" i="68" a="1"/>
  <c r="H25" i="68" s="1"/>
  <c r="J8" i="48" a="1"/>
  <c r="J8" i="48" s="1"/>
  <c r="V18" i="62"/>
  <c r="X18" i="62" s="1"/>
  <c r="V14" i="62"/>
  <c r="K25" i="67"/>
  <c r="Q25" i="67" s="1" a="1"/>
  <c r="Q25" i="67" s="1"/>
  <c r="J25" i="67"/>
  <c r="I25" i="67"/>
  <c r="H25" i="67"/>
  <c r="G25" i="67"/>
  <c r="K28" i="67"/>
  <c r="J28" i="67"/>
  <c r="I28" i="67"/>
  <c r="H28" i="67"/>
  <c r="G28" i="67"/>
  <c r="E59" i="68"/>
  <c r="H59" i="68" s="1" a="1"/>
  <c r="H59" i="68" s="1"/>
  <c r="H89" i="68" a="1"/>
  <c r="H89" i="68" s="1"/>
  <c r="H80" i="68" a="1"/>
  <c r="H80" i="68" s="1"/>
  <c r="H73" i="68" a="1"/>
  <c r="H73" i="68" s="1"/>
  <c r="H65" i="68" a="1"/>
  <c r="H65" i="68" s="1"/>
  <c r="H88" i="68" a="1"/>
  <c r="H88" i="68" s="1"/>
  <c r="H79" i="68" a="1"/>
  <c r="H79" i="68" s="1"/>
  <c r="H72" i="68" a="1"/>
  <c r="H72" i="68" s="1"/>
  <c r="H64" i="68" a="1"/>
  <c r="H64" i="68" s="1"/>
  <c r="H86" i="68" a="1"/>
  <c r="H86" i="68" s="1"/>
  <c r="I86" i="68" s="1" a="1"/>
  <c r="I86" i="68" s="1"/>
  <c r="H184" i="68" s="1"/>
  <c r="H78" i="68" a="1"/>
  <c r="H78" i="68" s="1"/>
  <c r="H71" i="68" a="1"/>
  <c r="H71" i="68" s="1"/>
  <c r="H63" i="68" a="1"/>
  <c r="H63" i="68" s="1"/>
  <c r="H85" i="68" a="1"/>
  <c r="H85" i="68" s="1"/>
  <c r="H77" i="68" a="1"/>
  <c r="H77" i="68" s="1"/>
  <c r="I77" i="68" s="1" a="1"/>
  <c r="I77" i="68" s="1"/>
  <c r="H175" i="68" s="1"/>
  <c r="I175" i="68" s="1"/>
  <c r="K175" i="68" s="1" a="1"/>
  <c r="K175" i="68" s="1"/>
  <c r="H69" i="68" a="1"/>
  <c r="H69" i="68" s="1"/>
  <c r="H62" i="68" a="1"/>
  <c r="H62" i="68" s="1"/>
  <c r="H92" i="68" a="1"/>
  <c r="H92" i="68" s="1"/>
  <c r="H84" i="68" a="1"/>
  <c r="H84" i="68" s="1"/>
  <c r="H76" i="68" a="1"/>
  <c r="H76" i="68" s="1"/>
  <c r="H68" i="68" a="1"/>
  <c r="H68" i="68" s="1"/>
  <c r="H61" i="68" a="1"/>
  <c r="H61" i="68" s="1"/>
  <c r="H91" i="68" a="1"/>
  <c r="H91" i="68" s="1"/>
  <c r="H83" i="68" a="1"/>
  <c r="H83" i="68" s="1"/>
  <c r="H75" i="68" a="1"/>
  <c r="H75" i="68" s="1"/>
  <c r="H67" i="68" a="1"/>
  <c r="H67" i="68" s="1"/>
  <c r="H60" i="68" a="1"/>
  <c r="H60" i="68" s="1"/>
  <c r="H90" i="68" a="1"/>
  <c r="H90" i="68" s="1"/>
  <c r="H82" i="68" a="1"/>
  <c r="H82" i="68" s="1"/>
  <c r="H74" i="68" a="1"/>
  <c r="H74" i="68" s="1"/>
  <c r="I74" i="68" s="1" a="1"/>
  <c r="I74" i="68" s="1"/>
  <c r="H172" i="68" s="1"/>
  <c r="H66" i="68" a="1"/>
  <c r="H66" i="68" s="1"/>
  <c r="J166" i="68" a="1"/>
  <c r="J166" i="68" s="1"/>
  <c r="V17" i="62"/>
  <c r="X17" i="62" s="1"/>
  <c r="I26" i="66" a="1"/>
  <c r="I26" i="66" s="1"/>
  <c r="O26" i="66" s="1" a="1"/>
  <c r="O26" i="66" s="1"/>
  <c r="V13" i="62"/>
  <c r="X13" i="62" s="1"/>
  <c r="K31" i="67"/>
  <c r="J31" i="67"/>
  <c r="I31" i="67"/>
  <c r="H31" i="67"/>
  <c r="N31" i="67" s="1" a="1"/>
  <c r="N31" i="67" s="1"/>
  <c r="G31" i="67"/>
  <c r="J26" i="66" a="1"/>
  <c r="J26" i="66" s="1"/>
  <c r="J121" i="68" a="1"/>
  <c r="J121" i="68" s="1"/>
  <c r="V21" i="62"/>
  <c r="X21" i="62" s="1"/>
  <c r="J168" i="68" a="1"/>
  <c r="J168" i="68" s="1"/>
  <c r="J167" i="68" a="1"/>
  <c r="J167" i="68" s="1"/>
  <c r="V12" i="62"/>
  <c r="X12" i="62" s="1"/>
  <c r="J179" i="68" a="1"/>
  <c r="J179" i="68" s="1"/>
  <c r="J178" i="68" a="1"/>
  <c r="J178" i="68" s="1"/>
  <c r="J125" i="68" a="1"/>
  <c r="J125" i="68" s="1"/>
  <c r="X14" i="62"/>
  <c r="X20" i="62"/>
  <c r="Q221" i="19" a="1"/>
  <c r="Q221" i="19" s="1"/>
  <c r="V16" i="62"/>
  <c r="X16" i="62" s="1"/>
  <c r="D59" i="68"/>
  <c r="G89" i="68" a="1"/>
  <c r="G89" i="68" s="1"/>
  <c r="I89" i="68" s="1" a="1"/>
  <c r="I89" i="68" s="1"/>
  <c r="H187" i="68" s="1"/>
  <c r="G80" i="68" a="1"/>
  <c r="G80" i="68" s="1"/>
  <c r="G73" i="68" a="1"/>
  <c r="G73" i="68" s="1"/>
  <c r="I73" i="68" s="1" a="1"/>
  <c r="I73" i="68" s="1"/>
  <c r="H171" i="68" s="1"/>
  <c r="G65" i="68" a="1"/>
  <c r="G65" i="68" s="1"/>
  <c r="I65" i="68" s="1" a="1"/>
  <c r="I65" i="68" s="1"/>
  <c r="H163" i="68" s="1"/>
  <c r="I163" i="68" s="1"/>
  <c r="K163" i="68" s="1" a="1"/>
  <c r="K163" i="68" s="1"/>
  <c r="G88" i="68" a="1"/>
  <c r="G88" i="68" s="1"/>
  <c r="G79" i="68" a="1"/>
  <c r="G79" i="68" s="1"/>
  <c r="I79" i="68" s="1" a="1"/>
  <c r="I79" i="68" s="1"/>
  <c r="H177" i="68" s="1"/>
  <c r="I177" i="68" s="1"/>
  <c r="K177" i="68" s="1" a="1"/>
  <c r="K177" i="68" s="1"/>
  <c r="G72" i="68" a="1"/>
  <c r="G72" i="68" s="1"/>
  <c r="I72" i="68" s="1" a="1"/>
  <c r="I72" i="68" s="1"/>
  <c r="H170" i="68" s="1"/>
  <c r="G64" i="68" a="1"/>
  <c r="G64" i="68" s="1"/>
  <c r="I64" i="68" s="1" a="1"/>
  <c r="I64" i="68" s="1"/>
  <c r="H162" i="68" s="1"/>
  <c r="I162" i="68" s="1"/>
  <c r="K162" i="68" s="1" a="1"/>
  <c r="K162" i="68" s="1"/>
  <c r="G86" i="68" a="1"/>
  <c r="G86" i="68" s="1"/>
  <c r="G78" i="68" a="1"/>
  <c r="G78" i="68" s="1"/>
  <c r="I78" i="68" s="1" a="1"/>
  <c r="I78" i="68" s="1"/>
  <c r="H176" i="68" s="1"/>
  <c r="I176" i="68" s="1"/>
  <c r="K176" i="68" s="1" a="1"/>
  <c r="K176" i="68" s="1"/>
  <c r="G71" i="68" a="1"/>
  <c r="G71" i="68" s="1"/>
  <c r="I71" i="68" s="1" a="1"/>
  <c r="I71" i="68" s="1"/>
  <c r="H169" i="68" s="1"/>
  <c r="G63" i="68" a="1"/>
  <c r="G63" i="68" s="1"/>
  <c r="G85" i="68" a="1"/>
  <c r="G85" i="68" s="1"/>
  <c r="I85" i="68" s="1" a="1"/>
  <c r="I85" i="68" s="1"/>
  <c r="H183" i="68" s="1"/>
  <c r="G77" i="68" a="1"/>
  <c r="G77" i="68" s="1"/>
  <c r="G69" i="68" a="1"/>
  <c r="G69" i="68" s="1"/>
  <c r="G62" i="68" a="1"/>
  <c r="G62" i="68" s="1"/>
  <c r="G92" i="68" a="1"/>
  <c r="G92" i="68" s="1"/>
  <c r="I92" i="68" s="1" a="1"/>
  <c r="I92" i="68" s="1"/>
  <c r="H190" i="68" s="1"/>
  <c r="G84" i="68" a="1"/>
  <c r="G84" i="68" s="1"/>
  <c r="I84" i="68" s="1" a="1"/>
  <c r="I84" i="68" s="1"/>
  <c r="H182" i="68" s="1"/>
  <c r="G76" i="68" a="1"/>
  <c r="G76" i="68" s="1"/>
  <c r="G68" i="68" a="1"/>
  <c r="G68" i="68" s="1"/>
  <c r="I68" i="68" s="1" a="1"/>
  <c r="I68" i="68" s="1"/>
  <c r="H166" i="68" s="1"/>
  <c r="I166" i="68" s="1"/>
  <c r="K166" i="68" s="1" a="1"/>
  <c r="K166" i="68" s="1"/>
  <c r="G61" i="68" a="1"/>
  <c r="G61" i="68" s="1"/>
  <c r="G91" i="68" a="1"/>
  <c r="G91" i="68" s="1"/>
  <c r="I91" i="68" s="1" a="1"/>
  <c r="I91" i="68" s="1"/>
  <c r="H189" i="68" s="1"/>
  <c r="G83" i="68" a="1"/>
  <c r="G83" i="68" s="1"/>
  <c r="G75" i="68" a="1"/>
  <c r="G75" i="68" s="1"/>
  <c r="I75" i="68" s="1" a="1"/>
  <c r="I75" i="68" s="1"/>
  <c r="H173" i="68" s="1"/>
  <c r="I173" i="68" s="1"/>
  <c r="K173" i="68" s="1" a="1"/>
  <c r="K173" i="68" s="1"/>
  <c r="G67" i="68" a="1"/>
  <c r="G67" i="68" s="1"/>
  <c r="I67" i="68" s="1" a="1"/>
  <c r="I67" i="68" s="1"/>
  <c r="H165" i="68" s="1"/>
  <c r="I165" i="68" s="1"/>
  <c r="K165" i="68" s="1" a="1"/>
  <c r="K165" i="68" s="1"/>
  <c r="G60" i="68" a="1"/>
  <c r="G60" i="68" s="1"/>
  <c r="I60" i="68" s="1" a="1"/>
  <c r="I60" i="68" s="1"/>
  <c r="H158" i="68" s="1"/>
  <c r="I158" i="68" s="1"/>
  <c r="K158" i="68" s="1" a="1"/>
  <c r="K158" i="68" s="1"/>
  <c r="G90" i="68" a="1"/>
  <c r="G90" i="68" s="1"/>
  <c r="I90" i="68" s="1" a="1"/>
  <c r="I90" i="68" s="1"/>
  <c r="H188" i="68" s="1"/>
  <c r="G82" i="68" a="1"/>
  <c r="G82" i="68" s="1"/>
  <c r="G74" i="68" a="1"/>
  <c r="G74" i="68" s="1"/>
  <c r="G66" i="68" a="1"/>
  <c r="G66" i="68" s="1"/>
  <c r="V15" i="62"/>
  <c r="X15" i="62" s="1"/>
  <c r="J162" i="68" a="1"/>
  <c r="J162" i="68" s="1"/>
  <c r="J126" i="68" a="1"/>
  <c r="J126" i="68" s="1"/>
  <c r="J118" i="68" a="1"/>
  <c r="J118" i="68" s="1"/>
  <c r="Q27" i="67" a="1"/>
  <c r="Q27" i="67" s="1"/>
  <c r="N37" i="66" a="1"/>
  <c r="N37" i="66" s="1"/>
  <c r="P34" i="66" a="1"/>
  <c r="P34" i="66" s="1"/>
  <c r="E221" i="19" a="1"/>
  <c r="E221" i="19" s="1"/>
  <c r="I33" i="68" a="1"/>
  <c r="I33" i="68" s="1"/>
  <c r="H128" i="68" s="1"/>
  <c r="G147" i="73"/>
  <c r="L149" i="73"/>
  <c r="I147" i="73"/>
  <c r="I61" i="68" a="1"/>
  <c r="I61" i="68" s="1"/>
  <c r="H159" i="68" s="1"/>
  <c r="I159" i="68" s="1"/>
  <c r="K159" i="68" s="1" a="1"/>
  <c r="K159" i="68" s="1"/>
  <c r="I149" i="73"/>
  <c r="H146" i="73"/>
  <c r="H148" i="73"/>
  <c r="P148" i="73"/>
  <c r="P149" i="73"/>
  <c r="P147" i="73"/>
  <c r="H147" i="73"/>
  <c r="O148" i="73"/>
  <c r="Q39" i="67" a="1"/>
  <c r="Q39" i="67" s="1"/>
  <c r="I76" i="68" a="1"/>
  <c r="I76" i="68" s="1"/>
  <c r="H174" i="68" s="1"/>
  <c r="I174" i="68" s="1"/>
  <c r="K174" i="68" s="1" a="1"/>
  <c r="K174" i="68" s="1"/>
  <c r="P146" i="73"/>
  <c r="K148" i="73"/>
  <c r="J147" i="73"/>
  <c r="L148" i="73"/>
  <c r="N148" i="73"/>
  <c r="O146" i="73"/>
  <c r="M146" i="73"/>
  <c r="M147" i="73"/>
  <c r="I146" i="73"/>
  <c r="K146" i="73"/>
  <c r="O147" i="73"/>
  <c r="K149" i="73"/>
  <c r="J149" i="73"/>
  <c r="L146" i="73"/>
  <c r="M148" i="73"/>
  <c r="N147" i="73"/>
  <c r="G149" i="73"/>
  <c r="K147" i="73"/>
  <c r="L147" i="73"/>
  <c r="N146" i="73"/>
  <c r="O149" i="73"/>
  <c r="N149" i="73"/>
  <c r="H149" i="73"/>
  <c r="M149" i="73"/>
  <c r="I40" i="68" a="1"/>
  <c r="I40" i="68" s="1"/>
  <c r="H135" i="68" s="1"/>
  <c r="I135" i="68" s="1"/>
  <c r="K135" i="68" s="1" a="1"/>
  <c r="K135" i="68" s="1"/>
  <c r="I80" i="68" a="1"/>
  <c r="I80" i="68" s="1"/>
  <c r="H178" i="68" s="1"/>
  <c r="I178" i="68" s="1"/>
  <c r="K178" i="68" s="1" a="1"/>
  <c r="K178" i="68" s="1"/>
  <c r="I62" i="68" a="1"/>
  <c r="I62" i="68" s="1"/>
  <c r="H160" i="68" s="1"/>
  <c r="I160" i="68" s="1"/>
  <c r="K160" i="68" s="1" a="1"/>
  <c r="K160" i="68" s="1"/>
  <c r="I28" i="68" a="1"/>
  <c r="I28" i="68" s="1"/>
  <c r="H123" i="68" s="1"/>
  <c r="I123" i="68" s="1"/>
  <c r="K123" i="68" s="1" a="1"/>
  <c r="K123" i="68" s="1"/>
  <c r="I25" i="68" a="1"/>
  <c r="I25" i="68" s="1"/>
  <c r="H120" i="68" s="1"/>
  <c r="I120" i="68" s="1"/>
  <c r="K120" i="68" s="1" a="1"/>
  <c r="K120" i="68" s="1"/>
  <c r="I54" i="68" a="1"/>
  <c r="I54" i="68" s="1"/>
  <c r="H149" i="68" s="1"/>
  <c r="I82" i="68" a="1"/>
  <c r="I82" i="68" s="1"/>
  <c r="H180" i="68" s="1"/>
  <c r="I38" i="68" a="1"/>
  <c r="I38" i="68" s="1"/>
  <c r="H133" i="68" s="1"/>
  <c r="I133" i="68" s="1"/>
  <c r="K133" i="68" s="1" a="1"/>
  <c r="K133" i="68" s="1"/>
  <c r="I69" i="68" a="1"/>
  <c r="I69" i="68" s="1"/>
  <c r="H167" i="68" s="1"/>
  <c r="I167" i="68" s="1"/>
  <c r="K167" i="68" s="1" a="1"/>
  <c r="K167" i="68" s="1"/>
  <c r="I66" i="68" a="1"/>
  <c r="I66" i="68" s="1"/>
  <c r="H164" i="68" s="1"/>
  <c r="I164" i="68" s="1"/>
  <c r="K164" i="68" s="1" a="1"/>
  <c r="K164" i="68" s="1"/>
  <c r="I52" i="68" a="1"/>
  <c r="I52" i="68" s="1"/>
  <c r="H147" i="68" s="1"/>
  <c r="I23" i="68" a="1"/>
  <c r="I23" i="68" s="1"/>
  <c r="H118" i="68" s="1"/>
  <c r="I118" i="68" s="1"/>
  <c r="K118" i="68" s="1" a="1"/>
  <c r="K118" i="68" s="1"/>
  <c r="E41" i="65"/>
  <c r="I22" i="68" a="1"/>
  <c r="I22" i="68" s="1"/>
  <c r="H117" i="68" s="1"/>
  <c r="I117" i="68" s="1"/>
  <c r="K117" i="68" s="1" a="1"/>
  <c r="K117" i="68" s="1"/>
  <c r="I30" i="68" a="1"/>
  <c r="I30" i="68" s="1"/>
  <c r="H125" i="68" s="1"/>
  <c r="I125" i="68" s="1"/>
  <c r="K125" i="68" s="1" a="1"/>
  <c r="K125" i="68" s="1"/>
  <c r="I26" i="68" a="1"/>
  <c r="I26" i="68" s="1"/>
  <c r="H121" i="68" s="1"/>
  <c r="I121" i="68" s="1"/>
  <c r="K121" i="68" s="1" a="1"/>
  <c r="K121" i="68" s="1"/>
  <c r="I63" i="68" a="1"/>
  <c r="I63" i="68" s="1"/>
  <c r="H161" i="68" s="1"/>
  <c r="I161" i="68" s="1"/>
  <c r="K161" i="68" s="1" a="1"/>
  <c r="K161" i="68" s="1"/>
  <c r="I47" i="68" a="1"/>
  <c r="I47" i="68" s="1"/>
  <c r="H142" i="68" s="1"/>
  <c r="I44" i="68" a="1"/>
  <c r="I44" i="68" s="1"/>
  <c r="H139" i="68" s="1"/>
  <c r="I39" i="68" a="1"/>
  <c r="I39" i="68" s="1"/>
  <c r="H134" i="68" s="1"/>
  <c r="I134" i="68" s="1"/>
  <c r="K134" i="68" s="1" a="1"/>
  <c r="K134" i="68" s="1"/>
  <c r="I36" i="68" a="1"/>
  <c r="I36" i="68" s="1"/>
  <c r="H131" i="68" s="1"/>
  <c r="I27" i="68" a="1"/>
  <c r="I27" i="68" s="1"/>
  <c r="H122" i="68" s="1"/>
  <c r="I122" i="68" s="1"/>
  <c r="K122" i="68" s="1" a="1"/>
  <c r="K122" i="68" s="1"/>
  <c r="I37" i="68" a="1"/>
  <c r="I37" i="68" s="1"/>
  <c r="H132" i="68" s="1"/>
  <c r="I132" i="68" s="1"/>
  <c r="K132" i="68" s="1" a="1"/>
  <c r="K132" i="68" s="1"/>
  <c r="I24" i="68" a="1"/>
  <c r="I24" i="68" s="1"/>
  <c r="H119" i="68" s="1"/>
  <c r="I119" i="68" s="1"/>
  <c r="K119" i="68" s="1" a="1"/>
  <c r="K119" i="68" s="1"/>
  <c r="I41" i="68" a="1"/>
  <c r="I41" i="68" s="1"/>
  <c r="H136" i="68" s="1"/>
  <c r="P30" i="67" a="1"/>
  <c r="P30" i="67" s="1"/>
  <c r="O30" i="67" a="1"/>
  <c r="O30" i="67" s="1"/>
  <c r="N30" i="67" a="1"/>
  <c r="N30" i="67" s="1"/>
  <c r="Q30" i="67" a="1"/>
  <c r="Q30" i="67" s="1"/>
  <c r="P37" i="67" a="1"/>
  <c r="P37" i="67" s="1"/>
  <c r="O37" i="67" a="1"/>
  <c r="O37" i="67" s="1"/>
  <c r="N37" i="67" a="1"/>
  <c r="N37" i="67" s="1"/>
  <c r="Q37" i="67" a="1"/>
  <c r="Q37" i="67" s="1"/>
  <c r="P26" i="67" a="1"/>
  <c r="P26" i="67" s="1"/>
  <c r="O26" i="67" a="1"/>
  <c r="O26" i="67" s="1"/>
  <c r="N26" i="67" a="1"/>
  <c r="N26" i="67" s="1"/>
  <c r="P32" i="67" a="1"/>
  <c r="P32" i="67" s="1"/>
  <c r="O32" i="67" a="1"/>
  <c r="O32" i="67" s="1"/>
  <c r="N32" i="67" a="1"/>
  <c r="N32" i="67" s="1"/>
  <c r="P31" i="67" a="1"/>
  <c r="P31" i="67" s="1"/>
  <c r="O31" i="67" a="1"/>
  <c r="O31" i="67" s="1"/>
  <c r="Q31" i="67" a="1"/>
  <c r="Q31" i="67" s="1"/>
  <c r="Q32" i="67" a="1"/>
  <c r="Q32" i="67" s="1"/>
  <c r="P25" i="67" a="1"/>
  <c r="P25" i="67" s="1"/>
  <c r="O25" i="67" a="1"/>
  <c r="O25" i="67" s="1"/>
  <c r="N25" i="67" a="1"/>
  <c r="N25" i="67" s="1"/>
  <c r="P40" i="67" a="1"/>
  <c r="P40" i="67" s="1"/>
  <c r="O40" i="67" a="1"/>
  <c r="O40" i="67" s="1"/>
  <c r="N40" i="67" a="1"/>
  <c r="N40" i="67" s="1"/>
  <c r="Q26" i="67" a="1"/>
  <c r="Q26" i="67" s="1"/>
  <c r="O36" i="67" a="1"/>
  <c r="O36" i="67" s="1"/>
  <c r="N36" i="67" a="1"/>
  <c r="N36" i="67" s="1"/>
  <c r="Q36" i="67" a="1"/>
  <c r="Q36" i="67" s="1"/>
  <c r="P36" i="67" a="1"/>
  <c r="P36" i="67" s="1"/>
  <c r="P34" i="67" a="1"/>
  <c r="P34" i="67" s="1"/>
  <c r="O34" i="67" a="1"/>
  <c r="O34" i="67" s="1"/>
  <c r="P35" i="67" a="1"/>
  <c r="P35" i="67" s="1"/>
  <c r="O35" i="67" a="1"/>
  <c r="O35" i="67" s="1"/>
  <c r="N35" i="67" a="1"/>
  <c r="N35" i="67" s="1"/>
  <c r="Q35" i="67" a="1"/>
  <c r="Q35" i="67" s="1"/>
  <c r="P33" i="67" a="1"/>
  <c r="P33" i="67" s="1"/>
  <c r="O33" i="67" a="1"/>
  <c r="O33" i="67" s="1"/>
  <c r="N33" i="67" a="1"/>
  <c r="N33" i="67" s="1"/>
  <c r="P39" i="67" a="1"/>
  <c r="P39" i="67" s="1"/>
  <c r="O39" i="67" a="1"/>
  <c r="O39" i="67" s="1"/>
  <c r="N39" i="67" a="1"/>
  <c r="N39" i="67" s="1"/>
  <c r="O29" i="67" a="1"/>
  <c r="O29" i="67" s="1"/>
  <c r="N29" i="67" a="1"/>
  <c r="N29" i="67" s="1"/>
  <c r="Q29" i="67" a="1"/>
  <c r="Q29" i="67" s="1"/>
  <c r="P29" i="67" a="1"/>
  <c r="P29" i="67" s="1"/>
  <c r="P38" i="67" a="1"/>
  <c r="P38" i="67" s="1"/>
  <c r="O38" i="67" a="1"/>
  <c r="O38" i="67" s="1"/>
  <c r="N38" i="67" a="1"/>
  <c r="N38" i="67" s="1"/>
  <c r="Q38" i="67" a="1"/>
  <c r="Q38" i="67" s="1"/>
  <c r="N27" i="67" a="1"/>
  <c r="N27" i="67" s="1"/>
  <c r="P27" i="67" a="1"/>
  <c r="P27" i="67" s="1"/>
  <c r="O27" i="67" a="1"/>
  <c r="O27" i="67" s="1"/>
  <c r="Q28" i="67" a="1"/>
  <c r="Q28" i="67" s="1"/>
  <c r="P28" i="67" a="1"/>
  <c r="P28" i="67" s="1"/>
  <c r="O28" i="67" a="1"/>
  <c r="O28" i="67" s="1"/>
  <c r="N28" i="67" a="1"/>
  <c r="N28" i="67" s="1"/>
  <c r="N27" i="66" a="1"/>
  <c r="N27" i="66" s="1"/>
  <c r="Q27" i="66" a="1"/>
  <c r="Q27" i="66" s="1"/>
  <c r="P27" i="66" a="1"/>
  <c r="P27" i="66" s="1"/>
  <c r="O27" i="66" a="1"/>
  <c r="O27" i="66" s="1"/>
  <c r="P31" i="66" a="1"/>
  <c r="P31" i="66" s="1"/>
  <c r="O31" i="66" a="1"/>
  <c r="O31" i="66" s="1"/>
  <c r="N31" i="66" a="1"/>
  <c r="N31" i="66" s="1"/>
  <c r="Q31" i="66" a="1"/>
  <c r="Q31" i="66" s="1"/>
  <c r="P30" i="66" a="1"/>
  <c r="P30" i="66" s="1"/>
  <c r="O30" i="66" a="1"/>
  <c r="O30" i="66" s="1"/>
  <c r="N30" i="66" a="1"/>
  <c r="N30" i="66" s="1"/>
  <c r="Q30" i="66" a="1"/>
  <c r="Q30" i="66" s="1"/>
  <c r="P28" i="66" a="1"/>
  <c r="P28" i="66" s="1"/>
  <c r="O28" i="66" a="1"/>
  <c r="O28" i="66" s="1"/>
  <c r="N28" i="66" a="1"/>
  <c r="N28" i="66" s="1"/>
  <c r="Q28" i="66" a="1"/>
  <c r="Q28" i="66" s="1"/>
  <c r="O32" i="66" a="1"/>
  <c r="O32" i="66" s="1"/>
  <c r="N32" i="66" a="1"/>
  <c r="N32" i="66" s="1"/>
  <c r="P32" i="66" a="1"/>
  <c r="P32" i="66" s="1"/>
  <c r="N25" i="66" a="1"/>
  <c r="N25" i="66" s="1"/>
  <c r="P29" i="66" a="1"/>
  <c r="P29" i="66" s="1"/>
  <c r="O29" i="66" a="1"/>
  <c r="O29" i="66" s="1"/>
  <c r="N29" i="66" a="1"/>
  <c r="N29" i="66" s="1"/>
  <c r="Q29" i="66" a="1"/>
  <c r="Q29" i="66" s="1"/>
  <c r="O25" i="66" a="1"/>
  <c r="O25" i="66" s="1"/>
  <c r="N39" i="66" a="1"/>
  <c r="N39" i="66" s="1"/>
  <c r="P25" i="66" a="1"/>
  <c r="P25" i="66" s="1"/>
  <c r="Q35" i="66" a="1"/>
  <c r="Q35" i="66" s="1"/>
  <c r="P35" i="66" a="1"/>
  <c r="P35" i="66" s="1"/>
  <c r="O35" i="66" a="1"/>
  <c r="O35" i="66" s="1"/>
  <c r="N35" i="66" a="1"/>
  <c r="N35" i="66" s="1"/>
  <c r="O39" i="66" a="1"/>
  <c r="O39" i="66" s="1"/>
  <c r="E62" i="66" s="1"/>
  <c r="Q32" i="66" a="1"/>
  <c r="Q32" i="66" s="1"/>
  <c r="P39" i="66" a="1"/>
  <c r="P39" i="66" s="1"/>
  <c r="P37" i="66" a="1"/>
  <c r="P37" i="66" s="1"/>
  <c r="Q26" i="66" a="1"/>
  <c r="Q26" i="66" s="1"/>
  <c r="P26" i="66" a="1"/>
  <c r="P26" i="66" s="1"/>
  <c r="N26" i="66" a="1"/>
  <c r="N26" i="66" s="1"/>
  <c r="Q37" i="66" a="1"/>
  <c r="Q37" i="66" s="1"/>
  <c r="E64" i="66" s="1"/>
  <c r="N36" i="66" a="1"/>
  <c r="N36" i="66" s="1"/>
  <c r="Q36" i="66" a="1"/>
  <c r="Q36" i="66" s="1"/>
  <c r="P36" i="66" a="1"/>
  <c r="P36" i="66" s="1"/>
  <c r="O36" i="66" a="1"/>
  <c r="O36" i="66" s="1"/>
  <c r="Q33" i="66" a="1"/>
  <c r="Q33" i="66" s="1"/>
  <c r="E52" i="66" s="1"/>
  <c r="N33" i="66" a="1"/>
  <c r="N33" i="66" s="1"/>
  <c r="E49" i="66" s="1"/>
  <c r="O33" i="66" a="1"/>
  <c r="O33" i="66" s="1"/>
  <c r="E50" i="66" s="1"/>
  <c r="N34" i="66" a="1"/>
  <c r="N34" i="66" s="1"/>
  <c r="O34" i="66" a="1"/>
  <c r="O34" i="66" s="1"/>
  <c r="E50" i="65"/>
  <c r="J15" i="34"/>
  <c r="I50" i="34"/>
  <c r="O61" i="34"/>
  <c r="O26" i="34"/>
  <c r="G116" i="68" l="1" a="1"/>
  <c r="G116" i="68" s="1"/>
  <c r="I116" i="68" s="1"/>
  <c r="K116" i="68" s="1" a="1"/>
  <c r="K116" i="68" s="1"/>
  <c r="G157" i="68" a="1"/>
  <c r="G157" i="68" s="1"/>
  <c r="G21" i="68" a="1"/>
  <c r="G21" i="68" s="1"/>
  <c r="I21" i="68" s="1" a="1"/>
  <c r="I21" i="68" s="1"/>
  <c r="H116" i="68" s="1"/>
  <c r="G59" i="68" a="1"/>
  <c r="G59" i="68" s="1"/>
  <c r="I59" i="68" s="1" a="1"/>
  <c r="I59" i="68" s="1"/>
  <c r="H157" i="68" s="1"/>
  <c r="I51" i="68" a="1"/>
  <c r="I51" i="68" s="1"/>
  <c r="H146" i="68" s="1"/>
  <c r="I144" i="68" s="1"/>
  <c r="K144" i="68" s="1" a="1"/>
  <c r="K144" i="68" s="1"/>
  <c r="I83" i="68" a="1"/>
  <c r="I83" i="68" s="1"/>
  <c r="H181" i="68" s="1"/>
  <c r="I179" i="68" s="1"/>
  <c r="K179" i="68" s="1" a="1"/>
  <c r="K179" i="68" s="1"/>
  <c r="Q34" i="67" a="1"/>
  <c r="Q34" i="67" s="1"/>
  <c r="E52" i="67" s="1"/>
  <c r="I136" i="68"/>
  <c r="K136" i="68" s="1" a="1"/>
  <c r="K136" i="68" s="1"/>
  <c r="I88" i="68" a="1"/>
  <c r="I88" i="68" s="1"/>
  <c r="H186" i="68" s="1"/>
  <c r="I185" i="68" s="1"/>
  <c r="K185" i="68" s="1" a="1"/>
  <c r="K185" i="68" s="1"/>
  <c r="E61" i="66"/>
  <c r="I168" i="68"/>
  <c r="K168" i="68" s="1" a="1"/>
  <c r="K168" i="68" s="1"/>
  <c r="I138" i="68"/>
  <c r="K138" i="68" s="1" a="1"/>
  <c r="K138" i="68" s="1"/>
  <c r="I127" i="68"/>
  <c r="K127" i="68" s="1" a="1"/>
  <c r="K127" i="68" s="1"/>
  <c r="E63" i="66"/>
  <c r="E44" i="67"/>
  <c r="E49" i="67"/>
  <c r="E50" i="67"/>
  <c r="E46" i="67"/>
  <c r="E46" i="66"/>
  <c r="E51" i="67"/>
  <c r="E43" i="67"/>
  <c r="E45" i="67"/>
  <c r="E57" i="66"/>
  <c r="E58" i="66"/>
  <c r="E45" i="66"/>
  <c r="E56" i="66"/>
  <c r="E55" i="66"/>
  <c r="E44" i="66"/>
  <c r="E43" i="66"/>
  <c r="I157" i="68" l="1"/>
  <c r="K157" i="68" s="1" a="1"/>
  <c r="K157" i="68" s="1"/>
  <c r="E192" i="68" s="1"/>
  <c r="E56" i="67"/>
  <c r="E151" i="68"/>
  <c r="E69" i="66"/>
  <c r="E55" i="67"/>
  <c r="E57" i="67"/>
  <c r="E70" i="66"/>
  <c r="E58" i="67"/>
  <c r="E67" i="66"/>
  <c r="E68" i="66"/>
  <c r="I72" i="34"/>
  <c r="I71" i="34"/>
  <c r="I70" i="34"/>
  <c r="I68" i="34" s="1"/>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49" i="34" l="1"/>
  <c r="D36" i="41"/>
  <c r="D35" i="41"/>
  <c r="D28" i="41"/>
  <c r="D27" i="41"/>
  <c r="D26" i="41"/>
  <c r="D25" i="41"/>
  <c r="D24" i="41"/>
  <c r="D14" i="41"/>
  <c r="D13" i="41"/>
  <c r="D12" i="41"/>
  <c r="D11" i="41"/>
  <c r="I53" i="34" l="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33" i="41" l="1"/>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355" i="19" a="1"/>
  <c r="E258" i="19" a="1"/>
  <c r="E188" i="19" a="1"/>
  <c r="E418" i="19" a="1"/>
  <c r="E323" i="19" a="1"/>
  <c r="E385" i="19" a="1"/>
  <c r="E203" i="19" a="1"/>
  <c r="E174" i="19" a="1"/>
  <c r="E290" i="19" a="1"/>
  <c r="E100"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67" i="19" l="1"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7" i="55" l="1" a="1"/>
  <c r="D7" i="55" s="1"/>
  <c r="D162" i="19" s="1"/>
  <c r="F162" i="19" s="1" a="1"/>
  <c r="F162" i="19" s="1"/>
  <c r="G162" i="19" s="1" a="1"/>
  <c r="G162" i="19" s="1"/>
  <c r="D12" i="55" a="1"/>
  <c r="D12" i="55" s="1"/>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D5" i="57" l="1"/>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J87" i="34"/>
  <c r="I33" i="34"/>
  <c r="E555" i="19" l="1" a="1"/>
  <c r="E555" i="19" s="1"/>
  <c r="E31" i="41" s="1"/>
  <c r="F31" i="41" s="1"/>
  <c r="I69" i="34"/>
  <c r="O74" i="34" s="1" a="1"/>
  <c r="O74" i="34" s="1"/>
  <c r="T86" i="34" s="1"/>
  <c r="O90" i="34" s="1" a="1"/>
  <c r="O90" i="34" s="1"/>
  <c r="R571" i="19" s="1"/>
  <c r="E35" i="34" a="1"/>
  <c r="E35" i="34" s="1"/>
  <c r="I48" i="34" s="1"/>
  <c r="O35" i="34" a="1"/>
  <c r="O35" i="34" s="1"/>
  <c r="S48" i="34" s="1"/>
  <c r="O55" i="34" s="1" a="1"/>
  <c r="O55" i="34" s="1"/>
  <c r="R570"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M573" i="19" l="1" a="1"/>
  <c r="M573" i="19" s="1"/>
  <c r="O575" i="19" s="1"/>
  <c r="M578" i="19" s="1" a="1"/>
  <c r="M578" i="19" s="1"/>
  <c r="F32" i="41"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<sst xmlns="http://schemas.openxmlformats.org/spreadsheetml/2006/main" count="2697" uniqueCount="975">
  <si>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</si>
  <si>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</si>
  <si>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</si>
  <si>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</si>
  <si>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</si>
  <si>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</si>
  <si>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</si>
  <si>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</si>
  <si>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</si>
  <si>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</si>
  <si>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</si>
  <si>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</si>
  <si>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</si>
  <si>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</si>
  <si>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</si>
  <si>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</si>
  <si>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</si>
  <si>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</si>
  <si>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</si>
  <si>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</si>
  <si>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</si>
  <si>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</si>
  <si>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</si>
  <si>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</si>
  <si>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</si>
  <si>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</si>
  <si>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</si>
  <si>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</si>
  <si>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</si>
  <si>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</si>
  <si>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</si>
  <si>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</si>
  <si>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</si>
  <si>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</si>
  <si>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</si>
  <si>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</si>
  <si>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</si>
  <si>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</si>
  <si>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</si>
  <si>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</si>
  <si>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</si>
  <si>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</si>
  <si>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</si>
  <si>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</si>
  <si>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</si>
  <si>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</si>
  <si>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</si>
  <si>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</si>
  <si>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</si>
  <si>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</si>
  <si>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</si>
  <si>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</si>
  <si>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</si>
  <si>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</si>
  <si>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</si>
  <si>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</si>
  <si>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</si>
  <si>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</si>
  <si>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</si>
  <si>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</si>
  <si>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</si>
  <si>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</si>
  <si>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</si>
  <si>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</si>
  <si>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</si>
  <si>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</si>
  <si>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</si>
  <si>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</si>
  <si>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</si>
  <si>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</si>
  <si>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</si>
  <si>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</si>
  <si>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</si>
  <si>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</si>
  <si>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</si>
  <si>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</si>
  <si>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</si>
  <si>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</si>
  <si>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</si>
  <si>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</si>
  <si>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</si>
  <si>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</si>
  <si>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</si>
  <si>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</si>
  <si>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</si>
  <si>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</si>
  <si>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</si>
  <si>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</si>
  <si>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</si>
  <si>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</si>
  <si>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</si>
  <si>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</si>
  <si>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</si>
  <si>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</si>
  <si>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</si>
  <si>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</si>
  <si>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</si>
  <si>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</si>
  <si>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</si>
  <si>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</si>
  <si>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</si>
  <si>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</si>
  <si>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</si>
  <si>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</si>
  <si>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</si>
  <si>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</si>
  <si>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</si>
  <si>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</si>
  <si>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</si>
  <si>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</si>
  <si>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</si>
  <si>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</si>
  <si>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</si>
  <si>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</si>
  <si>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</si>
  <si>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</si>
  <si>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</si>
  <si>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</si>
  <si>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</si>
  <si>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</si>
  <si>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</si>
  <si>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</si>
  <si>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</si>
  <si>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</si>
  <si>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</si>
  <si>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</si>
  <si>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</si>
  <si>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</si>
  <si>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</si>
  <si>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</si>
  <si>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</si>
  <si>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</si>
  <si>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</si>
  <si>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</si>
  <si>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</si>
  <si>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</si>
  <si>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</si>
  <si>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</si>
  <si>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</si>
  <si>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</si>
  <si>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</si>
  <si>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</si>
  <si>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</si>
  <si>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</si>
  <si>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</si>
  <si>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</si>
  <si>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</si>
  <si>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</si>
  <si>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</si>
  <si>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</si>
  <si>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</si>
  <si>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</si>
  <si>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</si>
  <si>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</si>
  <si>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</si>
  <si>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</si>
  <si>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</si>
  <si>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</si>
  <si>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</si>
  <si>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</si>
  <si>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</si>
  <si>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</si>
  <si>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</si>
  <si>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</si>
  <si>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</si>
  <si>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</si>
  <si>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</si>
  <si>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</si>
  <si>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</si>
  <si>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</si>
  <si>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</si>
  <si>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</si>
  <si>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</si>
  <si>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</si>
  <si>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</si>
  <si>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</si>
  <si>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</si>
  <si>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</si>
  <si>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</si>
  <si>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</si>
  <si>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</si>
  <si>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</si>
  <si>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</si>
  <si>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</si>
  <si>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</si>
  <si>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</si>
  <si>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</si>
  <si>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</si>
  <si>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</si>
  <si>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</si>
  <si>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</si>
  <si>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</si>
  <si>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</si>
  <si>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</si>
  <si>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</si>
  <si>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</si>
  <si>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</si>
  <si>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</si>
  <si>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</si>
  <si>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</si>
  <si>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</si>
  <si>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</si>
  <si>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</si>
  <si>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</si>
  <si>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</si>
  <si>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</si>
  <si>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</si>
  <si>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</si>
  <si>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</si>
  <si>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</si>
  <si>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</si>
  <si>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</si>
  <si>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</si>
  <si>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</si>
  <si>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</si>
  <si>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</si>
  <si>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</si>
  <si>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</si>
  <si>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</si>
  <si>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</si>
  <si>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</si>
  <si>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</si>
  <si>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</si>
  <si>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</si>
  <si>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</si>
  <si>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</si>
  <si>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</si>
  <si>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</si>
  <si>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</si>
  <si>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</si>
  <si>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</si>
  <si>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</si>
  <si>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</si>
  <si>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</si>
  <si>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</si>
  <si>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</si>
  <si>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</si>
  <si>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</si>
  <si>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</si>
  <si>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</si>
  <si>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</si>
  <si>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</si>
  <si>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</si>
  <si>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</si>
  <si>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</si>
  <si>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</si>
  <si>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</si>
  <si>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</si>
  <si>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</si>
  <si>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</si>
  <si>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</si>
  <si>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</si>
  <si>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</si>
  <si>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</si>
  <si>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</si>
  <si>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</si>
  <si>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</si>
  <si>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</si>
  <si>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</si>
  <si>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</si>
  <si>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</si>
  <si>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</si>
  <si>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</si>
  <si>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</si>
  <si>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</si>
  <si>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</si>
  <si>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</si>
  <si>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</si>
  <si>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</si>
  <si>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</si>
  <si>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</si>
  <si>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</si>
  <si>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</si>
  <si>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</si>
  <si>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</si>
  <si>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</si>
  <si>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</si>
  <si>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</si>
  <si>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</si>
  <si>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</si>
  <si>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</si>
  <si>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</si>
  <si>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</si>
  <si>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</si>
  <si>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</si>
  <si>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</si>
  <si>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</si>
  <si>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</si>
  <si>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</si>
  <si>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</si>
  <si>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</si>
  <si>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</si>
  <si>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</si>
  <si>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</si>
  <si>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</si>
  <si>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</si>
  <si>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</si>
  <si>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</si>
  <si>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</si>
  <si>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</si>
  <si>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</si>
  <si>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</si>
  <si>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</si>
  <si>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</si>
  <si>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</si>
  <si>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</si>
  <si>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</si>
  <si>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</si>
  <si>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</si>
  <si>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</si>
  <si>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</si>
  <si>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</si>
  <si>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</si>
  <si>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</si>
  <si>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</si>
  <si>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</si>
  <si>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</si>
  <si>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</si>
  <si>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</si>
  <si>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</si>
  <si>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</si>
  <si>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</si>
  <si>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</si>
  <si>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</si>
  <si>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</si>
  <si>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</si>
  <si>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</si>
  <si>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</si>
  <si>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</si>
  <si>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</si>
  <si>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</si>
  <si>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</si>
  <si>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</si>
  <si>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</si>
  <si>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</si>
  <si>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</si>
  <si>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</si>
  <si>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</si>
  <si>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</si>
  <si>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</si>
  <si>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</si>
  <si>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</si>
  <si>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</si>
  <si>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</si>
  <si>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</si>
  <si>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</si>
  <si>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</si>
  <si>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</si>
  <si>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</si>
  <si>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</si>
  <si>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</si>
  <si>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</si>
  <si>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</si>
  <si>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</si>
  <si>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</si>
  <si>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</si>
  <si>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</si>
  <si>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</si>
  <si>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</si>
  <si>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</si>
  <si>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</si>
  <si>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</si>
  <si>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</si>
  <si>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</si>
  <si>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</si>
  <si>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</si>
  <si>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</si>
  <si>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</si>
  <si>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</si>
  <si>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</si>
  <si>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</si>
  <si>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</si>
  <si>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</si>
  <si>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</si>
  <si>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</si>
  <si>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</si>
  <si>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</si>
  <si>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</si>
  <si>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</si>
  <si>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</si>
  <si>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</si>
  <si>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</si>
  <si>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</si>
  <si>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</si>
  <si>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</si>
  <si>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</si>
  <si>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</si>
  <si>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</si>
  <si>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</si>
  <si>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</si>
  <si>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</si>
  <si>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</si>
  <si>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</si>
  <si>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</si>
  <si>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</si>
  <si>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</si>
  <si>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</si>
  <si>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</si>
  <si>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</si>
  <si>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</si>
  <si>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</si>
  <si>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</si>
  <si>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</si>
  <si>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</si>
  <si>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</si>
  <si>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</si>
  <si>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</si>
  <si>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</si>
  <si>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</si>
  <si>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</si>
  <si>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</si>
  <si>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</si>
  <si>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</si>
  <si>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</si>
  <si>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</si>
  <si>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</si>
  <si>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</si>
  <si>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</si>
  <si>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</si>
  <si>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</si>
  <si>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</si>
  <si>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</si>
  <si>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</si>
  <si>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</si>
  <si>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</si>
  <si>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</si>
  <si>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</si>
  <si>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</si>
  <si>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</si>
  <si>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</si>
  <si>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</si>
  <si>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</si>
  <si>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</si>
  <si>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</si>
  <si>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</si>
  <si>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</si>
  <si>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</si>
  <si>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</si>
  <si>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</si>
  <si>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</si>
  <si>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</si>
  <si>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</si>
  <si>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</si>
  <si>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</si>
  <si>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</si>
  <si>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</si>
  <si>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</si>
  <si>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</si>
  <si>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</si>
  <si>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</si>
  <si>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</si>
  <si>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</si>
  <si>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</si>
  <si>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</si>
  <si>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</si>
  <si>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</si>
  <si>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</si>
  <si>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</si>
  <si>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</si>
  <si>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</si>
  <si>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</si>
  <si>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</si>
  <si>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</si>
  <si>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</si>
  <si>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</si>
  <si>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</si>
  <si>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</si>
  <si>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</si>
  <si>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</si>
  <si>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</si>
  <si>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</si>
  <si>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</si>
  <si>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</si>
  <si>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</si>
  <si>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</si>
  <si>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</si>
  <si>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</si>
  <si>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</si>
  <si>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</si>
  <si>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</si>
  <si>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</si>
  <si>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</si>
  <si>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</si>
  <si>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</si>
  <si>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</si>
  <si>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</si>
  <si>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</si>
  <si>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</si>
  <si>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</si>
  <si>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</si>
  <si>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</si>
  <si>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</si>
  <si>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</si>
  <si>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</si>
  <si>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</si>
  <si>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</si>
  <si>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</si>
  <si>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</si>
  <si>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</si>
  <si>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</si>
  <si>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</si>
  <si>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</si>
  <si>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</si>
  <si>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</si>
  <si>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</si>
  <si>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</si>
  <si>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</si>
  <si>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</si>
  <si>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</si>
  <si>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</si>
  <si>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</si>
  <si>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</si>
  <si>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</si>
  <si>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</si>
  <si>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</si>
  <si>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</si>
  <si>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</si>
  <si>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</si>
  <si>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</si>
  <si>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</si>
  <si>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</si>
  <si>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</si>
  <si>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</si>
  <si>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</si>
  <si>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</si>
  <si>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</si>
  <si>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</si>
  <si>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</si>
  <si>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</si>
  <si>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</si>
  <si>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</si>
  <si>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</si>
  <si>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</si>
  <si>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</si>
  <si>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</si>
  <si>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</si>
  <si>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</si>
  <si>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</si>
  <si>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</si>
  <si>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</si>
  <si>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</si>
  <si>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</si>
  <si>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</si>
  <si>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</si>
  <si>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</si>
  <si>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</si>
  <si>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</si>
  <si>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</si>
  <si>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</si>
  <si>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</si>
  <si>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</si>
  <si>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</si>
  <si>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</si>
  <si>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</si>
  <si>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</si>
  <si>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</si>
  <si>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</si>
  <si>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</si>
  <si>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</si>
  <si>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</si>
  <si>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</si>
  <si>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</si>
  <si>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</si>
  <si>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</si>
  <si>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</si>
  <si>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</si>
  <si>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</si>
  <si>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</si>
  <si>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</si>
  <si>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</si>
  <si>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</si>
  <si>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</si>
  <si>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</si>
  <si>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</si>
  <si>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</si>
  <si>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</si>
  <si>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</si>
  <si>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</si>
  <si>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</si>
  <si>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</si>
  <si>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</si>
  <si>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</si>
  <si>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</si>
  <si>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</si>
  <si>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</si>
  <si>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</si>
  <si>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</si>
  <si>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</si>
  <si>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</si>
  <si>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</si>
  <si>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</si>
  <si>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</si>
  <si>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</si>
  <si>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</si>
  <si>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</si>
  <si>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</si>
  <si>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</si>
  <si>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</si>
  <si>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</si>
  <si>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</si>
  <si>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</si>
  <si>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</si>
  <si>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</si>
  <si>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</si>
  <si>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</si>
  <si>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</si>
  <si>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</si>
  <si>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</si>
  <si>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</si>
  <si>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</si>
  <si>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</si>
  <si>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</si>
  <si>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</si>
  <si>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</si>
  <si>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</si>
  <si>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</si>
  <si>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</si>
  <si>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</si>
  <si>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</si>
  <si>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</si>
  <si>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</si>
  <si>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</si>
  <si>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</si>
  <si>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</si>
  <si>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</si>
  <si>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</si>
  <si>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</si>
  <si>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</si>
  <si>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</si>
  <si>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</si>
  <si>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</si>
  <si>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</si>
  <si>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</si>
  <si>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</si>
  <si>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</si>
  <si>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</si>
  <si>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</si>
  <si>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</si>
  <si>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</si>
  <si>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</si>
  <si>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</si>
  <si>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</si>
  <si>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</si>
  <si>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</si>
  <si>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</si>
  <si>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</si>
  <si>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</si>
  <si>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</si>
  <si>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</si>
  <si>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</si>
  <si>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</si>
  <si>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</si>
  <si>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</si>
  <si>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</si>
  <si>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</si>
  <si>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</si>
  <si>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</si>
  <si>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</si>
  <si>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</si>
  <si>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</si>
  <si>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</si>
  <si>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</si>
  <si>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</si>
  <si>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</si>
  <si>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</si>
  <si>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</si>
  <si>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</si>
  <si>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</si>
  <si>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</si>
  <si>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</si>
  <si>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</si>
  <si>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</si>
  <si>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</si>
  <si>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</si>
  <si>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</si>
  <si>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</si>
  <si>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</si>
  <si>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</si>
  <si>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</si>
  <si>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</si>
  <si>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</si>
  <si>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</si>
  <si>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</si>
  <si>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</si>
  <si>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</si>
  <si>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</si>
  <si>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</si>
  <si>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</si>
  <si>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</si>
  <si>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</si>
  <si>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</si>
  <si>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</si>
  <si>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</si>
  <si>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</si>
  <si>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</si>
  <si>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</si>
  <si>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</si>
  <si>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</si>
  <si>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</si>
  <si>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</si>
  <si>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</si>
  <si>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</si>
  <si>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</si>
  <si>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</si>
  <si>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</si>
  <si>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</si>
  <si>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</si>
  <si>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</si>
  <si>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</si>
  <si>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</si>
  <si>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</si>
  <si>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</si>
  <si>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</si>
  <si>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</si>
  <si>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</si>
  <si>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</si>
  <si>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</si>
  <si>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</si>
  <si>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</si>
  <si>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</si>
  <si>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</si>
  <si>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</si>
  <si>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</si>
  <si>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</si>
  <si>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</si>
  <si>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</si>
  <si>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</si>
  <si>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</si>
  <si>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</si>
  <si>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</si>
  <si>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</si>
  <si>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</si>
  <si>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</si>
  <si>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</si>
  <si>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</si>
  <si>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</si>
  <si>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</si>
  <si>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</si>
  <si>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</si>
  <si>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</si>
  <si>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</si>
  <si>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</si>
  <si>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</si>
  <si>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</si>
  <si>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</si>
  <si>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</si>
  <si>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</si>
  <si>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</si>
  <si>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</si>
  <si>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</si>
  <si>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</si>
  <si>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</si>
  <si>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</si>
  <si>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</si>
  <si>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</si>
  <si>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</si>
  <si>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</si>
  <si>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</si>
  <si>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</si>
  <si>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</si>
  <si>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</si>
  <si>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</si>
  <si>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</si>
  <si>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</si>
  <si>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</si>
  <si>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</si>
  <si>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</si>
  <si>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</si>
  <si>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</si>
  <si>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</si>
  <si>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</si>
  <si>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</si>
  <si>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</si>
  <si>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</si>
  <si>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</si>
  <si>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</si>
  <si>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</si>
  <si>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</si>
  <si>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</si>
  <si>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</si>
  <si>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</si>
  <si>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</si>
  <si>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</si>
  <si>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</si>
  <si>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</si>
  <si>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</si>
  <si>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</si>
  <si>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</si>
  <si>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</si>
  <si>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</si>
  <si>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</si>
  <si>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</si>
  <si>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</si>
  <si>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</si>
  <si>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</si>
  <si>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</si>
  <si>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</si>
  <si>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</si>
  <si>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</si>
  <si>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</si>
  <si>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</si>
  <si>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</si>
  <si>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</si>
  <si>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</si>
  <si>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</si>
  <si>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</si>
  <si>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</si>
  <si>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</si>
  <si>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</si>
  <si>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</si>
  <si>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</si>
  <si>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</si>
  <si>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</si>
  <si>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</si>
  <si>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</si>
  <si>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</si>
  <si>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</si>
  <si>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</si>
  <si>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</si>
  <si>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</si>
  <si>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</si>
  <si>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</si>
  <si>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</si>
  <si>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</si>
  <si>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</si>
  <si>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</si>
  <si>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</si>
  <si>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</si>
  <si>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</si>
  <si>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</si>
  <si>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</si>
  <si>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</si>
  <si>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</si>
  <si>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</si>
  <si>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</si>
  <si>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</si>
  <si>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</si>
  <si>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</si>
  <si>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</si>
  <si>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</si>
  <si>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</si>
  <si>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</si>
  <si>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</si>
  <si>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</si>
  <si>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</si>
  <si>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</si>
  <si>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</si>
  <si>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</si>
  <si>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</si>
  <si>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</si>
  <si>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</si>
  <si>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</si>
  <si>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</si>
  <si>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</si>
  <si>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</si>
  <si>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</si>
  <si>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</si>
  <si>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</si>
  <si>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</si>
  <si>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</si>
  <si>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</si>
  <si>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</si>
  <si>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</si>
  <si>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</si>
  <si>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</si>
  <si>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</si>
  <si>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</si>
  <si>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</si>
  <si>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</si>
  <si>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</si>
  <si>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</si>
  <si>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</si>
  <si>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</si>
  <si>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</si>
  <si>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</si>
  <si>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</si>
  <si>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</si>
  <si>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</si>
  <si>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</si>
  <si>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</si>
  <si>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</si>
  <si>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</si>
  <si>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</si>
  <si>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</si>
  <si>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</si>
  <si>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</si>
  <si>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</si>
  <si>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</si>
  <si>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</si>
  <si>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</si>
  <si>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</si>
  <si>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</si>
  <si>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</si>
  <si>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</si>
  <si>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</si>
  <si>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</si>
  <si>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</si>
  <si>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</si>
  <si>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</si>
  <si>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</si>
  <si>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</si>
  <si>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</si>
  <si>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</si>
  <si>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Western Australia</t>
  </si>
  <si>
    <r>
      <t xml:space="preserve">Amount applied </t>
    </r>
    <r>
      <rPr>
        <sz val="11"/>
        <color theme="1"/>
        <rFont val="Times New Roman"/>
        <family val="1"/>
      </rPr>
      <t>per hectare</t>
    </r>
  </si>
  <si>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</si>
  <si>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</si>
  <si>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</si>
  <si>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</si>
  <si>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</si>
  <si>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</si>
  <si>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</si>
  <si>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</si>
  <si>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</si>
  <si>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</si>
  <si>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</si>
  <si>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</si>
  <si>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</si>
  <si>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</si>
  <si>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</si>
  <si>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</si>
  <si>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</si>
  <si>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</si>
  <si>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</si>
  <si>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</si>
  <si>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</si>
  <si>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</si>
  <si>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</si>
  <si>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</si>
  <si>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</si>
  <si>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</si>
  <si>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</si>
  <si>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</si>
  <si>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</si>
  <si>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</si>
  <si>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</si>
  <si>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</si>
  <si>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</si>
  <si>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</si>
  <si>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</si>
  <si>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</si>
  <si>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</si>
  <si>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</si>
  <si>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</si>
  <si>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</si>
  <si>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</si>
  <si>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</si>
  <si>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</si>
  <si>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</si>
  <si>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</si>
  <si>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</si>
  <si>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</si>
  <si>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</si>
  <si>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</si>
  <si>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</si>
  <si>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</si>
  <si>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</si>
  <si>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</si>
  <si>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Contains inhibitor</t>
  </si>
  <si>
    <t>N declared</t>
  </si>
  <si>
    <t>P declared</t>
  </si>
  <si>
    <t>K declared</t>
  </si>
  <si>
    <t>S declared</t>
  </si>
  <si>
    <t>Ingredient 10</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</si>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</sst>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3" fillId="0" borderId="0" xfId="3" applyAlignment="1" applyProtection="1">
      <alignment horizontal="center" vertical="center" wrapText="1"/>
      <protection locked="0"/>
    </xf>
    <xf numFmtId="0" fontId="0" fillId="2" borderId="1" xfId="20" applyFont="1" applyAlignment="1">
      <alignment horizontal="center" vertical="center" wrapText="1"/>
    </xf>
    <xf numFmtId="0" fontId="6" fillId="2" borderId="0" xfId="6"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0B4491E8-4F2C-4EE8-9336-DC99561B4B77}">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68" Type="http://schemas.openxmlformats.org/officeDocument/2006/relationships/theme" Target="theme/theme1.xml" /><Relationship Id="rId16" Type="http://schemas.openxmlformats.org/officeDocument/2006/relationships/worksheet" Target="worksheets/sheet1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74" Type="http://schemas.microsoft.com/office/2017/06/relationships/rdRichValueStructure" Target="richData/rdrichvaluestructure.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69" Type="http://schemas.openxmlformats.org/officeDocument/2006/relationships/styles" Target="styles.xml" /><Relationship Id="rId77" Type="http://schemas.openxmlformats.org/officeDocument/2006/relationships/customXml" Target="../customXml/item1.xml" /><Relationship Id="rId8" Type="http://schemas.openxmlformats.org/officeDocument/2006/relationships/worksheet" Target="worksheets/sheet8.xml" /><Relationship Id="rId72" Type="http://schemas.microsoft.com/office/2022/10/relationships/richValueRel" Target="richData/richValueRel.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20" Type="http://schemas.openxmlformats.org/officeDocument/2006/relationships/worksheet" Target="worksheets/sheet20.xml" /><Relationship Id="rId70" Type="http://schemas.openxmlformats.org/officeDocument/2006/relationships/sharedStrings" Target="sharedStrings.xml" /><Relationship Id="rId75"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10" Type="http://schemas.openxmlformats.org/officeDocument/2006/relationships/worksheet" Target="worksheets/sheet10.xml" /><Relationship Id="rId31" Type="http://schemas.openxmlformats.org/officeDocument/2006/relationships/worksheet" Target="worksheets/sheet31.xml" /><Relationship Id="rId73" Type="http://schemas.microsoft.com/office/2017/06/relationships/rdRichValue" Target="richData/rdrichvalue.xml" /><Relationship Id="rId78" Type="http://schemas.microsoft.com/office/2023/09/relationships/Python" Target="python.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4" Type="http://schemas.openxmlformats.org/officeDocument/2006/relationships/worksheet" Target="worksheets/sheet34.xml" /><Relationship Id="rId76"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sheetMetadata" Target="metadata.xml" /><Relationship Id="rId2" Type="http://schemas.openxmlformats.org/officeDocument/2006/relationships/worksheet" Target="worksheets/sheet2.xml" /><Relationship Id="rId29" Type="http://schemas.openxmlformats.org/officeDocument/2006/relationships/worksheet" Target="worksheets/sheet29.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770DBB1-098B-477C-BD35-60D5EACD545E}" name="Table_Input_Fuel" displayName="Table_Input_Fuel" ref="D16:J21" totalsRowDxfId="53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5E727B2-F503-4F1C-B903-7997A4FB1183}" name="Fuel use (select)" totalsRowFunction="average" totalsRowDxfId="530" dataCellStyle="Input select" totalsRowCellStyle="Input select"/>
    <tableColumn id="3" xr3:uid="{1E22ED75-E603-41B7-A115-13A02985BC6E}" name="Fuel type (select)" totalsRowDxfId="529" dataCellStyle="Input select" totalsRowCellStyle="Input select"/>
    <tableColumn id="4" xr3:uid="{27468409-B714-4518-89C1-AB02D17168B5}" name="Amount purchased" totalsRowDxfId="528" totalsRowCellStyle="Content bold"/>
    <tableColumn id="6" xr3:uid="{6CEC04FE-E415-490D-A695-A5162BF5A373}" name="Amount unit" totalsRowDxfId="527" dataCellStyle="Input number general calculated" totalsRowCellStyle="Input text calculated"/>
    <tableColumn id="5" xr3:uid="{FE2DFAC9-CCFC-4D18-8B7A-7A252BE004CB}" name="Percent consumed" totalsRowDxfId="526" totalsRowCellStyle="Input percent">
      <calculatedColumnFormula>1</calculatedColumnFormula>
    </tableColumn>
    <tableColumn id="1" xr3:uid="{04899A87-3D7F-4417-8D0C-01F4429FA85A}" name="Amount consumed" totalsRowFunction="custom" totalsRowDxfId="525"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F16787F-4720-43D7-99F8-2DBBEAEE8998}" name="Amount consumed unit" totalsRowDxfId="52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6812E3A-DF03-4F14-8E09-AA8676A1B2D5}"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5D3A6F31-BE99-41BB-9A85-2F81D662F014}" name="Product (select)" dataDxfId="520" totalsRowDxfId="519" dataCellStyle="Input select"/>
    <tableColumn id="23" xr3:uid="{3BB84240-A1A0-4F70-82E4-4345476DD3E3}" name="Amount applied per hectare" totalsRowFunction="custom" dataDxfId="518" totalsRowDxfId="517">
      <totalsRowFormula>SUM(Table_Input_InorganicFertiliser_Brands[[#Headers],[#Data],[Amount applied per hectare]])</totalsRowFormula>
    </tableColumn>
    <tableColumn id="12" xr3:uid="{F835055A-0BD5-49AA-B6B8-98DFFB24D78C}" name="Application unit" dataDxfId="516" totalsRowDxfId="515" dataCellStyle="Input number 2 decimal places"/>
    <tableColumn id="6" xr3:uid="{59DCC71F-E5CB-4661-AF0F-3D4F7E8F5EC2}" name="Application area (ha)" dataDxfId="514" totalsRowDxfId="513">
      <calculatedColumnFormula>X_Cell_Fertiliser_AreaUnderCropping</calculatedColumnFormula>
    </tableColumn>
    <tableColumn id="9" xr3:uid="{9F497F7D-A657-4022-9DF2-51A3321D7CF3}" name="Density" dataDxfId="512" totalsRowDxfId="511" dataCellStyle="Input number general calculated"/>
    <tableColumn id="1" xr3:uid="{8E4108D0-409F-477F-9EE6-9D891308092D}"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D94EED1-26C3-4AC2-B231-2FDE21C45452}" name="Ingredient 1" dataDxfId="508" totalsRowDxfId="507" dataCellStyle="Input number general calculated"/>
    <tableColumn id="4" xr3:uid="{4649E569-3D44-429B-90EF-47E0C64785E8}" name="Ingredient 1 percent" dataDxfId="506" dataCellStyle="Input number general calculated"/>
    <tableColumn id="7" xr3:uid="{52046496-219F-4292-9EB0-7AE220F91ED7}" name="Ingredient 2" dataDxfId="505" dataCellStyle="Input number general calculated"/>
    <tableColumn id="8" xr3:uid="{DA7373F3-9660-4A70-930D-B0E3642632CF}" name="Ingredient 2 percent" dataDxfId="504" totalsRowDxfId="503" dataCellStyle="Input number general calculated"/>
    <tableColumn id="10" xr3:uid="{5B532C79-3C1B-4FB9-B212-647C1D7B0415}" name="Ingredient 3" dataDxfId="502" totalsRowDxfId="501" dataCellStyle="Input number general calculated"/>
    <tableColumn id="11" xr3:uid="{138329D3-B51B-42B4-9AB6-D639C240B1F9}" name="Ingredient 3 percent" dataDxfId="500" totalsRowDxfId="499" dataCellStyle="Input number general calculated"/>
    <tableColumn id="13" xr3:uid="{96D57A6A-5D6E-41F4-B3FE-7EBA3CE69859}" name="Ingredient 4" dataDxfId="498" totalsRowDxfId="497" dataCellStyle="Input number general calculated"/>
    <tableColumn id="14" xr3:uid="{6B90F69E-A768-4834-B36D-E773410BF3BC}" name="Ingredient 4 percent" dataDxfId="496" dataCellStyle="Input number general calculated"/>
    <tableColumn id="16" xr3:uid="{1BE25E19-F585-4F30-92BA-F21767D7FD5F}" name="Ingredient 5" dataDxfId="495" dataCellStyle="Input number general calculated"/>
    <tableColumn id="17" xr3:uid="{09A4052B-7CC2-4309-8B67-E42851703175}" name="Ingredient 5 percent" dataDxfId="494" dataCellStyle="Input number general calculated"/>
    <tableColumn id="19" xr3:uid="{C119F99F-12E7-4164-A4D2-D1B7FFA4CDC0}" name="Ingredient 6" dataDxfId="493" dataCellStyle="Input number general calculated"/>
    <tableColumn id="20" xr3:uid="{7ED723C3-0230-44E1-A97F-5856777B50E0}" name="Ingredient 6 percent" dataDxfId="492" dataCellStyle="Input number general calculated"/>
    <tableColumn id="21" xr3:uid="{82CDAFB3-B063-4FCE-97DD-6315C6B07B1A}" name="% N (Ingredients)" dataDxfId="491" dataCellStyle="Input number general calculated"/>
    <tableColumn id="22" xr3:uid="{008D0099-F7FD-44C7-A122-7655CD22027D}" name="% N (declared)" dataDxfId="490" dataCellStyle="Content normal"/>
    <tableColumn id="5" xr3:uid="{738DF855-CED3-4922-9AB5-407F8661B4F2}"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F5E8BAD-317A-4473-BAC9-3001F091553F}" name="Urea source" dataDxfId="487" totalsRowDxfId="486" dataCellStyle="Input number general calculated"/>
    <tableColumn id="18" xr3:uid="{A57C705A-FD04-4D6A-A204-7B65446F608E}" name="Ammonia source" dataDxfId="485" totalsRowDxfId="48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4C68617-877A-4F97-8CAB-F38458E7636F}"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FA57746-A7E4-4CE7-B30A-7E4C99207522}" name="Custom blend name" dataCellStyle="Input text"/>
    <tableColumn id="2" xr3:uid="{82CF83AE-D428-48AE-8880-00655856165B}" name="Amount applied (kg / ha)" dataDxfId="481"/>
    <tableColumn id="3" xr3:uid="{4278FE8F-A0C6-41E5-A5D2-7AF695AF5629}" name="Application area (ha)" dataDxfId="480" dataCellStyle="Input number 2 decimal places">
      <calculatedColumnFormula>X_Cell_Fertiliser_AreaUnderCropping</calculatedColumnFormula>
    </tableColumn>
    <tableColumn id="4" xr3:uid="{063733A0-C7C5-4411-B1E9-319E1C3E1CED}"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9C971F60-DE00-4232-A195-A12938B160B0}" name="Ingredient 1 (select)" dataDxfId="478" dataCellStyle="Input select"/>
    <tableColumn id="6" xr3:uid="{86119229-5883-48F9-A8C0-9C01FC3C0352}" name="Ingredient 1 percent" dataDxfId="477"/>
    <tableColumn id="8" xr3:uid="{1D6337A3-D1E8-4D87-B7DC-E13B3A65A2D9}" name="Ingredient 2" dataDxfId="476" dataCellStyle="Input select"/>
    <tableColumn id="9" xr3:uid="{BBF26AA9-1F8C-4228-B7C3-3EAB3016E622}" name="Ingredient 2 percent" dataDxfId="475"/>
    <tableColumn id="11" xr3:uid="{E6EC4E80-9757-40B9-AF3C-830A3AEDB886}" name="Ingredient 3" dataDxfId="474" dataCellStyle="Input select"/>
    <tableColumn id="12" xr3:uid="{0F1F7E6A-0DE2-4515-A801-2AD27FEFC92E}" name="Ingredient 3 percent" dataDxfId="473"/>
    <tableColumn id="14" xr3:uid="{0CB0D523-DFEA-4CB3-B628-8E8B9A636FD6}" name="Ingredient 4" dataDxfId="472" dataCellStyle="Input select"/>
    <tableColumn id="15" xr3:uid="{ED5E5EC9-C93E-4FE5-8576-B77DF22CF89F}" name="Ingredient 4 percent" dataCellStyle="Input percent"/>
    <tableColumn id="7" xr3:uid="{E2CBCFE6-2106-4FBD-854B-39656D61D8C4}" name="N application rate (kg/ha)" dataDxfId="471" dataCellStyle="Input number general calculated"/>
    <tableColumn id="10" xr3:uid="{A436E028-E1DD-4672-91DC-D0F03BBF73E6}" name="Urea source (Select)" dataCellStyle="Input select"/>
    <tableColumn id="13" xr3:uid="{FFFCBF5B-9E52-4536-AE24-B288D3D36CED}"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340DB9-C5F2-42FF-AFB4-5AAD625C0251}"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A6FE6C-982F-440D-9D8B-5C63FFE63D2C}" name="Product" dataDxfId="468"/>
    <tableColumn id="2" xr3:uid="{3D394BC0-C3CF-43E4-B947-7495F7CC3411}" name="Amount applied (t/hectare)" dataDxfId="467"/>
    <tableColumn id="4" xr3:uid="{05569CAA-1D09-430B-9A6D-A8C8DA7F104F}" name="Application area (ha)" dataDxfId="466" dataCellStyle="Input number 2 decimal places">
      <calculatedColumnFormula>X_Cell_Fertiliser_AreaUnderCropping</calculatedColumnFormula>
    </tableColumn>
    <tableColumn id="3" xr3:uid="{0BF99340-7191-450D-9968-2FFA51EE4DB8}" name="Total amount applied (t)" dataDxfId="465" dataCellStyle="Input number general calculated">
      <calculatedColumnFormula>IFERROR(Table_Input_Lime[[#This Row],[Amount applied (t/hectare)]]*Table_Input_Lime[[#This Row],[Application area (ha)]], 0)</calculatedColumnFormula>
    </tableColumn>
    <tableColumn id="6" xr3:uid="{322010FA-091E-4FB2-BCE9-0DF9DAE74FE7}" name="Percent Lime CaCO3" dataDxfId="464"/>
    <tableColumn id="8" xr3:uid="{35A82D43-D0B0-4EAB-B014-5419A59141AF}" name="Percent Dolomite CaMg(CO3)2" dataDxfId="463"/>
    <tableColumn id="7" xr3:uid="{F5A7E468-0F87-44BC-A3F5-9801D42B1D3E}" name="Percent Gypsum" dataDxfId="462"/>
    <tableColumn id="10" xr3:uid="{E02D65DC-2B50-4E75-BC32-42DA11AD32EE}" name="Total" dataDxfId="461">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7744805-66B3-4FD0-9E38-7559764D2B10}"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28799A-695B-4954-A1B2-06F084A2723B}" name="Organic fertiliser type (select)" dataDxfId="458" dataCellStyle="Input select"/>
    <tableColumn id="5" xr3:uid="{8B4A06C5-A421-47CB-AED8-13F416D08362}" name="Percentage of N in fertiliser" dataDxfId="457"/>
    <tableColumn id="2" xr3:uid="{2A5AB780-1A83-459A-AC76-C7CDC5229548}" name="Amount applied (kg/hectare)" dataDxfId="456"/>
    <tableColumn id="11" xr3:uid="{31D74A92-9AC3-46F4-BD9F-A189B9C7A858}"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8603F157-45E1-48F2-9BE0-1D0E8C36C948}" name="Application area (ha)" dataDxfId="454" dataCellStyle="Input number 2 decimal places">
      <calculatedColumnFormula>X_Cell_Fertiliser_AreaUnderCropping</calculatedColumnFormula>
    </tableColumn>
    <tableColumn id="7" xr3:uid="{7A7C7B77-7B71-4BE0-AD48-69006C70AF05}"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4D2ED044-BC8B-4586-94CB-F5F57586C346}"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51"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5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49">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48" dataCellStyle="Input select"/>
    <tableColumn id="2" xr3:uid="{5B0AEBA4-AB33-4382-8634-3F4C8D3B2A9B}" name="Number of head treated" dataDxfId="447"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46" dataCellStyle="Input select"/>
    <tableColumn id="2" xr3:uid="{FA43F52A-7609-4014-A6D3-CAC2C970F57C}" name="Purchase class (select)" dataDxfId="445" dataCellStyle="Input select"/>
    <tableColumn id="6" xr3:uid="{41EDEC1E-1793-4BBD-B0C8-66DE9A0925D5}" name="Source region (Select)" dataDxfId="44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43">
  <autoFilter ref="D6:I16" xr:uid="{E938BFB3-949A-45DE-8033-0682BC494B81}"/>
  <tableColumns count="6">
    <tableColumn id="9" xr3:uid="{9915AEA9-40DA-4CFD-B08A-11FBE10BE9CF}" name="Transaction name" dataCellStyle="Input text"/>
    <tableColumn id="11" xr3:uid="{7A96FDED-4DC0-48EE-B346-DC4E5D93138D}" name="Class (select)" dataDxfId="44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41">
  <autoFilter ref="D6:H16" xr:uid="{14ED7533-62DD-410F-8832-CD98B0CD652B}"/>
  <tableColumns count="5">
    <tableColumn id="9" xr3:uid="{FC1CEF00-A0CC-4545-ADAB-9F52D190F90C}" name="Transaction name" dataCellStyle="Input text"/>
    <tableColumn id="11" xr3:uid="{45625588-179B-4EE3-98B4-2E94FA489CC5}" name="Class (select)" dataDxfId="44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3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B5CA7BA-CAD8-4A74-8EEF-09EE4182F188}"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D45DBA8-9533-4787-99BA-4A9AF67D4C02}" name="Description"/>
    <tableColumn id="5" xr3:uid="{F3CA51C9-F6AB-47A5-B188-B629384A847B}" name="Treatment type (select)" dataCellStyle="Input select"/>
    <tableColumn id="2" xr3:uid="{9185DE13-7A1B-48A4-85A8-0E0946E96678}" name="Waste type (select)" dataCellStyle="Input select"/>
    <tableColumn id="3" xr3:uid="{CA74302C-B602-406B-87AC-BEF1377389CC}" name="Treatment location (select)" dataCellStyle="Input select"/>
    <tableColumn id="4" xr3:uid="{286D0038-15CF-4CCB-B71F-779CDDAE9FAB}" name="Amount" dataCellStyle="Input number general"/>
    <tableColumn id="7" xr3:uid="{B2878727-5234-404A-98FD-94771BFBC034}"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06F3726-C162-467B-9C5A-448DA74497F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9663293-BB14-4EAC-ACB4-269508617318}" name="Description"/>
    <tableColumn id="5" xr3:uid="{EA818618-4561-416F-9E23-205BC4AA25AB}" name="Source (select)" dataCellStyle="Input select"/>
    <tableColumn id="2" xr3:uid="{0F32E5F3-F181-4658-91E7-D5C57DECC808}" name="Generation date" dataDxfId="438"/>
    <tableColumn id="3" xr3:uid="{3C4CB8AF-468D-41E3-8C14-52ACE25557EA}" name="Number of certificates"/>
    <tableColumn id="4" xr3:uid="{6211D605-F5F8-4FC7-9BE2-40F0AC898DD6}" name="MWh" dataCellStyle="Input number general calculated">
      <calculatedColumnFormula>Table_Input_RECSurrendered[[#This Row],[Number of certificates]]</calculatedColumnFormula>
    </tableColumn>
    <tableColumn id="7" xr3:uid="{5C08064E-09B6-4232-94FC-CEC8642A69E7}"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AFD1A59-FD8C-47D4-8804-D98E5235450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F5C087F8-DC8F-4DB9-9BDD-1C4FFAEEE2D7}" name="Description"/>
    <tableColumn id="5" xr3:uid="{9D4485D4-1CBE-4FE2-92EA-53BA5C7AB905}" name="Source" dataCellStyle="Input text calculated">
      <calculatedColumnFormula>"Issued for generated electricity"</calculatedColumnFormula>
    </tableColumn>
    <tableColumn id="2" xr3:uid="{E5148A8B-C493-4B6F-9424-2CAC962CCC24}" name="Generation date" dataDxfId="437"/>
    <tableColumn id="3" xr3:uid="{102A0F8E-5B88-4D1A-B51C-D4EBDF58C2F0}" name="Number of certificates"/>
    <tableColumn id="4" xr3:uid="{43433349-2419-4086-83BB-DBDECD539723}" name="MWh" dataCellStyle="Input number general calculated">
      <calculatedColumnFormula>Table_Input_RECConsumedByEntity[[#This Row],[Number of certificates]]</calculatedColumnFormula>
    </tableColumn>
    <tableColumn id="7" xr3:uid="{459ADABC-C098-4F65-9FC5-AC16BFAB6C2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3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3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3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3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3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3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2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2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2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2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2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2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2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2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2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2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1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1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1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1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1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1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1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1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1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1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0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0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0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0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0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0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0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0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0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0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9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9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9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9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9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9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9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9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9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9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8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8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8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8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8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8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8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8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8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8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7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7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7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7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7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7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7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7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7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7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6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6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6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6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6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6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1A1AAB3-525D-4B01-BA46-4B2A5735193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67E3A9C-287C-4E2A-81F8-7878A7976459}"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AE9F08E-0769-423D-86BD-53D9E6513B7F}" name="Waste type w" dataDxfId="36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F040904-DAC0-49DD-90E4-EF1586D0CB54}" name="EFwt" dataDxfId="3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86F2221-CBA5-471A-BAD3-04EEA5908FAD}" name="EF source" dataDxfId="3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FFDC367-C4C7-464A-B812-5999000CE1F5}"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B4F6340-66AF-4C4A-AA09-D1FEEC42F67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0B1B4EBA-F22D-4510-A628-77427F184826}" name="VTMw" dataDxfId="36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F5BD8FCC-35BB-4548-B781-DAD15EF2E1EA}" name="Table_WasteTypes_Landfill" displayName="Table_WasteTypes_Landfill" ref="I16:I27" totalsRowShown="0">
  <autoFilter ref="I16:I27" xr:uid="{99B942E3-1D24-4166-921C-DCC10960718D}">
    <filterColumn colId="0" hiddenButton="1"/>
  </autoFilter>
  <tableColumns count="1">
    <tableColumn id="1" xr3:uid="{9456A0E8-BBA5-4FBB-9812-52EB29838E50}"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4C26C292-1B29-4085-A0A3-CF29F1227EC1}" name="Table_WasteTypes_Incineration" displayName="Table_WasteTypes_Incineration" ref="K16:K26" totalsRowShown="0" headerRowDxfId="359" headerRowCellStyle="Content normal" dataCellStyle="Content normal">
  <autoFilter ref="K16:K26" xr:uid="{9A900595-7035-4239-9059-ACC16835BF72}">
    <filterColumn colId="0" hiddenButton="1"/>
  </autoFilter>
  <tableColumns count="1">
    <tableColumn id="1" xr3:uid="{1D69096B-EA02-4115-B552-10C083719AE6}"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C29F4E6-9C45-4F18-8CF8-D9409B58F61D}" name="Table_WasteTypes_Composting" displayName="Table_WasteTypes_Composting" ref="M16:M21" totalsRowShown="0" headerRowDxfId="358" headerRowCellStyle="Content normal" dataCellStyle="Content normal">
  <autoFilter ref="M16:M21" xr:uid="{5C8D39D3-1330-49EB-B431-1B2B8C8238DC}">
    <filterColumn colId="0" hiddenButton="1"/>
  </autoFilter>
  <tableColumns count="1">
    <tableColumn id="1" xr3:uid="{934C3671-3BF6-4E10-9F00-1E7CD5A9363A}" name="Waste type w" totalsRowDxfId="357"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D3B4CF8C-2085-475A-9D53-01B4DE31C6BD}" name="Table_WasteTypes_Anaerobicdigestion" displayName="Table_WasteTypes_Anaerobicdigestion" ref="O16:O21" totalsRowShown="0" headerRowDxfId="356" headerRowCellStyle="Content normal" dataCellStyle="Content normal">
  <autoFilter ref="O16:O21" xr:uid="{331EC43E-DF68-429F-A2A4-58BFE6216EC3}">
    <filterColumn colId="0" hiddenButton="1"/>
  </autoFilter>
  <tableColumns count="1">
    <tableColumn id="1" xr3:uid="{AFB9BC80-7074-4E8D-8569-2CD4D980316A}" name="Waste type w" totalsRowDxfId="355"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298BD255-23E3-4196-9EE8-A41CA928A32E}" name="Table_Fuel_EFs_StationaryLiquid" displayName="Table_Fuel_EFs_StationaryLiquid" ref="D53:K77" totalsRowShown="0" headerRowDxfId="354" dataDxfId="35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354D05E-4A80-466B-B35D-25CBB7F0C04E}" name="Fuel combusted" dataDxfId="352">
      <calculatedColumnFormula array="1">Common_InputFunctions.Utility_DisplayArrayInTable(Fuel_SourceData.Fuel_Scope1Scope3EmissionFactorsStationaryLiquid_Data(), Table_Fuel_EFs_StationaryLiquid[[#Headers],[Fuel combusted]],0)</calculatedColumnFormula>
    </tableColumn>
    <tableColumn id="2" xr3:uid="{AEE68829-0EF6-41E2-8A5E-B5CC50315B21}" name="Energy Content Factor (GJ per unit of fuel)" dataDxfId="351">
      <calculatedColumnFormula array="1">Common_InputFunctions.Utility_DisplayArrayInTable(Fuel_SourceData.Fuel_Scope1Scope3EmissionFactorsStationaryLiquid_Data(), Table_Fuel_EFs_StationaryLiquid[[#Headers],[Fuel combusted]],0)</calculatedColumnFormula>
    </tableColumn>
    <tableColumn id="3" xr3:uid="{484CB40D-8887-45C3-8EE3-88DA5CE92D82}" name="Fuel unit" dataDxfId="350">
      <calculatedColumnFormula array="1">Common_InputFunctions.Utility_DisplayArrayInTable(Fuel_SourceData.Fuel_Scope1Scope3EmissionFactorsStationaryLiquid_Data(), Table_Fuel_EFs_StationaryLiquid[[#Headers],[Fuel combusted]],0)</calculatedColumnFormula>
    </tableColumn>
    <tableColumn id="4" xr3:uid="{427A19DE-77A4-4517-A663-CE77A8C8D059}" name="Scope 1 Emission Factor (kg CO2 - e / GJ) CO2" dataDxfId="349">
      <calculatedColumnFormula array="1">Common_InputFunctions.Utility_DisplayArrayInTable(Fuel_SourceData.Fuel_Scope1Scope3EmissionFactorsStationaryLiquid_Data(), Table_Fuel_EFs_StationaryLiquid[[#Headers],[Fuel combusted]],0)</calculatedColumnFormula>
    </tableColumn>
    <tableColumn id="5" xr3:uid="{790DE095-BC52-4DB8-9EAB-75B0AC7F7D76}" name="Scope 1 Emission Factor (kg CO2 - e / GJ) CH4" dataDxfId="348">
      <calculatedColumnFormula array="1">Common_InputFunctions.Utility_DisplayArrayInTable(Fuel_SourceData.Fuel_Scope1Scope3EmissionFactorsStationaryLiquid_Data(), Table_Fuel_EFs_StationaryLiquid[[#Headers],[Fuel combusted]],0)</calculatedColumnFormula>
    </tableColumn>
    <tableColumn id="6" xr3:uid="{F8A7F3BE-E63C-43EE-960D-2EF1EC53DD72}" name="Scope 1 Emission Factor (kg CO2 - e / GJ) N2O" dataDxfId="347">
      <calculatedColumnFormula array="1">Common_InputFunctions.Utility_DisplayArrayInTable(Fuel_SourceData.Fuel_Scope1Scope3EmissionFactorsStationaryLiquid_Data(), Table_Fuel_EFs_StationaryLiquid[[#Headers],[Fuel combusted]],0)</calculatedColumnFormula>
    </tableColumn>
    <tableColumn id="7" xr3:uid="{F6BB937D-3A6D-449E-9FBF-C8D4734F6BE1}" name="Scope 1 Emission Factor (kg CO2 - e / GJ) Combined gases" dataDxfId="346">
      <calculatedColumnFormula array="1">Common_InputFunctions.Utility_DisplayArrayInTable(Fuel_SourceData.Fuel_Scope1Scope3EmissionFactorsStationaryLiquid_Data(), Table_Fuel_EFs_StationaryLiquid[[#Headers],[Fuel combusted]],0)</calculatedColumnFormula>
    </tableColumn>
    <tableColumn id="8" xr3:uid="{90DF3855-EA7E-46A6-BBB8-A8485E722463}" name="Scope 3 Emission Factor (kg CO2 - e / GJ)" dataDxfId="34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24B8AB9-D63D-4B54-9E67-8E2B68B97370}" name="Table_Fuel_EFs_Transport" displayName="Table_Fuel_EFs_Transport" ref="D9:L34" totalsRowShown="0" headerRowDxfId="344" dataDxfId="34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AEDC40C-F933-4BC5-956B-637B7E8F46C6}" name="Transport type" dataDxfId="342">
      <calculatedColumnFormula array="1">Common_InputFunctions.Utility_DisplayArrayInTable(Fuel_SourceData.Fuel_Scope1Scope3EmissionFactorsTransport_Data(), Table_Fuel_EFs_Transport[[#Headers],[Transport type]], 0)</calculatedColumnFormula>
    </tableColumn>
    <tableColumn id="2" xr3:uid="{DD179760-DF9F-4858-8D01-D1B86FB6E017}" name="Fuel combusted" dataDxfId="341">
      <calculatedColumnFormula array="1">Common_InputFunctions.Utility_DisplayArrayInTable(Fuel_SourceData.Fuel_Scope1Scope3EmissionFactorsTransport_Data(), Table_Fuel_EFs_Transport[[#Headers],[Transport type]], 0)</calculatedColumnFormula>
    </tableColumn>
    <tableColumn id="3" xr3:uid="{865D500F-06D4-4AB2-89B7-A6C5666C945E}" name="Energy Content Factor (GJ per unit of fuel)" dataDxfId="340">
      <calculatedColumnFormula array="1">Common_InputFunctions.Utility_DisplayArrayInTable(Fuel_SourceData.Fuel_Scope1Scope3EmissionFactorsTransport_Data(), Table_Fuel_EFs_Transport[[#Headers],[Transport type]], 0)</calculatedColumnFormula>
    </tableColumn>
    <tableColumn id="4" xr3:uid="{57DEAFB6-8176-4661-B706-24F14A07C798}" name="Fuel unit" dataDxfId="339">
      <calculatedColumnFormula array="1">Common_InputFunctions.Utility_DisplayArrayInTable(Fuel_SourceData.Fuel_Scope1Scope3EmissionFactorsTransport_Data(), Table_Fuel_EFs_Transport[[#Headers],[Transport type]], 0)</calculatedColumnFormula>
    </tableColumn>
    <tableColumn id="8" xr3:uid="{CA87BD62-925F-484E-A2C4-C11AEDB1DECA}" name="Scope 1 Emission Factor (kg CO2 - e / GJ) CO2" dataDxfId="338">
      <calculatedColumnFormula array="1">Common_InputFunctions.Utility_DisplayArrayInTable(Fuel_SourceData.Fuel_Scope1Scope3EmissionFactorsTransport_Data(), Table_Fuel_EFs_Transport[[#Headers],[Transport type]], 0)</calculatedColumnFormula>
    </tableColumn>
    <tableColumn id="9" xr3:uid="{B088436E-C7A3-4967-BB91-F8E2344F38A6}" name="Scope 1 Emission Factor (kg CO2 - e / GJ) CH4" dataDxfId="337">
      <calculatedColumnFormula array="1">Common_InputFunctions.Utility_DisplayArrayInTable(Fuel_SourceData.Fuel_Scope1Scope3EmissionFactorsTransport_Data(), Table_Fuel_EFs_Transport[[#Headers],[Transport type]], 0)</calculatedColumnFormula>
    </tableColumn>
    <tableColumn id="10" xr3:uid="{143297A2-0C42-4A5C-8438-20DB51F19A2C}" name="Scope 1 Emission Factor (kg CO2 - e / GJ) N2O" dataDxfId="336">
      <calculatedColumnFormula array="1">Common_InputFunctions.Utility_DisplayArrayInTable(Fuel_SourceData.Fuel_Scope1Scope3EmissionFactorsTransport_Data(), Table_Fuel_EFs_Transport[[#Headers],[Transport type]], 0)</calculatedColumnFormula>
    </tableColumn>
    <tableColumn id="11" xr3:uid="{49455BB5-BC12-4B76-9D90-BEC4482E56C4}" name="Scope 1 Emission Factor (kg CO2 - e / GJ) Combined gases" dataDxfId="335">
      <calculatedColumnFormula array="1">Common_InputFunctions.Utility_DisplayArrayInTable(Fuel_SourceData.Fuel_Scope1Scope3EmissionFactorsTransport_Data(), Table_Fuel_EFs_Transport[[#Headers],[Transport type]], 0)</calculatedColumnFormula>
    </tableColumn>
    <tableColumn id="12" xr3:uid="{D1307B2A-76BB-4FB1-8999-657AF1A0D19A}" name="Scope 3 Emission Factor (kg CO2 - e / GJ)" dataDxfId="33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5B84B36-3FCD-4096-93A3-D416E0AD36C5}" name="Table_FuelTypesPerUse" displayName="Table_FuelTypesPerUse" ref="D130:I139" totalsRowShown="0" headerRowDxfId="333" dataDxfId="33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6BAE82F-0DAC-45F7-89F3-21607368FFD7}" name="Generators" dataDxfId="331"/>
    <tableColumn id="2" xr3:uid="{AAD4EBEC-5738-435E-B78B-905AFC510776}" name="Power standalone machinery or heating" dataDxfId="330"/>
    <tableColumn id="3" xr3:uid="{73A08911-FF24-4BCE-87BF-AFE6025166B6}" name="Aviation" dataDxfId="329"/>
    <tableColumn id="5" xr3:uid="{566A1938-081B-4E12-BFE4-AB051F78CAF3}" name="Cars and light commercial vehicles" dataDxfId="328"/>
    <tableColumn id="7" xr3:uid="{A5097AE4-9464-40E1-8347-8D2FEDB08332}" name="Off-road Agriculture and forestry equipment" dataDxfId="327" dataCellStyle="Content bold"/>
    <tableColumn id="8" xr3:uid="{290306D6-5529-4EC9-AA70-8FBF75A2E3EF}" name="Vessels" dataDxfId="326"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78CCF0CD-1248-4F48-A306-B699EAAAA466}" name="Table_Fuel_EFs_StationaryGaseous" displayName="Table_Fuel_EFs_StationaryGaseous" ref="D86:J104" totalsRowShown="0" headerRowDxfId="325" dataDxfId="32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E363285-8530-40CC-A07B-6979FB0DC8EE}" name="Fuel combusted" dataDxfId="323">
      <calculatedColumnFormula array="1">Common_InputFunctions.Utility_DisplayArrayInTable(Fuel_SourceData.Fuel_Scope1EmissionFactorsStationaryGaseous_Data(), Table_Fuel_EFs_StationaryGaseous[[#Headers],[Fuel combusted]],0)</calculatedColumnFormula>
    </tableColumn>
    <tableColumn id="2" xr3:uid="{90741788-0776-4A54-BDEC-413A40783F29}" name="Energy Content Factor (GJ per unit of fuel)" dataDxfId="322">
      <calculatedColumnFormula array="1">Common_InputFunctions.Utility_DisplayArrayInTable(Fuel_SourceData.Fuel_Scope1EmissionFactorsStationaryGaseous_Data(), Table_Fuel_EFs_StationaryGaseous[[#Headers],[Fuel combusted]],0)</calculatedColumnFormula>
    </tableColumn>
    <tableColumn id="3" xr3:uid="{782642B1-2B77-4F96-B074-C50CA3C85AC7}" name="Fuel unit" dataDxfId="321">
      <calculatedColumnFormula array="1">Common_InputFunctions.Utility_DisplayArrayInTable(Fuel_SourceData.Fuel_Scope1EmissionFactorsStationaryGaseous_Data(), Table_Fuel_EFs_StationaryGaseous[[#Headers],[Fuel combusted]],0)</calculatedColumnFormula>
    </tableColumn>
    <tableColumn id="4" xr3:uid="{20DA23D9-2DED-4571-B8AD-C08F630353B8}" name="Scope 1 Emission Factor (kg CO2 - e / GJ) CO2" dataDxfId="320">
      <calculatedColumnFormula array="1">Common_InputFunctions.Utility_DisplayArrayInTable(Fuel_SourceData.Fuel_Scope1EmissionFactorsStationaryGaseous_Data(), Table_Fuel_EFs_StationaryGaseous[[#Headers],[Fuel combusted]],0)</calculatedColumnFormula>
    </tableColumn>
    <tableColumn id="5" xr3:uid="{AE1DDF33-E36A-460B-9B4B-C590666DEA57}" name="Scope 1 Emission Factor (kg CO2 - e / GJ) CH4" dataDxfId="319">
      <calculatedColumnFormula array="1">Common_InputFunctions.Utility_DisplayArrayInTable(Fuel_SourceData.Fuel_Scope1EmissionFactorsStationaryGaseous_Data(), Table_Fuel_EFs_StationaryGaseous[[#Headers],[Fuel combusted]],0)</calculatedColumnFormula>
    </tableColumn>
    <tableColumn id="6" xr3:uid="{0D56BAC3-EA3E-4C28-9D3D-3B114F5BDBBD}" name="Scope 1 Emission Factor (kg CO2 - e / GJ) N2O" dataDxfId="318">
      <calculatedColumnFormula array="1">Common_InputFunctions.Utility_DisplayArrayInTable(Fuel_SourceData.Fuel_Scope1EmissionFactorsStationaryGaseous_Data(), Table_Fuel_EFs_StationaryGaseous[[#Headers],[Fuel combusted]],0)</calculatedColumnFormula>
    </tableColumn>
    <tableColumn id="7" xr3:uid="{2430A25D-9DD7-44CD-B7A6-B2FC9D5FB728}" name="Scope 1 Emission Factor (kg CO2 - e / GJ) Combined gases" dataDxfId="31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6B0A3A6D-C55E-4FE1-AB4B-C3D5280E8374}" name="Table_Fuel_EFs_StationaryGaseous34" displayName="Table_Fuel_EFs_StationaryGaseous34" ref="D112:F120" headerRowDxfId="316" totalsRowDxfId="315">
  <autoFilter ref="D112:F120" xr:uid="{7D6CE29D-2354-4FAC-9965-9A66FFA42416}">
    <filterColumn colId="0" hiddenButton="1"/>
    <filterColumn colId="1" hiddenButton="1"/>
    <filterColumn colId="2" hiddenButton="1"/>
  </autoFilter>
  <tableColumns count="3">
    <tableColumn id="1" xr3:uid="{9718D109-2E2A-4CBC-BB6A-695EC83046AA}" name="State or territory" totalsRowDxfId="314">
      <calculatedColumnFormula array="1">Common_InputFunctions.Utility_DisplayArrayInTable(Fuel_SourceData.Fuel_Scope3EmissionFactorsStationaryGaseous_Data(), Table_Fuel_EFs_StationaryGaseous34[[#Headers],[State or territory]],0)</calculatedColumnFormula>
    </tableColumn>
    <tableColumn id="2" xr3:uid="{72822F56-30FE-48BA-9990-2D68C4AD2EFE}" name="Metro" totalsRowDxfId="313">
      <calculatedColumnFormula array="1">Common_InputFunctions.Utility_DisplayArrayInTable(Fuel_SourceData.Fuel_Scope3EmissionFactorsStationaryGaseous_Data(), Table_Fuel_EFs_StationaryGaseous34[[#Headers],[State or territory]],0)</calculatedColumnFormula>
    </tableColumn>
    <tableColumn id="3" xr3:uid="{4818704C-EAB5-401F-83CE-058BA1516908}" name="Non-metro" totalsRowDxfId="31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1324ACE-1021-4C24-A386-2F8EEACE9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7FED421-5611-4591-93E0-D19B62EDC803}" name="Fuel type"/>
    <tableColumn id="2" xr3:uid="{0573C0BB-9DBF-4D3D-A6D6-E7DC795AF559}" name="Unit"/>
    <tableColumn id="3" xr3:uid="{95D17170-AD7D-4BBF-B681-928816F77512}" name="Input Unit" dataDxfId="311"/>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0825840-5401-49A3-A643-C6AB7D4E70F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9935610-B570-4723-A7A4-147799D423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E5F411E-FB1C-486C-8EA3-3C1A758C5537}" name="Fuel type q" dataDxfId="3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A05D874-EB53-4A05-8B84-FFF3D744D6C5}" name="ECTrans,q (GJ/kL)" dataDxfId="3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5940660-5BC5-4894-B757-15111B112031}" name="Scope 1 CO2 EFTran,1,tqg (kg CO2-e/GJ)" dataDxfId="3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A8EEEC6-48AC-4E4E-999D-7BB799C4FE78}" name="Scope 1 CH4 EFTran,1,tgg (kg CO2-e/GJ)" dataDxfId="30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F5C372D-B4F1-430D-A432-702919342206}" name="Scope 1 N2O EFTran,1,tgg (kg CO2-e/GJ)" dataDxfId="30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7A33BAA-20B5-4205-A0FE-CD408AA3BC1B}" name="Scope 3 EFTrans,3,q (kg CO2-e/GJ)" dataDxfId="30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934BFD3E-2DE7-400E-A780-BFC4AA706898}"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F3A8B1A7-B046-47EF-BD7C-8D423ABBE874}"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AEBDB7A4-A3B5-4642-A40E-C2BC544F756C}" name="Layers" dataDxfId="30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630F96E2-6697-4C39-96DF-47F4B2BF0525}" name="Meat chicken growers" dataDxfId="30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744129ED-E15A-4C33-B27E-3E4F630D94FB}" name="Meat chicken breeder" dataDxfId="30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8CF251D6-125E-42DF-A245-F306A0FF5D76}" name="Meat other" dataDxfId="30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567CFC81-9712-4236-A743-DDDB3AAA0CBA}"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EFC0E6F9-EBBE-43EE-A78A-20FA04798EE4}"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EC3DC06-8F82-4303-8AD9-E9C0A1BEEB9B}" name="B0" dataDxfId="30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D184FD1D-66ED-48C7-ABC2-1F7783FD2B2F}" name="Table_SourceData_PoultryMMS" displayName="Table_SourceData_PoultryMMS" ref="D28:E38" totalsRowShown="0">
  <autoFilter ref="D28:E38" xr:uid="{AF7090B5-6718-41B7-9B26-A00EDB46BAC3}">
    <filterColumn colId="0" hiddenButton="1"/>
    <filterColumn colId="1" hiddenButton="1"/>
  </autoFilter>
  <tableColumns count="2">
    <tableColumn id="1" xr3:uid="{6187F763-1EA3-4B09-8DD8-C275FF93B100}" name="MMS"/>
    <tableColumn id="2" xr3:uid="{5B540B20-CB11-4F8C-B430-C7E5735BC9E7}" name="Symbol and MMS" dataDxfId="29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29F6ECF0-BCAB-4EF7-A8AF-ABAAE6435CA5}" name="Table_SourceData_Poultry_ProductionSystems" displayName="Table_SourceData_Poultry_ProductionSystems" ref="D44:D47" totalsRowShown="0">
  <autoFilter ref="D44:D47" xr:uid="{5810106E-36C6-489E-8962-5DE08C5F2EAC}">
    <filterColumn colId="0" hiddenButton="1"/>
  </autoFilter>
  <tableColumns count="1">
    <tableColumn id="1" xr3:uid="{517E7D5A-FC37-4F14-976C-62C7BB17F846}"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DDE0B2C2-A439-4359-8C2D-531C4D521AAC}"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7531815-DB70-4F2A-9840-FE1DF0E446D9}" name="MMS m">
      <calculatedColumnFormula array="1">Common_InputFunctions.Utility_DisplayArrayInTable(SourceData_Poultry.SourceData_Poultry_MCF_Data(), Table_SourceData_Poultry_MMSMCF[[#Headers],[MMS m]], 0)</calculatedColumnFormula>
    </tableColumn>
    <tableColumn id="2" xr3:uid="{D45F2681-20D4-442B-9EF2-22BCA7B98BD4}" name="All states" dataDxfId="298" dataCellStyle="Content normal">
      <calculatedColumnFormula array="1">Common_InputFunctions.Utility_DisplayArrayInTable(SourceData_Poultry.SourceData_Poultry_MCF_Data(), Table_SourceData_Poultry_MMSMCF[[#Headers],[MMS m]], 0)</calculatedColumnFormula>
    </tableColumn>
    <tableColumn id="3" xr3:uid="{8DC60820-D160-439C-B021-9F9BDBA7707E}" name="NSW" dataDxfId="297" dataCellStyle="Content normal">
      <calculatedColumnFormula array="1">Common_InputFunctions.Utility_DisplayArrayInTable(SourceData_Poultry.SourceData_Poultry_MCF_Data(), Table_SourceData_Poultry_MMSMCF[[#Headers],[MMS m]], 0)</calculatedColumnFormula>
    </tableColumn>
    <tableColumn id="4" xr3:uid="{D39F89A2-95B3-4C9A-83FD-84CDB09E0555}" name="ACT" dataDxfId="296" dataCellStyle="Content normal">
      <calculatedColumnFormula array="1">Common_InputFunctions.Utility_DisplayArrayInTable(SourceData_Poultry.SourceData_Poultry_MCF_Data(), Table_SourceData_Poultry_MMSMCF[[#Headers],[MMS m]], 0)</calculatedColumnFormula>
    </tableColumn>
    <tableColumn id="5" xr3:uid="{63215FCF-4BC7-480A-AF53-BE05BAABA717}" name="QLD" dataDxfId="295" dataCellStyle="Content normal">
      <calculatedColumnFormula array="1">Common_InputFunctions.Utility_DisplayArrayInTable(SourceData_Poultry.SourceData_Poultry_MCF_Data(), Table_SourceData_Poultry_MMSMCF[[#Headers],[MMS m]], 0)</calculatedColumnFormula>
    </tableColumn>
    <tableColumn id="6" xr3:uid="{E5221981-FD6E-46F9-9D74-46E63694A548}" name="NT" dataDxfId="294" dataCellStyle="Content normal">
      <calculatedColumnFormula array="1">Common_InputFunctions.Utility_DisplayArrayInTable(SourceData_Poultry.SourceData_Poultry_MCF_Data(), Table_SourceData_Poultry_MMSMCF[[#Headers],[MMS m]], 0)</calculatedColumnFormula>
    </tableColumn>
    <tableColumn id="7" xr3:uid="{9BFBCC33-3D14-41ED-89C3-5F451A60350F}" name="VIC" dataDxfId="293" dataCellStyle="Content normal">
      <calculatedColumnFormula array="1">Common_InputFunctions.Utility_DisplayArrayInTable(SourceData_Poultry.SourceData_Poultry_MCF_Data(), Table_SourceData_Poultry_MMSMCF[[#Headers],[MMS m]], 0)</calculatedColumnFormula>
    </tableColumn>
    <tableColumn id="8" xr3:uid="{C644CB31-BDAB-41B2-9C33-A0F3B51C2B38}" name="SA" dataDxfId="292" dataCellStyle="Content normal">
      <calculatedColumnFormula array="1">Common_InputFunctions.Utility_DisplayArrayInTable(SourceData_Poultry.SourceData_Poultry_MCF_Data(), Table_SourceData_Poultry_MMSMCF[[#Headers],[MMS m]], 0)</calculatedColumnFormula>
    </tableColumn>
    <tableColumn id="9" xr3:uid="{C25D05DC-693D-4104-B451-8B4ED11BA84D}" name="WA" dataDxfId="291" dataCellStyle="Content normal">
      <calculatedColumnFormula array="1">Common_InputFunctions.Utility_DisplayArrayInTable(SourceData_Poultry.SourceData_Poultry_MCF_Data(), Table_SourceData_Poultry_MMSMCF[[#Headers],[MMS m]], 0)</calculatedColumnFormula>
    </tableColumn>
    <tableColumn id="10" xr3:uid="{E60012AA-1AC0-43E9-8B0F-3DDFA502E585}" name="TAS" dataDxfId="290" dataCellStyle="Content normal">
      <calculatedColumnFormula array="1">Common_InputFunctions.Utility_DisplayArrayInTable(SourceData_Poultry.SourceData_Poultry_MCF_Data(), Table_SourceData_Poultry_MMSMCF[[#Headers],[MMS m]], 0)</calculatedColumnFormula>
    </tableColumn>
    <tableColumn id="11" xr3:uid="{515F0368-A903-4C00-BCE4-9D945E3E4C4B}" name="NIR definition" dataDxfId="28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EDCBFA3F-C35E-40E3-B858-4FC045D876C7}"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A6468CA6-77E7-4208-BCD0-05375F4BF41A}" name="MMS"/>
    <tableColumn id="2" xr3:uid="{B56ABB60-C225-4DCC-B0D8-3D4B8E44CB9A}" name="Symbol and MMS" dataDxfId="28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94D021B4-8722-4AEF-8CDA-BA5DF74B9C9D}"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C482FAA2-A256-4890-973F-76B04DA2224F}" name="MMS"/>
    <tableColumn id="2" xr3:uid="{69EFD2A9-EE55-430C-9561-4A5627DF99C7}" name="Symbol and MMS" dataDxfId="28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0C22A561-980F-4BE3-AC19-EA2550318CD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B1F419B1-9523-4DB0-B799-BC791EEAB7A3}" name="MMS">
      <calculatedColumnFormula array="1">Common_InputFunctions.Utility_DisplayArrayInTable(SourceData_Poultry.SourceData_Poultry_VSL_Data(), Table_SourceData_Poultry_MMSVSL[[#Headers],[MMS]], 0)</calculatedColumnFormula>
    </tableColumn>
    <tableColumn id="2" xr3:uid="{F72370A2-6CB0-4063-88AF-24DF8E06FFFA}" name="VSL" dataDxfId="286" dataCellStyle="Content normal">
      <calculatedColumnFormula array="1">Common_InputFunctions.Utility_DisplayArrayInTable(SourceData_Poultry.SourceData_Poultry_VSL_Data(), Table_SourceData_Poultry_MMSVSL[[#Headers],[MMS]], 0)</calculatedColumnFormula>
    </tableColumn>
    <tableColumn id="3" xr3:uid="{833BFEF2-C33B-43FE-8845-50EBB49DD43F}" name="NIR definition" dataDxfId="28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AF0FED9C-33C8-4C72-8C8A-A287E9BAF9CF}"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3F065BED-868D-4E44-A30B-ECB93F2927C3}" name="MMSm">
      <calculatedColumnFormula array="1">Common_InputFunctions.Utility_DisplayArrayInTable(SourceData_Poultry.SourceData_Poultry_FracGASMmT_Data(), Table_SourceData_Poultry_FracGASM[[#Headers],[MMSm]], 0)</calculatedColumnFormula>
    </tableColumn>
    <tableColumn id="2" xr3:uid="{16B7D52B-F416-49DF-BC34-F4F4E8A671D8}" name="FracGASMmT" dataDxfId="284" dataCellStyle="Content normal">
      <calculatedColumnFormula array="1">Common_InputFunctions.Utility_DisplayArrayInTable(SourceData_Poultry.SourceData_Poultry_FracGASMmT_Data(), Table_SourceData_Poultry_FracGASM[[#Headers],[MMSm]], 0)</calculatedColumnFormula>
    </tableColumn>
    <tableColumn id="3" xr3:uid="{1E9DA7C5-39CC-4D66-B818-B7B85A77F05D}" name="NIR reference" dataDxfId="28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75BE2265-B922-4D4E-831E-35D57D1940D9}"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5529209-69E0-48F6-98E9-6474112685A1}" name="MMSm">
      <calculatedColumnFormula array="1">Common_InputFunctions.Utility_DisplayArrayInTable(SourceData_Poultry.SourceData_Poultry_EFmT_Data(),Table_SourceData_Poultry_EFmT[[#Headers],[MMSm]], 0)</calculatedColumnFormula>
    </tableColumn>
    <tableColumn id="2" xr3:uid="{9198BA90-69EE-49E8-A5FA-3DF8CEA42318}" name="EFmT" dataDxfId="282" dataCellStyle="Content normal">
      <calculatedColumnFormula array="1">Common_InputFunctions.Utility_DisplayArrayInTable(SourceData_Poultry.SourceData_Poultry_EFmT_Data(),Table_SourceData_Poultry_EFmT[[#Headers],[MMSm]], 0)</calculatedColumnFormula>
    </tableColumn>
    <tableColumn id="3" xr3:uid="{C4407D93-EB17-401D-AFE7-7CD6F1CE89B2}" name="NIR reference" dataDxfId="28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9DC14DB9-A268-4A6B-BCD8-D5D12B99C408}"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611A690E-1543-41AA-ABB2-123251B27D83}" name="Livestock class j">
      <calculatedColumnFormula array="1">Common_InputFunctions.Utility_DisplayArrayInTable(SourceData_Poultry.SourceData_Poultry_Liveweights_Data(),Table_SourceData_Poultry_Liveweights[[#Headers],[Livestock class j]],0)</calculatedColumnFormula>
    </tableColumn>
    <tableColumn id="2" xr3:uid="{489F5185-C543-4A43-A72A-97E78D5C374B}" name="Average liveweight (kg)" dataDxfId="28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EA6AFC0A-AA5C-49C7-9D1E-6F742F2D34AC}" name="Table_SourceData_Poultry_CropProdSystems" displayName="Table_SourceData_Poultry_CropProdSystems" ref="G44:G46" totalsRowShown="0">
  <autoFilter ref="G44:G46" xr:uid="{8EDB544D-AFFC-41EF-8AD9-9AD07200476D}"/>
  <tableColumns count="1">
    <tableColumn id="1" xr3:uid="{DBDAD148-F130-4A82-BCD7-FD3C47CBE3A2}"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1CF08293-7626-4A8C-BADC-5CBA20A38F74}" name="Table_SourceData_Poultry_IrrigationMethods" displayName="Table_SourceData_Poultry_IrrigationMethods" ref="J44:J49" totalsRowShown="0">
  <autoFilter ref="J44:J49" xr:uid="{C0841426-764B-45EC-B52F-AFA2B3E2A193}"/>
  <tableColumns count="1">
    <tableColumn id="1" xr3:uid="{1A680DA7-F14B-4E3B-831E-E2F942325ACC}"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999D8D17-15CE-4A89-A266-D6723E601F00}"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0F65E29C-7592-4889-B0B1-73CFBEE06DE8}" name="Class">
      <calculatedColumnFormula array="1">Common_InputFunctions.Utility_DisplayArrayInTable(SourceData_Swine.SourceData_Swine_VolatileSolids_Data(), Table_SourceData_Swine_VolatileSolids[[#Headers],[Class]], 0)</calculatedColumnFormula>
    </tableColumn>
    <tableColumn id="2" xr3:uid="{7325BA1F-8AAD-40AF-9700-056661AC001C}" name="VSj" dataDxfId="2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D14C379E-1160-414B-9129-7AFA6EDE0151}"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822457F-4859-4BE3-923B-F9E09CF880D5}" name="MMS">
      <calculatedColumnFormula array="1">Common_InputFunctions.Utility_DisplayArrayInTable(SourceData_Swine.SourceData_Swine_MMS_MCFs_Data(),Table_SourceData_Swine_MMSMCF[[#Headers],[MMS]],0)</calculatedColumnFormula>
    </tableColumn>
    <tableColumn id="2" xr3:uid="{BBE28AAF-1A6F-4E86-8B4C-D59932C56B37}" name="NSW" dataDxfId="278" dataCellStyle="Content normal">
      <calculatedColumnFormula array="1">Common_InputFunctions.Utility_DisplayArrayInTable(SourceData_Swine.SourceData_Swine_MMS_MCFs_Data(),Table_SourceData_Swine_MMSMCF[[#Headers],[MMS]],0)</calculatedColumnFormula>
    </tableColumn>
    <tableColumn id="3" xr3:uid="{5D324BCA-C4D6-4400-84B3-B04E45707E99}" name="ACT" dataDxfId="277" dataCellStyle="Content normal">
      <calculatedColumnFormula array="1">Common_InputFunctions.Utility_DisplayArrayInTable(SourceData_Swine.SourceData_Swine_MMS_MCFs_Data(),Table_SourceData_Swine_MMSMCF[[#Headers],[MMS]],0)</calculatedColumnFormula>
    </tableColumn>
    <tableColumn id="4" xr3:uid="{E7EC22B7-153C-4F7F-B6DF-70C6AE6067C0}" name="QLD" dataDxfId="276" dataCellStyle="Content normal">
      <calculatedColumnFormula array="1">Common_InputFunctions.Utility_DisplayArrayInTable(SourceData_Swine.SourceData_Swine_MMS_MCFs_Data(),Table_SourceData_Swine_MMSMCF[[#Headers],[MMS]],0)</calculatedColumnFormula>
    </tableColumn>
    <tableColumn id="5" xr3:uid="{E3DB39AC-3888-4DAC-AFB4-4430F6D8C988}" name="NT" dataDxfId="275" dataCellStyle="Content normal">
      <calculatedColumnFormula array="1">Common_InputFunctions.Utility_DisplayArrayInTable(SourceData_Swine.SourceData_Swine_MMS_MCFs_Data(),Table_SourceData_Swine_MMSMCF[[#Headers],[MMS]],0)</calculatedColumnFormula>
    </tableColumn>
    <tableColumn id="6" xr3:uid="{BB15E6C9-0B8D-41B0-9E4D-83099A7BA10A}" name="SA" dataDxfId="274" dataCellStyle="Content normal">
      <calculatedColumnFormula array="1">Common_InputFunctions.Utility_DisplayArrayInTable(SourceData_Swine.SourceData_Swine_MMS_MCFs_Data(),Table_SourceData_Swine_MMSMCF[[#Headers],[MMS]],0)</calculatedColumnFormula>
    </tableColumn>
    <tableColumn id="7" xr3:uid="{692101B7-7B18-4BA4-B893-1C1060144FA6}" name="TAS" dataDxfId="273" dataCellStyle="Content normal">
      <calculatedColumnFormula array="1">Common_InputFunctions.Utility_DisplayArrayInTable(SourceData_Swine.SourceData_Swine_MMS_MCFs_Data(),Table_SourceData_Swine_MMSMCF[[#Headers],[MMS]],0)</calculatedColumnFormula>
    </tableColumn>
    <tableColumn id="8" xr3:uid="{0E6EEF67-372C-47F3-8031-19479DDBC0D2}" name="VIC" dataDxfId="272" dataCellStyle="Content normal">
      <calculatedColumnFormula array="1">Common_InputFunctions.Utility_DisplayArrayInTable(SourceData_Swine.SourceData_Swine_MMS_MCFs_Data(),Table_SourceData_Swine_MMSMCF[[#Headers],[MMS]],0)</calculatedColumnFormula>
    </tableColumn>
    <tableColumn id="9" xr3:uid="{DBEB4BAC-A202-411A-B025-861A5F8CFEDA}" name="WA" dataDxfId="271" dataCellStyle="Content normal">
      <calculatedColumnFormula array="1">Common_InputFunctions.Utility_DisplayArrayInTable(SourceData_Swine.SourceData_Swine_MMS_MCFs_Data(),Table_SourceData_Swine_MMSMCF[[#Headers],[MMS]],0)</calculatedColumnFormula>
    </tableColumn>
    <tableColumn id="10" xr3:uid="{6990F525-4089-4C29-8471-1C9EBAFB8D4A}" name="NIR definition" dataDxfId="2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20AC2A57-9385-49AE-B2FF-B7E6A0356530}" name="Table_SourceData_SwineMMS" displayName="Table_SourceData_SwineMMS" ref="D40:E47" totalsRowShown="0">
  <autoFilter ref="D40:E47" xr:uid="{42F7033B-606B-4A24-9223-A30737FDC1FE}">
    <filterColumn colId="0" hiddenButton="1"/>
    <filterColumn colId="1" hiddenButton="1"/>
  </autoFilter>
  <tableColumns count="2">
    <tableColumn id="1" xr3:uid="{24D5E23A-E9D4-459C-918A-54F461F4BF40}" name="MMS"/>
    <tableColumn id="2" xr3:uid="{09282315-CDE6-44E5-9A34-EE50EBF98BED}"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76A71C86-67C9-462E-881D-302FB5C214A7}" name="Table_SourceData_SwineVSL" displayName="Table_SourceData_SwineVSL" ref="D53:E60" totalsRowShown="0">
  <autoFilter ref="D53:E60" xr:uid="{079C074C-6E98-47B5-B4E5-F8A1F12104F2}">
    <filterColumn colId="0" hiddenButton="1"/>
    <filterColumn colId="1" hiddenButton="1"/>
  </autoFilter>
  <tableColumns count="2">
    <tableColumn id="1" xr3:uid="{41D2290A-514B-4961-BEEB-F40E3DC86C5D}" name="MMS"/>
    <tableColumn id="2" xr3:uid="{9D1C3E57-82FD-4F86-AE6B-36648096A786}"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17B3DCD-6B88-4F1A-B4FB-1AEFFFA9D5CC}"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A69AA58-C7AF-4118-9B48-D740966F5E6A}" name="MMS"/>
    <tableColumn id="2" xr3:uid="{A5975EDF-0A94-42B6-89BB-2C277161A104}"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DF93F32B-09DE-4178-86AC-7D76CA4258AA}"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DC70421-F970-41C5-97BA-D5A6CD2B1E9D}" name="MMS"/>
    <tableColumn id="2" xr3:uid="{5D87D5E9-A649-4E17-829E-C5486DCDB41F}"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2D4818CD-55E8-4E3D-8C1D-C0795427F9EC}" name="Table_SourceData_Swine_ProductionSystems" displayName="Table_SourceData_Swine_ProductionSystems" ref="G53:G56" totalsRowShown="0">
  <autoFilter ref="G53:G56" xr:uid="{A6BE3FFD-EB90-45EB-8756-16A72E0C6869}">
    <filterColumn colId="0" hiddenButton="1"/>
  </autoFilter>
  <tableColumns count="1">
    <tableColumn id="1" xr3:uid="{A7837E09-4F88-4200-8398-0AB1B29ABD59}"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111FFB82-04A8-4C74-B397-2486E4072047}" name="Table_SourceData_Swine_NitrogenInWaste" displayName="Table_SourceData_Swine_NitrogenInWaste" ref="D89:G93" totalsRowShown="0" dataDxfId="269" dataCellStyle="Content normal">
  <autoFilter ref="D89:G93" xr:uid="{61D86DCB-D80D-4593-96F3-A897FC93073F}">
    <filterColumn colId="0" hiddenButton="1"/>
    <filterColumn colId="1" hiddenButton="1"/>
    <filterColumn colId="2" hiddenButton="1"/>
    <filterColumn colId="3" hiddenButton="1"/>
  </autoFilter>
  <tableColumns count="4">
    <tableColumn id="1" xr3:uid="{9F18062E-F10C-4A4E-9EF1-6864FAD45231}" name="Class" dataDxfId="268" dataCellStyle="Content normal">
      <calculatedColumnFormula array="1">Common_InputFunctions.Utility_DisplayArrayInTable(SourceData_Swine.SourceData_Swine_NitrogenInWaste_Data(), Table_SourceData_Swine_NitrogenInWaste[[#Headers],[Class]], 0)</calculatedColumnFormula>
    </tableColumn>
    <tableColumn id="2" xr3:uid="{AD1FE5A5-CD7F-4B77-AA2D-7DB084616CD0}" name="NWj" dataDxfId="267" dataCellStyle="Content normal">
      <calculatedColumnFormula array="1">Common_InputFunctions.Utility_DisplayArrayInTable(SourceData_Swine.SourceData_Swine_NitrogenInWaste_Data(), Table_SourceData_Swine_NitrogenInWaste[[#Headers],[Class]], 0)</calculatedColumnFormula>
    </tableColumn>
    <tableColumn id="3" xr3:uid="{7CFF11E1-EF2B-40A9-94C8-9175F4559629}" name="NWj Daily" dataDxfId="266" dataCellStyle="Content normal">
      <calculatedColumnFormula array="1">Common_InputFunctions.Utility_DisplayArrayInTable(SourceData_Swine.SourceData_Swine_NitrogenInWaste_Data(), Table_SourceData_Swine_NitrogenInWaste[[#Headers],[Class]], 0)</calculatedColumnFormula>
    </tableColumn>
    <tableColumn id="4" xr3:uid="{7AFB08AA-8927-4993-88E3-88276A34731D}" name="Class name" dataDxfId="2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A8A05FFC-15EE-40AE-8819-227F60BEA559}" name="Table_SourceData_Swine_FeedIntake" displayName="Table_SourceData_Swine_FeedIntake" ref="D78:E82" totalsRowShown="0" dataDxfId="264" dataCellStyle="Content normal">
  <autoFilter ref="D78:E82" xr:uid="{E34928EB-73E5-43B2-830B-089F30DA4EF0}">
    <filterColumn colId="0" hiddenButton="1"/>
    <filterColumn colId="1" hiddenButton="1"/>
  </autoFilter>
  <tableColumns count="2">
    <tableColumn id="1" xr3:uid="{FD5147F7-D9E6-407C-A75C-27E912D0C7E7}" name="Class" dataDxfId="263" dataCellStyle="Content normal">
      <calculatedColumnFormula array="1">Common_InputFunctions.Utility_DisplayArrayInTable(SourceData_Swine.SourceData_Swine_FeedIntake_Data(), Table_SourceData_Swine_FeedIntake[[#Headers],[Class]], 0)</calculatedColumnFormula>
    </tableColumn>
    <tableColumn id="2" xr3:uid="{32689823-22A7-4C93-B118-3DB330E3C627}" name="Ij" dataDxfId="2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2DEBA504-64C9-430D-B1BC-5780D9804980}"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BB386946-F600-43BF-9F0E-F2646CE19EA5}" name="MMSm">
      <calculatedColumnFormula array="1">Common_InputFunctions.Utility_DisplayArrayInTable(SourceData_Swine.SourceData_Swine_FractionNVolatilised_Data(), Table_SourceData_Swine_FracGASM[[#Headers],[MMSm]],0)</calculatedColumnFormula>
    </tableColumn>
    <tableColumn id="2" xr3:uid="{C4E9D6BE-4B9D-4FD3-B77A-D2ED28C91CD3}" name="FracGASMmT">
      <calculatedColumnFormula array="1">Common_InputFunctions.Utility_DisplayArrayInTable(SourceData_Swine.SourceData_Swine_FractionNVolatilised_Data(), Table_SourceData_Swine_FracGASM[[#Headers],[MMSm]],0)</calculatedColumnFormula>
    </tableColumn>
    <tableColumn id="3" xr3:uid="{4586AF62-A40D-4ABF-ABE4-EBE8DA7FECDC}"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E6D62BD2-AE7B-4976-BC0F-515A1BD25849}" name="Table_SourceData_Swine_FracGASM28" displayName="Table_SourceData_Swine_FracGASM28" ref="D111:F117" totalsRowShown="0" dataDxfId="261" dataCellStyle="Content normal">
  <autoFilter ref="D111:F117" xr:uid="{1333872B-E46C-4DC7-8E2D-1F3D704794C8}">
    <filterColumn colId="0" hiddenButton="1"/>
    <filterColumn colId="1" hiddenButton="1"/>
    <filterColumn colId="2" hiddenButton="1"/>
  </autoFilter>
  <tableColumns count="3">
    <tableColumn id="1" xr3:uid="{10D440ED-B770-40EA-BE7C-613C0CFD3C1B}" name="MMSm" dataDxfId="260" dataCellStyle="Content normal">
      <calculatedColumnFormula array="1">Common_InputFunctions.Utility_DisplayArrayInTable(SourceData_Swine.SourceData_Swine_NitrousOxideEFs_Data(), Table_SourceData_Swine_FracGASM28[[#Headers],[MMSm]],0)</calculatedColumnFormula>
    </tableColumn>
    <tableColumn id="2" xr3:uid="{224F0DDC-D578-45E4-9AB5-77B9BF1875FA}" name="EFmT" dataDxfId="259" dataCellStyle="Content normal">
      <calculatedColumnFormula array="1">Common_InputFunctions.Utility_DisplayArrayInTable(SourceData_Swine.SourceData_Swine_NitrousOxideEFs_Data(), Table_SourceData_Swine_FracGASM28[[#Headers],[MMSm]],0)</calculatedColumnFormula>
    </tableColumn>
    <tableColumn id="3" xr3:uid="{44ED7659-A15E-4B11-8D72-AD2A00A3559C}" name="NIR reference" dataDxfId="2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5CFFA178-5E3B-49D8-8E98-2877174A2D73}" name="Table_SourceData_Swine_CropProdSystems" displayName="Table_SourceData_Swine_CropProdSystems" ref="D8:D10" totalsRowShown="0">
  <autoFilter ref="D8:D10" xr:uid="{1DC3FD95-46BB-428C-8DAB-6CC542C27F2F}">
    <filterColumn colId="0" hiddenButton="1"/>
  </autoFilter>
  <tableColumns count="1">
    <tableColumn id="1" xr3:uid="{FF6DEE6D-7A50-4202-94E0-27C973E92700}"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DD0259A4-D29E-4333-9C51-50E77944905E}" name="Table_SourceData_Swine_IrrigationMethods" displayName="Table_SourceData_Swine_IrrigationMethods" ref="G8:G13" totalsRowShown="0">
  <autoFilter ref="G8:G13" xr:uid="{AA6B756B-6FF9-48AC-BC54-06A8937EFD12}">
    <filterColumn colId="0" hiddenButton="1"/>
  </autoFilter>
  <tableColumns count="1">
    <tableColumn id="1" xr3:uid="{D5C06089-F01F-4531-9EA4-7A8DE9670289}"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7A46405F-C784-4354-ADA8-EB9119F3A103}"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BBCCB0EE-8FC4-40BE-BDF9-D38CBF30F8AE}" name="Livestock type j">
      <calculatedColumnFormula array="1">Common_InputFunctions.Utility_DisplayArrayInTable(SourceData_Swine.SourceData_Swine_AverageLiveweight_Data(),Table_SourceData_Swine_Liveweight[[#Headers],[Livestock type j]],0)</calculatedColumnFormula>
    </tableColumn>
    <tableColumn id="2" xr3:uid="{1D315D7F-DD6B-4E08-820A-D27A7C03AC0B}" name="Average liveweight (kg)" dataDxfId="2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E9A60FA-20F7-4F29-A4F5-8BFDE9553BD5}" name="Table_SourceData_Dairy_MMS" displayName="Table_SourceData_Dairy_MMS" ref="D7:E11" totalsRowShown="0">
  <autoFilter ref="D7:E11" xr:uid="{D5C443B2-EDE2-4250-B2EE-016878D19AD9}">
    <filterColumn colId="0" hiddenButton="1"/>
    <filterColumn colId="1" hiddenButton="1"/>
  </autoFilter>
  <tableColumns count="2">
    <tableColumn id="1" xr3:uid="{7C15DBA9-0310-45F0-B09A-1C0C81E2AAF9}" name="MMS"/>
    <tableColumn id="2" xr3:uid="{D702BA51-F4D1-4F99-9303-B59ED75E53D1}" name="Symbol and MMS" dataDxfId="256"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92221D92-FD6E-4A31-AB25-7872C39FBA0E}" name="Table_SourceData_Dairy_CropProdSystems" displayName="Table_SourceData_Dairy_CropProdSystems" ref="G7:G9" totalsRowShown="0">
  <autoFilter ref="G7:G9" xr:uid="{B6F3FE3A-A0B5-47E7-85B2-8426FB75A7C8}">
    <filterColumn colId="0" hiddenButton="1"/>
  </autoFilter>
  <tableColumns count="1">
    <tableColumn id="1" xr3:uid="{A844E4B3-C6EE-4468-9388-B4596499D8B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0A25FE8-3895-410F-9678-03518EC3D582}" name="Table_SourceData_Dairy_IrrigationMethods" displayName="Table_SourceData_Dairy_IrrigationMethods" ref="J7:J12" totalsRowShown="0">
  <autoFilter ref="J7:J12" xr:uid="{FE172B77-CEA3-430C-84BC-392A64D0B8FF}">
    <filterColumn colId="0" hiddenButton="1"/>
  </autoFilter>
  <tableColumns count="1">
    <tableColumn id="1" xr3:uid="{DD2B9D93-202B-4B3A-8C67-448DAB77ED0F}"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1593514-DACF-4F58-A62A-9656E1374F61}"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15576170-3C21-480E-B9E6-71A6002ECD7D}" name="Breed">
      <calculatedColumnFormula array="1">Common_InputFunctions.Utility_DisplayArrayInTable(SourceData_Dairy.SourceData_Dairy_LiveweightCowsAndHeifers_Data(), Table_SourceData_Dairy_WjCowsHeifers[[#Headers],[Breed]], 0)</calculatedColumnFormula>
    </tableColumn>
    <tableColumn id="2" xr3:uid="{24662114-2448-4B8B-A657-18FD404A390E}" name="Milking cows" dataDxfId="255" dataCellStyle="Content normal">
      <calculatedColumnFormula array="1">Common_InputFunctions.Utility_DisplayArrayInTable(SourceData_Dairy.SourceData_Dairy_LiveweightCowsAndHeifers_Data(), Table_SourceData_Dairy_WjCowsHeifers[[#Headers],[Breed]], 0)</calculatedColumnFormula>
    </tableColumn>
    <tableColumn id="3" xr3:uid="{7283F3F5-C084-43CC-874D-A66FC26C1EEB}" name="Heifers &gt; 1" dataDxfId="254" dataCellStyle="Content normal">
      <calculatedColumnFormula array="1">Common_InputFunctions.Utility_DisplayArrayInTable(SourceData_Dairy.SourceData_Dairy_LiveweightCowsAndHeifers_Data(), Table_SourceData_Dairy_WjCowsHeifers[[#Headers],[Breed]], 0)</calculatedColumnFormula>
    </tableColumn>
    <tableColumn id="4" xr3:uid="{A75A42CD-B0BA-48F3-98D6-BB8B32515919}" name="Heifers &lt; 1 (weaned)" dataDxfId="25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064C1BD3-9212-4503-820F-4097A9F67A9E}"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3E4B42F4-6662-4742-9547-B3FB774DB1A6}" name="Breed">
      <calculatedColumnFormula array="1">Common_InputFunctions.Utility_DisplayArrayInTable(SourceData_Dairy.SourceData_Dairy_LiveweightBulls_Data(), Table_SourceData_Dairy_WjBulls[[#Headers],[Breed]], 0)</calculatedColumnFormula>
    </tableColumn>
    <tableColumn id="2" xr3:uid="{0E8C92A6-A4F8-4963-B6E0-74658C14950A}" name="Bulls &gt; 1" dataDxfId="252" dataCellStyle="Content normal">
      <calculatedColumnFormula array="1">Common_InputFunctions.Utility_DisplayArrayInTable(SourceData_Dairy.SourceData_Dairy_LiveweightBulls_Data(), Table_SourceData_Dairy_WjBulls[[#Headers],[Breed]], 0)</calculatedColumnFormula>
    </tableColumn>
    <tableColumn id="3" xr3:uid="{4CF0CF53-1D09-472F-B555-9FB36E66DBC4}" name="Bulls &lt; 1 (weaned)" dataDxfId="25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4EB03907-0361-42BE-99C8-55227F1F3C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A291AE2B-EBAA-41A1-BCE0-358C096515AB}" name="Milking cows">
      <calculatedColumnFormula array="1">Common_InputFunctions.Utility_DisplayArrayInTable(SourceData_Dairy.SourceData_Dairy_LiveweightGain_Data(), Table_SourceData_Dairy_LWGj[[#Headers],[Milking cows]], 0)</calculatedColumnFormula>
    </tableColumn>
    <tableColumn id="2" xr3:uid="{28BF2895-A122-45F6-9DCB-AF66737805E2}" name="Heifers &gt; 1" dataDxfId="250" dataCellStyle="Content normal">
      <calculatedColumnFormula array="1">Common_InputFunctions.Utility_DisplayArrayInTable(SourceData_Dairy.SourceData_Dairy_LiveweightGain_Data(), Table_SourceData_Dairy_LWGj[[#Headers],[Milking cows]], 0)</calculatedColumnFormula>
    </tableColumn>
    <tableColumn id="3" xr3:uid="{AC5D3BB9-7F3E-4928-854C-E2A90F0510DD}" name="Heifers &lt; 1 (weaned)" dataDxfId="249" dataCellStyle="Content normal">
      <calculatedColumnFormula array="1">Common_InputFunctions.Utility_DisplayArrayInTable(SourceData_Dairy.SourceData_Dairy_LiveweightGain_Data(), Table_SourceData_Dairy_LWGj[[#Headers],[Milking cows]], 0)</calculatedColumnFormula>
    </tableColumn>
    <tableColumn id="4" xr3:uid="{09101AB5-6857-4EF6-8DEB-0712ABDEEB68}" name="Bulls &gt; 1" dataDxfId="248" dataCellStyle="Content normal">
      <calculatedColumnFormula array="1">Common_InputFunctions.Utility_DisplayArrayInTable(SourceData_Dairy.SourceData_Dairy_LiveweightGain_Data(), Table_SourceData_Dairy_LWGj[[#Headers],[Milking cows]], 0)</calculatedColumnFormula>
    </tableColumn>
    <tableColumn id="5" xr3:uid="{AD4B7FD7-6BB0-4547-8CC7-C5CC2C32D2B5}" name="Bulls &lt; 1 (weaned)" dataDxfId="24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1002CB0B-AEC5-41E0-A5A4-B4011C2E341C}" name="Table_SourceData_Dairy_WRj" displayName="Table_SourceData_Dairy_WRj" ref="D54:H55" totalsRowShown="0" headerRowDxfId="24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9B4D5A85-A673-4F11-932F-F3137D2B0FE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2E7F4707-0A82-4746-BE36-3F0844D3FC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0C33BEF-8D81-4235-AA95-87C72A6583D7}"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F58B790B-AACB-49C3-9F07-0137A5D6AC8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C60F7BD-B4C1-421F-A64A-E0CE0D26533E}"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34E4EAE1-55D4-417C-BCC6-17F83B838299}" name="Table_SourceData_Dairy_DataPreWeaned" displayName="Table_SourceData_Dairy_DataPreWeaned" ref="D62:G64" totalsRowShown="0" dataDxfId="24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D79846-464E-4861-B236-B74E06456979}" name="Animal class j" dataDxfId="244" dataCellStyle="Content normal">
      <calculatedColumnFormula array="1">Common_InputFunctions.Utility_DisplayArrayInTable(SourceData_Dairy.SourceData_Dairy_PreWeanedCalves_Data(), Table_SourceData_Dairy_DataPreWeaned[[#Headers],[Animal class j]], -1)</calculatedColumnFormula>
    </tableColumn>
    <tableColumn id="2" xr3:uid="{18741A51-A3D9-40AE-B0BE-4FD3DA565652}" name="CH4 production" dataDxfId="243" dataCellStyle="Content normal">
      <calculatedColumnFormula array="1">Common_InputFunctions.Utility_DisplayArrayInTable(SourceData_Dairy.SourceData_Dairy_PreWeanedCalves_Data(), Table_SourceData_Dairy_DataPreWeaned[[#Headers],[Animal class j]], -1)</calculatedColumnFormula>
    </tableColumn>
    <tableColumn id="3" xr3:uid="{23C47F9C-0A40-47BA-BF15-A29BAF6E5D15}" name="Volatile solids (VSj=3,5)" dataDxfId="242" dataCellStyle="Content normal">
      <calculatedColumnFormula array="1">Common_InputFunctions.Utility_DisplayArrayInTable(SourceData_Dairy.SourceData_Dairy_PreWeanedCalves_Data(), Table_SourceData_Dairy_DataPreWeaned[[#Headers],[Animal class j]], -1)</calculatedColumnFormula>
    </tableColumn>
    <tableColumn id="4" xr3:uid="{09115326-3AC5-4B2C-849F-8152FED61249}" name="Nitrogen Excreted (NPWj=3,5)" dataDxfId="24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9BEB0970-1465-4E90-A421-568BAB5347B5}"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68CD74C-0F0E-4248-AD9F-AB9AD6C1E961}" name="MMS m">
      <calculatedColumnFormula array="1">Common_InputFunctions.Utility_DisplayArrayInTable(SourceData_Dairy.SourceData_Dairy_MCF_Data(), Table_SourceData_Dairy_MCFjm[[#Headers],[MMS m]], 0)</calculatedColumnFormula>
    </tableColumn>
    <tableColumn id="2" xr3:uid="{96228F47-5DD4-4524-B0D4-6CFB5AADF373}" name="ACT" dataDxfId="240" dataCellStyle="Content normal">
      <calculatedColumnFormula array="1">Common_InputFunctions.Utility_DisplayArrayInTable(SourceData_Dairy.SourceData_Dairy_MCF_Data(), Table_SourceData_Dairy_MCFjm[[#Headers],[MMS m]], 0)</calculatedColumnFormula>
    </tableColumn>
    <tableColumn id="3" xr3:uid="{5CEBDDD6-0E27-424E-A608-31A57A55940E}" name="NSW" dataDxfId="239" dataCellStyle="Content normal">
      <calculatedColumnFormula array="1">Common_InputFunctions.Utility_DisplayArrayInTable(SourceData_Dairy.SourceData_Dairy_MCF_Data(), Table_SourceData_Dairy_MCFjm[[#Headers],[MMS m]], 0)</calculatedColumnFormula>
    </tableColumn>
    <tableColumn id="4" xr3:uid="{3815B4EB-4F8A-40A4-81C0-2D674BD09ACC}" name="NT" dataDxfId="238" dataCellStyle="Content normal">
      <calculatedColumnFormula array="1">Common_InputFunctions.Utility_DisplayArrayInTable(SourceData_Dairy.SourceData_Dairy_MCF_Data(), Table_SourceData_Dairy_MCFjm[[#Headers],[MMS m]], 0)</calculatedColumnFormula>
    </tableColumn>
    <tableColumn id="5" xr3:uid="{5A726C64-AB32-4FE9-83CB-F26259DC698E}" name="QLD" dataDxfId="237" dataCellStyle="Content normal">
      <calculatedColumnFormula array="1">Common_InputFunctions.Utility_DisplayArrayInTable(SourceData_Dairy.SourceData_Dairy_MCF_Data(), Table_SourceData_Dairy_MCFjm[[#Headers],[MMS m]], 0)</calculatedColumnFormula>
    </tableColumn>
    <tableColumn id="6" xr3:uid="{1C562F29-07BB-4108-9FCC-06D827F69758}" name="SA" dataDxfId="236" dataCellStyle="Content normal">
      <calculatedColumnFormula array="1">Common_InputFunctions.Utility_DisplayArrayInTable(SourceData_Dairy.SourceData_Dairy_MCF_Data(), Table_SourceData_Dairy_MCFjm[[#Headers],[MMS m]], 0)</calculatedColumnFormula>
    </tableColumn>
    <tableColumn id="7" xr3:uid="{6530AE6D-9F8F-4D77-956A-52690CE06E0D}" name="TAS" dataDxfId="235" dataCellStyle="Content normal">
      <calculatedColumnFormula array="1">Common_InputFunctions.Utility_DisplayArrayInTable(SourceData_Dairy.SourceData_Dairy_MCF_Data(), Table_SourceData_Dairy_MCFjm[[#Headers],[MMS m]], 0)</calculatedColumnFormula>
    </tableColumn>
    <tableColumn id="8" xr3:uid="{302E744F-9EC4-46B4-91C9-5AA4C2DAF16F}" name="VIC" dataDxfId="234" dataCellStyle="Content normal">
      <calculatedColumnFormula array="1">Common_InputFunctions.Utility_DisplayArrayInTable(SourceData_Dairy.SourceData_Dairy_MCF_Data(), Table_SourceData_Dairy_MCFjm[[#Headers],[MMS m]], 0)</calculatedColumnFormula>
    </tableColumn>
    <tableColumn id="9" xr3:uid="{6C657F90-12F4-444C-AA5E-94D581B28B0F}" name="WA" dataDxfId="233" dataCellStyle="Content normal">
      <calculatedColumnFormula array="1">Common_InputFunctions.Utility_DisplayArrayInTable(SourceData_Dairy.SourceData_Dairy_MCF_Data(), Table_SourceData_Dairy_MCFjm[[#Headers],[MMS m]], 0)</calculatedColumnFormula>
    </tableColumn>
    <tableColumn id="10" xr3:uid="{7512E1C0-7C42-430C-8D39-2265E9ECF864}" name="NIR reference" dataDxfId="23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90FCDD50-E9E7-4EEF-B7E0-929A824F74E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4805FC7E-7B8E-4B86-AE54-CD80C41DC6DA}" name="MMS m">
      <calculatedColumnFormula array="1">Common_InputFunctions.Utility_DisplayArrayInTable(SourceData_Dairy.SourceData_Dairy_NitrousOxideEFsAndFracGASM_Data(), Table_SourceData_Dairy_EFmFracGASM[[#Headers],[MMS m]], 0)</calculatedColumnFormula>
    </tableColumn>
    <tableColumn id="2" xr3:uid="{53DAD6C3-CF22-4DBA-9500-AADFE5E617B1}" name="EFm" dataDxfId="231" dataCellStyle="Content normal">
      <calculatedColumnFormula array="1">Common_InputFunctions.Utility_DisplayArrayInTable(SourceData_Dairy.SourceData_Dairy_NitrousOxideEFsAndFracGASM_Data(), Table_SourceData_Dairy_EFmFracGASM[[#Headers],[MMS m]], 0)</calculatedColumnFormula>
    </tableColumn>
    <tableColumn id="3" xr3:uid="{A2397207-4AD3-482B-9B8E-E4BF66F6A4C3}" name="FracGASMm" dataDxfId="230" dataCellStyle="Content normal">
      <calculatedColumnFormula array="1">Common_InputFunctions.Utility_DisplayArrayInTable(SourceData_Dairy.SourceData_Dairy_NitrousOxideEFsAndFracGASM_Data(), Table_SourceData_Dairy_EFmFracGASM[[#Headers],[MMS m]], 0)</calculatedColumnFormula>
    </tableColumn>
    <tableColumn id="4" xr3:uid="{D4F0C9D4-CFD9-4804-94BB-35D9C41683E5}" name="NIR reference" dataDxfId="22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EC7041A5-830F-4871-B10D-5F64F6B12B8A}"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7B18E471-9E3F-4EAE-BE1C-AEC8171CAAD6}"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EB65CB6D-D670-4EF1-B975-9AD687CC6EC1}" name="MPW ENTERIC" dataDxfId="22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03EC1A26-0A74-44BC-BBC0-376BA9A38EF8}"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3C39A7F9-3E3F-440D-B4AC-5084DAA803A1}" name="Animal class j">
      <calculatedColumnFormula array="1">Common_InputFunctions.Utility_DisplayArrayInTable(SourceData_Dairy.SourceData_Dairy_IncreasedMetabolicRateMilk_Data(), Table_SourceData_Dairy_MRj[[#Headers],[Animal class j]], 0)</calculatedColumnFormula>
    </tableColumn>
    <tableColumn id="2" xr3:uid="{9BD93B67-9F81-4C9D-9F7A-7EAA3717249F}" name="MRj" dataDxfId="22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854E6173-3A4A-4C98-9C80-E2312233D53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294434DB-D006-4B3F-B3CE-51545F74D4DF}" name="Area">
      <calculatedColumnFormula array="1">Common_InputFunctions.Utility_DisplayArrayInTable(SourceData_Dairy.SourceData_Dairy_FractionVolatileSolidsVoidedMMS_Data(), Table_SourceData_Dairy_ProductionSystemTemplates[[#Headers],[Area]], 0)</calculatedColumnFormula>
    </tableColumn>
    <tableColumn id="2" xr3:uid="{7FAC22CB-1395-4F1C-9F7F-4897F9C94F64}" name="Pasture" dataDxfId="22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8BA37F2D-E5C2-4243-9965-36704411A24E}" name="Milking shed" dataDxfId="22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8BFD5335-CD38-4D13-AC98-11167D269CAA}" name="Feedpad" dataDxfId="22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EB402D5-B229-4C6B-AC32-4D05AC979C5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D32A5B3-391D-497C-926F-7B1D226A7B67}" name="MMS m">
      <calculatedColumnFormula array="1">Common_InputFunctions.Utility_DisplayArrayInTable(SourceData_Dairy.SourceData_Dairy_EFNitrousOxidePerMMS_Data(), Table_SourceData_Dairy_EFm[[#Headers],[MMS m]], 0)</calculatedColumnFormula>
    </tableColumn>
    <tableColumn id="2" xr3:uid="{2BF3C8AF-A714-4EC8-907E-059817D6B590}" name="EFm" dataDxfId="223" dataCellStyle="Content normal">
      <calculatedColumnFormula array="1">Common_InputFunctions.Utility_DisplayArrayInTable(SourceData_Dairy.SourceData_Dairy_EFNitrousOxidePerMMS_Data(), Table_SourceData_Dairy_EFm[[#Headers],[MMS m]], 0)</calculatedColumnFormula>
    </tableColumn>
    <tableColumn id="3" xr3:uid="{BDA19480-C84D-4609-918C-D5F4562392DB}" name="NIR reference" dataDxfId="22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56F40261-A806-4D84-90D8-5C496FFC07A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75B66023-652B-401A-BD69-A3CE2B37FA67}" name="Animal class j">
      <calculatedColumnFormula array="1">Common_InputFunctions.Utility_DisplayArrayInTable(SourceData_Dairy.SourceData_Dairy_DurationOfStay_Data(), Table_SourceData_Dairy_Duration[[#Headers],[Animal class j]], 0)</calculatedColumnFormula>
    </tableColumn>
    <tableColumn id="2" xr3:uid="{1F776FFB-8CCC-4E5B-AFC1-BE5880DB19D7}" name="Duration (weaned)" dataDxfId="221" dataCellStyle="Content normal">
      <calculatedColumnFormula array="1">Common_InputFunctions.Utility_DisplayArrayInTable(SourceData_Dairy.SourceData_Dairy_DurationOfStay_Data(), Table_SourceData_Dairy_Duration[[#Headers],[Animal class j]], 0)</calculatedColumnFormula>
    </tableColumn>
    <tableColumn id="3" xr3:uid="{0235DCDE-4D67-48AD-95A1-1D47C2A387ED}" name="Duration (pre-weaned)" dataDxfId="22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C2CC4E84-7F57-4471-AE1A-9E187C8F7240}" name="Table_LivestockClasses_Dairy" displayName="Table_LivestockClasses_Dairy" ref="L7:L12" totalsRowShown="0">
  <autoFilter ref="L7:L12" xr:uid="{F006A23F-3930-4C16-9B92-37DD408BCC17}">
    <filterColumn colId="0" hiddenButton="1"/>
  </autoFilter>
  <tableColumns count="1">
    <tableColumn id="1" xr3:uid="{B89057A7-AD80-4888-A5F9-C41D2DFE219E}" name="Livestock class"/>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6550B64D-7D69-4E26-B1D5-A269A7EC9871}" name="Table_SourceData_PastureBeef_CropProdSystems" displayName="Table_SourceData_PastureBeef_CropProdSystems" ref="D7:D9" totalsRowShown="0">
  <autoFilter ref="D7:D9" xr:uid="{B6F3FE3A-A0B5-47E7-85B2-8426FB75A7C8}">
    <filterColumn colId="0" hiddenButton="1"/>
  </autoFilter>
  <tableColumns count="1">
    <tableColumn id="1" xr3:uid="{6A2C6321-9616-4EE6-8C92-98CEB47E1381}" name="Production system">
      <calculatedColumnFormula>#REF!</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8EFF777F-4432-465B-B87F-3E263DBE988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3EC3B39-7E3C-4AE9-BA0C-F39394DB2D48}" name="Irrigation method"/>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78CDDEB2-B39F-478F-BF23-94A3AC33B8EE}"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3E44C09-F621-42D2-9B0F-C594227C923F}" name="State">
      <calculatedColumnFormula array="1">Common_InputFunctions.Utility_DisplayArrayInTable(SourceData_PastureBeef.SourceData_PastureBeef_Liveweight_Data(), Table_SourceData_PastureBeef_Liveweight[[#Headers],[State]], 0)</calculatedColumnFormula>
    </tableColumn>
    <tableColumn id="2" xr3:uid="{6ED196C3-5990-4CBB-81BD-89D02C29DFF6}" name="Region" dataDxfId="2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DEEF7183-D328-4B44-9250-AFB376CAF658}" name="Season" dataDxfId="2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3D8C5FF9-9E32-437B-9923-2ECD04C947D3}" name="Bull &lt; 1" dataDxfId="2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337F679-3FC3-4444-BBD1-47185FFD4384}" name="Bull &gt; 1" dataDxfId="2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085C604-AB4E-4313-888C-138EEF47A7CA}" name="Cow &lt; 1" dataDxfId="2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6DBED22-811E-4F31-894C-110856D1484E}" name="Cow 1-2" dataDxfId="2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0F789192-B431-41D1-8C26-295A08D33AFF}" name="Cow &gt; 2" dataDxfId="2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65BC9164-8348-42BA-B4B5-222433FB1003}" name="Steer &lt; 1" dataDxfId="2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0E89E34-576E-424B-AA91-6C53D5EF9478}" name="Steer &gt; 1" dataDxfId="2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3A68E067-6600-435B-93C4-4E398262A0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1F1981A-90E4-4A83-B9B5-D35FA424DF1F}" name="State">
      <calculatedColumnFormula array="1">Common_InputFunctions.Utility_DisplayArrayInTable(SourceData_PastureBeef.SourceData_PastureBeef_LiveweightNTQLD_Data(),Table_SourceData_PastureBeef_LiveweightNTQD[[#Headers],[State]], 0)</calculatedColumnFormula>
    </tableColumn>
    <tableColumn id="2" xr3:uid="{33D37552-3056-422F-9888-42021009B049}" name="Region"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FE79234-B022-48AF-8316-796053E06CE8}" name="Season"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D8475E4-5772-4EC3-947A-802BB6A70754}" name="Bull &lt;1" dataDxfId="2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4A5E16E-1108-483D-A177-42A184F3B8F8}" name="Bull &gt;1" dataDxfId="2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2EC424E-5209-4F18-853E-6CF49A3A2AE2}" name="Cows &lt;1" dataDxfId="2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6611F33D-47AC-41C7-A1C3-EF9DDC98D3A1}" name="Cows 1-2" dataDxfId="2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44725A82-A7EC-4A90-99C1-9964746DEFFB}" name="Cows 2-3" dataDxfId="2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D47F27E4-2EFC-45FD-82E3-C36B44E2758F}" name="Cows &gt;3" dataDxfId="2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6C5659-F88F-4E69-B986-981C4AA78055}" name="Steer &lt;1" dataDxfId="2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D7E047BF-DC5D-4779-AD26-F910A2652CB3}" name="Steer 1-2" dataDxfId="2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877B3E2-A5B2-47B9-A355-73DCE93608FD}" name="Steer 2-3" dataDxfId="2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7E82DE9-C359-4F74-B39E-D81BCD5AF1F6}" name="Steer &gt;3" dataDxfId="1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68007C1C-513F-4FD9-8D07-1487F4979E5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989ADE-4FC9-4E65-A305-A9413EBDC9A4}" name="State"/>
    <tableColumn id="2" xr3:uid="{767853F5-FE67-4B65-9C8E-ED9E21CAA946}" name="Region">
      <calculatedColumnFormula>E22</calculatedColumnFormula>
    </tableColumn>
    <tableColumn id="3" xr3:uid="{57995842-579B-4CA9-A5B1-F4171464AF4A}" name="Season">
      <calculatedColumnFormula>F22</calculatedColumnFormula>
    </tableColumn>
    <tableColumn id="4" xr3:uid="{A34C9F51-3A97-4208-A1C3-495E3AC0739B}" name="Bulls &lt; 1 year">
      <calculatedColumnFormula>G22</calculatedColumnFormula>
    </tableColumn>
    <tableColumn id="5" xr3:uid="{CDACF364-9F4C-4549-9115-55B2D5BB6FE2}" name="Bulls &gt; 1 year">
      <calculatedColumnFormula>H22</calculatedColumnFormula>
    </tableColumn>
    <tableColumn id="6" xr3:uid="{DDF1F7F1-3348-4082-8ECC-F654B35BB01C}" name="Cows &lt; 1 year">
      <calculatedColumnFormula>I22</calculatedColumnFormula>
    </tableColumn>
    <tableColumn id="7" xr3:uid="{C5A1D1A0-AC28-4F93-AC7F-C19CB64D1C1A}" name="Cows 1-2 years">
      <calculatedColumnFormula>J22</calculatedColumnFormula>
    </tableColumn>
    <tableColumn id="8" xr3:uid="{E203A6D5-897F-40BF-8166-E1469C1ED2CC}" name="Cows 2-3 years">
      <calculatedColumnFormula>K22</calculatedColumnFormula>
    </tableColumn>
    <tableColumn id="9" xr3:uid="{530AAE48-B7FF-4971-867A-4396D29E9C1A}" name="Cows &gt; 3 years">
      <calculatedColumnFormula>L22</calculatedColumnFormula>
    </tableColumn>
    <tableColumn id="10" xr3:uid="{ACF3BD7D-6467-4A93-B25C-84F65A4E2795}" name="Steers &lt; 1 year">
      <calculatedColumnFormula>M22</calculatedColumnFormula>
    </tableColumn>
    <tableColumn id="11" xr3:uid="{3828C85C-BC49-475A-8C8D-0F9DF63C3F72}" name="Steers 1-2 years">
      <calculatedColumnFormula>N22</calculatedColumnFormula>
    </tableColumn>
    <tableColumn id="12" xr3:uid="{9B864084-979A-4627-80A5-349EECC3C429}" name="Steers 2-3 years">
      <calculatedColumnFormula>#REF!</calculatedColumnFormula>
    </tableColumn>
    <tableColumn id="13" xr3:uid="{F605152E-2B3B-4995-8976-347CFBBF4995}" name="Steers &gt;3 years">
      <calculatedColumnFormula>P22</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59D74987-9B9F-4DCD-983D-36AE1E6525FD}"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E9ED957-E451-4331-B7BD-B88412051D7C}"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B85F3521-F718-443C-B7A5-43FBF1EACCDB}"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A6F44690-D6D3-48C1-B005-40EA9ED2A3A0}"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FE80D10-597E-4B46-B74F-14446E8453B6}"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65B3F20B-52EA-4344-B696-DEFE2A8011E8}"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79DFC79E-238D-4E07-9BBB-397242BB95EE}" name="Table_SourceData_PastureBeef_Region_Victoria" displayName="Table_SourceData_PastureBeef_Region_Victoria" ref="S7:S8" totalsRowShown="0">
  <autoFilter ref="S7:S8" xr:uid="{7D474D93-C1E0-4898-A434-69585070D0B9}">
    <filterColumn colId="0" hiddenButton="1"/>
  </autoFilter>
  <tableColumns count="1">
    <tableColumn id="1" xr3:uid="{B5D804A1-DCB2-43F0-BED8-BFCEA9F124A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4B74F49B-1AD0-4B8C-A949-2BDA4D096C8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697E6C4C-B41A-4E60-9B5F-20B52922C855}"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4F3B274-9973-4E9C-A8F0-2C3B4977320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4269970-3CE4-4D43-A42A-01FDD23A637C}"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64CB487E-E5DC-431A-8A30-1F584CBB960E}" name="Table_SourceData_PastureBeef_Region_Tasmania" displayName="Table_SourceData_PastureBeef_Region_Tasmania" ref="S22:S23" totalsRowShown="0">
  <autoFilter ref="S22:S23" xr:uid="{4E5A7E40-F6AE-4323-873A-9AB20571A18A}">
    <filterColumn colId="0" hiddenButton="1"/>
  </autoFilter>
  <tableColumns count="1">
    <tableColumn id="1" xr3:uid="{C52812B8-A118-42CB-8192-93E705696C1E}"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2E18BB6B-E36F-4866-A754-9E32D3E22DDF}" name="Table_SourceData_PastureBeef_Region_ACT" displayName="Table_SourceData_PastureBeef_Region_ACT" ref="S27:S28" totalsRowShown="0">
  <autoFilter ref="S27:S28" xr:uid="{3655B7FD-A2CC-4B05-9668-16F7A54ED6C1}">
    <filterColumn colId="0" hiddenButton="1"/>
  </autoFilter>
  <tableColumns count="1">
    <tableColumn id="1" xr3:uid="{4EB14B60-7926-4646-A51D-9842689578EA}"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EF7CE3AE-9959-493D-B03E-857E1639E5EA}"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1166D-249C-4885-B603-DDCDCB21D874}" name="State">
      <calculatedColumnFormula array="1">Common_InputFunctions.Utility_DisplayArrayInTable(SourceData_PastureBeef.SourceData_PastureBeef_LiveweightGain_Data(), Table_SourceData_PastureBeef_LiveweightGain[[#Headers],[State]],0)</calculatedColumnFormula>
    </tableColumn>
    <tableColumn id="2" xr3:uid="{ECC91AE6-F8CE-4EEF-8EEB-294A76F24F5F}" name="Region" dataDxfId="1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DD39986-778F-4E86-955A-3C8374AA0514}" name="Season" dataDxfId="1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F347442-A1E7-4744-97EB-10F7C4B4F86F}" name="Bull &lt;1" dataDxfId="1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0119570-CD78-49E6-9EE0-AF694D917823}" name="Bull &gt;1" dataDxfId="1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2866D803-58FF-4170-B4E0-0DB2E826F25E}" name="Cow &lt;1" dataDxfId="1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B4F30035-91A1-466F-BBF4-C418E507F9E8}" name="Cow 1-2" dataDxfId="1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A287151A-2C6E-42E9-BFCA-B11549E284EB}" name="Cow &gt;2" dataDxfId="1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4636F40-B3A9-4A58-A4E6-F6706F15121E}" name="Steer &lt;1" dataDxfId="1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3AE150B-C60D-48A5-AED2-FE5E2DD160E4}" name="Steer &gt;1" dataDxfId="1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80217512-BB1D-4E5A-9B34-55AC3E10AEAE}"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DF6B979-A807-49E0-A8DE-99AC07B69712}" name="State">
      <calculatedColumnFormula array="1">Common_InputFunctions.Utility_DisplayArrayInTable(SourceData_PastureBeef.SourceData_PastureBeef_LiveweightGainNTQLD_Data(),Table_SourceData_PastureBeef_LiveweightGainNTQLD[[#Headers],[State]],0)</calculatedColumnFormula>
    </tableColumn>
    <tableColumn id="2" xr3:uid="{F7FAF97B-1085-4AEE-98D8-668A09F583BD}" name="Region"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86FD15F-8751-40C5-AE8C-9B1EAD2E4DBE}" name="Season"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2AECBD2-3477-46F3-9DB4-7A768F8944E1}" name="Bull &lt;1" dataDxfId="1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F7E00793-89EC-48AE-907D-5BE7A047905B}" name="Bull &gt;1" dataDxfId="1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0A19C3-A082-4C43-80C9-C54820D3101F}" name="Cow &lt;1" dataDxfId="1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971BDB7-BED3-4336-AB43-F2CFD002BE4C}" name="Cow 1-2" dataDxfId="1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F95BD80-1B99-4749-9794-A70A0049F72D}" name="Cow 2-3" dataDxfId="1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F76B3433-97E9-461A-9574-B14F4D0DF7BD}" name="Cow &gt;3" dataDxfId="1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B126EFCD-EDED-4C4A-A465-A27ABE42CDC1}" name="Steer &lt;1" dataDxfId="1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7829469-8A3D-47B4-9BBF-E8EC60B29003}" name="Steer 1-2" dataDxfId="1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D4B864A5-9B01-4B4F-803E-B80C312DEDDF}" name="Steer 2-3" dataDxfId="1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E0882C2F-3C11-4947-93B5-4F7BFD6E4976}" name="Steer &gt;3" dataDxfId="1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A185F41F-4FFA-4950-A0DF-BCD14F05229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86F1D3D-BB78-4328-A509-6FA4C0F7A031}" name="State"/>
    <tableColumn id="2" xr3:uid="{AD46B9F9-F7F6-43E0-B42B-72B3F4C3F046}" name="Region">
      <calculatedColumnFormula>E159</calculatedColumnFormula>
    </tableColumn>
    <tableColumn id="3" xr3:uid="{B89FEFFB-FE05-4C83-B5BA-6A28E07C59BF}" name="Season">
      <calculatedColumnFormula>F159</calculatedColumnFormula>
    </tableColumn>
    <tableColumn id="4" xr3:uid="{8B22A71D-88D4-4301-9F63-935653845F33}" name="Bulls &lt; 1 year">
      <calculatedColumnFormula>G159</calculatedColumnFormula>
    </tableColumn>
    <tableColumn id="5" xr3:uid="{462D8BA1-7365-40A4-BB47-E18AA27B7685}" name="Bulls &gt; 1 year">
      <calculatedColumnFormula>H159</calculatedColumnFormula>
    </tableColumn>
    <tableColumn id="6" xr3:uid="{0EF65627-0D80-4918-87DE-B4217EFAAF1A}" name="Cows &lt; 1 year">
      <calculatedColumnFormula>I159</calculatedColumnFormula>
    </tableColumn>
    <tableColumn id="7" xr3:uid="{7E44D578-9BD2-4FA1-86B7-E75B84293ABD}" name="Cows 1-2 years">
      <calculatedColumnFormula>J159</calculatedColumnFormula>
    </tableColumn>
    <tableColumn id="8" xr3:uid="{AECDC9B0-B010-42DD-B651-F1A3029EC5EB}" name="Cows 2-3 years">
      <calculatedColumnFormula>K159</calculatedColumnFormula>
    </tableColumn>
    <tableColumn id="9" xr3:uid="{24AD613C-68F4-4E10-B148-FD24E35B544C}" name="Cows &gt; 3 years">
      <calculatedColumnFormula>L159</calculatedColumnFormula>
    </tableColumn>
    <tableColumn id="10" xr3:uid="{60A250F2-0750-4F60-B5C7-76C8F059EF4A}" name="Steers &lt; 1 year">
      <calculatedColumnFormula>M159</calculatedColumnFormula>
    </tableColumn>
    <tableColumn id="11" xr3:uid="{BA41D741-4CA2-4062-9D23-115D6A6D7C84}" name="Steers 1-2 years">
      <calculatedColumnFormula>N159</calculatedColumnFormula>
    </tableColumn>
    <tableColumn id="12" xr3:uid="{FB521FD8-EBEC-4BB5-9EE0-AD019AFBF054}" name="Steers 2-3 years">
      <calculatedColumnFormula>O159</calculatedColumnFormula>
    </tableColumn>
    <tableColumn id="13" xr3:uid="{C9FB89BE-1518-4495-9F59-F66E3ABFA4A5}" name="Steers &gt;3 years">
      <calculatedColumnFormula>P159</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848F29FD-0B6D-4ED3-8590-C82F868E4800}"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A776DB3-F7C5-49D4-AB0C-4D6BBF0B03C9}"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A4CF3EC2-820C-4E31-8F3F-AE3E3426CB16}" name="Region" dataDxfId="1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052405E1-0CF8-4209-A068-1197D179215C}" name="Spring" dataDxfId="1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946B796-FFDB-4473-840D-7894FB1A359E}" name="Summer" dataDxfId="1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2B916AA-D3FA-4563-9A55-145800F1B48A}" name="Autumn" dataDxfId="1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C3048CB-B98F-49E7-B592-EE40B7BAAB54}" name="Winter" dataDxfId="1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88590739-8F1A-41D0-A3F0-A74271D1A1AF}" name="Table_SourceData_PastureBeef_CrudeProtein" displayName="Table_SourceData_PastureBeef_CrudeProtein" ref="D313:I328" totalsRowShown="0" dataDxfId="1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B2082BE-AD8B-429F-894C-969B8105CCC6}" name="State" dataDxfId="1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A3729DE-46D6-46FC-85A2-3649167D01B2}" name="Region" dataDxfId="1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AA29A73-BB85-47F4-B365-1EA210D54CD0}" name="Spring" dataDxfId="1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3584A7D9-668B-4CFD-8183-57FADF834FEA}" name="Summer" dataDxfId="1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EDEFF150-E670-4EB2-A6CB-0E5607454801}" name="Autumn" dataDxfId="1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BCCF0B6C-0CA0-4547-9625-03582636D77A}" name="Winter" dataDxfId="1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8C3D62C8-666F-4ABB-98C4-D24AE68BE70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F97DBA-3BFE-4748-9634-3394E70C1FE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CEB1570E-3252-4F59-A894-4B6A053751E6}" name="Season" dataDxfId="1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8E0EC87-FF4E-4213-BB1B-C896D357F69E}" name="Feed adjustment" dataDxfId="1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CF5CC64-31C8-4D58-998B-DE24E8807ED9}" name="Milk intake/production" dataDxfId="1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833AF7D9-63D6-4E00-A3AD-C0A0E80AAF91}"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5020FFE-7B6D-4C49-9940-2A8705711B0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81779B4-8DFC-4248-9C94-4E7274F651B2}" name="Bulls &lt;1" dataDxfId="1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610433E-666E-41C3-94C0-3582A82ABAB4}" name="Bulls &gt;1" dataDxfId="1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A1DF03-B2ED-4105-ACF8-4A97C8FC6672}" name="Cows &lt;1" dataDxfId="1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A6E50E0-9F6F-4EB6-8495-57E2BBC2335A}" name="Cows 1-2" dataDxfId="1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E1E6048E-F4D8-483F-9242-CEB53DC15ABF}" name="Cows &gt;2" dataDxfId="1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66A2184-A725-4FC6-A2BF-CA5678D28378}" name="Steer &lt;1" dataDxfId="1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9D3692C-EA98-482D-8FC8-BE8D5F67AD07}" name="Steer &gt;1" dataDxfId="1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52B674A-E476-425F-B636-107D05517A28}" name="State abbreviation" dataDxfId="1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1A0250E-BD8D-4289-933C-C58F36F250F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A2DF789-E56D-4914-BB6B-D3443C184EBE}" name="State" dataDxfId="154" dataCellStyle="Content normal">
      <calculatedColumnFormula>D351</calculatedColumnFormula>
    </tableColumn>
    <tableColumn id="2" xr3:uid="{1A8AB25A-188C-4BD6-A6C9-EC86F487DAF5}" name="Bulls &lt; 1 year" dataDxfId="153" dataCellStyle="Content normal">
      <calculatedColumnFormula>E351</calculatedColumnFormula>
    </tableColumn>
    <tableColumn id="3" xr3:uid="{34B859F1-B366-493C-9EB3-2525C39126E0}" name="Bulls &gt; 1 year" dataDxfId="152" dataCellStyle="Content normal">
      <calculatedColumnFormula>F351</calculatedColumnFormula>
    </tableColumn>
    <tableColumn id="4" xr3:uid="{C7BF9A80-5FDB-409F-9309-2CE0F2F47632}" name="Cows &lt; 1 year" dataDxfId="151" dataCellStyle="Content normal">
      <calculatedColumnFormula>G351</calculatedColumnFormula>
    </tableColumn>
    <tableColumn id="5" xr3:uid="{554ADA5F-88AC-42AB-8997-7BE7A7C4DE70}" name="Cows 1-2 years" dataDxfId="150" dataCellStyle="Content normal">
      <calculatedColumnFormula>H351</calculatedColumnFormula>
    </tableColumn>
    <tableColumn id="6" xr3:uid="{30C448B1-0615-4919-92FC-C35879BF1CB6}" name="Cows 2-3 years" dataDxfId="149" dataCellStyle="Content normal">
      <calculatedColumnFormula>I351</calculatedColumnFormula>
    </tableColumn>
    <tableColumn id="7" xr3:uid="{4F6E3013-AF43-4786-8872-5AB29158A269}" name="Cows &gt; 3 years" dataDxfId="148" dataCellStyle="Content normal">
      <calculatedColumnFormula>I351</calculatedColumnFormula>
    </tableColumn>
    <tableColumn id="8" xr3:uid="{A9F5CD22-515B-4247-8DBB-DB1D03B3368B}" name="Steers &lt; 1 year" dataDxfId="147" dataCellStyle="Content normal">
      <calculatedColumnFormula>J351</calculatedColumnFormula>
    </tableColumn>
    <tableColumn id="9" xr3:uid="{4EF21752-FC9E-4A07-BA97-F2BBCD0F8BD4}" name="Steers 1-2 years" dataDxfId="146" dataCellStyle="Content normal">
      <calculatedColumnFormula>K351</calculatedColumnFormula>
    </tableColumn>
    <tableColumn id="10" xr3:uid="{3B84C879-B7FA-4DAF-8D8F-F335DE2773EC}" name="Steers 2-3 years" dataDxfId="145" dataCellStyle="Content normal">
      <calculatedColumnFormula>K351</calculatedColumnFormula>
    </tableColumn>
    <tableColumn id="11" xr3:uid="{4636E3FE-A30C-492C-B071-F92BBBD58731}" name="Steers &gt;3 years" dataDxfId="144" dataCellStyle="Content normal">
      <calculatedColumnFormula>K351</calculatedColumnFormula>
    </tableColumn>
    <tableColumn id="12" xr3:uid="{FA051C6F-A99E-44D4-B088-E79CD9F28AF8}" name="State abbreviation" dataDxfId="143" dataCellStyle="Content normal">
      <calculatedColumnFormula>L351</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D40EBBD8-F8F4-418F-BF49-44EB6CCCEAE5}"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706FD62-C8FC-4F5F-9872-320EEF098192}"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A1BC0F87-9975-4DE7-8FBA-405B65296DD0}" name="Region" dataDxfId="1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CB57FF3-A998-4DCF-A2D5-8134EC4C078C}" name="Pasture range and paddock" dataDxfId="1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251E371-CC40-4E75-AD12-BACFB52E915E}" name="Uncovered Anaerobic lagoon" dataDxfId="1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FA01422B-E731-4164-AEEA-43B627E09E28}" name="Table_SourceData_PastureBeef_MethaneConversionFactor" displayName="Table_SourceData_PastureBeef_MethaneConversionFactor" ref="D400:G415" totalsRowShown="0" dataDxfId="1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E132CB97-C86F-4454-BF3A-D6C3374C69A4}" name="State" dataDxfId="1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BFBA426-B4BB-44F6-9F3A-32B575D2FDDF}" name="Region" dataDxfId="1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E65A754-8FD3-4483-8834-3CAD078252C7}" name="Pasture range and paddock" dataDxfId="1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E532CA12-EC85-49B7-8031-E6FA91F48964}" name="Uncovered Anaerobic lagoon" dataDxfId="1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63F89B0B-AF5D-4912-8EEC-E5287446F7A2}"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F87D815-5870-4A54-BE0E-654530DC7E5D}"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903EFDD-99A1-490B-861F-F5A1D5DEC488}" name="Season" dataDxfId="1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F1169716-7C1D-467F-BA21-3F5A810CF664}" name="Feed adjustment" dataDxfId="1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89DAC778-FBC1-4BCE-AFBC-8878B63D11ED}" name="Milk intake/production" dataDxfId="1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F4AF2C3-1FB7-4F26-BE34-34234E06AB88}" name="Table_LivestockClasses_Beefcattle" displayName="Table_LivestockClasses_Beefcattle" ref="O18:O28" totalsRowShown="0">
  <autoFilter ref="O18:O28" xr:uid="{13BB371D-1A6A-420B-8F76-A006E7FBF483}">
    <filterColumn colId="0" hiddenButton="1"/>
  </autoFilter>
  <tableColumns count="1">
    <tableColumn id="1" xr3:uid="{93488F86-139F-4FA5-B9E4-C63D1A37E64A}" name="Livestock class"/>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90EFF3B0-1415-4408-8820-A1CF811D38A9}" name="Table_ProductRegions_Beefcattle176" displayName="Table_ProductRegions_Beefcattle176" ref="O32:P48" totalsRowShown="0">
  <autoFilter ref="O32:P48" xr:uid="{7E277F33-A0AF-471E-A609-92C95103FA9F}">
    <filterColumn colId="0" hiddenButton="1"/>
    <filterColumn colId="1" hiddenButton="1"/>
  </autoFilter>
  <tableColumns count="2">
    <tableColumn id="1" xr3:uid="{3AE78E6E-5F52-4654-AF11-0D3EF6A7E1DD}" name="Region"/>
    <tableColumn id="2" xr3:uid="{7C9A7172-438C-4561-9B4D-6E7514ECAAC6}" name="Scope3 regio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8F2B7280-E433-4405-86D1-7529CBA2843E}" name="Table_SourceData_Scope3_Animals192" displayName="Table_SourceData_Scope3_Animals192"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5BA1E8BE-B4EC-4A12-966E-408AC399D5BD}" name="Category" dataDxfId="131" dataCellStyle="Content normal">
      <calculatedColumnFormula array="1">Common_InputFunctions.Utility_DisplayArrayInTable(Scope3_SourceData.Scope3_Livestock_Data(), Table_SourceData_Scope3_Animals192[[#Headers],[Category]], 0, 2)</calculatedColumnFormula>
    </tableColumn>
    <tableColumn id="2" xr3:uid="{AF4B54D1-2325-4C60-966A-4D495C57C786}" name="Product" dataDxfId="130" dataCellStyle="Content normal">
      <calculatedColumnFormula array="1">Common_InputFunctions.Utility_DisplayArrayInTable(Scope3_SourceData.Scope3_Livestock_Data(), Table_SourceData_Scope3_Animals192[[#Headers],[Category]], 0, 2)</calculatedColumnFormula>
    </tableColumn>
    <tableColumn id="3" xr3:uid="{A05C322F-CB11-48FE-9F7F-5133B84C0923}" name="Region of origin" dataDxfId="129" dataCellStyle="Content normal">
      <calculatedColumnFormula array="1">Common_InputFunctions.Utility_DisplayArrayInTable(Scope3_SourceData.Scope3_Livestock_Data(), Table_SourceData_Scope3_Animals192[[#Headers],[Category]], 0, 2)</calculatedColumnFormula>
    </tableColumn>
    <tableColumn id="8" xr3:uid="{2A3F15FD-ECA8-4D86-A2F1-503E66380492}" name="Quantity Unit" dataDxfId="128" dataCellStyle="Content normal">
      <calculatedColumnFormula array="1">Common_InputFunctions.Utility_DisplayArrayInTable(Scope3_SourceData.Scope3_Livestock_Data(), Table_SourceData_Scope3_Animals192[[#Headers],[Category]], 0, 2)</calculatedColumnFormula>
    </tableColumn>
    <tableColumn id="9" xr3:uid="{40B14664-6B81-483D-8F7E-707A56EEDEBB}" name="AusLCI Emissions intensity" dataDxfId="127" dataCellStyle="Content normal">
      <calculatedColumnFormula array="1">Common_InputFunctions.Utility_DisplayArrayInTable(Scope3_SourceData.Scope3_Livestock_Data(), Table_SourceData_Scope3_Animals192[[#Headers],[Category]], 0, 2)</calculatedColumnFormula>
    </tableColumn>
    <tableColumn id="10" xr3:uid="{086213CC-FA1C-41BB-A474-74236457FA54}" name="System boundary" dataDxfId="126" dataCellStyle="Content normal">
      <calculatedColumnFormula array="1">Common_InputFunctions.Utility_DisplayArrayInTable(Scope3_SourceData.Scope3_Livestock_Data(), Table_SourceData_Scope3_Animals192[[#Headers],[Category]], 0, 2)</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8C66932A-59BD-4221-AA0A-91B957FE1A0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D2F9BAD-A98D-4307-A077-8EA8D459BD4C}" name="Symbol">
      <calculatedColumnFormula array="1">Common_InputFunctions.Utility_DisplayArrayInTable(CommonLivestock_SourceData.SourceData_Livestock_Common_SymbolsMMS_Data(), Table_Data_MMSSymbols[[#Headers],[Symbol]], 0)</calculatedColumnFormula>
    </tableColumn>
    <tableColumn id="2" xr3:uid="{82D7816A-B2A0-4B40-8C3F-FCFFC3E0AE62}" name="Manure management system">
      <calculatedColumnFormula array="1">Common_InputFunctions.Utility_DisplayArrayInTable(CommonLivestock_SourceData.SourceData_Livestock_Common_SymbolsMMS_Data(), Table_Data_MMSSymbols[[#Headers],[Symbol]], 0)</calculatedColumnFormula>
    </tableColumn>
    <tableColumn id="3" xr3:uid="{91A7D031-A4C8-4F0E-B7A5-CAA9BE2A949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2830B6A6-2775-4AB5-80F1-973B58DC3CB0}" name="Table_SourceData_LivestockProduct_Beefcattle" displayName="Table_SourceData_LivestockProduct_Beefcattle" ref="D31:E39" totalsRowShown="0">
  <autoFilter ref="D31:E39" xr:uid="{953E8E36-CE90-4001-9CFA-9307A0C836A9}"/>
  <tableColumns count="2">
    <tableColumn id="1" xr3:uid="{9A5BC862-06D6-4E8D-A62B-F667D6816876}" name="Product">
      <calculatedColumnFormula array="1">Common_InputFunctions.Utility_DisplayArrayInTable(CommonLivestock_SourceData.SourceData_Livestock_Product_BeefCattle_Data(),Table_SourceData_LivestockProduct_Beefcattle[[#Headers],[Product]],0)</calculatedColumnFormula>
    </tableColumn>
    <tableColumn id="2" xr3:uid="{B3440D26-F17D-41B5-AB93-316A5A792764}" name="Source region" dataDxfId="54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E12D3D71-CB56-4759-9AFB-DEEF764B5BD8}" name="Table_SourceData_LivestockProduct_Sheep" displayName="Table_SourceData_LivestockProduct_Sheep" ref="D43:E50" totalsRowShown="0" dataDxfId="543" dataCellStyle="Content normal">
  <autoFilter ref="D43:E50" xr:uid="{995536B5-6CA5-4D7D-A704-9B6B595C2491}"/>
  <tableColumns count="2">
    <tableColumn id="1" xr3:uid="{7464AA7C-8E46-4F8B-97EA-1F9254EE4EA6}" name="Product" dataDxfId="54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13C364B0-A0D8-4B4E-B9BA-0B5AB2DE3A55}" name="Source region" dataDxfId="54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3748C5B7-FD39-4661-9DB8-5FD258E1524D}" name="Table_SourceData_LivestockProduct_Chickens" displayName="Table_SourceData_LivestockProduct_Chickens" ref="D54:E55" totalsRowShown="0" dataDxfId="540" dataCellStyle="Content normal">
  <autoFilter ref="D54:E55" xr:uid="{257D8456-031C-4EEF-A8C4-474F215C3208}"/>
  <tableColumns count="2">
    <tableColumn id="1" xr3:uid="{37D7005D-EEA0-4790-A2BF-CB694409210D}" name="Product" dataDxfId="5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9EE8D49-FDC0-442B-8611-BDD6F89F05B6}" name="Source region" dataDxfId="5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39E54370-A6AD-4392-A535-FE8D7C8191F0}" name="Table_SourceData_LivestockProduct_Dairycattle" displayName="Table_SourceData_LivestockProduct_Dairycattle" ref="D59:E60" totalsRowShown="0" dataDxfId="537" dataCellStyle="Content normal">
  <autoFilter ref="D59:E60" xr:uid="{71833C62-BA2B-4519-92E0-B189E393D12F}"/>
  <tableColumns count="2">
    <tableColumn id="1" xr3:uid="{AA905258-F613-445A-8770-193432BA8B3C}" name="Product" dataDxfId="5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CC34801-BFD4-45C8-9490-FDDE21B3D156}" name="Source region" dataDxfId="5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1FDFF2A9-04C0-4788-85BA-451AFD51E70B}" name="Table_SourceData_LivestockProduct_Pigs" displayName="Table_SourceData_LivestockProduct_Pigs" ref="D64:E65" totalsRowShown="0" dataDxfId="534" dataCellStyle="Content normal">
  <autoFilter ref="D64:E65" xr:uid="{65FF5EF6-2A75-4137-9345-8328E2DA8F9C}"/>
  <tableColumns count="2">
    <tableColumn id="1" xr3:uid="{B6AB9D3D-F86D-4C0F-8328-3E1B8663F532}" name="Product" dataDxfId="53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8459D91-AA76-4412-902A-354D9328033C}" name="Source region" dataDxfId="53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E12A122-B0A9-4582-A537-323CF8FFB01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E77850B-0A95-4BED-B211-6DA4613A590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0E83E6D-C227-4A2D-9787-D0C98497B192}" name="FNinorganic f">
      <calculatedColumnFormula array="1">Common_InputFunctions.Utility_DisplayArrayInTable(Fertiliser_SourceData.Fertiliser_ChemicalCompoundElements_Data(),Table_Fertiliser_ChemicalCompounds[[#Headers],[Fertiliser type f]], 0)</calculatedColumnFormula>
    </tableColumn>
    <tableColumn id="3" xr3:uid="{AE3FFDE2-50FA-4825-A07D-CFE895421C3D}" name="FU f">
      <calculatedColumnFormula array="1">Common_InputFunctions.Utility_DisplayArrayInTable(Fertiliser_SourceData.Fertiliser_ChemicalCompoundElements_Data(),Table_Fertiliser_ChemicalCompounds[[#Headers],[Fertiliser type f]], 0)</calculatedColumnFormula>
    </tableColumn>
    <tableColumn id="4" xr3:uid="{68CCC6F0-7903-4D25-92C2-95DDCA6A6167}" name="Basis">
      <calculatedColumnFormula array="1">Common_InputFunctions.Utility_DisplayArrayInTable(Fertiliser_SourceData.Fertiliser_ChemicalCompoundElements_Data(),Table_Fertiliser_ChemicalCompounds[[#Headers],[Fertiliser type f]], 0)</calculatedColumnFormula>
    </tableColumn>
    <tableColumn id="5" xr3:uid="{8D02DA16-8F4D-44CC-BE3D-C4416DC7437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499954E-F969-4766-BD27-66B6BFEF440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F59AD54-DCF6-49AD-8524-50C57A493D4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F3B4E5B2-00A6-4227-BA0E-0361BBF44D9E}"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322ED072-C2E9-4768-966F-1E8E7C9368B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C7BDBEE-5663-4DF5-A155-37D3F1C14E54}"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CC18228-630B-4B97-9004-33247B0CAD3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E50A677-75A2-4D21-8AD8-0240981EBB2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93FF5067-F955-4398-B071-95E8CCEAD3BD}"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71BE4E2-4881-4A10-A22D-3BF710D26C4E}"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E2E051A-6DAA-4E7E-98B5-180B7012D16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492306A2-C7A2-4E54-ABA7-E98B4A44449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0EA0908D-DF5E-4667-B589-664EE4FA467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DE5768-5F26-4962-AA16-1AF440F9943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AEAEE10E-4B18-4866-A5F3-7604FF48AC7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CF701E8-194F-40CA-A641-7691814EEA71}"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57BC2958-AB19-448D-B8B4-A4F01718DC6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D74C6D38-DA7E-4FE3-8181-72BB319AF43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44F422B9-81EF-4A65-8965-1DD38B71F1F9}"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CBA4261-13DF-4CFF-A8A0-165FDAD19A8D}"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506F1CF-4613-49AF-8934-9E55F45A950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C08570D-8CBD-48CB-A8FD-DB3D9129E99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5635D5CA-7CB5-4BFE-9561-0EF4321A408B}"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28D232-DC5A-4D42-890A-874074374B5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BC9D6875-6FDE-4F89-B62B-47BC230DCEEC}"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491DABE-2DF9-44F4-8AC6-5A18A5E3C32C}"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C7A31E5-653C-408A-8869-C9434A762D2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055888F2-9368-4745-8284-EEA48DD112BB}"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7CF5A69-8538-44F6-9CA9-322BB44C86E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DE0E130E-828B-432B-BD21-7E34019972D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3DAA557-5DD1-4137-A201-80E44CFE523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8D76ECF-BB60-4BB0-B64B-ACB62B685EA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33A07882-64C2-4792-B4CD-2AFB48A50EF3}"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5D13FCBE-DD81-4E0E-BCDA-B83457311610}" name="Ingredient 10 percent" totalsRowCellStyle="Content normal"/>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8B6B113-F3E1-4ED7-9DED-6F33D49C638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591C2E9-65EE-408E-8704-1834632084B7}" name="Fertiliser type f">
      <calculatedColumnFormula array="1">Common_InputFunctions.Utility_DisplayArrayInTable(Fertiliser_SourceData.Fertiliser_FracGASF_Data(), Table_SourceData_Fertiliser_FracGASF[[#Headers],[Fertiliser type f]], 0)</calculatedColumnFormula>
    </tableColumn>
    <tableColumn id="2" xr3:uid="{C23A99EF-4ECA-4876-A12F-2BC200E62F2D}"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562A1912-13C9-43D6-A71D-868E9A8F2456}" name="Table_SourceData_Fertiliser_CropProdSystems" displayName="Table_SourceData_Fertiliser_CropProdSystems" ref="D41:D43" totalsRowShown="0">
  <autoFilter ref="D41:D43" xr:uid="{24F3A11E-40F5-4BB9-BFF4-A71FA2ADA0EF}">
    <filterColumn colId="0" hiddenButton="1"/>
  </autoFilter>
  <tableColumns count="1">
    <tableColumn id="1" xr3:uid="{9B89B590-C095-4CFA-98A9-B9A133EC042E}" name="Production system">
      <calculatedColumnFormula>#REF!</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393E869F-78A9-4968-B517-90067632E71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1047C08-3D6C-4BE9-B303-80E9B12E5631}" name="Irrigation method"/>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C828966-8F8A-4E47-8213-257DB82BB7B4}" name="Table_SourceData_Fertiliser_CropTypes" displayName="Table_SourceData_Fertiliser_CropTypes" ref="F41:F45" totalsRowShown="0">
  <autoFilter ref="F41:F45" xr:uid="{CB5044B5-FA3C-4AA2-B1AB-72F7E61D072F}">
    <filterColumn colId="0" hiddenButton="1"/>
  </autoFilter>
  <tableColumns count="1">
    <tableColumn id="1" xr3:uid="{6BD3DA94-4F0A-4C83-B9B3-F5C053CBE804}" name="Production system"/>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F3B9E3B-DB03-4D74-9243-8542C36B185C}" name="Table_SourceData_OrganicFertiliserTypes" displayName="Table_SourceData_OrganicFertiliserTypes" ref="J41:J46" totalsRowShown="0">
  <autoFilter ref="J41:J46" xr:uid="{B44627B1-537E-4ABC-92C3-57282CEE5B40}">
    <filterColumn colId="0" hiddenButton="1"/>
  </autoFilter>
  <tableColumns count="1">
    <tableColumn id="1" xr3:uid="{E83A986C-A7CF-474F-AFEC-6352C6EEE015}" name="Organic fertiliser type"/>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FD7937A1-CAB5-4FA6-A145-AED7F174F4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95C4DAD-A421-4666-87DD-113D38D62C0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3AB30C8C-ED71-4BED-AE86-09E9F8AA6AE7}"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4FC2F32-0453-4129-9249-DAF474527EBE}"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397AAB5-4805-422B-BA42-9E2F7622C601}" name="Table2" displayName="Table2" ref="K19:L28" totalsRowShown="0" dataDxfId="121" dataCellStyle="Content normal">
  <autoFilter ref="K19:L28" xr:uid="{27B93029-EB1F-4C4A-A946-CD673A8A6C46}">
    <filterColumn colId="0" hiddenButton="1"/>
    <filterColumn colId="1" hiddenButton="1"/>
  </autoFilter>
  <tableColumns count="2">
    <tableColumn id="1" xr3:uid="{B25B94ED-17B8-454F-AFDD-B7915A0898B8}"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15AD2A9A-FB14-4D4F-9578-EB2A92C1F3B8}"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A751C96C-0C39-4CDE-9D59-CE5501873ECD}" name="Table28" displayName="Table28" ref="Q19:R28" totalsRowShown="0" dataDxfId="118" dataCellStyle="Content normal">
  <autoFilter ref="Q19:R28" xr:uid="{791CEA59-796C-47AB-86BC-41E8F699030C}">
    <filterColumn colId="0" hiddenButton="1"/>
    <filterColumn colId="1" hiddenButton="1"/>
  </autoFilter>
  <tableColumns count="2">
    <tableColumn id="1" xr3:uid="{E668C942-5868-4083-9233-9DF672E2530D}"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1CB26CBC-DD9F-4154-ACE6-2B4E0E7AE9F3}"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10640A09-A832-44F5-8193-48F98C31599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F75815A-9311-4C24-8598-E4AA47EC858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143CC170-32AE-4B8D-8C38-4850434E7BBB}"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6FBD9A1C-D0FF-4E86-9718-C2E61ADE20F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F2AAEB0-7D84-4A5C-B028-E7AED6BB921E}"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325DF63-99C2-49F9-96EB-388D522805F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B13534F3-43D4-40E8-80C2-527E9958159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18CEF708-524D-4866-BC78-55CA814F9AA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C4F7EE56-7211-47E4-A9A2-2D6638B48FF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FC33180-197D-49D6-A72D-B6C63D1F7BE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3FDE80-56E1-43EC-A54C-AA6D512CB6A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0493280C-0B5C-40D0-863B-1F51A3B6966D}"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E48FE1-2DD3-4F50-8920-7248D309CAC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23B0DC1-2CF2-441F-8C3A-5C27642E09FB}" name="State/Territory">
      <calculatedColumnFormula array="1">Common_InputFunctions.Utility_DisplayArrayInTable(Common_SourceData.Common_SourceData_AustralianStatesTerritories_Data(),Table_AustralianStates[[#Headers],[State/Territory]],0)</calculatedColumnFormula>
    </tableColumn>
    <tableColumn id="2" xr3:uid="{2A09B8D2-9372-406D-81CE-7E644B8C2E8B}" name="Common Name">
      <calculatedColumnFormula array="1">Common_InputFunctions.Utility_DisplayArrayInTable(Common_SourceData.Common_SourceData_AustralianStatesTerritories_Data(),Table_AustralianStates[[#Headers],[State/Territory]],0)</calculatedColumnFormula>
    </tableColumn>
    <tableColumn id="3" xr3:uid="{F73D6611-E362-42DF-9369-10811C95C0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869EF8-7C95-4130-8E14-42BDA4D818F2}" name="Table_WASA4Areas" displayName="Table_WASA4Areas" ref="D20:D30" totalsRowShown="0">
  <autoFilter ref="D20:D30" xr:uid="{5FA81339-C6C8-4D36-BEEA-6C4AEDD9E676}">
    <filterColumn colId="0" hiddenButton="1"/>
  </autoFilter>
  <tableColumns count="1">
    <tableColumn id="1" xr3:uid="{6DB70030-57D1-49A1-B0FE-6C11E6641BD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191B37C-4437-468C-B662-FFA153C802E9}" name="Table_GWPData" displayName="Table_GWPData" ref="D36:E43" totalsRowShown="0">
  <autoFilter ref="D36:E43" xr:uid="{B8E87A66-3E41-4AD3-925D-01EE21B43D7A}">
    <filterColumn colId="0" hiddenButton="1"/>
    <filterColumn colId="1" hiddenButton="1"/>
  </autoFilter>
  <tableColumns count="2">
    <tableColumn id="1" xr3:uid="{92F119B5-4DCE-4D9D-A924-7775C2F932BF}" name="Gas">
      <calculatedColumnFormula array="1">Common_InputFunctions.Utility_DisplayArrayInTable(Common_SourceData.Common_SourceData_GWP_Data(), Table_GWPData[[#Headers],[Gas]], 0)</calculatedColumnFormula>
    </tableColumn>
    <tableColumn id="2" xr3:uid="{E3027AE4-32EF-486B-A309-AF0558AFE2A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D8CD036-1759-49BC-A7F1-4717E2360A7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B030787-C804-4790-B686-D1C169928FF6}" name="Gas">
      <calculatedColumnFormula array="1">Common_InputFunctions.Utility_DisplayArrayInTable(Common_SourceData.Common_SourceData_ConvertGasElementalToMolecular_Data(),Table_GasToMolecularConversionFactor[[#Headers],[Gas]], 0)</calculatedColumnFormula>
    </tableColumn>
    <tableColumn id="5" xr3:uid="{FE99F49F-0C6B-49AC-9675-4E3EF335E121}" name="Conversion factor">
      <calculatedColumnFormula array="1">Common_InputFunctions.Utility_DisplayArrayInTable(Common_SourceData.Common_SourceData_ConvertGasElementalToMolecular_Data(),Table_GasToMolecularConversionFactor[[#Headers],[Gas]], 0)</calculatedColumnFormula>
    </tableColumn>
    <tableColumn id="2" xr3:uid="{B38590E2-61F5-4E66-BABE-3CBD7ECFC80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4BA5D2-7CC3-4C91-AB9A-E2F8F95B0AD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C0298E-2836-4C34-8C06-B2D1D7D4693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AF46C0E-A856-4BFB-92FF-8A76811FC12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E72E885-FE0A-48B8-9635-A679716BFF1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48ABA70-F17D-420F-B30B-D65EB18FE0A9}" name="MAT"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3" xr3:uid="{F5FDDD92-4E1D-493F-B6A7-2B53771B5472}" name="MAP"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4" xr3:uid="{733730AF-D0F3-461F-B8CE-7FC4DB736127}" name="Frost days per year"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5" xr3:uid="{C7DFAC27-61A5-4CAC-BCB0-848FC3308F38}" name="Elevation"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6" xr3:uid="{FC3116A0-0F9E-4AF2-9556-17CEC79BFD66}" name="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7" xr3:uid="{7FAD264E-B9CB-4FBE-9835-096F74589EDD}" name="Min tem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8" xr3:uid="{09BB7E67-E100-4F03-9A2A-29600EA69D69}" name="Max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9" xr3:uid="{5CA00CC3-8587-4BE6-92F1-65C9D23C4DFC}" name="Min rainfall"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10" xr3:uid="{53968267-16A6-4E88-9F73-C161454AB4DF}" name="Max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1" xr3:uid="{BAFEE346-F99F-42DC-AFB3-06814397729C}" name="Min frost days"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5" xr3:uid="{F2CF73FF-85FE-4C64-8ED9-C944B1ED5385}" name="Max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2" xr3:uid="{A47CD701-FEEE-494C-9DB8-B427E67A048F}" name="Min elevation"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6" xr3:uid="{7041DBA1-04F2-41D4-B6BE-2C8CC8843DFF}" name="Max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3" xr3:uid="{96FF879D-8766-4D22-B76C-6FCAA8BF434D}" name="Min MAP:PE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7" xr3:uid="{19DAB439-A468-44E3-91C5-591FEA1B6906}" name="Max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98F6BF-5554-4EE8-B89C-F7FACA3742F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44A80E0-2F60-4FD5-A2FC-3836F4A793B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7852517-5EA7-4212-BE6D-61DF7298ADBC}" name="Wet or Dry Zone" totalsRowDxfId="9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DD5121A-8F37-4E13-876F-E1FEAA6A8E5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A65B0E6-E349-4AF7-859F-DDA9D7D194CD}" name="Temperature Zone">
      <calculatedColumnFormula array="1">Common_InputFunctions.Utility_DisplayArrayInTable(Common_SourceData.Common_SourceData_TemperatureZones_Data(),Table_SourceData_TemperatureZones[[#Headers],[Temperature Zone]],0)</calculatedColumnFormula>
    </tableColumn>
    <tableColumn id="2" xr3:uid="{0924A8C7-CBBB-4A07-89B3-21DE16F3B28D}" name="MAT">
      <calculatedColumnFormula array="1">Common_InputFunctions.Utility_DisplayArrayInTable(Common_SourceData.Common_SourceData_TemperatureZones_Data(),Table_SourceData_TemperatureZones[[#Headers],[Temperature Zone]],0)</calculatedColumnFormula>
    </tableColumn>
    <tableColumn id="3" xr3:uid="{24F11EF4-6EF2-4E08-A05F-14E46E8318B3}" name="Min MAT">
      <calculatedColumnFormula array="1">Common_InputFunctions.Utility_DisplayArrayInTable(Common_SourceData.Common_SourceData_TemperatureZones_Data(),Table_SourceData_TemperatureZones[[#Headers],[Temperature Zone]],0)</calculatedColumnFormula>
    </tableColumn>
    <tableColumn id="4" xr3:uid="{DB04F9C2-1136-42EE-8C09-D43B77FB846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28740EF-8C21-40CC-96A5-384F6705EEF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DFCF5E-9CD3-4C7F-AE82-8FAFC5EA2962}" name="Rainfall Zone">
      <calculatedColumnFormula array="1">Common_InputFunctions.Utility_DisplayArrayInTable(Common_SourceData.Common_SourceData_RainfallZones_Data(),Table_SourceData_RainfallZones[[#Headers],[Rainfall Zone]],0)</calculatedColumnFormula>
    </tableColumn>
    <tableColumn id="2" xr3:uid="{D28479C1-92D8-4BA3-A6CD-458313FF1386}" name="Annual rainfall">
      <calculatedColumnFormula array="1">Common_InputFunctions.Utility_DisplayArrayInTable(Common_SourceData.Common_SourceData_RainfallZones_Data(),Table_SourceData_RainfallZones[[#Headers],[Rainfall Zone]],0)</calculatedColumnFormula>
    </tableColumn>
    <tableColumn id="3" xr3:uid="{BAF62FF9-0299-4BB0-BBF3-135C3338E312}" name="Min rainfall">
      <calculatedColumnFormula array="1">Common_InputFunctions.Utility_DisplayArrayInTable(Common_SourceData.Common_SourceData_RainfallZones_Data(),Table_SourceData_RainfallZones[[#Headers],[Rainfall Zone]],0)</calculatedColumnFormula>
    </tableColumn>
    <tableColumn id="4" xr3:uid="{C0650949-ABDB-4AA0-A957-EE98E4860F9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0940064-13E7-4A68-9C28-F4D20FA3FF8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13BB5A1-455A-4B4A-8285-85A9D8712FF1}" name="Leaching Zone">
      <calculatedColumnFormula array="1">Common_InputFunctions.Utility_DisplayArrayInTable(Common_SourceData.Common_SourceData_LeachingZones_Data(), Table_SourceData_LeachingZones[[#Headers],[Leaching Zone]], 0)</calculatedColumnFormula>
    </tableColumn>
    <tableColumn id="2" xr3:uid="{5B408181-A3EE-463F-92CD-B757396F864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09C64FC-A62F-4761-A459-E6F10BFD44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349AB42-18BC-4930-AC0E-A003EFF11460}" name="Data source">
      <calculatedColumnFormula array="1">Common_InputFunctions.Utility_DisplayArrayInTable(Common_SourceData.Common_SourceData_DataScores_Scope3_Data(), Table_SourceData_DataScores_Scope3[[#Headers],[Data source]], 0)</calculatedColumnFormula>
    </tableColumn>
    <tableColumn id="2" xr3:uid="{C19E7A6F-8E68-40D9-ABD5-A62B4B60233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6D515D4-FDE2-4815-84B0-FC38843254F0}" name="Table_SourceData_FracWET" displayName="Table_SourceData_FracWET" ref="D134:E136" totalsRowShown="0">
  <autoFilter ref="D134:E136" xr:uid="{308E99BE-FE1F-47A4-B2CA-97217277C4E9}">
    <filterColumn colId="0" hiddenButton="1"/>
    <filterColumn colId="1" hiddenButton="1"/>
  </autoFilter>
  <tableColumns count="2">
    <tableColumn id="1" xr3:uid="{7816923F-70D0-4F92-AE43-D003223B5B83}" name="Is in leaching zone">
      <calculatedColumnFormula array="1">Common_InputFunctions.Utility_DisplayArrayInTable(Common_SourceData.Common_SourceData_FracWET_Data(),Table_SourceData_FracWET[[#Headers],[Is in leaching zone]],0)</calculatedColumnFormula>
    </tableColumn>
    <tableColumn id="2" xr3:uid="{50BF4AEC-2D75-436D-955C-422B638F5F9A}" name="FracWET" dataDxfId="9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E7362AE-39D1-4ACE-AFE2-8818063E1CA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5719F5-28BA-46B7-9FB2-2F01F89B85DA}" name="Production system j">
      <calculatedColumnFormula array="1">Common_InputFunctions.Utility_DisplayArrayInTable(Common_SourceData.Common_SourceData_EFN2O_Data(), Table_SourceData_Common_EFN2O[[#Headers],[Production system j]], 0)</calculatedColumnFormula>
    </tableColumn>
    <tableColumn id="2" xr3:uid="{5171910C-B7EB-4661-8B0B-4DC196FE7614}" name="EFN2O">
      <calculatedColumnFormula array="1">Common_InputFunctions.Utility_DisplayArrayInTable(Common_SourceData.Common_SourceData_EFN2O_Data(), Table_SourceData_Common_EFN2O[[#Headers],[Production system j]], 0)</calculatedColumnFormula>
    </tableColumn>
    <tableColumn id="3" xr3:uid="{853DC9E7-7FA0-4BDD-A309-C513FD1B1E4A}" name="Production system only">
      <calculatedColumnFormula array="1">Common_InputFunctions.Utility_DisplayArrayInTable(Common_SourceData.Common_SourceData_EFN2O_Data(), Table_SourceData_Common_EFN2O[[#Headers],[Production system j]], 0)</calculatedColumnFormula>
    </tableColumn>
    <tableColumn id="4" xr3:uid="{4B5CC170-92E3-47A1-845D-740D9AE1CD9D}" name="Irrigation method">
      <calculatedColumnFormula array="1">Common_InputFunctions.Utility_DisplayArrayInTable(Common_SourceData.Common_SourceData_EFN2O_Data(), Table_SourceData_Common_EFN2O[[#Headers],[Production system j]], 0)</calculatedColumnFormula>
    </tableColumn>
    <tableColumn id="5" xr3:uid="{ABF32184-E7C5-48F9-992E-AF436B72F49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446A6AF-8FEA-4CC5-95F2-73B81AA721B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8134194-95C9-429A-BE54-6B6C986A4859}" name="Irrigation type i">
      <calculatedColumnFormula array="1">Common_InputFunctions.Utility_DisplayArrayInTable(Common_SourceData.Common_SourceData_FracWETIrrigation_Data(), Table_SourceData_FracWETIrrigation[[#Headers],[Irrigation type i]], 0)</calculatedColumnFormula>
    </tableColumn>
    <tableColumn id="2" xr3:uid="{6705DFB1-4064-42E3-9C1F-44E55F222712}" name="FracWET" dataDxfId="9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F809C9D-7945-4358-AD00-7AEEC7C7CBC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7F824F2-EA0B-4AE6-80C7-D6E1C2BD15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1C36858-38B1-4AC7-BB22-E9B6F3627D5C}" name="EFPRP" dataDxfId="9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C0C170-5BF1-48E3-9AA7-3F6BC313A1A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F5A5EA-15AC-4E1F-8B63-BAD857C79335}" name="Month">
      <calculatedColumnFormula array="1">Common_InputFunctions.Utility_DisplayArrayInTable(Common_SourceData.Common_SourceData_MonthsToSeasons_Data(), Table_SourceData_Common_MonthToSeason[[#Headers],[Month]], 0)</calculatedColumnFormula>
    </tableColumn>
    <tableColumn id="2" xr3:uid="{15B7E60A-EC65-45CA-9E65-7194BF184287}" name="Season" dataDxfId="9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11DE486-4C9A-4982-B52E-3399E58F828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1040D34-8B19-4CDC-AC0E-5757F1D03DA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DD6003E-62D3-4591-BE82-C3D697C75549}" name="MAT (ºC)"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CAD9243-9B79-4A13-BA47-0543939C3830}" name="Anaerobic lagoon"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9C79F15-99DE-4B6B-A465-E3CD9D548805}" name="Digester / covered lagoons"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628BD2D-14BB-402C-B35A-84426EDB38D6}" name="Liquid system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5628582-350C-4669-9DDF-85E1409769CC}" name="Daily spread"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ACB0851-1692-4894-9FC3-6A03E45A4E68}" name="Composting (passive windrow)"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53835CA-B5A2-4B9D-A6CD-5EBBC8F834AE}" name="Solid storage"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EE3AA6-FD50-4AD8-85AD-8E9942E428E1}" name="Pit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B8A0F07-484C-4DEF-A41D-328DB1AA7A1A}" name="Deep litter"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B5E6386-C460-44E8-A8A5-14303879559A}" name="Poultry manure with bedding"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A3A71EC-0A8E-44BF-9C17-F9A4AC5AAA35}" name="Poultry manure without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0E14E21-CA3D-4BFF-A65F-F4E732A05DFF}" name="Direct process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8C1A30D-F469-4330-B4A6-D1C1943900E0}" name="Direct application"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908B60C-DB3F-417C-8A6A-ABFC2DC983E2}" name="Pasture range and paddock"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A00AD4B-F1E9-4676-B586-36561F928C31}" name="MAT raw"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19D4D8-A03C-4FE8-9609-76E6BD39AA0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C32D9FC-E1E1-4EBC-A385-664CF56470C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CB27AB-4D3A-4CD4-8061-C99D2F9D004E}" name="EFNi &amp; EFN2Oi" dataDxfId="7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2C8029A4-D4BA-4202-901F-C2B9260DB43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8A2EF30-BFE1-45E5-B7C0-8832A60C67A1}" name="Description" dataDxfId="78" dataCellStyle="Content normal"/>
    <tableColumn id="1" xr3:uid="{F511BD4D-607E-4479-BDF5-45AC4E578DC2}" name="ID"/>
    <tableColumn id="3" xr3:uid="{59209ED4-B4BA-47C3-B359-7C4B127C052A}"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F946B73-D9DC-4387-A2B4-8230757F187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F3C0A7-9823-4741-A17E-9E07B52F0D59}" name="Description"/>
    <tableColumn id="2" xr3:uid="{801965BA-AD9F-4EEF-B55C-71E1E140B3E2}" name="ID"/>
    <tableColumn id="3" xr3:uid="{AD2762E2-16CB-4B03-BC09-892051E4D5C2}"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0FB05F0-FA7D-4025-9028-49DD4D4FFBA7}"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DEDBB95-D152-4F4B-91C7-41E2C57E4414}" name="Description"/>
    <tableColumn id="2" xr3:uid="{8ADB6396-5325-4ADE-BFE4-D39C21449FF2}" name="ID"/>
    <tableColumn id="3" xr3:uid="{6A06B7B9-0400-4EE3-98B5-E7598506A99C}"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3AEA5654-BE89-48F3-947E-39E76BF0C0E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F2E7C61-6F3F-44E6-8D5C-C694FE309F9F}" name="Description"/>
    <tableColumn id="2" xr3:uid="{37276C9E-237D-4AF3-862A-E7742D683462}" name="ID"/>
    <tableColumn id="3" xr3:uid="{98FE014A-2C11-45A9-9C1B-5168FF4D4D2B}"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6" Type="http://schemas.openxmlformats.org/officeDocument/2006/relationships/table" Target="../tables/table108.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6.xml"/><Relationship Id="rId13" Type="http://schemas.openxmlformats.org/officeDocument/2006/relationships/table" Target="../tables/table121.xml"/><Relationship Id="rId18" Type="http://schemas.openxmlformats.org/officeDocument/2006/relationships/table" Target="../tables/table126.xml"/><Relationship Id="rId26" Type="http://schemas.openxmlformats.org/officeDocument/2006/relationships/table" Target="../tables/table134.xml"/><Relationship Id="rId3" Type="http://schemas.openxmlformats.org/officeDocument/2006/relationships/table" Target="../tables/table111.xml"/><Relationship Id="rId21" Type="http://schemas.openxmlformats.org/officeDocument/2006/relationships/table" Target="../tables/table129.xml"/><Relationship Id="rId7" Type="http://schemas.openxmlformats.org/officeDocument/2006/relationships/table" Target="../tables/table115.xml"/><Relationship Id="rId12" Type="http://schemas.openxmlformats.org/officeDocument/2006/relationships/table" Target="../tables/table120.xml"/><Relationship Id="rId17" Type="http://schemas.openxmlformats.org/officeDocument/2006/relationships/table" Target="../tables/table125.xml"/><Relationship Id="rId25" Type="http://schemas.openxmlformats.org/officeDocument/2006/relationships/table" Target="../tables/table133.xml"/><Relationship Id="rId2" Type="http://schemas.openxmlformats.org/officeDocument/2006/relationships/table" Target="../tables/table110.xml"/><Relationship Id="rId16" Type="http://schemas.openxmlformats.org/officeDocument/2006/relationships/table" Target="../tables/table124.xml"/><Relationship Id="rId20" Type="http://schemas.openxmlformats.org/officeDocument/2006/relationships/table" Target="../tables/table128.xml"/><Relationship Id="rId1" Type="http://schemas.openxmlformats.org/officeDocument/2006/relationships/table" Target="../tables/table109.xml"/><Relationship Id="rId6" Type="http://schemas.openxmlformats.org/officeDocument/2006/relationships/table" Target="../tables/table114.xml"/><Relationship Id="rId11" Type="http://schemas.openxmlformats.org/officeDocument/2006/relationships/table" Target="../tables/table119.xml"/><Relationship Id="rId24" Type="http://schemas.openxmlformats.org/officeDocument/2006/relationships/table" Target="../tables/table132.xml"/><Relationship Id="rId5" Type="http://schemas.openxmlformats.org/officeDocument/2006/relationships/table" Target="../tables/table113.xml"/><Relationship Id="rId15" Type="http://schemas.openxmlformats.org/officeDocument/2006/relationships/table" Target="../tables/table123.xml"/><Relationship Id="rId23" Type="http://schemas.openxmlformats.org/officeDocument/2006/relationships/table" Target="../tables/table131.xml"/><Relationship Id="rId10" Type="http://schemas.openxmlformats.org/officeDocument/2006/relationships/table" Target="../tables/table118.xml"/><Relationship Id="rId19" Type="http://schemas.openxmlformats.org/officeDocument/2006/relationships/table" Target="../tables/table127.xml"/><Relationship Id="rId4" Type="http://schemas.openxmlformats.org/officeDocument/2006/relationships/table" Target="../tables/table112.xml"/><Relationship Id="rId9" Type="http://schemas.openxmlformats.org/officeDocument/2006/relationships/table" Target="../tables/table117.xml"/><Relationship Id="rId14" Type="http://schemas.openxmlformats.org/officeDocument/2006/relationships/table" Target="../tables/table122.xml"/><Relationship Id="rId22" Type="http://schemas.openxmlformats.org/officeDocument/2006/relationships/table" Target="../tables/table130.xml"/><Relationship Id="rId27" Type="http://schemas.openxmlformats.org/officeDocument/2006/relationships/table" Target="../tables/table13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7.xml"/><Relationship Id="rId7" Type="http://schemas.openxmlformats.org/officeDocument/2006/relationships/table" Target="../tables/table141.xml"/><Relationship Id="rId2" Type="http://schemas.openxmlformats.org/officeDocument/2006/relationships/table" Target="../tables/table136.xml"/><Relationship Id="rId1" Type="http://schemas.openxmlformats.org/officeDocument/2006/relationships/printerSettings" Target="../printerSettings/printerSettings11.bin"/><Relationship Id="rId6" Type="http://schemas.openxmlformats.org/officeDocument/2006/relationships/table" Target="../tables/table140.xml"/><Relationship Id="rId5" Type="http://schemas.openxmlformats.org/officeDocument/2006/relationships/table" Target="../tables/table139.xml"/><Relationship Id="rId4" Type="http://schemas.openxmlformats.org/officeDocument/2006/relationships/table" Target="../tables/table13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8.xml"/><Relationship Id="rId3" Type="http://schemas.openxmlformats.org/officeDocument/2006/relationships/table" Target="../tables/table143.xml"/><Relationship Id="rId7" Type="http://schemas.openxmlformats.org/officeDocument/2006/relationships/table" Target="../tables/table147.xml"/><Relationship Id="rId12" Type="http://schemas.openxmlformats.org/officeDocument/2006/relationships/table" Target="../tables/table152.xml"/><Relationship Id="rId2" Type="http://schemas.openxmlformats.org/officeDocument/2006/relationships/table" Target="../tables/table142.xml"/><Relationship Id="rId1" Type="http://schemas.openxmlformats.org/officeDocument/2006/relationships/printerSettings" Target="../printerSettings/printerSettings12.bin"/><Relationship Id="rId6" Type="http://schemas.openxmlformats.org/officeDocument/2006/relationships/table" Target="../tables/table146.xml"/><Relationship Id="rId11" Type="http://schemas.openxmlformats.org/officeDocument/2006/relationships/table" Target="../tables/table151.xml"/><Relationship Id="rId5" Type="http://schemas.openxmlformats.org/officeDocument/2006/relationships/table" Target="../tables/table145.xml"/><Relationship Id="rId10" Type="http://schemas.openxmlformats.org/officeDocument/2006/relationships/table" Target="../tables/table150.xml"/><Relationship Id="rId4" Type="http://schemas.openxmlformats.org/officeDocument/2006/relationships/table" Target="../tables/table144.xml"/><Relationship Id="rId9" Type="http://schemas.openxmlformats.org/officeDocument/2006/relationships/table" Target="../tables/table149.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54.xml"/><Relationship Id="rId1" Type="http://schemas.openxmlformats.org/officeDocument/2006/relationships/table" Target="../tables/table153.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61.xml"/><Relationship Id="rId13" Type="http://schemas.openxmlformats.org/officeDocument/2006/relationships/table" Target="../tables/table166.xml"/><Relationship Id="rId18" Type="http://schemas.openxmlformats.org/officeDocument/2006/relationships/table" Target="../tables/table171.xml"/><Relationship Id="rId3" Type="http://schemas.openxmlformats.org/officeDocument/2006/relationships/table" Target="../tables/table156.xml"/><Relationship Id="rId21" Type="http://schemas.openxmlformats.org/officeDocument/2006/relationships/table" Target="../tables/table174.xml"/><Relationship Id="rId7" Type="http://schemas.openxmlformats.org/officeDocument/2006/relationships/table" Target="../tables/table160.xml"/><Relationship Id="rId12" Type="http://schemas.openxmlformats.org/officeDocument/2006/relationships/table" Target="../tables/table165.xml"/><Relationship Id="rId17" Type="http://schemas.openxmlformats.org/officeDocument/2006/relationships/table" Target="../tables/table170.xml"/><Relationship Id="rId2" Type="http://schemas.openxmlformats.org/officeDocument/2006/relationships/table" Target="../tables/table155.xml"/><Relationship Id="rId16" Type="http://schemas.openxmlformats.org/officeDocument/2006/relationships/table" Target="../tables/table169.xml"/><Relationship Id="rId20" Type="http://schemas.openxmlformats.org/officeDocument/2006/relationships/table" Target="../tables/table173.xml"/><Relationship Id="rId1" Type="http://schemas.openxmlformats.org/officeDocument/2006/relationships/printerSettings" Target="../printerSettings/printerSettings13.bin"/><Relationship Id="rId6" Type="http://schemas.openxmlformats.org/officeDocument/2006/relationships/table" Target="../tables/table159.xml"/><Relationship Id="rId11" Type="http://schemas.openxmlformats.org/officeDocument/2006/relationships/table" Target="../tables/table164.xml"/><Relationship Id="rId5" Type="http://schemas.openxmlformats.org/officeDocument/2006/relationships/table" Target="../tables/table158.xml"/><Relationship Id="rId15" Type="http://schemas.openxmlformats.org/officeDocument/2006/relationships/table" Target="../tables/table168.xml"/><Relationship Id="rId10" Type="http://schemas.openxmlformats.org/officeDocument/2006/relationships/table" Target="../tables/table163.xml"/><Relationship Id="rId19" Type="http://schemas.openxmlformats.org/officeDocument/2006/relationships/table" Target="../tables/table172.xml"/><Relationship Id="rId4" Type="http://schemas.openxmlformats.org/officeDocument/2006/relationships/table" Target="../tables/table157.xml"/><Relationship Id="rId9" Type="http://schemas.openxmlformats.org/officeDocument/2006/relationships/table" Target="../tables/table162.xml"/><Relationship Id="rId14" Type="http://schemas.openxmlformats.org/officeDocument/2006/relationships/table" Target="../tables/table167.xml"/><Relationship Id="rId22" Type="http://schemas.openxmlformats.org/officeDocument/2006/relationships/table" Target="../tables/table1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817</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Common farm inputs'!A1", "Common farm inputs")</f>
        <v>Common farm inputs</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row>
    <row r="14" spans="1:12" ht="20.100000000000001" customHeight="1" x14ac:dyDescent="0.25">
      <c r="A14" s="16" t="str">
        <f>HYPERLINK("#'Input - Hort farm Inputs'!A1", "Hort farm Inputs")</f>
        <v>Hort farm Inputs</v>
      </c>
    </row>
    <row r="15" spans="1:12" ht="20.100000000000001" customHeight="1" x14ac:dyDescent="0.25">
      <c r="A15" s="16" t="str">
        <f>HYPERLINK("#'Input - Livestock farm Inputs'!A1", "Livestock farm Inputs")</f>
        <v>Livestock farm Inputs</v>
      </c>
    </row>
    <row r="16" spans="1:12" ht="20.100000000000001" customHeight="1" x14ac:dyDescent="0.25">
      <c r="A16" s="16" t="str">
        <f>HYPERLINK("#'Input - Aquaculture inputs'!A1", "Aquaculture inputs")</f>
        <v>Aquaculture inputs</v>
      </c>
    </row>
    <row r="17" spans="1:1" ht="20.100000000000001" customHeight="1" x14ac:dyDescent="0.25">
      <c r="A17" s="16" t="str">
        <f>HYPERLINK("#'Input - Beef cattle purchases'!A1", "Beef cattle purchases")</f>
        <v>Beef cattle purchases</v>
      </c>
    </row>
    <row r="18" spans="1:1" ht="20.100000000000001" customHeight="1" x14ac:dyDescent="0.25">
      <c r="A18" s="16" t="str">
        <f>HYPERLINK("#'Input - Dairy cattle purchases'!A1", "Dairy cattle purchases")</f>
        <v>Dairy cattle purchases</v>
      </c>
    </row>
    <row r="19" spans="1:1" ht="20.100000000000001" customHeight="1" x14ac:dyDescent="0.25">
      <c r="A19" s="16" t="str">
        <f>HYPERLINK("#'Input - Pig purchases'!A1", "Pig purchases")</f>
        <v>Pig purchases</v>
      </c>
    </row>
    <row r="20" spans="1:1" ht="20.100000000000001" customHeight="1" x14ac:dyDescent="0.25">
      <c r="A20" s="16" t="str">
        <f>HYPERLINK("#'Input - Poultry purchases'!A1", "Poultry purchases")</f>
        <v>Poultry purchases</v>
      </c>
    </row>
    <row r="21" spans="1:1" ht="20.100000000000001" customHeight="1" x14ac:dyDescent="0.25">
      <c r="A21" s="16" t="str">
        <f>HYPERLINK("#'Input - Freight'!A1", "Freight")</f>
        <v>Freight</v>
      </c>
    </row>
    <row r="22" spans="1:1" ht="20.100000000000001" customHeight="1" x14ac:dyDescent="0.25">
      <c r="A22" s="16" t="str">
        <f>HYPERLINK("#'Input - Solid waste'!A1", "Solid waste")</f>
        <v>Solid waste</v>
      </c>
    </row>
    <row r="23" spans="1:1" ht="20.100000000000001" customHeight="1" x14ac:dyDescent="0.25">
      <c r="A23" s="16" t="str">
        <f>HYPERLINK("#'Input - Manure sent off-site'!A1", "Manure sent off-site")</f>
        <v>Manure sent off-site</v>
      </c>
    </row>
    <row r="24" spans="1:1" ht="20.100000000000001" customHeight="1" x14ac:dyDescent="0.25">
      <c r="A24" s="16" t="str">
        <f>HYPERLINK("#'Input - Electricity'!A1", "Electricity")</f>
        <v>Electricity</v>
      </c>
    </row>
    <row r="25" spans="1:1" ht="20.100000000000001" customHeight="1" x14ac:dyDescent="0.25"/>
    <row r="26" spans="1:1" ht="20.100000000000001" customHeight="1" x14ac:dyDescent="0.25"/>
    <row r="27" spans="1:1" ht="20.100000000000001" customHeight="1" x14ac:dyDescent="0.25">
      <c r="A27" s="21" t="s">
        <v>77</v>
      </c>
    </row>
    <row r="28" spans="1:1" ht="20.100000000000001" customHeight="1" x14ac:dyDescent="0.25">
      <c r="A28" s="16" t="str">
        <f>HYPERLINK("#'15 Scope 3'!A1", "15 Scope 3")</f>
        <v>15 Scope 3</v>
      </c>
    </row>
    <row r="29" spans="1:1" ht="20.100000000000001" customHeight="1" x14ac:dyDescent="0.25">
      <c r="A29" s="16" t="str">
        <f>HYPERLINK("#'10.1.1-2 Solid waste treatment'!A1", "10.1.1-2 Solid waste treatment")</f>
        <v>10.1.1-2 Solid waste treatment</v>
      </c>
    </row>
    <row r="30" spans="1:1" ht="20.100000000000001" customHeight="1" x14ac:dyDescent="0.25">
      <c r="A30" s="16" t="str">
        <f>HYPERLINK("#'Calcs - Manure sent off-site'!A1", "Calcs - Manure sent off-site")</f>
        <v>Calcs - Manure sent off-site</v>
      </c>
    </row>
    <row r="31" spans="1:1" ht="20.100000000000001" customHeight="1" x14ac:dyDescent="0.25">
      <c r="A31" s="16" t="str">
        <f>HYPERLINK("#'8.1.1.1-2 Transport fuel'!A1", "8.1.1.1-2 Transport fuel")</f>
        <v>8.1.1.1-2 Transport fuel</v>
      </c>
    </row>
    <row r="32" spans="1:1" ht="20.100000000000001" customHeight="1" x14ac:dyDescent="0.25">
      <c r="A32" s="16" t="str">
        <f>HYPERLINK("#'8.2.1.1-2 Stationary fuel'!A1", "8.2.1.1-2 Stationary fuel")</f>
        <v>8.2.1.1-2 Stationary fuel</v>
      </c>
    </row>
    <row r="33" spans="1:1" ht="20.100000000000001" customHeight="1" x14ac:dyDescent="0.25"/>
    <row r="34" spans="1:1" ht="20.100000000000001" customHeight="1" x14ac:dyDescent="0.25"/>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16"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818</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819</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820</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821</v>
      </c>
      <c r="E9" s="215" t="s">
        <v>822</v>
      </c>
      <c r="F9" s="215" t="s">
        <v>823</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836</v>
      </c>
      <c r="F10" s="216" t="s">
        <v>836</v>
      </c>
      <c r="G10" s="13" t="s">
        <v>824</v>
      </c>
    </row>
    <row r="11" spans="1:12" ht="20.100000000000001" customHeight="1" x14ac:dyDescent="0.25">
      <c r="A11" s="16" t="str">
        <f>HYPERLINK("#'Input - Common farm inputs'!A1", "Common farm inputs")</f>
        <v>Common 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824</v>
      </c>
    </row>
    <row r="12" spans="1:12" ht="20.100000000000001" customHeight="1" x14ac:dyDescent="0.25">
      <c r="A12" s="16" t="str">
        <f>HYPERLINK("#'Input - Processing inputs'!A1", "Processing inputs")</f>
        <v>Processing inputs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824</v>
      </c>
    </row>
    <row r="13" spans="1:12" ht="20.100000000000001" customHeight="1" x14ac:dyDescent="0.25">
      <c r="A13" s="16" t="str">
        <f>HYPERLINK("#'Input - Crop pasture farm input'!A1", "Crop pasture farm input")</f>
        <v>Crop pasture farm input</v>
      </c>
      <c r="D13" s="217" t="str">
        <f>'15 Scope 3'!D57</f>
        <v>Pigs</v>
      </c>
      <c r="E13" s="216">
        <f>VEERG_15_1_1_1__1_EmissionsFromPurchasedLivestock_Pigs_Result_Method1</f>
        <v>127.08800000000001</v>
      </c>
      <c r="F13" s="216">
        <f>VEERG_15_1_1_1__1_EmissionsFromPurchasedLivestock_Pigs_Result_Method2</f>
        <v>73.38000000000001</v>
      </c>
      <c r="G13" s="13" t="s">
        <v>824</v>
      </c>
    </row>
    <row r="14" spans="1:12" ht="20.100000000000001" customHeight="1" x14ac:dyDescent="0.25">
      <c r="A14" s="16" t="str">
        <f>HYPERLINK("#'Input - Hort farm Inputs'!A1", "Hort farm Inputs")</f>
        <v>Hort farm Inputs</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824</v>
      </c>
    </row>
    <row r="15" spans="1:12" ht="20.100000000000001" customHeight="1" x14ac:dyDescent="0.25">
      <c r="A15" s="16" t="str">
        <f>HYPERLINK("#'Input - Livestock farm Inputs'!A1", "Livestock farm Inputs")</f>
        <v>Livestock farm Inputs</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824</v>
      </c>
    </row>
    <row r="16" spans="1:12" ht="20.100000000000001" customHeight="1" x14ac:dyDescent="0.25">
      <c r="A16" s="16" t="str">
        <f>HYPERLINK("#'Input - Aquaculture inputs'!A1", "Aquaculture inputs")</f>
        <v>Aquaculture inputs</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824</v>
      </c>
    </row>
    <row r="17" spans="1:8" ht="20.100000000000001" customHeight="1" x14ac:dyDescent="0.25">
      <c r="A17" s="16" t="str">
        <f>HYPERLINK("#'Input - Beef cattle purchases'!A1", "Beef cattle purchases")</f>
        <v>Beef cattle purchases</v>
      </c>
      <c r="D17" s="8" t="str" cm="1">
        <f t="array" ref="D17">Common_InputFunctions.Utility_ResultsItemFromEquationTitleAndSource('15 Scope 3'!D186,'15 Scope 3'!D187)</f>
        <v>15.4.1.1 Emissions from purchased fertiliser</v>
      </c>
      <c r="E17" s="216">
        <f>VEERG_15_4_1_1__2_EmissionsFromPurchasedFertiliserComponentsVariation_Result_Method1</f>
        <v>0</v>
      </c>
      <c r="F17" s="216">
        <f>VEERG_15_4_1_1__2_EmissionsFromPurchasedFertiliserComponentsVariation_Result_Method2</f>
        <v>0</v>
      </c>
      <c r="G17" s="13" t="s">
        <v>824</v>
      </c>
    </row>
    <row r="18" spans="1:8" ht="20.100000000000001" customHeight="1" x14ac:dyDescent="0.25">
      <c r="A18" s="16" t="str">
        <f>HYPERLINK("#'Input - Dairy cattle purchases'!A1", "Dairy cattle purchases")</f>
        <v>Dairy cattle purchases</v>
      </c>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824</v>
      </c>
    </row>
    <row r="19" spans="1:8" ht="20.100000000000001" customHeight="1" x14ac:dyDescent="0.25">
      <c r="A19" s="16" t="str">
        <f>HYPERLINK("#'Input - Pig purchases'!A1", "Pig purchases")</f>
        <v>Pig purchases</v>
      </c>
      <c r="D19" s="8" t="str" cm="1">
        <f t="array" ref="D19">Common_InputFunctions.Utility_ResultsItemFromEquationTitleAndSource('15 Scope 3'!D288,'15 Scope 3'!D289)</f>
        <v>15.6.1.1 Embedded emissions for purchased lime</v>
      </c>
      <c r="E19" s="216">
        <f>VEERG_15_6_1_1__1_EmissionsFromPurchasedLime_Result_Method1</f>
        <v>1.6553999999999999E-2</v>
      </c>
      <c r="F19" s="216">
        <f>VEERG_15_6_1_1__1_EmissionsFromPurchasedLime_Result_Method2</f>
        <v>1.4400000000000001E-2</v>
      </c>
      <c r="G19" s="13" t="s">
        <v>824</v>
      </c>
    </row>
    <row r="20" spans="1:8" ht="20.100000000000001" customHeight="1" x14ac:dyDescent="0.25">
      <c r="A20" s="16" t="str">
        <f>HYPERLINK("#'Input - Poultry purchases'!A1", "Poultry purchases")</f>
        <v>Poultry purchases</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824</v>
      </c>
      <c r="H20" s="218"/>
    </row>
    <row r="21" spans="1:8" ht="20.100000000000001" customHeight="1" x14ac:dyDescent="0.25">
      <c r="A21" s="16" t="str">
        <f>HYPERLINK("#'Input - Freight'!A1", "Freight")</f>
        <v>Freight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824</v>
      </c>
    </row>
    <row r="22" spans="1:8" ht="20.100000000000001" customHeight="1" x14ac:dyDescent="0.25">
      <c r="A22" s="16" t="str">
        <f>HYPERLINK("#'Input - Solid waste'!A1", "Solid waste")</f>
        <v>Solid waste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824</v>
      </c>
    </row>
    <row r="23" spans="1:8" ht="20.100000000000001" customHeight="1" x14ac:dyDescent="0.25">
      <c r="A23" s="16" t="str">
        <f>HYPERLINK("#'Input - Manure sent off-site'!A1", "Manure sent off-site")</f>
        <v>Manure sent off-site</v>
      </c>
      <c r="D23" s="8" t="str" cm="1">
        <f t="array" ref="D23">Common_InputFunctions.Utility_ResultsItemFromEquationTitleAndSource('15 Scope 3'!D415,'15 Scope 3'!D416)</f>
        <v>15.10 Other purchased goods and services generic estimate</v>
      </c>
      <c r="E23" s="216" t="s">
        <v>836</v>
      </c>
      <c r="F23" s="216" t="s">
        <v>836</v>
      </c>
      <c r="G23" s="13" t="s">
        <v>824</v>
      </c>
    </row>
    <row r="24" spans="1:8" ht="20.100000000000001" customHeight="1" x14ac:dyDescent="0.25">
      <c r="A24" s="16" t="str">
        <f>HYPERLINK("#'Input - Electricity'!A1", "Electricity")</f>
        <v>Electricity</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824</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824</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824</v>
      </c>
    </row>
    <row r="27" spans="1:8" ht="20.100000000000001" customHeight="1" x14ac:dyDescent="0.25">
      <c r="A27" s="21" t="s">
        <v>77</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824</v>
      </c>
    </row>
    <row r="28" spans="1:8" ht="20.100000000000001" customHeight="1" x14ac:dyDescent="0.25">
      <c r="A28" s="16" t="str">
        <f>HYPERLINK("#'15 Scope 3'!A1", "15 Scope 3")</f>
        <v>15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824</v>
      </c>
    </row>
    <row r="29" spans="1:8" ht="20.100000000000001" customHeight="1" x14ac:dyDescent="0.25">
      <c r="A29" s="16" t="str">
        <f>HYPERLINK("#'10.1.1-2 Solid waste treatment'!A1", "10.1.1-2 Solid waste treatment")</f>
        <v>10.1.1-2 Solid waste treatment</v>
      </c>
      <c r="D29" s="8" t="str" cm="1">
        <f t="array" ref="D29">Common_InputFunctions.Utility_ResultsItemFromEquationTitleAndSource('15 Scope 3'!D506,'15 Scope 3'!D507)</f>
        <v>15.11.1.1 Total upstream emissions from scope 1 fuel consumption</v>
      </c>
      <c r="E29" s="216">
        <f>VEERG_15_11_1_1__1_TotalUpstreamEmissionsFromFuel_Result</f>
        <v>26.384</v>
      </c>
      <c r="F29" s="216">
        <f>E29</f>
        <v>26.384</v>
      </c>
      <c r="G29" s="13" t="s">
        <v>824</v>
      </c>
    </row>
    <row r="30" spans="1:8" ht="20.100000000000001" customHeight="1" x14ac:dyDescent="0.25">
      <c r="A30" s="16" t="str">
        <f>HYPERLINK("#'Calcs - Manure sent off-site'!A1", "Calcs - Manure sent off-site")</f>
        <v>Calcs - Manure sent off-site</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2.7</v>
      </c>
      <c r="F30" s="216">
        <f>E30</f>
        <v>2.7</v>
      </c>
      <c r="G30" s="13" t="s">
        <v>824</v>
      </c>
    </row>
    <row r="31" spans="1:8" ht="20.100000000000001" customHeight="1" x14ac:dyDescent="0.25">
      <c r="A31" s="16" t="str">
        <f>HYPERLINK("#'8.1.1.1-2 Transport fuel'!A1", "8.1.1.1-2 Transport fuel")</f>
        <v>8.1.1.1-2 Transport fuel</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1.4000000000000001</v>
      </c>
      <c r="F31" s="216">
        <f>E31</f>
        <v>1.4000000000000001</v>
      </c>
      <c r="G31" s="13" t="s">
        <v>824</v>
      </c>
    </row>
    <row r="32" spans="1:8" ht="20.100000000000001" customHeight="1" x14ac:dyDescent="0.25">
      <c r="A32" s="16" t="str">
        <f>HYPERLINK("#'8.2.1.1-2 Stationary fuel'!A1", "8.2.1.1-2 Stationary fuel")</f>
        <v>8.2.1.1-2 Stationary fuel</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1.7115214285714284</v>
      </c>
      <c r="F32" s="216">
        <f>VEERG_15_13_1_1__1_EmissionsFromManureSentOffSite_Result_Method2_CO2e</f>
        <v>3.4230428571428568</v>
      </c>
      <c r="G32" s="13" t="s">
        <v>824</v>
      </c>
    </row>
    <row r="33" spans="1:7" ht="20.100000000000001" customHeight="1" x14ac:dyDescent="0.25">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441.15000000000003</v>
      </c>
      <c r="F33" s="216">
        <f>E33</f>
        <v>441.15000000000003</v>
      </c>
      <c r="G33" s="13" t="s">
        <v>824</v>
      </c>
    </row>
    <row r="34" spans="1:7" ht="20.100000000000001" customHeight="1" x14ac:dyDescent="0.25">
      <c r="D34" s="8" t="str" cm="1">
        <f t="array" ref="D34">Common_InputFunctions.Utility_ResultsItemFromEquationTitleAndSource('15 Scope 3'!D592,'15 Scope 3'!D593)</f>
        <v>15.14.1.1 Embedded emissions from upstream freight</v>
      </c>
      <c r="E34" s="216" t="s">
        <v>836</v>
      </c>
      <c r="F34" s="216" t="s">
        <v>836</v>
      </c>
      <c r="G34" s="13" t="s">
        <v>824</v>
      </c>
    </row>
    <row r="35" spans="1:7" ht="20.100000000000001" customHeight="1" x14ac:dyDescent="0.25">
      <c r="A35" s="222" t="s">
        <v>78</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824</v>
      </c>
    </row>
    <row r="36" spans="1:7" ht="20.100000000000001" customHeight="1" x14ac:dyDescent="0.25">
      <c r="A36" s="16" t="str">
        <f>HYPERLINK("#'Constants - Scope 3'!A1", "Constants - Scope 3")</f>
        <v>Constants - Scope 3</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824</v>
      </c>
    </row>
    <row r="37" spans="1:7" ht="20.100000000000001" customHeight="1" x14ac:dyDescent="0.25">
      <c r="A37" s="16" t="str">
        <f>HYPERLINK("#'Constants - Solid Waste'!A1", "Constants - Solid Waste")</f>
        <v>Constants - Solid Waste</v>
      </c>
      <c r="D37" s="60" t="s">
        <v>214</v>
      </c>
      <c r="E37" s="219">
        <f>SUM(E10:E36)</f>
        <v>2793.3026114285713</v>
      </c>
      <c r="F37" s="219">
        <f>SUM(F10:F36)</f>
        <v>5586107.9553028569</v>
      </c>
      <c r="G37" s="175" t="s">
        <v>824</v>
      </c>
    </row>
    <row r="38" spans="1:7" ht="20.100000000000001" customHeight="1" x14ac:dyDescent="0.25">
      <c r="A38" s="16" t="str">
        <f>HYPERLINK("#'Constants - Fuel'!A1", "Constants - Fuel")</f>
        <v>Constants - Fuel</v>
      </c>
    </row>
    <row r="39" spans="1:7" ht="20.100000000000001" customHeight="1" x14ac:dyDescent="0.25">
      <c r="A39" s="16" t="str">
        <f>HYPERLINK("#'Constants - Poultry'!A1", "Constants - Poultry")</f>
        <v>Constants - Poultry</v>
      </c>
    </row>
    <row r="40" spans="1:7" ht="20.100000000000001" customHeight="1" x14ac:dyDescent="0.25">
      <c r="A40" s="16" t="str">
        <f>HYPERLINK("#'Constants - Swine'!A1", "Constants - Swine")</f>
        <v>Constants - Swine</v>
      </c>
    </row>
    <row r="41" spans="1:7" ht="20.100000000000001" customHeight="1" x14ac:dyDescent="0.25">
      <c r="A41" s="16" t="str">
        <f>HYPERLINK("#'Constants - Dairy'!A1", "Constants - Dairy")</f>
        <v>Constants - Dairy</v>
      </c>
    </row>
    <row r="42" spans="1:7" ht="20.100000000000001" customHeight="1" x14ac:dyDescent="0.25">
      <c r="A42" s="16" t="str">
        <f>HYPERLINK("#'Constants - Pasture Beef'!A1", "Constants - Pasture Beef")</f>
        <v>Constants - Pasture Beef</v>
      </c>
    </row>
    <row r="43" spans="1:7" ht="20.100000000000001" customHeight="1" x14ac:dyDescent="0.25">
      <c r="A43" s="16" t="str">
        <f>HYPERLINK("#'Constants - Common Livestock'!A1", "Constants - Common Livestock")</f>
        <v>Constants - Common Livestock</v>
      </c>
    </row>
    <row r="44" spans="1:7" ht="20.100000000000001" customHeight="1" x14ac:dyDescent="0.25">
      <c r="A44" s="16" t="str">
        <f>HYPERLINK("#'Constants - Fertiliser'!A1", "Constants - Fertiliser")</f>
        <v>Constants - Fertiliser</v>
      </c>
    </row>
    <row r="45" spans="1:7" ht="20.100000000000001" customHeight="1" x14ac:dyDescent="0.25">
      <c r="A45" s="16" t="str">
        <f>HYPERLINK("#'Constants - Electricity'!A1", "Constants - Electricity")</f>
        <v>Constants - Electricity</v>
      </c>
    </row>
    <row r="46" spans="1:7" ht="20.100000000000001" customHeight="1" x14ac:dyDescent="0.25">
      <c r="A46" s="16" t="str">
        <f>HYPERLINK("#'Constants - Common'!A1", "Constants - Common")</f>
        <v>Constants - Common</v>
      </c>
    </row>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21F3E-7F84-4404-8C8A-1F2B32FE68C5}">
  <sheetPr>
    <pageSetUpPr autoPageBreaks="0"/>
  </sheetPr>
  <dimension ref="A1:AA160"/>
  <sheetViews>
    <sheetView showGridLines="0" workbookViewId="0" zoomScale="100" zoomScaleNormal="100">
      <selection activeCell="A46" sqref="A46"/>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256</v>
      </c>
      <c r="N5" s="104"/>
    </row>
    <row r="6" spans="1:24" ht="20.100000000000001" customHeight="1" x14ac:dyDescent="0.25">
      <c r="A6"/>
      <c r="D6" s="105"/>
      <c r="N6" s="106"/>
    </row>
    <row r="7" spans="1:24" ht="20.100000000000001" customHeight="1" x14ac:dyDescent="0.25">
      <c r="A7" s="19" t="s">
        <v>67</v>
      </c>
      <c r="D7" s="8" t="s">
        <v>257</v>
      </c>
      <c r="E7" s="82" t="s">
        <v>258</v>
      </c>
      <c r="F7" s="65"/>
    </row>
    <row r="8" spans="1:24" ht="20.100000000000001" customHeight="1" x14ac:dyDescent="0.25">
      <c r="A8" s="42" t="str">
        <f>HYPERLINK("#'Input - Site'!A1", "Site")</f>
        <v>Site</v>
      </c>
      <c r="D8" s="107" t="s">
        <v>259</v>
      </c>
      <c r="E8" s="82" t="s">
        <v>260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261</v>
      </c>
      <c r="E10" s="109"/>
      <c r="F10" s="110"/>
      <c r="G10" s="96"/>
      <c r="N10" s="108"/>
    </row>
    <row r="11" spans="1:24" ht="20.100000000000001" customHeight="1" x14ac:dyDescent="0.25">
      <c r="A11" s="16" t="str">
        <f>HYPERLINK("#'Input - Common farm inputs'!A1", "Common farm inputs")</f>
        <v>Common farm inputs</v>
      </c>
      <c r="N11" s="111"/>
    </row>
    <row r="12" spans="1:24" ht="20.100000000000001" customHeight="1" x14ac:dyDescent="0.25">
      <c r="A12" s="16" t="str">
        <f>HYPERLINK("#'Input - Processing inputs'!A1", "Processing inputs")</f>
        <v>Processing inputs</v>
      </c>
      <c r="D12" s="107" t="s">
        <v>262</v>
      </c>
      <c r="E12" s="112">
        <v>45292</v>
      </c>
      <c r="F12" s="65" t="s">
        <v>263</v>
      </c>
    </row>
    <row r="13" spans="1:24" ht="20.100000000000001" customHeight="1" x14ac:dyDescent="0.25">
      <c r="A13" s="16" t="str">
        <f>HYPERLINK("#'Input - Crop pasture farm input'!A1", "Crop pasture farm input")</f>
        <v>Crop pasture farm input</v>
      </c>
      <c r="D13" s="107" t="s">
        <v>264</v>
      </c>
      <c r="E13" s="113" t="e">
        <f>DATE(YEAR(X_Cell_Site_StartDate)+1,MONTH(X_Cell_Site_StartDate),DAY(X_Cell_Site_StartDate))-1</f>
        <v>#REF!</v>
      </c>
      <c r="F13" s="65" t="s">
        <v>265</v>
      </c>
      <c r="N13" s="114"/>
      <c r="O13" s="114"/>
    </row>
    <row r="14" spans="1:24" ht="20.100000000000001" customHeight="1" x14ac:dyDescent="0.25">
      <c r="A14" s="16" t="str">
        <f>HYPERLINK("#'Input - Hort farm Inputs'!A1", "Hort farm Inputs")</f>
        <v>Hort farm Inputs</v>
      </c>
      <c r="N14" s="114"/>
      <c r="O14" s="114"/>
    </row>
    <row r="15" spans="1:24" ht="20.100000000000001" customHeight="1" x14ac:dyDescent="0.25">
      <c r="A15" s="16" t="str">
        <f>HYPERLINK("#'Input - Livestock farm Inputs'!A1", "Livestock farm Inputs")</f>
        <v>Livestock farm Inputs</v>
      </c>
      <c r="N15" s="114"/>
      <c r="O15" s="114"/>
    </row>
    <row r="16" spans="1:24" ht="20.100000000000001" customHeight="1" x14ac:dyDescent="0.25">
      <c r="A16" s="16" t="str">
        <f>HYPERLINK("#'Input - Aquaculture inputs'!A1", "Aquaculture inputs")</f>
        <v>Aquaculture inputs</v>
      </c>
      <c r="D16" s="9" t="s">
        <v>266</v>
      </c>
      <c r="N16" s="114"/>
      <c r="O16" s="114"/>
    </row>
    <row r="17" spans="1:25" ht="20.100000000000001" customHeight="1" x14ac:dyDescent="0.25">
      <c r="A17" s="16" t="str">
        <f>HYPERLINK("#'Input - Beef cattle purchases'!A1", "Beef cattle purchases")</f>
        <v>Beef cattle purchases</v>
      </c>
    </row>
    <row r="18" spans="1:25" ht="20.100000000000001" customHeight="1" x14ac:dyDescent="0.25">
      <c r="A18" s="16" t="str">
        <f>HYPERLINK("#'Input - Dairy cattle purchases'!A1", "Dairy cattle purchases")</f>
        <v>Dairy cattle purchases</v>
      </c>
      <c r="D18" s="115" t="s">
        <v>267</v>
      </c>
      <c r="E18" s="40"/>
      <c r="F18" s="40"/>
      <c r="G18" s="41"/>
    </row>
    <row r="19" spans="1:25" ht="20.100000000000001" customHeight="1" x14ac:dyDescent="0.25">
      <c r="A19" s="16" t="str">
        <f>HYPERLINK("#'Input - Pig purchases'!A1", "Pig purchases")</f>
        <v>Pig purchases</v>
      </c>
      <c r="D19" s="43" t="s">
        <v>268</v>
      </c>
      <c r="E19" s="44"/>
      <c r="F19" s="44"/>
      <c r="G19" s="45"/>
      <c r="N19" s="104"/>
    </row>
    <row r="20" spans="1:25" ht="20.100000000000001" customHeight="1" x14ac:dyDescent="0.25">
      <c r="A20" s="16" t="str">
        <f>HYPERLINK("#'Input - Poultry purchases'!A1", "Poultry purchases")</f>
        <v>Poultry purchases</v>
      </c>
      <c r="D20" s="8"/>
      <c r="E20" s="116"/>
      <c r="F20" s="65"/>
      <c r="N20" s="106"/>
    </row>
    <row r="21" spans="1:25" ht="20.100000000000001" customHeight="1" x14ac:dyDescent="0.25">
      <c r="A21" s="16" t="str">
        <f>HYPERLINK("#'Input - Freight'!A1", "Freight")</f>
        <v>Freight</v>
      </c>
      <c r="D21" s="8" t="s">
        <v>269</v>
      </c>
      <c r="E21" s="47" t="s">
        <v>903</v>
      </c>
      <c r="F21" s="65" t="s">
        <v>190</v>
      </c>
    </row>
    <row r="22" spans="1:25" ht="20.100000000000001" customHeight="1" x14ac:dyDescent="0.25">
      <c r="A22" s="16" t="str">
        <f>HYPERLINK("#'Input - Solid waste'!A1", "Solid waste")</f>
        <v>Solid waste</v>
      </c>
      <c r="D22" s="8" t="s">
        <v>270</v>
      </c>
      <c r="E22" s="47" t="s">
        <v>271</v>
      </c>
      <c r="F22" s="65" t="s">
        <v>190</v>
      </c>
      <c r="G22" s="8"/>
    </row>
    <row r="23" spans="1:25" ht="20.100000000000001" customHeight="1" x14ac:dyDescent="0.25">
      <c r="A23" s="16" t="str">
        <f>HYPERLINK("#'Input - Manure sent off-site'!A1", "Manure sent off-site")</f>
        <v>Manure sent off-site</v>
      </c>
      <c r="D23" s="8" t="s">
        <v>740</v>
      </c>
      <c r="E23" s="47" t="s">
        <v>741</v>
      </c>
      <c r="F23" s="65" t="s">
        <v>190</v>
      </c>
    </row>
    <row r="24" spans="1:25" ht="20.100000000000001" customHeight="1" x14ac:dyDescent="0.25">
      <c r="A24" s="16" t="str">
        <f>HYPERLINK("#'Input - Electricity'!A1", "Electricity")</f>
        <v>Electricity</v>
      </c>
      <c r="D24" s="8" t="s">
        <v>16</v>
      </c>
      <c r="E24" s="82">
        <v>307.7</v>
      </c>
      <c r="F24" s="65" t="s">
        <v>742</v>
      </c>
    </row>
    <row r="25" spans="1:25" ht="20.100000000000001" customHeight="1" x14ac:dyDescent="0.25">
      <c r="A25"/>
      <c r="D25" s="8" t="s">
        <v>743</v>
      </c>
      <c r="E25" s="82">
        <v>18</v>
      </c>
      <c r="F25" s="65" t="s">
        <v>744</v>
      </c>
      <c r="N25" s="106"/>
    </row>
    <row r="26" spans="1:25" ht="20.100000000000001" customHeight="1" x14ac:dyDescent="0.25">
      <c r="A26"/>
      <c r="D26" s="8" t="s">
        <v>745</v>
      </c>
      <c r="E26" s="82">
        <v>599</v>
      </c>
      <c r="F26" s="65" t="s">
        <v>746</v>
      </c>
    </row>
    <row r="27" spans="1:25" ht="20.100000000000001" customHeight="1" x14ac:dyDescent="0.25">
      <c r="A27" s="21" t="s">
        <v>77</v>
      </c>
      <c r="D27" s="107" t="s">
        <v>747</v>
      </c>
      <c r="E27" s="82">
        <v>1326</v>
      </c>
      <c r="F27" s="65" t="s">
        <v>746</v>
      </c>
    </row>
    <row r="28" spans="1:25" ht="20.100000000000001" customHeight="1" x14ac:dyDescent="0.25">
      <c r="A28" s="16" t="str">
        <f>HYPERLINK("#'15 Scope 3'!A1", "15 Scope 3")</f>
        <v>15 Scope 3</v>
      </c>
      <c r="D28" s="8" t="s">
        <v>748</v>
      </c>
      <c r="E28" s="82">
        <v>7</v>
      </c>
      <c r="F28" s="65" t="s">
        <v>749</v>
      </c>
    </row>
    <row r="29" spans="1:25" ht="20.100000000000001" customHeight="1" x14ac:dyDescent="0.25">
      <c r="A29" s="16" t="str">
        <f>HYPERLINK("#'10.1.1-2 Solid waste treatment'!A1", "10.1.1-2 Solid waste treatment")</f>
        <v>10.1.1-2 Solid waste treatment</v>
      </c>
      <c r="D29" s="107" t="s">
        <v>750</v>
      </c>
      <c r="E29" s="49" t="e">
        <f>X_Cell_Site_TotalRainfall/X_Cell_Site_PotentialEvapotranspiration</f>
        <v>#REF!</v>
      </c>
      <c r="F29" s="65"/>
    </row>
    <row r="30" spans="1:25" ht="20.100000000000001" customHeight="1" x14ac:dyDescent="0.25">
      <c r="A30" s="16" t="str">
        <f>HYPERLINK("#'Calcs - Manure sent off-site'!A1", "Calcs - Manure sent off-site")</f>
        <v>Calcs - Manure sent off-site</v>
      </c>
      <c r="D30" s="107" t="s">
        <v>44</v>
      </c>
      <c r="E30" s="49" t="e">
        <f>Common_InputFunctions.Utility_LookupItemFromMinMax(X_Cell_Site_TotalRainfall,Table_SourceData_RainfallZones[Min rainfall],Table_SourceData_RainfallZones[Max rainfall],Table_SourceData_RainfallZones[Rainfall Zone])</f>
        <v>#REF!</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HYPERLINK("#'8.1.1.1-2 Transport fuel'!A1", "8.1.1.1-2 Transport fuel")</f>
        <v>8.1.1.1-2 Transport fuel</v>
      </c>
      <c r="D31" s="8" t="s">
        <v>11</v>
      </c>
      <c r="E31" s="49" t="e">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#REF!</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HYPERLINK("#'8.2.1.1-2 Stationary fuel'!A1", "8.2.1.1-2 Stationary fuel")</f>
        <v>8.2.1.1-2 Stationary fuel</v>
      </c>
      <c r="D32" s="8" t="s">
        <v>751</v>
      </c>
      <c r="E32" s="49" t="e">
        <f>Common_InputFunctions.Utility_LookupValueInTable(X_Cell_Site_ClimateZone,Table_SourceData_WetDryZones[Climate zone],Table_SourceData_WetDryZones[Wet or Dry Zone])</f>
        <v>#REF!</v>
      </c>
      <c r="F32" s="8"/>
      <c r="G32" s="116"/>
      <c r="L32" s="119"/>
      <c r="M32" s="119"/>
      <c r="N32" s="119"/>
      <c r="O32" s="119"/>
      <c r="P32" s="119"/>
      <c r="Q32" s="119"/>
      <c r="R32" s="119"/>
      <c r="S32" s="119"/>
      <c r="T32" s="119"/>
      <c r="U32" s="119"/>
      <c r="V32" s="119"/>
      <c r="W32" s="119"/>
      <c r="X32" s="119"/>
      <c r="Y32" s="119"/>
    </row>
    <row r="33" spans="1:25" ht="20.100000000000001" customHeight="1" x14ac:dyDescent="0.25">
      <c r="A33"/>
      <c r="D33" s="8" t="s">
        <v>48</v>
      </c>
      <c r="E33" s="49" t="e">
        <f>Common_InputFunctions.Utility_LookupItemFromMinMax(X_Cell_Site_AverageTemperature,Table_SourceData_TemperatureZones[Min MAT],Table_SourceData_TemperatureZones[Max MAT],Table_SourceData_TemperatureZones[Temperature Zone])</f>
        <v>#REF!</v>
      </c>
      <c r="G33" s="120"/>
      <c r="L33" s="119"/>
      <c r="M33" s="119"/>
      <c r="N33" s="119"/>
      <c r="O33" s="119"/>
      <c r="P33" s="119"/>
      <c r="Q33" s="119"/>
      <c r="R33" s="119"/>
      <c r="S33" s="119"/>
      <c r="T33" s="119"/>
      <c r="U33" s="119"/>
      <c r="V33" s="119"/>
      <c r="W33" s="119"/>
      <c r="X33" s="119"/>
      <c r="Y33" s="119"/>
    </row>
    <row r="34" spans="1:25" ht="20.100000000000001" customHeight="1" x14ac:dyDescent="0.25">
      <c r="A34"/>
      <c r="J34" s="121"/>
      <c r="K34" s="122"/>
      <c r="L34" s="119"/>
      <c r="M34" s="119"/>
      <c r="N34" s="119"/>
      <c r="O34" s="119"/>
      <c r="P34" s="119"/>
      <c r="Q34" s="119"/>
      <c r="R34" s="119"/>
      <c r="S34" s="119"/>
      <c r="T34" s="119"/>
      <c r="U34" s="119"/>
      <c r="V34" s="119"/>
      <c r="W34" s="119"/>
      <c r="X34" s="119"/>
      <c r="Y34" s="119"/>
    </row>
    <row r="35" spans="1:25" ht="20.100000000000001" customHeight="1" x14ac:dyDescent="0.25">
      <c r="A35" s="222" t="s">
        <v>78</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Scope 3'!A1", "Constants - Scope 3")</f>
        <v>Constants - Scope 3</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Solid Waste'!A1", "Constants - Solid Waste")</f>
        <v>Constants - Solid Waste</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Fuel'!A1", "Constants - Fuel")</f>
        <v>Constants - Fuel</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Poultry'!A1", "Constants - Poultry")</f>
        <v>Constants - Poultry</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Swine'!A1", "Constants - Swine")</f>
        <v>Constants - Swine</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Dairy'!A1", "Constants - Dairy")</f>
        <v>Constants - Dairy</v>
      </c>
    </row>
    <row r="42" spans="1:25" ht="20.100000000000001" customHeight="1" x14ac:dyDescent="0.25">
      <c r="A42" s="16" t="str">
        <f>HYPERLINK("#'Constants - Pasture Beef'!A1", "Constants - Pasture Beef")</f>
        <v>Constants - Pasture Beef</v>
      </c>
    </row>
    <row r="43" spans="1:25" ht="20.100000000000001" customHeight="1" x14ac:dyDescent="0.25">
      <c r="A43" s="16" t="str">
        <f>HYPERLINK("#'Constants - Common Livestock'!A1", "Constants - Common Livestock")</f>
        <v>Constants - Common Livestock</v>
      </c>
    </row>
    <row r="44" spans="1:25" ht="20.100000000000001" customHeight="1" x14ac:dyDescent="0.25">
      <c r="A44" s="16" t="str">
        <f>HYPERLINK("#'Constants - Fertiliser'!A1", "Constants - Fertiliser")</f>
        <v>Constants - Fertiliser</v>
      </c>
    </row>
    <row r="45" spans="1:25" ht="20.100000000000001" customHeight="1" x14ac:dyDescent="0.25">
      <c r="A45" s="16" t="str">
        <f>HYPERLINK("#'Constants - Electricity'!A1", "Constants - Electricity")</f>
        <v>Constants - Electricity</v>
      </c>
      <c r="D45" s="9"/>
    </row>
    <row r="46" spans="1:25" ht="20.100000000000001" customHeight="1" x14ac:dyDescent="0.25">
      <c r="A46" s="16" t="str">
        <f>HYPERLINK("#'Constants - Common'!A1", "Constants - Common")</f>
        <v>Constants - Common</v>
      </c>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D9F9448-9736-4894-8DC4-4CE15F2B55A5}">
      <formula1>"YES - In leaching zone, NO - Not in leaching zone"</formula1>
    </dataValidation>
    <dataValidation type="list" allowBlank="1" showInputMessage="1" showErrorMessage="1" sqref="G36:G39" xr:uid="{109352AC-4D42-4FB5-9ECB-BF05D7371A4D}">
      <formula1>$D$41:$D$43</formula1>
    </dataValidation>
    <dataValidation type="list" allowBlank="1" showInputMessage="1" showErrorMessage="1" sqref="E22" xr:uid="{1106D972-65B7-4D46-BE94-49DDAF3F5609}">
      <formula1>INDIRECT("Table_WASA4Areas[SA 4 Name]")</formula1>
    </dataValidation>
    <dataValidation type="list" allowBlank="1" showInputMessage="1" showErrorMessage="1" sqref="E21" xr:uid="{1FE038C3-8D4F-424C-B219-139421CA34C5}">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3ED99-D5F9-44C1-B00F-2C3959DD0B25}">
  <dimension ref="A1:K346"/>
  <sheetViews>
    <sheetView showGridLines="0" topLeftCell="A2"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727</v>
      </c>
    </row>
    <row r="8" spans="1:11" ht="20.100000000000001" customHeight="1" x14ac:dyDescent="0.25">
      <c r="A8" s="16" t="str">
        <f>HYPERLINK("#'Input - Site'!A1", "Site")</f>
        <v>Site</v>
      </c>
      <c r="D8" s="8" t="s">
        <v>728</v>
      </c>
    </row>
    <row r="9" spans="1:11" ht="20.100000000000001" customHeight="1" x14ac:dyDescent="0.25">
      <c r="A9" s="42" t="str">
        <f>HYPERLINK("#'Input - Fuel'!A1", "Fuel")</f>
        <v>Fuel</v>
      </c>
      <c r="D9" s="8" t="s">
        <v>729</v>
      </c>
    </row>
    <row r="10" spans="1:11" ht="20.100000000000001" customHeight="1" x14ac:dyDescent="0.25">
      <c r="A10" s="16" t="str">
        <f>HYPERLINK("#'Input - Fertiliser'!A1", "Fertiliser")</f>
        <v>Fertiliser</v>
      </c>
    </row>
    <row r="11" spans="1:11" ht="20.100000000000001" customHeight="1" x14ac:dyDescent="0.25">
      <c r="A11" s="16" t="str">
        <f>HYPERLINK("#'Input - Common farm inputs'!A1", "Common farm inputs")</f>
        <v>Common farm inputs</v>
      </c>
      <c r="D11" s="8" t="s">
        <v>730</v>
      </c>
      <c r="E11" s="47" t="s">
        <v>698</v>
      </c>
      <c r="F11" s="65" t="s">
        <v>190</v>
      </c>
    </row>
    <row r="12" spans="1:11" ht="20.100000000000001" customHeight="1" x14ac:dyDescent="0.25">
      <c r="A12" s="16" t="str">
        <f>HYPERLINK("#'Input - Processing inputs'!A1", "Processing inputs")</f>
        <v>Processing inputs</v>
      </c>
    </row>
    <row r="13" spans="1:11" ht="20.100000000000001" customHeight="1" x14ac:dyDescent="0.25">
      <c r="A13" s="16" t="str">
        <f>HYPERLINK("#'Input - Crop pasture farm input'!A1", "Crop pasture farm input")</f>
        <v>Crop pasture farm input</v>
      </c>
      <c r="D13" s="39" t="s">
        <v>120</v>
      </c>
      <c r="E13" s="40"/>
      <c r="F13" s="40"/>
      <c r="G13" s="40"/>
      <c r="H13" s="41"/>
    </row>
    <row r="14" spans="1:11" ht="20.100000000000001" customHeight="1" x14ac:dyDescent="0.25">
      <c r="A14" s="16" t="str">
        <f>HYPERLINK("#'Input - Hort farm Inputs'!A1", "Hort farm Inputs")</f>
        <v>Hort farm Inputs</v>
      </c>
      <c r="D14" s="43" t="s">
        <v>121</v>
      </c>
      <c r="E14" s="44"/>
      <c r="F14" s="44"/>
      <c r="G14" s="44"/>
      <c r="H14" s="45"/>
    </row>
    <row r="15" spans="1:11" ht="20.100000000000001" customHeight="1" x14ac:dyDescent="0.25">
      <c r="A15" s="16" t="str">
        <f>HYPERLINK("#'Input - Livestock farm Inputs'!A1", "Livestock farm Inputs")</f>
        <v>Livestock farm Inputs</v>
      </c>
      <c r="D15" s="14"/>
      <c r="E15" s="14"/>
      <c r="F15" s="14"/>
      <c r="G15" s="14"/>
      <c r="H15" s="14"/>
      <c r="I15" s="14"/>
      <c r="J15" s="14"/>
    </row>
    <row r="16" spans="1:11" ht="20.100000000000001" customHeight="1" x14ac:dyDescent="0.25">
      <c r="A16" s="16" t="str">
        <f>HYPERLINK("#'Input - Aquaculture inputs'!A1", "Aquaculture inputs")</f>
        <v>Aquaculture inputs</v>
      </c>
      <c r="D16" s="46" t="s">
        <v>122</v>
      </c>
      <c r="E16" s="46" t="s">
        <v>123</v>
      </c>
      <c r="F16" s="46" t="s">
        <v>124</v>
      </c>
      <c r="G16" s="46" t="s">
        <v>125</v>
      </c>
      <c r="H16" s="46" t="s">
        <v>126</v>
      </c>
      <c r="I16" s="46" t="s">
        <v>127</v>
      </c>
      <c r="J16" s="46" t="s">
        <v>922</v>
      </c>
    </row>
    <row r="17" spans="1:10" ht="20.100000000000001" customHeight="1" x14ac:dyDescent="0.25">
      <c r="A17" s="16" t="str">
        <f>HYPERLINK("#'Input - Beef cattle purchases'!A1", "Beef cattle purchases")</f>
        <v>Beef cattle purchases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Dairy cattle purchases'!A1", "Dairy cattle purchases")</f>
        <v>Dairy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7">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Pig purchases'!A1", "Pig purchases")</f>
        <v>Pig purchases</v>
      </c>
      <c r="D19" s="47" t="s">
        <v>91</v>
      </c>
      <c r="E19" s="47" t="s">
        <v>99</v>
      </c>
      <c r="F19" s="48">
        <v>10000</v>
      </c>
      <c r="G19" s="49" t="str" cm="1">
        <f t="array" ref="G19">Common_InputFunctions.Utility_LookupValueInTable(Table_Input_Fuel[[#This Row],[Fuel type (select)]],Table_FuelTypes_Units[Fuel type], Table_FuelTypes_Units[Input Unit])</f>
        <v>L</v>
      </c>
      <c r="H19" s="227">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Poultry purchases'!A1", "Poultry purchases")</f>
        <v>Poultry purchases</v>
      </c>
      <c r="D20" s="47" t="s">
        <v>92</v>
      </c>
      <c r="E20" s="47" t="s">
        <v>99</v>
      </c>
      <c r="F20" s="48">
        <v>10000</v>
      </c>
      <c r="G20" s="49" t="str" cm="1">
        <f t="array" ref="G20">Common_InputFunctions.Utility_LookupValueInTable(Table_Input_Fuel[[#This Row],[Fuel type (select)]],Table_FuelTypes_Units[Fuel type], Table_FuelTypes_Units[Input Unit])</f>
        <v>L</v>
      </c>
      <c r="H20" s="227">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Freight'!A1", "Freight")</f>
        <v>Freight</v>
      </c>
      <c r="D21" s="149" t="s">
        <v>93</v>
      </c>
      <c r="E21" s="149" t="s">
        <v>94</v>
      </c>
      <c r="F21" s="48">
        <v>10000</v>
      </c>
      <c r="G21" s="161" t="str" cm="1">
        <f t="array" ref="G21">Common_InputFunctions.Utility_LookupValueInTable(Table_Input_Fuel[[#This Row],[Fuel type (select)]],Table_FuelTypes_Units[Fuel type], Table_FuelTypes_Units[Input Unit])</f>
        <v>L</v>
      </c>
      <c r="H21" s="228">
        <f>1</f>
        <v>1</v>
      </c>
      <c r="I21" s="161">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Solid waste'!A1", "Solid waste")</f>
        <v>Solid waste</v>
      </c>
    </row>
    <row r="23" spans="1:10" ht="20.100000000000001" customHeight="1" x14ac:dyDescent="0.25">
      <c r="A23" s="16" t="str">
        <f>HYPERLINK("#'Input - Manure sent off-site'!A1", "Manure sent off-site")</f>
        <v>Manure sent off-site</v>
      </c>
    </row>
    <row r="24" spans="1:10" ht="20.100000000000001" customHeight="1" x14ac:dyDescent="0.25">
      <c r="A24" s="16" t="str">
        <f>HYPERLINK("#'Input - Electricity'!A1", "Electricity")</f>
        <v>Electricity</v>
      </c>
    </row>
    <row r="25" spans="1:10" ht="20.100000000000001" customHeight="1" x14ac:dyDescent="0.25">
      <c r="A25"/>
    </row>
    <row r="26" spans="1:10" ht="20.100000000000001" customHeight="1" x14ac:dyDescent="0.25">
      <c r="A26"/>
    </row>
    <row r="27" spans="1:10" ht="20.100000000000001" customHeight="1" x14ac:dyDescent="0.25">
      <c r="A27" s="21" t="s">
        <v>77</v>
      </c>
    </row>
    <row r="28" spans="1:10" ht="20.100000000000001" customHeight="1" x14ac:dyDescent="0.25">
      <c r="A28" s="16" t="str">
        <f>HYPERLINK("#'15 Scope 3'!A1", "15 Scope 3")</f>
        <v>15 Scope 3</v>
      </c>
    </row>
    <row r="29" spans="1:10" ht="20.100000000000001" customHeight="1" x14ac:dyDescent="0.25">
      <c r="A29" s="16" t="str">
        <f>HYPERLINK("#'10.1.1-2 Solid waste treatment'!A1", "10.1.1-2 Solid waste treatment")</f>
        <v>10.1.1-2 Solid waste treatment</v>
      </c>
    </row>
    <row r="30" spans="1:10" ht="20.100000000000001" customHeight="1" x14ac:dyDescent="0.25">
      <c r="A30" s="16" t="str">
        <f>HYPERLINK("#'Calcs - Manure sent off-site'!A1", "Calcs - Manure sent off-site")</f>
        <v>Calcs - Manure sent off-site</v>
      </c>
    </row>
    <row r="31" spans="1:10" ht="20.100000000000001" customHeight="1" x14ac:dyDescent="0.25">
      <c r="A31" s="16" t="str">
        <f>HYPERLINK("#'8.1.1.1-2 Transport fuel'!A1", "8.1.1.1-2 Transport fuel")</f>
        <v>8.1.1.1-2 Transport fuel</v>
      </c>
    </row>
    <row r="32" spans="1:10" ht="20.100000000000001" customHeight="1" x14ac:dyDescent="0.25">
      <c r="A32" s="16" t="str">
        <f>HYPERLINK("#'8.2.1.1-2 Stationary fuel'!A1", "8.2.1.1-2 Stationary fuel")</f>
        <v>8.2.1.1-2 Stationary fuel</v>
      </c>
    </row>
    <row r="33" spans="1:11" ht="20.100000000000001" customHeight="1" x14ac:dyDescent="0.25">
      <c r="A33"/>
    </row>
    <row r="34" spans="1:11" ht="20.100000000000001" customHeight="1" x14ac:dyDescent="0.25">
      <c r="A34"/>
    </row>
    <row r="35" spans="1:11" ht="20.100000000000001" customHeight="1" x14ac:dyDescent="0.25">
      <c r="A35" s="222" t="s">
        <v>78</v>
      </c>
    </row>
    <row r="36" spans="1:11" ht="20.100000000000001" customHeight="1" x14ac:dyDescent="0.25">
      <c r="A36" s="16" t="str">
        <f>HYPERLINK("#'Constants - Scope 3'!A1", "Constants - Scope 3")</f>
        <v>Constants - Scope 3</v>
      </c>
    </row>
    <row r="37" spans="1:11" ht="20.100000000000001" customHeight="1" x14ac:dyDescent="0.25">
      <c r="A37" s="16" t="str">
        <f>HYPERLINK("#'Constants - Solid Waste'!A1", "Constants - Solid Waste")</f>
        <v>Constants - Solid Waste</v>
      </c>
    </row>
    <row r="38" spans="1:11" ht="20.100000000000001" customHeight="1" x14ac:dyDescent="0.25">
      <c r="A38" s="16" t="str">
        <f>HYPERLINK("#'Constants - Fuel'!A1", "Constants - Fuel")</f>
        <v>Constants - Fuel</v>
      </c>
      <c r="C38" s="51"/>
      <c r="K38" s="51"/>
    </row>
    <row r="39" spans="1:11" ht="20.100000000000001" customHeight="1" x14ac:dyDescent="0.25">
      <c r="A39" s="16" t="str">
        <f>HYPERLINK("#'Constants - Poultry'!A1", "Constants - Poultry")</f>
        <v>Constants - Poultry</v>
      </c>
      <c r="C39" s="51"/>
      <c r="K39" s="51"/>
    </row>
    <row r="40" spans="1:11" s="52" customFormat="1" ht="20.100000000000001" customHeight="1" x14ac:dyDescent="0.25">
      <c r="A40" s="16" t="str">
        <f>HYPERLINK("#'Constants - Swine'!A1", "Constants - Swine")</f>
        <v>Constants - Swine</v>
      </c>
      <c r="C40" s="8"/>
      <c r="D40" s="8"/>
      <c r="E40" s="8"/>
      <c r="F40" s="8"/>
      <c r="G40" s="8"/>
      <c r="H40" s="8"/>
      <c r="I40" s="8"/>
      <c r="J40" s="8"/>
      <c r="K40" s="8"/>
    </row>
    <row r="41" spans="1:11" s="52" customFormat="1" ht="20.100000000000001" customHeight="1" x14ac:dyDescent="0.25">
      <c r="A41" s="16" t="str">
        <f>HYPERLINK("#'Constants - Dairy'!A1", "Constants - Dairy")</f>
        <v>Constants - Dairy</v>
      </c>
      <c r="C41" s="8"/>
      <c r="D41" s="8"/>
      <c r="E41" s="8"/>
      <c r="F41" s="8"/>
      <c r="G41" s="8"/>
      <c r="H41" s="8"/>
      <c r="I41" s="8"/>
      <c r="J41" s="8"/>
      <c r="K41" s="8"/>
    </row>
    <row r="42" spans="1:11" ht="20.100000000000001" customHeight="1" x14ac:dyDescent="0.25">
      <c r="A42" s="16" t="str">
        <f>HYPERLINK("#'Constants - Pasture Beef'!A1", "Constants - Pasture Beef")</f>
        <v>Constants - Pasture Beef</v>
      </c>
    </row>
    <row r="43" spans="1:11" ht="20.100000000000001" customHeight="1" x14ac:dyDescent="0.25">
      <c r="A43" s="16" t="str">
        <f>HYPERLINK("#'Constants - Common Livestock'!A1", "Constants - Common Livestock")</f>
        <v>Constants - Common Livestock</v>
      </c>
    </row>
    <row r="44" spans="1:11" ht="20.100000000000001" customHeight="1" x14ac:dyDescent="0.25">
      <c r="A44" s="16" t="str">
        <f>HYPERLINK("#'Constants - Fertiliser'!A1", "Constants - Fertiliser")</f>
        <v>Constants - Fertiliser</v>
      </c>
    </row>
    <row r="45" spans="1:11" ht="20.100000000000001" customHeight="1" x14ac:dyDescent="0.25">
      <c r="A45" s="16" t="str">
        <f>HYPERLINK("#'Constants - Electricity'!A1", "Constants - Electricity")</f>
        <v>Constants - Electricity</v>
      </c>
    </row>
    <row r="46" spans="1:11" ht="20.100000000000001" customHeight="1" x14ac:dyDescent="0.25">
      <c r="A46" s="16" t="str">
        <f>HYPERLINK("#'Constants - Common'!A1", "Constants - Common")</f>
        <v>Constants - Common</v>
      </c>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1ED79F42-737C-4AD3-A379-876FF816F20A}">
      <formula1>_xlfn.TRIMRANGE(INDIRECT("Table_FuelTypesPerUse["&amp;D17&amp;"]"))</formula1>
    </dataValidation>
    <dataValidation type="list" allowBlank="1" showInputMessage="1" showErrorMessage="1" sqref="D17:D21" xr:uid="{C6C2348A-F25E-4447-9C17-89E169ABF4C1}">
      <formula1>INDIRECT("Table_FuelTypesPerUse[#Headers]")</formula1>
    </dataValidation>
    <dataValidation type="list" allowBlank="1" showInputMessage="1" showErrorMessage="1" sqref="E11" xr:uid="{1439AC62-2675-4573-B55C-481424895C26}">
      <formula1>"Metro, Non-metro"</formula1>
    </dataValidation>
    <dataValidation type="list" allowBlank="1" showInputMessage="1" showErrorMessage="1" sqref="D29:D30" xr:uid="{B4869D54-A13C-4F41-810E-4464A8C64E9B}">
      <formula1>INDIRECT("Table_SourceData_OrganicFertiliserTypes[Organic fertiliser type]")</formula1>
    </dataValidation>
    <dataValidation type="list" allowBlank="1" showInputMessage="1" showErrorMessage="1" sqref="E49" xr:uid="{E674EE07-CE30-47B1-8BDF-4E6FFFD62DBB}">
      <formula1>INDIRECT("Table_SourceData_Swine_CropProdSystems[Production system]")</formula1>
    </dataValidation>
    <dataValidation type="list" allowBlank="1" showInputMessage="1" showErrorMessage="1" sqref="E50" xr:uid="{2426BA98-D44C-426D-B623-DA9EA0380799}">
      <formula1>INDIRECT("Table_SourceData_Swine_IrrigationMethods[Irrigation method]")</formula1>
    </dataValidation>
    <dataValidation type="list" allowBlank="1" showInputMessage="1" showErrorMessage="1" sqref="E234 E239 E244 E278 E273 E268 E146 E134 E110 E122" xr:uid="{89569380-A1DD-4A15-A139-FF3EA5A11A99}">
      <formula1>"Yes, No"</formula1>
    </dataValidation>
    <dataValidation type="list" allowBlank="1" showInputMessage="1" showErrorMessage="1" sqref="E210" xr:uid="{296C2A9D-E699-48E1-B13B-95C5AA604A1A}">
      <formula1>INDIRECT("Table_SourceData_Dairy_ProductionSystemTemplates[Area]")</formula1>
    </dataValidation>
    <dataValidation type="list" allowBlank="1" showInputMessage="1" showErrorMessage="1" sqref="D262" xr:uid="{D71CE92C-3BB9-433F-B889-6FE46650786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F37FC-3797-454C-8A83-4BEE0D92C6B9}">
  <dimension ref="A1:AA378"/>
  <sheetViews>
    <sheetView showGridLines="0"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191</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192</v>
      </c>
      <c r="E7" s="40"/>
      <c r="F7" s="40"/>
      <c r="G7" s="40"/>
      <c r="H7" s="41"/>
      <c r="I7" s="67"/>
      <c r="J7" s="68"/>
      <c r="K7" s="69"/>
      <c r="L7" s="69"/>
      <c r="M7" s="69"/>
    </row>
    <row r="8" spans="1:27" ht="20.100000000000001" customHeight="1" x14ac:dyDescent="0.25">
      <c r="A8" s="16" t="str">
        <f>HYPERLINK("#'Input - Site'!A1", "Site")</f>
        <v>Site</v>
      </c>
      <c r="D8" s="43" t="s">
        <v>193</v>
      </c>
      <c r="E8" s="44"/>
      <c r="F8" s="44"/>
      <c r="G8" s="45"/>
      <c r="H8" s="70"/>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42" t="str">
        <f>HYPERLINK("#'Input - Fertiliser'!A1", "Fertiliser")</f>
        <v>Fertiliser</v>
      </c>
      <c r="D10" s="71" t="s">
        <v>194</v>
      </c>
      <c r="E10" s="14"/>
      <c r="F10" s="14"/>
      <c r="G10" s="14"/>
      <c r="H10" s="14"/>
      <c r="I10" s="14"/>
      <c r="J10" s="14"/>
      <c r="K10" s="14"/>
      <c r="L10" s="14"/>
      <c r="M10" s="14"/>
    </row>
    <row r="11" spans="1:27" ht="20.100000000000001" customHeight="1" x14ac:dyDescent="0.25">
      <c r="A11" s="16" t="str">
        <f>HYPERLINK("#'Input - Common farm inputs'!A1", "Common farm inputs")</f>
        <v>Common farm inputs</v>
      </c>
      <c r="D11" s="223" t="s">
        <v>195</v>
      </c>
      <c r="E11" s="64" t="s">
        <v>904</v>
      </c>
      <c r="F11" s="64" t="s">
        <v>305</v>
      </c>
      <c r="G11" s="64" t="s">
        <v>196</v>
      </c>
      <c r="H11" s="64" t="s">
        <v>306</v>
      </c>
      <c r="I11" s="64" t="s">
        <v>197</v>
      </c>
      <c r="J11" s="223" t="s">
        <v>170</v>
      </c>
      <c r="K11" s="223" t="s">
        <v>171</v>
      </c>
      <c r="L11" s="223" t="s">
        <v>172</v>
      </c>
      <c r="M11" s="223" t="s">
        <v>173</v>
      </c>
      <c r="N11" s="223" t="s">
        <v>174</v>
      </c>
      <c r="O11" s="223" t="s">
        <v>175</v>
      </c>
      <c r="P11" s="223" t="s">
        <v>176</v>
      </c>
      <c r="Q11" s="223" t="s">
        <v>177</v>
      </c>
      <c r="R11" s="223" t="s">
        <v>178</v>
      </c>
      <c r="S11" s="223" t="s">
        <v>179</v>
      </c>
      <c r="T11" s="223" t="s">
        <v>180</v>
      </c>
      <c r="U11" s="223" t="s">
        <v>181</v>
      </c>
      <c r="V11" s="223" t="s">
        <v>905</v>
      </c>
      <c r="W11" s="223" t="s">
        <v>906</v>
      </c>
      <c r="X11" s="223" t="s">
        <v>198</v>
      </c>
      <c r="Y11" s="223" t="s">
        <v>168</v>
      </c>
      <c r="Z11" s="223" t="s">
        <v>169</v>
      </c>
    </row>
    <row r="12" spans="1:27" ht="20.100000000000001" customHeight="1" x14ac:dyDescent="0.25">
      <c r="A12" s="16" t="str">
        <f>HYPERLINK("#'Input - Processing inputs'!A1", "Processing inputs")</f>
        <v>Processing inputs</v>
      </c>
      <c r="D12" s="72" t="s">
        <v>203</v>
      </c>
      <c r="E12" s="73">
        <v>100</v>
      </c>
      <c r="F12" s="49" t="str">
        <f>IFERROR(_xlfn.XLOOKUP(Table_Input_InorganicFertiliser_Brands[[#This Row],[Product (select)]],FertiliserProducts[Product],FertiliserProducts[Unit]), "kg")</f>
        <v>kg</v>
      </c>
      <c r="G12" s="73">
        <f t="shared" ref="G12" si="0">X_Cell_Fertiliser_AreaUnderCropping</f>
        <v>0</v>
      </c>
      <c r="H12" s="224">
        <f>IFERROR(_xlfn.XLOOKUP(Table_Input_InorganicFertiliser_Brands[[#This Row],[Product (select)]],FertiliserProducts[Product],FertiliserProducts[Density]), 1)</f>
        <v>1</v>
      </c>
      <c r="I12" s="74">
        <f>(Table_Input_InorganicFertiliser_Brands[[#This Row],[Amount applied per hectare]]*Table_Input_InorganicFertiliser_Brands[[#This Row],[Density]])*Table_Input_InorganicFertiliser_Brands[[#This Row],[Application area (ha)]]</f>
        <v>0</v>
      </c>
      <c r="J12" s="7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74"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7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7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7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7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7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74" cm="1">
        <f t="array" ref="W12">IFERROR(Fertiliser_InputFunctions.Fertiliser_FertiliserProductLookup(Table_Input_InorganicFertiliser_Brands[[#This Row],[Product (select)]], "N declared", FertiliserProducts[#Data], FertiliserProducts[Product], FertiliserProducts[#Headers])*0.01, 0)</f>
        <v>0</v>
      </c>
      <c r="X12"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74" t="str">
        <f>IFERROR(_xlfn.XLOOKUP(Table_Input_InorganicFertiliser_Brands[[#This Row],[Product (select)]],FertiliserProducts[Product],FertiliserProducts[Urea source]), "")</f>
        <v/>
      </c>
      <c r="Z12" s="74" t="str">
        <f>IFERROR(_xlfn.XLOOKUP(Table_Input_InorganicFertiliser_Brands[[#This Row],[Product (select)]],FertiliserProducts[Product],FertiliserProducts[Ammonia source]), "")</f>
        <v/>
      </c>
    </row>
    <row r="13" spans="1:27" ht="20.100000000000001" customHeight="1" x14ac:dyDescent="0.25">
      <c r="A13" s="16" t="str">
        <f>HYPERLINK("#'Input - Crop pasture farm input'!A1", "Crop pasture farm input")</f>
        <v>Crop pasture farm input</v>
      </c>
      <c r="D13" s="72" t="s">
        <v>907</v>
      </c>
      <c r="E13" s="73">
        <v>100</v>
      </c>
      <c r="F13" s="49" t="str">
        <f>IFERROR(_xlfn.XLOOKUP(Table_Input_InorganicFertiliser_Brands[[#This Row],[Product (select)]],FertiliserProducts[Product],FertiliserProducts[Unit]), "kg")</f>
        <v>kg</v>
      </c>
      <c r="G13" s="73">
        <f t="shared" ref="G13" si="1">X_Cell_Fertiliser_AreaUnderCropping</f>
        <v>0</v>
      </c>
      <c r="H13" s="224">
        <f>IFERROR(_xlfn.XLOOKUP(Table_Input_InorganicFertiliser_Brands[[#This Row],[Product (select)]],FertiliserProducts[Product],FertiliserProducts[Density]), 1)</f>
        <v>1</v>
      </c>
      <c r="I13" s="74">
        <f>(Table_Input_InorganicFertiliser_Brands[[#This Row],[Amount applied per hectare]]*Table_Input_InorganicFertiliser_Brands[[#This Row],[Density]])*Table_Input_InorganicFertiliser_Brands[[#This Row],[Application area (ha)]]</f>
        <v>0</v>
      </c>
      <c r="J13" s="7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74"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7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74"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7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225" cm="1">
        <f t="array" ref="W13">IFERROR(Fertiliser_InputFunctions.Fertiliser_FertiliserProductLookup(Table_Input_InorganicFertiliser_Brands[[#This Row],[Product (select)]], "N declared", FertiliserProducts[#Data], FertiliserProducts[Product], FertiliserProducts[#Headers])*0.01, 0)</f>
        <v>0</v>
      </c>
      <c r="X13"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74" t="str">
        <f>IFERROR(_xlfn.XLOOKUP(Table_Input_InorganicFertiliser_Brands[[#This Row],[Product (select)]],FertiliserProducts[Product],FertiliserProducts[Urea source]), "")</f>
        <v/>
      </c>
      <c r="Z13" s="74" t="str">
        <f>IFERROR(_xlfn.XLOOKUP(Table_Input_InorganicFertiliser_Brands[[#This Row],[Product (select)]],FertiliserProducts[Product],FertiliserProducts[Ammonia source]), "")</f>
        <v/>
      </c>
    </row>
    <row r="14" spans="1:27" ht="20.100000000000001" customHeight="1" x14ac:dyDescent="0.25">
      <c r="A14" s="16" t="str">
        <f>HYPERLINK("#'Input - Hort farm Inputs'!A1", "Hort farm Inputs")</f>
        <v>Hort farm Inputs</v>
      </c>
      <c r="D14" s="72" t="s">
        <v>908</v>
      </c>
      <c r="E14" s="73">
        <v>100</v>
      </c>
      <c r="F14" s="49" t="str">
        <f>IFERROR(_xlfn.XLOOKUP(Table_Input_InorganicFertiliser_Brands[[#This Row],[Product (select)]],FertiliserProducts[Product],FertiliserProducts[Unit]), "kg")</f>
        <v>kg</v>
      </c>
      <c r="G14" s="73">
        <f t="shared" ref="G14" si="2">X_Cell_Fertiliser_AreaUnderCropping</f>
        <v>0</v>
      </c>
      <c r="H14" s="224">
        <f>IFERROR(_xlfn.XLOOKUP(Table_Input_InorganicFertiliser_Brands[[#This Row],[Product (select)]],FertiliserProducts[Product],FertiliserProducts[Density]), 1)</f>
        <v>1</v>
      </c>
      <c r="I14" s="74">
        <f>(Table_Input_InorganicFertiliser_Brands[[#This Row],[Amount applied per hectare]]*Table_Input_InorganicFertiliser_Brands[[#This Row],[Density]])*Table_Input_InorganicFertiliser_Brands[[#This Row],[Application area (ha)]]</f>
        <v>0</v>
      </c>
      <c r="J14" s="7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74"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7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74"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7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225" cm="1">
        <f t="array" ref="W14">IFERROR(Fertiliser_InputFunctions.Fertiliser_FertiliserProductLookup(Table_Input_InorganicFertiliser_Brands[[#This Row],[Product (select)]], "N declared", FertiliserProducts[#Data], FertiliserProducts[Product], FertiliserProducts[#Headers])*0.01, 0)</f>
        <v>0</v>
      </c>
      <c r="X14"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74" t="str">
        <f>IFERROR(_xlfn.XLOOKUP(Table_Input_InorganicFertiliser_Brands[[#This Row],[Product (select)]],FertiliserProducts[Product],FertiliserProducts[Urea source]), "")</f>
        <v/>
      </c>
      <c r="Z14" s="74" t="str">
        <f>IFERROR(_xlfn.XLOOKUP(Table_Input_InorganicFertiliser_Brands[[#This Row],[Product (select)]],FertiliserProducts[Product],FertiliserProducts[Ammonia source]), "")</f>
        <v/>
      </c>
    </row>
    <row r="15" spans="1:27" ht="20.100000000000001" customHeight="1" x14ac:dyDescent="0.25">
      <c r="A15" s="16" t="str">
        <f>HYPERLINK("#'Input - Livestock farm Inputs'!A1", "Livestock farm Inputs")</f>
        <v>Livestock farm Inputs</v>
      </c>
      <c r="D15" s="72"/>
      <c r="E15" s="73"/>
      <c r="F15" s="49" t="str">
        <f>IFERROR(_xlfn.XLOOKUP(Table_Input_InorganicFertiliser_Brands[[#This Row],[Product (select)]],FertiliserProducts[Product],FertiliserProducts[Unit]), "kg")</f>
        <v>kg</v>
      </c>
      <c r="G15" s="73">
        <f t="shared" ref="G15" si="3">X_Cell_Fertiliser_AreaUnderCropping</f>
        <v>0</v>
      </c>
      <c r="H15" s="224">
        <f>IFERROR(_xlfn.XLOOKUP(Table_Input_InorganicFertiliser_Brands[[#This Row],[Product (select)]],FertiliserProducts[Product],FertiliserProducts[Density]), 1)</f>
        <v>1</v>
      </c>
      <c r="I15" s="74">
        <f>(Table_Input_InorganicFertiliser_Brands[[#This Row],[Amount applied per hectare]]*Table_Input_InorganicFertiliser_Brands[[#This Row],[Density]])*Table_Input_InorganicFertiliser_Brands[[#This Row],[Application area (ha)]]</f>
        <v>0</v>
      </c>
      <c r="J15" s="7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5" s="7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5" s="74"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0.04</v>
      </c>
      <c r="N15" s="7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5" s="74"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5" s="7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5" s="225" cm="1">
        <f t="array" ref="W15">IFERROR(Fertiliser_InputFunctions.Fertiliser_FertiliserProductLookup(Table_Input_InorganicFertiliser_Brands[[#This Row],[Product (select)]], "N declared", FertiliserProducts[#Data], FertiliserProducts[Product], FertiliserProducts[#Headers])*0.01, 0)</f>
        <v>0</v>
      </c>
      <c r="X15"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74" t="str">
        <f>IFERROR(_xlfn.XLOOKUP(Table_Input_InorganicFertiliser_Brands[[#This Row],[Product (select)]],FertiliserProducts[Product],FertiliserProducts[Urea source]), "")</f>
        <v/>
      </c>
      <c r="Z15" s="74" t="str">
        <f>IFERROR(_xlfn.XLOOKUP(Table_Input_InorganicFertiliser_Brands[[#This Row],[Product (select)]],FertiliserProducts[Product],FertiliserProducts[Ammonia source]), "")</f>
        <v/>
      </c>
    </row>
    <row r="16" spans="1:27" ht="20.100000000000001" customHeight="1" x14ac:dyDescent="0.25">
      <c r="A16" s="16" t="str">
        <f>HYPERLINK("#'Input - Aquaculture inputs'!A1", "Aquaculture inputs")</f>
        <v>Aquaculture inputs</v>
      </c>
      <c r="D16" s="72"/>
      <c r="E16" s="73"/>
      <c r="F16" s="49" t="str">
        <f>IFERROR(_xlfn.XLOOKUP(Table_Input_InorganicFertiliser_Brands[[#This Row],[Product (select)]],FertiliserProducts[Product],FertiliserProducts[Unit]), "kg")</f>
        <v>kg</v>
      </c>
      <c r="G16" s="73">
        <f t="shared" ref="G16" si="4">X_Cell_Fertiliser_AreaUnderCropping</f>
        <v>0</v>
      </c>
      <c r="H16" s="224">
        <f>IFERROR(_xlfn.XLOOKUP(Table_Input_InorganicFertiliser_Brands[[#This Row],[Product (select)]],FertiliserProducts[Product],FertiliserProducts[Density]), 1)</f>
        <v>1</v>
      </c>
      <c r="I16" s="74">
        <f>(Table_Input_InorganicFertiliser_Brands[[#This Row],[Amount applied per hectare]]*Table_Input_InorganicFertiliser_Brands[[#This Row],[Density]])*Table_Input_InorganicFertiliser_Brands[[#This Row],[Application area (ha)]]</f>
        <v>0</v>
      </c>
      <c r="J16" s="7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74"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0.04</v>
      </c>
      <c r="N16" s="7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6" s="74"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6" s="7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6" s="225" cm="1">
        <f t="array" ref="W16">IFERROR(Fertiliser_InputFunctions.Fertiliser_FertiliserProductLookup(Table_Input_InorganicFertiliser_Brands[[#This Row],[Product (select)]], "N declared", FertiliserProducts[#Data], FertiliserProducts[Product], FertiliserProducts[#Headers])*0.01, 0)</f>
        <v>0</v>
      </c>
      <c r="X16"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74" t="str">
        <f>IFERROR(_xlfn.XLOOKUP(Table_Input_InorganicFertiliser_Brands[[#This Row],[Product (select)]],FertiliserProducts[Product],FertiliserProducts[Urea source]), "")</f>
        <v/>
      </c>
      <c r="Z16" s="74" t="str">
        <f>IFERROR(_xlfn.XLOOKUP(Table_Input_InorganicFertiliser_Brands[[#This Row],[Product (select)]],FertiliserProducts[Product],FertiliserProducts[Ammonia source]), "")</f>
        <v/>
      </c>
    </row>
    <row r="17" spans="1:26" ht="20.100000000000001" customHeight="1" x14ac:dyDescent="0.25">
      <c r="A17" s="16" t="str">
        <f>HYPERLINK("#'Input - Beef cattle purchases'!A1", "Beef cattle purchases")</f>
        <v>Beef cattle purchases</v>
      </c>
      <c r="D17" s="72"/>
      <c r="E17" s="73"/>
      <c r="F17" s="49" t="str">
        <f>IFERROR(_xlfn.XLOOKUP(Table_Input_InorganicFertiliser_Brands[[#This Row],[Product (select)]],FertiliserProducts[Product],FertiliserProducts[Unit]), "kg")</f>
        <v>kg</v>
      </c>
      <c r="G17" s="73">
        <f t="shared" ref="G17" si="5">X_Cell_Fertiliser_AreaUnderCropping</f>
        <v>0</v>
      </c>
      <c r="H17" s="224">
        <f>IFERROR(_xlfn.XLOOKUP(Table_Input_InorganicFertiliser_Brands[[#This Row],[Product (select)]],FertiliserProducts[Product],FertiliserProducts[Density]), 1)</f>
        <v>1</v>
      </c>
      <c r="I17" s="74">
        <f>(Table_Input_InorganicFertiliser_Brands[[#This Row],[Amount applied per hectare]]*Table_Input_InorganicFertiliser_Brands[[#This Row],[Density]])*Table_Input_InorganicFertiliser_Brands[[#This Row],[Application area (ha)]]</f>
        <v>0</v>
      </c>
      <c r="J17" s="7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7" s="74"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7" s="7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7" s="74"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0.04</v>
      </c>
      <c r="N17" s="7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7" s="74"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7" s="7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7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7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7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7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7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7" s="225" cm="1">
        <f t="array" ref="W17">IFERROR(Fertiliser_InputFunctions.Fertiliser_FertiliserProductLookup(Table_Input_InorganicFertiliser_Brands[[#This Row],[Product (select)]], "N declared", FertiliserProducts[#Data], FertiliserProducts[Product], FertiliserProducts[#Headers])*0.01, 0)</f>
        <v>0</v>
      </c>
      <c r="X17"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74" t="str">
        <f>IFERROR(_xlfn.XLOOKUP(Table_Input_InorganicFertiliser_Brands[[#This Row],[Product (select)]],FertiliserProducts[Product],FertiliserProducts[Urea source]), "")</f>
        <v/>
      </c>
      <c r="Z17" s="74" t="str">
        <f>IFERROR(_xlfn.XLOOKUP(Table_Input_InorganicFertiliser_Brands[[#This Row],[Product (select)]],FertiliserProducts[Product],FertiliserProducts[Ammonia source]), "")</f>
        <v/>
      </c>
    </row>
    <row r="18" spans="1:26" ht="20.100000000000001" customHeight="1" x14ac:dyDescent="0.25">
      <c r="A18" s="16" t="str">
        <f>HYPERLINK("#'Input - Dairy cattle purchases'!A1", "Dairy cattle purchases")</f>
        <v>Dairy cattle purchases</v>
      </c>
      <c r="D18" s="72"/>
      <c r="E18" s="73"/>
      <c r="F18" s="49" t="str">
        <f>IFERROR(_xlfn.XLOOKUP(Table_Input_InorganicFertiliser_Brands[[#This Row],[Product (select)]],FertiliserProducts[Product],FertiliserProducts[Unit]), "kg")</f>
        <v>kg</v>
      </c>
      <c r="G18" s="73">
        <f t="shared" ref="G18" si="6">X_Cell_Fertiliser_AreaUnderCropping</f>
        <v>0</v>
      </c>
      <c r="H18" s="224">
        <f>IFERROR(_xlfn.XLOOKUP(Table_Input_InorganicFertiliser_Brands[[#This Row],[Product (select)]],FertiliserProducts[Product],FertiliserProducts[Density]), 1)</f>
        <v>1</v>
      </c>
      <c r="I18" s="74">
        <f>(Table_Input_InorganicFertiliser_Brands[[#This Row],[Amount applied per hectare]]*Table_Input_InorganicFertiliser_Brands[[#This Row],[Density]])*Table_Input_InorganicFertiliser_Brands[[#This Row],[Application area (ha)]]</f>
        <v>0</v>
      </c>
      <c r="J18" s="7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8" s="74"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8" s="7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8" s="74"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0.04</v>
      </c>
      <c r="N18" s="7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8" s="74"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8" s="7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8" s="225" cm="1">
        <f t="array" ref="W18">IFERROR(Fertiliser_InputFunctions.Fertiliser_FertiliserProductLookup(Table_Input_InorganicFertiliser_Brands[[#This Row],[Product (select)]], "N declared", FertiliserProducts[#Data], FertiliserProducts[Product], FertiliserProducts[#Headers])*0.01, 0)</f>
        <v>0</v>
      </c>
      <c r="X18"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74" t="str">
        <f>IFERROR(_xlfn.XLOOKUP(Table_Input_InorganicFertiliser_Brands[[#This Row],[Product (select)]],FertiliserProducts[Product],FertiliserProducts[Urea source]), "")</f>
        <v/>
      </c>
      <c r="Z18" s="74" t="str">
        <f>IFERROR(_xlfn.XLOOKUP(Table_Input_InorganicFertiliser_Brands[[#This Row],[Product (select)]],FertiliserProducts[Product],FertiliserProducts[Ammonia source]), "")</f>
        <v/>
      </c>
    </row>
    <row r="19" spans="1:26" ht="20.100000000000001" customHeight="1" x14ac:dyDescent="0.25">
      <c r="A19" s="16" t="str">
        <f>HYPERLINK("#'Input - Pig purchases'!A1", "Pig purchases")</f>
        <v>Pig purchases</v>
      </c>
      <c r="D19" s="72"/>
      <c r="E19" s="73"/>
      <c r="F19" s="49" t="str">
        <f>IFERROR(_xlfn.XLOOKUP(Table_Input_InorganicFertiliser_Brands[[#This Row],[Product (select)]],FertiliserProducts[Product],FertiliserProducts[Unit]), "kg")</f>
        <v>kg</v>
      </c>
      <c r="G19" s="73">
        <f t="shared" ref="G19" si="7">X_Cell_Fertiliser_AreaUnderCropping</f>
        <v>0</v>
      </c>
      <c r="H19" s="224">
        <f>IFERROR(_xlfn.XLOOKUP(Table_Input_InorganicFertiliser_Brands[[#This Row],[Product (select)]],FertiliserProducts[Product],FertiliserProducts[Density]), 1)</f>
        <v>1</v>
      </c>
      <c r="I19" s="74">
        <f>(Table_Input_InorganicFertiliser_Brands[[#This Row],[Amount applied per hectare]]*Table_Input_InorganicFertiliser_Brands[[#This Row],[Density]])*Table_Input_InorganicFertiliser_Brands[[#This Row],[Application area (ha)]]</f>
        <v>0</v>
      </c>
      <c r="J19" s="7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9" s="74"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9" s="7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9" s="74"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0.04</v>
      </c>
      <c r="N19" s="7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9" s="74"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9" s="7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7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7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7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9" s="225" cm="1">
        <f t="array" ref="W19">IFERROR(Fertiliser_InputFunctions.Fertiliser_FertiliserProductLookup(Table_Input_InorganicFertiliser_Brands[[#This Row],[Product (select)]], "N declared", FertiliserProducts[#Data], FertiliserProducts[Product], FertiliserProducts[#Headers])*0.01, 0)</f>
        <v>0</v>
      </c>
      <c r="X19"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74" t="str">
        <f>IFERROR(_xlfn.XLOOKUP(Table_Input_InorganicFertiliser_Brands[[#This Row],[Product (select)]],FertiliserProducts[Product],FertiliserProducts[Urea source]), "")</f>
        <v/>
      </c>
      <c r="Z19" s="74" t="str">
        <f>IFERROR(_xlfn.XLOOKUP(Table_Input_InorganicFertiliser_Brands[[#This Row],[Product (select)]],FertiliserProducts[Product],FertiliserProducts[Ammonia source]), "")</f>
        <v/>
      </c>
    </row>
    <row r="20" spans="1:26" ht="20.100000000000001" customHeight="1" x14ac:dyDescent="0.25">
      <c r="A20" s="16" t="str">
        <f>HYPERLINK("#'Input - Poultry purchases'!A1", "Poultry purchases")</f>
        <v>Poultry purchases</v>
      </c>
      <c r="D20" s="72"/>
      <c r="E20" s="73"/>
      <c r="F20" s="49" t="str">
        <f>IFERROR(_xlfn.XLOOKUP(Table_Input_InorganicFertiliser_Brands[[#This Row],[Product (select)]],FertiliserProducts[Product],FertiliserProducts[Unit]), "kg")</f>
        <v>kg</v>
      </c>
      <c r="G20" s="73">
        <f t="shared" ref="G20" si="8">X_Cell_Fertiliser_AreaUnderCropping</f>
        <v>0</v>
      </c>
      <c r="H20" s="224">
        <f>IFERROR(_xlfn.XLOOKUP(Table_Input_InorganicFertiliser_Brands[[#This Row],[Product (select)]],FertiliserProducts[Product],FertiliserProducts[Density]), 1)</f>
        <v>1</v>
      </c>
      <c r="I20" s="74">
        <f>(Table_Input_InorganicFertiliser_Brands[[#This Row],[Amount applied per hectare]]*Table_Input_InorganicFertiliser_Brands[[#This Row],[Density]])*Table_Input_InorganicFertiliser_Brands[[#This Row],[Application area (ha)]]</f>
        <v>0</v>
      </c>
      <c r="J20" s="7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0" s="74"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0" s="7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0" s="74"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0.04</v>
      </c>
      <c r="N20" s="7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0" s="74"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0" s="7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0" s="225" cm="1">
        <f t="array" ref="W20">IFERROR(Fertiliser_InputFunctions.Fertiliser_FertiliserProductLookup(Table_Input_InorganicFertiliser_Brands[[#This Row],[Product (select)]], "N declared", FertiliserProducts[#Data], FertiliserProducts[Product], FertiliserProducts[#Headers])*0.01, 0)</f>
        <v>0</v>
      </c>
      <c r="X20"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74" t="str">
        <f>IFERROR(_xlfn.XLOOKUP(Table_Input_InorganicFertiliser_Brands[[#This Row],[Product (select)]],FertiliserProducts[Product],FertiliserProducts[Urea source]), "")</f>
        <v/>
      </c>
      <c r="Z20" s="74" t="str">
        <f>IFERROR(_xlfn.XLOOKUP(Table_Input_InorganicFertiliser_Brands[[#This Row],[Product (select)]],FertiliserProducts[Product],FertiliserProducts[Ammonia source]), "")</f>
        <v/>
      </c>
    </row>
    <row r="21" spans="1:26" ht="20.100000000000001" customHeight="1" x14ac:dyDescent="0.25">
      <c r="A21" s="16" t="str">
        <f>HYPERLINK("#'Input - Freight'!A1", "Freight")</f>
        <v>Freight</v>
      </c>
      <c r="D21" s="72"/>
      <c r="E21" s="73"/>
      <c r="F21" s="49" t="str">
        <f>IFERROR(_xlfn.XLOOKUP(Table_Input_InorganicFertiliser_Brands[[#This Row],[Product (select)]],FertiliserProducts[Product],FertiliserProducts[Unit]), "kg")</f>
        <v>kg</v>
      </c>
      <c r="G21" s="73">
        <f t="shared" ref="G21" si="9">X_Cell_Fertiliser_AreaUnderCropping</f>
        <v>0</v>
      </c>
      <c r="H21" s="224">
        <f>IFERROR(_xlfn.XLOOKUP(Table_Input_InorganicFertiliser_Brands[[#This Row],[Product (select)]],FertiliserProducts[Product],FertiliserProducts[Density]), 1)</f>
        <v>1</v>
      </c>
      <c r="I21" s="74">
        <f>(Table_Input_InorganicFertiliser_Brands[[#This Row],[Amount applied per hectare]]*Table_Input_InorganicFertiliser_Brands[[#This Row],[Density]])*Table_Input_InorganicFertiliser_Brands[[#This Row],[Application area (ha)]]</f>
        <v>0</v>
      </c>
      <c r="J21" s="7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1" s="74"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1" s="7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1" s="74"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0.04</v>
      </c>
      <c r="N21" s="7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1" s="74"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1" s="7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7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7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7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7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7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1" s="225" cm="1">
        <f t="array" ref="W21">IFERROR(Fertiliser_InputFunctions.Fertiliser_FertiliserProductLookup(Table_Input_InorganicFertiliser_Brands[[#This Row],[Product (select)]], "N declared", FertiliserProducts[#Data], FertiliserProducts[Product], FertiliserProducts[#Headers])*0.01, 0)</f>
        <v>0</v>
      </c>
      <c r="X21"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74" t="str">
        <f>IFERROR(_xlfn.XLOOKUP(Table_Input_InorganicFertiliser_Brands[[#This Row],[Product (select)]],FertiliserProducts[Product],FertiliserProducts[Urea source]), "")</f>
        <v/>
      </c>
      <c r="Z21" s="74" t="str">
        <f>IFERROR(_xlfn.XLOOKUP(Table_Input_InorganicFertiliser_Brands[[#This Row],[Product (select)]],FertiliserProducts[Product],FertiliserProducts[Ammonia source]), "")</f>
        <v/>
      </c>
    </row>
    <row r="22" spans="1:26" ht="20.100000000000001" customHeight="1" x14ac:dyDescent="0.25">
      <c r="A22" s="16" t="str">
        <f>HYPERLINK("#'Input - Solid waste'!A1", "Solid waste")</f>
        <v>Solid waste</v>
      </c>
      <c r="D22" s="75"/>
      <c r="E22" s="76"/>
      <c r="F22" s="77"/>
      <c r="G22" s="77"/>
      <c r="H22" s="77"/>
      <c r="I22" s="77"/>
      <c r="J22" s="78"/>
      <c r="K22" s="78"/>
      <c r="L22" s="79"/>
      <c r="M22" s="79"/>
      <c r="N22" s="51"/>
      <c r="O22" s="51"/>
      <c r="P22" s="51"/>
      <c r="Q22" s="51"/>
      <c r="R22" s="51"/>
      <c r="S22" s="51"/>
      <c r="T22" s="51"/>
      <c r="U22" s="51"/>
      <c r="V22" s="51"/>
      <c r="W22" s="51"/>
      <c r="X22" s="51"/>
    </row>
    <row r="23" spans="1:26" ht="20.100000000000001" customHeight="1" x14ac:dyDescent="0.25">
      <c r="A23" s="16" t="str">
        <f>HYPERLINK("#'Input - Manure sent off-site'!A1", "Manure sent off-site")</f>
        <v>Manure sent off-site</v>
      </c>
      <c r="D23" s="80" t="s">
        <v>199</v>
      </c>
      <c r="E23" s="81"/>
      <c r="F23" s="81"/>
      <c r="G23" s="81"/>
      <c r="H23" s="81"/>
      <c r="I23" s="81"/>
      <c r="J23" s="81"/>
      <c r="K23" s="81"/>
      <c r="L23" s="81"/>
      <c r="M23" s="81"/>
      <c r="N23" s="51"/>
      <c r="O23" s="51"/>
      <c r="P23" s="51"/>
      <c r="Q23" s="51"/>
      <c r="R23" s="51"/>
      <c r="S23" s="51"/>
      <c r="T23" s="51"/>
      <c r="V23" s="51"/>
      <c r="W23" s="51"/>
      <c r="X23" s="51"/>
    </row>
    <row r="24" spans="1:26" ht="20.100000000000001" customHeight="1" x14ac:dyDescent="0.25">
      <c r="A24" s="16" t="str">
        <f>HYPERLINK("#'Input - Electricity'!A1", "Electricity")</f>
        <v>Electricity</v>
      </c>
      <c r="D24" s="64" t="s">
        <v>200</v>
      </c>
      <c r="E24" s="64" t="s">
        <v>909</v>
      </c>
      <c r="F24" s="64" t="s">
        <v>196</v>
      </c>
      <c r="G24" s="64" t="s">
        <v>197</v>
      </c>
      <c r="H24" s="64" t="s">
        <v>201</v>
      </c>
      <c r="I24" s="64" t="s">
        <v>171</v>
      </c>
      <c r="J24" s="64" t="s">
        <v>172</v>
      </c>
      <c r="K24" s="64" t="s">
        <v>173</v>
      </c>
      <c r="L24" s="64" t="s">
        <v>174</v>
      </c>
      <c r="M24" s="64" t="s">
        <v>175</v>
      </c>
      <c r="N24" s="64" t="s">
        <v>176</v>
      </c>
      <c r="O24" s="64" t="s">
        <v>177</v>
      </c>
      <c r="P24" s="64" t="s">
        <v>198</v>
      </c>
      <c r="Q24" s="223" t="s">
        <v>847</v>
      </c>
      <c r="R24" s="223" t="s">
        <v>848</v>
      </c>
      <c r="S24" s="51"/>
      <c r="T24" s="51"/>
      <c r="V24" s="51"/>
      <c r="W24" s="51"/>
      <c r="X24" s="51"/>
    </row>
    <row r="25" spans="1:26" ht="20.100000000000001" customHeight="1" x14ac:dyDescent="0.25">
      <c r="A25"/>
      <c r="D25" s="82" t="s">
        <v>202</v>
      </c>
      <c r="E25" s="64">
        <v>100</v>
      </c>
      <c r="F25" s="73">
        <f t="shared" ref="F25:F34" si="10">X_Cell_Fertiliser_AreaUnderCropping</f>
        <v>0</v>
      </c>
      <c r="G25" s="74">
        <f>Table_Input_InorganicFertiliser_Custom[[#This Row],[Amount applied (kg / ha)]]*Table_Input_InorganicFertiliser_Custom[[#This Row],[Application area (ha)]]</f>
        <v>0</v>
      </c>
      <c r="H25" s="83" t="s">
        <v>309</v>
      </c>
      <c r="I25" s="84">
        <v>0.5</v>
      </c>
      <c r="J25" s="83" t="s">
        <v>910</v>
      </c>
      <c r="K25" s="84">
        <v>0.2</v>
      </c>
      <c r="L25" s="83" t="s">
        <v>204</v>
      </c>
      <c r="M25" s="84">
        <v>0.2</v>
      </c>
      <c r="N25" s="85" t="s">
        <v>205</v>
      </c>
      <c r="O25" s="86">
        <v>0.1</v>
      </c>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82" t="s">
        <v>911</v>
      </c>
      <c r="E26" s="64">
        <v>100</v>
      </c>
      <c r="F26" s="73">
        <f t="shared" si="10"/>
        <v>0</v>
      </c>
      <c r="G26" s="74">
        <f>Table_Input_InorganicFertiliser_Custom[[#This Row],[Amount applied (kg / ha)]]*Table_Input_InorganicFertiliser_Custom[[#This Row],[Application area (ha)]]</f>
        <v>0</v>
      </c>
      <c r="H26" s="83" t="s">
        <v>203</v>
      </c>
      <c r="I26" s="87">
        <v>1</v>
      </c>
      <c r="J26" s="83"/>
      <c r="K26" s="87"/>
      <c r="L26" s="83"/>
      <c r="M26" s="87"/>
      <c r="N26" s="85"/>
      <c r="O26" s="86"/>
      <c r="P26"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s="21" t="s">
        <v>77</v>
      </c>
      <c r="D27" s="82" t="s">
        <v>912</v>
      </c>
      <c r="E27" s="64">
        <v>100</v>
      </c>
      <c r="F27" s="73">
        <f t="shared" si="10"/>
        <v>0</v>
      </c>
      <c r="G27" s="74">
        <f>Table_Input_InorganicFertiliser_Custom[[#This Row],[Amount applied (kg / ha)]]*Table_Input_InorganicFertiliser_Custom[[#This Row],[Application area (ha)]]</f>
        <v>0</v>
      </c>
      <c r="H27" s="83" t="s">
        <v>310</v>
      </c>
      <c r="I27" s="87">
        <v>0.5</v>
      </c>
      <c r="J27" s="83"/>
      <c r="K27" s="87"/>
      <c r="L27" s="83"/>
      <c r="M27" s="87"/>
      <c r="N27" s="85"/>
      <c r="O27" s="86"/>
      <c r="P27"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16" t="str">
        <f>HYPERLINK("#'15 Scope 3'!A1", "15 Scope 3")</f>
        <v>15 Scope 3</v>
      </c>
      <c r="D28" s="82"/>
      <c r="E28" s="64"/>
      <c r="F28" s="148">
        <f t="shared" si="10"/>
        <v>0</v>
      </c>
      <c r="G28" s="74">
        <f>Table_Input_InorganicFertiliser_Custom[[#This Row],[Amount applied (kg / ha)]]*Table_Input_InorganicFertiliser_Custom[[#This Row],[Application area (ha)]]</f>
        <v>0</v>
      </c>
      <c r="H28" s="83"/>
      <c r="I28" s="87"/>
      <c r="J28" s="83"/>
      <c r="K28" s="87"/>
      <c r="L28" s="83"/>
      <c r="M28" s="87"/>
      <c r="N28" s="85"/>
      <c r="O28" s="86"/>
      <c r="P28"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HYPERLINK("#'10.1.1-2 Solid waste treatment'!A1", "10.1.1-2 Solid waste treatment")</f>
        <v>10.1.1-2 Solid waste treatment</v>
      </c>
      <c r="D29" s="82"/>
      <c r="E29" s="64"/>
      <c r="F29" s="148">
        <f t="shared" si="10"/>
        <v>0</v>
      </c>
      <c r="G29" s="74">
        <f>Table_Input_InorganicFertiliser_Custom[[#This Row],[Amount applied (kg / ha)]]*Table_Input_InorganicFertiliser_Custom[[#This Row],[Application area (ha)]]</f>
        <v>0</v>
      </c>
      <c r="H29" s="83"/>
      <c r="I29" s="87"/>
      <c r="J29" s="83"/>
      <c r="K29" s="87"/>
      <c r="L29" s="83"/>
      <c r="M29" s="87"/>
      <c r="N29" s="85"/>
      <c r="O29" s="86"/>
      <c r="P29"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HYPERLINK("#'Calcs - Manure sent off-site'!A1", "Calcs - Manure sent off-site")</f>
        <v>Calcs - Manure sent off-site</v>
      </c>
      <c r="D30" s="82"/>
      <c r="E30" s="64"/>
      <c r="F30" s="148">
        <f t="shared" si="10"/>
        <v>0</v>
      </c>
      <c r="G30" s="74">
        <f>Table_Input_InorganicFertiliser_Custom[[#This Row],[Amount applied (kg / ha)]]*Table_Input_InorganicFertiliser_Custom[[#This Row],[Application area (ha)]]</f>
        <v>0</v>
      </c>
      <c r="H30" s="83"/>
      <c r="I30" s="87"/>
      <c r="J30" s="83"/>
      <c r="K30" s="87"/>
      <c r="L30" s="83"/>
      <c r="M30" s="87"/>
      <c r="N30" s="85"/>
      <c r="O30" s="86"/>
      <c r="P3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HYPERLINK("#'8.1.1.1-2 Transport fuel'!A1", "8.1.1.1-2 Transport fuel")</f>
        <v>8.1.1.1-2 Transport fuel</v>
      </c>
      <c r="D31" s="82"/>
      <c r="E31" s="64"/>
      <c r="F31" s="148">
        <f t="shared" si="10"/>
        <v>0</v>
      </c>
      <c r="G31" s="74">
        <f>Table_Input_InorganicFertiliser_Custom[[#This Row],[Amount applied (kg / ha)]]*Table_Input_InorganicFertiliser_Custom[[#This Row],[Application area (ha)]]</f>
        <v>0</v>
      </c>
      <c r="H31" s="83"/>
      <c r="I31" s="87"/>
      <c r="J31" s="83"/>
      <c r="K31" s="87"/>
      <c r="L31" s="83"/>
      <c r="M31" s="87"/>
      <c r="N31" s="85"/>
      <c r="O31" s="86"/>
      <c r="P3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HYPERLINK("#'8.2.1.1-2 Stationary fuel'!A1", "8.2.1.1-2 Stationary fuel")</f>
        <v>8.2.1.1-2 Stationary fuel</v>
      </c>
      <c r="D32" s="82"/>
      <c r="E32" s="64"/>
      <c r="F32" s="148">
        <f t="shared" si="10"/>
        <v>0</v>
      </c>
      <c r="G32" s="74">
        <f>Table_Input_InorganicFertiliser_Custom[[#This Row],[Amount applied (kg / ha)]]*Table_Input_InorganicFertiliser_Custom[[#This Row],[Application area (ha)]]</f>
        <v>0</v>
      </c>
      <c r="H32" s="83"/>
      <c r="I32" s="87"/>
      <c r="J32" s="83"/>
      <c r="K32" s="87"/>
      <c r="L32" s="83"/>
      <c r="M32" s="87"/>
      <c r="N32" s="85"/>
      <c r="O32" s="86"/>
      <c r="P3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c r="D33" s="82"/>
      <c r="E33" s="64"/>
      <c r="F33" s="148">
        <f t="shared" si="10"/>
        <v>0</v>
      </c>
      <c r="G33" s="74">
        <f>Table_Input_InorganicFertiliser_Custom[[#This Row],[Amount applied (kg / ha)]]*Table_Input_InorganicFertiliser_Custom[[#This Row],[Application area (ha)]]</f>
        <v>0</v>
      </c>
      <c r="H33" s="83"/>
      <c r="I33" s="87"/>
      <c r="J33" s="83"/>
      <c r="K33" s="87"/>
      <c r="L33" s="83"/>
      <c r="M33" s="87"/>
      <c r="N33" s="85"/>
      <c r="O33" s="86"/>
      <c r="P33"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82"/>
      <c r="E34" s="64"/>
      <c r="F34" s="148">
        <f t="shared" si="10"/>
        <v>0</v>
      </c>
      <c r="G34" s="74">
        <f>Table_Input_InorganicFertiliser_Custom[[#This Row],[Amount applied (kg / ha)]]*Table_Input_InorganicFertiliser_Custom[[#This Row],[Application area (ha)]]</f>
        <v>0</v>
      </c>
      <c r="H34" s="83"/>
      <c r="I34" s="87"/>
      <c r="J34" s="83"/>
      <c r="K34" s="87"/>
      <c r="L34" s="83"/>
      <c r="M34" s="87"/>
      <c r="N34" s="85"/>
      <c r="O34" s="86"/>
      <c r="P3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s="222" t="s">
        <v>78</v>
      </c>
    </row>
    <row r="36" spans="1:27" ht="20.100000000000001" customHeight="1" x14ac:dyDescent="0.25">
      <c r="A36" s="16" t="str">
        <f>HYPERLINK("#'Constants - Scope 3'!A1", "Constants - Scope 3")</f>
        <v>Constants - Scope 3</v>
      </c>
      <c r="D36" s="9" t="s">
        <v>913</v>
      </c>
      <c r="E36" s="7"/>
      <c r="F36" s="7"/>
      <c r="G36" s="7"/>
      <c r="H36" s="7"/>
      <c r="I36" s="7"/>
      <c r="J36" s="7"/>
      <c r="K36" s="14"/>
      <c r="L36" s="14"/>
      <c r="M36" s="14"/>
    </row>
    <row r="37" spans="1:27" ht="20.100000000000001" customHeight="1" x14ac:dyDescent="0.25">
      <c r="A37" s="16" t="str">
        <f>HYPERLINK("#'Constants - Solid Waste'!A1", "Constants - Solid Waste")</f>
        <v>Constants - Solid Waste</v>
      </c>
      <c r="D37" s="39" t="s">
        <v>206</v>
      </c>
      <c r="E37" s="40"/>
      <c r="F37" s="41"/>
      <c r="G37" s="39"/>
      <c r="H37" s="41"/>
      <c r="I37" s="7"/>
      <c r="J37" s="7"/>
      <c r="K37" s="14"/>
      <c r="L37" s="14"/>
      <c r="M37" s="7"/>
    </row>
    <row r="38" spans="1:27" ht="20.100000000000001" customHeight="1" x14ac:dyDescent="0.25">
      <c r="A38" s="16" t="str">
        <f>HYPERLINK("#'Constants - Fuel'!A1", "Constants - Fuel")</f>
        <v>Constants - Fuel</v>
      </c>
      <c r="C38" s="51"/>
      <c r="D38" s="88" t="s">
        <v>207</v>
      </c>
      <c r="E38" s="89"/>
      <c r="F38" s="90"/>
      <c r="G38" s="88"/>
      <c r="H38" s="90"/>
      <c r="I38" s="14"/>
      <c r="J38" s="14"/>
      <c r="K38" s="14"/>
      <c r="L38" s="14"/>
      <c r="M38" s="14"/>
    </row>
    <row r="39" spans="1:27" ht="20.100000000000001" customHeight="1" x14ac:dyDescent="0.25">
      <c r="A39" s="16" t="str">
        <f>HYPERLINK("#'Constants - Poultry'!A1", "Constants - Poultry")</f>
        <v>Constants - Poultry</v>
      </c>
      <c r="C39" s="51"/>
      <c r="D39" s="43" t="s">
        <v>193</v>
      </c>
      <c r="E39" s="44"/>
      <c r="F39" s="44"/>
      <c r="G39" s="44"/>
      <c r="H39" s="45"/>
      <c r="I39" s="14"/>
      <c r="J39" s="14"/>
      <c r="K39" s="14"/>
      <c r="L39" s="14"/>
      <c r="M39" s="7"/>
    </row>
    <row r="40" spans="1:27" s="52" customFormat="1" ht="20.100000000000001" customHeight="1" x14ac:dyDescent="0.25">
      <c r="A40" s="16" t="str">
        <f>HYPERLINK("#'Constants - Swine'!A1", "Constants - Swine")</f>
        <v>Constants - Swine</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Dairy'!A1", "Constants - Dairy")</f>
        <v>Constants - Dairy</v>
      </c>
      <c r="C41" s="8"/>
      <c r="D41" s="91" t="s">
        <v>208</v>
      </c>
      <c r="E41" s="91" t="s">
        <v>209</v>
      </c>
      <c r="F41" s="91" t="s">
        <v>196</v>
      </c>
      <c r="G41" s="91" t="s">
        <v>210</v>
      </c>
      <c r="H41" s="91" t="s">
        <v>211</v>
      </c>
      <c r="I41" s="91" t="s">
        <v>212</v>
      </c>
      <c r="J41" s="91" t="s">
        <v>213</v>
      </c>
      <c r="K41" s="91" t="s">
        <v>214</v>
      </c>
      <c r="L41" s="8"/>
      <c r="M41" s="8"/>
      <c r="N41" s="8"/>
      <c r="O41" s="8"/>
      <c r="P41" s="8"/>
      <c r="Q41" s="8"/>
      <c r="R41" s="8"/>
      <c r="S41" s="51"/>
      <c r="T41" s="8"/>
      <c r="U41" s="8"/>
      <c r="V41" s="8"/>
      <c r="W41" s="8"/>
      <c r="X41" s="8"/>
      <c r="Y41" s="8"/>
      <c r="Z41" s="8"/>
      <c r="AA41" s="8"/>
    </row>
    <row r="42" spans="1:27" ht="20.100000000000001" customHeight="1" x14ac:dyDescent="0.25">
      <c r="A42" s="16" t="str">
        <f>HYPERLINK("#'Constants - Pasture Beef'!A1", "Constants - Pasture Beef")</f>
        <v>Constants - Pasture Beef</v>
      </c>
      <c r="D42" s="92" t="s">
        <v>215</v>
      </c>
      <c r="E42" s="73">
        <v>1</v>
      </c>
      <c r="F42" s="73">
        <v>100</v>
      </c>
      <c r="G42" s="74">
        <f>IFERROR(Table_Input_Lime[[#This Row],[Amount applied (t/hectare)]]*Table_Input_Lime[[#This Row],[Application area (ha)]], 0)</f>
        <v>100</v>
      </c>
      <c r="H42" s="226">
        <v>0.8</v>
      </c>
      <c r="I42" s="226">
        <v>0.1</v>
      </c>
      <c r="J42" s="226">
        <v>0.1</v>
      </c>
      <c r="K42" s="93">
        <f>SUM(Table_Input_Lime[[#This Row],[Percent Lime CaCO3]:[Percent Gypsum]])</f>
        <v>1</v>
      </c>
      <c r="S42" s="51"/>
    </row>
    <row r="43" spans="1:27" ht="20.100000000000001" customHeight="1" x14ac:dyDescent="0.25">
      <c r="A43" s="16" t="str">
        <f>HYPERLINK("#'Constants - Common Livestock'!A1", "Constants - Common Livestock")</f>
        <v>Constants - Common Livestock</v>
      </c>
      <c r="D43" s="92" t="s">
        <v>216</v>
      </c>
      <c r="E43" s="73">
        <v>1</v>
      </c>
      <c r="F43" s="73">
        <v>100</v>
      </c>
      <c r="G43" s="74">
        <f>IFERROR(Table_Input_Lime[[#This Row],[Amount applied (t/hectare)]]*Table_Input_Lime[[#This Row],[Application area (ha)]], 0)</f>
        <v>100</v>
      </c>
      <c r="H43" s="226">
        <v>1</v>
      </c>
      <c r="I43" s="226"/>
      <c r="J43" s="226"/>
      <c r="K43" s="93">
        <f>SUM(Table_Input_Lime[[#This Row],[Percent Lime CaCO3]:[Percent Gypsum]])</f>
        <v>1</v>
      </c>
    </row>
    <row r="44" spans="1:27" ht="20.100000000000001" customHeight="1" x14ac:dyDescent="0.25">
      <c r="A44" s="16" t="str">
        <f>HYPERLINK("#'Constants - Fertiliser'!A1", "Constants - Fertiliser")</f>
        <v>Constants - Fertiliser</v>
      </c>
      <c r="D44" s="92" t="s">
        <v>914</v>
      </c>
      <c r="E44" s="73">
        <v>1</v>
      </c>
      <c r="F44" s="73">
        <v>100</v>
      </c>
      <c r="G44" s="74">
        <f>IFERROR(Table_Input_Lime[[#This Row],[Amount applied (t/hectare)]]*Table_Input_Lime[[#This Row],[Application area (ha)]], 0)</f>
        <v>100</v>
      </c>
      <c r="H44" s="226">
        <v>0</v>
      </c>
      <c r="I44" s="226"/>
      <c r="J44" s="226">
        <v>1</v>
      </c>
      <c r="K44" s="93">
        <f>SUM(Table_Input_Lime[[#This Row],[Percent Lime CaCO3]:[Percent Gypsum]])</f>
        <v>1</v>
      </c>
      <c r="L44" s="7"/>
    </row>
    <row r="45" spans="1:27" ht="20.100000000000001" customHeight="1" x14ac:dyDescent="0.25">
      <c r="A45" s="16" t="str">
        <f>HYPERLINK("#'Constants - Electricity'!A1", "Constants - Electricity")</f>
        <v>Constants - Electricity</v>
      </c>
      <c r="L45" s="7"/>
      <c r="M45" s="7"/>
    </row>
    <row r="46" spans="1:27" ht="20.100000000000001" customHeight="1" x14ac:dyDescent="0.25">
      <c r="A46" s="16" t="str">
        <f>HYPERLINK("#'Constants - Common'!A1", "Constants - Common")</f>
        <v>Constants - Common</v>
      </c>
      <c r="D46" s="14"/>
      <c r="E46" s="14"/>
      <c r="F46" s="14"/>
      <c r="G46" s="14"/>
      <c r="H46" s="14"/>
      <c r="I46" s="14"/>
      <c r="J46" s="14"/>
      <c r="L46" s="14"/>
      <c r="M46" s="7"/>
    </row>
    <row r="47" spans="1:27" ht="20.100000000000001" customHeight="1" x14ac:dyDescent="0.25">
      <c r="A47"/>
      <c r="D47" s="14"/>
      <c r="E47" s="14"/>
      <c r="F47" s="14"/>
      <c r="G47" s="14"/>
      <c r="H47" s="14"/>
      <c r="I47" s="14"/>
      <c r="J47" s="94"/>
      <c r="K47" s="7"/>
      <c r="L47" s="14"/>
      <c r="M47" s="14"/>
    </row>
    <row r="48" spans="1:27" ht="20.100000000000001" customHeight="1" x14ac:dyDescent="0.25">
      <c r="A48"/>
      <c r="D48" s="9" t="s">
        <v>915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206</v>
      </c>
      <c r="E50" s="40"/>
      <c r="F50" s="40"/>
      <c r="G50" s="40"/>
      <c r="H50" s="41"/>
      <c r="I50" s="14"/>
      <c r="J50" s="14"/>
      <c r="K50" s="14"/>
      <c r="L50" s="14"/>
      <c r="M50" s="14"/>
      <c r="O50" s="51"/>
      <c r="P50" s="51"/>
      <c r="Q50" s="51"/>
      <c r="R50" s="51"/>
    </row>
    <row r="51" spans="1:18" ht="20.100000000000001" customHeight="1" x14ac:dyDescent="0.25">
      <c r="A51"/>
      <c r="D51" s="43" t="s">
        <v>193</v>
      </c>
      <c r="E51" s="44"/>
      <c r="F51" s="44"/>
      <c r="G51" s="44"/>
      <c r="H51" s="45"/>
      <c r="I51" s="14"/>
      <c r="J51" s="14"/>
      <c r="K51" s="14"/>
      <c r="L51" s="81"/>
      <c r="M51" s="51"/>
      <c r="N51" s="51"/>
      <c r="O51" s="51"/>
      <c r="P51" s="51"/>
    </row>
    <row r="52" spans="1:18" ht="20.100000000000001" customHeight="1" x14ac:dyDescent="0.25">
      <c r="A52"/>
      <c r="D52" s="14"/>
      <c r="E52" s="14"/>
      <c r="F52" s="14"/>
      <c r="G52" s="14"/>
      <c r="H52" s="14"/>
      <c r="I52" s="14"/>
      <c r="J52" s="14"/>
      <c r="K52" s="14"/>
      <c r="L52" s="81"/>
      <c r="M52" s="51"/>
      <c r="N52" s="51"/>
    </row>
    <row r="53" spans="1:18" ht="20.100000000000001" customHeight="1" x14ac:dyDescent="0.25">
      <c r="A53"/>
      <c r="D53" s="91" t="s">
        <v>916</v>
      </c>
      <c r="E53" s="91" t="s">
        <v>917</v>
      </c>
      <c r="F53" s="91" t="s">
        <v>918</v>
      </c>
      <c r="G53" s="91" t="s">
        <v>919</v>
      </c>
      <c r="H53" s="91" t="s">
        <v>196</v>
      </c>
      <c r="I53" s="91" t="s">
        <v>920</v>
      </c>
      <c r="J53" s="91" t="s">
        <v>921</v>
      </c>
      <c r="K53" s="81"/>
    </row>
    <row r="54" spans="1:18" ht="20.100000000000001" customHeight="1" x14ac:dyDescent="0.25">
      <c r="A54"/>
      <c r="D54" s="72" t="s">
        <v>158</v>
      </c>
      <c r="E54" s="226">
        <v>0.3</v>
      </c>
      <c r="F54" s="73">
        <v>10</v>
      </c>
      <c r="G54" s="74">
        <f>Table_Input_OrganicFertiliser[[#This Row],[Amount applied (kg/hectare)]]*Table_Input_OrganicFertiliser[[#This Row],[Percentage of N in fertiliser]]</f>
        <v>3</v>
      </c>
      <c r="H54" s="73">
        <v>100</v>
      </c>
      <c r="I54" s="74">
        <f>Table_Input_OrganicFertiliser[[#This Row],[Amount applied (kg/hectare)]]*Table_Input_OrganicFertiliser[[#This Row],[Application area (ha)]]</f>
        <v>1000</v>
      </c>
      <c r="J54" s="74">
        <f>IFERROR(Table_Input_OrganicFertiliser[[#This Row],[Amount N applied (kg/hectare)]]*Table_Input_OrganicFertiliser[[#This Row],[Application area (ha)]], 0)</f>
        <v>300</v>
      </c>
      <c r="K54" s="81"/>
    </row>
    <row r="55" spans="1:18" ht="20.100000000000001" customHeight="1" x14ac:dyDescent="0.25">
      <c r="A55"/>
      <c r="D55" s="72" t="s">
        <v>152</v>
      </c>
      <c r="E55" s="226">
        <v>0.25</v>
      </c>
      <c r="F55" s="73">
        <v>10</v>
      </c>
      <c r="G55" s="74">
        <f>Table_Input_OrganicFertiliser[[#This Row],[Amount applied (kg/hectare)]]*Table_Input_OrganicFertiliser[[#This Row],[Percentage of N in fertiliser]]</f>
        <v>2.5</v>
      </c>
      <c r="H55" s="73">
        <v>100</v>
      </c>
      <c r="I55" s="74">
        <f>Table_Input_OrganicFertiliser[[#This Row],[Amount applied (kg/hectare)]]*Table_Input_OrganicFertiliser[[#This Row],[Application area (ha)]]</f>
        <v>1000</v>
      </c>
      <c r="J55" s="74">
        <f>IFERROR(Table_Input_OrganicFertiliser[[#This Row],[Amount N applied (kg/hectare)]]*Table_Input_OrganicFertiliser[[#This Row],[Application area (ha)]], 0)</f>
        <v>250</v>
      </c>
    </row>
    <row r="56" spans="1:18" ht="20.100000000000001" customHeight="1" x14ac:dyDescent="0.25">
      <c r="A56"/>
      <c r="D56" s="72" t="s">
        <v>160</v>
      </c>
      <c r="E56" s="226">
        <v>0.16</v>
      </c>
      <c r="F56" s="73">
        <v>10</v>
      </c>
      <c r="G56" s="74">
        <f>Table_Input_OrganicFertiliser[[#This Row],[Amount applied (kg/hectare)]]*Table_Input_OrganicFertiliser[[#This Row],[Percentage of N in fertiliser]]</f>
        <v>1.6</v>
      </c>
      <c r="H56" s="73">
        <v>100</v>
      </c>
      <c r="I56" s="74">
        <f>Table_Input_OrganicFertiliser[[#This Row],[Amount applied (kg/hectare)]]*Table_Input_OrganicFertiliser[[#This Row],[Application area (ha)]]</f>
        <v>1000</v>
      </c>
      <c r="J56" s="74">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5"/>
    </row>
    <row r="225" spans="12:12" x14ac:dyDescent="0.25">
      <c r="L225" s="65"/>
    </row>
    <row r="226" spans="12:12" x14ac:dyDescent="0.25">
      <c r="L226" s="65"/>
    </row>
    <row r="227" spans="12:12" x14ac:dyDescent="0.25">
      <c r="L227" s="65"/>
    </row>
    <row r="228" spans="12:12" x14ac:dyDescent="0.25">
      <c r="L228" s="65"/>
    </row>
    <row r="230" spans="12:12" x14ac:dyDescent="0.25">
      <c r="L230" s="65"/>
    </row>
    <row r="232" spans="12:12" x14ac:dyDescent="0.25">
      <c r="L232" s="65"/>
    </row>
    <row r="233" spans="12:12" x14ac:dyDescent="0.25">
      <c r="L233" s="65"/>
    </row>
    <row r="234" spans="12:12" x14ac:dyDescent="0.25">
      <c r="L234" s="65"/>
    </row>
    <row r="235" spans="12:12" x14ac:dyDescent="0.25">
      <c r="L235" s="65"/>
    </row>
    <row r="237" spans="12:12" x14ac:dyDescent="0.25">
      <c r="L237" s="65"/>
    </row>
    <row r="245" spans="12:12" x14ac:dyDescent="0.25">
      <c r="L245" s="65"/>
    </row>
    <row r="246" spans="12:12" x14ac:dyDescent="0.25">
      <c r="L246" s="65"/>
    </row>
    <row r="247" spans="12:12" x14ac:dyDescent="0.25">
      <c r="L247" s="65"/>
    </row>
    <row r="250" spans="12:12" x14ac:dyDescent="0.25">
      <c r="L250" s="65"/>
    </row>
    <row r="251" spans="12:12" x14ac:dyDescent="0.25">
      <c r="L251" s="65"/>
    </row>
    <row r="252" spans="12:12" x14ac:dyDescent="0.25">
      <c r="L252" s="65"/>
    </row>
    <row r="255" spans="12:12" x14ac:dyDescent="0.25">
      <c r="L255" s="65"/>
    </row>
    <row r="256" spans="12:12" x14ac:dyDescent="0.25">
      <c r="L256" s="65"/>
    </row>
    <row r="257" spans="11:12" x14ac:dyDescent="0.25">
      <c r="L257" s="65"/>
    </row>
    <row r="260" spans="11:12" x14ac:dyDescent="0.25">
      <c r="L260" s="65"/>
    </row>
    <row r="261" spans="11:12" x14ac:dyDescent="0.25">
      <c r="L261" s="65"/>
    </row>
    <row r="262" spans="11:12" x14ac:dyDescent="0.25">
      <c r="L262" s="65"/>
    </row>
    <row r="263" spans="11:12" x14ac:dyDescent="0.25">
      <c r="K263" s="65"/>
    </row>
    <row r="268" spans="11:12" x14ac:dyDescent="0.25">
      <c r="K268" s="65"/>
    </row>
    <row r="269" spans="11:12" x14ac:dyDescent="0.25">
      <c r="L269" s="65"/>
    </row>
    <row r="270" spans="11:12" x14ac:dyDescent="0.25">
      <c r="L270" s="65"/>
    </row>
    <row r="271" spans="11:12" x14ac:dyDescent="0.25">
      <c r="L271" s="65"/>
    </row>
    <row r="273" spans="11:12" x14ac:dyDescent="0.25">
      <c r="K273" s="65"/>
    </row>
    <row r="274" spans="11:12" x14ac:dyDescent="0.25">
      <c r="L274" s="65"/>
    </row>
    <row r="275" spans="11:12" x14ac:dyDescent="0.25">
      <c r="L275" s="65"/>
    </row>
    <row r="276" spans="11:12" x14ac:dyDescent="0.25">
      <c r="L276" s="65"/>
    </row>
    <row r="278" spans="11:12" x14ac:dyDescent="0.25">
      <c r="K278" s="65"/>
    </row>
    <row r="279" spans="11:12" x14ac:dyDescent="0.25">
      <c r="K279" s="65"/>
      <c r="L279" s="65"/>
    </row>
    <row r="280" spans="11:12" x14ac:dyDescent="0.25">
      <c r="K280" s="65"/>
      <c r="L280" s="65"/>
    </row>
    <row r="281" spans="11:12" x14ac:dyDescent="0.25">
      <c r="K281" s="65"/>
      <c r="L281" s="65"/>
    </row>
    <row r="282" spans="11:12" x14ac:dyDescent="0.25">
      <c r="K282" s="65"/>
    </row>
    <row r="284" spans="11:12" x14ac:dyDescent="0.25">
      <c r="K284" s="65"/>
      <c r="L284" s="65"/>
    </row>
    <row r="285" spans="11:12" x14ac:dyDescent="0.25">
      <c r="L285" s="65"/>
    </row>
    <row r="286" spans="11:12" x14ac:dyDescent="0.25">
      <c r="K286" s="65"/>
      <c r="L286" s="65"/>
    </row>
    <row r="287" spans="11:12" x14ac:dyDescent="0.25">
      <c r="K287" s="65"/>
    </row>
    <row r="288" spans="11:12" x14ac:dyDescent="0.25">
      <c r="K288" s="65"/>
    </row>
    <row r="289" spans="11:11" x14ac:dyDescent="0.25">
      <c r="K289" s="65"/>
    </row>
    <row r="291" spans="11:11" x14ac:dyDescent="0.25">
      <c r="K291" s="65"/>
    </row>
    <row r="297" spans="11:11" x14ac:dyDescent="0.25">
      <c r="K297" s="65"/>
    </row>
    <row r="302" spans="11:11" x14ac:dyDescent="0.25">
      <c r="K302" s="65"/>
    </row>
    <row r="307" spans="11:11" x14ac:dyDescent="0.25">
      <c r="K307" s="65"/>
    </row>
    <row r="312" spans="11:11" x14ac:dyDescent="0.25">
      <c r="K312" s="65"/>
    </row>
    <row r="313" spans="11:11" x14ac:dyDescent="0.25">
      <c r="K313" s="65"/>
    </row>
    <row r="314" spans="11:11" x14ac:dyDescent="0.25">
      <c r="K314" s="65"/>
    </row>
    <row r="315" spans="11:11" x14ac:dyDescent="0.25">
      <c r="K315" s="65"/>
    </row>
    <row r="316" spans="11:11" x14ac:dyDescent="0.25">
      <c r="K316" s="65"/>
    </row>
    <row r="318" spans="11:11" x14ac:dyDescent="0.25">
      <c r="K318" s="65"/>
    </row>
    <row r="320" spans="11:11" x14ac:dyDescent="0.25">
      <c r="K320" s="65"/>
    </row>
    <row r="321" spans="11:11" x14ac:dyDescent="0.25">
      <c r="K321" s="65"/>
    </row>
    <row r="322" spans="11:11" x14ac:dyDescent="0.25">
      <c r="K322" s="65"/>
    </row>
    <row r="323" spans="11:11" x14ac:dyDescent="0.25">
      <c r="K323" s="65"/>
    </row>
    <row r="325" spans="11:11" x14ac:dyDescent="0.25">
      <c r="K325" s="65"/>
    </row>
    <row r="333" spans="11:11" x14ac:dyDescent="0.25">
      <c r="K333" s="65"/>
    </row>
    <row r="334" spans="11:11" x14ac:dyDescent="0.25">
      <c r="K334" s="65"/>
    </row>
    <row r="335" spans="11:11" x14ac:dyDescent="0.25">
      <c r="K335" s="65"/>
    </row>
    <row r="338" spans="11:11" x14ac:dyDescent="0.25">
      <c r="K338" s="65"/>
    </row>
    <row r="339" spans="11:11" x14ac:dyDescent="0.25">
      <c r="K339" s="65"/>
    </row>
    <row r="340" spans="11:11" x14ac:dyDescent="0.25">
      <c r="K340" s="65"/>
    </row>
    <row r="343" spans="11:11" x14ac:dyDescent="0.25">
      <c r="K343" s="65"/>
    </row>
    <row r="344" spans="11:11" x14ac:dyDescent="0.25">
      <c r="K344" s="65"/>
    </row>
    <row r="345" spans="11:11" x14ac:dyDescent="0.25">
      <c r="K345" s="65"/>
    </row>
    <row r="348" spans="11:11" x14ac:dyDescent="0.25">
      <c r="K348" s="65"/>
    </row>
    <row r="349" spans="11:11" x14ac:dyDescent="0.25">
      <c r="K349" s="65"/>
    </row>
    <row r="350" spans="11:11" x14ac:dyDescent="0.25">
      <c r="K350" s="65"/>
    </row>
    <row r="357" spans="11:11" x14ac:dyDescent="0.25">
      <c r="K357" s="65"/>
    </row>
    <row r="358" spans="11:11" x14ac:dyDescent="0.25">
      <c r="K358" s="65"/>
    </row>
    <row r="359" spans="11:11" x14ac:dyDescent="0.25">
      <c r="K359" s="65"/>
    </row>
    <row r="362" spans="11:11" x14ac:dyDescent="0.25">
      <c r="K362" s="65"/>
    </row>
    <row r="363" spans="11:11" x14ac:dyDescent="0.25">
      <c r="K363" s="65"/>
    </row>
    <row r="364" spans="11:11" x14ac:dyDescent="0.25">
      <c r="K364" s="65"/>
    </row>
    <row r="367" spans="11:11" x14ac:dyDescent="0.25">
      <c r="K367" s="65"/>
    </row>
    <row r="368" spans="11:11" x14ac:dyDescent="0.25">
      <c r="K368" s="65"/>
    </row>
    <row r="369" spans="4:11" x14ac:dyDescent="0.25">
      <c r="K369" s="65"/>
    </row>
    <row r="372" spans="4:11" x14ac:dyDescent="0.25">
      <c r="K372" s="65"/>
    </row>
    <row r="373" spans="4:11" x14ac:dyDescent="0.25">
      <c r="K373" s="65"/>
    </row>
    <row r="374" spans="4:11" x14ac:dyDescent="0.25">
      <c r="K374" s="65"/>
    </row>
    <row r="378" spans="4:1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8F5226FE-8478-4637-9529-7F6E77588E6D}">
      <formula1>INDIRECT("FertiliserProducts[Product]")</formula1>
    </dataValidation>
    <dataValidation type="list" allowBlank="1" showInputMessage="1" showErrorMessage="1" sqref="Q25:R34" xr:uid="{1574B981-F288-440E-904C-09807D98A4FF}">
      <formula1>INDIRECT("Table_SourceData_Fertiliser_UreaAmmoniaSources[Source]")</formula1>
    </dataValidation>
    <dataValidation type="list" allowBlank="1" showInputMessage="1" showErrorMessage="1" sqref="D54:D56" xr:uid="{0B818E77-24A7-4935-8143-90B059DA9258}">
      <formula1>INDIRECT("Table_SourceData_OrganicFertiliserTypes[Organic fertiliser type]")</formula1>
    </dataValidation>
    <dataValidation type="list" allowBlank="1" showInputMessage="1" showErrorMessage="1" sqref="H25:H34 J25:J34 L25:L34 N25:N34" xr:uid="{0B9A4580-5F4F-4AF6-BFE0-1263786BCA78}">
      <formula1>INDIRECT("Table_Fertiliser_ChemicalCompounds[Fertiliser type f]")</formula1>
    </dataValidation>
    <dataValidation type="list" allowBlank="1" showInputMessage="1" showErrorMessage="1" sqref="E81" xr:uid="{04E633F4-990F-492C-BE0F-5599BE4E02A3}">
      <formula1>INDIRECT("Table_SourceData_Swine_CropProdSystems[Production system]")</formula1>
    </dataValidation>
    <dataValidation type="list" allowBlank="1" showInputMessage="1" showErrorMessage="1" sqref="E82" xr:uid="{3AD53DA5-1157-4332-BCAF-134A80AB8BEB}">
      <formula1>INDIRECT("Table_SourceData_Swine_IrrigationMethods[Irrigation method]")</formula1>
    </dataValidation>
    <dataValidation type="list" allowBlank="1" showInputMessage="1" showErrorMessage="1" sqref="E266 E271 E276 E310 E305 E300 E178 E166 E142 E154" xr:uid="{2E2E02E9-7A68-431F-A799-3234A3ABE3A4}">
      <formula1>"Yes, No"</formula1>
    </dataValidation>
    <dataValidation type="list" allowBlank="1" showInputMessage="1" showErrorMessage="1" sqref="E242" xr:uid="{2E6C826E-5CCA-4798-8D64-7AA607572768}">
      <formula1>INDIRECT("Table_SourceData_Dairy_ProductionSystemTemplates[Area]")</formula1>
    </dataValidation>
    <dataValidation type="list" allowBlank="1" showInputMessage="1" showErrorMessage="1" sqref="D294" xr:uid="{C444CB7D-A9C5-4F03-80D2-CF9C94DF84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workbookViewId="0" zoomScale="100" zoomScaleNormal="100">
      <selection activeCell="A46" sqref="A46"/>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280</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333</v>
      </c>
      <c r="F7" s="46" t="s">
        <v>336</v>
      </c>
    </row>
    <row r="8" spans="1:19" ht="20.100000000000001" customHeight="1" x14ac:dyDescent="0.25">
      <c r="A8" s="16" t="str">
        <f>HYPERLINK("#'Input - Site'!A1", "Site")</f>
        <v>Site</v>
      </c>
      <c r="C8" s="8"/>
      <c r="D8" s="82" t="s">
        <v>373</v>
      </c>
      <c r="E8" s="47" t="s">
        <v>335</v>
      </c>
      <c r="F8" s="66">
        <v>100</v>
      </c>
    </row>
    <row r="9" spans="1:19" ht="20.100000000000001" customHeight="1" x14ac:dyDescent="0.25">
      <c r="A9" s="16" t="str">
        <f>HYPERLINK("#'Input - Fuel'!A1", "Fuel")</f>
        <v>Fuel</v>
      </c>
      <c r="C9" s="8"/>
      <c r="D9" s="82" t="s">
        <v>372</v>
      </c>
      <c r="E9" s="149" t="s">
        <v>334</v>
      </c>
      <c r="F9" s="150">
        <v>100</v>
      </c>
    </row>
    <row r="10" spans="1:19" ht="20.100000000000001" customHeight="1" x14ac:dyDescent="0.25">
      <c r="A10" s="16" t="str">
        <f>HYPERLINK("#'Input - Fertiliser'!A1", "Fertiliser")</f>
        <v>Fertiliser</v>
      </c>
      <c r="D10" s="82" t="s">
        <v>281</v>
      </c>
      <c r="E10" s="149" t="s">
        <v>282</v>
      </c>
      <c r="F10" s="150">
        <v>100</v>
      </c>
    </row>
    <row r="11" spans="1:19" ht="20.100000000000001" customHeight="1" x14ac:dyDescent="0.25">
      <c r="A11" s="42" t="str">
        <f>HYPERLINK("#'Input - Common farm inputs'!A1", "Common farm inputs")</f>
        <v>Common farm inputs</v>
      </c>
      <c r="D11" s="82" t="s">
        <v>281</v>
      </c>
      <c r="E11" s="149" t="s">
        <v>282</v>
      </c>
      <c r="F11" s="150">
        <v>100</v>
      </c>
    </row>
    <row r="12" spans="1:19" ht="20.100000000000001" customHeight="1" x14ac:dyDescent="0.25">
      <c r="A12" s="16" t="str">
        <f>HYPERLINK("#'Input - Processing inputs'!A1", "Processing inputs")</f>
        <v>Processing inputs</v>
      </c>
      <c r="C12" s="8"/>
      <c r="D12" s="82" t="s">
        <v>373</v>
      </c>
      <c r="E12" s="149" t="s">
        <v>335</v>
      </c>
      <c r="F12" s="150">
        <v>100</v>
      </c>
    </row>
    <row r="13" spans="1:19" ht="20.100000000000001" customHeight="1" x14ac:dyDescent="0.25">
      <c r="A13" s="16" t="str">
        <f>HYPERLINK("#'Input - Crop pasture farm input'!A1", "Crop pasture farm input")</f>
        <v>Crop pasture farm input</v>
      </c>
      <c r="C13" s="8"/>
      <c r="D13" s="82" t="s">
        <v>373</v>
      </c>
      <c r="E13" s="149" t="s">
        <v>335</v>
      </c>
      <c r="F13" s="150">
        <v>100</v>
      </c>
    </row>
    <row r="14" spans="1:19" ht="20.100000000000001" customHeight="1" x14ac:dyDescent="0.25">
      <c r="A14" s="16" t="str">
        <f>HYPERLINK("#'Input - Hort farm Inputs'!A1", "Hort farm Inputs")</f>
        <v>Hort farm Inputs</v>
      </c>
      <c r="D14" s="82"/>
      <c r="E14" s="47"/>
      <c r="F14" s="66"/>
    </row>
    <row r="15" spans="1:19" ht="20.100000000000001" customHeight="1" x14ac:dyDescent="0.25">
      <c r="A15" s="16" t="str">
        <f>HYPERLINK("#'Input - Livestock farm Inputs'!A1", "Livestock farm Inputs")</f>
        <v>Livestock farm Inputs</v>
      </c>
      <c r="D15" s="82"/>
      <c r="E15" s="47"/>
      <c r="F15" s="66"/>
    </row>
    <row r="16" spans="1:19" ht="20.100000000000001" customHeight="1" x14ac:dyDescent="0.25">
      <c r="A16" s="16" t="str">
        <f>HYPERLINK("#'Input - Aquaculture inputs'!A1", "Aquaculture inputs")</f>
        <v>Aquaculture inputs</v>
      </c>
      <c r="D16" s="82"/>
      <c r="E16" s="47"/>
      <c r="F16" s="66"/>
    </row>
    <row r="17" spans="1:10" ht="20.100000000000001" customHeight="1" x14ac:dyDescent="0.25">
      <c r="A17" s="16" t="str">
        <f>HYPERLINK("#'Input - Beef cattle purchases'!A1", "Beef cattle purchases")</f>
        <v>Beef cattle purchases</v>
      </c>
      <c r="C17" s="8"/>
      <c r="D17" s="82"/>
      <c r="E17" s="47"/>
      <c r="F17" s="66"/>
    </row>
    <row r="18" spans="1:10" ht="20.100000000000001" customHeight="1" x14ac:dyDescent="0.25">
      <c r="A18" s="16" t="str">
        <f>HYPERLINK("#'Input - Dairy cattle purchases'!A1", "Dairy cattle purchases")</f>
        <v>Dairy cattle purchases</v>
      </c>
      <c r="C18" s="8"/>
    </row>
    <row r="19" spans="1:10" ht="20.100000000000001" customHeight="1" x14ac:dyDescent="0.25">
      <c r="A19" s="16" t="str">
        <f>HYPERLINK("#'Input - Pig purchases'!A1", "Pig purchases")</f>
        <v>Pig purchases</v>
      </c>
    </row>
    <row r="20" spans="1:10" ht="20.100000000000001" customHeight="1" x14ac:dyDescent="0.25">
      <c r="A20" s="16" t="str">
        <f>HYPERLINK("#'Input - Poultry purchases'!A1", "Poultry purchases")</f>
        <v>Poultry purchases</v>
      </c>
      <c r="D20" s="9" t="s">
        <v>596</v>
      </c>
    </row>
    <row r="21" spans="1:10" ht="20.100000000000001" customHeight="1" x14ac:dyDescent="0.25">
      <c r="A21" s="16" t="str">
        <f>HYPERLINK("#'Input - Freight'!A1", "Freight")</f>
        <v>Freight</v>
      </c>
      <c r="D21" s="12"/>
      <c r="I21" s="7"/>
      <c r="J21" s="7"/>
    </row>
    <row r="22" spans="1:10" ht="20.100000000000001" customHeight="1" x14ac:dyDescent="0.25">
      <c r="A22" s="16" t="str">
        <f>HYPERLINK("#'Input - Solid waste'!A1", "Solid waste")</f>
        <v>Solid waste</v>
      </c>
      <c r="D22" s="164" t="s">
        <v>597</v>
      </c>
      <c r="E22" s="164" t="s">
        <v>606</v>
      </c>
      <c r="F22" s="164" t="s">
        <v>601</v>
      </c>
      <c r="G22" s="164" t="s">
        <v>125</v>
      </c>
    </row>
    <row r="23" spans="1:10" ht="20.100000000000001" customHeight="1" x14ac:dyDescent="0.25">
      <c r="A23" s="16" t="str">
        <f>HYPERLINK("#'Input - Manure sent off-site'!A1", "Manure sent off-site")</f>
        <v>Manure sent off-site</v>
      </c>
      <c r="D23" s="82" t="s">
        <v>598</v>
      </c>
      <c r="E23" s="82" t="s">
        <v>599</v>
      </c>
      <c r="F23" s="66">
        <v>10000</v>
      </c>
      <c r="G23" s="47" t="s">
        <v>603</v>
      </c>
    </row>
    <row r="24" spans="1:10" ht="20.100000000000001" customHeight="1" x14ac:dyDescent="0.25">
      <c r="A24" s="16" t="str">
        <f>HYPERLINK("#'Input - Electricity'!A1", "Electricity")</f>
        <v>Electricity</v>
      </c>
      <c r="D24" s="82" t="s">
        <v>600</v>
      </c>
      <c r="E24" s="82" t="s">
        <v>605</v>
      </c>
      <c r="F24" s="66">
        <v>1000</v>
      </c>
      <c r="G24" s="47" t="s">
        <v>604</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1" t="s">
        <v>77</v>
      </c>
      <c r="C27" s="8"/>
      <c r="D27" s="82"/>
      <c r="E27" s="82"/>
      <c r="F27" s="66"/>
      <c r="G27" s="47"/>
    </row>
    <row r="28" spans="1:10" ht="20.100000000000001" customHeight="1" x14ac:dyDescent="0.25">
      <c r="A28" s="16" t="str">
        <f>HYPERLINK("#'15 Scope 3'!A1", "15 Scope 3")</f>
        <v>15 Scope 3</v>
      </c>
      <c r="D28" s="82"/>
      <c r="E28" s="82"/>
      <c r="F28" s="66"/>
      <c r="G28" s="47"/>
    </row>
    <row r="29" spans="1:10" ht="20.100000000000001" customHeight="1" x14ac:dyDescent="0.25">
      <c r="A29" s="16" t="str">
        <f>HYPERLINK("#'10.1.1-2 Solid waste treatment'!A1", "10.1.1-2 Solid waste treatment")</f>
        <v>10.1.1-2 Solid waste treatment</v>
      </c>
      <c r="D29" s="82"/>
      <c r="E29" s="82"/>
      <c r="F29" s="66"/>
      <c r="G29" s="47"/>
    </row>
    <row r="30" spans="1:10" ht="20.100000000000001" customHeight="1" x14ac:dyDescent="0.25">
      <c r="A30" s="16" t="str">
        <f>HYPERLINK("#'Calcs - Manure sent off-site'!A1", "Calcs - Manure sent off-site")</f>
        <v>Calcs - Manure sent off-site</v>
      </c>
      <c r="D30" s="82"/>
      <c r="E30" s="82"/>
      <c r="F30" s="66"/>
      <c r="G30" s="47"/>
    </row>
    <row r="31" spans="1:10" ht="20.100000000000001" customHeight="1" x14ac:dyDescent="0.25">
      <c r="A31" s="16" t="str">
        <f>HYPERLINK("#'8.1.1.1-2 Transport fuel'!A1", "8.1.1.1-2 Transport fuel")</f>
        <v>8.1.1.1-2 Transport fuel</v>
      </c>
      <c r="D31" s="82"/>
      <c r="E31" s="82"/>
      <c r="F31" s="66"/>
      <c r="G31" s="47"/>
    </row>
    <row r="32" spans="1:10" ht="20.100000000000001" customHeight="1" x14ac:dyDescent="0.25">
      <c r="A32" s="16" t="str">
        <f>HYPERLINK("#'8.2.1.1-2 Stationary fuel'!A1", "8.2.1.1-2 Stationary fuel")</f>
        <v>8.2.1.1-2 Stationary fuel</v>
      </c>
      <c r="D32" s="82"/>
      <c r="E32" s="82"/>
      <c r="F32" s="66"/>
      <c r="G32" s="47"/>
    </row>
    <row r="33" spans="1:6" ht="20.100000000000001" customHeight="1" x14ac:dyDescent="0.25">
      <c r="A33"/>
    </row>
    <row r="34" spans="1:6" ht="20.100000000000001" customHeight="1" x14ac:dyDescent="0.25">
      <c r="A34"/>
    </row>
    <row r="35" spans="1:6" ht="20.100000000000001" customHeight="1" x14ac:dyDescent="0.25">
      <c r="A35" s="222" t="s">
        <v>78</v>
      </c>
      <c r="D35" s="9" t="s">
        <v>595</v>
      </c>
    </row>
    <row r="36" spans="1:6" ht="20.100000000000001" customHeight="1" x14ac:dyDescent="0.25">
      <c r="A36" s="16" t="str">
        <f>HYPERLINK("#'Constants - Scope 3'!A1", "Constants - Scope 3")</f>
        <v>Constants - Scope 3</v>
      </c>
      <c r="D36" s="12"/>
    </row>
    <row r="37" spans="1:6" ht="20.100000000000001" customHeight="1" x14ac:dyDescent="0.25">
      <c r="A37" s="16" t="str">
        <f>HYPERLINK("#'Constants - Solid Waste'!A1", "Constants - Solid Waste")</f>
        <v>Constants - Solid Waste</v>
      </c>
      <c r="D37" s="46" t="s">
        <v>590</v>
      </c>
      <c r="E37" s="46" t="s">
        <v>589</v>
      </c>
      <c r="F37" s="46" t="s">
        <v>125</v>
      </c>
    </row>
    <row r="38" spans="1:6" ht="20.100000000000001" customHeight="1" x14ac:dyDescent="0.25">
      <c r="A38" s="16" t="str">
        <f>HYPERLINK("#'Constants - Fuel'!A1", "Constants - Fuel")</f>
        <v>Constants - Fuel</v>
      </c>
      <c r="D38" s="82" t="s">
        <v>691</v>
      </c>
      <c r="E38" s="66">
        <v>1000</v>
      </c>
      <c r="F38" s="82" t="s">
        <v>339</v>
      </c>
    </row>
    <row r="39" spans="1:6" ht="20.100000000000001" customHeight="1" x14ac:dyDescent="0.25">
      <c r="A39" s="16" t="str">
        <f>HYPERLINK("#'Constants - Poultry'!A1", "Constants - Poultry")</f>
        <v>Constants - Poultry</v>
      </c>
      <c r="D39" s="82"/>
      <c r="E39" s="66"/>
      <c r="F39" s="82"/>
    </row>
    <row r="40" spans="1:6" ht="20.100000000000001" customHeight="1" x14ac:dyDescent="0.25">
      <c r="A40" s="16" t="str">
        <f>HYPERLINK("#'Constants - Swine'!A1", "Constants - Swine")</f>
        <v>Constants - Swine</v>
      </c>
      <c r="D40" s="82"/>
      <c r="E40" s="66"/>
      <c r="F40" s="82"/>
    </row>
    <row r="41" spans="1:6" ht="20.100000000000001" customHeight="1" x14ac:dyDescent="0.25">
      <c r="A41" s="16" t="str">
        <f>HYPERLINK("#'Constants - Dairy'!A1", "Constants - Dairy")</f>
        <v>Constants - Dairy</v>
      </c>
      <c r="D41" s="82"/>
      <c r="E41" s="66"/>
      <c r="F41" s="82"/>
    </row>
    <row r="42" spans="1:6" ht="20.100000000000001" customHeight="1" x14ac:dyDescent="0.25">
      <c r="A42" s="16" t="str">
        <f>HYPERLINK("#'Constants - Pasture Beef'!A1", "Constants - Pasture Beef")</f>
        <v>Constants - Pasture Beef</v>
      </c>
      <c r="D42" s="82"/>
      <c r="E42" s="66"/>
      <c r="F42" s="82"/>
    </row>
    <row r="43" spans="1:6" ht="20.100000000000001" customHeight="1" x14ac:dyDescent="0.25">
      <c r="A43" s="16" t="str">
        <f>HYPERLINK("#'Constants - Common Livestock'!A1", "Constants - Common Livestock")</f>
        <v>Constants - Common Livestock</v>
      </c>
      <c r="D43" s="82"/>
      <c r="E43" s="66"/>
      <c r="F43" s="82"/>
    </row>
    <row r="44" spans="1:6" ht="20.100000000000001" customHeight="1" x14ac:dyDescent="0.25">
      <c r="A44" s="16" t="str">
        <f>HYPERLINK("#'Constants - Fertiliser'!A1", "Constants - Fertiliser")</f>
        <v>Constants - Fertiliser</v>
      </c>
      <c r="C44" s="8"/>
      <c r="D44" s="82"/>
      <c r="E44" s="66"/>
      <c r="F44" s="82"/>
    </row>
    <row r="45" spans="1:6" ht="20.100000000000001" customHeight="1" x14ac:dyDescent="0.25">
      <c r="A45" s="16" t="str">
        <f>HYPERLINK("#'Constants - Electricity'!A1", "Constants - Electricity")</f>
        <v>Constants - Electricity</v>
      </c>
      <c r="C45" s="8"/>
      <c r="D45" s="82"/>
      <c r="E45" s="66"/>
      <c r="F45" s="82"/>
    </row>
    <row r="46" spans="1:6" ht="20.100000000000001" customHeight="1" x14ac:dyDescent="0.25">
      <c r="A46" s="16" t="str">
        <f>HYPERLINK("#'Constants - Common'!A1", "Constants - Common")</f>
        <v>Constants - Common</v>
      </c>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355</v>
      </c>
      <c r="E5" s="14"/>
      <c r="F5" s="14"/>
      <c r="G5" s="14"/>
      <c r="H5" s="14"/>
    </row>
    <row r="6" spans="1:9" x14ac:dyDescent="0.25">
      <c r="D6" s="14"/>
      <c r="E6" s="14"/>
      <c r="F6" s="14"/>
      <c r="G6" s="14"/>
      <c r="H6" s="14"/>
    </row>
    <row r="7" spans="1:9" x14ac:dyDescent="0.25">
      <c r="A7" s="19" t="s">
        <v>67</v>
      </c>
      <c r="D7" s="91" t="s">
        <v>278</v>
      </c>
      <c r="E7" s="91" t="s">
        <v>279</v>
      </c>
      <c r="F7" s="91" t="s">
        <v>396</v>
      </c>
      <c r="G7" s="91" t="s">
        <v>397</v>
      </c>
      <c r="H7" s="91" t="s">
        <v>591</v>
      </c>
    </row>
    <row r="8" spans="1:9" x14ac:dyDescent="0.25">
      <c r="A8" s="16" t="str">
        <f>HYPERLINK("#'Input - Site'!A1", "Site")</f>
        <v>Site</v>
      </c>
      <c r="D8" s="143" t="s">
        <v>398</v>
      </c>
      <c r="E8" s="66">
        <v>100000</v>
      </c>
      <c r="F8" s="47" t="s">
        <v>399</v>
      </c>
      <c r="G8" s="66">
        <v>0.02</v>
      </c>
      <c r="H8" s="49">
        <f>Table_Input_Packaging[[#This Row],[Quantity purchased]]*Table_Input_Packaging[[#This Row],[Weight per unit (kg)]]</f>
        <v>2000</v>
      </c>
    </row>
    <row r="9" spans="1:9" x14ac:dyDescent="0.25">
      <c r="A9" s="16" t="str">
        <f>HYPERLINK("#'Input - Fuel'!A1", "Fuel")</f>
        <v>Fuel</v>
      </c>
      <c r="D9" s="143"/>
      <c r="E9" s="165"/>
      <c r="F9" s="47"/>
      <c r="G9" s="66"/>
      <c r="H9" s="49">
        <f>Table_Input_Packaging[[#This Row],[Quantity purchased]]*Table_Input_Packaging[[#This Row],[Weight per unit (kg)]]</f>
        <v>0</v>
      </c>
    </row>
    <row r="10" spans="1:9" x14ac:dyDescent="0.25">
      <c r="A10" s="16" t="str">
        <f>HYPERLINK("#'Input - Fertiliser'!A1", "Fertiliser")</f>
        <v>Fertiliser</v>
      </c>
      <c r="D10" s="143"/>
      <c r="E10" s="165"/>
      <c r="F10" s="47"/>
      <c r="G10" s="66"/>
      <c r="H10" s="49">
        <f>Table_Input_Packaging[[#This Row],[Quantity purchased]]*Table_Input_Packaging[[#This Row],[Weight per unit (kg)]]</f>
        <v>0</v>
      </c>
    </row>
    <row r="11" spans="1:9" x14ac:dyDescent="0.25">
      <c r="A11" s="16" t="str">
        <f>HYPERLINK("#'Input - Common farm inputs'!A1", "Common farm inputs")</f>
        <v>Common farm inputs</v>
      </c>
      <c r="D11" s="143"/>
      <c r="E11" s="165"/>
      <c r="F11" s="47"/>
      <c r="G11" s="66"/>
      <c r="H11" s="49">
        <f>Table_Input_Packaging[[#This Row],[Quantity purchased]]*Table_Input_Packaging[[#This Row],[Weight per unit (kg)]]</f>
        <v>0</v>
      </c>
    </row>
    <row r="12" spans="1:9" x14ac:dyDescent="0.25">
      <c r="A12" s="42" t="str">
        <f>HYPERLINK("#'Input - Processing inputs'!A1", "Processing inputs")</f>
        <v>Processing inputs</v>
      </c>
      <c r="D12" s="143"/>
      <c r="E12" s="165"/>
      <c r="F12" s="47"/>
      <c r="G12" s="66"/>
      <c r="H12" s="49">
        <f>Table_Input_Packaging[[#This Row],[Quantity purchased]]*Table_Input_Packaging[[#This Row],[Weight per unit (kg)]]</f>
        <v>0</v>
      </c>
    </row>
    <row r="13" spans="1:9" x14ac:dyDescent="0.25">
      <c r="A13" s="16" t="str">
        <f>HYPERLINK("#'Input - Crop pasture farm input'!A1", "Crop pasture farm input")</f>
        <v>Crop pasture farm input</v>
      </c>
      <c r="D13" s="143"/>
      <c r="E13" s="165"/>
      <c r="F13" s="47"/>
      <c r="G13" s="66"/>
      <c r="H13" s="49">
        <f>Table_Input_Packaging[[#This Row],[Quantity purchased]]*Table_Input_Packaging[[#This Row],[Weight per unit (kg)]]</f>
        <v>0</v>
      </c>
    </row>
    <row r="14" spans="1:9" x14ac:dyDescent="0.25">
      <c r="A14" s="16" t="str">
        <f>HYPERLINK("#'Input - Hort farm Inputs'!A1", "Hort farm Inputs")</f>
        <v>Hort farm Inputs</v>
      </c>
      <c r="D14" s="143"/>
      <c r="E14" s="165"/>
      <c r="F14" s="47"/>
      <c r="G14" s="66"/>
      <c r="H14" s="49">
        <f>Table_Input_Packaging[[#This Row],[Quantity purchased]]*Table_Input_Packaging[[#This Row],[Weight per unit (kg)]]</f>
        <v>0</v>
      </c>
    </row>
    <row r="15" spans="1:9" x14ac:dyDescent="0.25">
      <c r="A15" s="16" t="str">
        <f>HYPERLINK("#'Input - Livestock farm Inputs'!A1", "Livestock farm Inputs")</f>
        <v>Livestock farm Inputs</v>
      </c>
      <c r="D15" s="143"/>
      <c r="E15" s="165"/>
      <c r="F15" s="47"/>
      <c r="G15" s="66"/>
      <c r="H15" s="49">
        <f>Table_Input_Packaging[[#This Row],[Quantity purchased]]*Table_Input_Packaging[[#This Row],[Weight per unit (kg)]]</f>
        <v>0</v>
      </c>
    </row>
    <row r="16" spans="1:9" x14ac:dyDescent="0.25">
      <c r="A16" s="16" t="str">
        <f>HYPERLINK("#'Input - Aquaculture inputs'!A1", "Aquaculture inputs")</f>
        <v>Aquaculture inputs</v>
      </c>
      <c r="D16" s="143"/>
      <c r="E16" s="165"/>
      <c r="F16" s="47"/>
      <c r="G16" s="66"/>
      <c r="H16" s="49">
        <f>Table_Input_Packaging[[#This Row],[Quantity purchased]]*Table_Input_Packaging[[#This Row],[Weight per unit (kg)]]</f>
        <v>0</v>
      </c>
    </row>
    <row r="17" spans="1:8" x14ac:dyDescent="0.25">
      <c r="A17" s="16" t="str">
        <f>HYPERLINK("#'Input - Beef cattle purchases'!A1", "Beef cattle purchases")</f>
        <v>Beef cattle purchases</v>
      </c>
      <c r="D17" s="143"/>
      <c r="E17" s="165"/>
      <c r="F17" s="47"/>
      <c r="G17" s="66"/>
      <c r="H17" s="49">
        <f>Table_Input_Packaging[[#This Row],[Quantity purchased]]*Table_Input_Packaging[[#This Row],[Weight per unit (kg)]]</f>
        <v>0</v>
      </c>
    </row>
    <row r="18" spans="1:8" x14ac:dyDescent="0.25">
      <c r="A18" s="16" t="str">
        <f>HYPERLINK("#'Input - Dairy cattle purchases'!A1", "Dairy cattle purchases")</f>
        <v>Dairy cattle purchases</v>
      </c>
    </row>
    <row r="19" spans="1:8" x14ac:dyDescent="0.25">
      <c r="A19" s="16" t="str">
        <f>HYPERLINK("#'Input - Pig purchases'!A1", "Pig purchases")</f>
        <v>Pig purchases</v>
      </c>
    </row>
    <row r="20" spans="1:8" x14ac:dyDescent="0.25">
      <c r="A20" s="16" t="str">
        <f>HYPERLINK("#'Input - Poultry purchases'!A1", "Poultry purchases")</f>
        <v>Poultry purchases</v>
      </c>
    </row>
    <row r="21" spans="1:8" x14ac:dyDescent="0.25">
      <c r="A21" s="16" t="str">
        <f>HYPERLINK("#'Input - Freight'!A1", "Freight")</f>
        <v>Freight</v>
      </c>
    </row>
    <row r="22" spans="1:8" x14ac:dyDescent="0.25">
      <c r="A22" s="16" t="str">
        <f>HYPERLINK("#'Input - Solid waste'!A1", "Solid waste")</f>
        <v>Solid waste</v>
      </c>
    </row>
    <row r="23" spans="1:8" x14ac:dyDescent="0.25">
      <c r="A23" s="16" t="str">
        <f>HYPERLINK("#'Input - Manure sent off-site'!A1", "Manure sent off-site")</f>
        <v>Manure sent off-site</v>
      </c>
    </row>
    <row r="24" spans="1:8" x14ac:dyDescent="0.25">
      <c r="A24" s="16" t="str">
        <f>HYPERLINK("#'Input - Electricity'!A1", "Electricity")</f>
        <v>Electricity</v>
      </c>
    </row>
    <row r="27" spans="1:8" x14ac:dyDescent="0.25">
      <c r="A27" s="21" t="s">
        <v>77</v>
      </c>
    </row>
    <row r="28" spans="1:8" x14ac:dyDescent="0.25">
      <c r="A28" s="16" t="str">
        <f>HYPERLINK("#'15 Scope 3'!A1", "15 Scope 3")</f>
        <v>15 Scope 3</v>
      </c>
    </row>
    <row r="29" spans="1:8" x14ac:dyDescent="0.25">
      <c r="A29" s="16" t="str">
        <f>HYPERLINK("#'10.1.1-2 Solid waste treatment'!A1", "10.1.1-2 Solid waste treatment")</f>
        <v>10.1.1-2 Solid waste treatment</v>
      </c>
    </row>
    <row r="30" spans="1:8" x14ac:dyDescent="0.25">
      <c r="A30" s="16" t="str">
        <f>HYPERLINK("#'Calcs - Manure sent off-site'!A1", "Calcs - Manure sent off-site")</f>
        <v>Calcs - Manure sent off-site</v>
      </c>
    </row>
    <row r="31" spans="1:8" x14ac:dyDescent="0.25">
      <c r="A31" s="16" t="str">
        <f>HYPERLINK("#'8.1.1.1-2 Transport fuel'!A1", "8.1.1.1-2 Transport fuel")</f>
        <v>8.1.1.1-2 Transport fuel</v>
      </c>
    </row>
    <row r="32" spans="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44" t="s">
        <v>356</v>
      </c>
      <c r="E5" s="147"/>
      <c r="F5" s="147"/>
      <c r="G5" s="147"/>
      <c r="H5" s="147"/>
      <c r="I5" s="147"/>
      <c r="J5" s="147"/>
    </row>
    <row r="6" spans="1:19" x14ac:dyDescent="0.25">
      <c r="D6" s="173" t="s">
        <v>292</v>
      </c>
      <c r="E6" s="173"/>
      <c r="F6" s="39"/>
      <c r="G6" s="41"/>
      <c r="H6" s="7"/>
      <c r="I6" s="7"/>
      <c r="J6" s="7"/>
    </row>
    <row r="7" spans="1:19" x14ac:dyDescent="0.25">
      <c r="A7" s="19" t="s">
        <v>67</v>
      </c>
      <c r="D7" s="43" t="s">
        <v>293</v>
      </c>
      <c r="E7" s="44"/>
      <c r="F7" s="44"/>
      <c r="G7" s="45"/>
      <c r="H7" s="7"/>
      <c r="I7" s="7"/>
      <c r="J7" s="7"/>
    </row>
    <row r="8" spans="1:19" x14ac:dyDescent="0.25">
      <c r="A8" s="16" t="str">
        <f>HYPERLINK("#'Input - Site'!A1", "Site")</f>
        <v>Site</v>
      </c>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54" t="s">
        <v>167</v>
      </c>
      <c r="E9" s="154" t="s">
        <v>294</v>
      </c>
      <c r="F9" s="154" t="s">
        <v>295</v>
      </c>
      <c r="G9" s="154" t="s">
        <v>196</v>
      </c>
      <c r="H9" s="154" t="s">
        <v>296</v>
      </c>
      <c r="I9" s="154" t="s">
        <v>413</v>
      </c>
      <c r="J9" s="154" t="s">
        <v>297</v>
      </c>
      <c r="K9" s="162" t="s">
        <v>298</v>
      </c>
      <c r="L9" s="162" t="s">
        <v>409</v>
      </c>
      <c r="M9" s="162" t="s">
        <v>299</v>
      </c>
      <c r="N9" s="162" t="s">
        <v>300</v>
      </c>
      <c r="O9" s="162" t="s">
        <v>410</v>
      </c>
      <c r="P9" s="162" t="s">
        <v>301</v>
      </c>
      <c r="Q9" s="162" t="s">
        <v>302</v>
      </c>
      <c r="R9" s="162" t="s">
        <v>411</v>
      </c>
    </row>
    <row r="10" spans="1:19" x14ac:dyDescent="0.25">
      <c r="A10" s="16" t="str">
        <f>HYPERLINK("#'Input - Fertiliser'!A1", "Fertiliser")</f>
        <v>Fertiliser</v>
      </c>
      <c r="D10" s="143" t="s">
        <v>415</v>
      </c>
      <c r="E10" s="155">
        <v>10</v>
      </c>
      <c r="F10" s="47" t="s">
        <v>405</v>
      </c>
      <c r="G10" s="66">
        <v>100</v>
      </c>
      <c r="H10" s="49">
        <f>Table_Input_Pesticides[[#This Row],[Amount applied per ha]]*Table_Input_Pesticides[[#This Row],[Application area (ha)]]</f>
        <v>1000</v>
      </c>
      <c r="I10" s="47" t="s">
        <v>404</v>
      </c>
      <c r="J10" s="47" t="s">
        <v>403</v>
      </c>
      <c r="K10" s="66">
        <v>100</v>
      </c>
      <c r="L10" s="49">
        <f>Table_Input_Pesticides[[#This Row],[Total applied]]*Table_Input_Pesticides[[#This Row],[Active ingredient 1 amount]]*IF(Table_Input_Pesticides[[#This Row],[Constituent unit (select)]]="fraction of product", 1, 10^-3)</f>
        <v>100</v>
      </c>
      <c r="M10" s="47" t="s">
        <v>403</v>
      </c>
      <c r="N10" s="66">
        <v>100</v>
      </c>
      <c r="O10" s="49">
        <f>Table_Input_Pesticides[[#This Row],[Total applied]]*Table_Input_Pesticides[[#This Row],[Active ingredient 2 amount]]*IF(Table_Input_Pesticides[[#This Row],[Constituent unit (select)]]="fraction of product", 1, 10^-3)</f>
        <v>100</v>
      </c>
      <c r="P10" s="47" t="s">
        <v>667</v>
      </c>
      <c r="Q10" s="66">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Common farm inputs'!A1", "Common farm inputs")</f>
        <v>Common farm inputs</v>
      </c>
      <c r="D11" s="143" t="s">
        <v>414</v>
      </c>
      <c r="E11" s="155">
        <v>10</v>
      </c>
      <c r="F11" s="47" t="s">
        <v>303</v>
      </c>
      <c r="G11" s="66">
        <v>100</v>
      </c>
      <c r="H11" s="49">
        <f>Table_Input_Pesticides[[#This Row],[Amount applied per ha]]*Table_Input_Pesticides[[#This Row],[Application area (ha)]]</f>
        <v>1000</v>
      </c>
      <c r="I11" s="47" t="s">
        <v>404</v>
      </c>
      <c r="J11" s="47" t="s">
        <v>403</v>
      </c>
      <c r="K11" s="66">
        <v>100</v>
      </c>
      <c r="L11" s="49">
        <f>Table_Input_Pesticides[[#This Row],[Total applied]]*Table_Input_Pesticides[[#This Row],[Active ingredient 1 amount]]*IF(Table_Input_Pesticides[[#This Row],[Constituent unit (select)]]="fraction of product", 1, 10^-3)</f>
        <v>100</v>
      </c>
      <c r="M11" s="47" t="s">
        <v>665</v>
      </c>
      <c r="N11" s="66">
        <v>100</v>
      </c>
      <c r="O11" s="49">
        <f>Table_Input_Pesticides[[#This Row],[Total applied]]*Table_Input_Pesticides[[#This Row],[Active ingredient 2 amount]]*IF(Table_Input_Pesticides[[#This Row],[Constituent unit (select)]]="fraction of product", 1, 10^-3)</f>
        <v>100</v>
      </c>
      <c r="P11" s="47" t="s">
        <v>668</v>
      </c>
      <c r="Q11" s="66">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Processing inputs'!A1", "Processing inputs")</f>
        <v>Processing inputs</v>
      </c>
      <c r="D12" s="143" t="s">
        <v>412</v>
      </c>
      <c r="E12" s="155">
        <v>10</v>
      </c>
      <c r="F12" s="47" t="s">
        <v>405</v>
      </c>
      <c r="G12" s="66">
        <v>100</v>
      </c>
      <c r="H12" s="49">
        <f>Table_Input_Pesticides[[#This Row],[Amount applied per ha]]*Table_Input_Pesticides[[#This Row],[Application area (ha)]]</f>
        <v>1000</v>
      </c>
      <c r="I12" s="47" t="s">
        <v>404</v>
      </c>
      <c r="J12" s="47" t="s">
        <v>403</v>
      </c>
      <c r="K12" s="66">
        <v>100</v>
      </c>
      <c r="L12" s="49">
        <f>Table_Input_Pesticides[[#This Row],[Total applied]]*Table_Input_Pesticides[[#This Row],[Active ingredient 1 amount]]*IF(Table_Input_Pesticides[[#This Row],[Constituent unit (select)]]="fraction of product", 1, 10^-3)</f>
        <v>100</v>
      </c>
      <c r="M12" s="47" t="s">
        <v>666</v>
      </c>
      <c r="N12" s="66">
        <v>100</v>
      </c>
      <c r="O12" s="49">
        <f>Table_Input_Pesticides[[#This Row],[Total applied]]*Table_Input_Pesticides[[#This Row],[Active ingredient 2 amount]]*IF(Table_Input_Pesticides[[#This Row],[Constituent unit (select)]]="fraction of product", 1, 10^-3)</f>
        <v>100</v>
      </c>
      <c r="P12" s="47" t="s">
        <v>669</v>
      </c>
      <c r="Q12" s="66">
        <v>100</v>
      </c>
      <c r="R12" s="49">
        <f>Table_Input_Pesticides[[#This Row],[Total applied]]*Table_Input_Pesticides[[#This Row],[Active ingredient 3 amount]]*IF(Table_Input_Pesticides[[#This Row],[Constituent unit (select)]]="fraction of product", 1, 10^-3)</f>
        <v>100</v>
      </c>
    </row>
    <row r="13" spans="1:19" x14ac:dyDescent="0.25">
      <c r="A13" s="42" t="str">
        <f>HYPERLINK("#'Input - Crop pasture farm input'!A1", "Crop pasture farm input")</f>
        <v>Crop pasture farm input</v>
      </c>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1:19" x14ac:dyDescent="0.25">
      <c r="A14" s="16" t="str">
        <f>HYPERLINK("#'Input - Hort farm Inputs'!A1", "Hort farm Inputs")</f>
        <v>Hort farm Inputs</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x14ac:dyDescent="0.25">
      <c r="A15" s="16" t="str">
        <f>HYPERLINK("#'Input - Livestock farm Inputs'!A1", "Livestock farm Inputs")</f>
        <v>Livestock farm Inputs</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x14ac:dyDescent="0.25">
      <c r="A16" s="16" t="str">
        <f>HYPERLINK("#'Input - Aquaculture inputs'!A1", "Aquaculture inputs")</f>
        <v>Aquaculture inputs</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x14ac:dyDescent="0.25">
      <c r="A17" s="16" t="str">
        <f>HYPERLINK("#'Input - Beef cattle purchases'!A1", "Beef cattle purchases")</f>
        <v>Beef cattle purchases</v>
      </c>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x14ac:dyDescent="0.25">
      <c r="A18" s="16" t="str">
        <f>HYPERLINK("#'Input - Dairy cattle purchases'!A1", "Dairy cattle purchases")</f>
        <v>Dairy cattle purchases</v>
      </c>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x14ac:dyDescent="0.25">
      <c r="A19" s="16" t="str">
        <f>HYPERLINK("#'Input - Pig purchases'!A1", "Pig purchases")</f>
        <v>Pig purchases</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x14ac:dyDescent="0.25">
      <c r="A20" s="16" t="str">
        <f>HYPERLINK("#'Input - Poultry purchases'!A1", "Poultry purchases")</f>
        <v>Poultry purchases</v>
      </c>
    </row>
    <row r="21" spans="1:18" x14ac:dyDescent="0.25">
      <c r="A21" s="16" t="str">
        <f>HYPERLINK("#'Input - Freight'!A1", "Freight")</f>
        <v>Freight</v>
      </c>
    </row>
    <row r="22" spans="1:18" ht="23.25" x14ac:dyDescent="0.25">
      <c r="A22" s="16" t="str">
        <f>HYPERLINK("#'Input - Solid waste'!A1", "Solid waste")</f>
        <v>Solid waste</v>
      </c>
      <c r="D22" s="9" t="s">
        <v>402</v>
      </c>
      <c r="E22" s="14"/>
      <c r="F22" s="14"/>
    </row>
    <row r="23" spans="1:18" x14ac:dyDescent="0.25">
      <c r="A23" s="16" t="str">
        <f>HYPERLINK("#'Input - Manure sent off-site'!A1", "Manure sent off-site")</f>
        <v>Manure sent off-site</v>
      </c>
      <c r="D23" s="8" t="str">
        <f>'Constants - Scope 3'!E204</f>
        <v>Barley grain (for seed)</v>
      </c>
      <c r="E23" s="66">
        <v>500</v>
      </c>
      <c r="F23" s="65" t="s">
        <v>339</v>
      </c>
    </row>
    <row r="24" spans="1:18" x14ac:dyDescent="0.25">
      <c r="A24" s="16" t="str">
        <f>HYPERLINK("#'Input - Electricity'!A1", "Electricity")</f>
        <v>Electricity</v>
      </c>
      <c r="D24" s="8" t="str">
        <f>'Constants - Scope 3'!E205</f>
        <v>Maize grain (for seed)</v>
      </c>
      <c r="E24" s="66">
        <v>600</v>
      </c>
      <c r="F24" s="65" t="s">
        <v>339</v>
      </c>
    </row>
    <row r="25" spans="1:18" x14ac:dyDescent="0.25">
      <c r="D25" s="8" t="str">
        <f>'Constants - Scope 3'!E207</f>
        <v>Oat grain (for seed)</v>
      </c>
      <c r="E25" s="66">
        <v>700</v>
      </c>
      <c r="F25" s="65" t="s">
        <v>339</v>
      </c>
    </row>
    <row r="26" spans="1:18" x14ac:dyDescent="0.25">
      <c r="D26" s="8" t="str">
        <f>'Constants - Scope 3'!E208</f>
        <v>Sorghum grain (for seed)</v>
      </c>
      <c r="E26" s="66">
        <v>800</v>
      </c>
      <c r="F26" s="65" t="s">
        <v>339</v>
      </c>
    </row>
    <row r="27" spans="1:18" x14ac:dyDescent="0.25">
      <c r="A27" s="21" t="s">
        <v>77</v>
      </c>
      <c r="D27" s="8" t="str">
        <f>'Constants - Scope 3'!E209</f>
        <v>Wheat grain (for seed)</v>
      </c>
      <c r="E27" s="66">
        <v>900</v>
      </c>
      <c r="F27" s="65" t="s">
        <v>339</v>
      </c>
    </row>
    <row r="28" spans="1:18" x14ac:dyDescent="0.25">
      <c r="A28" s="16" t="str">
        <f>HYPERLINK("#'15 Scope 3'!A1", "15 Scope 3")</f>
        <v>15 Scope 3</v>
      </c>
    </row>
    <row r="29" spans="1:18" x14ac:dyDescent="0.25">
      <c r="A29" s="16" t="str">
        <f>HYPERLINK("#'10.1.1-2 Solid waste treatment'!A1", "10.1.1-2 Solid waste treatment")</f>
        <v>10.1.1-2 Solid waste treatment</v>
      </c>
    </row>
    <row r="30" spans="1:18" x14ac:dyDescent="0.25">
      <c r="A30" s="16" t="str">
        <f>HYPERLINK("#'Calcs - Manure sent off-site'!A1", "Calcs - Manure sent off-site")</f>
        <v>Calcs - Manure sent off-site</v>
      </c>
    </row>
    <row r="31" spans="1:18" x14ac:dyDescent="0.25">
      <c r="A31" s="16" t="str">
        <f>HYPERLINK("#'8.1.1.1-2 Transport fuel'!A1", "8.1.1.1-2 Transport fuel")</f>
        <v>8.1.1.1-2 Transport fuel</v>
      </c>
    </row>
    <row r="32" spans="1: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6">
        <v>300</v>
      </c>
      <c r="F5" s="65" t="s">
        <v>339</v>
      </c>
    </row>
    <row r="7" spans="1:11" x14ac:dyDescent="0.25">
      <c r="A7" s="19" t="s">
        <v>67</v>
      </c>
    </row>
    <row r="8" spans="1:11" ht="23.25" x14ac:dyDescent="0.25">
      <c r="A8" s="16" t="str">
        <f>HYPERLINK("#'Input - Site'!A1", "Site")</f>
        <v>Site</v>
      </c>
      <c r="D8" s="9" t="s">
        <v>685</v>
      </c>
      <c r="E8" s="14"/>
      <c r="F8" s="14"/>
    </row>
    <row r="9" spans="1:11" x14ac:dyDescent="0.25">
      <c r="A9" s="16" t="str">
        <f>HYPERLINK("#'Input - Fuel'!A1", "Fuel")</f>
        <v>Fuel</v>
      </c>
      <c r="D9" s="12"/>
      <c r="E9" s="14"/>
      <c r="F9" s="14"/>
    </row>
    <row r="10" spans="1:11" x14ac:dyDescent="0.25">
      <c r="A10" s="16" t="str">
        <f>HYPERLINK("#'Input - Fertiliser'!A1", "Fertiliser")</f>
        <v>Fertiliser</v>
      </c>
      <c r="D10" s="164" t="s">
        <v>686</v>
      </c>
      <c r="E10" s="164" t="s">
        <v>601</v>
      </c>
      <c r="F10" s="164" t="s">
        <v>125</v>
      </c>
    </row>
    <row r="11" spans="1:11" x14ac:dyDescent="0.25">
      <c r="A11" s="16" t="str">
        <f>HYPERLINK("#'Input - Common farm inputs'!A1", "Common farm inputs")</f>
        <v>Common farm inputs</v>
      </c>
      <c r="D11" s="82" t="s">
        <v>688</v>
      </c>
      <c r="E11" s="66">
        <v>10000</v>
      </c>
      <c r="F11" s="47" t="s">
        <v>339</v>
      </c>
    </row>
    <row r="12" spans="1:11" x14ac:dyDescent="0.25">
      <c r="A12" s="16" t="str">
        <f>HYPERLINK("#'Input - Processing inputs'!A1", "Processing inputs")</f>
        <v>Processing inputs</v>
      </c>
      <c r="D12" s="82" t="s">
        <v>689</v>
      </c>
      <c r="E12" s="66">
        <v>100</v>
      </c>
      <c r="F12" s="47" t="s">
        <v>687</v>
      </c>
    </row>
    <row r="13" spans="1:11" x14ac:dyDescent="0.25">
      <c r="A13" s="16" t="str">
        <f>HYPERLINK("#'Input - Crop pasture farm input'!A1", "Crop pasture farm input")</f>
        <v>Crop pasture farm input</v>
      </c>
      <c r="D13" s="82" t="s">
        <v>690</v>
      </c>
      <c r="E13" s="66">
        <v>10000</v>
      </c>
      <c r="F13" s="47" t="s">
        <v>339</v>
      </c>
    </row>
    <row r="14" spans="1:11" x14ac:dyDescent="0.25">
      <c r="A14" s="42" t="str">
        <f>HYPERLINK("#'Input - Hort farm Inputs'!A1", "Hort farm Inputs")</f>
        <v>Hort farm Inputs</v>
      </c>
      <c r="D14" s="82"/>
      <c r="E14" s="66"/>
      <c r="F14" s="47"/>
    </row>
    <row r="15" spans="1:11" x14ac:dyDescent="0.25">
      <c r="A15" s="16" t="str">
        <f>HYPERLINK("#'Input - Livestock farm Inputs'!A1", "Livestock farm Inputs")</f>
        <v>Livestock farm Inputs</v>
      </c>
      <c r="D15" s="82"/>
      <c r="E15" s="66"/>
      <c r="F15" s="47"/>
    </row>
    <row r="16" spans="1:11" x14ac:dyDescent="0.25">
      <c r="A16" s="16" t="str">
        <f>HYPERLINK("#'Input - Aquaculture inputs'!A1", "Aquaculture inputs")</f>
        <v>Aquaculture inputs</v>
      </c>
      <c r="D16" s="82"/>
      <c r="E16" s="66"/>
      <c r="F16" s="47"/>
    </row>
    <row r="17" spans="1:6" x14ac:dyDescent="0.25">
      <c r="A17" s="16" t="str">
        <f>HYPERLINK("#'Input - Beef cattle purchases'!A1", "Beef cattle purchases")</f>
        <v>Beef cattle purchases</v>
      </c>
      <c r="D17" s="82"/>
      <c r="E17" s="66"/>
      <c r="F17" s="47"/>
    </row>
    <row r="18" spans="1:6" x14ac:dyDescent="0.25">
      <c r="A18" s="16" t="str">
        <f>HYPERLINK("#'Input - Dairy cattle purchases'!A1", "Dairy cattle purchases")</f>
        <v>Dairy cattle purchases</v>
      </c>
      <c r="D18" s="82"/>
      <c r="E18" s="66"/>
      <c r="F18" s="47"/>
    </row>
    <row r="19" spans="1:6" x14ac:dyDescent="0.25">
      <c r="A19" s="16" t="str">
        <f>HYPERLINK("#'Input - Pig purchases'!A1", "Pig purchases")</f>
        <v>Pig purchases</v>
      </c>
      <c r="D19" s="82"/>
      <c r="E19" s="66"/>
      <c r="F19" s="47"/>
    </row>
    <row r="20" spans="1:6" x14ac:dyDescent="0.25">
      <c r="A20" s="16" t="str">
        <f>HYPERLINK("#'Input - Poultry purchases'!A1", "Poultry purchases")</f>
        <v>Poultry purchases</v>
      </c>
      <c r="D20" s="82"/>
      <c r="E20" s="66"/>
      <c r="F20" s="47"/>
    </row>
    <row r="21" spans="1:6" x14ac:dyDescent="0.25">
      <c r="A21" s="16" t="str">
        <f>HYPERLINK("#'Input - Freight'!A1", "Freight")</f>
        <v>Freight</v>
      </c>
    </row>
    <row r="22" spans="1:6" x14ac:dyDescent="0.25">
      <c r="A22" s="16" t="str">
        <f>HYPERLINK("#'Input - Solid waste'!A1", "Solid waste")</f>
        <v>Solid waste</v>
      </c>
    </row>
    <row r="23" spans="1:6" x14ac:dyDescent="0.25">
      <c r="A23" s="16" t="str">
        <f>HYPERLINK("#'Input - Manure sent off-site'!A1", "Manure sent off-site")</f>
        <v>Manure sent off-site</v>
      </c>
    </row>
    <row r="24" spans="1:6" x14ac:dyDescent="0.25">
      <c r="A24" s="16" t="str">
        <f>HYPERLINK("#'Input - Electricity'!A1", "Electricity")</f>
        <v>Electricity</v>
      </c>
    </row>
    <row r="27" spans="1:6" x14ac:dyDescent="0.25">
      <c r="A27" s="21" t="s">
        <v>77</v>
      </c>
    </row>
    <row r="28" spans="1:6" x14ac:dyDescent="0.25">
      <c r="A28" s="16" t="str">
        <f>HYPERLINK("#'15 Scope 3'!A1", "15 Scope 3")</f>
        <v>15 Scope 3</v>
      </c>
    </row>
    <row r="29" spans="1:6" x14ac:dyDescent="0.25">
      <c r="A29" s="16" t="str">
        <f>HYPERLINK("#'10.1.1-2 Solid waste treatment'!A1", "10.1.1-2 Solid waste treatment")</f>
        <v>10.1.1-2 Solid waste treatment</v>
      </c>
    </row>
    <row r="30" spans="1:6" x14ac:dyDescent="0.25">
      <c r="A30" s="16" t="str">
        <f>HYPERLINK("#'Calcs - Manure sent off-site'!A1", "Calcs - Manure sent off-site")</f>
        <v>Calcs - Manure sent off-site</v>
      </c>
    </row>
    <row r="31" spans="1:6" x14ac:dyDescent="0.25">
      <c r="A31" s="16" t="str">
        <f>HYPERLINK("#'8.1.1.1-2 Transport fuel'!A1", "8.1.1.1-2 Transport fuel")</f>
        <v>8.1.1.1-2 Transport fuel</v>
      </c>
    </row>
    <row r="32" spans="1:6"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opLeftCell="A3"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353</v>
      </c>
      <c r="E5" s="14"/>
      <c r="F5" s="14"/>
      <c r="G5" s="14"/>
      <c r="H5" s="14"/>
      <c r="I5" s="14"/>
      <c r="J5" s="14"/>
    </row>
    <row r="6" spans="1:18" ht="20.100000000000001" customHeight="1" x14ac:dyDescent="0.25">
      <c r="D6" s="144" t="s">
        <v>283</v>
      </c>
      <c r="E6" s="145"/>
      <c r="F6" s="67"/>
      <c r="G6" s="14"/>
      <c r="H6" s="14"/>
      <c r="I6" s="14"/>
      <c r="J6" s="14"/>
    </row>
    <row r="7" spans="1:18" ht="20.100000000000001" customHeight="1" x14ac:dyDescent="0.25">
      <c r="A7" s="19" t="s">
        <v>67</v>
      </c>
      <c r="D7" s="8" t="str" cm="1">
        <f t="array" ref="D7:D9">Table_SourceData_Scope3_LickBlocks[Product]</f>
        <v>Lick block, dry season mix</v>
      </c>
      <c r="E7" s="66">
        <v>100</v>
      </c>
      <c r="F7" s="65" t="s">
        <v>339</v>
      </c>
      <c r="G7" s="14"/>
      <c r="H7" s="14"/>
      <c r="I7" s="14"/>
      <c r="J7" s="14"/>
    </row>
    <row r="8" spans="1:18" ht="20.100000000000001" customHeight="1" x14ac:dyDescent="0.25">
      <c r="A8" s="16" t="str">
        <f>HYPERLINK("#'Input - Site'!A1", "Site")</f>
        <v>Site</v>
      </c>
      <c r="D8" s="8" t="str">
        <v>Lick block, mineral</v>
      </c>
      <c r="E8" s="66">
        <v>100</v>
      </c>
      <c r="F8" s="65" t="s">
        <v>339</v>
      </c>
      <c r="G8" s="14"/>
      <c r="H8" s="14"/>
      <c r="I8" s="14"/>
      <c r="J8" s="14"/>
    </row>
    <row r="9" spans="1:18" ht="20.100000000000001" customHeight="1" x14ac:dyDescent="0.25">
      <c r="A9" s="16" t="str">
        <f>HYPERLINK("#'Input - Fuel'!A1", "Fuel")</f>
        <v>Fuel</v>
      </c>
      <c r="D9" s="8" t="str">
        <v>Lick block, weaner</v>
      </c>
      <c r="E9" s="66">
        <v>100</v>
      </c>
      <c r="F9" s="65" t="s">
        <v>339</v>
      </c>
      <c r="G9" s="14"/>
      <c r="H9" s="14"/>
      <c r="I9" s="14"/>
      <c r="J9" s="14"/>
    </row>
    <row r="10" spans="1:18" ht="20.100000000000001" customHeight="1" x14ac:dyDescent="0.25">
      <c r="A10" s="16" t="str">
        <f>HYPERLINK("#'Input - Fertiliser'!A1", "Fertiliser")</f>
        <v>Fertiliser</v>
      </c>
      <c r="G10" s="14"/>
      <c r="H10" s="14"/>
      <c r="I10" s="14"/>
      <c r="J10" s="14"/>
    </row>
    <row r="11" spans="1:18" ht="20.100000000000001" customHeight="1" x14ac:dyDescent="0.25">
      <c r="A11" s="16" t="str">
        <f>HYPERLINK("#'Input - Common farm inputs'!A1", "Common farm inputs")</f>
        <v>Common farm inputs</v>
      </c>
      <c r="D11" s="144" t="s">
        <v>388</v>
      </c>
      <c r="E11" s="7"/>
      <c r="F11" s="7"/>
      <c r="G11" s="14"/>
      <c r="H11" s="14"/>
      <c r="I11" s="14"/>
      <c r="J11" s="14"/>
    </row>
    <row r="12" spans="1:18" ht="20.100000000000001" customHeight="1" x14ac:dyDescent="0.25">
      <c r="A12" s="16" t="str">
        <f>HYPERLINK("#'Input - Processing inputs'!A1", "Processing inputs")</f>
        <v>Processing inputs</v>
      </c>
      <c r="D12" s="8" t="str" cm="1">
        <f t="array" ref="D12:D15">Table_SourceData_Scope3_MixedRations[Product]</f>
        <v>Feed for chickens</v>
      </c>
      <c r="E12" s="66">
        <v>100</v>
      </c>
      <c r="F12" s="65" t="s">
        <v>339</v>
      </c>
      <c r="G12" s="14"/>
      <c r="H12" s="14"/>
      <c r="I12" s="14"/>
      <c r="J12" s="14"/>
    </row>
    <row r="13" spans="1:18" ht="20.100000000000001" customHeight="1" x14ac:dyDescent="0.25">
      <c r="A13" s="16" t="str">
        <f>HYPERLINK("#'Input - Crop pasture farm input'!A1", "Crop pasture farm input")</f>
        <v>Crop pasture farm input</v>
      </c>
      <c r="D13" s="8" t="str">
        <v>Feed for dairy calves</v>
      </c>
      <c r="E13" s="66">
        <v>100</v>
      </c>
      <c r="F13" s="65" t="s">
        <v>339</v>
      </c>
      <c r="G13" s="14"/>
      <c r="H13" s="14"/>
      <c r="I13" s="14"/>
      <c r="J13" s="14"/>
    </row>
    <row r="14" spans="1:18" ht="20.100000000000001" customHeight="1" x14ac:dyDescent="0.25">
      <c r="A14" s="16" t="str">
        <f>HYPERLINK("#'Input - Hort farm Inputs'!A1", "Hort farm Inputs")</f>
        <v>Hort farm Inputs</v>
      </c>
      <c r="D14" s="8" t="str">
        <v>Feed for dairy cows</v>
      </c>
      <c r="E14" s="66">
        <v>100</v>
      </c>
      <c r="F14" s="65" t="s">
        <v>339</v>
      </c>
      <c r="G14" s="14"/>
      <c r="H14" s="14"/>
      <c r="I14" s="14"/>
      <c r="J14" s="14"/>
    </row>
    <row r="15" spans="1:18" ht="20.100000000000001" customHeight="1" x14ac:dyDescent="0.25">
      <c r="A15" s="42" t="str">
        <f>HYPERLINK("#'Input - Livestock farm Inputs'!A1", "Livestock farm Inputs")</f>
        <v>Livestock farm Inputs</v>
      </c>
      <c r="D15" s="8" t="str">
        <v>Feed for pigs</v>
      </c>
      <c r="E15" s="66">
        <v>100</v>
      </c>
      <c r="F15" s="65" t="s">
        <v>339</v>
      </c>
      <c r="G15" s="14"/>
      <c r="H15" s="14"/>
      <c r="I15" s="14"/>
      <c r="J15" s="14"/>
    </row>
    <row r="16" spans="1:18" ht="20.100000000000001" customHeight="1" x14ac:dyDescent="0.25">
      <c r="A16" s="16" t="str">
        <f>HYPERLINK("#'Input - Aquaculture inputs'!A1", "Aquaculture inputs")</f>
        <v>Aquaculture inputs</v>
      </c>
      <c r="D16" s="7"/>
      <c r="E16" s="7"/>
      <c r="F16" s="7"/>
      <c r="G16" s="14"/>
      <c r="H16" s="14"/>
      <c r="I16" s="14"/>
      <c r="J16" s="14"/>
    </row>
    <row r="17" spans="1:17" ht="20.100000000000001" customHeight="1" x14ac:dyDescent="0.25">
      <c r="A17" s="16" t="str">
        <f>HYPERLINK("#'Input - Beef cattle purchases'!A1", "Beef cattle purchases")</f>
        <v>Beef cattle purchases</v>
      </c>
      <c r="D17" s="144" t="s">
        <v>850</v>
      </c>
      <c r="E17" s="7"/>
      <c r="F17" s="7"/>
      <c r="G17" s="14"/>
      <c r="H17" s="14" t="s">
        <v>849</v>
      </c>
      <c r="I17" s="14"/>
      <c r="J17" s="14"/>
    </row>
    <row r="18" spans="1:17" ht="20.100000000000001" customHeight="1" x14ac:dyDescent="0.25">
      <c r="A18" s="16" t="str">
        <f>HYPERLINK("#'Input - Dairy cattle purchases'!A1", "Dairy cattle purchases")</f>
        <v>Dairy cattle purchases</v>
      </c>
      <c r="D18" s="48" t="s">
        <v>285</v>
      </c>
      <c r="E18" s="48" t="s">
        <v>286</v>
      </c>
      <c r="F18" s="48" t="s">
        <v>201</v>
      </c>
      <c r="G18" s="48" t="s">
        <v>379</v>
      </c>
      <c r="H18" s="48" t="s">
        <v>171</v>
      </c>
      <c r="I18" s="48" t="s">
        <v>287</v>
      </c>
      <c r="J18" s="48" t="s">
        <v>384</v>
      </c>
      <c r="K18" s="48" t="s">
        <v>173</v>
      </c>
      <c r="L18" s="48" t="s">
        <v>288</v>
      </c>
      <c r="M18" s="48" t="s">
        <v>385</v>
      </c>
      <c r="N18" s="48" t="s">
        <v>175</v>
      </c>
      <c r="O18" s="48" t="s">
        <v>289</v>
      </c>
      <c r="P18" s="48" t="s">
        <v>386</v>
      </c>
      <c r="Q18" s="48" t="s">
        <v>177</v>
      </c>
    </row>
    <row r="19" spans="1:17" ht="20.100000000000001" customHeight="1" x14ac:dyDescent="0.25">
      <c r="A19" s="16" t="str">
        <f>HYPERLINK("#'Input - Pig purchases'!A1", "Pig purchases")</f>
        <v>Pig purchases</v>
      </c>
      <c r="D19" s="15"/>
      <c r="E19" s="146">
        <v>1200</v>
      </c>
      <c r="F19" s="47" t="s">
        <v>829</v>
      </c>
      <c r="G19" s="47" t="s">
        <v>381</v>
      </c>
      <c r="H19" s="50">
        <v>0.35</v>
      </c>
      <c r="I19" s="47" t="s">
        <v>376</v>
      </c>
      <c r="J19" s="47" t="s">
        <v>381</v>
      </c>
      <c r="K19" s="50">
        <v>0.22</v>
      </c>
      <c r="L19" s="47" t="s">
        <v>290</v>
      </c>
      <c r="M19" s="47" t="s">
        <v>324</v>
      </c>
      <c r="N19" s="50">
        <v>0.12</v>
      </c>
      <c r="O19" s="47" t="s">
        <v>387</v>
      </c>
      <c r="P19" s="47" t="s">
        <v>326</v>
      </c>
      <c r="Q19" s="50">
        <v>0.05</v>
      </c>
    </row>
    <row r="20" spans="1:17" ht="20.100000000000001" customHeight="1" x14ac:dyDescent="0.25">
      <c r="A20" s="16" t="str">
        <f>HYPERLINK("#'Input - Poultry purchases'!A1", "Poultry purchases")</f>
        <v>Poultry purchases</v>
      </c>
      <c r="D20" s="15"/>
      <c r="E20" s="146">
        <v>3456</v>
      </c>
      <c r="F20" s="47" t="s">
        <v>382</v>
      </c>
      <c r="G20" s="47" t="s">
        <v>332</v>
      </c>
      <c r="H20" s="50">
        <v>0.2</v>
      </c>
      <c r="I20" s="47" t="s">
        <v>382</v>
      </c>
      <c r="J20" s="47" t="s">
        <v>325</v>
      </c>
      <c r="K20" s="50">
        <v>0.2</v>
      </c>
      <c r="L20" s="47"/>
      <c r="M20" s="47"/>
      <c r="N20" s="50"/>
      <c r="O20" s="47"/>
      <c r="P20" s="47"/>
      <c r="Q20" s="50"/>
    </row>
    <row r="21" spans="1:17" ht="20.100000000000001" customHeight="1" x14ac:dyDescent="0.25">
      <c r="A21" s="16" t="str">
        <f>HYPERLINK("#'Input - Freight'!A1", "Freight")</f>
        <v>Freight</v>
      </c>
      <c r="D21" s="15" t="s">
        <v>291</v>
      </c>
      <c r="E21" s="146">
        <v>300</v>
      </c>
      <c r="F21" s="47" t="s">
        <v>380</v>
      </c>
      <c r="G21" s="47" t="s">
        <v>331</v>
      </c>
      <c r="H21" s="50">
        <v>0.8</v>
      </c>
      <c r="I21" s="47" t="s">
        <v>377</v>
      </c>
      <c r="J21" s="47" t="s">
        <v>383</v>
      </c>
      <c r="K21" s="50">
        <v>0.2</v>
      </c>
      <c r="L21" s="47"/>
      <c r="M21" s="47"/>
      <c r="N21" s="50"/>
      <c r="O21" s="47"/>
      <c r="P21" s="47"/>
      <c r="Q21" s="50"/>
    </row>
    <row r="22" spans="1:17" ht="20.100000000000001" customHeight="1" x14ac:dyDescent="0.25">
      <c r="A22" s="16" t="str">
        <f>HYPERLINK("#'Input - Solid waste'!A1", "Solid waste")</f>
        <v>Solid waste</v>
      </c>
      <c r="D22" s="15"/>
      <c r="E22" s="146">
        <v>500</v>
      </c>
      <c r="F22" s="47" t="s">
        <v>389</v>
      </c>
      <c r="G22" s="47" t="s">
        <v>331</v>
      </c>
      <c r="H22" s="50">
        <v>1</v>
      </c>
      <c r="I22" s="47"/>
      <c r="J22" s="47"/>
      <c r="K22" s="50"/>
      <c r="L22" s="47"/>
      <c r="M22" s="47"/>
      <c r="N22" s="50"/>
      <c r="O22" s="47"/>
      <c r="P22" s="47"/>
      <c r="Q22" s="50"/>
    </row>
    <row r="23" spans="1:17" ht="20.100000000000001" customHeight="1" x14ac:dyDescent="0.25">
      <c r="A23" s="16" t="str">
        <f>HYPERLINK("#'Input - Manure sent off-site'!A1", "Manure sent off-site")</f>
        <v>Manure sent off-site</v>
      </c>
      <c r="D23" s="15"/>
      <c r="E23" s="146"/>
      <c r="F23" s="47"/>
      <c r="G23" s="47"/>
      <c r="H23" s="50"/>
      <c r="I23" s="47"/>
      <c r="J23" s="47"/>
      <c r="K23" s="50"/>
      <c r="L23" s="47"/>
      <c r="M23" s="47"/>
      <c r="N23" s="50"/>
      <c r="O23" s="47"/>
      <c r="P23" s="47"/>
      <c r="Q23" s="50"/>
    </row>
    <row r="24" spans="1:17" ht="20.100000000000001" customHeight="1" x14ac:dyDescent="0.25">
      <c r="A24" s="16" t="str">
        <f>HYPERLINK("#'Input - Electricity'!A1", "Electricity")</f>
        <v>Electricity</v>
      </c>
      <c r="D24" s="15"/>
      <c r="E24" s="146"/>
      <c r="F24" s="47"/>
      <c r="G24" s="47"/>
      <c r="H24" s="50"/>
      <c r="I24" s="47"/>
      <c r="J24" s="47"/>
      <c r="K24" s="50"/>
      <c r="L24" s="47"/>
      <c r="M24" s="47"/>
      <c r="N24" s="50"/>
      <c r="O24" s="47"/>
      <c r="P24" s="47"/>
      <c r="Q24" s="50"/>
    </row>
    <row r="25" spans="1:17" ht="20.100000000000001" customHeight="1" x14ac:dyDescent="0.25">
      <c r="D25" s="15"/>
      <c r="E25" s="146"/>
      <c r="F25" s="47"/>
      <c r="G25" s="47"/>
      <c r="H25" s="50"/>
      <c r="I25" s="47"/>
      <c r="J25" s="47"/>
      <c r="K25" s="50"/>
      <c r="L25" s="47"/>
      <c r="M25" s="47"/>
      <c r="N25" s="50"/>
      <c r="O25" s="47"/>
      <c r="P25" s="47"/>
      <c r="Q25" s="50"/>
    </row>
    <row r="26" spans="1:17" ht="20.100000000000001" customHeight="1" x14ac:dyDescent="0.25">
      <c r="D26" s="15"/>
      <c r="E26" s="146"/>
      <c r="F26" s="47"/>
      <c r="G26" s="47"/>
      <c r="H26" s="50"/>
      <c r="I26" s="47"/>
      <c r="J26" s="47"/>
      <c r="K26" s="50"/>
      <c r="L26" s="47"/>
      <c r="M26" s="47"/>
      <c r="N26" s="50"/>
      <c r="O26" s="47"/>
      <c r="P26" s="47"/>
      <c r="Q26" s="50"/>
    </row>
    <row r="27" spans="1:17" ht="20.100000000000001" customHeight="1" x14ac:dyDescent="0.25">
      <c r="A27" s="21" t="s">
        <v>77</v>
      </c>
      <c r="D27" s="15"/>
      <c r="E27" s="146"/>
      <c r="F27" s="47"/>
      <c r="G27" s="47"/>
      <c r="H27" s="50"/>
      <c r="I27" s="47"/>
      <c r="J27" s="47"/>
      <c r="K27" s="50"/>
      <c r="L27" s="47"/>
      <c r="M27" s="47"/>
      <c r="N27" s="50"/>
      <c r="O27" s="47"/>
      <c r="P27" s="47"/>
      <c r="Q27" s="50"/>
    </row>
    <row r="28" spans="1:17" ht="20.100000000000001" customHeight="1" x14ac:dyDescent="0.25">
      <c r="A28" s="16" t="str">
        <f>HYPERLINK("#'15 Scope 3'!A1", "15 Scope 3")</f>
        <v>15 Scope 3</v>
      </c>
      <c r="D28" s="15"/>
      <c r="E28" s="146"/>
      <c r="F28" s="47"/>
      <c r="G28" s="47"/>
      <c r="H28" s="50"/>
      <c r="I28" s="47"/>
      <c r="J28" s="47"/>
      <c r="K28" s="50"/>
      <c r="L28" s="47"/>
      <c r="M28" s="47"/>
      <c r="N28" s="50"/>
      <c r="O28" s="47"/>
      <c r="P28" s="47"/>
      <c r="Q28" s="50"/>
    </row>
    <row r="29" spans="1:17" ht="20.100000000000001" customHeight="1" x14ac:dyDescent="0.25">
      <c r="A29" s="16" t="str">
        <f>HYPERLINK("#'10.1.1-2 Solid waste treatment'!A1", "10.1.1-2 Solid waste treatment")</f>
        <v>10.1.1-2 Solid waste treatment</v>
      </c>
    </row>
    <row r="30" spans="1:17" ht="20.100000000000001" customHeight="1" x14ac:dyDescent="0.25">
      <c r="A30" s="16" t="str">
        <f>HYPERLINK("#'Calcs - Manure sent off-site'!A1", "Calcs - Manure sent off-site")</f>
        <v>Calcs - Manure sent off-site</v>
      </c>
    </row>
    <row r="31" spans="1:17" ht="20.100000000000001" customHeight="1" x14ac:dyDescent="0.25">
      <c r="A31" s="16" t="str">
        <f>HYPERLINK("#'8.1.1.1-2 Transport fuel'!A1", "8.1.1.1-2 Transport fuel")</f>
        <v>8.1.1.1-2 Transport fuel</v>
      </c>
      <c r="D31" s="144" t="s">
        <v>814</v>
      </c>
    </row>
    <row r="32" spans="1:17" ht="20.100000000000001" customHeight="1" x14ac:dyDescent="0.25">
      <c r="A32" s="16" t="str">
        <f>HYPERLINK("#'8.2.1.1-2 Stationary fuel'!A1", "8.2.1.1-2 Stationary fuel")</f>
        <v>8.2.1.1-2 Stationary fuel</v>
      </c>
      <c r="D32" s="46" t="s">
        <v>167</v>
      </c>
      <c r="E32" s="46" t="s">
        <v>333</v>
      </c>
      <c r="F32" s="46" t="s">
        <v>364</v>
      </c>
    </row>
    <row r="33" spans="1:6" ht="20.100000000000001" customHeight="1" x14ac:dyDescent="0.25">
      <c r="D33" s="82" t="s">
        <v>368</v>
      </c>
      <c r="E33" s="72" t="s">
        <v>360</v>
      </c>
      <c r="F33" s="66">
        <v>100</v>
      </c>
    </row>
    <row r="34" spans="1:6" ht="20.100000000000001" customHeight="1" x14ac:dyDescent="0.25">
      <c r="D34" s="82" t="s">
        <v>369</v>
      </c>
      <c r="E34" s="163" t="s">
        <v>361</v>
      </c>
      <c r="F34" s="150">
        <v>100</v>
      </c>
    </row>
    <row r="35" spans="1:6" ht="20.100000000000001" customHeight="1" x14ac:dyDescent="0.25">
      <c r="A35" s="222" t="s">
        <v>78</v>
      </c>
      <c r="D35" s="82" t="s">
        <v>370</v>
      </c>
      <c r="E35" s="163" t="s">
        <v>362</v>
      </c>
      <c r="F35" s="150">
        <v>100</v>
      </c>
    </row>
    <row r="36" spans="1:6" ht="20.100000000000001" customHeight="1" x14ac:dyDescent="0.25">
      <c r="A36" s="16" t="str">
        <f>HYPERLINK("#'Constants - Scope 3'!A1", "Constants - Scope 3")</f>
        <v>Constants - Scope 3</v>
      </c>
      <c r="D36" s="82" t="s">
        <v>371</v>
      </c>
      <c r="E36" s="163" t="s">
        <v>363</v>
      </c>
      <c r="F36" s="150">
        <v>100</v>
      </c>
    </row>
    <row r="37" spans="1:6" ht="20.100000000000001" customHeight="1" x14ac:dyDescent="0.25">
      <c r="A37" s="16" t="str">
        <f>HYPERLINK("#'Constants - Solid Waste'!A1", "Constants - Solid Waste")</f>
        <v>Constants - Solid Waste</v>
      </c>
      <c r="D37" s="82" t="s">
        <v>368</v>
      </c>
      <c r="E37" s="163" t="s">
        <v>360</v>
      </c>
      <c r="F37" s="150">
        <v>100</v>
      </c>
    </row>
    <row r="38" spans="1:6" ht="20.100000000000001" customHeight="1" x14ac:dyDescent="0.25">
      <c r="A38" s="16" t="str">
        <f>HYPERLINK("#'Constants - Fuel'!A1", "Constants - Fuel")</f>
        <v>Constants - Fuel</v>
      </c>
      <c r="D38" s="82" t="s">
        <v>369</v>
      </c>
      <c r="E38" s="163" t="s">
        <v>361</v>
      </c>
      <c r="F38" s="150">
        <v>100</v>
      </c>
    </row>
    <row r="39" spans="1:6" ht="20.100000000000001" customHeight="1" x14ac:dyDescent="0.25">
      <c r="A39" s="16" t="str">
        <f>HYPERLINK("#'Constants - Poultry'!A1", "Constants - Poultry")</f>
        <v>Constants - Poultry</v>
      </c>
      <c r="D39" s="82"/>
      <c r="E39" s="72"/>
      <c r="F39" s="66"/>
    </row>
    <row r="40" spans="1:6" ht="20.100000000000001" customHeight="1" x14ac:dyDescent="0.25">
      <c r="A40" s="16" t="str">
        <f>HYPERLINK("#'Constants - Swine'!A1", "Constants - Swine")</f>
        <v>Constants - Swine</v>
      </c>
      <c r="D40" s="82"/>
      <c r="E40" s="72"/>
      <c r="F40" s="66"/>
    </row>
    <row r="41" spans="1:6" ht="20.100000000000001" customHeight="1" x14ac:dyDescent="0.25">
      <c r="A41" s="16" t="str">
        <f>HYPERLINK("#'Constants - Dairy'!A1", "Constants - Dairy")</f>
        <v>Constants - Dairy</v>
      </c>
      <c r="D41" s="82"/>
      <c r="E41" s="72"/>
      <c r="F41" s="66"/>
    </row>
    <row r="42" spans="1:6" ht="20.100000000000001" customHeight="1" x14ac:dyDescent="0.25">
      <c r="A42" s="16" t="str">
        <f>HYPERLINK("#'Constants - Pasture Beef'!A1", "Constants - Pasture Beef")</f>
        <v>Constants - Pasture Beef</v>
      </c>
      <c r="D42" s="82"/>
      <c r="E42" s="72"/>
      <c r="F42" s="66"/>
    </row>
    <row r="43" spans="1:6" ht="20.100000000000001" customHeight="1" x14ac:dyDescent="0.25">
      <c r="A43" s="16" t="str">
        <f>HYPERLINK("#'Constants - Common Livestock'!A1", "Constants - Common Livestock")</f>
        <v>Constants - Common Livestock</v>
      </c>
    </row>
    <row r="44" spans="1:6" ht="20.100000000000001" customHeight="1" x14ac:dyDescent="0.25">
      <c r="A44" s="16" t="str">
        <f>HYPERLINK("#'Constants - Fertiliser'!A1", "Constants - Fertiliser")</f>
        <v>Constants - Fertiliser</v>
      </c>
    </row>
    <row r="45" spans="1:6" ht="20.100000000000001" customHeight="1" x14ac:dyDescent="0.25">
      <c r="A45" s="16" t="str">
        <f>HYPERLINK("#'Constants - Electricity'!A1", "Constants - Electricity")</f>
        <v>Constants - Electricity</v>
      </c>
    </row>
    <row r="46" spans="1:6" ht="20.100000000000001" customHeight="1" x14ac:dyDescent="0.25">
      <c r="A46" s="16" t="str">
        <f>HYPERLINK("#'Constants - Common'!A1", "Constants - Common")</f>
        <v>Constants - Common</v>
      </c>
      <c r="D46" s="9" t="s">
        <v>408</v>
      </c>
      <c r="E46" s="14"/>
      <c r="F46" s="14"/>
    </row>
    <row r="47" spans="1:6" ht="20.100000000000001" customHeight="1" x14ac:dyDescent="0.25">
      <c r="D47" s="8" t="str">
        <f>'Constants - Scope 3'!E202</f>
        <v>Animal ear tags (large)</v>
      </c>
      <c r="E47" s="66">
        <v>100</v>
      </c>
      <c r="F47" s="65" t="s">
        <v>395</v>
      </c>
    </row>
    <row r="48" spans="1:6" ht="20.100000000000001" customHeight="1" x14ac:dyDescent="0.25">
      <c r="D48" s="8" t="str">
        <f>'Constants - Scope 3'!E203</f>
        <v>Animal ear tags (small)</v>
      </c>
      <c r="E48" s="66">
        <v>200</v>
      </c>
      <c r="F48" s="65" t="s">
        <v>395</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A46"/>
  <sheetViews>
    <sheetView workbookViewId="0" zoomScale="100" zoomScaleNormal="100">
      <selection activeCell="A46" sqref="A46"/>
    </sheetView>
  </sheetViews>
  <sheetFormatPr defaultRowHeight="15.75" x14ac:dyDescent="0.25"/>
  <sheetData>
    <row r="1" spans="1:1" ht="25.5" x14ac:dyDescent="0.35">
      <c r="A1" s="37" t="e" vm="1">
        <v>#VALUE!</v>
      </c>
    </row>
    <row r="3" spans="1:1" x14ac:dyDescent="0.25">
      <c r="A3" s="16" t="str">
        <f>HYPERLINK("#'Overview'!A1", "Overview")</f>
        <v>Overview</v>
      </c>
    </row>
    <row r="4" spans="1:1" x14ac:dyDescent="0.25">
      <c r="A4" s="16" t="str">
        <f>HYPERLINK("#'Results'!A1", "Results")</f>
        <v>Results</v>
      </c>
    </row>
    <row r="7" spans="1:1" x14ac:dyDescent="0.25">
      <c r="A7" s="19" t="s">
        <v>67</v>
      </c>
    </row>
    <row r="8" spans="1:1" x14ac:dyDescent="0.25">
      <c r="A8" s="16" t="str">
        <f>HYPERLINK("#'Input - Site'!A1", "Site")</f>
        <v>Site</v>
      </c>
    </row>
    <row r="9" spans="1:1" x14ac:dyDescent="0.25">
      <c r="A9" s="16" t="str">
        <f>HYPERLINK("#'Input - Fuel'!A1", "Fuel")</f>
        <v>Fuel</v>
      </c>
    </row>
    <row r="10" spans="1:1" x14ac:dyDescent="0.25">
      <c r="A10" s="16" t="str">
        <f>HYPERLINK("#'Input - Fertiliser'!A1", "Fertiliser")</f>
        <v>Fertiliser</v>
      </c>
    </row>
    <row r="11" spans="1:1" x14ac:dyDescent="0.25">
      <c r="A11" s="16" t="str">
        <f>HYPERLINK("#'Input - Common farm inputs'!A1", "Common farm inputs")</f>
        <v>Common farm inputs</v>
      </c>
    </row>
    <row r="12" spans="1:1" x14ac:dyDescent="0.25">
      <c r="A12" s="16" t="str">
        <f>HYPERLINK("#'Input - Processing inputs'!A1", "Processing inputs")</f>
        <v>Processing inputs</v>
      </c>
    </row>
    <row r="13" spans="1:1" x14ac:dyDescent="0.25">
      <c r="A13" s="16" t="str">
        <f>HYPERLINK("#'Input - Crop pasture farm input'!A1", "Crop pasture farm input")</f>
        <v>Crop pasture farm input</v>
      </c>
    </row>
    <row r="14" spans="1:1" x14ac:dyDescent="0.25">
      <c r="A14" s="16" t="str">
        <f>HYPERLINK("#'Input - Hort farm Inputs'!A1", "Hort farm Inputs")</f>
        <v>Hort farm Inputs</v>
      </c>
    </row>
    <row r="15" spans="1:1" x14ac:dyDescent="0.25">
      <c r="A15" s="16" t="str">
        <f>HYPERLINK("#'Input - Livestock farm Inputs'!A1", "Livestock farm Inputs")</f>
        <v>Livestock farm Inputs</v>
      </c>
    </row>
    <row r="16" spans="1:1" x14ac:dyDescent="0.25">
      <c r="A16" s="42"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845</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846</v>
      </c>
      <c r="E5" s="14"/>
      <c r="F5" s="14"/>
      <c r="G5" s="14"/>
      <c r="H5" s="14"/>
      <c r="I5" s="14"/>
      <c r="J5" s="14"/>
    </row>
    <row r="6" spans="1:12" x14ac:dyDescent="0.25">
      <c r="D6" s="10" t="s">
        <v>347</v>
      </c>
      <c r="E6" s="10" t="s">
        <v>419</v>
      </c>
      <c r="F6" s="10" t="s">
        <v>312</v>
      </c>
      <c r="G6" s="10" t="s">
        <v>416</v>
      </c>
      <c r="H6" s="10" t="s">
        <v>315</v>
      </c>
      <c r="I6" s="10" t="s">
        <v>313</v>
      </c>
      <c r="J6" s="162" t="s">
        <v>417</v>
      </c>
      <c r="K6" s="162" t="s">
        <v>418</v>
      </c>
    </row>
    <row r="7" spans="1:12" x14ac:dyDescent="0.25">
      <c r="A7" s="19" t="s">
        <v>67</v>
      </c>
      <c r="D7" s="82" t="s">
        <v>506</v>
      </c>
      <c r="E7" s="158">
        <v>45547</v>
      </c>
      <c r="F7" s="47" t="s">
        <v>477</v>
      </c>
      <c r="G7" s="72" t="s">
        <v>323</v>
      </c>
      <c r="H7" s="47" t="s">
        <v>425</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478</v>
      </c>
      <c r="G8" s="72" t="s">
        <v>322</v>
      </c>
      <c r="H8" s="47" t="s">
        <v>424</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Common farm inputs'!A1", "Common farm inputs")</f>
        <v>Common 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16" t="str">
        <f>HYPERLINK("#'Input - Processing inputs'!A1", "Processing inputs")</f>
        <v>Processing inputs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Crop pasture farm input'!A1", "Crop pasture farm input")</f>
        <v>Crop pasture farm input</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Hort farm Inputs'!A1", "Hort farm Inputs")</f>
        <v>Hort farm Inputs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Livestock farm Inputs'!A1", "Livestock farm Inputs")</f>
        <v>Livestock farm Inputs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Aquaculture inputs'!A1", "Aquaculture inputs")</f>
        <v>Aquaculture inputs</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42" t="str">
        <f>HYPERLINK("#'Input - Beef cattle purchases'!A1", "Beef cattle purchases")</f>
        <v>Beef cattle purchases</v>
      </c>
    </row>
    <row r="18" spans="1:10" x14ac:dyDescent="0.25">
      <c r="A18" s="16" t="str">
        <f>HYPERLINK("#'Input - Dairy cattle purchases'!A1", "Dairy cattle purchases")</f>
        <v>Dairy cattle purchases</v>
      </c>
      <c r="D18" s="14"/>
      <c r="E18" s="14"/>
      <c r="F18" s="14"/>
      <c r="G18" s="14"/>
      <c r="H18" s="14"/>
      <c r="I18" s="14"/>
      <c r="J18" s="14"/>
    </row>
    <row r="19" spans="1:10" x14ac:dyDescent="0.25">
      <c r="A19" s="16" t="str">
        <f>HYPERLINK("#'Input - Pig purchases'!A1", "Pig purchases")</f>
        <v>Pig purchases</v>
      </c>
      <c r="J19" s="14"/>
    </row>
    <row r="20" spans="1:10" x14ac:dyDescent="0.25">
      <c r="A20" s="16" t="str">
        <f>HYPERLINK("#'Input - Poultry purchases'!A1", "Poultry purchases")</f>
        <v>Poultry purchases</v>
      </c>
      <c r="J20" s="14"/>
    </row>
    <row r="21" spans="1:10" x14ac:dyDescent="0.25">
      <c r="A21" s="16" t="str">
        <f>HYPERLINK("#'Input - Freight'!A1", "Freight")</f>
        <v>Freight</v>
      </c>
      <c r="J21" s="14"/>
    </row>
    <row r="22" spans="1:10" x14ac:dyDescent="0.25">
      <c r="A22" s="16" t="str">
        <f>HYPERLINK("#'Input - Solid waste'!A1", "Solid waste")</f>
        <v>Solid waste</v>
      </c>
      <c r="J22" s="14"/>
    </row>
    <row r="23" spans="1:10" x14ac:dyDescent="0.25">
      <c r="A23" s="16" t="str">
        <f>HYPERLINK("#'Input - Manure sent off-site'!A1", "Manure sent off-site")</f>
        <v>Manure sent off-site</v>
      </c>
      <c r="J23" s="14"/>
    </row>
    <row r="24" spans="1:10" x14ac:dyDescent="0.25">
      <c r="A24" s="16" t="str">
        <f>HYPERLINK("#'Input - Electricity'!A1", "Electricity")</f>
        <v>Electricity</v>
      </c>
      <c r="J24" s="14"/>
    </row>
    <row r="25" spans="1:10" x14ac:dyDescent="0.25">
      <c r="J25" s="14"/>
    </row>
    <row r="26" spans="1:10" x14ac:dyDescent="0.25">
      <c r="J26" s="14"/>
    </row>
    <row r="27" spans="1:10" x14ac:dyDescent="0.25">
      <c r="A27" s="21" t="s">
        <v>77</v>
      </c>
      <c r="J27" s="14"/>
    </row>
    <row r="28" spans="1:10" x14ac:dyDescent="0.25">
      <c r="A28" s="16" t="str">
        <f>HYPERLINK("#'15 Scope 3'!A1", "15 Scope 3")</f>
        <v>15 Scope 3</v>
      </c>
      <c r="J28" s="14"/>
    </row>
    <row r="29" spans="1:10" x14ac:dyDescent="0.25">
      <c r="A29" s="16" t="str">
        <f>HYPERLINK("#'10.1.1-2 Solid waste treatment'!A1", "10.1.1-2 Solid waste treatment")</f>
        <v>10.1.1-2 Solid waste treatment</v>
      </c>
      <c r="J29" s="14"/>
    </row>
    <row r="30" spans="1:10" x14ac:dyDescent="0.25">
      <c r="A30" s="16" t="str">
        <f>HYPERLINK("#'Calcs - Manure sent off-site'!A1", "Calcs - Manure sent off-site")</f>
        <v>Calcs - Manure sent off-site</v>
      </c>
      <c r="J30" s="14"/>
    </row>
    <row r="31" spans="1:10" x14ac:dyDescent="0.25">
      <c r="A31" s="16" t="str">
        <f>HYPERLINK("#'8.1.1.1-2 Transport fuel'!A1", "8.1.1.1-2 Transport fuel")</f>
        <v>8.1.1.1-2 Transport fuel</v>
      </c>
      <c r="D31" s="14"/>
      <c r="E31" s="14"/>
      <c r="F31" s="14"/>
      <c r="G31" s="14"/>
      <c r="H31" s="14"/>
      <c r="I31" s="14"/>
      <c r="J31" s="14"/>
    </row>
    <row r="32" spans="1:10" x14ac:dyDescent="0.25">
      <c r="A32" s="16" t="str">
        <f>HYPERLINK("#'8.2.1.1-2 Stationary fuel'!A1", "8.2.1.1-2 Stationary fuel")</f>
        <v>8.2.1.1-2 Stationary fuel</v>
      </c>
      <c r="I32" s="14"/>
      <c r="J32" s="14"/>
    </row>
    <row r="33" spans="1:10" x14ac:dyDescent="0.25">
      <c r="I33" s="14"/>
      <c r="J33" s="14"/>
    </row>
    <row r="34" spans="1:10" x14ac:dyDescent="0.25">
      <c r="I34" s="14"/>
      <c r="J34" s="14"/>
    </row>
    <row r="35" spans="1:10" x14ac:dyDescent="0.25">
      <c r="A35" s="222" t="s">
        <v>78</v>
      </c>
      <c r="I35" s="14"/>
      <c r="J35" s="14"/>
    </row>
    <row r="36" spans="1:10" x14ac:dyDescent="0.25">
      <c r="A36" s="16" t="str">
        <f>HYPERLINK("#'Constants - Scope 3'!A1", "Constants - Scope 3")</f>
        <v>Constants - Scope 3</v>
      </c>
      <c r="I36" s="14"/>
      <c r="J36" s="14"/>
    </row>
    <row r="37" spans="1:10" x14ac:dyDescent="0.25">
      <c r="A37" s="16" t="str">
        <f>HYPERLINK("#'Constants - Solid Waste'!A1", "Constants - Solid Waste")</f>
        <v>Constants - Solid Waste</v>
      </c>
      <c r="I37" s="14"/>
      <c r="J37" s="14"/>
    </row>
    <row r="38" spans="1:10" x14ac:dyDescent="0.25">
      <c r="A38" s="16" t="str">
        <f>HYPERLINK("#'Constants - Fuel'!A1", "Constants - Fuel")</f>
        <v>Constants - Fuel</v>
      </c>
      <c r="I38" s="14"/>
      <c r="J38" s="14"/>
    </row>
    <row r="39" spans="1:10" x14ac:dyDescent="0.25">
      <c r="A39" s="16" t="str">
        <f>HYPERLINK("#'Constants - Poultry'!A1", "Constants - Poultry")</f>
        <v>Constants - Poultry</v>
      </c>
      <c r="I39" s="14"/>
      <c r="J39" s="14"/>
    </row>
    <row r="40" spans="1:10" x14ac:dyDescent="0.25">
      <c r="A40" s="16" t="str">
        <f>HYPERLINK("#'Constants - Swine'!A1", "Constants - Swine")</f>
        <v>Constants - Swine</v>
      </c>
      <c r="I40" s="14"/>
      <c r="J40" s="14"/>
    </row>
    <row r="41" spans="1:10" x14ac:dyDescent="0.25">
      <c r="A41" s="16" t="str">
        <f>HYPERLINK("#'Constants - Dairy'!A1", "Constants - Dairy")</f>
        <v>Constants - Dairy</v>
      </c>
      <c r="I41" s="14"/>
      <c r="J41" s="14"/>
    </row>
    <row r="42" spans="1:10" x14ac:dyDescent="0.25">
      <c r="A42" s="16" t="str">
        <f>HYPERLINK("#'Constants - Pasture Beef'!A1", "Constants - Pasture Beef")</f>
        <v>Constants - Pasture Beef</v>
      </c>
      <c r="I42" s="14"/>
      <c r="J42" s="14"/>
    </row>
    <row r="43" spans="1:10" x14ac:dyDescent="0.25">
      <c r="A43" s="16" t="str">
        <f>HYPERLINK("#'Constants - Common Livestock'!A1", "Constants - Common Livestock")</f>
        <v>Constants - Common Livestock</v>
      </c>
      <c r="I43" s="14"/>
      <c r="J43" s="14"/>
    </row>
    <row r="44" spans="1:10" x14ac:dyDescent="0.25">
      <c r="A44" s="16" t="str">
        <f>HYPERLINK("#'Constants - Fertiliser'!A1", "Constants - Fertiliser")</f>
        <v>Constants - Fertiliser</v>
      </c>
      <c r="D44" s="14"/>
      <c r="E44" s="14"/>
      <c r="F44" s="14"/>
      <c r="G44" s="14"/>
      <c r="H44" s="14"/>
      <c r="I44" s="14"/>
      <c r="J44" s="14"/>
    </row>
    <row r="45" spans="1:10" x14ac:dyDescent="0.25">
      <c r="A45" s="16" t="str">
        <f>HYPERLINK("#'Constants - Electricity'!A1", "Constants - Electricity")</f>
        <v>Constants - Electricity</v>
      </c>
      <c r="I45" s="14"/>
      <c r="J45" s="14"/>
    </row>
    <row r="46" spans="1:10" x14ac:dyDescent="0.25">
      <c r="A46" s="16" t="str">
        <f>HYPERLINK("#'Constants - Common'!A1", "Constants - Common")</f>
        <v>Constants - Common</v>
      </c>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c r="I5" s="14"/>
    </row>
    <row r="6" spans="1:10" x14ac:dyDescent="0.25">
      <c r="D6" s="162" t="s">
        <v>347</v>
      </c>
      <c r="E6" s="162" t="s">
        <v>312</v>
      </c>
      <c r="F6" s="162" t="s">
        <v>508</v>
      </c>
      <c r="G6" s="162" t="s">
        <v>313</v>
      </c>
      <c r="H6" s="162" t="s">
        <v>417</v>
      </c>
      <c r="I6" s="162" t="s">
        <v>418</v>
      </c>
    </row>
    <row r="7" spans="1:10" x14ac:dyDescent="0.25">
      <c r="A7" s="19" t="s">
        <v>67</v>
      </c>
      <c r="D7" s="82" t="s">
        <v>507</v>
      </c>
      <c r="E7" s="47" t="s">
        <v>505</v>
      </c>
      <c r="F7" s="47" t="s">
        <v>827</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9" t="s">
        <v>504</v>
      </c>
      <c r="F8" s="47" t="s">
        <v>828</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9" t="s">
        <v>513</v>
      </c>
      <c r="F9" s="47" t="s">
        <v>827</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Common farm inputs'!A1", "Common farm inputs")</f>
        <v>Common farm inputs</v>
      </c>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Processing inputs'!A1", "Processing inputs")</f>
        <v>Processing inputs</v>
      </c>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16" t="str">
        <f>HYPERLINK("#'Input - Crop pasture farm input'!A1", "Crop pasture farm input")</f>
        <v>Crop pasture farm input</v>
      </c>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Hort farm Inputs'!A1", "Hort farm Inputs")</f>
        <v>Hort farm Inputs</v>
      </c>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Livestock farm Inputs'!A1", "Livestock farm Inputs")</f>
        <v>Livestock farm Inputs</v>
      </c>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Aquaculture inputs'!A1", "Aquaculture inputs")</f>
        <v>Aquaculture inputs</v>
      </c>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Beef cattle purchases'!A1", "Beef cattle purchases")</f>
        <v>Beef cattle purchases</v>
      </c>
    </row>
    <row r="18" spans="1:1" x14ac:dyDescent="0.25">
      <c r="A18" s="42"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554</v>
      </c>
      <c r="E7" s="47" t="s">
        <v>555</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1:10" x14ac:dyDescent="0.25">
      <c r="A8" s="16" t="str">
        <f>HYPERLINK("#'Input - Site'!A1", "Site")</f>
        <v>Site</v>
      </c>
      <c r="D8" s="82" t="s">
        <v>556</v>
      </c>
      <c r="E8" s="149" t="s">
        <v>555</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1:10" x14ac:dyDescent="0.25">
      <c r="A9" s="16" t="str">
        <f>HYPERLINK("#'Input - Fuel'!A1", "Fuel")</f>
        <v>Fuel</v>
      </c>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42"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842</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559</v>
      </c>
      <c r="E7" s="47" t="s">
        <v>587</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560</v>
      </c>
      <c r="E8" s="149" t="s">
        <v>588</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42"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793</v>
      </c>
    </row>
    <row r="7" spans="1:10" ht="20.100000000000001" customHeight="1" x14ac:dyDescent="0.25">
      <c r="A7" s="19" t="s">
        <v>67</v>
      </c>
    </row>
    <row r="8" spans="1:10" ht="20.100000000000001" customHeight="1" x14ac:dyDescent="0.25">
      <c r="A8" s="16" t="str">
        <f>HYPERLINK("#'Input - Site'!A1", "Site")</f>
        <v>Site</v>
      </c>
      <c r="D8" s="10" t="s">
        <v>795</v>
      </c>
      <c r="E8" s="10" t="s">
        <v>798</v>
      </c>
      <c r="F8" s="10" t="s">
        <v>799</v>
      </c>
      <c r="G8" s="10" t="s">
        <v>796</v>
      </c>
      <c r="H8" s="10" t="s">
        <v>797</v>
      </c>
    </row>
    <row r="9" spans="1:10" ht="20.100000000000001" customHeight="1" x14ac:dyDescent="0.25">
      <c r="A9" s="16" t="str">
        <f>HYPERLINK("#'Input - Fuel'!A1", "Fuel")</f>
        <v>Fuel</v>
      </c>
      <c r="D9" s="10" t="s">
        <v>802</v>
      </c>
      <c r="E9" s="47" t="s">
        <v>800</v>
      </c>
      <c r="F9" s="10">
        <v>986</v>
      </c>
      <c r="G9" s="10">
        <v>10</v>
      </c>
      <c r="H9" s="10">
        <v>52</v>
      </c>
    </row>
    <row r="10" spans="1:10" ht="20.100000000000001" customHeight="1" x14ac:dyDescent="0.25">
      <c r="A10" s="16" t="str">
        <f>HYPERLINK("#'Input - Fertiliser'!A1", "Fertiliser")</f>
        <v>Fertiliser</v>
      </c>
      <c r="D10" s="10" t="s">
        <v>804</v>
      </c>
      <c r="E10" s="47" t="s">
        <v>805</v>
      </c>
      <c r="F10" s="10">
        <v>65</v>
      </c>
      <c r="G10" s="10">
        <v>10</v>
      </c>
      <c r="H10" s="10">
        <v>6</v>
      </c>
    </row>
    <row r="11" spans="1:10" ht="20.100000000000001" customHeight="1" x14ac:dyDescent="0.25">
      <c r="A11" s="16" t="str">
        <f>HYPERLINK("#'Input - Common farm inputs'!A1", "Common farm inputs")</f>
        <v>Common farm inputs</v>
      </c>
      <c r="D11" s="10"/>
      <c r="E11" s="47"/>
      <c r="F11" s="10"/>
      <c r="G11" s="10"/>
      <c r="H11" s="10"/>
    </row>
    <row r="12" spans="1:10" ht="20.100000000000001" customHeight="1" x14ac:dyDescent="0.25">
      <c r="A12" s="16" t="str">
        <f>HYPERLINK("#'Input - Processing inputs'!A1", "Processing inputs")</f>
        <v>Processing inputs</v>
      </c>
      <c r="D12" s="10"/>
      <c r="E12" s="47"/>
      <c r="F12" s="10"/>
      <c r="G12" s="10"/>
      <c r="H12" s="10"/>
    </row>
    <row r="13" spans="1:10" ht="20.100000000000001" customHeight="1" x14ac:dyDescent="0.25">
      <c r="A13" s="16" t="str">
        <f>HYPERLINK("#'Input - Crop pasture farm input'!A1", "Crop pasture farm input")</f>
        <v>Crop pasture farm input</v>
      </c>
      <c r="D13" s="10"/>
      <c r="E13" s="47"/>
      <c r="F13" s="10"/>
      <c r="G13" s="10"/>
      <c r="H13" s="10"/>
    </row>
    <row r="14" spans="1:10" ht="20.100000000000001" customHeight="1" x14ac:dyDescent="0.25">
      <c r="A14" s="16" t="str">
        <f>HYPERLINK("#'Input - Hort farm Inputs'!A1", "Hort farm Inputs")</f>
        <v>Hort farm Inputs</v>
      </c>
      <c r="D14" s="10"/>
      <c r="E14" s="47"/>
      <c r="F14" s="10"/>
      <c r="G14" s="10"/>
      <c r="H14" s="10"/>
    </row>
    <row r="15" spans="1:10" ht="20.100000000000001" customHeight="1" x14ac:dyDescent="0.25">
      <c r="A15" s="16" t="str">
        <f>HYPERLINK("#'Input - Livestock farm Inputs'!A1", "Livestock farm Inputs")</f>
        <v>Livestock farm Inputs</v>
      </c>
      <c r="D15" s="10"/>
      <c r="E15" s="47"/>
      <c r="F15" s="10"/>
      <c r="G15" s="10"/>
      <c r="H15" s="10"/>
    </row>
    <row r="16" spans="1:10" ht="20.100000000000001" customHeight="1" x14ac:dyDescent="0.25">
      <c r="A16" s="16" t="str">
        <f>HYPERLINK("#'Input - Aquaculture inputs'!A1", "Aquaculture inputs")</f>
        <v>Aquaculture inputs</v>
      </c>
      <c r="D16" s="10"/>
      <c r="E16" s="47"/>
      <c r="F16" s="10"/>
      <c r="G16" s="10"/>
      <c r="H16" s="10"/>
    </row>
    <row r="17" spans="1:8" ht="20.100000000000001" customHeight="1" x14ac:dyDescent="0.25">
      <c r="A17" s="16" t="str">
        <f>HYPERLINK("#'Input - Beef cattle purchases'!A1", "Beef cattle purchases")</f>
        <v>Beef cattle purchases</v>
      </c>
      <c r="D17" s="10"/>
      <c r="E17" s="47"/>
      <c r="F17" s="10"/>
      <c r="G17" s="10"/>
      <c r="H17" s="10"/>
    </row>
    <row r="18" spans="1:8" ht="20.100000000000001" customHeight="1" x14ac:dyDescent="0.25">
      <c r="A18" s="16" t="str">
        <f>HYPERLINK("#'Input - Dairy cattle purchases'!A1", "Dairy cattle purchases")</f>
        <v>Dairy cattle purchases</v>
      </c>
      <c r="D18" s="10"/>
      <c r="E18" s="47"/>
      <c r="F18" s="10"/>
      <c r="G18" s="10"/>
      <c r="H18" s="10"/>
    </row>
    <row r="19" spans="1:8" ht="20.100000000000001" customHeight="1" x14ac:dyDescent="0.25">
      <c r="A19" s="16" t="str">
        <f>HYPERLINK("#'Input - Pig purchases'!A1", "Pig purchases")</f>
        <v>Pig purchases</v>
      </c>
    </row>
    <row r="20" spans="1:8" ht="20.100000000000001" customHeight="1" x14ac:dyDescent="0.25">
      <c r="A20" s="16" t="str">
        <f>HYPERLINK("#'Input - Poultry purchases'!A1", "Poultry purchases")</f>
        <v>Poultry purchases</v>
      </c>
    </row>
    <row r="21" spans="1:8" ht="20.100000000000001" customHeight="1" x14ac:dyDescent="0.25">
      <c r="A21" s="42" t="str">
        <f>HYPERLINK("#'Input - Freight'!A1", "Freight")</f>
        <v>Freight</v>
      </c>
    </row>
    <row r="22" spans="1:8" ht="20.100000000000001" customHeight="1" x14ac:dyDescent="0.25">
      <c r="A22" s="16" t="str">
        <f>HYPERLINK("#'Input - Solid waste'!A1", "Solid waste")</f>
        <v>Solid waste</v>
      </c>
      <c r="D22" s="9" t="s">
        <v>801</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10" t="s">
        <v>795</v>
      </c>
      <c r="E24" s="10" t="s">
        <v>798</v>
      </c>
      <c r="F24" s="10" t="s">
        <v>799</v>
      </c>
      <c r="G24" s="10" t="s">
        <v>796</v>
      </c>
      <c r="H24" s="10" t="s">
        <v>797</v>
      </c>
    </row>
    <row r="25" spans="1:8" ht="20.100000000000001" customHeight="1" x14ac:dyDescent="0.25">
      <c r="D25" s="10" t="s">
        <v>803</v>
      </c>
      <c r="E25" s="47" t="s">
        <v>800</v>
      </c>
      <c r="F25" s="10">
        <v>65</v>
      </c>
      <c r="G25" s="10">
        <v>20</v>
      </c>
      <c r="H25" s="10">
        <v>52</v>
      </c>
    </row>
    <row r="26" spans="1:8" ht="20.100000000000001" customHeight="1" x14ac:dyDescent="0.25">
      <c r="D26" s="10"/>
      <c r="E26" s="47"/>
      <c r="F26" s="10"/>
      <c r="G26" s="10"/>
      <c r="H26" s="10"/>
    </row>
    <row r="27" spans="1:8" ht="20.100000000000001" customHeight="1" x14ac:dyDescent="0.25">
      <c r="A27" s="21" t="s">
        <v>77</v>
      </c>
      <c r="D27" s="10"/>
      <c r="E27" s="47"/>
      <c r="F27" s="10"/>
      <c r="G27" s="10"/>
      <c r="H27" s="10"/>
    </row>
    <row r="28" spans="1:8" ht="20.100000000000001" customHeight="1" x14ac:dyDescent="0.25">
      <c r="A28" s="16" t="str">
        <f>HYPERLINK("#'15 Scope 3'!A1", "15 Scope 3")</f>
        <v>15 Scope 3</v>
      </c>
      <c r="D28" s="10"/>
      <c r="E28" s="47"/>
      <c r="F28" s="10"/>
      <c r="G28" s="10"/>
      <c r="H28" s="10"/>
    </row>
    <row r="29" spans="1:8" ht="20.100000000000001" customHeight="1" x14ac:dyDescent="0.25">
      <c r="A29" s="16" t="str">
        <f>HYPERLINK("#'10.1.1-2 Solid waste treatment'!A1", "10.1.1-2 Solid waste treatment")</f>
        <v>10.1.1-2 Solid waste treatment</v>
      </c>
      <c r="D29" s="10"/>
      <c r="E29" s="47"/>
      <c r="F29" s="10"/>
      <c r="G29" s="10"/>
      <c r="H29" s="10"/>
    </row>
    <row r="30" spans="1:8" ht="20.100000000000001" customHeight="1" x14ac:dyDescent="0.25">
      <c r="A30" s="16" t="str">
        <f>HYPERLINK("#'Calcs - Manure sent off-site'!A1", "Calcs - Manure sent off-site")</f>
        <v>Calcs - Manure sent off-site</v>
      </c>
      <c r="D30" s="10"/>
      <c r="E30" s="47"/>
      <c r="F30" s="10"/>
      <c r="G30" s="10"/>
      <c r="H30" s="10"/>
    </row>
    <row r="31" spans="1:8" ht="20.100000000000001" customHeight="1" x14ac:dyDescent="0.25">
      <c r="A31" s="16" t="str">
        <f>HYPERLINK("#'8.1.1.1-2 Transport fuel'!A1", "8.1.1.1-2 Transport fuel")</f>
        <v>8.1.1.1-2 Transport fuel</v>
      </c>
      <c r="D31" s="10"/>
      <c r="E31" s="47"/>
      <c r="F31" s="10"/>
      <c r="G31" s="10"/>
      <c r="H31" s="10"/>
    </row>
    <row r="32" spans="1:8" ht="20.100000000000001" customHeight="1" x14ac:dyDescent="0.25">
      <c r="A32" s="16" t="str">
        <f>HYPERLINK("#'8.2.1.1-2 Stationary fuel'!A1", "8.2.1.1-2 Stationary fuel")</f>
        <v>8.2.1.1-2 Stationary fuel</v>
      </c>
      <c r="D32" s="10"/>
      <c r="E32" s="47"/>
      <c r="F32" s="10"/>
      <c r="G32" s="10"/>
      <c r="H32" s="10"/>
    </row>
    <row r="33" spans="1:8" ht="20.100000000000001" customHeight="1" x14ac:dyDescent="0.25">
      <c r="D33" s="10"/>
      <c r="E33" s="47"/>
      <c r="F33" s="10"/>
      <c r="G33" s="10"/>
      <c r="H33" s="10"/>
    </row>
    <row r="34" spans="1:8" ht="20.100000000000001" customHeight="1" x14ac:dyDescent="0.25">
      <c r="D34" s="10"/>
      <c r="E34" s="47"/>
      <c r="F34" s="10"/>
      <c r="G34" s="10"/>
      <c r="H34" s="10"/>
    </row>
    <row r="35" spans="1:8" ht="20.100000000000001" customHeight="1" x14ac:dyDescent="0.25">
      <c r="A35" s="222" t="s">
        <v>78</v>
      </c>
    </row>
    <row r="36" spans="1:8" ht="20.100000000000001" customHeight="1" x14ac:dyDescent="0.25">
      <c r="A36" s="16" t="str">
        <f>HYPERLINK("#'Constants - Scope 3'!A1", "Constants - Scope 3")</f>
        <v>Constants - Scope 3</v>
      </c>
    </row>
    <row r="37" spans="1:8" ht="20.100000000000001" customHeight="1" x14ac:dyDescent="0.25">
      <c r="A37" s="16" t="str">
        <f>HYPERLINK("#'Constants - Solid Waste'!A1", "Constants - Solid Waste")</f>
        <v>Constants - Solid Waste</v>
      </c>
    </row>
    <row r="38" spans="1:8" ht="20.100000000000001" customHeight="1" x14ac:dyDescent="0.25">
      <c r="A38" s="16" t="str">
        <f>HYPERLINK("#'Constants - Fuel'!A1", "Constants - Fuel")</f>
        <v>Constants - Fuel</v>
      </c>
    </row>
    <row r="39" spans="1:8" ht="20.100000000000001" customHeight="1" x14ac:dyDescent="0.25">
      <c r="A39" s="16" t="str">
        <f>HYPERLINK("#'Constants - Poultry'!A1", "Constants - Poultry")</f>
        <v>Constants - Poultry</v>
      </c>
    </row>
    <row r="40" spans="1:8" ht="20.100000000000001" customHeight="1" x14ac:dyDescent="0.25">
      <c r="A40" s="16" t="str">
        <f>HYPERLINK("#'Constants - Swine'!A1", "Constants - Swine")</f>
        <v>Constants - Swine</v>
      </c>
    </row>
    <row r="41" spans="1:8" ht="20.100000000000001" customHeight="1" x14ac:dyDescent="0.25">
      <c r="A41" s="16" t="str">
        <f>HYPERLINK("#'Constants - Dairy'!A1", "Constants - Dairy")</f>
        <v>Constants - Dairy</v>
      </c>
    </row>
    <row r="42" spans="1:8" ht="20.100000000000001" customHeight="1" x14ac:dyDescent="0.25">
      <c r="A42" s="16" t="str">
        <f>HYPERLINK("#'Constants - Pasture Beef'!A1", "Constants - Pasture Beef")</f>
        <v>Constants - Pasture Beef</v>
      </c>
    </row>
    <row r="43" spans="1:8" ht="20.100000000000001" customHeight="1" x14ac:dyDescent="0.25">
      <c r="A43" s="16" t="str">
        <f>HYPERLINK("#'Constants - Common Livestock'!A1", "Constants - Common Livestock")</f>
        <v>Constants - Common Livestock</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row>
    <row r="46" spans="1:8" ht="20.100000000000001" customHeight="1" x14ac:dyDescent="0.25">
      <c r="A46" s="16" t="str">
        <f>HYPERLINK("#'Constants - Common'!A1", "Constants - Common")</f>
        <v>Constants - Common</v>
      </c>
    </row>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9ED1B-0D3F-4F9B-B1D4-8E83684DFD6B}">
  <sheetPr>
    <tabColor theme="5" tint="-0.249977111117893"/>
  </sheetPr>
  <dimension ref="A1:L385"/>
  <sheetViews>
    <sheetView showGridLines="0"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923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924</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242</v>
      </c>
      <c r="E9" s="46" t="s">
        <v>767</v>
      </c>
      <c r="F9" s="46" t="s">
        <v>768</v>
      </c>
      <c r="G9" s="46" t="s">
        <v>769</v>
      </c>
      <c r="H9" s="46" t="s">
        <v>589</v>
      </c>
      <c r="I9" s="46" t="s">
        <v>770</v>
      </c>
    </row>
    <row r="10" spans="1:10" ht="20.100000000000001" customHeight="1" x14ac:dyDescent="0.25">
      <c r="A10" s="16" t="str">
        <f>HYPERLINK("#'Input - Fertiliser'!A1", "Fertiliser")</f>
        <v>Fertiliser</v>
      </c>
      <c r="D10" s="10" t="s">
        <v>925</v>
      </c>
      <c r="E10" s="47" t="s">
        <v>926</v>
      </c>
      <c r="F10" s="47" t="s">
        <v>772</v>
      </c>
      <c r="G10" s="47" t="s">
        <v>773</v>
      </c>
      <c r="H10" s="66">
        <v>50</v>
      </c>
      <c r="I10" s="47" t="s">
        <v>775</v>
      </c>
    </row>
    <row r="11" spans="1:10" ht="20.100000000000001" customHeight="1" x14ac:dyDescent="0.25">
      <c r="A11" s="16" t="str">
        <f>HYPERLINK("#'Input - Common farm inputs'!A1", "Common farm inputs")</f>
        <v>Common farm inputs</v>
      </c>
      <c r="D11" s="10" t="s">
        <v>927</v>
      </c>
      <c r="E11" s="47" t="s">
        <v>926</v>
      </c>
      <c r="F11" s="47" t="s">
        <v>772</v>
      </c>
      <c r="G11" s="47" t="s">
        <v>928</v>
      </c>
      <c r="H11" s="66">
        <v>50</v>
      </c>
      <c r="I11" s="47" t="s">
        <v>774</v>
      </c>
    </row>
    <row r="12" spans="1:10" ht="20.100000000000001" customHeight="1" x14ac:dyDescent="0.25">
      <c r="A12" s="16" t="str">
        <f>HYPERLINK("#'Input - Processing inputs'!A1", "Processing inputs")</f>
        <v>Processing inputs</v>
      </c>
      <c r="D12" s="10" t="s">
        <v>929</v>
      </c>
      <c r="E12" s="47" t="s">
        <v>926</v>
      </c>
      <c r="F12" s="47" t="s">
        <v>777</v>
      </c>
      <c r="G12" s="47" t="s">
        <v>773</v>
      </c>
      <c r="H12" s="66">
        <v>50</v>
      </c>
      <c r="I12" s="47" t="s">
        <v>775</v>
      </c>
    </row>
    <row r="13" spans="1:10" ht="20.100000000000001" customHeight="1" x14ac:dyDescent="0.25">
      <c r="A13" s="16" t="str">
        <f>HYPERLINK("#'Input - Crop pasture farm input'!A1", "Crop pasture farm input")</f>
        <v>Crop pasture farm input</v>
      </c>
      <c r="D13" s="10" t="s">
        <v>930</v>
      </c>
      <c r="E13" s="47" t="s">
        <v>926</v>
      </c>
      <c r="F13" s="47" t="s">
        <v>777</v>
      </c>
      <c r="G13" s="47" t="s">
        <v>928</v>
      </c>
      <c r="H13" s="66">
        <v>50</v>
      </c>
      <c r="I13" s="47" t="s">
        <v>774</v>
      </c>
    </row>
    <row r="14" spans="1:10" ht="20.100000000000001" customHeight="1" x14ac:dyDescent="0.25">
      <c r="A14" s="16" t="str">
        <f>HYPERLINK("#'Input - Hort farm Inputs'!A1", "Hort farm Inputs")</f>
        <v>Hort farm Inputs</v>
      </c>
      <c r="D14" s="10" t="s">
        <v>931</v>
      </c>
      <c r="E14" s="47" t="s">
        <v>776</v>
      </c>
      <c r="F14" s="47" t="s">
        <v>777</v>
      </c>
      <c r="G14" s="47" t="s">
        <v>773</v>
      </c>
      <c r="H14" s="66">
        <v>50</v>
      </c>
      <c r="I14" s="47" t="s">
        <v>775</v>
      </c>
    </row>
    <row r="15" spans="1:10" ht="20.100000000000001" customHeight="1" x14ac:dyDescent="0.25">
      <c r="A15" s="16" t="str">
        <f>HYPERLINK("#'Input - Livestock farm Inputs'!A1", "Livestock farm Inputs")</f>
        <v>Livestock farm Inputs</v>
      </c>
      <c r="D15" s="10" t="s">
        <v>932</v>
      </c>
      <c r="E15" s="47" t="s">
        <v>776</v>
      </c>
      <c r="F15" s="47" t="s">
        <v>777</v>
      </c>
      <c r="G15" s="47" t="s">
        <v>773</v>
      </c>
      <c r="H15" s="66">
        <v>50</v>
      </c>
      <c r="I15" s="47" t="s">
        <v>774</v>
      </c>
    </row>
    <row r="16" spans="1:10" ht="20.100000000000001" customHeight="1" x14ac:dyDescent="0.25">
      <c r="A16" s="16" t="str">
        <f>HYPERLINK("#'Input - Aquaculture inputs'!A1", "Aquaculture inputs")</f>
        <v>Aquaculture inputs</v>
      </c>
      <c r="D16" s="10" t="s">
        <v>933</v>
      </c>
      <c r="E16" s="47" t="s">
        <v>776</v>
      </c>
      <c r="F16" s="47" t="s">
        <v>777</v>
      </c>
      <c r="G16" s="47" t="s">
        <v>928</v>
      </c>
      <c r="H16" s="66">
        <v>50</v>
      </c>
      <c r="I16" s="47" t="s">
        <v>775</v>
      </c>
    </row>
    <row r="17" spans="1:11" ht="20.100000000000001" customHeight="1" x14ac:dyDescent="0.25">
      <c r="A17" s="16" t="str">
        <f>HYPERLINK("#'Input - Beef cattle purchases'!A1", "Beef cattle purchases")</f>
        <v>Beef cattle purchases</v>
      </c>
      <c r="D17" s="10" t="s">
        <v>934</v>
      </c>
      <c r="E17" s="47" t="s">
        <v>776</v>
      </c>
      <c r="F17" s="47" t="s">
        <v>777</v>
      </c>
      <c r="G17" s="47" t="s">
        <v>928</v>
      </c>
      <c r="H17" s="66">
        <v>50</v>
      </c>
      <c r="I17" s="47" t="s">
        <v>774</v>
      </c>
    </row>
    <row r="18" spans="1:11" ht="20.100000000000001" customHeight="1" x14ac:dyDescent="0.25">
      <c r="A18" s="16" t="str">
        <f>HYPERLINK("#'Input - Dairy cattle purchases'!A1", "Dairy cattle purchases")</f>
        <v>Dairy cattle purchases</v>
      </c>
      <c r="D18" s="10" t="s">
        <v>935</v>
      </c>
      <c r="E18" s="47" t="s">
        <v>776</v>
      </c>
      <c r="F18" s="47" t="s">
        <v>772</v>
      </c>
      <c r="G18" s="47" t="s">
        <v>773</v>
      </c>
      <c r="H18" s="66">
        <v>50</v>
      </c>
      <c r="I18" s="47" t="s">
        <v>775</v>
      </c>
    </row>
    <row r="19" spans="1:11" ht="20.100000000000001" customHeight="1" x14ac:dyDescent="0.25">
      <c r="A19" s="16" t="str">
        <f>HYPERLINK("#'Input - Pig purchases'!A1", "Pig purchases")</f>
        <v>Pig purchases</v>
      </c>
      <c r="D19" s="10" t="s">
        <v>936</v>
      </c>
      <c r="E19" s="47" t="s">
        <v>776</v>
      </c>
      <c r="F19" s="47" t="s">
        <v>772</v>
      </c>
      <c r="G19" s="47" t="s">
        <v>773</v>
      </c>
      <c r="H19" s="66">
        <v>50</v>
      </c>
      <c r="I19" s="47" t="s">
        <v>774</v>
      </c>
    </row>
    <row r="20" spans="1:11" ht="20.100000000000001" customHeight="1" x14ac:dyDescent="0.25">
      <c r="A20" s="16" t="str">
        <f>HYPERLINK("#'Input - Poultry purchases'!A1", "Poultry purchases")</f>
        <v>Poultry purchases</v>
      </c>
      <c r="D20" s="10" t="s">
        <v>937</v>
      </c>
      <c r="E20" s="47" t="s">
        <v>776</v>
      </c>
      <c r="F20" s="47" t="s">
        <v>772</v>
      </c>
      <c r="G20" s="47" t="s">
        <v>928</v>
      </c>
      <c r="H20" s="66">
        <v>50</v>
      </c>
      <c r="I20" s="47" t="s">
        <v>775</v>
      </c>
    </row>
    <row r="21" spans="1:11" ht="20.100000000000001" customHeight="1" x14ac:dyDescent="0.25">
      <c r="A21" s="16" t="str">
        <f>HYPERLINK("#'Input - Freight'!A1", "Freight")</f>
        <v>Freight</v>
      </c>
      <c r="D21" s="10" t="s">
        <v>938</v>
      </c>
      <c r="E21" s="47" t="s">
        <v>776</v>
      </c>
      <c r="F21" s="47" t="s">
        <v>772</v>
      </c>
      <c r="G21" s="47" t="s">
        <v>928</v>
      </c>
      <c r="H21" s="66">
        <v>50</v>
      </c>
      <c r="I21" s="47" t="s">
        <v>774</v>
      </c>
    </row>
    <row r="22" spans="1:11" ht="20.100000000000001" customHeight="1" x14ac:dyDescent="0.25">
      <c r="A22" s="42" t="str">
        <f>HYPERLINK("#'Input - Solid waste'!A1", "Solid waste")</f>
        <v>Solid waste</v>
      </c>
      <c r="D22" s="10" t="s">
        <v>939</v>
      </c>
      <c r="E22" s="47" t="s">
        <v>776</v>
      </c>
      <c r="F22" s="47" t="s">
        <v>940</v>
      </c>
      <c r="G22" s="47" t="s">
        <v>773</v>
      </c>
      <c r="H22" s="66">
        <v>50</v>
      </c>
      <c r="I22" s="47" t="s">
        <v>775</v>
      </c>
    </row>
    <row r="23" spans="1:11" ht="20.100000000000001" customHeight="1" x14ac:dyDescent="0.25">
      <c r="A23" s="16" t="str">
        <f>HYPERLINK("#'Input - Manure sent off-site'!A1", "Manure sent off-site")</f>
        <v>Manure sent off-site</v>
      </c>
      <c r="D23" s="10" t="s">
        <v>941</v>
      </c>
      <c r="E23" s="47" t="s">
        <v>776</v>
      </c>
      <c r="F23" s="47" t="s">
        <v>940</v>
      </c>
      <c r="G23" s="47" t="s">
        <v>773</v>
      </c>
      <c r="H23" s="66">
        <v>50</v>
      </c>
      <c r="I23" s="47" t="s">
        <v>774</v>
      </c>
    </row>
    <row r="24" spans="1:11" ht="20.100000000000001" customHeight="1" x14ac:dyDescent="0.25">
      <c r="A24" s="16" t="str">
        <f>HYPERLINK("#'Input - Electricity'!A1", "Electricity")</f>
        <v>Electricity</v>
      </c>
      <c r="D24" s="10" t="s">
        <v>942</v>
      </c>
      <c r="E24" s="47" t="s">
        <v>776</v>
      </c>
      <c r="F24" s="47" t="s">
        <v>940</v>
      </c>
      <c r="G24" s="47" t="s">
        <v>928</v>
      </c>
      <c r="H24" s="66">
        <v>50</v>
      </c>
      <c r="I24" s="47" t="s">
        <v>775</v>
      </c>
    </row>
    <row r="25" spans="1:11" ht="20.100000000000001" customHeight="1" x14ac:dyDescent="0.25">
      <c r="A25"/>
      <c r="D25" s="10" t="s">
        <v>943</v>
      </c>
      <c r="E25" s="47" t="s">
        <v>776</v>
      </c>
      <c r="F25" s="47" t="s">
        <v>940</v>
      </c>
      <c r="G25" s="47" t="s">
        <v>928</v>
      </c>
      <c r="H25" s="66">
        <v>50</v>
      </c>
      <c r="I25" s="47" t="s">
        <v>774</v>
      </c>
    </row>
    <row r="26" spans="1:11" ht="20.100000000000001" customHeight="1" x14ac:dyDescent="0.25">
      <c r="A26"/>
      <c r="D26" s="10" t="s">
        <v>944</v>
      </c>
      <c r="E26" s="47" t="s">
        <v>771</v>
      </c>
      <c r="F26" s="47" t="s">
        <v>772</v>
      </c>
      <c r="G26" s="47" t="s">
        <v>928</v>
      </c>
      <c r="H26" s="66">
        <v>50</v>
      </c>
      <c r="I26" s="47" t="s">
        <v>775</v>
      </c>
    </row>
    <row r="27" spans="1:11" ht="20.100000000000001" customHeight="1" x14ac:dyDescent="0.25">
      <c r="A27" s="21" t="s">
        <v>77</v>
      </c>
      <c r="D27" s="10" t="s">
        <v>945</v>
      </c>
      <c r="E27" s="47" t="s">
        <v>771</v>
      </c>
      <c r="F27" s="47" t="s">
        <v>772</v>
      </c>
      <c r="G27" s="47" t="s">
        <v>928</v>
      </c>
      <c r="H27" s="66">
        <v>50</v>
      </c>
      <c r="I27" s="47" t="s">
        <v>774</v>
      </c>
    </row>
    <row r="28" spans="1:11" ht="20.100000000000001" customHeight="1" x14ac:dyDescent="0.25">
      <c r="A28" s="16" t="str">
        <f>HYPERLINK("#'15 Scope 3'!A1", "15 Scope 3")</f>
        <v>15 Scope 3</v>
      </c>
      <c r="D28" s="10" t="s">
        <v>946</v>
      </c>
      <c r="E28" s="47" t="s">
        <v>771</v>
      </c>
      <c r="F28" s="47" t="s">
        <v>940</v>
      </c>
      <c r="G28" s="47" t="s">
        <v>928</v>
      </c>
      <c r="H28" s="66">
        <v>50</v>
      </c>
      <c r="I28" s="47" t="s">
        <v>775</v>
      </c>
    </row>
    <row r="29" spans="1:11" ht="20.100000000000001" customHeight="1" x14ac:dyDescent="0.25">
      <c r="A29" s="16" t="str">
        <f>HYPERLINK("#'10.1.1-2 Solid waste treatment'!A1", "10.1.1-2 Solid waste treatment")</f>
        <v>10.1.1-2 Solid waste treatment</v>
      </c>
      <c r="D29" s="10" t="s">
        <v>947</v>
      </c>
      <c r="E29" s="47" t="s">
        <v>771</v>
      </c>
      <c r="F29" s="47" t="s">
        <v>940</v>
      </c>
      <c r="G29" s="47" t="s">
        <v>928</v>
      </c>
      <c r="H29" s="66">
        <v>50</v>
      </c>
      <c r="I29" s="47" t="s">
        <v>774</v>
      </c>
      <c r="K29" s="52"/>
    </row>
    <row r="30" spans="1:11" ht="20.100000000000001" customHeight="1" x14ac:dyDescent="0.25">
      <c r="A30" s="16" t="str">
        <f>HYPERLINK("#'Calcs - Manure sent off-site'!A1", "Calcs - Manure sent off-site")</f>
        <v>Calcs - Manure sent off-site</v>
      </c>
      <c r="D30" s="10" t="s">
        <v>948</v>
      </c>
      <c r="E30" s="47" t="s">
        <v>771</v>
      </c>
      <c r="F30" s="47" t="s">
        <v>940</v>
      </c>
      <c r="G30" s="47" t="s">
        <v>773</v>
      </c>
      <c r="H30" s="66">
        <v>50</v>
      </c>
      <c r="I30" s="47" t="s">
        <v>775</v>
      </c>
      <c r="K30" s="52"/>
    </row>
    <row r="31" spans="1:11" ht="20.100000000000001" customHeight="1" x14ac:dyDescent="0.25">
      <c r="A31" s="16" t="str">
        <f>HYPERLINK("#'8.1.1.1-2 Transport fuel'!A1", "8.1.1.1-2 Transport fuel")</f>
        <v>8.1.1.1-2 Transport fuel</v>
      </c>
      <c r="D31" s="10" t="s">
        <v>949</v>
      </c>
      <c r="E31" s="47" t="s">
        <v>771</v>
      </c>
      <c r="F31" s="47" t="s">
        <v>940</v>
      </c>
      <c r="G31" s="47" t="s">
        <v>773</v>
      </c>
      <c r="H31" s="66">
        <v>50</v>
      </c>
      <c r="I31" s="47" t="s">
        <v>774</v>
      </c>
      <c r="K31" s="52"/>
    </row>
    <row r="32" spans="1:11" ht="20.100000000000001" customHeight="1" x14ac:dyDescent="0.25">
      <c r="A32" s="16" t="str">
        <f>HYPERLINK("#'8.2.1.1-2 Stationary fuel'!A1", "8.2.1.1-2 Stationary fuel")</f>
        <v>8.2.1.1-2 Stationary fuel</v>
      </c>
      <c r="D32" s="10" t="s">
        <v>947</v>
      </c>
      <c r="E32" s="47" t="s">
        <v>771</v>
      </c>
      <c r="F32" s="47" t="s">
        <v>940</v>
      </c>
      <c r="G32" s="47" t="s">
        <v>928</v>
      </c>
      <c r="H32" s="66">
        <v>50</v>
      </c>
      <c r="I32" s="47" t="s">
        <v>774</v>
      </c>
      <c r="K32" s="52"/>
    </row>
    <row r="33" spans="1:12" ht="20.100000000000001" customHeight="1" x14ac:dyDescent="0.25">
      <c r="A33"/>
      <c r="K33" s="52"/>
    </row>
    <row r="34" spans="1:12" ht="20.100000000000001" customHeight="1" x14ac:dyDescent="0.25">
      <c r="A34"/>
      <c r="K34" s="52"/>
    </row>
    <row r="35" spans="1:12" ht="20.100000000000001" customHeight="1" x14ac:dyDescent="0.25">
      <c r="A35" s="222" t="s">
        <v>78</v>
      </c>
    </row>
    <row r="36" spans="1:12" ht="20.100000000000001" customHeight="1" x14ac:dyDescent="0.25">
      <c r="A36" s="16" t="str">
        <f>HYPERLINK("#'Constants - Scope 3'!A1", "Constants - Scope 3")</f>
        <v>Constants - Scope 3</v>
      </c>
      <c r="L36" s="52"/>
    </row>
    <row r="37" spans="1:12" ht="20.100000000000001" customHeight="1" x14ac:dyDescent="0.25">
      <c r="A37" s="16" t="str">
        <f>HYPERLINK("#'Constants - Solid Waste'!A1", "Constants - Solid Waste")</f>
        <v>Constants - Solid Waste</v>
      </c>
      <c r="L37" s="52"/>
    </row>
    <row r="38" spans="1:12" ht="20.100000000000001" customHeight="1" x14ac:dyDescent="0.25">
      <c r="A38" s="16" t="str">
        <f>HYPERLINK("#'Constants - Fuel'!A1", "Constants - Fuel")</f>
        <v>Constants - Fuel</v>
      </c>
      <c r="C38" s="51"/>
    </row>
    <row r="39" spans="1:12" ht="20.100000000000001" customHeight="1" x14ac:dyDescent="0.25">
      <c r="A39" s="16" t="str">
        <f>HYPERLINK("#'Constants - Poultry'!A1", "Constants - Poultry")</f>
        <v>Constants - Poultry</v>
      </c>
      <c r="C39" s="51"/>
      <c r="J39" s="51"/>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c r="E41" s="8"/>
      <c r="F41" s="8"/>
      <c r="G41" s="8"/>
      <c r="H41" s="8"/>
      <c r="I41" s="8"/>
      <c r="J41" s="8"/>
      <c r="L41" s="52" t="s">
        <v>252</v>
      </c>
    </row>
    <row r="42" spans="1:12" ht="20.100000000000001" customHeight="1" x14ac:dyDescent="0.25">
      <c r="A42" s="16" t="str">
        <f>HYPERLINK("#'Constants - Pasture Beef'!A1", "Constants - Pasture Beef")</f>
        <v>Constants - Pasture Beef</v>
      </c>
    </row>
    <row r="43" spans="1:12" ht="20.100000000000001" customHeight="1" x14ac:dyDescent="0.25">
      <c r="A43" s="16" t="str">
        <f>HYPERLINK("#'Constants - Common Livestock'!A1", "Constants - Common Livestock")</f>
        <v>Constants - Common Livestock</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87155296-5815-403A-ABB4-ABC3C9D2B128}">
      <formula1>INDIRECT("Table_WasteTypes_" &amp; SUBSTITUTE(E10, " ", "") &amp; "[Waste type w]")</formula1>
    </dataValidation>
    <dataValidation type="list" allowBlank="1" showInputMessage="1" showErrorMessage="1" sqref="I10:I32" xr:uid="{8BC5C56E-1365-4CF3-B7D6-2FBB2E482AF2}">
      <formula1>"tonnes, cubic metres m3"</formula1>
    </dataValidation>
    <dataValidation type="list" allowBlank="1" showInputMessage="1" showErrorMessage="1" sqref="G10:G32" xr:uid="{2882D8E6-4EAE-4C42-AC50-EAC4EF9A87EE}">
      <formula1>"Treated on-site, Removed and treated off-site"</formula1>
    </dataValidation>
    <dataValidation type="list" allowBlank="1" showInputMessage="1" showErrorMessage="1" sqref="E10:E32" xr:uid="{434FB77E-84E2-4282-ACC3-D73D6D0DB5CB}">
      <formula1>INDIRECT(_xlfn.UNIQUE("Table_SourceData_WasteSolid_WasteTreatmentEFs[Treatment type t]"))</formula1>
    </dataValidation>
    <dataValidation type="list" allowBlank="1" showInputMessage="1" showErrorMessage="1" sqref="E35" xr:uid="{15992C94-337A-4BAA-BC66-6A7A62F4277B}">
      <formula1>INDIRECT("Table_SourceData_ElectricityEFs[State, Territory or grid description]")</formula1>
    </dataValidation>
    <dataValidation type="list" allowBlank="1" showInputMessage="1" showErrorMessage="1" sqref="E89" xr:uid="{2089E19F-34C4-4160-8DA5-65DABEF95A14}">
      <formula1>INDIRECT("Table_SourceData_Swine_IrrigationMethods[Irrigation method]")</formula1>
    </dataValidation>
    <dataValidation type="list" allowBlank="1" showInputMessage="1" showErrorMessage="1" sqref="E273 E278 E283 E317 E312 E307 E185 E173 E149 E161" xr:uid="{18AA96FF-63B6-4407-939B-74347A9437B0}">
      <formula1>"Yes, No"</formula1>
    </dataValidation>
    <dataValidation type="list" allowBlank="1" showInputMessage="1" showErrorMessage="1" sqref="E249" xr:uid="{4E6EDDA3-4528-47E2-99C4-3FFEFF67CB7D}">
      <formula1>INDIRECT("Table_SourceData_Dairy_ProductionSystemTemplates[Area]")</formula1>
    </dataValidation>
    <dataValidation type="list" allowBlank="1" showInputMessage="1" showErrorMessage="1" sqref="D301" xr:uid="{3CCC2C72-D7C0-4669-A094-34581A79ED0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6"/>
  <sheetViews>
    <sheetView showGridLines="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837</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733</v>
      </c>
    </row>
    <row r="7" spans="1:11" x14ac:dyDescent="0.25">
      <c r="A7" s="19" t="s">
        <v>67</v>
      </c>
      <c r="D7" s="8" t="s">
        <v>755</v>
      </c>
    </row>
    <row r="8" spans="1:11" ht="18.75" x14ac:dyDescent="0.25">
      <c r="A8" s="16" t="str">
        <f>HYPERLINK("#'Input - Site'!A1", "Site")</f>
        <v>Site</v>
      </c>
      <c r="D8" s="8" t="s">
        <v>756</v>
      </c>
    </row>
    <row r="9" spans="1:11" x14ac:dyDescent="0.25">
      <c r="A9" s="16" t="str">
        <f>HYPERLINK("#'Input - Fuel'!A1", "Fuel")</f>
        <v>Fuel</v>
      </c>
    </row>
    <row r="10" spans="1:11" x14ac:dyDescent="0.25">
      <c r="A10" s="16" t="str">
        <f>HYPERLINK("#'Input - Fertiliser'!A1", "Fertiliser")</f>
        <v>Fertiliser</v>
      </c>
      <c r="D10" s="8" t="s">
        <v>838</v>
      </c>
      <c r="F10" s="66">
        <v>1000</v>
      </c>
      <c r="G10" s="65" t="s">
        <v>734</v>
      </c>
    </row>
    <row r="11" spans="1:11" x14ac:dyDescent="0.25">
      <c r="A11" s="16" t="str">
        <f>HYPERLINK("#'Input - Common farm inputs'!A1", "Common farm inputs")</f>
        <v>Common farm inputs</v>
      </c>
      <c r="D11" s="8" t="s">
        <v>839</v>
      </c>
      <c r="F11" s="66">
        <v>2000</v>
      </c>
      <c r="G11" s="65" t="s">
        <v>734</v>
      </c>
    </row>
    <row r="12" spans="1:11" x14ac:dyDescent="0.25">
      <c r="A12" s="16" t="str">
        <f>HYPERLINK("#'Input - Processing inputs'!A1", "Processing inputs")</f>
        <v>Processing inputs</v>
      </c>
    </row>
    <row r="13" spans="1:11" x14ac:dyDescent="0.25">
      <c r="A13" s="16" t="str">
        <f>HYPERLINK("#'Input - Crop pasture farm input'!A1", "Crop pasture farm input")</f>
        <v>Crop pasture farm input</v>
      </c>
      <c r="D13" s="8" t="s">
        <v>735</v>
      </c>
      <c r="F13" s="47" t="s">
        <v>149</v>
      </c>
      <c r="G13" s="65" t="s">
        <v>190</v>
      </c>
    </row>
    <row r="14" spans="1:11" x14ac:dyDescent="0.25">
      <c r="A14" s="16" t="str">
        <f>HYPERLINK("#'Input - Hort farm Inputs'!A1", "Hort farm Inputs")</f>
        <v>Hort farm Inputs</v>
      </c>
      <c r="D14" s="8" t="s">
        <v>739</v>
      </c>
      <c r="F14" s="47" t="s">
        <v>154</v>
      </c>
      <c r="G14" s="65" t="s">
        <v>190</v>
      </c>
    </row>
    <row r="15" spans="1:11" x14ac:dyDescent="0.25">
      <c r="A15" s="16" t="str">
        <f>HYPERLINK("#'Input - Livestock farm Inputs'!A1", "Livestock farm Inputs")</f>
        <v>Livestock farm Inputs</v>
      </c>
    </row>
    <row r="16" spans="1:11" x14ac:dyDescent="0.25">
      <c r="A16" s="16"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42"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14273-CA7B-43EB-8337-A9C687F991D3}">
  <dimension ref="A1:L365"/>
  <sheetViews>
    <sheetView showGridLines="0" topLeftCell="A24"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825</v>
      </c>
      <c r="E5" s="47" t="s">
        <v>826</v>
      </c>
      <c r="F5" s="65"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226</v>
      </c>
    </row>
    <row r="10" spans="1:10" ht="20.100000000000001" customHeight="1" x14ac:dyDescent="0.25">
      <c r="A10" s="16" t="str">
        <f>HYPERLINK("#'Input - Fertiliser'!A1", "Fertiliser")</f>
        <v>Fertiliser</v>
      </c>
    </row>
    <row r="11" spans="1:10" ht="20.100000000000001" customHeight="1" x14ac:dyDescent="0.25">
      <c r="A11" s="16" t="str">
        <f>HYPERLINK("#'Input - Common farm inputs'!A1", "Common farm inputs")</f>
        <v>Common farm inputs</v>
      </c>
      <c r="D11" s="71" t="s">
        <v>227</v>
      </c>
    </row>
    <row r="12" spans="1:10" ht="20.100000000000001" customHeight="1" x14ac:dyDescent="0.25">
      <c r="A12" s="16" t="str">
        <f>HYPERLINK("#'Input - Processing inputs'!A1", "Processing inputs")</f>
        <v>Processing inputs</v>
      </c>
    </row>
    <row r="13" spans="1:10" ht="20.100000000000001" customHeight="1" x14ac:dyDescent="0.25">
      <c r="A13" s="16" t="str">
        <f>HYPERLINK("#'Input - Crop pasture farm input'!A1", "Crop pasture farm input")</f>
        <v>Crop pasture farm input</v>
      </c>
      <c r="D13" s="95" t="s">
        <v>228</v>
      </c>
      <c r="E13" s="96"/>
      <c r="F13" s="14"/>
    </row>
    <row r="14" spans="1:10" ht="20.100000000000001" customHeight="1" x14ac:dyDescent="0.25">
      <c r="A14" s="16" t="str">
        <f>HYPERLINK("#'Input - Hort farm Inputs'!A1", "Hort farm Inputs")</f>
        <v>Hort farm Inputs</v>
      </c>
      <c r="D14" s="14"/>
      <c r="E14" s="14"/>
      <c r="F14" s="14"/>
    </row>
    <row r="15" spans="1:10" ht="20.100000000000001" customHeight="1" x14ac:dyDescent="0.25">
      <c r="A15" s="16" t="str">
        <f>HYPERLINK("#'Input - Livestock farm Inputs'!A1", "Livestock farm Inputs")</f>
        <v>Livestock farm Inputs</v>
      </c>
      <c r="D15" s="8" t="s">
        <v>229</v>
      </c>
      <c r="E15" s="97">
        <v>30000</v>
      </c>
      <c r="F15" s="65" t="s">
        <v>230</v>
      </c>
    </row>
    <row r="16" spans="1:10" ht="20.100000000000001" customHeight="1" x14ac:dyDescent="0.25">
      <c r="A16" s="16" t="str">
        <f>HYPERLINK("#'Input - Aquaculture inputs'!A1", "Aquaculture inputs")</f>
        <v>Aquaculture inputs</v>
      </c>
      <c r="D16" s="8" t="s">
        <v>231</v>
      </c>
      <c r="E16" s="49" t="e">
        <f>IF(X_Cell_Site_State="Western Australia", X_Cell_Site_Region, X_Cell_Site_State)</f>
        <v>#REF!</v>
      </c>
      <c r="F16" s="14"/>
    </row>
    <row r="17" spans="1:11" ht="20.100000000000001" customHeight="1" x14ac:dyDescent="0.25">
      <c r="A17" s="16" t="str">
        <f>HYPERLINK("#'Input - Beef cattle purchases'!A1", "Beef cattle purchases")</f>
        <v>Beef cattle purchases</v>
      </c>
      <c r="D17" s="8" t="s">
        <v>232</v>
      </c>
      <c r="E17" s="47" t="s">
        <v>950</v>
      </c>
      <c r="F17" s="65" t="s">
        <v>190</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c r="C20" s="98"/>
      <c r="D20" s="98"/>
      <c r="E20" s="98"/>
      <c r="F20" s="98"/>
      <c r="G20" s="98"/>
      <c r="H20" s="98"/>
      <c r="I20" s="98"/>
      <c r="J20" s="98"/>
    </row>
    <row r="21" spans="1:11" ht="20.100000000000001" customHeight="1" x14ac:dyDescent="0.25">
      <c r="A21" s="16" t="str">
        <f>HYPERLINK("#'Input - Freight'!A1", "Freight")</f>
        <v>Freight</v>
      </c>
      <c r="D21" s="9" t="s">
        <v>233</v>
      </c>
    </row>
    <row r="22" spans="1:11" ht="20.100000000000001" customHeight="1" x14ac:dyDescent="0.25">
      <c r="A22" s="16" t="str">
        <f>HYPERLINK("#'Input - Solid waste'!A1", "Solid waste")</f>
        <v>Solid waste</v>
      </c>
      <c r="E22" s="54" t="e">
        <f>IF(E16="ACT", "", "ALERT: Your farm is not in the ACT, so the JRPP is not applicable")</f>
        <v>#REF!</v>
      </c>
    </row>
    <row r="23" spans="1:11" ht="20.100000000000001" customHeight="1" x14ac:dyDescent="0.25">
      <c r="A23" s="16" t="str">
        <f>HYPERLINK("#'Input - Manure sent off-site'!A1", "Manure sent off-site")</f>
        <v>Manure sent off-site</v>
      </c>
      <c r="D23" s="8" t="s">
        <v>234</v>
      </c>
      <c r="E23" s="97">
        <v>30000</v>
      </c>
      <c r="F23" s="65" t="s">
        <v>230</v>
      </c>
    </row>
    <row r="24" spans="1:11" ht="20.100000000000001" customHeight="1" x14ac:dyDescent="0.25">
      <c r="A24" s="42" t="str">
        <f>HYPERLINK("#'Input - Electricity'!A1", "Electricity")</f>
        <v>Electricity</v>
      </c>
      <c r="D24" s="8" t="s">
        <v>235</v>
      </c>
      <c r="E24" s="86">
        <v>0.1</v>
      </c>
      <c r="F24" s="65" t="s">
        <v>236</v>
      </c>
    </row>
    <row r="25" spans="1:11" ht="20.100000000000001" customHeight="1" x14ac:dyDescent="0.25">
      <c r="A25"/>
      <c r="D25" s="8" t="s">
        <v>237</v>
      </c>
      <c r="E25" s="86">
        <v>0.1</v>
      </c>
      <c r="F25" s="65" t="s">
        <v>236</v>
      </c>
    </row>
    <row r="26" spans="1:11" ht="20.100000000000001" customHeight="1" x14ac:dyDescent="0.25">
      <c r="A26"/>
    </row>
    <row r="27" spans="1:11" ht="20.100000000000001" customHeight="1" x14ac:dyDescent="0.25">
      <c r="A27" s="21" t="s">
        <v>77</v>
      </c>
      <c r="D27" s="8" t="s">
        <v>238</v>
      </c>
      <c r="E27" s="97">
        <v>10000</v>
      </c>
      <c r="F27" s="65" t="s">
        <v>230</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c r="D29" s="8" t="s">
        <v>239</v>
      </c>
      <c r="E29" s="99" t="e">
        <f>TEXT(X_Cell_Site_StartDate, "dd mmm yyyy")</f>
        <v>#REF!</v>
      </c>
      <c r="K29" s="52"/>
    </row>
    <row r="30" spans="1:11" ht="20.100000000000001" customHeight="1" x14ac:dyDescent="0.25">
      <c r="A30" s="16" t="str">
        <f>HYPERLINK("#'Calcs - Manure sent off-site'!A1", "Calcs - Manure sent off-site")</f>
        <v>Calcs - Manure sent off-site</v>
      </c>
      <c r="D30" s="8" t="s">
        <v>240</v>
      </c>
      <c r="E30" s="99" t="e">
        <f>TEXT(X_Cell_Site_EndDate, "dd mmm yyyy")</f>
        <v>#REF!</v>
      </c>
      <c r="K30" s="52"/>
    </row>
    <row r="31" spans="1:11" ht="20.100000000000001" customHeight="1" x14ac:dyDescent="0.25">
      <c r="A31" s="16" t="str">
        <f>HYPERLINK("#'8.1.1.1-2 Transport fuel'!A1", "8.1.1.1-2 Transport fuel")</f>
        <v>8.1.1.1-2 Transport fuel</v>
      </c>
      <c r="K31" s="52"/>
    </row>
    <row r="32" spans="1:11" ht="20.100000000000001" customHeight="1" x14ac:dyDescent="0.25">
      <c r="A32" s="16" t="str">
        <f>HYPERLINK("#'8.2.1.1-2 Stationary fuel'!A1", "8.2.1.1-2 Stationary fuel")</f>
        <v>8.2.1.1-2 Stationary fuel</v>
      </c>
      <c r="D32" s="71" t="s">
        <v>241</v>
      </c>
      <c r="K32" s="52"/>
    </row>
    <row r="33" spans="1:12" ht="20.100000000000001" customHeight="1" x14ac:dyDescent="0.25">
      <c r="A33"/>
      <c r="K33" s="52"/>
    </row>
    <row r="34" spans="1:12" ht="20.100000000000001" customHeight="1" x14ac:dyDescent="0.25">
      <c r="A34"/>
      <c r="D34" s="95" t="s">
        <v>120</v>
      </c>
      <c r="E34" s="96"/>
      <c r="K34" s="52"/>
    </row>
    <row r="35" spans="1:12" ht="20.100000000000001" customHeight="1" x14ac:dyDescent="0.25">
      <c r="A35" s="222" t="s">
        <v>78</v>
      </c>
    </row>
    <row r="36" spans="1:12" ht="20.100000000000001" customHeight="1" x14ac:dyDescent="0.25">
      <c r="A36" s="16" t="str">
        <f>HYPERLINK("#'Constants - Scope 3'!A1", "Constants - Scope 3")</f>
        <v>Constants - Scope 3</v>
      </c>
      <c r="D36" s="46" t="s">
        <v>242</v>
      </c>
      <c r="E36" s="46" t="s">
        <v>243</v>
      </c>
      <c r="F36" s="46" t="s">
        <v>244</v>
      </c>
      <c r="G36" s="46" t="s">
        <v>245</v>
      </c>
      <c r="H36" s="46" t="s">
        <v>246</v>
      </c>
      <c r="I36" s="46" t="s">
        <v>247</v>
      </c>
      <c r="L36" s="52"/>
    </row>
    <row r="37" spans="1:12" ht="20.100000000000001" customHeight="1" x14ac:dyDescent="0.25">
      <c r="A37" s="16" t="str">
        <f>HYPERLINK("#'Constants - Solid Waste'!A1", "Constants - Solid Waste")</f>
        <v>Constants - Solid Waste</v>
      </c>
      <c r="D37" s="10" t="s">
        <v>951</v>
      </c>
      <c r="E37" s="47" t="s">
        <v>248</v>
      </c>
      <c r="F37" s="100">
        <v>44185</v>
      </c>
      <c r="G37" s="10">
        <v>12</v>
      </c>
      <c r="H37" s="49">
        <f>Table_Input_RECSurrendered[[#This Row],[Number of certificates]]</f>
        <v>12</v>
      </c>
      <c r="I37" s="49" t="e">
        <f>IF(DATEDIF(Table_Input_RECSurrendered[[#This Row],[Generation date]],DATEVALUE($E$30),"M")&gt;36,"Ineligible - older than 36 months","Elegible")</f>
        <v>#REF!</v>
      </c>
      <c r="L37" s="52"/>
    </row>
    <row r="38" spans="1:12" ht="20.100000000000001" customHeight="1" x14ac:dyDescent="0.25">
      <c r="A38" s="16" t="str">
        <f>HYPERLINK("#'Constants - Fuel'!A1", "Constants - Fuel")</f>
        <v>Constants - Fuel</v>
      </c>
      <c r="D38" s="10" t="s">
        <v>952</v>
      </c>
      <c r="E38" s="47" t="s">
        <v>249</v>
      </c>
      <c r="F38" s="100">
        <v>44575</v>
      </c>
      <c r="G38" s="10">
        <v>5</v>
      </c>
      <c r="H38" s="49">
        <f>Table_Input_RECSurrendered[[#This Row],[Number of certificates]]</f>
        <v>5</v>
      </c>
      <c r="I38" s="49" t="e">
        <f>IF(DATEDIF(Table_Input_RECSurrendered[[#This Row],[Generation date]],DATEVALUE($E$30),"M")&gt;36,"Ineligible - older than 36 months","Elegible")</f>
        <v>#REF!</v>
      </c>
    </row>
    <row r="39" spans="1:12" ht="20.100000000000001" customHeight="1" x14ac:dyDescent="0.25">
      <c r="A39" s="16" t="str">
        <f>HYPERLINK("#'Constants - Poultry'!A1", "Constants - Poultry")</f>
        <v>Constants - Poultry</v>
      </c>
      <c r="D39" s="10" t="s">
        <v>953</v>
      </c>
      <c r="E39" s="47" t="s">
        <v>248</v>
      </c>
      <c r="F39" s="100">
        <v>45438</v>
      </c>
      <c r="G39" s="10">
        <v>5</v>
      </c>
      <c r="H39" s="49">
        <f>Table_Input_RECSurrendered[[#This Row],[Number of certificates]]</f>
        <v>5</v>
      </c>
      <c r="I39" s="49" t="e">
        <f>IF(DATEDIF(Table_Input_RECSurrendered[[#This Row],[Generation date]],DATEVALUE($E$30),"M")&gt;36,"Ineligible - older than 36 months","Elegible")</f>
        <v>#REF!</v>
      </c>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t="s">
        <v>250</v>
      </c>
      <c r="E41" s="49">
        <f>SUMIF(Table_Input_RECSurrendered[Elegibility], "Elegible", Table_Input_RECSurrendered[MWh])</f>
        <v>0</v>
      </c>
      <c r="F41" s="65" t="s">
        <v>246</v>
      </c>
      <c r="G41" s="8"/>
      <c r="H41" s="8"/>
      <c r="I41" s="8"/>
      <c r="J41" s="8"/>
      <c r="L41" s="52" t="s">
        <v>252</v>
      </c>
    </row>
    <row r="42" spans="1:12" ht="20.100000000000001" customHeight="1" x14ac:dyDescent="0.25">
      <c r="A42" s="16" t="str">
        <f>HYPERLINK("#'Constants - Pasture Beef'!A1", "Constants - Pasture Beef")</f>
        <v>Constants - Pasture Beef</v>
      </c>
      <c r="C42" s="51"/>
    </row>
    <row r="43" spans="1:12" ht="20.100000000000001" customHeight="1" x14ac:dyDescent="0.25">
      <c r="A43" s="16" t="str">
        <f>HYPERLINK("#'Constants - Common Livestock'!A1", "Constants - Common Livestock")</f>
        <v>Constants - Common Livestock</v>
      </c>
      <c r="C43" s="51"/>
      <c r="D43" s="71" t="s">
        <v>251</v>
      </c>
      <c r="J43" s="51"/>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c r="D45" s="46" t="s">
        <v>242</v>
      </c>
      <c r="E45" s="46" t="s">
        <v>139</v>
      </c>
      <c r="F45" s="46" t="s">
        <v>244</v>
      </c>
      <c r="G45" s="46" t="s">
        <v>245</v>
      </c>
      <c r="H45" s="46" t="s">
        <v>246</v>
      </c>
      <c r="I45" s="46" t="s">
        <v>247</v>
      </c>
    </row>
    <row r="46" spans="1:12" ht="20.100000000000001" customHeight="1" x14ac:dyDescent="0.25">
      <c r="A46" s="16" t="str">
        <f>HYPERLINK("#'Constants - Common'!A1", "Constants - Common")</f>
        <v>Constants - Common</v>
      </c>
      <c r="D46" s="10" t="s">
        <v>253</v>
      </c>
      <c r="E46" s="229" t="str">
        <f>"Issued for generated electricity"</f>
        <v>Issued for generated electricity</v>
      </c>
      <c r="F46" s="100">
        <v>44697</v>
      </c>
      <c r="G46" s="10">
        <v>10</v>
      </c>
      <c r="H46" s="49">
        <f>Table_Input_RECConsumedByEntity[[#This Row],[Number of certificates]]</f>
        <v>10</v>
      </c>
      <c r="I46" s="49" t="e">
        <f>IF(AND(Table_Input_RECConsumedByEntity[[#This Row],[Generation date]]&gt;=DATEVALUE($E$29), Table_Input_RECConsumedByEntity[[#This Row],[Generation date]]&lt;= DATEVALUE($E$30)), "Elegible", "Ineligible - outside reporting year")</f>
        <v>#REF!</v>
      </c>
    </row>
    <row r="47" spans="1:12" ht="20.100000000000001" customHeight="1" x14ac:dyDescent="0.25">
      <c r="A47"/>
      <c r="D47" s="10" t="s">
        <v>954</v>
      </c>
      <c r="E47" s="229" t="str">
        <f>"Issued for generated electricity"</f>
        <v>Issued for generated electricity</v>
      </c>
      <c r="F47" s="100">
        <v>45483</v>
      </c>
      <c r="G47" s="10">
        <v>4</v>
      </c>
      <c r="H47" s="49">
        <f>Table_Input_RECConsumedByEntity[[#This Row],[Number of certificates]]</f>
        <v>4</v>
      </c>
      <c r="I47" s="49" t="e">
        <f>IF(AND(Table_Input_RECConsumedByEntity[[#This Row],[Generation date]]&gt;=DATEVALUE($E$29), Table_Input_RECConsumedByEntity[[#This Row],[Generation date]]&lt;= DATEVALUE($E$30)), "Elegible", "Ineligible - outside reporting year")</f>
        <v>#REF!</v>
      </c>
    </row>
    <row r="48" spans="1:12" ht="20.100000000000001" customHeight="1" x14ac:dyDescent="0.25">
      <c r="A48"/>
      <c r="D48" s="230">
        <v>45597</v>
      </c>
      <c r="E48" s="229" t="str">
        <f>"Issued for generated electricity"</f>
        <v>Issued for generated electricity</v>
      </c>
      <c r="F48" s="100">
        <v>45607</v>
      </c>
      <c r="G48" s="10">
        <v>7</v>
      </c>
      <c r="H48" s="49">
        <f>Table_Input_RECConsumedByEntity[[#This Row],[Number of certificates]]</f>
        <v>7</v>
      </c>
      <c r="I48" s="49" t="e">
        <f>IF(AND(Table_Input_RECConsumedByEntity[[#This Row],[Generation date]]&gt;=DATEVALUE($E$29), Table_Input_RECConsumedByEntity[[#This Row],[Generation date]]&lt;= DATEVALUE($E$30)), "Elegible", "Ineligible - outside reporting year")</f>
        <v>#REF!</v>
      </c>
    </row>
    <row r="49" spans="1:6" ht="20.100000000000001" customHeight="1" x14ac:dyDescent="0.25">
      <c r="A49"/>
    </row>
    <row r="50" spans="1:6" ht="20.100000000000001" customHeight="1" x14ac:dyDescent="0.25">
      <c r="A50"/>
      <c r="D50" s="8" t="s">
        <v>254</v>
      </c>
      <c r="E50" s="49">
        <f>SUMIF(Table_Input_RECConsumedByEntity[Elegibility], "Elegible", Table_Input_RECConsumedByEntity[Number of certificates])</f>
        <v>0</v>
      </c>
      <c r="F50" s="65" t="s">
        <v>246</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DB25B10-A14E-4FF8-A4D4-04FEC8D54BA6}">
      <formula1>"Location-based (simpler), Market-based (more complex)"</formula1>
    </dataValidation>
    <dataValidation type="list" allowBlank="1" showInputMessage="1" showErrorMessage="1" sqref="E37:E39" xr:uid="{E5CD3A04-F581-4C70-8814-FD804B367A57}">
      <formula1>"Purchased certificate, Issued for generated electricity"</formula1>
    </dataValidation>
    <dataValidation type="list" allowBlank="1" showInputMessage="1" showErrorMessage="1" sqref="E17" xr:uid="{4CDCF5E4-38FF-4C1E-BEA6-1B97541F23CA}">
      <formula1>INDIRECT("Table_SourceData_ElectricityEFs[State, Territory or grid description]")</formula1>
    </dataValidation>
    <dataValidation type="list" allowBlank="1" showInputMessage="1" showErrorMessage="1" sqref="E69" xr:uid="{CE25A922-8352-48FC-B2EE-831A5A5242A1}">
      <formula1>INDIRECT("Table_SourceData_Swine_IrrigationMethods[Irrigation method]")</formula1>
    </dataValidation>
    <dataValidation type="list" allowBlank="1" showInputMessage="1" showErrorMessage="1" sqref="E253 E258 E263 E297 E292 E287 E165 E153 E129 E141" xr:uid="{0B39F2AE-ADD2-4751-A35F-275C963E0801}">
      <formula1>"Yes, No"</formula1>
    </dataValidation>
    <dataValidation type="list" allowBlank="1" showInputMessage="1" showErrorMessage="1" sqref="E229" xr:uid="{6DDDE572-1B0B-4C49-9F99-1947610A2AED}">
      <formula1>INDIRECT("Table_SourceData_Dairy_ProductionSystemTemplates[Area]")</formula1>
    </dataValidation>
    <dataValidation type="list" allowBlank="1" showInputMessage="1" showErrorMessage="1" sqref="D281" xr:uid="{05B07010-42CB-4536-972B-57DDB1BD266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L208"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816</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616</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617</v>
      </c>
      <c r="E10" s="8" t="str" cm="1">
        <f t="array" ref="E10">Scope3_Equations.VEERG_15_1_1_1__1_EmissionsFromPurchasedLivestock_Variable()</f>
        <v>E</v>
      </c>
    </row>
    <row r="11" spans="1:41" ht="20.100000000000001" customHeight="1" x14ac:dyDescent="0.25">
      <c r="A11" s="16" t="str">
        <f>HYPERLINK("#'Input - Common farm inputs'!A1", "Common farm inputs")</f>
        <v>Common farm inputs</v>
      </c>
      <c r="D11" s="27" t="s">
        <v>96</v>
      </c>
      <c r="E11" s="13" t="str" cm="1">
        <f t="array" ref="E11">Scope3_Equations.VEERG_15_1_1_1__1_EmissionsFromPurchasedLivestock_Unit()</f>
        <v>t CO2e</v>
      </c>
    </row>
    <row r="12" spans="1:41" ht="20.100000000000001" customHeight="1" x14ac:dyDescent="0.25">
      <c r="A12" s="16" t="str">
        <f>HYPERLINK("#'Input - Processing inputs'!A1", "Processing inputs")</f>
        <v>Processing inputs</v>
      </c>
    </row>
    <row r="13" spans="1:41" ht="20.100000000000001" customHeight="1" x14ac:dyDescent="0.25">
      <c r="A13" s="16" t="str">
        <f>HYPERLINK("#'Input - Crop pasture farm input'!A1", "Crop pasture farm input")</f>
        <v>Crop pasture farm input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Hort farm Inputs'!A1", "Hort farm Inputs")</f>
        <v>Hort farm Inputs</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Livestock farm Inputs'!A1", "Livestock farm Inputs")</f>
        <v>Livestock farm Inputs</v>
      </c>
      <c r="D15" s="167" t="str">
        <v>EF_co</v>
      </c>
      <c r="E15" s="171" t="str">
        <v>emission factor per livestock type and origin</v>
      </c>
      <c r="F15" s="166"/>
      <c r="G15" s="167" t="str">
        <v>kg CO2e/kg</v>
      </c>
      <c r="H15" s="169" t="str">
        <v>Constant</v>
      </c>
    </row>
    <row r="16" spans="1:41" ht="20.100000000000001" customHeight="1" x14ac:dyDescent="0.25">
      <c r="A16" s="16" t="str">
        <f>HYPERLINK("#'Input - Aquaculture inputs'!A1", "Aquaculture inputs")</f>
        <v>Aquaculture inputs</v>
      </c>
      <c r="D16" s="167" t="str">
        <v>c</v>
      </c>
      <c r="E16" s="171" t="str">
        <v>livestock type</v>
      </c>
      <c r="F16" s="166"/>
      <c r="G16" s="167" t="str">
        <v/>
      </c>
      <c r="H16" s="168" t="str">
        <v>Input</v>
      </c>
    </row>
    <row r="17" spans="1:16" ht="20.100000000000001" customHeight="1" x14ac:dyDescent="0.25">
      <c r="A17" s="16" t="str">
        <f>HYPERLINK("#'Input - Beef cattle purchases'!A1", "Beef cattle purchases")</f>
        <v>Beef cattle purchases</v>
      </c>
      <c r="D17" s="167" t="str">
        <v>o</v>
      </c>
      <c r="E17" s="171" t="str">
        <v>origin</v>
      </c>
      <c r="F17" s="166"/>
      <c r="G17" s="167" t="str">
        <v/>
      </c>
      <c r="H17" s="168" t="str">
        <v>Input</v>
      </c>
    </row>
    <row r="18" spans="1:16" ht="20.100000000000001" customHeight="1" x14ac:dyDescent="0.25">
      <c r="A18" s="16" t="str">
        <f>HYPERLINK("#'Input - Dairy cattle purchases'!A1", "Dairy cattle purchases")</f>
        <v>Dairy cattle purchases</v>
      </c>
    </row>
    <row r="19" spans="1:16" ht="20.100000000000001" customHeight="1" x14ac:dyDescent="0.25">
      <c r="A19" s="16" t="str">
        <f>HYPERLINK("#'Input - Pig purchases'!A1", "Pig purchases")</f>
        <v>Pig purchases</v>
      </c>
      <c r="D19" s="95" t="s">
        <v>557</v>
      </c>
      <c r="E19" s="110"/>
      <c r="F19" s="96"/>
    </row>
    <row r="20" spans="1:16" ht="20.100000000000001" customHeight="1" x14ac:dyDescent="0.25">
      <c r="A20" s="16" t="str">
        <f>HYPERLINK("#'Input - Poultry purchases'!A1", "Poultry purchases")</f>
        <v>Poultry purchases</v>
      </c>
    </row>
    <row r="21" spans="1:16" ht="20.100000000000001" customHeight="1" x14ac:dyDescent="0.25">
      <c r="A21" s="16" t="str">
        <f>HYPERLINK("#'Input - Freight'!A1", "Freight")</f>
        <v>Freight</v>
      </c>
      <c r="D21" s="144" t="s">
        <v>314</v>
      </c>
    </row>
    <row r="22" spans="1:16" ht="20.100000000000001" customHeight="1" x14ac:dyDescent="0.25">
      <c r="A22" s="16" t="str">
        <f>HYPERLINK("#'Input - Solid waste'!A1", "Solid waste")</f>
        <v>Solid waste</v>
      </c>
      <c r="D22" s="46" t="s">
        <v>351</v>
      </c>
      <c r="E22" s="152" t="s">
        <v>610</v>
      </c>
      <c r="F22" s="152" t="s">
        <v>609</v>
      </c>
      <c r="G22" s="152" t="s">
        <v>611</v>
      </c>
      <c r="H22" s="152" t="s">
        <v>612</v>
      </c>
      <c r="I22" s="57" t="s">
        <v>614</v>
      </c>
      <c r="J22" s="57" t="s">
        <v>623</v>
      </c>
      <c r="K22" s="152" t="s">
        <v>613</v>
      </c>
      <c r="L22" s="46" t="s">
        <v>615</v>
      </c>
      <c r="M22" s="57" t="s">
        <v>625</v>
      </c>
      <c r="N22" s="46" t="s">
        <v>619</v>
      </c>
      <c r="O22" s="46" t="s">
        <v>620</v>
      </c>
      <c r="P22" s="46" t="s">
        <v>621</v>
      </c>
    </row>
    <row r="23" spans="1:16" ht="20.100000000000001" customHeight="1" x14ac:dyDescent="0.25">
      <c r="A23" s="16" t="str">
        <f>HYPERLINK("#'Input - Manure sent off-site'!A1", "Manure sent off-site")</f>
        <v>Manure sent off-site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593</v>
      </c>
      <c r="O23" s="47" t="s">
        <v>592</v>
      </c>
      <c r="P23" t="s">
        <v>594</v>
      </c>
    </row>
    <row r="24" spans="1:16" ht="20.100000000000001" customHeight="1" x14ac:dyDescent="0.25">
      <c r="A24" s="16" t="str">
        <f>HYPERLINK("#'Input - Electricity'!A1", "Electricity")</f>
        <v>Electricity</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1" t="s">
        <v>77</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80" t="str">
        <f>HYPERLINK("#'15 Scope 3'!A1", "15 Scope 3")</f>
        <v>15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HYPERLINK("#'10.1.1-2 Solid waste treatment'!A1", "10.1.1-2 Solid waste treatment")</f>
        <v>10.1.1-2 Solid waste treatment</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HYPERLINK("#'Calcs - Manure sent off-site'!A1", "Calcs - Manure sent off-site")</f>
        <v>Calcs - Manure sent off-site</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HYPERLINK("#'8.1.1.1-2 Transport fuel'!A1", "8.1.1.1-2 Transport fuel")</f>
        <v>8.1.1.1-2 Transport fuel</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HYPERLINK("#'8.2.1.1-2 Stationary fuel'!A1", "8.2.1.1-2 Stationary fuel")</f>
        <v>8.2.1.1-2 Stationary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row r="34" spans="1:13" ht="20.100000000000001" customHeight="1" x14ac:dyDescent="0.25">
      <c r="D34" s="174" t="s">
        <v>639</v>
      </c>
      <c r="E34" s="98">
        <f>SUM(J23:J32)</f>
        <v>1052.5</v>
      </c>
      <c r="F34" s="175" t="str">
        <f>$E$11</f>
        <v>t CO2e</v>
      </c>
    </row>
    <row r="35" spans="1:13" ht="20.100000000000001" customHeight="1" x14ac:dyDescent="0.25">
      <c r="A35" s="222" t="s">
        <v>78</v>
      </c>
      <c r="D35" s="174" t="s">
        <v>640</v>
      </c>
      <c r="E35" s="98">
        <f>SUM(M23:M32)</f>
        <v>1014.5</v>
      </c>
      <c r="F35" s="175" t="str">
        <f>$E$11</f>
        <v>t CO2e</v>
      </c>
    </row>
    <row r="36" spans="1:13" ht="20.100000000000001" customHeight="1" x14ac:dyDescent="0.25">
      <c r="A36" s="16" t="str">
        <f>HYPERLINK("#'Constants - Scope 3'!A1", "Constants - Scope 3")</f>
        <v>Constants - Scope 3</v>
      </c>
    </row>
    <row r="37" spans="1:13" ht="20.100000000000001" customHeight="1" x14ac:dyDescent="0.25">
      <c r="A37" s="16" t="str">
        <f>HYPERLINK("#'Constants - Solid Waste'!A1", "Constants - Solid Waste")</f>
        <v>Constants - Solid Waste</v>
      </c>
    </row>
    <row r="38" spans="1:13" ht="20.100000000000001" customHeight="1" x14ac:dyDescent="0.25">
      <c r="A38" s="16" t="str">
        <f>HYPERLINK("#'Constants - Fuel'!A1", "Constants - Fuel")</f>
        <v>Constants - Fuel</v>
      </c>
      <c r="D38" s="144" t="s">
        <v>330</v>
      </c>
    </row>
    <row r="39" spans="1:13" ht="20.100000000000001" customHeight="1" x14ac:dyDescent="0.25">
      <c r="A39" s="16" t="str">
        <f>HYPERLINK("#'Constants - Poultry'!A1", "Constants - Poultry")</f>
        <v>Constants - Poultry</v>
      </c>
      <c r="D39" s="167" t="s">
        <v>618</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Swine'!A1", "Constants - Swine")</f>
        <v>Constants - Swine</v>
      </c>
    </row>
    <row r="41" spans="1:13" ht="20.100000000000001" customHeight="1" x14ac:dyDescent="0.25">
      <c r="A41" s="16" t="str">
        <f>HYPERLINK("#'Constants - Dairy'!A1", "Constants - Dairy")</f>
        <v>Constants - Dairy</v>
      </c>
      <c r="D41" s="46" t="s">
        <v>351</v>
      </c>
      <c r="E41" s="152" t="s">
        <v>611</v>
      </c>
      <c r="F41" s="152" t="s">
        <v>612</v>
      </c>
      <c r="G41" s="57" t="s">
        <v>623</v>
      </c>
      <c r="H41" s="152" t="s">
        <v>613</v>
      </c>
      <c r="I41" s="46" t="s">
        <v>615</v>
      </c>
      <c r="J41" s="57" t="s">
        <v>625</v>
      </c>
      <c r="K41" s="46" t="s">
        <v>619</v>
      </c>
      <c r="L41" s="46" t="s">
        <v>620</v>
      </c>
      <c r="M41" s="46" t="s">
        <v>621</v>
      </c>
    </row>
    <row r="42" spans="1:13" ht="20.100000000000001" customHeight="1" x14ac:dyDescent="0.25">
      <c r="A42" s="16" t="str">
        <f>HYPERLINK("#'Constants - Pasture Beef'!A1", "Constants - Pasture Beef")</f>
        <v>Constants - Pasture Beef</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593</v>
      </c>
      <c r="L42" s="47" t="s">
        <v>592</v>
      </c>
      <c r="M42" t="s">
        <v>594</v>
      </c>
    </row>
    <row r="43" spans="1:13" ht="20.100000000000001" customHeight="1" x14ac:dyDescent="0.25">
      <c r="A43" s="16" t="str">
        <f>HYPERLINK("#'Constants - Common Livestock'!A1", "Constants - Common Livestock")</f>
        <v>Constants - Common Livestock</v>
      </c>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A44" s="16" t="str">
        <f>HYPERLINK("#'Constants - Fertiliser'!A1", "Constants - Fertiliser")</f>
        <v>Constants - Fertiliser</v>
      </c>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A45" s="16" t="str">
        <f>HYPERLINK("#'Constants - Electricity'!A1", "Constants - Electricity")</f>
        <v>Constants - Electricity</v>
      </c>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A46" s="16" t="str">
        <f>HYPERLINK("#'Constants - Common'!A1", "Constants - Common")</f>
        <v>Constants - Common</v>
      </c>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637</v>
      </c>
      <c r="E53" s="98">
        <f>SUM(G42:G51)</f>
        <v>295.47000000000003</v>
      </c>
      <c r="F53" s="175" t="str">
        <f>$E$11</f>
        <v>t CO2e</v>
      </c>
    </row>
    <row r="54" spans="4:13" ht="20.100000000000001" customHeight="1" x14ac:dyDescent="0.25">
      <c r="D54" s="174" t="s">
        <v>638</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532</v>
      </c>
    </row>
    <row r="58" spans="4:13" ht="20.100000000000001" customHeight="1" x14ac:dyDescent="0.25">
      <c r="D58" s="167" t="s">
        <v>618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351</v>
      </c>
      <c r="E60" s="152" t="s">
        <v>611</v>
      </c>
      <c r="F60" s="152" t="s">
        <v>612</v>
      </c>
      <c r="G60" s="57" t="s">
        <v>623</v>
      </c>
      <c r="H60" s="152" t="s">
        <v>613</v>
      </c>
      <c r="I60" s="46" t="s">
        <v>615</v>
      </c>
      <c r="J60" s="57" t="s">
        <v>625</v>
      </c>
      <c r="K60" s="46" t="s">
        <v>619</v>
      </c>
      <c r="L60" s="46" t="s">
        <v>620</v>
      </c>
      <c r="M60" s="46" t="s">
        <v>621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635</v>
      </c>
      <c r="E72" s="98">
        <f>SUM(G61:G70)</f>
        <v>127.08800000000001</v>
      </c>
      <c r="F72" s="175" t="str">
        <f>$E$11</f>
        <v>t CO2e</v>
      </c>
    </row>
    <row r="73" spans="4:13" ht="20.100000000000001" customHeight="1" x14ac:dyDescent="0.25">
      <c r="D73" s="174" t="s">
        <v>636</v>
      </c>
      <c r="E73" s="98">
        <f>SUM(J61:J70)</f>
        <v>73.38000000000001</v>
      </c>
      <c r="F73" s="175" t="str">
        <f>$E$11</f>
        <v>t CO2e</v>
      </c>
    </row>
    <row r="74" spans="4:13" ht="20.100000000000001" customHeight="1" x14ac:dyDescent="0.25"/>
    <row r="75" spans="4:13" ht="20.100000000000001" customHeight="1" x14ac:dyDescent="0.25">
      <c r="D75" s="144" t="s">
        <v>558</v>
      </c>
    </row>
    <row r="76" spans="4:13" ht="20.100000000000001" customHeight="1" x14ac:dyDescent="0.25">
      <c r="D76" s="167" t="s">
        <v>618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351</v>
      </c>
      <c r="E78" s="152" t="s">
        <v>611</v>
      </c>
      <c r="F78" s="152" t="s">
        <v>612</v>
      </c>
      <c r="G78" s="57" t="s">
        <v>623</v>
      </c>
      <c r="H78" s="152" t="s">
        <v>613</v>
      </c>
      <c r="I78" s="46" t="s">
        <v>615</v>
      </c>
      <c r="J78" s="57" t="s">
        <v>625</v>
      </c>
      <c r="K78" s="46" t="s">
        <v>619</v>
      </c>
      <c r="L78" s="46" t="s">
        <v>620</v>
      </c>
      <c r="M78" s="46" t="s">
        <v>621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633</v>
      </c>
      <c r="E90" s="98">
        <f>SUM(G79:G88)</f>
        <v>0.36720000000000003</v>
      </c>
      <c r="F90" s="175" t="str">
        <f>$E$11</f>
        <v>t CO2e</v>
      </c>
    </row>
    <row r="91" spans="4:13" ht="20.100000000000001" customHeight="1" x14ac:dyDescent="0.25">
      <c r="D91" s="174" t="s">
        <v>634</v>
      </c>
      <c r="E91" s="98">
        <f>SUM(J79:J88)</f>
        <v>0.35940000000000005</v>
      </c>
      <c r="F91" s="175" t="str">
        <f>$E$11</f>
        <v>t CO2e</v>
      </c>
    </row>
    <row r="92" spans="4:13" ht="20.100000000000001" customHeight="1" x14ac:dyDescent="0.25"/>
    <row r="93" spans="4:13" ht="20.100000000000001" customHeight="1" x14ac:dyDescent="0.25">
      <c r="D93" s="176" t="s">
        <v>623</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625</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616</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617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284</v>
      </c>
    </row>
    <row r="111" spans="3:41" ht="20.100000000000001" customHeight="1" x14ac:dyDescent="0.25"/>
    <row r="112" spans="3:41" ht="20.100000000000001" customHeight="1" x14ac:dyDescent="0.25">
      <c r="D112" s="39" t="s">
        <v>627</v>
      </c>
      <c r="E112" s="41"/>
      <c r="F112" s="39"/>
      <c r="G112" s="40"/>
      <c r="H112" s="41"/>
    </row>
    <row r="113" spans="4:28" ht="20.100000000000001" customHeight="1" x14ac:dyDescent="0.25">
      <c r="D113" s="88" t="s">
        <v>628</v>
      </c>
      <c r="E113" s="90"/>
      <c r="F113" s="88"/>
      <c r="G113" s="89"/>
      <c r="H113" s="90"/>
    </row>
    <row r="114" spans="4:28" ht="20.100000000000001" customHeight="1" x14ac:dyDescent="0.25">
      <c r="D114" s="43" t="s">
        <v>629</v>
      </c>
      <c r="E114" s="45"/>
      <c r="F114" s="43"/>
      <c r="G114" s="44"/>
      <c r="H114" s="45"/>
    </row>
    <row r="115" spans="4:28" ht="20.100000000000001" customHeight="1" x14ac:dyDescent="0.25"/>
    <row r="116" spans="4:28" ht="20.100000000000001" customHeight="1" x14ac:dyDescent="0.25">
      <c r="D116" s="95" t="s">
        <v>390</v>
      </c>
      <c r="E116" s="110"/>
      <c r="F116" s="96"/>
    </row>
    <row r="117" spans="4:28" ht="20.100000000000001" customHeight="1" x14ac:dyDescent="0.25"/>
    <row r="118" spans="4:28" ht="20.100000000000001" customHeight="1" x14ac:dyDescent="0.25">
      <c r="D118" s="46" t="s">
        <v>394</v>
      </c>
      <c r="E118" s="46" t="s">
        <v>622</v>
      </c>
      <c r="F118" s="57" t="s">
        <v>626</v>
      </c>
      <c r="G118" s="57" t="s">
        <v>623</v>
      </c>
      <c r="H118" s="46" t="s">
        <v>624</v>
      </c>
      <c r="I118" s="57" t="s">
        <v>625</v>
      </c>
      <c r="J118" s="46" t="s">
        <v>619</v>
      </c>
      <c r="K118" s="46" t="s">
        <v>620</v>
      </c>
      <c r="L118" s="46" t="s">
        <v>621</v>
      </c>
      <c r="M118" s="57" t="s">
        <v>170</v>
      </c>
      <c r="N118" s="57" t="s">
        <v>375</v>
      </c>
      <c r="O118" s="57" t="s">
        <v>171</v>
      </c>
      <c r="P118" s="57" t="s">
        <v>337</v>
      </c>
      <c r="Q118" s="57" t="s">
        <v>172</v>
      </c>
      <c r="R118" s="57" t="s">
        <v>391</v>
      </c>
      <c r="S118" s="57" t="s">
        <v>173</v>
      </c>
      <c r="T118" s="57" t="s">
        <v>340</v>
      </c>
      <c r="U118" s="57" t="s">
        <v>174</v>
      </c>
      <c r="V118" s="57" t="s">
        <v>392</v>
      </c>
      <c r="W118" s="57" t="s">
        <v>175</v>
      </c>
      <c r="X118" s="57" t="s">
        <v>341</v>
      </c>
      <c r="Y118" s="57" t="s">
        <v>176</v>
      </c>
      <c r="Z118" s="57" t="s">
        <v>393</v>
      </c>
      <c r="AA118" s="57" t="s">
        <v>177</v>
      </c>
      <c r="AB118" s="57" t="s">
        <v>342</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623</v>
      </c>
      <c r="E130" s="98">
        <f>SUM(G119:G128)</f>
        <v>471.44159999999999</v>
      </c>
      <c r="F130" s="175" t="str">
        <f>$E$104</f>
        <v>t CO2e</v>
      </c>
    </row>
    <row r="131" spans="4:12" ht="20.100000000000001" customHeight="1" x14ac:dyDescent="0.25">
      <c r="D131" s="174" t="s">
        <v>625</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388</v>
      </c>
    </row>
    <row r="135" spans="4:12" ht="20.100000000000001" customHeight="1" x14ac:dyDescent="0.25">
      <c r="D135" s="46" t="s">
        <v>208</v>
      </c>
      <c r="E135" s="46" t="s">
        <v>622</v>
      </c>
      <c r="F135" s="57" t="s">
        <v>626</v>
      </c>
      <c r="G135" s="57" t="s">
        <v>623</v>
      </c>
      <c r="H135" s="46" t="s">
        <v>624</v>
      </c>
      <c r="I135" s="57" t="s">
        <v>625</v>
      </c>
      <c r="J135" s="46" t="s">
        <v>619</v>
      </c>
      <c r="K135" s="46" t="s">
        <v>620</v>
      </c>
      <c r="L135" s="46" t="s">
        <v>621</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623</v>
      </c>
      <c r="E141" s="98">
        <f>SUM(G136:G139)</f>
        <v>174.9</v>
      </c>
      <c r="F141" s="175" t="str">
        <f>$E$104</f>
        <v>t CO2e</v>
      </c>
    </row>
    <row r="142" spans="4:12" ht="20.100000000000001" customHeight="1" x14ac:dyDescent="0.25">
      <c r="D142" s="174" t="s">
        <v>625</v>
      </c>
      <c r="E142" s="98">
        <f>SUM(I136:I139)</f>
        <v>163.60000000000002</v>
      </c>
      <c r="F142" s="175" t="str">
        <f>$E$104</f>
        <v>t CO2e</v>
      </c>
    </row>
    <row r="143" spans="4:12" ht="20.100000000000001" customHeight="1" x14ac:dyDescent="0.25"/>
    <row r="144" spans="4:12" ht="20.100000000000001" customHeight="1" x14ac:dyDescent="0.25">
      <c r="D144" s="176" t="s">
        <v>623</v>
      </c>
      <c r="E144" s="177">
        <f>E130+E141</f>
        <v>646.34159999999997</v>
      </c>
      <c r="F144" s="178" t="str">
        <f>$E$104</f>
        <v>t CO2e</v>
      </c>
    </row>
    <row r="145" spans="3:41" ht="20.100000000000001" customHeight="1" x14ac:dyDescent="0.25">
      <c r="D145" s="176" t="s">
        <v>625</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616</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617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208</v>
      </c>
      <c r="E161" s="46" t="s">
        <v>630</v>
      </c>
      <c r="F161" s="57" t="s">
        <v>631</v>
      </c>
      <c r="G161" s="57" t="s">
        <v>623</v>
      </c>
      <c r="H161" s="46" t="s">
        <v>632</v>
      </c>
      <c r="I161" s="57" t="s">
        <v>625</v>
      </c>
      <c r="J161" s="46" t="s">
        <v>619</v>
      </c>
      <c r="K161" s="46" t="s">
        <v>620</v>
      </c>
      <c r="L161" s="46" t="s">
        <v>621</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623</v>
      </c>
      <c r="E166" s="177">
        <f>SUM(G162:G164)</f>
        <v>178.9</v>
      </c>
      <c r="F166" s="178" t="str">
        <f>$E$155</f>
        <v>t CO2e</v>
      </c>
    </row>
    <row r="167" spans="3:41" ht="20.100000000000001" customHeight="1" x14ac:dyDescent="0.25">
      <c r="D167" s="176" t="s">
        <v>625</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616</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617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616</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617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616</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617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359</v>
      </c>
    </row>
    <row r="217" spans="4:40" ht="20.100000000000001" customHeight="1" x14ac:dyDescent="0.25"/>
    <row r="218" spans="4:40" ht="20.100000000000001" customHeight="1" x14ac:dyDescent="0.25">
      <c r="D218" s="95" t="s">
        <v>358</v>
      </c>
      <c r="E218" s="110"/>
      <c r="F218" s="96"/>
    </row>
    <row r="219" spans="4:40" ht="20.100000000000001" customHeight="1" x14ac:dyDescent="0.25"/>
    <row r="220" spans="4:40" ht="20.100000000000001" customHeight="1" x14ac:dyDescent="0.25">
      <c r="D220" s="46" t="s">
        <v>208</v>
      </c>
      <c r="E220" s="46" t="s">
        <v>346</v>
      </c>
      <c r="F220" s="57" t="s">
        <v>658</v>
      </c>
      <c r="G220" s="57" t="s">
        <v>642</v>
      </c>
      <c r="H220" s="57" t="s">
        <v>641</v>
      </c>
      <c r="I220" s="46" t="s">
        <v>659</v>
      </c>
      <c r="J220" s="57" t="s">
        <v>643</v>
      </c>
      <c r="K220" s="57" t="s">
        <v>644</v>
      </c>
      <c r="L220" s="46" t="s">
        <v>619</v>
      </c>
      <c r="M220" s="46" t="s">
        <v>620</v>
      </c>
      <c r="N220" s="46" t="s">
        <v>621</v>
      </c>
      <c r="O220" s="57" t="s">
        <v>168</v>
      </c>
      <c r="P220" s="57" t="s">
        <v>169</v>
      </c>
      <c r="Q220" s="57" t="s">
        <v>170</v>
      </c>
      <c r="R220" s="57" t="s">
        <v>171</v>
      </c>
      <c r="S220" s="57" t="s">
        <v>646</v>
      </c>
      <c r="T220" s="46" t="s">
        <v>647</v>
      </c>
      <c r="U220" s="57" t="s">
        <v>172</v>
      </c>
      <c r="V220" s="57" t="s">
        <v>173</v>
      </c>
      <c r="W220" s="57" t="s">
        <v>648</v>
      </c>
      <c r="X220" s="46" t="s">
        <v>649</v>
      </c>
      <c r="Y220" s="57" t="s">
        <v>174</v>
      </c>
      <c r="Z220" s="57" t="s">
        <v>175</v>
      </c>
      <c r="AA220" s="57" t="s">
        <v>650</v>
      </c>
      <c r="AB220" s="46" t="s">
        <v>651</v>
      </c>
      <c r="AC220" s="57" t="s">
        <v>176</v>
      </c>
      <c r="AD220" s="57" t="s">
        <v>177</v>
      </c>
      <c r="AE220" s="57" t="s">
        <v>652</v>
      </c>
      <c r="AF220" s="46" t="s">
        <v>653</v>
      </c>
      <c r="AG220" s="57" t="s">
        <v>178</v>
      </c>
      <c r="AH220" s="57" t="s">
        <v>179</v>
      </c>
      <c r="AI220" s="57" t="s">
        <v>654</v>
      </c>
      <c r="AJ220" s="46" t="s">
        <v>655</v>
      </c>
      <c r="AK220" s="57" t="s">
        <v>180</v>
      </c>
      <c r="AL220" s="57" t="s">
        <v>181</v>
      </c>
      <c r="AM220" s="57" t="s">
        <v>656</v>
      </c>
      <c r="AN220" s="46" t="s">
        <v>657</v>
      </c>
    </row>
    <row r="221" spans="4:40" ht="20.100000000000001" customHeight="1" x14ac:dyDescent="0.25">
      <c r="D221" s="49" t="str" cm="1">
        <f t="array" ref="D221:D230">IFERROR(INDEX(Table_Input_InorganicFertiliser_Brands[Product (select)], _xlfn.SEQUENCE(10)), "")</f>
        <v>Urea</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v>
      </c>
      <c r="G222" s="151" cm="1">
        <f t="array" ref="G222">Scope3_Equations.VEERG_15_4_1_1__1_EmissionsFromPurchasedFertiliser(E222,F222)</f>
        <v>0</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0</v>
      </c>
      <c r="I222" s="66">
        <v>0.9</v>
      </c>
      <c r="J222" s="151" cm="1">
        <f t="array" ref="J222">Scope3_Equations.VEERG_15_4_1_1__1_EmissionsFromPurchasedFertiliser(E222,I222)</f>
        <v>0</v>
      </c>
      <c r="K222" s="1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0</v>
      </c>
      <c r="L222" s="82"/>
      <c r="M222" s="47"/>
      <c r="N222" s="82"/>
      <c r="O222" s="49" t="str">
        <v/>
      </c>
      <c r="P222" s="49" t="str">
        <v/>
      </c>
      <c r="Q222" s="49" t="str">
        <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v>0</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Cal-Gran 50/50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v>0</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0.47212500000000007</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Potassium - Generic</v>
      </c>
      <c r="R224" s="49">
        <v>0.22500000000000001</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Phosphorus - Generic</v>
      </c>
      <c r="V224" s="49">
        <v>0.04</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3.96</v>
      </c>
      <c r="X224" s="66"/>
      <c r="Y224" s="49" t="str">
        <v>Nitrogen - Generic</v>
      </c>
      <c r="Z224" s="49">
        <v>2.5999999999999999E-2</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4.2</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v>0</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0.47212500000000007</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Potassium - Generic</v>
      </c>
      <c r="R225" s="49">
        <v>0.22500000000000001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0.90900000000000003</v>
      </c>
      <c r="T225" s="66"/>
      <c r="U225" s="49" t="str">
        <v>Phosphorus - Generic</v>
      </c>
      <c r="V225" s="49">
        <v>0.04</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3.96</v>
      </c>
      <c r="X225" s="66"/>
      <c r="Y225" s="49" t="str">
        <v>Nitrogen - Generic</v>
      </c>
      <c r="Z225" s="49">
        <v>2.5999999999999999E-2</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4.2</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v>0</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0.47212500000000007</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Potassium - Generic</v>
      </c>
      <c r="R226" s="49">
        <v>0.22500000000000001</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0.90900000000000003</v>
      </c>
      <c r="T226" s="66"/>
      <c r="U226" s="49" t="str">
        <v>Phosphorus - Generic</v>
      </c>
      <c r="V226" s="49">
        <v>0.04</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3.96</v>
      </c>
      <c r="X226" s="66"/>
      <c r="Y226" s="49" t="str">
        <v>Nitrogen - Generic</v>
      </c>
      <c r="Z226" s="49">
        <v>2.5999999999999999E-2</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4.2</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v>0</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0.47212500000000007</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Potassium - Generic</v>
      </c>
      <c r="R227" s="49">
        <v>0.22500000000000001</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0.90900000000000003</v>
      </c>
      <c r="T227" s="66"/>
      <c r="U227" s="49" t="str">
        <v>Phosphorus - Generic</v>
      </c>
      <c r="V227" s="49">
        <v>0.04</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3.96</v>
      </c>
      <c r="X227" s="66"/>
      <c r="Y227" s="49" t="str">
        <v>Nitrogen - Generic</v>
      </c>
      <c r="Z227" s="49">
        <v>2.5999999999999999E-2</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4.2</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v>0</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0.47212500000000007</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Potassium - Generic</v>
      </c>
      <c r="R228" s="49">
        <v>0.22500000000000001</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0.90900000000000003</v>
      </c>
      <c r="T228" s="66"/>
      <c r="U228" s="49" t="str">
        <v>Phosphorus - Generic</v>
      </c>
      <c r="V228" s="49">
        <v>0.04</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3.96</v>
      </c>
      <c r="X228" s="66"/>
      <c r="Y228" s="49" t="str">
        <v>Nitrogen - Generic</v>
      </c>
      <c r="Z228" s="49">
        <v>2.5999999999999999E-2</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4.2</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v>0</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0.47212500000000007</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Potassium - Generic</v>
      </c>
      <c r="R229" s="49">
        <v>0.22500000000000001</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0.90900000000000003</v>
      </c>
      <c r="T229" s="66"/>
      <c r="U229" s="49" t="str">
        <v>Phosphorus - Generic</v>
      </c>
      <c r="V229" s="49">
        <v>0.04</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3.96</v>
      </c>
      <c r="X229" s="66"/>
      <c r="Y229" s="49" t="str">
        <v>Nitrogen - Generic</v>
      </c>
      <c r="Z229" s="49">
        <v>2.5999999999999999E-2</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4.2</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v>0</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0.47212500000000007</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Potassium - Generic</v>
      </c>
      <c r="R230" s="49">
        <v>0.22500000000000001</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0.90900000000000003</v>
      </c>
      <c r="T230" s="66"/>
      <c r="U230" s="49" t="str">
        <v>Phosphorus - Generic</v>
      </c>
      <c r="V230" s="49">
        <v>0.04</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3.96</v>
      </c>
      <c r="X230" s="66"/>
      <c r="Y230" s="49" t="str">
        <v>Nitrogen - Generic</v>
      </c>
      <c r="Z230" s="49">
        <v>2.5999999999999999E-2</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4.2</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645</v>
      </c>
    </row>
    <row r="233" spans="4:40" ht="20.100000000000001" customHeight="1" x14ac:dyDescent="0.25"/>
    <row r="234" spans="4:40" ht="20.100000000000001" customHeight="1" x14ac:dyDescent="0.25">
      <c r="D234" s="95" t="s">
        <v>660</v>
      </c>
      <c r="E234" s="110"/>
      <c r="F234" s="96"/>
    </row>
    <row r="235" spans="4:40" ht="20.100000000000001" customHeight="1" x14ac:dyDescent="0.25"/>
    <row r="236" spans="4:40" ht="20.100000000000001" customHeight="1" x14ac:dyDescent="0.25">
      <c r="D236" s="46" t="s">
        <v>394</v>
      </c>
      <c r="E236" s="46" t="s">
        <v>346</v>
      </c>
      <c r="F236" s="57" t="s">
        <v>658</v>
      </c>
      <c r="G236" s="57" t="s">
        <v>642</v>
      </c>
      <c r="H236" s="57" t="s">
        <v>641</v>
      </c>
      <c r="I236" s="46" t="s">
        <v>659</v>
      </c>
      <c r="J236" s="57" t="s">
        <v>643</v>
      </c>
      <c r="K236" s="57" t="s">
        <v>644</v>
      </c>
      <c r="L236" s="46" t="s">
        <v>619</v>
      </c>
      <c r="M236" s="46" t="s">
        <v>620</v>
      </c>
      <c r="N236" s="46" t="s">
        <v>621</v>
      </c>
      <c r="O236" s="57" t="s">
        <v>168</v>
      </c>
      <c r="P236" s="57" t="s">
        <v>169</v>
      </c>
      <c r="Q236" s="57" t="s">
        <v>170</v>
      </c>
      <c r="R236" s="57" t="s">
        <v>171</v>
      </c>
      <c r="S236" s="57" t="s">
        <v>646</v>
      </c>
      <c r="T236" s="46" t="s">
        <v>647</v>
      </c>
      <c r="U236" s="57" t="s">
        <v>172</v>
      </c>
      <c r="V236" s="57" t="s">
        <v>173</v>
      </c>
      <c r="W236" s="57" t="s">
        <v>648</v>
      </c>
      <c r="X236" s="46" t="s">
        <v>649</v>
      </c>
      <c r="Y236" s="57" t="s">
        <v>174</v>
      </c>
      <c r="Z236" s="57" t="s">
        <v>175</v>
      </c>
      <c r="AA236" s="57" t="s">
        <v>650</v>
      </c>
      <c r="AB236" s="46" t="s">
        <v>651</v>
      </c>
      <c r="AC236" s="57" t="s">
        <v>176</v>
      </c>
      <c r="AD236" s="57" t="s">
        <v>177</v>
      </c>
      <c r="AE236" s="57" t="s">
        <v>652</v>
      </c>
      <c r="AF236" s="46" t="s">
        <v>653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1" cm="1">
        <f t="array" ref="G237">Scope3_Equations.VEERG_15_4_1_1__1_EmissionsFromPurchasedFertiliser(E237,F237)</f>
        <v>0</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0</v>
      </c>
      <c r="I237" s="66">
        <v>0.4</v>
      </c>
      <c r="J237" s="151" cm="1">
        <f t="array" ref="J237">Scope3_Equations.VEERG_15_4_1_1__1_EmissionsFromPurchasedFertiliser(E237,I237)</f>
        <v>0</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0</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1"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1" cm="1">
        <f t="array" ref="J238">Scope3_Equations.VEERG_15_4_1_1__1_EmissionsFromPurchasedFertiliser(E238,I238)</f>
        <v>0</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v>0</v>
      </c>
      <c r="P240" s="49">
        <v>0</v>
      </c>
      <c r="Q240" s="49">
        <v>0</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v>0</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v>0</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v>0</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v>0</v>
      </c>
      <c r="P241" s="49">
        <v>0</v>
      </c>
      <c r="Q241" s="49">
        <v>0</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v>0</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v>0</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v>0</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v>0</v>
      </c>
      <c r="P242" s="49">
        <v>0</v>
      </c>
      <c r="Q242" s="49">
        <v>0</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v>0</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v>0</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v>0</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v>0</v>
      </c>
      <c r="P243" s="49">
        <v>0</v>
      </c>
      <c r="Q243" s="49">
        <v>0</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v>0</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v>0</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v>0</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v>0</v>
      </c>
      <c r="P244" s="49">
        <v>0</v>
      </c>
      <c r="Q244" s="49">
        <v>0</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v>0</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v>0</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v>0</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v>0</v>
      </c>
      <c r="P245" s="49">
        <v>0</v>
      </c>
      <c r="Q245" s="49">
        <v>0</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v>0</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v>0</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v>0</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v>0</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v>0</v>
      </c>
      <c r="P246" s="49">
        <v>0</v>
      </c>
      <c r="Q246" s="49">
        <v>0</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v>0</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v>0</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v>0</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661</v>
      </c>
      <c r="E248" s="177">
        <f>SUM(G221:G230)+SUM(G237:G246)</f>
        <v>0</v>
      </c>
      <c r="F248" s="178" t="str">
        <f>$E$155</f>
        <v>t CO2e</v>
      </c>
    </row>
    <row r="249" spans="3:41" ht="20.100000000000001" customHeight="1" x14ac:dyDescent="0.25">
      <c r="D249" s="179" t="s">
        <v>662</v>
      </c>
      <c r="E249" s="177">
        <f>SUM(J221:J230)+SUM(J237:J246)</f>
        <v>0</v>
      </c>
      <c r="F249" s="178" t="str">
        <f>$E$155</f>
        <v>t CO2e</v>
      </c>
    </row>
    <row r="250" spans="3:41" ht="20.100000000000001" customHeight="1" x14ac:dyDescent="0.25"/>
    <row r="251" spans="3:41" ht="20.100000000000001" customHeight="1" x14ac:dyDescent="0.25">
      <c r="D251" s="179" t="s">
        <v>663</v>
      </c>
      <c r="E251" s="177">
        <f>SUM(H221:H230)+SUM(H237:H246)</f>
        <v>0</v>
      </c>
      <c r="F251" s="178" t="str">
        <f>$E$155</f>
        <v>t CO2e</v>
      </c>
    </row>
    <row r="252" spans="3:41" ht="20.100000000000001" customHeight="1" x14ac:dyDescent="0.25">
      <c r="D252" s="179" t="s">
        <v>664</v>
      </c>
      <c r="E252" s="177">
        <f>SUM(K221:K230)+SUM(K237:K246)</f>
        <v>0</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616</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617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670</v>
      </c>
      <c r="E269" s="46" t="s">
        <v>197</v>
      </c>
      <c r="F269" s="57" t="s">
        <v>671</v>
      </c>
      <c r="G269" s="57" t="s">
        <v>623</v>
      </c>
      <c r="H269" s="46" t="s">
        <v>672</v>
      </c>
      <c r="I269" s="57" t="s">
        <v>625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623</v>
      </c>
      <c r="E283" s="177">
        <f>SUM(G270:G281)</f>
        <v>7.5159999999999991</v>
      </c>
      <c r="F283" s="178" t="str">
        <f>$E$155</f>
        <v>t CO2e</v>
      </c>
    </row>
    <row r="284" spans="3:41" ht="20.25" x14ac:dyDescent="0.25">
      <c r="D284" s="179" t="s">
        <v>625</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616</v>
      </c>
      <c r="E290" s="172" t="str" cm="1">
        <f t="array" aca="1" ref="E290" ca="1">Common_InputFunctions.Utility_DisplayFunctionName(I305)</f>
        <v>=Scope3_Equations.VEERG_15_6_1_1__1_EmissionsFromPurchasedLime</v>
      </c>
    </row>
    <row r="293" spans="4:13" x14ac:dyDescent="0.25">
      <c r="D293" s="27" t="s">
        <v>617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400</v>
      </c>
      <c r="F299" s="46" t="s">
        <v>401</v>
      </c>
    </row>
    <row r="300" spans="4:13" ht="18.75" x14ac:dyDescent="0.25">
      <c r="D300" s="8" t="s">
        <v>675</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676</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677</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167</v>
      </c>
      <c r="E304" s="152" t="s">
        <v>673</v>
      </c>
      <c r="F304" s="46" t="s">
        <v>678</v>
      </c>
      <c r="G304" s="46" t="s">
        <v>679</v>
      </c>
      <c r="H304" s="46" t="s">
        <v>680</v>
      </c>
      <c r="I304" s="57" t="s">
        <v>623</v>
      </c>
      <c r="J304" s="57" t="s">
        <v>674</v>
      </c>
      <c r="K304" s="46" t="s">
        <v>619</v>
      </c>
      <c r="L304" s="46" t="s">
        <v>620</v>
      </c>
      <c r="M304" s="46" t="s">
        <v>621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1" cm="1">
        <f t="array" ref="I305">Scope3_Equations.VEERG_15_6_1_1__1_EmissionsFromPurchasedLime(F305,$E$300)+
Scope3_Equations.VEERG_15_6_1_1__1_EmissionsFromPurchasedLime(G305,$E$301)+
Scope3_Equations.VEERG_15_6_1_1__1_EmissionsFromPurchasedLime(H305,$E$302)</f>
        <v>5.1839999999999994E-3</v>
      </c>
      <c r="J305" s="151"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4.8500000000000001E-3</v>
      </c>
      <c r="J306" s="151"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1" cm="1">
        <f t="array" ref="I307">Scope3_Equations.VEERG_15_6_1_1__1_EmissionsFromPurchasedLime(F307,$E$300)+
Scope3_Equations.VEERG_15_6_1_1__1_EmissionsFromPurchasedLime(G307,$E$301)+
Scope3_Equations.VEERG_15_6_1_1__1_EmissionsFromPurchasedLime(H307,$E$302)</f>
        <v>6.5199999999999998E-3</v>
      </c>
      <c r="J307" s="151"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623</v>
      </c>
      <c r="E316" s="177">
        <f>SUM(I305:I314)</f>
        <v>1.6553999999999999E-2</v>
      </c>
      <c r="F316" s="178" t="str">
        <f>$E$155</f>
        <v>t CO2e</v>
      </c>
    </row>
    <row r="317" spans="3:41" ht="20.25" x14ac:dyDescent="0.25">
      <c r="D317" s="179" t="s">
        <v>625</v>
      </c>
      <c r="E317" s="177">
        <f>SUM(J305:J314)</f>
        <v>1.4400000000000001E-2</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616</v>
      </c>
      <c r="E323" s="172" t="str" cm="1">
        <f t="array" aca="1" ref="E323" ca="1">Common_InputFunctions.Utility_DisplayFunctionName(K336)</f>
        <v>=Scope3_Equations.VEERG_15_7_1_1__1_EmissionsFromPurchasedServices</v>
      </c>
    </row>
    <row r="325" spans="4:15" x14ac:dyDescent="0.25">
      <c r="H325" s="8" t="s">
        <v>841</v>
      </c>
    </row>
    <row r="326" spans="4:15" x14ac:dyDescent="0.25">
      <c r="D326" s="27" t="s">
        <v>617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681</v>
      </c>
    </row>
    <row r="335" spans="4:15" x14ac:dyDescent="0.25">
      <c r="D335" s="46" t="s">
        <v>597</v>
      </c>
      <c r="E335" s="46" t="s">
        <v>606</v>
      </c>
      <c r="F335" s="46" t="s">
        <v>601</v>
      </c>
      <c r="G335" s="46" t="s">
        <v>125</v>
      </c>
      <c r="H335" s="57" t="s">
        <v>406</v>
      </c>
      <c r="I335" s="57" t="s">
        <v>343</v>
      </c>
      <c r="J335" s="46" t="s">
        <v>407</v>
      </c>
      <c r="K335" s="57" t="s">
        <v>344</v>
      </c>
      <c r="L335" s="57" t="s">
        <v>602</v>
      </c>
      <c r="M335" s="46" t="s">
        <v>619</v>
      </c>
      <c r="N335" s="46" t="s">
        <v>620</v>
      </c>
      <c r="O335" s="46" t="s">
        <v>621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809</v>
      </c>
      <c r="I336" s="49" t="s">
        <v>809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809</v>
      </c>
      <c r="I337" s="49" t="s">
        <v>809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809</v>
      </c>
      <c r="I338" s="49" t="s">
        <v>809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809</v>
      </c>
      <c r="I339" s="49" t="s">
        <v>809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809</v>
      </c>
      <c r="I340" s="49" t="s">
        <v>809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809</v>
      </c>
      <c r="I341" s="49" t="s">
        <v>809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809</v>
      </c>
      <c r="I342" s="49" t="s">
        <v>809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809</v>
      </c>
      <c r="I343" s="49" t="s">
        <v>809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809</v>
      </c>
      <c r="I344" s="49" t="s">
        <v>809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809</v>
      </c>
      <c r="I345" s="49" t="s">
        <v>809</v>
      </c>
      <c r="J345" s="66"/>
      <c r="K345" s="151" cm="1">
        <f t="array" ref="K345">Scope3_Equations.VEERG_15_7_1_1__1_EmissionsFromPurchasedServices(F345,J345)</f>
        <v>0</v>
      </c>
      <c r="L345" s="49" t="str">
        <f t="shared" si="1"/>
        <v>t CO2e / 0</v>
      </c>
      <c r="M345" s="82"/>
      <c r="N345" s="47"/>
      <c r="O345" s="82"/>
    </row>
    <row r="347" spans="3:41" ht="20.25" x14ac:dyDescent="0.25">
      <c r="D347" s="179" t="s">
        <v>623</v>
      </c>
      <c r="E347" s="177" t="s">
        <v>809</v>
      </c>
      <c r="F347" s="178" t="str">
        <f>$E$155</f>
        <v>t CO2e</v>
      </c>
    </row>
    <row r="348" spans="3:41" ht="20.25" x14ac:dyDescent="0.25">
      <c r="D348" s="179" t="s">
        <v>625</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616</v>
      </c>
      <c r="E355" s="172" t="str" cm="1">
        <f t="array" aca="1" ref="E355" ca="1">Common_InputFunctions.Utility_DisplayFunctionName(H367)</f>
        <v>=Scope3_Equations.VEERG_15_8_1_1__1_EmissionsFromPurchasedPackaging</v>
      </c>
    </row>
    <row r="359" spans="4:13" x14ac:dyDescent="0.25">
      <c r="D359" s="27" t="s">
        <v>617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351</v>
      </c>
      <c r="E366" s="152" t="s">
        <v>396</v>
      </c>
      <c r="F366" s="152" t="s">
        <v>682</v>
      </c>
      <c r="G366" s="57" t="s">
        <v>683</v>
      </c>
      <c r="H366" s="57" t="s">
        <v>623</v>
      </c>
      <c r="I366" s="46" t="s">
        <v>684</v>
      </c>
      <c r="J366" s="57" t="s">
        <v>625</v>
      </c>
      <c r="K366" s="46" t="s">
        <v>619</v>
      </c>
      <c r="L366" s="46" t="s">
        <v>620</v>
      </c>
      <c r="M366" s="46" t="s">
        <v>621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623</v>
      </c>
      <c r="E378" s="177">
        <f>SUM(H367:H376)</f>
        <v>7.44</v>
      </c>
      <c r="F378" s="178" t="str">
        <f>$E$155</f>
        <v>t CO2e</v>
      </c>
    </row>
    <row r="379" spans="3:41" ht="20.25" x14ac:dyDescent="0.25">
      <c r="D379" s="179" t="s">
        <v>625</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616</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617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681</v>
      </c>
    </row>
    <row r="398" spans="4:14" x14ac:dyDescent="0.25">
      <c r="D398" s="46" t="s">
        <v>686</v>
      </c>
      <c r="E398" s="46" t="s">
        <v>601</v>
      </c>
      <c r="F398" s="46" t="s">
        <v>125</v>
      </c>
      <c r="G398" s="57" t="s">
        <v>406</v>
      </c>
      <c r="H398" s="57" t="s">
        <v>343</v>
      </c>
      <c r="I398" s="46" t="s">
        <v>407</v>
      </c>
      <c r="J398" s="57" t="s">
        <v>344</v>
      </c>
      <c r="K398" s="57" t="s">
        <v>602</v>
      </c>
      <c r="L398" s="46" t="s">
        <v>619</v>
      </c>
      <c r="M398" s="46" t="s">
        <v>620</v>
      </c>
      <c r="N398" s="46" t="s">
        <v>621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809</v>
      </c>
      <c r="H399" s="49" t="s">
        <v>809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809</v>
      </c>
      <c r="H400" s="49" t="s">
        <v>809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809</v>
      </c>
      <c r="H401" s="49" t="s">
        <v>809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809</v>
      </c>
      <c r="H402" s="49" t="s">
        <v>809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809</v>
      </c>
      <c r="H403" s="49" t="s">
        <v>809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809</v>
      </c>
      <c r="H404" s="49" t="s">
        <v>809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809</v>
      </c>
      <c r="H405" s="49" t="s">
        <v>809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809</v>
      </c>
      <c r="H406" s="49" t="s">
        <v>809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809</v>
      </c>
      <c r="H407" s="49" t="s">
        <v>809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809</v>
      </c>
      <c r="H408" s="49" t="s">
        <v>809</v>
      </c>
      <c r="I408" s="66"/>
      <c r="J408" s="151" cm="1">
        <f t="array" ref="J408">Scope3_Equations.VEERG_15_9_1_1__1_EmissionsFromPurchasedGrowMedia(E408,I408)</f>
        <v>0</v>
      </c>
      <c r="K408" s="49" t="str">
        <f t="shared" si="2"/>
        <v>t CO2e / 0</v>
      </c>
      <c r="L408" s="82"/>
      <c r="M408" s="47"/>
      <c r="N408" s="82"/>
    </row>
    <row r="410" spans="3:41" ht="20.25" x14ac:dyDescent="0.25">
      <c r="D410" s="179" t="s">
        <v>623</v>
      </c>
      <c r="E410" s="177" t="s">
        <v>809</v>
      </c>
      <c r="F410" s="178" t="str">
        <f>$E$155</f>
        <v>t CO2e</v>
      </c>
    </row>
    <row r="411" spans="3:41" ht="20.25" x14ac:dyDescent="0.25">
      <c r="D411" s="179" t="s">
        <v>625</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694</v>
      </c>
    </row>
    <row r="418" spans="4:13" x14ac:dyDescent="0.25">
      <c r="D418" s="172" t="s">
        <v>616</v>
      </c>
      <c r="E418" s="172" t="str" cm="1">
        <f t="array" aca="1" ref="E418" ca="1">Common_InputFunctions.Utility_DisplayFunctionName(H430)</f>
        <v>=Scope3_Equations.VEERG_15_10_1_1__1_OtherPurchasedGoodsAndServices</v>
      </c>
    </row>
    <row r="421" spans="4:13" x14ac:dyDescent="0.25">
      <c r="D421" s="27" t="s">
        <v>617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365</v>
      </c>
    </row>
    <row r="429" spans="4:13" x14ac:dyDescent="0.25">
      <c r="D429" s="46" t="s">
        <v>351</v>
      </c>
      <c r="E429" s="152" t="s">
        <v>277</v>
      </c>
      <c r="F429" s="152" t="s">
        <v>367</v>
      </c>
      <c r="G429" s="57" t="s">
        <v>345</v>
      </c>
      <c r="H429" s="57" t="s">
        <v>623</v>
      </c>
      <c r="I429" s="46" t="s">
        <v>348</v>
      </c>
      <c r="J429" s="57" t="s">
        <v>625</v>
      </c>
      <c r="K429" s="46" t="s">
        <v>619</v>
      </c>
      <c r="L429" s="46" t="s">
        <v>620</v>
      </c>
      <c r="M429" s="46" t="s">
        <v>621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623</v>
      </c>
      <c r="E441" s="177">
        <f>SUM(H430:H439)</f>
        <v>0.50509999999999999</v>
      </c>
      <c r="F441" s="178" t="str">
        <f>$E$155</f>
        <v>t CO2e</v>
      </c>
    </row>
    <row r="442" spans="4:13" ht="20.25" x14ac:dyDescent="0.25">
      <c r="D442" s="179" t="s">
        <v>625</v>
      </c>
      <c r="E442" s="177">
        <f>SUM(J430:J439)</f>
        <v>2.73</v>
      </c>
      <c r="F442" s="178" t="str">
        <f>$E$155</f>
        <v>t CO2e</v>
      </c>
    </row>
    <row r="445" spans="4:13" ht="18.75" x14ac:dyDescent="0.25">
      <c r="D445" s="144" t="s">
        <v>366</v>
      </c>
    </row>
    <row r="447" spans="4:13" x14ac:dyDescent="0.25">
      <c r="D447" s="46" t="s">
        <v>351</v>
      </c>
      <c r="E447" s="152" t="s">
        <v>277</v>
      </c>
      <c r="F447" s="152" t="s">
        <v>364</v>
      </c>
      <c r="G447" s="57" t="s">
        <v>607</v>
      </c>
      <c r="H447" s="57" t="s">
        <v>623</v>
      </c>
      <c r="I447" s="46" t="s">
        <v>608</v>
      </c>
      <c r="J447" s="57" t="s">
        <v>625</v>
      </c>
      <c r="K447" s="46" t="s">
        <v>619</v>
      </c>
      <c r="L447" s="46" t="s">
        <v>620</v>
      </c>
      <c r="M447" s="46" t="s">
        <v>621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623</v>
      </c>
      <c r="E459" s="177">
        <f>SUM(H448:H457)</f>
        <v>1.5636000000000001E-2</v>
      </c>
      <c r="F459" s="178" t="str">
        <f>$E$155</f>
        <v>t CO2e</v>
      </c>
    </row>
    <row r="460" spans="4:13" ht="20.25" x14ac:dyDescent="0.25">
      <c r="D460" s="179" t="s">
        <v>625</v>
      </c>
      <c r="E460" s="177">
        <f>SUM(J448:J457)</f>
        <v>1.3400000000000002E-2</v>
      </c>
      <c r="F460" s="178" t="str">
        <f>$E$155</f>
        <v>t CO2e</v>
      </c>
    </row>
    <row r="463" spans="4:13" ht="18.75" x14ac:dyDescent="0.25">
      <c r="D463" s="144" t="s">
        <v>402</v>
      </c>
    </row>
    <row r="465" spans="4:12" x14ac:dyDescent="0.25">
      <c r="D465" s="46" t="s">
        <v>167</v>
      </c>
      <c r="E465" s="46" t="s">
        <v>695</v>
      </c>
      <c r="F465" s="57" t="s">
        <v>607</v>
      </c>
      <c r="G465" s="57" t="s">
        <v>623</v>
      </c>
      <c r="H465" s="46" t="s">
        <v>608</v>
      </c>
      <c r="I465" s="57" t="s">
        <v>625</v>
      </c>
      <c r="J465" s="46" t="s">
        <v>619</v>
      </c>
      <c r="K465" s="46" t="s">
        <v>620</v>
      </c>
      <c r="L465" s="46" t="s">
        <v>621</v>
      </c>
    </row>
    <row r="466" spans="4:12" x14ac:dyDescent="0.25">
      <c r="D466" s="49" t="str">
        <f>'Input - Crop pasture farm input'!D23</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623</v>
      </c>
      <c r="E472" s="177">
        <f>SUM(G466:G470)</f>
        <v>0.84389999999999998</v>
      </c>
      <c r="F472" s="178" t="str">
        <f>$E$155</f>
        <v>t CO2e</v>
      </c>
    </row>
    <row r="473" spans="4:12" ht="20.25" x14ac:dyDescent="0.25">
      <c r="D473" s="179" t="s">
        <v>625</v>
      </c>
      <c r="E473" s="177">
        <f>SUM(I466:I470)</f>
        <v>0.71420000000000006</v>
      </c>
      <c r="F473" s="178" t="str">
        <f>$E$155</f>
        <v>t CO2e</v>
      </c>
    </row>
    <row r="476" spans="4:12" ht="18.75" x14ac:dyDescent="0.25">
      <c r="D476" s="144" t="s">
        <v>696</v>
      </c>
    </row>
    <row r="478" spans="4:12" x14ac:dyDescent="0.25">
      <c r="D478" s="46" t="s">
        <v>167</v>
      </c>
      <c r="E478" s="46" t="s">
        <v>695</v>
      </c>
      <c r="F478" s="57" t="s">
        <v>607</v>
      </c>
      <c r="G478" s="57" t="s">
        <v>623</v>
      </c>
      <c r="H478" s="46" t="s">
        <v>608</v>
      </c>
      <c r="I478" s="57" t="s">
        <v>625</v>
      </c>
      <c r="J478" s="46" t="s">
        <v>619</v>
      </c>
      <c r="K478" s="46" t="s">
        <v>620</v>
      </c>
      <c r="L478" s="46" t="s">
        <v>621</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623</v>
      </c>
      <c r="E483" s="177">
        <f>SUM(G479:G481)</f>
        <v>2.9531000000000005</v>
      </c>
      <c r="F483" s="178" t="str">
        <f>$E$155</f>
        <v>t CO2e</v>
      </c>
    </row>
    <row r="484" spans="4:14" ht="20.25" x14ac:dyDescent="0.25">
      <c r="D484" s="179" t="s">
        <v>625</v>
      </c>
      <c r="E484" s="177">
        <f>SUM(I479:I481)</f>
        <v>8.5860000000000006E-2</v>
      </c>
      <c r="F484" s="178" t="str">
        <f>$E$155</f>
        <v>t CO2e</v>
      </c>
    </row>
    <row r="487" spans="4:14" ht="18.75" x14ac:dyDescent="0.25">
      <c r="D487" s="144" t="s">
        <v>697</v>
      </c>
    </row>
    <row r="489" spans="4:14" x14ac:dyDescent="0.25">
      <c r="D489" s="46" t="s">
        <v>167</v>
      </c>
      <c r="E489" s="46" t="s">
        <v>589</v>
      </c>
      <c r="F489" s="46" t="s">
        <v>125</v>
      </c>
      <c r="G489" s="57" t="s">
        <v>406</v>
      </c>
      <c r="H489" s="57" t="s">
        <v>343</v>
      </c>
      <c r="I489" s="46" t="s">
        <v>407</v>
      </c>
      <c r="J489" s="46" t="s">
        <v>692</v>
      </c>
      <c r="K489" s="57" t="s">
        <v>344</v>
      </c>
      <c r="L489" s="46" t="s">
        <v>619</v>
      </c>
      <c r="M489" s="46" t="s">
        <v>620</v>
      </c>
      <c r="N489" s="46" t="s">
        <v>621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809</v>
      </c>
      <c r="H490" s="49" t="s">
        <v>809</v>
      </c>
      <c r="I490" s="66">
        <v>4</v>
      </c>
      <c r="J490" s="47" t="s">
        <v>693</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809</v>
      </c>
      <c r="H491" s="49" t="s">
        <v>809</v>
      </c>
      <c r="I491" s="66">
        <v>2</v>
      </c>
      <c r="J491" s="47" t="s">
        <v>693</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809</v>
      </c>
      <c r="H492" s="49" t="s">
        <v>809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809</v>
      </c>
      <c r="H493" s="49" t="s">
        <v>809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809</v>
      </c>
      <c r="H494" s="49" t="s">
        <v>809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809</v>
      </c>
      <c r="H495" s="49" t="s">
        <v>809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809</v>
      </c>
      <c r="H496" s="49" t="s">
        <v>809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809</v>
      </c>
      <c r="H497" s="49" t="s">
        <v>809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809</v>
      </c>
      <c r="H498" s="49" t="s">
        <v>809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809</v>
      </c>
      <c r="H499" s="49" t="s">
        <v>809</v>
      </c>
      <c r="I499" s="66"/>
      <c r="J499" s="47"/>
      <c r="K499" s="151" cm="1">
        <f t="array" ref="K499">Scope3_Equations.VEERG_15_10_1_1__1_OtherPurchasedGoodsAndServices(E499,IF(J499="kg / amount unit", I499*10^-3, I499))</f>
        <v>0</v>
      </c>
      <c r="L499" s="82"/>
      <c r="M499" s="47"/>
      <c r="N499" s="82"/>
    </row>
    <row r="501" spans="3:41" ht="20.25" x14ac:dyDescent="0.25">
      <c r="D501" s="179" t="s">
        <v>623</v>
      </c>
      <c r="E501" s="177" t="s">
        <v>809</v>
      </c>
      <c r="F501" s="178" t="str">
        <f>$E$155</f>
        <v>t CO2e</v>
      </c>
    </row>
    <row r="502" spans="3:41" ht="20.25" x14ac:dyDescent="0.25">
      <c r="D502" s="179" t="s">
        <v>625</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616</v>
      </c>
      <c r="E508" s="172" t="str">
        <f ca="1">Common_InputFunctions.Utility_DisplayFunctionName(VEERG_15_11_1_1__1_TotalUpstreamEmissionsFromFuel_Result)</f>
        <v>=Scope3_Equations.VEERG_15_11_1_1__1_TotalUpstreamEmissionsFromFuel</v>
      </c>
    </row>
    <row r="512" spans="3:41" x14ac:dyDescent="0.25">
      <c r="D512" s="27" t="s">
        <v>617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20.5016</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5.8823999999999996</v>
      </c>
    </row>
    <row r="518" spans="3:41" ht="20.25" x14ac:dyDescent="0.25">
      <c r="D518" s="179" t="s">
        <v>731</v>
      </c>
      <c r="E518" s="177" cm="1">
        <f t="array" ref="E518">Scope3_Equations.VEERG_15_11_1_1__1_TotalUpstreamEmissionsFromFuel(I515,I516)</f>
        <v>26.384</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616</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617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30000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North Western Interconnected System (NWIS)</v>
      </c>
      <c r="J531" s="166"/>
    </row>
    <row r="533" spans="3:41" ht="20.25" x14ac:dyDescent="0.25">
      <c r="D533" s="179" t="s">
        <v>732</v>
      </c>
      <c r="E533" s="177" cm="1">
        <f t="array" ref="E533">Scope3_Equations.VEERG_15_12_1_1__1_UpstreamPurchasedElectricityLocationBased(I529,I530)</f>
        <v>2.7</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616</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617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10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0</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e">
        <f>X_Cell_Site_State</f>
        <v>#REF!</v>
      </c>
    </row>
    <row r="555" spans="3:41" ht="20.25" x14ac:dyDescent="0.25">
      <c r="D555" s="179" t="s">
        <v>732</v>
      </c>
      <c r="E555" s="177" cm="1">
        <f t="array" ref="E555">Scope3_Equations.VEERG_15_12_1_2__1_UpstreamPurchasedElectricityMarketBasedVariation(I547,I548,I549,I550,I551,I552)</f>
        <v>1.4000000000000001</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616</v>
      </c>
      <c r="E561" s="172" t="str" cm="1">
        <f t="array" aca="1" ref="E561" ca="1">Common_InputFunctions.Utility_DisplayFunctionName(E573)</f>
        <v>=Scope3_Equations.VEERG_15_13_1_1__1_EmissionsFromManureSentOffSite</v>
      </c>
    </row>
    <row r="564" spans="4:18" x14ac:dyDescent="0.25">
      <c r="D564" s="27" t="s">
        <v>617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400</v>
      </c>
      <c r="L567" s="7" t="s">
        <v>401</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0</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0</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732</v>
      </c>
      <c r="E573" s="177" cm="1">
        <f t="array" ref="E573">Scope3_Equations.VEERG_15_13_1_1__1_EmissionsFromManureSentOffSite(J569,J570,J571)</f>
        <v>6.4585714285714281E-3</v>
      </c>
      <c r="F573" s="178" t="str">
        <f>$E$565</f>
        <v>t N2O</v>
      </c>
      <c r="L573" s="179" t="s">
        <v>732</v>
      </c>
      <c r="M573" s="177" cm="1">
        <f t="array" ref="M573">Scope3_Equations.VEERG_15_13_1_1__1_EmissionsFromManureSentOffSite(R569,R570,R571)</f>
        <v>1.2917142857142856E-2</v>
      </c>
      <c r="N573" s="178" t="str">
        <f>$E$565</f>
        <v>t N2O</v>
      </c>
    </row>
    <row r="575" spans="4:18" x14ac:dyDescent="0.25">
      <c r="D575" s="206" t="str" cm="1">
        <f t="array" ref="D575:E576">Common_Equations.Common_ConvertN2OToCO2e_Arguments()</f>
        <v>EN2O</v>
      </c>
      <c r="E575" s="207" t="str">
        <v>Nitrous oxide emissions (t N2O)</v>
      </c>
      <c r="F575" s="208"/>
      <c r="G575" s="49">
        <f>E573</f>
        <v>6.4585714285714281E-3</v>
      </c>
      <c r="L575" s="206" t="str" cm="1">
        <f t="array" ref="L575:M576">Common_Equations.Common_ConvertN2OToCO2e_Arguments()</f>
        <v>EN2O</v>
      </c>
      <c r="M575" s="207" t="str">
        <v>Nitrous oxide emissions (t N2O)</v>
      </c>
      <c r="N575" s="208"/>
      <c r="O575" s="49">
        <f>M573</f>
        <v>1.2917142857142856E-2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737</v>
      </c>
      <c r="E578" s="98" cm="1">
        <f t="array" ref="E578">Common_Equations.Common_ConvertN2OToCO2e(G575,G576)</f>
        <v>1.7115214285714284</v>
      </c>
      <c r="F578" s="175" t="str" cm="1">
        <f t="array" ref="F578">Common_Equations.Common_ConvertN2OToCO2e_Unit()</f>
        <v>t CO2e</v>
      </c>
      <c r="L578" s="98" t="s">
        <v>737</v>
      </c>
      <c r="M578" s="98" cm="1">
        <f t="array" ref="M578">Common_Equations.Common_ConvertN2OToCO2e(O575,O576)</f>
        <v>3.4230428571428568</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617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9" t="s">
        <v>732</v>
      </c>
      <c r="E588" s="177">
        <f>VEERG_10_1_1_1__1_EmissionsFromWasteManagement_Scope3_Result_Method1</f>
        <v>441.15000000000003</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616</v>
      </c>
      <c r="E594" s="172" t="str" cm="1">
        <f t="array" aca="1" ref="E594" ca="1">Common_InputFunctions.Utility_DisplayFunctionName(J609)</f>
        <v>=Scope3_Equations.VEERG_15_14_1_1__1_EmbeddedEmissionsFromUpstreamFreight</v>
      </c>
    </row>
    <row r="598" spans="4:13" x14ac:dyDescent="0.25">
      <c r="D598" s="27" t="s">
        <v>617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793</v>
      </c>
    </row>
    <row r="608" spans="4:13" ht="17.25" x14ac:dyDescent="0.25">
      <c r="D608" s="46" t="s">
        <v>794</v>
      </c>
      <c r="E608" s="46" t="s">
        <v>806</v>
      </c>
      <c r="F608" s="46" t="s">
        <v>807</v>
      </c>
      <c r="G608" s="57" t="s">
        <v>808</v>
      </c>
      <c r="H608" s="57" t="s">
        <v>623</v>
      </c>
      <c r="I608" s="46" t="s">
        <v>659</v>
      </c>
      <c r="J608" s="57" t="s">
        <v>625</v>
      </c>
      <c r="K608" s="46" t="s">
        <v>619</v>
      </c>
      <c r="L608" s="46" t="s">
        <v>620</v>
      </c>
      <c r="M608" s="46" t="s">
        <v>621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809</v>
      </c>
      <c r="H609" s="49" t="s">
        <v>809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809</v>
      </c>
      <c r="H610" s="49" t="s">
        <v>809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809</v>
      </c>
      <c r="H611" s="49" t="s">
        <v>809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809</v>
      </c>
      <c r="H612" s="49" t="s">
        <v>809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809</v>
      </c>
      <c r="H613" s="49" t="s">
        <v>809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809</v>
      </c>
      <c r="H614" s="49" t="s">
        <v>809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809</v>
      </c>
      <c r="H615" s="49" t="s">
        <v>809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809</v>
      </c>
      <c r="H616" s="49" t="s">
        <v>809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809</v>
      </c>
      <c r="H617" s="49" t="s">
        <v>809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809</v>
      </c>
      <c r="H618" s="49" t="s">
        <v>809</v>
      </c>
      <c r="I618" s="66"/>
      <c r="J618" s="49" cm="1">
        <f t="array" ref="J618">Scope3_Equations.VEERG_15_14_1_1__1_EmbeddedEmissionsFromUpstreamFreight(E618,F618,I618)</f>
        <v>0</v>
      </c>
      <c r="K618" s="82"/>
      <c r="L618" s="47"/>
      <c r="M618" s="82"/>
    </row>
    <row r="620" spans="4:13" x14ac:dyDescent="0.25">
      <c r="D620" s="174" t="s">
        <v>812</v>
      </c>
      <c r="E620" s="98" t="s">
        <v>809</v>
      </c>
      <c r="F620" s="175" t="str">
        <f>$E$104</f>
        <v>t CO2e</v>
      </c>
    </row>
    <row r="621" spans="4:13" x14ac:dyDescent="0.25">
      <c r="D621" s="174" t="s">
        <v>813</v>
      </c>
      <c r="E621" s="98">
        <f>SUM(J609:J618)</f>
        <v>5146700</v>
      </c>
      <c r="F621" s="175" t="str">
        <f>$E$104</f>
        <v>t CO2e</v>
      </c>
    </row>
    <row r="624" spans="4:13" ht="18.75" x14ac:dyDescent="0.25">
      <c r="D624" s="144" t="s">
        <v>801</v>
      </c>
    </row>
    <row r="626" spans="4:13" ht="17.25" x14ac:dyDescent="0.25">
      <c r="D626" s="46" t="s">
        <v>794</v>
      </c>
      <c r="E626" s="46" t="s">
        <v>806</v>
      </c>
      <c r="F626" s="46" t="s">
        <v>807</v>
      </c>
      <c r="G626" s="57" t="s">
        <v>808</v>
      </c>
      <c r="H626" s="57" t="s">
        <v>623</v>
      </c>
      <c r="I626" s="46" t="s">
        <v>659</v>
      </c>
      <c r="J626" s="57" t="s">
        <v>625</v>
      </c>
      <c r="K626" s="46" t="s">
        <v>619</v>
      </c>
      <c r="L626" s="46" t="s">
        <v>620</v>
      </c>
      <c r="M626" s="46" t="s">
        <v>621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809</v>
      </c>
      <c r="H627" s="49" t="s">
        <v>809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809</v>
      </c>
      <c r="H628" s="49" t="s">
        <v>809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809</v>
      </c>
      <c r="H629" s="49" t="s">
        <v>809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809</v>
      </c>
      <c r="H630" s="49" t="s">
        <v>809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809</v>
      </c>
      <c r="H631" s="49" t="s">
        <v>809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809</v>
      </c>
      <c r="H632" s="49" t="s">
        <v>809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809</v>
      </c>
      <c r="H633" s="49" t="s">
        <v>809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809</v>
      </c>
      <c r="H634" s="49" t="s">
        <v>809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809</v>
      </c>
      <c r="H635" s="49" t="s">
        <v>809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809</v>
      </c>
      <c r="H636" s="49" t="s">
        <v>809</v>
      </c>
      <c r="I636" s="66"/>
      <c r="J636" s="49" cm="1">
        <f t="array" ref="J636">Scope3_Equations.VEERG_15_14_1_1__1_EmbeddedEmissionsFromUpstreamFreight(E636,F636,I636)</f>
        <v>0</v>
      </c>
      <c r="K636" s="82"/>
      <c r="L636" s="47"/>
      <c r="M636" s="82"/>
    </row>
    <row r="638" spans="4:13" x14ac:dyDescent="0.25">
      <c r="D638" s="174" t="s">
        <v>810</v>
      </c>
      <c r="E638" s="98" t="s">
        <v>809</v>
      </c>
      <c r="F638" s="175" t="str">
        <f>$E$104</f>
        <v>t CO2e</v>
      </c>
    </row>
    <row r="639" spans="4:13" x14ac:dyDescent="0.25">
      <c r="D639" s="174" t="s">
        <v>811</v>
      </c>
      <c r="E639" s="98">
        <f>SUM(J627:J636)</f>
        <v>432640</v>
      </c>
      <c r="F639" s="175" t="str">
        <f>$E$104</f>
        <v>t CO2e</v>
      </c>
    </row>
    <row r="641" spans="4:6" ht="20.25" x14ac:dyDescent="0.25">
      <c r="D641" s="176" t="s">
        <v>623</v>
      </c>
      <c r="E641" s="177" t="s">
        <v>809</v>
      </c>
      <c r="F641" s="178" t="str">
        <f>$E$104</f>
        <v>t CO2e</v>
      </c>
    </row>
    <row r="642" spans="4:6" ht="20.25" x14ac:dyDescent="0.25">
      <c r="D642" s="176" t="s">
        <v>625</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31147-C1C6-4653-A704-AB589AD69A4A}">
  <sheetPr>
    <tabColor rgb="FF008000"/>
  </sheetPr>
  <dimension ref="A1:L342"/>
  <sheetViews>
    <sheetView showGridLines="0" topLeftCell="A174"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778</v>
      </c>
    </row>
    <row r="2" spans="1:12" s="2" customFormat="1" ht="20.100000000000001" customHeight="1" x14ac:dyDescent="0.25">
      <c r="A2"/>
    </row>
    <row r="3" spans="1:12" ht="20.100000000000001" customHeight="1" x14ac:dyDescent="0.25">
      <c r="A3" s="16" t="str">
        <f>HYPERLINK("#'Overview'!A1", "Overview")</f>
        <v>Overview</v>
      </c>
      <c r="C3" s="5"/>
      <c r="D3" s="5" t="s">
        <v>400</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2" t="s">
        <v>616</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617</v>
      </c>
      <c r="E10" s="8" t="str" cm="1">
        <f t="array" ref="E10">WasteSolid_Equations.VEERG_10_1_1_1__2_MassOfWasteFromVolume_Variable()</f>
        <v>Q_wt</v>
      </c>
    </row>
    <row r="11" spans="1:12" ht="20.100000000000001" customHeight="1" x14ac:dyDescent="0.25">
      <c r="A11" s="16" t="str">
        <f>HYPERLINK("#'Input - Common farm inputs'!A1", "Common farm inputs")</f>
        <v>Common farm inputs</v>
      </c>
      <c r="D11" s="27" t="s">
        <v>96</v>
      </c>
      <c r="E11" s="13" t="str" cm="1">
        <f t="array" ref="E11">WasteSolid_Equations.VEERG_10_1_1_1__2_MassOfWasteFromVolume_Unit()</f>
        <v>t</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231"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Hort farm Inputs'!A1", "Hort farm Inputs")</f>
        <v>Hort farm Inputs</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Livestock farm Inputs'!A1", "Livestock farm Inputs")</f>
        <v>Livestock farm Inputs</v>
      </c>
      <c r="D15" s="167" t="str">
        <v>w</v>
      </c>
      <c r="E15" s="171" t="str">
        <v>waste type</v>
      </c>
      <c r="F15" s="166"/>
      <c r="G15" s="167" t="str">
        <v/>
      </c>
      <c r="H15" s="231"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Aquaculture inputs'!A1", "Aquaculture inputs")</f>
        <v>Aquaculture inputs</v>
      </c>
      <c r="D16" s="167" t="str">
        <v>t</v>
      </c>
      <c r="E16" s="171" t="str">
        <v>treatment facility</v>
      </c>
      <c r="F16" s="166"/>
      <c r="G16" s="167" t="str">
        <v/>
      </c>
      <c r="H16" s="231"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c r="A17" s="16" t="str">
        <f>HYPERLINK("#'Input - Beef cattle purchases'!A1", "Beef cattle purchases")</f>
        <v>Beef cattle purchases</v>
      </c>
    </row>
    <row r="18" spans="1:9" ht="20.100000000000001" customHeight="1" x14ac:dyDescent="0.25">
      <c r="A18" s="16" t="str">
        <f>HYPERLINK("#'Input - Dairy cattle purchases'!A1", "Dairy cattle purchases")</f>
        <v>Dairy cattle purchases</v>
      </c>
      <c r="D18" s="55" t="s">
        <v>779</v>
      </c>
    </row>
    <row r="19" spans="1:9" ht="20.100000000000001" customHeight="1" x14ac:dyDescent="0.25">
      <c r="A19" s="16" t="str">
        <f>HYPERLINK("#'Input - Pig purchases'!A1", "Pig purchases")</f>
        <v>Pig purchases</v>
      </c>
      <c r="D19" s="56" t="s">
        <v>780</v>
      </c>
    </row>
    <row r="20" spans="1:9" ht="20.100000000000001" customHeight="1" x14ac:dyDescent="0.25">
      <c r="A20" s="16" t="str">
        <f>HYPERLINK("#'Input - Poultry purchases'!A1", "Poultry purchases")</f>
        <v>Poultry purchases</v>
      </c>
      <c r="D20" s="46" t="s">
        <v>781</v>
      </c>
      <c r="E20" s="46" t="s">
        <v>782</v>
      </c>
      <c r="F20" s="46"/>
      <c r="G20" s="46" t="s">
        <v>783</v>
      </c>
      <c r="H20" s="57" t="s">
        <v>784</v>
      </c>
      <c r="I20" s="57" t="s">
        <v>785</v>
      </c>
    </row>
    <row r="21" spans="1:9" ht="20.100000000000001" customHeight="1" x14ac:dyDescent="0.25">
      <c r="A21" s="16" t="str">
        <f>HYPERLINK("#'Input - Freight'!A1", "Freight")</f>
        <v>Freight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Solid waste'!A1", "Solid waste")</f>
        <v>Solid waste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Manure sent off-site'!A1", "Manure sent off-site")</f>
        <v>Manure sent off-site</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Electricity'!A1", "Electricity")</f>
        <v>Electricity</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 t="s">
        <v>77</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HYPERLINK("#'15 Scope 3'!A1", "15 Scope 3")</f>
        <v>15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80" t="str">
        <f>HYPERLINK("#'10.1.1-2 Solid waste treatment'!A1", "10.1.1-2 Solid waste treatment")</f>
        <v>10.1.1-2 Solid waste treatment</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HYPERLINK("#'Calcs - Manure sent off-site'!A1", "Calcs - Manure sent off-site")</f>
        <v>Calcs - Manure sent off-site</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HYPERLINK("#'8.1.1.1-2 Transport fuel'!A1", "8.1.1.1-2 Transport fuel")</f>
        <v>8.1.1.1-2 Transport fuel</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HYPERLINK("#'8.2.1.1-2 Stationary fuel'!A1", "8.2.1.1-2 Stationary fuel")</f>
        <v>8.2.1.1-2 Stationary fuel</v>
      </c>
      <c r="D32" s="167" t="str">
        <v>Incineration</v>
      </c>
      <c r="E32" s="171" t="str">
        <v>Food waste, green waste, wood, sludge</v>
      </c>
      <c r="F32" s="209"/>
      <c r="G32" s="49" t="s">
        <v>830</v>
      </c>
      <c r="H32" s="49" t="s">
        <v>830</v>
      </c>
      <c r="I32" s="49" t="s">
        <v>830</v>
      </c>
    </row>
    <row r="33" spans="1:9" ht="20.100000000000001" customHeight="1" x14ac:dyDescent="0.25">
      <c r="A33"/>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222" t="s">
        <v>78</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Scope 3'!A1", "Constants - Scope 3")</f>
        <v>Constants - Scope 3</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Solid Waste'!A1", "Constants - Solid Waste")</f>
        <v>Constants - Solid Waste</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Fuel'!A1", "Constants - Fuel")</f>
        <v>Constants - Fuel</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Poultry'!A1", "Constants - Poultry")</f>
        <v>Constants - Poultry</v>
      </c>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Swine'!A1", "Constants - Swine")</f>
        <v>Constants - Swine</v>
      </c>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Dairy'!A1", "Constants - Dairy")</f>
        <v>Constants - Dairy</v>
      </c>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Pasture Beef'!A1", "Constants - Pasture Beef")</f>
        <v>Constants - Pasture Beef</v>
      </c>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Common Livestock'!A1", "Constants - Common Livestock")</f>
        <v>Constants - Common Livestock</v>
      </c>
      <c r="D43" s="167" t="str">
        <v>Composting</v>
      </c>
      <c r="E43" s="171" t="str">
        <v>All organic waste</v>
      </c>
      <c r="F43" s="166"/>
      <c r="G43" s="49" t="s">
        <v>830</v>
      </c>
      <c r="H43" s="49" t="s">
        <v>830</v>
      </c>
      <c r="I43" s="49" t="s">
        <v>830</v>
      </c>
    </row>
    <row r="44" spans="1:9" ht="20.100000000000001" customHeight="1" x14ac:dyDescent="0.25">
      <c r="A44" s="16" t="str">
        <f>HYPERLINK("#'Constants - Fertiliser'!A1", "Constants - Fertiliser")</f>
        <v>Constants - Fertiliser</v>
      </c>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Electricity'!A1", "Constants - Electricity")</f>
        <v>Constants - Electricity</v>
      </c>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Common'!A1", "Constants - Common")</f>
        <v>Constants - Common</v>
      </c>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7" t="str">
        <v>Anaerobic digestion</v>
      </c>
      <c r="E49" s="171" t="str">
        <v>All organic waste</v>
      </c>
      <c r="F49" s="166"/>
      <c r="G49" s="49" t="s">
        <v>830</v>
      </c>
      <c r="H49" s="49" t="s">
        <v>830</v>
      </c>
      <c r="I49" s="49" t="s">
        <v>830</v>
      </c>
    </row>
    <row r="50" spans="1:9" ht="20.100000000000001" customHeight="1" x14ac:dyDescent="0.25">
      <c r="A50"/>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786</v>
      </c>
    </row>
    <row r="57" spans="1:9" ht="20.100000000000001" customHeight="1" x14ac:dyDescent="0.25">
      <c r="A57"/>
      <c r="D57" s="56" t="s">
        <v>787</v>
      </c>
    </row>
    <row r="58" spans="1:9" ht="20.100000000000001" customHeight="1" x14ac:dyDescent="0.25">
      <c r="A58"/>
      <c r="D58" s="46" t="s">
        <v>781</v>
      </c>
      <c r="E58" s="46" t="s">
        <v>782</v>
      </c>
      <c r="F58" s="46"/>
      <c r="G58" s="46" t="s">
        <v>783</v>
      </c>
      <c r="H58" s="57" t="s">
        <v>784</v>
      </c>
      <c r="I58" s="57" t="s">
        <v>785</v>
      </c>
    </row>
    <row r="59" spans="1:9" ht="20.100000000000001" customHeight="1" x14ac:dyDescent="0.25">
      <c r="A59"/>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7" t="str">
        <v>Incineration</v>
      </c>
      <c r="E70" s="171" t="str">
        <v>Food waste, green waste, wood, sludge</v>
      </c>
      <c r="F70" s="209"/>
      <c r="G70" s="49" t="s">
        <v>830</v>
      </c>
      <c r="H70" s="49" t="s">
        <v>830</v>
      </c>
      <c r="I70" s="49" t="s">
        <v>830</v>
      </c>
    </row>
    <row r="71" spans="1:9" ht="20.100000000000001" customHeight="1" x14ac:dyDescent="0.25">
      <c r="A71"/>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7" t="str">
        <v>Composting</v>
      </c>
      <c r="E81" s="171" t="str">
        <v>All organic waste</v>
      </c>
      <c r="F81" s="166"/>
      <c r="G81" s="49" t="s">
        <v>830</v>
      </c>
      <c r="H81" s="49" t="s">
        <v>830</v>
      </c>
      <c r="I81" s="49" t="s">
        <v>830</v>
      </c>
    </row>
    <row r="82" spans="1:12" ht="20.100000000000001" customHeight="1" x14ac:dyDescent="0.25">
      <c r="A82"/>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7" t="str">
        <v>Anaerobic digestion</v>
      </c>
      <c r="E87" s="171" t="str">
        <v>All organic waste</v>
      </c>
      <c r="F87" s="166"/>
      <c r="G87" s="49" t="s">
        <v>830</v>
      </c>
      <c r="H87" s="49" t="s">
        <v>830</v>
      </c>
      <c r="I87" s="49" t="s">
        <v>830</v>
      </c>
    </row>
    <row r="88" spans="1:12" ht="20.100000000000001" customHeight="1" x14ac:dyDescent="0.25">
      <c r="A88"/>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2" t="s">
        <v>616</v>
      </c>
      <c r="E99" s="172"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1:9" ht="20.100000000000001" customHeight="1" x14ac:dyDescent="0.25">
      <c r="A106"/>
      <c r="D106" s="167" t="str">
        <v>EF_wtg</v>
      </c>
      <c r="E106" s="171" t="str">
        <v>emission factor for greenhouse gas g for the management of waste at treatment facility t</v>
      </c>
      <c r="F106" s="205"/>
      <c r="G106" s="166"/>
      <c r="H106" s="167" t="str">
        <v>t CO2e/t</v>
      </c>
      <c r="I106" s="169" t="str">
        <v>Constant</v>
      </c>
    </row>
    <row r="107" spans="1:9" ht="20.100000000000001" customHeight="1" x14ac:dyDescent="0.25">
      <c r="A107"/>
      <c r="D107" s="167" t="str">
        <v>w</v>
      </c>
      <c r="E107" s="171" t="str">
        <v>waste type</v>
      </c>
      <c r="F107" s="205"/>
      <c r="G107" s="166"/>
      <c r="H107" s="167" t="str">
        <v/>
      </c>
      <c r="I107" s="231" t="str">
        <v>Input</v>
      </c>
    </row>
    <row r="108" spans="1:9" ht="20.100000000000001" customHeight="1" x14ac:dyDescent="0.25">
      <c r="A108"/>
      <c r="D108" s="167" t="str">
        <v>t</v>
      </c>
      <c r="E108" s="171" t="str">
        <v>treatment facility</v>
      </c>
      <c r="F108" s="205"/>
      <c r="G108" s="166"/>
      <c r="H108" s="167" t="str">
        <v/>
      </c>
      <c r="I108" s="231" t="str">
        <v>Input</v>
      </c>
    </row>
    <row r="109" spans="1:9" ht="20.100000000000001" customHeight="1" x14ac:dyDescent="0.25">
      <c r="A109"/>
      <c r="D109" s="167" t="str">
        <v>g</v>
      </c>
      <c r="E109" s="171" t="str">
        <v>greenhouse gas</v>
      </c>
      <c r="F109" s="205"/>
      <c r="G109" s="166"/>
      <c r="H109" s="167" t="str">
        <v/>
      </c>
      <c r="I109" s="231" t="str">
        <v>Input</v>
      </c>
    </row>
    <row r="110" spans="1:9" ht="20.100000000000001" customHeight="1" x14ac:dyDescent="0.25">
      <c r="A110"/>
      <c r="D110" s="167" t="str">
        <v>Q_volwt</v>
      </c>
      <c r="E110" s="171" t="str">
        <v>quantity of sold waste input as volume and converted to tonnes</v>
      </c>
      <c r="F110" s="205"/>
      <c r="G110" s="166"/>
      <c r="H110" s="167" t="str">
        <v>tonnes</v>
      </c>
      <c r="I110" s="169" t="str">
        <v>Calculated from 10.1.1.1 (2)</v>
      </c>
    </row>
    <row r="111" spans="1:9" ht="20.100000000000001" customHeight="1" x14ac:dyDescent="0.25">
      <c r="A111"/>
      <c r="D111" s="167" t="str">
        <v>Q_masswt</v>
      </c>
      <c r="E111" s="171" t="str">
        <v>quantity of solid waste input as mass</v>
      </c>
      <c r="F111" s="205"/>
      <c r="G111" s="166"/>
      <c r="H111" s="167" t="str">
        <v>tonnes</v>
      </c>
      <c r="I111" s="231" t="str">
        <v>Input</v>
      </c>
    </row>
    <row r="112" spans="1:9" ht="20.100000000000001" customHeight="1" x14ac:dyDescent="0.25">
      <c r="A112"/>
    </row>
    <row r="113" spans="1:11" ht="20.100000000000001" customHeight="1" x14ac:dyDescent="0.25">
      <c r="A113"/>
      <c r="D113" s="55" t="s">
        <v>788</v>
      </c>
    </row>
    <row r="114" spans="1:11" ht="20.100000000000001" customHeight="1" x14ac:dyDescent="0.25">
      <c r="A114"/>
      <c r="D114" s="56" t="s">
        <v>789</v>
      </c>
    </row>
    <row r="115" spans="1:11" ht="20.100000000000001" customHeight="1" x14ac:dyDescent="0.25">
      <c r="A115"/>
      <c r="D115" s="46" t="s">
        <v>781</v>
      </c>
      <c r="E115" s="46" t="s">
        <v>782</v>
      </c>
      <c r="F115" s="46"/>
      <c r="G115" s="46" t="s">
        <v>831</v>
      </c>
      <c r="H115" s="57" t="s">
        <v>832</v>
      </c>
      <c r="I115" s="57" t="s">
        <v>785</v>
      </c>
      <c r="J115" s="57" t="s">
        <v>833</v>
      </c>
      <c r="K115" s="57" t="s">
        <v>834</v>
      </c>
    </row>
    <row r="116" spans="1:11" ht="20.100000000000001" customHeight="1" x14ac:dyDescent="0.25">
      <c r="A116"/>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7" t="str">
        <v>Incineration</v>
      </c>
      <c r="E127" s="171" t="str">
        <v>Food waste, green waste, wood, sludge</v>
      </c>
      <c r="F127" s="209"/>
      <c r="G127" s="49" t="s">
        <v>830</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835</v>
      </c>
      <c r="J128" s="49" t="s">
        <v>830</v>
      </c>
      <c r="K128" s="49" t="s">
        <v>830</v>
      </c>
    </row>
    <row r="129" spans="1:11" ht="20.100000000000001" customHeight="1" x14ac:dyDescent="0.25">
      <c r="A129"/>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835</v>
      </c>
      <c r="J129" s="49" t="s">
        <v>830</v>
      </c>
      <c r="K129" s="49" t="s">
        <v>830</v>
      </c>
    </row>
    <row r="130" spans="1:11" ht="20.100000000000001" customHeight="1" x14ac:dyDescent="0.25">
      <c r="A130"/>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835</v>
      </c>
      <c r="J130" s="49" t="s">
        <v>830</v>
      </c>
      <c r="K130" s="49" t="s">
        <v>830</v>
      </c>
    </row>
    <row r="131" spans="1:11" ht="20.100000000000001" customHeight="1" x14ac:dyDescent="0.25">
      <c r="A131"/>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835</v>
      </c>
      <c r="J131" s="49" t="s">
        <v>830</v>
      </c>
      <c r="K131" s="49" t="s">
        <v>830</v>
      </c>
    </row>
    <row r="132" spans="1:11" ht="20.100000000000001" customHeight="1" x14ac:dyDescent="0.25">
      <c r="A132"/>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7" t="str">
        <v>Composting</v>
      </c>
      <c r="E138" s="171" t="str">
        <v>All organic waste</v>
      </c>
      <c r="F138" s="166"/>
      <c r="G138" s="49" t="s">
        <v>830</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835</v>
      </c>
      <c r="J139" s="49" t="s">
        <v>830</v>
      </c>
      <c r="K139" s="49" t="s">
        <v>830</v>
      </c>
    </row>
    <row r="140" spans="1:11" ht="20.100000000000001" customHeight="1" x14ac:dyDescent="0.25">
      <c r="A140"/>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835</v>
      </c>
      <c r="J140" s="49" t="s">
        <v>830</v>
      </c>
      <c r="K140" s="49" t="s">
        <v>830</v>
      </c>
    </row>
    <row r="141" spans="1:11" ht="20.100000000000001" customHeight="1" x14ac:dyDescent="0.25">
      <c r="A141"/>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835</v>
      </c>
      <c r="J141" s="49" t="s">
        <v>830</v>
      </c>
      <c r="K141" s="49" t="s">
        <v>830</v>
      </c>
    </row>
    <row r="142" spans="1:11" ht="20.100000000000001" customHeight="1" x14ac:dyDescent="0.25">
      <c r="A142"/>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835</v>
      </c>
      <c r="J142" s="49" t="s">
        <v>830</v>
      </c>
      <c r="K142" s="49" t="s">
        <v>830</v>
      </c>
    </row>
    <row r="143" spans="1:11" ht="20.100000000000001" customHeight="1" x14ac:dyDescent="0.25">
      <c r="A143"/>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835</v>
      </c>
      <c r="J143" s="49" t="s">
        <v>830</v>
      </c>
      <c r="K143" s="49" t="s">
        <v>830</v>
      </c>
    </row>
    <row r="144" spans="1:11" ht="20.100000000000001" customHeight="1" x14ac:dyDescent="0.25">
      <c r="A144"/>
      <c r="D144" s="167" t="str">
        <v>Anaerobic digestion</v>
      </c>
      <c r="E144" s="171" t="str">
        <v>All organic waste</v>
      </c>
      <c r="F144" s="166"/>
      <c r="G144" s="49" t="s">
        <v>830</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835</v>
      </c>
      <c r="J145" s="49" t="s">
        <v>830</v>
      </c>
      <c r="K145" s="49" t="s">
        <v>830</v>
      </c>
    </row>
    <row r="146" spans="1:11" ht="20.100000000000001" customHeight="1" x14ac:dyDescent="0.25">
      <c r="A146"/>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835</v>
      </c>
      <c r="J146" s="49" t="s">
        <v>830</v>
      </c>
      <c r="K146" s="49" t="s">
        <v>830</v>
      </c>
    </row>
    <row r="147" spans="1:11" ht="20.100000000000001" customHeight="1" x14ac:dyDescent="0.25">
      <c r="A147"/>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835</v>
      </c>
      <c r="J147" s="49" t="s">
        <v>830</v>
      </c>
      <c r="K147" s="49" t="s">
        <v>830</v>
      </c>
    </row>
    <row r="148" spans="1:11" ht="20.100000000000001" customHeight="1" x14ac:dyDescent="0.25">
      <c r="A148"/>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835</v>
      </c>
      <c r="J148" s="49" t="s">
        <v>830</v>
      </c>
      <c r="K148" s="49" t="s">
        <v>830</v>
      </c>
    </row>
    <row r="149" spans="1:11" ht="20.100000000000001" customHeight="1" x14ac:dyDescent="0.25">
      <c r="A149"/>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835</v>
      </c>
      <c r="J149" s="49" t="s">
        <v>830</v>
      </c>
      <c r="K149" s="49" t="s">
        <v>830</v>
      </c>
    </row>
    <row r="150" spans="1:11" ht="20.100000000000001" customHeight="1" x14ac:dyDescent="0.25">
      <c r="A150"/>
    </row>
    <row r="151" spans="1:11" ht="20.100000000000001" customHeight="1" x14ac:dyDescent="0.25">
      <c r="A151"/>
      <c r="D151" s="176" t="s">
        <v>790</v>
      </c>
      <c r="E151" s="177">
        <f>SUM(K116:K149)</f>
        <v>438.82805000000002</v>
      </c>
      <c r="F151" s="178"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791</v>
      </c>
    </row>
    <row r="155" spans="1:11" ht="20.100000000000001" customHeight="1" x14ac:dyDescent="0.25">
      <c r="A155"/>
      <c r="D155" s="56" t="s">
        <v>792</v>
      </c>
    </row>
    <row r="156" spans="1:11" ht="20.100000000000001" customHeight="1" x14ac:dyDescent="0.25">
      <c r="A156"/>
      <c r="D156" s="46" t="s">
        <v>781</v>
      </c>
      <c r="E156" s="46" t="s">
        <v>782</v>
      </c>
      <c r="F156" s="46"/>
      <c r="G156" s="46" t="s">
        <v>831</v>
      </c>
      <c r="H156" s="57" t="s">
        <v>832</v>
      </c>
      <c r="I156" s="57" t="s">
        <v>785</v>
      </c>
      <c r="J156" s="57" t="s">
        <v>833</v>
      </c>
      <c r="K156" s="57" t="s">
        <v>834</v>
      </c>
    </row>
    <row r="157" spans="1:11" ht="20.100000000000001" customHeight="1" x14ac:dyDescent="0.25">
      <c r="A157"/>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830</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835</v>
      </c>
      <c r="J169" s="49" t="s">
        <v>830</v>
      </c>
      <c r="K169" s="49" t="s">
        <v>830</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835</v>
      </c>
      <c r="J170" s="49" t="s">
        <v>830</v>
      </c>
      <c r="K170" s="49" t="s">
        <v>830</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835</v>
      </c>
      <c r="J171" s="49" t="s">
        <v>830</v>
      </c>
      <c r="K171" s="49" t="s">
        <v>830</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835</v>
      </c>
      <c r="J172" s="49" t="s">
        <v>830</v>
      </c>
      <c r="K172" s="49" t="s">
        <v>830</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830</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835</v>
      </c>
      <c r="J180" s="49" t="s">
        <v>830</v>
      </c>
      <c r="K180" s="49" t="s">
        <v>830</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835</v>
      </c>
      <c r="J181" s="49" t="s">
        <v>830</v>
      </c>
      <c r="K181" s="49" t="s">
        <v>830</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835</v>
      </c>
      <c r="J182" s="49" t="s">
        <v>830</v>
      </c>
      <c r="K182" s="49" t="s">
        <v>830</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835</v>
      </c>
      <c r="J183" s="49" t="s">
        <v>830</v>
      </c>
      <c r="K183" s="49" t="s">
        <v>830</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835</v>
      </c>
      <c r="J184" s="49" t="s">
        <v>830</v>
      </c>
      <c r="K184" s="49" t="s">
        <v>830</v>
      </c>
    </row>
    <row r="185" spans="4:11" ht="20.100000000000001" customHeight="1" x14ac:dyDescent="0.25">
      <c r="D185" s="167" t="str">
        <v>Anaerobic digestion</v>
      </c>
      <c r="E185" s="171" t="str">
        <v>All organic waste</v>
      </c>
      <c r="F185" s="166"/>
      <c r="G185" s="49" t="s">
        <v>830</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835</v>
      </c>
      <c r="J186" s="49" t="s">
        <v>830</v>
      </c>
      <c r="K186" s="49" t="s">
        <v>830</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835</v>
      </c>
      <c r="J187" s="49" t="s">
        <v>830</v>
      </c>
      <c r="K187" s="49" t="s">
        <v>830</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835</v>
      </c>
      <c r="J188" s="49" t="s">
        <v>830</v>
      </c>
      <c r="K188" s="49" t="s">
        <v>830</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835</v>
      </c>
      <c r="J189" s="49" t="s">
        <v>830</v>
      </c>
      <c r="K189" s="49" t="s">
        <v>830</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835</v>
      </c>
      <c r="J190" s="49" t="s">
        <v>830</v>
      </c>
      <c r="K190" s="49" t="s">
        <v>830</v>
      </c>
    </row>
    <row r="191" spans="4:11" ht="20.100000000000001" customHeight="1" x14ac:dyDescent="0.25"/>
    <row r="192" spans="4:11" ht="20.100000000000001" customHeight="1" x14ac:dyDescent="0.25">
      <c r="D192" s="176" t="s">
        <v>790</v>
      </c>
      <c r="E192" s="177">
        <f>SUM(K157:K190)</f>
        <v>441.15000000000003</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F6F4D80C-951D-4E6B-933F-0EBCF74981F8}"/>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840</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400</v>
      </c>
      <c r="E3" s="5"/>
      <c r="F3" s="5"/>
      <c r="G3" s="5"/>
      <c r="H3" s="5"/>
      <c r="I3" s="5"/>
      <c r="J3" s="5"/>
      <c r="K3" s="5"/>
      <c r="M3" s="5"/>
      <c r="N3" s="5" t="s">
        <v>401</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616</v>
      </c>
      <c r="E7" s="172" t="str">
        <f ca="1">Common_InputFunctions.Utility_DisplayFunctionName(VEERG_5_2_1_1__1_OrganicFertiliserApplicationN2OEmissions_Result_Method1)</f>
        <v>=Fertiliser_Equations_OrganicN2O.VEERG_5_2_1_1__1_OrganicFertiliserApplicationN2OEmissions</v>
      </c>
      <c r="N7" s="172" t="s">
        <v>616</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617</v>
      </c>
      <c r="E10" s="8" t="str" cm="1">
        <f t="array" ref="E10">Fertiliser_Equations_OrganicN2O.VEERG_5_2_1_1__1_OrganicFertiliserApplicationN2OEmissions_Variable()</f>
        <v>E_N2O</v>
      </c>
      <c r="N10" s="27" t="s">
        <v>617</v>
      </c>
      <c r="O10" s="8" t="str" cm="1">
        <f t="array" ref="O10">Fertiliser_Equations_OrganicN2O.VEERG_5_2_1_1__1_OrganicFertiliserApplicationN2OEmissions_Variable()</f>
        <v>E_N2O</v>
      </c>
    </row>
    <row r="11" spans="1:21" ht="20.100000000000001" customHeight="1" x14ac:dyDescent="0.25">
      <c r="A11" s="16" t="str">
        <f>HYPERLINK("#'Input - Common farm inputs'!A1", "Common farm inputs")</f>
        <v>Common 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Processing inputs'!A1", "Processing inputs")</f>
        <v>Processing inputs</v>
      </c>
    </row>
    <row r="13" spans="1:21" ht="20.100000000000001" customHeight="1" x14ac:dyDescent="0.25">
      <c r="A13" s="16" t="str">
        <f>HYPERLINK("#'Input - Crop pasture farm input'!A1", "Crop pasture farm input")</f>
        <v>Crop pasture farm input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Hort farm Inputs'!A1", "Hort farm Inputs")</f>
        <v>Hort farm Inputs</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0</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Livestock farm Inputs'!A1", "Livestock farm Inputs")</f>
        <v>Livestock farm Inputs</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Aquaculture inputs'!A1", "Aquaculture inputs")</f>
        <v>Aquaculture inputs</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A17" s="16" t="str">
        <f>HYPERLINK("#'Input - Beef cattle purchases'!A1", "Beef cattle purchases")</f>
        <v>Beef cattle purchases</v>
      </c>
      <c r="D17" s="167" t="str">
        <v>i</v>
      </c>
      <c r="E17" s="171" t="str">
        <v>Wet or dry climate zone</v>
      </c>
      <c r="F17" s="205"/>
      <c r="G17" s="166"/>
      <c r="H17" s="167" t="str">
        <v/>
      </c>
      <c r="I17" s="168" t="str">
        <v>Input</v>
      </c>
      <c r="J17" s="167" t="e">
        <f>X_Cell_Site_WetOrDryClimateZone</f>
        <v>#REF!</v>
      </c>
      <c r="N17" s="167" t="str">
        <v>i</v>
      </c>
      <c r="O17" s="171" t="str">
        <v>Wet or dry climate zone</v>
      </c>
      <c r="P17" s="205"/>
      <c r="Q17" s="166"/>
      <c r="R17" s="167" t="str">
        <v/>
      </c>
      <c r="S17" s="168" t="str">
        <v>Input</v>
      </c>
      <c r="T17" s="167"/>
    </row>
    <row r="18" spans="1:20" ht="20.100000000000001" customHeight="1" x14ac:dyDescent="0.25">
      <c r="A18" s="16" t="str">
        <f>HYPERLINK("#'Input - Dairy cattle purchases'!A1", "Dairy cattle purchases")</f>
        <v>Dairy cattle purchases</v>
      </c>
    </row>
    <row r="19" spans="1:20" ht="20.100000000000001" customHeight="1" x14ac:dyDescent="0.25">
      <c r="A19" s="16" t="str">
        <f>HYPERLINK("#'Input - Pig purchases'!A1", "Pig purchases")</f>
        <v>Pig purchases</v>
      </c>
      <c r="D19" s="176" t="s">
        <v>736</v>
      </c>
      <c r="E19" s="177" cm="1">
        <f t="array" ref="E19">Fertiliser_Equations_OrganicN2O.VEERG_5_2_1_1__1_OrganicFertiliserApplicationN2OEmissions(J13,J14,J15)</f>
        <v>0</v>
      </c>
      <c r="F19" s="178" t="str">
        <f>$E$11</f>
        <v>t N2O</v>
      </c>
      <c r="N19" s="176" t="s">
        <v>736</v>
      </c>
      <c r="O19" s="177" cm="1">
        <f t="array" ref="O19">Fertiliser_Equations_OrganicN2O.VEERG_5_2_1_1__1_OrganicFertiliserApplicationN2OEmissions(T13,J14,J15)</f>
        <v>0</v>
      </c>
      <c r="P19" s="178" t="str">
        <f>$E$11</f>
        <v>t N2O</v>
      </c>
    </row>
    <row r="20" spans="1:20" ht="20.100000000000001" customHeight="1" x14ac:dyDescent="0.25">
      <c r="A20" s="16" t="str">
        <f>HYPERLINK("#'Input - Poultry purchases'!A1", "Poultry purchases")</f>
        <v>Poultry purchases</v>
      </c>
    </row>
    <row r="21" spans="1:20" ht="20.100000000000001" customHeight="1" x14ac:dyDescent="0.25">
      <c r="A21" s="16" t="str">
        <f>HYPERLINK("#'Input - Freight'!A1", "Freight")</f>
        <v>Freight</v>
      </c>
    </row>
    <row r="22" spans="1:20" ht="20.100000000000001" customHeight="1" x14ac:dyDescent="0.25">
      <c r="A22" s="16" t="str">
        <f>HYPERLINK("#'Input - Solid waste'!A1", "Solid waste")</f>
        <v>Solid waste</v>
      </c>
    </row>
    <row r="23" spans="1:20" ht="20.100000000000001" customHeight="1" x14ac:dyDescent="0.25">
      <c r="A23" s="16" t="str">
        <f>HYPERLINK("#'Input - Manure sent off-site'!A1", "Manure sent off-site")</f>
        <v>Manure sent off-site</v>
      </c>
    </row>
    <row r="24" spans="1:20" ht="20.100000000000001" customHeight="1" x14ac:dyDescent="0.25">
      <c r="A24" s="16" t="str">
        <f>HYPERLINK("#'Input - Electricity'!A1", "Electricity")</f>
        <v>Electricity</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616</v>
      </c>
      <c r="E26" s="172" t="str" cm="1">
        <f t="array" aca="1" ref="E26" ca="1">Common_InputFunctions.Utility_DisplayFunctionName(E35)</f>
        <v>=Fertiliser_Equations_AtmosphericDeposition.VEERG_5_4_1_3__2_MassOfNitrogenVolatilisedFromOrganicFertiliser</v>
      </c>
      <c r="N26" s="172" t="s">
        <v>616</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 t="s">
        <v>77</v>
      </c>
    </row>
    <row r="28" spans="1:20" ht="20.100000000000001" customHeight="1" x14ac:dyDescent="0.25">
      <c r="A28" s="16" t="str">
        <f>HYPERLINK("#'15 Scope 3'!A1", "15 Scope 3")</f>
        <v>15 Scope 3</v>
      </c>
    </row>
    <row r="29" spans="1:20" ht="20.100000000000001" customHeight="1" x14ac:dyDescent="0.25">
      <c r="A29" s="16" t="str">
        <f>HYPERLINK("#'10.1.1-2 Solid waste treatment'!A1", "10.1.1-2 Solid waste treatment")</f>
        <v>10.1.1-2 Solid waste treatment</v>
      </c>
      <c r="D29" s="27" t="s">
        <v>617</v>
      </c>
      <c r="E29" s="8" t="str" cm="1">
        <f t="array" ref="E29">Fertiliser_Equations_AtmosphericDeposition.VEERG_5_4_1_3__2_MassOfNitrogenVolatilisedFromOrganicFertiliser_Variable()</f>
        <v>M_volorganicjf</v>
      </c>
      <c r="N29" s="27" t="s">
        <v>617</v>
      </c>
      <c r="O29" s="8" t="str" cm="1">
        <f t="array" ref="O29">Fertiliser_Equations_AtmosphericDeposition.VEERG_5_4_1_3__2_MassOfNitrogenVolatilisedFromOrganicFertiliser_Variable()</f>
        <v>M_volorganicjf</v>
      </c>
    </row>
    <row r="30" spans="1:20" ht="20.100000000000001" customHeight="1" x14ac:dyDescent="0.25">
      <c r="A30" s="180" t="str">
        <f>HYPERLINK("#'Calcs - Manure sent off-site'!A1", "Calcs - Manure sent off-site")</f>
        <v>Calcs - Manure sent off-site</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HYPERLINK("#'8.1.1.1-2 Transport fuel'!A1", "8.1.1.1-2 Transport fuel")</f>
        <v>8.1.1.1-2 Transport fuel</v>
      </c>
    </row>
    <row r="32" spans="1:20" ht="20.100000000000001" customHeight="1" x14ac:dyDescent="0.25">
      <c r="A32" s="16" t="str">
        <f>HYPERLINK("#'8.2.1.1-2 Stationary fuel'!A1", "8.2.1.1-2 Stationary fuel")</f>
        <v>8.2.1.1-2 Stationary fuel</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row r="35" spans="1:19" ht="20.100000000000001" customHeight="1" x14ac:dyDescent="0.25">
      <c r="A35" s="222" t="s">
        <v>78</v>
      </c>
      <c r="D35" s="174" t="s">
        <v>738</v>
      </c>
      <c r="E35" s="98" cm="1">
        <f t="array" ref="E35">Fertiliser_Equations_AtmosphericDeposition.VEERG_5_4_1_3__2_MassOfNitrogenVolatilisedFromOrganicFertiliser(I32,I33)</f>
        <v>210</v>
      </c>
      <c r="F35" s="175" t="str">
        <f>E30</f>
        <v>kg N</v>
      </c>
      <c r="N35" s="174" t="s">
        <v>738</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Scope 3'!A1", "Constants - Scope 3")</f>
        <v>Constants - Scope 3</v>
      </c>
    </row>
    <row r="37" spans="1:19" ht="20.100000000000001" customHeight="1" x14ac:dyDescent="0.25">
      <c r="A37" s="16" t="str">
        <f>HYPERLINK("#'Constants - Solid Waste'!A1", "Constants - Solid Waste")</f>
        <v>Constants - Solid Waste</v>
      </c>
    </row>
    <row r="38" spans="1:19" ht="20.100000000000001" customHeight="1" x14ac:dyDescent="0.25">
      <c r="A38" s="16" t="str">
        <f>HYPERLINK("#'Constants - Fuel'!A1", "Constants - Fuel")</f>
        <v>Constants - Fuel</v>
      </c>
    </row>
    <row r="39" spans="1:19" ht="20.100000000000001" customHeight="1" x14ac:dyDescent="0.25">
      <c r="A39" s="16" t="str">
        <f>HYPERLINK("#'Constants - Poultry'!A1", "Constants - Poultry")</f>
        <v>Constants - Poultry</v>
      </c>
    </row>
    <row r="40" spans="1:19" ht="20.100000000000001" customHeight="1" x14ac:dyDescent="0.25">
      <c r="A40" s="16" t="str">
        <f>HYPERLINK("#'Constants - Swine'!A1", "Constants - Swine")</f>
        <v>Constants - Swine</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Dairy'!A1", "Constants - Dairy")</f>
        <v>Constants - Dairy</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Pasture Beef'!A1", "Constants - Pasture Beef")</f>
        <v>Constants - Pasture Beef</v>
      </c>
      <c r="D42" s="172" t="s">
        <v>616</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616</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Common Livestock'!A1", "Constants - Common Livestock")</f>
        <v>Constants - Common Livestock</v>
      </c>
    </row>
    <row r="44" spans="1:19" ht="20.100000000000001" customHeight="1" x14ac:dyDescent="0.25">
      <c r="A44" s="16" t="str">
        <f>HYPERLINK("#'Constants - Fertiliser'!A1", "Constants - Fertiliser")</f>
        <v>Constants - Fertiliser</v>
      </c>
    </row>
    <row r="45" spans="1:19" ht="20.100000000000001" customHeight="1" x14ac:dyDescent="0.25">
      <c r="A45" s="16" t="str">
        <f>HYPERLINK("#'Constants - Electricity'!A1", "Constants - Electricity")</f>
        <v>Constants - Electricity</v>
      </c>
      <c r="D45" s="27" t="s">
        <v>617</v>
      </c>
      <c r="E45" s="8" t="str" cm="1">
        <f t="array" ref="E45">Fertiliser_Equations_AtmosphericDeposition.VEERG_5_4_1_3__1_OrganicFertiliserAtmosphericDepositionN2OEmissions_Variable()</f>
        <v>E_adorganic</v>
      </c>
      <c r="N45" s="27" t="s">
        <v>617</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Common'!A1", "Constants - Common")</f>
        <v>Constants - Common</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e">
        <f>X_Cell_Site_RainfallZone</f>
        <v>#REF!</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752</v>
      </c>
      <c r="E55" s="177" cm="1">
        <f t="array" ref="E55">Fertiliser_Equations_AtmosphericDeposition.VEERG_5_4_1_3__1_OrganicFertiliserAtmosphericDepositionN2OEmissions(I48,I49,I50)</f>
        <v>2.31E-3</v>
      </c>
      <c r="F55" s="178" t="str">
        <f>$E$46</f>
        <v>t N2O</v>
      </c>
      <c r="N55" s="176" t="s">
        <v>752</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616</v>
      </c>
      <c r="E61" s="172" t="str" cm="1">
        <f t="array" aca="1" ref="E61" ca="1">Common_InputFunctions.Utility_DisplayFunctionName(E74)</f>
        <v>=Fertiliser_Equations_LeachingAndRunoff.VEERG_5_5_1_1__3_MassOfNitrogenLeachedFromOrganicFertiliser</v>
      </c>
      <c r="N61" s="172" t="s">
        <v>616</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617</v>
      </c>
      <c r="E64" s="8" t="str" cm="1">
        <f t="array" ref="E64">Fertiliser_Equations_LeachingAndRunoff.VEERG_5_5_1_1__3_MassOfNitrogenLeachedFromOrganicFertiliser_Variable()</f>
        <v>M_leachorganicj</v>
      </c>
      <c r="N64" s="27" t="s">
        <v>617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e">
        <f>X_Cell_Site_LeachingZone</f>
        <v>#REF!</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753</v>
      </c>
      <c r="E74" s="98" cm="1">
        <f t="array" ref="E74">Fertiliser_Equations_LeachingAndRunoff.VEERG_5_5_1_1__3_MassOfNitrogenLeachedFromOrganicFertiliser(I67,I68,I69)</f>
        <v>240</v>
      </c>
      <c r="F74" s="175" t="str">
        <f>$E$65</f>
        <v>kg N</v>
      </c>
      <c r="N74" s="174" t="s">
        <v>753</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616</v>
      </c>
      <c r="E79" s="172" t="str">
        <f ca="1">Common_InputFunctions.Utility_DisplayFunctionName(VEERG_5_5_1_1__1_FertiliserLeachingAndRunoffN2OEmissions_Result_Method1)</f>
        <v>=Fertiliser_Equations_LeachingAndRunoff.VEERG_5_5_1_1__1_FertiliserLeachingAndRunoffN2OEmissions</v>
      </c>
      <c r="N79" s="172" t="s">
        <v>616</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617</v>
      </c>
      <c r="E82" s="8" t="str" cm="1">
        <f t="array" ref="E82">Fertiliser_Equations_LeachingAndRunoff.VEERG_5_5_1_1__1_FertiliserLeachingAndRunoffN2OEmissions_Variable()</f>
        <v>E_fertleach</v>
      </c>
      <c r="N82" s="27" t="s">
        <v>617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754</v>
      </c>
      <c r="E90" s="177" cm="1">
        <f t="array" ref="E90">Fertiliser_Equations_LeachingAndRunoff.VEERG_5_5_1_1__1_FertiliserLeachingAndRunoffN2OEmissions(J85,J86,J87,J88)</f>
        <v>4.1485714285714277E-3</v>
      </c>
      <c r="F90" s="178" t="str">
        <f>$E$83</f>
        <v>t N2O</v>
      </c>
      <c r="N90" s="176" t="s">
        <v>754</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73A55-1697-471B-864A-1FE8075D31B6}">
  <dimension ref="A1:R342"/>
  <sheetViews>
    <sheetView showGridLines="0" topLeftCell="E45"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700</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616</v>
      </c>
      <c r="E7" s="172" t="str" cm="1">
        <f t="array" aca="1" ref="E7" ca="1">Common_InputFunctions.Utility_DisplayFunctionName(N25)</f>
        <v>=Fuel_Equations.VEERG_8_1_1_1__1_FuelCombustionTransport</v>
      </c>
      <c r="K7" s="172" t="s">
        <v>616</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Common farm inputs'!A1", "Common farm inputs")</f>
        <v>Common farm inputs</v>
      </c>
      <c r="D11" s="27" t="s">
        <v>617</v>
      </c>
      <c r="E11" s="8" t="str" cm="1">
        <f t="array" ref="E11">Fuel_Equations.VEERG_8_1_1_1__1_FuelCombustionTransport_Variable()</f>
        <v>E_g</v>
      </c>
      <c r="K11" s="27" t="s">
        <v>617</v>
      </c>
      <c r="L11" s="8" t="str" cm="1">
        <f t="array" ref="L11">Scope3_Equations.VEERG_15_11_1_1__2_UpstreamTransportFuelEmissions_Variable()</f>
        <v>E_WTTtransq</v>
      </c>
      <c r="O11" s="17"/>
      <c r="P11" s="17"/>
      <c r="Q11" s="17"/>
    </row>
    <row r="12" spans="1:18" ht="20.100000000000001" customHeight="1" x14ac:dyDescent="0.25">
      <c r="A12" s="16" t="str">
        <f>HYPERLINK("#'Input - Processing inputs'!A1", "Processing inputs")</f>
        <v>Processing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231"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P17" s="17"/>
      <c r="Q17" s="17"/>
    </row>
    <row r="18" spans="1:17" ht="20.100000000000001" customHeight="1" x14ac:dyDescent="0.25">
      <c r="A18" s="16" t="str">
        <f>HYPERLINK("#'Input - Dairy cattle purchases'!A1", "Dairy cattle purchases")</f>
        <v>Dairy cattle purchases</v>
      </c>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129</v>
      </c>
    </row>
    <row r="24" spans="1:17" ht="20.100000000000001" customHeight="1" x14ac:dyDescent="0.25">
      <c r="A24" s="16" t="str">
        <f>HYPERLINK("#'Input - Electricity'!A1", "Electricity")</f>
        <v>Electricity</v>
      </c>
      <c r="D24" s="57" t="s">
        <v>130</v>
      </c>
      <c r="E24" s="57" t="s">
        <v>131</v>
      </c>
      <c r="F24" s="57" t="s">
        <v>132</v>
      </c>
      <c r="G24" s="57" t="s">
        <v>701</v>
      </c>
      <c r="H24" s="57" t="s">
        <v>702</v>
      </c>
      <c r="I24" s="57" t="s">
        <v>703</v>
      </c>
      <c r="J24" s="57" t="s">
        <v>704</v>
      </c>
      <c r="K24" s="57" t="s">
        <v>705</v>
      </c>
      <c r="L24" s="46" t="s">
        <v>706</v>
      </c>
      <c r="M24" s="57" t="s">
        <v>707</v>
      </c>
      <c r="N24" s="57" t="s">
        <v>708</v>
      </c>
      <c r="O24" s="57" t="s">
        <v>709</v>
      </c>
      <c r="P24" s="57" t="s">
        <v>710</v>
      </c>
      <c r="Q24" s="57" t="s">
        <v>711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21" t="s">
        <v>77</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HYPERLINK("#'15 Scope 3'!A1", "15 Scope 3")</f>
        <v>15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HYPERLINK("#'10.1.1-2 Solid waste treatment'!A1", "10.1.1-2 Solid waste treatment")</f>
        <v>10.1.1-2 Solid waste treatment</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HYPERLINK("#'Calcs - Manure sent off-site'!A1", "Calcs - Manure sent off-site")</f>
        <v>Calcs - Manure sent off-site</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80" t="str">
        <f>HYPERLINK("#'8.1.1.1-2 Transport fuel'!A1", "8.1.1.1-2 Transport fuel")</f>
        <v>8.1.1.1-2 Transport fuel</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HYPERLINK("#'8.2.1.1-2 Stationary fuel'!A1", "8.2.1.1-2 Stationary fuel")</f>
        <v>8.2.1.1-2 Stationary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10</v>
      </c>
      <c r="M33" s="188" t="str" cm="1">
        <f t="array" ref="M33">Common_InputFunctions.Utility_LookupValueInTable(F33,Table_FuelTypes_Units[Fuel type],Table_FuelTypes_Units[Unit])</f>
        <v>kL</v>
      </c>
      <c r="N33" s="189" cm="1">
        <f t="array" ref="N33">Fuel_Equations.VEERG_8_1_1_1__1_FuelCombustionTransport($L33,$G33,$H33)</f>
        <v>26.981400000000001</v>
      </c>
      <c r="O33" s="189" cm="1">
        <f t="array" ref="O33">Fuel_Equations.VEERG_8_1_1_1__1_FuelCombustionTransport($L33,$G33,$I33)</f>
        <v>0.1158</v>
      </c>
      <c r="P33" s="189" cm="1">
        <f t="array" ref="P33">Fuel_Equations.VEERG_8_1_1_1__1_FuelCombustionTransport($L33,$G33,$J33)</f>
        <v>0.193</v>
      </c>
      <c r="Q33" s="190"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v>
      </c>
      <c r="M34" s="188" t="str" cm="1">
        <f t="array" ref="M34">Common_InputFunctions.Utility_LookupValueInTable(F34,Table_FuelTypes_Units[Fuel type],Table_FuelTypes_Units[Unit])</f>
        <v>kL</v>
      </c>
      <c r="N34" s="189" cm="1">
        <f t="array" ref="N34">Fuel_Equations.VEERG_8_1_1_1__1_FuelCombustionTransport($L34,$G34,$H34)</f>
        <v>0</v>
      </c>
      <c r="O34" s="189" cm="1">
        <f t="array" ref="O34">Fuel_Equations.VEERG_8_1_1_1__1_FuelCombustionTransport($L34,$G34,$I34)</f>
        <v>0</v>
      </c>
      <c r="P34" s="189" cm="1">
        <f t="array" ref="P34">Fuel_Equations.VEERG_8_1_1_1__1_FuelCombustionTransport($L34,$G34,$J34)</f>
        <v>0</v>
      </c>
      <c r="Q34" s="189" cm="1">
        <f t="array" ref="Q34">Scope3_Equations.VEERG_15_11_1_1__2_UpstreamTransportFuelEmissions(L34,G34,K34)</f>
        <v>0</v>
      </c>
    </row>
    <row r="35" spans="1:17" ht="20.100000000000001" customHeight="1" x14ac:dyDescent="0.25">
      <c r="A35" s="222" t="s">
        <v>78</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Scope 3'!A1", "Constants - Scope 3")</f>
        <v>Constants - Scope 3</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Solid Waste'!A1", "Constants - Solid Waste")</f>
        <v>Constants - Solid Waste</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Fuel'!A1", "Constants - Fuel")</f>
        <v>Constants - Fuel</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A39" s="16" t="str">
        <f>HYPERLINK("#'Constants - Poultry'!A1", "Constants - Poultry")</f>
        <v>Constants - Poultry</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s="16" t="str">
        <f>HYPERLINK("#'Constants - Swine'!A1", "Constants - Swine")</f>
        <v>Constants - Swine</v>
      </c>
      <c r="H40" s="17"/>
      <c r="I40" s="17"/>
      <c r="J40" s="17"/>
      <c r="L40" s="17"/>
      <c r="M40" s="17"/>
      <c r="N40" s="17"/>
      <c r="O40" s="17"/>
      <c r="P40" s="17"/>
      <c r="Q40" s="17"/>
    </row>
    <row r="41" spans="1:17" ht="20.100000000000001" customHeight="1" x14ac:dyDescent="0.25">
      <c r="A41" s="16" t="str">
        <f>HYPERLINK("#'Constants - Dairy'!A1", "Constants - Dairy")</f>
        <v>Constants - Dairy</v>
      </c>
      <c r="H41" s="17"/>
      <c r="I41" s="17"/>
      <c r="J41" s="17"/>
      <c r="L41" s="17"/>
      <c r="M41" s="17"/>
      <c r="N41" s="17"/>
      <c r="O41" s="17"/>
      <c r="P41" s="17"/>
      <c r="Q41" s="17"/>
    </row>
    <row r="42" spans="1:17" ht="20.100000000000001" customHeight="1" x14ac:dyDescent="0.25">
      <c r="A42" s="16" t="str">
        <f>HYPERLINK("#'Constants - Pasture Beef'!A1", "Constants - Pasture Beef")</f>
        <v>Constants - Pasture Beef</v>
      </c>
      <c r="D42" s="193" t="str">
        <f>"Total scope 1 - " &amp; D25</f>
        <v>Total scope 1 - Cars and light commercial vehicles</v>
      </c>
      <c r="E42" s="194"/>
      <c r="F42" s="195"/>
    </row>
    <row r="43" spans="1:17" ht="20.100000000000001" customHeight="1" x14ac:dyDescent="0.25">
      <c r="A43" s="16" t="str">
        <f>HYPERLINK("#'Constants - Common Livestock'!A1", "Constants - Common Livestock")</f>
        <v>Constants - Common Livestock</v>
      </c>
      <c r="D43" s="7" t="s">
        <v>712</v>
      </c>
      <c r="E43" s="196">
        <f>SUM(N25:N32)+N("Partial sum")</f>
        <v>26.981400000000001</v>
      </c>
      <c r="F43" s="65" t="str">
        <f>$E$12</f>
        <v>t CO2-e</v>
      </c>
    </row>
    <row r="44" spans="1:17" ht="20.100000000000001" customHeight="1" x14ac:dyDescent="0.25">
      <c r="A44" s="16" t="str">
        <f>HYPERLINK("#'Constants - Fertiliser'!A1", "Constants - Fertiliser")</f>
        <v>Constants - Fertiliser</v>
      </c>
      <c r="D44" s="7" t="s">
        <v>713</v>
      </c>
      <c r="E44" s="196">
        <f>SUM(O25:O32)+N("Partial sum")</f>
        <v>3.8600000000000001E-3</v>
      </c>
      <c r="F44" s="65" t="str">
        <f t="shared" ref="F44:F46" si="1">$E$12</f>
        <v>t CO2-e</v>
      </c>
    </row>
    <row r="45" spans="1:17" ht="20.100000000000001" customHeight="1" x14ac:dyDescent="0.25">
      <c r="A45" s="16" t="str">
        <f>HYPERLINK("#'Constants - Electricity'!A1", "Constants - Electricity")</f>
        <v>Constants - Electricity</v>
      </c>
      <c r="D45" s="7" t="s">
        <v>714</v>
      </c>
      <c r="E45" s="196">
        <f>SUM(P25:P32)+N("Partial sum")</f>
        <v>0.193</v>
      </c>
      <c r="F45" s="65" t="str">
        <f t="shared" si="1"/>
        <v>t CO2-e</v>
      </c>
    </row>
    <row r="46" spans="1:17" ht="20.100000000000001" customHeight="1" x14ac:dyDescent="0.25">
      <c r="A46" s="16" t="str">
        <f>HYPERLINK("#'Constants - Common'!A1", "Constants - Common")</f>
        <v>Constants - Common</v>
      </c>
      <c r="D46" s="7" t="s">
        <v>715</v>
      </c>
      <c r="E46" s="196">
        <f>SUM(Q25:Q32)+N("Partial sum")</f>
        <v>6.6778000000000004</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712</v>
      </c>
      <c r="E49" s="196">
        <f>SUM(N33:N33)+N("Partial sum")</f>
        <v>26.981400000000001</v>
      </c>
      <c r="F49" s="65" t="str">
        <f t="shared" ref="F49:F52" si="2">$E$12</f>
        <v>t CO2-e</v>
      </c>
      <c r="H49" s="17"/>
      <c r="I49" s="17"/>
      <c r="J49" s="17"/>
      <c r="L49" s="17"/>
      <c r="M49" s="17"/>
      <c r="N49" s="17"/>
      <c r="O49" s="17"/>
      <c r="P49" s="17"/>
      <c r="Q49" s="17"/>
    </row>
    <row r="50" spans="1:17" ht="20.100000000000001" customHeight="1" x14ac:dyDescent="0.25">
      <c r="A50"/>
      <c r="D50" s="7" t="s">
        <v>713</v>
      </c>
      <c r="E50" s="196">
        <f>SUM(O33:O33)+N("Partial sum")</f>
        <v>0.1158</v>
      </c>
      <c r="F50" s="65" t="str">
        <f t="shared" si="2"/>
        <v>t CO2-e</v>
      </c>
      <c r="H50" s="17"/>
      <c r="I50" s="17"/>
      <c r="J50" s="17"/>
      <c r="L50" s="17"/>
      <c r="M50" s="17"/>
      <c r="N50" s="17"/>
      <c r="O50" s="17"/>
      <c r="P50" s="17"/>
      <c r="Q50" s="17"/>
    </row>
    <row r="51" spans="1:17" ht="20.100000000000001" customHeight="1" x14ac:dyDescent="0.25">
      <c r="A51"/>
      <c r="D51" s="7" t="s">
        <v>714</v>
      </c>
      <c r="E51" s="196">
        <f>SUM(P33:P33)+N("Partial sum")</f>
        <v>0.193</v>
      </c>
      <c r="F51" s="65" t="str">
        <f t="shared" si="2"/>
        <v>t CO2-e</v>
      </c>
      <c r="H51" s="17"/>
      <c r="I51" s="17"/>
      <c r="J51" s="17"/>
      <c r="L51" s="17"/>
      <c r="M51" s="17"/>
      <c r="N51" s="17"/>
      <c r="O51" s="17"/>
      <c r="P51" s="17"/>
      <c r="Q51" s="17"/>
    </row>
    <row r="52" spans="1:17" ht="20.100000000000001" customHeight="1" x14ac:dyDescent="0.25">
      <c r="A52"/>
      <c r="D52" s="7" t="s">
        <v>715</v>
      </c>
      <c r="E52" s="196">
        <f>SUM(Q33)+N("Partial sum")</f>
        <v>6.6778000000000004</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712</v>
      </c>
      <c r="E55" s="196">
        <f>SUM(N34:N36)+N("Partial sum")</f>
        <v>0</v>
      </c>
      <c r="F55" s="65" t="str">
        <f t="shared" ref="F55:F58" si="3">$E$12</f>
        <v>t CO2-e</v>
      </c>
      <c r="G55" s="17"/>
      <c r="H55" s="17"/>
      <c r="I55" s="17"/>
      <c r="J55" s="17"/>
      <c r="L55" s="17"/>
      <c r="M55" s="17"/>
      <c r="N55" s="17"/>
      <c r="O55" s="17"/>
      <c r="P55" s="17"/>
      <c r="Q55" s="17"/>
    </row>
    <row r="56" spans="1:17" ht="20.100000000000001" customHeight="1" x14ac:dyDescent="0.25">
      <c r="A56"/>
      <c r="D56" s="7" t="s">
        <v>713</v>
      </c>
      <c r="E56" s="196">
        <f>SUM(O34:O36)+N("Partial sum")</f>
        <v>0</v>
      </c>
      <c r="F56" s="65" t="str">
        <f t="shared" si="3"/>
        <v>t CO2-e</v>
      </c>
      <c r="G56" s="17"/>
      <c r="H56" s="17"/>
      <c r="I56" s="17"/>
      <c r="J56" s="17"/>
      <c r="L56" s="17"/>
      <c r="M56" s="17"/>
      <c r="N56" s="17"/>
      <c r="O56" s="17"/>
      <c r="P56" s="17"/>
      <c r="Q56" s="17"/>
    </row>
    <row r="57" spans="1:17" ht="20.100000000000001" customHeight="1" x14ac:dyDescent="0.25">
      <c r="A57"/>
      <c r="D57" s="7" t="s">
        <v>714</v>
      </c>
      <c r="E57" s="196">
        <f>SUM(P34:P36)+N("Partial sum")</f>
        <v>0</v>
      </c>
      <c r="F57" s="65" t="str">
        <f t="shared" si="3"/>
        <v>t CO2-e</v>
      </c>
      <c r="G57" s="17"/>
      <c r="H57" s="17"/>
      <c r="I57" s="17"/>
      <c r="J57" s="17"/>
      <c r="L57" s="17"/>
      <c r="M57" s="17"/>
      <c r="N57" s="17"/>
      <c r="O57" s="17"/>
      <c r="P57" s="17"/>
      <c r="Q57" s="17"/>
    </row>
    <row r="58" spans="1:17" ht="20.100000000000001" customHeight="1" x14ac:dyDescent="0.25">
      <c r="A58"/>
      <c r="D58" s="7" t="s">
        <v>715</v>
      </c>
      <c r="E58" s="196">
        <f>SUM(Q34:Q36)+N("Partial sum")</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712</v>
      </c>
      <c r="E61" s="196">
        <f>SUM(N37:N39)+N("Partial sum")</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713</v>
      </c>
      <c r="E62" s="196">
        <f>SUM(O37:O39)+N("Partial sum")</f>
        <v>7.9400000000000012E-2</v>
      </c>
      <c r="F62" s="65" t="str">
        <f t="shared" si="4"/>
        <v>t CO2-e</v>
      </c>
      <c r="G62" s="17"/>
      <c r="H62" s="17"/>
      <c r="I62" s="17"/>
      <c r="J62" s="17"/>
      <c r="L62" s="17"/>
      <c r="M62" s="17"/>
      <c r="N62" s="17"/>
      <c r="O62" s="17"/>
      <c r="P62" s="17"/>
      <c r="Q62" s="17"/>
    </row>
    <row r="63" spans="1:17" ht="20.100000000000001" customHeight="1" x14ac:dyDescent="0.25">
      <c r="A63"/>
      <c r="D63" s="7" t="s">
        <v>714</v>
      </c>
      <c r="E63" s="196">
        <f>SUM(P37:P39)+N("Partial sum")</f>
        <v>0.19850000000000001</v>
      </c>
      <c r="F63" s="65" t="str">
        <f t="shared" si="4"/>
        <v>t CO2-e</v>
      </c>
      <c r="G63" s="17"/>
      <c r="H63" s="17"/>
      <c r="I63" s="17"/>
      <c r="J63" s="17"/>
      <c r="L63" s="17"/>
      <c r="M63" s="17"/>
      <c r="N63" s="17"/>
      <c r="O63" s="17"/>
      <c r="P63" s="17"/>
      <c r="Q63" s="17"/>
    </row>
    <row r="64" spans="1:17" ht="20.100000000000001" customHeight="1" x14ac:dyDescent="0.25">
      <c r="A64"/>
      <c r="D64" s="7" t="s">
        <v>715</v>
      </c>
      <c r="E64" s="196">
        <f>SUM(Q37:Q39)+N("Partial sum")</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716</v>
      </c>
      <c r="E66" s="199"/>
      <c r="F66" s="195"/>
      <c r="G66" s="17"/>
      <c r="H66" s="17"/>
      <c r="I66" s="17"/>
      <c r="J66" s="17"/>
      <c r="L66" s="17"/>
      <c r="M66" s="17"/>
      <c r="N66" s="17"/>
      <c r="O66" s="17"/>
      <c r="P66" s="17"/>
      <c r="Q66" s="17"/>
    </row>
    <row r="67" spans="1:17" ht="20.100000000000001" customHeight="1" x14ac:dyDescent="0.25">
      <c r="A67"/>
      <c r="D67" s="7" t="s">
        <v>712</v>
      </c>
      <c r="E67" s="196">
        <f>E43+E49+E55+E61</f>
        <v>83.182000000000002</v>
      </c>
      <c r="F67" s="65" t="str">
        <f t="shared" ref="F67:F70" si="5">$E$12</f>
        <v>t CO2-e</v>
      </c>
      <c r="G67" s="17"/>
    </row>
    <row r="68" spans="1:17" ht="20.100000000000001" customHeight="1" x14ac:dyDescent="0.25">
      <c r="A68"/>
      <c r="D68" s="7" t="s">
        <v>713</v>
      </c>
      <c r="E68" s="196">
        <f t="shared" ref="E68:E70" si="6">E44+E50+E56+E62</f>
        <v>0.19906000000000001</v>
      </c>
      <c r="F68" s="65" t="str">
        <f t="shared" si="5"/>
        <v>t CO2-e</v>
      </c>
      <c r="G68" s="17"/>
    </row>
    <row r="69" spans="1:17" ht="20.100000000000001" customHeight="1" x14ac:dyDescent="0.25">
      <c r="A69"/>
      <c r="D69" s="7" t="s">
        <v>714</v>
      </c>
      <c r="E69" s="196">
        <f t="shared" si="6"/>
        <v>0.58450000000000002</v>
      </c>
      <c r="F69" s="65" t="str">
        <f t="shared" si="5"/>
        <v>t CO2-e</v>
      </c>
      <c r="G69" s="17"/>
    </row>
    <row r="70" spans="1:17" ht="20.100000000000001" customHeight="1" x14ac:dyDescent="0.25">
      <c r="A70"/>
      <c r="D70" s="7" t="s">
        <v>715</v>
      </c>
      <c r="E70" s="196">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B6CED129-3650-4945-8301-02F60725FF03}"/>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089A0-1321-4DFE-8372-C5FDB549B58C}">
  <dimension ref="A1:R165"/>
  <sheetViews>
    <sheetView showGridLines="0" topLeftCell="A36"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616</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616</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Common farm inputs'!A1", "Common farm inputs")</f>
        <v>Common farm inputs</v>
      </c>
      <c r="D11" s="27" t="s">
        <v>617</v>
      </c>
      <c r="E11" s="8" t="str" cm="1">
        <f t="array" ref="E11">Fuel_Equations.VEERG_8_2_1_1__1_FuelCombustionStationary_Variable()</f>
        <v>E_g</v>
      </c>
      <c r="K11" s="27" t="s">
        <v>617</v>
      </c>
      <c r="L11" s="8" t="str" cm="1">
        <f t="array" ref="L11">Scope3_Equations.VEERG_15_11_1_1__3_UpstreamStationaryFuelEmissions_Variable()</f>
        <v>E_WTTSCq</v>
      </c>
      <c r="O11" s="17"/>
      <c r="P11" s="17"/>
      <c r="Q11" s="17"/>
      <c r="R11" s="17"/>
    </row>
    <row r="12" spans="1:18" ht="20.100000000000001" customHeight="1" x14ac:dyDescent="0.25">
      <c r="A12" s="16" t="str">
        <f>HYPERLINK("#'Input - Processing inputs'!A1", "Processing inputs")</f>
        <v>Processing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231"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K17" s="167" t="str">
        <v>i</v>
      </c>
      <c r="L17" s="171" t="str">
        <v>state</v>
      </c>
      <c r="M17" s="166"/>
      <c r="N17" s="167" t="str">
        <v/>
      </c>
      <c r="O17" s="231" t="str">
        <v>Input</v>
      </c>
      <c r="P17" s="167" t="e">
        <f>X_Cell_Site_State</f>
        <v>#REF!</v>
      </c>
      <c r="Q17" s="17"/>
    </row>
    <row r="18" spans="1:17" ht="20.100000000000001" customHeight="1" x14ac:dyDescent="0.25">
      <c r="A18" s="16" t="str">
        <f>HYPERLINK("#'Input - Dairy cattle purchases'!A1", "Dairy cattle purchases")</f>
        <v>Dairy cattle purchases</v>
      </c>
      <c r="D18" s="167" t="str">
        <v>SC</v>
      </c>
      <c r="E18" s="171" t="str">
        <v>Stationary combustion</v>
      </c>
      <c r="F18" s="166"/>
      <c r="G18" s="167" t="str">
        <v/>
      </c>
      <c r="H18" s="169" t="str">
        <v>Constant</v>
      </c>
      <c r="I18" s="170"/>
      <c r="J18" s="17"/>
      <c r="K18" s="167" t="str">
        <v>m</v>
      </c>
      <c r="L18" s="171" t="str">
        <v>metropolitan/non-metropolitan location</v>
      </c>
      <c r="M18" s="166"/>
      <c r="N18" s="167" t="str">
        <v/>
      </c>
      <c r="O18" s="231" t="str">
        <v>Input</v>
      </c>
      <c r="P18" s="167" t="str">
        <f>X_Cell_Fuel_IsMetroLocation</f>
        <v>Metro</v>
      </c>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718</v>
      </c>
    </row>
    <row r="24" spans="1:17" ht="20.100000000000001" customHeight="1" x14ac:dyDescent="0.25">
      <c r="A24" s="16" t="str">
        <f>HYPERLINK("#'Input - Electricity'!A1", "Electricity")</f>
        <v>Electricity</v>
      </c>
      <c r="D24" s="57" t="s">
        <v>130</v>
      </c>
      <c r="E24" s="57" t="s">
        <v>131</v>
      </c>
      <c r="F24" s="57" t="s">
        <v>132</v>
      </c>
      <c r="G24" s="57" t="s">
        <v>719</v>
      </c>
      <c r="H24" s="57" t="s">
        <v>720</v>
      </c>
      <c r="I24" s="57" t="s">
        <v>721</v>
      </c>
      <c r="J24" s="57" t="s">
        <v>722</v>
      </c>
      <c r="K24" s="57" t="s">
        <v>723</v>
      </c>
      <c r="L24" s="46" t="s">
        <v>724</v>
      </c>
      <c r="M24" s="57" t="s">
        <v>707</v>
      </c>
      <c r="N24" s="57" t="s">
        <v>708</v>
      </c>
      <c r="O24" s="57" t="s">
        <v>709</v>
      </c>
      <c r="P24" s="57" t="s">
        <v>710</v>
      </c>
      <c r="Q24" s="57" t="s">
        <v>725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1" t="s">
        <v>77</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HYPERLINK("#'15 Scope 3'!A1", "15 Scope 3")</f>
        <v>15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HYPERLINK("#'10.1.1-2 Solid waste treatment'!A1", "10.1.1-2 Solid waste treatment")</f>
        <v>10.1.1-2 Solid waste treatment</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HYPERLINK("#'Calcs - Manure sent off-site'!A1", "Calcs - Manure sent off-site")</f>
        <v>Calcs - Manure sent off-site</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HYPERLINK("#'8.1.1.1-2 Transport fuel'!A1", "8.1.1.1-2 Transport fuel")</f>
        <v>8.1.1.1-2 Transport fuel</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80" t="str">
        <f>HYPERLINK("#'8.2.1.1-2 Stationary fuel'!A1", "8.2.1.1-2 Stationary fuel")</f>
        <v>8.2.1.1-2 Stationary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10</v>
      </c>
      <c r="M32" s="188" t="str" cm="1">
        <f t="array" ref="M32">Common_InputFunctions.Utility_LookupValueInTable(F32,Table_FuelTypes_Units[Fuel type],Table_FuelTypes_Units[Unit])</f>
        <v>kL</v>
      </c>
      <c r="N32" s="202" cm="1">
        <f t="array" ref="N32">Fuel_Equations.VEERG_8_2_1_1__1_FuelCombustionStationary($L32,$G32,H32)</f>
        <v>23.050800000000002</v>
      </c>
      <c r="O32" s="202" cm="1">
        <f t="array" ref="O32">Fuel_Equations.VEERG_8_2_1_1__1_FuelCombustionStationary($L32,$G32,I32)</f>
        <v>6.8400000000000002E-2</v>
      </c>
      <c r="P32" s="202" cm="1">
        <f t="array" ref="P32">Fuel_Equations.VEERG_8_2_1_1__1_FuelCombustionStationary($L32,$G32,J32)</f>
        <v>6.8400000000000002E-2</v>
      </c>
      <c r="Q32" s="202" cm="1">
        <f t="array" ref="Q32">Fuel_Equations.VEERG_8_2_1_1__1_FuelCombustionStationary($L32,$G32,IF(ISNUMBER(K32), K32, 0))</f>
        <v>5.8823999999999996</v>
      </c>
    </row>
    <row r="33" spans="1:17" ht="20.100000000000001" customHeight="1" x14ac:dyDescent="0.25">
      <c r="A33"/>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222" t="s">
        <v>78</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Scope 3'!A1", "Constants - Scope 3")</f>
        <v>Constants - Scope 3</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Solid Waste'!A1", "Constants - Solid Waste")</f>
        <v>Constants - Solid Waste</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Fuel'!A1", "Constants - Fuel")</f>
        <v>Constants - Fuel</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s="16" t="str">
        <f>HYPERLINK("#'Constants - Poultry'!A1", "Constants - Poultry")</f>
        <v>Constants - Poultry</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t="str" cm="1">
        <f t="array" ref="K39">IFERROR(Common_InputFunctions.Utility_LookupValueInTableOneColumnAndHeader($P$17,$P$18,Table_Fuel_EFs_StationaryGaseous34[State or territory],Table_Fuel_EFs_StationaryGaseous34[#Headers],Table_Fuel_EFs_StationaryGaseous34[#Data]),0)</f>
        <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s="16" t="str">
        <f>HYPERLINK("#'Constants - Swine'!A1", "Constants - Swine")</f>
        <v>Constants - Swine</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t="str" cm="1">
        <f t="array" ref="K40">IFERROR(Common_InputFunctions.Utility_LookupValueInTableOneColumnAndHeader($P$17,$P$18,Table_Fuel_EFs_StationaryGaseous34[State or territory],Table_Fuel_EFs_StationaryGaseous34[#Headers],Table_Fuel_EFs_StationaryGaseous34[#Data]),0)</f>
        <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00" cm="1">
        <f t="array" ref="N40">Fuel_Equations.VEERG_8_2_1_1__1_FuelCombustionStationary($L40,$G40,H40)</f>
        <v>6.0200000000000005</v>
      </c>
      <c r="O40" s="200" cm="1">
        <f t="array" ref="O40">Fuel_Equations.VEERG_8_2_1_1__1_FuelCombustionStationary($L40,$G40,I40)</f>
        <v>4.0000000000000001E-3</v>
      </c>
      <c r="P40" s="200" cm="1">
        <f t="array" ref="P40">Fuel_Equations.VEERG_8_2_1_1__1_FuelCombustionStationary($L40,$G40,J40)</f>
        <v>3.0000000000000001E-3</v>
      </c>
      <c r="Q40" s="200" cm="1">
        <f t="array" ref="Q40">Fuel_Equations.VEERG_8_2_1_1__1_FuelCombustionStationary($L40,$G40,IF(ISNUMBER(K40), K40, 0))</f>
        <v>0</v>
      </c>
    </row>
    <row r="41" spans="1:17" ht="20.100000000000001" customHeight="1" x14ac:dyDescent="0.25">
      <c r="A41" s="16" t="str">
        <f>HYPERLINK("#'Constants - Dairy'!A1", "Constants - Dairy")</f>
        <v>Constants - Dairy</v>
      </c>
    </row>
    <row r="42" spans="1:17" ht="20.100000000000001" customHeight="1" x14ac:dyDescent="0.25">
      <c r="A42" s="16" t="str">
        <f>HYPERLINK("#'Constants - Pasture Beef'!A1", "Constants - Pasture Beef")</f>
        <v>Constants - Pasture Beef</v>
      </c>
      <c r="D42" s="193" t="str">
        <f>"Total scope 1 - " &amp; D25</f>
        <v>Total scope 1 - Generators</v>
      </c>
      <c r="E42" s="194"/>
      <c r="F42" s="195"/>
    </row>
    <row r="43" spans="1:17" ht="20.100000000000001" customHeight="1" x14ac:dyDescent="0.25">
      <c r="A43" s="16" t="str">
        <f>HYPERLINK("#'Constants - Common Livestock'!A1", "Constants - Common Livestock")</f>
        <v>Constants - Common Livestock</v>
      </c>
      <c r="D43" s="7" t="s">
        <v>712</v>
      </c>
      <c r="E43" s="196">
        <f>SUM(N25:N31)+N("Partial sum")</f>
        <v>0</v>
      </c>
      <c r="F43" s="65" t="str">
        <f>$E$12</f>
        <v>t CO2-e</v>
      </c>
    </row>
    <row r="44" spans="1:17" ht="20.100000000000001" customHeight="1" x14ac:dyDescent="0.25">
      <c r="A44" s="16" t="str">
        <f>HYPERLINK("#'Constants - Fertiliser'!A1", "Constants - Fertiliser")</f>
        <v>Constants - Fertiliser</v>
      </c>
      <c r="D44" s="7" t="s">
        <v>713</v>
      </c>
      <c r="E44" s="196">
        <f>SUM(O25:O31)+N("Partial sum")</f>
        <v>0</v>
      </c>
      <c r="F44" s="65" t="str">
        <f t="shared" ref="F44:F46" si="2">$E$12</f>
        <v>t CO2-e</v>
      </c>
    </row>
    <row r="45" spans="1:17" ht="20.100000000000001" customHeight="1" x14ac:dyDescent="0.25">
      <c r="A45" s="16" t="str">
        <f>HYPERLINK("#'Constants - Electricity'!A1", "Constants - Electricity")</f>
        <v>Constants - Electricity</v>
      </c>
      <c r="D45" s="7" t="s">
        <v>714</v>
      </c>
      <c r="E45" s="196">
        <f>SUM(P25:P31)+N("Partial sum")</f>
        <v>0</v>
      </c>
      <c r="F45" s="65" t="str">
        <f t="shared" si="2"/>
        <v>t CO2-e</v>
      </c>
    </row>
    <row r="46" spans="1:17" ht="20.100000000000001" customHeight="1" x14ac:dyDescent="0.25">
      <c r="A46" s="16" t="str">
        <f>HYPERLINK("#'Constants - Common'!A1", "Constants - Common")</f>
        <v>Constants - Common</v>
      </c>
      <c r="D46" s="7" t="s">
        <v>715</v>
      </c>
      <c r="E46" s="196">
        <f>SUM(Q25:Q31)+N("Partial sum")</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712</v>
      </c>
      <c r="E49" s="196">
        <f>SUM(N32:N40)+N("Partial sum")</f>
        <v>29.070800000000002</v>
      </c>
      <c r="F49" s="65" t="str">
        <f t="shared" ref="F49:F52" si="3">$E$12</f>
        <v>t CO2-e</v>
      </c>
      <c r="H49" s="17"/>
      <c r="I49" s="17"/>
      <c r="J49" s="17"/>
      <c r="L49" s="17"/>
      <c r="N49" s="17"/>
      <c r="O49" s="17"/>
      <c r="P49" s="17"/>
      <c r="Q49" s="17"/>
    </row>
    <row r="50" spans="1:17" ht="20.100000000000001" customHeight="1" x14ac:dyDescent="0.25">
      <c r="A50"/>
      <c r="D50" s="7" t="s">
        <v>713</v>
      </c>
      <c r="E50" s="196">
        <f>SUM(O32:O40)+N("Partial sum")</f>
        <v>7.2400000000000006E-2</v>
      </c>
      <c r="F50" s="65" t="str">
        <f t="shared" si="3"/>
        <v>t CO2-e</v>
      </c>
      <c r="H50" s="17"/>
      <c r="I50" s="17"/>
      <c r="J50" s="17"/>
      <c r="L50" s="17"/>
      <c r="N50" s="17"/>
      <c r="O50" s="17"/>
      <c r="P50" s="17"/>
      <c r="Q50" s="17"/>
    </row>
    <row r="51" spans="1:17" ht="20.100000000000001" customHeight="1" x14ac:dyDescent="0.25">
      <c r="A51"/>
      <c r="D51" s="7" t="s">
        <v>714</v>
      </c>
      <c r="E51" s="196">
        <f>SUM(P32:P40)+N("Partial sum")</f>
        <v>7.1400000000000005E-2</v>
      </c>
      <c r="F51" s="65" t="str">
        <f t="shared" si="3"/>
        <v>t CO2-e</v>
      </c>
      <c r="H51" s="17"/>
      <c r="I51" s="17"/>
      <c r="J51" s="17"/>
      <c r="L51" s="17"/>
      <c r="N51" s="17"/>
      <c r="O51" s="17"/>
      <c r="P51" s="17"/>
      <c r="Q51" s="17"/>
    </row>
    <row r="52" spans="1:17" ht="20.100000000000001" customHeight="1" x14ac:dyDescent="0.25">
      <c r="A52"/>
      <c r="D52" s="7" t="s">
        <v>715</v>
      </c>
      <c r="E52" s="196">
        <f>SUM(Q32:Q40)+N("Partial sum")</f>
        <v>5.8823999999999996</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726</v>
      </c>
      <c r="E54" s="197"/>
      <c r="F54" s="195"/>
      <c r="G54" s="17"/>
      <c r="H54" s="17"/>
      <c r="I54" s="17"/>
      <c r="J54" s="17"/>
      <c r="L54" s="17"/>
      <c r="N54" s="17"/>
      <c r="O54" s="17"/>
      <c r="P54" s="17"/>
      <c r="Q54" s="17"/>
    </row>
    <row r="55" spans="1:17" ht="20.100000000000001" customHeight="1" x14ac:dyDescent="0.25">
      <c r="A55"/>
      <c r="D55" s="7" t="s">
        <v>712</v>
      </c>
      <c r="E55" s="196">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713</v>
      </c>
      <c r="E56" s="196">
        <f>E44+E50</f>
        <v>7.2400000000000006E-2</v>
      </c>
      <c r="F56" s="65" t="str">
        <f t="shared" si="4"/>
        <v>t CO2-e</v>
      </c>
      <c r="H56" s="17"/>
    </row>
    <row r="57" spans="1:17" ht="20.100000000000001" customHeight="1" x14ac:dyDescent="0.25">
      <c r="A57"/>
      <c r="D57" s="7" t="s">
        <v>714</v>
      </c>
      <c r="E57" s="196">
        <f>E45+E51</f>
        <v>7.1400000000000005E-2</v>
      </c>
      <c r="F57" s="65" t="str">
        <f t="shared" si="4"/>
        <v>t CO2-e</v>
      </c>
      <c r="G57" s="17"/>
      <c r="H57" s="17"/>
      <c r="I57" s="17"/>
      <c r="J57" s="17"/>
      <c r="L57" s="17"/>
      <c r="N57" s="17"/>
      <c r="O57" s="17"/>
      <c r="P57" s="17"/>
      <c r="Q57" s="17"/>
    </row>
    <row r="58" spans="1:17" ht="20.100000000000001" customHeight="1" x14ac:dyDescent="0.25">
      <c r="A58"/>
      <c r="D58" s="7" t="s">
        <v>715</v>
      </c>
      <c r="E58" s="196">
        <f>E46+E52</f>
        <v>5.8823999999999996</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workbookViewId="0" zoomScale="100" zoomScaleNormal="100">
      <selection activeCell="A46" sqref="A46"/>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Common farm inputs'!A1", "Common farm inputs")</f>
        <v>Common farm inputs</v>
      </c>
    </row>
    <row r="12" spans="1:17" ht="20.100000000000001" customHeight="1" x14ac:dyDescent="0.25">
      <c r="A12" s="16" t="str">
        <f>HYPERLINK("#'Input - Processing inputs'!A1", "Processing inputs")</f>
        <v>Processing inputs</v>
      </c>
    </row>
    <row r="13" spans="1:17" ht="20.100000000000001" customHeight="1" x14ac:dyDescent="0.25">
      <c r="A13" s="16" t="str">
        <f>HYPERLINK("#'Input - Crop pasture farm input'!A1", "Crop pasture farm input")</f>
        <v>Crop pasture farm input</v>
      </c>
    </row>
    <row r="14" spans="1:17" ht="20.100000000000001" customHeight="1" x14ac:dyDescent="0.25">
      <c r="A14" s="16" t="str">
        <f>HYPERLINK("#'Input - Hort farm Inputs'!A1", "Hort farm Inputs")</f>
        <v>Hort farm Inputs</v>
      </c>
    </row>
    <row r="15" spans="1:17" ht="20.100000000000001" customHeight="1" x14ac:dyDescent="0.25">
      <c r="A15" s="16" t="str">
        <f>HYPERLINK("#'Input - Livestock farm Inputs'!A1", "Livestock farm Inputs")</f>
        <v>Livestock farm Inputs</v>
      </c>
    </row>
    <row r="16" spans="1:17" ht="20.100000000000001" customHeight="1" x14ac:dyDescent="0.25">
      <c r="A16" s="16" t="str">
        <f>HYPERLINK("#'Input - Aquaculture inputs'!A1", "Aquaculture inputs")</f>
        <v>Aquaculture inputs</v>
      </c>
    </row>
    <row r="17" spans="1:11" ht="20.100000000000001" customHeight="1" x14ac:dyDescent="0.25">
      <c r="A17" s="16" t="str">
        <f>HYPERLINK("#'Input - Beef cattle purchases'!A1", "Beef cattle purchases")</f>
        <v>Beef cattle purchases</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row>
    <row r="21" spans="1:11" ht="20.100000000000001" customHeight="1" x14ac:dyDescent="0.25">
      <c r="A21" s="16" t="str">
        <f>HYPERLINK("#'Input - Freight'!A1", "Freight")</f>
        <v>Freight</v>
      </c>
    </row>
    <row r="22" spans="1:11" ht="20.100000000000001" customHeight="1" x14ac:dyDescent="0.25">
      <c r="A22" s="16" t="str">
        <f>HYPERLINK("#'Input - Solid waste'!A1", "Solid waste")</f>
        <v>Solid waste</v>
      </c>
    </row>
    <row r="23" spans="1:11" ht="20.100000000000001" customHeight="1" x14ac:dyDescent="0.25">
      <c r="A23" s="16" t="str">
        <f>HYPERLINK("#'Input - Manure sent off-site'!A1", "Manure sent off-site")</f>
        <v>Manure sent off-site</v>
      </c>
    </row>
    <row r="24" spans="1:11" ht="20.100000000000001" customHeight="1" x14ac:dyDescent="0.25">
      <c r="A24" s="16" t="str">
        <f>HYPERLINK("#'Input - Electricity'!A1", "Electricity")</f>
        <v>Electricity</v>
      </c>
    </row>
    <row r="25" spans="1:11" ht="20.100000000000001" customHeight="1" x14ac:dyDescent="0.25"/>
    <row r="26" spans="1:11" ht="20.100000000000001" customHeight="1" x14ac:dyDescent="0.25"/>
    <row r="27" spans="1:11" ht="20.100000000000001" customHeight="1" x14ac:dyDescent="0.25">
      <c r="A27" s="21" t="s">
        <v>77</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row>
    <row r="30" spans="1:11" ht="20.100000000000001" customHeight="1" x14ac:dyDescent="0.25">
      <c r="A30" s="16" t="str">
        <f>HYPERLINK("#'Calcs - Manure sent off-site'!A1", "Calcs - Manure sent off-site")</f>
        <v>Calcs - Manure sent off-site</v>
      </c>
    </row>
    <row r="31" spans="1:11" ht="20.100000000000001" customHeight="1" x14ac:dyDescent="0.25">
      <c r="A31" s="16" t="str">
        <f>HYPERLINK("#'8.1.1.1-2 Transport fuel'!A1", "8.1.1.1-2 Transport fuel")</f>
        <v>8.1.1.1-2 Transport fuel</v>
      </c>
    </row>
    <row r="32" spans="1:11" ht="20.100000000000001" customHeight="1" x14ac:dyDescent="0.25">
      <c r="A32" s="16" t="str">
        <f>HYPERLINK("#'8.2.1.1-2 Stationary fuel'!A1", "8.2.1.1-2 Stationary fuel")</f>
        <v>8.2.1.1-2 Stationary fuel</v>
      </c>
      <c r="D32" s="9" t="s">
        <v>349</v>
      </c>
      <c r="K32" s="8" t="s">
        <v>420</v>
      </c>
    </row>
    <row r="33" spans="1:12" ht="20.100000000000001" customHeight="1" x14ac:dyDescent="0.25">
      <c r="D33" s="10" t="s">
        <v>307</v>
      </c>
      <c r="E33" s="10" t="s">
        <v>208</v>
      </c>
      <c r="F33" s="10" t="s">
        <v>308</v>
      </c>
      <c r="G33" s="10" t="s">
        <v>274</v>
      </c>
      <c r="H33" s="10" t="s">
        <v>275</v>
      </c>
      <c r="I33" s="10" t="s">
        <v>350</v>
      </c>
      <c r="K33" s="10" t="s">
        <v>374</v>
      </c>
      <c r="L33" s="10" t="s">
        <v>503</v>
      </c>
    </row>
    <row r="34" spans="1: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304</v>
      </c>
      <c r="L34" s="10" t="s">
        <v>325</v>
      </c>
    </row>
    <row r="35" spans="1:12" ht="20.100000000000001" customHeight="1" x14ac:dyDescent="0.25">
      <c r="A35" s="222" t="s">
        <v>78</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325</v>
      </c>
      <c r="L35" s="10" t="s">
        <v>325</v>
      </c>
    </row>
    <row r="36" spans="1:12" ht="20.100000000000001" customHeight="1" x14ac:dyDescent="0.25">
      <c r="A36" s="23" t="str">
        <f>HYPERLINK("#'Constants - Scope 3'!A1", "Constants - Scope 3")</f>
        <v>Constants - Scope 3</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381</v>
      </c>
      <c r="L36" s="10" t="s">
        <v>381</v>
      </c>
    </row>
    <row r="37" spans="1:12" ht="20.100000000000001" customHeight="1" x14ac:dyDescent="0.25">
      <c r="A37" s="16" t="str">
        <f>HYPERLINK("#'Constants - Solid Waste'!A1", "Constants - Solid Waste")</f>
        <v>Constants - Solid Waste</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378</v>
      </c>
      <c r="L37" s="10" t="s">
        <v>378</v>
      </c>
    </row>
    <row r="38" spans="1:12" ht="20.100000000000001" customHeight="1" x14ac:dyDescent="0.25">
      <c r="A38" s="16" t="str">
        <f>HYPERLINK("#'Constants - Fuel'!A1", "Constants - Fuel")</f>
        <v>Constants - Fuel</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331</v>
      </c>
      <c r="L38" s="10" t="s">
        <v>331</v>
      </c>
    </row>
    <row r="39" spans="1:12" ht="20.100000000000001" customHeight="1" x14ac:dyDescent="0.25">
      <c r="A39" s="16" t="str">
        <f>HYPERLINK("#'Constants - Poultry'!A1", "Constants - Poultry")</f>
        <v>Constants - Poultry</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424</v>
      </c>
      <c r="L39" s="10" t="s">
        <v>332</v>
      </c>
    </row>
    <row r="40" spans="1:12" ht="20.100000000000001" customHeight="1" x14ac:dyDescent="0.25">
      <c r="A40" s="16" t="str">
        <f>HYPERLINK("#'Constants - Swine'!A1", "Constants - Swine")</f>
        <v>Constants - Swine</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423</v>
      </c>
      <c r="L40" s="10" t="s">
        <v>332</v>
      </c>
    </row>
    <row r="41" spans="1:12" ht="20.100000000000001" customHeight="1" x14ac:dyDescent="0.25">
      <c r="A41" s="16" t="str">
        <f>HYPERLINK("#'Constants - Dairy'!A1", "Constants - Dairy")</f>
        <v>Constants - Dairy</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425</v>
      </c>
      <c r="L41" s="10" t="s">
        <v>332</v>
      </c>
    </row>
    <row r="42" spans="1:12" ht="20.100000000000001" customHeight="1" x14ac:dyDescent="0.25">
      <c r="A42" s="16" t="str">
        <f>HYPERLINK("#'Constants - Pasture Beef'!A1", "Constants - Pasture Beef")</f>
        <v>Constants - Pasture Beef</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426</v>
      </c>
      <c r="L42" s="10" t="s">
        <v>422</v>
      </c>
    </row>
    <row r="43" spans="1:12" ht="20.100000000000001" customHeight="1" x14ac:dyDescent="0.25">
      <c r="A43" s="16" t="str">
        <f>HYPERLINK("#'Constants - Common Livestock'!A1", "Constants - Common Livestock")</f>
        <v>Constants - Common Livestock</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427</v>
      </c>
      <c r="L43" s="10" t="s">
        <v>422</v>
      </c>
    </row>
    <row r="44" spans="1:12" ht="20.100000000000001" customHeight="1" x14ac:dyDescent="0.25">
      <c r="A44" s="16" t="str">
        <f>HYPERLINK("#'Constants - Fertiliser'!A1", "Constants - Fertiliser")</f>
        <v>Constants - Fertiliser</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428</v>
      </c>
      <c r="L44" s="10" t="s">
        <v>422</v>
      </c>
    </row>
    <row r="45" spans="1:12" ht="20.100000000000001" customHeight="1" x14ac:dyDescent="0.25">
      <c r="A45" s="16" t="str">
        <f>HYPERLINK("#'Constants - Electricity'!A1", "Constants - Electricity")</f>
        <v>Constants - Electricity</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429</v>
      </c>
      <c r="L45" s="10" t="s">
        <v>326</v>
      </c>
    </row>
    <row r="46" spans="1:12" ht="20.100000000000001" customHeight="1" x14ac:dyDescent="0.25">
      <c r="A46" s="16" t="str">
        <f>HYPERLINK("#'Constants - Common'!A1", "Constants - Common")</f>
        <v>Constants - Common</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430</v>
      </c>
      <c r="L46" s="10" t="s">
        <v>326</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431</v>
      </c>
      <c r="L47" s="10" t="s">
        <v>326</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432</v>
      </c>
      <c r="L48" s="10" t="s">
        <v>326</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324</v>
      </c>
      <c r="L49" s="8" t="s">
        <v>324</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352</v>
      </c>
    </row>
    <row r="77" spans="4:9" ht="20.100000000000001" customHeight="1" x14ac:dyDescent="0.25">
      <c r="D77" s="10" t="s">
        <v>307</v>
      </c>
      <c r="E77" s="10" t="s">
        <v>208</v>
      </c>
      <c r="F77" s="10" t="s">
        <v>308</v>
      </c>
      <c r="G77" s="10" t="s">
        <v>274</v>
      </c>
      <c r="H77" s="10" t="s">
        <v>275</v>
      </c>
      <c r="I77" s="10" t="s">
        <v>350</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307</v>
      </c>
      <c r="E82" s="10" t="s">
        <v>208</v>
      </c>
      <c r="F82" s="10" t="s">
        <v>308</v>
      </c>
      <c r="G82" s="10" t="s">
        <v>274</v>
      </c>
      <c r="H82" s="10" t="s">
        <v>275</v>
      </c>
      <c r="I82" s="10" t="s">
        <v>350</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353</v>
      </c>
    </row>
    <row r="89" spans="4:16" ht="20.100000000000001" customHeight="1" x14ac:dyDescent="0.25">
      <c r="D89" s="10" t="s">
        <v>307</v>
      </c>
      <c r="E89" s="10" t="s">
        <v>208</v>
      </c>
      <c r="F89" s="10" t="s">
        <v>308</v>
      </c>
      <c r="G89" s="10" t="s">
        <v>274</v>
      </c>
      <c r="H89" s="10" t="s">
        <v>275</v>
      </c>
      <c r="I89" s="10" t="s">
        <v>350</v>
      </c>
      <c r="K89" s="10" t="s">
        <v>208</v>
      </c>
      <c r="L89" s="10" t="s">
        <v>374</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208</v>
      </c>
      <c r="O90" s="10" t="s">
        <v>374</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208</v>
      </c>
      <c r="L98" s="10" t="s">
        <v>374</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208</v>
      </c>
      <c r="O105" s="10" t="s">
        <v>374</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208</v>
      </c>
      <c r="L110" s="10" t="s">
        <v>374</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208</v>
      </c>
      <c r="O118" s="10" t="s">
        <v>374</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208</v>
      </c>
      <c r="L125" s="10" t="s">
        <v>374</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208</v>
      </c>
      <c r="O131" s="10" t="s">
        <v>374</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208</v>
      </c>
      <c r="L138" s="10" t="s">
        <v>374</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208</v>
      </c>
      <c r="O144" s="10" t="s">
        <v>374</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208</v>
      </c>
      <c r="L151" s="153" t="s">
        <v>374</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208</v>
      </c>
      <c r="O152" s="10" t="s">
        <v>374</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208</v>
      </c>
      <c r="L153" s="10" t="s">
        <v>374</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208</v>
      </c>
      <c r="O154" s="10" t="s">
        <v>374</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208</v>
      </c>
      <c r="L155" s="10" t="s">
        <v>374</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208</v>
      </c>
      <c r="O156" s="10" t="s">
        <v>374</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208</v>
      </c>
      <c r="L157" s="10" t="s">
        <v>374</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208</v>
      </c>
      <c r="O158" s="10" t="s">
        <v>374</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307</v>
      </c>
      <c r="E161" s="10" t="s">
        <v>208</v>
      </c>
      <c r="F161" s="10" t="s">
        <v>308</v>
      </c>
      <c r="G161" s="10" t="s">
        <v>274</v>
      </c>
      <c r="H161" s="10" t="s">
        <v>275</v>
      </c>
      <c r="I161" s="10" t="s">
        <v>350</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307</v>
      </c>
      <c r="E167" s="10" t="s">
        <v>208</v>
      </c>
      <c r="F167" s="10" t="s">
        <v>308</v>
      </c>
      <c r="G167" s="10" t="s">
        <v>274</v>
      </c>
      <c r="H167" s="10" t="s">
        <v>275</v>
      </c>
      <c r="I167" s="10" t="s">
        <v>350</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338</v>
      </c>
    </row>
    <row r="173" spans="4:13" ht="20.100000000000001" customHeight="1" x14ac:dyDescent="0.25">
      <c r="D173" s="10" t="s">
        <v>307</v>
      </c>
      <c r="E173" s="10" t="s">
        <v>208</v>
      </c>
      <c r="F173" s="10" t="s">
        <v>308</v>
      </c>
      <c r="G173" s="10" t="s">
        <v>272</v>
      </c>
      <c r="H173" s="10" t="s">
        <v>168</v>
      </c>
      <c r="I173" s="10" t="s">
        <v>169</v>
      </c>
      <c r="J173" s="10" t="s">
        <v>273</v>
      </c>
      <c r="K173" s="10" t="s">
        <v>274</v>
      </c>
      <c r="L173" s="10" t="s">
        <v>275</v>
      </c>
      <c r="M173" s="10" t="s">
        <v>350</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354</v>
      </c>
      <c r="N200" s="10"/>
      <c r="O200" s="10"/>
      <c r="P200" s="10"/>
    </row>
    <row r="201" spans="4:16" ht="20.100000000000001" customHeight="1" x14ac:dyDescent="0.25">
      <c r="D201" s="10" t="s">
        <v>307</v>
      </c>
      <c r="E201" s="10" t="s">
        <v>208</v>
      </c>
      <c r="F201" s="10" t="s">
        <v>308</v>
      </c>
      <c r="G201" s="10" t="s">
        <v>274</v>
      </c>
      <c r="H201" s="10" t="s">
        <v>275</v>
      </c>
      <c r="I201" s="10" t="s">
        <v>350</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355</v>
      </c>
    </row>
    <row r="212" spans="4:16" ht="20.100000000000001" customHeight="1" x14ac:dyDescent="0.25">
      <c r="D212" s="10" t="s">
        <v>307</v>
      </c>
      <c r="E212" s="10" t="s">
        <v>208</v>
      </c>
      <c r="F212" s="10" t="s">
        <v>308</v>
      </c>
      <c r="G212" s="10" t="s">
        <v>274</v>
      </c>
      <c r="H212" s="10" t="s">
        <v>275</v>
      </c>
      <c r="I212" s="10" t="s">
        <v>350</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356</v>
      </c>
    </row>
    <row r="219" spans="4:16" ht="20.100000000000001" customHeight="1" x14ac:dyDescent="0.25">
      <c r="D219" s="10" t="s">
        <v>307</v>
      </c>
      <c r="E219" s="10" t="s">
        <v>208</v>
      </c>
      <c r="F219" s="10" t="s">
        <v>308</v>
      </c>
      <c r="G219" s="10" t="s">
        <v>274</v>
      </c>
      <c r="H219" s="10" t="s">
        <v>275</v>
      </c>
      <c r="I219" s="10" t="s">
        <v>350</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357</v>
      </c>
    </row>
    <row r="234" spans="4:9" ht="20.100000000000001" customHeight="1" x14ac:dyDescent="0.25">
      <c r="D234" s="10" t="s">
        <v>307</v>
      </c>
      <c r="E234" s="10" t="s">
        <v>208</v>
      </c>
      <c r="F234" s="10" t="s">
        <v>308</v>
      </c>
      <c r="G234" s="10" t="s">
        <v>274</v>
      </c>
      <c r="H234" s="10" t="s">
        <v>275</v>
      </c>
      <c r="I234" s="10" t="s">
        <v>350</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D5AB1-C375-4A45-B62F-B3A5AB5F6EF8}">
  <sheetPr>
    <tabColor theme="2" tint="-0.499984740745262"/>
  </sheetPr>
  <dimension ref="A1:AI165"/>
  <sheetViews>
    <sheetView showGridLines="0" topLeftCell="A29"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Common farm inputs'!A1", "Common farm inputs")</f>
        <v>Common farm inputs</v>
      </c>
      <c r="D11" s="12" t="str">
        <v>Added sub-categories for 'Incineration: Food waste, green waste, wood, sludge' in order to use volume to mass conversion factor values</v>
      </c>
    </row>
    <row r="12" spans="1:35" ht="20.100000000000001" customHeight="1" x14ac:dyDescent="0.25">
      <c r="A12" s="16" t="str">
        <f>HYPERLINK("#'Input - Processing inputs'!A1", "Processing inputs")</f>
        <v>Processing inputs</v>
      </c>
      <c r="D12" s="12" t="str">
        <v>Added sub-categories for 'Composting: All organic waste' in order to use volume to mass conversion factor values</v>
      </c>
    </row>
    <row r="13" spans="1:35" ht="20.100000000000001" customHeight="1" x14ac:dyDescent="0.25">
      <c r="A13" s="16" t="str">
        <f>HYPERLINK("#'Input - Crop pasture farm input'!A1", "Crop pasture farm input")</f>
        <v>Crop pasture farm input</v>
      </c>
      <c r="D13" s="12" t="str">
        <v>Added sub-categories for 'Anaerobic digestion: All organic waste' in order to use volume to mass conversion factor values</v>
      </c>
    </row>
    <row r="14" spans="1:35" ht="20.100000000000001" customHeight="1" x14ac:dyDescent="0.25">
      <c r="A14" s="16" t="str">
        <f>HYPERLINK("#'Input - Hort farm Inputs'!A1", "Hort farm Inputs")</f>
        <v>Hort farm Inputs</v>
      </c>
      <c r="D14" s="8" t="str" cm="1">
        <f t="array" ref="D14">WasteSolid_SourceData.Waste_EmissionFactorsForWasteTreatment_Variable()</f>
        <v>EFwt</v>
      </c>
    </row>
    <row r="15" spans="1:35" ht="20.100000000000001" customHeight="1" x14ac:dyDescent="0.25">
      <c r="A15" s="16" t="str">
        <f>HYPERLINK("#'Input - Livestock farm Inputs'!A1", "Livestock farm Inputs")</f>
        <v>Livestock farm Inputs</v>
      </c>
      <c r="D15" s="13" t="str" cm="1">
        <f t="array" ref="D15">WasteSolid_SourceData.Waste_EmissionFactorsForWasteTreatment_Unit()</f>
        <v>t CO2e / t</v>
      </c>
      <c r="I15" s="8" t="s">
        <v>758</v>
      </c>
      <c r="K15" s="8" t="s">
        <v>759</v>
      </c>
      <c r="M15" s="8" t="s">
        <v>760</v>
      </c>
      <c r="O15" s="8" t="s">
        <v>761</v>
      </c>
    </row>
    <row r="16" spans="1:35" ht="20.100000000000001" customHeight="1" x14ac:dyDescent="0.25">
      <c r="A16" s="16" t="str">
        <f>HYPERLINK("#'Input - Aquaculture inputs'!A1", "Aquaculture inputs")</f>
        <v>Aquaculture inputs</v>
      </c>
      <c r="D16" s="10" t="s">
        <v>762</v>
      </c>
      <c r="E16" s="10" t="s">
        <v>763</v>
      </c>
      <c r="F16" s="10" t="s">
        <v>764</v>
      </c>
      <c r="G16" s="10" t="s">
        <v>765</v>
      </c>
      <c r="I16" s="10" t="s">
        <v>763</v>
      </c>
      <c r="K16" s="160" t="s">
        <v>763</v>
      </c>
      <c r="M16" s="160" t="s">
        <v>763</v>
      </c>
      <c r="O16" s="160" t="s">
        <v>763</v>
      </c>
    </row>
    <row r="17" spans="1:15" ht="20.100000000000001" customHeight="1" x14ac:dyDescent="0.25">
      <c r="A17" s="16" t="str">
        <f>HYPERLINK("#'Input - Beef cattle purchases'!A1", "Beef cattle purchases")</f>
        <v>Beef cattle purchases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Dairy cattle purchases'!A1", "Dairy cattle purchases")</f>
        <v>Dairy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Pig purchases'!A1", "Pig purchases")</f>
        <v>Pig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Poultry purchases'!A1", "Poultry purchases")</f>
        <v>Poultry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Freight'!A1", "Freight")</f>
        <v>Freight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Solid waste'!A1", "Solid waste")</f>
        <v>Solid waste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Manure sent off-site'!A1", "Manure sent off-site")</f>
        <v>Manure sent off-site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Electricity'!A1", "Electricity")</f>
        <v>Electricity</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 t="s">
        <v>77</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HYPERLINK("#'15 Scope 3'!A1", "15 Scope 3")</f>
        <v>15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HYPERLINK("#'10.1.1-2 Solid waste treatment'!A1", "10.1.1-2 Solid waste treatment")</f>
        <v>10.1.1-2 Solid waste treatment</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HYPERLINK("#'Calcs - Manure sent off-site'!A1", "Calcs - Manure sent off-site")</f>
        <v>Calcs - Manure sent off-site</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HYPERLINK("#'8.1.1.1-2 Transport fuel'!A1", "8.1.1.1-2 Transport fuel")</f>
        <v>8.1.1.1-2 Transport fuel</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HYPERLINK("#'8.2.1.1-2 Stationary fuel'!A1", "8.2.1.1-2 Stationary fuel")</f>
        <v>8.2.1.1-2 Stationary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222" t="s">
        <v>78</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Scope 3'!A1", "Constants - Scope 3")</f>
        <v>Constants - Scope 3</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23" t="str">
        <f>HYPERLINK("#'Constants - Solid Waste'!A1", "Constants - Solid Waste")</f>
        <v>Constants - Solid Waste</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Fuel'!A1", "Constants - Fuel")</f>
        <v>Constants - Fuel</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Poultry'!A1", "Constants - Poultry")</f>
        <v>Constants - Poultry</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Swine'!A1", "Constants - Swine")</f>
        <v>Constants - Swine</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Dairy'!A1", "Constants - Dairy")</f>
        <v>Constants - Dairy</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Pasture Beef'!A1", "Constants - Pasture Beef")</f>
        <v>Constants - Pasture Beef</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Common Livestock'!A1", "Constants - Common Livestock")</f>
        <v>Constants - Common Livestock</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Fertiliser'!A1", "Constants - Fertiliser")</f>
        <v>Constants - Fertiliser</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Electricity'!A1", "Constants - Electricity")</f>
        <v>Constants - Electricity</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Common'!A1", "Constants - Common")</f>
        <v>Constants - Common</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763</v>
      </c>
      <c r="E57" s="10" t="s">
        <v>766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6AC29-CE40-412B-ADB3-08F2582F3FE4}">
  <dimension ref="A1:AI165"/>
  <sheetViews>
    <sheetView showGridLines="0" topLeftCell="A138"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Common farm inputs'!A1", "Common farm inputs")</f>
        <v>Common 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Processing inputs'!A1", "Processing inputs")</f>
        <v>Processing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Crop pasture farm input'!A1", "Crop pasture farm input")</f>
        <v>Crop pasture farm input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Hort farm Inputs'!A1", "Hort farm Inputs")</f>
        <v>Hort farm Inputs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Livestock farm Inputs'!A1", "Livestock farm Inputs")</f>
        <v>Livestock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Aquaculture inputs'!A1", "Aquaculture inputs")</f>
        <v>Aquaculture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Beef cattle purchases'!A1", "Beef cattle purchases")</f>
        <v>Beef cattle purchases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Dairy cattle purchases'!A1", "Dairy cattle purchases")</f>
        <v>Dairy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Pig purchases'!A1", "Pig purchases")</f>
        <v>Pig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Poultry purchases'!A1", "Poultry purchases")</f>
        <v>Poultry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Freight'!A1", "Freight")</f>
        <v>Freight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Solid waste'!A1", "Solid waste")</f>
        <v>Solid waste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Manure sent off-site'!A1", "Manure sent off-site")</f>
        <v>Manure sent off-site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Electricity'!A1", "Electricity")</f>
        <v>Electricity</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 t="s">
        <v>77</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HYPERLINK("#'15 Scope 3'!A1", "15 Scope 3")</f>
        <v>15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HYPERLINK("#'10.1.1-2 Solid waste treatment'!A1", "10.1.1-2 Solid waste treatment")</f>
        <v>10.1.1-2 Solid waste treatment</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HYPERLINK("#'Calcs - Manure sent off-site'!A1", "Calcs - Manure sent off-site")</f>
        <v>Calcs - Manure sent off-site</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HYPERLINK("#'8.1.1.1-2 Transport fuel'!A1", "8.1.1.1-2 Transport fuel")</f>
        <v>8.1.1.1-2 Transport fuel</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HYPERLINK("#'8.2.1.1-2 Stationary fuel'!A1", "8.2.1.1-2 Stationary fuel")</f>
        <v>8.2.1.1-2 Stationary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222" t="s">
        <v>78</v>
      </c>
    </row>
    <row r="36" spans="1:12" ht="20.100000000000001" customHeight="1" x14ac:dyDescent="0.25">
      <c r="A36" s="16" t="str">
        <f>HYPERLINK("#'Constants - Scope 3'!A1", "Constants - Scope 3")</f>
        <v>Constants - Scope 3</v>
      </c>
    </row>
    <row r="37" spans="1:12" ht="20.100000000000001" customHeight="1" x14ac:dyDescent="0.25">
      <c r="A37" s="16" t="str">
        <f>HYPERLINK("#'Constants - Solid Waste'!A1", "Constants - Solid Waste")</f>
        <v>Constants - Solid Waste</v>
      </c>
      <c r="D37" s="9" t="str" cm="1">
        <f t="array" ref="D37">Fuel_SourceData.Fuel_Scope1Scope3EmissionFactorsTransportOffRoad_Title()</f>
        <v>Fuel scope 1 and 3 emission factors - Off-road equipment and vessels</v>
      </c>
    </row>
    <row r="38" spans="1:12" ht="20.100000000000001" customHeight="1" x14ac:dyDescent="0.25">
      <c r="A38" s="23" t="str">
        <f>HYPERLINK("#'Constants - Fuel'!A1", "Constants - Fuel")</f>
        <v>Constants - Fuel</v>
      </c>
      <c r="D38" s="11" t="str" cm="1">
        <f t="array" ref="D38">Fuel_SourceData.Fuel_Scope1Scope3EmissionFactorsTransportOffRoad_Source()</f>
        <v>VEERG 2026: Table A.4.2.1</v>
      </c>
    </row>
    <row r="39" spans="1:12" ht="20.100000000000001" customHeight="1" x14ac:dyDescent="0.25">
      <c r="A39" s="16" t="str">
        <f>HYPERLINK("#'Constants - Poultry'!A1", "Constants - Poultry")</f>
        <v>Constants - Poultry</v>
      </c>
      <c r="D39" s="10" t="s">
        <v>79</v>
      </c>
      <c r="E39" s="10" t="s">
        <v>80</v>
      </c>
      <c r="F39" s="10" t="s">
        <v>81</v>
      </c>
      <c r="G39" s="10" t="s">
        <v>82</v>
      </c>
      <c r="H39" s="10" t="s">
        <v>83</v>
      </c>
      <c r="I39" s="10" t="s">
        <v>84</v>
      </c>
      <c r="J39" s="10" t="s">
        <v>85</v>
      </c>
    </row>
    <row r="40" spans="1:12" ht="20.100000000000001" customHeight="1" x14ac:dyDescent="0.25">
      <c r="A40" s="16" t="str">
        <f>HYPERLINK("#'Constants - Swine'!A1", "Constants - Swine")</f>
        <v>Constants - Swine</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Dairy'!A1", "Constants - Dairy")</f>
        <v>Constants - Dairy</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Pasture Beef'!A1", "Constants - Pasture Beef")</f>
        <v>Constants - Pasture Beef</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Common Livestock'!A1", "Constants - Common Livestock")</f>
        <v>Constants - Common Livestock</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698</v>
      </c>
      <c r="F112" s="20" t="s">
        <v>699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955</v>
      </c>
      <c r="G142" s="17"/>
      <c r="H142" s="17"/>
      <c r="I142" s="17"/>
      <c r="J142" s="17"/>
      <c r="K142" s="17"/>
      <c r="L142" s="17"/>
      <c r="M142" s="17"/>
      <c r="AG142" s="8"/>
    </row>
    <row r="143" spans="1:33" ht="20.100000000000001" customHeight="1" x14ac:dyDescent="0.25">
      <c r="A143"/>
      <c r="D143" s="34" t="s">
        <v>97</v>
      </c>
      <c r="E143" s="3" t="s">
        <v>98</v>
      </c>
      <c r="F143" s="3" t="s">
        <v>956</v>
      </c>
      <c r="G143" s="17"/>
      <c r="H143" s="17"/>
      <c r="I143" s="17"/>
      <c r="J143" s="17"/>
      <c r="K143" s="17"/>
      <c r="L143" s="17"/>
      <c r="M143" s="17"/>
      <c r="AG143" s="8"/>
    </row>
    <row r="144" spans="1:33" ht="20.100000000000001" customHeight="1" x14ac:dyDescent="0.25">
      <c r="A144"/>
      <c r="D144" s="34" t="s">
        <v>99</v>
      </c>
      <c r="E144" s="3" t="s">
        <v>98</v>
      </c>
      <c r="F144" s="3" t="s">
        <v>956</v>
      </c>
      <c r="G144" s="17"/>
      <c r="H144" s="17"/>
      <c r="I144" s="17"/>
      <c r="J144" s="17"/>
      <c r="K144" s="17"/>
      <c r="L144" s="17"/>
      <c r="M144" s="17"/>
      <c r="AG144" s="8"/>
    </row>
    <row r="145" spans="1:33" ht="20.100000000000001" customHeight="1" x14ac:dyDescent="0.25">
      <c r="A145"/>
      <c r="D145" s="34" t="s">
        <v>100</v>
      </c>
      <c r="E145" s="3" t="s">
        <v>98</v>
      </c>
      <c r="F145" s="3" t="s">
        <v>956</v>
      </c>
      <c r="G145" s="17"/>
      <c r="H145" s="17"/>
      <c r="I145" s="17"/>
      <c r="J145" s="17"/>
      <c r="K145" s="17"/>
      <c r="L145" s="17"/>
      <c r="M145" s="17"/>
      <c r="AG145" s="8"/>
    </row>
    <row r="146" spans="1:33" ht="20.100000000000001" customHeight="1" x14ac:dyDescent="0.25">
      <c r="A146"/>
      <c r="D146" s="34" t="s">
        <v>101</v>
      </c>
      <c r="E146" s="3" t="s">
        <v>98</v>
      </c>
      <c r="F146" s="3" t="s">
        <v>956</v>
      </c>
      <c r="G146" s="17"/>
      <c r="H146" s="17"/>
      <c r="I146" s="17"/>
      <c r="J146" s="17"/>
      <c r="K146" s="17"/>
      <c r="L146" s="17"/>
      <c r="M146" s="17"/>
      <c r="AG146" s="8"/>
    </row>
    <row r="147" spans="1:33" ht="20.100000000000001" customHeight="1" x14ac:dyDescent="0.25">
      <c r="A147"/>
      <c r="D147" s="34" t="s">
        <v>102</v>
      </c>
      <c r="E147" s="3" t="s">
        <v>98</v>
      </c>
      <c r="F147" s="3" t="s">
        <v>956</v>
      </c>
      <c r="G147" s="17"/>
      <c r="H147" s="17"/>
      <c r="I147" s="17"/>
      <c r="J147" s="17"/>
      <c r="K147" s="17"/>
      <c r="L147" s="17"/>
      <c r="M147" s="17"/>
      <c r="AG147" s="8"/>
    </row>
    <row r="148" spans="1:33" ht="20.100000000000001" customHeight="1" x14ac:dyDescent="0.25">
      <c r="A148"/>
      <c r="D148" s="34" t="s">
        <v>103</v>
      </c>
      <c r="E148" s="3" t="s">
        <v>98</v>
      </c>
      <c r="F148" s="3" t="s">
        <v>956</v>
      </c>
      <c r="G148" s="17"/>
      <c r="H148" s="17"/>
      <c r="I148" s="17"/>
      <c r="J148" s="17"/>
      <c r="K148" s="17"/>
      <c r="L148" s="17"/>
      <c r="M148" s="17"/>
      <c r="AG148" s="8"/>
    </row>
    <row r="149" spans="1:33" ht="20.100000000000001" customHeight="1" x14ac:dyDescent="0.25">
      <c r="A149"/>
      <c r="D149" s="34" t="s">
        <v>104</v>
      </c>
      <c r="E149" s="3" t="s">
        <v>98</v>
      </c>
      <c r="F149" s="3" t="s">
        <v>956</v>
      </c>
      <c r="G149" s="17"/>
      <c r="H149" s="17"/>
      <c r="I149" s="17"/>
      <c r="J149" s="17"/>
      <c r="K149" s="17"/>
      <c r="L149" s="17"/>
      <c r="M149" s="17"/>
      <c r="AG149" s="8"/>
    </row>
    <row r="150" spans="1:33" ht="20.100000000000001" customHeight="1" x14ac:dyDescent="0.25">
      <c r="A150"/>
      <c r="D150" s="34" t="s">
        <v>105</v>
      </c>
      <c r="E150" s="3" t="s">
        <v>98</v>
      </c>
      <c r="F150" s="3" t="s">
        <v>956</v>
      </c>
      <c r="G150" s="17"/>
      <c r="H150" s="17"/>
      <c r="I150" s="17"/>
      <c r="J150" s="17"/>
      <c r="K150" s="17"/>
      <c r="L150" s="17"/>
      <c r="M150" s="17"/>
      <c r="AG150" s="8"/>
    </row>
    <row r="151" spans="1:33" ht="20.100000000000001" customHeight="1" x14ac:dyDescent="0.25">
      <c r="A151"/>
      <c r="D151" s="34" t="s">
        <v>106</v>
      </c>
      <c r="E151" s="3" t="s">
        <v>98</v>
      </c>
      <c r="F151" s="3" t="s">
        <v>956</v>
      </c>
      <c r="G151" s="17"/>
      <c r="H151" s="17"/>
      <c r="I151" s="17"/>
      <c r="J151" s="17"/>
      <c r="K151" s="17"/>
      <c r="L151" s="17"/>
      <c r="M151" s="17"/>
      <c r="AG151" s="8"/>
    </row>
    <row r="152" spans="1:33" ht="20.100000000000001" customHeight="1" x14ac:dyDescent="0.25">
      <c r="A152"/>
      <c r="D152" s="36" t="s">
        <v>107</v>
      </c>
      <c r="E152" s="14" t="s">
        <v>98</v>
      </c>
      <c r="F152" s="3" t="s">
        <v>956</v>
      </c>
      <c r="G152" s="17"/>
      <c r="H152" s="17"/>
      <c r="I152" s="17"/>
      <c r="J152" s="17"/>
      <c r="K152" s="17"/>
      <c r="L152" s="17"/>
      <c r="M152" s="17"/>
      <c r="AG152" s="8"/>
    </row>
    <row r="153" spans="1:33" ht="20.100000000000001" customHeight="1" x14ac:dyDescent="0.25">
      <c r="A153"/>
      <c r="D153" s="36" t="s">
        <v>108</v>
      </c>
      <c r="E153" s="14" t="s">
        <v>98</v>
      </c>
      <c r="F153" s="3" t="s">
        <v>956</v>
      </c>
      <c r="G153" s="17"/>
      <c r="H153" s="17"/>
      <c r="I153" s="17"/>
      <c r="J153" s="17"/>
      <c r="K153" s="17"/>
      <c r="L153" s="17"/>
      <c r="M153" s="17"/>
      <c r="AG153" s="8"/>
    </row>
    <row r="154" spans="1:33" ht="20.100000000000001" customHeight="1" x14ac:dyDescent="0.25">
      <c r="A154"/>
      <c r="D154" s="36" t="s">
        <v>109</v>
      </c>
      <c r="E154" s="14" t="s">
        <v>98</v>
      </c>
      <c r="F154" s="3" t="s">
        <v>956</v>
      </c>
      <c r="G154" s="17"/>
      <c r="H154" s="17"/>
      <c r="I154" s="17"/>
      <c r="J154" s="17"/>
      <c r="K154" s="17"/>
      <c r="L154" s="17"/>
      <c r="M154" s="17"/>
      <c r="AG154" s="8"/>
    </row>
    <row r="155" spans="1:33" ht="20.100000000000001" customHeight="1" x14ac:dyDescent="0.25">
      <c r="A155"/>
      <c r="D155" s="36" t="s">
        <v>110</v>
      </c>
      <c r="E155" s="14" t="s">
        <v>98</v>
      </c>
      <c r="F155" s="3" t="s">
        <v>956</v>
      </c>
      <c r="G155" s="17"/>
      <c r="H155" s="17"/>
      <c r="I155" s="17"/>
      <c r="J155" s="17"/>
      <c r="K155" s="17"/>
      <c r="L155" s="17"/>
      <c r="M155" s="17"/>
      <c r="AG155" s="8"/>
    </row>
    <row r="156" spans="1:33" ht="20.100000000000001" customHeight="1" x14ac:dyDescent="0.25">
      <c r="A156"/>
      <c r="D156" s="36" t="s">
        <v>111</v>
      </c>
      <c r="E156" s="14" t="s">
        <v>98</v>
      </c>
      <c r="F156" s="3" t="s">
        <v>956</v>
      </c>
      <c r="G156" s="17"/>
      <c r="H156" s="17"/>
      <c r="I156" s="17"/>
      <c r="J156" s="17"/>
      <c r="K156" s="17"/>
      <c r="L156" s="17"/>
      <c r="M156" s="17"/>
      <c r="AG156" s="8"/>
    </row>
    <row r="157" spans="1:33" ht="20.100000000000001" customHeight="1" x14ac:dyDescent="0.25">
      <c r="A157"/>
      <c r="D157" s="36" t="s">
        <v>112</v>
      </c>
      <c r="E157" s="14" t="s">
        <v>98</v>
      </c>
      <c r="F157" s="3" t="s">
        <v>956</v>
      </c>
      <c r="G157" s="17"/>
      <c r="H157" s="17"/>
      <c r="I157" s="17"/>
      <c r="J157" s="17"/>
      <c r="K157" s="17"/>
      <c r="L157" s="17"/>
      <c r="M157" s="17"/>
      <c r="AG157" s="8"/>
    </row>
    <row r="158" spans="1:33" ht="20.100000000000001" customHeight="1" x14ac:dyDescent="0.25">
      <c r="A158"/>
      <c r="D158" s="36" t="s">
        <v>113</v>
      </c>
      <c r="E158" s="14" t="s">
        <v>98</v>
      </c>
      <c r="F158" s="3" t="s">
        <v>956</v>
      </c>
      <c r="G158" s="17"/>
      <c r="H158" s="17"/>
      <c r="I158" s="17"/>
      <c r="J158" s="17"/>
      <c r="K158" s="17"/>
      <c r="L158" s="17"/>
      <c r="M158" s="17"/>
      <c r="AG158" s="8"/>
    </row>
    <row r="159" spans="1:33" ht="20.100000000000001" customHeight="1" x14ac:dyDescent="0.25">
      <c r="A159"/>
      <c r="D159" s="36" t="s">
        <v>114</v>
      </c>
      <c r="E159" s="14" t="s">
        <v>98</v>
      </c>
      <c r="F159" s="3" t="s">
        <v>956</v>
      </c>
      <c r="G159" s="17"/>
      <c r="H159" s="17"/>
      <c r="I159" s="17"/>
      <c r="J159" s="17"/>
      <c r="K159" s="17"/>
      <c r="L159" s="17"/>
      <c r="M159" s="17"/>
      <c r="AG159" s="8"/>
    </row>
    <row r="160" spans="1:33" ht="20.100000000000001" customHeight="1" x14ac:dyDescent="0.25">
      <c r="A160"/>
      <c r="D160" s="36" t="s">
        <v>94</v>
      </c>
      <c r="E160" s="14" t="s">
        <v>98</v>
      </c>
      <c r="F160" s="3" t="s">
        <v>956</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E1C3C-2AF6-4838-A9E5-E2C924445FA9}">
  <sheetPr>
    <tabColor theme="2" tint="-0.499984740745262"/>
  </sheetPr>
  <dimension ref="A1:W452"/>
  <sheetViews>
    <sheetView showGridLines="0" topLeftCell="A27"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562</v>
      </c>
      <c r="E8" s="10" t="s">
        <v>563</v>
      </c>
      <c r="F8" s="10" t="s">
        <v>564</v>
      </c>
      <c r="G8" s="10" t="s">
        <v>565</v>
      </c>
      <c r="H8" s="10" t="s">
        <v>566</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Common farm inputs'!A1", "Common farm inputs")</f>
        <v>Common 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Processing inputs'!A1", "Processing inputs")</f>
        <v>Processing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Crop pasture farm input'!A1", "Crop pasture farm input")</f>
        <v>Crop pasture farm input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M16" s="8"/>
    </row>
    <row r="17" spans="1:13" ht="20.100000000000001" customHeight="1" x14ac:dyDescent="0.25">
      <c r="A17" s="16" t="str">
        <f>HYPERLINK("#'Input - Beef cattle purchases'!A1", "Beef cattle purchases")</f>
        <v>Beef cattle purchases</v>
      </c>
      <c r="D17" s="9" t="str" cm="1">
        <f t="array" ref="D17">SourceData_Poultry.SourceData_Poultry_MethaneEmissionsPotential_Title()</f>
        <v>Poultry - Methane emissions potential per class</v>
      </c>
      <c r="M17" s="8"/>
    </row>
    <row r="18" spans="1:13" ht="20.100000000000001" customHeight="1" x14ac:dyDescent="0.25">
      <c r="A18" s="16" t="str">
        <f>HYPERLINK("#'Input - Dairy cattle purchases'!A1", "Dairy cattle purchases")</f>
        <v>Dairy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Pig purchases'!A1", "Pig purchases")</f>
        <v>Pig purchases</v>
      </c>
      <c r="D19" s="10" t="s">
        <v>567</v>
      </c>
      <c r="E19" s="10" t="s">
        <v>568</v>
      </c>
      <c r="M19" s="8"/>
    </row>
    <row r="20" spans="1:13" ht="20.100000000000001" customHeight="1" x14ac:dyDescent="0.25">
      <c r="A20" s="16" t="str">
        <f>HYPERLINK("#'Input - Poultry purchases'!A1", "Poultry purchases")</f>
        <v>Poultry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Freight'!A1", "Freight")</f>
        <v>Freight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M24" s="8"/>
    </row>
    <row r="25" spans="1:13" ht="20.100000000000001" customHeight="1" x14ac:dyDescent="0.25">
      <c r="A25"/>
      <c r="M25" s="8"/>
    </row>
    <row r="26" spans="1:13" ht="20.100000000000001" customHeight="1" x14ac:dyDescent="0.25">
      <c r="A26"/>
      <c r="D26" s="9" t="s">
        <v>569</v>
      </c>
      <c r="G26" s="9" t="s">
        <v>570</v>
      </c>
      <c r="J26" s="9" t="s">
        <v>571</v>
      </c>
      <c r="M26" s="8"/>
    </row>
    <row r="27" spans="1:13" ht="20.100000000000001" customHeight="1" x14ac:dyDescent="0.25">
      <c r="A27" s="21" t="s">
        <v>77</v>
      </c>
      <c r="M27" s="8"/>
    </row>
    <row r="28" spans="1:13" ht="20.100000000000001" customHeight="1" x14ac:dyDescent="0.25">
      <c r="A28" s="16" t="str">
        <f>HYPERLINK("#'15 Scope 3'!A1", "15 Scope 3")</f>
        <v>15 Scope 3</v>
      </c>
      <c r="D28" s="159" t="s">
        <v>512</v>
      </c>
      <c r="E28" s="10" t="s">
        <v>318</v>
      </c>
      <c r="G28" s="159" t="s">
        <v>512</v>
      </c>
      <c r="H28" s="10" t="s">
        <v>318</v>
      </c>
      <c r="J28" s="159" t="s">
        <v>512</v>
      </c>
      <c r="K28" s="10" t="s">
        <v>318</v>
      </c>
      <c r="M28" s="8"/>
    </row>
    <row r="29" spans="1:13" ht="20.100000000000001" customHeight="1" x14ac:dyDescent="0.25">
      <c r="A29" s="16" t="str">
        <f>HYPERLINK("#'10.1.1-2 Solid waste treatment'!A1", "10.1.1-2 Solid waste treatment")</f>
        <v>10.1.1-2 Solid waste treatment</v>
      </c>
      <c r="D29" s="10" t="s">
        <v>58</v>
      </c>
      <c r="E29" s="10" t="s">
        <v>572</v>
      </c>
      <c r="G29" s="10" t="s">
        <v>58</v>
      </c>
      <c r="H29" s="10" t="s">
        <v>572</v>
      </c>
      <c r="J29" s="10" t="s">
        <v>55</v>
      </c>
      <c r="K29" s="10" t="s">
        <v>573</v>
      </c>
      <c r="M29" s="8"/>
    </row>
    <row r="30" spans="1:13" ht="20.100000000000001" customHeight="1" x14ac:dyDescent="0.25">
      <c r="A30" s="16" t="str">
        <f>HYPERLINK("#'Calcs - Manure sent off-site'!A1", "Calcs - Manure sent off-site")</f>
        <v>Calcs - Manure sent off-site</v>
      </c>
      <c r="D30" s="10" t="s">
        <v>574</v>
      </c>
      <c r="E30" s="10" t="s">
        <v>575</v>
      </c>
      <c r="G30" s="10" t="s">
        <v>574</v>
      </c>
      <c r="H30" s="10" t="s">
        <v>575</v>
      </c>
      <c r="J30" s="10" t="s">
        <v>54</v>
      </c>
      <c r="K30" s="10" t="s">
        <v>576</v>
      </c>
      <c r="M30" s="8"/>
    </row>
    <row r="31" spans="1:13" ht="20.100000000000001" customHeight="1" x14ac:dyDescent="0.25">
      <c r="A31" s="16" t="str">
        <f>HYPERLINK("#'8.1.1.1-2 Transport fuel'!A1", "8.1.1.1-2 Transport fuel")</f>
        <v>8.1.1.1-2 Transport fuel</v>
      </c>
      <c r="D31" s="10" t="s">
        <v>577</v>
      </c>
      <c r="E31" s="10" t="s">
        <v>578</v>
      </c>
      <c r="G31" s="10" t="s">
        <v>577</v>
      </c>
      <c r="H31" s="10" t="s">
        <v>578</v>
      </c>
      <c r="J31" s="8" t="s">
        <v>51</v>
      </c>
      <c r="K31" s="8" t="s">
        <v>579</v>
      </c>
      <c r="M31" s="8"/>
    </row>
    <row r="32" spans="1:13" ht="20.100000000000001" customHeight="1" x14ac:dyDescent="0.25">
      <c r="A32" s="16" t="str">
        <f>HYPERLINK("#'8.2.1.1-2 Stationary fuel'!A1", "8.2.1.1-2 Stationary fuel")</f>
        <v>8.2.1.1-2 Stationary fuel</v>
      </c>
      <c r="D32" s="10" t="s">
        <v>62</v>
      </c>
      <c r="E32" s="10" t="s">
        <v>580</v>
      </c>
      <c r="G32" s="10" t="s">
        <v>62</v>
      </c>
      <c r="H32" s="10" t="s">
        <v>580</v>
      </c>
      <c r="J32" s="10" t="s">
        <v>60</v>
      </c>
      <c r="K32" s="10" t="s">
        <v>581</v>
      </c>
      <c r="M32" s="8"/>
    </row>
    <row r="33" spans="1:13" ht="20.100000000000001" customHeight="1" x14ac:dyDescent="0.25">
      <c r="A33"/>
      <c r="D33" s="10" t="s">
        <v>55</v>
      </c>
      <c r="E33" s="10" t="s">
        <v>573</v>
      </c>
      <c r="G33" s="8" t="s">
        <v>582</v>
      </c>
      <c r="H33" s="10" t="s">
        <v>582</v>
      </c>
      <c r="J33" s="10" t="s">
        <v>61</v>
      </c>
      <c r="K33" s="10" t="s">
        <v>583</v>
      </c>
      <c r="M33" s="8"/>
    </row>
    <row r="34" spans="1:13" ht="20.100000000000001" customHeight="1" x14ac:dyDescent="0.25">
      <c r="A34"/>
      <c r="D34" s="10" t="s">
        <v>54</v>
      </c>
      <c r="E34" s="10" t="s">
        <v>576</v>
      </c>
      <c r="J34" s="8" t="s">
        <v>582</v>
      </c>
      <c r="K34" s="10" t="s">
        <v>582</v>
      </c>
      <c r="M34" s="8"/>
    </row>
    <row r="35" spans="1:13" ht="20.100000000000001" customHeight="1" x14ac:dyDescent="0.25">
      <c r="A35" s="222" t="s">
        <v>78</v>
      </c>
      <c r="D35" s="8" t="s">
        <v>51</v>
      </c>
      <c r="E35" s="8" t="s">
        <v>579</v>
      </c>
      <c r="M35" s="8"/>
    </row>
    <row r="36" spans="1:13" ht="20.100000000000001" customHeight="1" x14ac:dyDescent="0.25">
      <c r="A36" s="16" t="str">
        <f>HYPERLINK("#'Constants - Scope 3'!A1", "Constants - Scope 3")</f>
        <v>Constants - Scope 3</v>
      </c>
      <c r="D36" s="10" t="s">
        <v>60</v>
      </c>
      <c r="E36" s="10" t="s">
        <v>581</v>
      </c>
      <c r="M36" s="8"/>
    </row>
    <row r="37" spans="1:13" ht="20.100000000000001" customHeight="1" x14ac:dyDescent="0.25">
      <c r="A37" s="16" t="str">
        <f>HYPERLINK("#'Constants - Solid Waste'!A1", "Constants - Solid Waste")</f>
        <v>Constants - Solid Waste</v>
      </c>
      <c r="D37" s="10" t="s">
        <v>61</v>
      </c>
      <c r="E37" s="10" t="s">
        <v>583</v>
      </c>
      <c r="M37" s="8"/>
    </row>
    <row r="38" spans="1:13" ht="20.100000000000001" customHeight="1" x14ac:dyDescent="0.25">
      <c r="A38" s="16" t="str">
        <f>HYPERLINK("#'Constants - Fuel'!A1", "Constants - Fuel")</f>
        <v>Constants - Fuel</v>
      </c>
      <c r="D38" s="8" t="s">
        <v>582</v>
      </c>
      <c r="E38" s="10" t="s">
        <v>582</v>
      </c>
      <c r="M38" s="8"/>
    </row>
    <row r="39" spans="1:13" ht="20.100000000000001" customHeight="1" x14ac:dyDescent="0.25">
      <c r="A39" s="23" t="str">
        <f>HYPERLINK("#'Constants - Poultry'!A1", "Constants - Poultry")</f>
        <v>Constants - Poultry</v>
      </c>
      <c r="M39" s="8"/>
    </row>
    <row r="40" spans="1:13" ht="20.100000000000001" customHeight="1" x14ac:dyDescent="0.25">
      <c r="A40" s="16" t="str">
        <f>HYPERLINK("#'Constants - Swine'!A1", "Constants - Swine")</f>
        <v>Constants - Swine</v>
      </c>
      <c r="M40" s="8"/>
    </row>
    <row r="41" spans="1:13" ht="20.100000000000001" customHeight="1" x14ac:dyDescent="0.25">
      <c r="A41" s="16" t="str">
        <f>HYPERLINK("#'Constants - Dairy'!A1", "Constants - Dairy")</f>
        <v>Constants - Dairy</v>
      </c>
      <c r="M41" s="8"/>
    </row>
    <row r="42" spans="1:13" ht="20.100000000000001" customHeight="1" x14ac:dyDescent="0.25">
      <c r="A42" s="16" t="str">
        <f>HYPERLINK("#'Constants - Pasture Beef'!A1", "Constants - Pasture Beef")</f>
        <v>Constants - Pasture Beef</v>
      </c>
      <c r="D42" s="9" t="s">
        <v>584</v>
      </c>
      <c r="G42" s="9" t="s">
        <v>968</v>
      </c>
      <c r="J42" s="9" t="s">
        <v>142</v>
      </c>
      <c r="M42" s="8"/>
    </row>
    <row r="43" spans="1:13" ht="20.100000000000001" customHeight="1" x14ac:dyDescent="0.25">
      <c r="A43" s="16" t="str">
        <f>HYPERLINK("#'Constants - Common Livestock'!A1", "Constants - Common Livestock")</f>
        <v>Constants - Common Livestock</v>
      </c>
      <c r="M43" s="8"/>
    </row>
    <row r="44" spans="1:13" ht="20.100000000000001" customHeight="1" x14ac:dyDescent="0.25">
      <c r="A44" s="16" t="str">
        <f>HYPERLINK("#'Constants - Fertiliser'!A1", "Constants - Fertiliser")</f>
        <v>Constants - Fertiliser</v>
      </c>
      <c r="D44" s="10" t="s">
        <v>144</v>
      </c>
      <c r="G44" s="10" t="s">
        <v>144</v>
      </c>
      <c r="J44" s="10" t="s">
        <v>43</v>
      </c>
      <c r="M44" s="8"/>
    </row>
    <row r="45" spans="1:13" ht="20.100000000000001" customHeight="1" x14ac:dyDescent="0.25">
      <c r="A45" s="16" t="str">
        <f>HYPERLINK("#'Constants - Electricity'!A1", "Constants - Electricity")</f>
        <v>Constants - Electricity</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Common'!A1", "Constants - Common")</f>
        <v>Constants - Common</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520</v>
      </c>
      <c r="E59" s="10" t="s">
        <v>585</v>
      </c>
      <c r="F59" s="10" t="s">
        <v>325</v>
      </c>
      <c r="G59" s="10" t="s">
        <v>304</v>
      </c>
      <c r="H59" s="10" t="s">
        <v>326</v>
      </c>
      <c r="I59" s="10" t="s">
        <v>422</v>
      </c>
      <c r="J59" s="10" t="s">
        <v>331</v>
      </c>
      <c r="K59" s="10" t="s">
        <v>381</v>
      </c>
      <c r="L59" s="10" t="s">
        <v>332</v>
      </c>
      <c r="M59" s="10" t="s">
        <v>378</v>
      </c>
      <c r="N59" s="10" t="s">
        <v>537</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512</v>
      </c>
      <c r="E75" s="10" t="s">
        <v>543</v>
      </c>
      <c r="F75" s="10" t="s">
        <v>537</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549</v>
      </c>
      <c r="E84" s="10" t="s">
        <v>550</v>
      </c>
      <c r="F84" s="10" t="s">
        <v>521</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549</v>
      </c>
      <c r="E97" s="10" t="s">
        <v>551</v>
      </c>
      <c r="F97" s="10" t="s">
        <v>521</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586</v>
      </c>
      <c r="E119" s="10" t="s">
        <v>553</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965B-3E83-43A5-AEAB-FBD184478E02}">
  <dimension ref="A1:W452"/>
  <sheetViews>
    <sheetView showGridLines="0" topLeftCell="A102"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534</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Common farm inputs'!A1", "Common farm inputs")</f>
        <v>Common farm inputs</v>
      </c>
      <c r="G11" s="8" t="s">
        <v>154</v>
      </c>
      <c r="M11" s="8"/>
    </row>
    <row r="12" spans="1:21" ht="20.100000000000001" customHeight="1" x14ac:dyDescent="0.25">
      <c r="A12" s="16" t="str">
        <f>HYPERLINK("#'Input - Processing inputs'!A1", "Processing inputs")</f>
        <v>Processing inputs</v>
      </c>
      <c r="G12" s="8" t="s">
        <v>157</v>
      </c>
      <c r="M12" s="8"/>
    </row>
    <row r="13" spans="1:21" ht="20.100000000000001" customHeight="1" x14ac:dyDescent="0.25">
      <c r="A13" s="16" t="str">
        <f>HYPERLINK("#'Input - Crop pasture farm input'!A1", "Crop pasture farm input")</f>
        <v>Crop pasture farm input</v>
      </c>
      <c r="G13" s="8" t="s">
        <v>159</v>
      </c>
      <c r="M13" s="8"/>
    </row>
    <row r="14" spans="1:21" ht="20.100000000000001" customHeight="1" x14ac:dyDescent="0.25">
      <c r="A14" s="16" t="str">
        <f>HYPERLINK("#'Input - Hort farm Inputs'!A1", "Hort farm Inputs")</f>
        <v>Hort farm Inputs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Livestock farm Inputs'!A1", "Livestock farm Inputs")</f>
        <v>Livestock farm Inputs</v>
      </c>
      <c r="D15" s="11" t="str" cm="1">
        <f t="array" ref="D15">SourceData_Swine.SourceData_Swine_FracLEACH_DrylotMMS_Source()</f>
        <v>VEERG 2026: 4.5.2.3 CONSTANT</v>
      </c>
      <c r="M15" s="8"/>
    </row>
    <row r="16" spans="1:21" ht="20.100000000000001" customHeight="1" x14ac:dyDescent="0.25">
      <c r="A16" s="16" t="str">
        <f>HYPERLINK("#'Input - Aquaculture inputs'!A1", "Aquaculture inputs")</f>
        <v>Aquaculture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Beef cattle purchases'!A1", "Beef cattle purchases")</f>
        <v>Beef cattle purchases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Dairy cattle purchases'!A1", "Dairy cattle purchases")</f>
        <v>Dairy cattle purchases</v>
      </c>
      <c r="M18" s="8"/>
    </row>
    <row r="19" spans="1:13" ht="20.100000000000001" customHeight="1" x14ac:dyDescent="0.25">
      <c r="A19" s="16" t="str">
        <f>HYPERLINK("#'Input - Pig purchases'!A1", "Pig purchases")</f>
        <v>Pig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Poultry purchases'!A1", "Poultry purchases")</f>
        <v>Poultry purchases</v>
      </c>
      <c r="D20" s="11" t="str" cm="1">
        <f t="array" ref="D20">SourceData_Swine.SourceData_Swine_MethaneVolatileSolidsEmissionsPotential_Source()</f>
        <v>IPCC (2019), Chapter 10 [4]</v>
      </c>
      <c r="M20" s="8"/>
    </row>
    <row r="21" spans="1:13" ht="20.100000000000001" customHeight="1" x14ac:dyDescent="0.25">
      <c r="A21" s="16" t="str">
        <f>HYPERLINK("#'Input - Freight'!A1", "Freight")</f>
        <v>Freight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D24" s="9" t="str" cm="1">
        <f t="array" ref="D24">SourceData_Swine.SourceData_Swine_MMS_MCFs_Title()</f>
        <v>Methane conversion factor for temperature zone and manure management system.</v>
      </c>
      <c r="H24" s="157" t="s">
        <v>535</v>
      </c>
      <c r="M24" s="8"/>
    </row>
    <row r="25" spans="1:13" ht="20.100000000000001" customHeight="1" x14ac:dyDescent="0.25">
      <c r="A25"/>
      <c r="D25" s="11" t="str" cm="1">
        <f t="array" ref="D25">SourceData_Swine.SourceData_Swine_MMS_MCFs_Source()</f>
        <v>VEERG 2026: Table A.1.6.4: Swine - MCFs (MCFim)</v>
      </c>
      <c r="H25" s="157" t="s">
        <v>536</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 t="s">
        <v>77</v>
      </c>
      <c r="M27" s="8"/>
    </row>
    <row r="28" spans="1:13" ht="20.100000000000001" customHeight="1" x14ac:dyDescent="0.25">
      <c r="A28" s="16" t="str">
        <f>HYPERLINK("#'15 Scope 3'!A1", "15 Scope 3")</f>
        <v>15 Scope 3</v>
      </c>
      <c r="D28" s="10" t="s">
        <v>512</v>
      </c>
      <c r="E28" s="10" t="s">
        <v>325</v>
      </c>
      <c r="F28" s="10" t="s">
        <v>304</v>
      </c>
      <c r="G28" s="10" t="s">
        <v>326</v>
      </c>
      <c r="H28" s="10" t="s">
        <v>422</v>
      </c>
      <c r="I28" s="10" t="s">
        <v>381</v>
      </c>
      <c r="J28" s="10" t="s">
        <v>378</v>
      </c>
      <c r="K28" s="10" t="s">
        <v>331</v>
      </c>
      <c r="L28" s="10" t="s">
        <v>332</v>
      </c>
      <c r="M28" s="10" t="s">
        <v>537</v>
      </c>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HYPERLINK("#'Calcs - Manure sent off-site'!A1", "Calcs - Manure sent off-site")</f>
        <v>Calcs - Manure sent off-site</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HYPERLINK("#'8.1.1.1-2 Transport fuel'!A1", "8.1.1.1-2 Transport fuel")</f>
        <v>8.1.1.1-2 Transport fuel</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HYPERLINK("#'8.2.1.1-2 Stationary fuel'!A1", "8.2.1.1-2 Stationary fuel")</f>
        <v>8.2.1.1-2 Stationary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22" t="s">
        <v>78</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Scope 3'!A1", "Constants - Scope 3")</f>
        <v>Constants - Scope 3</v>
      </c>
      <c r="M36" s="8"/>
    </row>
    <row r="37" spans="1:13" ht="20.100000000000001" customHeight="1" x14ac:dyDescent="0.25">
      <c r="A37" s="16" t="str">
        <f>HYPERLINK("#'Constants - Solid Waste'!A1", "Constants - Solid Waste")</f>
        <v>Constants - Solid Waste</v>
      </c>
      <c r="M37" s="8"/>
    </row>
    <row r="38" spans="1:13" ht="20.100000000000001" customHeight="1" x14ac:dyDescent="0.25">
      <c r="A38" s="16" t="str">
        <f>HYPERLINK("#'Constants - Fuel'!A1", "Constants - Fuel")</f>
        <v>Constants - Fuel</v>
      </c>
      <c r="D38" s="9" t="s">
        <v>538</v>
      </c>
      <c r="G38" s="9" t="s">
        <v>539</v>
      </c>
      <c r="K38" s="9" t="s">
        <v>540</v>
      </c>
      <c r="M38" s="8"/>
    </row>
    <row r="39" spans="1:13" ht="20.100000000000001" customHeight="1" x14ac:dyDescent="0.25">
      <c r="A39" s="16" t="str">
        <f>HYPERLINK("#'Constants - Poultry'!A1", "Constants - Poultry")</f>
        <v>Constants - Poultry</v>
      </c>
      <c r="M39" s="8"/>
    </row>
    <row r="40" spans="1:13" ht="20.100000000000001" customHeight="1" x14ac:dyDescent="0.25">
      <c r="A40" s="23" t="str">
        <f>HYPERLINK("#'Constants - Swine'!A1", "Constants - Swine")</f>
        <v>Constants - Swine</v>
      </c>
      <c r="D40" s="159" t="s">
        <v>512</v>
      </c>
      <c r="E40" s="10" t="s">
        <v>318</v>
      </c>
      <c r="G40" s="159" t="s">
        <v>512</v>
      </c>
      <c r="H40" s="10" t="s">
        <v>318</v>
      </c>
      <c r="K40" s="159" t="s">
        <v>512</v>
      </c>
      <c r="L40" s="10" t="s">
        <v>318</v>
      </c>
      <c r="M40" s="8"/>
    </row>
    <row r="41" spans="1:13" ht="20.100000000000001" customHeight="1" x14ac:dyDescent="0.25">
      <c r="A41" s="16" t="str">
        <f>HYPERLINK("#'Constants - Dairy'!A1", "Constants - Dairy")</f>
        <v>Constants - Dairy</v>
      </c>
      <c r="D41" s="10" t="s">
        <v>50</v>
      </c>
      <c r="E41" s="10" t="s">
        <v>970</v>
      </c>
      <c r="G41" s="10" t="s">
        <v>50</v>
      </c>
      <c r="H41" s="10" t="s">
        <v>970</v>
      </c>
      <c r="K41" s="10" t="s">
        <v>50</v>
      </c>
      <c r="L41" s="10" t="s">
        <v>970</v>
      </c>
      <c r="M41" s="8"/>
    </row>
    <row r="42" spans="1:13" ht="20.100000000000001" customHeight="1" x14ac:dyDescent="0.25">
      <c r="A42" s="16" t="str">
        <f>HYPERLINK("#'Constants - Pasture Beef'!A1", "Constants - Pasture Beef")</f>
        <v>Constants - Pasture Beef</v>
      </c>
      <c r="D42" s="10" t="s">
        <v>55</v>
      </c>
      <c r="E42" s="10" t="s">
        <v>573</v>
      </c>
      <c r="G42" s="10" t="s">
        <v>971</v>
      </c>
      <c r="H42" s="10" t="s">
        <v>972</v>
      </c>
      <c r="K42" s="10" t="s">
        <v>55</v>
      </c>
      <c r="L42" s="10" t="s">
        <v>573</v>
      </c>
      <c r="M42" s="8"/>
    </row>
    <row r="43" spans="1:13" ht="20.100000000000001" customHeight="1" x14ac:dyDescent="0.25">
      <c r="A43" s="16" t="str">
        <f>HYPERLINK("#'Constants - Common Livestock'!A1", "Constants - Common Livestock")</f>
        <v>Constants - Common Livestock</v>
      </c>
      <c r="D43" s="10" t="s">
        <v>971</v>
      </c>
      <c r="E43" s="10" t="s">
        <v>972</v>
      </c>
      <c r="G43" s="10" t="s">
        <v>51</v>
      </c>
      <c r="H43" s="10" t="s">
        <v>579</v>
      </c>
      <c r="K43" s="10" t="s">
        <v>971</v>
      </c>
      <c r="L43" s="10" t="s">
        <v>972</v>
      </c>
      <c r="M43" s="8"/>
    </row>
    <row r="44" spans="1:13" ht="20.100000000000001" customHeight="1" x14ac:dyDescent="0.25">
      <c r="A44" s="16" t="str">
        <f>HYPERLINK("#'Constants - Fertiliser'!A1", "Constants - Fertiliser")</f>
        <v>Constants - Fertiliser</v>
      </c>
      <c r="D44" s="10" t="s">
        <v>51</v>
      </c>
      <c r="E44" s="10" t="s">
        <v>579</v>
      </c>
      <c r="G44" s="10" t="s">
        <v>57</v>
      </c>
      <c r="H44" s="10" t="s">
        <v>973</v>
      </c>
      <c r="K44" s="10" t="s">
        <v>51</v>
      </c>
      <c r="L44" s="10" t="s">
        <v>579</v>
      </c>
      <c r="M44" s="8"/>
    </row>
    <row r="45" spans="1:13" ht="20.100000000000001" customHeight="1" x14ac:dyDescent="0.25">
      <c r="A45" s="16" t="str">
        <f>HYPERLINK("#'Constants - Electricity'!A1", "Constants - Electricity")</f>
        <v>Constants - Electricity</v>
      </c>
      <c r="D45" s="10" t="s">
        <v>57</v>
      </c>
      <c r="E45" s="10" t="s">
        <v>973</v>
      </c>
      <c r="G45" s="10" t="s">
        <v>56</v>
      </c>
      <c r="H45" s="10" t="s">
        <v>974</v>
      </c>
      <c r="K45" s="10" t="s">
        <v>57</v>
      </c>
      <c r="L45" s="10" t="s">
        <v>973</v>
      </c>
      <c r="M45" s="8"/>
    </row>
    <row r="46" spans="1:13" ht="20.100000000000001" customHeight="1" x14ac:dyDescent="0.25">
      <c r="A46" s="16" t="str">
        <f>HYPERLINK("#'Constants - Common'!A1", "Constants - Common")</f>
        <v>Constants - Common</v>
      </c>
      <c r="D46" s="10" t="s">
        <v>56</v>
      </c>
      <c r="E46" s="10" t="s">
        <v>974</v>
      </c>
      <c r="K46" s="10" t="s">
        <v>56</v>
      </c>
      <c r="L46" s="10" t="s">
        <v>974</v>
      </c>
      <c r="M46" s="8"/>
    </row>
    <row r="47" spans="1:13" ht="20.100000000000001" customHeight="1" x14ac:dyDescent="0.25">
      <c r="A47"/>
      <c r="D47" s="10" t="s">
        <v>61</v>
      </c>
      <c r="E47" s="10" t="s">
        <v>583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541</v>
      </c>
      <c r="G51" s="9" t="s">
        <v>542</v>
      </c>
      <c r="M51" s="8"/>
    </row>
    <row r="52" spans="1:13" ht="20.100000000000001" customHeight="1" x14ac:dyDescent="0.25">
      <c r="A52"/>
      <c r="M52" s="8"/>
    </row>
    <row r="53" spans="1:13" ht="20.100000000000001" customHeight="1" x14ac:dyDescent="0.25">
      <c r="A53"/>
      <c r="D53" s="159" t="s">
        <v>512</v>
      </c>
      <c r="E53" s="10" t="s">
        <v>543</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971</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311</v>
      </c>
      <c r="E67" s="10" t="s">
        <v>544</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311</v>
      </c>
      <c r="E78" s="10" t="s">
        <v>545</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311</v>
      </c>
      <c r="E89" s="10" t="s">
        <v>546</v>
      </c>
      <c r="F89" s="10" t="s">
        <v>547</v>
      </c>
      <c r="G89" s="10" t="s">
        <v>548</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549</v>
      </c>
      <c r="E99" s="10" t="s">
        <v>550</v>
      </c>
      <c r="F99" s="10" t="s">
        <v>521</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549</v>
      </c>
      <c r="E111" s="10" t="s">
        <v>551</v>
      </c>
      <c r="F111" s="10" t="s">
        <v>521</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552</v>
      </c>
      <c r="E127" s="10" t="s">
        <v>553</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E51B4-AD4D-4B01-92F6-10B103D060F9}">
  <dimension ref="A1:V288"/>
  <sheetViews>
    <sheetView showGridLines="0" topLeftCell="H1"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509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510</v>
      </c>
      <c r="G5" s="9" t="s">
        <v>511</v>
      </c>
      <c r="J5" s="9" t="s">
        <v>142</v>
      </c>
      <c r="L5" s="9" t="s">
        <v>964</v>
      </c>
      <c r="M5" s="8"/>
    </row>
    <row r="6" spans="1:21" ht="20.100000000000001" customHeight="1" x14ac:dyDescent="0.25">
      <c r="A6"/>
      <c r="L6" s="8" t="s">
        <v>965</v>
      </c>
      <c r="M6" s="8"/>
    </row>
    <row r="7" spans="1:21" ht="20.100000000000001" customHeight="1" x14ac:dyDescent="0.25">
      <c r="A7" s="19" t="s">
        <v>67</v>
      </c>
      <c r="D7" s="159" t="s">
        <v>512</v>
      </c>
      <c r="E7" s="10" t="s">
        <v>318</v>
      </c>
      <c r="G7" s="10" t="s">
        <v>144</v>
      </c>
      <c r="J7" s="10" t="s">
        <v>43</v>
      </c>
      <c r="L7" s="10" t="s">
        <v>276</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504</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966</v>
      </c>
      <c r="M9" s="8"/>
    </row>
    <row r="10" spans="1:21" ht="20.100000000000001" customHeight="1" x14ac:dyDescent="0.25">
      <c r="A10" s="16" t="str">
        <f>HYPERLINK("#'Input - Fertiliser'!A1", "Fertiliser")</f>
        <v>Fertiliser</v>
      </c>
      <c r="D10" s="10" t="str">
        <f>'Constants - Common Livestock'!$E$14</f>
        <v>Drains to paddock</v>
      </c>
      <c r="E10" s="10" t="str">
        <f>'Constants - Common Livestock'!$F$14</f>
        <v>Drains to paddock (m=3b)</v>
      </c>
      <c r="J10" s="8" t="s">
        <v>154</v>
      </c>
      <c r="L10" s="10" t="s">
        <v>967</v>
      </c>
      <c r="M10" s="8"/>
    </row>
    <row r="11" spans="1:21" ht="20.100000000000001" customHeight="1" x14ac:dyDescent="0.25">
      <c r="A11" s="16" t="str">
        <f>HYPERLINK("#'Input - Common farm inputs'!A1", "Common farm inputs")</f>
        <v>Common farm inputs</v>
      </c>
      <c r="D11" s="10" t="str">
        <f>'Constants - Common Livestock'!$E$15</f>
        <v>Solid storage</v>
      </c>
      <c r="E11" s="10" t="str">
        <f>'Constants - Common Livestock'!$F$15</f>
        <v>Solid storage (m=4)</v>
      </c>
      <c r="J11" s="8" t="s">
        <v>157</v>
      </c>
      <c r="L11" s="10" t="s">
        <v>472</v>
      </c>
      <c r="M11" s="8"/>
    </row>
    <row r="12" spans="1:21" ht="20.100000000000001" customHeight="1" x14ac:dyDescent="0.25">
      <c r="A12" s="16" t="str">
        <f>HYPERLINK("#'Input - Processing inputs'!A1", "Processing inputs")</f>
        <v>Processing inputs</v>
      </c>
      <c r="J12" s="8" t="s">
        <v>159</v>
      </c>
      <c r="L12" s="10" t="s">
        <v>471</v>
      </c>
      <c r="M12" s="8"/>
    </row>
    <row r="13" spans="1:21" ht="20.100000000000001" customHeight="1" x14ac:dyDescent="0.25">
      <c r="A13" s="16" t="str">
        <f>HYPERLINK("#'Input - Crop pasture farm input'!A1", "Crop pasture farm input")</f>
        <v>Crop pasture farm input</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Beef cattle purchases'!A1", "Beef cattle purchases")</f>
        <v>Beef cattle purchases</v>
      </c>
      <c r="D17" s="11" t="str" cm="1">
        <f t="array" ref="D17">SourceData_Dairy.SourceData_Dairy_LiveweightCowsAndHeifers_Source()</f>
        <v>VEERG 2026: Table A.1.3.1</v>
      </c>
      <c r="M17" s="8"/>
    </row>
    <row r="18" spans="1:13" ht="20.100000000000001" customHeight="1" x14ac:dyDescent="0.25">
      <c r="A18" s="16" t="str">
        <f>HYPERLINK("#'Input - Dairy cattle purchases'!A1", "Dairy cattle purchases")</f>
        <v>Dairy cattle purchases</v>
      </c>
      <c r="D18" s="8" t="str" cm="1">
        <f t="array" ref="D18">SourceData_Dairy.SourceData_Dairy_LiveweightCowsAndHeifers_Variable()</f>
        <v>Wj</v>
      </c>
      <c r="M18" s="8"/>
    </row>
    <row r="19" spans="1:13" ht="20.100000000000001" customHeight="1" x14ac:dyDescent="0.25">
      <c r="A19" s="16" t="str">
        <f>HYPERLINK("#'Input - Pig purchases'!A1", "Pig purchases")</f>
        <v>Pig purchases</v>
      </c>
      <c r="D19" s="13" t="str" cm="1">
        <f t="array" ref="D19">SourceData_Dairy.SourceData_Dairy_LiveweightCowsAndHeifers_Unit()</f>
        <v>kg</v>
      </c>
      <c r="M19" s="8"/>
    </row>
    <row r="20" spans="1:13" ht="20.100000000000001" customHeight="1" x14ac:dyDescent="0.25">
      <c r="A20" s="16" t="str">
        <f>HYPERLINK("#'Input - Poultry purchases'!A1", "Poultry purchases")</f>
        <v>Poultry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Freight'!A1", "Freight")</f>
        <v>Freight</v>
      </c>
      <c r="D21" s="10" t="s">
        <v>491</v>
      </c>
      <c r="E21" s="10" t="s">
        <v>504</v>
      </c>
      <c r="F21" s="10" t="s">
        <v>513</v>
      </c>
      <c r="G21" s="10" t="s">
        <v>505</v>
      </c>
      <c r="M21" s="8"/>
    </row>
    <row r="22" spans="1:13" ht="20.100000000000001" customHeight="1" x14ac:dyDescent="0.25">
      <c r="A22" s="16" t="str">
        <f>HYPERLINK("#'Input - Solid waste'!A1", "Solid waste")</f>
        <v>Solid waste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Manure sent off-site'!A1", "Manure sent off-site")</f>
        <v>Manure sent off-site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Electricity'!A1", "Electricity")</f>
        <v>Electricity</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 t="s">
        <v>77</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HYPERLINK("#'15 Scope 3'!A1", "15 Scope 3")</f>
        <v>15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HYPERLINK("#'Calcs - Manure sent off-site'!A1", "Calcs - Manure sent off-site")</f>
        <v>Calcs - Manure sent off-site</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HYPERLINK("#'8.1.1.1-2 Transport fuel'!A1", "8.1.1.1-2 Transport fuel")</f>
        <v>8.1.1.1-2 Transport fuel</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HYPERLINK("#'8.2.1.1-2 Stationary fuel'!A1", "8.2.1.1-2 Stationary fuel")</f>
        <v>8.2.1.1-2 Stationary fuel</v>
      </c>
      <c r="M32" s="8"/>
    </row>
    <row r="33" spans="1:13" ht="20.100000000000001" customHeight="1" x14ac:dyDescent="0.25">
      <c r="A33"/>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s="222" t="s">
        <v>78</v>
      </c>
      <c r="D35" s="11" t="str" cm="1">
        <f t="array" ref="D35">SourceData_Dairy.SourceData_Dairy_LiveweightBulls_Source()</f>
        <v>VEERG 2026: Table A.1.3.2</v>
      </c>
      <c r="M35" s="8"/>
    </row>
    <row r="36" spans="1:13" ht="20.100000000000001" customHeight="1" x14ac:dyDescent="0.25">
      <c r="A36" s="16" t="str">
        <f>HYPERLINK("#'Constants - Scope 3'!A1", "Constants - Scope 3")</f>
        <v>Constants - Scope 3</v>
      </c>
      <c r="D36" s="8" t="str" cm="1">
        <f t="array" ref="D36">SourceData_Dairy.SourceData_Dairy_LiveweightBulls_Variable()</f>
        <v>Wj</v>
      </c>
      <c r="M36" s="8"/>
    </row>
    <row r="37" spans="1:13" ht="20.100000000000001" customHeight="1" x14ac:dyDescent="0.25">
      <c r="A37" s="16" t="str">
        <f>HYPERLINK("#'Constants - Solid Waste'!A1", "Constants - Solid Waste")</f>
        <v>Constants - Solid Waste</v>
      </c>
      <c r="D37" s="13" t="str" cm="1">
        <f t="array" ref="D37">SourceData_Dairy.SourceData_Dairy_LiveweightBulls_Unit()</f>
        <v>kg</v>
      </c>
      <c r="M37" s="8"/>
    </row>
    <row r="38" spans="1:13" ht="20.100000000000001" customHeight="1" x14ac:dyDescent="0.25">
      <c r="A38" s="16" t="str">
        <f>HYPERLINK("#'Constants - Fuel'!A1", "Constants - Fuel")</f>
        <v>Constants - Fuel</v>
      </c>
      <c r="D38" s="10" t="s">
        <v>491</v>
      </c>
      <c r="E38" s="10" t="s">
        <v>514</v>
      </c>
      <c r="F38" s="10" t="s">
        <v>515</v>
      </c>
      <c r="M38" s="8"/>
    </row>
    <row r="39" spans="1:13" ht="20.100000000000001" customHeight="1" x14ac:dyDescent="0.25">
      <c r="A39" s="16" t="str">
        <f>HYPERLINK("#'Constants - Poultry'!A1", "Constants - Poultry")</f>
        <v>Constants - Poultry</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Swine'!A1", "Constants - Swine")</f>
        <v>Constants - Swine</v>
      </c>
      <c r="M40" s="8"/>
    </row>
    <row r="41" spans="1:13" ht="20.100000000000001" customHeight="1" x14ac:dyDescent="0.25">
      <c r="A41" s="23" t="str">
        <f>HYPERLINK("#'Constants - Dairy'!A1", "Constants - Dairy")</f>
        <v>Constants - Dairy</v>
      </c>
      <c r="M41" s="8"/>
    </row>
    <row r="42" spans="1:13" ht="20.100000000000001" customHeight="1" x14ac:dyDescent="0.25">
      <c r="A42" s="16" t="str">
        <f>HYPERLINK("#'Constants - Pasture Beef'!A1", "Constants - Pasture Beef")</f>
        <v>Constants - Pasture Beef</v>
      </c>
      <c r="D42" s="9" t="str" cm="1">
        <f t="array" ref="D42">SourceData_Dairy.SourceData_Dairy_LiveweightGain_Title()</f>
        <v>Table A.1.3.3: Dairy cattle - Liveweight gain (kg) (LWGj)</v>
      </c>
      <c r="M42" s="8"/>
    </row>
    <row r="43" spans="1:13" ht="20.100000000000001" customHeight="1" x14ac:dyDescent="0.25">
      <c r="A43" s="16" t="str">
        <f>HYPERLINK("#'Constants - Common Livestock'!A1", "Constants - Common Livestock")</f>
        <v>Constants - Common Livestock</v>
      </c>
      <c r="D43" s="11" t="str" cm="1">
        <f t="array" ref="D43">SourceData_Dairy.SourceData_Dairy_LiveweightGain_Source()</f>
        <v>VEERG 2026: Table A.1.3.3</v>
      </c>
      <c r="M43" s="8"/>
    </row>
    <row r="44" spans="1:13" ht="20.100000000000001" customHeight="1" x14ac:dyDescent="0.25">
      <c r="A44" s="16" t="str">
        <f>HYPERLINK("#'Constants - Fertiliser'!A1", "Constants - Fertiliser")</f>
        <v>Constants - Fertiliser</v>
      </c>
      <c r="D44" s="8" t="str" cm="1">
        <f t="array" ref="D44">SourceData_Dairy.SourceData_Dairy_LiveweightGain_Variable()</f>
        <v>LWGj</v>
      </c>
      <c r="M44" s="8"/>
    </row>
    <row r="45" spans="1:13" ht="20.100000000000001" customHeight="1" x14ac:dyDescent="0.25">
      <c r="A45" s="16" t="str">
        <f>HYPERLINK("#'Constants - Electricity'!A1", "Constants - Electricity")</f>
        <v>Constants - Electricity</v>
      </c>
      <c r="D45" s="13" t="str" cm="1">
        <f t="array" ref="D45">SourceData_Dairy.SourceData_Dairy_LiveweightGain_Unit()</f>
        <v>kg</v>
      </c>
      <c r="M45" s="8"/>
    </row>
    <row r="46" spans="1:13" ht="20.100000000000001" customHeight="1" x14ac:dyDescent="0.25">
      <c r="A46" s="16" t="str">
        <f>HYPERLINK("#'Constants - Common'!A1", "Constants - Common")</f>
        <v>Constants - Common</v>
      </c>
      <c r="D46" s="10" t="s">
        <v>504</v>
      </c>
      <c r="E46" s="10" t="s">
        <v>513</v>
      </c>
      <c r="F46" s="10" t="s">
        <v>505</v>
      </c>
      <c r="G46" s="10" t="s">
        <v>514</v>
      </c>
      <c r="H46" s="10" t="s">
        <v>515</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504</v>
      </c>
      <c r="E54" s="160" t="s">
        <v>513</v>
      </c>
      <c r="F54" s="160" t="s">
        <v>505</v>
      </c>
      <c r="G54" s="160" t="s">
        <v>514</v>
      </c>
      <c r="H54" s="160" t="s">
        <v>515</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516</v>
      </c>
      <c r="E62" s="10" t="s">
        <v>517</v>
      </c>
      <c r="F62" s="10" t="s">
        <v>518</v>
      </c>
      <c r="G62" s="10" t="s">
        <v>519</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520</v>
      </c>
      <c r="E72" s="10" t="s">
        <v>304</v>
      </c>
      <c r="F72" s="10" t="s">
        <v>325</v>
      </c>
      <c r="G72" s="10" t="s">
        <v>422</v>
      </c>
      <c r="H72" s="10" t="s">
        <v>326</v>
      </c>
      <c r="I72" s="10" t="s">
        <v>381</v>
      </c>
      <c r="J72" s="10" t="s">
        <v>378</v>
      </c>
      <c r="K72" s="10" t="s">
        <v>331</v>
      </c>
      <c r="L72" s="10" t="s">
        <v>332</v>
      </c>
      <c r="M72" s="10" t="s">
        <v>521</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520</v>
      </c>
      <c r="E86" s="10" t="s">
        <v>522</v>
      </c>
      <c r="F86" s="10" t="s">
        <v>523</v>
      </c>
      <c r="G86" s="10" t="s">
        <v>521</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516</v>
      </c>
      <c r="E98" s="10" t="s">
        <v>524</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516</v>
      </c>
      <c r="E107" s="10" t="s">
        <v>525</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526</v>
      </c>
      <c r="E116" s="10" t="s">
        <v>146</v>
      </c>
      <c r="F116" s="10" t="s">
        <v>527</v>
      </c>
      <c r="G116" s="10" t="s">
        <v>528</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520</v>
      </c>
      <c r="E128" s="10" t="s">
        <v>522</v>
      </c>
      <c r="F128" s="10" t="s">
        <v>521</v>
      </c>
      <c r="G128" s="157" t="s">
        <v>529</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516</v>
      </c>
      <c r="E141" s="10" t="s">
        <v>530</v>
      </c>
      <c r="F141" s="10" t="s">
        <v>531</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77208-5EDA-498A-8703-EBA42E3D8844}">
  <dimension ref="A1:V483"/>
  <sheetViews>
    <sheetView showGridLines="0" topLeftCell="A360"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434</v>
      </c>
      <c r="G5" s="9" t="s">
        <v>142</v>
      </c>
      <c r="M5" s="8" t="s">
        <v>435</v>
      </c>
      <c r="O5" s="8" t="s">
        <v>436</v>
      </c>
      <c r="Q5" s="8" t="s">
        <v>437</v>
      </c>
      <c r="S5" s="8" t="s">
        <v>438</v>
      </c>
    </row>
    <row r="6" spans="1:21" ht="20.100000000000001" customHeight="1" x14ac:dyDescent="0.25">
      <c r="A6"/>
      <c r="M6" s="8"/>
    </row>
    <row r="7" spans="1:21" ht="20.100000000000001" customHeight="1" x14ac:dyDescent="0.25">
      <c r="A7" s="19" t="s">
        <v>67</v>
      </c>
      <c r="D7" s="10" t="s">
        <v>144</v>
      </c>
      <c r="G7" s="10" t="s">
        <v>43</v>
      </c>
      <c r="M7" s="3" t="s">
        <v>374</v>
      </c>
      <c r="O7" s="10" t="s">
        <v>374</v>
      </c>
      <c r="Q7" s="10" t="s">
        <v>374</v>
      </c>
      <c r="S7" s="10" t="s">
        <v>374</v>
      </c>
    </row>
    <row r="8" spans="1:21" ht="20.100000000000001" customHeight="1" x14ac:dyDescent="0.25">
      <c r="A8" s="16" t="str">
        <f>HYPERLINK("#'Input - Site'!A1", "Site")</f>
        <v>Site</v>
      </c>
      <c r="D8" s="10" t="str">
        <f>'Constants - Common'!$F$187</f>
        <v>Pasture</v>
      </c>
      <c r="G8" s="10" t="s">
        <v>147</v>
      </c>
      <c r="M8" s="10" t="s">
        <v>439</v>
      </c>
      <c r="O8" s="10" t="s">
        <v>440</v>
      </c>
      <c r="Q8" s="10" t="s">
        <v>441</v>
      </c>
      <c r="S8" s="10" t="s">
        <v>421</v>
      </c>
    </row>
    <row r="9" spans="1:21" ht="20.100000000000001" customHeight="1" x14ac:dyDescent="0.25">
      <c r="A9" s="16" t="str">
        <f>HYPERLINK("#'Input - Fuel'!A1", "Fuel")</f>
        <v>Fuel</v>
      </c>
      <c r="D9" s="8" t="str">
        <f>'Constants - Common'!$F$188</f>
        <v>Crop</v>
      </c>
      <c r="G9" s="10" t="s">
        <v>151</v>
      </c>
      <c r="M9" s="10" t="s">
        <v>442</v>
      </c>
      <c r="O9" s="10" t="s">
        <v>443</v>
      </c>
      <c r="Q9" s="10" t="s">
        <v>444</v>
      </c>
    </row>
    <row r="10" spans="1:21" ht="20.100000000000001" customHeight="1" x14ac:dyDescent="0.25">
      <c r="A10" s="16" t="str">
        <f>HYPERLINK("#'Input - Fertiliser'!A1", "Fertiliser")</f>
        <v>Fertiliser</v>
      </c>
      <c r="G10" s="8" t="s">
        <v>154</v>
      </c>
      <c r="M10" s="10" t="s">
        <v>445</v>
      </c>
      <c r="O10" s="10" t="s">
        <v>446</v>
      </c>
      <c r="Q10" s="10" t="s">
        <v>447</v>
      </c>
      <c r="S10" s="8" t="s">
        <v>448</v>
      </c>
    </row>
    <row r="11" spans="1:21" ht="20.100000000000001" customHeight="1" x14ac:dyDescent="0.25">
      <c r="A11" s="16" t="str">
        <f>HYPERLINK("#'Input - Common farm inputs'!A1", "Common farm inputs")</f>
        <v>Common farm inputs</v>
      </c>
      <c r="G11" s="8" t="s">
        <v>157</v>
      </c>
      <c r="M11" s="8"/>
      <c r="Q11" s="10" t="s">
        <v>449</v>
      </c>
    </row>
    <row r="12" spans="1:21" ht="20.100000000000001" customHeight="1" x14ac:dyDescent="0.25">
      <c r="A12" s="16" t="str">
        <f>HYPERLINK("#'Input - Processing inputs'!A1", "Processing inputs")</f>
        <v>Processing inputs</v>
      </c>
      <c r="G12" s="8" t="s">
        <v>159</v>
      </c>
      <c r="M12" s="8"/>
      <c r="S12" s="10" t="s">
        <v>374</v>
      </c>
    </row>
    <row r="13" spans="1:21" ht="20.100000000000001" customHeight="1" x14ac:dyDescent="0.25">
      <c r="A13" s="16" t="str">
        <f>HYPERLINK("#'Input - Crop pasture farm input'!A1", "Crop pasture farm input")</f>
        <v>Crop pasture farm input</v>
      </c>
      <c r="M13" s="8"/>
      <c r="S13" s="10" t="s">
        <v>421</v>
      </c>
    </row>
    <row r="14" spans="1:21" ht="20.100000000000001" customHeight="1" x14ac:dyDescent="0.25">
      <c r="A14" s="16" t="str">
        <f>HYPERLINK("#'Input - Hort farm Inputs'!A1", "Hort farm Inputs")</f>
        <v>Hort farm Inputs</v>
      </c>
      <c r="D14" s="9" t="str" cm="1">
        <f t="array" ref="D14">SourceData_PastureBeef.SourceData_PastureBeef_Liveweight_Title()</f>
        <v>Beef pasture cattle - Liveweight (kg) (Wjkl)</v>
      </c>
      <c r="M14" s="8"/>
    </row>
    <row r="15" spans="1:21" ht="20.100000000000001" customHeight="1" x14ac:dyDescent="0.25">
      <c r="A15" s="16" t="str">
        <f>HYPERLINK("#'Input - Livestock farm Inputs'!A1", "Livestock farm Inputs")</f>
        <v>Livestock farm Inputs</v>
      </c>
      <c r="D15" s="11" t="str" cm="1">
        <f t="array" ref="D15">SourceData_PastureBeef.SourceData_PastureBeef_Liveweight_Source()</f>
        <v>VEERG 2026: Table A.1.2.1</v>
      </c>
      <c r="M15" s="8"/>
      <c r="S15" s="8" t="s">
        <v>450</v>
      </c>
    </row>
    <row r="16" spans="1:21" ht="20.100000000000001" customHeight="1" x14ac:dyDescent="0.25">
      <c r="A16" s="16" t="str">
        <f>HYPERLINK("#'Input - Aquaculture inputs'!A1", "Aquaculture inputs")</f>
        <v>Aquaculture inputs</v>
      </c>
      <c r="D16" s="8" t="str" cm="1">
        <f t="array" ref="D16">SourceData_PastureBeef.SourceData_PastureBeef_Liveweight_Variable()</f>
        <v>Wjkl</v>
      </c>
      <c r="M16" s="8"/>
    </row>
    <row r="17" spans="1:19" ht="20.100000000000001" customHeight="1" x14ac:dyDescent="0.25">
      <c r="A17" s="16" t="str">
        <f>HYPERLINK("#'Input - Beef cattle purchases'!A1", "Beef cattle purchases")</f>
        <v>Beef cattle purchases</v>
      </c>
      <c r="D17" s="13" t="str" cm="1">
        <f t="array" ref="D17">SourceData_PastureBeef.SourceData_PastureBeef_Liveweight_Unit()</f>
        <v>kg</v>
      </c>
      <c r="M17" s="8"/>
      <c r="O17" s="8" t="s">
        <v>502</v>
      </c>
      <c r="S17" s="10" t="s">
        <v>374</v>
      </c>
    </row>
    <row r="18" spans="1:19" ht="20.100000000000001" customHeight="1" x14ac:dyDescent="0.25">
      <c r="A18" s="16" t="str">
        <f>HYPERLINK("#'Input - Dairy cattle purchases'!A1", "Dairy cattle purchases")</f>
        <v>Dairy cattle purchases</v>
      </c>
      <c r="D18" s="10" t="s">
        <v>269</v>
      </c>
      <c r="E18" s="10" t="s">
        <v>374</v>
      </c>
      <c r="F18" s="10" t="s">
        <v>47</v>
      </c>
      <c r="G18" s="10" t="s">
        <v>451</v>
      </c>
      <c r="H18" s="10" t="s">
        <v>452</v>
      </c>
      <c r="I18" s="10" t="s">
        <v>453</v>
      </c>
      <c r="J18" s="10" t="s">
        <v>454</v>
      </c>
      <c r="K18" s="10" t="s">
        <v>455</v>
      </c>
      <c r="L18" s="10" t="s">
        <v>456</v>
      </c>
      <c r="M18" s="10" t="s">
        <v>457</v>
      </c>
      <c r="O18" s="10" t="s">
        <v>276</v>
      </c>
      <c r="S18" s="10" t="s">
        <v>421</v>
      </c>
    </row>
    <row r="19" spans="1:19" ht="20.100000000000001" customHeight="1" x14ac:dyDescent="0.25">
      <c r="A19" s="16" t="str">
        <f>HYPERLINK("#'Input - Pig purchases'!A1", "Pig purchases")</f>
        <v>Pig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471</v>
      </c>
    </row>
    <row r="20" spans="1:19" ht="20.100000000000001" customHeight="1" x14ac:dyDescent="0.25">
      <c r="A20" s="16" t="str">
        <f>HYPERLINK("#'Input - Poultry purchases'!A1", "Poultry purchases")</f>
        <v>Poultry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472</v>
      </c>
      <c r="S20" s="8" t="s">
        <v>458</v>
      </c>
    </row>
    <row r="21" spans="1:19" ht="20.100000000000001" customHeight="1" x14ac:dyDescent="0.25">
      <c r="A21" s="16" t="str">
        <f>HYPERLINK("#'Input - Freight'!A1", "Freight")</f>
        <v>Freight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473</v>
      </c>
    </row>
    <row r="22" spans="1:19" ht="20.100000000000001" customHeight="1" x14ac:dyDescent="0.25">
      <c r="A22" s="16" t="str">
        <f>HYPERLINK("#'Input - Solid waste'!A1", "Solid waste")</f>
        <v>Solid waste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474</v>
      </c>
      <c r="S22" s="10" t="s">
        <v>374</v>
      </c>
    </row>
    <row r="23" spans="1:19" ht="20.100000000000001" customHeight="1" x14ac:dyDescent="0.25">
      <c r="A23" s="16" t="str">
        <f>HYPERLINK("#'Input - Manure sent off-site'!A1", "Manure sent off-site")</f>
        <v>Manure sent off-site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475</v>
      </c>
      <c r="S23" s="10" t="s">
        <v>421</v>
      </c>
    </row>
    <row r="24" spans="1:19" ht="20.100000000000001" customHeight="1" x14ac:dyDescent="0.25">
      <c r="A24" s="16" t="str">
        <f>HYPERLINK("#'Input - Electricity'!A1", "Electricity")</f>
        <v>Electricity</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476</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477</v>
      </c>
      <c r="S25" s="8" t="s">
        <v>459</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478</v>
      </c>
    </row>
    <row r="27" spans="1:19" ht="20.100000000000001" customHeight="1" x14ac:dyDescent="0.25">
      <c r="A27" s="21" t="s">
        <v>77</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479</v>
      </c>
      <c r="S27" s="10" t="s">
        <v>374</v>
      </c>
    </row>
    <row r="28" spans="1:19" ht="20.100000000000001" customHeight="1" x14ac:dyDescent="0.25">
      <c r="A28" s="16" t="str">
        <f>HYPERLINK("#'15 Scope 3'!A1", "15 Scope 3")</f>
        <v>15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480</v>
      </c>
      <c r="S28" s="10" t="s">
        <v>421</v>
      </c>
    </row>
    <row r="29" spans="1:19" ht="20.100000000000001" customHeight="1" x14ac:dyDescent="0.25">
      <c r="A29" s="16" t="str">
        <f>HYPERLINK("#'10.1.1-2 Solid waste treatment'!A1", "10.1.1-2 Solid waste treatment")</f>
        <v>10.1.1-2 Solid waste treatment</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HYPERLINK("#'Calcs - Manure sent off-site'!A1", "Calcs - Manure sent off-site")</f>
        <v>Calcs - Manure sent off-site</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HYPERLINK("#'8.1.1.1-2 Transport fuel'!A1", "8.1.1.1-2 Transport fuel")</f>
        <v>8.1.1.1-2 Transport fuel</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420</v>
      </c>
    </row>
    <row r="32" spans="1:19" ht="20.100000000000001" customHeight="1" x14ac:dyDescent="0.25">
      <c r="A32" s="16" t="str">
        <f>HYPERLINK("#'8.2.1.1-2 Stationary fuel'!A1", "8.2.1.1-2 Stationary fuel")</f>
        <v>8.2.1.1-2 Stationary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374</v>
      </c>
      <c r="P32" s="10" t="s">
        <v>503</v>
      </c>
    </row>
    <row r="33" spans="1:16" ht="20.100000000000001" customHeight="1" x14ac:dyDescent="0.25">
      <c r="A33"/>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304</v>
      </c>
      <c r="P33" s="10" t="s">
        <v>325</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325</v>
      </c>
      <c r="P34" s="10" t="s">
        <v>325</v>
      </c>
    </row>
    <row r="35" spans="1:16" ht="20.100000000000001" customHeight="1" x14ac:dyDescent="0.25">
      <c r="A35" s="222" t="s">
        <v>78</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381</v>
      </c>
      <c r="P35" s="10" t="s">
        <v>381</v>
      </c>
    </row>
    <row r="36" spans="1:16" ht="20.100000000000001" customHeight="1" x14ac:dyDescent="0.25">
      <c r="A36" s="16" t="str">
        <f>HYPERLINK("#'Constants - Scope 3'!A1", "Constants - Scope 3")</f>
        <v>Constants - Scope 3</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378</v>
      </c>
      <c r="P36" s="10" t="s">
        <v>378</v>
      </c>
    </row>
    <row r="37" spans="1:16" ht="20.100000000000001" customHeight="1" x14ac:dyDescent="0.25">
      <c r="A37" s="16" t="str">
        <f>HYPERLINK("#'Constants - Solid Waste'!A1", "Constants - Solid Waste")</f>
        <v>Constants - Solid Waste</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331</v>
      </c>
      <c r="P37" s="10" t="s">
        <v>331</v>
      </c>
    </row>
    <row r="38" spans="1:16" ht="20.100000000000001" customHeight="1" x14ac:dyDescent="0.25">
      <c r="A38" s="16" t="str">
        <f>HYPERLINK("#'Constants - Fuel'!A1", "Constants - Fuel")</f>
        <v>Constants - Fuel</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424</v>
      </c>
      <c r="P38" s="10" t="s">
        <v>332</v>
      </c>
    </row>
    <row r="39" spans="1:16" ht="20.100000000000001" customHeight="1" x14ac:dyDescent="0.25">
      <c r="A39" s="16" t="str">
        <f>HYPERLINK("#'Constants - Poultry'!A1", "Constants - Poultry")</f>
        <v>Constants - Poultry</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423</v>
      </c>
      <c r="P39" s="10" t="s">
        <v>332</v>
      </c>
    </row>
    <row r="40" spans="1:16" ht="20.100000000000001" customHeight="1" x14ac:dyDescent="0.25">
      <c r="A40" s="16" t="str">
        <f>HYPERLINK("#'Constants - Swine'!A1", "Constants - Swine")</f>
        <v>Constants - Swine</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425</v>
      </c>
      <c r="P40" s="10" t="s">
        <v>332</v>
      </c>
    </row>
    <row r="41" spans="1:16" ht="20.100000000000001" customHeight="1" x14ac:dyDescent="0.25">
      <c r="A41" s="16" t="str">
        <f>HYPERLINK("#'Constants - Dairy'!A1", "Constants - Dairy")</f>
        <v>Constants - Dairy</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426</v>
      </c>
      <c r="P41" s="10" t="s">
        <v>422</v>
      </c>
    </row>
    <row r="42" spans="1:16" ht="20.100000000000001" customHeight="1" x14ac:dyDescent="0.25">
      <c r="A42" s="23" t="str">
        <f>HYPERLINK("#'Constants - Pasture Beef'!A1", "Constants - Pasture Beef")</f>
        <v>Constants - Pasture Beef</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427</v>
      </c>
      <c r="P42" s="10" t="s">
        <v>422</v>
      </c>
    </row>
    <row r="43" spans="1:16" ht="20.100000000000001" customHeight="1" x14ac:dyDescent="0.25">
      <c r="A43" s="16" t="str">
        <f>HYPERLINK("#'Constants - Common Livestock'!A1", "Constants - Common Livestock")</f>
        <v>Constants - Common Livestock</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428</v>
      </c>
      <c r="P43" s="10" t="s">
        <v>422</v>
      </c>
    </row>
    <row r="44" spans="1:16" ht="20.100000000000001" customHeight="1" x14ac:dyDescent="0.25">
      <c r="A44" s="16" t="str">
        <f>HYPERLINK("#'Constants - Fertiliser'!A1", "Constants - Fertiliser")</f>
        <v>Constants - Fertiliser</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429</v>
      </c>
      <c r="P44" s="10" t="s">
        <v>326</v>
      </c>
    </row>
    <row r="45" spans="1:16" ht="20.100000000000001" customHeight="1" x14ac:dyDescent="0.25">
      <c r="A45" s="16" t="str">
        <f>HYPERLINK("#'Constants - Electricity'!A1", "Constants - Electricity")</f>
        <v>Constants - Electricity</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430</v>
      </c>
      <c r="P45" s="10" t="s">
        <v>326</v>
      </c>
    </row>
    <row r="46" spans="1:16" ht="20.100000000000001" customHeight="1" x14ac:dyDescent="0.25">
      <c r="A46" s="16" t="str">
        <f>HYPERLINK("#'Constants - Common'!A1", "Constants - Common")</f>
        <v>Constants - Common</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431</v>
      </c>
      <c r="P46" s="10" t="s">
        <v>326</v>
      </c>
    </row>
    <row r="47" spans="1:16" ht="20.100000000000001" customHeight="1" x14ac:dyDescent="0.25">
      <c r="A47"/>
      <c r="M47" s="8"/>
      <c r="O47" s="10" t="s">
        <v>432</v>
      </c>
      <c r="P47" s="10" t="s">
        <v>326</v>
      </c>
    </row>
    <row r="48" spans="1:16" ht="20.100000000000001" customHeight="1" x14ac:dyDescent="0.25">
      <c r="A48"/>
      <c r="M48" s="8"/>
      <c r="O48" s="8" t="s">
        <v>324</v>
      </c>
      <c r="P48" s="8" t="s">
        <v>324</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269</v>
      </c>
      <c r="E53" s="10" t="s">
        <v>374</v>
      </c>
      <c r="F53" s="10" t="s">
        <v>47</v>
      </c>
      <c r="G53" s="10" t="s">
        <v>460</v>
      </c>
      <c r="H53" s="10" t="s">
        <v>461</v>
      </c>
      <c r="I53" s="10" t="s">
        <v>462</v>
      </c>
      <c r="J53" s="10" t="s">
        <v>463</v>
      </c>
      <c r="K53" s="10" t="s">
        <v>464</v>
      </c>
      <c r="L53" s="10" t="s">
        <v>465</v>
      </c>
      <c r="M53" s="10" t="s">
        <v>466</v>
      </c>
      <c r="N53" s="10" t="s">
        <v>467</v>
      </c>
      <c r="O53" s="10" t="s">
        <v>468</v>
      </c>
      <c r="P53" s="10" t="s">
        <v>469</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470</v>
      </c>
      <c r="M84" s="8"/>
    </row>
    <row r="85" spans="1:22" ht="20.100000000000001" customHeight="1" x14ac:dyDescent="0.25">
      <c r="A85"/>
      <c r="D85" s="10" t="s">
        <v>269</v>
      </c>
      <c r="E85" s="10" t="s">
        <v>374</v>
      </c>
      <c r="F85" s="10" t="s">
        <v>47</v>
      </c>
      <c r="G85" s="156" t="s">
        <v>471</v>
      </c>
      <c r="H85" s="156" t="s">
        <v>472</v>
      </c>
      <c r="I85" s="156" t="s">
        <v>473</v>
      </c>
      <c r="J85" s="156" t="s">
        <v>474</v>
      </c>
      <c r="K85" s="156" t="s">
        <v>475</v>
      </c>
      <c r="L85" s="156" t="s">
        <v>476</v>
      </c>
      <c r="M85" s="156" t="s">
        <v>477</v>
      </c>
      <c r="N85" s="156" t="s">
        <v>478</v>
      </c>
      <c r="O85" s="156" t="s">
        <v>479</v>
      </c>
      <c r="P85" s="156" t="s">
        <v>480</v>
      </c>
      <c r="V85" s="8"/>
    </row>
    <row r="86" spans="1:22" ht="20.100000000000001" customHeight="1" x14ac:dyDescent="0.25">
      <c r="A86"/>
      <c r="D86" s="10" t="s">
        <v>304</v>
      </c>
      <c r="E86" s="10" t="s">
        <v>421</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304</v>
      </c>
      <c r="E87" s="10" t="s">
        <v>421</v>
      </c>
      <c r="F87" s="10" t="s">
        <v>481</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304</v>
      </c>
      <c r="E88" s="10" t="s">
        <v>421</v>
      </c>
      <c r="F88" s="10" t="s">
        <v>482</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304</v>
      </c>
      <c r="E89" s="10" t="s">
        <v>421</v>
      </c>
      <c r="F89" s="10" t="s">
        <v>483</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325</v>
      </c>
      <c r="E90" s="10" t="s">
        <v>421</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325</v>
      </c>
      <c r="E91" s="10" t="s">
        <v>421</v>
      </c>
      <c r="F91" s="10" t="s">
        <v>481</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325</v>
      </c>
      <c r="E92" s="10" t="s">
        <v>421</v>
      </c>
      <c r="F92" s="10" t="s">
        <v>482</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325</v>
      </c>
      <c r="E93" s="10" t="s">
        <v>421</v>
      </c>
      <c r="F93" s="10" t="s">
        <v>483</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381</v>
      </c>
      <c r="E94" s="10" t="s">
        <v>421</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381</v>
      </c>
      <c r="E95" s="10" t="s">
        <v>421</v>
      </c>
      <c r="F95" s="10" t="s">
        <v>481</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381</v>
      </c>
      <c r="E96" s="10" t="s">
        <v>421</v>
      </c>
      <c r="F96" s="10" t="s">
        <v>482</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381</v>
      </c>
      <c r="E97" s="10" t="s">
        <v>421</v>
      </c>
      <c r="F97" s="10" t="s">
        <v>483</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378</v>
      </c>
      <c r="E98" s="10" t="s">
        <v>421</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378</v>
      </c>
      <c r="E99" s="10" t="s">
        <v>421</v>
      </c>
      <c r="F99" s="10" t="s">
        <v>481</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378</v>
      </c>
      <c r="E100" s="10" t="s">
        <v>421</v>
      </c>
      <c r="F100" s="10" t="s">
        <v>482</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378</v>
      </c>
      <c r="E101" s="10" t="s">
        <v>421</v>
      </c>
      <c r="F101" s="10" t="s">
        <v>483</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331</v>
      </c>
      <c r="E102" s="10" t="s">
        <v>421</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331</v>
      </c>
      <c r="E103" s="10" t="s">
        <v>421</v>
      </c>
      <c r="F103" s="10" t="s">
        <v>481</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331</v>
      </c>
      <c r="E104" s="10" t="s">
        <v>421</v>
      </c>
      <c r="F104" s="10" t="s">
        <v>482</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331</v>
      </c>
      <c r="E105" s="10" t="s">
        <v>421</v>
      </c>
      <c r="F105" s="10" t="s">
        <v>483</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332</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332</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332</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332</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332</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332</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332</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332</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332</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332</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332</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332</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422</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422</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422</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422</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422</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422</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422</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422</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422</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422</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422</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422</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326</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326</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326</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326</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326</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326</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326</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326</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326</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326</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326</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326</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326</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326</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326</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326</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324</v>
      </c>
      <c r="E146" s="8" t="s">
        <v>421</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324</v>
      </c>
      <c r="E147" s="8" t="s">
        <v>421</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324</v>
      </c>
      <c r="E148" s="8" t="s">
        <v>421</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324</v>
      </c>
      <c r="E149" s="8" t="s">
        <v>421</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269</v>
      </c>
      <c r="E154" s="10" t="s">
        <v>374</v>
      </c>
      <c r="F154" s="10" t="s">
        <v>47</v>
      </c>
      <c r="G154" s="10" t="s">
        <v>460</v>
      </c>
      <c r="H154" s="10" t="s">
        <v>461</v>
      </c>
      <c r="I154" s="10" t="s">
        <v>484</v>
      </c>
      <c r="J154" s="10" t="s">
        <v>454</v>
      </c>
      <c r="K154" s="10" t="s">
        <v>485</v>
      </c>
      <c r="L154" s="10" t="s">
        <v>466</v>
      </c>
      <c r="M154" s="10" t="s">
        <v>486</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269</v>
      </c>
      <c r="E189" s="10" t="s">
        <v>374</v>
      </c>
      <c r="F189" s="10" t="s">
        <v>47</v>
      </c>
      <c r="G189" s="10" t="s">
        <v>460</v>
      </c>
      <c r="H189" s="10" t="s">
        <v>461</v>
      </c>
      <c r="I189" s="10" t="s">
        <v>484</v>
      </c>
      <c r="J189" s="10" t="s">
        <v>454</v>
      </c>
      <c r="K189" s="10" t="s">
        <v>487</v>
      </c>
      <c r="L189" s="10" t="s">
        <v>488</v>
      </c>
      <c r="M189" s="10" t="s">
        <v>466</v>
      </c>
      <c r="N189" s="10" t="s">
        <v>467</v>
      </c>
      <c r="O189" s="10" t="s">
        <v>468</v>
      </c>
      <c r="P189" s="10" t="s">
        <v>469</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470</v>
      </c>
      <c r="M220" s="8"/>
    </row>
    <row r="221" spans="4:16" x14ac:dyDescent="0.25">
      <c r="M221" s="8"/>
    </row>
    <row r="222" spans="4:16" x14ac:dyDescent="0.25">
      <c r="D222" s="10" t="s">
        <v>269</v>
      </c>
      <c r="E222" s="10" t="s">
        <v>374</v>
      </c>
      <c r="F222" s="10" t="s">
        <v>47</v>
      </c>
      <c r="G222" s="156" t="s">
        <v>471</v>
      </c>
      <c r="H222" s="156" t="s">
        <v>472</v>
      </c>
      <c r="I222" s="156" t="s">
        <v>473</v>
      </c>
      <c r="J222" s="156" t="s">
        <v>474</v>
      </c>
      <c r="K222" s="156" t="s">
        <v>475</v>
      </c>
      <c r="L222" s="156" t="s">
        <v>476</v>
      </c>
      <c r="M222" s="156" t="s">
        <v>477</v>
      </c>
      <c r="N222" s="156" t="s">
        <v>478</v>
      </c>
      <c r="O222" s="156" t="s">
        <v>479</v>
      </c>
      <c r="P222" s="156" t="s">
        <v>480</v>
      </c>
    </row>
    <row r="223" spans="4:16" x14ac:dyDescent="0.25">
      <c r="D223" s="10" t="s">
        <v>304</v>
      </c>
      <c r="E223" s="10" t="s">
        <v>421</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304</v>
      </c>
      <c r="E224" s="10" t="s">
        <v>421</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304</v>
      </c>
      <c r="E225" s="10" t="s">
        <v>421</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304</v>
      </c>
      <c r="E226" s="10" t="s">
        <v>421</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325</v>
      </c>
      <c r="E227" s="10" t="s">
        <v>421</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325</v>
      </c>
      <c r="E228" s="10" t="s">
        <v>421</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325</v>
      </c>
      <c r="E229" s="10" t="s">
        <v>421</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325</v>
      </c>
      <c r="E230" s="10" t="s">
        <v>421</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381</v>
      </c>
      <c r="E231" s="10" t="s">
        <v>421</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381</v>
      </c>
      <c r="E232" s="10" t="s">
        <v>421</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381</v>
      </c>
      <c r="E233" s="10" t="s">
        <v>421</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381</v>
      </c>
      <c r="E234" s="10" t="s">
        <v>421</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378</v>
      </c>
      <c r="E235" s="10" t="s">
        <v>421</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378</v>
      </c>
      <c r="E236" s="10" t="s">
        <v>421</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378</v>
      </c>
      <c r="E237" s="10" t="s">
        <v>421</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378</v>
      </c>
      <c r="E238" s="10" t="s">
        <v>421</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331</v>
      </c>
      <c r="E239" s="10" t="s">
        <v>421</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331</v>
      </c>
      <c r="E240" s="10" t="s">
        <v>421</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331</v>
      </c>
      <c r="E241" s="10" t="s">
        <v>421</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331</v>
      </c>
      <c r="E242" s="10" t="s">
        <v>421</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332</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332</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332</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332</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332</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332</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332</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332</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332</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332</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332</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332</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422</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422</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422</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422</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422</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422</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422</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422</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422</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422</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422</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422</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326</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326</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326</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326</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326</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326</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326</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326</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326</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326</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326</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326</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326</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326</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326</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326</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269</v>
      </c>
      <c r="E290" s="10" t="s">
        <v>374</v>
      </c>
      <c r="F290" s="10" t="s">
        <v>489</v>
      </c>
      <c r="G290" s="10" t="s">
        <v>481</v>
      </c>
      <c r="H290" s="10" t="s">
        <v>482</v>
      </c>
      <c r="I290" s="10" t="s">
        <v>483</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269</v>
      </c>
      <c r="E313" s="10" t="s">
        <v>374</v>
      </c>
      <c r="F313" s="10" t="s">
        <v>489</v>
      </c>
      <c r="G313" s="10" t="s">
        <v>481</v>
      </c>
      <c r="H313" s="10" t="s">
        <v>482</v>
      </c>
      <c r="I313" s="10" t="s">
        <v>483</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490</v>
      </c>
      <c r="M333" s="8"/>
    </row>
    <row r="334" spans="4:13" x14ac:dyDescent="0.25">
      <c r="D334" s="10" t="s">
        <v>491</v>
      </c>
      <c r="E334" s="10" t="s">
        <v>47</v>
      </c>
      <c r="F334" s="10" t="s">
        <v>492</v>
      </c>
      <c r="G334" s="10" t="s">
        <v>493</v>
      </c>
      <c r="I334" s="10" t="s">
        <v>491</v>
      </c>
      <c r="J334" s="10" t="s">
        <v>47</v>
      </c>
      <c r="K334" s="10" t="s">
        <v>492</v>
      </c>
      <c r="L334" s="10" t="s">
        <v>493</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494</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495</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494</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495</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269</v>
      </c>
      <c r="E350" s="10" t="s">
        <v>496</v>
      </c>
      <c r="F350" s="10" t="s">
        <v>497</v>
      </c>
      <c r="G350" s="10" t="s">
        <v>462</v>
      </c>
      <c r="H350" s="10" t="s">
        <v>463</v>
      </c>
      <c r="I350" s="10" t="s">
        <v>498</v>
      </c>
      <c r="J350" s="10" t="s">
        <v>466</v>
      </c>
      <c r="K350" s="10" t="s">
        <v>486</v>
      </c>
      <c r="L350" s="10" t="s">
        <v>499</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269</v>
      </c>
      <c r="E361" s="156" t="s">
        <v>471</v>
      </c>
      <c r="F361" s="156" t="s">
        <v>472</v>
      </c>
      <c r="G361" s="156" t="s">
        <v>473</v>
      </c>
      <c r="H361" s="156" t="s">
        <v>474</v>
      </c>
      <c r="I361" s="156" t="s">
        <v>475</v>
      </c>
      <c r="J361" s="156" t="s">
        <v>476</v>
      </c>
      <c r="K361" s="156" t="s">
        <v>477</v>
      </c>
      <c r="L361" s="156" t="s">
        <v>478</v>
      </c>
      <c r="M361" s="156" t="s">
        <v>479</v>
      </c>
      <c r="N361" s="156" t="s">
        <v>480</v>
      </c>
      <c r="O361" s="10" t="s">
        <v>499</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500</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269</v>
      </c>
      <c r="E377" s="10" t="s">
        <v>374</v>
      </c>
      <c r="F377" s="10" t="s">
        <v>62</v>
      </c>
      <c r="G377" s="10" t="s">
        <v>501</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269</v>
      </c>
      <c r="E400" s="10" t="s">
        <v>374</v>
      </c>
      <c r="F400" s="10" t="s">
        <v>62</v>
      </c>
      <c r="G400" s="10" t="s">
        <v>501</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307</v>
      </c>
      <c r="E442" s="10" t="s">
        <v>208</v>
      </c>
      <c r="F442" s="10" t="s">
        <v>308</v>
      </c>
      <c r="G442" s="10" t="s">
        <v>274</v>
      </c>
      <c r="H442" s="10" t="s">
        <v>275</v>
      </c>
      <c r="I442" s="10" t="s">
        <v>350</v>
      </c>
      <c r="M442" s="8"/>
    </row>
    <row r="443" spans="4:13" x14ac:dyDescent="0.25">
      <c r="D443" s="10" t="str" cm="1">
        <f t="array" ref="D443">Common_InputFunctions.Utility_DisplayArrayInTable(Scope3_SourceData.Scope3_Livestock_Data(), Table_SourceData_Scope3_Animals192[[#Headers],[Category]], 0, 2)</f>
        <v>Beef cattle</v>
      </c>
      <c r="E443" s="10" t="str" cm="1">
        <f t="array" ref="E443">Common_InputFunctions.Utility_DisplayArrayInTable(Scope3_SourceData.Scope3_Livestock_Data(), Table_SourceData_Scope3_Animals192[[#Headers],[Category]], 0, 2)</f>
        <v>Cattle, for manufacturing beef</v>
      </c>
      <c r="F443" s="10" t="str" cm="1">
        <f t="array" ref="F443">Common_InputFunctions.Utility_DisplayArrayInTable(Scope3_SourceData.Scope3_Livestock_Data(), Table_SourceData_Scope3_Animals192[[#Headers],[Category]], 0, 2)</f>
        <v>Australia</v>
      </c>
      <c r="G443" s="10" t="str" cm="1">
        <f t="array" ref="G443">Common_InputFunctions.Utility_DisplayArrayInTable(Scope3_SourceData.Scope3_Livestock_Data(), Table_SourceData_Scope3_Animals192[[#Headers],[Category]], 0, 2)</f>
        <v>kg liveweight</v>
      </c>
      <c r="H443" s="10" cm="1">
        <f t="array" ref="H443">Common_InputFunctions.Utility_DisplayArrayInTable(Scope3_SourceData.Scope3_Livestock_Data(), Table_SourceData_Scope3_Animals192[[#Headers],[Category]], 0, 2)</f>
        <v>11</v>
      </c>
      <c r="I443" s="10" t="str" cm="1">
        <f t="array" ref="I443">Common_InputFunctions.Utility_DisplayArrayInTable(Scope3_SourceData.Scope3_Livestock_Data(), Table_SourceData_Scope3_Animals192[[#Headers],[Category]], 0, 2)</f>
        <v>at market</v>
      </c>
      <c r="M443" s="8"/>
    </row>
    <row r="444" spans="4:13" x14ac:dyDescent="0.25">
      <c r="D444" s="10" t="str" cm="1">
        <f t="array" ref="D444">Common_InputFunctions.Utility_DisplayArrayInTable(Scope3_SourceData.Scope3_Livestock_Data(), Table_SourceData_Scope3_Animals192[[#Headers],[Category]], 0, 2)</f>
        <v>Beef cattle</v>
      </c>
      <c r="E444" s="10" t="str" cm="1">
        <f t="array" ref="E444">Common_InputFunctions.Utility_DisplayArrayInTable(Scope3_SourceData.Scope3_Livestock_Data(), Table_SourceData_Scope3_Animals192[[#Headers],[Category]], 0, 2)</f>
        <v>Cattle, for manufacturing beef</v>
      </c>
      <c r="F444" s="10" t="str" cm="1">
        <f t="array" ref="F444">Common_InputFunctions.Utility_DisplayArrayInTable(Scope3_SourceData.Scope3_Livestock_Data(), Table_SourceData_Scope3_Animals192[[#Headers],[Category]], 0, 2)</f>
        <v>NSW</v>
      </c>
      <c r="G444" s="10" t="str" cm="1">
        <f t="array" ref="G444">Common_InputFunctions.Utility_DisplayArrayInTable(Scope3_SourceData.Scope3_Livestock_Data(), Table_SourceData_Scope3_Animals192[[#Headers],[Category]], 0, 2)</f>
        <v>kg liveweight</v>
      </c>
      <c r="H444" s="10" cm="1">
        <f t="array" ref="H444">Common_InputFunctions.Utility_DisplayArrayInTable(Scope3_SourceData.Scope3_Livestock_Data(), Table_SourceData_Scope3_Animals192[[#Headers],[Category]], 0, 2)</f>
        <v>8.2100000000000009</v>
      </c>
      <c r="I444" s="10" t="str" cm="1">
        <f t="array" ref="I444">Common_InputFunctions.Utility_DisplayArrayInTable(Scope3_SourceData.Scope3_Livestock_Data(), Table_SourceData_Scope3_Animals192[[#Headers],[Category]], 0, 2)</f>
        <v>at market</v>
      </c>
      <c r="M444" s="8"/>
    </row>
    <row r="445" spans="4:13" x14ac:dyDescent="0.25">
      <c r="D445" s="10" t="str" cm="1">
        <f t="array" ref="D445">Common_InputFunctions.Utility_DisplayArrayInTable(Scope3_SourceData.Scope3_Livestock_Data(), Table_SourceData_Scope3_Animals192[[#Headers],[Category]], 0, 2)</f>
        <v>Beef cattle</v>
      </c>
      <c r="E445" s="10" t="str" cm="1">
        <f t="array" ref="E445">Common_InputFunctions.Utility_DisplayArrayInTable(Scope3_SourceData.Scope3_Livestock_Data(), Table_SourceData_Scope3_Animals192[[#Headers],[Category]], 0, 2)</f>
        <v>Cattle, for manufacturing beef</v>
      </c>
      <c r="F445" s="10" t="str" cm="1">
        <f t="array" ref="F445">Common_InputFunctions.Utility_DisplayArrayInTable(Scope3_SourceData.Scope3_Livestock_Data(), Table_SourceData_Scope3_Animals192[[#Headers],[Category]], 0, 2)</f>
        <v>NT</v>
      </c>
      <c r="G445" s="10" t="str" cm="1">
        <f t="array" ref="G445">Common_InputFunctions.Utility_DisplayArrayInTable(Scope3_SourceData.Scope3_Livestock_Data(), Table_SourceData_Scope3_Animals192[[#Headers],[Category]], 0, 2)</f>
        <v>kg liveweight</v>
      </c>
      <c r="H445" s="10" cm="1">
        <f t="array" ref="H445">Common_InputFunctions.Utility_DisplayArrayInTable(Scope3_SourceData.Scope3_Livestock_Data(), Table_SourceData_Scope3_Animals192[[#Headers],[Category]], 0, 2)</f>
        <v>12.2</v>
      </c>
      <c r="I445" s="10" t="str" cm="1">
        <f t="array" ref="I445">Common_InputFunctions.Utility_DisplayArrayInTable(Scope3_SourceData.Scope3_Livestock_Data(), Table_SourceData_Scope3_Animals192[[#Headers],[Category]], 0, 2)</f>
        <v>at market</v>
      </c>
      <c r="M445" s="8"/>
    </row>
    <row r="446" spans="4:13" x14ac:dyDescent="0.25">
      <c r="D446" s="10" t="str" cm="1">
        <f t="array" ref="D446">Common_InputFunctions.Utility_DisplayArrayInTable(Scope3_SourceData.Scope3_Livestock_Data(), Table_SourceData_Scope3_Animals192[[#Headers],[Category]], 0, 2)</f>
        <v>Beef cattle</v>
      </c>
      <c r="E446" s="10" t="str" cm="1">
        <f t="array" ref="E446">Common_InputFunctions.Utility_DisplayArrayInTable(Scope3_SourceData.Scope3_Livestock_Data(), Table_SourceData_Scope3_Animals192[[#Headers],[Category]], 0, 2)</f>
        <v>Cattle, for manufacturing beef</v>
      </c>
      <c r="F446" s="10" t="str" cm="1">
        <f t="array" ref="F446">Common_InputFunctions.Utility_DisplayArrayInTable(Scope3_SourceData.Scope3_Livestock_Data(), Table_SourceData_Scope3_Animals192[[#Headers],[Category]], 0, 2)</f>
        <v>QLD</v>
      </c>
      <c r="G446" s="10" t="str" cm="1">
        <f t="array" ref="G446">Common_InputFunctions.Utility_DisplayArrayInTable(Scope3_SourceData.Scope3_Livestock_Data(), Table_SourceData_Scope3_Animals192[[#Headers],[Category]], 0, 2)</f>
        <v>kg liveweight</v>
      </c>
      <c r="H446" s="10" cm="1">
        <f t="array" ref="H446">Common_InputFunctions.Utility_DisplayArrayInTable(Scope3_SourceData.Scope3_Livestock_Data(), Table_SourceData_Scope3_Animals192[[#Headers],[Category]], 0, 2)</f>
        <v>10.9</v>
      </c>
      <c r="I446" s="10" t="str" cm="1">
        <f t="array" ref="I446">Common_InputFunctions.Utility_DisplayArrayInTable(Scope3_SourceData.Scope3_Livestock_Data(), Table_SourceData_Scope3_Animals192[[#Headers],[Category]], 0, 2)</f>
        <v>at market</v>
      </c>
      <c r="M446" s="8"/>
    </row>
    <row r="447" spans="4:13" x14ac:dyDescent="0.25">
      <c r="D447" s="10" t="str" cm="1">
        <f t="array" ref="D447">Common_InputFunctions.Utility_DisplayArrayInTable(Scope3_SourceData.Scope3_Livestock_Data(), Table_SourceData_Scope3_Animals192[[#Headers],[Category]], 0, 2)</f>
        <v>Beef cattle</v>
      </c>
      <c r="E447" s="10" t="str" cm="1">
        <f t="array" ref="E447">Common_InputFunctions.Utility_DisplayArrayInTable(Scope3_SourceData.Scope3_Livestock_Data(), Table_SourceData_Scope3_Animals192[[#Headers],[Category]], 0, 2)</f>
        <v>Cattle, for manufacturing beef</v>
      </c>
      <c r="F447" s="10" t="str" cm="1">
        <f t="array" ref="F447">Common_InputFunctions.Utility_DisplayArrayInTable(Scope3_SourceData.Scope3_Livestock_Data(), Table_SourceData_Scope3_Animals192[[#Headers],[Category]], 0, 2)</f>
        <v>SA</v>
      </c>
      <c r="G447" s="10" t="str" cm="1">
        <f t="array" ref="G447">Common_InputFunctions.Utility_DisplayArrayInTable(Scope3_SourceData.Scope3_Livestock_Data(), Table_SourceData_Scope3_Animals192[[#Headers],[Category]], 0, 2)</f>
        <v>kg liveweight</v>
      </c>
      <c r="H447" s="10" cm="1">
        <f t="array" ref="H447">Common_InputFunctions.Utility_DisplayArrayInTable(Scope3_SourceData.Scope3_Livestock_Data(), Table_SourceData_Scope3_Animals192[[#Headers],[Category]], 0, 2)</f>
        <v>7.63</v>
      </c>
      <c r="I447" s="10" t="str" cm="1">
        <f t="array" ref="I447">Common_InputFunctions.Utility_DisplayArrayInTable(Scope3_SourceData.Scope3_Livestock_Data(), Table_SourceData_Scope3_Animals192[[#Headers],[Category]], 0, 2)</f>
        <v>at market</v>
      </c>
      <c r="M447" s="8"/>
    </row>
    <row r="448" spans="4:13" x14ac:dyDescent="0.25">
      <c r="D448" s="10" t="str" cm="1">
        <f t="array" ref="D448">Common_InputFunctions.Utility_DisplayArrayInTable(Scope3_SourceData.Scope3_Livestock_Data(), Table_SourceData_Scope3_Animals192[[#Headers],[Category]], 0, 2)</f>
        <v>Beef cattle</v>
      </c>
      <c r="E448" s="10" t="str" cm="1">
        <f t="array" ref="E448">Common_InputFunctions.Utility_DisplayArrayInTable(Scope3_SourceData.Scope3_Livestock_Data(), Table_SourceData_Scope3_Animals192[[#Headers],[Category]], 0, 2)</f>
        <v>Cattle, for manufacturing beef</v>
      </c>
      <c r="F448" s="10" t="str" cm="1">
        <f t="array" ref="F448">Common_InputFunctions.Utility_DisplayArrayInTable(Scope3_SourceData.Scope3_Livestock_Data(), Table_SourceData_Scope3_Animals192[[#Headers],[Category]], 0, 2)</f>
        <v>TAS</v>
      </c>
      <c r="G448" s="10" t="str" cm="1">
        <f t="array" ref="G448">Common_InputFunctions.Utility_DisplayArrayInTable(Scope3_SourceData.Scope3_Livestock_Data(), Table_SourceData_Scope3_Animals192[[#Headers],[Category]], 0, 2)</f>
        <v>kg liveweight</v>
      </c>
      <c r="H448" s="10" cm="1">
        <f t="array" ref="H448">Common_InputFunctions.Utility_DisplayArrayInTable(Scope3_SourceData.Scope3_Livestock_Data(), Table_SourceData_Scope3_Animals192[[#Headers],[Category]], 0, 2)</f>
        <v>8.75</v>
      </c>
      <c r="I448" s="10" t="str" cm="1">
        <f t="array" ref="I448">Common_InputFunctions.Utility_DisplayArrayInTable(Scope3_SourceData.Scope3_Livestock_Data(), Table_SourceData_Scope3_Animals192[[#Headers],[Category]], 0, 2)</f>
        <v>at market</v>
      </c>
      <c r="M448" s="8"/>
    </row>
    <row r="449" spans="4:13" x14ac:dyDescent="0.25">
      <c r="D449" s="10" t="str" cm="1">
        <f t="array" ref="D449">Common_InputFunctions.Utility_DisplayArrayInTable(Scope3_SourceData.Scope3_Livestock_Data(), Table_SourceData_Scope3_Animals192[[#Headers],[Category]], 0, 2)</f>
        <v>Beef cattle</v>
      </c>
      <c r="E449" s="10" t="str" cm="1">
        <f t="array" ref="E449">Common_InputFunctions.Utility_DisplayArrayInTable(Scope3_SourceData.Scope3_Livestock_Data(), Table_SourceData_Scope3_Animals192[[#Headers],[Category]], 0, 2)</f>
        <v>Cattle, for manufacturing beef</v>
      </c>
      <c r="F449" s="10" t="str" cm="1">
        <f t="array" ref="F449">Common_InputFunctions.Utility_DisplayArrayInTable(Scope3_SourceData.Scope3_Livestock_Data(), Table_SourceData_Scope3_Animals192[[#Headers],[Category]], 0, 2)</f>
        <v>VIC</v>
      </c>
      <c r="G449" s="10" t="str" cm="1">
        <f t="array" ref="G449">Common_InputFunctions.Utility_DisplayArrayInTable(Scope3_SourceData.Scope3_Livestock_Data(), Table_SourceData_Scope3_Animals192[[#Headers],[Category]], 0, 2)</f>
        <v>kg liveweight</v>
      </c>
      <c r="H449" s="10" cm="1">
        <f t="array" ref="H449">Common_InputFunctions.Utility_DisplayArrayInTable(Scope3_SourceData.Scope3_Livestock_Data(), Table_SourceData_Scope3_Animals192[[#Headers],[Category]], 0, 2)</f>
        <v>8.17</v>
      </c>
      <c r="I449" s="10" t="str" cm="1">
        <f t="array" ref="I449">Common_InputFunctions.Utility_DisplayArrayInTable(Scope3_SourceData.Scope3_Livestock_Data(), Table_SourceData_Scope3_Animals192[[#Headers],[Category]], 0, 2)</f>
        <v>at market</v>
      </c>
      <c r="M449" s="8"/>
    </row>
    <row r="450" spans="4:13" x14ac:dyDescent="0.25">
      <c r="D450" s="10" t="str" cm="1">
        <f t="array" ref="D450">Common_InputFunctions.Utility_DisplayArrayInTable(Scope3_SourceData.Scope3_Livestock_Data(), Table_SourceData_Scope3_Animals192[[#Headers],[Category]], 0, 2)</f>
        <v>Beef cattle</v>
      </c>
      <c r="E450" s="10" t="str" cm="1">
        <f t="array" ref="E450">Common_InputFunctions.Utility_DisplayArrayInTable(Scope3_SourceData.Scope3_Livestock_Data(), Table_SourceData_Scope3_Animals192[[#Headers],[Category]], 0, 2)</f>
        <v>Cattle, for manufacturing beef</v>
      </c>
      <c r="F450" s="10" t="str" cm="1">
        <f t="array" ref="F450">Common_InputFunctions.Utility_DisplayArrayInTable(Scope3_SourceData.Scope3_Livestock_Data(), Table_SourceData_Scope3_Animals192[[#Headers],[Category]], 0, 2)</f>
        <v>WA</v>
      </c>
      <c r="G450" s="10" t="str" cm="1">
        <f t="array" ref="G450">Common_InputFunctions.Utility_DisplayArrayInTable(Scope3_SourceData.Scope3_Livestock_Data(), Table_SourceData_Scope3_Animals192[[#Headers],[Category]], 0, 2)</f>
        <v>kg liveweight</v>
      </c>
      <c r="H450" s="10" cm="1">
        <f t="array" ref="H450">Common_InputFunctions.Utility_DisplayArrayInTable(Scope3_SourceData.Scope3_Livestock_Data(), Table_SourceData_Scope3_Animals192[[#Headers],[Category]], 0, 2)</f>
        <v>13.1</v>
      </c>
      <c r="I450" s="10" t="str" cm="1">
        <f t="array" ref="I450">Common_InputFunctions.Utility_DisplayArrayInTable(Scope3_SourceData.Scope3_Livestock_Data(), Table_SourceData_Scope3_Animals192[[#Headers],[Category]], 0, 2)</f>
        <v>at market</v>
      </c>
      <c r="M450" s="8"/>
    </row>
    <row r="451" spans="4:13" x14ac:dyDescent="0.25">
      <c r="D451" s="10" t="str" cm="1">
        <f t="array" ref="D451">Common_InputFunctions.Utility_DisplayArrayInTable(Scope3_SourceData.Scope3_Livestock_Data(), Table_SourceData_Scope3_Animals192[[#Headers],[Category]], 0, 2)</f>
        <v>Beef cattle</v>
      </c>
      <c r="E451" s="10" t="str" cm="1">
        <f t="array" ref="E451">Common_InputFunctions.Utility_DisplayArrayInTable(Scope3_SourceData.Scope3_Livestock_Data(), Table_SourceData_Scope3_Animals192[[#Headers],[Category]], 0, 2)</f>
        <v>Cattle, for prime beef</v>
      </c>
      <c r="F451" s="10" t="str" cm="1">
        <f t="array" ref="F451">Common_InputFunctions.Utility_DisplayArrayInTable(Scope3_SourceData.Scope3_Livestock_Data(), Table_SourceData_Scope3_Animals192[[#Headers],[Category]], 0, 2)</f>
        <v>Australia</v>
      </c>
      <c r="G451" s="10" t="str" cm="1">
        <f t="array" ref="G451">Common_InputFunctions.Utility_DisplayArrayInTable(Scope3_SourceData.Scope3_Livestock_Data(), Table_SourceData_Scope3_Animals192[[#Headers],[Category]], 0, 2)</f>
        <v>kg liveweight</v>
      </c>
      <c r="H451" s="10" cm="1">
        <f t="array" ref="H451">Common_InputFunctions.Utility_DisplayArrayInTable(Scope3_SourceData.Scope3_Livestock_Data(), Table_SourceData_Scope3_Animals192[[#Headers],[Category]], 0, 2)</f>
        <v>14.5</v>
      </c>
      <c r="I451" s="10" t="str" cm="1">
        <f t="array" ref="I451">Common_InputFunctions.Utility_DisplayArrayInTable(Scope3_SourceData.Scope3_Livestock_Data(), Table_SourceData_Scope3_Animals192[[#Headers],[Category]], 0, 2)</f>
        <v>at market</v>
      </c>
      <c r="M451" s="8"/>
    </row>
    <row r="452" spans="4:13" x14ac:dyDescent="0.25">
      <c r="D452" s="10" t="str" cm="1">
        <f t="array" ref="D452">Common_InputFunctions.Utility_DisplayArrayInTable(Scope3_SourceData.Scope3_Livestock_Data(), Table_SourceData_Scope3_Animals192[[#Headers],[Category]], 0, 2)</f>
        <v>Beef cattle</v>
      </c>
      <c r="E452" s="10" t="str" cm="1">
        <f t="array" ref="E452">Common_InputFunctions.Utility_DisplayArrayInTable(Scope3_SourceData.Scope3_Livestock_Data(), Table_SourceData_Scope3_Animals192[[#Headers],[Category]], 0, 2)</f>
        <v>Cattle, for prime beef</v>
      </c>
      <c r="F452" s="10" t="str" cm="1">
        <f t="array" ref="F452">Common_InputFunctions.Utility_DisplayArrayInTable(Scope3_SourceData.Scope3_Livestock_Data(), Table_SourceData_Scope3_Animals192[[#Headers],[Category]], 0, 2)</f>
        <v>NSW</v>
      </c>
      <c r="G452" s="10" t="str" cm="1">
        <f t="array" ref="G452">Common_InputFunctions.Utility_DisplayArrayInTable(Scope3_SourceData.Scope3_Livestock_Data(), Table_SourceData_Scope3_Animals192[[#Headers],[Category]], 0, 2)</f>
        <v>kg liveweight</v>
      </c>
      <c r="H452" s="10" cm="1">
        <f t="array" ref="H452">Common_InputFunctions.Utility_DisplayArrayInTable(Scope3_SourceData.Scope3_Livestock_Data(), Table_SourceData_Scope3_Animals192[[#Headers],[Category]], 0, 2)</f>
        <v>11.3</v>
      </c>
      <c r="I452" s="10" t="str" cm="1">
        <f t="array" ref="I452">Common_InputFunctions.Utility_DisplayArrayInTable(Scope3_SourceData.Scope3_Livestock_Data(), Table_SourceData_Scope3_Animals192[[#Headers],[Category]], 0, 2)</f>
        <v>at market</v>
      </c>
      <c r="M452" s="8"/>
    </row>
    <row r="453" spans="4:13" x14ac:dyDescent="0.25">
      <c r="D453" s="10" t="str" cm="1">
        <f t="array" ref="D453">Common_InputFunctions.Utility_DisplayArrayInTable(Scope3_SourceData.Scope3_Livestock_Data(), Table_SourceData_Scope3_Animals192[[#Headers],[Category]], 0, 2)</f>
        <v>Beef cattle</v>
      </c>
      <c r="E453" s="10" t="str" cm="1">
        <f t="array" ref="E453">Common_InputFunctions.Utility_DisplayArrayInTable(Scope3_SourceData.Scope3_Livestock_Data(), Table_SourceData_Scope3_Animals192[[#Headers],[Category]], 0, 2)</f>
        <v>Cattle, for prime beef</v>
      </c>
      <c r="F453" s="10" t="str" cm="1">
        <f t="array" ref="F453">Common_InputFunctions.Utility_DisplayArrayInTable(Scope3_SourceData.Scope3_Livestock_Data(), Table_SourceData_Scope3_Animals192[[#Headers],[Category]], 0, 2)</f>
        <v>NT</v>
      </c>
      <c r="G453" s="10" t="str" cm="1">
        <f t="array" ref="G453">Common_InputFunctions.Utility_DisplayArrayInTable(Scope3_SourceData.Scope3_Livestock_Data(), Table_SourceData_Scope3_Animals192[[#Headers],[Category]], 0, 2)</f>
        <v>kg liveweight</v>
      </c>
      <c r="H453" s="10" cm="1">
        <f t="array" ref="H453">Common_InputFunctions.Utility_DisplayArrayInTable(Scope3_SourceData.Scope3_Livestock_Data(), Table_SourceData_Scope3_Animals192[[#Headers],[Category]], 0, 2)</f>
        <v>18.899999999999999</v>
      </c>
      <c r="I453" s="10" t="str" cm="1">
        <f t="array" ref="I453">Common_InputFunctions.Utility_DisplayArrayInTable(Scope3_SourceData.Scope3_Livestock_Data(), Table_SourceData_Scope3_Animals192[[#Headers],[Category]], 0, 2)</f>
        <v>at market</v>
      </c>
      <c r="M453" s="8"/>
    </row>
    <row r="454" spans="4:13" x14ac:dyDescent="0.25">
      <c r="D454" s="10" t="str" cm="1">
        <f t="array" ref="D454">Common_InputFunctions.Utility_DisplayArrayInTable(Scope3_SourceData.Scope3_Livestock_Data(), Table_SourceData_Scope3_Animals192[[#Headers],[Category]], 0, 2)</f>
        <v>Beef cattle</v>
      </c>
      <c r="E454" s="10" t="str" cm="1">
        <f t="array" ref="E454">Common_InputFunctions.Utility_DisplayArrayInTable(Scope3_SourceData.Scope3_Livestock_Data(), Table_SourceData_Scope3_Animals192[[#Headers],[Category]], 0, 2)</f>
        <v>Cattle, for prime beef</v>
      </c>
      <c r="F454" s="10" t="str" cm="1">
        <f t="array" ref="F454">Common_InputFunctions.Utility_DisplayArrayInTable(Scope3_SourceData.Scope3_Livestock_Data(), Table_SourceData_Scope3_Animals192[[#Headers],[Category]], 0, 2)</f>
        <v>QLD</v>
      </c>
      <c r="G454" s="10" t="str" cm="1">
        <f t="array" ref="G454">Common_InputFunctions.Utility_DisplayArrayInTable(Scope3_SourceData.Scope3_Livestock_Data(), Table_SourceData_Scope3_Animals192[[#Headers],[Category]], 0, 2)</f>
        <v>kg liveweight</v>
      </c>
      <c r="H454" s="10" cm="1">
        <f t="array" ref="H454">Common_InputFunctions.Utility_DisplayArrayInTable(Scope3_SourceData.Scope3_Livestock_Data(), Table_SourceData_Scope3_Animals192[[#Headers],[Category]], 0, 2)</f>
        <v>13.9</v>
      </c>
      <c r="I454" s="10" t="str" cm="1">
        <f t="array" ref="I454">Common_InputFunctions.Utility_DisplayArrayInTable(Scope3_SourceData.Scope3_Livestock_Data(), Table_SourceData_Scope3_Animals192[[#Headers],[Category]], 0, 2)</f>
        <v>at market</v>
      </c>
      <c r="M454" s="8"/>
    </row>
    <row r="455" spans="4:13" x14ac:dyDescent="0.25">
      <c r="D455" s="10" t="str" cm="1">
        <f t="array" ref="D455">Common_InputFunctions.Utility_DisplayArrayInTable(Scope3_SourceData.Scope3_Livestock_Data(), Table_SourceData_Scope3_Animals192[[#Headers],[Category]], 0, 2)</f>
        <v>Beef cattle</v>
      </c>
      <c r="E455" s="10" t="str" cm="1">
        <f t="array" ref="E455">Common_InputFunctions.Utility_DisplayArrayInTable(Scope3_SourceData.Scope3_Livestock_Data(), Table_SourceData_Scope3_Animals192[[#Headers],[Category]], 0, 2)</f>
        <v>Cattle, for prime beef</v>
      </c>
      <c r="F455" s="10" t="str" cm="1">
        <f t="array" ref="F455">Common_InputFunctions.Utility_DisplayArrayInTable(Scope3_SourceData.Scope3_Livestock_Data(), Table_SourceData_Scope3_Animals192[[#Headers],[Category]], 0, 2)</f>
        <v>SA</v>
      </c>
      <c r="G455" s="10" t="str" cm="1">
        <f t="array" ref="G455">Common_InputFunctions.Utility_DisplayArrayInTable(Scope3_SourceData.Scope3_Livestock_Data(), Table_SourceData_Scope3_Animals192[[#Headers],[Category]], 0, 2)</f>
        <v>kg liveweight</v>
      </c>
      <c r="H455" s="10" cm="1">
        <f t="array" ref="H455">Common_InputFunctions.Utility_DisplayArrayInTable(Scope3_SourceData.Scope3_Livestock_Data(), Table_SourceData_Scope3_Animals192[[#Headers],[Category]], 0, 2)</f>
        <v>12.3</v>
      </c>
      <c r="I455" s="10" t="str" cm="1">
        <f t="array" ref="I455">Common_InputFunctions.Utility_DisplayArrayInTable(Scope3_SourceData.Scope3_Livestock_Data(), Table_SourceData_Scope3_Animals192[[#Headers],[Category]], 0, 2)</f>
        <v>at market</v>
      </c>
    </row>
    <row r="456" spans="4:13" x14ac:dyDescent="0.25">
      <c r="D456" s="10" t="str" cm="1">
        <f t="array" ref="D456">Common_InputFunctions.Utility_DisplayArrayInTable(Scope3_SourceData.Scope3_Livestock_Data(), Table_SourceData_Scope3_Animals192[[#Headers],[Category]], 0, 2)</f>
        <v>Beef cattle</v>
      </c>
      <c r="E456" s="10" t="str" cm="1">
        <f t="array" ref="E456">Common_InputFunctions.Utility_DisplayArrayInTable(Scope3_SourceData.Scope3_Livestock_Data(), Table_SourceData_Scope3_Animals192[[#Headers],[Category]], 0, 2)</f>
        <v>Cattle, for prime beef</v>
      </c>
      <c r="F456" s="10" t="str" cm="1">
        <f t="array" ref="F456">Common_InputFunctions.Utility_DisplayArrayInTable(Scope3_SourceData.Scope3_Livestock_Data(), Table_SourceData_Scope3_Animals192[[#Headers],[Category]], 0, 2)</f>
        <v>TAS</v>
      </c>
      <c r="G456" s="10" t="str" cm="1">
        <f t="array" ref="G456">Common_InputFunctions.Utility_DisplayArrayInTable(Scope3_SourceData.Scope3_Livestock_Data(), Table_SourceData_Scope3_Animals192[[#Headers],[Category]], 0, 2)</f>
        <v>kg liveweight</v>
      </c>
      <c r="H456" s="10" cm="1">
        <f t="array" ref="H456">Common_InputFunctions.Utility_DisplayArrayInTable(Scope3_SourceData.Scope3_Livestock_Data(), Table_SourceData_Scope3_Animals192[[#Headers],[Category]], 0, 2)</f>
        <v>11.5</v>
      </c>
      <c r="I456" s="10" t="str" cm="1">
        <f t="array" ref="I456">Common_InputFunctions.Utility_DisplayArrayInTable(Scope3_SourceData.Scope3_Livestock_Data(), Table_SourceData_Scope3_Animals192[[#Headers],[Category]], 0, 2)</f>
        <v>at market</v>
      </c>
    </row>
    <row r="457" spans="4:13" x14ac:dyDescent="0.25">
      <c r="D457" s="10" t="str" cm="1">
        <f t="array" ref="D457">Common_InputFunctions.Utility_DisplayArrayInTable(Scope3_SourceData.Scope3_Livestock_Data(), Table_SourceData_Scope3_Animals192[[#Headers],[Category]], 0, 2)</f>
        <v>Beef cattle</v>
      </c>
      <c r="E457" s="10" t="str" cm="1">
        <f t="array" ref="E457">Common_InputFunctions.Utility_DisplayArrayInTable(Scope3_SourceData.Scope3_Livestock_Data(), Table_SourceData_Scope3_Animals192[[#Headers],[Category]], 0, 2)</f>
        <v>Cattle, for prime beef</v>
      </c>
      <c r="F457" s="10" t="str" cm="1">
        <f t="array" ref="F457">Common_InputFunctions.Utility_DisplayArrayInTable(Scope3_SourceData.Scope3_Livestock_Data(), Table_SourceData_Scope3_Animals192[[#Headers],[Category]], 0, 2)</f>
        <v>VIC</v>
      </c>
      <c r="G457" s="10" t="str" cm="1">
        <f t="array" ref="G457">Common_InputFunctions.Utility_DisplayArrayInTable(Scope3_SourceData.Scope3_Livestock_Data(), Table_SourceData_Scope3_Animals192[[#Headers],[Category]], 0, 2)</f>
        <v>kg liveweight</v>
      </c>
      <c r="H457" s="10" cm="1">
        <f t="array" ref="H457">Common_InputFunctions.Utility_DisplayArrayInTable(Scope3_SourceData.Scope3_Livestock_Data(), Table_SourceData_Scope3_Animals192[[#Headers],[Category]], 0, 2)</f>
        <v>11.5</v>
      </c>
      <c r="I457" s="10" t="str" cm="1">
        <f t="array" ref="I457">Common_InputFunctions.Utility_DisplayArrayInTable(Scope3_SourceData.Scope3_Livestock_Data(), Table_SourceData_Scope3_Animals192[[#Headers],[Category]], 0, 2)</f>
        <v>at market</v>
      </c>
    </row>
    <row r="458" spans="4:13" x14ac:dyDescent="0.25">
      <c r="D458" s="10" t="str" cm="1">
        <f t="array" ref="D458">Common_InputFunctions.Utility_DisplayArrayInTable(Scope3_SourceData.Scope3_Livestock_Data(), Table_SourceData_Scope3_Animals192[[#Headers],[Category]], 0, 2)</f>
        <v>Beef cattle</v>
      </c>
      <c r="E458" s="10" t="str" cm="1">
        <f t="array" ref="E458">Common_InputFunctions.Utility_DisplayArrayInTable(Scope3_SourceData.Scope3_Livestock_Data(), Table_SourceData_Scope3_Animals192[[#Headers],[Category]], 0, 2)</f>
        <v>Cattle, for prime beef</v>
      </c>
      <c r="F458" s="10" t="str" cm="1">
        <f t="array" ref="F458">Common_InputFunctions.Utility_DisplayArrayInTable(Scope3_SourceData.Scope3_Livestock_Data(), Table_SourceData_Scope3_Animals192[[#Headers],[Category]], 0, 2)</f>
        <v>WA</v>
      </c>
      <c r="G458" s="10" t="str" cm="1">
        <f t="array" ref="G458">Common_InputFunctions.Utility_DisplayArrayInTable(Scope3_SourceData.Scope3_Livestock_Data(), Table_SourceData_Scope3_Animals192[[#Headers],[Category]], 0, 2)</f>
        <v>kg liveweight</v>
      </c>
      <c r="H458" s="10" cm="1">
        <f t="array" ref="H458">Common_InputFunctions.Utility_DisplayArrayInTable(Scope3_SourceData.Scope3_Livestock_Data(), Table_SourceData_Scope3_Animals192[[#Headers],[Category]], 0, 2)</f>
        <v>20.8</v>
      </c>
      <c r="I458" s="10" t="str" cm="1">
        <f t="array" ref="I458">Common_InputFunctions.Utility_DisplayArrayInTable(Scope3_SourceData.Scope3_Livestock_Data(), Table_SourceData_Scope3_Animals192[[#Headers],[Category]], 0, 2)</f>
        <v>at market</v>
      </c>
    </row>
    <row r="459" spans="4:13" x14ac:dyDescent="0.25">
      <c r="D459" s="10" t="str" cm="1">
        <f t="array" ref="D459">Common_InputFunctions.Utility_DisplayArrayInTable(Scope3_SourceData.Scope3_Livestock_Data(), Table_SourceData_Scope3_Animals192[[#Headers],[Category]], 0, 2)</f>
        <v>Beef cattle</v>
      </c>
      <c r="E459" s="10" t="str" cm="1">
        <f t="array" ref="E459">Common_InputFunctions.Utility_DisplayArrayInTable(Scope3_SourceData.Scope3_Livestock_Data(), Table_SourceData_Scope3_Animals192[[#Headers],[Category]], 0, 2)</f>
        <v>Cattle, weaners</v>
      </c>
      <c r="F459" s="10" t="str" cm="1">
        <f t="array" ref="F459">Common_InputFunctions.Utility_DisplayArrayInTable(Scope3_SourceData.Scope3_Livestock_Data(), Table_SourceData_Scope3_Animals192[[#Headers],[Category]], 0, 2)</f>
        <v>Australia</v>
      </c>
      <c r="G459" s="10" t="str" cm="1">
        <f t="array" ref="G459">Common_InputFunctions.Utility_DisplayArrayInTable(Scope3_SourceData.Scope3_Livestock_Data(), Table_SourceData_Scope3_Animals192[[#Headers],[Category]], 0, 2)</f>
        <v>kg liveweight</v>
      </c>
      <c r="H459" s="10" cm="1">
        <f t="array" ref="H459">Common_InputFunctions.Utility_DisplayArrayInTable(Scope3_SourceData.Scope3_Livestock_Data(), Table_SourceData_Scope3_Animals192[[#Headers],[Category]], 0, 2)</f>
        <v>15.5</v>
      </c>
      <c r="I459" s="10" t="str" cm="1">
        <f t="array" ref="I459">Common_InputFunctions.Utility_DisplayArrayInTable(Scope3_SourceData.Scope3_Livestock_Data(), Table_SourceData_Scope3_Animals192[[#Headers],[Category]], 0, 2)</f>
        <v>at market</v>
      </c>
    </row>
    <row r="460" spans="4:13" x14ac:dyDescent="0.25">
      <c r="D460" s="10" t="str" cm="1">
        <f t="array" ref="D460">Common_InputFunctions.Utility_DisplayArrayInTable(Scope3_SourceData.Scope3_Livestock_Data(), Table_SourceData_Scope3_Animals192[[#Headers],[Category]], 0, 2)</f>
        <v>Beef cattle</v>
      </c>
      <c r="E460" s="10" t="str" cm="1">
        <f t="array" ref="E460">Common_InputFunctions.Utility_DisplayArrayInTable(Scope3_SourceData.Scope3_Livestock_Data(), Table_SourceData_Scope3_Animals192[[#Headers],[Category]], 0, 2)</f>
        <v>Cattle, weaners</v>
      </c>
      <c r="F460" s="10" t="str" cm="1">
        <f t="array" ref="F460">Common_InputFunctions.Utility_DisplayArrayInTable(Scope3_SourceData.Scope3_Livestock_Data(), Table_SourceData_Scope3_Animals192[[#Headers],[Category]], 0, 2)</f>
        <v>NSW</v>
      </c>
      <c r="G460" s="10" t="str" cm="1">
        <f t="array" ref="G460">Common_InputFunctions.Utility_DisplayArrayInTable(Scope3_SourceData.Scope3_Livestock_Data(), Table_SourceData_Scope3_Animals192[[#Headers],[Category]], 0, 2)</f>
        <v>kg liveweight</v>
      </c>
      <c r="H460" s="10" cm="1">
        <f t="array" ref="H460">Common_InputFunctions.Utility_DisplayArrayInTable(Scope3_SourceData.Scope3_Livestock_Data(), Table_SourceData_Scope3_Animals192[[#Headers],[Category]], 0, 2)</f>
        <v>12.7</v>
      </c>
      <c r="I460" s="10" t="str" cm="1">
        <f t="array" ref="I460">Common_InputFunctions.Utility_DisplayArrayInTable(Scope3_SourceData.Scope3_Livestock_Data(), Table_SourceData_Scope3_Animals192[[#Headers],[Category]], 0, 2)</f>
        <v>at market</v>
      </c>
    </row>
    <row r="461" spans="4:13" x14ac:dyDescent="0.25">
      <c r="D461" s="10" t="str" cm="1">
        <f t="array" ref="D461">Common_InputFunctions.Utility_DisplayArrayInTable(Scope3_SourceData.Scope3_Livestock_Data(), Table_SourceData_Scope3_Animals192[[#Headers],[Category]], 0, 2)</f>
        <v>Beef cattle</v>
      </c>
      <c r="E461" s="10" t="str" cm="1">
        <f t="array" ref="E461">Common_InputFunctions.Utility_DisplayArrayInTable(Scope3_SourceData.Scope3_Livestock_Data(), Table_SourceData_Scope3_Animals192[[#Headers],[Category]], 0, 2)</f>
        <v>Cattle, weaners</v>
      </c>
      <c r="F461" s="10" t="str" cm="1">
        <f t="array" ref="F461">Common_InputFunctions.Utility_DisplayArrayInTable(Scope3_SourceData.Scope3_Livestock_Data(), Table_SourceData_Scope3_Animals192[[#Headers],[Category]], 0, 2)</f>
        <v>NT</v>
      </c>
      <c r="G461" s="10" t="str" cm="1">
        <f t="array" ref="G461">Common_InputFunctions.Utility_DisplayArrayInTable(Scope3_SourceData.Scope3_Livestock_Data(), Table_SourceData_Scope3_Animals192[[#Headers],[Category]], 0, 2)</f>
        <v>kg liveweight</v>
      </c>
      <c r="H461" s="10" cm="1">
        <f t="array" ref="H461">Common_InputFunctions.Utility_DisplayArrayInTable(Scope3_SourceData.Scope3_Livestock_Data(), Table_SourceData_Scope3_Animals192[[#Headers],[Category]], 0, 2)</f>
        <v>19.100000000000001</v>
      </c>
      <c r="I461" s="10" t="str" cm="1">
        <f t="array" ref="I461">Common_InputFunctions.Utility_DisplayArrayInTable(Scope3_SourceData.Scope3_Livestock_Data(), Table_SourceData_Scope3_Animals192[[#Headers],[Category]], 0, 2)</f>
        <v>at market</v>
      </c>
    </row>
    <row r="462" spans="4:13" x14ac:dyDescent="0.25">
      <c r="D462" s="10" t="str" cm="1">
        <f t="array" ref="D462">Common_InputFunctions.Utility_DisplayArrayInTable(Scope3_SourceData.Scope3_Livestock_Data(), Table_SourceData_Scope3_Animals192[[#Headers],[Category]], 0, 2)</f>
        <v>Beef cattle</v>
      </c>
      <c r="E462" s="10" t="str" cm="1">
        <f t="array" ref="E462">Common_InputFunctions.Utility_DisplayArrayInTable(Scope3_SourceData.Scope3_Livestock_Data(), Table_SourceData_Scope3_Animals192[[#Headers],[Category]], 0, 2)</f>
        <v>Cattle, weaners</v>
      </c>
      <c r="F462" s="10" t="str" cm="1">
        <f t="array" ref="F462">Common_InputFunctions.Utility_DisplayArrayInTable(Scope3_SourceData.Scope3_Livestock_Data(), Table_SourceData_Scope3_Animals192[[#Headers],[Category]], 0, 2)</f>
        <v>QLD</v>
      </c>
      <c r="G462" s="10" t="str" cm="1">
        <f t="array" ref="G462">Common_InputFunctions.Utility_DisplayArrayInTable(Scope3_SourceData.Scope3_Livestock_Data(), Table_SourceData_Scope3_Animals192[[#Headers],[Category]], 0, 2)</f>
        <v>kg liveweight</v>
      </c>
      <c r="H462" s="10" cm="1">
        <f t="array" ref="H462">Common_InputFunctions.Utility_DisplayArrayInTable(Scope3_SourceData.Scope3_Livestock_Data(), Table_SourceData_Scope3_Animals192[[#Headers],[Category]], 0, 2)</f>
        <v>20.5</v>
      </c>
      <c r="I462" s="10" t="str" cm="1">
        <f t="array" ref="I462">Common_InputFunctions.Utility_DisplayArrayInTable(Scope3_SourceData.Scope3_Livestock_Data(), Table_SourceData_Scope3_Animals192[[#Headers],[Category]], 0, 2)</f>
        <v>at market</v>
      </c>
    </row>
    <row r="463" spans="4:13" x14ac:dyDescent="0.25">
      <c r="D463" s="10" t="str" cm="1">
        <f t="array" ref="D463">Common_InputFunctions.Utility_DisplayArrayInTable(Scope3_SourceData.Scope3_Livestock_Data(), Table_SourceData_Scope3_Animals192[[#Headers],[Category]], 0, 2)</f>
        <v>Beef cattle</v>
      </c>
      <c r="E463" s="10" t="str" cm="1">
        <f t="array" ref="E463">Common_InputFunctions.Utility_DisplayArrayInTable(Scope3_SourceData.Scope3_Livestock_Data(), Table_SourceData_Scope3_Animals192[[#Headers],[Category]], 0, 2)</f>
        <v>Cattle, weaners</v>
      </c>
      <c r="F463" s="10" t="str" cm="1">
        <f t="array" ref="F463">Common_InputFunctions.Utility_DisplayArrayInTable(Scope3_SourceData.Scope3_Livestock_Data(), Table_SourceData_Scope3_Animals192[[#Headers],[Category]], 0, 2)</f>
        <v>SA</v>
      </c>
      <c r="G463" s="10" t="str" cm="1">
        <f t="array" ref="G463">Common_InputFunctions.Utility_DisplayArrayInTable(Scope3_SourceData.Scope3_Livestock_Data(), Table_SourceData_Scope3_Animals192[[#Headers],[Category]], 0, 2)</f>
        <v>kg liveweight</v>
      </c>
      <c r="H463" s="10" cm="1">
        <f t="array" ref="H463">Common_InputFunctions.Utility_DisplayArrayInTable(Scope3_SourceData.Scope3_Livestock_Data(), Table_SourceData_Scope3_Animals192[[#Headers],[Category]], 0, 2)</f>
        <v>10.8</v>
      </c>
      <c r="I463" s="10" t="str" cm="1">
        <f t="array" ref="I463">Common_InputFunctions.Utility_DisplayArrayInTable(Scope3_SourceData.Scope3_Livestock_Data(), Table_SourceData_Scope3_Animals192[[#Headers],[Category]], 0, 2)</f>
        <v>at market</v>
      </c>
    </row>
    <row r="464" spans="4:13" x14ac:dyDescent="0.25">
      <c r="D464" s="10" t="str" cm="1">
        <f t="array" ref="D464">Common_InputFunctions.Utility_DisplayArrayInTable(Scope3_SourceData.Scope3_Livestock_Data(), Table_SourceData_Scope3_Animals192[[#Headers],[Category]], 0, 2)</f>
        <v>Beef cattle</v>
      </c>
      <c r="E464" s="10" t="str" cm="1">
        <f t="array" ref="E464">Common_InputFunctions.Utility_DisplayArrayInTable(Scope3_SourceData.Scope3_Livestock_Data(), Table_SourceData_Scope3_Animals192[[#Headers],[Category]], 0, 2)</f>
        <v>Cattle, weaners</v>
      </c>
      <c r="F464" s="10" t="str" cm="1">
        <f t="array" ref="F464">Common_InputFunctions.Utility_DisplayArrayInTable(Scope3_SourceData.Scope3_Livestock_Data(), Table_SourceData_Scope3_Animals192[[#Headers],[Category]], 0, 2)</f>
        <v>TAS</v>
      </c>
      <c r="G464" s="10" t="str" cm="1">
        <f t="array" ref="G464">Common_InputFunctions.Utility_DisplayArrayInTable(Scope3_SourceData.Scope3_Livestock_Data(), Table_SourceData_Scope3_Animals192[[#Headers],[Category]], 0, 2)</f>
        <v>kg liveweight</v>
      </c>
      <c r="H464" s="10" cm="1">
        <f t="array" ref="H464">Common_InputFunctions.Utility_DisplayArrayInTable(Scope3_SourceData.Scope3_Livestock_Data(), Table_SourceData_Scope3_Animals192[[#Headers],[Category]], 0, 2)</f>
        <v>13.4</v>
      </c>
      <c r="I464" s="10" t="str" cm="1">
        <f t="array" ref="I464">Common_InputFunctions.Utility_DisplayArrayInTable(Scope3_SourceData.Scope3_Livestock_Data(), Table_SourceData_Scope3_Animals192[[#Headers],[Category]], 0, 2)</f>
        <v>at market</v>
      </c>
    </row>
    <row r="465" spans="4:9" x14ac:dyDescent="0.25">
      <c r="D465" s="10" t="str" cm="1">
        <f t="array" ref="D465">Common_InputFunctions.Utility_DisplayArrayInTable(Scope3_SourceData.Scope3_Livestock_Data(), Table_SourceData_Scope3_Animals192[[#Headers],[Category]], 0, 2)</f>
        <v>Beef cattle</v>
      </c>
      <c r="E465" s="10" t="str" cm="1">
        <f t="array" ref="E465">Common_InputFunctions.Utility_DisplayArrayInTable(Scope3_SourceData.Scope3_Livestock_Data(), Table_SourceData_Scope3_Animals192[[#Headers],[Category]], 0, 2)</f>
        <v>Cattle, weaners</v>
      </c>
      <c r="F465" s="10" t="str" cm="1">
        <f t="array" ref="F465">Common_InputFunctions.Utility_DisplayArrayInTable(Scope3_SourceData.Scope3_Livestock_Data(), Table_SourceData_Scope3_Animals192[[#Headers],[Category]], 0, 2)</f>
        <v>VIC</v>
      </c>
      <c r="G465" s="10" t="str" cm="1">
        <f t="array" ref="G465">Common_InputFunctions.Utility_DisplayArrayInTable(Scope3_SourceData.Scope3_Livestock_Data(), Table_SourceData_Scope3_Animals192[[#Headers],[Category]], 0, 2)</f>
        <v>kg liveweight</v>
      </c>
      <c r="H465" s="10" cm="1">
        <f t="array" ref="H465">Common_InputFunctions.Utility_DisplayArrayInTable(Scope3_SourceData.Scope3_Livestock_Data(), Table_SourceData_Scope3_Animals192[[#Headers],[Category]], 0, 2)</f>
        <v>12</v>
      </c>
      <c r="I465" s="10" t="str" cm="1">
        <f t="array" ref="I465">Common_InputFunctions.Utility_DisplayArrayInTable(Scope3_SourceData.Scope3_Livestock_Data(), Table_SourceData_Scope3_Animals192[[#Headers],[Category]], 0, 2)</f>
        <v>at market</v>
      </c>
    </row>
    <row r="466" spans="4:9" x14ac:dyDescent="0.25">
      <c r="D466" s="10" t="str" cm="1">
        <f t="array" ref="D466">Common_InputFunctions.Utility_DisplayArrayInTable(Scope3_SourceData.Scope3_Livestock_Data(), Table_SourceData_Scope3_Animals192[[#Headers],[Category]], 0, 2)</f>
        <v>Beef cattle</v>
      </c>
      <c r="E466" s="10" t="str" cm="1">
        <f t="array" ref="E466">Common_InputFunctions.Utility_DisplayArrayInTable(Scope3_SourceData.Scope3_Livestock_Data(), Table_SourceData_Scope3_Animals192[[#Headers],[Category]], 0, 2)</f>
        <v>Cattle, weaners</v>
      </c>
      <c r="F466" s="10" t="str" cm="1">
        <f t="array" ref="F466">Common_InputFunctions.Utility_DisplayArrayInTable(Scope3_SourceData.Scope3_Livestock_Data(), Table_SourceData_Scope3_Animals192[[#Headers],[Category]], 0, 2)</f>
        <v>WA</v>
      </c>
      <c r="G466" s="10" t="str" cm="1">
        <f t="array" ref="G466">Common_InputFunctions.Utility_DisplayArrayInTable(Scope3_SourceData.Scope3_Livestock_Data(), Table_SourceData_Scope3_Animals192[[#Headers],[Category]], 0, 2)</f>
        <v>kg liveweight</v>
      </c>
      <c r="H466" s="10" cm="1">
        <f t="array" ref="H466">Common_InputFunctions.Utility_DisplayArrayInTable(Scope3_SourceData.Scope3_Livestock_Data(), Table_SourceData_Scope3_Animals192[[#Headers],[Category]], 0, 2)</f>
        <v>12.4</v>
      </c>
      <c r="I466" s="10" t="str" cm="1">
        <f t="array" ref="I466">Common_InputFunctions.Utility_DisplayArrayInTable(Scope3_SourceData.Scope3_Livestock_Data(), Table_SourceData_Scope3_Animals192[[#Headers],[Category]], 0, 2)</f>
        <v>at market</v>
      </c>
    </row>
    <row r="467" spans="4:9" x14ac:dyDescent="0.25">
      <c r="D467" s="10" t="str" cm="1">
        <f t="array" ref="D467">Common_InputFunctions.Utility_DisplayArrayInTable(Scope3_SourceData.Scope3_Livestock_Data(), Table_SourceData_Scope3_Animals192[[#Headers],[Category]], 0, 2)</f>
        <v>Chickens</v>
      </c>
      <c r="E467" s="10" t="str" cm="1">
        <f t="array" ref="E467">Common_InputFunctions.Utility_DisplayArrayInTable(Scope3_SourceData.Scope3_Livestock_Data(), Table_SourceData_Scope3_Animals192[[#Headers],[Category]], 0, 2)</f>
        <v>Chickens</v>
      </c>
      <c r="F467" s="10" t="str" cm="1">
        <f t="array" ref="F467">Common_InputFunctions.Utility_DisplayArrayInTable(Scope3_SourceData.Scope3_Livestock_Data(), Table_SourceData_Scope3_Animals192[[#Headers],[Category]], 0, 2)</f>
        <v>Australia</v>
      </c>
      <c r="G467" s="10" t="str" cm="1">
        <f t="array" ref="G467">Common_InputFunctions.Utility_DisplayArrayInTable(Scope3_SourceData.Scope3_Livestock_Data(), Table_SourceData_Scope3_Animals192[[#Headers],[Category]], 0, 2)</f>
        <v>kg liveweight</v>
      </c>
      <c r="H467" s="10" cm="1">
        <f t="array" ref="H467">Common_InputFunctions.Utility_DisplayArrayInTable(Scope3_SourceData.Scope3_Livestock_Data(), Table_SourceData_Scope3_Animals192[[#Headers],[Category]], 0, 2)</f>
        <v>1.36</v>
      </c>
      <c r="I467" s="10" t="str" cm="1">
        <f t="array" ref="I467">Common_InputFunctions.Utility_DisplayArrayInTable(Scope3_SourceData.Scope3_Livestock_Data(), Table_SourceData_Scope3_Animals192[[#Headers],[Category]], 0, 2)</f>
        <v>at market</v>
      </c>
    </row>
    <row r="468" spans="4:9" x14ac:dyDescent="0.25">
      <c r="D468" s="10" t="str" cm="1">
        <f t="array" ref="D468">Common_InputFunctions.Utility_DisplayArrayInTable(Scope3_SourceData.Scope3_Livestock_Data(), Table_SourceData_Scope3_Animals192[[#Headers],[Category]], 0, 2)</f>
        <v>Dairy cattle</v>
      </c>
      <c r="E468" s="10" t="str" cm="1">
        <f t="array" ref="E468">Common_InputFunctions.Utility_DisplayArrayInTable(Scope3_SourceData.Scope3_Livestock_Data(), Table_SourceData_Scope3_Animals192[[#Headers],[Category]], 0, 2)</f>
        <v>Dairy cows</v>
      </c>
      <c r="F468" s="10" t="str" cm="1">
        <f t="array" ref="F468">Common_InputFunctions.Utility_DisplayArrayInTable(Scope3_SourceData.Scope3_Livestock_Data(), Table_SourceData_Scope3_Animals192[[#Headers],[Category]], 0, 2)</f>
        <v>VIC</v>
      </c>
      <c r="G468" s="10" t="str" cm="1">
        <f t="array" ref="G468">Common_InputFunctions.Utility_DisplayArrayInTable(Scope3_SourceData.Scope3_Livestock_Data(), Table_SourceData_Scope3_Animals192[[#Headers],[Category]], 0, 2)</f>
        <v>kg liveweight</v>
      </c>
      <c r="H468" s="10" cm="1">
        <f t="array" ref="H468">Common_InputFunctions.Utility_DisplayArrayInTable(Scope3_SourceData.Scope3_Livestock_Data(), Table_SourceData_Scope3_Animals192[[#Headers],[Category]], 0, 2)</f>
        <v>4.41</v>
      </c>
      <c r="I468" s="10" t="str" cm="1">
        <f t="array" ref="I468">Common_InputFunctions.Utility_DisplayArrayInTable(Scope3_SourceData.Scope3_Livestock_Data(), Table_SourceData_Scope3_Animals192[[#Headers],[Category]], 0, 2)</f>
        <v>at market</v>
      </c>
    </row>
    <row r="469" spans="4:9" x14ac:dyDescent="0.25">
      <c r="D469" s="10" t="str" cm="1">
        <f t="array" ref="D469">Common_InputFunctions.Utility_DisplayArrayInTable(Scope3_SourceData.Scope3_Livestock_Data(), Table_SourceData_Scope3_Animals192[[#Headers],[Category]], 0, 2)</f>
        <v>Pigs</v>
      </c>
      <c r="E469" s="10" t="str" cm="1">
        <f t="array" ref="E469">Common_InputFunctions.Utility_DisplayArrayInTable(Scope3_SourceData.Scope3_Livestock_Data(), Table_SourceData_Scope3_Animals192[[#Headers],[Category]], 0, 2)</f>
        <v>Pigs</v>
      </c>
      <c r="F469" s="10" t="str" cm="1">
        <f t="array" ref="F469">Common_InputFunctions.Utility_DisplayArrayInTable(Scope3_SourceData.Scope3_Livestock_Data(), Table_SourceData_Scope3_Animals192[[#Headers],[Category]], 0, 2)</f>
        <v>Australia</v>
      </c>
      <c r="G469" s="10" t="str" cm="1">
        <f t="array" ref="G469">Common_InputFunctions.Utility_DisplayArrayInTable(Scope3_SourceData.Scope3_Livestock_Data(), Table_SourceData_Scope3_Animals192[[#Headers],[Category]], 0, 2)</f>
        <v>kg liveweight</v>
      </c>
      <c r="H469" s="10" cm="1">
        <f t="array" ref="H469">Common_InputFunctions.Utility_DisplayArrayInTable(Scope3_SourceData.Scope3_Livestock_Data(), Table_SourceData_Scope3_Animals192[[#Headers],[Category]], 0, 2)</f>
        <v>3.38</v>
      </c>
      <c r="I469" s="10" t="str" cm="1">
        <f t="array" ref="I469">Common_InputFunctions.Utility_DisplayArrayInTable(Scope3_SourceData.Scope3_Livestock_Data(), Table_SourceData_Scope3_Animals192[[#Headers],[Category]], 0, 2)</f>
        <v>at market</v>
      </c>
    </row>
    <row r="470" spans="4:9" x14ac:dyDescent="0.25">
      <c r="D470" s="10" t="str" cm="1">
        <f t="array" ref="D470">Common_InputFunctions.Utility_DisplayArrayInTable(Scope3_SourceData.Scope3_Livestock_Data(), Table_SourceData_Scope3_Animals192[[#Headers],[Category]], 0, 2)</f>
        <v>Sheep</v>
      </c>
      <c r="E470" s="10" t="str" cm="1">
        <f t="array" ref="E470">Common_InputFunctions.Utility_DisplayArrayInTable(Scope3_SourceData.Scope3_Livestock_Data(), Table_SourceData_Scope3_Animals192[[#Headers],[Category]], 0, 2)</f>
        <v>Sheep, for mutton</v>
      </c>
      <c r="F470" s="10" t="str" cm="1">
        <f t="array" ref="F470">Common_InputFunctions.Utility_DisplayArrayInTable(Scope3_SourceData.Scope3_Livestock_Data(), Table_SourceData_Scope3_Animals192[[#Headers],[Category]], 0, 2)</f>
        <v>Australia</v>
      </c>
      <c r="G470" s="10" t="str" cm="1">
        <f t="array" ref="G470">Common_InputFunctions.Utility_DisplayArrayInTable(Scope3_SourceData.Scope3_Livestock_Data(), Table_SourceData_Scope3_Animals192[[#Headers],[Category]], 0, 2)</f>
        <v>kg liveweight</v>
      </c>
      <c r="H470" s="10" cm="1">
        <f t="array" ref="H470">Common_InputFunctions.Utility_DisplayArrayInTable(Scope3_SourceData.Scope3_Livestock_Data(), Table_SourceData_Scope3_Animals192[[#Headers],[Category]], 0, 2)</f>
        <v>6.81</v>
      </c>
      <c r="I470" s="10" t="str" cm="1">
        <f t="array" ref="I470">Common_InputFunctions.Utility_DisplayArrayInTable(Scope3_SourceData.Scope3_Livestock_Data(), Table_SourceData_Scope3_Animals192[[#Headers],[Category]], 0, 2)</f>
        <v>at market</v>
      </c>
    </row>
    <row r="471" spans="4:9" x14ac:dyDescent="0.25">
      <c r="D471" s="10" t="str" cm="1">
        <f t="array" ref="D471">Common_InputFunctions.Utility_DisplayArrayInTable(Scope3_SourceData.Scope3_Livestock_Data(), Table_SourceData_Scope3_Animals192[[#Headers],[Category]], 0, 2)</f>
        <v>Sheep</v>
      </c>
      <c r="E471" s="10" t="str" cm="1">
        <f t="array" ref="E471">Common_InputFunctions.Utility_DisplayArrayInTable(Scope3_SourceData.Scope3_Livestock_Data(), Table_SourceData_Scope3_Animals192[[#Headers],[Category]], 0, 2)</f>
        <v>Sheep, for mutton</v>
      </c>
      <c r="F471" s="10" t="str" cm="1">
        <f t="array" ref="F471">Common_InputFunctions.Utility_DisplayArrayInTable(Scope3_SourceData.Scope3_Livestock_Data(), Table_SourceData_Scope3_Animals192[[#Headers],[Category]], 0, 2)</f>
        <v>NSW</v>
      </c>
      <c r="G471" s="10" t="str" cm="1">
        <f t="array" ref="G471">Common_InputFunctions.Utility_DisplayArrayInTable(Scope3_SourceData.Scope3_Livestock_Data(), Table_SourceData_Scope3_Animals192[[#Headers],[Category]], 0, 2)</f>
        <v>kg liveweight</v>
      </c>
      <c r="H471" s="10" cm="1">
        <f t="array" ref="H471">Common_InputFunctions.Utility_DisplayArrayInTable(Scope3_SourceData.Scope3_Livestock_Data(), Table_SourceData_Scope3_Animals192[[#Headers],[Category]], 0, 2)</f>
        <v>2.2599999999999998</v>
      </c>
      <c r="I471" s="10" t="str" cm="1">
        <f t="array" ref="I471">Common_InputFunctions.Utility_DisplayArrayInTable(Scope3_SourceData.Scope3_Livestock_Data(), Table_SourceData_Scope3_Animals192[[#Headers],[Category]], 0, 2)</f>
        <v>at market</v>
      </c>
    </row>
    <row r="472" spans="4:9" x14ac:dyDescent="0.25">
      <c r="D472" s="10" t="str" cm="1">
        <f t="array" ref="D472">Common_InputFunctions.Utility_DisplayArrayInTable(Scope3_SourceData.Scope3_Livestock_Data(), Table_SourceData_Scope3_Animals192[[#Headers],[Category]], 0, 2)</f>
        <v>Sheep</v>
      </c>
      <c r="E472" s="10" t="str" cm="1">
        <f t="array" ref="E472">Common_InputFunctions.Utility_DisplayArrayInTable(Scope3_SourceData.Scope3_Livestock_Data(), Table_SourceData_Scope3_Animals192[[#Headers],[Category]], 0, 2)</f>
        <v>Sheep, for mutton</v>
      </c>
      <c r="F472" s="10" t="str" cm="1">
        <f t="array" ref="F472">Common_InputFunctions.Utility_DisplayArrayInTable(Scope3_SourceData.Scope3_Livestock_Data(), Table_SourceData_Scope3_Animals192[[#Headers],[Category]], 0, 2)</f>
        <v>QLD</v>
      </c>
      <c r="G472" s="10" t="str" cm="1">
        <f t="array" ref="G472">Common_InputFunctions.Utility_DisplayArrayInTable(Scope3_SourceData.Scope3_Livestock_Data(), Table_SourceData_Scope3_Animals192[[#Headers],[Category]], 0, 2)</f>
        <v>kg liveweight</v>
      </c>
      <c r="H472" s="10" cm="1">
        <f t="array" ref="H472">Common_InputFunctions.Utility_DisplayArrayInTable(Scope3_SourceData.Scope3_Livestock_Data(), Table_SourceData_Scope3_Animals192[[#Headers],[Category]], 0, 2)</f>
        <v>6.33</v>
      </c>
      <c r="I472" s="10" t="str" cm="1">
        <f t="array" ref="I472">Common_InputFunctions.Utility_DisplayArrayInTable(Scope3_SourceData.Scope3_Livestock_Data(), Table_SourceData_Scope3_Animals192[[#Headers],[Category]], 0, 2)</f>
        <v>at market</v>
      </c>
    </row>
    <row r="473" spans="4:9" x14ac:dyDescent="0.25">
      <c r="D473" s="10" t="str" cm="1">
        <f t="array" ref="D473">Common_InputFunctions.Utility_DisplayArrayInTable(Scope3_SourceData.Scope3_Livestock_Data(), Table_SourceData_Scope3_Animals192[[#Headers],[Category]], 0, 2)</f>
        <v>Sheep</v>
      </c>
      <c r="E473" s="10" t="str" cm="1">
        <f t="array" ref="E473">Common_InputFunctions.Utility_DisplayArrayInTable(Scope3_SourceData.Scope3_Livestock_Data(), Table_SourceData_Scope3_Animals192[[#Headers],[Category]], 0, 2)</f>
        <v>Sheep, for mutton</v>
      </c>
      <c r="F473" s="10" t="str" cm="1">
        <f t="array" ref="F473">Common_InputFunctions.Utility_DisplayArrayInTable(Scope3_SourceData.Scope3_Livestock_Data(), Table_SourceData_Scope3_Animals192[[#Headers],[Category]], 0, 2)</f>
        <v>SA</v>
      </c>
      <c r="G473" s="10" t="str" cm="1">
        <f t="array" ref="G473">Common_InputFunctions.Utility_DisplayArrayInTable(Scope3_SourceData.Scope3_Livestock_Data(), Table_SourceData_Scope3_Animals192[[#Headers],[Category]], 0, 2)</f>
        <v>kg liveweight</v>
      </c>
      <c r="H473" s="10" cm="1">
        <f t="array" ref="H473">Common_InputFunctions.Utility_DisplayArrayInTable(Scope3_SourceData.Scope3_Livestock_Data(), Table_SourceData_Scope3_Animals192[[#Headers],[Category]], 0, 2)</f>
        <v>6.18</v>
      </c>
      <c r="I473" s="10" t="str" cm="1">
        <f t="array" ref="I473">Common_InputFunctions.Utility_DisplayArrayInTable(Scope3_SourceData.Scope3_Livestock_Data(), Table_SourceData_Scope3_Animals192[[#Headers],[Category]], 0, 2)</f>
        <v>at market</v>
      </c>
    </row>
    <row r="474" spans="4:9" x14ac:dyDescent="0.25">
      <c r="D474" s="10" t="str" cm="1">
        <f t="array" ref="D474">Common_InputFunctions.Utility_DisplayArrayInTable(Scope3_SourceData.Scope3_Livestock_Data(), Table_SourceData_Scope3_Animals192[[#Headers],[Category]], 0, 2)</f>
        <v>Sheep</v>
      </c>
      <c r="E474" s="10" t="str" cm="1">
        <f t="array" ref="E474">Common_InputFunctions.Utility_DisplayArrayInTable(Scope3_SourceData.Scope3_Livestock_Data(), Table_SourceData_Scope3_Animals192[[#Headers],[Category]], 0, 2)</f>
        <v>Sheep, for mutton</v>
      </c>
      <c r="F474" s="10" t="str" cm="1">
        <f t="array" ref="F474">Common_InputFunctions.Utility_DisplayArrayInTable(Scope3_SourceData.Scope3_Livestock_Data(), Table_SourceData_Scope3_Animals192[[#Headers],[Category]], 0, 2)</f>
        <v>TAS</v>
      </c>
      <c r="G474" s="10" t="str" cm="1">
        <f t="array" ref="G474">Common_InputFunctions.Utility_DisplayArrayInTable(Scope3_SourceData.Scope3_Livestock_Data(), Table_SourceData_Scope3_Animals192[[#Headers],[Category]], 0, 2)</f>
        <v>kg liveweight</v>
      </c>
      <c r="H474" s="10" cm="1">
        <f t="array" ref="H474">Common_InputFunctions.Utility_DisplayArrayInTable(Scope3_SourceData.Scope3_Livestock_Data(), Table_SourceData_Scope3_Animals192[[#Headers],[Category]], 0, 2)</f>
        <v>7.5</v>
      </c>
      <c r="I474" s="10" t="str" cm="1">
        <f t="array" ref="I474">Common_InputFunctions.Utility_DisplayArrayInTable(Scope3_SourceData.Scope3_Livestock_Data(), Table_SourceData_Scope3_Animals192[[#Headers],[Category]], 0, 2)</f>
        <v>at market</v>
      </c>
    </row>
    <row r="475" spans="4:9" x14ac:dyDescent="0.25">
      <c r="D475" s="10" t="str" cm="1">
        <f t="array" ref="D475">Common_InputFunctions.Utility_DisplayArrayInTable(Scope3_SourceData.Scope3_Livestock_Data(), Table_SourceData_Scope3_Animals192[[#Headers],[Category]], 0, 2)</f>
        <v>Sheep</v>
      </c>
      <c r="E475" s="10" t="str" cm="1">
        <f t="array" ref="E475">Common_InputFunctions.Utility_DisplayArrayInTable(Scope3_SourceData.Scope3_Livestock_Data(), Table_SourceData_Scope3_Animals192[[#Headers],[Category]], 0, 2)</f>
        <v>Sheep, for mutton</v>
      </c>
      <c r="F475" s="10" t="str" cm="1">
        <f t="array" ref="F475">Common_InputFunctions.Utility_DisplayArrayInTable(Scope3_SourceData.Scope3_Livestock_Data(), Table_SourceData_Scope3_Animals192[[#Headers],[Category]], 0, 2)</f>
        <v>VIC</v>
      </c>
      <c r="G475" s="10" t="str" cm="1">
        <f t="array" ref="G475">Common_InputFunctions.Utility_DisplayArrayInTable(Scope3_SourceData.Scope3_Livestock_Data(), Table_SourceData_Scope3_Animals192[[#Headers],[Category]], 0, 2)</f>
        <v>kg liveweight</v>
      </c>
      <c r="H475" s="10" cm="1">
        <f t="array" ref="H475">Common_InputFunctions.Utility_DisplayArrayInTable(Scope3_SourceData.Scope3_Livestock_Data(), Table_SourceData_Scope3_Animals192[[#Headers],[Category]], 0, 2)</f>
        <v>8.08</v>
      </c>
      <c r="I475" s="10" t="str" cm="1">
        <f t="array" ref="I475">Common_InputFunctions.Utility_DisplayArrayInTable(Scope3_SourceData.Scope3_Livestock_Data(), Table_SourceData_Scope3_Animals192[[#Headers],[Category]], 0, 2)</f>
        <v>at market</v>
      </c>
    </row>
    <row r="476" spans="4:9" x14ac:dyDescent="0.25">
      <c r="D476" s="10" t="str" cm="1">
        <f t="array" ref="D476">Common_InputFunctions.Utility_DisplayArrayInTable(Scope3_SourceData.Scope3_Livestock_Data(), Table_SourceData_Scope3_Animals192[[#Headers],[Category]], 0, 2)</f>
        <v>Sheep</v>
      </c>
      <c r="E476" s="10" t="str" cm="1">
        <f t="array" ref="E476">Common_InputFunctions.Utility_DisplayArrayInTable(Scope3_SourceData.Scope3_Livestock_Data(), Table_SourceData_Scope3_Animals192[[#Headers],[Category]], 0, 2)</f>
        <v>Sheep, for mutton</v>
      </c>
      <c r="F476" s="10" t="str" cm="1">
        <f t="array" ref="F476">Common_InputFunctions.Utility_DisplayArrayInTable(Scope3_SourceData.Scope3_Livestock_Data(), Table_SourceData_Scope3_Animals192[[#Headers],[Category]], 0, 2)</f>
        <v>WA</v>
      </c>
      <c r="G476" s="10" t="str" cm="1">
        <f t="array" ref="G476">Common_InputFunctions.Utility_DisplayArrayInTable(Scope3_SourceData.Scope3_Livestock_Data(), Table_SourceData_Scope3_Animals192[[#Headers],[Category]], 0, 2)</f>
        <v>kg liveweight</v>
      </c>
      <c r="H476" s="10" cm="1">
        <f t="array" ref="H476">Common_InputFunctions.Utility_DisplayArrayInTable(Scope3_SourceData.Scope3_Livestock_Data(), Table_SourceData_Scope3_Animals192[[#Headers],[Category]], 0, 2)</f>
        <v>5.45</v>
      </c>
      <c r="I476" s="10" t="str" cm="1">
        <f t="array" ref="I476">Common_InputFunctions.Utility_DisplayArrayInTable(Scope3_SourceData.Scope3_Livestock_Data(), Table_SourceData_Scope3_Animals192[[#Headers],[Category]], 0, 2)</f>
        <v>at market</v>
      </c>
    </row>
    <row r="477" spans="4:9" x14ac:dyDescent="0.25">
      <c r="D477" s="10" t="str" cm="1">
        <f t="array" ref="D477">Common_InputFunctions.Utility_DisplayArrayInTable(Scope3_SourceData.Scope3_Livestock_Data(), Table_SourceData_Scope3_Animals192[[#Headers],[Category]], 0, 2)</f>
        <v>Sheep</v>
      </c>
      <c r="E477" s="10" t="str" cm="1">
        <f t="array" ref="E477">Common_InputFunctions.Utility_DisplayArrayInTable(Scope3_SourceData.Scope3_Livestock_Data(), Table_SourceData_Scope3_Animals192[[#Headers],[Category]], 0, 2)</f>
        <v>Sheep, for prime lamb</v>
      </c>
      <c r="F477" s="10" t="str" cm="1">
        <f t="array" ref="F477">Common_InputFunctions.Utility_DisplayArrayInTable(Scope3_SourceData.Scope3_Livestock_Data(), Table_SourceData_Scope3_Animals192[[#Headers],[Category]], 0, 2)</f>
        <v>Australia</v>
      </c>
      <c r="G477" s="10" t="str" cm="1">
        <f t="array" ref="G477">Common_InputFunctions.Utility_DisplayArrayInTable(Scope3_SourceData.Scope3_Livestock_Data(), Table_SourceData_Scope3_Animals192[[#Headers],[Category]], 0, 2)</f>
        <v>kg liveweight</v>
      </c>
      <c r="H477" s="10" cm="1">
        <f t="array" ref="H477">Common_InputFunctions.Utility_DisplayArrayInTable(Scope3_SourceData.Scope3_Livestock_Data(), Table_SourceData_Scope3_Animals192[[#Headers],[Category]], 0, 2)</f>
        <v>7.15</v>
      </c>
      <c r="I477" s="10" t="str" cm="1">
        <f t="array" ref="I477">Common_InputFunctions.Utility_DisplayArrayInTable(Scope3_SourceData.Scope3_Livestock_Data(), Table_SourceData_Scope3_Animals192[[#Headers],[Category]], 0, 2)</f>
        <v>at market</v>
      </c>
    </row>
    <row r="478" spans="4:9" x14ac:dyDescent="0.25">
      <c r="D478" s="10" t="str" cm="1">
        <f t="array" ref="D478">Common_InputFunctions.Utility_DisplayArrayInTable(Scope3_SourceData.Scope3_Livestock_Data(), Table_SourceData_Scope3_Animals192[[#Headers],[Category]], 0, 2)</f>
        <v>Sheep</v>
      </c>
      <c r="E478" s="10" t="str" cm="1">
        <f t="array" ref="E478">Common_InputFunctions.Utility_DisplayArrayInTable(Scope3_SourceData.Scope3_Livestock_Data(), Table_SourceData_Scope3_Animals192[[#Headers],[Category]], 0, 2)</f>
        <v>Sheep, for prime lamb</v>
      </c>
      <c r="F478" s="10" t="str" cm="1">
        <f t="array" ref="F478">Common_InputFunctions.Utility_DisplayArrayInTable(Scope3_SourceData.Scope3_Livestock_Data(), Table_SourceData_Scope3_Animals192[[#Headers],[Category]], 0, 2)</f>
        <v>NSW</v>
      </c>
      <c r="G478" s="10" t="str" cm="1">
        <f t="array" ref="G478">Common_InputFunctions.Utility_DisplayArrayInTable(Scope3_SourceData.Scope3_Livestock_Data(), Table_SourceData_Scope3_Animals192[[#Headers],[Category]], 0, 2)</f>
        <v>kg liveweight</v>
      </c>
      <c r="H478" s="10" cm="1">
        <f t="array" ref="H478">Common_InputFunctions.Utility_DisplayArrayInTable(Scope3_SourceData.Scope3_Livestock_Data(), Table_SourceData_Scope3_Animals192[[#Headers],[Category]], 0, 2)</f>
        <v>8.2899999999999991</v>
      </c>
      <c r="I478" s="10" t="str" cm="1">
        <f t="array" ref="I478">Common_InputFunctions.Utility_DisplayArrayInTable(Scope3_SourceData.Scope3_Livestock_Data(), Table_SourceData_Scope3_Animals192[[#Headers],[Category]], 0, 2)</f>
        <v>at market</v>
      </c>
    </row>
    <row r="479" spans="4:9" x14ac:dyDescent="0.25">
      <c r="D479" s="10" t="str" cm="1">
        <f t="array" ref="D479">Common_InputFunctions.Utility_DisplayArrayInTable(Scope3_SourceData.Scope3_Livestock_Data(), Table_SourceData_Scope3_Animals192[[#Headers],[Category]], 0, 2)</f>
        <v>Sheep</v>
      </c>
      <c r="E479" s="10" t="str" cm="1">
        <f t="array" ref="E479">Common_InputFunctions.Utility_DisplayArrayInTable(Scope3_SourceData.Scope3_Livestock_Data(), Table_SourceData_Scope3_Animals192[[#Headers],[Category]], 0, 2)</f>
        <v>Sheep, for prime lamb</v>
      </c>
      <c r="F479" s="10" t="str" cm="1">
        <f t="array" ref="F479">Common_InputFunctions.Utility_DisplayArrayInTable(Scope3_SourceData.Scope3_Livestock_Data(), Table_SourceData_Scope3_Animals192[[#Headers],[Category]], 0, 2)</f>
        <v>QLD</v>
      </c>
      <c r="G479" s="10" t="str" cm="1">
        <f t="array" ref="G479">Common_InputFunctions.Utility_DisplayArrayInTable(Scope3_SourceData.Scope3_Livestock_Data(), Table_SourceData_Scope3_Animals192[[#Headers],[Category]], 0, 2)</f>
        <v>kg liveweight</v>
      </c>
      <c r="H479" s="10" cm="1">
        <f t="array" ref="H479">Common_InputFunctions.Utility_DisplayArrayInTable(Scope3_SourceData.Scope3_Livestock_Data(), Table_SourceData_Scope3_Animals192[[#Headers],[Category]], 0, 2)</f>
        <v>6.39</v>
      </c>
      <c r="I479" s="10" t="str" cm="1">
        <f t="array" ref="I479">Common_InputFunctions.Utility_DisplayArrayInTable(Scope3_SourceData.Scope3_Livestock_Data(), Table_SourceData_Scope3_Animals192[[#Headers],[Category]], 0, 2)</f>
        <v>at market</v>
      </c>
    </row>
    <row r="480" spans="4:9" x14ac:dyDescent="0.25">
      <c r="D480" s="10" t="str" cm="1">
        <f t="array" ref="D480">Common_InputFunctions.Utility_DisplayArrayInTable(Scope3_SourceData.Scope3_Livestock_Data(), Table_SourceData_Scope3_Animals192[[#Headers],[Category]], 0, 2)</f>
        <v>Sheep</v>
      </c>
      <c r="E480" s="10" t="str" cm="1">
        <f t="array" ref="E480">Common_InputFunctions.Utility_DisplayArrayInTable(Scope3_SourceData.Scope3_Livestock_Data(), Table_SourceData_Scope3_Animals192[[#Headers],[Category]], 0, 2)</f>
        <v>Sheep, for prime lamb</v>
      </c>
      <c r="F480" s="10" t="str" cm="1">
        <f t="array" ref="F480">Common_InputFunctions.Utility_DisplayArrayInTable(Scope3_SourceData.Scope3_Livestock_Data(), Table_SourceData_Scope3_Animals192[[#Headers],[Category]], 0, 2)</f>
        <v>SA</v>
      </c>
      <c r="G480" s="10" t="str" cm="1">
        <f t="array" ref="G480">Common_InputFunctions.Utility_DisplayArrayInTable(Scope3_SourceData.Scope3_Livestock_Data(), Table_SourceData_Scope3_Animals192[[#Headers],[Category]], 0, 2)</f>
        <v>kg liveweight</v>
      </c>
      <c r="H480" s="10" cm="1">
        <f t="array" ref="H480">Common_InputFunctions.Utility_DisplayArrayInTable(Scope3_SourceData.Scope3_Livestock_Data(), Table_SourceData_Scope3_Animals192[[#Headers],[Category]], 0, 2)</f>
        <v>6.87</v>
      </c>
      <c r="I480" s="10" t="str" cm="1">
        <f t="array" ref="I480">Common_InputFunctions.Utility_DisplayArrayInTable(Scope3_SourceData.Scope3_Livestock_Data(), Table_SourceData_Scope3_Animals192[[#Headers],[Category]], 0, 2)</f>
        <v>at market</v>
      </c>
    </row>
    <row r="481" spans="4:9" x14ac:dyDescent="0.25">
      <c r="D481" s="10" t="str" cm="1">
        <f t="array" ref="D481">Common_InputFunctions.Utility_DisplayArrayInTable(Scope3_SourceData.Scope3_Livestock_Data(), Table_SourceData_Scope3_Animals192[[#Headers],[Category]], 0, 2)</f>
        <v>Sheep</v>
      </c>
      <c r="E481" s="10" t="str" cm="1">
        <f t="array" ref="E481">Common_InputFunctions.Utility_DisplayArrayInTable(Scope3_SourceData.Scope3_Livestock_Data(), Table_SourceData_Scope3_Animals192[[#Headers],[Category]], 0, 2)</f>
        <v>Sheep, for prime lamb</v>
      </c>
      <c r="F481" s="10" t="str" cm="1">
        <f t="array" ref="F481">Common_InputFunctions.Utility_DisplayArrayInTable(Scope3_SourceData.Scope3_Livestock_Data(), Table_SourceData_Scope3_Animals192[[#Headers],[Category]], 0, 2)</f>
        <v>TAS</v>
      </c>
      <c r="G481" s="10" t="str" cm="1">
        <f t="array" ref="G481">Common_InputFunctions.Utility_DisplayArrayInTable(Scope3_SourceData.Scope3_Livestock_Data(), Table_SourceData_Scope3_Animals192[[#Headers],[Category]], 0, 2)</f>
        <v>kg liveweight</v>
      </c>
      <c r="H481" s="10" cm="1">
        <f t="array" ref="H481">Common_InputFunctions.Utility_DisplayArrayInTable(Scope3_SourceData.Scope3_Livestock_Data(), Table_SourceData_Scope3_Animals192[[#Headers],[Category]], 0, 2)</f>
        <v>8.66</v>
      </c>
      <c r="I481" s="10" t="str" cm="1">
        <f t="array" ref="I481">Common_InputFunctions.Utility_DisplayArrayInTable(Scope3_SourceData.Scope3_Livestock_Data(), Table_SourceData_Scope3_Animals192[[#Headers],[Category]], 0, 2)</f>
        <v>at market</v>
      </c>
    </row>
    <row r="482" spans="4:9" x14ac:dyDescent="0.25">
      <c r="D482" s="10" t="str" cm="1">
        <f t="array" ref="D482">Common_InputFunctions.Utility_DisplayArrayInTable(Scope3_SourceData.Scope3_Livestock_Data(), Table_SourceData_Scope3_Animals192[[#Headers],[Category]], 0, 2)</f>
        <v>Sheep</v>
      </c>
      <c r="E482" s="10" t="str" cm="1">
        <f t="array" ref="E482">Common_InputFunctions.Utility_DisplayArrayInTable(Scope3_SourceData.Scope3_Livestock_Data(), Table_SourceData_Scope3_Animals192[[#Headers],[Category]], 0, 2)</f>
        <v>Sheep, for prime lamb</v>
      </c>
      <c r="F482" s="10" t="str" cm="1">
        <f t="array" ref="F482">Common_InputFunctions.Utility_DisplayArrayInTable(Scope3_SourceData.Scope3_Livestock_Data(), Table_SourceData_Scope3_Animals192[[#Headers],[Category]], 0, 2)</f>
        <v>VIC</v>
      </c>
      <c r="G482" s="10" t="str" cm="1">
        <f t="array" ref="G482">Common_InputFunctions.Utility_DisplayArrayInTable(Scope3_SourceData.Scope3_Livestock_Data(), Table_SourceData_Scope3_Animals192[[#Headers],[Category]], 0, 2)</f>
        <v>kg liveweight</v>
      </c>
      <c r="H482" s="10" cm="1">
        <f t="array" ref="H482">Common_InputFunctions.Utility_DisplayArrayInTable(Scope3_SourceData.Scope3_Livestock_Data(), Table_SourceData_Scope3_Animals192[[#Headers],[Category]], 0, 2)</f>
        <v>10</v>
      </c>
      <c r="I482" s="10" t="str" cm="1">
        <f t="array" ref="I482">Common_InputFunctions.Utility_DisplayArrayInTable(Scope3_SourceData.Scope3_Livestock_Data(), Table_SourceData_Scope3_Animals192[[#Headers],[Category]], 0, 2)</f>
        <v>at market</v>
      </c>
    </row>
    <row r="483" spans="4:9" x14ac:dyDescent="0.25">
      <c r="D483" s="10" t="str" cm="1">
        <f t="array" ref="D483">Common_InputFunctions.Utility_DisplayArrayInTable(Scope3_SourceData.Scope3_Livestock_Data(), Table_SourceData_Scope3_Animals192[[#Headers],[Category]], 0, 2)</f>
        <v>Sheep</v>
      </c>
      <c r="E483" s="10" t="str" cm="1">
        <f t="array" ref="E483">Common_InputFunctions.Utility_DisplayArrayInTable(Scope3_SourceData.Scope3_Livestock_Data(), Table_SourceData_Scope3_Animals192[[#Headers],[Category]], 0, 2)</f>
        <v>Sheep, for prime lamb</v>
      </c>
      <c r="F483" s="10" t="str" cm="1">
        <f t="array" ref="F483">Common_InputFunctions.Utility_DisplayArrayInTable(Scope3_SourceData.Scope3_Livestock_Data(), Table_SourceData_Scope3_Animals192[[#Headers],[Category]], 0, 2)</f>
        <v>WA</v>
      </c>
      <c r="G483" s="10" t="str" cm="1">
        <f t="array" ref="G483">Common_InputFunctions.Utility_DisplayArrayInTable(Scope3_SourceData.Scope3_Livestock_Data(), Table_SourceData_Scope3_Animals192[[#Headers],[Category]], 0, 2)</f>
        <v>kg liveweight</v>
      </c>
      <c r="H483" s="10" cm="1">
        <f t="array" ref="H483">Common_InputFunctions.Utility_DisplayArrayInTable(Scope3_SourceData.Scope3_Livestock_Data(), Table_SourceData_Scope3_Animals192[[#Headers],[Category]], 0, 2)</f>
        <v>5.67</v>
      </c>
      <c r="I483" s="10" t="str" cm="1">
        <f t="array" ref="I483">Common_InputFunctions.Utility_DisplayArrayInTable(Scope3_SourceData.Scope3_Livestock_Data(), Table_SourceData_Scope3_Animals192[[#Headers],[Category]],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A2243-52C9-4B0B-8D59-6CB40CEDEBF9}">
  <dimension ref="A1:M160"/>
  <sheetViews>
    <sheetView showGridLines="0" tabSelected="1" topLeftCell="A10" workbookViewId="0" zoomScale="100" zoomScaleNormal="100">
      <selection activeCell="A45" sqref="A45"/>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969</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316</v>
      </c>
      <c r="E9" s="10" t="s">
        <v>317</v>
      </c>
      <c r="F9" s="10" t="s">
        <v>318</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Common farm inputs'!A1", "Common farm inputs")</f>
        <v>Common 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Processing inputs'!A1", "Processing inputs")</f>
        <v>Processing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Crop pasture farm input'!A1", "Crop pasture farm input")</f>
        <v>Crop pasture farm input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Hort farm Inputs'!A1", "Hort farm Inputs")</f>
        <v>Hort farm Inputs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Livestock farm Inputs'!A1", "Livestock farm Inputs")</f>
        <v>Livestock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Aquaculture inputs'!A1", "Aquaculture inputs")</f>
        <v>Aquaculture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Beef cattle purchases'!A1", "Beef cattle purchases")</f>
        <v>Beef cattle purchases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Dairy cattle purchases'!A1", "Dairy cattle purchases")</f>
        <v>Dairy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Pig purchases'!A1", "Pig purchases")</f>
        <v>Pig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Poultry purchases'!A1", "Poultry purchases")</f>
        <v>Poultry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Freight'!A1", "Freight")</f>
        <v>Freight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Solid waste'!A1", "Solid waste")</f>
        <v>Solid waste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Manure sent off-site'!A1", "Manure sent off-site")</f>
        <v>Manure sent off-site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Electricity'!A1", "Electricity")</f>
        <v>Electricity</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1" t="s">
        <v>77</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HYPERLINK("#'15 Scope 3'!A1", "15 Scope 3")</f>
        <v>15 Scope 3</v>
      </c>
      <c r="G28" s="7"/>
      <c r="H28" s="7"/>
    </row>
    <row r="29" spans="1:8" ht="20.100000000000001" customHeight="1" x14ac:dyDescent="0.25">
      <c r="A29" s="16" t="str">
        <f>HYPERLINK("#'10.1.1-2 Solid waste treatment'!A1", "10.1.1-2 Solid waste treatment")</f>
        <v>10.1.1-2 Solid waste treatment</v>
      </c>
      <c r="D29" s="9" t="str" cm="1">
        <f t="array" ref="D29">CommonLivestock_SourceData.SourceData_Livestock_Product_BeefCattle_Title()</f>
        <v>Beef cattle products for scope 3</v>
      </c>
    </row>
    <row r="30" spans="1:8" ht="20.100000000000001" customHeight="1" x14ac:dyDescent="0.25">
      <c r="A30" s="16" t="str">
        <f>HYPERLINK("#'Calcs - Manure sent off-site'!A1", "Calcs - Manure sent off-site")</f>
        <v>Calcs - Manure sent off-site</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HYPERLINK("#'8.1.1.1-2 Transport fuel'!A1", "8.1.1.1-2 Transport fuel")</f>
        <v>8.1.1.1-2 Transport fuel</v>
      </c>
      <c r="D31" s="10" t="s">
        <v>208</v>
      </c>
      <c r="E31" s="10" t="s">
        <v>319</v>
      </c>
      <c r="F31" s="8" t="s">
        <v>320</v>
      </c>
    </row>
    <row r="32" spans="1:8" ht="20.100000000000001" customHeight="1" x14ac:dyDescent="0.25">
      <c r="A32" s="16" t="str">
        <f>HYPERLINK("#'8.2.1.1-2 Stationary fuel'!A1", "8.2.1.1-2 Stationary fuel")</f>
        <v>8.2.1.1-2 Stationary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22" t="s">
        <v>78</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Scope 3'!A1", "Constants - Scope 3")</f>
        <v>Constants - Scope 3</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Solid Waste'!A1", "Constants - Solid Waste")</f>
        <v>Constants - Solid Waste</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Fuel'!A1", "Constants - Fuel")</f>
        <v>Constants - Fuel</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Poultry'!A1", "Constants - Poultry")</f>
        <v>Constants - Poultry</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Swine'!A1", "Constants - Swine")</f>
        <v>Constants - Swine</v>
      </c>
    </row>
    <row r="41" spans="1:6" ht="20.100000000000001" customHeight="1" x14ac:dyDescent="0.25">
      <c r="A41" s="16" t="str">
        <f>HYPERLINK("#'Constants - Dairy'!A1", "Constants - Dairy")</f>
        <v>Constants - Dairy</v>
      </c>
      <c r="D41" s="9" t="str" cm="1">
        <f t="array" ref="D41">CommonLivestock_SourceData.SourceData_Livestock_Product_Sheep_Title()</f>
        <v>Sheep products for scope 3</v>
      </c>
    </row>
    <row r="42" spans="1:6" ht="20.100000000000001" customHeight="1" x14ac:dyDescent="0.25">
      <c r="A42" s="16" t="str">
        <f>HYPERLINK("#'Constants - Pasture Beef'!A1", "Constants - Pasture Beef")</f>
        <v>Constants - Pasture Beef</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23" t="str">
        <f>HYPERLINK("#'Constants - Common Livestock'!A1", "Constants - Common Livestock")</f>
        <v>Constants - Common Livestock</v>
      </c>
      <c r="D43" s="10" t="s">
        <v>208</v>
      </c>
      <c r="E43" s="10" t="s">
        <v>319</v>
      </c>
      <c r="F43" s="8" t="s">
        <v>321</v>
      </c>
    </row>
    <row r="44" spans="1:6" ht="20.100000000000001" customHeight="1" x14ac:dyDescent="0.25">
      <c r="A44" s="16" t="str">
        <f>HYPERLINK("#'Constants - Fertiliser'!A1", "Constants - Fertiliser")</f>
        <v>Constants - Fertiliser</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Electricity'!A1", "Constants - Electricity")</f>
        <v>Constants - Electricity</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Common'!A1", "Constants - Common")</f>
        <v>Constants - Common</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208</v>
      </c>
      <c r="E54" s="10" t="s">
        <v>319</v>
      </c>
      <c r="F54" s="8" t="s">
        <v>327</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208</v>
      </c>
      <c r="E59" s="10" t="s">
        <v>319</v>
      </c>
      <c r="F59" s="8" t="s">
        <v>328</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208</v>
      </c>
      <c r="E64" s="10" t="s">
        <v>319</v>
      </c>
      <c r="F64" s="8" t="s">
        <v>329</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148E-FE0A-4EDC-9A7E-07EB8A3DDCFA}">
  <dimension ref="A1:AM223"/>
  <sheetViews>
    <sheetView showGridLines="0" topLeftCell="A126"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Fertiliser'!A1", "Fertiliser")</f>
        <v>Fertiliser</v>
      </c>
      <c r="D10" s="12" t="str">
        <v>Added extra 'Scope 3 definition' column to allow mapping with scope 3 data</v>
      </c>
    </row>
    <row r="11" spans="1:36" ht="20.100000000000001" customHeight="1" x14ac:dyDescent="0.25">
      <c r="A11" s="16" t="str">
        <f>HYPERLINK("#'Input - Common farm inputs'!A1", "Common farm inputs")</f>
        <v>Common farm inputs</v>
      </c>
      <c r="D11" s="12" t="str">
        <v>Added 'Source' column</v>
      </c>
    </row>
    <row r="12" spans="1:36" ht="20.100000000000001" customHeight="1" x14ac:dyDescent="0.25">
      <c r="A12" s="16" t="str">
        <f>HYPERLINK("#'Input - Processing inputs'!A1", "Processing inputs")</f>
        <v>Processing inputs</v>
      </c>
      <c r="D12" s="12" t="str">
        <v>Combined data from Table A.2.2.3 and Table A.2.2.4 into one table to aid lookup.</v>
      </c>
    </row>
    <row r="13" spans="1:36" ht="20.100000000000001" customHeight="1" x14ac:dyDescent="0.25">
      <c r="A13" s="16" t="str">
        <f>HYPERLINK("#'Input - Crop pasture farm input'!A1", "Crop pasture farm input")</f>
        <v>Crop pasture farm input</v>
      </c>
      <c r="D13" s="12" t="str">
        <v>Excluded 'References' column</v>
      </c>
    </row>
    <row r="14" spans="1:36" ht="20.100000000000001" customHeight="1" x14ac:dyDescent="0.25">
      <c r="A14" s="16" t="str">
        <f>HYPERLINK("#'Input - Hort farm Inputs'!A1", "Hort farm Inputs")</f>
        <v>Hort farm Inputs</v>
      </c>
      <c r="D14" s="12" t="str">
        <v>Excluded 'Ammonium sulfate' as it is a duplicate of 'Sulphate of ammonia (SOA)'</v>
      </c>
    </row>
    <row r="15" spans="1:36" ht="20.100000000000001" customHeight="1" x14ac:dyDescent="0.25">
      <c r="A15" s="16" t="str">
        <f>HYPERLINK("#'Input - Livestock farm Inputs'!A1", "Livestock farm Inputs")</f>
        <v>Livestock farm Inputs</v>
      </c>
      <c r="D15" s="12" t="str">
        <v>Excluded 'Calcium nitrate' as no scope 3 value available.</v>
      </c>
    </row>
    <row r="16" spans="1:36" ht="20.100000000000001" customHeight="1" x14ac:dyDescent="0.25">
      <c r="A16" s="16" t="str">
        <f>HYPERLINK("#'Input - Aquaculture inputs'!A1", "Aquaculture inputs")</f>
        <v>Aquaculture inputs</v>
      </c>
      <c r="D16" s="12" t="str">
        <v>Set 'Nitrogen - Generic' basis as 'Urea-based fertilisers, as urea is the most commonly used form of nitrogen in Australian fertilisers</v>
      </c>
    </row>
    <row r="17" spans="1:22" ht="20.100000000000001" customHeight="1" x14ac:dyDescent="0.25">
      <c r="A17" s="16" t="str">
        <f>HYPERLINK("#'Input - Beef cattle purchases'!A1", "Beef cattle purchases")</f>
        <v>Beef cattle purchases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Dairy cattle purchases'!A1", "Dairy cattle purchases")</f>
        <v>Dairy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Pig purchases'!A1", "Pig purchases")</f>
        <v>Pig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Poultry purchases'!A1", "Poultry purchases")</f>
        <v>Poultry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Freight'!A1", "Freight")</f>
        <v>Freight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Solid waste'!A1", "Solid waste")</f>
        <v>Solid waste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Manure sent off-site'!A1", "Manure sent off-site")</f>
        <v>Manure sent off-site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Electricity'!A1", "Electricity")</f>
        <v>Electricity</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 t="s">
        <v>77</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HYPERLINK("#'15 Scope 3'!A1", "15 Scope 3")</f>
        <v>15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HYPERLINK("#'10.1.1-2 Solid waste treatment'!A1", "10.1.1-2 Solid waste treatment")</f>
        <v>10.1.1-2 Solid waste treatment</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HYPERLINK("#'Calcs - Manure sent off-site'!A1", "Calcs - Manure sent off-site")</f>
        <v>Calcs - Manure sent off-site</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HYPERLINK("#'8.1.1.1-2 Transport fuel'!A1", "8.1.1.1-2 Transport fuel")</f>
        <v>8.1.1.1-2 Transport fuel</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HYPERLINK("#'8.2.1.1-2 Stationary fuel'!A1", "8.2.1.1-2 Stationary fuel")</f>
        <v>8.2.1.1-2 Stationary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222" t="s">
        <v>78</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Scope 3'!A1", "Constants - Scope 3")</f>
        <v>Constants - Scope 3</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Solid Waste'!A1", "Constants - Solid Waste")</f>
        <v>Constants - Solid Waste</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Fuel'!A1", "Constants - Fuel")</f>
        <v>Constants - Fuel</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Poultry'!A1", "Constants - Poultry")</f>
        <v>Constants - Poultry</v>
      </c>
    </row>
    <row r="40" spans="1:10" ht="20.100000000000001" customHeight="1" x14ac:dyDescent="0.25">
      <c r="A40" s="16" t="str">
        <f>HYPERLINK("#'Constants - Swine'!A1", "Constants - Swine")</f>
        <v>Constants - Swine</v>
      </c>
      <c r="D40" s="9" t="s">
        <v>140</v>
      </c>
      <c r="F40" s="9" t="s">
        <v>141</v>
      </c>
      <c r="H40" s="9" t="s">
        <v>142</v>
      </c>
      <c r="J40" s="9" t="s">
        <v>143</v>
      </c>
    </row>
    <row r="41" spans="1:10" ht="20.100000000000001" customHeight="1" x14ac:dyDescent="0.25">
      <c r="A41" s="16" t="str">
        <f>HYPERLINK("#'Constants - Dairy'!A1", "Constants - Dairy")</f>
        <v>Constants - Dairy</v>
      </c>
      <c r="D41" s="10" t="s">
        <v>144</v>
      </c>
      <c r="F41" s="10" t="s">
        <v>144</v>
      </c>
      <c r="H41" s="10" t="s">
        <v>43</v>
      </c>
      <c r="J41" s="10" t="s">
        <v>145</v>
      </c>
    </row>
    <row r="42" spans="1:10" ht="20.100000000000001" customHeight="1" x14ac:dyDescent="0.25">
      <c r="A42" s="16" t="str">
        <f>HYPERLINK("#'Constants - Pasture Beef'!A1", "Constants - Pasture Beef")</f>
        <v>Constants - Pasture Beef</v>
      </c>
      <c r="D42" s="10" t="s">
        <v>146</v>
      </c>
      <c r="F42" s="10" t="s">
        <v>146</v>
      </c>
      <c r="H42" s="10" t="s">
        <v>147</v>
      </c>
      <c r="J42" s="10" t="s">
        <v>148</v>
      </c>
    </row>
    <row r="43" spans="1:10" ht="20.100000000000001" customHeight="1" x14ac:dyDescent="0.25">
      <c r="A43" s="16" t="str">
        <f>HYPERLINK("#'Constants - Common Livestock'!A1", "Constants - Common Livestock")</f>
        <v>Constants - Common Livestock</v>
      </c>
      <c r="D43" s="8" t="s">
        <v>149</v>
      </c>
      <c r="F43" s="8" t="s">
        <v>150</v>
      </c>
      <c r="H43" s="10" t="s">
        <v>151</v>
      </c>
      <c r="J43" s="8" t="s">
        <v>152</v>
      </c>
    </row>
    <row r="44" spans="1:10" ht="20.100000000000001" customHeight="1" x14ac:dyDescent="0.25">
      <c r="A44" s="23" t="str">
        <f>HYPERLINK("#'Constants - Fertiliser'!A1", "Constants - Fertiliser")</f>
        <v>Constants - Fertiliser</v>
      </c>
      <c r="F44" s="8" t="s">
        <v>153</v>
      </c>
      <c r="H44" s="8" t="s">
        <v>154</v>
      </c>
      <c r="J44" s="8" t="s">
        <v>155</v>
      </c>
    </row>
    <row r="45" spans="1:10" ht="20.100000000000001" customHeight="1" x14ac:dyDescent="0.25">
      <c r="A45" s="16" t="str">
        <f>HYPERLINK("#'Constants - Electricity'!A1", "Constants - Electricity")</f>
        <v>Constants - Electricity</v>
      </c>
      <c r="F45" s="8" t="s">
        <v>156</v>
      </c>
      <c r="H45" s="8" t="s">
        <v>157</v>
      </c>
      <c r="J45" s="8" t="s">
        <v>158</v>
      </c>
    </row>
    <row r="46" spans="1:10" ht="20.100000000000001" customHeight="1" x14ac:dyDescent="0.25">
      <c r="A46" s="16" t="str">
        <f>HYPERLINK("#'Constants - Common'!A1", "Constants - Common")</f>
        <v>Constants - Common</v>
      </c>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8" t="s">
        <v>957</v>
      </c>
    </row>
    <row r="87" spans="1:39" ht="20.100000000000001" customHeight="1" x14ac:dyDescent="0.25">
      <c r="A87"/>
      <c r="D87" s="9" t="s">
        <v>165</v>
      </c>
      <c r="E87" s="17"/>
      <c r="F87" s="17"/>
      <c r="G87" s="17"/>
      <c r="H87" s="17"/>
      <c r="I87" s="17"/>
      <c r="J87" s="17"/>
      <c r="K87" s="17"/>
      <c r="L87" s="17"/>
      <c r="N87" s="17" t="s">
        <v>957</v>
      </c>
      <c r="O87" s="17"/>
      <c r="P87" s="17"/>
      <c r="Q87" s="17"/>
      <c r="R87" s="17"/>
      <c r="S87" s="17"/>
      <c r="T87" s="17"/>
      <c r="U87" s="17"/>
    </row>
    <row r="88" spans="1:39" ht="20.100000000000001" customHeight="1" x14ac:dyDescent="0.25">
      <c r="A88"/>
      <c r="D88" s="17"/>
    </row>
    <row r="89" spans="1:39" ht="20.100000000000001" customHeight="1" x14ac:dyDescent="0.25">
      <c r="A89"/>
      <c r="D89" s="63" t="s">
        <v>166</v>
      </c>
      <c r="E89" s="10" t="s">
        <v>208</v>
      </c>
      <c r="F89" s="10" t="s">
        <v>96</v>
      </c>
      <c r="G89" s="64" t="s">
        <v>306</v>
      </c>
      <c r="H89" s="64" t="s">
        <v>958</v>
      </c>
      <c r="I89" s="64" t="s">
        <v>168</v>
      </c>
      <c r="J89" s="64" t="s">
        <v>169</v>
      </c>
      <c r="K89" s="64" t="s">
        <v>959</v>
      </c>
      <c r="L89" s="64" t="s">
        <v>960</v>
      </c>
      <c r="M89" s="64" t="s">
        <v>961</v>
      </c>
      <c r="N89" s="64" t="s">
        <v>962</v>
      </c>
      <c r="O89" s="64" t="s">
        <v>170</v>
      </c>
      <c r="P89" s="64" t="s">
        <v>171</v>
      </c>
      <c r="Q89" s="10" t="s">
        <v>172</v>
      </c>
      <c r="R89" s="10" t="s">
        <v>173</v>
      </c>
      <c r="S89" s="10" t="s">
        <v>174</v>
      </c>
      <c r="T89" s="10" t="s">
        <v>175</v>
      </c>
      <c r="U89" s="64" t="s">
        <v>176</v>
      </c>
      <c r="V89" s="64" t="s">
        <v>177</v>
      </c>
      <c r="W89" s="10" t="s">
        <v>178</v>
      </c>
      <c r="X89" s="64" t="s">
        <v>179</v>
      </c>
      <c r="Y89" s="64" t="s">
        <v>180</v>
      </c>
      <c r="Z89" s="64" t="s">
        <v>181</v>
      </c>
      <c r="AA89" s="64" t="s">
        <v>182</v>
      </c>
      <c r="AB89" s="64" t="s">
        <v>183</v>
      </c>
      <c r="AC89" s="10" t="s">
        <v>184</v>
      </c>
      <c r="AD89" s="10" t="s">
        <v>185</v>
      </c>
      <c r="AE89" s="10" t="s">
        <v>186</v>
      </c>
      <c r="AF89" s="10" t="s">
        <v>187</v>
      </c>
      <c r="AG89" s="10" t="s">
        <v>963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Include or exclude</v>
      </c>
      <c r="E90" s="62" t="str" cm="1">
        <f t="array" ref="E90">Common_InputFunctions.Utility_DisplayArrayInTable(Fertiliser_SourceData.Fertiliser_Products_Data1(), FertiliserProducts[[#Headers],[Company]],1)</f>
        <v>Notes</v>
      </c>
      <c r="F90" s="62" t="str" cm="1">
        <f t="array" ref="F90">Common_InputFunctions.Utility_DisplayArrayInTable(Fertiliser_SourceData.Fertiliser_Products_Data1(), FertiliserProducts[[#Headers],[Company]],1)</f>
        <v>Company</v>
      </c>
      <c r="G90" s="62" t="str" cm="1">
        <f t="array" ref="G90">Common_InputFunctions.Utility_DisplayArrayInTable(Fertiliser_SourceData.Fertiliser_Products_Data1(), FertiliserProducts[[#Headers],[Company]],1)</f>
        <v>Product Name</v>
      </c>
      <c r="H90" s="62" t="str" cm="1">
        <f t="array" ref="H90">Common_InputFunctions.Utility_DisplayArrayInTable(Fertiliser_SourceData.Fertiliser_Products_Data1(), FertiliserProducts[[#Headers],[Company]],1)</f>
        <v>Link</v>
      </c>
      <c r="I90" s="62" t="str" cm="1">
        <f t="array" ref="I90">Common_InputFunctions.Utility_DisplayArrayInTable(Fertiliser_SourceData.Fertiliser_Products_Data1(), FertiliserProducts[[#Headers],[Company]],1)</f>
        <v>Data source</v>
      </c>
      <c r="J90" s="62" t="str" cm="1">
        <f t="array" ref="J90">Common_InputFunctions.Utility_DisplayArrayInTable(Fertiliser_SourceData.Fertiliser_Products_Data1(), FertiliserProducts[[#Headers],[Company]],1)</f>
        <v>Source images</v>
      </c>
      <c r="K90" s="62" t="str" cm="1">
        <f t="array" ref="K90">Common_InputFunctions.Utility_DisplayArrayInTable(Fertiliser_SourceData.Fertiliser_Products_Data1(), FertiliserProducts[[#Headers],[Company]],1)</f>
        <v>Unit</v>
      </c>
      <c r="L90" s="62" t="str" cm="1">
        <f t="array" ref="L90">Common_InputFunctions.Utility_DisplayArrayInTable(Fertiliser_SourceData.Fertiliser_Products_Data1(), FertiliserProducts[[#Headers],[Company]],1)</f>
        <v>Density (l to kg)</v>
      </c>
      <c r="M90" s="62" t="str" cm="1">
        <f t="array" ref="M90">Common_InputFunctions.Utility_DisplayArrayInTable(Fertiliser_SourceData.Fertiliser_Products_Data1(), FertiliserProducts[[#Headers],[Company]],1)</f>
        <v>Urea source</v>
      </c>
      <c r="N90" s="62" t="str" cm="1">
        <f t="array" ref="N90">Common_InputFunctions.Utility_DisplayArrayInTable(Fertiliser_SourceData.Fertiliser_Products_Data1(), FertiliserProducts[[#Headers],[Company]],1)</f>
        <v>Ammonia source</v>
      </c>
      <c r="O90" s="62" t="str" cm="1">
        <f t="array" ref="O90">Common_InputFunctions.Utility_DisplayArrayInTable(Fertiliser_SourceData.Fertiliser_Products_Data1(), FertiliserProducts[[#Headers],[Company]],1)</f>
        <v>Ingredient 1</v>
      </c>
      <c r="P90" s="62" t="str" cm="1">
        <f t="array" ref="P90">Common_InputFunctions.Utility_DisplayArrayInTable(Fertiliser_SourceData.Fertiliser_Products_Data1(), FertiliserProducts[[#Headers],[Company]],1)</f>
        <v>Ingredient 1 percent</v>
      </c>
      <c r="Q90" s="62" t="str" cm="1">
        <f t="array" ref="Q90">Common_InputFunctions.Utility_DisplayArrayInTable(Fertiliser_SourceData.Fertiliser_Products_Data1(), FertiliserProducts[[#Headers],[Company]],1)</f>
        <v>Ingredient 2</v>
      </c>
      <c r="R90" s="62" t="str" cm="1">
        <f t="array" ref="R90">Common_InputFunctions.Utility_DisplayArrayInTable(Fertiliser_SourceData.Fertiliser_Products_Data1(), FertiliserProducts[[#Headers],[Company]],1)</f>
        <v>Ingredient 2 percent</v>
      </c>
      <c r="S90" s="62" t="str" cm="1">
        <f t="array" ref="S90">Common_InputFunctions.Utility_DisplayArrayInTable(Fertiliser_SourceData.Fertiliser_Products_Data1(), FertiliserProducts[[#Headers],[Company]],1)</f>
        <v>Ingredient 3</v>
      </c>
      <c r="T90" s="62" t="str" cm="1">
        <f t="array" ref="T90">Common_InputFunctions.Utility_DisplayArrayInTable(Fertiliser_SourceData.Fertiliser_Products_Data1(), FertiliserProducts[[#Headers],[Company]],1)</f>
        <v>Ingredient 3 percent</v>
      </c>
      <c r="U90" s="62" t="str" cm="1">
        <f t="array" ref="U90">Common_InputFunctions.Utility_DisplayArrayInTable(Fertiliser_SourceData.Fertiliser_Products_Data1(), FertiliserProducts[[#Headers],[Company]],1)</f>
        <v>Ingredient 4</v>
      </c>
      <c r="V90" s="62" t="str" cm="1">
        <f t="array" ref="V90">Common_InputFunctions.Utility_DisplayArrayInTable(Fertiliser_SourceData.Fertiliser_Products_Data1(), FertiliserProducts[[#Headers],[Company]],1)</f>
        <v>Ingredient 4 percent</v>
      </c>
      <c r="W90" s="62" t="str" cm="1">
        <f t="array" ref="W90">Common_InputFunctions.Utility_DisplayArrayInTable(Fertiliser_SourceData.Fertiliser_Products_Data1(), FertiliserProducts[[#Headers],[Company]],1)</f>
        <v>Ingredient 5</v>
      </c>
      <c r="X90" s="62" t="str" cm="1">
        <f t="array" ref="X90">Common_InputFunctions.Utility_DisplayArrayInTable(Fertiliser_SourceData.Fertiliser_Products_Data1(), FertiliserProducts[[#Headers],[Company]],1)</f>
        <v>Ingredient 5 percent</v>
      </c>
      <c r="Y90" s="62" t="str" cm="1">
        <f t="array" ref="Y90">Common_InputFunctions.Utility_DisplayArrayInTable(Fertiliser_SourceData.Fertiliser_Products_Data1(), FertiliserProducts[[#Headers],[Company]],1)</f>
        <v>Ingredient 6</v>
      </c>
      <c r="Z90" s="62" t="str" cm="1">
        <f t="array" ref="Z90">Common_InputFunctions.Utility_DisplayArrayInTable(Fertiliser_SourceData.Fertiliser_Products_Data1(), FertiliserProducts[[#Headers],[Company]],1)</f>
        <v>Ingredient 6 percent</v>
      </c>
      <c r="AA90" s="62" t="str" cm="1">
        <f t="array" ref="AA90">Common_InputFunctions.Utility_DisplayArrayInTable(Fertiliser_SourceData.Fertiliser_Products_Data1(), FertiliserProducts[[#Headers],[Company]],1)</f>
        <v>Ingredient 7</v>
      </c>
      <c r="AB90" s="62" t="str" cm="1">
        <f t="array" ref="AB90">Common_InputFunctions.Utility_DisplayArrayInTable(Fertiliser_SourceData.Fertiliser_Products_Data1(), FertiliserProducts[[#Headers],[Company]],1)</f>
        <v>Ingredient 7 percent</v>
      </c>
      <c r="AC90" s="62" t="str" cm="1">
        <f t="array" ref="AC90">Common_InputFunctions.Utility_DisplayArrayInTable(Fertiliser_SourceData.Fertiliser_Products_Data1(), FertiliserProducts[[#Headers],[Company]],1)</f>
        <v>Ingredient 8</v>
      </c>
      <c r="AD90" s="62" t="str" cm="1">
        <f t="array" ref="AD90">Common_InputFunctions.Utility_DisplayArrayInTable(Fertiliser_SourceData.Fertiliser_Products_Data1(), FertiliserProducts[[#Headers],[Company]],1)</f>
        <v>Ingredient 8 percent</v>
      </c>
      <c r="AE90" s="62" t="str" cm="1">
        <f t="array" ref="AE90">Common_InputFunctions.Utility_DisplayArrayInTable(Fertiliser_SourceData.Fertiliser_Products_Data1(), FertiliserProducts[[#Headers],[Company]],1)</f>
        <v>Ingredient 9</v>
      </c>
      <c r="AF90" s="62" t="str" cm="1">
        <f t="array" ref="AF90">Common_InputFunctions.Utility_DisplayArrayInTable(Fertiliser_SourceData.Fertiliser_Products_Data1(), FertiliserProducts[[#Headers],[Company]],1)</f>
        <v>Ingredient 9 percent</v>
      </c>
      <c r="AG90" s="62" t="str" cm="1">
        <f t="array" ref="AG90">Common_InputFunctions.Utility_DisplayArrayInTable(Fertiliser_SourceData.Fertiliser_Products_Data1(), FertiliserProducts[[#Headers],[Company]],1)</f>
        <v>Ingredient 10</v>
      </c>
      <c r="AH90" s="62" t="str" cm="1">
        <f t="array" ref="AH90">Common_InputFunctions.Utility_DisplayArrayInTable(Fertiliser_SourceData.Fertiliser_Products_Data1(), FertiliserProducts[[#Headers],[Company]],1)</f>
        <v>Ingredient 10 percent</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Include</v>
      </c>
      <c r="E91" s="62" t="str" cm="1">
        <f t="array" ref="E91">Common_InputFunctions.Utility_DisplayArrayInTable(Fertiliser_SourceData.Fertiliser_Products_Data1(), FertiliserProducts[[#Headers],[Company]],1)</f>
        <v/>
      </c>
      <c r="F91" s="62" t="str" cm="1">
        <f t="array" ref="F91">Common_InputFunctions.Utility_DisplayArrayInTable(Fertiliser_SourceData.Fertiliser_Products_Data1(), FertiliserProducts[[#Headers],[Company]],1)</f>
        <v>Campbells fertilisers Australia</v>
      </c>
      <c r="G91" s="62" t="str" cm="1">
        <f t="array" ref="G91">Common_InputFunctions.Utility_DisplayArrayInTable(Fertiliser_SourceData.Fertiliser_Products_Data1(), FertiliserProducts[[#Headers],[Company]],1)</f>
        <v>Aqua Finish</v>
      </c>
      <c r="H91" s="62" t="str" cm="1">
        <f t="array" ref="H91">Common_InputFunctions.Utility_DisplayArrayInTable(Fertiliser_SourceData.Fertiliser_Products_Data1(), FertiliserProducts[[#Headers],[Company]],1)</f>
        <v>Aqua Finish - Campbells Fertilisers Australasia</v>
      </c>
      <c r="I91" s="62" t="str" cm="1">
        <f t="array" ref="I91">Common_InputFunctions.Utility_DisplayArrayInTable(Fertiliser_SourceData.Fertiliser_Products_Data1(), FertiliserProducts[[#Headers],[Company]],1)</f>
        <v>Website</v>
      </c>
      <c r="J91" s="62" t="str" cm="1">
        <f t="array" ref="J91">Common_InputFunctions.Utility_DisplayArrayInTable(Fertiliser_SourceData.Fertiliser_Products_Data1(), FertiliserProducts[[#Headers],[Company]],1)</f>
        <v/>
      </c>
      <c r="K91" s="62" t="str" cm="1">
        <f t="array" ref="K91">Common_InputFunctions.Utility_DisplayArrayInTable(Fertiliser_SourceData.Fertiliser_Products_Data1(), FertiliserProducts[[#Headers],[Company]],1)</f>
        <v>L</v>
      </c>
      <c r="L91" s="62" cm="1">
        <f t="array" ref="L91">Common_InputFunctions.Utility_DisplayArrayInTable(Fertiliser_SourceData.Fertiliser_Products_Data1(), FertiliserProducts[[#Headers],[Company]],1)</f>
        <v>1.26</v>
      </c>
      <c r="M91" s="62" t="str" cm="1">
        <f t="array" ref="M91">Common_InputFunctions.Utility_DisplayArrayInTable(Fertiliser_SourceData.Fertiliser_Products_Data1(), FertiliserProducts[[#Headers],[Company]],1)</f>
        <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0.22500000000000001</v>
      </c>
      <c r="Q91" s="62" t="str" cm="1">
        <f t="array" ref="Q91">Common_InputFunctions.Utility_DisplayArrayInTable(Fertiliser_SourceData.Fertiliser_Products_Data1(), FertiliserProducts[[#Headers],[Company]],1)</f>
        <v>Phosphorus - Generic</v>
      </c>
      <c r="R91" s="62" cm="1">
        <f t="array" ref="R91">Common_InputFunctions.Utility_DisplayArrayInTable(Fertiliser_SourceData.Fertiliser_Products_Data1(), FertiliserProducts[[#Headers],[Company]],1)</f>
        <v>0.04</v>
      </c>
      <c r="S91" s="62" t="str" cm="1">
        <f t="array" ref="S91">Common_InputFunctions.Utility_DisplayArrayInTable(Fertiliser_SourceData.Fertiliser_Products_Data1(), FertiliserProducts[[#Headers],[Company]],1)</f>
        <v>Nitrogen - Generic</v>
      </c>
      <c r="T91" s="62" cm="1">
        <f t="array" ref="T91">Common_InputFunctions.Utility_DisplayArrayInTable(Fertiliser_SourceData.Fertiliser_Products_Data1(), FertiliserProducts[[#Headers],[Company]],1)</f>
        <v>2.5999999999999999E-2</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Include</v>
      </c>
      <c r="E92" s="62" t="str" cm="1">
        <f t="array" ref="E92">Common_InputFunctions.Utility_DisplayArrayInTable(Fertiliser_SourceData.Fertiliser_Products_Data1(), FertiliserProducts[[#Headers],[Company]],1)</f>
        <v/>
      </c>
      <c r="F92" s="62" t="str" cm="1">
        <f t="array" ref="F92">Common_InputFunctions.Utility_DisplayArrayInTable(Fertiliser_SourceData.Fertiliser_Products_Data1(), FertiliserProducts[[#Headers],[Company]],1)</f>
        <v>Campbells fertilisers Australia</v>
      </c>
      <c r="G92" s="62" t="str" cm="1">
        <f t="array" ref="G92">Common_InputFunctions.Utility_DisplayArrayInTable(Fertiliser_SourceData.Fertiliser_Products_Data1(), FertiliserProducts[[#Headers],[Company]],1)</f>
        <v>Aqua Grow</v>
      </c>
      <c r="H92" s="62" t="str" cm="1">
        <f t="array" ref="H92">Common_InputFunctions.Utility_DisplayArrayInTable(Fertiliser_SourceData.Fertiliser_Products_Data1(), FertiliserProducts[[#Headers],[Company]],1)</f>
        <v>Aqua Grow - Campbells Fertilisers Australasia</v>
      </c>
      <c r="I92" s="62" t="str" cm="1">
        <f t="array" ref="I92">Common_InputFunctions.Utility_DisplayArrayInTable(Fertiliser_SourceData.Fertiliser_Products_Data1(), FertiliserProducts[[#Headers],[Company]],1)</f>
        <v>Website</v>
      </c>
      <c r="J92" s="62" t="str" cm="1">
        <f t="array" ref="J92">Common_InputFunctions.Utility_DisplayArrayInTable(Fertiliser_SourceData.Fertiliser_Products_Data1(), FertiliserProducts[[#Headers],[Company]],1)</f>
        <v/>
      </c>
      <c r="K92" s="62" t="str" cm="1">
        <f t="array" ref="K92">Common_InputFunctions.Utility_DisplayArrayInTable(Fertiliser_SourceData.Fertiliser_Products_Data1(), FertiliserProducts[[#Headers],[Company]],1)</f>
        <v>L</v>
      </c>
      <c r="L92" s="62" cm="1">
        <f t="array" ref="L92">Common_InputFunctions.Utility_DisplayArrayInTable(Fertiliser_SourceData.Fertiliser_Products_Data1(), FertiliserProducts[[#Headers],[Company]],1)</f>
        <v>1.26</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Potassium - Generic</v>
      </c>
      <c r="P92" s="62" cm="1">
        <f t="array" ref="P92">Common_InputFunctions.Utility_DisplayArrayInTable(Fertiliser_SourceData.Fertiliser_Products_Data1(), FertiliserProducts[[#Headers],[Company]],1)</f>
        <v>0.105</v>
      </c>
      <c r="Q92" s="62" t="str" cm="1">
        <f t="array" ref="Q92">Common_InputFunctions.Utility_DisplayArrayInTable(Fertiliser_SourceData.Fertiliser_Products_Data1(), FertiliserProducts[[#Headers],[Company]],1)</f>
        <v>Nitrogen - Generic</v>
      </c>
      <c r="R92" s="62" cm="1">
        <f t="array" ref="R92">Common_InputFunctions.Utility_DisplayArrayInTable(Fertiliser_SourceData.Fertiliser_Products_Data1(), FertiliserProducts[[#Headers],[Company]],1)</f>
        <v>9.6000000000000002E-2</v>
      </c>
      <c r="S92" s="62" t="str" cm="1">
        <f t="array" ref="S92">Common_InputFunctions.Utility_DisplayArrayInTable(Fertiliser_SourceData.Fertiliser_Products_Data1(), FertiliserProducts[[#Headers],[Company]],1)</f>
        <v>Phosphorus - Generic</v>
      </c>
      <c r="T92" s="62" cm="1">
        <f t="array" ref="T92">Common_InputFunctions.Utility_DisplayArrayInTable(Fertiliser_SourceData.Fertiliser_Products_Data1(), FertiliserProducts[[#Headers],[Company]],1)</f>
        <v>0.05</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Include</v>
      </c>
      <c r="E93" s="62" t="str" cm="1">
        <f t="array" ref="E93">Common_InputFunctions.Utility_DisplayArrayInTable(Fertiliser_SourceData.Fertiliser_Products_Data1(), FertiliserProducts[[#Headers],[Company]],1)</f>
        <v/>
      </c>
      <c r="F93" s="62" t="str" cm="1">
        <f t="array" ref="F93">Common_InputFunctions.Utility_DisplayArrayInTable(Fertiliser_SourceData.Fertiliser_Products_Data1(), FertiliserProducts[[#Headers],[Company]],1)</f>
        <v>Campbells fertilisers Australia</v>
      </c>
      <c r="G93" s="62" t="str" cm="1">
        <f t="array" ref="G93">Common_InputFunctions.Utility_DisplayArrayInTable(Fertiliser_SourceData.Fertiliser_Products_Data1(), FertiliserProducts[[#Headers],[Company]],1)</f>
        <v>Aqua Nitro AN</v>
      </c>
      <c r="H93" s="62" t="str" cm="1">
        <f t="array" ref="H93">Common_InputFunctions.Utility_DisplayArrayInTable(Fertiliser_SourceData.Fertiliser_Products_Data1(), FertiliserProducts[[#Headers],[Company]],1)</f>
        <v>Aqua Nitro AN - Campbells Fertilisers Australasia</v>
      </c>
      <c r="I93" s="62" t="str" cm="1">
        <f t="array" ref="I93">Common_InputFunctions.Utility_DisplayArrayInTable(Fertiliser_SourceData.Fertiliser_Products_Data1(), FertiliserProducts[[#Headers],[Company]],1)</f>
        <v>Website. Brochure</v>
      </c>
      <c r="J93" s="62" t="str" cm="1">
        <f t="array" ref="J93">Common_InputFunctions.Utility_DisplayArrayInTable(Fertiliser_SourceData.Fertiliser_Products_Data1(), FertiliserProducts[[#Headers],[Company]],1)</f>
        <v/>
      </c>
      <c r="K93" s="62" t="str" cm="1">
        <f t="array" ref="K93">Common_InputFunctions.Utility_DisplayArrayInTable(Fertiliser_SourceData.Fertiliser_Products_Data1(), FertiliserProducts[[#Headers],[Company]],1)</f>
        <v>L</v>
      </c>
      <c r="L93" s="62" cm="1">
        <f t="array" ref="L93">Common_InputFunctions.Utility_DisplayArrayInTable(Fertiliser_SourceData.Fertiliser_Products_Data1(), FertiliserProducts[[#Headers],[Company]],1)</f>
        <v>1.24</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Nitrogen - Ammoniacal</v>
      </c>
      <c r="P93" s="62" cm="1">
        <f t="array" ref="P93">Common_InputFunctions.Utility_DisplayArrayInTable(Fertiliser_SourceData.Fertiliser_Products_Data1(), FertiliserProducts[[#Headers],[Company]],1)</f>
        <v>0.223</v>
      </c>
      <c r="Q93" s="62" t="str" cm="1">
        <f t="array" ref="Q93">Common_InputFunctions.Utility_DisplayArrayInTable(Fertiliser_SourceData.Fertiliser_Products_Data1(), FertiliserProducts[[#Headers],[Company]],1)</f>
        <v/>
      </c>
      <c r="R93" s="62" t="str" cm="1">
        <f t="array" ref="R93">Common_InputFunctions.Utility_DisplayArrayInTable(Fertiliser_SourceData.Fertiliser_Products_Data1(), FertiliserProducts[[#Headers],[Company]],1)</f>
        <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Include</v>
      </c>
      <c r="E94" s="62" t="str" cm="1">
        <f t="array" ref="E94">Common_InputFunctions.Utility_DisplayArrayInTable(Fertiliser_SourceData.Fertiliser_Products_Data1(), FertiliserProducts[[#Headers],[Company]],1)</f>
        <v>Use Lime EF for calcium</v>
      </c>
      <c r="F94" s="62" t="str" cm="1">
        <f t="array" ref="F94">Common_InputFunctions.Utility_DisplayArrayInTable(Fertiliser_SourceData.Fertiliser_Products_Data1(), FertiliserProducts[[#Headers],[Company]],1)</f>
        <v>Campbells fertilisers Australia</v>
      </c>
      <c r="G94" s="62" t="str" cm="1">
        <f t="array" ref="G94">Common_InputFunctions.Utility_DisplayArrayInTable(Fertiliser_SourceData.Fertiliser_Products_Data1(), FertiliserProducts[[#Headers],[Company]],1)</f>
        <v>Aqua NitroCal</v>
      </c>
      <c r="H94" s="62" t="str" cm="1">
        <f t="array" ref="H94">Common_InputFunctions.Utility_DisplayArrayInTable(Fertiliser_SourceData.Fertiliser_Products_Data1(), FertiliserProducts[[#Headers],[Company]],1)</f>
        <v>Aqua NitroCal - Campbells Fertilisers Australasia</v>
      </c>
      <c r="I94" s="62" t="str" cm="1">
        <f t="array" ref="I94">Common_InputFunctions.Utility_DisplayArrayInTable(Fertiliser_SourceData.Fertiliser_Products_Data1(), FertiliserProducts[[#Headers],[Company]],1)</f>
        <v>Website SDS</v>
      </c>
      <c r="J94" s="62" t="str" cm="1">
        <f t="array" ref="J94">Common_InputFunctions.Utility_DisplayArrayInTable(Fertiliser_SourceData.Fertiliser_Products_Data1(), FertiliserProducts[[#Headers],[Company]],1)</f>
        <v/>
      </c>
      <c r="K94" s="62" t="str" cm="1">
        <f t="array" ref="K94">Common_InputFunctions.Utility_DisplayArrayInTable(Fertiliser_SourceData.Fertiliser_Products_Data1(), FertiliserProducts[[#Headers],[Company]],1)</f>
        <v>L</v>
      </c>
      <c r="L94" s="62" cm="1">
        <f t="array" ref="L94">Common_InputFunctions.Utility_DisplayArrayInTable(Fertiliser_SourceData.Fertiliser_Products_Data1(), FertiliserProducts[[#Headers],[Company]],1)</f>
        <v>1.5</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 - Generic</v>
      </c>
      <c r="P94" s="62" cm="1">
        <f t="array" ref="P94">Common_InputFunctions.Utility_DisplayArrayInTable(Fertiliser_SourceData.Fertiliser_Products_Data1(), FertiliserProducts[[#Headers],[Company]],1)</f>
        <v>0.16200000000000001</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Include</v>
      </c>
      <c r="E95" s="62" t="str" cm="1">
        <f t="array" ref="E95">Common_InputFunctions.Utility_DisplayArrayInTable(Fertiliser_SourceData.Fertiliser_Products_Data1(), FertiliserProducts[[#Headers],[Company]],1)</f>
        <v>Use Lime EF for calcium</v>
      </c>
      <c r="F95" s="62" t="str" cm="1">
        <f t="array" ref="F95">Common_InputFunctions.Utility_DisplayArrayInTable(Fertiliser_SourceData.Fertiliser_Products_Data1(), FertiliserProducts[[#Headers],[Company]],1)</f>
        <v>Campbells fertilisers Australia</v>
      </c>
      <c r="G95" s="62" t="str" cm="1">
        <f t="array" ref="G95">Common_InputFunctions.Utility_DisplayArrayInTable(Fertiliser_SourceData.Fertiliser_Products_Data1(), FertiliserProducts[[#Headers],[Company]],1)</f>
        <v>Aqua NitroCal (VI)</v>
      </c>
      <c r="H95" s="62" t="str" cm="1">
        <f t="array" ref="H95">Common_InputFunctions.Utility_DisplayArrayInTable(Fertiliser_SourceData.Fertiliser_Products_Data1(), FertiliserProducts[[#Headers],[Company]],1)</f>
        <v>Aqua NitroCal (VI) - Campbells Fertilisers Australasia</v>
      </c>
      <c r="I95" s="62" t="str" cm="1">
        <f t="array" ref="I95">Common_InputFunctions.Utility_DisplayArrayInTable(Fertiliser_SourceData.Fertiliser_Products_Data1(), FertiliserProducts[[#Headers],[Company]],1)</f>
        <v>Website SDS</v>
      </c>
      <c r="J95" s="62" t="str" cm="1">
        <f t="array" ref="J95">Common_InputFunctions.Utility_DisplayArrayInTable(Fertiliser_SourceData.Fertiliser_Products_Data1(), FertiliserProducts[[#Headers],[Company]],1)</f>
        <v/>
      </c>
      <c r="K95" s="62" t="str" cm="1">
        <f t="array" ref="K95">Common_InputFunctions.Utility_DisplayArrayInTable(Fertiliser_SourceData.Fertiliser_Products_Data1(), FertiliserProducts[[#Headers],[Company]],1)</f>
        <v>L</v>
      </c>
      <c r="L95" s="62" cm="1">
        <f t="array" ref="L95">Common_InputFunctions.Utility_DisplayArrayInTable(Fertiliser_SourceData.Fertiliser_Products_Data1(), FertiliserProducts[[#Headers],[Company]],1)</f>
        <v>1.5</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 - Generic</v>
      </c>
      <c r="P95" s="62" cm="1">
        <f t="array" ref="P95">Common_InputFunctions.Utility_DisplayArrayInTable(Fertiliser_SourceData.Fertiliser_Products_Data1(), FertiliserProducts[[#Headers],[Company]],1)</f>
        <v>0.187</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Include</v>
      </c>
      <c r="E96" s="62" t="str" cm="1">
        <f t="array" ref="E96">Common_InputFunctions.Utility_DisplayArrayInTable(Fertiliser_SourceData.Fertiliser_Products_Data1(), FertiliserProducts[[#Headers],[Company]],1)</f>
        <v>Use Lime EF for calcium</v>
      </c>
      <c r="F96" s="62" t="str" cm="1">
        <f t="array" ref="F96">Common_InputFunctions.Utility_DisplayArrayInTable(Fertiliser_SourceData.Fertiliser_Products_Data1(), FertiliserProducts[[#Headers],[Company]],1)</f>
        <v>Campbells fertilisers Australia</v>
      </c>
      <c r="G96" s="62" t="str" cm="1">
        <f t="array" ref="G96">Common_InputFunctions.Utility_DisplayArrayInTable(Fertiliser_SourceData.Fertiliser_Products_Data1(), FertiliserProducts[[#Headers],[Company]],1)</f>
        <v>Aqua NitroCal Ultimate</v>
      </c>
      <c r="H96" s="62" t="str" cm="1">
        <f t="array" ref="H96">Common_InputFunctions.Utility_DisplayArrayInTable(Fertiliser_SourceData.Fertiliser_Products_Data1(), FertiliserProducts[[#Headers],[Company]],1)</f>
        <v>Aqua NitroCal Ultimate - Campbells Fertilisers Australasia</v>
      </c>
      <c r="I96" s="62" t="str" cm="1">
        <f t="array" ref="I96">Common_InputFunctions.Utility_DisplayArrayInTable(Fertiliser_SourceData.Fertiliser_Products_Data1(), FertiliserProducts[[#Headers],[Company]],1)</f>
        <v>Website SDS</v>
      </c>
      <c r="J96" s="62" t="str" cm="1">
        <f t="array" ref="J96">Common_InputFunctions.Utility_DisplayArrayInTable(Fertiliser_SourceData.Fertiliser_Products_Data1(), FertiliserProducts[[#Headers],[Company]],1)</f>
        <v/>
      </c>
      <c r="K96" s="62" t="str" cm="1">
        <f t="array" ref="K96">Common_InputFunctions.Utility_DisplayArrayInTable(Fertiliser_SourceData.Fertiliser_Products_Data1(), FertiliserProducts[[#Headers],[Company]],1)</f>
        <v>L</v>
      </c>
      <c r="L96" s="62" cm="1">
        <f t="array" ref="L96">Common_InputFunctions.Utility_DisplayArrayInTable(Fertiliser_SourceData.Fertiliser_Products_Data1(), FertiliserProducts[[#Headers],[Company]],1)</f>
        <v>1.5</v>
      </c>
      <c r="M96" s="62" t="str" cm="1">
        <f t="array" ref="M96">Common_InputFunctions.Utility_DisplayArrayInTable(Fertiliser_SourceData.Fertiliser_Products_Data1(), FertiliserProducts[[#Headers],[Company]],1)</f>
        <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Calcium - Generic</v>
      </c>
      <c r="P96" s="62" cm="1">
        <f t="array" ref="P96">Common_InputFunctions.Utility_DisplayArrayInTable(Fertiliser_SourceData.Fertiliser_Products_Data1(), FertiliserProducts[[#Headers],[Company]],1)</f>
        <v>0.183</v>
      </c>
      <c r="Q96" s="62" t="str" cm="1">
        <f t="array" ref="Q96">Common_InputFunctions.Utility_DisplayArrayInTable(Fertiliser_SourceData.Fertiliser_Products_Data1(), FertiliserProducts[[#Headers],[Company]],1)</f>
        <v>Nitrogen  - Nitrate</v>
      </c>
      <c r="R96" s="62" cm="1">
        <f t="array" ref="R96">Common_InputFunctions.Utility_DisplayArrayInTable(Fertiliser_SourceData.Fertiliser_Products_Data1(), FertiliserProducts[[#Headers],[Company]],1)</f>
        <v>0.13200000000000001</v>
      </c>
      <c r="S96" s="62" t="str" cm="1">
        <f t="array" ref="S96">Common_InputFunctions.Utility_DisplayArrayInTable(Fertiliser_SourceData.Fertiliser_Products_Data1(), FertiliserProducts[[#Headers],[Company]],1)</f>
        <v/>
      </c>
      <c r="T96" s="62" t="str" cm="1">
        <f t="array" ref="T96">Common_InputFunctions.Utility_DisplayArrayInTable(Fertiliser_SourceData.Fertiliser_Products_Data1(), FertiliserProducts[[#Headers],[Company]],1)</f>
        <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Include</v>
      </c>
      <c r="E97" s="62" t="str" cm="1">
        <f t="array" ref="E97">Common_InputFunctions.Utility_DisplayArrayInTable(Fertiliser_SourceData.Fertiliser_Products_Data1(), FertiliserProducts[[#Headers],[Company]],1)</f>
        <v/>
      </c>
      <c r="F97" s="62" t="str" cm="1">
        <f t="array" ref="F97">Common_InputFunctions.Utility_DisplayArrayInTable(Fertiliser_SourceData.Fertiliser_Products_Data1(), FertiliserProducts[[#Headers],[Company]],1)</f>
        <v>Campbells fertilisers Australia</v>
      </c>
      <c r="G97" s="62" t="str" cm="1">
        <f t="array" ref="G97">Common_InputFunctions.Utility_DisplayArrayInTable(Fertiliser_SourceData.Fertiliser_Products_Data1(), FertiliserProducts[[#Headers],[Company]],1)</f>
        <v>Aqua Start</v>
      </c>
      <c r="H97" s="62" t="str" cm="1">
        <f t="array" ref="H97">Common_InputFunctions.Utility_DisplayArrayInTable(Fertiliser_SourceData.Fertiliser_Products_Data1(), FertiliserProducts[[#Headers],[Company]],1)</f>
        <v>Aqua Start - Campbells Fertilisers Australasia</v>
      </c>
      <c r="I97" s="62" t="str" cm="1">
        <f t="array" ref="I97">Common_InputFunctions.Utility_DisplayArrayInTable(Fertiliser_SourceData.Fertiliser_Products_Data1(), FertiliserProducts[[#Headers],[Company]],1)</f>
        <v>Website SDS</v>
      </c>
      <c r="J97" s="62" t="str" cm="1">
        <f t="array" ref="J97">Common_InputFunctions.Utility_DisplayArrayInTable(Fertiliser_SourceData.Fertiliser_Products_Data1(), FertiliserProducts[[#Headers],[Company]],1)</f>
        <v/>
      </c>
      <c r="K97" s="62" t="str" cm="1">
        <f t="array" ref="K97">Common_InputFunctions.Utility_DisplayArrayInTable(Fertiliser_SourceData.Fertiliser_Products_Data1(), FertiliserProducts[[#Headers],[Company]],1)</f>
        <v>L</v>
      </c>
      <c r="L97" s="62" cm="1">
        <f t="array" ref="L97">Common_InputFunctions.Utility_DisplayArrayInTable(Fertiliser_SourceData.Fertiliser_Products_Data1(), FertiliserProducts[[#Headers],[Company]],1)</f>
        <v>1.25</v>
      </c>
      <c r="M97" s="62" t="str" cm="1">
        <f t="array" ref="M97">Common_InputFunctions.Utility_DisplayArrayInTable(Fertiliser_SourceData.Fertiliser_Products_Data1(), FertiliserProducts[[#Headers],[Company]],1)</f>
        <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Nitrogen - Generic</v>
      </c>
      <c r="P97" s="62" cm="1">
        <f t="array" ref="P97">Common_InputFunctions.Utility_DisplayArrayInTable(Fertiliser_SourceData.Fertiliser_Products_Data1(), FertiliserProducts[[#Headers],[Company]],1)</f>
        <v>0.10299999999999999</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0.1</v>
      </c>
      <c r="S97" s="62" t="str" cm="1">
        <f t="array" ref="S97">Common_InputFunctions.Utility_DisplayArrayInTable(Fertiliser_SourceData.Fertiliser_Products_Data1(), FertiliserProducts[[#Headers],[Company]],1)</f>
        <v>Potassium - Generic</v>
      </c>
      <c r="T97" s="62" cm="1">
        <f t="array" ref="T97">Common_InputFunctions.Utility_DisplayArrayInTable(Fertiliser_SourceData.Fertiliser_Products_Data1(), FertiliserProducts[[#Headers],[Company]],1)</f>
        <v>3.4000000000000002E-2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Include</v>
      </c>
      <c r="E98" s="62" t="str" cm="1">
        <f t="array" ref="E98">Common_InputFunctions.Utility_DisplayArrayInTable(Fertiliser_SourceData.Fertiliser_Products_Data1(), FertiliserProducts[[#Headers],[Company]],1)</f>
        <v/>
      </c>
      <c r="F98" s="62" t="str" cm="1">
        <f t="array" ref="F98">Common_InputFunctions.Utility_DisplayArrayInTable(Fertiliser_SourceData.Fertiliser_Products_Data1(), FertiliserProducts[[#Headers],[Company]],1)</f>
        <v>Campbells fertilisers Australia</v>
      </c>
      <c r="G98" s="62" t="str" cm="1">
        <f t="array" ref="G98">Common_InputFunctions.Utility_DisplayArrayInTable(Fertiliser_SourceData.Fertiliser_Products_Data1(), FertiliserProducts[[#Headers],[Company]],1)</f>
        <v>Aqua Thio-Complete</v>
      </c>
      <c r="H98" s="62" t="str" cm="1">
        <f t="array" ref="H98">Common_InputFunctions.Utility_DisplayArrayInTable(Fertiliser_SourceData.Fertiliser_Products_Data1(), FertiliserProducts[[#Headers],[Company]],1)</f>
        <v>Aqua Thio-Complete - Campbells Fertilisers Australasia</v>
      </c>
      <c r="I98" s="62" t="str" cm="1">
        <f t="array" ref="I98">Common_InputFunctions.Utility_DisplayArrayInTable(Fertiliser_SourceData.Fertiliser_Products_Data1(), FertiliserProducts[[#Headers],[Company]],1)</f>
        <v>Website SDS</v>
      </c>
      <c r="J98" s="62" t="str" cm="1">
        <f t="array" ref="J98">Common_InputFunctions.Utility_DisplayArrayInTable(Fertiliser_SourceData.Fertiliser_Products_Data1(), FertiliserProducts[[#Headers],[Company]],1)</f>
        <v/>
      </c>
      <c r="K98" s="62" t="str" cm="1">
        <f t="array" ref="K98">Common_InputFunctions.Utility_DisplayArrayInTable(Fertiliser_SourceData.Fertiliser_Products_Data1(), FertiliserProducts[[#Headers],[Company]],1)</f>
        <v>L</v>
      </c>
      <c r="L98" s="62" cm="1">
        <f t="array" ref="L98">Common_InputFunctions.Utility_DisplayArrayInTable(Fertiliser_SourceData.Fertiliser_Products_Data1(), FertiliserProducts[[#Headers],[Company]],1)</f>
        <v>1.43</v>
      </c>
      <c r="M98" s="62" t="str" cm="1">
        <f t="array" ref="M98">Common_InputFunctions.Utility_DisplayArrayInTable(Fertiliser_SourceData.Fertiliser_Products_Data1(), FertiliserProducts[[#Headers],[Company]],1)</f>
        <v/>
      </c>
      <c r="N98" s="62" t="str" cm="1">
        <f t="array" ref="N98">Common_InputFunctions.Utility_DisplayArrayInTable(Fertiliser_SourceData.Fertiliser_Products_Data1(), FertiliserProducts[[#Headers],[Company]],1)</f>
        <v/>
      </c>
      <c r="O98" s="62" t="str" cm="1">
        <f t="array" ref="O98">Common_InputFunctions.Utility_DisplayArrayInTable(Fertiliser_SourceData.Fertiliser_Products_Data1(), FertiliserProducts[[#Headers],[Company]],1)</f>
        <v>Potassium - Generic</v>
      </c>
      <c r="P98" s="62" cm="1">
        <f t="array" ref="P98">Common_InputFunctions.Utility_DisplayArrayInTable(Fertiliser_SourceData.Fertiliser_Products_Data1(), FertiliserProducts[[#Headers],[Company]],1)</f>
        <v>0.22500000000000001</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3.7999999999999999E-2</v>
      </c>
      <c r="S98" s="62" t="str" cm="1">
        <f t="array" ref="S98">Common_InputFunctions.Utility_DisplayArrayInTable(Fertiliser_SourceData.Fertiliser_Products_Data1(), FertiliserProducts[[#Headers],[Company]],1)</f>
        <v>Nitrogen - Generic</v>
      </c>
      <c r="T98" s="62" cm="1">
        <f t="array" ref="T98">Common_InputFunctions.Utility_DisplayArrayInTable(Fertiliser_SourceData.Fertiliser_Products_Data1(), FertiliserProducts[[#Headers],[Company]],1)</f>
        <v>2.5000000000000001E-2</v>
      </c>
      <c r="U98" s="62" t="str" cm="1">
        <f t="array" ref="U98">Common_InputFunctions.Utility_DisplayArrayInTable(Fertiliser_SourceData.Fertiliser_Products_Data1(), FertiliserProducts[[#Headers],[Company]],1)</f>
        <v/>
      </c>
      <c r="V98" s="62" t="str" cm="1">
        <f t="array" ref="V98">Common_InputFunctions.Utility_DisplayArrayInTable(Fertiliser_SourceData.Fertiliser_Products_Data1(), FertiliserProducts[[#Headers],[Company]],1)</f>
        <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Include</v>
      </c>
      <c r="E99" s="62" t="str" cm="1">
        <f t="array" ref="E99">Common_InputFunctions.Utility_DisplayArrayInTable(Fertiliser_SourceData.Fertiliser_Products_Data1(), FertiliserProducts[[#Headers],[Company]],1)</f>
        <v/>
      </c>
      <c r="F99" s="62" t="str" cm="1">
        <f t="array" ref="F99">Common_InputFunctions.Utility_DisplayArrayInTable(Fertiliser_SourceData.Fertiliser_Products_Data1(), FertiliserProducts[[#Headers],[Company]],1)</f>
        <v>Campbells fertilisers Australia</v>
      </c>
      <c r="G99" s="62" t="str" cm="1">
        <f t="array" ref="G99">Common_InputFunctions.Utility_DisplayArrayInTable(Fertiliser_SourceData.Fertiliser_Products_Data1(), FertiliserProducts[[#Headers],[Company]],1)</f>
        <v>Aqua Thio-Emerge</v>
      </c>
      <c r="H99" s="62" t="str" cm="1">
        <f t="array" ref="H99">Common_InputFunctions.Utility_DisplayArrayInTable(Fertiliser_SourceData.Fertiliser_Products_Data1(), FertiliserProducts[[#Headers],[Company]],1)</f>
        <v>Aqua Thio-Emerge - Campbells Fertilisers Australasia</v>
      </c>
      <c r="I99" s="62" t="str" cm="1">
        <f t="array" ref="I99">Common_InputFunctions.Utility_DisplayArrayInTable(Fertiliser_SourceData.Fertiliser_Products_Data1(), FertiliserProducts[[#Headers],[Company]],1)</f>
        <v>Website SDS</v>
      </c>
      <c r="J99" s="62" t="str" cm="1">
        <f t="array" ref="J99">Common_InputFunctions.Utility_DisplayArrayInTable(Fertiliser_SourceData.Fertiliser_Products_Data1(), FertiliserProducts[[#Headers],[Company]],1)</f>
        <v/>
      </c>
      <c r="K99" s="62" t="str" cm="1">
        <f t="array" ref="K99">Common_InputFunctions.Utility_DisplayArrayInTable(Fertiliser_SourceData.Fertiliser_Products_Data1(), FertiliserProducts[[#Headers],[Company]],1)</f>
        <v>L</v>
      </c>
      <c r="L99" s="62" cm="1">
        <f t="array" ref="L99">Common_InputFunctions.Utility_DisplayArrayInTable(Fertiliser_SourceData.Fertiliser_Products_Data1(), FertiliserProducts[[#Headers],[Company]],1)</f>
        <v>1.29</v>
      </c>
      <c r="M99" s="62" t="str" cm="1">
        <f t="array" ref="M99">Common_InputFunctions.Utility_DisplayArrayInTable(Fertiliser_SourceData.Fertiliser_Products_Data1(), FertiliserProducts[[#Headers],[Company]],1)</f>
        <v/>
      </c>
      <c r="N99" s="62" t="str" cm="1">
        <f t="array" ref="N99">Common_InputFunctions.Utility_DisplayArrayInTable(Fertiliser_SourceData.Fertiliser_Products_Data1(), FertiliserProducts[[#Headers],[Company]],1)</f>
        <v/>
      </c>
      <c r="O99" s="62" t="str" cm="1">
        <f t="array" ref="O99">Common_InputFunctions.Utility_DisplayArrayInTable(Fertiliser_SourceData.Fertiliser_Products_Data1(), FertiliserProducts[[#Headers],[Company]],1)</f>
        <v>Nitrogen - Generic</v>
      </c>
      <c r="P99" s="62" cm="1">
        <f t="array" ref="P99">Common_InputFunctions.Utility_DisplayArrayInTable(Fertiliser_SourceData.Fertiliser_Products_Data1(), FertiliserProducts[[#Headers],[Company]],1)</f>
        <v>0.105</v>
      </c>
      <c r="Q99" s="62" t="str" cm="1">
        <f t="array" ref="Q99">Common_InputFunctions.Utility_DisplayArrayInTable(Fertiliser_SourceData.Fertiliser_Products_Data1(), FertiliserProducts[[#Headers],[Company]],1)</f>
        <v>Phosphorus - Generic</v>
      </c>
      <c r="R99" s="62" cm="1">
        <f t="array" ref="R99">Common_InputFunctions.Utility_DisplayArrayInTable(Fertiliser_SourceData.Fertiliser_Products_Data1(), FertiliserProducts[[#Headers],[Company]],1)</f>
        <v>9.4E-2</v>
      </c>
      <c r="S99" s="62" t="str" cm="1">
        <f t="array" ref="S99">Common_InputFunctions.Utility_DisplayArrayInTable(Fertiliser_SourceData.Fertiliser_Products_Data1(), FertiliserProducts[[#Headers],[Company]],1)</f>
        <v>Potassium - Generic</v>
      </c>
      <c r="T99" s="62" cm="1">
        <f t="array" ref="T99">Common_InputFunctions.Utility_DisplayArrayInTable(Fertiliser_SourceData.Fertiliser_Products_Data1(), FertiliserProducts[[#Headers],[Company]],1)</f>
        <v>0.04</v>
      </c>
      <c r="U99" s="62" t="str" cm="1">
        <f t="array" ref="U99">Common_InputFunctions.Utility_DisplayArrayInTable(Fertiliser_SourceData.Fertiliser_Products_Data1(), FertiliserProducts[[#Headers],[Company]],1)</f>
        <v>Sulfur - Generic</v>
      </c>
      <c r="V99" s="62" cm="1">
        <f t="array" ref="V99">Common_InputFunctions.Utility_DisplayArrayInTable(Fertiliser_SourceData.Fertiliser_Products_Data1(), FertiliserProducts[[#Headers],[Company]],1)</f>
        <v>0.03</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Include</v>
      </c>
      <c r="E100" s="62" t="str" cm="1">
        <f t="array" ref="E100">Common_InputFunctions.Utility_DisplayArrayInTable(Fertiliser_SourceData.Fertiliser_Products_Data1(), FertiliserProducts[[#Headers],[Company]],1)</f>
        <v/>
      </c>
      <c r="F100" s="62" t="str" cm="1">
        <f t="array" ref="F100">Common_InputFunctions.Utility_DisplayArrayInTable(Fertiliser_SourceData.Fertiliser_Products_Data1(), FertiliserProducts[[#Headers],[Company]],1)</f>
        <v>Campbells fertilisers Australia</v>
      </c>
      <c r="G100" s="62" t="str" cm="1">
        <f t="array" ref="G100">Common_InputFunctions.Utility_DisplayArrayInTable(Fertiliser_SourceData.Fertiliser_Products_Data1(), FertiliserProducts[[#Headers],[Company]],1)</f>
        <v>Aqua Thio-Flourish</v>
      </c>
      <c r="H100" s="62" t="str" cm="1">
        <f t="array" ref="H100">Common_InputFunctions.Utility_DisplayArrayInTable(Fertiliser_SourceData.Fertiliser_Products_Data1(), FertiliserProducts[[#Headers],[Company]],1)</f>
        <v>Aqua Thio-Flourish - Campbells Fertilisers Australasia</v>
      </c>
      <c r="I100" s="62" t="str" cm="1">
        <f t="array" ref="I100">Common_InputFunctions.Utility_DisplayArrayInTable(Fertiliser_SourceData.Fertiliser_Products_Data1(), FertiliserProducts[[#Headers],[Company]],1)</f>
        <v>Website SDS</v>
      </c>
      <c r="J100" s="62" t="str" cm="1">
        <f t="array" ref="J100">Common_InputFunctions.Utility_DisplayArrayInTable(Fertiliser_SourceData.Fertiliser_Products_Data1(), FertiliserProducts[[#Headers],[Company]],1)</f>
        <v/>
      </c>
      <c r="K100" s="62" t="str" cm="1">
        <f t="array" ref="K100">Common_InputFunctions.Utility_DisplayArrayInTable(Fertiliser_SourceData.Fertiliser_Products_Data1(), FertiliserProducts[[#Headers],[Company]],1)</f>
        <v>L</v>
      </c>
      <c r="L100" s="62" cm="1">
        <f t="array" ref="L100">Common_InputFunctions.Utility_DisplayArrayInTable(Fertiliser_SourceData.Fertiliser_Products_Data1(), FertiliserProducts[[#Headers],[Company]],1)</f>
        <v>1.32</v>
      </c>
      <c r="M100" s="62" t="str" cm="1">
        <f t="array" ref="M100">Common_InputFunctions.Utility_DisplayArrayInTable(Fertiliser_SourceData.Fertiliser_Products_Data1(), FertiliserProducts[[#Headers],[Company]],1)</f>
        <v/>
      </c>
      <c r="N100" s="62" t="str" cm="1">
        <f t="array" ref="N100">Common_InputFunctions.Utility_DisplayArrayInTable(Fertiliser_SourceData.Fertiliser_Products_Data1(), FertiliserProducts[[#Headers],[Company]],1)</f>
        <v/>
      </c>
      <c r="O100" s="62" t="str" cm="1">
        <f t="array" ref="O100">Common_InputFunctions.Utility_DisplayArrayInTable(Fertiliser_SourceData.Fertiliser_Products_Data1(), FertiliserProducts[[#Headers],[Company]],1)</f>
        <v>Potassium - Generic</v>
      </c>
      <c r="P100" s="62" cm="1">
        <f t="array" ref="P100">Common_InputFunctions.Utility_DisplayArrayInTable(Fertiliser_SourceData.Fertiliser_Products_Data1(), FertiliserProducts[[#Headers],[Company]],1)</f>
        <v>0.108</v>
      </c>
      <c r="Q100" s="62" t="str" cm="1">
        <f t="array" ref="Q100">Common_InputFunctions.Utility_DisplayArrayInTable(Fertiliser_SourceData.Fertiliser_Products_Data1(), FertiliserProducts[[#Headers],[Company]],1)</f>
        <v>Nitrogen - Generic</v>
      </c>
      <c r="R100" s="62" cm="1">
        <f t="array" ref="R100">Common_InputFunctions.Utility_DisplayArrayInTable(Fertiliser_SourceData.Fertiliser_Products_Data1(), FertiliserProducts[[#Headers],[Company]],1)</f>
        <v>9.5000000000000001E-2</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8.1000000000000003E-2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4.7E-2</v>
      </c>
      <c r="W100" s="62" t="str" cm="1">
        <f t="array" ref="W100">Common_InputFunctions.Utility_DisplayArrayInTable(Fertiliser_SourceData.Fertiliser_Products_Data1(), FertiliserProducts[[#Headers],[Company]],1)</f>
        <v/>
      </c>
      <c r="X100" s="62" t="str" cm="1">
        <f t="array" ref="X100">Common_InputFunctions.Utility_DisplayArrayInTable(Fertiliser_SourceData.Fertiliser_Products_Data1(), FertiliserProducts[[#Headers],[Company]],1)</f>
        <v/>
      </c>
      <c r="Y100" s="62" t="str" cm="1">
        <f t="array" ref="Y100">Common_InputFunctions.Utility_DisplayArrayInTable(Fertiliser_SourceData.Fertiliser_Products_Data1(), FertiliserProducts[[#Headers],[Company]],1)</f>
        <v/>
      </c>
      <c r="Z100" s="62" t="str" cm="1">
        <f t="array" ref="Z100">Common_InputFunctions.Utility_DisplayArrayInTable(Fertiliser_SourceData.Fertiliser_Products_Data1(), FertiliserProducts[[#Headers],[Company]],1)</f>
        <v/>
      </c>
      <c r="AA100" s="62" t="str" cm="1">
        <f t="array" ref="AA100">Common_InputFunctions.Utility_DisplayArrayInTable(Fertiliser_SourceData.Fertiliser_Products_Data1(), FertiliserProducts[[#Headers],[Company]],1)</f>
        <v/>
      </c>
      <c r="AB100" s="62" t="str" cm="1">
        <f t="array" ref="AB100">Common_InputFunctions.Utility_DisplayArrayInTable(Fertiliser_SourceData.Fertiliser_Products_Data1(), FertiliserProducts[[#Headers],[Company]],1)</f>
        <v/>
      </c>
      <c r="AC100" s="62" t="str" cm="1">
        <f t="array" ref="AC100">Common_InputFunctions.Utility_DisplayArrayInTable(Fertiliser_SourceData.Fertiliser_Products_Data1(), FertiliserProducts[[#Headers],[Company]],1)</f>
        <v/>
      </c>
      <c r="AD100" s="62" t="str" cm="1">
        <f t="array" ref="AD100">Common_InputFunctions.Utility_DisplayArrayInTable(Fertiliser_SourceData.Fertiliser_Products_Data1(), FertiliserProducts[[#Headers],[Company]],1)</f>
        <v/>
      </c>
      <c r="AE100" s="62" t="str" cm="1">
        <f t="array" ref="AE100">Common_InputFunctions.Utility_DisplayArrayInTable(Fertiliser_SourceData.Fertiliser_Products_Data1(), FertiliserProducts[[#Headers],[Company]],1)</f>
        <v/>
      </c>
      <c r="AF100" s="62" t="str" cm="1">
        <f t="array" ref="AF100">Common_InputFunctions.Utility_DisplayArrayInTable(Fertiliser_SourceData.Fertiliser_Products_Data1(), FertiliserProducts[[#Headers],[Company]],1)</f>
        <v/>
      </c>
      <c r="AG100" s="62" t="str" cm="1">
        <f t="array" ref="AG100">Common_InputFunctions.Utility_DisplayArrayInTable(Fertiliser_SourceData.Fertiliser_Products_Data1(), FertiliserProducts[[#Headers],[Company]],1)</f>
        <v/>
      </c>
      <c r="AH100" s="62" t="str" cm="1">
        <f t="array" ref="AH100">Common_InputFunctions.Utility_DisplayArrayInTable(Fertiliser_SourceData.Fertiliser_Products_Data1(), FertiliserProducts[[#Headers],[Company]],1)</f>
        <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Exclude - Not relevant</v>
      </c>
      <c r="E101" s="62" t="str" cm="1">
        <f t="array" ref="E101">Common_InputFunctions.Utility_DisplayArrayInTable(Fertiliser_SourceData.Fertiliser_Products_Data1(), FertiliserProducts[[#Headers],[Company]],1)</f>
        <v/>
      </c>
      <c r="F101" s="62" t="str" cm="1">
        <f t="array" ref="F101">Common_InputFunctions.Utility_DisplayArrayInTable(Fertiliser_SourceData.Fertiliser_Products_Data1(), FertiliserProducts[[#Headers],[Company]],1)</f>
        <v>Campbells fertilisers Australia</v>
      </c>
      <c r="G101" s="62" t="str" cm="1">
        <f t="array" ref="G101">Common_InputFunctions.Utility_DisplayArrayInTable(Fertiliser_SourceData.Fertiliser_Products_Data1(), FertiliserProducts[[#Headers],[Company]],1)</f>
        <v>Asco Fol Plus</v>
      </c>
      <c r="H101" s="62" t="str" cm="1">
        <f t="array" ref="H101">Common_InputFunctions.Utility_DisplayArrayInTable(Fertiliser_SourceData.Fertiliser_Products_Data1(), FertiliserProducts[[#Headers],[Company]],1)</f>
        <v>Asco Fol Plus - Campbells Fertilisers Australasia</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Organic - Do not include</v>
      </c>
      <c r="K101" s="62" t="str" cm="1">
        <f t="array" ref="K101">Common_InputFunctions.Utility_DisplayArrayInTable(Fertiliser_SourceData.Fertiliser_Products_Data1(), FertiliserProducts[[#Headers],[Company]],1)</f>
        <v/>
      </c>
      <c r="L101" s="62" t="str" cm="1">
        <f t="array" ref="L101">Common_InputFunctions.Utility_DisplayArrayInTable(Fertiliser_SourceData.Fertiliser_Products_Data1(), FertiliserProducts[[#Headers],[Company]],1)</f>
        <v/>
      </c>
      <c r="M101" s="62" t="str" cm="1">
        <f t="array" ref="M101">Common_InputFunctions.Utility_DisplayArrayInTable(Fertiliser_SourceData.Fertiliser_Products_Data1(), FertiliserProducts[[#Headers],[Company]],1)</f>
        <v/>
      </c>
      <c r="N101" s="62" t="str" cm="1">
        <f t="array" ref="N101">Common_InputFunctions.Utility_DisplayArrayInTable(Fertiliser_SourceData.Fertiliser_Products_Data1(), FertiliserProducts[[#Headers],[Company]],1)</f>
        <v/>
      </c>
      <c r="O101" s="62" t="str" cm="1">
        <f t="array" ref="O101">Common_InputFunctions.Utility_DisplayArrayInTable(Fertiliser_SourceData.Fertiliser_Products_Data1(), FertiliserProducts[[#Headers],[Company]],1)</f>
        <v/>
      </c>
      <c r="P101" s="62" t="str" cm="1">
        <f t="array" ref="P101">Common_InputFunctions.Utility_DisplayArrayInTable(Fertiliser_SourceData.Fertiliser_Products_Data1(), FertiliserProducts[[#Headers],[Company]],1)</f>
        <v/>
      </c>
      <c r="Q101" s="62" t="str" cm="1">
        <f t="array" ref="Q101">Common_InputFunctions.Utility_DisplayArrayInTable(Fertiliser_SourceData.Fertiliser_Products_Data1(), FertiliserProducts[[#Headers],[Company]],1)</f>
        <v/>
      </c>
      <c r="R101" s="62" t="str" cm="1">
        <f t="array" ref="R101">Common_InputFunctions.Utility_DisplayArrayInTable(Fertiliser_SourceData.Fertiliser_Products_Data1(), FertiliserProducts[[#Headers],[Company]],1)</f>
        <v/>
      </c>
      <c r="S101" s="62" t="str" cm="1">
        <f t="array" ref="S101">Common_InputFunctions.Utility_DisplayArrayInTable(Fertiliser_SourceData.Fertiliser_Products_Data1(), FertiliserProducts[[#Headers],[Company]],1)</f>
        <v/>
      </c>
      <c r="T101" s="62" t="str" cm="1">
        <f t="array" ref="T101">Common_InputFunctions.Utility_DisplayArrayInTable(Fertiliser_SourceData.Fertiliser_Products_Data1(), FertiliserProducts[[#Headers],[Company]],1)</f>
        <v/>
      </c>
      <c r="U101" s="62" t="str" cm="1">
        <f t="array" ref="U101">Common_InputFunctions.Utility_DisplayArrayInTable(Fertiliser_SourceData.Fertiliser_Products_Data1(), FertiliserProducts[[#Headers],[Company]],1)</f>
        <v/>
      </c>
      <c r="V101" s="62" t="str" cm="1">
        <f t="array" ref="V101">Common_InputFunctions.Utility_DisplayArrayInTable(Fertiliser_SourceData.Fertiliser_Products_Data1(), FertiliserProducts[[#Headers],[Company]],1)</f>
        <v/>
      </c>
      <c r="W101" s="62" t="str" cm="1">
        <f t="array" ref="W101">Common_InputFunctions.Utility_DisplayArrayInTable(Fertiliser_SourceData.Fertiliser_Products_Data1(), FertiliserProducts[[#Headers],[Company]],1)</f>
        <v/>
      </c>
      <c r="X101" s="62" t="str" cm="1">
        <f t="array" ref="X101">Common_InputFunctions.Utility_DisplayArrayInTable(Fertiliser_SourceData.Fertiliser_Products_Data1(), FertiliserProducts[[#Headers],[Company]],1)</f>
        <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Exclude - Not relevant</v>
      </c>
      <c r="E102" s="62" t="str" cm="1">
        <f t="array" ref="E102">Common_InputFunctions.Utility_DisplayArrayInTable(Fertiliser_SourceData.Fertiliser_Products_Data1(), FertiliserProducts[[#Headers],[Company]],1)</f>
        <v/>
      </c>
      <c r="F102" s="62" t="str" cm="1">
        <f t="array" ref="F102">Common_InputFunctions.Utility_DisplayArrayInTable(Fertiliser_SourceData.Fertiliser_Products_Data1(), FertiliserProducts[[#Headers],[Company]],1)</f>
        <v>Campbells fertilisers Australia</v>
      </c>
      <c r="G102" s="62" t="str" cm="1">
        <f t="array" ref="G102">Common_InputFunctions.Utility_DisplayArrayInTable(Fertiliser_SourceData.Fertiliser_Products_Data1(), FertiliserProducts[[#Headers],[Company]],1)</f>
        <v>Asco Plus</v>
      </c>
      <c r="H102" s="62" t="str" cm="1">
        <f t="array" ref="H102">Common_InputFunctions.Utility_DisplayArrayInTable(Fertiliser_SourceData.Fertiliser_Products_Data1(), FertiliserProducts[[#Headers],[Company]],1)</f>
        <v>Asco Plus - Campbells Fertilisers Australasia</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Organic - Do not include</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
      </c>
      <c r="P102" s="62" t="str" cm="1">
        <f t="array" ref="P102">Common_InputFunctions.Utility_DisplayArrayInTable(Fertiliser_SourceData.Fertiliser_Products_Data1(), FertiliserProducts[[#Headers],[Company]],1)</f>
        <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Exclude - Not relevant</v>
      </c>
      <c r="E103" s="62" t="str" cm="1">
        <f t="array" ref="E103">Common_InputFunctions.Utility_DisplayArrayInTable(Fertiliser_SourceData.Fertiliser_Products_Data1(), FertiliserProducts[[#Headers],[Company]],1)</f>
        <v/>
      </c>
      <c r="F103" s="62" t="str" cm="1">
        <f t="array" ref="F103">Common_InputFunctions.Utility_DisplayArrayInTable(Fertiliser_SourceData.Fertiliser_Products_Data1(), FertiliserProducts[[#Headers],[Company]],1)</f>
        <v>Campbells fertilisers Australia</v>
      </c>
      <c r="G103" s="62" t="str" cm="1">
        <f t="array" ref="G103">Common_InputFunctions.Utility_DisplayArrayInTable(Fertiliser_SourceData.Fertiliser_Products_Data1(), FertiliserProducts[[#Headers],[Company]],1)</f>
        <v>Asco Rhizo Plus</v>
      </c>
      <c r="H103" s="62" t="str" cm="1">
        <f t="array" ref="H103">Common_InputFunctions.Utility_DisplayArrayInTable(Fertiliser_SourceData.Fertiliser_Products_Data1(), FertiliserProducts[[#Headers],[Company]],1)</f>
        <v>Asco Rhizo Plus - Campbells Fertilisers Australasia</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Biostimulant - Do not include</v>
      </c>
      <c r="K103" s="62" t="str" cm="1">
        <f t="array" ref="K103">Common_InputFunctions.Utility_DisplayArrayInTable(Fertiliser_SourceData.Fertiliser_Products_Data1(), FertiliserProducts[[#Headers],[Company]],1)</f>
        <v/>
      </c>
      <c r="L103" s="62" t="str" cm="1">
        <f t="array" ref="L103">Common_InputFunctions.Utility_DisplayArrayInTable(Fertiliser_SourceData.Fertiliser_Products_Data1(), FertiliserProducts[[#Headers],[Company]],1)</f>
        <v/>
      </c>
      <c r="M103" s="62" t="str" cm="1">
        <f t="array" ref="M103">Common_InputFunctions.Utility_DisplayArrayInTable(Fertiliser_SourceData.Fertiliser_Products_Data1(), FertiliserProducts[[#Headers],[Company]],1)</f>
        <v/>
      </c>
      <c r="N103" s="62" t="str" cm="1">
        <f t="array" ref="N103">Common_InputFunctions.Utility_DisplayArrayInTable(Fertiliser_SourceData.Fertiliser_Products_Data1(), FertiliserProducts[[#Headers],[Company]],1)</f>
        <v/>
      </c>
      <c r="O103" s="62" t="str" cm="1">
        <f t="array" ref="O103">Common_InputFunctions.Utility_DisplayArrayInTable(Fertiliser_SourceData.Fertiliser_Products_Data1(), FertiliserProducts[[#Headers],[Company]],1)</f>
        <v/>
      </c>
      <c r="P103" s="62" t="str" cm="1">
        <f t="array" ref="P103">Common_InputFunctions.Utility_DisplayArrayInTable(Fertiliser_SourceData.Fertiliser_Products_Data1(), FertiliserProducts[[#Headers],[Company]],1)</f>
        <v/>
      </c>
      <c r="Q103" s="62" t="str" cm="1">
        <f t="array" ref="Q103">Common_InputFunctions.Utility_DisplayArrayInTable(Fertiliser_SourceData.Fertiliser_Products_Data1(), FertiliserProducts[[#Headers],[Company]],1)</f>
        <v/>
      </c>
      <c r="R103" s="62" t="str" cm="1">
        <f t="array" ref="R103">Common_InputFunctions.Utility_DisplayArrayInTable(Fertiliser_SourceData.Fertiliser_Products_Data1(), FertiliserProducts[[#Headers],[Company]],1)</f>
        <v/>
      </c>
      <c r="S103" s="62" t="str" cm="1">
        <f t="array" ref="S103">Common_InputFunctions.Utility_DisplayArrayInTable(Fertiliser_SourceData.Fertiliser_Products_Data1(), FertiliserProducts[[#Headers],[Company]],1)</f>
        <v/>
      </c>
      <c r="T103" s="62" t="str" cm="1">
        <f t="array" ref="T103">Common_InputFunctions.Utility_DisplayArrayInTable(Fertiliser_SourceData.Fertiliser_Products_Data1(), FertiliserProducts[[#Headers],[Company]],1)</f>
        <v/>
      </c>
      <c r="U103" s="62" t="str" cm="1">
        <f t="array" ref="U103">Common_InputFunctions.Utility_DisplayArrayInTable(Fertiliser_SourceData.Fertiliser_Products_Data1(), FertiliserProducts[[#Headers],[Company]],1)</f>
        <v/>
      </c>
      <c r="V103" s="62" t="str" cm="1">
        <f t="array" ref="V103">Common_InputFunctions.Utility_DisplayArrayInTable(Fertiliser_SourceData.Fertiliser_Products_Data1(), FertiliserProducts[[#Headers],[Company]],1)</f>
        <v/>
      </c>
      <c r="W103" s="62" t="str" cm="1">
        <f t="array" ref="W103">Common_InputFunctions.Utility_DisplayArrayInTable(Fertiliser_SourceData.Fertiliser_Products_Data1(), FertiliserProducts[[#Headers],[Company]],1)</f>
        <v/>
      </c>
      <c r="X103" s="62" t="str" cm="1">
        <f t="array" ref="X103">Common_InputFunctions.Utility_DisplayArrayInTable(Fertiliser_SourceData.Fertiliser_Products_Data1(), FertiliserProducts[[#Headers],[Company]],1)</f>
        <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Exclude - Not relevant</v>
      </c>
      <c r="E104" s="62" t="str" cm="1">
        <f t="array" ref="E104">Common_InputFunctions.Utility_DisplayArrayInTable(Fertiliser_SourceData.Fertiliser_Products_Data1(), FertiliserProducts[[#Headers],[Company]],1)</f>
        <v/>
      </c>
      <c r="F104" s="62" t="str" cm="1">
        <f t="array" ref="F104">Common_InputFunctions.Utility_DisplayArrayInTable(Fertiliser_SourceData.Fertiliser_Products_Data1(), FertiliserProducts[[#Headers],[Company]],1)</f>
        <v>Campbells fertilisers Australia</v>
      </c>
      <c r="G104" s="62" t="str" cm="1">
        <f t="array" ref="G104">Common_InputFunctions.Utility_DisplayArrayInTable(Fertiliser_SourceData.Fertiliser_Products_Data1(), FertiliserProducts[[#Headers],[Company]],1)</f>
        <v>Benefit PZ</v>
      </c>
      <c r="H104" s="62" t="str" cm="1">
        <f t="array" ref="H104">Common_InputFunctions.Utility_DisplayArrayInTable(Fertiliser_SourceData.Fertiliser_Products_Data1(), FertiliserProducts[[#Headers],[Company]],1)</f>
        <v>Benefit PZ - Campbells Fertilisers Australasia</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Not fertiliser - Do not include</v>
      </c>
      <c r="K104" s="62" t="str" cm="1">
        <f t="array" ref="K104">Common_InputFunctions.Utility_DisplayArrayInTable(Fertiliser_SourceData.Fertiliser_Products_Data1(), FertiliserProducts[[#Headers],[Company]],1)</f>
        <v/>
      </c>
      <c r="L104" s="62" t="str" cm="1">
        <f t="array" ref="L104">Common_InputFunctions.Utility_DisplayArrayInTable(Fertiliser_SourceData.Fertiliser_Products_Data1(), FertiliserProducts[[#Headers],[Company]],1)</f>
        <v/>
      </c>
      <c r="M104" s="62" t="str" cm="1">
        <f t="array" ref="M104">Common_InputFunctions.Utility_DisplayArrayInTable(Fertiliser_SourceData.Fertiliser_Products_Data1(), FertiliserProducts[[#Headers],[Company]],1)</f>
        <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
      </c>
      <c r="P104" s="62" t="str" cm="1">
        <f t="array" ref="P104">Common_InputFunctions.Utility_DisplayArrayInTable(Fertiliser_SourceData.Fertiliser_Products_Data1(), FertiliserProducts[[#Headers],[Company]],1)</f>
        <v/>
      </c>
      <c r="Q104" s="62" t="str" cm="1">
        <f t="array" ref="Q104">Common_InputFunctions.Utility_DisplayArrayInTable(Fertiliser_SourceData.Fertiliser_Products_Data1(), FertiliserProducts[[#Headers],[Company]],1)</f>
        <v/>
      </c>
      <c r="R104" s="62" t="str" cm="1">
        <f t="array" ref="R104">Common_InputFunctions.Utility_DisplayArrayInTable(Fertiliser_SourceData.Fertiliser_Products_Data1(), FertiliserProducts[[#Headers],[Company]],1)</f>
        <v/>
      </c>
      <c r="S104" s="62" t="str" cm="1">
        <f t="array" ref="S104">Common_InputFunctions.Utility_DisplayArrayInTable(Fertiliser_SourceData.Fertiliser_Products_Data1(), FertiliserProducts[[#Headers],[Company]],1)</f>
        <v/>
      </c>
      <c r="T104" s="62" t="str" cm="1">
        <f t="array" ref="T104">Common_InputFunctions.Utility_DisplayArrayInTable(Fertiliser_SourceData.Fertiliser_Products_Data1(), FertiliserProducts[[#Headers],[Company]],1)</f>
        <v/>
      </c>
      <c r="U104" s="62" t="str" cm="1">
        <f t="array" ref="U104">Common_InputFunctions.Utility_DisplayArrayInTable(Fertiliser_SourceData.Fertiliser_Products_Data1(), FertiliserProducts[[#Headers],[Company]],1)</f>
        <v/>
      </c>
      <c r="V104" s="62" t="str" cm="1">
        <f t="array" ref="V104">Common_InputFunctions.Utility_DisplayArrayInTable(Fertiliser_SourceData.Fertiliser_Products_Data1(), FertiliserProducts[[#Headers],[Company]],1)</f>
        <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Include - Absent ingredients &lt; 2%</v>
      </c>
      <c r="E105" s="62" t="str" cm="1">
        <f t="array" ref="E105">Common_InputFunctions.Utility_DisplayArrayInTable(Fertiliser_SourceData.Fertiliser_Products_Data1(), FertiliserProducts[[#Headers],[Company]],1)</f>
        <v>Amount of urea calculated from urea nitrogen amount</v>
      </c>
      <c r="F105" s="62" t="str" cm="1">
        <f t="array" ref="F105">Common_InputFunctions.Utility_DisplayArrayInTable(Fertiliser_SourceData.Fertiliser_Products_Data1(), FertiliserProducts[[#Headers],[Company]],1)</f>
        <v>Campbells fertilisers Australia</v>
      </c>
      <c r="G105" s="62" t="str" cm="1">
        <f t="array" ref="G105">Common_InputFunctions.Utility_DisplayArrayInTable(Fertiliser_SourceData.Fertiliser_Products_Data1(), FertiliserProducts[[#Headers],[Company]],1)</f>
        <v>Boost-It</v>
      </c>
      <c r="H105" s="62" t="str" cm="1">
        <f t="array" ref="H105">Common_InputFunctions.Utility_DisplayArrayInTable(Fertiliser_SourceData.Fertiliser_Products_Data1(), FertiliserProducts[[#Headers],[Company]],1)</f>
        <v>Boost-It - Campbells Fertilisers Australasia</v>
      </c>
      <c r="I105" s="62" t="str" cm="1">
        <f t="array" ref="I105">Common_InputFunctions.Utility_DisplayArrayInTable(Fertiliser_SourceData.Fertiliser_Products_Data1(), FertiliserProducts[[#Headers],[Company]],1)</f>
        <v>Website SDS</v>
      </c>
      <c r="J105" s="62" t="str" cm="1">
        <f t="array" ref="J105">Common_InputFunctions.Utility_DisplayArrayInTable(Fertiliser_SourceData.Fertiliser_Products_Data1(), FertiliserProducts[[#Headers],[Company]],1)</f>
        <v/>
      </c>
      <c r="K105" s="62" t="str" cm="1">
        <f t="array" ref="K105">Common_InputFunctions.Utility_DisplayArrayInTable(Fertiliser_SourceData.Fertiliser_Products_Data1(), FertiliserProducts[[#Headers],[Company]],1)</f>
        <v>kg</v>
      </c>
      <c r="L105" s="62" cm="1">
        <f t="array" ref="L105">Common_InputFunctions.Utility_DisplayArrayInTable(Fertiliser_SourceData.Fertiliser_Products_Data1(), FertiliserProducts[[#Headers],[Company]],1)</f>
        <v>1</v>
      </c>
      <c r="M105" s="62" t="str" cm="1">
        <f t="array" ref="M105">Common_InputFunctions.Utility_DisplayArrayInTable(Fertiliser_SourceData.Fertiliser_Products_Data1(), FertiliserProducts[[#Headers],[Company]],1)</f>
        <v/>
      </c>
      <c r="N105" s="62" t="str" cm="1">
        <f t="array" ref="N105">Common_InputFunctions.Utility_DisplayArrayInTable(Fertiliser_SourceData.Fertiliser_Products_Data1(), FertiliserProducts[[#Headers],[Company]],1)</f>
        <v/>
      </c>
      <c r="O105" s="62" t="str" cm="1">
        <f t="array" ref="O105">Common_InputFunctions.Utility_DisplayArrayInTable(Fertiliser_SourceData.Fertiliser_Products_Data1(), FertiliserProducts[[#Headers],[Company]],1)</f>
        <v>Urea</v>
      </c>
      <c r="P105" s="62" cm="1">
        <f t="array" ref="P105">Common_InputFunctions.Utility_DisplayArrayInTable(Fertiliser_SourceData.Fertiliser_Products_Data1(), FertiliserProducts[[#Headers],[Company]],1)</f>
        <v>0.52173913000000005</v>
      </c>
      <c r="Q105" s="62" t="str" cm="1">
        <f t="array" ref="Q105">Common_InputFunctions.Utility_DisplayArrayInTable(Fertiliser_SourceData.Fertiliser_Products_Data1(), FertiliserProducts[[#Headers],[Company]],1)</f>
        <v>Potassium - Generic</v>
      </c>
      <c r="R105" s="62" cm="1">
        <f t="array" ref="R105">Common_InputFunctions.Utility_DisplayArrayInTable(Fertiliser_SourceData.Fertiliser_Products_Data1(), FertiliserProducts[[#Headers],[Company]],1)</f>
        <v>0.08</v>
      </c>
      <c r="S105" s="62" t="str" cm="1">
        <f t="array" ref="S105">Common_InputFunctions.Utility_DisplayArrayInTable(Fertiliser_SourceData.Fertiliser_Products_Data1(), FertiliserProducts[[#Headers],[Company]],1)</f>
        <v>Sulfur - Generic</v>
      </c>
      <c r="T105" s="62" cm="1">
        <f t="array" ref="T105">Common_InputFunctions.Utility_DisplayArrayInTable(Fertiliser_SourceData.Fertiliser_Products_Data1(), FertiliserProducts[[#Headers],[Company]],1)</f>
        <v>5.2999999999999999E-2</v>
      </c>
      <c r="U105" s="62" t="str" cm="1">
        <f t="array" ref="U105">Common_InputFunctions.Utility_DisplayArrayInTable(Fertiliser_SourceData.Fertiliser_Products_Data1(), FertiliserProducts[[#Headers],[Company]],1)</f>
        <v>Phosphorus - Generic</v>
      </c>
      <c r="V105" s="62" cm="1">
        <f t="array" ref="V105">Common_InputFunctions.Utility_DisplayArrayInTable(Fertiliser_SourceData.Fertiliser_Products_Data1(), FertiliserProducts[[#Headers],[Company]],1)</f>
        <v>5.1999999999999998E-2</v>
      </c>
      <c r="W105" s="62" t="str" cm="1">
        <f t="array" ref="W105">Common_InputFunctions.Utility_DisplayArrayInTable(Fertiliser_SourceData.Fertiliser_Products_Data1(), FertiliserProducts[[#Headers],[Company]],1)</f>
        <v>Magnesium</v>
      </c>
      <c r="X105" s="62" cm="1">
        <f t="array" ref="X105">Common_InputFunctions.Utility_DisplayArrayInTable(Fertiliser_SourceData.Fertiliser_Products_Data1(), FertiliserProducts[[#Headers],[Company]],1)</f>
        <v>1.2999999999999999E-2</v>
      </c>
      <c r="Y105" s="62" t="str" cm="1">
        <f t="array" ref="Y105">Common_InputFunctions.Utility_DisplayArrayInTable(Fertiliser_SourceData.Fertiliser_Products_Data1(), FertiliserProducts[[#Headers],[Company]],1)</f>
        <v>Zinc</v>
      </c>
      <c r="Z105" s="62" cm="1">
        <f t="array" ref="Z105">Common_InputFunctions.Utility_DisplayArrayInTable(Fertiliser_SourceData.Fertiliser_Products_Data1(), FertiliserProducts[[#Headers],[Company]],1)</f>
        <v>2E-3</v>
      </c>
      <c r="AA105" s="62" t="str" cm="1">
        <f t="array" ref="AA105">Common_InputFunctions.Utility_DisplayArrayInTable(Fertiliser_SourceData.Fertiliser_Products_Data1(), FertiliserProducts[[#Headers],[Company]],1)</f>
        <v>Manganese</v>
      </c>
      <c r="AB105" s="62" cm="1">
        <f t="array" ref="AB105">Common_InputFunctions.Utility_DisplayArrayInTable(Fertiliser_SourceData.Fertiliser_Products_Data1(), FertiliserProducts[[#Headers],[Company]],1)</f>
        <v>3.5000000000000001E-3</v>
      </c>
      <c r="AC105" s="62" t="str" cm="1">
        <f t="array" ref="AC105">Common_InputFunctions.Utility_DisplayArrayInTable(Fertiliser_SourceData.Fertiliser_Products_Data1(), FertiliserProducts[[#Headers],[Company]],1)</f>
        <v>Iron</v>
      </c>
      <c r="AD105" s="62" cm="1">
        <f t="array" ref="AD105">Common_InputFunctions.Utility_DisplayArrayInTable(Fertiliser_SourceData.Fertiliser_Products_Data1(), FertiliserProducts[[#Headers],[Company]],1)</f>
        <v>1.2999999999999999E-3</v>
      </c>
      <c r="AE105" s="62" t="str" cm="1">
        <f t="array" ref="AE105">Common_InputFunctions.Utility_DisplayArrayInTable(Fertiliser_SourceData.Fertiliser_Products_Data1(), FertiliserProducts[[#Headers],[Company]],1)</f>
        <v>Copper</v>
      </c>
      <c r="AF105" s="62" cm="1">
        <f t="array" ref="AF105">Common_InputFunctions.Utility_DisplayArrayInTable(Fertiliser_SourceData.Fertiliser_Products_Data1(), FertiliserProducts[[#Headers],[Company]],1)</f>
        <v>6.9999999999999999E-4</v>
      </c>
      <c r="AG105" s="62" t="str" cm="1">
        <f t="array" ref="AG105">Common_InputFunctions.Utility_DisplayArrayInTable(Fertiliser_SourceData.Fertiliser_Products_Data1(), FertiliserProducts[[#Headers],[Company]],1)</f>
        <v>Boron</v>
      </c>
      <c r="AH105" s="62" cm="1">
        <f t="array" ref="AH105">Common_InputFunctions.Utility_DisplayArrayInTable(Fertiliser_SourceData.Fertiliser_Products_Data1(), FertiliserProducts[[#Headers],[Company]],1)</f>
        <v>6.9999999999999999E-4</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Exclude - Not relevant</v>
      </c>
      <c r="E106" s="62" t="str" cm="1">
        <f t="array" ref="E106">Common_InputFunctions.Utility_DisplayArrayInTable(Fertiliser_SourceData.Fertiliser_Products_Data1(), FertiliserProducts[[#Headers],[Company]],1)</f>
        <v/>
      </c>
      <c r="F106" s="62" t="str" cm="1">
        <f t="array" ref="F106">Common_InputFunctions.Utility_DisplayArrayInTable(Fertiliser_SourceData.Fertiliser_Products_Data1(), FertiliserProducts[[#Headers],[Company]],1)</f>
        <v>Campbells fertilisers Australia</v>
      </c>
      <c r="G106" s="62" t="str" cm="1">
        <f t="array" ref="G106">Common_InputFunctions.Utility_DisplayArrayInTable(Fertiliser_SourceData.Fertiliser_Products_Data1(), FertiliserProducts[[#Headers],[Company]],1)</f>
        <v>Boroplus</v>
      </c>
      <c r="H106" s="62" t="str" cm="1">
        <f t="array" ref="H106">Common_InputFunctions.Utility_DisplayArrayInTable(Fertiliser_SourceData.Fertiliser_Products_Data1(), FertiliserProducts[[#Headers],[Company]],1)</f>
        <v>Boroplus - Campbells Fertilisers Australasia</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Not fertiliser - Do not include</v>
      </c>
      <c r="K106" s="62" t="str" cm="1">
        <f t="array" ref="K106">Common_InputFunctions.Utility_DisplayArrayInTable(Fertiliser_SourceData.Fertiliser_Products_Data1(), FertiliserProducts[[#Headers],[Company]],1)</f>
        <v/>
      </c>
      <c r="L106" s="62" t="str" cm="1">
        <f t="array" ref="L106">Common_InputFunctions.Utility_DisplayArrayInTable(Fertiliser_SourceData.Fertiliser_Products_Data1(), FertiliserProducts[[#Headers],[Company]],1)</f>
        <v/>
      </c>
      <c r="M106" s="62" t="str" cm="1">
        <f t="array" ref="M106">Common_InputFunctions.Utility_DisplayArrayInTable(Fertiliser_SourceData.Fertiliser_Products_Data1(), FertiliserProducts[[#Headers],[Company]],1)</f>
        <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
      </c>
      <c r="P106" s="62" t="str" cm="1">
        <f t="array" ref="P106">Common_InputFunctions.Utility_DisplayArrayInTable(Fertiliser_SourceData.Fertiliser_Products_Data1(), FertiliserProducts[[#Headers],[Company]],1)</f>
        <v/>
      </c>
      <c r="Q106" s="62" t="str" cm="1">
        <f t="array" ref="Q106">Common_InputFunctions.Utility_DisplayArrayInTable(Fertiliser_SourceData.Fertiliser_Products_Data1(), FertiliserProducts[[#Headers],[Company]],1)</f>
        <v/>
      </c>
      <c r="R106" s="62" t="str" cm="1">
        <f t="array" ref="R106">Common_InputFunctions.Utility_DisplayArrayInTable(Fertiliser_SourceData.Fertiliser_Products_Data1(), FertiliserProducts[[#Headers],[Company]],1)</f>
        <v/>
      </c>
      <c r="S106" s="62" t="str" cm="1">
        <f t="array" ref="S106">Common_InputFunctions.Utility_DisplayArrayInTable(Fertiliser_SourceData.Fertiliser_Products_Data1(), FertiliserProducts[[#Headers],[Company]],1)</f>
        <v/>
      </c>
      <c r="T106" s="62" t="str" cm="1">
        <f t="array" ref="T106">Common_InputFunctions.Utility_DisplayArrayInTable(Fertiliser_SourceData.Fertiliser_Products_Data1(), FertiliserProducts[[#Headers],[Company]],1)</f>
        <v/>
      </c>
      <c r="U106" s="62" t="str" cm="1">
        <f t="array" ref="U106">Common_InputFunctions.Utility_DisplayArrayInTable(Fertiliser_SourceData.Fertiliser_Products_Data1(), FertiliserProducts[[#Headers],[Company]],1)</f>
        <v/>
      </c>
      <c r="V106" s="62" t="str" cm="1">
        <f t="array" ref="V106">Common_InputFunctions.Utility_DisplayArrayInTable(Fertiliser_SourceData.Fertiliser_Products_Data1(), FertiliserProducts[[#Headers],[Company]],1)</f>
        <v/>
      </c>
      <c r="W106" s="62" t="str" cm="1">
        <f t="array" ref="W106">Common_InputFunctions.Utility_DisplayArrayInTable(Fertiliser_SourceData.Fertiliser_Products_Data1(), FertiliserProducts[[#Headers],[Company]],1)</f>
        <v/>
      </c>
      <c r="X106" s="62" t="str" cm="1">
        <f t="array" ref="X106">Common_InputFunctions.Utility_DisplayArrayInTable(Fertiliser_SourceData.Fertiliser_Products_Data1(), FertiliserProducts[[#Headers],[Company]],1)</f>
        <v/>
      </c>
      <c r="Y106" s="62" t="str" cm="1">
        <f t="array" ref="Y106">Common_InputFunctions.Utility_DisplayArrayInTable(Fertiliser_SourceData.Fertiliser_Products_Data1(), FertiliserProducts[[#Headers],[Company]],1)</f>
        <v/>
      </c>
      <c r="Z106" s="62" t="str" cm="1">
        <f t="array" ref="Z106">Common_InputFunctions.Utility_DisplayArrayInTable(Fertiliser_SourceData.Fertiliser_Products_Data1(), FertiliserProducts[[#Headers],[Company]],1)</f>
        <v/>
      </c>
      <c r="AA106" s="62" t="str" cm="1">
        <f t="array" ref="AA106">Common_InputFunctions.Utility_DisplayArrayInTable(Fertiliser_SourceData.Fertiliser_Products_Data1(), FertiliserProducts[[#Headers],[Company]],1)</f>
        <v/>
      </c>
      <c r="AB106" s="62" t="str" cm="1">
        <f t="array" ref="AB106">Common_InputFunctions.Utility_DisplayArrayInTable(Fertiliser_SourceData.Fertiliser_Products_Data1(), FertiliserProducts[[#Headers],[Company]],1)</f>
        <v/>
      </c>
      <c r="AC106" s="62" t="str" cm="1">
        <f t="array" ref="AC106">Common_InputFunctions.Utility_DisplayArrayInTable(Fertiliser_SourceData.Fertiliser_Products_Data1(), FertiliserProducts[[#Headers],[Company]],1)</f>
        <v/>
      </c>
      <c r="AD106" s="62" t="str" cm="1">
        <f t="array" ref="AD106">Common_InputFunctions.Utility_DisplayArrayInTable(Fertiliser_SourceData.Fertiliser_Products_Data1(), FertiliserProducts[[#Headers],[Company]],1)</f>
        <v/>
      </c>
      <c r="AE106" s="62" t="str" cm="1">
        <f t="array" ref="AE106">Common_InputFunctions.Utility_DisplayArrayInTable(Fertiliser_SourceData.Fertiliser_Products_Data1(), FertiliserProducts[[#Headers],[Company]],1)</f>
        <v/>
      </c>
      <c r="AF106" s="62" t="str" cm="1">
        <f t="array" ref="AF106">Common_InputFunctions.Utility_DisplayArrayInTable(Fertiliser_SourceData.Fertiliser_Products_Data1(), FertiliserProducts[[#Headers],[Company]],1)</f>
        <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Exclude - Not relevant</v>
      </c>
      <c r="E107" s="62" t="str" cm="1">
        <f t="array" ref="E107">Common_InputFunctions.Utility_DisplayArrayInTable(Fertiliser_SourceData.Fertiliser_Products_Data1(), FertiliserProducts[[#Headers],[Company]],1)</f>
        <v/>
      </c>
      <c r="F107" s="62" t="str" cm="1">
        <f t="array" ref="F107">Common_InputFunctions.Utility_DisplayArrayInTable(Fertiliser_SourceData.Fertiliser_Products_Data1(), FertiliserProducts[[#Headers],[Company]],1)</f>
        <v>Campbells fertilisers Australia</v>
      </c>
      <c r="G107" s="62" t="str" cm="1">
        <f t="array" ref="G107">Common_InputFunctions.Utility_DisplayArrayInTable(Fertiliser_SourceData.Fertiliser_Products_Data1(), FertiliserProducts[[#Headers],[Company]],1)</f>
        <v>Brevisol Range</v>
      </c>
      <c r="H107" s="62" t="str" cm="1">
        <f t="array" ref="H107">Common_InputFunctions.Utility_DisplayArrayInTable(Fertiliser_SourceData.Fertiliser_Products_Data1(), FertiliserProducts[[#Headers],[Company]],1)</f>
        <v>BreviSol Range - Campbells Fertilisers Australasia</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Not fertiliser - Do not include</v>
      </c>
      <c r="K107" s="62" t="str" cm="1">
        <f t="array" ref="K107">Common_InputFunctions.Utility_DisplayArrayInTable(Fertiliser_SourceData.Fertiliser_Products_Data1(), FertiliserProducts[[#Headers],[Company]],1)</f>
        <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
      </c>
      <c r="P107" s="62" t="str" cm="1">
        <f t="array" ref="P107">Common_InputFunctions.Utility_DisplayArrayInTable(Fertiliser_SourceData.Fertiliser_Products_Data1(), FertiliserProducts[[#Headers],[Company]],1)</f>
        <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Exclude - Not relevant</v>
      </c>
      <c r="E108" s="62" t="str" cm="1">
        <f t="array" ref="E108">Common_InputFunctions.Utility_DisplayArrayInTable(Fertiliser_SourceData.Fertiliser_Products_Data1(), FertiliserProducts[[#Headers],[Company]],1)</f>
        <v/>
      </c>
      <c r="F108" s="62" t="str" cm="1">
        <f t="array" ref="F108">Common_InputFunctions.Utility_DisplayArrayInTable(Fertiliser_SourceData.Fertiliser_Products_Data1(), FertiliserProducts[[#Headers],[Company]],1)</f>
        <v>Campbells fertilisers Australia</v>
      </c>
      <c r="G108" s="62" t="str" cm="1">
        <f t="array" ref="G108">Common_InputFunctions.Utility_DisplayArrayInTable(Fertiliser_SourceData.Fertiliser_Products_Data1(), FertiliserProducts[[#Headers],[Company]],1)</f>
        <v>Brexil Line</v>
      </c>
      <c r="H108" s="62" t="str" cm="1">
        <f t="array" ref="H108">Common_InputFunctions.Utility_DisplayArrayInTable(Fertiliser_SourceData.Fertiliser_Products_Data1(), FertiliserProducts[[#Headers],[Company]],1)</f>
        <v>Brexil Line - Campbells Fertilisers Australasia</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Not fertiliser - Do not include</v>
      </c>
      <c r="K108" s="62" t="str" cm="1">
        <f t="array" ref="K108">Common_InputFunctions.Utility_DisplayArrayInTable(Fertiliser_SourceData.Fertiliser_Products_Data1(), FertiliserProducts[[#Headers],[Company]],1)</f>
        <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t="str" cm="1">
        <f t="array" ref="N108">Common_InputFunctions.Utility_DisplayArrayInTable(Fertiliser_SourceData.Fertiliser_Products_Data1(), FertiliserProducts[[#Headers],[Company]],1)</f>
        <v/>
      </c>
      <c r="O108" s="62" t="str" cm="1">
        <f t="array" ref="O108">Common_InputFunctions.Utility_DisplayArrayInTable(Fertiliser_SourceData.Fertiliser_Products_Data1(), FertiliserProducts[[#Headers],[Company]],1)</f>
        <v/>
      </c>
      <c r="P108" s="62" t="str" cm="1">
        <f t="array" ref="P108">Common_InputFunctions.Utility_DisplayArrayInTable(Fertiliser_SourceData.Fertiliser_Products_Data1(), FertiliserProducts[[#Headers],[Company]],1)</f>
        <v/>
      </c>
      <c r="Q108" s="62" t="str" cm="1">
        <f t="array" ref="Q108">Common_InputFunctions.Utility_DisplayArrayInTable(Fertiliser_SourceData.Fertiliser_Products_Data1(), FertiliserProducts[[#Headers],[Company]],1)</f>
        <v/>
      </c>
      <c r="R108" s="62" t="str" cm="1">
        <f t="array" ref="R108">Common_InputFunctions.Utility_DisplayArrayInTable(Fertiliser_SourceData.Fertiliser_Products_Data1(), FertiliserProducts[[#Headers],[Company]],1)</f>
        <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Include</v>
      </c>
      <c r="E109" s="62" t="str" cm="1">
        <f t="array" ref="E109">Common_InputFunctions.Utility_DisplayArrayInTable(Fertiliser_SourceData.Fertiliser_Products_Data1(), FertiliserProducts[[#Headers],[Company]],1)</f>
        <v/>
      </c>
      <c r="F109" s="62" t="str" cm="1">
        <f t="array" ref="F109">Common_InputFunctions.Utility_DisplayArrayInTable(Fertiliser_SourceData.Fertiliser_Products_Data1(), FertiliserProducts[[#Headers],[Company]],1)</f>
        <v>Campbells fertilisers Australia</v>
      </c>
      <c r="G109" s="62" t="str" cm="1">
        <f t="array" ref="G109">Common_InputFunctions.Utility_DisplayArrayInTable(Fertiliser_SourceData.Fertiliser_Products_Data1(), FertiliserProducts[[#Headers],[Company]],1)</f>
        <v>Bronze</v>
      </c>
      <c r="H109" s="62" t="str" cm="1">
        <f t="array" ref="H109">Common_InputFunctions.Utility_DisplayArrayInTable(Fertiliser_SourceData.Fertiliser_Products_Data1(), FertiliserProducts[[#Headers],[Company]],1)</f>
        <v>Bronze - Campbells Fertilisers Australasia</v>
      </c>
      <c r="I109" s="62" t="str" cm="1">
        <f t="array" ref="I109">Common_InputFunctions.Utility_DisplayArrayInTable(Fertiliser_SourceData.Fertiliser_Products_Data1(), FertiliserProducts[[#Headers],[Company]],1)</f>
        <v>Website</v>
      </c>
      <c r="J109" s="62" t="str" cm="1">
        <f t="array" ref="J109">Common_InputFunctions.Utility_DisplayArrayInTable(Fertiliser_SourceData.Fertiliser_Products_Data1(), FertiliserProducts[[#Headers],[Company]],1)</f>
        <v/>
      </c>
      <c r="K109" s="62" t="str" cm="1">
        <f t="array" ref="K109">Common_InputFunctions.Utility_DisplayArrayInTable(Fertiliser_SourceData.Fertiliser_Products_Data1(), FertiliserProducts[[#Headers],[Company]],1)</f>
        <v>kg</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t="str" cm="1">
        <f t="array" ref="N109">Common_InputFunctions.Utility_DisplayArrayInTable(Fertiliser_SourceData.Fertiliser_Products_Data1(), FertiliserProducts[[#Headers],[Company]],1)</f>
        <v/>
      </c>
      <c r="O109" s="62" t="str" cm="1">
        <f t="array" ref="O109">Common_InputFunctions.Utility_DisplayArrayInTable(Fertiliser_SourceData.Fertiliser_Products_Data1(), FertiliserProducts[[#Headers],[Company]],1)</f>
        <v>Muriate of Potash (MOP)</v>
      </c>
      <c r="P109" s="62" cm="1">
        <f t="array" ref="P109">Common_InputFunctions.Utility_DisplayArrayInTable(Fertiliser_SourceData.Fertiliser_Products_Data1(), FertiliserProducts[[#Headers],[Company]],1)</f>
        <v>0.23200000000000001</v>
      </c>
      <c r="Q109" s="62" t="str" cm="1">
        <f t="array" ref="Q109">Common_InputFunctions.Utility_DisplayArrayInTable(Fertiliser_SourceData.Fertiliser_Products_Data1(), FertiliserProducts[[#Headers],[Company]],1)</f>
        <v>Nitrogen - Generic</v>
      </c>
      <c r="R109" s="62" cm="1">
        <f t="array" ref="R109">Common_InputFunctions.Utility_DisplayArrayInTable(Fertiliser_SourceData.Fertiliser_Products_Data1(), FertiliserProducts[[#Headers],[Company]],1)</f>
        <v>0.17</v>
      </c>
      <c r="S109" s="62" t="str" cm="1">
        <f t="array" ref="S109">Common_InputFunctions.Utility_DisplayArrayInTable(Fertiliser_SourceData.Fertiliser_Products_Data1(), FertiliserProducts[[#Headers],[Company]],1)</f>
        <v>Sulfur - Generic</v>
      </c>
      <c r="T109" s="62" cm="1">
        <f t="array" ref="T109">Common_InputFunctions.Utility_DisplayArrayInTable(Fertiliser_SourceData.Fertiliser_Products_Data1(), FertiliserProducts[[#Headers],[Company]],1)</f>
        <v>5.0000000000000001E-3</v>
      </c>
      <c r="U109" s="62" t="str" cm="1">
        <f t="array" ref="U109">Common_InputFunctions.Utility_DisplayArrayInTable(Fertiliser_SourceData.Fertiliser_Products_Data1(), FertiliserProducts[[#Headers],[Company]],1)</f>
        <v>Magnesium</v>
      </c>
      <c r="V109" s="62" cm="1">
        <f t="array" ref="V109">Common_InputFunctions.Utility_DisplayArrayInTable(Fertiliser_SourceData.Fertiliser_Products_Data1(), FertiliserProducts[[#Headers],[Company]],1)</f>
        <v>2.3999999999999998E-3</v>
      </c>
      <c r="W109" s="62" t="str" cm="1">
        <f t="array" ref="W109">Common_InputFunctions.Utility_DisplayArrayInTable(Fertiliser_SourceData.Fertiliser_Products_Data1(), FertiliserProducts[[#Headers],[Company]],1)</f>
        <v>Phosphorus - Generic</v>
      </c>
      <c r="X109" s="62" cm="1">
        <f t="array" ref="X109">Common_InputFunctions.Utility_DisplayArrayInTable(Fertiliser_SourceData.Fertiliser_Products_Data1(), FertiliserProducts[[#Headers],[Company]],1)</f>
        <v>4.0000000000000002E-4</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Exclude - Absent ingredients &gt; 2%</v>
      </c>
      <c r="E110" s="62" t="str" cm="1">
        <f t="array" ref="E110">Common_InputFunctions.Utility_DisplayArrayInTable(Fertiliser_SourceData.Fertiliser_Products_Data1(), FertiliserProducts[[#Headers],[Company]],1)</f>
        <v/>
      </c>
      <c r="F110" s="62" t="str" cm="1">
        <f t="array" ref="F110">Common_InputFunctions.Utility_DisplayArrayInTable(Fertiliser_SourceData.Fertiliser_Products_Data1(), FertiliserProducts[[#Headers],[Company]],1)</f>
        <v>Campbells fertilisers Australia</v>
      </c>
      <c r="G110" s="62" t="str" cm="1">
        <f t="array" ref="G110">Common_InputFunctions.Utility_DisplayArrayInTable(Fertiliser_SourceData.Fertiliser_Products_Data1(), FertiliserProducts[[#Headers],[Company]],1)</f>
        <v>Bud-Wiser Dry</v>
      </c>
      <c r="H110" s="62" t="str" cm="1">
        <f t="array" ref="H110">Common_InputFunctions.Utility_DisplayArrayInTable(Fertiliser_SourceData.Fertiliser_Products_Data1(), FertiliserProducts[[#Headers],[Company]],1)</f>
        <v>Bud-Wiser Dry - Campbells Fertilisers Australasia</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t="str" cm="1">
        <f t="array" ref="K110">Common_InputFunctions.Utility_DisplayArrayInTable(Fertiliser_SourceData.Fertiliser_Products_Data1(), FertiliserProducts[[#Headers],[Company]],1)</f>
        <v>kg</v>
      </c>
      <c r="L110" s="62" t="str" cm="1">
        <f t="array" ref="L110">Common_InputFunctions.Utility_DisplayArrayInTable(Fertiliser_SourceData.Fertiliser_Products_Data1(), FertiliserProducts[[#Headers],[Company]],1)</f>
        <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Sulfur - Generic</v>
      </c>
      <c r="P110" s="62" cm="1">
        <f t="array" ref="P110">Common_InputFunctions.Utility_DisplayArrayInTable(Fertiliser_SourceData.Fertiliser_Products_Data1(), FertiliserProducts[[#Headers],[Company]],1)</f>
        <v>9.4E-2</v>
      </c>
      <c r="Q110" s="62" t="str" cm="1">
        <f t="array" ref="Q110">Common_InputFunctions.Utility_DisplayArrayInTable(Fertiliser_SourceData.Fertiliser_Products_Data1(), FertiliserProducts[[#Headers],[Company]],1)</f>
        <v>Magnesium</v>
      </c>
      <c r="R110" s="62" cm="1">
        <f t="array" ref="R110">Common_InputFunctions.Utility_DisplayArrayInTable(Fertiliser_SourceData.Fertiliser_Products_Data1(), FertiliserProducts[[#Headers],[Company]],1)</f>
        <v>0.06</v>
      </c>
      <c r="S110" s="62" t="str" cm="1">
        <f t="array" ref="S110">Common_InputFunctions.Utility_DisplayArrayInTable(Fertiliser_SourceData.Fertiliser_Products_Data1(), FertiliserProducts[[#Headers],[Company]],1)</f>
        <v>Boron</v>
      </c>
      <c r="T110" s="62" cm="1">
        <f t="array" ref="T110">Common_InputFunctions.Utility_DisplayArrayInTable(Fertiliser_SourceData.Fertiliser_Products_Data1(), FertiliserProducts[[#Headers],[Company]],1)</f>
        <v>4.4999999999999998E-2</v>
      </c>
      <c r="U110" s="62" t="str" cm="1">
        <f t="array" ref="U110">Common_InputFunctions.Utility_DisplayArrayInTable(Fertiliser_SourceData.Fertiliser_Products_Data1(), FertiliserProducts[[#Headers],[Company]],1)</f>
        <v>Zinc</v>
      </c>
      <c r="V110" s="62" cm="1">
        <f t="array" ref="V110">Common_InputFunctions.Utility_DisplayArrayInTable(Fertiliser_SourceData.Fertiliser_Products_Data1(), FertiliserProducts[[#Headers],[Company]],1)</f>
        <v>2.7E-2</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Exclude - Not relevant</v>
      </c>
      <c r="E111" s="62" t="str" cm="1">
        <f t="array" ref="E111">Common_InputFunctions.Utility_DisplayArrayInTable(Fertiliser_SourceData.Fertiliser_Products_Data1(), FertiliserProducts[[#Headers],[Company]],1)</f>
        <v/>
      </c>
      <c r="F111" s="62" t="str" cm="1">
        <f t="array" ref="F111">Common_InputFunctions.Utility_DisplayArrayInTable(Fertiliser_SourceData.Fertiliser_Products_Data1(), FertiliserProducts[[#Headers],[Company]],1)</f>
        <v>Campbells fertilisers Australia</v>
      </c>
      <c r="G111" s="62" t="str" cm="1">
        <f t="array" ref="G111">Common_InputFunctions.Utility_DisplayArrayInTable(Fertiliser_SourceData.Fertiliser_Products_Data1(), FertiliserProducts[[#Headers],[Company]],1)</f>
        <v>Calbit C</v>
      </c>
      <c r="H111" s="62" t="str" cm="1">
        <f t="array" ref="H111">Common_InputFunctions.Utility_DisplayArrayInTable(Fertiliser_SourceData.Fertiliser_Products_Data1(), FertiliserProducts[[#Headers],[Company]],1)</f>
        <v>Calbit C - Campbells Fertilisers Australasia</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Not fertiliser - Do not include</v>
      </c>
      <c r="K111" s="62" t="str" cm="1">
        <f t="array" ref="K111">Common_InputFunctions.Utility_DisplayArrayInTable(Fertiliser_SourceData.Fertiliser_Products_Data1(), FertiliserProducts[[#Headers],[Company]],1)</f>
        <v>L</v>
      </c>
      <c r="L111" s="62" t="str" cm="1">
        <f t="array" ref="L111">Common_InputFunctions.Utility_DisplayArrayInTable(Fertiliser_SourceData.Fertiliser_Products_Data1(), FertiliserProducts[[#Headers],[Company]],1)</f>
        <v/>
      </c>
      <c r="M111" s="62" t="str" cm="1">
        <f t="array" ref="M111">Common_InputFunctions.Utility_DisplayArrayInTable(Fertiliser_SourceData.Fertiliser_Products_Data1(), FertiliserProducts[[#Headers],[Company]],1)</f>
        <v/>
      </c>
      <c r="N111" s="62" t="str" cm="1">
        <f t="array" ref="N111">Common_InputFunctions.Utility_DisplayArrayInTable(Fertiliser_SourceData.Fertiliser_Products_Data1(), FertiliserProducts[[#Headers],[Company]],1)</f>
        <v/>
      </c>
      <c r="O111" s="62" t="str" cm="1">
        <f t="array" ref="O111">Common_InputFunctions.Utility_DisplayArrayInTable(Fertiliser_SourceData.Fertiliser_Products_Data1(), FertiliserProducts[[#Headers],[Company]],1)</f>
        <v/>
      </c>
      <c r="P111" s="62" t="str" cm="1">
        <f t="array" ref="P111">Common_InputFunctions.Utility_DisplayArrayInTable(Fertiliser_SourceData.Fertiliser_Products_Data1(), FertiliserProducts[[#Headers],[Company]],1)</f>
        <v/>
      </c>
      <c r="Q111" s="62" t="str" cm="1">
        <f t="array" ref="Q111">Common_InputFunctions.Utility_DisplayArrayInTable(Fertiliser_SourceData.Fertiliser_Products_Data1(), FertiliserProducts[[#Headers],[Company]],1)</f>
        <v/>
      </c>
      <c r="R111" s="62" t="str" cm="1">
        <f t="array" ref="R111">Common_InputFunctions.Utility_DisplayArrayInTable(Fertiliser_SourceData.Fertiliser_Products_Data1(), FertiliserProducts[[#Headers],[Company]],1)</f>
        <v/>
      </c>
      <c r="S111" s="62" t="str" cm="1">
        <f t="array" ref="S111">Common_InputFunctions.Utility_DisplayArrayInTable(Fertiliser_SourceData.Fertiliser_Products_Data1(), FertiliserProducts[[#Headers],[Company]],1)</f>
        <v/>
      </c>
      <c r="T111" s="62" t="str" cm="1">
        <f t="array" ref="T111">Common_InputFunctions.Utility_DisplayArrayInTable(Fertiliser_SourceData.Fertiliser_Products_Data1(), FertiliserProducts[[#Headers],[Company]],1)</f>
        <v/>
      </c>
      <c r="U111" s="62" t="str" cm="1">
        <f t="array" ref="U111">Common_InputFunctions.Utility_DisplayArrayInTable(Fertiliser_SourceData.Fertiliser_Products_Data1(), FertiliserProducts[[#Headers],[Company]],1)</f>
        <v/>
      </c>
      <c r="V111" s="62" t="str" cm="1">
        <f t="array" ref="V111">Common_InputFunctions.Utility_DisplayArrayInTable(Fertiliser_SourceData.Fertiliser_Products_Data1(), FertiliserProducts[[#Headers],[Company]],1)</f>
        <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Exclude - Not relevant</v>
      </c>
      <c r="E112" s="62" t="str" cm="1">
        <f t="array" ref="E112">Common_InputFunctions.Utility_DisplayArrayInTable(Fertiliser_SourceData.Fertiliser_Products_Data1(), FertiliserProducts[[#Headers],[Company]],1)</f>
        <v/>
      </c>
      <c r="F112" s="62" t="str" cm="1">
        <f t="array" ref="F112">Common_InputFunctions.Utility_DisplayArrayInTable(Fertiliser_SourceData.Fertiliser_Products_Data1(), FertiliserProducts[[#Headers],[Company]],1)</f>
        <v>Campbells fertilisers Australia</v>
      </c>
      <c r="G112" s="62" t="str" cm="1">
        <f t="array" ref="G112">Common_InputFunctions.Utility_DisplayArrayInTable(Fertiliser_SourceData.Fertiliser_Products_Data1(), FertiliserProducts[[#Headers],[Company]],1)</f>
        <v>Calcium 175</v>
      </c>
      <c r="H112" s="62" t="str" cm="1">
        <f t="array" ref="H112">Common_InputFunctions.Utility_DisplayArrayInTable(Fertiliser_SourceData.Fertiliser_Products_Data1(), FertiliserProducts[[#Headers],[Company]],1)</f>
        <v>Calcium 175 - Campbells Fertilisers Australasia</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Not fertiliser - Do not include</v>
      </c>
      <c r="K112" s="62" t="str" cm="1">
        <f t="array" ref="K112">Common_InputFunctions.Utility_DisplayArrayInTable(Fertiliser_SourceData.Fertiliser_Products_Data1(), FertiliserProducts[[#Headers],[Company]],1)</f>
        <v>L</v>
      </c>
      <c r="L112" s="62" t="str" cm="1">
        <f t="array" ref="L112">Common_InputFunctions.Utility_DisplayArrayInTable(Fertiliser_SourceData.Fertiliser_Products_Data1(), FertiliserProducts[[#Headers],[Company]],1)</f>
        <v/>
      </c>
      <c r="M112" s="62" t="str" cm="1">
        <f t="array" ref="M112">Common_InputFunctions.Utility_DisplayArrayInTable(Fertiliser_SourceData.Fertiliser_Products_Data1(), FertiliserProducts[[#Headers],[Company]],1)</f>
        <v/>
      </c>
      <c r="N112" s="62" t="str" cm="1">
        <f t="array" ref="N112">Common_InputFunctions.Utility_DisplayArrayInTable(Fertiliser_SourceData.Fertiliser_Products_Data1(), FertiliserProducts[[#Headers],[Company]],1)</f>
        <v/>
      </c>
      <c r="O112" s="62" t="str" cm="1">
        <f t="array" ref="O112">Common_InputFunctions.Utility_DisplayArrayInTable(Fertiliser_SourceData.Fertiliser_Products_Data1(), FertiliserProducts[[#Headers],[Company]],1)</f>
        <v/>
      </c>
      <c r="P112" s="62" t="str" cm="1">
        <f t="array" ref="P112">Common_InputFunctions.Utility_DisplayArrayInTable(Fertiliser_SourceData.Fertiliser_Products_Data1(), FertiliserProducts[[#Headers],[Company]],1)</f>
        <v/>
      </c>
      <c r="Q112" s="62" t="str" cm="1">
        <f t="array" ref="Q112">Common_InputFunctions.Utility_DisplayArrayInTable(Fertiliser_SourceData.Fertiliser_Products_Data1(), FertiliserProducts[[#Headers],[Company]],1)</f>
        <v/>
      </c>
      <c r="R112" s="62" t="str" cm="1">
        <f t="array" ref="R112">Common_InputFunctions.Utility_DisplayArrayInTable(Fertiliser_SourceData.Fertiliser_Products_Data1(), FertiliserProducts[[#Headers],[Company]],1)</f>
        <v/>
      </c>
      <c r="S112" s="62" t="str" cm="1">
        <f t="array" ref="S112">Common_InputFunctions.Utility_DisplayArrayInTable(Fertiliser_SourceData.Fertiliser_Products_Data1(), FertiliserProducts[[#Headers],[Company]],1)</f>
        <v/>
      </c>
      <c r="T112" s="62" t="str" cm="1">
        <f t="array" ref="T112">Common_InputFunctions.Utility_DisplayArrayInTable(Fertiliser_SourceData.Fertiliser_Products_Data1(), FertiliserProducts[[#Headers],[Company]],1)</f>
        <v/>
      </c>
      <c r="U112" s="62" t="str" cm="1">
        <f t="array" ref="U112">Common_InputFunctions.Utility_DisplayArrayInTable(Fertiliser_SourceData.Fertiliser_Products_Data1(), FertiliserProducts[[#Headers],[Company]],1)</f>
        <v/>
      </c>
      <c r="V112" s="62" t="str" cm="1">
        <f t="array" ref="V112">Common_InputFunctions.Utility_DisplayArrayInTable(Fertiliser_SourceData.Fertiliser_Products_Data1(), FertiliserProducts[[#Headers],[Company]],1)</f>
        <v/>
      </c>
      <c r="W112" s="62" t="str" cm="1">
        <f t="array" ref="W112">Common_InputFunctions.Utility_DisplayArrayInTable(Fertiliser_SourceData.Fertiliser_Products_Data1(), FertiliserProducts[[#Headers],[Company]],1)</f>
        <v/>
      </c>
      <c r="X112" s="62" t="str" cm="1">
        <f t="array" ref="X112">Common_InputFunctions.Utility_DisplayArrayInTable(Fertiliser_SourceData.Fertiliser_Products_Data1(), FertiliserProducts[[#Headers],[Company]],1)</f>
        <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Include</v>
      </c>
      <c r="E113" s="62" t="str" cm="1">
        <f t="array" ref="E113">Common_InputFunctions.Utility_DisplayArrayInTable(Fertiliser_SourceData.Fertiliser_Products_Data1(), FertiliserProducts[[#Headers],[Company]],1)</f>
        <v>Use Lime EF for calcium</v>
      </c>
      <c r="F113" s="62" t="str" cm="1">
        <f t="array" ref="F113">Common_InputFunctions.Utility_DisplayArrayInTable(Fertiliser_SourceData.Fertiliser_Products_Data1(), FertiliserProducts[[#Headers],[Company]],1)</f>
        <v>Campbells fertilisers Australia</v>
      </c>
      <c r="G113" s="62" t="str" cm="1">
        <f t="array" ref="G113">Common_InputFunctions.Utility_DisplayArrayInTable(Fertiliser_SourceData.Fertiliser_Products_Data1(), FertiliserProducts[[#Headers],[Company]],1)</f>
        <v>CalPhos</v>
      </c>
      <c r="H113" s="62" t="str" cm="1">
        <f t="array" ref="H113">Common_InputFunctions.Utility_DisplayArrayInTable(Fertiliser_SourceData.Fertiliser_Products_Data1(), FertiliserProducts[[#Headers],[Company]],1)</f>
        <v>Calphos - Campbells Fertilisers Australasia</v>
      </c>
      <c r="I113" s="62" t="str" cm="1">
        <f t="array" ref="I113">Common_InputFunctions.Utility_DisplayArrayInTable(Fertiliser_SourceData.Fertiliser_Products_Data1(), FertiliserProducts[[#Headers],[Company]],1)</f>
        <v>Website</v>
      </c>
      <c r="J113" s="62" t="str" cm="1">
        <f t="array" ref="J113">Common_InputFunctions.Utility_DisplayArrayInTable(Fertiliser_SourceData.Fertiliser_Products_Data1(), FertiliserProducts[[#Headers],[Company]],1)</f>
        <v/>
      </c>
      <c r="K113" s="62" t="str" cm="1">
        <f t="array" ref="K113">Common_InputFunctions.Utility_DisplayArrayInTable(Fertiliser_SourceData.Fertiliser_Products_Data1(), FertiliserProducts[[#Headers],[Company]],1)</f>
        <v>L</v>
      </c>
      <c r="L113" s="62" cm="1">
        <f t="array" ref="L113">Common_InputFunctions.Utility_DisplayArrayInTable(Fertiliser_SourceData.Fertiliser_Products_Data1(), FertiliserProducts[[#Headers],[Company]],1)</f>
        <v>1.2849999999999999</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Phosphorus - Generic</v>
      </c>
      <c r="P113" s="62" cm="1">
        <f t="array" ref="P113">Common_InputFunctions.Utility_DisplayArrayInTable(Fertiliser_SourceData.Fertiliser_Products_Data1(), FertiliserProducts[[#Headers],[Company]],1)</f>
        <v>0.13500000000000001</v>
      </c>
      <c r="Q113" s="62" t="str" cm="1">
        <f t="array" ref="Q113">Common_InputFunctions.Utility_DisplayArrayInTable(Fertiliser_SourceData.Fertiliser_Products_Data1(), FertiliserProducts[[#Headers],[Company]],1)</f>
        <v>Calcium - Generic</v>
      </c>
      <c r="R113" s="62" cm="1">
        <f t="array" ref="R113">Common_InputFunctions.Utility_DisplayArrayInTable(Fertiliser_SourceData.Fertiliser_Products_Data1(), FertiliserProducts[[#Headers],[Company]],1)</f>
        <v>0.04</v>
      </c>
      <c r="S113" s="62" t="str" cm="1">
        <f t="array" ref="S113">Common_InputFunctions.Utility_DisplayArrayInTable(Fertiliser_SourceData.Fertiliser_Products_Data1(), FertiliserProducts[[#Headers],[Company]],1)</f>
        <v/>
      </c>
      <c r="T113" s="62" t="str" cm="1">
        <f t="array" ref="T113">Common_InputFunctions.Utility_DisplayArrayInTable(Fertiliser_SourceData.Fertiliser_Products_Data1(), FertiliserProducts[[#Headers],[Company]],1)</f>
        <v/>
      </c>
      <c r="U113" s="62" t="str" cm="1">
        <f t="array" ref="U113">Common_InputFunctions.Utility_DisplayArrayInTable(Fertiliser_SourceData.Fertiliser_Products_Data1(), FertiliserProducts[[#Headers],[Company]],1)</f>
        <v/>
      </c>
      <c r="V113" s="62" t="str" cm="1">
        <f t="array" ref="V113">Common_InputFunctions.Utility_DisplayArrayInTable(Fertiliser_SourceData.Fertiliser_Products_Data1(), FertiliserProducts[[#Headers],[Company]],1)</f>
        <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
      </c>
      <c r="E114" s="62" t="str" cm="1">
        <f t="array" ref="E114">Common_InputFunctions.Utility_DisplayArrayInTable(Fertiliser_SourceData.Fertiliser_Products_Data1(), FertiliserProducts[[#Headers],[Company]],1)</f>
        <v/>
      </c>
      <c r="F114" s="62" t="str" cm="1">
        <f t="array" ref="F114">Common_InputFunctions.Utility_DisplayArrayInTable(Fertiliser_SourceData.Fertiliser_Products_Data1(), FertiliserProducts[[#Headers],[Company]],1)</f>
        <v/>
      </c>
      <c r="G114" s="62" t="str" cm="1">
        <f t="array" ref="G114">Common_InputFunctions.Utility_DisplayArrayInTable(Fertiliser_SourceData.Fertiliser_Products_Data1(), FertiliserProducts[[#Headers],[Company]],1)</f>
        <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
      </c>
      <c r="K114" s="62" t="str" cm="1">
        <f t="array" ref="K114">Common_InputFunctions.Utility_DisplayArrayInTable(Fertiliser_SourceData.Fertiliser_Products_Data1(), FertiliserProducts[[#Headers],[Company]],1)</f>
        <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
      </c>
      <c r="P114" s="62" t="str" cm="1">
        <f t="array" ref="P114">Common_InputFunctions.Utility_DisplayArrayInTable(Fertiliser_SourceData.Fertiliser_Products_Data1(), FertiliserProducts[[#Headers],[Company]],1)</f>
        <v/>
      </c>
      <c r="Q114" s="62" t="str" cm="1">
        <f t="array" ref="Q114">Common_InputFunctions.Utility_DisplayArrayInTable(Fertiliser_SourceData.Fertiliser_Products_Data1(), FertiliserProducts[[#Headers],[Company]],1)</f>
        <v/>
      </c>
      <c r="R114" s="62" t="str" cm="1">
        <f t="array" ref="R114">Common_InputFunctions.Utility_DisplayArrayInTable(Fertiliser_SourceData.Fertiliser_Products_Data1(), FertiliserProducts[[#Headers],[Company]],1)</f>
        <v/>
      </c>
      <c r="S114" s="62" t="str" cm="1">
        <f t="array" ref="S114">Common_InputFunctions.Utility_DisplayArrayInTable(Fertiliser_SourceData.Fertiliser_Products_Data1(), FertiliserProducts[[#Headers],[Company]],1)</f>
        <v/>
      </c>
      <c r="T114" s="62" t="str" cm="1">
        <f t="array" ref="T114">Common_InputFunctions.Utility_DisplayArrayInTable(Fertiliser_SourceData.Fertiliser_Products_Data1(), FertiliserProducts[[#Headers],[Company]],1)</f>
        <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
      </c>
      <c r="E115" s="62" t="str" cm="1">
        <f t="array" ref="E115">Common_InputFunctions.Utility_DisplayArrayInTable(Fertiliser_SourceData.Fertiliser_Products_Data1(), FertiliserProducts[[#Headers],[Company]],1)</f>
        <v/>
      </c>
      <c r="F115" s="62" t="str" cm="1">
        <f t="array" ref="F115">Common_InputFunctions.Utility_DisplayArrayInTable(Fertiliser_SourceData.Fertiliser_Products_Data1(), FertiliserProducts[[#Headers],[Company]],1)</f>
        <v/>
      </c>
      <c r="G115" s="62" t="str" cm="1">
        <f t="array" ref="G115">Common_InputFunctions.Utility_DisplayArrayInTable(Fertiliser_SourceData.Fertiliser_Products_Data1(), FertiliserProducts[[#Headers],[Company]],1)</f>
        <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
      </c>
      <c r="P115" s="62" t="str" cm="1">
        <f t="array" ref="P115">Common_InputFunctions.Utility_DisplayArrayInTable(Fertiliser_SourceData.Fertiliser_Products_Data1(), FertiliserProducts[[#Headers],[Company]],1)</f>
        <v/>
      </c>
      <c r="Q115" s="62" t="str" cm="1">
        <f t="array" ref="Q115">Common_InputFunctions.Utility_DisplayArrayInTable(Fertiliser_SourceData.Fertiliser_Products_Data1(), FertiliserProducts[[#Headers],[Company]],1)</f>
        <v/>
      </c>
      <c r="R115" s="62" t="str" cm="1">
        <f t="array" ref="R115">Common_InputFunctions.Utility_DisplayArrayInTable(Fertiliser_SourceData.Fertiliser_Products_Data1(), FertiliserProducts[[#Headers],[Company]],1)</f>
        <v/>
      </c>
      <c r="S115" s="62" t="str" cm="1">
        <f t="array" ref="S115">Common_InputFunctions.Utility_DisplayArrayInTable(Fertiliser_SourceData.Fertiliser_Products_Data1(), FertiliserProducts[[#Headers],[Company]],1)</f>
        <v/>
      </c>
      <c r="T115" s="62" t="str" cm="1">
        <f t="array" ref="T115">Common_InputFunctions.Utility_DisplayArrayInTable(Fertiliser_SourceData.Fertiliser_Products_Data1(), FertiliserProducts[[#Headers],[Company]],1)</f>
        <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
      </c>
      <c r="E116" s="62" t="str" cm="1">
        <f t="array" ref="E116">Common_InputFunctions.Utility_DisplayArrayInTable(Fertiliser_SourceData.Fertiliser_Products_Data1(), FertiliserProducts[[#Headers],[Company]],1)</f>
        <v/>
      </c>
      <c r="F116" s="62" t="str" cm="1">
        <f t="array" ref="F116">Common_InputFunctions.Utility_DisplayArrayInTable(Fertiliser_SourceData.Fertiliser_Products_Data1(), FertiliserProducts[[#Headers],[Company]],1)</f>
        <v/>
      </c>
      <c r="G116" s="62" t="str" cm="1">
        <f t="array" ref="G116">Common_InputFunctions.Utility_DisplayArrayInTable(Fertiliser_SourceData.Fertiliser_Products_Data1(), FertiliserProducts[[#Headers],[Company]],1)</f>
        <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t="str" cm="1">
        <f t="array" ref="K116">Common_InputFunctions.Utility_DisplayArrayInTable(Fertiliser_SourceData.Fertiliser_Products_Data1(), FertiliserProducts[[#Headers],[Company]],1)</f>
        <v/>
      </c>
      <c r="L116" s="62" t="str" cm="1">
        <f t="array" ref="L116">Common_InputFunctions.Utility_DisplayArrayInTable(Fertiliser_SourceData.Fertiliser_Products_Data1(), FertiliserProducts[[#Headers],[Company]],1)</f>
        <v/>
      </c>
      <c r="M116" s="62" t="str" cm="1">
        <f t="array" ref="M116">Common_InputFunctions.Utility_DisplayArrayInTable(Fertiliser_SourceData.Fertiliser_Products_Data1(), FertiliserProducts[[#Headers],[Company]],1)</f>
        <v/>
      </c>
      <c r="N116" s="62" t="str" cm="1">
        <f t="array" ref="N116">Common_InputFunctions.Utility_DisplayArrayInTable(Fertiliser_SourceData.Fertiliser_Products_Data1(), FertiliserProducts[[#Headers],[Company]],1)</f>
        <v/>
      </c>
      <c r="O116" s="62" t="str" cm="1">
        <f t="array" ref="O116">Common_InputFunctions.Utility_DisplayArrayInTable(Fertiliser_SourceData.Fertiliser_Products_Data1(), FertiliserProducts[[#Headers],[Company]],1)</f>
        <v/>
      </c>
      <c r="P116" s="62" t="str" cm="1">
        <f t="array" ref="P116">Common_InputFunctions.Utility_DisplayArrayInTable(Fertiliser_SourceData.Fertiliser_Products_Data1(), FertiliserProducts[[#Headers],[Company]],1)</f>
        <v/>
      </c>
      <c r="Q116" s="62" t="str" cm="1">
        <f t="array" ref="Q116">Common_InputFunctions.Utility_DisplayArrayInTable(Fertiliser_SourceData.Fertiliser_Products_Data1(), FertiliserProducts[[#Headers],[Company]],1)</f>
        <v/>
      </c>
      <c r="R116" s="62" t="str" cm="1">
        <f t="array" ref="R116">Common_InputFunctions.Utility_DisplayArrayInTable(Fertiliser_SourceData.Fertiliser_Products_Data1(), FertiliserProducts[[#Headers],[Company]],1)</f>
        <v/>
      </c>
      <c r="S116" s="62" t="str" cm="1">
        <f t="array" ref="S116">Common_InputFunctions.Utility_DisplayArrayInTable(Fertiliser_SourceData.Fertiliser_Products_Data1(), FertiliserProducts[[#Headers],[Company]],1)</f>
        <v/>
      </c>
      <c r="T116" s="62" t="str" cm="1">
        <f t="array" ref="T116">Common_InputFunctions.Utility_DisplayArrayInTable(Fertiliser_SourceData.Fertiliser_Products_Data1(), FertiliserProducts[[#Headers],[Company]],1)</f>
        <v/>
      </c>
      <c r="U116" s="62" t="str" cm="1">
        <f t="array" ref="U116">Common_InputFunctions.Utility_DisplayArrayInTable(Fertiliser_SourceData.Fertiliser_Products_Data1(), FertiliserProducts[[#Headers],[Company]],1)</f>
        <v/>
      </c>
      <c r="V116" s="62" t="str" cm="1">
        <f t="array" ref="V116">Common_InputFunctions.Utility_DisplayArrayInTable(Fertiliser_SourceData.Fertiliser_Products_Data1(), FertiliserProducts[[#Headers],[Company]],1)</f>
        <v/>
      </c>
      <c r="W116" s="62" t="str" cm="1">
        <f t="array" ref="W116">Common_InputFunctions.Utility_DisplayArrayInTable(Fertiliser_SourceData.Fertiliser_Products_Data1(), FertiliserProducts[[#Headers],[Company]],1)</f>
        <v/>
      </c>
      <c r="X116" s="62" t="str" cm="1">
        <f t="array" ref="X116">Common_InputFunctions.Utility_DisplayArrayInTable(Fertiliser_SourceData.Fertiliser_Products_Data1(), FertiliserProducts[[#Headers],[Company]],1)</f>
        <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
      </c>
      <c r="E117" s="62" t="str" cm="1">
        <f t="array" ref="E117">Common_InputFunctions.Utility_DisplayArrayInTable(Fertiliser_SourceData.Fertiliser_Products_Data1(), FertiliserProducts[[#Headers],[Company]],1)</f>
        <v/>
      </c>
      <c r="F117" s="62" t="str" cm="1">
        <f t="array" ref="F117">Common_InputFunctions.Utility_DisplayArrayInTable(Fertiliser_SourceData.Fertiliser_Products_Data1(), FertiliserProducts[[#Headers],[Company]],1)</f>
        <v/>
      </c>
      <c r="G117" s="62" t="str" cm="1">
        <f t="array" ref="G117">Common_InputFunctions.Utility_DisplayArrayInTable(Fertiliser_SourceData.Fertiliser_Products_Data1(), FertiliserProducts[[#Headers],[Company]],1)</f>
        <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t="str" cm="1">
        <f t="array" ref="K117">Common_InputFunctions.Utility_DisplayArrayInTable(Fertiliser_SourceData.Fertiliser_Products_Data1(), FertiliserProducts[[#Headers],[Company]],1)</f>
        <v/>
      </c>
      <c r="L117" s="62" t="str" cm="1">
        <f t="array" ref="L117">Common_InputFunctions.Utility_DisplayArrayInTable(Fertiliser_SourceData.Fertiliser_Products_Data1(), FertiliserProducts[[#Headers],[Company]],1)</f>
        <v/>
      </c>
      <c r="M117" s="62" t="str" cm="1">
        <f t="array" ref="M117">Common_InputFunctions.Utility_DisplayArrayInTable(Fertiliser_SourceData.Fertiliser_Products_Data1(), FertiliserProducts[[#Headers],[Company]],1)</f>
        <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
      </c>
      <c r="P117" s="62" t="str" cm="1">
        <f t="array" ref="P117">Common_InputFunctions.Utility_DisplayArrayInTable(Fertiliser_SourceData.Fertiliser_Products_Data1(), FertiliserProducts[[#Headers],[Company]],1)</f>
        <v/>
      </c>
      <c r="Q117" s="62" t="str" cm="1">
        <f t="array" ref="Q117">Common_InputFunctions.Utility_DisplayArrayInTable(Fertiliser_SourceData.Fertiliser_Products_Data1(), FertiliserProducts[[#Headers],[Company]],1)</f>
        <v/>
      </c>
      <c r="R117" s="62" t="str" cm="1">
        <f t="array" ref="R117">Common_InputFunctions.Utility_DisplayArrayInTable(Fertiliser_SourceData.Fertiliser_Products_Data1(), FertiliserProducts[[#Headers],[Company]],1)</f>
        <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
      </c>
      <c r="E118" s="62" t="str" cm="1">
        <f t="array" ref="E118">Common_InputFunctions.Utility_DisplayArrayInTable(Fertiliser_SourceData.Fertiliser_Products_Data1(), FertiliserProducts[[#Headers],[Company]],1)</f>
        <v/>
      </c>
      <c r="F118" s="62" t="str" cm="1">
        <f t="array" ref="F118">Common_InputFunctions.Utility_DisplayArrayInTable(Fertiliser_SourceData.Fertiliser_Products_Data1(), FertiliserProducts[[#Headers],[Company]],1)</f>
        <v/>
      </c>
      <c r="G118" s="62" t="str" cm="1">
        <f t="array" ref="G118">Common_InputFunctions.Utility_DisplayArrayInTable(Fertiliser_SourceData.Fertiliser_Products_Data1(), FertiliserProducts[[#Headers],[Company]],1)</f>
        <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t="str" cm="1">
        <f t="array" ref="K118">Common_InputFunctions.Utility_DisplayArrayInTable(Fertiliser_SourceData.Fertiliser_Products_Data1(), FertiliserProducts[[#Headers],[Company]],1)</f>
        <v/>
      </c>
      <c r="L118" s="62" t="str" cm="1">
        <f t="array" ref="L118">Common_InputFunctions.Utility_DisplayArrayInTable(Fertiliser_SourceData.Fertiliser_Products_Data1(), FertiliserProducts[[#Headers],[Company]],1)</f>
        <v/>
      </c>
      <c r="M118" s="62" t="str" cm="1">
        <f t="array" ref="M118">Common_InputFunctions.Utility_DisplayArrayInTable(Fertiliser_SourceData.Fertiliser_Products_Data1(), FertiliserProducts[[#Headers],[Company]],1)</f>
        <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
      </c>
      <c r="P118" s="62" t="str" cm="1">
        <f t="array" ref="P118">Common_InputFunctions.Utility_DisplayArrayInTable(Fertiliser_SourceData.Fertiliser_Products_Data1(), FertiliserProducts[[#Headers],[Company]],1)</f>
        <v/>
      </c>
      <c r="Q118" s="62" t="str" cm="1">
        <f t="array" ref="Q118">Common_InputFunctions.Utility_DisplayArrayInTable(Fertiliser_SourceData.Fertiliser_Products_Data1(), FertiliserProducts[[#Headers],[Company]],1)</f>
        <v/>
      </c>
      <c r="R118" s="62" t="str" cm="1">
        <f t="array" ref="R118">Common_InputFunctions.Utility_DisplayArrayInTable(Fertiliser_SourceData.Fertiliser_Products_Data1(), FertiliserProducts[[#Headers],[Company]],1)</f>
        <v/>
      </c>
      <c r="S118" s="62" t="str" cm="1">
        <f t="array" ref="S118">Common_InputFunctions.Utility_DisplayArrayInTable(Fertiliser_SourceData.Fertiliser_Products_Data1(), FertiliserProducts[[#Headers],[Company]],1)</f>
        <v/>
      </c>
      <c r="T118" s="62" t="str" cm="1">
        <f t="array" ref="T118">Common_InputFunctions.Utility_DisplayArrayInTable(Fertiliser_SourceData.Fertiliser_Products_Data1(), FertiliserProducts[[#Headers],[Company]],1)</f>
        <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
      </c>
      <c r="E119" s="62" t="str" cm="1">
        <f t="array" ref="E119">Common_InputFunctions.Utility_DisplayArrayInTable(Fertiliser_SourceData.Fertiliser_Products_Data1(), FertiliserProducts[[#Headers],[Company]],1)</f>
        <v/>
      </c>
      <c r="F119" s="62" t="str" cm="1">
        <f t="array" ref="F119">Common_InputFunctions.Utility_DisplayArrayInTable(Fertiliser_SourceData.Fertiliser_Products_Data1(), FertiliserProducts[[#Headers],[Company]],1)</f>
        <v/>
      </c>
      <c r="G119" s="62" t="str" cm="1">
        <f t="array" ref="G119">Common_InputFunctions.Utility_DisplayArrayInTable(Fertiliser_SourceData.Fertiliser_Products_Data1(), FertiliserProducts[[#Headers],[Company]],1)</f>
        <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t="str" cm="1">
        <f t="array" ref="K119">Common_InputFunctions.Utility_DisplayArrayInTable(Fertiliser_SourceData.Fertiliser_Products_Data1(), FertiliserProducts[[#Headers],[Company]],1)</f>
        <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t="str" cm="1">
        <f t="array" ref="N119">Common_InputFunctions.Utility_DisplayArrayInTable(Fertiliser_SourceData.Fertiliser_Products_Data1(), FertiliserProducts[[#Headers],[Company]],1)</f>
        <v/>
      </c>
      <c r="O119" s="62" t="str" cm="1">
        <f t="array" ref="O119">Common_InputFunctions.Utility_DisplayArrayInTable(Fertiliser_SourceData.Fertiliser_Products_Data1(), FertiliserProducts[[#Headers],[Company]],1)</f>
        <v/>
      </c>
      <c r="P119" s="62" t="str" cm="1">
        <f t="array" ref="P119">Common_InputFunctions.Utility_DisplayArrayInTable(Fertiliser_SourceData.Fertiliser_Products_Data1(), FertiliserProducts[[#Headers],[Company]],1)</f>
        <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Product</v>
      </c>
      <c r="E120" s="62" t="str" cm="1">
        <f t="array" ref="E120">Common_InputFunctions.Utility_DisplayArrayInTable(Fertiliser_SourceData.Fertiliser_Products_Data2(), FertiliserProducts[[#Headers],[Company]],31)</f>
        <v>Ingredient 1</v>
      </c>
      <c r="F120" s="62" t="str" cm="1">
        <f t="array" ref="F120">Common_InputFunctions.Utility_DisplayArrayInTable(Fertiliser_SourceData.Fertiliser_Products_Data2(), FertiliserProducts[[#Headers],[Company]],31)</f>
        <v>Ingredient 1 percent</v>
      </c>
      <c r="G120" s="62" t="str" cm="1">
        <f t="array" ref="G120">Common_InputFunctions.Utility_DisplayArrayInTable(Fertiliser_SourceData.Fertiliser_Products_Data2(), FertiliserProducts[[#Headers],[Company]],31)</f>
        <v>Ingredient 1 source</v>
      </c>
      <c r="H120" s="62" t="str" cm="1">
        <f t="array" ref="H120">Common_InputFunctions.Utility_DisplayArrayInTable(Fertiliser_SourceData.Fertiliser_Products_Data2(), FertiliserProducts[[#Headers],[Company]],31)</f>
        <v>Ingredient 2</v>
      </c>
      <c r="I120" s="62" t="str" cm="1">
        <f t="array" ref="I120">Common_InputFunctions.Utility_DisplayArrayInTable(Fertiliser_SourceData.Fertiliser_Products_Data2(), FertiliserProducts[[#Headers],[Company]],31)</f>
        <v>Ingredient 2 percent</v>
      </c>
      <c r="J120" s="62" t="str" cm="1">
        <f t="array" ref="J120">Common_InputFunctions.Utility_DisplayArrayInTable(Fertiliser_SourceData.Fertiliser_Products_Data2(), FertiliserProducts[[#Headers],[Company]],31)</f>
        <v>Ingredient 2 source</v>
      </c>
      <c r="K120" s="62" t="str" cm="1">
        <f t="array" ref="K120">Common_InputFunctions.Utility_DisplayArrayInTable(Fertiliser_SourceData.Fertiliser_Products_Data2(), FertiliserProducts[[#Headers],[Company]],31)</f>
        <v>Ingredient 3</v>
      </c>
      <c r="L120" s="62" t="str" cm="1">
        <f t="array" ref="L120">Common_InputFunctions.Utility_DisplayArrayInTable(Fertiliser_SourceData.Fertiliser_Products_Data2(), FertiliserProducts[[#Headers],[Company]],31)</f>
        <v>Ingredient 3 percent</v>
      </c>
      <c r="M120" s="62" t="str" cm="1">
        <f t="array" ref="M120">Common_InputFunctions.Utility_DisplayArrayInTable(Fertiliser_SourceData.Fertiliser_Products_Data2(), FertiliserProducts[[#Headers],[Company]],31)</f>
        <v>Ingredient 3 source</v>
      </c>
      <c r="N120" s="62" t="str" cm="1">
        <f t="array" ref="N120">Common_InputFunctions.Utility_DisplayArrayInTable(Fertiliser_SourceData.Fertiliser_Products_Data2(), FertiliserProducts[[#Headers],[Company]],31)</f>
        <v>Ingredient 4</v>
      </c>
      <c r="O120" s="62" t="str" cm="1">
        <f t="array" ref="O120">Common_InputFunctions.Utility_DisplayArrayInTable(Fertiliser_SourceData.Fertiliser_Products_Data2(), FertiliserProducts[[#Headers],[Company]],31)</f>
        <v>Ingredient 4 percent</v>
      </c>
      <c r="P120" s="62" t="str" cm="1">
        <f t="array" ref="P120">Common_InputFunctions.Utility_DisplayArrayInTable(Fertiliser_SourceData.Fertiliser_Products_Data2(), FertiliserProducts[[#Headers],[Company]],31)</f>
        <v>Ingredient 4 source</v>
      </c>
      <c r="Q120" s="62" t="str" cm="1">
        <f t="array" ref="Q120">Common_InputFunctions.Utility_DisplayArrayInTable(Fertiliser_SourceData.Fertiliser_Products_Data2(), FertiliserProducts[[#Headers],[Company]],31)</f>
        <v>Ingredient 5</v>
      </c>
      <c r="R120" s="62" t="str" cm="1">
        <f t="array" ref="R120">Common_InputFunctions.Utility_DisplayArrayInTable(Fertiliser_SourceData.Fertiliser_Products_Data2(), FertiliserProducts[[#Headers],[Company]],31)</f>
        <v>Ingredient 5 percent</v>
      </c>
      <c r="S120" s="62" t="str" cm="1">
        <f t="array" ref="S120">Common_InputFunctions.Utility_DisplayArrayInTable(Fertiliser_SourceData.Fertiliser_Products_Data2(), FertiliserProducts[[#Headers],[Company]],31)</f>
        <v>Ingredient 5 source</v>
      </c>
      <c r="T120" s="62" t="str" cm="1">
        <f t="array" ref="T120">Common_InputFunctions.Utility_DisplayArrayInTable(Fertiliser_SourceData.Fertiliser_Products_Data2(), FertiliserProducts[[#Headers],[Company]],31)</f>
        <v>Ingredient 6</v>
      </c>
      <c r="U120" s="62" t="str" cm="1">
        <f t="array" ref="U120">Common_InputFunctions.Utility_DisplayArrayInTable(Fertiliser_SourceData.Fertiliser_Products_Data2(), FertiliserProducts[[#Headers],[Company]],31)</f>
        <v>Ingredient 6 percent</v>
      </c>
      <c r="V120" s="62" t="str" cm="1">
        <f t="array" ref="V120">Common_InputFunctions.Utility_DisplayArrayInTable(Fertiliser_SourceData.Fertiliser_Products_Data2(), FertiliserProducts[[#Headers],[Company]],31)</f>
        <v>Ingredient 6 source</v>
      </c>
      <c r="W120" s="62" t="str" cm="1">
        <f t="array" ref="W120">Common_InputFunctions.Utility_DisplayArrayInTable(Fertiliser_SourceData.Fertiliser_Products_Data2(), FertiliserProducts[[#Headers],[Company]],31)</f>
        <v>Product info link</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Manganese Sulphate</v>
      </c>
      <c r="E121" s="62" t="str" cm="1">
        <f t="array" ref="E121">Common_InputFunctions.Utility_DisplayArrayInTable(Fertiliser_SourceData.Fertiliser_Products_Data2(), FertiliserProducts[[#Headers],[Company]],31)</f>
        <v/>
      </c>
      <c r="F121" s="62" t="str" cm="1">
        <f t="array" ref="F121">Common_InputFunctions.Utility_DisplayArrayInTable(Fertiliser_SourceData.Fertiliser_Products_Data2(), FertiliserProducts[[#Headers],[Company]],31)</f>
        <v/>
      </c>
      <c r="G121" s="62" t="str" cm="1">
        <f t="array" ref="G121">Common_InputFunctions.Utility_DisplayArrayInTable(Fertiliser_SourceData.Fertiliser_Products_Data2(), FertiliserProducts[[#Headers],[Company]],31)</f>
        <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t="str" cm="1">
        <f t="array" ref="K121">Common_InputFunctions.Utility_DisplayArrayInTable(Fertiliser_SourceData.Fertiliser_Products_Data2(), FertiliserProducts[[#Headers],[Company]],31)</f>
        <v/>
      </c>
      <c r="L121" s="62" t="str" cm="1">
        <f t="array" ref="L121">Common_InputFunctions.Utility_DisplayArrayInTable(Fertiliser_SourceData.Fertiliser_Products_Data2(), FertiliserProducts[[#Headers],[Company]],31)</f>
        <v/>
      </c>
      <c r="M121" s="62" t="str" cm="1">
        <f t="array" ref="M121">Common_InputFunctions.Utility_DisplayArrayInTable(Fertiliser_SourceData.Fertiliser_Products_Data2(), FertiliserProducts[[#Headers],[Company]],31)</f>
        <v/>
      </c>
      <c r="N121" s="62" t="str" cm="1">
        <f t="array" ref="N121">Common_InputFunctions.Utility_DisplayArrayInTable(Fertiliser_SourceData.Fertiliser_Products_Data2(), FertiliserProducts[[#Headers],[Company]],31)</f>
        <v/>
      </c>
      <c r="O121" s="62" t="str" cm="1">
        <f t="array" ref="O121">Common_InputFunctions.Utility_DisplayArrayInTable(Fertiliser_SourceData.Fertiliser_Products_Data2(), FertiliserProducts[[#Headers],[Company]],31)</f>
        <v/>
      </c>
      <c r="P121" s="62" t="str" cm="1">
        <f t="array" ref="P121">Common_InputFunctions.Utility_DisplayArrayInTable(Fertiliser_SourceData.Fertiliser_Products_Data2(), FertiliserProducts[[#Headers],[Company]],31)</f>
        <v/>
      </c>
      <c r="Q121" s="62" t="str" cm="1">
        <f t="array" ref="Q121">Common_InputFunctions.Utility_DisplayArrayInTable(Fertiliser_SourceData.Fertiliser_Products_Data2(), FertiliserProducts[[#Headers],[Company]],31)</f>
        <v/>
      </c>
      <c r="R121" s="62" t="str" cm="1">
        <f t="array" ref="R121">Common_InputFunctions.Utility_DisplayArrayInTable(Fertiliser_SourceData.Fertiliser_Products_Data2(), FertiliserProducts[[#Headers],[Company]],31)</f>
        <v/>
      </c>
      <c r="S121" s="62" t="str" cm="1">
        <f t="array" ref="S121">Common_InputFunctions.Utility_DisplayArrayInTable(Fertiliser_SourceData.Fertiliser_Products_Data2(), FertiliserProducts[[#Headers],[Company]],31)</f>
        <v/>
      </c>
      <c r="T121" s="62" t="str" cm="1">
        <f t="array" ref="T121">Common_InputFunctions.Utility_DisplayArrayInTable(Fertiliser_SourceData.Fertiliser_Products_Data2(), FertiliserProducts[[#Headers],[Company]],31)</f>
        <v/>
      </c>
      <c r="U121" s="62" t="str" cm="1">
        <f t="array" ref="U121">Common_InputFunctions.Utility_DisplayArrayInTable(Fertiliser_SourceData.Fertiliser_Products_Data2(), FertiliserProducts[[#Headers],[Company]],31)</f>
        <v/>
      </c>
      <c r="V121" s="62" t="str" cm="1">
        <f t="array" ref="V121">Common_InputFunctions.Utility_DisplayArrayInTable(Fertiliser_SourceData.Fertiliser_Products_Data2(), FertiliserProducts[[#Headers],[Company]],31)</f>
        <v/>
      </c>
      <c r="W121" s="62" t="str" cm="1">
        <f t="array" ref="W121">Common_InputFunctions.Utility_DisplayArrayInTable(Fertiliser_SourceData.Fertiliser_Products_Data2(), FertiliserProducts[[#Headers],[Company]],31)</f>
        <v>Incitec Pivot Fertilisers</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MAP</v>
      </c>
      <c r="E122" s="62" t="str" cm="1">
        <f t="array" ref="E122">Common_InputFunctions.Utility_DisplayArrayInTable(Fertiliser_SourceData.Fertiliser_Products_Data2(), FertiliserProducts[[#Headers],[Company]],31)</f>
        <v/>
      </c>
      <c r="F122" s="62" t="str" cm="1">
        <f t="array" ref="F122">Common_InputFunctions.Utility_DisplayArrayInTable(Fertiliser_SourceData.Fertiliser_Products_Data2(), FertiliserProducts[[#Headers],[Company]],31)</f>
        <v/>
      </c>
      <c r="G122" s="62" t="str" cm="1">
        <f t="array" ref="G122">Common_InputFunctions.Utility_DisplayArrayInTable(Fertiliser_SourceData.Fertiliser_Products_Data2(), FertiliserProducts[[#Headers],[Company]],31)</f>
        <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t="str" cm="1">
        <f t="array" ref="K122">Common_InputFunctions.Utility_DisplayArrayInTable(Fertiliser_SourceData.Fertiliser_Products_Data2(), FertiliserProducts[[#Headers],[Company]],31)</f>
        <v/>
      </c>
      <c r="L122" s="62" t="str" cm="1">
        <f t="array" ref="L122">Common_InputFunctions.Utility_DisplayArrayInTable(Fertiliser_SourceData.Fertiliser_Products_Data2(), FertiliserProducts[[#Headers],[Company]],31)</f>
        <v/>
      </c>
      <c r="M122" s="62" t="str" cm="1">
        <f t="array" ref="M122">Common_InputFunctions.Utility_DisplayArrayInTable(Fertiliser_SourceData.Fertiliser_Products_Data2(), FertiliserProducts[[#Headers],[Company]],31)</f>
        <v/>
      </c>
      <c r="N122" s="62" t="str" cm="1">
        <f t="array" ref="N122">Common_InputFunctions.Utility_DisplayArrayInTable(Fertiliser_SourceData.Fertiliser_Products_Data2(), FertiliserProducts[[#Headers],[Company]],31)</f>
        <v/>
      </c>
      <c r="O122" s="62" t="str" cm="1">
        <f t="array" ref="O122">Common_InputFunctions.Utility_DisplayArrayInTable(Fertiliser_SourceData.Fertiliser_Products_Data2(), FertiliserProducts[[#Headers],[Company]],31)</f>
        <v/>
      </c>
      <c r="P122" s="62" t="str" cm="1">
        <f t="array" ref="P122">Common_InputFunctions.Utility_DisplayArrayInTable(Fertiliser_SourceData.Fertiliser_Products_Data2(), FertiliserProducts[[#Headers],[Company]],31)</f>
        <v/>
      </c>
      <c r="Q122" s="62" t="str" cm="1">
        <f t="array" ref="Q122">Common_InputFunctions.Utility_DisplayArrayInTable(Fertiliser_SourceData.Fertiliser_Products_Data2(), FertiliserProducts[[#Headers],[Company]],31)</f>
        <v/>
      </c>
      <c r="R122" s="62" t="str" cm="1">
        <f t="array" ref="R122">Common_InputFunctions.Utility_DisplayArrayInTable(Fertiliser_SourceData.Fertiliser_Products_Data2(), FertiliserProducts[[#Headers],[Company]],31)</f>
        <v/>
      </c>
      <c r="S122" s="62" t="str" cm="1">
        <f t="array" ref="S122">Common_InputFunctions.Utility_DisplayArrayInTable(Fertiliser_SourceData.Fertiliser_Products_Data2(), FertiliserProducts[[#Headers],[Company]],31)</f>
        <v/>
      </c>
      <c r="T122" s="62" t="str" cm="1">
        <f t="array" ref="T122">Common_InputFunctions.Utility_DisplayArrayInTable(Fertiliser_SourceData.Fertiliser_Products_Data2(), FertiliserProducts[[#Headers],[Company]],31)</f>
        <v/>
      </c>
      <c r="U122" s="62" t="str" cm="1">
        <f t="array" ref="U122">Common_InputFunctions.Utility_DisplayArrayInTable(Fertiliser_SourceData.Fertiliser_Products_Data2(), FertiliserProducts[[#Headers],[Company]],31)</f>
        <v/>
      </c>
      <c r="V122" s="62" t="str" cm="1">
        <f t="array" ref="V122">Common_InputFunctions.Utility_DisplayArrayInTable(Fertiliser_SourceData.Fertiliser_Products_Data2(), FertiliserProducts[[#Headers],[Company]],31)</f>
        <v/>
      </c>
      <c r="W122" s="62" t="str" cm="1">
        <f t="array" ref="W122">Common_InputFunctions.Utility_DisplayArrayInTable(Fertiliser_SourceData.Fertiliser_Products_Data2(), FertiliserProducts[[#Headers],[Company]],31)</f>
        <v>Incitec Pivot Fertilisers</v>
      </c>
      <c r="X122" s="62" t="str" cm="1">
        <f t="array" ref="X122">Common_InputFunctions.Utility_DisplayArrayInTable(Fertiliser_SourceData.Fertiliser_Products_Data2(), FertiliserProducts[[#Headers],[Company]],31)</f>
        <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MAP Impact</v>
      </c>
      <c r="E123" s="62" t="str" cm="1">
        <f t="array" ref="E123">Common_InputFunctions.Utility_DisplayArrayInTable(Fertiliser_SourceData.Fertiliser_Products_Data2(), FertiliserProducts[[#Headers],[Company]],31)</f>
        <v/>
      </c>
      <c r="F123" s="62" t="str" cm="1">
        <f t="array" ref="F123">Common_InputFunctions.Utility_DisplayArrayInTable(Fertiliser_SourceData.Fertiliser_Products_Data2(), FertiliserProducts[[#Headers],[Company]],31)</f>
        <v/>
      </c>
      <c r="G123" s="62" t="str" cm="1">
        <f t="array" ref="G123">Common_InputFunctions.Utility_DisplayArrayInTable(Fertiliser_SourceData.Fertiliser_Products_Data2(), FertiliserProducts[[#Headers],[Company]],31)</f>
        <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t="str" cm="1">
        <f t="array" ref="K123">Common_InputFunctions.Utility_DisplayArrayInTable(Fertiliser_SourceData.Fertiliser_Products_Data2(), FertiliserProducts[[#Headers],[Company]],31)</f>
        <v/>
      </c>
      <c r="L123" s="62" t="str" cm="1">
        <f t="array" ref="L123">Common_InputFunctions.Utility_DisplayArrayInTable(Fertiliser_SourceData.Fertiliser_Products_Data2(), FertiliserProducts[[#Headers],[Company]],31)</f>
        <v/>
      </c>
      <c r="M123" s="62" t="str" cm="1">
        <f t="array" ref="M123">Common_InputFunctions.Utility_DisplayArrayInTable(Fertiliser_SourceData.Fertiliser_Products_Data2(), FertiliserProducts[[#Headers],[Company]],31)</f>
        <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
      </c>
      <c r="P123" s="62" t="str" cm="1">
        <f t="array" ref="P123">Common_InputFunctions.Utility_DisplayArrayInTable(Fertiliser_SourceData.Fertiliser_Products_Data2(), FertiliserProducts[[#Headers],[Company]],31)</f>
        <v/>
      </c>
      <c r="Q123" s="62" t="str" cm="1">
        <f t="array" ref="Q123">Common_InputFunctions.Utility_DisplayArrayInTable(Fertiliser_SourceData.Fertiliser_Products_Data2(), FertiliserProducts[[#Headers],[Company]],31)</f>
        <v/>
      </c>
      <c r="R123" s="62" t="str" cm="1">
        <f t="array" ref="R123">Common_InputFunctions.Utility_DisplayArrayInTable(Fertiliser_SourceData.Fertiliser_Products_Data2(), FertiliserProducts[[#Headers],[Company]],31)</f>
        <v/>
      </c>
      <c r="S123" s="62" t="str" cm="1">
        <f t="array" ref="S123">Common_InputFunctions.Utility_DisplayArrayInTable(Fertiliser_SourceData.Fertiliser_Products_Data2(), FertiliserProducts[[#Headers],[Company]],31)</f>
        <v/>
      </c>
      <c r="T123" s="62" t="str" cm="1">
        <f t="array" ref="T123">Common_InputFunctions.Utility_DisplayArrayInTable(Fertiliser_SourceData.Fertiliser_Products_Data2(), FertiliserProducts[[#Headers],[Company]],31)</f>
        <v/>
      </c>
      <c r="U123" s="62" t="str" cm="1">
        <f t="array" ref="U123">Common_InputFunctions.Utility_DisplayArrayInTable(Fertiliser_SourceData.Fertiliser_Products_Data2(), FertiliserProducts[[#Headers],[Company]],31)</f>
        <v/>
      </c>
      <c r="V123" s="62" t="str" cm="1">
        <f t="array" ref="V123">Common_InputFunctions.Utility_DisplayArrayInTable(Fertiliser_SourceData.Fertiliser_Products_Data2(), FertiliserProducts[[#Headers],[Company]],31)</f>
        <v/>
      </c>
      <c r="W123" s="62" t="str" cm="1">
        <f t="array" ref="W123">Common_InputFunctions.Utility_DisplayArrayInTable(Fertiliser_SourceData.Fertiliser_Products_Data2(), FertiliserProducts[[#Headers],[Company]],31)</f>
        <v>Impact fertilisers</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MAPSZC</v>
      </c>
      <c r="E124" s="62" t="str" cm="1">
        <f t="array" ref="E124">Common_InputFunctions.Utility_DisplayArrayInTable(Fertiliser_SourceData.Fertiliser_Products_Data2(), FertiliserProducts[[#Headers],[Company]],31)</f>
        <v/>
      </c>
      <c r="F124" s="62" t="str" cm="1">
        <f t="array" ref="F124">Common_InputFunctions.Utility_DisplayArrayInTable(Fertiliser_SourceData.Fertiliser_Products_Data2(), FertiliserProducts[[#Headers],[Company]],31)</f>
        <v/>
      </c>
      <c r="G124" s="62" t="str" cm="1">
        <f t="array" ref="G124">Common_InputFunctions.Utility_DisplayArrayInTable(Fertiliser_SourceData.Fertiliser_Products_Data2(), FertiliserProducts[[#Headers],[Company]],31)</f>
        <v/>
      </c>
      <c r="H124" s="62" t="str" cm="1">
        <f t="array" ref="H124">Common_InputFunctions.Utility_DisplayArrayInTable(Fertiliser_SourceData.Fertiliser_Products_Data2(), FertiliserProducts[[#Headers],[Company]],31)</f>
        <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t="str" cm="1">
        <f t="array" ref="K124">Common_InputFunctions.Utility_DisplayArrayInTable(Fertiliser_SourceData.Fertiliser_Products_Data2(), FertiliserProducts[[#Headers],[Company]],31)</f>
        <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
      </c>
      <c r="P124" s="62" t="str" cm="1">
        <f t="array" ref="P124">Common_InputFunctions.Utility_DisplayArrayInTable(Fertiliser_SourceData.Fertiliser_Products_Data2(), FertiliserProducts[[#Headers],[Company]],31)</f>
        <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Summit Fertilizers</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Maximum N-Pact 29-0-0</v>
      </c>
      <c r="E125" s="62" t="str" cm="1">
        <f t="array" ref="E125">Common_InputFunctions.Utility_DisplayArrayInTable(Fertiliser_SourceData.Fertiliser_Products_Data2(), FertiliserProducts[[#Headers],[Company]],31)</f>
        <v/>
      </c>
      <c r="F125" s="62" t="str" cm="1">
        <f t="array" ref="F125">Common_InputFunctions.Utility_DisplayArrayInTable(Fertiliser_SourceData.Fertiliser_Products_Data2(), FertiliserProducts[[#Headers],[Company]],31)</f>
        <v/>
      </c>
      <c r="G125" s="62" t="str" cm="1">
        <f t="array" ref="G125">Common_InputFunctions.Utility_DisplayArrayInTable(Fertiliser_SourceData.Fertiliser_Products_Data2(), FertiliserProducts[[#Headers],[Company]],31)</f>
        <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t="str" cm="1">
        <f t="array" ref="K125">Common_InputFunctions.Utility_DisplayArrayInTable(Fertiliser_SourceData.Fertiliser_Products_Data2(), FertiliserProducts[[#Headers],[Company]],31)</f>
        <v/>
      </c>
      <c r="L125" s="62" t="str" cm="1">
        <f t="array" ref="L125">Common_InputFunctions.Utility_DisplayArrayInTable(Fertiliser_SourceData.Fertiliser_Products_Data2(), FertiliserProducts[[#Headers],[Company]],31)</f>
        <v/>
      </c>
      <c r="M125" s="62" t="str" cm="1">
        <f t="array" ref="M125">Common_InputFunctions.Utility_DisplayArrayInTable(Fertiliser_SourceData.Fertiliser_Products_Data2(), FertiliserProducts[[#Headers],[Company]],31)</f>
        <v/>
      </c>
      <c r="N125" s="62" t="str" cm="1">
        <f t="array" ref="N125">Common_InputFunctions.Utility_DisplayArrayInTable(Fertiliser_SourceData.Fertiliser_Products_Data2(), FertiliserProducts[[#Headers],[Company]],31)</f>
        <v/>
      </c>
      <c r="O125" s="62" t="str" cm="1">
        <f t="array" ref="O125">Common_InputFunctions.Utility_DisplayArrayInTable(Fertiliser_SourceData.Fertiliser_Products_Data2(), FertiliserProducts[[#Headers],[Company]],31)</f>
        <v/>
      </c>
      <c r="P125" s="62" t="str" cm="1">
        <f t="array" ref="P125">Common_InputFunctions.Utility_DisplayArrayInTable(Fertiliser_SourceData.Fertiliser_Products_Data2(), FertiliserProducts[[#Headers],[Company]],31)</f>
        <v/>
      </c>
      <c r="Q125" s="62" t="str" cm="1">
        <f t="array" ref="Q125">Common_InputFunctions.Utility_DisplayArrayInTable(Fertiliser_SourceData.Fertiliser_Products_Data2(), FertiliserProducts[[#Headers],[Company]],31)</f>
        <v/>
      </c>
      <c r="R125" s="62" t="str" cm="1">
        <f t="array" ref="R125">Common_InputFunctions.Utility_DisplayArrayInTable(Fertiliser_SourceData.Fertiliser_Products_Data2(), FertiliserProducts[[#Headers],[Company]],31)</f>
        <v/>
      </c>
      <c r="S125" s="62" t="str" cm="1">
        <f t="array" ref="S125">Common_InputFunctions.Utility_DisplayArrayInTable(Fertiliser_SourceData.Fertiliser_Products_Data2(), FertiliserProducts[[#Headers],[Company]],31)</f>
        <v/>
      </c>
      <c r="T125" s="62" t="str" cm="1">
        <f t="array" ref="T125">Common_InputFunctions.Utility_DisplayArrayInTable(Fertiliser_SourceData.Fertiliser_Products_Data2(), FertiliserProducts[[#Headers],[Company]],31)</f>
        <v/>
      </c>
      <c r="U125" s="62" t="str" cm="1">
        <f t="array" ref="U125">Common_InputFunctions.Utility_DisplayArrayInTable(Fertiliser_SourceData.Fertiliser_Products_Data2(), FertiliserProducts[[#Headers],[Company]],31)</f>
        <v/>
      </c>
      <c r="V125" s="62" t="str" cm="1">
        <f t="array" ref="V125">Common_InputFunctions.Utility_DisplayArrayInTable(Fertiliser_SourceData.Fertiliser_Products_Data2(), FertiliserProducts[[#Headers],[Company]],31)</f>
        <v/>
      </c>
      <c r="W125" s="62" t="str" cm="1">
        <f t="array" ref="W125">Common_InputFunctions.Utility_DisplayArrayInTable(Fertiliser_SourceData.Fertiliser_Products_Data2(), FertiliserProducts[[#Headers],[Company]],31)</f>
        <v>Maximum N-Pact | Loveland (lovelandagriproducts.com.au)</v>
      </c>
      <c r="X125" s="62" t="str" cm="1">
        <f t="array" ref="X125">Common_InputFunctions.Utility_DisplayArrayInTable(Fertiliser_SourceData.Fertiliser_Products_Data2(), FertiliserProducts[[#Headers],[Company]],31)</f>
        <v/>
      </c>
      <c r="Y125" s="62" t="str" cm="1">
        <f t="array" ref="Y125">Common_InputFunctions.Utility_DisplayArrayInTable(Fertiliser_SourceData.Fertiliser_Products_Data2(), FertiliserProducts[[#Headers],[Company]],31)</f>
        <v/>
      </c>
      <c r="Z125" s="62" t="str" cm="1">
        <f t="array" ref="Z125">Common_InputFunctions.Utility_DisplayArrayInTable(Fertiliser_SourceData.Fertiliser_Products_Data2(), FertiliserProducts[[#Headers],[Company]],31)</f>
        <v/>
      </c>
      <c r="AA125" s="62" t="str" cm="1">
        <f t="array" ref="AA125">Common_InputFunctions.Utility_DisplayArrayInTable(Fertiliser_SourceData.Fertiliser_Products_Data2(), FertiliserProducts[[#Headers],[Company]],31)</f>
        <v/>
      </c>
      <c r="AB125" s="62" t="str" cm="1">
        <f t="array" ref="AB125">Common_InputFunctions.Utility_DisplayArrayInTable(Fertiliser_SourceData.Fertiliser_Products_Data2(), FertiliserProducts[[#Headers],[Company]],31)</f>
        <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Microsol 12-6-44</v>
      </c>
      <c r="E126" s="62" t="str" cm="1">
        <f t="array" ref="E126">Common_InputFunctions.Utility_DisplayArrayInTable(Fertiliser_SourceData.Fertiliser_Products_Data2(), FertiliserProducts[[#Headers],[Company]],31)</f>
        <v/>
      </c>
      <c r="F126" s="62" t="str" cm="1">
        <f t="array" ref="F126">Common_InputFunctions.Utility_DisplayArrayInTable(Fertiliser_SourceData.Fertiliser_Products_Data2(), FertiliserProducts[[#Headers],[Company]],31)</f>
        <v/>
      </c>
      <c r="G126" s="62" t="str" cm="1">
        <f t="array" ref="G126">Common_InputFunctions.Utility_DisplayArrayInTable(Fertiliser_SourceData.Fertiliser_Products_Data2(), FertiliserProducts[[#Headers],[Company]],31)</f>
        <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t="str" cm="1">
        <f t="array" ref="K126">Common_InputFunctions.Utility_DisplayArrayInTable(Fertiliser_SourceData.Fertiliser_Products_Data2(), FertiliserProducts[[#Headers],[Company]],31)</f>
        <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t="str" cm="1">
        <f t="array" ref="N126">Common_InputFunctions.Utility_DisplayArrayInTable(Fertiliser_SourceData.Fertiliser_Products_Data2(), FertiliserProducts[[#Headers],[Company]],31)</f>
        <v/>
      </c>
      <c r="O126" s="62" t="str" cm="1">
        <f t="array" ref="O126">Common_InputFunctions.Utility_DisplayArrayInTable(Fertiliser_SourceData.Fertiliser_Products_Data2(), FertiliserProducts[[#Headers],[Company]],31)</f>
        <v/>
      </c>
      <c r="P126" s="62" t="str" cm="1">
        <f t="array" ref="P126">Common_InputFunctions.Utility_DisplayArrayInTable(Fertiliser_SourceData.Fertiliser_Products_Data2(), FertiliserProducts[[#Headers],[Company]],31)</f>
        <v/>
      </c>
      <c r="Q126" s="62" t="str" cm="1">
        <f t="array" ref="Q126">Common_InputFunctions.Utility_DisplayArrayInTable(Fertiliser_SourceData.Fertiliser_Products_Data2(), FertiliserProducts[[#Headers],[Company]],31)</f>
        <v/>
      </c>
      <c r="R126" s="62" t="str" cm="1">
        <f t="array" ref="R126">Common_InputFunctions.Utility_DisplayArrayInTable(Fertiliser_SourceData.Fertiliser_Products_Data2(), FertiliserProducts[[#Headers],[Company]],31)</f>
        <v/>
      </c>
      <c r="S126" s="62" t="str" cm="1">
        <f t="array" ref="S126">Common_InputFunctions.Utility_DisplayArrayInTable(Fertiliser_SourceData.Fertiliser_Products_Data2(), FertiliserProducts[[#Headers],[Company]],31)</f>
        <v/>
      </c>
      <c r="T126" s="62" t="str" cm="1">
        <f t="array" ref="T126">Common_InputFunctions.Utility_DisplayArrayInTable(Fertiliser_SourceData.Fertiliser_Products_Data2(), FertiliserProducts[[#Headers],[Company]],31)</f>
        <v/>
      </c>
      <c r="U126" s="62" t="str" cm="1">
        <f t="array" ref="U126">Common_InputFunctions.Utility_DisplayArrayInTable(Fertiliser_SourceData.Fertiliser_Products_Data2(), FertiliserProducts[[#Headers],[Company]],31)</f>
        <v/>
      </c>
      <c r="V126" s="62" t="str" cm="1">
        <f t="array" ref="V126">Common_InputFunctions.Utility_DisplayArrayInTable(Fertiliser_SourceData.Fertiliser_Products_Data2(), FertiliserProducts[[#Headers],[Company]],31)</f>
        <v/>
      </c>
      <c r="W126" s="62" t="str" cm="1">
        <f t="array" ref="W126">Common_InputFunctions.Utility_DisplayArrayInTable(Fertiliser_SourceData.Fertiliser_Products_Data2(), FertiliserProducts[[#Headers],[Company]],31)</f>
        <v>Rigbytaylor Microsol Range</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Microsol 16-32-16</v>
      </c>
      <c r="E127" s="62" t="str" cm="1">
        <f t="array" ref="E127">Common_InputFunctions.Utility_DisplayArrayInTable(Fertiliser_SourceData.Fertiliser_Products_Data2(), FertiliserProducts[[#Headers],[Company]],31)</f>
        <v/>
      </c>
      <c r="F127" s="62" t="str" cm="1">
        <f t="array" ref="F127">Common_InputFunctions.Utility_DisplayArrayInTable(Fertiliser_SourceData.Fertiliser_Products_Data2(), FertiliserProducts[[#Headers],[Company]],31)</f>
        <v/>
      </c>
      <c r="G127" s="62" t="str" cm="1">
        <f t="array" ref="G127">Common_InputFunctions.Utility_DisplayArrayInTable(Fertiliser_SourceData.Fertiliser_Products_Data2(), FertiliserProducts[[#Headers],[Company]],31)</f>
        <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t="str" cm="1">
        <f t="array" ref="L127">Common_InputFunctions.Utility_DisplayArrayInTable(Fertiliser_SourceData.Fertiliser_Products_Data2(), FertiliserProducts[[#Headers],[Company]],31)</f>
        <v/>
      </c>
      <c r="M127" s="62" t="str" cm="1">
        <f t="array" ref="M127">Common_InputFunctions.Utility_DisplayArrayInTable(Fertiliser_SourceData.Fertiliser_Products_Data2(), FertiliserProducts[[#Headers],[Company]],31)</f>
        <v/>
      </c>
      <c r="N127" s="62" t="str" cm="1">
        <f t="array" ref="N127">Common_InputFunctions.Utility_DisplayArrayInTable(Fertiliser_SourceData.Fertiliser_Products_Data2(), FertiliserProducts[[#Headers],[Company]],31)</f>
        <v/>
      </c>
      <c r="O127" s="62" t="str" cm="1">
        <f t="array" ref="O127">Common_InputFunctions.Utility_DisplayArrayInTable(Fertiliser_SourceData.Fertiliser_Products_Data2(), FertiliserProducts[[#Headers],[Company]],31)</f>
        <v/>
      </c>
      <c r="P127" s="62" t="str" cm="1">
        <f t="array" ref="P127">Common_InputFunctions.Utility_DisplayArrayInTable(Fertiliser_SourceData.Fertiliser_Products_Data2(), FertiliserProducts[[#Headers],[Company]],31)</f>
        <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Rigbytaylor Microsol Range</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Microsol 25-5-10</v>
      </c>
      <c r="E128" s="62" t="str" cm="1">
        <f t="array" ref="E128">Common_InputFunctions.Utility_DisplayArrayInTable(Fertiliser_SourceData.Fertiliser_Products_Data2(), FertiliserProducts[[#Headers],[Company]],31)</f>
        <v/>
      </c>
      <c r="F128" s="62" t="str" cm="1">
        <f t="array" ref="F128">Common_InputFunctions.Utility_DisplayArrayInTable(Fertiliser_SourceData.Fertiliser_Products_Data2(), FertiliserProducts[[#Headers],[Company]],31)</f>
        <v/>
      </c>
      <c r="G128" s="62" t="str" cm="1">
        <f t="array" ref="G128">Common_InputFunctions.Utility_DisplayArrayInTable(Fertiliser_SourceData.Fertiliser_Products_Data2(), FertiliserProducts[[#Headers],[Company]],31)</f>
        <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t="str" cm="1">
        <f t="array" ref="K128">Common_InputFunctions.Utility_DisplayArrayInTable(Fertiliser_SourceData.Fertiliser_Products_Data2(), FertiliserProducts[[#Headers],[Company]],31)</f>
        <v/>
      </c>
      <c r="L128" s="62" t="str" cm="1">
        <f t="array" ref="L128">Common_InputFunctions.Utility_DisplayArrayInTable(Fertiliser_SourceData.Fertiliser_Products_Data2(), FertiliserProducts[[#Headers],[Company]],31)</f>
        <v/>
      </c>
      <c r="M128" s="62" t="str" cm="1">
        <f t="array" ref="M128">Common_InputFunctions.Utility_DisplayArrayInTable(Fertiliser_SourceData.Fertiliser_Products_Data2(), FertiliserProducts[[#Headers],[Company]],31)</f>
        <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
      </c>
      <c r="P128" s="62" t="str" cm="1">
        <f t="array" ref="P128">Common_InputFunctions.Utility_DisplayArrayInTable(Fertiliser_SourceData.Fertiliser_Products_Data2(), FertiliserProducts[[#Headers],[Company]],31)</f>
        <v/>
      </c>
      <c r="Q128" s="62" t="str" cm="1">
        <f t="array" ref="Q128">Common_InputFunctions.Utility_DisplayArrayInTable(Fertiliser_SourceData.Fertiliser_Products_Data2(), FertiliserProducts[[#Headers],[Company]],31)</f>
        <v/>
      </c>
      <c r="R128" s="62" t="str" cm="1">
        <f t="array" ref="R128">Common_InputFunctions.Utility_DisplayArrayInTable(Fertiliser_SourceData.Fertiliser_Products_Data2(), FertiliserProducts[[#Headers],[Company]],31)</f>
        <v/>
      </c>
      <c r="S128" s="62" t="str" cm="1">
        <f t="array" ref="S128">Common_InputFunctions.Utility_DisplayArrayInTable(Fertiliser_SourceData.Fertiliser_Products_Data2(), FertiliserProducts[[#Headers],[Company]],31)</f>
        <v/>
      </c>
      <c r="T128" s="62" t="str" cm="1">
        <f t="array" ref="T128">Common_InputFunctions.Utility_DisplayArrayInTable(Fertiliser_SourceData.Fertiliser_Products_Data2(), FertiliserProducts[[#Headers],[Company]],31)</f>
        <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Rigbytaylor Microsol Range</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Microsol 28-0-14</v>
      </c>
      <c r="E129" s="62" t="str" cm="1">
        <f t="array" ref="E129">Common_InputFunctions.Utility_DisplayArrayInTable(Fertiliser_SourceData.Fertiliser_Products_Data2(), FertiliserProducts[[#Headers],[Company]],31)</f>
        <v/>
      </c>
      <c r="F129" s="62" t="str" cm="1">
        <f t="array" ref="F129">Common_InputFunctions.Utility_DisplayArrayInTable(Fertiliser_SourceData.Fertiliser_Products_Data2(), FertiliserProducts[[#Headers],[Company]],31)</f>
        <v/>
      </c>
      <c r="G129" s="62" t="str" cm="1">
        <f t="array" ref="G129">Common_InputFunctions.Utility_DisplayArrayInTable(Fertiliser_SourceData.Fertiliser_Products_Data2(), FertiliserProducts[[#Headers],[Company]],31)</f>
        <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t="str" cm="1">
        <f t="array" ref="K129">Common_InputFunctions.Utility_DisplayArrayInTable(Fertiliser_SourceData.Fertiliser_Products_Data2(), FertiliserProducts[[#Headers],[Company]],31)</f>
        <v/>
      </c>
      <c r="L129" s="62" t="str" cm="1">
        <f t="array" ref="L129">Common_InputFunctions.Utility_DisplayArrayInTable(Fertiliser_SourceData.Fertiliser_Products_Data2(), FertiliserProducts[[#Headers],[Company]],31)</f>
        <v/>
      </c>
      <c r="M129" s="62" t="str" cm="1">
        <f t="array" ref="M129">Common_InputFunctions.Utility_DisplayArrayInTable(Fertiliser_SourceData.Fertiliser_Products_Data2(), FertiliserProducts[[#Headers],[Company]],31)</f>
        <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
      </c>
      <c r="P129" s="62" t="str" cm="1">
        <f t="array" ref="P129">Common_InputFunctions.Utility_DisplayArrayInTable(Fertiliser_SourceData.Fertiliser_Products_Data2(), FertiliserProducts[[#Headers],[Company]],31)</f>
        <v/>
      </c>
      <c r="Q129" s="62" t="str" cm="1">
        <f t="array" ref="Q129">Common_InputFunctions.Utility_DisplayArrayInTable(Fertiliser_SourceData.Fertiliser_Products_Data2(), FertiliserProducts[[#Headers],[Company]],31)</f>
        <v/>
      </c>
      <c r="R129" s="62" t="str" cm="1">
        <f t="array" ref="R129">Common_InputFunctions.Utility_DisplayArrayInTable(Fertiliser_SourceData.Fertiliser_Products_Data2(), FertiliserProducts[[#Headers],[Company]],31)</f>
        <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Rigbytaylor Microsol Range</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Mono Potassium Phosphate MKP</v>
      </c>
      <c r="E130" s="62" t="str" cm="1">
        <f t="array" ref="E130">Common_InputFunctions.Utility_DisplayArrayInTable(Fertiliser_SourceData.Fertiliser_Products_Data2(), FertiliserProducts[[#Headers],[Company]],31)</f>
        <v/>
      </c>
      <c r="F130" s="62" t="str" cm="1">
        <f t="array" ref="F130">Common_InputFunctions.Utility_DisplayArrayInTable(Fertiliser_SourceData.Fertiliser_Products_Data2(), FertiliserProducts[[#Headers],[Company]],31)</f>
        <v/>
      </c>
      <c r="G130" s="62" t="str" cm="1">
        <f t="array" ref="G130">Common_InputFunctions.Utility_DisplayArrayInTable(Fertiliser_SourceData.Fertiliser_Products_Data2(), FertiliserProducts[[#Headers],[Company]],31)</f>
        <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t="str" cm="1">
        <f t="array" ref="K130">Common_InputFunctions.Utility_DisplayArrayInTable(Fertiliser_SourceData.Fertiliser_Products_Data2(), FertiliserProducts[[#Headers],[Company]],31)</f>
        <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
      </c>
      <c r="P130" s="62" t="str" cm="1">
        <f t="array" ref="P130">Common_InputFunctions.Utility_DisplayArrayInTable(Fertiliser_SourceData.Fertiliser_Products_Data2(), FertiliserProducts[[#Headers],[Company]],31)</f>
        <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Swancrop</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Muriate Of Potash MOP</v>
      </c>
      <c r="E131" s="62" t="str" cm="1">
        <f t="array" ref="E131">Common_InputFunctions.Utility_DisplayArrayInTable(Fertiliser_SourceData.Fertiliser_Products_Data2(), FertiliserProducts[[#Headers],[Company]],31)</f>
        <v/>
      </c>
      <c r="F131" s="62" t="str" cm="1">
        <f t="array" ref="F131">Common_InputFunctions.Utility_DisplayArrayInTable(Fertiliser_SourceData.Fertiliser_Products_Data2(), FertiliserProducts[[#Headers],[Company]],31)</f>
        <v/>
      </c>
      <c r="G131" s="62" t="str" cm="1">
        <f t="array" ref="G131">Common_InputFunctions.Utility_DisplayArrayInTable(Fertiliser_SourceData.Fertiliser_Products_Data2(), FertiliserProducts[[#Headers],[Company]],31)</f>
        <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t="str" cm="1">
        <f t="array" ref="M131">Common_InputFunctions.Utility_DisplayArrayInTable(Fertiliser_SourceData.Fertiliser_Products_Data2(), FertiliserProducts[[#Headers],[Company]],31)</f>
        <v/>
      </c>
      <c r="N131" s="62" t="str" cm="1">
        <f t="array" ref="N131">Common_InputFunctions.Utility_DisplayArrayInTable(Fertiliser_SourceData.Fertiliser_Products_Data2(), FertiliserProducts[[#Headers],[Company]],31)</f>
        <v/>
      </c>
      <c r="O131" s="62" t="str" cm="1">
        <f t="array" ref="O131">Common_InputFunctions.Utility_DisplayArrayInTable(Fertiliser_SourceData.Fertiliser_Products_Data2(), FertiliserProducts[[#Headers],[Company]],31)</f>
        <v/>
      </c>
      <c r="P131" s="62" t="str" cm="1">
        <f t="array" ref="P131">Common_InputFunctions.Utility_DisplayArrayInTable(Fertiliser_SourceData.Fertiliser_Products_Data2(), FertiliserProducts[[#Headers],[Company]],31)</f>
        <v/>
      </c>
      <c r="Q131" s="62" t="str" cm="1">
        <f t="array" ref="Q131">Common_InputFunctions.Utility_DisplayArrayInTable(Fertiliser_SourceData.Fertiliser_Products_Data2(), FertiliserProducts[[#Headers],[Company]],31)</f>
        <v/>
      </c>
      <c r="R131" s="62" t="str" cm="1">
        <f t="array" ref="R131">Common_InputFunctions.Utility_DisplayArrayInTable(Fertiliser_SourceData.Fertiliser_Products_Data2(), FertiliserProducts[[#Headers],[Company]],31)</f>
        <v/>
      </c>
      <c r="S131" s="62" t="str" cm="1">
        <f t="array" ref="S131">Common_InputFunctions.Utility_DisplayArrayInTable(Fertiliser_SourceData.Fertiliser_Products_Data2(), FertiliserProducts[[#Headers],[Company]],31)</f>
        <v/>
      </c>
      <c r="T131" s="62" t="str" cm="1">
        <f t="array" ref="T131">Common_InputFunctions.Utility_DisplayArrayInTable(Fertiliser_SourceData.Fertiliser_Products_Data2(), FertiliserProducts[[#Headers],[Company]],31)</f>
        <v/>
      </c>
      <c r="U131" s="62" t="str" cm="1">
        <f t="array" ref="U131">Common_InputFunctions.Utility_DisplayArrayInTable(Fertiliser_SourceData.Fertiliser_Products_Data2(), FertiliserProducts[[#Headers],[Company]],31)</f>
        <v/>
      </c>
      <c r="V131" s="62" t="str" cm="1">
        <f t="array" ref="V131">Common_InputFunctions.Utility_DisplayArrayInTable(Fertiliser_SourceData.Fertiliser_Products_Data2(), FertiliserProducts[[#Headers],[Company]],31)</f>
        <v/>
      </c>
      <c r="W131" s="62" t="str" cm="1">
        <f t="array" ref="W131">Common_InputFunctions.Utility_DisplayArrayInTable(Fertiliser_SourceData.Fertiliser_Products_Data2(), FertiliserProducts[[#Headers],[Company]],31)</f>
        <v>MountCompass Fertilisers Blends</v>
      </c>
      <c r="X131" s="62" t="str" cm="1">
        <f t="array" ref="X131">Common_InputFunctions.Utility_DisplayArrayInTable(Fertiliser_SourceData.Fertiliser_Products_Data2(), FertiliserProducts[[#Headers],[Company]],31)</f>
        <v/>
      </c>
      <c r="Y131" s="62" t="str" cm="1">
        <f t="array" ref="Y131">Common_InputFunctions.Utility_DisplayArrayInTable(Fertiliser_SourceData.Fertiliser_Products_Data2(), FertiliserProducts[[#Headers],[Company]],31)</f>
        <v/>
      </c>
      <c r="Z131" s="62" t="str" cm="1">
        <f t="array" ref="Z131">Common_InputFunctions.Utility_DisplayArrayInTable(Fertiliser_SourceData.Fertiliser_Products_Data2(), FertiliserProducts[[#Headers],[Company]],31)</f>
        <v/>
      </c>
      <c r="AA131" s="62" t="str" cm="1">
        <f t="array" ref="AA131">Common_InputFunctions.Utility_DisplayArrayInTable(Fertiliser_SourceData.Fertiliser_Products_Data2(), FertiliserProducts[[#Headers],[Company]],31)</f>
        <v/>
      </c>
      <c r="AB131" s="62" t="str" cm="1">
        <f t="array" ref="AB131">Common_InputFunctions.Utility_DisplayArrayInTable(Fertiliser_SourceData.Fertiliser_Products_Data2(), FertiliserProducts[[#Headers],[Company]],31)</f>
        <v/>
      </c>
      <c r="AC131" s="62" t="str" cm="1">
        <f t="array" ref="AC131">Common_InputFunctions.Utility_DisplayArrayInTable(Fertiliser_SourceData.Fertiliser_Products_Data2(), FertiliserProducts[[#Headers],[Company]],31)</f>
        <v/>
      </c>
      <c r="AD131" s="62" t="str" cm="1">
        <f t="array" ref="AD131">Common_InputFunctions.Utility_DisplayArrayInTable(Fertiliser_SourceData.Fertiliser_Products_Data2(), FertiliserProducts[[#Headers],[Company]],31)</f>
        <v/>
      </c>
      <c r="AE131" s="62" t="str" cm="1">
        <f t="array" ref="AE131">Common_InputFunctions.Utility_DisplayArrayInTable(Fertiliser_SourceData.Fertiliser_Products_Data2(), FertiliserProducts[[#Headers],[Company]],31)</f>
        <v/>
      </c>
      <c r="AF131" s="62" t="str" cm="1">
        <f t="array" ref="AF131">Common_InputFunctions.Utility_DisplayArrayInTable(Fertiliser_SourceData.Fertiliser_Products_Data2(), FertiliserProducts[[#Headers],[Company]],31)</f>
        <v/>
      </c>
      <c r="AG131" s="62" t="str" cm="1">
        <f t="array" ref="AG131">Common_InputFunctions.Utility_DisplayArrayInTable(Fertiliser_SourceData.Fertiliser_Products_Data2(), FertiliserProducts[[#Headers],[Company]],31)</f>
        <v/>
      </c>
      <c r="AH131" s="62" t="str" cm="1">
        <f t="array" ref="AH131">Common_InputFunctions.Utility_DisplayArrayInTable(Fertiliser_SourceData.Fertiliser_Products_Data2(), FertiliserProducts[[#Headers],[Company]],31)</f>
        <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NitroPlus</v>
      </c>
      <c r="E132" s="62" t="str" cm="1">
        <f t="array" ref="E132">Common_InputFunctions.Utility_DisplayArrayInTable(Fertiliser_SourceData.Fertiliser_Products_Data2(), FertiliserProducts[[#Headers],[Company]],31)</f>
        <v/>
      </c>
      <c r="F132" s="62" t="str" cm="1">
        <f t="array" ref="F132">Common_InputFunctions.Utility_DisplayArrayInTable(Fertiliser_SourceData.Fertiliser_Products_Data2(), FertiliserProducts[[#Headers],[Company]],31)</f>
        <v/>
      </c>
      <c r="G132" s="62" t="str" cm="1">
        <f t="array" ref="G132">Common_InputFunctions.Utility_DisplayArrayInTable(Fertiliser_SourceData.Fertiliser_Products_Data2(), FertiliserProducts[[#Headers],[Company]],31)</f>
        <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t="str" cm="1">
        <f t="array" ref="K132">Common_InputFunctions.Utility_DisplayArrayInTable(Fertiliser_SourceData.Fertiliser_Products_Data2(), FertiliserProducts[[#Headers],[Company]],31)</f>
        <v/>
      </c>
      <c r="L132" s="62" t="str" cm="1">
        <f t="array" ref="L132">Common_InputFunctions.Utility_DisplayArrayInTable(Fertiliser_SourceData.Fertiliser_Products_Data2(), FertiliserProducts[[#Headers],[Company]],31)</f>
        <v/>
      </c>
      <c r="M132" s="62" t="str" cm="1">
        <f t="array" ref="M132">Common_InputFunctions.Utility_DisplayArrayInTable(Fertiliser_SourceData.Fertiliser_Products_Data2(), FertiliserProducts[[#Headers],[Company]],31)</f>
        <v/>
      </c>
      <c r="N132" s="62" t="str" cm="1">
        <f t="array" ref="N132">Common_InputFunctions.Utility_DisplayArrayInTable(Fertiliser_SourceData.Fertiliser_Products_Data2(), FertiliserProducts[[#Headers],[Company]],31)</f>
        <v/>
      </c>
      <c r="O132" s="62" t="str" cm="1">
        <f t="array" ref="O132">Common_InputFunctions.Utility_DisplayArrayInTable(Fertiliser_SourceData.Fertiliser_Products_Data2(), FertiliserProducts[[#Headers],[Company]],31)</f>
        <v/>
      </c>
      <c r="P132" s="62" t="str" cm="1">
        <f t="array" ref="P132">Common_InputFunctions.Utility_DisplayArrayInTable(Fertiliser_SourceData.Fertiliser_Products_Data2(), FertiliserProducts[[#Headers],[Company]],31)</f>
        <v/>
      </c>
      <c r="Q132" s="62" t="str" cm="1">
        <f t="array" ref="Q132">Common_InputFunctions.Utility_DisplayArrayInTable(Fertiliser_SourceData.Fertiliser_Products_Data2(), FertiliserProducts[[#Headers],[Company]],31)</f>
        <v/>
      </c>
      <c r="R132" s="62" t="str" cm="1">
        <f t="array" ref="R132">Common_InputFunctions.Utility_DisplayArrayInTable(Fertiliser_SourceData.Fertiliser_Products_Data2(), FertiliserProducts[[#Headers],[Company]],31)</f>
        <v/>
      </c>
      <c r="S132" s="62" t="str" cm="1">
        <f t="array" ref="S132">Common_InputFunctions.Utility_DisplayArrayInTable(Fertiliser_SourceData.Fertiliser_Products_Data2(), FertiliserProducts[[#Headers],[Company]],31)</f>
        <v/>
      </c>
      <c r="T132" s="62" t="str" cm="1">
        <f t="array" ref="T132">Common_InputFunctions.Utility_DisplayArrayInTable(Fertiliser_SourceData.Fertiliser_Products_Data2(), FertiliserProducts[[#Headers],[Company]],31)</f>
        <v/>
      </c>
      <c r="U132" s="62" t="str" cm="1">
        <f t="array" ref="U132">Common_InputFunctions.Utility_DisplayArrayInTable(Fertiliser_SourceData.Fertiliser_Products_Data2(), FertiliserProducts[[#Headers],[Company]],31)</f>
        <v/>
      </c>
      <c r="V132" s="62" t="str" cm="1">
        <f t="array" ref="V132">Common_InputFunctions.Utility_DisplayArrayInTable(Fertiliser_SourceData.Fertiliser_Products_Data2(), FertiliserProducts[[#Headers],[Company]],31)</f>
        <v/>
      </c>
      <c r="W132" s="62" t="str" cm="1">
        <f t="array" ref="W132">Common_InputFunctions.Utility_DisplayArrayInTable(Fertiliser_SourceData.Fertiliser_Products_Data2(), FertiliserProducts[[#Headers],[Company]],31)</f>
        <v>AgroStock Group Nitro Plus</v>
      </c>
      <c r="X132" s="62" t="str" cm="1">
        <f t="array" ref="X132">Common_InputFunctions.Utility_DisplayArrayInTable(Fertiliser_SourceData.Fertiliser_Products_Data2(), FertiliserProducts[[#Headers],[Company]],31)</f>
        <v/>
      </c>
      <c r="Y132" s="62" t="str" cm="1">
        <f t="array" ref="Y132">Common_InputFunctions.Utility_DisplayArrayInTable(Fertiliser_SourceData.Fertiliser_Products_Data2(), FertiliserProducts[[#Headers],[Company]],31)</f>
        <v/>
      </c>
      <c r="Z132" s="62" t="str" cm="1">
        <f t="array" ref="Z132">Common_InputFunctions.Utility_DisplayArrayInTable(Fertiliser_SourceData.Fertiliser_Products_Data2(), FertiliserProducts[[#Headers],[Company]],31)</f>
        <v/>
      </c>
      <c r="AA132" s="62" t="str" cm="1">
        <f t="array" ref="AA132">Common_InputFunctions.Utility_DisplayArrayInTable(Fertiliser_SourceData.Fertiliser_Products_Data2(), FertiliserProducts[[#Headers],[Company]],31)</f>
        <v/>
      </c>
      <c r="AB132" s="62" t="str" cm="1">
        <f t="array" ref="AB132">Common_InputFunctions.Utility_DisplayArrayInTable(Fertiliser_SourceData.Fertiliser_Products_Data2(), FertiliserProducts[[#Headers],[Company]],31)</f>
        <v/>
      </c>
      <c r="AC132" s="62" t="str" cm="1">
        <f t="array" ref="AC132">Common_InputFunctions.Utility_DisplayArrayInTable(Fertiliser_SourceData.Fertiliser_Products_Data2(), FertiliserProducts[[#Headers],[Company]],31)</f>
        <v/>
      </c>
      <c r="AD132" s="62" t="str" cm="1">
        <f t="array" ref="AD132">Common_InputFunctions.Utility_DisplayArrayInTable(Fertiliser_SourceData.Fertiliser_Products_Data2(), FertiliserProducts[[#Headers],[Company]],31)</f>
        <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NutraGold</v>
      </c>
      <c r="E133" s="62" t="str" cm="1">
        <f t="array" ref="E133">Common_InputFunctions.Utility_DisplayArrayInTable(Fertiliser_SourceData.Fertiliser_Products_Data2(), FertiliserProducts[[#Headers],[Company]],31)</f>
        <v/>
      </c>
      <c r="F133" s="62" t="str" cm="1">
        <f t="array" ref="F133">Common_InputFunctions.Utility_DisplayArrayInTable(Fertiliser_SourceData.Fertiliser_Products_Data2(), FertiliserProducts[[#Headers],[Company]],31)</f>
        <v/>
      </c>
      <c r="G133" s="62" t="str" cm="1">
        <f t="array" ref="G133">Common_InputFunctions.Utility_DisplayArrayInTable(Fertiliser_SourceData.Fertiliser_Products_Data2(), FertiliserProducts[[#Headers],[Company]],31)</f>
        <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t="str" cm="1">
        <f t="array" ref="K133">Common_InputFunctions.Utility_DisplayArrayInTable(Fertiliser_SourceData.Fertiliser_Products_Data2(), FertiliserProducts[[#Headers],[Company]],31)</f>
        <v/>
      </c>
      <c r="L133" s="62" t="str" cm="1">
        <f t="array" ref="L133">Common_InputFunctions.Utility_DisplayArrayInTable(Fertiliser_SourceData.Fertiliser_Products_Data2(), FertiliserProducts[[#Headers],[Company]],31)</f>
        <v/>
      </c>
      <c r="M133" s="62" t="str" cm="1">
        <f t="array" ref="M133">Common_InputFunctions.Utility_DisplayArrayInTable(Fertiliser_SourceData.Fertiliser_Products_Data2(), FertiliserProducts[[#Headers],[Company]],31)</f>
        <v/>
      </c>
      <c r="N133" s="62" t="str" cm="1">
        <f t="array" ref="N133">Common_InputFunctions.Utility_DisplayArrayInTable(Fertiliser_SourceData.Fertiliser_Products_Data2(), FertiliserProducts[[#Headers],[Company]],31)</f>
        <v/>
      </c>
      <c r="O133" s="62" t="str" cm="1">
        <f t="array" ref="O133">Common_InputFunctions.Utility_DisplayArrayInTable(Fertiliser_SourceData.Fertiliser_Products_Data2(), FertiliserProducts[[#Headers],[Company]],31)</f>
        <v/>
      </c>
      <c r="P133" s="62" t="str" cm="1">
        <f t="array" ref="P133">Common_InputFunctions.Utility_DisplayArrayInTable(Fertiliser_SourceData.Fertiliser_Products_Data2(), FertiliserProducts[[#Headers],[Company]],31)</f>
        <v/>
      </c>
      <c r="Q133" s="62" t="str" cm="1">
        <f t="array" ref="Q133">Common_InputFunctions.Utility_DisplayArrayInTable(Fertiliser_SourceData.Fertiliser_Products_Data2(), FertiliserProducts[[#Headers],[Company]],31)</f>
        <v/>
      </c>
      <c r="R133" s="62" t="str" cm="1">
        <f t="array" ref="R133">Common_InputFunctions.Utility_DisplayArrayInTable(Fertiliser_SourceData.Fertiliser_Products_Data2(), FertiliserProducts[[#Headers],[Company]],31)</f>
        <v/>
      </c>
      <c r="S133" s="62" t="str" cm="1">
        <f t="array" ref="S133">Common_InputFunctions.Utility_DisplayArrayInTable(Fertiliser_SourceData.Fertiliser_Products_Data2(), FertiliserProducts[[#Headers],[Company]],31)</f>
        <v/>
      </c>
      <c r="T133" s="62" t="str" cm="1">
        <f t="array" ref="T133">Common_InputFunctions.Utility_DisplayArrayInTable(Fertiliser_SourceData.Fertiliser_Products_Data2(), FertiliserProducts[[#Headers],[Company]],31)</f>
        <v/>
      </c>
      <c r="U133" s="62" t="str" cm="1">
        <f t="array" ref="U133">Common_InputFunctions.Utility_DisplayArrayInTable(Fertiliser_SourceData.Fertiliser_Products_Data2(), FertiliserProducts[[#Headers],[Company]],31)</f>
        <v/>
      </c>
      <c r="V133" s="62" t="str" cm="1">
        <f t="array" ref="V133">Common_InputFunctions.Utility_DisplayArrayInTable(Fertiliser_SourceData.Fertiliser_Products_Data2(), FertiliserProducts[[#Headers],[Company]],31)</f>
        <v/>
      </c>
      <c r="W133" s="62" t="str" cm="1">
        <f t="array" ref="W133">Common_InputFunctions.Utility_DisplayArrayInTable(Fertiliser_SourceData.Fertiliser_Products_Data2(), FertiliserProducts[[#Headers],[Company]],31)</f>
        <v>Swancrop</v>
      </c>
      <c r="X133" s="62" t="str" cm="1">
        <f t="array" ref="X133">Common_InputFunctions.Utility_DisplayArrayInTable(Fertiliser_SourceData.Fertiliser_Products_Data2(), FertiliserProducts[[#Headers],[Company]],31)</f>
        <v/>
      </c>
      <c r="Y133" s="62" t="str" cm="1">
        <f t="array" ref="Y133">Common_InputFunctions.Utility_DisplayArrayInTable(Fertiliser_SourceData.Fertiliser_Products_Data2(), FertiliserProducts[[#Headers],[Company]],31)</f>
        <v/>
      </c>
      <c r="Z133" s="62" t="str" cm="1">
        <f t="array" ref="Z133">Common_InputFunctions.Utility_DisplayArrayInTable(Fertiliser_SourceData.Fertiliser_Products_Data2(), FertiliserProducts[[#Headers],[Company]],31)</f>
        <v/>
      </c>
      <c r="AA133" s="62" t="str" cm="1">
        <f t="array" ref="AA133">Common_InputFunctions.Utility_DisplayArrayInTable(Fertiliser_SourceData.Fertiliser_Products_Data2(), FertiliserProducts[[#Headers],[Company]],31)</f>
        <v/>
      </c>
      <c r="AB133" s="62" t="str" cm="1">
        <f t="array" ref="AB133">Common_InputFunctions.Utility_DisplayArrayInTable(Fertiliser_SourceData.Fertiliser_Products_Data2(), FertiliserProducts[[#Headers],[Company]],31)</f>
        <v/>
      </c>
      <c r="AC133" s="62" t="str" cm="1">
        <f t="array" ref="AC133">Common_InputFunctions.Utility_DisplayArrayInTable(Fertiliser_SourceData.Fertiliser_Products_Data2(), FertiliserProducts[[#Headers],[Company]],31)</f>
        <v/>
      </c>
      <c r="AD133" s="62" t="str" cm="1">
        <f t="array" ref="AD133">Common_InputFunctions.Utility_DisplayArrayInTable(Fertiliser_SourceData.Fertiliser_Products_Data2(), FertiliserProducts[[#Headers],[Company]],31)</f>
        <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Pro Performance 18-3-6</v>
      </c>
      <c r="E134" s="62" t="str" cm="1">
        <f t="array" ref="E134">Common_InputFunctions.Utility_DisplayArrayInTable(Fertiliser_SourceData.Fertiliser_Products_Data2(), FertiliserProducts[[#Headers],[Company]],31)</f>
        <v/>
      </c>
      <c r="F134" s="62" t="str" cm="1">
        <f t="array" ref="F134">Common_InputFunctions.Utility_DisplayArrayInTable(Fertiliser_SourceData.Fertiliser_Products_Data2(), FertiliserProducts[[#Headers],[Company]],31)</f>
        <v/>
      </c>
      <c r="G134" s="62" t="str" cm="1">
        <f t="array" ref="G134">Common_InputFunctions.Utility_DisplayArrayInTable(Fertiliser_SourceData.Fertiliser_Products_Data2(), FertiliserProducts[[#Headers],[Company]],31)</f>
        <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t="str" cm="1">
        <f t="array" ref="K134">Common_InputFunctions.Utility_DisplayArrayInTable(Fertiliser_SourceData.Fertiliser_Products_Data2(), FertiliserProducts[[#Headers],[Company]],31)</f>
        <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t="str" cm="1">
        <f t="array" ref="N134">Common_InputFunctions.Utility_DisplayArrayInTable(Fertiliser_SourceData.Fertiliser_Products_Data2(), FertiliserProducts[[#Headers],[Company]],31)</f>
        <v/>
      </c>
      <c r="O134" s="62" t="str" cm="1">
        <f t="array" ref="O134">Common_InputFunctions.Utility_DisplayArrayInTable(Fertiliser_SourceData.Fertiliser_Products_Data2(), FertiliserProducts[[#Headers],[Company]],31)</f>
        <v/>
      </c>
      <c r="P134" s="62" t="str" cm="1">
        <f t="array" ref="P134">Common_InputFunctions.Utility_DisplayArrayInTable(Fertiliser_SourceData.Fertiliser_Products_Data2(), FertiliserProducts[[#Headers],[Company]],31)</f>
        <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Pro Turf Formula</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SOA</v>
      </c>
      <c r="E135" s="62" t="str" cm="1">
        <f t="array" ref="E135">Common_InputFunctions.Utility_DisplayArrayInTable(Fertiliser_SourceData.Fertiliser_Products_Data2(), FertiliserProducts[[#Headers],[Company]],31)</f>
        <v/>
      </c>
      <c r="F135" s="62" t="str" cm="1">
        <f t="array" ref="F135">Common_InputFunctions.Utility_DisplayArrayInTable(Fertiliser_SourceData.Fertiliser_Products_Data2(), FertiliserProducts[[#Headers],[Company]],31)</f>
        <v/>
      </c>
      <c r="G135" s="62" t="str" cm="1">
        <f t="array" ref="G135">Common_InputFunctions.Utility_DisplayArrayInTable(Fertiliser_SourceData.Fertiliser_Products_Data2(), FertiliserProducts[[#Headers],[Company]],31)</f>
        <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t="str" cm="1">
        <f t="array" ref="K135">Common_InputFunctions.Utility_DisplayArrayInTable(Fertiliser_SourceData.Fertiliser_Products_Data2(), FertiliserProducts[[#Headers],[Company]],31)</f>
        <v/>
      </c>
      <c r="L135" s="62" t="str" cm="1">
        <f t="array" ref="L135">Common_InputFunctions.Utility_DisplayArrayInTable(Fertiliser_SourceData.Fertiliser_Products_Data2(), FertiliserProducts[[#Headers],[Company]],31)</f>
        <v/>
      </c>
      <c r="M135" s="62" t="str" cm="1">
        <f t="array" ref="M135">Common_InputFunctions.Utility_DisplayArrayInTable(Fertiliser_SourceData.Fertiliser_Products_Data2(), FertiliserProducts[[#Headers],[Company]],31)</f>
        <v/>
      </c>
      <c r="N135" s="62" t="str" cm="1">
        <f t="array" ref="N135">Common_InputFunctions.Utility_DisplayArrayInTable(Fertiliser_SourceData.Fertiliser_Products_Data2(), FertiliserProducts[[#Headers],[Company]],31)</f>
        <v/>
      </c>
      <c r="O135" s="62" t="str" cm="1">
        <f t="array" ref="O135">Common_InputFunctions.Utility_DisplayArrayInTable(Fertiliser_SourceData.Fertiliser_Products_Data2(), FertiliserProducts[[#Headers],[Company]],31)</f>
        <v/>
      </c>
      <c r="P135" s="62" t="str" cm="1">
        <f t="array" ref="P135">Common_InputFunctions.Utility_DisplayArrayInTable(Fertiliser_SourceData.Fertiliser_Products_Data2(), FertiliserProducts[[#Headers],[Company]],31)</f>
        <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MountCompass Fertilisers Blends</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SSP</v>
      </c>
      <c r="E136" s="62" t="str" cm="1">
        <f t="array" ref="E136">Common_InputFunctions.Utility_DisplayArrayInTable(Fertiliser_SourceData.Fertiliser_Products_Data2(), FertiliserProducts[[#Headers],[Company]],31)</f>
        <v/>
      </c>
      <c r="F136" s="62" t="str" cm="1">
        <f t="array" ref="F136">Common_InputFunctions.Utility_DisplayArrayInTable(Fertiliser_SourceData.Fertiliser_Products_Data2(), FertiliserProducts[[#Headers],[Company]],31)</f>
        <v/>
      </c>
      <c r="G136" s="62" t="str" cm="1">
        <f t="array" ref="G136">Common_InputFunctions.Utility_DisplayArrayInTable(Fertiliser_SourceData.Fertiliser_Products_Data2(), FertiliserProducts[[#Headers],[Company]],31)</f>
        <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t="str" cm="1">
        <f t="array" ref="K136">Common_InputFunctions.Utility_DisplayArrayInTable(Fertiliser_SourceData.Fertiliser_Products_Data2(), FertiliserProducts[[#Headers],[Company]],31)</f>
        <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
      </c>
      <c r="P136" s="62" t="str" cm="1">
        <f t="array" ref="P136">Common_InputFunctions.Utility_DisplayArrayInTable(Fertiliser_SourceData.Fertiliser_Products_Data2(), FertiliserProducts[[#Headers],[Company]],31)</f>
        <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Impact fertilisers</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Super Phos</v>
      </c>
      <c r="E137" s="62" t="str" cm="1">
        <f t="array" ref="E137">Common_InputFunctions.Utility_DisplayArrayInTable(Fertiliser_SourceData.Fertiliser_Products_Data2(), FertiliserProducts[[#Headers],[Company]],31)</f>
        <v/>
      </c>
      <c r="F137" s="62" t="str" cm="1">
        <f t="array" ref="F137">Common_InputFunctions.Utility_DisplayArrayInTable(Fertiliser_SourceData.Fertiliser_Products_Data2(), FertiliserProducts[[#Headers],[Company]],31)</f>
        <v/>
      </c>
      <c r="G137" s="62" t="str" cm="1">
        <f t="array" ref="G137">Common_InputFunctions.Utility_DisplayArrayInTable(Fertiliser_SourceData.Fertiliser_Products_Data2(), FertiliserProducts[[#Headers],[Company]],31)</f>
        <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t="str" cm="1">
        <f t="array" ref="M137">Common_InputFunctions.Utility_DisplayArrayInTable(Fertiliser_SourceData.Fertiliser_Products_Data2(), FertiliserProducts[[#Headers],[Company]],31)</f>
        <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
      </c>
      <c r="P137" s="62" t="str" cm="1">
        <f t="array" ref="P137">Common_InputFunctions.Utility_DisplayArrayInTable(Fertiliser_SourceData.Fertiliser_Products_Data2(), FertiliserProducts[[#Headers],[Company]],31)</f>
        <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CSBP Super PHOS</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Super SR Extra</v>
      </c>
      <c r="E138" s="62" t="str" cm="1">
        <f t="array" ref="E138">Common_InputFunctions.Utility_DisplayArrayInTable(Fertiliser_SourceData.Fertiliser_Products_Data2(), FertiliserProducts[[#Headers],[Company]],31)</f>
        <v/>
      </c>
      <c r="F138" s="62" t="str" cm="1">
        <f t="array" ref="F138">Common_InputFunctions.Utility_DisplayArrayInTable(Fertiliser_SourceData.Fertiliser_Products_Data2(), FertiliserProducts[[#Headers],[Company]],31)</f>
        <v/>
      </c>
      <c r="G138" s="62" t="str" cm="1">
        <f t="array" ref="G138">Common_InputFunctions.Utility_DisplayArrayInTable(Fertiliser_SourceData.Fertiliser_Products_Data2(), FertiliserProducts[[#Headers],[Company]],31)</f>
        <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
      </c>
      <c r="J138" s="62" t="str" cm="1">
        <f t="array" ref="J138">Common_InputFunctions.Utility_DisplayArrayInTable(Fertiliser_SourceData.Fertiliser_Products_Data2(), FertiliserProducts[[#Headers],[Company]],31)</f>
        <v/>
      </c>
      <c r="K138" s="62" t="str" cm="1">
        <f t="array" ref="K138">Common_InputFunctions.Utility_DisplayArrayInTable(Fertiliser_SourceData.Fertiliser_Products_Data2(), FertiliserProducts[[#Headers],[Company]],31)</f>
        <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
      </c>
      <c r="P138" s="62" t="str" cm="1">
        <f t="array" ref="P138">Common_InputFunctions.Utility_DisplayArrayInTable(Fertiliser_SourceData.Fertiliser_Products_Data2(), FertiliserProducts[[#Headers],[Company]],31)</f>
        <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CSBP Super Potash</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SuPerfect</v>
      </c>
      <c r="E139" s="62" t="str" cm="1">
        <f t="array" ref="E139">Common_InputFunctions.Utility_DisplayArrayInTable(Fertiliser_SourceData.Fertiliser_Products_Data2(), FertiliserProducts[[#Headers],[Company]],31)</f>
        <v/>
      </c>
      <c r="F139" s="62" t="str" cm="1">
        <f t="array" ref="F139">Common_InputFunctions.Utility_DisplayArrayInTable(Fertiliser_SourceData.Fertiliser_Products_Data2(), FertiliserProducts[[#Headers],[Company]],31)</f>
        <v/>
      </c>
      <c r="G139" s="62" t="str" cm="1">
        <f t="array" ref="G139">Common_InputFunctions.Utility_DisplayArrayInTable(Fertiliser_SourceData.Fertiliser_Products_Data2(), FertiliserProducts[[#Headers],[Company]],31)</f>
        <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
      </c>
      <c r="J139" s="62" t="str" cm="1">
        <f t="array" ref="J139">Common_InputFunctions.Utility_DisplayArrayInTable(Fertiliser_SourceData.Fertiliser_Products_Data2(), FertiliserProducts[[#Headers],[Company]],31)</f>
        <v/>
      </c>
      <c r="K139" s="62" t="str" cm="1">
        <f t="array" ref="K139">Common_InputFunctions.Utility_DisplayArrayInTable(Fertiliser_SourceData.Fertiliser_Products_Data2(), FertiliserProducts[[#Headers],[Company]],31)</f>
        <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
      </c>
      <c r="P139" s="62" t="str" cm="1">
        <f t="array" ref="P139">Common_InputFunctions.Utility_DisplayArrayInTable(Fertiliser_SourceData.Fertiliser_Products_Data2(), FertiliserProducts[[#Headers],[Company]],31)</f>
        <v/>
      </c>
      <c r="Q139" s="62" t="str" cm="1">
        <f t="array" ref="Q139">Common_InputFunctions.Utility_DisplayArrayInTable(Fertiliser_SourceData.Fertiliser_Products_Data2(), FertiliserProducts[[#Headers],[Company]],31)</f>
        <v/>
      </c>
      <c r="R139" s="62" t="str" cm="1">
        <f t="array" ref="R139">Common_InputFunctions.Utility_DisplayArrayInTable(Fertiliser_SourceData.Fertiliser_Products_Data2(), FertiliserProducts[[#Headers],[Company]],31)</f>
        <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Incitec Pivot Fertilisers</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SuperPasture Potash 5:1</v>
      </c>
      <c r="E140" s="62" t="str" cm="1">
        <f t="array" ref="E140">Common_InputFunctions.Utility_DisplayArrayInTable(Fertiliser_SourceData.Fertiliser_Products_Data2(), FertiliserProducts[[#Headers],[Company]],31)</f>
        <v/>
      </c>
      <c r="F140" s="62" t="str" cm="1">
        <f t="array" ref="F140">Common_InputFunctions.Utility_DisplayArrayInTable(Fertiliser_SourceData.Fertiliser_Products_Data2(), FertiliserProducts[[#Headers],[Company]],31)</f>
        <v/>
      </c>
      <c r="G140" s="62" t="str" cm="1">
        <f t="array" ref="G140">Common_InputFunctions.Utility_DisplayArrayInTable(Fertiliser_SourceData.Fertiliser_Products_Data2(), FertiliserProducts[[#Headers],[Company]],31)</f>
        <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t="str" cm="1">
        <f t="array" ref="K140">Common_InputFunctions.Utility_DisplayArrayInTable(Fertiliser_SourceData.Fertiliser_Products_Data2(), FertiliserProducts[[#Headers],[Company]],31)</f>
        <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
      </c>
      <c r="P140" s="62" t="str" cm="1">
        <f t="array" ref="P140">Common_InputFunctions.Utility_DisplayArrayInTable(Fertiliser_SourceData.Fertiliser_Products_Data2(), FertiliserProducts[[#Headers],[Company]],31)</f>
        <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CSBP Super Potash</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Trace-it Mn</v>
      </c>
      <c r="E141" s="62" t="str" cm="1">
        <f t="array" ref="E141">Common_InputFunctions.Utility_DisplayArrayInTable(Fertiliser_SourceData.Fertiliser_Products_Data2(), FertiliserProducts[[#Headers],[Company]],31)</f>
        <v/>
      </c>
      <c r="F141" s="62" t="str" cm="1">
        <f t="array" ref="F141">Common_InputFunctions.Utility_DisplayArrayInTable(Fertiliser_SourceData.Fertiliser_Products_Data2(), FertiliserProducts[[#Headers],[Company]],31)</f>
        <v/>
      </c>
      <c r="G141" s="62" t="str" cm="1">
        <f t="array" ref="G141">Common_InputFunctions.Utility_DisplayArrayInTable(Fertiliser_SourceData.Fertiliser_Products_Data2(), FertiliserProducts[[#Headers],[Company]],31)</f>
        <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t="str" cm="1">
        <f t="array" ref="K141">Common_InputFunctions.Utility_DisplayArrayInTable(Fertiliser_SourceData.Fertiliser_Products_Data2(), FertiliserProducts[[#Headers],[Company]],31)</f>
        <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
      </c>
      <c r="P141" s="62" t="str" cm="1">
        <f t="array" ref="P141">Common_InputFunctions.Utility_DisplayArrayInTable(Fertiliser_SourceData.Fertiliser_Products_Data2(), FertiliserProducts[[#Headers],[Company]],31)</f>
        <v/>
      </c>
      <c r="Q141" s="62" t="str" cm="1">
        <f t="array" ref="Q141">Common_InputFunctions.Utility_DisplayArrayInTable(Fertiliser_SourceData.Fertiliser_Products_Data2(), FertiliserProducts[[#Headers],[Company]],31)</f>
        <v/>
      </c>
      <c r="R141" s="62" t="str" cm="1">
        <f t="array" ref="R141">Common_InputFunctions.Utility_DisplayArrayInTable(Fertiliser_SourceData.Fertiliser_Products_Data2(), FertiliserProducts[[#Headers],[Company]],31)</f>
        <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Campbells fertilisers Australia</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UniSZon</v>
      </c>
      <c r="E142" s="62" t="str" cm="1">
        <f t="array" ref="E142">Common_InputFunctions.Utility_DisplayArrayInTable(Fertiliser_SourceData.Fertiliser_Products_Data2(), FertiliserProducts[[#Headers],[Company]],31)</f>
        <v/>
      </c>
      <c r="F142" s="62" t="str" cm="1">
        <f t="array" ref="F142">Common_InputFunctions.Utility_DisplayArrayInTable(Fertiliser_SourceData.Fertiliser_Products_Data2(), FertiliserProducts[[#Headers],[Company]],31)</f>
        <v/>
      </c>
      <c r="G142" s="62" t="str" cm="1">
        <f t="array" ref="G142">Common_InputFunctions.Utility_DisplayArrayInTable(Fertiliser_SourceData.Fertiliser_Products_Data2(), FertiliserProducts[[#Headers],[Company]],31)</f>
        <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t="str" cm="1">
        <f t="array" ref="K142">Common_InputFunctions.Utility_DisplayArrayInTable(Fertiliser_SourceData.Fertiliser_Products_Data2(), FertiliserProducts[[#Headers],[Company]],31)</f>
        <v/>
      </c>
      <c r="L142" s="62" t="str" cm="1">
        <f t="array" ref="L142">Common_InputFunctions.Utility_DisplayArrayInTable(Fertiliser_SourceData.Fertiliser_Products_Data2(), FertiliserProducts[[#Headers],[Company]],31)</f>
        <v/>
      </c>
      <c r="M142" s="62" t="str" cm="1">
        <f t="array" ref="M142">Common_InputFunctions.Utility_DisplayArrayInTable(Fertiliser_SourceData.Fertiliser_Products_Data2(), FertiliserProducts[[#Headers],[Company]],31)</f>
        <v/>
      </c>
      <c r="N142" s="62" t="str" cm="1">
        <f t="array" ref="N142">Common_InputFunctions.Utility_DisplayArrayInTable(Fertiliser_SourceData.Fertiliser_Products_Data2(), FertiliserProducts[[#Headers],[Company]],31)</f>
        <v/>
      </c>
      <c r="O142" s="62" t="str" cm="1">
        <f t="array" ref="O142">Common_InputFunctions.Utility_DisplayArrayInTable(Fertiliser_SourceData.Fertiliser_Products_Data2(), FertiliserProducts[[#Headers],[Company]],31)</f>
        <v/>
      </c>
      <c r="P142" s="62" t="str" cm="1">
        <f t="array" ref="P142">Common_InputFunctions.Utility_DisplayArrayInTable(Fertiliser_SourceData.Fertiliser_Products_Data2(), FertiliserProducts[[#Headers],[Company]],31)</f>
        <v/>
      </c>
      <c r="Q142" s="62" t="str" cm="1">
        <f t="array" ref="Q142">Common_InputFunctions.Utility_DisplayArrayInTable(Fertiliser_SourceData.Fertiliser_Products_Data2(), FertiliserProducts[[#Headers],[Company]],31)</f>
        <v/>
      </c>
      <c r="R142" s="62" t="str" cm="1">
        <f t="array" ref="R142">Common_InputFunctions.Utility_DisplayArrayInTable(Fertiliser_SourceData.Fertiliser_Products_Data2(), FertiliserProducts[[#Headers],[Company]],31)</f>
        <v/>
      </c>
      <c r="S142" s="62" t="str" cm="1">
        <f t="array" ref="S142">Common_InputFunctions.Utility_DisplayArrayInTable(Fertiliser_SourceData.Fertiliser_Products_Data2(), FertiliserProducts[[#Headers],[Company]],31)</f>
        <v/>
      </c>
      <c r="T142" s="62" t="str" cm="1">
        <f t="array" ref="T142">Common_InputFunctions.Utility_DisplayArrayInTable(Fertiliser_SourceData.Fertiliser_Products_Data2(), FertiliserProducts[[#Headers],[Company]],31)</f>
        <v/>
      </c>
      <c r="U142" s="62" t="str" cm="1">
        <f t="array" ref="U142">Common_InputFunctions.Utility_DisplayArrayInTable(Fertiliser_SourceData.Fertiliser_Products_Data2(), FertiliserProducts[[#Headers],[Company]],31)</f>
        <v/>
      </c>
      <c r="V142" s="62" t="str" cm="1">
        <f t="array" ref="V142">Common_InputFunctions.Utility_DisplayArrayInTable(Fertiliser_SourceData.Fertiliser_Products_Data2(), FertiliserProducts[[#Headers],[Company]],31)</f>
        <v/>
      </c>
      <c r="W142" s="62" t="str" cm="1">
        <f t="array" ref="W142">Common_InputFunctions.Utility_DisplayArrayInTable(Fertiliser_SourceData.Fertiliser_Products_Data2(), FertiliserProducts[[#Headers],[Company]],31)</f>
        <v>WengfuAustralia uniSZon</v>
      </c>
      <c r="X142" s="62" t="str" cm="1">
        <f t="array" ref="X142">Common_InputFunctions.Utility_DisplayArrayInTable(Fertiliser_SourceData.Fertiliser_Products_Data2(), FertiliserProducts[[#Headers],[Company]],31)</f>
        <v/>
      </c>
      <c r="Y142" s="62" t="str" cm="1">
        <f t="array" ref="Y142">Common_InputFunctions.Utility_DisplayArrayInTable(Fertiliser_SourceData.Fertiliser_Products_Data2(), FertiliserProducts[[#Headers],[Company]],31)</f>
        <v/>
      </c>
      <c r="Z142" s="62" t="str" cm="1">
        <f t="array" ref="Z142">Common_InputFunctions.Utility_DisplayArrayInTable(Fertiliser_SourceData.Fertiliser_Products_Data2(), FertiliserProducts[[#Headers],[Company]],31)</f>
        <v/>
      </c>
      <c r="AA142" s="62" t="str" cm="1">
        <f t="array" ref="AA142">Common_InputFunctions.Utility_DisplayArrayInTable(Fertiliser_SourceData.Fertiliser_Products_Data2(), FertiliserProducts[[#Headers],[Company]],31)</f>
        <v/>
      </c>
      <c r="AB142" s="62" t="str" cm="1">
        <f t="array" ref="AB142">Common_InputFunctions.Utility_DisplayArrayInTable(Fertiliser_SourceData.Fertiliser_Products_Data2(), FertiliserProducts[[#Headers],[Company]],31)</f>
        <v/>
      </c>
      <c r="AC142" s="62" t="str" cm="1">
        <f t="array" ref="AC142">Common_InputFunctions.Utility_DisplayArrayInTable(Fertiliser_SourceData.Fertiliser_Products_Data2(), FertiliserProducts[[#Headers],[Company]],31)</f>
        <v/>
      </c>
      <c r="AD142" s="62" t="str" cm="1">
        <f t="array" ref="AD142">Common_InputFunctions.Utility_DisplayArrayInTable(Fertiliser_SourceData.Fertiliser_Products_Data2(), FertiliserProducts[[#Headers],[Company]],31)</f>
        <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Urea</v>
      </c>
      <c r="E143" s="62" t="str" cm="1">
        <f t="array" ref="E143">Common_InputFunctions.Utility_DisplayArrayInTable(Fertiliser_SourceData.Fertiliser_Products_Data2(), FertiliserProducts[[#Headers],[Company]],31)</f>
        <v/>
      </c>
      <c r="F143" s="62" t="str" cm="1">
        <f t="array" ref="F143">Common_InputFunctions.Utility_DisplayArrayInTable(Fertiliser_SourceData.Fertiliser_Products_Data2(), FertiliserProducts[[#Headers],[Company]],31)</f>
        <v/>
      </c>
      <c r="G143" s="62" t="str" cm="1">
        <f t="array" ref="G143">Common_InputFunctions.Utility_DisplayArrayInTable(Fertiliser_SourceData.Fertiliser_Products_Data2(), FertiliserProducts[[#Headers],[Company]],31)</f>
        <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t="str" cm="1">
        <f t="array" ref="K143">Common_InputFunctions.Utility_DisplayArrayInTable(Fertiliser_SourceData.Fertiliser_Products_Data2(), FertiliserProducts[[#Headers],[Company]],31)</f>
        <v/>
      </c>
      <c r="L143" s="62" t="str" cm="1">
        <f t="array" ref="L143">Common_InputFunctions.Utility_DisplayArrayInTable(Fertiliser_SourceData.Fertiliser_Products_Data2(), FertiliserProducts[[#Headers],[Company]],31)</f>
        <v/>
      </c>
      <c r="M143" s="62" t="str" cm="1">
        <f t="array" ref="M143">Common_InputFunctions.Utility_DisplayArrayInTable(Fertiliser_SourceData.Fertiliser_Products_Data2(), FertiliserProducts[[#Headers],[Company]],31)</f>
        <v/>
      </c>
      <c r="N143" s="62" t="str" cm="1">
        <f t="array" ref="N143">Common_InputFunctions.Utility_DisplayArrayInTable(Fertiliser_SourceData.Fertiliser_Products_Data2(), FertiliserProducts[[#Headers],[Company]],31)</f>
        <v/>
      </c>
      <c r="O143" s="62" t="str" cm="1">
        <f t="array" ref="O143">Common_InputFunctions.Utility_DisplayArrayInTable(Fertiliser_SourceData.Fertiliser_Products_Data2(), FertiliserProducts[[#Headers],[Company]],31)</f>
        <v/>
      </c>
      <c r="P143" s="62" t="str" cm="1">
        <f t="array" ref="P143">Common_InputFunctions.Utility_DisplayArrayInTable(Fertiliser_SourceData.Fertiliser_Products_Data2(), FertiliserProducts[[#Headers],[Company]],31)</f>
        <v/>
      </c>
      <c r="Q143" s="62" t="str" cm="1">
        <f t="array" ref="Q143">Common_InputFunctions.Utility_DisplayArrayInTable(Fertiliser_SourceData.Fertiliser_Products_Data2(), FertiliserProducts[[#Headers],[Company]],31)</f>
        <v/>
      </c>
      <c r="R143" s="62" t="str" cm="1">
        <f t="array" ref="R143">Common_InputFunctions.Utility_DisplayArrayInTable(Fertiliser_SourceData.Fertiliser_Products_Data2(), FertiliserProducts[[#Headers],[Company]],31)</f>
        <v/>
      </c>
      <c r="S143" s="62" t="str" cm="1">
        <f t="array" ref="S143">Common_InputFunctions.Utility_DisplayArrayInTable(Fertiliser_SourceData.Fertiliser_Products_Data2(), FertiliserProducts[[#Headers],[Company]],31)</f>
        <v/>
      </c>
      <c r="T143" s="62" t="str" cm="1">
        <f t="array" ref="T143">Common_InputFunctions.Utility_DisplayArrayInTable(Fertiliser_SourceData.Fertiliser_Products_Data2(), FertiliserProducts[[#Headers],[Company]],31)</f>
        <v/>
      </c>
      <c r="U143" s="62" t="str" cm="1">
        <f t="array" ref="U143">Common_InputFunctions.Utility_DisplayArrayInTable(Fertiliser_SourceData.Fertiliser_Products_Data2(), FertiliserProducts[[#Headers],[Company]],31)</f>
        <v/>
      </c>
      <c r="V143" s="62" t="str" cm="1">
        <f t="array" ref="V143">Common_InputFunctions.Utility_DisplayArrayInTable(Fertiliser_SourceData.Fertiliser_Products_Data2(), FertiliserProducts[[#Headers],[Company]],31)</f>
        <v/>
      </c>
      <c r="W143" s="62" t="str" cm="1">
        <f t="array" ref="W143">Common_InputFunctions.Utility_DisplayArrayInTable(Fertiliser_SourceData.Fertiliser_Products_Data2(), FertiliserProducts[[#Headers],[Company]],31)</f>
        <v>ProductCard_Adelaide_web.pdf (incitecpivotfertilisers.com.au)</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Wengfu Slam Granular</v>
      </c>
      <c r="E144" s="62" t="str" cm="1">
        <f t="array" ref="E144">Common_InputFunctions.Utility_DisplayArrayInTable(Fertiliser_SourceData.Fertiliser_Products_Data2(), FertiliserProducts[[#Headers],[Company]],31)</f>
        <v/>
      </c>
      <c r="F144" s="62" t="str" cm="1">
        <f t="array" ref="F144">Common_InputFunctions.Utility_DisplayArrayInTable(Fertiliser_SourceData.Fertiliser_Products_Data2(), FertiliserProducts[[#Headers],[Company]],31)</f>
        <v/>
      </c>
      <c r="G144" s="62" t="str" cm="1">
        <f t="array" ref="G144">Common_InputFunctions.Utility_DisplayArrayInTable(Fertiliser_SourceData.Fertiliser_Products_Data2(), FertiliserProducts[[#Headers],[Company]],31)</f>
        <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t="str" cm="1">
        <f t="array" ref="K144">Common_InputFunctions.Utility_DisplayArrayInTable(Fertiliser_SourceData.Fertiliser_Products_Data2(), FertiliserProducts[[#Headers],[Company]],31)</f>
        <v/>
      </c>
      <c r="L144" s="62" t="str" cm="1">
        <f t="array" ref="L144">Common_InputFunctions.Utility_DisplayArrayInTable(Fertiliser_SourceData.Fertiliser_Products_Data2(), FertiliserProducts[[#Headers],[Company]],31)</f>
        <v/>
      </c>
      <c r="M144" s="62" t="str" cm="1">
        <f t="array" ref="M144">Common_InputFunctions.Utility_DisplayArrayInTable(Fertiliser_SourceData.Fertiliser_Products_Data2(), FertiliserProducts[[#Headers],[Company]],31)</f>
        <v/>
      </c>
      <c r="N144" s="62" t="str" cm="1">
        <f t="array" ref="N144">Common_InputFunctions.Utility_DisplayArrayInTable(Fertiliser_SourceData.Fertiliser_Products_Data2(), FertiliserProducts[[#Headers],[Company]],31)</f>
        <v/>
      </c>
      <c r="O144" s="62" t="str" cm="1">
        <f t="array" ref="O144">Common_InputFunctions.Utility_DisplayArrayInTable(Fertiliser_SourceData.Fertiliser_Products_Data2(), FertiliserProducts[[#Headers],[Company]],31)</f>
        <v/>
      </c>
      <c r="P144" s="62" t="str" cm="1">
        <f t="array" ref="P144">Common_InputFunctions.Utility_DisplayArrayInTable(Fertiliser_SourceData.Fertiliser_Products_Data2(), FertiliserProducts[[#Headers],[Company]],31)</f>
        <v/>
      </c>
      <c r="Q144" s="62" t="str" cm="1">
        <f t="array" ref="Q144">Common_InputFunctions.Utility_DisplayArrayInTable(Fertiliser_SourceData.Fertiliser_Products_Data2(), FertiliserProducts[[#Headers],[Company]],31)</f>
        <v/>
      </c>
      <c r="R144" s="62" t="str" cm="1">
        <f t="array" ref="R144">Common_InputFunctions.Utility_DisplayArrayInTable(Fertiliser_SourceData.Fertiliser_Products_Data2(), FertiliserProducts[[#Headers],[Company]],31)</f>
        <v/>
      </c>
      <c r="S144" s="62" t="str" cm="1">
        <f t="array" ref="S144">Common_InputFunctions.Utility_DisplayArrayInTable(Fertiliser_SourceData.Fertiliser_Products_Data2(), FertiliserProducts[[#Headers],[Company]],31)</f>
        <v/>
      </c>
      <c r="T144" s="62" t="str" cm="1">
        <f t="array" ref="T144">Common_InputFunctions.Utility_DisplayArrayInTable(Fertiliser_SourceData.Fertiliser_Products_Data2(), FertiliserProducts[[#Headers],[Company]],31)</f>
        <v/>
      </c>
      <c r="U144" s="62" t="str" cm="1">
        <f t="array" ref="U144">Common_InputFunctions.Utility_DisplayArrayInTable(Fertiliser_SourceData.Fertiliser_Products_Data2(), FertiliserProducts[[#Headers],[Company]],31)</f>
        <v/>
      </c>
      <c r="V144" s="62" t="str" cm="1">
        <f t="array" ref="V144">Common_InputFunctions.Utility_DisplayArrayInTable(Fertiliser_SourceData.Fertiliser_Products_Data2(), FertiliserProducts[[#Headers],[Company]],31)</f>
        <v/>
      </c>
      <c r="W144" s="62" t="str" cm="1">
        <f t="array" ref="W144">Common_InputFunctions.Utility_DisplayArrayInTable(Fertiliser_SourceData.Fertiliser_Products_Data2(), FertiliserProducts[[#Headers],[Company]],31)</f>
        <v>Straights (wengfu.com.au)</v>
      </c>
      <c r="X144" s="62" t="str" cm="1">
        <f t="array" ref="X144">Common_InputFunctions.Utility_DisplayArrayInTable(Fertiliser_SourceData.Fertiliser_Products_Data2(), FertiliserProducts[[#Headers],[Company]],31)</f>
        <v/>
      </c>
      <c r="Y144" s="62" t="str" cm="1">
        <f t="array" ref="Y144">Common_InputFunctions.Utility_DisplayArrayInTable(Fertiliser_SourceData.Fertiliser_Products_Data2(), FertiliserProducts[[#Headers],[Company]],31)</f>
        <v/>
      </c>
      <c r="Z144" s="62" t="str" cm="1">
        <f t="array" ref="Z144">Common_InputFunctions.Utility_DisplayArrayInTable(Fertiliser_SourceData.Fertiliser_Products_Data2(), FertiliserProducts[[#Headers],[Company]],31)</f>
        <v/>
      </c>
      <c r="AA144" s="62" t="str" cm="1">
        <f t="array" ref="AA144">Common_InputFunctions.Utility_DisplayArrayInTable(Fertiliser_SourceData.Fertiliser_Products_Data2(), FertiliserProducts[[#Headers],[Company]],31)</f>
        <v/>
      </c>
      <c r="AB144" s="62" t="str" cm="1">
        <f t="array" ref="AB144">Common_InputFunctions.Utility_DisplayArrayInTable(Fertiliser_SourceData.Fertiliser_Products_Data2(), FertiliserProducts[[#Headers],[Company]],31)</f>
        <v/>
      </c>
      <c r="AC144" s="62" t="str" cm="1">
        <f t="array" ref="AC144">Common_InputFunctions.Utility_DisplayArrayInTable(Fertiliser_SourceData.Fertiliser_Products_Data2(), FertiliserProducts[[#Headers],[Company]],31)</f>
        <v/>
      </c>
      <c r="AD144" s="62" t="str" cm="1">
        <f t="array" ref="AD144">Common_InputFunctions.Utility_DisplayArrayInTable(Fertiliser_SourceData.Fertiliser_Products_Data2(), FertiliserProducts[[#Headers],[Company]],31)</f>
        <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FlowPhos 10</v>
      </c>
      <c r="E145" s="62" t="str" cm="1">
        <f t="array" ref="E145">Common_InputFunctions.Utility_DisplayArrayInTable(Fertiliser_SourceData.Fertiliser_Products_Data2(), FertiliserProducts[[#Headers],[Company]],31)</f>
        <v/>
      </c>
      <c r="F145" s="62" t="str" cm="1">
        <f t="array" ref="F145">Common_InputFunctions.Utility_DisplayArrayInTable(Fertiliser_SourceData.Fertiliser_Products_Data2(), FertiliserProducts[[#Headers],[Company]],31)</f>
        <v/>
      </c>
      <c r="G145" s="62" t="str" cm="1">
        <f t="array" ref="G145">Common_InputFunctions.Utility_DisplayArrayInTable(Fertiliser_SourceData.Fertiliser_Products_Data2(), FertiliserProducts[[#Headers],[Company]],31)</f>
        <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t="str" cm="1">
        <f t="array" ref="K145">Common_InputFunctions.Utility_DisplayArrayInTable(Fertiliser_SourceData.Fertiliser_Products_Data2(), FertiliserProducts[[#Headers],[Company]],31)</f>
        <v/>
      </c>
      <c r="L145" s="62" t="str" cm="1">
        <f t="array" ref="L145">Common_InputFunctions.Utility_DisplayArrayInTable(Fertiliser_SourceData.Fertiliser_Products_Data2(), FertiliserProducts[[#Headers],[Company]],31)</f>
        <v/>
      </c>
      <c r="M145" s="62" t="str" cm="1">
        <f t="array" ref="M145">Common_InputFunctions.Utility_DisplayArrayInTable(Fertiliser_SourceData.Fertiliser_Products_Data2(), FertiliserProducts[[#Headers],[Company]],31)</f>
        <v/>
      </c>
      <c r="N145" s="62" t="str" cm="1">
        <f t="array" ref="N145">Common_InputFunctions.Utility_DisplayArrayInTable(Fertiliser_SourceData.Fertiliser_Products_Data2(), FertiliserProducts[[#Headers],[Company]],31)</f>
        <v/>
      </c>
      <c r="O145" s="62" t="str" cm="1">
        <f t="array" ref="O145">Common_InputFunctions.Utility_DisplayArrayInTable(Fertiliser_SourceData.Fertiliser_Products_Data2(), FertiliserProducts[[#Headers],[Company]],31)</f>
        <v/>
      </c>
      <c r="P145" s="62" t="str" cm="1">
        <f t="array" ref="P145">Common_InputFunctions.Utility_DisplayArrayInTable(Fertiliser_SourceData.Fertiliser_Products_Data2(), FertiliserProducts[[#Headers],[Company]],31)</f>
        <v/>
      </c>
      <c r="Q145" s="62" t="str" cm="1">
        <f t="array" ref="Q145">Common_InputFunctions.Utility_DisplayArrayInTable(Fertiliser_SourceData.Fertiliser_Products_Data2(), FertiliserProducts[[#Headers],[Company]],31)</f>
        <v/>
      </c>
      <c r="R145" s="62" t="str" cm="1">
        <f t="array" ref="R145">Common_InputFunctions.Utility_DisplayArrayInTable(Fertiliser_SourceData.Fertiliser_Products_Data2(), FertiliserProducts[[#Headers],[Company]],31)</f>
        <v/>
      </c>
      <c r="S145" s="62" t="str" cm="1">
        <f t="array" ref="S145">Common_InputFunctions.Utility_DisplayArrayInTable(Fertiliser_SourceData.Fertiliser_Products_Data2(), FertiliserProducts[[#Headers],[Company]],31)</f>
        <v/>
      </c>
      <c r="T145" s="62" t="str" cm="1">
        <f t="array" ref="T145">Common_InputFunctions.Utility_DisplayArrayInTable(Fertiliser_SourceData.Fertiliser_Products_Data2(), FertiliserProducts[[#Headers],[Company]],31)</f>
        <v/>
      </c>
      <c r="U145" s="62" t="str" cm="1">
        <f t="array" ref="U145">Common_InputFunctions.Utility_DisplayArrayInTable(Fertiliser_SourceData.Fertiliser_Products_Data2(), FertiliserProducts[[#Headers],[Company]],31)</f>
        <v/>
      </c>
      <c r="V145" s="62" t="str" cm="1">
        <f t="array" ref="V145">Common_InputFunctions.Utility_DisplayArrayInTable(Fertiliser_SourceData.Fertiliser_Products_Data2(), FertiliserProducts[[#Headers],[Company]],31)</f>
        <v/>
      </c>
      <c r="W145" s="62" t="str" cm="1">
        <f t="array" ref="W145">Common_InputFunctions.Utility_DisplayArrayInTable(Fertiliser_SourceData.Fertiliser_Products_Data2(), FertiliserProducts[[#Headers],[Company]],31)</f>
        <v>Crop Nutrition Solutions (Yara Australia)</v>
      </c>
      <c r="X145" s="62" t="str" cm="1">
        <f t="array" ref="X145">Common_InputFunctions.Utility_DisplayArrayInTable(Fertiliser_SourceData.Fertiliser_Products_Data2(), FertiliserProducts[[#Headers],[Company]],31)</f>
        <v/>
      </c>
      <c r="Y145" s="62" t="str" cm="1">
        <f t="array" ref="Y145">Common_InputFunctions.Utility_DisplayArrayInTable(Fertiliser_SourceData.Fertiliser_Products_Data2(), FertiliserProducts[[#Headers],[Company]],31)</f>
        <v/>
      </c>
      <c r="Z145" s="62" t="str" cm="1">
        <f t="array" ref="Z145">Common_InputFunctions.Utility_DisplayArrayInTable(Fertiliser_SourceData.Fertiliser_Products_Data2(), FertiliserProducts[[#Headers],[Company]],31)</f>
        <v/>
      </c>
      <c r="AA145" s="62" t="str" cm="1">
        <f t="array" ref="AA145">Common_InputFunctions.Utility_DisplayArrayInTable(Fertiliser_SourceData.Fertiliser_Products_Data2(), FertiliserProducts[[#Headers],[Company]],31)</f>
        <v/>
      </c>
      <c r="AB145" s="62" t="str" cm="1">
        <f t="array" ref="AB145">Common_InputFunctions.Utility_DisplayArrayInTable(Fertiliser_SourceData.Fertiliser_Products_Data2(), FertiliserProducts[[#Headers],[Company]],31)</f>
        <v/>
      </c>
      <c r="AC145" s="62" t="str" cm="1">
        <f t="array" ref="AC145">Common_InputFunctions.Utility_DisplayArrayInTable(Fertiliser_SourceData.Fertiliser_Products_Data2(), FertiliserProducts[[#Headers],[Company]],31)</f>
        <v/>
      </c>
      <c r="AD145" s="62" t="str" cm="1">
        <f t="array" ref="AD145">Common_InputFunctions.Utility_DisplayArrayInTable(Fertiliser_SourceData.Fertiliser_Products_Data2(), FertiliserProducts[[#Headers],[Company]],31)</f>
        <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FlowPhos 13Z</v>
      </c>
      <c r="E146" s="62" t="str" cm="1">
        <f t="array" ref="E146">Common_InputFunctions.Utility_DisplayArrayInTable(Fertiliser_SourceData.Fertiliser_Products_Data2(), FertiliserProducts[[#Headers],[Company]],31)</f>
        <v/>
      </c>
      <c r="F146" s="62" t="str" cm="1">
        <f t="array" ref="F146">Common_InputFunctions.Utility_DisplayArrayInTable(Fertiliser_SourceData.Fertiliser_Products_Data2(), FertiliserProducts[[#Headers],[Company]],31)</f>
        <v/>
      </c>
      <c r="G146" s="62" t="str" cm="1">
        <f t="array" ref="G146">Common_InputFunctions.Utility_DisplayArrayInTable(Fertiliser_SourceData.Fertiliser_Products_Data2(), FertiliserProducts[[#Headers],[Company]],31)</f>
        <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t="str" cm="1">
        <f t="array" ref="K146">Common_InputFunctions.Utility_DisplayArrayInTable(Fertiliser_SourceData.Fertiliser_Products_Data2(), FertiliserProducts[[#Headers],[Company]],31)</f>
        <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
      </c>
      <c r="P146" s="62" t="str" cm="1">
        <f t="array" ref="P146">Common_InputFunctions.Utility_DisplayArrayInTable(Fertiliser_SourceData.Fertiliser_Products_Data2(), FertiliserProducts[[#Headers],[Company]],31)</f>
        <v/>
      </c>
      <c r="Q146" s="62" t="str" cm="1">
        <f t="array" ref="Q146">Common_InputFunctions.Utility_DisplayArrayInTable(Fertiliser_SourceData.Fertiliser_Products_Data2(), FertiliserProducts[[#Headers],[Company]],31)</f>
        <v/>
      </c>
      <c r="R146" s="62" t="str" cm="1">
        <f t="array" ref="R146">Common_InputFunctions.Utility_DisplayArrayInTable(Fertiliser_SourceData.Fertiliser_Products_Data2(), FertiliserProducts[[#Headers],[Company]],31)</f>
        <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Crop Nutrition Solutions (Yara Australia)</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FlowPhos 15</v>
      </c>
      <c r="E147" s="62" t="str" cm="1">
        <f t="array" ref="E147">Common_InputFunctions.Utility_DisplayArrayInTable(Fertiliser_SourceData.Fertiliser_Products_Data2(), FertiliserProducts[[#Headers],[Company]],31)</f>
        <v/>
      </c>
      <c r="F147" s="62" t="str" cm="1">
        <f t="array" ref="F147">Common_InputFunctions.Utility_DisplayArrayInTable(Fertiliser_SourceData.Fertiliser_Products_Data2(), FertiliserProducts[[#Headers],[Company]],31)</f>
        <v/>
      </c>
      <c r="G147" s="62" t="str" cm="1">
        <f t="array" ref="G147">Common_InputFunctions.Utility_DisplayArrayInTable(Fertiliser_SourceData.Fertiliser_Products_Data2(), FertiliserProducts[[#Headers],[Company]],31)</f>
        <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t="str" cm="1">
        <f t="array" ref="K147">Common_InputFunctions.Utility_DisplayArrayInTable(Fertiliser_SourceData.Fertiliser_Products_Data2(), FertiliserProducts[[#Headers],[Company]],31)</f>
        <v/>
      </c>
      <c r="L147" s="62" t="str" cm="1">
        <f t="array" ref="L147">Common_InputFunctions.Utility_DisplayArrayInTable(Fertiliser_SourceData.Fertiliser_Products_Data2(), FertiliserProducts[[#Headers],[Company]],31)</f>
        <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
      </c>
      <c r="P147" s="62" t="str" cm="1">
        <f t="array" ref="P147">Common_InputFunctions.Utility_DisplayArrayInTable(Fertiliser_SourceData.Fertiliser_Products_Data2(), FertiliserProducts[[#Headers],[Company]],31)</f>
        <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Crop Nutrition Solutions (Yara Australia)</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FlowPhos KZ</v>
      </c>
      <c r="E148" s="62" t="str" cm="1">
        <f t="array" ref="E148">Common_InputFunctions.Utility_DisplayArrayInTable(Fertiliser_SourceData.Fertiliser_Products_Data2(), FertiliserProducts[[#Headers],[Company]],31)</f>
        <v/>
      </c>
      <c r="F148" s="62" t="str" cm="1">
        <f t="array" ref="F148">Common_InputFunctions.Utility_DisplayArrayInTable(Fertiliser_SourceData.Fertiliser_Products_Data2(), FertiliserProducts[[#Headers],[Company]],31)</f>
        <v/>
      </c>
      <c r="G148" s="62" t="str" cm="1">
        <f t="array" ref="G148">Common_InputFunctions.Utility_DisplayArrayInTable(Fertiliser_SourceData.Fertiliser_Products_Data2(), FertiliserProducts[[#Headers],[Company]],31)</f>
        <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t="str" cm="1">
        <f t="array" ref="K148">Common_InputFunctions.Utility_DisplayArrayInTable(Fertiliser_SourceData.Fertiliser_Products_Data2(), FertiliserProducts[[#Headers],[Company]],31)</f>
        <v/>
      </c>
      <c r="L148" s="62" t="str" cm="1">
        <f t="array" ref="L148">Common_InputFunctions.Utility_DisplayArrayInTable(Fertiliser_SourceData.Fertiliser_Products_Data2(), FertiliserProducts[[#Headers],[Company]],31)</f>
        <v/>
      </c>
      <c r="M148" s="62" t="str" cm="1">
        <f t="array" ref="M148">Common_InputFunctions.Utility_DisplayArrayInTable(Fertiliser_SourceData.Fertiliser_Products_Data2(), FertiliserProducts[[#Headers],[Company]],31)</f>
        <v/>
      </c>
      <c r="N148" s="62" t="str" cm="1">
        <f t="array" ref="N148">Common_InputFunctions.Utility_DisplayArrayInTable(Fertiliser_SourceData.Fertiliser_Products_Data2(), FertiliserProducts[[#Headers],[Company]],31)</f>
        <v/>
      </c>
      <c r="O148" s="62" t="str" cm="1">
        <f t="array" ref="O148">Common_InputFunctions.Utility_DisplayArrayInTable(Fertiliser_SourceData.Fertiliser_Products_Data2(), FertiliserProducts[[#Headers],[Company]],31)</f>
        <v/>
      </c>
      <c r="P148" s="62" t="str" cm="1">
        <f t="array" ref="P148">Common_InputFunctions.Utility_DisplayArrayInTable(Fertiliser_SourceData.Fertiliser_Products_Data2(), FertiliserProducts[[#Headers],[Company]],31)</f>
        <v/>
      </c>
      <c r="Q148" s="62" t="str" cm="1">
        <f t="array" ref="Q148">Common_InputFunctions.Utility_DisplayArrayInTable(Fertiliser_SourceData.Fertiliser_Products_Data2(), FertiliserProducts[[#Headers],[Company]],31)</f>
        <v/>
      </c>
      <c r="R148" s="62" t="str" cm="1">
        <f t="array" ref="R148">Common_InputFunctions.Utility_DisplayArrayInTable(Fertiliser_SourceData.Fertiliser_Products_Data2(), FertiliserProducts[[#Headers],[Company]],31)</f>
        <v/>
      </c>
      <c r="S148" s="62" t="str" cm="1">
        <f t="array" ref="S148">Common_InputFunctions.Utility_DisplayArrayInTable(Fertiliser_SourceData.Fertiliser_Products_Data2(), FertiliserProducts[[#Headers],[Company]],31)</f>
        <v/>
      </c>
      <c r="T148" s="62" t="str" cm="1">
        <f t="array" ref="T148">Common_InputFunctions.Utility_DisplayArrayInTable(Fertiliser_SourceData.Fertiliser_Products_Data2(), FertiliserProducts[[#Headers],[Company]],31)</f>
        <v/>
      </c>
      <c r="U148" s="62" t="str" cm="1">
        <f t="array" ref="U148">Common_InputFunctions.Utility_DisplayArrayInTable(Fertiliser_SourceData.Fertiliser_Products_Data2(), FertiliserProducts[[#Headers],[Company]],31)</f>
        <v/>
      </c>
      <c r="V148" s="62" t="str" cm="1">
        <f t="array" ref="V148">Common_InputFunctions.Utility_DisplayArrayInTable(Fertiliser_SourceData.Fertiliser_Products_Data2(), FertiliserProducts[[#Headers],[Company]],31)</f>
        <v/>
      </c>
      <c r="W148" s="62" t="str" cm="1">
        <f t="array" ref="W148">Common_InputFunctions.Utility_DisplayArrayInTable(Fertiliser_SourceData.Fertiliser_Products_Data2(), FertiliserProducts[[#Headers],[Company]],31)</f>
        <v>Crop Nutrition Solutions (Yara Australia)</v>
      </c>
      <c r="X148" s="62" t="str" cm="1">
        <f t="array" ref="X148">Common_InputFunctions.Utility_DisplayArrayInTable(Fertiliser_SourceData.Fertiliser_Products_Data2(), FertiliserProducts[[#Headers],[Company]],31)</f>
        <v/>
      </c>
      <c r="Y148" s="62" t="str" cm="1">
        <f t="array" ref="Y148">Common_InputFunctions.Utility_DisplayArrayInTable(Fertiliser_SourceData.Fertiliser_Products_Data2(), FertiliserProducts[[#Headers],[Company]],31)</f>
        <v/>
      </c>
      <c r="Z148" s="62" t="str" cm="1">
        <f t="array" ref="Z148">Common_InputFunctions.Utility_DisplayArrayInTable(Fertiliser_SourceData.Fertiliser_Products_Data2(), FertiliserProducts[[#Headers],[Company]],31)</f>
        <v/>
      </c>
      <c r="AA148" s="62" t="str" cm="1">
        <f t="array" ref="AA148">Common_InputFunctions.Utility_DisplayArrayInTable(Fertiliser_SourceData.Fertiliser_Products_Data2(), FertiliserProducts[[#Headers],[Company]],31)</f>
        <v/>
      </c>
      <c r="AB148" s="62" t="str" cm="1">
        <f t="array" ref="AB148">Common_InputFunctions.Utility_DisplayArrayInTable(Fertiliser_SourceData.Fertiliser_Products_Data2(), FertiliserProducts[[#Headers],[Company]],31)</f>
        <v/>
      </c>
      <c r="AC148" s="62" t="str" cm="1">
        <f t="array" ref="AC148">Common_InputFunctions.Utility_DisplayArrayInTable(Fertiliser_SourceData.Fertiliser_Products_Data2(), FertiliserProducts[[#Headers],[Company]],31)</f>
        <v/>
      </c>
      <c r="AD148" s="62" t="str" cm="1">
        <f t="array" ref="AD148">Common_InputFunctions.Utility_DisplayArrayInTable(Fertiliser_SourceData.Fertiliser_Products_Data2(), FertiliserProducts[[#Headers],[Company]],31)</f>
        <v/>
      </c>
      <c r="AE148" s="62" t="str" cm="1">
        <f t="array" ref="AE148">Common_InputFunctions.Utility_DisplayArrayInTable(Fertiliser_SourceData.Fertiliser_Products_Data2(), FertiliserProducts[[#Headers],[Company]],31)</f>
        <v/>
      </c>
      <c r="AF148" s="62" t="str" cm="1">
        <f t="array" ref="AF148">Common_InputFunctions.Utility_DisplayArrayInTable(Fertiliser_SourceData.Fertiliser_Products_Data2(), FertiliserProducts[[#Headers],[Company]],31)</f>
        <v/>
      </c>
      <c r="AG148" s="62" t="str" cm="1">
        <f t="array" ref="AG148">Common_InputFunctions.Utility_DisplayArrayInTable(Fertiliser_SourceData.Fertiliser_Products_Data2(), FertiliserProducts[[#Headers],[Company]],31)</f>
        <v/>
      </c>
      <c r="AH148" s="62" t="str" cm="1">
        <f t="array" ref="AH148">Common_InputFunctions.Utility_DisplayArrayInTable(Fertiliser_SourceData.Fertiliser_Products_Data2(), FertiliserProducts[[#Headers],[Company]],31)</f>
        <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KeyPro Trace</v>
      </c>
      <c r="E149" s="62" t="str" cm="1">
        <f t="array" ref="E149">Common_InputFunctions.Utility_DisplayArrayInTable(Fertiliser_SourceData.Fertiliser_Products_Data2(), FertiliserProducts[[#Headers],[Company]],31)</f>
        <v/>
      </c>
      <c r="F149" s="62" t="str" cm="1">
        <f t="array" ref="F149">Common_InputFunctions.Utility_DisplayArrayInTable(Fertiliser_SourceData.Fertiliser_Products_Data2(), FertiliserProducts[[#Headers],[Company]],31)</f>
        <v/>
      </c>
      <c r="G149" s="62" t="str" cm="1">
        <f t="array" ref="G149">Common_InputFunctions.Utility_DisplayArrayInTable(Fertiliser_SourceData.Fertiliser_Products_Data2(), FertiliserProducts[[#Headers],[Company]],31)</f>
        <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t="str" cm="1">
        <f t="array" ref="K149">Common_InputFunctions.Utility_DisplayArrayInTable(Fertiliser_SourceData.Fertiliser_Products_Data2(), FertiliserProducts[[#Headers],[Company]],31)</f>
        <v/>
      </c>
      <c r="L149" s="62" t="str" cm="1">
        <f t="array" ref="L149">Common_InputFunctions.Utility_DisplayArrayInTable(Fertiliser_SourceData.Fertiliser_Products_Data2(), FertiliserProducts[[#Headers],[Company]],31)</f>
        <v/>
      </c>
      <c r="M149" s="62" t="str" cm="1">
        <f t="array" ref="M149">Common_InputFunctions.Utility_DisplayArrayInTable(Fertiliser_SourceData.Fertiliser_Products_Data2(), FertiliserProducts[[#Headers],[Company]],31)</f>
        <v/>
      </c>
      <c r="N149" s="62" t="str" cm="1">
        <f t="array" ref="N149">Common_InputFunctions.Utility_DisplayArrayInTable(Fertiliser_SourceData.Fertiliser_Products_Data2(), FertiliserProducts[[#Headers],[Company]],31)</f>
        <v/>
      </c>
      <c r="O149" s="62" t="str" cm="1">
        <f t="array" ref="O149">Common_InputFunctions.Utility_DisplayArrayInTable(Fertiliser_SourceData.Fertiliser_Products_Data2(), FertiliserProducts[[#Headers],[Company]],31)</f>
        <v/>
      </c>
      <c r="P149" s="62" t="str" cm="1">
        <f t="array" ref="P149">Common_InputFunctions.Utility_DisplayArrayInTable(Fertiliser_SourceData.Fertiliser_Products_Data2(), FertiliserProducts[[#Headers],[Company]],31)</f>
        <v/>
      </c>
      <c r="Q149" s="62" t="str" cm="1">
        <f t="array" ref="Q149">Common_InputFunctions.Utility_DisplayArrayInTable(Fertiliser_SourceData.Fertiliser_Products_Data2(), FertiliserProducts[[#Headers],[Company]],31)</f>
        <v/>
      </c>
      <c r="R149" s="62" t="str" cm="1">
        <f t="array" ref="R149">Common_InputFunctions.Utility_DisplayArrayInTable(Fertiliser_SourceData.Fertiliser_Products_Data2(), FertiliserProducts[[#Headers],[Company]],31)</f>
        <v/>
      </c>
      <c r="S149" s="62" t="str" cm="1">
        <f t="array" ref="S149">Common_InputFunctions.Utility_DisplayArrayInTable(Fertiliser_SourceData.Fertiliser_Products_Data2(), FertiliserProducts[[#Headers],[Company]],31)</f>
        <v/>
      </c>
      <c r="T149" s="62" t="str" cm="1">
        <f t="array" ref="T149">Common_InputFunctions.Utility_DisplayArrayInTable(Fertiliser_SourceData.Fertiliser_Products_Data2(), FertiliserProducts[[#Headers],[Company]],31)</f>
        <v/>
      </c>
      <c r="U149" s="62" t="str" cm="1">
        <f t="array" ref="U149">Common_InputFunctions.Utility_DisplayArrayInTable(Fertiliser_SourceData.Fertiliser_Products_Data2(), FertiliserProducts[[#Headers],[Company]],31)</f>
        <v/>
      </c>
      <c r="V149" s="62" t="str" cm="1">
        <f t="array" ref="V149">Common_InputFunctions.Utility_DisplayArrayInTable(Fertiliser_SourceData.Fertiliser_Products_Data2(), FertiliserProducts[[#Headers],[Company]],31)</f>
        <v/>
      </c>
      <c r="W149" s="62" t="str" cm="1">
        <f t="array" ref="W149">Common_InputFunctions.Utility_DisplayArrayInTable(Fertiliser_SourceData.Fertiliser_Products_Data2(), FertiliserProducts[[#Headers],[Company]],31)</f>
        <v>Crop Nutrition Solutions (Yara Australia)</v>
      </c>
      <c r="X149" s="62" t="str" cm="1">
        <f t="array" ref="X149">Common_InputFunctions.Utility_DisplayArrayInTable(Fertiliser_SourceData.Fertiliser_Products_Data2(), FertiliserProducts[[#Headers],[Company]],31)</f>
        <v/>
      </c>
      <c r="Y149" s="62" t="str" cm="1">
        <f t="array" ref="Y149">Common_InputFunctions.Utility_DisplayArrayInTable(Fertiliser_SourceData.Fertiliser_Products_Data2(), FertiliserProducts[[#Headers],[Company]],31)</f>
        <v/>
      </c>
      <c r="Z149" s="62" t="str" cm="1">
        <f t="array" ref="Z149">Common_InputFunctions.Utility_DisplayArrayInTable(Fertiliser_SourceData.Fertiliser_Products_Data2(), FertiliserProducts[[#Headers],[Company]],31)</f>
        <v/>
      </c>
      <c r="AA149" s="62" t="str" cm="1">
        <f t="array" ref="AA149">Common_InputFunctions.Utility_DisplayArrayInTable(Fertiliser_SourceData.Fertiliser_Products_Data2(), FertiliserProducts[[#Headers],[Company]],31)</f>
        <v/>
      </c>
      <c r="AB149" s="62" t="str" cm="1">
        <f t="array" ref="AB149">Common_InputFunctions.Utility_DisplayArrayInTable(Fertiliser_SourceData.Fertiliser_Products_Data2(), FertiliserProducts[[#Headers],[Company]],31)</f>
        <v/>
      </c>
      <c r="AC149" s="62" t="str" cm="1">
        <f t="array" ref="AC149">Common_InputFunctions.Utility_DisplayArrayInTable(Fertiliser_SourceData.Fertiliser_Products_Data2(), FertiliserProducts[[#Headers],[Company]],31)</f>
        <v/>
      </c>
      <c r="AD149" s="62" t="str" cm="1">
        <f t="array" ref="AD149">Common_InputFunctions.Utility_DisplayArrayInTable(Fertiliser_SourceData.Fertiliser_Products_Data2(), FertiliserProducts[[#Headers],[Company]],31)</f>
        <v/>
      </c>
      <c r="AE149" s="62" t="str" cm="1">
        <f t="array" ref="AE149">Common_InputFunctions.Utility_DisplayArrayInTable(Fertiliser_SourceData.Fertiliser_Products_Data2(), FertiliserProducts[[#Headers],[Company]],31)</f>
        <v/>
      </c>
      <c r="AF149" s="62" t="str" cm="1">
        <f t="array" ref="AF149">Common_InputFunctions.Utility_DisplayArrayInTable(Fertiliser_SourceData.Fertiliser_Products_Data2(), FertiliserProducts[[#Headers],[Company]],31)</f>
        <v/>
      </c>
      <c r="AG149" s="62" t="str" cm="1">
        <f t="array" ref="AG149">Common_InputFunctions.Utility_DisplayArrayInTable(Fertiliser_SourceData.Fertiliser_Products_Data2(), FertiliserProducts[[#Headers],[Company]],31)</f>
        <v/>
      </c>
      <c r="AH149" s="62" t="str" cm="1">
        <f t="array" ref="AH149">Common_InputFunctions.Utility_DisplayArrayInTable(Fertiliser_SourceData.Fertiliser_Products_Data2(), FertiliserProducts[[#Headers],[Company]],31)</f>
        <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Product</v>
      </c>
      <c r="E150" s="62" t="str" cm="1">
        <f t="array" ref="E150">Common_InputFunctions.Utility_DisplayArrayInTable(Fertiliser_SourceData.Fertiliser_Products_Data3(), FertiliserProducts[[#Headers],[Company]],61)</f>
        <v>Ingredient 1</v>
      </c>
      <c r="F150" s="62" t="str" cm="1">
        <f t="array" ref="F150">Common_InputFunctions.Utility_DisplayArrayInTable(Fertiliser_SourceData.Fertiliser_Products_Data3(), FertiliserProducts[[#Headers],[Company]],61)</f>
        <v>Ingredient 1 percent</v>
      </c>
      <c r="G150" s="62" t="str" cm="1">
        <f t="array" ref="G150">Common_InputFunctions.Utility_DisplayArrayInTable(Fertiliser_SourceData.Fertiliser_Products_Data3(), FertiliserProducts[[#Headers],[Company]],61)</f>
        <v>Ingredient 1 source</v>
      </c>
      <c r="H150" s="62" t="str" cm="1">
        <f t="array" ref="H150">Common_InputFunctions.Utility_DisplayArrayInTable(Fertiliser_SourceData.Fertiliser_Products_Data3(), FertiliserProducts[[#Headers],[Company]],61)</f>
        <v>Ingredient 2</v>
      </c>
      <c r="I150" s="62" t="str" cm="1">
        <f t="array" ref="I150">Common_InputFunctions.Utility_DisplayArrayInTable(Fertiliser_SourceData.Fertiliser_Products_Data3(), FertiliserProducts[[#Headers],[Company]],61)</f>
        <v>Ingredient 2 percent</v>
      </c>
      <c r="J150" s="62" t="str" cm="1">
        <f t="array" ref="J150">Common_InputFunctions.Utility_DisplayArrayInTable(Fertiliser_SourceData.Fertiliser_Products_Data3(), FertiliserProducts[[#Headers],[Company]],61)</f>
        <v>Ingredient 2 source</v>
      </c>
      <c r="K150" s="62" t="str" cm="1">
        <f t="array" ref="K150">Common_InputFunctions.Utility_DisplayArrayInTable(Fertiliser_SourceData.Fertiliser_Products_Data3(), FertiliserProducts[[#Headers],[Company]],61)</f>
        <v>Ingredient 3</v>
      </c>
      <c r="L150" s="62" t="str" cm="1">
        <f t="array" ref="L150">Common_InputFunctions.Utility_DisplayArrayInTable(Fertiliser_SourceData.Fertiliser_Products_Data3(), FertiliserProducts[[#Headers],[Company]],61)</f>
        <v>Ingredient 3 percent</v>
      </c>
      <c r="M150" s="62" t="str" cm="1">
        <f t="array" ref="M150">Common_InputFunctions.Utility_DisplayArrayInTable(Fertiliser_SourceData.Fertiliser_Products_Data3(), FertiliserProducts[[#Headers],[Company]],61)</f>
        <v>Ingredient 3 source</v>
      </c>
      <c r="N150" s="62" t="str" cm="1">
        <f t="array" ref="N150">Common_InputFunctions.Utility_DisplayArrayInTable(Fertiliser_SourceData.Fertiliser_Products_Data3(), FertiliserProducts[[#Headers],[Company]],61)</f>
        <v>Ingredient 4</v>
      </c>
      <c r="O150" s="62" t="str" cm="1">
        <f t="array" ref="O150">Common_InputFunctions.Utility_DisplayArrayInTable(Fertiliser_SourceData.Fertiliser_Products_Data3(), FertiliserProducts[[#Headers],[Company]],61)</f>
        <v>Ingredient 4 percent</v>
      </c>
      <c r="P150" s="62" t="str" cm="1">
        <f t="array" ref="P150">Common_InputFunctions.Utility_DisplayArrayInTable(Fertiliser_SourceData.Fertiliser_Products_Data3(), FertiliserProducts[[#Headers],[Company]],61)</f>
        <v>Ingredient 4 source</v>
      </c>
      <c r="Q150" s="62" t="str" cm="1">
        <f t="array" ref="Q150">Common_InputFunctions.Utility_DisplayArrayInTable(Fertiliser_SourceData.Fertiliser_Products_Data3(), FertiliserProducts[[#Headers],[Company]],61)</f>
        <v>Ingredient 5</v>
      </c>
      <c r="R150" s="62" t="str" cm="1">
        <f t="array" ref="R150">Common_InputFunctions.Utility_DisplayArrayInTable(Fertiliser_SourceData.Fertiliser_Products_Data3(), FertiliserProducts[[#Headers],[Company]],61)</f>
        <v>Ingredient 5 percent</v>
      </c>
      <c r="S150" s="62" t="str" cm="1">
        <f t="array" ref="S150">Common_InputFunctions.Utility_DisplayArrayInTable(Fertiliser_SourceData.Fertiliser_Products_Data3(), FertiliserProducts[[#Headers],[Company]],61)</f>
        <v>Ingredient 5 source</v>
      </c>
      <c r="T150" s="62" t="str" cm="1">
        <f t="array" ref="T150">Common_InputFunctions.Utility_DisplayArrayInTable(Fertiliser_SourceData.Fertiliser_Products_Data3(), FertiliserProducts[[#Headers],[Company]],61)</f>
        <v>Ingredient 6</v>
      </c>
      <c r="U150" s="62" t="str" cm="1">
        <f t="array" ref="U150">Common_InputFunctions.Utility_DisplayArrayInTable(Fertiliser_SourceData.Fertiliser_Products_Data3(), FertiliserProducts[[#Headers],[Company]],61)</f>
        <v>Ingredient 6 percent</v>
      </c>
      <c r="V150" s="62" t="str" cm="1">
        <f t="array" ref="V150">Common_InputFunctions.Utility_DisplayArrayInTable(Fertiliser_SourceData.Fertiliser_Products_Data3(), FertiliserProducts[[#Headers],[Company]],61)</f>
        <v>Ingredient 6 source</v>
      </c>
      <c r="W150" s="62" t="str" cm="1">
        <f t="array" ref="W150">Common_InputFunctions.Utility_DisplayArrayInTable(Fertiliser_SourceData.Fertiliser_Products_Data3(), FertiliserProducts[[#Headers],[Company]],61)</f>
        <v>Product info link</v>
      </c>
      <c r="X150" s="62" t="str" cm="1">
        <f t="array" ref="X150">Common_InputFunctions.Utility_DisplayArrayInTable(Fertiliser_SourceData.Fertiliser_Products_Data3(), FertiliserProducts[[#Headers],[Company]],61)</f>
        <v/>
      </c>
      <c r="Y150" s="62" t="str" cm="1">
        <f t="array" ref="Y150">Common_InputFunctions.Utility_DisplayArrayInTable(Fertiliser_SourceData.Fertiliser_Products_Data3(), FertiliserProducts[[#Headers],[Company]],61)</f>
        <v/>
      </c>
      <c r="Z150" s="62" t="str" cm="1">
        <f t="array" ref="Z150">Common_InputFunctions.Utility_DisplayArrayInTable(Fertiliser_SourceData.Fertiliser_Products_Data3(), FertiliserProducts[[#Headers],[Company]],61)</f>
        <v/>
      </c>
      <c r="AA150" s="62" t="str" cm="1">
        <f t="array" ref="AA150">Common_InputFunctions.Utility_DisplayArrayInTable(Fertiliser_SourceData.Fertiliser_Products_Data3(), FertiliserProducts[[#Headers],[Company]],61)</f>
        <v/>
      </c>
      <c r="AB150" s="62" t="str" cm="1">
        <f t="array" ref="AB150">Common_InputFunctions.Utility_DisplayArrayInTable(Fertiliser_SourceData.Fertiliser_Products_Data3(), FertiliserProducts[[#Headers],[Company]],61)</f>
        <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K-Flow 0-0-15</v>
      </c>
      <c r="E151" s="62" t="str" cm="1">
        <f t="array" ref="E151">Common_InputFunctions.Utility_DisplayArrayInTable(Fertiliser_SourceData.Fertiliser_Products_Data3(), FertiliserProducts[[#Headers],[Company]],61)</f>
        <v/>
      </c>
      <c r="F151" s="62" t="str" cm="1">
        <f t="array" ref="F151">Common_InputFunctions.Utility_DisplayArrayInTable(Fertiliser_SourceData.Fertiliser_Products_Data3(), FertiliserProducts[[#Headers],[Company]],61)</f>
        <v/>
      </c>
      <c r="G151" s="62" t="str" cm="1">
        <f t="array" ref="G151">Common_InputFunctions.Utility_DisplayArrayInTable(Fertiliser_SourceData.Fertiliser_Products_Data3(), FertiliserProducts[[#Headers],[Company]],61)</f>
        <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t="str" cm="1">
        <f t="array" ref="K151">Common_InputFunctions.Utility_DisplayArrayInTable(Fertiliser_SourceData.Fertiliser_Products_Data3(), FertiliserProducts[[#Headers],[Company]],61)</f>
        <v/>
      </c>
      <c r="L151" s="62" t="str" cm="1">
        <f t="array" ref="L151">Common_InputFunctions.Utility_DisplayArrayInTable(Fertiliser_SourceData.Fertiliser_Products_Data3(), FertiliserProducts[[#Headers],[Company]],61)</f>
        <v/>
      </c>
      <c r="M151" s="62" t="str" cm="1">
        <f t="array" ref="M151">Common_InputFunctions.Utility_DisplayArrayInTable(Fertiliser_SourceData.Fertiliser_Products_Data3(), FertiliserProducts[[#Headers],[Company]],61)</f>
        <v/>
      </c>
      <c r="N151" s="62" t="str" cm="1">
        <f t="array" ref="N151">Common_InputFunctions.Utility_DisplayArrayInTable(Fertiliser_SourceData.Fertiliser_Products_Data3(), FertiliserProducts[[#Headers],[Company]],61)</f>
        <v/>
      </c>
      <c r="O151" s="62" t="str" cm="1">
        <f t="array" ref="O151">Common_InputFunctions.Utility_DisplayArrayInTable(Fertiliser_SourceData.Fertiliser_Products_Data3(), FertiliserProducts[[#Headers],[Company]],61)</f>
        <v/>
      </c>
      <c r="P151" s="62" t="str" cm="1">
        <f t="array" ref="P151">Common_InputFunctions.Utility_DisplayArrayInTable(Fertiliser_SourceData.Fertiliser_Products_Data3(), FertiliserProducts[[#Headers],[Company]],61)</f>
        <v/>
      </c>
      <c r="Q151" s="62" t="str" cm="1">
        <f t="array" ref="Q151">Common_InputFunctions.Utility_DisplayArrayInTable(Fertiliser_SourceData.Fertiliser_Products_Data3(), FertiliserProducts[[#Headers],[Company]],61)</f>
        <v/>
      </c>
      <c r="R151" s="62" t="str" cm="1">
        <f t="array" ref="R151">Common_InputFunctions.Utility_DisplayArrayInTable(Fertiliser_SourceData.Fertiliser_Products_Data3(), FertiliserProducts[[#Headers],[Company]],61)</f>
        <v/>
      </c>
      <c r="S151" s="62" t="str" cm="1">
        <f t="array" ref="S151">Common_InputFunctions.Utility_DisplayArrayInTable(Fertiliser_SourceData.Fertiliser_Products_Data3(), FertiliserProducts[[#Headers],[Company]],61)</f>
        <v/>
      </c>
      <c r="T151" s="62" t="str" cm="1">
        <f t="array" ref="T151">Common_InputFunctions.Utility_DisplayArrayInTable(Fertiliser_SourceData.Fertiliser_Products_Data3(), FertiliserProducts[[#Headers],[Company]],61)</f>
        <v/>
      </c>
      <c r="U151" s="62" t="str" cm="1">
        <f t="array" ref="U151">Common_InputFunctions.Utility_DisplayArrayInTable(Fertiliser_SourceData.Fertiliser_Products_Data3(), FertiliserProducts[[#Headers],[Company]],61)</f>
        <v/>
      </c>
      <c r="V151" s="62" t="str" cm="1">
        <f t="array" ref="V151">Common_InputFunctions.Utility_DisplayArrayInTable(Fertiliser_SourceData.Fertiliser_Products_Data3(), FertiliserProducts[[#Headers],[Company]],61)</f>
        <v/>
      </c>
      <c r="W151" s="62" t="str" cm="1">
        <f t="array" ref="W151">Common_InputFunctions.Utility_DisplayArrayInTable(Fertiliser_SourceData.Fertiliser_Products_Data3(), FertiliserProducts[[#Headers],[Company]],61)</f>
        <v>Crop Nutrition Solutions (Yara Australia)</v>
      </c>
      <c r="X151" s="62" t="str" cm="1">
        <f t="array" ref="X151">Common_InputFunctions.Utility_DisplayArrayInTable(Fertiliser_SourceData.Fertiliser_Products_Data3(), FertiliserProducts[[#Headers],[Company]],61)</f>
        <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Yara K-Flow 0-14-30</v>
      </c>
      <c r="E152" s="62" t="str" cm="1">
        <f t="array" ref="E152">Common_InputFunctions.Utility_DisplayArrayInTable(Fertiliser_SourceData.Fertiliser_Products_Data3(), FertiliserProducts[[#Headers],[Company]],61)</f>
        <v/>
      </c>
      <c r="F152" s="62" t="str" cm="1">
        <f t="array" ref="F152">Common_InputFunctions.Utility_DisplayArrayInTable(Fertiliser_SourceData.Fertiliser_Products_Data3(), FertiliserProducts[[#Headers],[Company]],61)</f>
        <v/>
      </c>
      <c r="G152" s="62" t="str" cm="1">
        <f t="array" ref="G152">Common_InputFunctions.Utility_DisplayArrayInTable(Fertiliser_SourceData.Fertiliser_Products_Data3(), FertiliserProducts[[#Headers],[Company]],61)</f>
        <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t="str" cm="1">
        <f t="array" ref="K152">Common_InputFunctions.Utility_DisplayArrayInTable(Fertiliser_SourceData.Fertiliser_Products_Data3(), FertiliserProducts[[#Headers],[Company]],61)</f>
        <v/>
      </c>
      <c r="L152" s="62" t="str" cm="1">
        <f t="array" ref="L152">Common_InputFunctions.Utility_DisplayArrayInTable(Fertiliser_SourceData.Fertiliser_Products_Data3(), FertiliserProducts[[#Headers],[Company]],61)</f>
        <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
      </c>
      <c r="P152" s="62" t="str" cm="1">
        <f t="array" ref="P152">Common_InputFunctions.Utility_DisplayArrayInTable(Fertiliser_SourceData.Fertiliser_Products_Data3(), FertiliserProducts[[#Headers],[Company]],61)</f>
        <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Crop Nutrition Solutions (Yara Australia)</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Yara K-Flow 0-7-36</v>
      </c>
      <c r="E153" s="62" t="str" cm="1">
        <f t="array" ref="E153">Common_InputFunctions.Utility_DisplayArrayInTable(Fertiliser_SourceData.Fertiliser_Products_Data3(), FertiliserProducts[[#Headers],[Company]],61)</f>
        <v/>
      </c>
      <c r="F153" s="62" t="str" cm="1">
        <f t="array" ref="F153">Common_InputFunctions.Utility_DisplayArrayInTable(Fertiliser_SourceData.Fertiliser_Products_Data3(), FertiliserProducts[[#Headers],[Company]],61)</f>
        <v/>
      </c>
      <c r="G153" s="62" t="str" cm="1">
        <f t="array" ref="G153">Common_InputFunctions.Utility_DisplayArrayInTable(Fertiliser_SourceData.Fertiliser_Products_Data3(), FertiliserProducts[[#Headers],[Company]],61)</f>
        <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t="str" cm="1">
        <f t="array" ref="K153">Common_InputFunctions.Utility_DisplayArrayInTable(Fertiliser_SourceData.Fertiliser_Products_Data3(), FertiliserProducts[[#Headers],[Company]],61)</f>
        <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t="str" cm="1">
        <f t="array" ref="N153">Common_InputFunctions.Utility_DisplayArrayInTable(Fertiliser_SourceData.Fertiliser_Products_Data3(), FertiliserProducts[[#Headers],[Company]],61)</f>
        <v/>
      </c>
      <c r="O153" s="62" t="str" cm="1">
        <f t="array" ref="O153">Common_InputFunctions.Utility_DisplayArrayInTable(Fertiliser_SourceData.Fertiliser_Products_Data3(), FertiliserProducts[[#Headers],[Company]],61)</f>
        <v/>
      </c>
      <c r="P153" s="62" t="str" cm="1">
        <f t="array" ref="P153">Common_InputFunctions.Utility_DisplayArrayInTable(Fertiliser_SourceData.Fertiliser_Products_Data3(), FertiliserProducts[[#Headers],[Company]],61)</f>
        <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Crop Nutrition Solutions (Yara Australia)</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Yara K-Flow 13-0-7</v>
      </c>
      <c r="E154" s="62" t="str" cm="1">
        <f t="array" ref="E154">Common_InputFunctions.Utility_DisplayArrayInTable(Fertiliser_SourceData.Fertiliser_Products_Data3(), FertiliserProducts[[#Headers],[Company]],61)</f>
        <v/>
      </c>
      <c r="F154" s="62" t="str" cm="1">
        <f t="array" ref="F154">Common_InputFunctions.Utility_DisplayArrayInTable(Fertiliser_SourceData.Fertiliser_Products_Data3(), FertiliserProducts[[#Headers],[Company]],61)</f>
        <v/>
      </c>
      <c r="G154" s="62" t="str" cm="1">
        <f t="array" ref="G154">Common_InputFunctions.Utility_DisplayArrayInTable(Fertiliser_SourceData.Fertiliser_Products_Data3(), FertiliserProducts[[#Headers],[Company]],61)</f>
        <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t="str" cm="1">
        <f t="array" ref="K154">Common_InputFunctions.Utility_DisplayArrayInTable(Fertiliser_SourceData.Fertiliser_Products_Data3(), FertiliserProducts[[#Headers],[Company]],61)</f>
        <v/>
      </c>
      <c r="L154" s="62" t="str" cm="1">
        <f t="array" ref="L154">Common_InputFunctions.Utility_DisplayArrayInTable(Fertiliser_SourceData.Fertiliser_Products_Data3(), FertiliserProducts[[#Headers],[Company]],61)</f>
        <v/>
      </c>
      <c r="M154" s="62" t="str" cm="1">
        <f t="array" ref="M154">Common_InputFunctions.Utility_DisplayArrayInTable(Fertiliser_SourceData.Fertiliser_Products_Data3(), FertiliserProducts[[#Headers],[Company]],61)</f>
        <v/>
      </c>
      <c r="N154" s="62" t="str" cm="1">
        <f t="array" ref="N154">Common_InputFunctions.Utility_DisplayArrayInTable(Fertiliser_SourceData.Fertiliser_Products_Data3(), FertiliserProducts[[#Headers],[Company]],61)</f>
        <v/>
      </c>
      <c r="O154" s="62" t="str" cm="1">
        <f t="array" ref="O154">Common_InputFunctions.Utility_DisplayArrayInTable(Fertiliser_SourceData.Fertiliser_Products_Data3(), FertiliserProducts[[#Headers],[Company]],61)</f>
        <v/>
      </c>
      <c r="P154" s="62" t="str" cm="1">
        <f t="array" ref="P154">Common_InputFunctions.Utility_DisplayArrayInTable(Fertiliser_SourceData.Fertiliser_Products_Data3(), FertiliserProducts[[#Headers],[Company]],61)</f>
        <v/>
      </c>
      <c r="Q154" s="62" t="str" cm="1">
        <f t="array" ref="Q154">Common_InputFunctions.Utility_DisplayArrayInTable(Fertiliser_SourceData.Fertiliser_Products_Data3(), FertiliserProducts[[#Headers],[Company]],61)</f>
        <v/>
      </c>
      <c r="R154" s="62" t="str" cm="1">
        <f t="array" ref="R154">Common_InputFunctions.Utility_DisplayArrayInTable(Fertiliser_SourceData.Fertiliser_Products_Data3(), FertiliserProducts[[#Headers],[Company]],61)</f>
        <v/>
      </c>
      <c r="S154" s="62" t="str" cm="1">
        <f t="array" ref="S154">Common_InputFunctions.Utility_DisplayArrayInTable(Fertiliser_SourceData.Fertiliser_Products_Data3(), FertiliserProducts[[#Headers],[Company]],61)</f>
        <v/>
      </c>
      <c r="T154" s="62" t="str" cm="1">
        <f t="array" ref="T154">Common_InputFunctions.Utility_DisplayArrayInTable(Fertiliser_SourceData.Fertiliser_Products_Data3(), FertiliserProducts[[#Headers],[Company]],61)</f>
        <v/>
      </c>
      <c r="U154" s="62" t="str" cm="1">
        <f t="array" ref="U154">Common_InputFunctions.Utility_DisplayArrayInTable(Fertiliser_SourceData.Fertiliser_Products_Data3(), FertiliserProducts[[#Headers],[Company]],61)</f>
        <v/>
      </c>
      <c r="V154" s="62" t="str" cm="1">
        <f t="array" ref="V154">Common_InputFunctions.Utility_DisplayArrayInTable(Fertiliser_SourceData.Fertiliser_Products_Data3(), FertiliserProducts[[#Headers],[Company]],61)</f>
        <v/>
      </c>
      <c r="W154" s="62" t="str" cm="1">
        <f t="array" ref="W154">Common_InputFunctions.Utility_DisplayArrayInTable(Fertiliser_SourceData.Fertiliser_Products_Data3(), FertiliserProducts[[#Headers],[Company]],61)</f>
        <v>Crop Nutrition Solutions (Yara Australia)</v>
      </c>
      <c r="X154" s="62" t="str" cm="1">
        <f t="array" ref="X154">Common_InputFunctions.Utility_DisplayArrayInTable(Fertiliser_SourceData.Fertiliser_Products_Data3(), FertiliserProducts[[#Headers],[Company]],61)</f>
        <v/>
      </c>
      <c r="Y154" s="62" t="str" cm="1">
        <f t="array" ref="Y154">Common_InputFunctions.Utility_DisplayArrayInTable(Fertiliser_SourceData.Fertiliser_Products_Data3(), FertiliserProducts[[#Headers],[Company]],61)</f>
        <v/>
      </c>
      <c r="Z154" s="62" t="str" cm="1">
        <f t="array" ref="Z154">Common_InputFunctions.Utility_DisplayArrayInTable(Fertiliser_SourceData.Fertiliser_Products_Data3(), FertiliserProducts[[#Headers],[Company]],61)</f>
        <v/>
      </c>
      <c r="AA154" s="62" t="str" cm="1">
        <f t="array" ref="AA154">Common_InputFunctions.Utility_DisplayArrayInTable(Fertiliser_SourceData.Fertiliser_Products_Data3(), FertiliserProducts[[#Headers],[Company]],61)</f>
        <v/>
      </c>
      <c r="AB154" s="62" t="str" cm="1">
        <f t="array" ref="AB154">Common_InputFunctions.Utility_DisplayArrayInTable(Fertiliser_SourceData.Fertiliser_Products_Data3(), FertiliserProducts[[#Headers],[Company]],61)</f>
        <v/>
      </c>
      <c r="AC154" s="62" t="str" cm="1">
        <f t="array" ref="AC154">Common_InputFunctions.Utility_DisplayArrayInTable(Fertiliser_SourceData.Fertiliser_Products_Data3(), FertiliserProducts[[#Headers],[Company]],61)</f>
        <v/>
      </c>
      <c r="AD154" s="62" t="str" cm="1">
        <f t="array" ref="AD154">Common_InputFunctions.Utility_DisplayArrayInTable(Fertiliser_SourceData.Fertiliser_Products_Data3(), FertiliserProducts[[#Headers],[Company]],61)</f>
        <v/>
      </c>
      <c r="AE154" s="62" t="str" cm="1">
        <f t="array" ref="AE154">Common_InputFunctions.Utility_DisplayArrayInTable(Fertiliser_SourceData.Fertiliser_Products_Data3(), FertiliserProducts[[#Headers],[Company]],61)</f>
        <v/>
      </c>
      <c r="AF154" s="62" t="str" cm="1">
        <f t="array" ref="AF154">Common_InputFunctions.Utility_DisplayArrayInTable(Fertiliser_SourceData.Fertiliser_Products_Data3(), FertiliserProducts[[#Headers],[Company]],61)</f>
        <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Yara K-Flow 4-0-12</v>
      </c>
      <c r="E155" s="62" t="str" cm="1">
        <f t="array" ref="E155">Common_InputFunctions.Utility_DisplayArrayInTable(Fertiliser_SourceData.Fertiliser_Products_Data3(), FertiliserProducts[[#Headers],[Company]],61)</f>
        <v/>
      </c>
      <c r="F155" s="62" t="str" cm="1">
        <f t="array" ref="F155">Common_InputFunctions.Utility_DisplayArrayInTable(Fertiliser_SourceData.Fertiliser_Products_Data3(), FertiliserProducts[[#Headers],[Company]],61)</f>
        <v/>
      </c>
      <c r="G155" s="62" t="str" cm="1">
        <f t="array" ref="G155">Common_InputFunctions.Utility_DisplayArrayInTable(Fertiliser_SourceData.Fertiliser_Products_Data3(), FertiliserProducts[[#Headers],[Company]],61)</f>
        <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t="str" cm="1">
        <f t="array" ref="K155">Common_InputFunctions.Utility_DisplayArrayInTable(Fertiliser_SourceData.Fertiliser_Products_Data3(), FertiliserProducts[[#Headers],[Company]],61)</f>
        <v/>
      </c>
      <c r="L155" s="62" t="str" cm="1">
        <f t="array" ref="L155">Common_InputFunctions.Utility_DisplayArrayInTable(Fertiliser_SourceData.Fertiliser_Products_Data3(), FertiliserProducts[[#Headers],[Company]],61)</f>
        <v/>
      </c>
      <c r="M155" s="62" t="str" cm="1">
        <f t="array" ref="M155">Common_InputFunctions.Utility_DisplayArrayInTable(Fertiliser_SourceData.Fertiliser_Products_Data3(), FertiliserProducts[[#Headers],[Company]],61)</f>
        <v/>
      </c>
      <c r="N155" s="62" t="str" cm="1">
        <f t="array" ref="N155">Common_InputFunctions.Utility_DisplayArrayInTable(Fertiliser_SourceData.Fertiliser_Products_Data3(), FertiliserProducts[[#Headers],[Company]],61)</f>
        <v/>
      </c>
      <c r="O155" s="62" t="str" cm="1">
        <f t="array" ref="O155">Common_InputFunctions.Utility_DisplayArrayInTable(Fertiliser_SourceData.Fertiliser_Products_Data3(), FertiliserProducts[[#Headers],[Company]],61)</f>
        <v/>
      </c>
      <c r="P155" s="62" t="str" cm="1">
        <f t="array" ref="P155">Common_InputFunctions.Utility_DisplayArrayInTable(Fertiliser_SourceData.Fertiliser_Products_Data3(), FertiliserProducts[[#Headers],[Company]],61)</f>
        <v/>
      </c>
      <c r="Q155" s="62" t="str" cm="1">
        <f t="array" ref="Q155">Common_InputFunctions.Utility_DisplayArrayInTable(Fertiliser_SourceData.Fertiliser_Products_Data3(), FertiliserProducts[[#Headers],[Company]],61)</f>
        <v/>
      </c>
      <c r="R155" s="62" t="str" cm="1">
        <f t="array" ref="R155">Common_InputFunctions.Utility_DisplayArrayInTable(Fertiliser_SourceData.Fertiliser_Products_Data3(), FertiliserProducts[[#Headers],[Company]],61)</f>
        <v/>
      </c>
      <c r="S155" s="62" t="str" cm="1">
        <f t="array" ref="S155">Common_InputFunctions.Utility_DisplayArrayInTable(Fertiliser_SourceData.Fertiliser_Products_Data3(), FertiliserProducts[[#Headers],[Company]],61)</f>
        <v/>
      </c>
      <c r="T155" s="62" t="str" cm="1">
        <f t="array" ref="T155">Common_InputFunctions.Utility_DisplayArrayInTable(Fertiliser_SourceData.Fertiliser_Products_Data3(), FertiliserProducts[[#Headers],[Company]],61)</f>
        <v/>
      </c>
      <c r="U155" s="62" t="str" cm="1">
        <f t="array" ref="U155">Common_InputFunctions.Utility_DisplayArrayInTable(Fertiliser_SourceData.Fertiliser_Products_Data3(), FertiliserProducts[[#Headers],[Company]],61)</f>
        <v/>
      </c>
      <c r="V155" s="62" t="str" cm="1">
        <f t="array" ref="V155">Common_InputFunctions.Utility_DisplayArrayInTable(Fertiliser_SourceData.Fertiliser_Products_Data3(), FertiliserProducts[[#Headers],[Company]],61)</f>
        <v/>
      </c>
      <c r="W155" s="62" t="str" cm="1">
        <f t="array" ref="W155">Common_InputFunctions.Utility_DisplayArrayInTable(Fertiliser_SourceData.Fertiliser_Products_Data3(), FertiliserProducts[[#Headers],[Company]],61)</f>
        <v>Crop Nutrition Solutions (Yara Australia)</v>
      </c>
      <c r="X155" s="62" t="str" cm="1">
        <f t="array" ref="X155">Common_InputFunctions.Utility_DisplayArrayInTable(Fertiliser_SourceData.Fertiliser_Products_Data3(), FertiliserProducts[[#Headers],[Company]],61)</f>
        <v/>
      </c>
      <c r="Y155" s="62" t="str" cm="1">
        <f t="array" ref="Y155">Common_InputFunctions.Utility_DisplayArrayInTable(Fertiliser_SourceData.Fertiliser_Products_Data3(), FertiliserProducts[[#Headers],[Company]],61)</f>
        <v/>
      </c>
      <c r="Z155" s="62" t="str" cm="1">
        <f t="array" ref="Z155">Common_InputFunctions.Utility_DisplayArrayInTable(Fertiliser_SourceData.Fertiliser_Products_Data3(), FertiliserProducts[[#Headers],[Company]],61)</f>
        <v/>
      </c>
      <c r="AA155" s="62" t="str" cm="1">
        <f t="array" ref="AA155">Common_InputFunctions.Utility_DisplayArrayInTable(Fertiliser_SourceData.Fertiliser_Products_Data3(), FertiliserProducts[[#Headers],[Company]],61)</f>
        <v/>
      </c>
      <c r="AB155" s="62" t="str" cm="1">
        <f t="array" ref="AB155">Common_InputFunctions.Utility_DisplayArrayInTable(Fertiliser_SourceData.Fertiliser_Products_Data3(), FertiliserProducts[[#Headers],[Company]],61)</f>
        <v/>
      </c>
      <c r="AC155" s="62" t="str" cm="1">
        <f t="array" ref="AC155">Common_InputFunctions.Utility_DisplayArrayInTable(Fertiliser_SourceData.Fertiliser_Products_Data3(), FertiliserProducts[[#Headers],[Company]],61)</f>
        <v/>
      </c>
      <c r="AD155" s="62" t="str" cm="1">
        <f t="array" ref="AD155">Common_InputFunctions.Utility_DisplayArrayInTable(Fertiliser_SourceData.Fertiliser_Products_Data3(), FertiliserProducts[[#Headers],[Company]],61)</f>
        <v/>
      </c>
      <c r="AE155" s="62" t="str" cm="1">
        <f t="array" ref="AE155">Common_InputFunctions.Utility_DisplayArrayInTable(Fertiliser_SourceData.Fertiliser_Products_Data3(), FertiliserProducts[[#Headers],[Company]],61)</f>
        <v/>
      </c>
      <c r="AF155" s="62" t="str" cm="1">
        <f t="array" ref="AF155">Common_InputFunctions.Utility_DisplayArrayInTable(Fertiliser_SourceData.Fertiliser_Products_Data3(), FertiliserProducts[[#Headers],[Company]],61)</f>
        <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Yara Liquids MICRO-SUL</v>
      </c>
      <c r="E156" s="62" t="str" cm="1">
        <f t="array" ref="E156">Common_InputFunctions.Utility_DisplayArrayInTable(Fertiliser_SourceData.Fertiliser_Products_Data3(), FertiliserProducts[[#Headers],[Company]],61)</f>
        <v/>
      </c>
      <c r="F156" s="62" t="str" cm="1">
        <f t="array" ref="F156">Common_InputFunctions.Utility_DisplayArrayInTable(Fertiliser_SourceData.Fertiliser_Products_Data3(), FertiliserProducts[[#Headers],[Company]],61)</f>
        <v/>
      </c>
      <c r="G156" s="62" t="str" cm="1">
        <f t="array" ref="G156">Common_InputFunctions.Utility_DisplayArrayInTable(Fertiliser_SourceData.Fertiliser_Products_Data3(), FertiliserProducts[[#Headers],[Company]],61)</f>
        <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t="str" cm="1">
        <f t="array" ref="K156">Common_InputFunctions.Utility_DisplayArrayInTable(Fertiliser_SourceData.Fertiliser_Products_Data3(), FertiliserProducts[[#Headers],[Company]],61)</f>
        <v/>
      </c>
      <c r="L156" s="62" t="str" cm="1">
        <f t="array" ref="L156">Common_InputFunctions.Utility_DisplayArrayInTable(Fertiliser_SourceData.Fertiliser_Products_Data3(), FertiliserProducts[[#Headers],[Company]],61)</f>
        <v/>
      </c>
      <c r="M156" s="62" t="str" cm="1">
        <f t="array" ref="M156">Common_InputFunctions.Utility_DisplayArrayInTable(Fertiliser_SourceData.Fertiliser_Products_Data3(), FertiliserProducts[[#Headers],[Company]],61)</f>
        <v/>
      </c>
      <c r="N156" s="62" t="str" cm="1">
        <f t="array" ref="N156">Common_InputFunctions.Utility_DisplayArrayInTable(Fertiliser_SourceData.Fertiliser_Products_Data3(), FertiliserProducts[[#Headers],[Company]],61)</f>
        <v/>
      </c>
      <c r="O156" s="62" t="str" cm="1">
        <f t="array" ref="O156">Common_InputFunctions.Utility_DisplayArrayInTable(Fertiliser_SourceData.Fertiliser_Products_Data3(), FertiliserProducts[[#Headers],[Company]],61)</f>
        <v/>
      </c>
      <c r="P156" s="62" t="str" cm="1">
        <f t="array" ref="P156">Common_InputFunctions.Utility_DisplayArrayInTable(Fertiliser_SourceData.Fertiliser_Products_Data3(), FertiliserProducts[[#Headers],[Company]],61)</f>
        <v/>
      </c>
      <c r="Q156" s="62" t="str" cm="1">
        <f t="array" ref="Q156">Common_InputFunctions.Utility_DisplayArrayInTable(Fertiliser_SourceData.Fertiliser_Products_Data3(), FertiliserProducts[[#Headers],[Company]],61)</f>
        <v/>
      </c>
      <c r="R156" s="62" t="str" cm="1">
        <f t="array" ref="R156">Common_InputFunctions.Utility_DisplayArrayInTable(Fertiliser_SourceData.Fertiliser_Products_Data3(), FertiliserProducts[[#Headers],[Company]],61)</f>
        <v/>
      </c>
      <c r="S156" s="62" t="str" cm="1">
        <f t="array" ref="S156">Common_InputFunctions.Utility_DisplayArrayInTable(Fertiliser_SourceData.Fertiliser_Products_Data3(), FertiliserProducts[[#Headers],[Company]],61)</f>
        <v/>
      </c>
      <c r="T156" s="62" t="str" cm="1">
        <f t="array" ref="T156">Common_InputFunctions.Utility_DisplayArrayInTable(Fertiliser_SourceData.Fertiliser_Products_Data3(), FertiliserProducts[[#Headers],[Company]],61)</f>
        <v/>
      </c>
      <c r="U156" s="62" t="str" cm="1">
        <f t="array" ref="U156">Common_InputFunctions.Utility_DisplayArrayInTable(Fertiliser_SourceData.Fertiliser_Products_Data3(), FertiliserProducts[[#Headers],[Company]],61)</f>
        <v/>
      </c>
      <c r="V156" s="62" t="str" cm="1">
        <f t="array" ref="V156">Common_InputFunctions.Utility_DisplayArrayInTable(Fertiliser_SourceData.Fertiliser_Products_Data3(), FertiliserProducts[[#Headers],[Company]],61)</f>
        <v/>
      </c>
      <c r="W156" s="62" t="str" cm="1">
        <f t="array" ref="W156">Common_InputFunctions.Utility_DisplayArrayInTable(Fertiliser_SourceData.Fertiliser_Products_Data3(), FertiliserProducts[[#Headers],[Company]],61)</f>
        <v>Crop Nutrition Solutions (Yara Australia)</v>
      </c>
      <c r="X156" s="62" t="str" cm="1">
        <f t="array" ref="X156">Common_InputFunctions.Utility_DisplayArrayInTable(Fertiliser_SourceData.Fertiliser_Products_Data3(), FertiliserProducts[[#Headers],[Company]],61)</f>
        <v/>
      </c>
      <c r="Y156" s="62" t="str" cm="1">
        <f t="array" ref="Y156">Common_InputFunctions.Utility_DisplayArrayInTable(Fertiliser_SourceData.Fertiliser_Products_Data3(), FertiliserProducts[[#Headers],[Company]],61)</f>
        <v/>
      </c>
      <c r="Z156" s="62" t="str" cm="1">
        <f t="array" ref="Z156">Common_InputFunctions.Utility_DisplayArrayInTable(Fertiliser_SourceData.Fertiliser_Products_Data3(), FertiliserProducts[[#Headers],[Company]],61)</f>
        <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Yara Liquids N24</v>
      </c>
      <c r="E157" s="62" t="str" cm="1">
        <f t="array" ref="E157">Common_InputFunctions.Utility_DisplayArrayInTable(Fertiliser_SourceData.Fertiliser_Products_Data3(), FertiliserProducts[[#Headers],[Company]],61)</f>
        <v/>
      </c>
      <c r="F157" s="62" t="str" cm="1">
        <f t="array" ref="F157">Common_InputFunctions.Utility_DisplayArrayInTable(Fertiliser_SourceData.Fertiliser_Products_Data3(), FertiliserProducts[[#Headers],[Company]],61)</f>
        <v/>
      </c>
      <c r="G157" s="62" t="str" cm="1">
        <f t="array" ref="G157">Common_InputFunctions.Utility_DisplayArrayInTable(Fertiliser_SourceData.Fertiliser_Products_Data3(), FertiliserProducts[[#Headers],[Company]],61)</f>
        <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t="str" cm="1">
        <f t="array" ref="K157">Common_InputFunctions.Utility_DisplayArrayInTable(Fertiliser_SourceData.Fertiliser_Products_Data3(), FertiliserProducts[[#Headers],[Company]],61)</f>
        <v/>
      </c>
      <c r="L157" s="62" t="str" cm="1">
        <f t="array" ref="L157">Common_InputFunctions.Utility_DisplayArrayInTable(Fertiliser_SourceData.Fertiliser_Products_Data3(), FertiliserProducts[[#Headers],[Company]],61)</f>
        <v/>
      </c>
      <c r="M157" s="62" t="str" cm="1">
        <f t="array" ref="M157">Common_InputFunctions.Utility_DisplayArrayInTable(Fertiliser_SourceData.Fertiliser_Products_Data3(), FertiliserProducts[[#Headers],[Company]],61)</f>
        <v/>
      </c>
      <c r="N157" s="62" t="str" cm="1">
        <f t="array" ref="N157">Common_InputFunctions.Utility_DisplayArrayInTable(Fertiliser_SourceData.Fertiliser_Products_Data3(), FertiliserProducts[[#Headers],[Company]],61)</f>
        <v/>
      </c>
      <c r="O157" s="62" t="str" cm="1">
        <f t="array" ref="O157">Common_InputFunctions.Utility_DisplayArrayInTable(Fertiliser_SourceData.Fertiliser_Products_Data3(), FertiliserProducts[[#Headers],[Company]],61)</f>
        <v/>
      </c>
      <c r="P157" s="62" t="str" cm="1">
        <f t="array" ref="P157">Common_InputFunctions.Utility_DisplayArrayInTable(Fertiliser_SourceData.Fertiliser_Products_Data3(), FertiliserProducts[[#Headers],[Company]],61)</f>
        <v/>
      </c>
      <c r="Q157" s="62" t="str" cm="1">
        <f t="array" ref="Q157">Common_InputFunctions.Utility_DisplayArrayInTable(Fertiliser_SourceData.Fertiliser_Products_Data3(), FertiliserProducts[[#Headers],[Company]],61)</f>
        <v/>
      </c>
      <c r="R157" s="62" t="str" cm="1">
        <f t="array" ref="R157">Common_InputFunctions.Utility_DisplayArrayInTable(Fertiliser_SourceData.Fertiliser_Products_Data3(), FertiliserProducts[[#Headers],[Company]],61)</f>
        <v/>
      </c>
      <c r="S157" s="62" t="str" cm="1">
        <f t="array" ref="S157">Common_InputFunctions.Utility_DisplayArrayInTable(Fertiliser_SourceData.Fertiliser_Products_Data3(), FertiliserProducts[[#Headers],[Company]],61)</f>
        <v/>
      </c>
      <c r="T157" s="62" t="str" cm="1">
        <f t="array" ref="T157">Common_InputFunctions.Utility_DisplayArrayInTable(Fertiliser_SourceData.Fertiliser_Products_Data3(), FertiliserProducts[[#Headers],[Company]],61)</f>
        <v/>
      </c>
      <c r="U157" s="62" t="str" cm="1">
        <f t="array" ref="U157">Common_InputFunctions.Utility_DisplayArrayInTable(Fertiliser_SourceData.Fertiliser_Products_Data3(), FertiliserProducts[[#Headers],[Company]],61)</f>
        <v/>
      </c>
      <c r="V157" s="62" t="str" cm="1">
        <f t="array" ref="V157">Common_InputFunctions.Utility_DisplayArrayInTable(Fertiliser_SourceData.Fertiliser_Products_Data3(), FertiliserProducts[[#Headers],[Company]],61)</f>
        <v/>
      </c>
      <c r="W157" s="62" t="str" cm="1">
        <f t="array" ref="W157">Common_InputFunctions.Utility_DisplayArrayInTable(Fertiliser_SourceData.Fertiliser_Products_Data3(), FertiliserProducts[[#Headers],[Company]],61)</f>
        <v>Crop Nutrition Solutions (Yara Australia)</v>
      </c>
      <c r="X157" s="62" t="str" cm="1">
        <f t="array" ref="X157">Common_InputFunctions.Utility_DisplayArrayInTable(Fertiliser_SourceData.Fertiliser_Products_Data3(), FertiliserProducts[[#Headers],[Company]],61)</f>
        <v/>
      </c>
      <c r="Y157" s="62" t="str" cm="1">
        <f t="array" ref="Y157">Common_InputFunctions.Utility_DisplayArrayInTable(Fertiliser_SourceData.Fertiliser_Products_Data3(), FertiliserProducts[[#Headers],[Company]],61)</f>
        <v/>
      </c>
      <c r="Z157" s="62" t="str" cm="1">
        <f t="array" ref="Z157">Common_InputFunctions.Utility_DisplayArrayInTable(Fertiliser_SourceData.Fertiliser_Products_Data3(), FertiliserProducts[[#Headers],[Company]],61)</f>
        <v/>
      </c>
      <c r="AA157" s="62" t="str" cm="1">
        <f t="array" ref="AA157">Common_InputFunctions.Utility_DisplayArrayInTable(Fertiliser_SourceData.Fertiliser_Products_Data3(), FertiliserProducts[[#Headers],[Company]],61)</f>
        <v/>
      </c>
      <c r="AB157" s="62" t="str" cm="1">
        <f t="array" ref="AB157">Common_InputFunctions.Utility_DisplayArrayInTable(Fertiliser_SourceData.Fertiliser_Products_Data3(), FertiliserProducts[[#Headers],[Company]],61)</f>
        <v/>
      </c>
      <c r="AC157" s="62" t="str" cm="1">
        <f t="array" ref="AC157">Common_InputFunctions.Utility_DisplayArrayInTable(Fertiliser_SourceData.Fertiliser_Products_Data3(), FertiliserProducts[[#Headers],[Company]],61)</f>
        <v/>
      </c>
      <c r="AD157" s="62" t="str" cm="1">
        <f t="array" ref="AD157">Common_InputFunctions.Utility_DisplayArrayInTable(Fertiliser_SourceData.Fertiliser_Products_Data3(), FertiliserProducts[[#Headers],[Company]],61)</f>
        <v/>
      </c>
      <c r="AE157" s="62" t="str" cm="1">
        <f t="array" ref="AE157">Common_InputFunctions.Utility_DisplayArrayInTable(Fertiliser_SourceData.Fertiliser_Products_Data3(), FertiliserProducts[[#Headers],[Company]],61)</f>
        <v/>
      </c>
      <c r="AF157" s="62" t="str" cm="1">
        <f t="array" ref="AF157">Common_InputFunctions.Utility_DisplayArrayInTable(Fertiliser_SourceData.Fertiliser_Products_Data3(), FertiliserProducts[[#Headers],[Company]],61)</f>
        <v/>
      </c>
      <c r="AG157" s="62" t="str" cm="1">
        <f t="array" ref="AG157">Common_InputFunctions.Utility_DisplayArrayInTable(Fertiliser_SourceData.Fertiliser_Products_Data3(), FertiliserProducts[[#Headers],[Company]],61)</f>
        <v/>
      </c>
      <c r="AH157" s="62" t="str" cm="1">
        <f t="array" ref="AH157">Common_InputFunctions.Utility_DisplayArrayInTable(Fertiliser_SourceData.Fertiliser_Products_Data3(), FertiliserProducts[[#Headers],[Company]],61)</f>
        <v/>
      </c>
      <c r="AK157" s="8"/>
    </row>
    <row r="158" spans="1:39" ht="20.100000000000001" customHeight="1" x14ac:dyDescent="0.25">
      <c r="A158"/>
      <c r="D158" s="62" t="str" cm="1">
        <f t="array" ref="D158">Common_InputFunctions.Utility_DisplayArrayInTable(Fertiliser_SourceData.Fertiliser_Products_Data3(), FertiliserProducts[[#Headers],[Company]],61)</f>
        <v>Yara Liquids N25</v>
      </c>
      <c r="E158" s="62" t="str" cm="1">
        <f t="array" ref="E158">Common_InputFunctions.Utility_DisplayArrayInTable(Fertiliser_SourceData.Fertiliser_Products_Data3(), FertiliserProducts[[#Headers],[Company]],61)</f>
        <v/>
      </c>
      <c r="F158" s="62" t="str" cm="1">
        <f t="array" ref="F158">Common_InputFunctions.Utility_DisplayArrayInTable(Fertiliser_SourceData.Fertiliser_Products_Data3(), FertiliserProducts[[#Headers],[Company]],61)</f>
        <v/>
      </c>
      <c r="G158" s="62" t="str" cm="1">
        <f t="array" ref="G158">Common_InputFunctions.Utility_DisplayArrayInTable(Fertiliser_SourceData.Fertiliser_Products_Data3(), FertiliserProducts[[#Headers],[Company]],61)</f>
        <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t="str" cm="1">
        <f t="array" ref="K158">Common_InputFunctions.Utility_DisplayArrayInTable(Fertiliser_SourceData.Fertiliser_Products_Data3(), FertiliserProducts[[#Headers],[Company]],61)</f>
        <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t="str" cm="1">
        <f t="array" ref="N158">Common_InputFunctions.Utility_DisplayArrayInTable(Fertiliser_SourceData.Fertiliser_Products_Data3(), FertiliserProducts[[#Headers],[Company]],61)</f>
        <v/>
      </c>
      <c r="O158" s="62" t="str" cm="1">
        <f t="array" ref="O158">Common_InputFunctions.Utility_DisplayArrayInTable(Fertiliser_SourceData.Fertiliser_Products_Data3(), FertiliserProducts[[#Headers],[Company]],61)</f>
        <v/>
      </c>
      <c r="P158" s="62" t="str" cm="1">
        <f t="array" ref="P158">Common_InputFunctions.Utility_DisplayArrayInTable(Fertiliser_SourceData.Fertiliser_Products_Data3(), FertiliserProducts[[#Headers],[Company]],61)</f>
        <v/>
      </c>
      <c r="Q158" s="62" t="str" cm="1">
        <f t="array" ref="Q158">Common_InputFunctions.Utility_DisplayArrayInTable(Fertiliser_SourceData.Fertiliser_Products_Data3(), FertiliserProducts[[#Headers],[Company]],61)</f>
        <v/>
      </c>
      <c r="R158" s="62" t="str" cm="1">
        <f t="array" ref="R158">Common_InputFunctions.Utility_DisplayArrayInTable(Fertiliser_SourceData.Fertiliser_Products_Data3(), FertiliserProducts[[#Headers],[Company]],61)</f>
        <v/>
      </c>
      <c r="S158" s="62" t="str" cm="1">
        <f t="array" ref="S158">Common_InputFunctions.Utility_DisplayArrayInTable(Fertiliser_SourceData.Fertiliser_Products_Data3(), FertiliserProducts[[#Headers],[Company]],61)</f>
        <v/>
      </c>
      <c r="T158" s="62" t="str" cm="1">
        <f t="array" ref="T158">Common_InputFunctions.Utility_DisplayArrayInTable(Fertiliser_SourceData.Fertiliser_Products_Data3(), FertiliserProducts[[#Headers],[Company]],61)</f>
        <v/>
      </c>
      <c r="U158" s="62" t="str" cm="1">
        <f t="array" ref="U158">Common_InputFunctions.Utility_DisplayArrayInTable(Fertiliser_SourceData.Fertiliser_Products_Data3(), FertiliserProducts[[#Headers],[Company]],61)</f>
        <v/>
      </c>
      <c r="V158" s="62" t="str" cm="1">
        <f t="array" ref="V158">Common_InputFunctions.Utility_DisplayArrayInTable(Fertiliser_SourceData.Fertiliser_Products_Data3(), FertiliserProducts[[#Headers],[Company]],61)</f>
        <v/>
      </c>
      <c r="W158" s="62" t="str" cm="1">
        <f t="array" ref="W158">Common_InputFunctions.Utility_DisplayArrayInTable(Fertiliser_SourceData.Fertiliser_Products_Data3(), FertiliserProducts[[#Headers],[Company]],61)</f>
        <v>Crop Nutrition Solutions (Yara Australia)</v>
      </c>
      <c r="X158" s="62" t="str" cm="1">
        <f t="array" ref="X158">Common_InputFunctions.Utility_DisplayArrayInTable(Fertiliser_SourceData.Fertiliser_Products_Data3(), FertiliserProducts[[#Headers],[Company]],61)</f>
        <v/>
      </c>
      <c r="Y158" s="62" t="str" cm="1">
        <f t="array" ref="Y158">Common_InputFunctions.Utility_DisplayArrayInTable(Fertiliser_SourceData.Fertiliser_Products_Data3(), FertiliserProducts[[#Headers],[Company]],61)</f>
        <v/>
      </c>
      <c r="Z158" s="62" t="str" cm="1">
        <f t="array" ref="Z158">Common_InputFunctions.Utility_DisplayArrayInTable(Fertiliser_SourceData.Fertiliser_Products_Data3(), FertiliserProducts[[#Headers],[Company]],61)</f>
        <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Yara Liquids N26</v>
      </c>
      <c r="E159" s="62" t="str" cm="1">
        <f t="array" ref="E159">Common_InputFunctions.Utility_DisplayArrayInTable(Fertiliser_SourceData.Fertiliser_Products_Data3(), FertiliserProducts[[#Headers],[Company]],61)</f>
        <v/>
      </c>
      <c r="F159" s="62" t="str" cm="1">
        <f t="array" ref="F159">Common_InputFunctions.Utility_DisplayArrayInTable(Fertiliser_SourceData.Fertiliser_Products_Data3(), FertiliserProducts[[#Headers],[Company]],61)</f>
        <v/>
      </c>
      <c r="G159" s="62" t="str" cm="1">
        <f t="array" ref="G159">Common_InputFunctions.Utility_DisplayArrayInTable(Fertiliser_SourceData.Fertiliser_Products_Data3(), FertiliserProducts[[#Headers],[Company]],61)</f>
        <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t="str" cm="1">
        <f t="array" ref="L159">Common_InputFunctions.Utility_DisplayArrayInTable(Fertiliser_SourceData.Fertiliser_Products_Data3(), FertiliserProducts[[#Headers],[Company]],61)</f>
        <v/>
      </c>
      <c r="M159" s="62" t="str" cm="1">
        <f t="array" ref="M159">Common_InputFunctions.Utility_DisplayArrayInTable(Fertiliser_SourceData.Fertiliser_Products_Data3(), FertiliserProducts[[#Headers],[Company]],61)</f>
        <v/>
      </c>
      <c r="N159" s="62" t="str" cm="1">
        <f t="array" ref="N159">Common_InputFunctions.Utility_DisplayArrayInTable(Fertiliser_SourceData.Fertiliser_Products_Data3(), FertiliserProducts[[#Headers],[Company]],61)</f>
        <v/>
      </c>
      <c r="O159" s="62" t="str" cm="1">
        <f t="array" ref="O159">Common_InputFunctions.Utility_DisplayArrayInTable(Fertiliser_SourceData.Fertiliser_Products_Data3(), FertiliserProducts[[#Headers],[Company]],61)</f>
        <v/>
      </c>
      <c r="P159" s="62" t="str" cm="1">
        <f t="array" ref="P159">Common_InputFunctions.Utility_DisplayArrayInTable(Fertiliser_SourceData.Fertiliser_Products_Data3(), FertiliserProducts[[#Headers],[Company]],61)</f>
        <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Crop Nutrition Solutions (Yara Australia)</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Yara Liquids N42</v>
      </c>
      <c r="E160" s="62" t="str" cm="1">
        <f t="array" ref="E160">Common_InputFunctions.Utility_DisplayArrayInTable(Fertiliser_SourceData.Fertiliser_Products_Data3(), FertiliserProducts[[#Headers],[Company]],61)</f>
        <v/>
      </c>
      <c r="F160" s="62" t="str" cm="1">
        <f t="array" ref="F160">Common_InputFunctions.Utility_DisplayArrayInTable(Fertiliser_SourceData.Fertiliser_Products_Data3(), FertiliserProducts[[#Headers],[Company]],61)</f>
        <v/>
      </c>
      <c r="G160" s="62" t="str" cm="1">
        <f t="array" ref="G160">Common_InputFunctions.Utility_DisplayArrayInTable(Fertiliser_SourceData.Fertiliser_Products_Data3(), FertiliserProducts[[#Headers],[Company]],61)</f>
        <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t="str" cm="1">
        <f t="array" ref="K160">Common_InputFunctions.Utility_DisplayArrayInTable(Fertiliser_SourceData.Fertiliser_Products_Data3(), FertiliserProducts[[#Headers],[Company]],61)</f>
        <v/>
      </c>
      <c r="L160" s="62" t="str" cm="1">
        <f t="array" ref="L160">Common_InputFunctions.Utility_DisplayArrayInTable(Fertiliser_SourceData.Fertiliser_Products_Data3(), FertiliserProducts[[#Headers],[Company]],61)</f>
        <v/>
      </c>
      <c r="M160" s="62" t="str" cm="1">
        <f t="array" ref="M160">Common_InputFunctions.Utility_DisplayArrayInTable(Fertiliser_SourceData.Fertiliser_Products_Data3(), FertiliserProducts[[#Headers],[Company]],61)</f>
        <v/>
      </c>
      <c r="N160" s="62" t="str" cm="1">
        <f t="array" ref="N160">Common_InputFunctions.Utility_DisplayArrayInTable(Fertiliser_SourceData.Fertiliser_Products_Data3(), FertiliserProducts[[#Headers],[Company]],61)</f>
        <v/>
      </c>
      <c r="O160" s="62" t="str" cm="1">
        <f t="array" ref="O160">Common_InputFunctions.Utility_DisplayArrayInTable(Fertiliser_SourceData.Fertiliser_Products_Data3(), FertiliserProducts[[#Headers],[Company]],61)</f>
        <v/>
      </c>
      <c r="P160" s="62" t="str" cm="1">
        <f t="array" ref="P160">Common_InputFunctions.Utility_DisplayArrayInTable(Fertiliser_SourceData.Fertiliser_Products_Data3(), FertiliserProducts[[#Headers],[Company]],61)</f>
        <v/>
      </c>
      <c r="Q160" s="62" t="str" cm="1">
        <f t="array" ref="Q160">Common_InputFunctions.Utility_DisplayArrayInTable(Fertiliser_SourceData.Fertiliser_Products_Data3(), FertiliserProducts[[#Headers],[Company]],61)</f>
        <v/>
      </c>
      <c r="R160" s="62" t="str" cm="1">
        <f t="array" ref="R160">Common_InputFunctions.Utility_DisplayArrayInTable(Fertiliser_SourceData.Fertiliser_Products_Data3(), FertiliserProducts[[#Headers],[Company]],61)</f>
        <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Crop Nutrition Solutions (Yara Australia)</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Yara Liquids N-CAL 15+18Ca</v>
      </c>
      <c r="E161" s="62" t="str" cm="1">
        <f t="array" ref="E161">Common_InputFunctions.Utility_DisplayArrayInTable(Fertiliser_SourceData.Fertiliser_Products_Data3(), FertiliserProducts[[#Headers],[Company]],61)</f>
        <v/>
      </c>
      <c r="F161" s="62" t="str" cm="1">
        <f t="array" ref="F161">Common_InputFunctions.Utility_DisplayArrayInTable(Fertiliser_SourceData.Fertiliser_Products_Data3(), FertiliserProducts[[#Headers],[Company]],61)</f>
        <v/>
      </c>
      <c r="G161" s="62" t="str" cm="1">
        <f t="array" ref="G161">Common_InputFunctions.Utility_DisplayArrayInTable(Fertiliser_SourceData.Fertiliser_Products_Data3(), FertiliserProducts[[#Headers],[Company]],61)</f>
        <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t="str" cm="1">
        <f t="array" ref="K161">Common_InputFunctions.Utility_DisplayArrayInTable(Fertiliser_SourceData.Fertiliser_Products_Data3(), FertiliserProducts[[#Headers],[Company]],61)</f>
        <v/>
      </c>
      <c r="L161" s="62" t="str" cm="1">
        <f t="array" ref="L161">Common_InputFunctions.Utility_DisplayArrayInTable(Fertiliser_SourceData.Fertiliser_Products_Data3(), FertiliserProducts[[#Headers],[Company]],61)</f>
        <v/>
      </c>
      <c r="M161" s="62" t="str" cm="1">
        <f t="array" ref="M161">Common_InputFunctions.Utility_DisplayArrayInTable(Fertiliser_SourceData.Fertiliser_Products_Data3(), FertiliserProducts[[#Headers],[Company]],61)</f>
        <v/>
      </c>
      <c r="N161" s="62" t="str" cm="1">
        <f t="array" ref="N161">Common_InputFunctions.Utility_DisplayArrayInTable(Fertiliser_SourceData.Fertiliser_Products_Data3(), FertiliserProducts[[#Headers],[Company]],61)</f>
        <v/>
      </c>
      <c r="O161" s="62" t="str" cm="1">
        <f t="array" ref="O161">Common_InputFunctions.Utility_DisplayArrayInTable(Fertiliser_SourceData.Fertiliser_Products_Data3(), FertiliserProducts[[#Headers],[Company]],61)</f>
        <v/>
      </c>
      <c r="P161" s="62" t="str" cm="1">
        <f t="array" ref="P161">Common_InputFunctions.Utility_DisplayArrayInTable(Fertiliser_SourceData.Fertiliser_Products_Data3(), FertiliserProducts[[#Headers],[Company]],61)</f>
        <v/>
      </c>
      <c r="Q161" s="62" t="str" cm="1">
        <f t="array" ref="Q161">Common_InputFunctions.Utility_DisplayArrayInTable(Fertiliser_SourceData.Fertiliser_Products_Data3(), FertiliserProducts[[#Headers],[Company]],61)</f>
        <v/>
      </c>
      <c r="R161" s="62" t="str" cm="1">
        <f t="array" ref="R161">Common_InputFunctions.Utility_DisplayArrayInTable(Fertiliser_SourceData.Fertiliser_Products_Data3(), FertiliserProducts[[#Headers],[Company]],61)</f>
        <v/>
      </c>
      <c r="S161" s="62" t="str" cm="1">
        <f t="array" ref="S161">Common_InputFunctions.Utility_DisplayArrayInTable(Fertiliser_SourceData.Fertiliser_Products_Data3(), FertiliserProducts[[#Headers],[Company]],61)</f>
        <v/>
      </c>
      <c r="T161" s="62" t="str" cm="1">
        <f t="array" ref="T161">Common_InputFunctions.Utility_DisplayArrayInTable(Fertiliser_SourceData.Fertiliser_Products_Data3(), FertiliserProducts[[#Headers],[Company]],61)</f>
        <v/>
      </c>
      <c r="U161" s="62" t="str" cm="1">
        <f t="array" ref="U161">Common_InputFunctions.Utility_DisplayArrayInTable(Fertiliser_SourceData.Fertiliser_Products_Data3(), FertiliserProducts[[#Headers],[Company]],61)</f>
        <v/>
      </c>
      <c r="V161" s="62" t="str" cm="1">
        <f t="array" ref="V161">Common_InputFunctions.Utility_DisplayArrayInTable(Fertiliser_SourceData.Fertiliser_Products_Data3(), FertiliserProducts[[#Headers],[Company]],61)</f>
        <v/>
      </c>
      <c r="W161" s="62" t="str" cm="1">
        <f t="array" ref="W161">Common_InputFunctions.Utility_DisplayArrayInTable(Fertiliser_SourceData.Fertiliser_Products_Data3(), FertiliserProducts[[#Headers],[Company]],61)</f>
        <v>Crop Nutrition Solutions (Yara Australia)</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Yara Liquids N-CAL 20+10Ca+B</v>
      </c>
      <c r="E162" s="62" t="str" cm="1">
        <f t="array" ref="E162">Common_InputFunctions.Utility_DisplayArrayInTable(Fertiliser_SourceData.Fertiliser_Products_Data3(), FertiliserProducts[[#Headers],[Company]],61)</f>
        <v/>
      </c>
      <c r="F162" s="62" t="str" cm="1">
        <f t="array" ref="F162">Common_InputFunctions.Utility_DisplayArrayInTable(Fertiliser_SourceData.Fertiliser_Products_Data3(), FertiliserProducts[[#Headers],[Company]],61)</f>
        <v/>
      </c>
      <c r="G162" s="62" t="str" cm="1">
        <f t="array" ref="G162">Common_InputFunctions.Utility_DisplayArrayInTable(Fertiliser_SourceData.Fertiliser_Products_Data3(), FertiliserProducts[[#Headers],[Company]],61)</f>
        <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t="str" cm="1">
        <f t="array" ref="L162">Common_InputFunctions.Utility_DisplayArrayInTable(Fertiliser_SourceData.Fertiliser_Products_Data3(), FertiliserProducts[[#Headers],[Company]],61)</f>
        <v/>
      </c>
      <c r="M162" s="62" t="str" cm="1">
        <f t="array" ref="M162">Common_InputFunctions.Utility_DisplayArrayInTable(Fertiliser_SourceData.Fertiliser_Products_Data3(), FertiliserProducts[[#Headers],[Company]],61)</f>
        <v/>
      </c>
      <c r="N162" s="62" t="str" cm="1">
        <f t="array" ref="N162">Common_InputFunctions.Utility_DisplayArrayInTable(Fertiliser_SourceData.Fertiliser_Products_Data3(), FertiliserProducts[[#Headers],[Company]],61)</f>
        <v/>
      </c>
      <c r="O162" s="62" t="str" cm="1">
        <f t="array" ref="O162">Common_InputFunctions.Utility_DisplayArrayInTable(Fertiliser_SourceData.Fertiliser_Products_Data3(), FertiliserProducts[[#Headers],[Company]],61)</f>
        <v/>
      </c>
      <c r="P162" s="62" t="str" cm="1">
        <f t="array" ref="P162">Common_InputFunctions.Utility_DisplayArrayInTable(Fertiliser_SourceData.Fertiliser_Products_Data3(), FertiliserProducts[[#Headers],[Company]],61)</f>
        <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Crop Nutrition Solutions (Yara Australia)</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Yara Liquids N-CAL 35+6Ca</v>
      </c>
      <c r="E163" s="62" t="str" cm="1">
        <f t="array" ref="E163">Common_InputFunctions.Utility_DisplayArrayInTable(Fertiliser_SourceData.Fertiliser_Products_Data3(), FertiliserProducts[[#Headers],[Company]],61)</f>
        <v/>
      </c>
      <c r="F163" s="62" t="str" cm="1">
        <f t="array" ref="F163">Common_InputFunctions.Utility_DisplayArrayInTable(Fertiliser_SourceData.Fertiliser_Products_Data3(), FertiliserProducts[[#Headers],[Company]],61)</f>
        <v/>
      </c>
      <c r="G163" s="62" t="str" cm="1">
        <f t="array" ref="G163">Common_InputFunctions.Utility_DisplayArrayInTable(Fertiliser_SourceData.Fertiliser_Products_Data3(), FertiliserProducts[[#Headers],[Company]],61)</f>
        <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t="str" cm="1">
        <f t="array" ref="K163">Common_InputFunctions.Utility_DisplayArrayInTable(Fertiliser_SourceData.Fertiliser_Products_Data3(), FertiliserProducts[[#Headers],[Company]],61)</f>
        <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
      </c>
      <c r="P163" s="62" t="str" cm="1">
        <f t="array" ref="P163">Common_InputFunctions.Utility_DisplayArrayInTable(Fertiliser_SourceData.Fertiliser_Products_Data3(), FertiliserProducts[[#Headers],[Company]],61)</f>
        <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Crop Nutrition Solutions (Yara Australia)</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Yara Liquids N-FOL 24</v>
      </c>
      <c r="E164" s="62" t="str" cm="1">
        <f t="array" ref="E164">Common_InputFunctions.Utility_DisplayArrayInTable(Fertiliser_SourceData.Fertiliser_Products_Data3(), FertiliserProducts[[#Headers],[Company]],61)</f>
        <v/>
      </c>
      <c r="F164" s="62" t="str" cm="1">
        <f t="array" ref="F164">Common_InputFunctions.Utility_DisplayArrayInTable(Fertiliser_SourceData.Fertiliser_Products_Data3(), FertiliserProducts[[#Headers],[Company]],61)</f>
        <v/>
      </c>
      <c r="G164" s="62" t="str" cm="1">
        <f t="array" ref="G164">Common_InputFunctions.Utility_DisplayArrayInTable(Fertiliser_SourceData.Fertiliser_Products_Data3(), FertiliserProducts[[#Headers],[Company]],61)</f>
        <v/>
      </c>
      <c r="H164" s="62" t="str" cm="1">
        <f t="array" ref="H164">Common_InputFunctions.Utility_DisplayArrayInTable(Fertiliser_SourceData.Fertiliser_Products_Data3(), FertiliserProducts[[#Headers],[Company]],61)</f>
        <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t="str" cm="1">
        <f t="array" ref="K164">Common_InputFunctions.Utility_DisplayArrayInTable(Fertiliser_SourceData.Fertiliser_Products_Data3(), FertiliserProducts[[#Headers],[Company]],61)</f>
        <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
      </c>
      <c r="P164" s="62" t="str" cm="1">
        <f t="array" ref="P164">Common_InputFunctions.Utility_DisplayArrayInTable(Fertiliser_SourceData.Fertiliser_Products_Data3(), FertiliserProducts[[#Headers],[Company]],61)</f>
        <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Crop Nutrition Solutions (Yara Australia)</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Yara Liquids N-FOL 24+TE</v>
      </c>
      <c r="E165" s="62" t="str" cm="1">
        <f t="array" ref="E165">Common_InputFunctions.Utility_DisplayArrayInTable(Fertiliser_SourceData.Fertiliser_Products_Data3(), FertiliserProducts[[#Headers],[Company]],61)</f>
        <v/>
      </c>
      <c r="F165" s="62" t="str" cm="1">
        <f t="array" ref="F165">Common_InputFunctions.Utility_DisplayArrayInTable(Fertiliser_SourceData.Fertiliser_Products_Data3(), FertiliserProducts[[#Headers],[Company]],61)</f>
        <v/>
      </c>
      <c r="G165" s="62" t="str" cm="1">
        <f t="array" ref="G165">Common_InputFunctions.Utility_DisplayArrayInTable(Fertiliser_SourceData.Fertiliser_Products_Data3(), FertiliserProducts[[#Headers],[Company]],61)</f>
        <v/>
      </c>
      <c r="H165" s="62" t="str" cm="1">
        <f t="array" ref="H165">Common_InputFunctions.Utility_DisplayArrayInTable(Fertiliser_SourceData.Fertiliser_Products_Data3(), FertiliserProducts[[#Headers],[Company]],61)</f>
        <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t="str" cm="1">
        <f t="array" ref="K165">Common_InputFunctions.Utility_DisplayArrayInTable(Fertiliser_SourceData.Fertiliser_Products_Data3(), FertiliserProducts[[#Headers],[Company]],61)</f>
        <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
      </c>
      <c r="P165" s="62" t="str" cm="1">
        <f t="array" ref="P165">Common_InputFunctions.Utility_DisplayArrayInTable(Fertiliser_SourceData.Fertiliser_Products_Data3(), FertiliserProducts[[#Headers],[Company]],61)</f>
        <v/>
      </c>
      <c r="Q165" s="62" t="str" cm="1">
        <f t="array" ref="Q165">Common_InputFunctions.Utility_DisplayArrayInTable(Fertiliser_SourceData.Fertiliser_Products_Data3(), FertiliserProducts[[#Headers],[Company]],61)</f>
        <v/>
      </c>
      <c r="R165" s="62" t="str" cm="1">
        <f t="array" ref="R165">Common_InputFunctions.Utility_DisplayArrayInTable(Fertiliser_SourceData.Fertiliser_Products_Data3(), FertiliserProducts[[#Headers],[Company]],61)</f>
        <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Crop Nutrition Solutions (Yara Australia)</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Yara Liquids P-FOL Zinc</v>
      </c>
      <c r="E166" s="62" t="str" cm="1">
        <f t="array" ref="E166">Common_InputFunctions.Utility_DisplayArrayInTable(Fertiliser_SourceData.Fertiliser_Products_Data3(), FertiliserProducts[[#Headers],[Company]],61)</f>
        <v/>
      </c>
      <c r="F166" s="62" t="str" cm="1">
        <f t="array" ref="F166">Common_InputFunctions.Utility_DisplayArrayInTable(Fertiliser_SourceData.Fertiliser_Products_Data3(), FertiliserProducts[[#Headers],[Company]],61)</f>
        <v/>
      </c>
      <c r="G166" s="62" t="str" cm="1">
        <f t="array" ref="G166">Common_InputFunctions.Utility_DisplayArrayInTable(Fertiliser_SourceData.Fertiliser_Products_Data3(), FertiliserProducts[[#Headers],[Company]],61)</f>
        <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t="str" cm="1">
        <f t="array" ref="M166">Common_InputFunctions.Utility_DisplayArrayInTable(Fertiliser_SourceData.Fertiliser_Products_Data3(), FertiliserProducts[[#Headers],[Company]],61)</f>
        <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
      </c>
      <c r="P166" s="62" t="str" cm="1">
        <f t="array" ref="P166">Common_InputFunctions.Utility_DisplayArrayInTable(Fertiliser_SourceData.Fertiliser_Products_Data3(), FertiliserProducts[[#Headers],[Company]],61)</f>
        <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Crop Nutrition Solutions (Yara Australia)</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Yara Liquids SULSA 11-0-0+12S</v>
      </c>
      <c r="E167" s="62" t="str" cm="1">
        <f t="array" ref="E167">Common_InputFunctions.Utility_DisplayArrayInTable(Fertiliser_SourceData.Fertiliser_Products_Data3(), FertiliserProducts[[#Headers],[Company]],61)</f>
        <v/>
      </c>
      <c r="F167" s="62" t="str" cm="1">
        <f t="array" ref="F167">Common_InputFunctions.Utility_DisplayArrayInTable(Fertiliser_SourceData.Fertiliser_Products_Data3(), FertiliserProducts[[#Headers],[Company]],61)</f>
        <v/>
      </c>
      <c r="G167" s="62" t="str" cm="1">
        <f t="array" ref="G167">Common_InputFunctions.Utility_DisplayArrayInTable(Fertiliser_SourceData.Fertiliser_Products_Data3(), FertiliserProducts[[#Headers],[Company]],61)</f>
        <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t="str" cm="1">
        <f t="array" ref="K167">Common_InputFunctions.Utility_DisplayArrayInTable(Fertiliser_SourceData.Fertiliser_Products_Data3(), FertiliserProducts[[#Headers],[Company]],61)</f>
        <v/>
      </c>
      <c r="L167" s="62" t="str" cm="1">
        <f t="array" ref="L167">Common_InputFunctions.Utility_DisplayArrayInTable(Fertiliser_SourceData.Fertiliser_Products_Data3(), FertiliserProducts[[#Headers],[Company]],61)</f>
        <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
      </c>
      <c r="P167" s="62" t="str" cm="1">
        <f t="array" ref="P167">Common_InputFunctions.Utility_DisplayArrayInTable(Fertiliser_SourceData.Fertiliser_Products_Data3(), FertiliserProducts[[#Headers],[Company]],61)</f>
        <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Crop Nutrition Solutions (Yara Australia)</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Yara Liquids SULSA 24-3-0+6S</v>
      </c>
      <c r="E168" s="62" t="str" cm="1">
        <f t="array" ref="E168">Common_InputFunctions.Utility_DisplayArrayInTable(Fertiliser_SourceData.Fertiliser_Products_Data3(), FertiliserProducts[[#Headers],[Company]],61)</f>
        <v/>
      </c>
      <c r="F168" s="62" t="str" cm="1">
        <f t="array" ref="F168">Common_InputFunctions.Utility_DisplayArrayInTable(Fertiliser_SourceData.Fertiliser_Products_Data3(), FertiliserProducts[[#Headers],[Company]],61)</f>
        <v/>
      </c>
      <c r="G168" s="62" t="str" cm="1">
        <f t="array" ref="G168">Common_InputFunctions.Utility_DisplayArrayInTable(Fertiliser_SourceData.Fertiliser_Products_Data3(), FertiliserProducts[[#Headers],[Company]],61)</f>
        <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t="str" cm="1">
        <f t="array" ref="K168">Common_InputFunctions.Utility_DisplayArrayInTable(Fertiliser_SourceData.Fertiliser_Products_Data3(), FertiliserProducts[[#Headers],[Company]],61)</f>
        <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t="str" cm="1">
        <f t="array" ref="N168">Common_InputFunctions.Utility_DisplayArrayInTable(Fertiliser_SourceData.Fertiliser_Products_Data3(), FertiliserProducts[[#Headers],[Company]],61)</f>
        <v/>
      </c>
      <c r="O168" s="62" t="str" cm="1">
        <f t="array" ref="O168">Common_InputFunctions.Utility_DisplayArrayInTable(Fertiliser_SourceData.Fertiliser_Products_Data3(), FertiliserProducts[[#Headers],[Company]],61)</f>
        <v/>
      </c>
      <c r="P168" s="62" t="str" cm="1">
        <f t="array" ref="P168">Common_InputFunctions.Utility_DisplayArrayInTable(Fertiliser_SourceData.Fertiliser_Products_Data3(), FertiliserProducts[[#Headers],[Company]],61)</f>
        <v/>
      </c>
      <c r="Q168" s="62" t="str" cm="1">
        <f t="array" ref="Q168">Common_InputFunctions.Utility_DisplayArrayInTable(Fertiliser_SourceData.Fertiliser_Products_Data3(), FertiliserProducts[[#Headers],[Company]],61)</f>
        <v/>
      </c>
      <c r="R168" s="62" t="str" cm="1">
        <f t="array" ref="R168">Common_InputFunctions.Utility_DisplayArrayInTable(Fertiliser_SourceData.Fertiliser_Products_Data3(), FertiliserProducts[[#Headers],[Company]],61)</f>
        <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Crop Nutrition Solutions (Yara Australia)</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Yara Liquids SULSA 27-0-0+7S</v>
      </c>
      <c r="E169" s="62" t="str" cm="1">
        <f t="array" ref="E169">Common_InputFunctions.Utility_DisplayArrayInTable(Fertiliser_SourceData.Fertiliser_Products_Data3(), FertiliserProducts[[#Headers],[Company]],61)</f>
        <v/>
      </c>
      <c r="F169" s="62" t="str" cm="1">
        <f t="array" ref="F169">Common_InputFunctions.Utility_DisplayArrayInTable(Fertiliser_SourceData.Fertiliser_Products_Data3(), FertiliserProducts[[#Headers],[Company]],61)</f>
        <v/>
      </c>
      <c r="G169" s="62" t="str" cm="1">
        <f t="array" ref="G169">Common_InputFunctions.Utility_DisplayArrayInTable(Fertiliser_SourceData.Fertiliser_Products_Data3(), FertiliserProducts[[#Headers],[Company]],61)</f>
        <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t="str" cm="1">
        <f t="array" ref="K169">Common_InputFunctions.Utility_DisplayArrayInTable(Fertiliser_SourceData.Fertiliser_Products_Data3(), FertiliserProducts[[#Headers],[Company]],61)</f>
        <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t="str" cm="1">
        <f t="array" ref="N169">Common_InputFunctions.Utility_DisplayArrayInTable(Fertiliser_SourceData.Fertiliser_Products_Data3(), FertiliserProducts[[#Headers],[Company]],61)</f>
        <v/>
      </c>
      <c r="O169" s="62" t="str" cm="1">
        <f t="array" ref="O169">Common_InputFunctions.Utility_DisplayArrayInTable(Fertiliser_SourceData.Fertiliser_Products_Data3(), FertiliserProducts[[#Headers],[Company]],61)</f>
        <v/>
      </c>
      <c r="P169" s="62" t="str" cm="1">
        <f t="array" ref="P169">Common_InputFunctions.Utility_DisplayArrayInTable(Fertiliser_SourceData.Fertiliser_Products_Data3(), FertiliserProducts[[#Headers],[Company]],61)</f>
        <v/>
      </c>
      <c r="Q169" s="62" t="str" cm="1">
        <f t="array" ref="Q169">Common_InputFunctions.Utility_DisplayArrayInTable(Fertiliser_SourceData.Fertiliser_Products_Data3(), FertiliserProducts[[#Headers],[Company]],61)</f>
        <v/>
      </c>
      <c r="R169" s="62" t="str" cm="1">
        <f t="array" ref="R169">Common_InputFunctions.Utility_DisplayArrayInTable(Fertiliser_SourceData.Fertiliser_Products_Data3(), FertiliserProducts[[#Headers],[Company]],61)</f>
        <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Crop Nutrition Solutions (Yara Australia)</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Yara Liquids SULSA 36-0-0+3S</v>
      </c>
      <c r="E170" s="62" t="str" cm="1">
        <f t="array" ref="E170">Common_InputFunctions.Utility_DisplayArrayInTable(Fertiliser_SourceData.Fertiliser_Products_Data3(), FertiliserProducts[[#Headers],[Company]],61)</f>
        <v/>
      </c>
      <c r="F170" s="62" t="str" cm="1">
        <f t="array" ref="F170">Common_InputFunctions.Utility_DisplayArrayInTable(Fertiliser_SourceData.Fertiliser_Products_Data3(), FertiliserProducts[[#Headers],[Company]],61)</f>
        <v/>
      </c>
      <c r="G170" s="62" t="str" cm="1">
        <f t="array" ref="G170">Common_InputFunctions.Utility_DisplayArrayInTable(Fertiliser_SourceData.Fertiliser_Products_Data3(), FertiliserProducts[[#Headers],[Company]],61)</f>
        <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t="str" cm="1">
        <f t="array" ref="K170">Common_InputFunctions.Utility_DisplayArrayInTable(Fertiliser_SourceData.Fertiliser_Products_Data3(), FertiliserProducts[[#Headers],[Company]],61)</f>
        <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
      </c>
      <c r="P170" s="62" t="str" cm="1">
        <f t="array" ref="P170">Common_InputFunctions.Utility_DisplayArrayInTable(Fertiliser_SourceData.Fertiliser_Products_Data3(), FertiliserProducts[[#Headers],[Company]],61)</f>
        <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Crop Nutrition Solutions (Yara Australia)</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YaraLiva CALCINIT B</v>
      </c>
      <c r="E171" s="62" t="str" cm="1">
        <f t="array" ref="E171">Common_InputFunctions.Utility_DisplayArrayInTable(Fertiliser_SourceData.Fertiliser_Products_Data3(), FertiliserProducts[[#Headers],[Company]],61)</f>
        <v/>
      </c>
      <c r="F171" s="62" t="str" cm="1">
        <f t="array" ref="F171">Common_InputFunctions.Utility_DisplayArrayInTable(Fertiliser_SourceData.Fertiliser_Products_Data3(), FertiliserProducts[[#Headers],[Company]],61)</f>
        <v/>
      </c>
      <c r="G171" s="62" t="str" cm="1">
        <f t="array" ref="G171">Common_InputFunctions.Utility_DisplayArrayInTable(Fertiliser_SourceData.Fertiliser_Products_Data3(), FertiliserProducts[[#Headers],[Company]],61)</f>
        <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t="str" cm="1">
        <f t="array" ref="K171">Common_InputFunctions.Utility_DisplayArrayInTable(Fertiliser_SourceData.Fertiliser_Products_Data3(), FertiliserProducts[[#Headers],[Company]],61)</f>
        <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t="str" cm="1">
        <f t="array" ref="N171">Common_InputFunctions.Utility_DisplayArrayInTable(Fertiliser_SourceData.Fertiliser_Products_Data3(), FertiliserProducts[[#Headers],[Company]],61)</f>
        <v/>
      </c>
      <c r="O171" s="62" t="str" cm="1">
        <f t="array" ref="O171">Common_InputFunctions.Utility_DisplayArrayInTable(Fertiliser_SourceData.Fertiliser_Products_Data3(), FertiliserProducts[[#Headers],[Company]],61)</f>
        <v/>
      </c>
      <c r="P171" s="62" t="str" cm="1">
        <f t="array" ref="P171">Common_InputFunctions.Utility_DisplayArrayInTable(Fertiliser_SourceData.Fertiliser_Products_Data3(), FertiliserProducts[[#Headers],[Company]],61)</f>
        <v/>
      </c>
      <c r="Q171" s="62" t="str" cm="1">
        <f t="array" ref="Q171">Common_InputFunctions.Utility_DisplayArrayInTable(Fertiliser_SourceData.Fertiliser_Products_Data3(), FertiliserProducts[[#Headers],[Company]],61)</f>
        <v/>
      </c>
      <c r="R171" s="62" t="str" cm="1">
        <f t="array" ref="R171">Common_InputFunctions.Utility_DisplayArrayInTable(Fertiliser_SourceData.Fertiliser_Products_Data3(), FertiliserProducts[[#Headers],[Company]],61)</f>
        <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Crop Nutrition Solutions (Yara Australia)</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YaraLiva NITRABOR</v>
      </c>
      <c r="E172" s="62" t="str" cm="1">
        <f t="array" ref="E172">Common_InputFunctions.Utility_DisplayArrayInTable(Fertiliser_SourceData.Fertiliser_Products_Data3(), FertiliserProducts[[#Headers],[Company]],61)</f>
        <v/>
      </c>
      <c r="F172" s="62" t="str" cm="1">
        <f t="array" ref="F172">Common_InputFunctions.Utility_DisplayArrayInTable(Fertiliser_SourceData.Fertiliser_Products_Data3(), FertiliserProducts[[#Headers],[Company]],61)</f>
        <v/>
      </c>
      <c r="G172" s="62" t="str" cm="1">
        <f t="array" ref="G172">Common_InputFunctions.Utility_DisplayArrayInTable(Fertiliser_SourceData.Fertiliser_Products_Data3(), FertiliserProducts[[#Headers],[Company]],61)</f>
        <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t="str" cm="1">
        <f t="array" ref="K172">Common_InputFunctions.Utility_DisplayArrayInTable(Fertiliser_SourceData.Fertiliser_Products_Data3(), FertiliserProducts[[#Headers],[Company]],61)</f>
        <v/>
      </c>
      <c r="L172" s="62" t="str" cm="1">
        <f t="array" ref="L172">Common_InputFunctions.Utility_DisplayArrayInTable(Fertiliser_SourceData.Fertiliser_Products_Data3(), FertiliserProducts[[#Headers],[Company]],61)</f>
        <v/>
      </c>
      <c r="M172" s="62" t="str" cm="1">
        <f t="array" ref="M172">Common_InputFunctions.Utility_DisplayArrayInTable(Fertiliser_SourceData.Fertiliser_Products_Data3(), FertiliserProducts[[#Headers],[Company]],61)</f>
        <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
      </c>
      <c r="P172" s="62" t="str" cm="1">
        <f t="array" ref="P172">Common_InputFunctions.Utility_DisplayArrayInTable(Fertiliser_SourceData.Fertiliser_Products_Data3(), FertiliserProducts[[#Headers],[Company]],61)</f>
        <v/>
      </c>
      <c r="Q172" s="62" t="str" cm="1">
        <f t="array" ref="Q172">Common_InputFunctions.Utility_DisplayArrayInTable(Fertiliser_SourceData.Fertiliser_Products_Data3(), FertiliserProducts[[#Headers],[Company]],61)</f>
        <v/>
      </c>
      <c r="R172" s="62" t="str" cm="1">
        <f t="array" ref="R172">Common_InputFunctions.Utility_DisplayArrayInTable(Fertiliser_SourceData.Fertiliser_Products_Data3(), FertiliserProducts[[#Headers],[Company]],61)</f>
        <v/>
      </c>
      <c r="S172" s="62" t="str" cm="1">
        <f t="array" ref="S172">Common_InputFunctions.Utility_DisplayArrayInTable(Fertiliser_SourceData.Fertiliser_Products_Data3(), FertiliserProducts[[#Headers],[Company]],61)</f>
        <v/>
      </c>
      <c r="T172" s="62" t="str" cm="1">
        <f t="array" ref="T172">Common_InputFunctions.Utility_DisplayArrayInTable(Fertiliser_SourceData.Fertiliser_Products_Data3(), FertiliserProducts[[#Headers],[Company]],61)</f>
        <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YaraLiva NITRABOR | Yara Australia</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YaraLiva TROPICOTE</v>
      </c>
      <c r="E173" s="62" t="str" cm="1">
        <f t="array" ref="E173">Common_InputFunctions.Utility_DisplayArrayInTable(Fertiliser_SourceData.Fertiliser_Products_Data3(), FertiliserProducts[[#Headers],[Company]],61)</f>
        <v/>
      </c>
      <c r="F173" s="62" t="str" cm="1">
        <f t="array" ref="F173">Common_InputFunctions.Utility_DisplayArrayInTable(Fertiliser_SourceData.Fertiliser_Products_Data3(), FertiliserProducts[[#Headers],[Company]],61)</f>
        <v/>
      </c>
      <c r="G173" s="62" t="str" cm="1">
        <f t="array" ref="G173">Common_InputFunctions.Utility_DisplayArrayInTable(Fertiliser_SourceData.Fertiliser_Products_Data3(), FertiliserProducts[[#Headers],[Company]],61)</f>
        <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t="str" cm="1">
        <f t="array" ref="K173">Common_InputFunctions.Utility_DisplayArrayInTable(Fertiliser_SourceData.Fertiliser_Products_Data3(), FertiliserProducts[[#Headers],[Company]],61)</f>
        <v/>
      </c>
      <c r="L173" s="62" t="str" cm="1">
        <f t="array" ref="L173">Common_InputFunctions.Utility_DisplayArrayInTable(Fertiliser_SourceData.Fertiliser_Products_Data3(), FertiliserProducts[[#Headers],[Company]],61)</f>
        <v/>
      </c>
      <c r="M173" s="62" t="str" cm="1">
        <f t="array" ref="M173">Common_InputFunctions.Utility_DisplayArrayInTable(Fertiliser_SourceData.Fertiliser_Products_Data3(), FertiliserProducts[[#Headers],[Company]],61)</f>
        <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
      </c>
      <c r="P173" s="62" t="str" cm="1">
        <f t="array" ref="P173">Common_InputFunctions.Utility_DisplayArrayInTable(Fertiliser_SourceData.Fertiliser_Products_Data3(), FertiliserProducts[[#Headers],[Company]],61)</f>
        <v/>
      </c>
      <c r="Q173" s="62" t="str" cm="1">
        <f t="array" ref="Q173">Common_InputFunctions.Utility_DisplayArrayInTable(Fertiliser_SourceData.Fertiliser_Products_Data3(), FertiliserProducts[[#Headers],[Company]],61)</f>
        <v/>
      </c>
      <c r="R173" s="62" t="str" cm="1">
        <f t="array" ref="R173">Common_InputFunctions.Utility_DisplayArrayInTable(Fertiliser_SourceData.Fertiliser_Products_Data3(), FertiliserProducts[[#Headers],[Company]],61)</f>
        <v/>
      </c>
      <c r="S173" s="62" t="str" cm="1">
        <f t="array" ref="S173">Common_InputFunctions.Utility_DisplayArrayInTable(Fertiliser_SourceData.Fertiliser_Products_Data3(), FertiliserProducts[[#Headers],[Company]],61)</f>
        <v/>
      </c>
      <c r="T173" s="62" t="str" cm="1">
        <f t="array" ref="T173">Common_InputFunctions.Utility_DisplayArrayInTable(Fertiliser_SourceData.Fertiliser_Products_Data3(), FertiliserProducts[[#Headers],[Company]],61)</f>
        <v/>
      </c>
      <c r="U173" s="62" t="str" cm="1">
        <f t="array" ref="U173">Common_InputFunctions.Utility_DisplayArrayInTable(Fertiliser_SourceData.Fertiliser_Products_Data3(), FertiliserProducts[[#Headers],[Company]],61)</f>
        <v/>
      </c>
      <c r="V173" s="62" t="str" cm="1">
        <f t="array" ref="V173">Common_InputFunctions.Utility_DisplayArrayInTable(Fertiliser_SourceData.Fertiliser_Products_Data3(), FertiliserProducts[[#Headers],[Company]],61)</f>
        <v/>
      </c>
      <c r="W173" s="62" t="str" cm="1">
        <f t="array" ref="W173">Common_InputFunctions.Utility_DisplayArrayInTable(Fertiliser_SourceData.Fertiliser_Products_Data3(), FertiliserProducts[[#Headers],[Company]],61)</f>
        <v>Crop Nutrition Solutions (Yara Australia)</v>
      </c>
      <c r="X173" s="62" t="str" cm="1">
        <f t="array" ref="X173">Common_InputFunctions.Utility_DisplayArrayInTable(Fertiliser_SourceData.Fertiliser_Products_Data3(), FertiliserProducts[[#Headers],[Company]],61)</f>
        <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YaraMila Complex</v>
      </c>
      <c r="E174" s="62" t="str" cm="1">
        <f t="array" ref="E174">Common_InputFunctions.Utility_DisplayArrayInTable(Fertiliser_SourceData.Fertiliser_Products_Data3(), FertiliserProducts[[#Headers],[Company]],61)</f>
        <v/>
      </c>
      <c r="F174" s="62" t="str" cm="1">
        <f t="array" ref="F174">Common_InputFunctions.Utility_DisplayArrayInTable(Fertiliser_SourceData.Fertiliser_Products_Data3(), FertiliserProducts[[#Headers],[Company]],61)</f>
        <v/>
      </c>
      <c r="G174" s="62" t="str" cm="1">
        <f t="array" ref="G174">Common_InputFunctions.Utility_DisplayArrayInTable(Fertiliser_SourceData.Fertiliser_Products_Data3(), FertiliserProducts[[#Headers],[Company]],61)</f>
        <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t="str" cm="1">
        <f t="array" ref="K174">Common_InputFunctions.Utility_DisplayArrayInTable(Fertiliser_SourceData.Fertiliser_Products_Data3(), FertiliserProducts[[#Headers],[Company]],61)</f>
        <v/>
      </c>
      <c r="L174" s="62" t="str" cm="1">
        <f t="array" ref="L174">Common_InputFunctions.Utility_DisplayArrayInTable(Fertiliser_SourceData.Fertiliser_Products_Data3(), FertiliserProducts[[#Headers],[Company]],61)</f>
        <v/>
      </c>
      <c r="M174" s="62" t="str" cm="1">
        <f t="array" ref="M174">Common_InputFunctions.Utility_DisplayArrayInTable(Fertiliser_SourceData.Fertiliser_Products_Data3(), FertiliserProducts[[#Headers],[Company]],61)</f>
        <v/>
      </c>
      <c r="N174" s="62" t="str" cm="1">
        <f t="array" ref="N174">Common_InputFunctions.Utility_DisplayArrayInTable(Fertiliser_SourceData.Fertiliser_Products_Data3(), FertiliserProducts[[#Headers],[Company]],61)</f>
        <v/>
      </c>
      <c r="O174" s="62" t="str" cm="1">
        <f t="array" ref="O174">Common_InputFunctions.Utility_DisplayArrayInTable(Fertiliser_SourceData.Fertiliser_Products_Data3(), FertiliserProducts[[#Headers],[Company]],61)</f>
        <v/>
      </c>
      <c r="P174" s="62" t="str" cm="1">
        <f t="array" ref="P174">Common_InputFunctions.Utility_DisplayArrayInTable(Fertiliser_SourceData.Fertiliser_Products_Data3(), FertiliserProducts[[#Headers],[Company]],61)</f>
        <v/>
      </c>
      <c r="Q174" s="62" t="str" cm="1">
        <f t="array" ref="Q174">Common_InputFunctions.Utility_DisplayArrayInTable(Fertiliser_SourceData.Fertiliser_Products_Data3(), FertiliserProducts[[#Headers],[Company]],61)</f>
        <v/>
      </c>
      <c r="R174" s="62" t="str" cm="1">
        <f t="array" ref="R174">Common_InputFunctions.Utility_DisplayArrayInTable(Fertiliser_SourceData.Fertiliser_Products_Data3(), FertiliserProducts[[#Headers],[Company]],61)</f>
        <v/>
      </c>
      <c r="S174" s="62" t="str" cm="1">
        <f t="array" ref="S174">Common_InputFunctions.Utility_DisplayArrayInTable(Fertiliser_SourceData.Fertiliser_Products_Data3(), FertiliserProducts[[#Headers],[Company]],61)</f>
        <v/>
      </c>
      <c r="T174" s="62" t="str" cm="1">
        <f t="array" ref="T174">Common_InputFunctions.Utility_DisplayArrayInTable(Fertiliser_SourceData.Fertiliser_Products_Data3(), FertiliserProducts[[#Headers],[Company]],61)</f>
        <v/>
      </c>
      <c r="U174" s="62" t="str" cm="1">
        <f t="array" ref="U174">Common_InputFunctions.Utility_DisplayArrayInTable(Fertiliser_SourceData.Fertiliser_Products_Data3(), FertiliserProducts[[#Headers],[Company]],61)</f>
        <v/>
      </c>
      <c r="V174" s="62" t="str" cm="1">
        <f t="array" ref="V174">Common_InputFunctions.Utility_DisplayArrayInTable(Fertiliser_SourceData.Fertiliser_Products_Data3(), FertiliserProducts[[#Headers],[Company]],61)</f>
        <v/>
      </c>
      <c r="W174" s="62" t="str" cm="1">
        <f t="array" ref="W174">Common_InputFunctions.Utility_DisplayArrayInTable(Fertiliser_SourceData.Fertiliser_Products_Data3(), FertiliserProducts[[#Headers],[Company]],61)</f>
        <v>Crop Nutrition Solutions (Yara Australia)</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YaraMila Complex 17-5-10(4)</v>
      </c>
      <c r="E175" s="62" t="str" cm="1">
        <f t="array" ref="E175">Common_InputFunctions.Utility_DisplayArrayInTable(Fertiliser_SourceData.Fertiliser_Products_Data3(), FertiliserProducts[[#Headers],[Company]],61)</f>
        <v/>
      </c>
      <c r="F175" s="62" t="str" cm="1">
        <f t="array" ref="F175">Common_InputFunctions.Utility_DisplayArrayInTable(Fertiliser_SourceData.Fertiliser_Products_Data3(), FertiliserProducts[[#Headers],[Company]],61)</f>
        <v/>
      </c>
      <c r="G175" s="62" t="str" cm="1">
        <f t="array" ref="G175">Common_InputFunctions.Utility_DisplayArrayInTable(Fertiliser_SourceData.Fertiliser_Products_Data3(), FertiliserProducts[[#Headers],[Company]],61)</f>
        <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t="str" cm="1">
        <f t="array" ref="K175">Common_InputFunctions.Utility_DisplayArrayInTable(Fertiliser_SourceData.Fertiliser_Products_Data3(), FertiliserProducts[[#Headers],[Company]],61)</f>
        <v/>
      </c>
      <c r="L175" s="62" t="str" cm="1">
        <f t="array" ref="L175">Common_InputFunctions.Utility_DisplayArrayInTable(Fertiliser_SourceData.Fertiliser_Products_Data3(), FertiliserProducts[[#Headers],[Company]],61)</f>
        <v/>
      </c>
      <c r="M175" s="62" t="str" cm="1">
        <f t="array" ref="M175">Common_InputFunctions.Utility_DisplayArrayInTable(Fertiliser_SourceData.Fertiliser_Products_Data3(), FertiliserProducts[[#Headers],[Company]],61)</f>
        <v/>
      </c>
      <c r="N175" s="62" t="str" cm="1">
        <f t="array" ref="N175">Common_InputFunctions.Utility_DisplayArrayInTable(Fertiliser_SourceData.Fertiliser_Products_Data3(), FertiliserProducts[[#Headers],[Company]],61)</f>
        <v/>
      </c>
      <c r="O175" s="62" t="str" cm="1">
        <f t="array" ref="O175">Common_InputFunctions.Utility_DisplayArrayInTable(Fertiliser_SourceData.Fertiliser_Products_Data3(), FertiliserProducts[[#Headers],[Company]],61)</f>
        <v/>
      </c>
      <c r="P175" s="62" t="str" cm="1">
        <f t="array" ref="P175">Common_InputFunctions.Utility_DisplayArrayInTable(Fertiliser_SourceData.Fertiliser_Products_Data3(), FertiliserProducts[[#Headers],[Company]],61)</f>
        <v/>
      </c>
      <c r="Q175" s="62" t="str" cm="1">
        <f t="array" ref="Q175">Common_InputFunctions.Utility_DisplayArrayInTable(Fertiliser_SourceData.Fertiliser_Products_Data3(), FertiliserProducts[[#Headers],[Company]],61)</f>
        <v/>
      </c>
      <c r="R175" s="62" t="str" cm="1">
        <f t="array" ref="R175">Common_InputFunctions.Utility_DisplayArrayInTable(Fertiliser_SourceData.Fertiliser_Products_Data3(), FertiliserProducts[[#Headers],[Company]],61)</f>
        <v/>
      </c>
      <c r="S175" s="62" t="str" cm="1">
        <f t="array" ref="S175">Common_InputFunctions.Utility_DisplayArrayInTable(Fertiliser_SourceData.Fertiliser_Products_Data3(), FertiliserProducts[[#Headers],[Company]],61)</f>
        <v/>
      </c>
      <c r="T175" s="62" t="str" cm="1">
        <f t="array" ref="T175">Common_InputFunctions.Utility_DisplayArrayInTable(Fertiliser_SourceData.Fertiliser_Products_Data3(), FertiliserProducts[[#Headers],[Company]],61)</f>
        <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Crop Nutrition Solutions (Yara Australia)</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YaraMila Complex 21-7-3(4)</v>
      </c>
      <c r="E176" s="62" t="str" cm="1">
        <f t="array" ref="E176">Common_InputFunctions.Utility_DisplayArrayInTable(Fertiliser_SourceData.Fertiliser_Products_Data3(), FertiliserProducts[[#Headers],[Company]],61)</f>
        <v/>
      </c>
      <c r="F176" s="62" t="str" cm="1">
        <f t="array" ref="F176">Common_InputFunctions.Utility_DisplayArrayInTable(Fertiliser_SourceData.Fertiliser_Products_Data3(), FertiliserProducts[[#Headers],[Company]],61)</f>
        <v/>
      </c>
      <c r="G176" s="62" t="str" cm="1">
        <f t="array" ref="G176">Common_InputFunctions.Utility_DisplayArrayInTable(Fertiliser_SourceData.Fertiliser_Products_Data3(), FertiliserProducts[[#Headers],[Company]],61)</f>
        <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t="str" cm="1">
        <f t="array" ref="K176">Common_InputFunctions.Utility_DisplayArrayInTable(Fertiliser_SourceData.Fertiliser_Products_Data3(), FertiliserProducts[[#Headers],[Company]],61)</f>
        <v/>
      </c>
      <c r="L176" s="62" t="str" cm="1">
        <f t="array" ref="L176">Common_InputFunctions.Utility_DisplayArrayInTable(Fertiliser_SourceData.Fertiliser_Products_Data3(), FertiliserProducts[[#Headers],[Company]],61)</f>
        <v/>
      </c>
      <c r="M176" s="62" t="str" cm="1">
        <f t="array" ref="M176">Common_InputFunctions.Utility_DisplayArrayInTable(Fertiliser_SourceData.Fertiliser_Products_Data3(), FertiliserProducts[[#Headers],[Company]],61)</f>
        <v/>
      </c>
      <c r="N176" s="62" t="str" cm="1">
        <f t="array" ref="N176">Common_InputFunctions.Utility_DisplayArrayInTable(Fertiliser_SourceData.Fertiliser_Products_Data3(), FertiliserProducts[[#Headers],[Company]],61)</f>
        <v/>
      </c>
      <c r="O176" s="62" t="str" cm="1">
        <f t="array" ref="O176">Common_InputFunctions.Utility_DisplayArrayInTable(Fertiliser_SourceData.Fertiliser_Products_Data3(), FertiliserProducts[[#Headers],[Company]],61)</f>
        <v/>
      </c>
      <c r="P176" s="62" t="str" cm="1">
        <f t="array" ref="P176">Common_InputFunctions.Utility_DisplayArrayInTable(Fertiliser_SourceData.Fertiliser_Products_Data3(), FertiliserProducts[[#Headers],[Company]],61)</f>
        <v/>
      </c>
      <c r="Q176" s="62" t="str" cm="1">
        <f t="array" ref="Q176">Common_InputFunctions.Utility_DisplayArrayInTable(Fertiliser_SourceData.Fertiliser_Products_Data3(), FertiliserProducts[[#Headers],[Company]],61)</f>
        <v/>
      </c>
      <c r="R176" s="62" t="str" cm="1">
        <f t="array" ref="R176">Common_InputFunctions.Utility_DisplayArrayInTable(Fertiliser_SourceData.Fertiliser_Products_Data3(), FertiliserProducts[[#Headers],[Company]],61)</f>
        <v/>
      </c>
      <c r="S176" s="62" t="str" cm="1">
        <f t="array" ref="S176">Common_InputFunctions.Utility_DisplayArrayInTable(Fertiliser_SourceData.Fertiliser_Products_Data3(), FertiliserProducts[[#Headers],[Company]],61)</f>
        <v/>
      </c>
      <c r="T176" s="62" t="str" cm="1">
        <f t="array" ref="T176">Common_InputFunctions.Utility_DisplayArrayInTable(Fertiliser_SourceData.Fertiliser_Products_Data3(), FertiliserProducts[[#Headers],[Company]],61)</f>
        <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Crop Nutrition Solutions (Yara Australia)</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YaraMila UNIVERSAL</v>
      </c>
      <c r="E177" s="62" t="str" cm="1">
        <f t="array" ref="E177">Common_InputFunctions.Utility_DisplayArrayInTable(Fertiliser_SourceData.Fertiliser_Products_Data3(), FertiliserProducts[[#Headers],[Company]],61)</f>
        <v/>
      </c>
      <c r="F177" s="62" t="str" cm="1">
        <f t="array" ref="F177">Common_InputFunctions.Utility_DisplayArrayInTable(Fertiliser_SourceData.Fertiliser_Products_Data3(), FertiliserProducts[[#Headers],[Company]],61)</f>
        <v/>
      </c>
      <c r="G177" s="62" t="str" cm="1">
        <f t="array" ref="G177">Common_InputFunctions.Utility_DisplayArrayInTable(Fertiliser_SourceData.Fertiliser_Products_Data3(), FertiliserProducts[[#Headers],[Company]],61)</f>
        <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t="str" cm="1">
        <f t="array" ref="K177">Common_InputFunctions.Utility_DisplayArrayInTable(Fertiliser_SourceData.Fertiliser_Products_Data3(), FertiliserProducts[[#Headers],[Company]],61)</f>
        <v/>
      </c>
      <c r="L177" s="62" t="str" cm="1">
        <f t="array" ref="L177">Common_InputFunctions.Utility_DisplayArrayInTable(Fertiliser_SourceData.Fertiliser_Products_Data3(), FertiliserProducts[[#Headers],[Company]],61)</f>
        <v/>
      </c>
      <c r="M177" s="62" t="str" cm="1">
        <f t="array" ref="M177">Common_InputFunctions.Utility_DisplayArrayInTable(Fertiliser_SourceData.Fertiliser_Products_Data3(), FertiliserProducts[[#Headers],[Company]],61)</f>
        <v/>
      </c>
      <c r="N177" s="62" t="str" cm="1">
        <f t="array" ref="N177">Common_InputFunctions.Utility_DisplayArrayInTable(Fertiliser_SourceData.Fertiliser_Products_Data3(), FertiliserProducts[[#Headers],[Company]],61)</f>
        <v/>
      </c>
      <c r="O177" s="62" t="str" cm="1">
        <f t="array" ref="O177">Common_InputFunctions.Utility_DisplayArrayInTable(Fertiliser_SourceData.Fertiliser_Products_Data3(), FertiliserProducts[[#Headers],[Company]],61)</f>
        <v/>
      </c>
      <c r="P177" s="62" t="str" cm="1">
        <f t="array" ref="P177">Common_InputFunctions.Utility_DisplayArrayInTable(Fertiliser_SourceData.Fertiliser_Products_Data3(), FertiliserProducts[[#Headers],[Company]],61)</f>
        <v/>
      </c>
      <c r="Q177" s="62" t="str" cm="1">
        <f t="array" ref="Q177">Common_InputFunctions.Utility_DisplayArrayInTable(Fertiliser_SourceData.Fertiliser_Products_Data3(), FertiliserProducts[[#Headers],[Company]],61)</f>
        <v/>
      </c>
      <c r="R177" s="62" t="str" cm="1">
        <f t="array" ref="R177">Common_InputFunctions.Utility_DisplayArrayInTable(Fertiliser_SourceData.Fertiliser_Products_Data3(), FertiliserProducts[[#Headers],[Company]],61)</f>
        <v/>
      </c>
      <c r="S177" s="62" t="str" cm="1">
        <f t="array" ref="S177">Common_InputFunctions.Utility_DisplayArrayInTable(Fertiliser_SourceData.Fertiliser_Products_Data3(), FertiliserProducts[[#Headers],[Company]],61)</f>
        <v/>
      </c>
      <c r="T177" s="62" t="str" cm="1">
        <f t="array" ref="T177">Common_InputFunctions.Utility_DisplayArrayInTable(Fertiliser_SourceData.Fertiliser_Products_Data3(), FertiliserProducts[[#Headers],[Company]],61)</f>
        <v/>
      </c>
      <c r="U177" s="62" t="str" cm="1">
        <f t="array" ref="U177">Common_InputFunctions.Utility_DisplayArrayInTable(Fertiliser_SourceData.Fertiliser_Products_Data3(), FertiliserProducts[[#Headers],[Company]],61)</f>
        <v/>
      </c>
      <c r="V177" s="62" t="str" cm="1">
        <f t="array" ref="V177">Common_InputFunctions.Utility_DisplayArrayInTable(Fertiliser_SourceData.Fertiliser_Products_Data3(), FertiliserProducts[[#Headers],[Company]],61)</f>
        <v/>
      </c>
      <c r="W177" s="62" t="str" cm="1">
        <f t="array" ref="W177">Common_InputFunctions.Utility_DisplayArrayInTable(Fertiliser_SourceData.Fertiliser_Products_Data3(), FertiliserProducts[[#Headers],[Company]],61)</f>
        <v>Crop Nutrition Solutions (Yara Australia)</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YaraRega 13-2-21</v>
      </c>
      <c r="E178" s="62" t="str" cm="1">
        <f t="array" ref="E178">Common_InputFunctions.Utility_DisplayArrayInTable(Fertiliser_SourceData.Fertiliser_Products_Data3(), FertiliserProducts[[#Headers],[Company]],61)</f>
        <v/>
      </c>
      <c r="F178" s="62" t="str" cm="1">
        <f t="array" ref="F178">Common_InputFunctions.Utility_DisplayArrayInTable(Fertiliser_SourceData.Fertiliser_Products_Data3(), FertiliserProducts[[#Headers],[Company]],61)</f>
        <v/>
      </c>
      <c r="G178" s="62" t="str" cm="1">
        <f t="array" ref="G178">Common_InputFunctions.Utility_DisplayArrayInTable(Fertiliser_SourceData.Fertiliser_Products_Data3(), FertiliserProducts[[#Headers],[Company]],61)</f>
        <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t="str" cm="1">
        <f t="array" ref="K178">Common_InputFunctions.Utility_DisplayArrayInTable(Fertiliser_SourceData.Fertiliser_Products_Data3(), FertiliserProducts[[#Headers],[Company]],61)</f>
        <v/>
      </c>
      <c r="L178" s="62" t="str" cm="1">
        <f t="array" ref="L178">Common_InputFunctions.Utility_DisplayArrayInTable(Fertiliser_SourceData.Fertiliser_Products_Data3(), FertiliserProducts[[#Headers],[Company]],61)</f>
        <v/>
      </c>
      <c r="M178" s="62" t="str" cm="1">
        <f t="array" ref="M178">Common_InputFunctions.Utility_DisplayArrayInTable(Fertiliser_SourceData.Fertiliser_Products_Data3(), FertiliserProducts[[#Headers],[Company]],61)</f>
        <v/>
      </c>
      <c r="N178" s="62" t="str" cm="1">
        <f t="array" ref="N178">Common_InputFunctions.Utility_DisplayArrayInTable(Fertiliser_SourceData.Fertiliser_Products_Data3(), FertiliserProducts[[#Headers],[Company]],61)</f>
        <v/>
      </c>
      <c r="O178" s="62" t="str" cm="1">
        <f t="array" ref="O178">Common_InputFunctions.Utility_DisplayArrayInTable(Fertiliser_SourceData.Fertiliser_Products_Data3(), FertiliserProducts[[#Headers],[Company]],61)</f>
        <v/>
      </c>
      <c r="P178" s="62" t="str" cm="1">
        <f t="array" ref="P178">Common_InputFunctions.Utility_DisplayArrayInTable(Fertiliser_SourceData.Fertiliser_Products_Data3(), FertiliserProducts[[#Headers],[Company]],61)</f>
        <v/>
      </c>
      <c r="Q178" s="62" t="str" cm="1">
        <f t="array" ref="Q178">Common_InputFunctions.Utility_DisplayArrayInTable(Fertiliser_SourceData.Fertiliser_Products_Data3(), FertiliserProducts[[#Headers],[Company]],61)</f>
        <v/>
      </c>
      <c r="R178" s="62" t="str" cm="1">
        <f t="array" ref="R178">Common_InputFunctions.Utility_DisplayArrayInTable(Fertiliser_SourceData.Fertiliser_Products_Data3(), FertiliserProducts[[#Headers],[Company]],61)</f>
        <v/>
      </c>
      <c r="S178" s="62" t="str" cm="1">
        <f t="array" ref="S178">Common_InputFunctions.Utility_DisplayArrayInTable(Fertiliser_SourceData.Fertiliser_Products_Data3(), FertiliserProducts[[#Headers],[Company]],61)</f>
        <v/>
      </c>
      <c r="T178" s="62" t="str" cm="1">
        <f t="array" ref="T178">Common_InputFunctions.Utility_DisplayArrayInTable(Fertiliser_SourceData.Fertiliser_Products_Data3(), FertiliserProducts[[#Headers],[Company]],61)</f>
        <v/>
      </c>
      <c r="U178" s="62" t="str" cm="1">
        <f t="array" ref="U178">Common_InputFunctions.Utility_DisplayArrayInTable(Fertiliser_SourceData.Fertiliser_Products_Data3(), FertiliserProducts[[#Headers],[Company]],61)</f>
        <v/>
      </c>
      <c r="V178" s="62" t="str" cm="1">
        <f t="array" ref="V178">Common_InputFunctions.Utility_DisplayArrayInTable(Fertiliser_SourceData.Fertiliser_Products_Data3(), FertiliserProducts[[#Headers],[Company]],61)</f>
        <v/>
      </c>
      <c r="W178" s="62" t="str" cm="1">
        <f t="array" ref="W178">Common_InputFunctions.Utility_DisplayArrayInTable(Fertiliser_SourceData.Fertiliser_Products_Data3(), FertiliserProducts[[#Headers],[Company]],61)</f>
        <v>Crop Nutrition Solutions (Yara Australia)</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YaraVita BORTRAC</v>
      </c>
      <c r="E179" s="62" t="str" cm="1">
        <f t="array" ref="E179">Common_InputFunctions.Utility_DisplayArrayInTable(Fertiliser_SourceData.Fertiliser_Products_Data3(), FertiliserProducts[[#Headers],[Company]],61)</f>
        <v/>
      </c>
      <c r="F179" s="62" t="str" cm="1">
        <f t="array" ref="F179">Common_InputFunctions.Utility_DisplayArrayInTable(Fertiliser_SourceData.Fertiliser_Products_Data3(), FertiliserProducts[[#Headers],[Company]],61)</f>
        <v/>
      </c>
      <c r="G179" s="62" t="str" cm="1">
        <f t="array" ref="G179">Common_InputFunctions.Utility_DisplayArrayInTable(Fertiliser_SourceData.Fertiliser_Products_Data3(), FertiliserProducts[[#Headers],[Company]],61)</f>
        <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t="str" cm="1">
        <f t="array" ref="K179">Common_InputFunctions.Utility_DisplayArrayInTable(Fertiliser_SourceData.Fertiliser_Products_Data3(), FertiliserProducts[[#Headers],[Company]],61)</f>
        <v/>
      </c>
      <c r="L179" s="62" t="str" cm="1">
        <f t="array" ref="L179">Common_InputFunctions.Utility_DisplayArrayInTable(Fertiliser_SourceData.Fertiliser_Products_Data3(), FertiliserProducts[[#Headers],[Company]],61)</f>
        <v/>
      </c>
      <c r="M179" s="62" t="str" cm="1">
        <f t="array" ref="M179">Common_InputFunctions.Utility_DisplayArrayInTable(Fertiliser_SourceData.Fertiliser_Products_Data3(), FertiliserProducts[[#Headers],[Company]],61)</f>
        <v/>
      </c>
      <c r="N179" s="62" t="str" cm="1">
        <f t="array" ref="N179">Common_InputFunctions.Utility_DisplayArrayInTable(Fertiliser_SourceData.Fertiliser_Products_Data3(), FertiliserProducts[[#Headers],[Company]],61)</f>
        <v/>
      </c>
      <c r="O179" s="62" t="str" cm="1">
        <f t="array" ref="O179">Common_InputFunctions.Utility_DisplayArrayInTable(Fertiliser_SourceData.Fertiliser_Products_Data3(), FertiliserProducts[[#Headers],[Company]],61)</f>
        <v/>
      </c>
      <c r="P179" s="62" t="str" cm="1">
        <f t="array" ref="P179">Common_InputFunctions.Utility_DisplayArrayInTable(Fertiliser_SourceData.Fertiliser_Products_Data3(), FertiliserProducts[[#Headers],[Company]],61)</f>
        <v/>
      </c>
      <c r="Q179" s="62" t="str" cm="1">
        <f t="array" ref="Q179">Common_InputFunctions.Utility_DisplayArrayInTable(Fertiliser_SourceData.Fertiliser_Products_Data3(), FertiliserProducts[[#Headers],[Company]],61)</f>
        <v/>
      </c>
      <c r="R179" s="62" t="str" cm="1">
        <f t="array" ref="R179">Common_InputFunctions.Utility_DisplayArrayInTable(Fertiliser_SourceData.Fertiliser_Products_Data3(), FertiliserProducts[[#Headers],[Company]],61)</f>
        <v/>
      </c>
      <c r="S179" s="62" t="str" cm="1">
        <f t="array" ref="S179">Common_InputFunctions.Utility_DisplayArrayInTable(Fertiliser_SourceData.Fertiliser_Products_Data3(), FertiliserProducts[[#Headers],[Company]],61)</f>
        <v/>
      </c>
      <c r="T179" s="62" t="str" cm="1">
        <f t="array" ref="T179">Common_InputFunctions.Utility_DisplayArrayInTable(Fertiliser_SourceData.Fertiliser_Products_Data3(), FertiliserProducts[[#Headers],[Company]],61)</f>
        <v/>
      </c>
      <c r="U179" s="62" t="str" cm="1">
        <f t="array" ref="U179">Common_InputFunctions.Utility_DisplayArrayInTable(Fertiliser_SourceData.Fertiliser_Products_Data3(), FertiliserProducts[[#Headers],[Company]],61)</f>
        <v/>
      </c>
      <c r="V179" s="62" t="str" cm="1">
        <f t="array" ref="V179">Common_InputFunctions.Utility_DisplayArrayInTable(Fertiliser_SourceData.Fertiliser_Products_Data3(), FertiliserProducts[[#Headers],[Company]],61)</f>
        <v/>
      </c>
      <c r="W179" s="62" t="str" cm="1">
        <f t="array" ref="W179">Common_InputFunctions.Utility_DisplayArrayInTable(Fertiliser_SourceData.Fertiliser_Products_Data3(), FertiliserProducts[[#Headers],[Company]],61)</f>
        <v>Crop Nutrition Solutions (Yara Australia)</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Product</v>
      </c>
      <c r="E180" s="62" t="str" cm="1">
        <f t="array" ref="E180">Common_InputFunctions.Utility_DisplayArrayInTable(Fertiliser_SourceData.Fertiliser_Products_Data4(),FertiliserProducts[[#Headers],[Company]], 91)</f>
        <v>Ingredient 1</v>
      </c>
      <c r="F180" s="62" t="str" cm="1">
        <f t="array" ref="F180">Common_InputFunctions.Utility_DisplayArrayInTable(Fertiliser_SourceData.Fertiliser_Products_Data4(),FertiliserProducts[[#Headers],[Company]], 91)</f>
        <v>Ingredient 1 percent</v>
      </c>
      <c r="G180" s="62" t="str" cm="1">
        <f t="array" ref="G180">Common_InputFunctions.Utility_DisplayArrayInTable(Fertiliser_SourceData.Fertiliser_Products_Data4(),FertiliserProducts[[#Headers],[Company]], 91)</f>
        <v>Ingredient 1 source</v>
      </c>
      <c r="H180" s="62" t="str" cm="1">
        <f t="array" ref="H180">Common_InputFunctions.Utility_DisplayArrayInTable(Fertiliser_SourceData.Fertiliser_Products_Data4(),FertiliserProducts[[#Headers],[Company]], 91)</f>
        <v>Ingredient 2</v>
      </c>
      <c r="I180" s="62" t="str" cm="1">
        <f t="array" ref="I180">Common_InputFunctions.Utility_DisplayArrayInTable(Fertiliser_SourceData.Fertiliser_Products_Data4(),FertiliserProducts[[#Headers],[Company]], 91)</f>
        <v>Ingredient 2 percent</v>
      </c>
      <c r="J180" s="62" t="str" cm="1">
        <f t="array" ref="J180">Common_InputFunctions.Utility_DisplayArrayInTable(Fertiliser_SourceData.Fertiliser_Products_Data4(),FertiliserProducts[[#Headers],[Company]], 91)</f>
        <v>Ingredient 2 source</v>
      </c>
      <c r="K180" s="62" t="str" cm="1">
        <f t="array" ref="K180">Common_InputFunctions.Utility_DisplayArrayInTable(Fertiliser_SourceData.Fertiliser_Products_Data4(),FertiliserProducts[[#Headers],[Company]], 91)</f>
        <v>Ingredient 3</v>
      </c>
      <c r="L180" s="62" t="str" cm="1">
        <f t="array" ref="L180">Common_InputFunctions.Utility_DisplayArrayInTable(Fertiliser_SourceData.Fertiliser_Products_Data4(),FertiliserProducts[[#Headers],[Company]], 91)</f>
        <v>Ingredient 3 percent</v>
      </c>
      <c r="M180" s="62" t="str" cm="1">
        <f t="array" ref="M180">Common_InputFunctions.Utility_DisplayArrayInTable(Fertiliser_SourceData.Fertiliser_Products_Data4(),FertiliserProducts[[#Headers],[Company]], 91)</f>
        <v>Ingredient 3 source</v>
      </c>
      <c r="N180" s="62" t="str" cm="1">
        <f t="array" ref="N180">Common_InputFunctions.Utility_DisplayArrayInTable(Fertiliser_SourceData.Fertiliser_Products_Data4(),FertiliserProducts[[#Headers],[Company]], 91)</f>
        <v>Ingredient 4</v>
      </c>
      <c r="O180" s="62" t="str" cm="1">
        <f t="array" ref="O180">Common_InputFunctions.Utility_DisplayArrayInTable(Fertiliser_SourceData.Fertiliser_Products_Data4(),FertiliserProducts[[#Headers],[Company]], 91)</f>
        <v>Ingredient 4 percent</v>
      </c>
      <c r="P180" s="62" t="str" cm="1">
        <f t="array" ref="P180">Common_InputFunctions.Utility_DisplayArrayInTable(Fertiliser_SourceData.Fertiliser_Products_Data4(),FertiliserProducts[[#Headers],[Company]], 91)</f>
        <v>Ingredient 4 source</v>
      </c>
      <c r="Q180" s="62" t="str" cm="1">
        <f t="array" ref="Q180">Common_InputFunctions.Utility_DisplayArrayInTable(Fertiliser_SourceData.Fertiliser_Products_Data4(),FertiliserProducts[[#Headers],[Company]], 91)</f>
        <v>Ingredient 5</v>
      </c>
      <c r="R180" s="62" t="str" cm="1">
        <f t="array" ref="R180">Common_InputFunctions.Utility_DisplayArrayInTable(Fertiliser_SourceData.Fertiliser_Products_Data4(),FertiliserProducts[[#Headers],[Company]], 91)</f>
        <v>Ingredient 5 percent</v>
      </c>
      <c r="S180" s="62" t="str" cm="1">
        <f t="array" ref="S180">Common_InputFunctions.Utility_DisplayArrayInTable(Fertiliser_SourceData.Fertiliser_Products_Data4(),FertiliserProducts[[#Headers],[Company]], 91)</f>
        <v>Ingredient 5 source</v>
      </c>
      <c r="T180" s="62" t="str" cm="1">
        <f t="array" ref="T180">Common_InputFunctions.Utility_DisplayArrayInTable(Fertiliser_SourceData.Fertiliser_Products_Data4(),FertiliserProducts[[#Headers],[Company]], 91)</f>
        <v>Ingredient 6</v>
      </c>
      <c r="U180" s="62" t="str" cm="1">
        <f t="array" ref="U180">Common_InputFunctions.Utility_DisplayArrayInTable(Fertiliser_SourceData.Fertiliser_Products_Data4(),FertiliserProducts[[#Headers],[Company]], 91)</f>
        <v>Ingredient 6 percent</v>
      </c>
      <c r="V180" s="62" t="str" cm="1">
        <f t="array" ref="V180">Common_InputFunctions.Utility_DisplayArrayInTable(Fertiliser_SourceData.Fertiliser_Products_Data4(),FertiliserProducts[[#Headers],[Company]], 91)</f>
        <v>Ingredient 6 source</v>
      </c>
      <c r="W180" s="62" t="str" cm="1">
        <f t="array" ref="W180">Common_InputFunctions.Utility_DisplayArrayInTable(Fertiliser_SourceData.Fertiliser_Products_Data4(),FertiliserProducts[[#Headers],[Company]], 91)</f>
        <v>Product info link</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YaraVita BRASSITREL PRO</v>
      </c>
      <c r="E181" s="62" t="str" cm="1">
        <f t="array" ref="E181">Common_InputFunctions.Utility_DisplayArrayInTable(Fertiliser_SourceData.Fertiliser_Products_Data4(),FertiliserProducts[[#Headers],[Company]], 91)</f>
        <v/>
      </c>
      <c r="F181" s="62" t="str" cm="1">
        <f t="array" ref="F181">Common_InputFunctions.Utility_DisplayArrayInTable(Fertiliser_SourceData.Fertiliser_Products_Data4(),FertiliserProducts[[#Headers],[Company]], 91)</f>
        <v/>
      </c>
      <c r="G181" s="62" t="str" cm="1">
        <f t="array" ref="G181">Common_InputFunctions.Utility_DisplayArrayInTable(Fertiliser_SourceData.Fertiliser_Products_Data4(),FertiliserProducts[[#Headers],[Company]], 91)</f>
        <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t="str" cm="1">
        <f t="array" ref="L181">Common_InputFunctions.Utility_DisplayArrayInTable(Fertiliser_SourceData.Fertiliser_Products_Data4(),FertiliserProducts[[#Headers],[Company]], 91)</f>
        <v/>
      </c>
      <c r="M181" s="62" t="str" cm="1">
        <f t="array" ref="M181">Common_InputFunctions.Utility_DisplayArrayInTable(Fertiliser_SourceData.Fertiliser_Products_Data4(),FertiliserProducts[[#Headers],[Company]], 91)</f>
        <v/>
      </c>
      <c r="N181" s="62" t="str" cm="1">
        <f t="array" ref="N181">Common_InputFunctions.Utility_DisplayArrayInTable(Fertiliser_SourceData.Fertiliser_Products_Data4(),FertiliserProducts[[#Headers],[Company]], 91)</f>
        <v/>
      </c>
      <c r="O181" s="62" t="str" cm="1">
        <f t="array" ref="O181">Common_InputFunctions.Utility_DisplayArrayInTable(Fertiliser_SourceData.Fertiliser_Products_Data4(),FertiliserProducts[[#Headers],[Company]], 91)</f>
        <v/>
      </c>
      <c r="P181" s="62" t="str" cm="1">
        <f t="array" ref="P181">Common_InputFunctions.Utility_DisplayArrayInTable(Fertiliser_SourceData.Fertiliser_Products_Data4(),FertiliserProducts[[#Headers],[Company]], 91)</f>
        <v/>
      </c>
      <c r="Q181" s="62" t="str" cm="1">
        <f t="array" ref="Q181">Common_InputFunctions.Utility_DisplayArrayInTable(Fertiliser_SourceData.Fertiliser_Products_Data4(),FertiliserProducts[[#Headers],[Company]], 91)</f>
        <v/>
      </c>
      <c r="R181" s="62" t="str" cm="1">
        <f t="array" ref="R181">Common_InputFunctions.Utility_DisplayArrayInTable(Fertiliser_SourceData.Fertiliser_Products_Data4(),FertiliserProducts[[#Headers],[Company]], 91)</f>
        <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Crop Nutrition Solutions (Yara Australia)</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YaraVita BUD BUILDER FL</v>
      </c>
      <c r="E182" s="62" t="str" cm="1">
        <f t="array" ref="E182">Common_InputFunctions.Utility_DisplayArrayInTable(Fertiliser_SourceData.Fertiliser_Products_Data4(),FertiliserProducts[[#Headers],[Company]], 91)</f>
        <v/>
      </c>
      <c r="F182" s="62" t="str" cm="1">
        <f t="array" ref="F182">Common_InputFunctions.Utility_DisplayArrayInTable(Fertiliser_SourceData.Fertiliser_Products_Data4(),FertiliserProducts[[#Headers],[Company]], 91)</f>
        <v/>
      </c>
      <c r="G182" s="62" t="str" cm="1">
        <f t="array" ref="G182">Common_InputFunctions.Utility_DisplayArrayInTable(Fertiliser_SourceData.Fertiliser_Products_Data4(),FertiliserProducts[[#Headers],[Company]], 91)</f>
        <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t="str" cm="1">
        <f t="array" ref="L182">Common_InputFunctions.Utility_DisplayArrayInTable(Fertiliser_SourceData.Fertiliser_Products_Data4(),FertiliserProducts[[#Headers],[Company]], 91)</f>
        <v/>
      </c>
      <c r="M182" s="62" t="str" cm="1">
        <f t="array" ref="M182">Common_InputFunctions.Utility_DisplayArrayInTable(Fertiliser_SourceData.Fertiliser_Products_Data4(),FertiliserProducts[[#Headers],[Company]], 91)</f>
        <v/>
      </c>
      <c r="N182" s="62" t="str" cm="1">
        <f t="array" ref="N182">Common_InputFunctions.Utility_DisplayArrayInTable(Fertiliser_SourceData.Fertiliser_Products_Data4(),FertiliserProducts[[#Headers],[Company]], 91)</f>
        <v/>
      </c>
      <c r="O182" s="62" t="str" cm="1">
        <f t="array" ref="O182">Common_InputFunctions.Utility_DisplayArrayInTable(Fertiliser_SourceData.Fertiliser_Products_Data4(),FertiliserProducts[[#Headers],[Company]], 91)</f>
        <v/>
      </c>
      <c r="P182" s="62" t="str" cm="1">
        <f t="array" ref="P182">Common_InputFunctions.Utility_DisplayArrayInTable(Fertiliser_SourceData.Fertiliser_Products_Data4(),FertiliserProducts[[#Headers],[Company]], 91)</f>
        <v/>
      </c>
      <c r="Q182" s="62" t="str" cm="1">
        <f t="array" ref="Q182">Common_InputFunctions.Utility_DisplayArrayInTable(Fertiliser_SourceData.Fertiliser_Products_Data4(),FertiliserProducts[[#Headers],[Company]], 91)</f>
        <v/>
      </c>
      <c r="R182" s="62" t="str" cm="1">
        <f t="array" ref="R182">Common_InputFunctions.Utility_DisplayArrayInTable(Fertiliser_SourceData.Fertiliser_Products_Data4(),FertiliserProducts[[#Headers],[Company]], 91)</f>
        <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Crop Nutrition Solutions (Yara Australia)</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YaraVita FRUTREL</v>
      </c>
      <c r="E183" s="62" t="str" cm="1">
        <f t="array" ref="E183">Common_InputFunctions.Utility_DisplayArrayInTable(Fertiliser_SourceData.Fertiliser_Products_Data4(),FertiliserProducts[[#Headers],[Company]], 91)</f>
        <v/>
      </c>
      <c r="F183" s="62" t="str" cm="1">
        <f t="array" ref="F183">Common_InputFunctions.Utility_DisplayArrayInTable(Fertiliser_SourceData.Fertiliser_Products_Data4(),FertiliserProducts[[#Headers],[Company]], 91)</f>
        <v/>
      </c>
      <c r="G183" s="62" t="str" cm="1">
        <f t="array" ref="G183">Common_InputFunctions.Utility_DisplayArrayInTable(Fertiliser_SourceData.Fertiliser_Products_Data4(),FertiliserProducts[[#Headers],[Company]], 91)</f>
        <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t="str" cm="1">
        <f t="array" ref="L183">Common_InputFunctions.Utility_DisplayArrayInTable(Fertiliser_SourceData.Fertiliser_Products_Data4(),FertiliserProducts[[#Headers],[Company]], 91)</f>
        <v/>
      </c>
      <c r="M183" s="62" t="str" cm="1">
        <f t="array" ref="M183">Common_InputFunctions.Utility_DisplayArrayInTable(Fertiliser_SourceData.Fertiliser_Products_Data4(),FertiliserProducts[[#Headers],[Company]], 91)</f>
        <v/>
      </c>
      <c r="N183" s="62" t="str" cm="1">
        <f t="array" ref="N183">Common_InputFunctions.Utility_DisplayArrayInTable(Fertiliser_SourceData.Fertiliser_Products_Data4(),FertiliserProducts[[#Headers],[Company]], 91)</f>
        <v/>
      </c>
      <c r="O183" s="62" t="str" cm="1">
        <f t="array" ref="O183">Common_InputFunctions.Utility_DisplayArrayInTable(Fertiliser_SourceData.Fertiliser_Products_Data4(),FertiliserProducts[[#Headers],[Company]], 91)</f>
        <v/>
      </c>
      <c r="P183" s="62" t="str" cm="1">
        <f t="array" ref="P183">Common_InputFunctions.Utility_DisplayArrayInTable(Fertiliser_SourceData.Fertiliser_Products_Data4(),FertiliserProducts[[#Headers],[Company]], 91)</f>
        <v/>
      </c>
      <c r="Q183" s="62" t="str" cm="1">
        <f t="array" ref="Q183">Common_InputFunctions.Utility_DisplayArrayInTable(Fertiliser_SourceData.Fertiliser_Products_Data4(),FertiliserProducts[[#Headers],[Company]], 91)</f>
        <v/>
      </c>
      <c r="R183" s="62" t="str" cm="1">
        <f t="array" ref="R183">Common_InputFunctions.Utility_DisplayArrayInTable(Fertiliser_SourceData.Fertiliser_Products_Data4(),FertiliserProducts[[#Headers],[Company]], 91)</f>
        <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Crop Nutrition Solutions (Yara Australia)</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YaraVita GLYTREL ZnP</v>
      </c>
      <c r="E184" s="62" t="str" cm="1">
        <f t="array" ref="E184">Common_InputFunctions.Utility_DisplayArrayInTable(Fertiliser_SourceData.Fertiliser_Products_Data4(),FertiliserProducts[[#Headers],[Company]], 91)</f>
        <v/>
      </c>
      <c r="F184" s="62" t="str" cm="1">
        <f t="array" ref="F184">Common_InputFunctions.Utility_DisplayArrayInTable(Fertiliser_SourceData.Fertiliser_Products_Data4(),FertiliserProducts[[#Headers],[Company]], 91)</f>
        <v/>
      </c>
      <c r="G184" s="62" t="str" cm="1">
        <f t="array" ref="G184">Common_InputFunctions.Utility_DisplayArrayInTable(Fertiliser_SourceData.Fertiliser_Products_Data4(),FertiliserProducts[[#Headers],[Company]], 91)</f>
        <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t="str" cm="1">
        <f t="array" ref="L184">Common_InputFunctions.Utility_DisplayArrayInTable(Fertiliser_SourceData.Fertiliser_Products_Data4(),FertiliserProducts[[#Headers],[Company]], 91)</f>
        <v/>
      </c>
      <c r="M184" s="62" t="str" cm="1">
        <f t="array" ref="M184">Common_InputFunctions.Utility_DisplayArrayInTable(Fertiliser_SourceData.Fertiliser_Products_Data4(),FertiliserProducts[[#Headers],[Company]], 91)</f>
        <v/>
      </c>
      <c r="N184" s="62" t="str" cm="1">
        <f t="array" ref="N184">Common_InputFunctions.Utility_DisplayArrayInTable(Fertiliser_SourceData.Fertiliser_Products_Data4(),FertiliserProducts[[#Headers],[Company]], 91)</f>
        <v/>
      </c>
      <c r="O184" s="62" t="str" cm="1">
        <f t="array" ref="O184">Common_InputFunctions.Utility_DisplayArrayInTable(Fertiliser_SourceData.Fertiliser_Products_Data4(),FertiliserProducts[[#Headers],[Company]], 91)</f>
        <v/>
      </c>
      <c r="P184" s="62" t="str" cm="1">
        <f t="array" ref="P184">Common_InputFunctions.Utility_DisplayArrayInTable(Fertiliser_SourceData.Fertiliser_Products_Data4(),FertiliserProducts[[#Headers],[Company]], 91)</f>
        <v/>
      </c>
      <c r="Q184" s="62" t="str" cm="1">
        <f t="array" ref="Q184">Common_InputFunctions.Utility_DisplayArrayInTable(Fertiliser_SourceData.Fertiliser_Products_Data4(),FertiliserProducts[[#Headers],[Company]], 91)</f>
        <v/>
      </c>
      <c r="R184" s="62" t="str" cm="1">
        <f t="array" ref="R184">Common_InputFunctions.Utility_DisplayArrayInTable(Fertiliser_SourceData.Fertiliser_Products_Data4(),FertiliserProducts[[#Headers],[Company]], 91)</f>
        <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Crop Nutrition Solutions (Yara Australia)</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YaraVita GRAMITREL</v>
      </c>
      <c r="E185" s="62" t="str" cm="1">
        <f t="array" ref="E185">Common_InputFunctions.Utility_DisplayArrayInTable(Fertiliser_SourceData.Fertiliser_Products_Data4(),FertiliserProducts[[#Headers],[Company]], 91)</f>
        <v/>
      </c>
      <c r="F185" s="62" t="str" cm="1">
        <f t="array" ref="F185">Common_InputFunctions.Utility_DisplayArrayInTable(Fertiliser_SourceData.Fertiliser_Products_Data4(),FertiliserProducts[[#Headers],[Company]], 91)</f>
        <v/>
      </c>
      <c r="G185" s="62" t="str" cm="1">
        <f t="array" ref="G185">Common_InputFunctions.Utility_DisplayArrayInTable(Fertiliser_SourceData.Fertiliser_Products_Data4(),FertiliserProducts[[#Headers],[Company]], 91)</f>
        <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t="str" cm="1">
        <f t="array" ref="K185">Common_InputFunctions.Utility_DisplayArrayInTable(Fertiliser_SourceData.Fertiliser_Products_Data4(),FertiliserProducts[[#Headers],[Company]], 91)</f>
        <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t="str" cm="1">
        <f t="array" ref="N185">Common_InputFunctions.Utility_DisplayArrayInTable(Fertiliser_SourceData.Fertiliser_Products_Data4(),FertiliserProducts[[#Headers],[Company]], 91)</f>
        <v/>
      </c>
      <c r="O185" s="62" t="str" cm="1">
        <f t="array" ref="O185">Common_InputFunctions.Utility_DisplayArrayInTable(Fertiliser_SourceData.Fertiliser_Products_Data4(),FertiliserProducts[[#Headers],[Company]], 91)</f>
        <v/>
      </c>
      <c r="P185" s="62" t="str" cm="1">
        <f t="array" ref="P185">Common_InputFunctions.Utility_DisplayArrayInTable(Fertiliser_SourceData.Fertiliser_Products_Data4(),FertiliserProducts[[#Headers],[Company]], 91)</f>
        <v/>
      </c>
      <c r="Q185" s="62" t="str" cm="1">
        <f t="array" ref="Q185">Common_InputFunctions.Utility_DisplayArrayInTable(Fertiliser_SourceData.Fertiliser_Products_Data4(),FertiliserProducts[[#Headers],[Company]], 91)</f>
        <v/>
      </c>
      <c r="R185" s="62" t="str" cm="1">
        <f t="array" ref="R185">Common_InputFunctions.Utility_DisplayArrayInTable(Fertiliser_SourceData.Fertiliser_Products_Data4(),FertiliserProducts[[#Headers],[Company]], 91)</f>
        <v/>
      </c>
      <c r="S185" s="62" t="str" cm="1">
        <f t="array" ref="S185">Common_InputFunctions.Utility_DisplayArrayInTable(Fertiliser_SourceData.Fertiliser_Products_Data4(),FertiliserProducts[[#Headers],[Company]], 91)</f>
        <v/>
      </c>
      <c r="T185" s="62" t="str" cm="1">
        <f t="array" ref="T185">Common_InputFunctions.Utility_DisplayArrayInTable(Fertiliser_SourceData.Fertiliser_Products_Data4(),FertiliserProducts[[#Headers],[Company]], 91)</f>
        <v/>
      </c>
      <c r="U185" s="62" t="str" cm="1">
        <f t="array" ref="U185">Common_InputFunctions.Utility_DisplayArrayInTable(Fertiliser_SourceData.Fertiliser_Products_Data4(),FertiliserProducts[[#Headers],[Company]], 91)</f>
        <v/>
      </c>
      <c r="V185" s="62" t="str" cm="1">
        <f t="array" ref="V185">Common_InputFunctions.Utility_DisplayArrayInTable(Fertiliser_SourceData.Fertiliser_Products_Data4(),FertiliserProducts[[#Headers],[Company]], 91)</f>
        <v/>
      </c>
      <c r="W185" s="62" t="str" cm="1">
        <f t="array" ref="W185">Common_InputFunctions.Utility_DisplayArrayInTable(Fertiliser_SourceData.Fertiliser_Products_Data4(),FertiliserProducts[[#Headers],[Company]], 91)</f>
        <v>Crop Nutrition Solutions (Yara Australia)</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YaraVita KOMBIPHOS</v>
      </c>
      <c r="E186" s="62" t="str" cm="1">
        <f t="array" ref="E186">Common_InputFunctions.Utility_DisplayArrayInTable(Fertiliser_SourceData.Fertiliser_Products_Data4(),FertiliserProducts[[#Headers],[Company]], 91)</f>
        <v/>
      </c>
      <c r="F186" s="62" t="str" cm="1">
        <f t="array" ref="F186">Common_InputFunctions.Utility_DisplayArrayInTable(Fertiliser_SourceData.Fertiliser_Products_Data4(),FertiliserProducts[[#Headers],[Company]], 91)</f>
        <v/>
      </c>
      <c r="G186" s="62" t="str" cm="1">
        <f t="array" ref="G186">Common_InputFunctions.Utility_DisplayArrayInTable(Fertiliser_SourceData.Fertiliser_Products_Data4(),FertiliserProducts[[#Headers],[Company]], 91)</f>
        <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t="str" cm="1">
        <f t="array" ref="K186">Common_InputFunctions.Utility_DisplayArrayInTable(Fertiliser_SourceData.Fertiliser_Products_Data4(),FertiliserProducts[[#Headers],[Company]], 91)</f>
        <v/>
      </c>
      <c r="L186" s="62" t="str" cm="1">
        <f t="array" ref="L186">Common_InputFunctions.Utility_DisplayArrayInTable(Fertiliser_SourceData.Fertiliser_Products_Data4(),FertiliserProducts[[#Headers],[Company]], 91)</f>
        <v/>
      </c>
      <c r="M186" s="62" t="str" cm="1">
        <f t="array" ref="M186">Common_InputFunctions.Utility_DisplayArrayInTable(Fertiliser_SourceData.Fertiliser_Products_Data4(),FertiliserProducts[[#Headers],[Company]], 91)</f>
        <v/>
      </c>
      <c r="N186" s="62" t="str" cm="1">
        <f t="array" ref="N186">Common_InputFunctions.Utility_DisplayArrayInTable(Fertiliser_SourceData.Fertiliser_Products_Data4(),FertiliserProducts[[#Headers],[Company]], 91)</f>
        <v/>
      </c>
      <c r="O186" s="62" t="str" cm="1">
        <f t="array" ref="O186">Common_InputFunctions.Utility_DisplayArrayInTable(Fertiliser_SourceData.Fertiliser_Products_Data4(),FertiliserProducts[[#Headers],[Company]], 91)</f>
        <v/>
      </c>
      <c r="P186" s="62" t="str" cm="1">
        <f t="array" ref="P186">Common_InputFunctions.Utility_DisplayArrayInTable(Fertiliser_SourceData.Fertiliser_Products_Data4(),FertiliserProducts[[#Headers],[Company]], 91)</f>
        <v/>
      </c>
      <c r="Q186" s="62" t="str" cm="1">
        <f t="array" ref="Q186">Common_InputFunctions.Utility_DisplayArrayInTable(Fertiliser_SourceData.Fertiliser_Products_Data4(),FertiliserProducts[[#Headers],[Company]], 91)</f>
        <v/>
      </c>
      <c r="R186" s="62" t="str" cm="1">
        <f t="array" ref="R186">Common_InputFunctions.Utility_DisplayArrayInTable(Fertiliser_SourceData.Fertiliser_Products_Data4(),FertiliserProducts[[#Headers],[Company]], 91)</f>
        <v/>
      </c>
      <c r="S186" s="62" t="str" cm="1">
        <f t="array" ref="S186">Common_InputFunctions.Utility_DisplayArrayInTable(Fertiliser_SourceData.Fertiliser_Products_Data4(),FertiliserProducts[[#Headers],[Company]], 91)</f>
        <v/>
      </c>
      <c r="T186" s="62" t="str" cm="1">
        <f t="array" ref="T186">Common_InputFunctions.Utility_DisplayArrayInTable(Fertiliser_SourceData.Fertiliser_Products_Data4(),FertiliserProducts[[#Headers],[Company]], 91)</f>
        <v/>
      </c>
      <c r="U186" s="62" t="str" cm="1">
        <f t="array" ref="U186">Common_InputFunctions.Utility_DisplayArrayInTable(Fertiliser_SourceData.Fertiliser_Products_Data4(),FertiliserProducts[[#Headers],[Company]], 91)</f>
        <v/>
      </c>
      <c r="V186" s="62" t="str" cm="1">
        <f t="array" ref="V186">Common_InputFunctions.Utility_DisplayArrayInTable(Fertiliser_SourceData.Fertiliser_Products_Data4(),FertiliserProducts[[#Headers],[Company]], 91)</f>
        <v/>
      </c>
      <c r="W186" s="62" t="str" cm="1">
        <f t="array" ref="W186">Common_InputFunctions.Utility_DisplayArrayInTable(Fertiliser_SourceData.Fertiliser_Products_Data4(),FertiliserProducts[[#Headers],[Company]], 91)</f>
        <v>Crop Nutrition Solutions (Yara Australia)</v>
      </c>
      <c r="X186" s="62" t="str" cm="1">
        <f t="array" ref="X186">Common_InputFunctions.Utility_DisplayArrayInTable(Fertiliser_SourceData.Fertiliser_Products_Data4(),FertiliserProducts[[#Headers],[Company]], 91)</f>
        <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YaraVita MANGZINC</v>
      </c>
      <c r="E187" s="62" t="str" cm="1">
        <f t="array" ref="E187">Common_InputFunctions.Utility_DisplayArrayInTable(Fertiliser_SourceData.Fertiliser_Products_Data4(),FertiliserProducts[[#Headers],[Company]], 91)</f>
        <v/>
      </c>
      <c r="F187" s="62" t="str" cm="1">
        <f t="array" ref="F187">Common_InputFunctions.Utility_DisplayArrayInTable(Fertiliser_SourceData.Fertiliser_Products_Data4(),FertiliserProducts[[#Headers],[Company]], 91)</f>
        <v/>
      </c>
      <c r="G187" s="62" t="str" cm="1">
        <f t="array" ref="G187">Common_InputFunctions.Utility_DisplayArrayInTable(Fertiliser_SourceData.Fertiliser_Products_Data4(),FertiliserProducts[[#Headers],[Company]], 91)</f>
        <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t="str" cm="1">
        <f t="array" ref="K187">Common_InputFunctions.Utility_DisplayArrayInTable(Fertiliser_SourceData.Fertiliser_Products_Data4(),FertiliserProducts[[#Headers],[Company]], 91)</f>
        <v/>
      </c>
      <c r="L187" s="62" t="str" cm="1">
        <f t="array" ref="L187">Common_InputFunctions.Utility_DisplayArrayInTable(Fertiliser_SourceData.Fertiliser_Products_Data4(),FertiliserProducts[[#Headers],[Company]], 91)</f>
        <v/>
      </c>
      <c r="M187" s="62" t="str" cm="1">
        <f t="array" ref="M187">Common_InputFunctions.Utility_DisplayArrayInTable(Fertiliser_SourceData.Fertiliser_Products_Data4(),FertiliserProducts[[#Headers],[Company]], 91)</f>
        <v/>
      </c>
      <c r="N187" s="62" t="str" cm="1">
        <f t="array" ref="N187">Common_InputFunctions.Utility_DisplayArrayInTable(Fertiliser_SourceData.Fertiliser_Products_Data4(),FertiliserProducts[[#Headers],[Company]], 91)</f>
        <v/>
      </c>
      <c r="O187" s="62" t="str" cm="1">
        <f t="array" ref="O187">Common_InputFunctions.Utility_DisplayArrayInTable(Fertiliser_SourceData.Fertiliser_Products_Data4(),FertiliserProducts[[#Headers],[Company]], 91)</f>
        <v/>
      </c>
      <c r="P187" s="62" t="str" cm="1">
        <f t="array" ref="P187">Common_InputFunctions.Utility_DisplayArrayInTable(Fertiliser_SourceData.Fertiliser_Products_Data4(),FertiliserProducts[[#Headers],[Company]], 91)</f>
        <v/>
      </c>
      <c r="Q187" s="62" t="str" cm="1">
        <f t="array" ref="Q187">Common_InputFunctions.Utility_DisplayArrayInTable(Fertiliser_SourceData.Fertiliser_Products_Data4(),FertiliserProducts[[#Headers],[Company]], 91)</f>
        <v/>
      </c>
      <c r="R187" s="62" t="str" cm="1">
        <f t="array" ref="R187">Common_InputFunctions.Utility_DisplayArrayInTable(Fertiliser_SourceData.Fertiliser_Products_Data4(),FertiliserProducts[[#Headers],[Company]], 91)</f>
        <v/>
      </c>
      <c r="S187" s="62" t="str" cm="1">
        <f t="array" ref="S187">Common_InputFunctions.Utility_DisplayArrayInTable(Fertiliser_SourceData.Fertiliser_Products_Data4(),FertiliserProducts[[#Headers],[Company]], 91)</f>
        <v/>
      </c>
      <c r="T187" s="62" t="str" cm="1">
        <f t="array" ref="T187">Common_InputFunctions.Utility_DisplayArrayInTable(Fertiliser_SourceData.Fertiliser_Products_Data4(),FertiliserProducts[[#Headers],[Company]], 91)</f>
        <v/>
      </c>
      <c r="U187" s="62" t="str" cm="1">
        <f t="array" ref="U187">Common_InputFunctions.Utility_DisplayArrayInTable(Fertiliser_SourceData.Fertiliser_Products_Data4(),FertiliserProducts[[#Headers],[Company]], 91)</f>
        <v/>
      </c>
      <c r="V187" s="62" t="str" cm="1">
        <f t="array" ref="V187">Common_InputFunctions.Utility_DisplayArrayInTable(Fertiliser_SourceData.Fertiliser_Products_Data4(),FertiliserProducts[[#Headers],[Company]], 91)</f>
        <v/>
      </c>
      <c r="W187" s="62" t="str" cm="1">
        <f t="array" ref="W187">Common_InputFunctions.Utility_DisplayArrayInTable(Fertiliser_SourceData.Fertiliser_Products_Data4(),FertiliserProducts[[#Headers],[Company]], 91)</f>
        <v>Crop Nutrition Solutions (Yara Australia)</v>
      </c>
      <c r="X187" s="62" t="str" cm="1">
        <f t="array" ref="X187">Common_InputFunctions.Utility_DisplayArrayInTable(Fertiliser_SourceData.Fertiliser_Products_Data4(),FertiliserProducts[[#Headers],[Company]], 91)</f>
        <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YaraVita MOLYTRAC</v>
      </c>
      <c r="E188" s="62" t="str" cm="1">
        <f t="array" ref="E188">Common_InputFunctions.Utility_DisplayArrayInTable(Fertiliser_SourceData.Fertiliser_Products_Data4(),FertiliserProducts[[#Headers],[Company]], 91)</f>
        <v/>
      </c>
      <c r="F188" s="62" t="str" cm="1">
        <f t="array" ref="F188">Common_InputFunctions.Utility_DisplayArrayInTable(Fertiliser_SourceData.Fertiliser_Products_Data4(),FertiliserProducts[[#Headers],[Company]], 91)</f>
        <v/>
      </c>
      <c r="G188" s="62" t="str" cm="1">
        <f t="array" ref="G188">Common_InputFunctions.Utility_DisplayArrayInTable(Fertiliser_SourceData.Fertiliser_Products_Data4(),FertiliserProducts[[#Headers],[Company]], 91)</f>
        <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t="str" cm="1">
        <f t="array" ref="K188">Common_InputFunctions.Utility_DisplayArrayInTable(Fertiliser_SourceData.Fertiliser_Products_Data4(),FertiliserProducts[[#Headers],[Company]], 91)</f>
        <v/>
      </c>
      <c r="L188" s="62" t="str" cm="1">
        <f t="array" ref="L188">Common_InputFunctions.Utility_DisplayArrayInTable(Fertiliser_SourceData.Fertiliser_Products_Data4(),FertiliserProducts[[#Headers],[Company]], 91)</f>
        <v/>
      </c>
      <c r="M188" s="62" t="str" cm="1">
        <f t="array" ref="M188">Common_InputFunctions.Utility_DisplayArrayInTable(Fertiliser_SourceData.Fertiliser_Products_Data4(),FertiliserProducts[[#Headers],[Company]], 91)</f>
        <v/>
      </c>
      <c r="N188" s="62" t="str" cm="1">
        <f t="array" ref="N188">Common_InputFunctions.Utility_DisplayArrayInTable(Fertiliser_SourceData.Fertiliser_Products_Data4(),FertiliserProducts[[#Headers],[Company]], 91)</f>
        <v/>
      </c>
      <c r="O188" s="62" t="str" cm="1">
        <f t="array" ref="O188">Common_InputFunctions.Utility_DisplayArrayInTable(Fertiliser_SourceData.Fertiliser_Products_Data4(),FertiliserProducts[[#Headers],[Company]], 91)</f>
        <v/>
      </c>
      <c r="P188" s="62" t="str" cm="1">
        <f t="array" ref="P188">Common_InputFunctions.Utility_DisplayArrayInTable(Fertiliser_SourceData.Fertiliser_Products_Data4(),FertiliserProducts[[#Headers],[Company]], 91)</f>
        <v/>
      </c>
      <c r="Q188" s="62" t="str" cm="1">
        <f t="array" ref="Q188">Common_InputFunctions.Utility_DisplayArrayInTable(Fertiliser_SourceData.Fertiliser_Products_Data4(),FertiliserProducts[[#Headers],[Company]], 91)</f>
        <v/>
      </c>
      <c r="R188" s="62" t="str" cm="1">
        <f t="array" ref="R188">Common_InputFunctions.Utility_DisplayArrayInTable(Fertiliser_SourceData.Fertiliser_Products_Data4(),FertiliserProducts[[#Headers],[Company]], 91)</f>
        <v/>
      </c>
      <c r="S188" s="62" t="str" cm="1">
        <f t="array" ref="S188">Common_InputFunctions.Utility_DisplayArrayInTable(Fertiliser_SourceData.Fertiliser_Products_Data4(),FertiliserProducts[[#Headers],[Company]], 91)</f>
        <v/>
      </c>
      <c r="T188" s="62" t="str" cm="1">
        <f t="array" ref="T188">Common_InputFunctions.Utility_DisplayArrayInTable(Fertiliser_SourceData.Fertiliser_Products_Data4(),FertiliserProducts[[#Headers],[Company]], 91)</f>
        <v/>
      </c>
      <c r="U188" s="62" t="str" cm="1">
        <f t="array" ref="U188">Common_InputFunctions.Utility_DisplayArrayInTable(Fertiliser_SourceData.Fertiliser_Products_Data4(),FertiliserProducts[[#Headers],[Company]], 91)</f>
        <v/>
      </c>
      <c r="V188" s="62" t="str" cm="1">
        <f t="array" ref="V188">Common_InputFunctions.Utility_DisplayArrayInTable(Fertiliser_SourceData.Fertiliser_Products_Data4(),FertiliserProducts[[#Headers],[Company]], 91)</f>
        <v/>
      </c>
      <c r="W188" s="62" t="str" cm="1">
        <f t="array" ref="W188">Common_InputFunctions.Utility_DisplayArrayInTable(Fertiliser_SourceData.Fertiliser_Products_Data4(),FertiliserProducts[[#Headers],[Company]], 91)</f>
        <v>Crop Nutrition Solutions (Yara Australia)</v>
      </c>
      <c r="X188" s="62" t="str" cm="1">
        <f t="array" ref="X188">Common_InputFunctions.Utility_DisplayArrayInTable(Fertiliser_SourceData.Fertiliser_Products_Data4(),FertiliserProducts[[#Headers],[Company]], 91)</f>
        <v/>
      </c>
      <c r="Y188" s="62" t="str" cm="1">
        <f t="array" ref="Y188">Common_InputFunctions.Utility_DisplayArrayInTable(Fertiliser_SourceData.Fertiliser_Products_Data4(),FertiliserProducts[[#Headers],[Company]], 91)</f>
        <v/>
      </c>
      <c r="Z188" s="62" t="str" cm="1">
        <f t="array" ref="Z188">Common_InputFunctions.Utility_DisplayArrayInTable(Fertiliser_SourceData.Fertiliser_Products_Data4(),FertiliserProducts[[#Headers],[Company]], 91)</f>
        <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YaraVita SENIPHOS</v>
      </c>
      <c r="E189" s="62" t="str" cm="1">
        <f t="array" ref="E189">Common_InputFunctions.Utility_DisplayArrayInTable(Fertiliser_SourceData.Fertiliser_Products_Data4(),FertiliserProducts[[#Headers],[Company]], 91)</f>
        <v/>
      </c>
      <c r="F189" s="62" t="str" cm="1">
        <f t="array" ref="F189">Common_InputFunctions.Utility_DisplayArrayInTable(Fertiliser_SourceData.Fertiliser_Products_Data4(),FertiliserProducts[[#Headers],[Company]], 91)</f>
        <v/>
      </c>
      <c r="G189" s="62" t="str" cm="1">
        <f t="array" ref="G189">Common_InputFunctions.Utility_DisplayArrayInTable(Fertiliser_SourceData.Fertiliser_Products_Data4(),FertiliserProducts[[#Headers],[Company]], 91)</f>
        <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t="str" cm="1">
        <f t="array" ref="K189">Common_InputFunctions.Utility_DisplayArrayInTable(Fertiliser_SourceData.Fertiliser_Products_Data4(),FertiliserProducts[[#Headers],[Company]], 91)</f>
        <v/>
      </c>
      <c r="L189" s="62" t="str" cm="1">
        <f t="array" ref="L189">Common_InputFunctions.Utility_DisplayArrayInTable(Fertiliser_SourceData.Fertiliser_Products_Data4(),FertiliserProducts[[#Headers],[Company]], 91)</f>
        <v/>
      </c>
      <c r="M189" s="62" t="str" cm="1">
        <f t="array" ref="M189">Common_InputFunctions.Utility_DisplayArrayInTable(Fertiliser_SourceData.Fertiliser_Products_Data4(),FertiliserProducts[[#Headers],[Company]], 91)</f>
        <v/>
      </c>
      <c r="N189" s="62" t="str" cm="1">
        <f t="array" ref="N189">Common_InputFunctions.Utility_DisplayArrayInTable(Fertiliser_SourceData.Fertiliser_Products_Data4(),FertiliserProducts[[#Headers],[Company]], 91)</f>
        <v/>
      </c>
      <c r="O189" s="62" t="str" cm="1">
        <f t="array" ref="O189">Common_InputFunctions.Utility_DisplayArrayInTable(Fertiliser_SourceData.Fertiliser_Products_Data4(),FertiliserProducts[[#Headers],[Company]], 91)</f>
        <v/>
      </c>
      <c r="P189" s="62" t="str" cm="1">
        <f t="array" ref="P189">Common_InputFunctions.Utility_DisplayArrayInTable(Fertiliser_SourceData.Fertiliser_Products_Data4(),FertiliserProducts[[#Headers],[Company]], 91)</f>
        <v/>
      </c>
      <c r="Q189" s="62" t="str" cm="1">
        <f t="array" ref="Q189">Common_InputFunctions.Utility_DisplayArrayInTable(Fertiliser_SourceData.Fertiliser_Products_Data4(),FertiliserProducts[[#Headers],[Company]], 91)</f>
        <v/>
      </c>
      <c r="R189" s="62" t="str" cm="1">
        <f t="array" ref="R189">Common_InputFunctions.Utility_DisplayArrayInTable(Fertiliser_SourceData.Fertiliser_Products_Data4(),FertiliserProducts[[#Headers],[Company]], 91)</f>
        <v/>
      </c>
      <c r="S189" s="62" t="str" cm="1">
        <f t="array" ref="S189">Common_InputFunctions.Utility_DisplayArrayInTable(Fertiliser_SourceData.Fertiliser_Products_Data4(),FertiliserProducts[[#Headers],[Company]], 91)</f>
        <v/>
      </c>
      <c r="T189" s="62" t="str" cm="1">
        <f t="array" ref="T189">Common_InputFunctions.Utility_DisplayArrayInTable(Fertiliser_SourceData.Fertiliser_Products_Data4(),FertiliserProducts[[#Headers],[Company]], 91)</f>
        <v/>
      </c>
      <c r="U189" s="62" t="str" cm="1">
        <f t="array" ref="U189">Common_InputFunctions.Utility_DisplayArrayInTable(Fertiliser_SourceData.Fertiliser_Products_Data4(),FertiliserProducts[[#Headers],[Company]], 91)</f>
        <v/>
      </c>
      <c r="V189" s="62" t="str" cm="1">
        <f t="array" ref="V189">Common_InputFunctions.Utility_DisplayArrayInTable(Fertiliser_SourceData.Fertiliser_Products_Data4(),FertiliserProducts[[#Headers],[Company]], 91)</f>
        <v/>
      </c>
      <c r="W189" s="62" t="str" cm="1">
        <f t="array" ref="W189">Common_InputFunctions.Utility_DisplayArrayInTable(Fertiliser_SourceData.Fertiliser_Products_Data4(),FertiliserProducts[[#Headers],[Company]], 91)</f>
        <v>Crop Nutrition Solutions (Yara Australia)</v>
      </c>
      <c r="X189" s="62" t="str" cm="1">
        <f t="array" ref="X189">Common_InputFunctions.Utility_DisplayArrayInTable(Fertiliser_SourceData.Fertiliser_Products_Data4(),FertiliserProducts[[#Headers],[Company]], 91)</f>
        <v/>
      </c>
      <c r="Y189" s="62" t="str" cm="1">
        <f t="array" ref="Y189">Common_InputFunctions.Utility_DisplayArrayInTable(Fertiliser_SourceData.Fertiliser_Products_Data4(),FertiliserProducts[[#Headers],[Company]], 91)</f>
        <v/>
      </c>
      <c r="Z189" s="62" t="str" cm="1">
        <f t="array" ref="Z189">Common_InputFunctions.Utility_DisplayArrayInTable(Fertiliser_SourceData.Fertiliser_Products_Data4(),FertiliserProducts[[#Headers],[Company]], 91)</f>
        <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YaraVita ZINTRAC</v>
      </c>
      <c r="E190" s="62" t="str" cm="1">
        <f t="array" ref="E190">Common_InputFunctions.Utility_DisplayArrayInTable(Fertiliser_SourceData.Fertiliser_Products_Data4(),FertiliserProducts[[#Headers],[Company]], 91)</f>
        <v/>
      </c>
      <c r="F190" s="62" t="str" cm="1">
        <f t="array" ref="F190">Common_InputFunctions.Utility_DisplayArrayInTable(Fertiliser_SourceData.Fertiliser_Products_Data4(),FertiliserProducts[[#Headers],[Company]], 91)</f>
        <v/>
      </c>
      <c r="G190" s="62" t="str" cm="1">
        <f t="array" ref="G190">Common_InputFunctions.Utility_DisplayArrayInTable(Fertiliser_SourceData.Fertiliser_Products_Data4(),FertiliserProducts[[#Headers],[Company]], 91)</f>
        <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t="str" cm="1">
        <f t="array" ref="K190">Common_InputFunctions.Utility_DisplayArrayInTable(Fertiliser_SourceData.Fertiliser_Products_Data4(),FertiliserProducts[[#Headers],[Company]], 91)</f>
        <v/>
      </c>
      <c r="L190" s="62" t="str" cm="1">
        <f t="array" ref="L190">Common_InputFunctions.Utility_DisplayArrayInTable(Fertiliser_SourceData.Fertiliser_Products_Data4(),FertiliserProducts[[#Headers],[Company]], 91)</f>
        <v/>
      </c>
      <c r="M190" s="62" t="str" cm="1">
        <f t="array" ref="M190">Common_InputFunctions.Utility_DisplayArrayInTable(Fertiliser_SourceData.Fertiliser_Products_Data4(),FertiliserProducts[[#Headers],[Company]], 91)</f>
        <v/>
      </c>
      <c r="N190" s="62" t="str" cm="1">
        <f t="array" ref="N190">Common_InputFunctions.Utility_DisplayArrayInTable(Fertiliser_SourceData.Fertiliser_Products_Data4(),FertiliserProducts[[#Headers],[Company]], 91)</f>
        <v/>
      </c>
      <c r="O190" s="62" t="str" cm="1">
        <f t="array" ref="O190">Common_InputFunctions.Utility_DisplayArrayInTable(Fertiliser_SourceData.Fertiliser_Products_Data4(),FertiliserProducts[[#Headers],[Company]], 91)</f>
        <v/>
      </c>
      <c r="P190" s="62" t="str" cm="1">
        <f t="array" ref="P190">Common_InputFunctions.Utility_DisplayArrayInTable(Fertiliser_SourceData.Fertiliser_Products_Data4(),FertiliserProducts[[#Headers],[Company]], 91)</f>
        <v/>
      </c>
      <c r="Q190" s="62" t="str" cm="1">
        <f t="array" ref="Q190">Common_InputFunctions.Utility_DisplayArrayInTable(Fertiliser_SourceData.Fertiliser_Products_Data4(),FertiliserProducts[[#Headers],[Company]], 91)</f>
        <v/>
      </c>
      <c r="R190" s="62" t="str" cm="1">
        <f t="array" ref="R190">Common_InputFunctions.Utility_DisplayArrayInTable(Fertiliser_SourceData.Fertiliser_Products_Data4(),FertiliserProducts[[#Headers],[Company]], 91)</f>
        <v/>
      </c>
      <c r="S190" s="62" t="str" cm="1">
        <f t="array" ref="S190">Common_InputFunctions.Utility_DisplayArrayInTable(Fertiliser_SourceData.Fertiliser_Products_Data4(),FertiliserProducts[[#Headers],[Company]], 91)</f>
        <v/>
      </c>
      <c r="T190" s="62" t="str" cm="1">
        <f t="array" ref="T190">Common_InputFunctions.Utility_DisplayArrayInTable(Fertiliser_SourceData.Fertiliser_Products_Data4(),FertiliserProducts[[#Headers],[Company]], 91)</f>
        <v/>
      </c>
      <c r="U190" s="62" t="str" cm="1">
        <f t="array" ref="U190">Common_InputFunctions.Utility_DisplayArrayInTable(Fertiliser_SourceData.Fertiliser_Products_Data4(),FertiliserProducts[[#Headers],[Company]], 91)</f>
        <v/>
      </c>
      <c r="V190" s="62" t="str" cm="1">
        <f t="array" ref="V190">Common_InputFunctions.Utility_DisplayArrayInTable(Fertiliser_SourceData.Fertiliser_Products_Data4(),FertiliserProducts[[#Headers],[Company]], 91)</f>
        <v/>
      </c>
      <c r="W190" s="62" t="str" cm="1">
        <f t="array" ref="W190">Common_InputFunctions.Utility_DisplayArrayInTable(Fertiliser_SourceData.Fertiliser_Products_Data4(),FertiliserProducts[[#Headers],[Company]], 91)</f>
        <v>Crop Nutrition Solutions (Yara Australia)</v>
      </c>
      <c r="X190" s="62" t="str" cm="1">
        <f t="array" ref="X190">Common_InputFunctions.Utility_DisplayArrayInTable(Fertiliser_SourceData.Fertiliser_Products_Data4(),FertiliserProducts[[#Headers],[Company]], 91)</f>
        <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Zinc Sulphate Monohydrate</v>
      </c>
      <c r="E191" s="62" t="str" cm="1">
        <f t="array" ref="E191">Common_InputFunctions.Utility_DisplayArrayInTable(Fertiliser_SourceData.Fertiliser_Products_Data4(),FertiliserProducts[[#Headers],[Company]], 91)</f>
        <v/>
      </c>
      <c r="F191" s="62" t="str" cm="1">
        <f t="array" ref="F191">Common_InputFunctions.Utility_DisplayArrayInTable(Fertiliser_SourceData.Fertiliser_Products_Data4(),FertiliserProducts[[#Headers],[Company]], 91)</f>
        <v/>
      </c>
      <c r="G191" s="62" t="str" cm="1">
        <f t="array" ref="G191">Common_InputFunctions.Utility_DisplayArrayInTable(Fertiliser_SourceData.Fertiliser_Products_Data4(),FertiliserProducts[[#Headers],[Company]], 91)</f>
        <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t="str" cm="1">
        <f t="array" ref="K191">Common_InputFunctions.Utility_DisplayArrayInTable(Fertiliser_SourceData.Fertiliser_Products_Data4(),FertiliserProducts[[#Headers],[Company]], 91)</f>
        <v/>
      </c>
      <c r="L191" s="62" t="str" cm="1">
        <f t="array" ref="L191">Common_InputFunctions.Utility_DisplayArrayInTable(Fertiliser_SourceData.Fertiliser_Products_Data4(),FertiliserProducts[[#Headers],[Company]], 91)</f>
        <v/>
      </c>
      <c r="M191" s="62" t="str" cm="1">
        <f t="array" ref="M191">Common_InputFunctions.Utility_DisplayArrayInTable(Fertiliser_SourceData.Fertiliser_Products_Data4(),FertiliserProducts[[#Headers],[Company]], 91)</f>
        <v/>
      </c>
      <c r="N191" s="62" t="str" cm="1">
        <f t="array" ref="N191">Common_InputFunctions.Utility_DisplayArrayInTable(Fertiliser_SourceData.Fertiliser_Products_Data4(),FertiliserProducts[[#Headers],[Company]], 91)</f>
        <v/>
      </c>
      <c r="O191" s="62" t="str" cm="1">
        <f t="array" ref="O191">Common_InputFunctions.Utility_DisplayArrayInTable(Fertiliser_SourceData.Fertiliser_Products_Data4(),FertiliserProducts[[#Headers],[Company]], 91)</f>
        <v/>
      </c>
      <c r="P191" s="62" t="str" cm="1">
        <f t="array" ref="P191">Common_InputFunctions.Utility_DisplayArrayInTable(Fertiliser_SourceData.Fertiliser_Products_Data4(),FertiliserProducts[[#Headers],[Company]], 91)</f>
        <v/>
      </c>
      <c r="Q191" s="62" t="str" cm="1">
        <f t="array" ref="Q191">Common_InputFunctions.Utility_DisplayArrayInTable(Fertiliser_SourceData.Fertiliser_Products_Data4(),FertiliserProducts[[#Headers],[Company]], 91)</f>
        <v/>
      </c>
      <c r="R191" s="62" t="str" cm="1">
        <f t="array" ref="R191">Common_InputFunctions.Utility_DisplayArrayInTable(Fertiliser_SourceData.Fertiliser_Products_Data4(),FertiliserProducts[[#Headers],[Company]], 91)</f>
        <v/>
      </c>
      <c r="S191" s="62" t="str" cm="1">
        <f t="array" ref="S191">Common_InputFunctions.Utility_DisplayArrayInTable(Fertiliser_SourceData.Fertiliser_Products_Data4(),FertiliserProducts[[#Headers],[Company]], 91)</f>
        <v/>
      </c>
      <c r="T191" s="62" t="str" cm="1">
        <f t="array" ref="T191">Common_InputFunctions.Utility_DisplayArrayInTable(Fertiliser_SourceData.Fertiliser_Products_Data4(),FertiliserProducts[[#Headers],[Company]], 91)</f>
        <v/>
      </c>
      <c r="U191" s="62" t="str" cm="1">
        <f t="array" ref="U191">Common_InputFunctions.Utility_DisplayArrayInTable(Fertiliser_SourceData.Fertiliser_Products_Data4(),FertiliserProducts[[#Headers],[Company]], 91)</f>
        <v/>
      </c>
      <c r="V191" s="62" t="str" cm="1">
        <f t="array" ref="V191">Common_InputFunctions.Utility_DisplayArrayInTable(Fertiliser_SourceData.Fertiliser_Products_Data4(),FertiliserProducts[[#Headers],[Company]], 91)</f>
        <v/>
      </c>
      <c r="W191" s="62" t="str" cm="1">
        <f t="array" ref="W191">Common_InputFunctions.Utility_DisplayArrayInTable(Fertiliser_SourceData.Fertiliser_Products_Data4(),FertiliserProducts[[#Headers],[Company]], 91)</f>
        <v>Incitec Pivot Fertilisers</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Zincsol</v>
      </c>
      <c r="E192" s="62" t="str" cm="1">
        <f t="array" ref="E192">Common_InputFunctions.Utility_DisplayArrayInTable(Fertiliser_SourceData.Fertiliser_Products_Data4(),FertiliserProducts[[#Headers],[Company]], 91)</f>
        <v/>
      </c>
      <c r="F192" s="62" t="str" cm="1">
        <f t="array" ref="F192">Common_InputFunctions.Utility_DisplayArrayInTable(Fertiliser_SourceData.Fertiliser_Products_Data4(),FertiliserProducts[[#Headers],[Company]], 91)</f>
        <v/>
      </c>
      <c r="G192" s="62" t="str" cm="1">
        <f t="array" ref="G192">Common_InputFunctions.Utility_DisplayArrayInTable(Fertiliser_SourceData.Fertiliser_Products_Data4(),FertiliserProducts[[#Headers],[Company]], 91)</f>
        <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t="str" cm="1">
        <f t="array" ref="K192">Common_InputFunctions.Utility_DisplayArrayInTable(Fertiliser_SourceData.Fertiliser_Products_Data4(),FertiliserProducts[[#Headers],[Company]], 91)</f>
        <v/>
      </c>
      <c r="L192" s="62" t="str" cm="1">
        <f t="array" ref="L192">Common_InputFunctions.Utility_DisplayArrayInTable(Fertiliser_SourceData.Fertiliser_Products_Data4(),FertiliserProducts[[#Headers],[Company]], 91)</f>
        <v/>
      </c>
      <c r="M192" s="62" t="str" cm="1">
        <f t="array" ref="M192">Common_InputFunctions.Utility_DisplayArrayInTable(Fertiliser_SourceData.Fertiliser_Products_Data4(),FertiliserProducts[[#Headers],[Company]], 91)</f>
        <v/>
      </c>
      <c r="N192" s="62" t="str" cm="1">
        <f t="array" ref="N192">Common_InputFunctions.Utility_DisplayArrayInTable(Fertiliser_SourceData.Fertiliser_Products_Data4(),FertiliserProducts[[#Headers],[Company]], 91)</f>
        <v/>
      </c>
      <c r="O192" s="62" t="str" cm="1">
        <f t="array" ref="O192">Common_InputFunctions.Utility_DisplayArrayInTable(Fertiliser_SourceData.Fertiliser_Products_Data4(),FertiliserProducts[[#Headers],[Company]], 91)</f>
        <v/>
      </c>
      <c r="P192" s="62" t="str" cm="1">
        <f t="array" ref="P192">Common_InputFunctions.Utility_DisplayArrayInTable(Fertiliser_SourceData.Fertiliser_Products_Data4(),FertiliserProducts[[#Headers],[Company]], 91)</f>
        <v/>
      </c>
      <c r="Q192" s="62" t="str" cm="1">
        <f t="array" ref="Q192">Common_InputFunctions.Utility_DisplayArrayInTable(Fertiliser_SourceData.Fertiliser_Products_Data4(),FertiliserProducts[[#Headers],[Company]], 91)</f>
        <v/>
      </c>
      <c r="R192" s="62" t="str" cm="1">
        <f t="array" ref="R192">Common_InputFunctions.Utility_DisplayArrayInTable(Fertiliser_SourceData.Fertiliser_Products_Data4(),FertiliserProducts[[#Headers],[Company]], 91)</f>
        <v/>
      </c>
      <c r="S192" s="62" t="str" cm="1">
        <f t="array" ref="S192">Common_InputFunctions.Utility_DisplayArrayInTable(Fertiliser_SourceData.Fertiliser_Products_Data4(),FertiliserProducts[[#Headers],[Company]], 91)</f>
        <v/>
      </c>
      <c r="T192" s="62" t="str" cm="1">
        <f t="array" ref="T192">Common_InputFunctions.Utility_DisplayArrayInTable(Fertiliser_SourceData.Fertiliser_Products_Data4(),FertiliserProducts[[#Headers],[Company]], 91)</f>
        <v/>
      </c>
      <c r="U192" s="62" t="str" cm="1">
        <f t="array" ref="U192">Common_InputFunctions.Utility_DisplayArrayInTable(Fertiliser_SourceData.Fertiliser_Products_Data4(),FertiliserProducts[[#Headers],[Company]], 91)</f>
        <v/>
      </c>
      <c r="V192" s="62" t="str" cm="1">
        <f t="array" ref="V192">Common_InputFunctions.Utility_DisplayArrayInTable(Fertiliser_SourceData.Fertiliser_Products_Data4(),FertiliserProducts[[#Headers],[Company]], 91)</f>
        <v/>
      </c>
      <c r="W192" s="62" t="str" cm="1">
        <f t="array" ref="W192">Common_InputFunctions.Utility_DisplayArrayInTable(Fertiliser_SourceData.Fertiliser_Products_Data4(),FertiliserProducts[[#Headers],[Company]], 91)</f>
        <v>Sulfate Zincsol</v>
      </c>
      <c r="X192" s="62" t="str" cm="1">
        <f t="array" ref="X192">Common_InputFunctions.Utility_DisplayArrayInTable(Fertiliser_SourceData.Fertiliser_Products_Data4(),FertiliserProducts[[#Headers],[Company]], 91)</f>
        <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ZincStar</v>
      </c>
      <c r="E193" s="62" t="str" cm="1">
        <f t="array" ref="E193">Common_InputFunctions.Utility_DisplayArrayInTable(Fertiliser_SourceData.Fertiliser_Products_Data4(),FertiliserProducts[[#Headers],[Company]], 91)</f>
        <v/>
      </c>
      <c r="F193" s="62" t="str" cm="1">
        <f t="array" ref="F193">Common_InputFunctions.Utility_DisplayArrayInTable(Fertiliser_SourceData.Fertiliser_Products_Data4(),FertiliserProducts[[#Headers],[Company]], 91)</f>
        <v/>
      </c>
      <c r="G193" s="62" t="str" cm="1">
        <f t="array" ref="G193">Common_InputFunctions.Utility_DisplayArrayInTable(Fertiliser_SourceData.Fertiliser_Products_Data4(),FertiliserProducts[[#Headers],[Company]], 91)</f>
        <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t="str" cm="1">
        <f t="array" ref="K193">Common_InputFunctions.Utility_DisplayArrayInTable(Fertiliser_SourceData.Fertiliser_Products_Data4(),FertiliserProducts[[#Headers],[Company]], 91)</f>
        <v/>
      </c>
      <c r="L193" s="62" t="str" cm="1">
        <f t="array" ref="L193">Common_InputFunctions.Utility_DisplayArrayInTable(Fertiliser_SourceData.Fertiliser_Products_Data4(),FertiliserProducts[[#Headers],[Company]], 91)</f>
        <v/>
      </c>
      <c r="M193" s="62" t="str" cm="1">
        <f t="array" ref="M193">Common_InputFunctions.Utility_DisplayArrayInTable(Fertiliser_SourceData.Fertiliser_Products_Data4(),FertiliserProducts[[#Headers],[Company]], 91)</f>
        <v/>
      </c>
      <c r="N193" s="62" t="str" cm="1">
        <f t="array" ref="N193">Common_InputFunctions.Utility_DisplayArrayInTable(Fertiliser_SourceData.Fertiliser_Products_Data4(),FertiliserProducts[[#Headers],[Company]], 91)</f>
        <v/>
      </c>
      <c r="O193" s="62" t="str" cm="1">
        <f t="array" ref="O193">Common_InputFunctions.Utility_DisplayArrayInTable(Fertiliser_SourceData.Fertiliser_Products_Data4(),FertiliserProducts[[#Headers],[Company]], 91)</f>
        <v/>
      </c>
      <c r="P193" s="62" t="str" cm="1">
        <f t="array" ref="P193">Common_InputFunctions.Utility_DisplayArrayInTable(Fertiliser_SourceData.Fertiliser_Products_Data4(),FertiliserProducts[[#Headers],[Company]], 91)</f>
        <v/>
      </c>
      <c r="Q193" s="62" t="str" cm="1">
        <f t="array" ref="Q193">Common_InputFunctions.Utility_DisplayArrayInTable(Fertiliser_SourceData.Fertiliser_Products_Data4(),FertiliserProducts[[#Headers],[Company]], 91)</f>
        <v/>
      </c>
      <c r="R193" s="62" t="str" cm="1">
        <f t="array" ref="R193">Common_InputFunctions.Utility_DisplayArrayInTable(Fertiliser_SourceData.Fertiliser_Products_Data4(),FertiliserProducts[[#Headers],[Company]], 91)</f>
        <v/>
      </c>
      <c r="S193" s="62" t="str" cm="1">
        <f t="array" ref="S193">Common_InputFunctions.Utility_DisplayArrayInTable(Fertiliser_SourceData.Fertiliser_Products_Data4(),FertiliserProducts[[#Headers],[Company]], 91)</f>
        <v/>
      </c>
      <c r="T193" s="62" t="str" cm="1">
        <f t="array" ref="T193">Common_InputFunctions.Utility_DisplayArrayInTable(Fertiliser_SourceData.Fertiliser_Products_Data4(),FertiliserProducts[[#Headers],[Company]], 91)</f>
        <v/>
      </c>
      <c r="U193" s="62" t="str" cm="1">
        <f t="array" ref="U193">Common_InputFunctions.Utility_DisplayArrayInTable(Fertiliser_SourceData.Fertiliser_Products_Data4(),FertiliserProducts[[#Headers],[Company]], 91)</f>
        <v/>
      </c>
      <c r="V193" s="62" t="str" cm="1">
        <f t="array" ref="V193">Common_InputFunctions.Utility_DisplayArrayInTable(Fertiliser_SourceData.Fertiliser_Products_Data4(),FertiliserProducts[[#Headers],[Company]], 91)</f>
        <v/>
      </c>
      <c r="W193" s="62" t="str" cm="1">
        <f t="array" ref="W193">Common_InputFunctions.Utility_DisplayArrayInTable(Fertiliser_SourceData.Fertiliser_Products_Data4(),FertiliserProducts[[#Headers],[Company]], 91)</f>
        <v>Impact fertilisers</v>
      </c>
      <c r="X193" s="62" t="str" cm="1">
        <f t="array" ref="X193">Common_InputFunctions.Utility_DisplayArrayInTable(Fertiliser_SourceData.Fertiliser_Products_Data4(),FertiliserProducts[[#Headers],[Company]], 91)</f>
        <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ZMC-1</v>
      </c>
      <c r="E194" s="62" t="str" cm="1">
        <f t="array" ref="E194">Common_InputFunctions.Utility_DisplayArrayInTable(Fertiliser_SourceData.Fertiliser_Products_Data4(),FertiliserProducts[[#Headers],[Company]], 91)</f>
        <v/>
      </c>
      <c r="F194" s="62" t="str" cm="1">
        <f t="array" ref="F194">Common_InputFunctions.Utility_DisplayArrayInTable(Fertiliser_SourceData.Fertiliser_Products_Data4(),FertiliserProducts[[#Headers],[Company]], 91)</f>
        <v/>
      </c>
      <c r="G194" s="62" t="str" cm="1">
        <f t="array" ref="G194">Common_InputFunctions.Utility_DisplayArrayInTable(Fertiliser_SourceData.Fertiliser_Products_Data4(),FertiliserProducts[[#Headers],[Company]], 91)</f>
        <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t="str" cm="1">
        <f t="array" ref="L194">Common_InputFunctions.Utility_DisplayArrayInTable(Fertiliser_SourceData.Fertiliser_Products_Data4(),FertiliserProducts[[#Headers],[Company]], 91)</f>
        <v/>
      </c>
      <c r="M194" s="62" t="str" cm="1">
        <f t="array" ref="M194">Common_InputFunctions.Utility_DisplayArrayInTable(Fertiliser_SourceData.Fertiliser_Products_Data4(),FertiliserProducts[[#Headers],[Company]], 91)</f>
        <v/>
      </c>
      <c r="N194" s="62" t="str" cm="1">
        <f t="array" ref="N194">Common_InputFunctions.Utility_DisplayArrayInTable(Fertiliser_SourceData.Fertiliser_Products_Data4(),FertiliserProducts[[#Headers],[Company]], 91)</f>
        <v/>
      </c>
      <c r="O194" s="62" t="str" cm="1">
        <f t="array" ref="O194">Common_InputFunctions.Utility_DisplayArrayInTable(Fertiliser_SourceData.Fertiliser_Products_Data4(),FertiliserProducts[[#Headers],[Company]], 91)</f>
        <v/>
      </c>
      <c r="P194" s="62" t="str" cm="1">
        <f t="array" ref="P194">Common_InputFunctions.Utility_DisplayArrayInTable(Fertiliser_SourceData.Fertiliser_Products_Data4(),FertiliserProducts[[#Headers],[Company]], 91)</f>
        <v/>
      </c>
      <c r="Q194" s="62" t="str" cm="1">
        <f t="array" ref="Q194">Common_InputFunctions.Utility_DisplayArrayInTable(Fertiliser_SourceData.Fertiliser_Products_Data4(),FertiliserProducts[[#Headers],[Company]], 91)</f>
        <v/>
      </c>
      <c r="R194" s="62" t="str" cm="1">
        <f t="array" ref="R194">Common_InputFunctions.Utility_DisplayArrayInTable(Fertiliser_SourceData.Fertiliser_Products_Data4(),FertiliserProducts[[#Headers],[Company]], 91)</f>
        <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Kemgro ZMC-1</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Zn 7000</v>
      </c>
      <c r="E195" s="62" t="str" cm="1">
        <f t="array" ref="E195">Common_InputFunctions.Utility_DisplayArrayInTable(Fertiliser_SourceData.Fertiliser_Products_Data4(),FertiliserProducts[[#Headers],[Company]], 91)</f>
        <v/>
      </c>
      <c r="F195" s="62" t="str" cm="1">
        <f t="array" ref="F195">Common_InputFunctions.Utility_DisplayArrayInTable(Fertiliser_SourceData.Fertiliser_Products_Data4(),FertiliserProducts[[#Headers],[Company]], 91)</f>
        <v/>
      </c>
      <c r="G195" s="62" t="str" cm="1">
        <f t="array" ref="G195">Common_InputFunctions.Utility_DisplayArrayInTable(Fertiliser_SourceData.Fertiliser_Products_Data4(),FertiliserProducts[[#Headers],[Company]], 91)</f>
        <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t="str" cm="1">
        <f t="array" ref="K195">Common_InputFunctions.Utility_DisplayArrayInTable(Fertiliser_SourceData.Fertiliser_Products_Data4(),FertiliserProducts[[#Headers],[Company]], 91)</f>
        <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
      </c>
      <c r="P195" s="62" t="str" cm="1">
        <f t="array" ref="P195">Common_InputFunctions.Utility_DisplayArrayInTable(Fertiliser_SourceData.Fertiliser_Products_Data4(),FertiliserProducts[[#Headers],[Company]], 91)</f>
        <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Rutec Zn 7000</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
      </c>
      <c r="E196" s="62" t="str" cm="1">
        <f t="array" ref="E196">Common_InputFunctions.Utility_DisplayArrayInTable(Fertiliser_SourceData.Fertiliser_Products_Data4(),FertiliserProducts[[#Headers],[Company]], 91)</f>
        <v/>
      </c>
      <c r="F196" s="62" t="str" cm="1">
        <f t="array" ref="F196">Common_InputFunctions.Utility_DisplayArrayInTable(Fertiliser_SourceData.Fertiliser_Products_Data4(),FertiliserProducts[[#Headers],[Company]], 91)</f>
        <v/>
      </c>
      <c r="G196" s="62" t="str" cm="1">
        <f t="array" ref="G196">Common_InputFunctions.Utility_DisplayArrayInTable(Fertiliser_SourceData.Fertiliser_Products_Data4(),FertiliserProducts[[#Headers],[Company]], 91)</f>
        <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t="str" cm="1">
        <f t="array" ref="K196">Common_InputFunctions.Utility_DisplayArrayInTable(Fertiliser_SourceData.Fertiliser_Products_Data4(),FertiliserProducts[[#Headers],[Company]], 91)</f>
        <v/>
      </c>
      <c r="L196" s="62" t="str" cm="1">
        <f t="array" ref="L196">Common_InputFunctions.Utility_DisplayArrayInTable(Fertiliser_SourceData.Fertiliser_Products_Data4(),FertiliserProducts[[#Headers],[Company]], 91)</f>
        <v/>
      </c>
      <c r="M196" s="62" t="str" cm="1">
        <f t="array" ref="M196">Common_InputFunctions.Utility_DisplayArrayInTable(Fertiliser_SourceData.Fertiliser_Products_Data4(),FertiliserProducts[[#Headers],[Company]], 91)</f>
        <v/>
      </c>
      <c r="N196" s="62" t="str" cm="1">
        <f t="array" ref="N196">Common_InputFunctions.Utility_DisplayArrayInTable(Fertiliser_SourceData.Fertiliser_Products_Data4(),FertiliserProducts[[#Headers],[Company]], 91)</f>
        <v/>
      </c>
      <c r="O196" s="62" t="str" cm="1">
        <f t="array" ref="O196">Common_InputFunctions.Utility_DisplayArrayInTable(Fertiliser_SourceData.Fertiliser_Products_Data4(),FertiliserProducts[[#Headers],[Company]], 91)</f>
        <v/>
      </c>
      <c r="P196" s="62" t="str" cm="1">
        <f t="array" ref="P196">Common_InputFunctions.Utility_DisplayArrayInTable(Fertiliser_SourceData.Fertiliser_Products_Data4(),FertiliserProducts[[#Headers],[Company]], 91)</f>
        <v/>
      </c>
      <c r="Q196" s="62" t="str" cm="1">
        <f t="array" ref="Q196">Common_InputFunctions.Utility_DisplayArrayInTable(Fertiliser_SourceData.Fertiliser_Products_Data4(),FertiliserProducts[[#Headers],[Company]], 91)</f>
        <v/>
      </c>
      <c r="R196" s="62" t="str" cm="1">
        <f t="array" ref="R196">Common_InputFunctions.Utility_DisplayArrayInTable(Fertiliser_SourceData.Fertiliser_Products_Data4(),FertiliserProducts[[#Headers],[Company]], 91)</f>
        <v/>
      </c>
      <c r="S196" s="62" t="str" cm="1">
        <f t="array" ref="S196">Common_InputFunctions.Utility_DisplayArrayInTable(Fertiliser_SourceData.Fertiliser_Products_Data4(),FertiliserProducts[[#Headers],[Company]], 91)</f>
        <v/>
      </c>
      <c r="T196" s="62" t="str" cm="1">
        <f t="array" ref="T196">Common_InputFunctions.Utility_DisplayArrayInTable(Fertiliser_SourceData.Fertiliser_Products_Data4(),FertiliserProducts[[#Headers],[Company]], 91)</f>
        <v/>
      </c>
      <c r="U196" s="62" t="str" cm="1">
        <f t="array" ref="U196">Common_InputFunctions.Utility_DisplayArrayInTable(Fertiliser_SourceData.Fertiliser_Products_Data4(),FertiliserProducts[[#Headers],[Company]], 91)</f>
        <v/>
      </c>
      <c r="V196" s="62" t="str" cm="1">
        <f t="array" ref="V196">Common_InputFunctions.Utility_DisplayArrayInTable(Fertiliser_SourceData.Fertiliser_Products_Data4(),FertiliserProducts[[#Headers],[Company]], 91)</f>
        <v/>
      </c>
      <c r="W196" s="62" t="str" cm="1">
        <f t="array" ref="W196">Common_InputFunctions.Utility_DisplayArrayInTable(Fertiliser_SourceData.Fertiliser_Products_Data4(),FertiliserProducts[[#Headers],[Company]], 91)</f>
        <v/>
      </c>
      <c r="X196" s="62" t="str" cm="1">
        <f t="array" ref="X196">Common_InputFunctions.Utility_DisplayArrayInTable(Fertiliser_SourceData.Fertiliser_Products_Data4(),FertiliserProducts[[#Headers],[Company]], 91)</f>
        <v/>
      </c>
      <c r="Y196" s="62" t="str" cm="1">
        <f t="array" ref="Y196">Common_InputFunctions.Utility_DisplayArrayInTable(Fertiliser_SourceData.Fertiliser_Products_Data4(),FertiliserProducts[[#Headers],[Company]], 91)</f>
        <v/>
      </c>
      <c r="Z196" s="62" t="str" cm="1">
        <f t="array" ref="Z196">Common_InputFunctions.Utility_DisplayArrayInTable(Fertiliser_SourceData.Fertiliser_Products_Data4(),FertiliserProducts[[#Headers],[Company]], 91)</f>
        <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
      </c>
      <c r="E197" s="62" t="str" cm="1">
        <f t="array" ref="E197">Common_InputFunctions.Utility_DisplayArrayInTable(Fertiliser_SourceData.Fertiliser_Products_Data4(),FertiliserProducts[[#Headers],[Company]], 91)</f>
        <v/>
      </c>
      <c r="F197" s="62" t="str" cm="1">
        <f t="array" ref="F197">Common_InputFunctions.Utility_DisplayArrayInTable(Fertiliser_SourceData.Fertiliser_Products_Data4(),FertiliserProducts[[#Headers],[Company]], 91)</f>
        <v/>
      </c>
      <c r="G197" s="62" t="str" cm="1">
        <f t="array" ref="G197">Common_InputFunctions.Utility_DisplayArrayInTable(Fertiliser_SourceData.Fertiliser_Products_Data4(),FertiliserProducts[[#Headers],[Company]], 91)</f>
        <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t="str" cm="1">
        <f t="array" ref="K197">Common_InputFunctions.Utility_DisplayArrayInTable(Fertiliser_SourceData.Fertiliser_Products_Data4(),FertiliserProducts[[#Headers],[Company]], 91)</f>
        <v/>
      </c>
      <c r="L197" s="62" t="str" cm="1">
        <f t="array" ref="L197">Common_InputFunctions.Utility_DisplayArrayInTable(Fertiliser_SourceData.Fertiliser_Products_Data4(),FertiliserProducts[[#Headers],[Company]], 91)</f>
        <v/>
      </c>
      <c r="M197" s="62" t="str" cm="1">
        <f t="array" ref="M197">Common_InputFunctions.Utility_DisplayArrayInTable(Fertiliser_SourceData.Fertiliser_Products_Data4(),FertiliserProducts[[#Headers],[Company]], 91)</f>
        <v/>
      </c>
      <c r="N197" s="62" t="str" cm="1">
        <f t="array" ref="N197">Common_InputFunctions.Utility_DisplayArrayInTable(Fertiliser_SourceData.Fertiliser_Products_Data4(),FertiliserProducts[[#Headers],[Company]], 91)</f>
        <v/>
      </c>
      <c r="O197" s="62" t="str" cm="1">
        <f t="array" ref="O197">Common_InputFunctions.Utility_DisplayArrayInTable(Fertiliser_SourceData.Fertiliser_Products_Data4(),FertiliserProducts[[#Headers],[Company]], 91)</f>
        <v/>
      </c>
      <c r="P197" s="62" t="str" cm="1">
        <f t="array" ref="P197">Common_InputFunctions.Utility_DisplayArrayInTable(Fertiliser_SourceData.Fertiliser_Products_Data4(),FertiliserProducts[[#Headers],[Company]], 91)</f>
        <v/>
      </c>
      <c r="Q197" s="62" t="str" cm="1">
        <f t="array" ref="Q197">Common_InputFunctions.Utility_DisplayArrayInTable(Fertiliser_SourceData.Fertiliser_Products_Data4(),FertiliserProducts[[#Headers],[Company]], 91)</f>
        <v/>
      </c>
      <c r="R197" s="62" t="str" cm="1">
        <f t="array" ref="R197">Common_InputFunctions.Utility_DisplayArrayInTable(Fertiliser_SourceData.Fertiliser_Products_Data4(),FertiliserProducts[[#Headers],[Company]], 91)</f>
        <v/>
      </c>
      <c r="S197" s="62" t="str" cm="1">
        <f t="array" ref="S197">Common_InputFunctions.Utility_DisplayArrayInTable(Fertiliser_SourceData.Fertiliser_Products_Data4(),FertiliserProducts[[#Headers],[Company]], 91)</f>
        <v/>
      </c>
      <c r="T197" s="62" t="str" cm="1">
        <f t="array" ref="T197">Common_InputFunctions.Utility_DisplayArrayInTable(Fertiliser_SourceData.Fertiliser_Products_Data4(),FertiliserProducts[[#Headers],[Company]], 91)</f>
        <v/>
      </c>
      <c r="U197" s="62" t="str" cm="1">
        <f t="array" ref="U197">Common_InputFunctions.Utility_DisplayArrayInTable(Fertiliser_SourceData.Fertiliser_Products_Data4(),FertiliserProducts[[#Headers],[Company]], 91)</f>
        <v/>
      </c>
      <c r="V197" s="62" t="str" cm="1">
        <f t="array" ref="V197">Common_InputFunctions.Utility_DisplayArrayInTable(Fertiliser_SourceData.Fertiliser_Products_Data4(),FertiliserProducts[[#Headers],[Company]], 91)</f>
        <v/>
      </c>
      <c r="W197" s="62" t="str" cm="1">
        <f t="array" ref="W197">Common_InputFunctions.Utility_DisplayArrayInTable(Fertiliser_SourceData.Fertiliser_Products_Data4(),FertiliserProducts[[#Headers],[Company]], 91)</f>
        <v/>
      </c>
      <c r="X197" s="62" t="str" cm="1">
        <f t="array" ref="X197">Common_InputFunctions.Utility_DisplayArrayInTable(Fertiliser_SourceData.Fertiliser_Products_Data4(),FertiliserProducts[[#Headers],[Company]], 91)</f>
        <v/>
      </c>
      <c r="Y197" s="62" t="str" cm="1">
        <f t="array" ref="Y197">Common_InputFunctions.Utility_DisplayArrayInTable(Fertiliser_SourceData.Fertiliser_Products_Data4(),FertiliserProducts[[#Headers],[Company]], 91)</f>
        <v/>
      </c>
      <c r="Z197" s="62" t="str" cm="1">
        <f t="array" ref="Z197">Common_InputFunctions.Utility_DisplayArrayInTable(Fertiliser_SourceData.Fertiliser_Products_Data4(),FertiliserProducts[[#Headers],[Company]], 91)</f>
        <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
      </c>
      <c r="E198" s="62" t="str" cm="1">
        <f t="array" ref="E198">Common_InputFunctions.Utility_DisplayArrayInTable(Fertiliser_SourceData.Fertiliser_Products_Data4(),FertiliserProducts[[#Headers],[Company]], 91)</f>
        <v/>
      </c>
      <c r="F198" s="62" t="str" cm="1">
        <f t="array" ref="F198">Common_InputFunctions.Utility_DisplayArrayInTable(Fertiliser_SourceData.Fertiliser_Products_Data4(),FertiliserProducts[[#Headers],[Company]], 91)</f>
        <v/>
      </c>
      <c r="G198" s="62" t="str" cm="1">
        <f t="array" ref="G198">Common_InputFunctions.Utility_DisplayArrayInTable(Fertiliser_SourceData.Fertiliser_Products_Data4(),FertiliserProducts[[#Headers],[Company]], 91)</f>
        <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t="str" cm="1">
        <f t="array" ref="K198">Common_InputFunctions.Utility_DisplayArrayInTable(Fertiliser_SourceData.Fertiliser_Products_Data4(),FertiliserProducts[[#Headers],[Company]], 91)</f>
        <v/>
      </c>
      <c r="L198" s="62" t="str" cm="1">
        <f t="array" ref="L198">Common_InputFunctions.Utility_DisplayArrayInTable(Fertiliser_SourceData.Fertiliser_Products_Data4(),FertiliserProducts[[#Headers],[Company]], 91)</f>
        <v/>
      </c>
      <c r="M198" s="62" t="str" cm="1">
        <f t="array" ref="M198">Common_InputFunctions.Utility_DisplayArrayInTable(Fertiliser_SourceData.Fertiliser_Products_Data4(),FertiliserProducts[[#Headers],[Company]], 91)</f>
        <v/>
      </c>
      <c r="N198" s="62" t="str" cm="1">
        <f t="array" ref="N198">Common_InputFunctions.Utility_DisplayArrayInTable(Fertiliser_SourceData.Fertiliser_Products_Data4(),FertiliserProducts[[#Headers],[Company]], 91)</f>
        <v/>
      </c>
      <c r="O198" s="62" t="str" cm="1">
        <f t="array" ref="O198">Common_InputFunctions.Utility_DisplayArrayInTable(Fertiliser_SourceData.Fertiliser_Products_Data4(),FertiliserProducts[[#Headers],[Company]], 91)</f>
        <v/>
      </c>
      <c r="P198" s="62" t="str" cm="1">
        <f t="array" ref="P198">Common_InputFunctions.Utility_DisplayArrayInTable(Fertiliser_SourceData.Fertiliser_Products_Data4(),FertiliserProducts[[#Headers],[Company]], 91)</f>
        <v/>
      </c>
      <c r="Q198" s="62" t="str" cm="1">
        <f t="array" ref="Q198">Common_InputFunctions.Utility_DisplayArrayInTable(Fertiliser_SourceData.Fertiliser_Products_Data4(),FertiliserProducts[[#Headers],[Company]], 91)</f>
        <v/>
      </c>
      <c r="R198" s="62" t="str" cm="1">
        <f t="array" ref="R198">Common_InputFunctions.Utility_DisplayArrayInTable(Fertiliser_SourceData.Fertiliser_Products_Data4(),FertiliserProducts[[#Headers],[Company]], 91)</f>
        <v/>
      </c>
      <c r="S198" s="62" t="str" cm="1">
        <f t="array" ref="S198">Common_InputFunctions.Utility_DisplayArrayInTable(Fertiliser_SourceData.Fertiliser_Products_Data4(),FertiliserProducts[[#Headers],[Company]], 91)</f>
        <v/>
      </c>
      <c r="T198" s="62" t="str" cm="1">
        <f t="array" ref="T198">Common_InputFunctions.Utility_DisplayArrayInTable(Fertiliser_SourceData.Fertiliser_Products_Data4(),FertiliserProducts[[#Headers],[Company]], 91)</f>
        <v/>
      </c>
      <c r="U198" s="62" t="str" cm="1">
        <f t="array" ref="U198">Common_InputFunctions.Utility_DisplayArrayInTable(Fertiliser_SourceData.Fertiliser_Products_Data4(),FertiliserProducts[[#Headers],[Company]], 91)</f>
        <v/>
      </c>
      <c r="V198" s="62" t="str" cm="1">
        <f t="array" ref="V198">Common_InputFunctions.Utility_DisplayArrayInTable(Fertiliser_SourceData.Fertiliser_Products_Data4(),FertiliserProducts[[#Headers],[Company]], 91)</f>
        <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
      </c>
      <c r="E199" s="62" t="str" cm="1">
        <f t="array" ref="E199">Common_InputFunctions.Utility_DisplayArrayInTable(Fertiliser_SourceData.Fertiliser_Products_Data4(),FertiliserProducts[[#Headers],[Company]], 91)</f>
        <v/>
      </c>
      <c r="F199" s="62" t="str" cm="1">
        <f t="array" ref="F199">Common_InputFunctions.Utility_DisplayArrayInTable(Fertiliser_SourceData.Fertiliser_Products_Data4(),FertiliserProducts[[#Headers],[Company]], 91)</f>
        <v/>
      </c>
      <c r="G199" s="62" t="str" cm="1">
        <f t="array" ref="G199">Common_InputFunctions.Utility_DisplayArrayInTable(Fertiliser_SourceData.Fertiliser_Products_Data4(),FertiliserProducts[[#Headers],[Company]], 91)</f>
        <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t="str" cm="1">
        <f t="array" ref="L199">Common_InputFunctions.Utility_DisplayArrayInTable(Fertiliser_SourceData.Fertiliser_Products_Data4(),FertiliserProducts[[#Headers],[Company]], 91)</f>
        <v/>
      </c>
      <c r="M199" s="62" t="str" cm="1">
        <f t="array" ref="M199">Common_InputFunctions.Utility_DisplayArrayInTable(Fertiliser_SourceData.Fertiliser_Products_Data4(),FertiliserProducts[[#Headers],[Company]], 91)</f>
        <v/>
      </c>
      <c r="N199" s="62" t="str" cm="1">
        <f t="array" ref="N199">Common_InputFunctions.Utility_DisplayArrayInTable(Fertiliser_SourceData.Fertiliser_Products_Data4(),FertiliserProducts[[#Headers],[Company]], 91)</f>
        <v/>
      </c>
      <c r="O199" s="62" t="str" cm="1">
        <f t="array" ref="O199">Common_InputFunctions.Utility_DisplayArrayInTable(Fertiliser_SourceData.Fertiliser_Products_Data4(),FertiliserProducts[[#Headers],[Company]], 91)</f>
        <v/>
      </c>
      <c r="P199" s="62" t="str" cm="1">
        <f t="array" ref="P199">Common_InputFunctions.Utility_DisplayArrayInTable(Fertiliser_SourceData.Fertiliser_Products_Data4(),FertiliserProducts[[#Headers],[Company]], 91)</f>
        <v/>
      </c>
      <c r="Q199" s="62" t="str" cm="1">
        <f t="array" ref="Q199">Common_InputFunctions.Utility_DisplayArrayInTable(Fertiliser_SourceData.Fertiliser_Products_Data4(),FertiliserProducts[[#Headers],[Company]], 91)</f>
        <v/>
      </c>
      <c r="R199" s="62" t="str" cm="1">
        <f t="array" ref="R199">Common_InputFunctions.Utility_DisplayArrayInTable(Fertiliser_SourceData.Fertiliser_Products_Data4(),FertiliserProducts[[#Headers],[Company]], 91)</f>
        <v/>
      </c>
      <c r="S199" s="62" t="str" cm="1">
        <f t="array" ref="S199">Common_InputFunctions.Utility_DisplayArrayInTable(Fertiliser_SourceData.Fertiliser_Products_Data4(),FertiliserProducts[[#Headers],[Company]], 91)</f>
        <v/>
      </c>
      <c r="T199" s="62" t="str" cm="1">
        <f t="array" ref="T199">Common_InputFunctions.Utility_DisplayArrayInTable(Fertiliser_SourceData.Fertiliser_Products_Data4(),FertiliserProducts[[#Headers],[Company]], 91)</f>
        <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
      </c>
      <c r="E200" s="62" t="str" cm="1">
        <f t="array" ref="E200">Common_InputFunctions.Utility_DisplayArrayInTable(Fertiliser_SourceData.Fertiliser_Products_Data4(),FertiliserProducts[[#Headers],[Company]], 91)</f>
        <v/>
      </c>
      <c r="F200" s="62" t="str" cm="1">
        <f t="array" ref="F200">Common_InputFunctions.Utility_DisplayArrayInTable(Fertiliser_SourceData.Fertiliser_Products_Data4(),FertiliserProducts[[#Headers],[Company]], 91)</f>
        <v/>
      </c>
      <c r="G200" s="62" t="str" cm="1">
        <f t="array" ref="G200">Common_InputFunctions.Utility_DisplayArrayInTable(Fertiliser_SourceData.Fertiliser_Products_Data4(),FertiliserProducts[[#Headers],[Company]], 91)</f>
        <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t="str" cm="1">
        <f t="array" ref="N200">Common_InputFunctions.Utility_DisplayArrayInTable(Fertiliser_SourceData.Fertiliser_Products_Data4(),FertiliserProducts[[#Headers],[Company]], 91)</f>
        <v/>
      </c>
      <c r="O200" s="62" t="str" cm="1">
        <f t="array" ref="O200">Common_InputFunctions.Utility_DisplayArrayInTable(Fertiliser_SourceData.Fertiliser_Products_Data4(),FertiliserProducts[[#Headers],[Company]], 91)</f>
        <v/>
      </c>
      <c r="P200" s="62" t="str" cm="1">
        <f t="array" ref="P200">Common_InputFunctions.Utility_DisplayArrayInTable(Fertiliser_SourceData.Fertiliser_Products_Data4(),FertiliserProducts[[#Headers],[Company]], 91)</f>
        <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
      </c>
      <c r="E201" s="62" t="str" cm="1">
        <f t="array" ref="E201">Common_InputFunctions.Utility_DisplayArrayInTable(Fertiliser_SourceData.Fertiliser_Products_Data4(),FertiliserProducts[[#Headers],[Company]], 91)</f>
        <v/>
      </c>
      <c r="F201" s="62" t="str" cm="1">
        <f t="array" ref="F201">Common_InputFunctions.Utility_DisplayArrayInTable(Fertiliser_SourceData.Fertiliser_Products_Data4(),FertiliserProducts[[#Headers],[Company]], 91)</f>
        <v/>
      </c>
      <c r="G201" s="62" t="str" cm="1">
        <f t="array" ref="G201">Common_InputFunctions.Utility_DisplayArrayInTable(Fertiliser_SourceData.Fertiliser_Products_Data4(),FertiliserProducts[[#Headers],[Company]], 91)</f>
        <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t="str" cm="1">
        <f t="array" ref="K201">Common_InputFunctions.Utility_DisplayArrayInTable(Fertiliser_SourceData.Fertiliser_Products_Data4(),FertiliserProducts[[#Headers],[Company]], 91)</f>
        <v/>
      </c>
      <c r="L201" s="62" t="str" cm="1">
        <f t="array" ref="L201">Common_InputFunctions.Utility_DisplayArrayInTable(Fertiliser_SourceData.Fertiliser_Products_Data4(),FertiliserProducts[[#Headers],[Company]], 91)</f>
        <v/>
      </c>
      <c r="M201" s="62" t="str" cm="1">
        <f t="array" ref="M201">Common_InputFunctions.Utility_DisplayArrayInTable(Fertiliser_SourceData.Fertiliser_Products_Data4(),FertiliserProducts[[#Headers],[Company]], 91)</f>
        <v/>
      </c>
      <c r="N201" s="62" t="str" cm="1">
        <f t="array" ref="N201">Common_InputFunctions.Utility_DisplayArrayInTable(Fertiliser_SourceData.Fertiliser_Products_Data4(),FertiliserProducts[[#Headers],[Company]], 91)</f>
        <v/>
      </c>
      <c r="O201" s="62" t="str" cm="1">
        <f t="array" ref="O201">Common_InputFunctions.Utility_DisplayArrayInTable(Fertiliser_SourceData.Fertiliser_Products_Data4(),FertiliserProducts[[#Headers],[Company]], 91)</f>
        <v/>
      </c>
      <c r="P201" s="62" t="str" cm="1">
        <f t="array" ref="P201">Common_InputFunctions.Utility_DisplayArrayInTable(Fertiliser_SourceData.Fertiliser_Products_Data4(),FertiliserProducts[[#Headers],[Company]], 91)</f>
        <v/>
      </c>
      <c r="Q201" s="62" t="str" cm="1">
        <f t="array" ref="Q201">Common_InputFunctions.Utility_DisplayArrayInTable(Fertiliser_SourceData.Fertiliser_Products_Data4(),FertiliserProducts[[#Headers],[Company]], 91)</f>
        <v/>
      </c>
      <c r="R201" s="62" t="str" cm="1">
        <f t="array" ref="R201">Common_InputFunctions.Utility_DisplayArrayInTable(Fertiliser_SourceData.Fertiliser_Products_Data4(),FertiliserProducts[[#Headers],[Company]], 91)</f>
        <v/>
      </c>
      <c r="S201" s="62" t="str" cm="1">
        <f t="array" ref="S201">Common_InputFunctions.Utility_DisplayArrayInTable(Fertiliser_SourceData.Fertiliser_Products_Data4(),FertiliserProducts[[#Headers],[Company]], 91)</f>
        <v/>
      </c>
      <c r="T201" s="62" t="str" cm="1">
        <f t="array" ref="T201">Common_InputFunctions.Utility_DisplayArrayInTable(Fertiliser_SourceData.Fertiliser_Products_Data4(),FertiliserProducts[[#Headers],[Company]], 91)</f>
        <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
      </c>
      <c r="E202" s="62" t="str" cm="1">
        <f t="array" ref="E202">Common_InputFunctions.Utility_DisplayArrayInTable(Fertiliser_SourceData.Fertiliser_Products_Data4(),FertiliserProducts[[#Headers],[Company]], 91)</f>
        <v/>
      </c>
      <c r="F202" s="62" t="str" cm="1">
        <f t="array" ref="F202">Common_InputFunctions.Utility_DisplayArrayInTable(Fertiliser_SourceData.Fertiliser_Products_Data4(),FertiliserProducts[[#Headers],[Company]], 91)</f>
        <v/>
      </c>
      <c r="G202" s="62" t="str" cm="1">
        <f t="array" ref="G202">Common_InputFunctions.Utility_DisplayArrayInTable(Fertiliser_SourceData.Fertiliser_Products_Data4(),FertiliserProducts[[#Headers],[Company]], 91)</f>
        <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t="str" cm="1">
        <f t="array" ref="K202">Common_InputFunctions.Utility_DisplayArrayInTable(Fertiliser_SourceData.Fertiliser_Products_Data4(),FertiliserProducts[[#Headers],[Company]], 91)</f>
        <v/>
      </c>
      <c r="L202" s="62" t="str" cm="1">
        <f t="array" ref="L202">Common_InputFunctions.Utility_DisplayArrayInTable(Fertiliser_SourceData.Fertiliser_Products_Data4(),FertiliserProducts[[#Headers],[Company]], 91)</f>
        <v/>
      </c>
      <c r="M202" s="62" t="str" cm="1">
        <f t="array" ref="M202">Common_InputFunctions.Utility_DisplayArrayInTable(Fertiliser_SourceData.Fertiliser_Products_Data4(),FertiliserProducts[[#Headers],[Company]], 91)</f>
        <v/>
      </c>
      <c r="N202" s="62" t="str" cm="1">
        <f t="array" ref="N202">Common_InputFunctions.Utility_DisplayArrayInTable(Fertiliser_SourceData.Fertiliser_Products_Data4(),FertiliserProducts[[#Headers],[Company]], 91)</f>
        <v/>
      </c>
      <c r="O202" s="62" t="str" cm="1">
        <f t="array" ref="O202">Common_InputFunctions.Utility_DisplayArrayInTable(Fertiliser_SourceData.Fertiliser_Products_Data4(),FertiliserProducts[[#Headers],[Company]], 91)</f>
        <v/>
      </c>
      <c r="P202" s="62" t="str" cm="1">
        <f t="array" ref="P202">Common_InputFunctions.Utility_DisplayArrayInTable(Fertiliser_SourceData.Fertiliser_Products_Data4(),FertiliserProducts[[#Headers],[Company]], 91)</f>
        <v/>
      </c>
      <c r="Q202" s="62" t="str" cm="1">
        <f t="array" ref="Q202">Common_InputFunctions.Utility_DisplayArrayInTable(Fertiliser_SourceData.Fertiliser_Products_Data4(),FertiliserProducts[[#Headers],[Company]], 91)</f>
        <v/>
      </c>
      <c r="R202" s="62" t="str" cm="1">
        <f t="array" ref="R202">Common_InputFunctions.Utility_DisplayArrayInTable(Fertiliser_SourceData.Fertiliser_Products_Data4(),FertiliserProducts[[#Headers],[Company]], 91)</f>
        <v/>
      </c>
      <c r="S202" s="62" t="str" cm="1">
        <f t="array" ref="S202">Common_InputFunctions.Utility_DisplayArrayInTable(Fertiliser_SourceData.Fertiliser_Products_Data4(),FertiliserProducts[[#Headers],[Company]], 91)</f>
        <v/>
      </c>
      <c r="T202" s="62" t="str" cm="1">
        <f t="array" ref="T202">Common_InputFunctions.Utility_DisplayArrayInTable(Fertiliser_SourceData.Fertiliser_Products_Data4(),FertiliserProducts[[#Headers],[Company]], 91)</f>
        <v/>
      </c>
      <c r="U202" s="62" t="str" cm="1">
        <f t="array" ref="U202">Common_InputFunctions.Utility_DisplayArrayInTable(Fertiliser_SourceData.Fertiliser_Products_Data4(),FertiliserProducts[[#Headers],[Company]], 91)</f>
        <v/>
      </c>
      <c r="V202" s="62" t="str" cm="1">
        <f t="array" ref="V202">Common_InputFunctions.Utility_DisplayArrayInTable(Fertiliser_SourceData.Fertiliser_Products_Data4(),FertiliserProducts[[#Headers],[Company]], 91)</f>
        <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
      </c>
      <c r="E203" s="62" t="str" cm="1">
        <f t="array" ref="E203">Common_InputFunctions.Utility_DisplayArrayInTable(Fertiliser_SourceData.Fertiliser_Products_Data4(),FertiliserProducts[[#Headers],[Company]], 91)</f>
        <v/>
      </c>
      <c r="F203" s="62" t="str" cm="1">
        <f t="array" ref="F203">Common_InputFunctions.Utility_DisplayArrayInTable(Fertiliser_SourceData.Fertiliser_Products_Data4(),FertiliserProducts[[#Headers],[Company]], 91)</f>
        <v/>
      </c>
      <c r="G203" s="62" t="str" cm="1">
        <f t="array" ref="G203">Common_InputFunctions.Utility_DisplayArrayInTable(Fertiliser_SourceData.Fertiliser_Products_Data4(),FertiliserProducts[[#Headers],[Company]], 91)</f>
        <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t="str" cm="1">
        <f t="array" ref="K203">Common_InputFunctions.Utility_DisplayArrayInTable(Fertiliser_SourceData.Fertiliser_Products_Data4(),FertiliserProducts[[#Headers],[Company]], 91)</f>
        <v/>
      </c>
      <c r="L203" s="62" t="str" cm="1">
        <f t="array" ref="L203">Common_InputFunctions.Utility_DisplayArrayInTable(Fertiliser_SourceData.Fertiliser_Products_Data4(),FertiliserProducts[[#Headers],[Company]], 91)</f>
        <v/>
      </c>
      <c r="M203" s="62" t="str" cm="1">
        <f t="array" ref="M203">Common_InputFunctions.Utility_DisplayArrayInTable(Fertiliser_SourceData.Fertiliser_Products_Data4(),FertiliserProducts[[#Headers],[Company]], 91)</f>
        <v/>
      </c>
      <c r="N203" s="62" t="str" cm="1">
        <f t="array" ref="N203">Common_InputFunctions.Utility_DisplayArrayInTable(Fertiliser_SourceData.Fertiliser_Products_Data4(),FertiliserProducts[[#Headers],[Company]], 91)</f>
        <v/>
      </c>
      <c r="O203" s="62" t="str" cm="1">
        <f t="array" ref="O203">Common_InputFunctions.Utility_DisplayArrayInTable(Fertiliser_SourceData.Fertiliser_Products_Data4(),FertiliserProducts[[#Headers],[Company]], 91)</f>
        <v/>
      </c>
      <c r="P203" s="62" t="str" cm="1">
        <f t="array" ref="P203">Common_InputFunctions.Utility_DisplayArrayInTable(Fertiliser_SourceData.Fertiliser_Products_Data4(),FertiliserProducts[[#Headers],[Company]], 91)</f>
        <v/>
      </c>
      <c r="Q203" s="62" t="str" cm="1">
        <f t="array" ref="Q203">Common_InputFunctions.Utility_DisplayArrayInTable(Fertiliser_SourceData.Fertiliser_Products_Data4(),FertiliserProducts[[#Headers],[Company]], 91)</f>
        <v/>
      </c>
      <c r="R203" s="62" t="str" cm="1">
        <f t="array" ref="R203">Common_InputFunctions.Utility_DisplayArrayInTable(Fertiliser_SourceData.Fertiliser_Products_Data4(),FertiliserProducts[[#Headers],[Company]], 91)</f>
        <v/>
      </c>
      <c r="S203" s="62" t="str" cm="1">
        <f t="array" ref="S203">Common_InputFunctions.Utility_DisplayArrayInTable(Fertiliser_SourceData.Fertiliser_Products_Data4(),FertiliserProducts[[#Headers],[Company]], 91)</f>
        <v/>
      </c>
      <c r="T203" s="62" t="str" cm="1">
        <f t="array" ref="T203">Common_InputFunctions.Utility_DisplayArrayInTable(Fertiliser_SourceData.Fertiliser_Products_Data4(),FertiliserProducts[[#Headers],[Company]], 91)</f>
        <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
      </c>
      <c r="E204" s="62" t="str" cm="1">
        <f t="array" ref="E204">Common_InputFunctions.Utility_DisplayArrayInTable(Fertiliser_SourceData.Fertiliser_Products_Data4(),FertiliserProducts[[#Headers],[Company]], 91)</f>
        <v/>
      </c>
      <c r="F204" s="62" t="str" cm="1">
        <f t="array" ref="F204">Common_InputFunctions.Utility_DisplayArrayInTable(Fertiliser_SourceData.Fertiliser_Products_Data4(),FertiliserProducts[[#Headers],[Company]], 91)</f>
        <v/>
      </c>
      <c r="G204" s="62" t="str" cm="1">
        <f t="array" ref="G204">Common_InputFunctions.Utility_DisplayArrayInTable(Fertiliser_SourceData.Fertiliser_Products_Data4(),FertiliserProducts[[#Headers],[Company]], 91)</f>
        <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t="str" cm="1">
        <f t="array" ref="K204">Common_InputFunctions.Utility_DisplayArrayInTable(Fertiliser_SourceData.Fertiliser_Products_Data4(),FertiliserProducts[[#Headers],[Company]], 91)</f>
        <v/>
      </c>
      <c r="L204" s="62" t="str" cm="1">
        <f t="array" ref="L204">Common_InputFunctions.Utility_DisplayArrayInTable(Fertiliser_SourceData.Fertiliser_Products_Data4(),FertiliserProducts[[#Headers],[Company]], 91)</f>
        <v/>
      </c>
      <c r="M204" s="62" t="str" cm="1">
        <f t="array" ref="M204">Common_InputFunctions.Utility_DisplayArrayInTable(Fertiliser_SourceData.Fertiliser_Products_Data4(),FertiliserProducts[[#Headers],[Company]], 91)</f>
        <v/>
      </c>
      <c r="N204" s="62" t="str" cm="1">
        <f t="array" ref="N204">Common_InputFunctions.Utility_DisplayArrayInTable(Fertiliser_SourceData.Fertiliser_Products_Data4(),FertiliserProducts[[#Headers],[Company]], 91)</f>
        <v/>
      </c>
      <c r="O204" s="62" t="str" cm="1">
        <f t="array" ref="O204">Common_InputFunctions.Utility_DisplayArrayInTable(Fertiliser_SourceData.Fertiliser_Products_Data4(),FertiliserProducts[[#Headers],[Company]], 91)</f>
        <v/>
      </c>
      <c r="P204" s="62" t="str" cm="1">
        <f t="array" ref="P204">Common_InputFunctions.Utility_DisplayArrayInTable(Fertiliser_SourceData.Fertiliser_Products_Data4(),FertiliserProducts[[#Headers],[Company]], 91)</f>
        <v/>
      </c>
      <c r="Q204" s="62" t="str" cm="1">
        <f t="array" ref="Q204">Common_InputFunctions.Utility_DisplayArrayInTable(Fertiliser_SourceData.Fertiliser_Products_Data4(),FertiliserProducts[[#Headers],[Company]], 91)</f>
        <v/>
      </c>
      <c r="R204" s="62" t="str" cm="1">
        <f t="array" ref="R204">Common_InputFunctions.Utility_DisplayArrayInTable(Fertiliser_SourceData.Fertiliser_Products_Data4(),FertiliserProducts[[#Headers],[Company]], 91)</f>
        <v/>
      </c>
      <c r="S204" s="62" t="str" cm="1">
        <f t="array" ref="S204">Common_InputFunctions.Utility_DisplayArrayInTable(Fertiliser_SourceData.Fertiliser_Products_Data4(),FertiliserProducts[[#Headers],[Company]], 91)</f>
        <v/>
      </c>
      <c r="T204" s="62" t="str" cm="1">
        <f t="array" ref="T204">Common_InputFunctions.Utility_DisplayArrayInTable(Fertiliser_SourceData.Fertiliser_Products_Data4(),FertiliserProducts[[#Headers],[Company]], 91)</f>
        <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
      </c>
      <c r="E205" s="62" t="str" cm="1">
        <f t="array" ref="E205">Common_InputFunctions.Utility_DisplayArrayInTable(Fertiliser_SourceData.Fertiliser_Products_Data4(),FertiliserProducts[[#Headers],[Company]], 91)</f>
        <v/>
      </c>
      <c r="F205" s="62" t="str" cm="1">
        <f t="array" ref="F205">Common_InputFunctions.Utility_DisplayArrayInTable(Fertiliser_SourceData.Fertiliser_Products_Data4(),FertiliserProducts[[#Headers],[Company]], 91)</f>
        <v/>
      </c>
      <c r="G205" s="62" t="str" cm="1">
        <f t="array" ref="G205">Common_InputFunctions.Utility_DisplayArrayInTable(Fertiliser_SourceData.Fertiliser_Products_Data4(),FertiliserProducts[[#Headers],[Company]], 91)</f>
        <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t="str" cm="1">
        <f t="array" ref="K205">Common_InputFunctions.Utility_DisplayArrayInTable(Fertiliser_SourceData.Fertiliser_Products_Data4(),FertiliserProducts[[#Headers],[Company]], 91)</f>
        <v/>
      </c>
      <c r="L205" s="62" t="str" cm="1">
        <f t="array" ref="L205">Common_InputFunctions.Utility_DisplayArrayInTable(Fertiliser_SourceData.Fertiliser_Products_Data4(),FertiliserProducts[[#Headers],[Company]], 91)</f>
        <v/>
      </c>
      <c r="M205" s="62" t="str" cm="1">
        <f t="array" ref="M205">Common_InputFunctions.Utility_DisplayArrayInTable(Fertiliser_SourceData.Fertiliser_Products_Data4(),FertiliserProducts[[#Headers],[Company]], 91)</f>
        <v/>
      </c>
      <c r="N205" s="62" t="str" cm="1">
        <f t="array" ref="N205">Common_InputFunctions.Utility_DisplayArrayInTable(Fertiliser_SourceData.Fertiliser_Products_Data4(),FertiliserProducts[[#Headers],[Company]], 91)</f>
        <v/>
      </c>
      <c r="O205" s="62" t="str" cm="1">
        <f t="array" ref="O205">Common_InputFunctions.Utility_DisplayArrayInTable(Fertiliser_SourceData.Fertiliser_Products_Data4(),FertiliserProducts[[#Headers],[Company]], 91)</f>
        <v/>
      </c>
      <c r="P205" s="62" t="str" cm="1">
        <f t="array" ref="P205">Common_InputFunctions.Utility_DisplayArrayInTable(Fertiliser_SourceData.Fertiliser_Products_Data4(),FertiliserProducts[[#Headers],[Company]], 91)</f>
        <v/>
      </c>
      <c r="Q205" s="62" t="str" cm="1">
        <f t="array" ref="Q205">Common_InputFunctions.Utility_DisplayArrayInTable(Fertiliser_SourceData.Fertiliser_Products_Data4(),FertiliserProducts[[#Headers],[Company]], 91)</f>
        <v/>
      </c>
      <c r="R205" s="62" t="str" cm="1">
        <f t="array" ref="R205">Common_InputFunctions.Utility_DisplayArrayInTable(Fertiliser_SourceData.Fertiliser_Products_Data4(),FertiliserProducts[[#Headers],[Company]], 91)</f>
        <v/>
      </c>
      <c r="S205" s="62" t="str" cm="1">
        <f t="array" ref="S205">Common_InputFunctions.Utility_DisplayArrayInTable(Fertiliser_SourceData.Fertiliser_Products_Data4(),FertiliserProducts[[#Headers],[Company]], 91)</f>
        <v/>
      </c>
      <c r="T205" s="62" t="str" cm="1">
        <f t="array" ref="T205">Common_InputFunctions.Utility_DisplayArrayInTable(Fertiliser_SourceData.Fertiliser_Products_Data4(),FertiliserProducts[[#Headers],[Company]], 91)</f>
        <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
      </c>
      <c r="E206" s="62" t="str" cm="1">
        <f t="array" ref="E206">Common_InputFunctions.Utility_DisplayArrayInTable(Fertiliser_SourceData.Fertiliser_Products_Data4(),FertiliserProducts[[#Headers],[Company]], 91)</f>
        <v/>
      </c>
      <c r="F206" s="62" t="str" cm="1">
        <f t="array" ref="F206">Common_InputFunctions.Utility_DisplayArrayInTable(Fertiliser_SourceData.Fertiliser_Products_Data4(),FertiliserProducts[[#Headers],[Company]], 91)</f>
        <v/>
      </c>
      <c r="G206" s="62" t="str" cm="1">
        <f t="array" ref="G206">Common_InputFunctions.Utility_DisplayArrayInTable(Fertiliser_SourceData.Fertiliser_Products_Data4(),FertiliserProducts[[#Headers],[Company]], 91)</f>
        <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t="str" cm="1">
        <f t="array" ref="K206">Common_InputFunctions.Utility_DisplayArrayInTable(Fertiliser_SourceData.Fertiliser_Products_Data4(),FertiliserProducts[[#Headers],[Company]], 91)</f>
        <v/>
      </c>
      <c r="L206" s="62" t="str" cm="1">
        <f t="array" ref="L206">Common_InputFunctions.Utility_DisplayArrayInTable(Fertiliser_SourceData.Fertiliser_Products_Data4(),FertiliserProducts[[#Headers],[Company]], 91)</f>
        <v/>
      </c>
      <c r="M206" s="62" t="str" cm="1">
        <f t="array" ref="M206">Common_InputFunctions.Utility_DisplayArrayInTable(Fertiliser_SourceData.Fertiliser_Products_Data4(),FertiliserProducts[[#Headers],[Company]], 91)</f>
        <v/>
      </c>
      <c r="N206" s="62" t="str" cm="1">
        <f t="array" ref="N206">Common_InputFunctions.Utility_DisplayArrayInTable(Fertiliser_SourceData.Fertiliser_Products_Data4(),FertiliserProducts[[#Headers],[Company]], 91)</f>
        <v/>
      </c>
      <c r="O206" s="62" t="str" cm="1">
        <f t="array" ref="O206">Common_InputFunctions.Utility_DisplayArrayInTable(Fertiliser_SourceData.Fertiliser_Products_Data4(),FertiliserProducts[[#Headers],[Company]], 91)</f>
        <v/>
      </c>
      <c r="P206" s="62" t="str" cm="1">
        <f t="array" ref="P206">Common_InputFunctions.Utility_DisplayArrayInTable(Fertiliser_SourceData.Fertiliser_Products_Data4(),FertiliserProducts[[#Headers],[Company]], 91)</f>
        <v/>
      </c>
      <c r="Q206" s="62" t="str" cm="1">
        <f t="array" ref="Q206">Common_InputFunctions.Utility_DisplayArrayInTable(Fertiliser_SourceData.Fertiliser_Products_Data4(),FertiliserProducts[[#Headers],[Company]], 91)</f>
        <v/>
      </c>
      <c r="R206" s="62" t="str" cm="1">
        <f t="array" ref="R206">Common_InputFunctions.Utility_DisplayArrayInTable(Fertiliser_SourceData.Fertiliser_Products_Data4(),FertiliserProducts[[#Headers],[Company]], 91)</f>
        <v/>
      </c>
      <c r="S206" s="62" t="str" cm="1">
        <f t="array" ref="S206">Common_InputFunctions.Utility_DisplayArrayInTable(Fertiliser_SourceData.Fertiliser_Products_Data4(),FertiliserProducts[[#Headers],[Company]], 91)</f>
        <v/>
      </c>
      <c r="T206" s="62" t="str" cm="1">
        <f t="array" ref="T206">Common_InputFunctions.Utility_DisplayArrayInTable(Fertiliser_SourceData.Fertiliser_Products_Data4(),FertiliserProducts[[#Headers],[Company]], 91)</f>
        <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
      </c>
      <c r="E207" s="62" t="str" cm="1">
        <f t="array" ref="E207">Common_InputFunctions.Utility_DisplayArrayInTable(Fertiliser_SourceData.Fertiliser_Products_Data4(),FertiliserProducts[[#Headers],[Company]], 91)</f>
        <v/>
      </c>
      <c r="F207" s="62" t="str" cm="1">
        <f t="array" ref="F207">Common_InputFunctions.Utility_DisplayArrayInTable(Fertiliser_SourceData.Fertiliser_Products_Data4(),FertiliserProducts[[#Headers],[Company]], 91)</f>
        <v/>
      </c>
      <c r="G207" s="62" t="str" cm="1">
        <f t="array" ref="G207">Common_InputFunctions.Utility_DisplayArrayInTable(Fertiliser_SourceData.Fertiliser_Products_Data4(),FertiliserProducts[[#Headers],[Company]], 91)</f>
        <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t="str" cm="1">
        <f t="array" ref="K207">Common_InputFunctions.Utility_DisplayArrayInTable(Fertiliser_SourceData.Fertiliser_Products_Data4(),FertiliserProducts[[#Headers],[Company]], 91)</f>
        <v/>
      </c>
      <c r="L207" s="62" t="str" cm="1">
        <f t="array" ref="L207">Common_InputFunctions.Utility_DisplayArrayInTable(Fertiliser_SourceData.Fertiliser_Products_Data4(),FertiliserProducts[[#Headers],[Company]], 91)</f>
        <v/>
      </c>
      <c r="M207" s="62" t="str" cm="1">
        <f t="array" ref="M207">Common_InputFunctions.Utility_DisplayArrayInTable(Fertiliser_SourceData.Fertiliser_Products_Data4(),FertiliserProducts[[#Headers],[Company]], 91)</f>
        <v/>
      </c>
      <c r="N207" s="62" t="str" cm="1">
        <f t="array" ref="N207">Common_InputFunctions.Utility_DisplayArrayInTable(Fertiliser_SourceData.Fertiliser_Products_Data4(),FertiliserProducts[[#Headers],[Company]], 91)</f>
        <v/>
      </c>
      <c r="O207" s="62" t="str" cm="1">
        <f t="array" ref="O207">Common_InputFunctions.Utility_DisplayArrayInTable(Fertiliser_SourceData.Fertiliser_Products_Data4(),FertiliserProducts[[#Headers],[Company]], 91)</f>
        <v/>
      </c>
      <c r="P207" s="62" t="str" cm="1">
        <f t="array" ref="P207">Common_InputFunctions.Utility_DisplayArrayInTable(Fertiliser_SourceData.Fertiliser_Products_Data4(),FertiliserProducts[[#Headers],[Company]], 91)</f>
        <v/>
      </c>
      <c r="Q207" s="62" t="str" cm="1">
        <f t="array" ref="Q207">Common_InputFunctions.Utility_DisplayArrayInTable(Fertiliser_SourceData.Fertiliser_Products_Data4(),FertiliserProducts[[#Headers],[Company]], 91)</f>
        <v/>
      </c>
      <c r="R207" s="62" t="str" cm="1">
        <f t="array" ref="R207">Common_InputFunctions.Utility_DisplayArrayInTable(Fertiliser_SourceData.Fertiliser_Products_Data4(),FertiliserProducts[[#Headers],[Company]], 91)</f>
        <v/>
      </c>
      <c r="S207" s="62" t="str" cm="1">
        <f t="array" ref="S207">Common_InputFunctions.Utility_DisplayArrayInTable(Fertiliser_SourceData.Fertiliser_Products_Data4(),FertiliserProducts[[#Headers],[Company]], 91)</f>
        <v/>
      </c>
      <c r="T207" s="62" t="str" cm="1">
        <f t="array" ref="T207">Common_InputFunctions.Utility_DisplayArrayInTable(Fertiliser_SourceData.Fertiliser_Products_Data4(),FertiliserProducts[[#Headers],[Company]], 91)</f>
        <v/>
      </c>
      <c r="U207" s="62" t="str" cm="1">
        <f t="array" ref="U207">Common_InputFunctions.Utility_DisplayArrayInTable(Fertiliser_SourceData.Fertiliser_Products_Data4(),FertiliserProducts[[#Headers],[Company]], 91)</f>
        <v/>
      </c>
      <c r="V207" s="62" t="str" cm="1">
        <f t="array" ref="V207">Common_InputFunctions.Utility_DisplayArrayInTable(Fertiliser_SourceData.Fertiliser_Products_Data4(),FertiliserProducts[[#Headers],[Company]], 91)</f>
        <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
      </c>
      <c r="E208" s="62" t="str" cm="1">
        <f t="array" ref="E208">Common_InputFunctions.Utility_DisplayArrayInTable(Fertiliser_SourceData.Fertiliser_Products_Data4(),FertiliserProducts[[#Headers],[Company]], 91)</f>
        <v/>
      </c>
      <c r="F208" s="62" t="str" cm="1">
        <f t="array" ref="F208">Common_InputFunctions.Utility_DisplayArrayInTable(Fertiliser_SourceData.Fertiliser_Products_Data4(),FertiliserProducts[[#Headers],[Company]], 91)</f>
        <v/>
      </c>
      <c r="G208" s="62" t="str" cm="1">
        <f t="array" ref="G208">Common_InputFunctions.Utility_DisplayArrayInTable(Fertiliser_SourceData.Fertiliser_Products_Data4(),FertiliserProducts[[#Headers],[Company]], 91)</f>
        <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t="str" cm="1">
        <f t="array" ref="K208">Common_InputFunctions.Utility_DisplayArrayInTable(Fertiliser_SourceData.Fertiliser_Products_Data4(),FertiliserProducts[[#Headers],[Company]], 91)</f>
        <v/>
      </c>
      <c r="L208" s="62" t="str" cm="1">
        <f t="array" ref="L208">Common_InputFunctions.Utility_DisplayArrayInTable(Fertiliser_SourceData.Fertiliser_Products_Data4(),FertiliserProducts[[#Headers],[Company]], 91)</f>
        <v/>
      </c>
      <c r="M208" s="62" t="str" cm="1">
        <f t="array" ref="M208">Common_InputFunctions.Utility_DisplayArrayInTable(Fertiliser_SourceData.Fertiliser_Products_Data4(),FertiliserProducts[[#Headers],[Company]], 91)</f>
        <v/>
      </c>
      <c r="N208" s="62" t="str" cm="1">
        <f t="array" ref="N208">Common_InputFunctions.Utility_DisplayArrayInTable(Fertiliser_SourceData.Fertiliser_Products_Data4(),FertiliserProducts[[#Headers],[Company]], 91)</f>
        <v/>
      </c>
      <c r="O208" s="62" t="str" cm="1">
        <f t="array" ref="O208">Common_InputFunctions.Utility_DisplayArrayInTable(Fertiliser_SourceData.Fertiliser_Products_Data4(),FertiliserProducts[[#Headers],[Company]], 91)</f>
        <v/>
      </c>
      <c r="P208" s="62" t="str" cm="1">
        <f t="array" ref="P208">Common_InputFunctions.Utility_DisplayArrayInTable(Fertiliser_SourceData.Fertiliser_Products_Data4(),FertiliserProducts[[#Headers],[Company]], 91)</f>
        <v/>
      </c>
      <c r="Q208" s="62" t="str" cm="1">
        <f t="array" ref="Q208">Common_InputFunctions.Utility_DisplayArrayInTable(Fertiliser_SourceData.Fertiliser_Products_Data4(),FertiliserProducts[[#Headers],[Company]], 91)</f>
        <v/>
      </c>
      <c r="R208" s="62" t="str" cm="1">
        <f t="array" ref="R208">Common_InputFunctions.Utility_DisplayArrayInTable(Fertiliser_SourceData.Fertiliser_Products_Data4(),FertiliserProducts[[#Headers],[Company]], 91)</f>
        <v/>
      </c>
      <c r="S208" s="62" t="str" cm="1">
        <f t="array" ref="S208">Common_InputFunctions.Utility_DisplayArrayInTable(Fertiliser_SourceData.Fertiliser_Products_Data4(),FertiliserProducts[[#Headers],[Company]], 91)</f>
        <v/>
      </c>
      <c r="T208" s="62" t="str" cm="1">
        <f t="array" ref="T208">Common_InputFunctions.Utility_DisplayArrayInTable(Fertiliser_SourceData.Fertiliser_Products_Data4(),FertiliserProducts[[#Headers],[Company]], 91)</f>
        <v/>
      </c>
      <c r="U208" s="62" t="str" cm="1">
        <f t="array" ref="U208">Common_InputFunctions.Utility_DisplayArrayInTable(Fertiliser_SourceData.Fertiliser_Products_Data4(),FertiliserProducts[[#Headers],[Company]], 91)</f>
        <v/>
      </c>
      <c r="V208" s="62" t="str" cm="1">
        <f t="array" ref="V208">Common_InputFunctions.Utility_DisplayArrayInTable(Fertiliser_SourceData.Fertiliser_Products_Data4(),FertiliserProducts[[#Headers],[Company]], 91)</f>
        <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
      </c>
      <c r="E209" s="62" t="str" cm="1">
        <f t="array" ref="E209">Common_InputFunctions.Utility_DisplayArrayInTable(Fertiliser_SourceData.Fertiliser_Products_Data4(),FertiliserProducts[[#Headers],[Company]], 91)</f>
        <v/>
      </c>
      <c r="F209" s="62" t="str" cm="1">
        <f t="array" ref="F209">Common_InputFunctions.Utility_DisplayArrayInTable(Fertiliser_SourceData.Fertiliser_Products_Data4(),FertiliserProducts[[#Headers],[Company]], 91)</f>
        <v/>
      </c>
      <c r="G209" s="62" t="str" cm="1">
        <f t="array" ref="G209">Common_InputFunctions.Utility_DisplayArrayInTable(Fertiliser_SourceData.Fertiliser_Products_Data4(),FertiliserProducts[[#Headers],[Company]], 91)</f>
        <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t="str" cm="1">
        <f t="array" ref="K209">Common_InputFunctions.Utility_DisplayArrayInTable(Fertiliser_SourceData.Fertiliser_Products_Data4(),FertiliserProducts[[#Headers],[Company]], 91)</f>
        <v/>
      </c>
      <c r="L209" s="62" t="str" cm="1">
        <f t="array" ref="L209">Common_InputFunctions.Utility_DisplayArrayInTable(Fertiliser_SourceData.Fertiliser_Products_Data4(),FertiliserProducts[[#Headers],[Company]], 91)</f>
        <v/>
      </c>
      <c r="M209" s="62" t="str" cm="1">
        <f t="array" ref="M209">Common_InputFunctions.Utility_DisplayArrayInTable(Fertiliser_SourceData.Fertiliser_Products_Data4(),FertiliserProducts[[#Headers],[Company]], 91)</f>
        <v/>
      </c>
      <c r="N209" s="62" t="str" cm="1">
        <f t="array" ref="N209">Common_InputFunctions.Utility_DisplayArrayInTable(Fertiliser_SourceData.Fertiliser_Products_Data4(),FertiliserProducts[[#Headers],[Company]], 91)</f>
        <v/>
      </c>
      <c r="O209" s="62" t="str" cm="1">
        <f t="array" ref="O209">Common_InputFunctions.Utility_DisplayArrayInTable(Fertiliser_SourceData.Fertiliser_Products_Data4(),FertiliserProducts[[#Headers],[Company]], 91)</f>
        <v/>
      </c>
      <c r="P209" s="62" t="str" cm="1">
        <f t="array" ref="P209">Common_InputFunctions.Utility_DisplayArrayInTable(Fertiliser_SourceData.Fertiliser_Products_Data4(),FertiliserProducts[[#Headers],[Company]], 91)</f>
        <v/>
      </c>
      <c r="Q209" s="62" t="str" cm="1">
        <f t="array" ref="Q209">Common_InputFunctions.Utility_DisplayArrayInTable(Fertiliser_SourceData.Fertiliser_Products_Data4(),FertiliserProducts[[#Headers],[Company]], 91)</f>
        <v/>
      </c>
      <c r="R209" s="62" t="str" cm="1">
        <f t="array" ref="R209">Common_InputFunctions.Utility_DisplayArrayInTable(Fertiliser_SourceData.Fertiliser_Products_Data4(),FertiliserProducts[[#Headers],[Company]], 91)</f>
        <v/>
      </c>
      <c r="S209" s="62" t="str" cm="1">
        <f t="array" ref="S209">Common_InputFunctions.Utility_DisplayArrayInTable(Fertiliser_SourceData.Fertiliser_Products_Data4(),FertiliserProducts[[#Headers],[Company]], 91)</f>
        <v/>
      </c>
      <c r="T209" s="62" t="str" cm="1">
        <f t="array" ref="T209">Common_InputFunctions.Utility_DisplayArrayInTable(Fertiliser_SourceData.Fertiliser_Products_Data4(),FertiliserProducts[[#Headers],[Company]], 91)</f>
        <v/>
      </c>
      <c r="U209" s="62" t="str" cm="1">
        <f t="array" ref="U209">Common_InputFunctions.Utility_DisplayArrayInTable(Fertiliser_SourceData.Fertiliser_Products_Data4(),FertiliserProducts[[#Headers],[Company]], 91)</f>
        <v/>
      </c>
      <c r="V209" s="62" t="str" cm="1">
        <f t="array" ref="V209">Common_InputFunctions.Utility_DisplayArrayInTable(Fertiliser_SourceData.Fertiliser_Products_Data4(),FertiliserProducts[[#Headers],[Company]], 91)</f>
        <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6C0A-D97F-488B-9899-7AD990724AEF}">
  <dimension ref="A1:AI165"/>
  <sheetViews>
    <sheetView showGridLines="0" topLeftCell="A7" workbookViewId="0" zoomScale="100" zoomScaleNormal="10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217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218</v>
      </c>
      <c r="E9" s="25" t="s">
        <v>219</v>
      </c>
      <c r="F9" s="25" t="s">
        <v>220</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Common farm inputs'!A1", "Common farm inputs")</f>
        <v>Common 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Processing inputs'!A1", "Processing inputs")</f>
        <v>Processing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Crop pasture farm input'!A1", "Crop pasture farm input")</f>
        <v>Crop pasture farm input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Hort farm Inputs'!A1", "Hort farm Inputs")</f>
        <v>Hort farm Inputs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Livestock farm Inputs'!A1", "Livestock farm Inputs")</f>
        <v>Livestock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Aquaculture inputs'!A1", "Aquaculture inputs")</f>
        <v>Aquaculture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Beef cattle purchases'!A1", "Beef cattle purchases")</f>
        <v>Beef cattle purchases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Dairy cattle purchases'!A1", "Dairy cattle purchases")</f>
        <v>Dairy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Pig purchases'!A1", "Pig purchases")</f>
        <v>Pig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Poultry purchases'!A1", "Poultry purchases")</f>
        <v>Poultry purchases</v>
      </c>
    </row>
    <row r="21" spans="1:8" ht="20.100000000000001" customHeight="1" x14ac:dyDescent="0.25">
      <c r="A21" s="16" t="str">
        <f>HYPERLINK("#'Input - Freight'!A1", "Freight")</f>
        <v>Freight</v>
      </c>
      <c r="D21" s="9" t="str" cm="1">
        <f t="array" ref="D21">Electricity_SourceData.Electricity_Scope2Scope3MarketBased_Title()</f>
        <v>Electricity scope 2 and scope 3 market-based emission factors</v>
      </c>
    </row>
    <row r="22" spans="1:8" ht="20.100000000000001" customHeight="1" x14ac:dyDescent="0.25">
      <c r="A22" s="16" t="str">
        <f>HYPERLINK("#'Input - Solid waste'!A1", "Solid waste")</f>
        <v>Solid waste</v>
      </c>
      <c r="D22" s="11" t="str" cm="1">
        <f t="array" ref="D22">Electricity_SourceData.Electricity_Scope2Scope3MarketBased_Source()</f>
        <v>Australian National Greenhouse Accounts Factors 2025 - Table 2a</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62" t="s">
        <v>218</v>
      </c>
      <c r="E24" s="62" t="s">
        <v>221</v>
      </c>
      <c r="F24" s="62" t="s">
        <v>222</v>
      </c>
      <c r="G24" s="62" t="s">
        <v>223</v>
      </c>
      <c r="H24" s="62" t="s">
        <v>224</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 t="s">
        <v>77</v>
      </c>
    </row>
    <row r="28" spans="1:8" ht="20.100000000000001" customHeight="1" x14ac:dyDescent="0.25">
      <c r="A28" s="16" t="str">
        <f>HYPERLINK("#'15 Scope 3'!A1", "15 Scope 3")</f>
        <v>15 Scope 3</v>
      </c>
    </row>
    <row r="29" spans="1:8" ht="20.100000000000001" customHeight="1" x14ac:dyDescent="0.25">
      <c r="A29" s="16" t="str">
        <f>HYPERLINK("#'10.1.1-2 Solid waste treatment'!A1", "10.1.1-2 Solid waste treatment")</f>
        <v>10.1.1-2 Solid waste treatment</v>
      </c>
    </row>
    <row r="30" spans="1:8" ht="20.100000000000001" customHeight="1" x14ac:dyDescent="0.25">
      <c r="A30" s="16" t="str">
        <f>HYPERLINK("#'Calcs - Manure sent off-site'!A1", "Calcs - Manure sent off-site")</f>
        <v>Calcs - Manure sent off-site</v>
      </c>
    </row>
    <row r="31" spans="1:8" ht="20.100000000000001" customHeight="1" x14ac:dyDescent="0.25">
      <c r="A31" s="16" t="str">
        <f>HYPERLINK("#'8.1.1.1-2 Transport fuel'!A1", "8.1.1.1-2 Transport fuel")</f>
        <v>8.1.1.1-2 Transport fuel</v>
      </c>
    </row>
    <row r="32" spans="1:8" ht="20.100000000000001" customHeight="1" x14ac:dyDescent="0.25">
      <c r="A32" s="16" t="str">
        <f>HYPERLINK("#'8.2.1.1-2 Stationary fuel'!A1", "8.2.1.1-2 Stationary fuel")</f>
        <v>8.2.1.1-2 Stationary fuel</v>
      </c>
    </row>
    <row r="33" spans="1:1" ht="20.100000000000001" customHeight="1" x14ac:dyDescent="0.25">
      <c r="A33"/>
    </row>
    <row r="34" spans="1:1" ht="20.100000000000001" customHeight="1" x14ac:dyDescent="0.25">
      <c r="A34"/>
    </row>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23"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5F11C-F7AB-4D7C-AA2A-14E3CBD583F4}">
  <sheetPr>
    <tabColor theme="2" tint="-0.499984740745262"/>
  </sheetPr>
  <dimension ref="A1:BY297"/>
  <sheetViews>
    <sheetView showGridLines="0" topLeftCell="A239" workbookViewId="0" zoomScale="100" zoomScaleNormal="100">
      <selection activeCell="A46" sqref="A46"/>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Common farm inputs'!A1", "Common farm inputs")</f>
        <v>Common 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Processing inputs'!A1", "Processing inputs")</f>
        <v>Processing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Crop pasture farm input'!A1", "Crop pasture farm input")</f>
        <v>Crop pasture farm input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Hort farm Inputs'!A1", "Hort farm Inputs")</f>
        <v>Hort farm Inputs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Livestock farm Inputs'!A1", "Livestock farm Inputs")</f>
        <v>Livestock farm Inputs</v>
      </c>
    </row>
    <row r="16" spans="1:65" ht="20.100000000000001" customHeight="1" x14ac:dyDescent="0.25">
      <c r="A16" s="16" t="str">
        <f>HYPERLINK("#'Input - Aquaculture inputs'!A1", "Aquaculture inputs")</f>
        <v>Aquaculture inputs</v>
      </c>
    </row>
    <row r="17" spans="1:4" ht="20.100000000000001" customHeight="1" x14ac:dyDescent="0.25">
      <c r="A17" s="16" t="str">
        <f>HYPERLINK("#'Input - Beef cattle purchases'!A1", "Beef cattle purchases")</f>
        <v>Beef cattle purchases</v>
      </c>
    </row>
    <row r="18" spans="1:4" ht="20.100000000000001" customHeight="1" x14ac:dyDescent="0.25">
      <c r="A18" s="16" t="str">
        <f>HYPERLINK("#'Input - Dairy cattle purchases'!A1", "Dairy cattle purchases")</f>
        <v>Dairy cattle purchases</v>
      </c>
      <c r="D18" s="9" t="str" cm="1">
        <f t="array" ref="D18">Common_SourceData.Common_SourceData_WASA4Areas_Title()</f>
        <v>ABS Statistcal Areas Level 4 - Western Australia</v>
      </c>
    </row>
    <row r="19" spans="1:4" ht="20.100000000000001" customHeight="1" x14ac:dyDescent="0.25">
      <c r="A19" s="16" t="str">
        <f>HYPERLINK("#'Input - Pig purchases'!A1", "Pig purchases")</f>
        <v>Pig purchases</v>
      </c>
      <c r="D19" s="11" t="str" cm="1">
        <f t="array" ref="D19">Common_SourceData.Common_SourceData_WASA4Areas_Source()</f>
        <v>Australian Bureau of Statistics (ABS) - Statistical Areas Level 2 - 2021 - Shapefile</v>
      </c>
    </row>
    <row r="20" spans="1:4" ht="20.100000000000001" customHeight="1" x14ac:dyDescent="0.25">
      <c r="A20" s="16" t="str">
        <f>HYPERLINK("#'Input - Poultry purchases'!A1", "Poultry purchases")</f>
        <v>Poultry purchases</v>
      </c>
      <c r="D20" s="10" t="s">
        <v>4</v>
      </c>
    </row>
    <row r="21" spans="1:4" ht="20.100000000000001" customHeight="1" x14ac:dyDescent="0.25">
      <c r="A21" s="16" t="str">
        <f>HYPERLINK("#'Input - Freight'!A1", "Freight")</f>
        <v>Freight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HYPERLINK("#'Input - Solid waste'!A1", "Solid waste")</f>
        <v>Solid waste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HYPERLINK("#'Input - Manure sent off-site'!A1", "Manure sent off-site")</f>
        <v>Manure sent off-site</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HYPERLINK("#'Input - Electricity'!A1", "Electricity")</f>
        <v>Electricity</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1" t="s">
        <v>77</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HYPERLINK("#'15 Scope 3'!A1", "15 Scope 3")</f>
        <v>15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HYPERLINK("#'10.1.1-2 Solid waste treatment'!A1", "10.1.1-2 Solid waste treatment")</f>
        <v>10.1.1-2 Solid waste treatment</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HYPERLINK("#'Calcs - Manure sent off-site'!A1", "Calcs - Manure sent off-site")</f>
        <v>Calcs - Manure sent off-site</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HYPERLINK("#'8.1.1.1-2 Transport fuel'!A1", "8.1.1.1-2 Transport fuel")</f>
        <v>8.1.1.1-2 Transport fuel</v>
      </c>
    </row>
    <row r="32" spans="1:4" ht="20.100000000000001" customHeight="1" x14ac:dyDescent="0.25">
      <c r="A32" s="16" t="str">
        <f>HYPERLINK("#'8.2.1.1-2 Stationary fuel'!A1", "8.2.1.1-2 Stationary fuel")</f>
        <v>8.2.1.1-2 Stationary fuel</v>
      </c>
    </row>
    <row r="33" spans="1:8" ht="20.100000000000001" customHeight="1" x14ac:dyDescent="0.25">
      <c r="A33"/>
    </row>
    <row r="34" spans="1:8" ht="20.100000000000001" customHeight="1" x14ac:dyDescent="0.25">
      <c r="A34"/>
      <c r="D34" s="9" t="str" cm="1">
        <f t="array" ref="D34">Common_SourceData.Common_SourceData_GWP_Title()</f>
        <v>Global warming potential for greenhouse gases</v>
      </c>
    </row>
    <row r="35" spans="1:8" ht="20.100000000000001" customHeight="1" x14ac:dyDescent="0.25">
      <c r="A35" s="222" t="s">
        <v>78</v>
      </c>
      <c r="D35" s="11" t="str" cm="1">
        <f t="array" ref="D35">Common_SourceData.Common_SourceData_GWP_Source()</f>
        <v>XXXXXXX</v>
      </c>
    </row>
    <row r="36" spans="1:8" ht="20.100000000000001" customHeight="1" x14ac:dyDescent="0.25">
      <c r="A36" s="16" t="str">
        <f>HYPERLINK("#'Constants - Scope 3'!A1", "Constants - Scope 3")</f>
        <v>Constants - Scope 3</v>
      </c>
      <c r="D36" s="10" t="s">
        <v>5</v>
      </c>
      <c r="E36" s="10" t="s">
        <v>6</v>
      </c>
    </row>
    <row r="37" spans="1:8" ht="20.100000000000001" customHeight="1" x14ac:dyDescent="0.25">
      <c r="A37" s="16" t="str">
        <f>HYPERLINK("#'Constants - Solid Waste'!A1", "Constants - Solid Waste")</f>
        <v>Constants - Solid Waste</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Fuel'!A1", "Constants - Fuel")</f>
        <v>Constants - Fuel</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Poultry'!A1", "Constants - Poultry")</f>
        <v>Constants - Poultry</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Swine'!A1", "Constants - Swine")</f>
        <v>Constants - Swine</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16" t="str">
        <f>HYPERLINK("#'Constants - Dairy'!A1", "Constants - Dairy")</f>
        <v>Constants - Dairy</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16" t="str">
        <f>HYPERLINK("#'Constants - Pasture Beef'!A1", "Constants - Pasture Beef")</f>
        <v>Constants - Pasture Beef</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16" t="str">
        <f>HYPERLINK("#'Constants - Common Livestock'!A1", "Constants - Common Livestock")</f>
        <v>Constants - Common Livestock</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c r="D45" s="9" t="str" cm="1">
        <f t="array" ref="D45">Common_SourceData.Common_SourceData_ConvertGasElementalToMolecular_Title()</f>
        <v>Factor to convert elemental mass of gas to molecular mass</v>
      </c>
    </row>
    <row r="46" spans="1:8" ht="20.100000000000001" customHeight="1" x14ac:dyDescent="0.25">
      <c r="A46" s="23" t="str">
        <f>HYPERLINK("#'Constants - Common'!A1", "Constants - Common")</f>
        <v>Constants - Common</v>
      </c>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242</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242</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242</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242</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LwAqAFwAbgBGAGUAcgB0AGkAbABpAHMAZQByACAAcAByAG8AZAB1AGMAdAAgAGQAYQB0AGEAIAAtACAARQB4AGMAZQBsACAATQBBAEsARQBBAFIAUgBBAFkAIABlAHgAcABvAHIAdABcAG4ALQAtAC0ALQAtAC0ALQAtAC0ALQAtAC0ALQAtAC0ALQAtAC0ALQAtAC0ALQAtAC0ALQAtAC0ALQAtAC0ALQAtAC0ALQAtAC0ALQAtAC0ALQAtAC0ALQAtAC0ALQAtAC0ALQAtAC0ALQAtAC0ALQAtAC0ALQAtAC0AXABuAFAAcgBvAGQAdQBjAHQAcwA6ACAAMQAzADQAIAAoAEkAbgBjAGwAdQBkAGUAIABvAG4AbAB5ADsAIABjAG8AbQBiAGkAbgBlAGQAIABmAHIAbwBtACAAbQBhAGkAbgAgACsAIABiAGEAdABjAGgAIAAxACAAKwAgAGIAYQB0AGMAaAAgADIAIAB3AG8AcgBrAGIAbwBvAGsAcwApAFwAbgBBAHIAcgBhAHkAcwA6ACAANQAgAHwAIABSAG8AdwBzACAAcABlAHIAIABhAHIAcgBhAHkAOgAgADMAMAAgACgAZgBpAG4AYQBsACAAYQByAHIAYQB5ADoAIAAxADQAKQAgAHwAIABDAG8AbAB1AG0AbgBzADoAIAAzADEAXABuAFwAbgBFAHgAYwBsAHUAZABlAGQAIABjAG8AbAB1AG0AbgBzADoAIABJAG4AYwBsAHUAZABlACAAbwByACAAZQB4AGMAbAB1AGQAZQAsACAAQQBuAGEAbAB5AHMAaQBzACAAYgBhAHMAZQAsACAAQQBuAGEAbAB5AHMAaQBzACAAcwBvAHUAcgBjAGUALAAgAEEAbgBhAGwAeQBzAGkAcwAgAGYAbABhAGcALAAgAE4AbwB0AGUAcwAsACAATABpAG4AawAsACAARABhAHQAYQAgAHMAbwB1AHIAYwBlACwAIABFAE4ARAAgAFIATwBXAC4AXABuAEkAbgBnAHIAZQBkAGkAZQBuAHQAIABwAGUAcgBjAGUAbgB0ACAAdgBhAGwAdQBlAHMAIABhAHIAZQAgAGUAdgBhAGwAdQBhAHQAZQBkACAAZABlAGMAaQBtAGEAbAAgAGYAcgBhAGMAdABpAG8AbgBzACAAKAA9ADQANgAvADEAMAAwACAALQBcAHUAMAAwADMAZQ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BcAG4AIAAgADEANgAuACAASQBuAGcAcgBlAGQAaQBlAG4AdAAgADMAXABuACAAIAAxADcALgAgAEkAbgBnAHIAZQBkAGkAZQBuAHQAIAAzACAAcABlAHIAYwBlAG4AdABcAG4AIAAgADEAOAAuACAASQBuAGcAcgBlAGQAaQBlAG4AdAAgADQAXABuACAAIAAxADkALgAgAEkAbgBnAHIAZQBkAGkAZQBuAHQAIAA0ACAAcABlAHIAYwBlAG4AdABcAG4AIAAgADIAMAAuACAASQBuAGcAcgBlAGQAaQBlAG4AdAAgADUAXABuACAAIAAyADEALgAgAEkAbgBnAHIAZQBkAGkAZQBuAHQAIAA1ACAAcABlAHIAYwBlAG4AdABcAG4AIAAgADIAMgAuACAASQBuAGcAcgBlAGQAaQBlAG4AdAAgADYAXABuACAAIAAyADMALgAgAEkAbgBnAHIAZQBkAGkAZQBuAHQAIAA2ACAAcABlAHIAYwBlAG4AdABcAG4AIAAgADIANAAuACAASQBuAGcAcgBlAGQAaQBlAG4AdAAgADcAXABuACAAIAAyADUALgAgAEkAbgBnAHIAZQBkAGkAZQBuAHQAIAA3ACAAcABlAHIAYwBlAG4AdABcAG4AIAAgADIANgAuACAASQBuAGcAcgBlAGQAaQBlAG4AdAAgADgAXABuACAAIAAyADcALgAgAEkAbgBnAHIAZQBkAGkAZQBuAHQAIAA4ACAAcABlAHIAYwBlAG4AdABcAG4AIAAgADIAOAAuACAASQBuAGcAcgBlAGQAaQBlAG4AdAAgADkAXABuACAAIAAyADkALgAgAEkAbgBnAHIAZQBkAGkAZQBuAHQAIAA5ACAAcABlAHIAYwBlAG4AdABcAG4AIAAgADMAMAAuACAASQBuAGcAcgBlAGQAaQBlAG4AdAAgADEAMABcAG4AIAAgADMAMQAuACAASQBuAGcAcgBlAGQAaQBlAG4AdAAgADEAMAAgAHAAZQByAGMAZQBuAHQAXABuACAAIABcAG4ALQAtAC0ALQAtAC0ALQAtAC0ALQAtAC0ALQAtAC0ALQAtAC0ALQAtAC0ALQAtAC0ALQAtAC0ALQAtAC0ALQAtAC0ALQAtAC0ALQAtAC0ALQAtAC0ALQAtAC0ALQAtAC0ALQAtAC0ALQAtAC0ALQAtAC0ALQAtAC0AXABuACoALwBcAG4AXABuAEYAZQByAHQAaQBsAGkAcwBlAHIAXwBQAHIAbwBkAHUAYwB0AHMAXwBEAGEAdABhADEAXABuAD0ATABBAE0AQgBEAEEAKABcAG4AIABNAEEASwBFAEEAUgBSAEEAWQAoADMAMAAsACAAMwAxACwAXABuACAATABBAE0AQgBEAEEAKAByACwAYwAsAFwAbgAgACAASQBOAEQARQBYACgAewBcAG4AXAAiAEMAYQBtAHAAYgBlAGwAbABzACAAZgBlAHIAdABpAGwAaQBzAGUAcgBzACAAQQB1AHMAdAByAGEAbABpAGEAXAAiACwAXAAiAEEAcQB1AGEAIABGAGkAbgBpAHMAaABcACIALABcACIATABcACIALAAxAC4AMgA2ACwAXAAiAFwAIgAsAFwAIgBcACIALABcACIAXAAiACwAMgAuADYALAA0ACwAMgAyAC4ANQ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HAHIAbwB3AFwAIgAsAFwAIgBMAFwAIgAsADEALgAyADYALABcACIAXAAiACwAXAAiAFwAIgAsAFwAIgBcACIALAA5AC4ANgAsADUALAAxADAALgA1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AgAEEATgBcACIALABcACIATABcACIALAAxAC4AMgA0ACwAXAAiAFwAIgAsAFwAIgBcACIALABcACIAXAAiACwAMgAyAC4AMwAsAFwAIgBcACI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XAAiACwAXAAiAEwAXAAiACwAMQAuADUALABcACIAXAAiACwAXAAiAFwAIgAsAFwAIgBcACIALAAxADMALgAyACwAXAAiAFwAIgAsAFwAIgBcACIALABcACIAXAAiACwAXAAiAEMAYQBsAGMAaQB1AG0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AoAFYASQApAFwAIgAsAFwAIgBMAFwAIgAsADEALgA1ACwAXAAiAFwAIgAsAFwAIgBcACIALABcACIAXAAiACwAMQAzAC4AMgAsAFwAIgBcACIALABcACIAXAAiACwAXAAiAFwAIgAsAFwAIgBDAGEAbABjAGkAdQBt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VQBsAHQAaQBtAGEAdABlAFwAIgAsAFwAIgBMAFwAIgAsADEALgA1ACwAXAAiAFwAIgAsAFwAIgBcACIALABcACIAXAAiACwAMQAzAC4AMgAsAFwAIgBcACIALABcACIAXAAiACwAXAAiAFwAIgAsAFwAIgBDAGEAbABjAGkAdQBtAFwAIgAsADAALgAxADgAM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UwB0AGEAcgB0AFwAIgAsAFwAIgBMAFwAIgAsADEALgAyADUALABcACIAXAAiACwAXAAiAFwAIgAsAFwAIgBcACIALAAxADAALgAzACwAMQAwACwAMwAuADQ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DAG8AbQBwAGwAZQB0AGUAXAAiACwAXAAiAEwAXAAiACwAMQAuADQAMwAsAFwAIgBcACIALABcACIAXAAiACwAXAAiAFwAIgAsADIALgA1ACwAMwAuADgALAAyADIALgA1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UAbQBlAHIAZwBlAFwAIgAsAFwAIgBMAFwAIgAsADEALgAyADkALABcACIAXAAiACwAXAAiAFwAIgAsAFwAIgBcACIALAAxADAALgA1ACwAOQAuADQALAA0ACwAMw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YAbABvAHUAcgBpAHMAaABcACIALABcACIATABcACIALAAxAC4AMwAyACwAXAAiAFwAIgAsAFwAIgBcACIALABcACIAXAAiACwAOQAuADUALAA0AC4ANwAsADEAMAAuADgALAA4AC4AMQ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7AFwAbgBcACIAQwBhAG0AcABiAGUAbABsAHMAIABmAGUAcgB0AGkAbABpAHMAZQByAHMAIABBAHUAcwB0AHIAYQBsAGkAYQBcACIALABcACIAQgBvAG8AcwB0AC0ASQB0AFwAIgAsAFwAIgBrAGcAXAAiACwAMQAsAFwAIgBcACIALABcACIAXAAiACwAXAAiAFwAIgAsADIANAAsADUALgAyACwAOAAsADUALgAzACwAXAAiAFUAcgBlAGEAXAAiACwAMAAuADUAMgAxADcAMwA5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7AFwAbgBcACIAQwBhAG0AcABiAGUAbABsAHMAIABmAGUAcgB0AGkAbABpAHMAZQByAHMAIABBAHUAcwB0AHIAYQBsAGkAYQBcACIALABcACIAQgByAG8AbgB6AGUAXAAiACwAXAAiAGsAZwBcACIALAAxACwAXAAiAFwAIgAsAFwAIgBcACIALABcACIAXAAiACwAMQA3ACwAMAAuADAANAAsADEAMQAuADYALAAwAC4ANQAsAFwAIgBNAHUAcgBpAGEAdABlACAAbwBmACAAc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7AFwAbgBcACIAQwBhAG0AcABiAGUAbABsAHMAIABmAGUAcgB0AGkAbABpAHMAZQByAHMAIABBAHUAcwB0AHIAYQBsAGkAYQBcACIALABcACIAQwBhAGwAYgBpAHQAIABDAFwAIgAsAFwAIgBMAFwAIgAsADEALgA0ADUALABcACIAXAAiACwAXAAiAFwAIgAsAFwAIgBcACIALABcACIAXAAiACwAXAAiAFwAIgAsAFwAIgBcACIALABcACIAXAAiACwAXAAiAEMAYQBsAGMAaQB1AG0AXAAiACwAMAAuADEAMAA3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DAG8AbQBwAGEAcwBzAFwAIgAsAFwAIgBrAGcAXAAiACwAMQAsAFwAIgBcACIALABcACIAXAAiACwAXAAiAFwAIgAsADEANQAsADYALgA1ACwAMQAyAC4ANQAsADYALABcACIATgBpAHQAcgBvAGcAZQBuACAALQAgAEEAbQBtAG8AbgBpAGEAYwBhAGwAXAAiACwAMAAuADAANwA1ACwAXAAiAE4AaQB0AHIAbwBnAGUAbgAgAC0AIABOAGkAdAByAGEAdABlAFwAIgAsADAALgAwADcANQAsAFwAIgBQAG8AdABhAHMAcwBpAHUAbQAgAC0AIABHAGUAbgBlAHIAaQBjAFwAIgAsADAALgAxADIANQAsAFwAIgBQAGgAbwBzAHAAaABvAHIAdQBzACAALQAgAEcAZQBuAGUAcgBpAGMAXAAiACwAMAAuADAANgA1ACwAXAAiAFMAdQBsAGYAdQByACAALQAgAEcAZQBuAGUAcgBpAGMAXAAiACwAMAAuADAANgAsAFwAIgBcACIALABcACIAXAAiACwAXAAiAFwAIgAsAFwAIgBcACIALABcACIAXAAiACwAXAAiAFwAIgAsAFwAIgBcACIALABcACIAXAAiACwAXAAiAFwAIgAsAFwAIgBcACIAOwBcAG4AXAAiAEMAYQBtAHAAYgBlAGwAbABzACAAZgBlAHIAdABpAGwAaQBzAGUAcgBzACAAQQB1AHMAdAByAGEAbABpAGEAXAAiACwAXAAiAEMAbwBSAG8ATgAgADEAMgAtADAALQAxADAAXAAiACwAXAAiAEwAXAAiACwAMQAuADIAMQA1ACwAXAAiAFwAIgAsAFwAIgBcACIALABcACIAXAAiACwAMQAyACwAXAAiAFwAIgAsADEAMAAsAFwAIgBcACIALABcACIAVQByAGUAYQBcACIALAAwAC4AMQA5ADUANgA1ADI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OwBcAG4AXAAiAEMAYQBtAHAAYgBlAGwAbABzACAAZgBlAHIAdABpAGwAaQBzAGUAcgBzACAAQQB1AHMAdAByAGEAbABpAGEAXAAiACwAXAAiAE0AYQB4AGkAbQB1AG0AIABRAHUAaQBjAGsALQBOAFwAIgAsAFwAIgBrAGcAXAAiACwAMQAsAFwAIgBcACIALABcACIAXAAiACwAXAAiAFwAIgAsADIAMQAuADYANgAsAFwAIgBcACIALABcACIAXAAiACwAMQAzAC4AMgAsAFwAIgBTAHUAbABwAGgAYQB0AGUAIABvAGYAIABhAG0AbQBvAG4AaQBhACAAKABTAE8AQQApAFwAIgAsADAALgA1ADUALABcACIAQQBtAG0AbwBuAGkAdQBtACAAbgBpAHQAcgBhAHQAZQAgACgAQQBOACkAXAAiACwAMAAuADMALABcACIAXAAiACwAXAAiAFwAIgAsAFwAIgBcACIALABcACIAXAAiACwAXAAiAFwAIgAsAFwAIgBcACIALABcACIAXAAiACwAXAAiAFwAIgAsAFwAIgBcACIALABcACIAXAAiACwAXAAiAFwAIgAsAFwAIgBcACIALABcACIAXAAiACwAXAAiAFwAIgAsAFwAIgBcACIALABcACIAXAAiADsAXABuAFwAIgBTAEwAIABUAGUAYwBcACIALABcACIAQwByAG8AcAAgAEIAbwBvAHMAdABlAHIAIABQAEwAVQBTAFwAIgAsAFwAIgBMAFwAIgAsADEALgAzADEAOQAsAFwAIgBcACIALABcACIAXAAiACwAXAAiAFwAIgAsADUALAAxADUALAAyAC4AMQAsAFwAIgBcACIALABcACIAUABoAG8AcwBwAGgAbwByAHUAcwAgAC0AIABHAGUAbgBlAHIAaQBjAFwAIgAsADAALgAxADUALABcACIAQwBhAGwAYwBpAHUAbQBcACIALAAwAC4AMAA0ACwAXAAiAE4AaQB0AHIAbwBnAGUAbgAgAC0AIABBAG0AbQBvAG4AaQBhAGMAYQBsAFwAIgAsADAALgAwADIAOQAsAFwAIgBOAGkAdAByAG8AZwBlAG4AIAAtACAATgBpAHQAcgBhAHQAZQBcACIALAAwAC4AMAAyADEALABcACIAUABvAHQAYQBzAHMAaQB1AG0AIAAtACAARwBlAG4AZQByAGkAYwBcACIALAAwAC4AMAAyADEALABcACIAQwBvAHAAcABlAHIAXAAiACwAMAAuADAAMAA1ACwAXAAiAFoAaQBuAGMAXAAiACwAMAAuADAAMAA0ACwAXAAiAE0AYQBuAGcAYQBuAGUAcwBlAFwAIgAsADAALgAwADAANAAsAFwAIgBNAGEAZwBuAGUAcwBpAHUAbQBcACIALAAwAC4AMAAwADIALABcACIAXAAiACwAXAAiAFwAIgA7AFwAbgBcACIAUgBpAHMAcwBvAC0AQwBoAGUAbQBpAGMAYQBsAFwAIgAsAFwAIgBBAG0AbQBvAG4AaQB1AG0AIABCAGkAYwBhAHIAYgBvAG4AYQB0AGUAXAAiACwAXAAiAGsAZwBcACIALAAxACwAXAAiAFwAIgAsAFwAIgBcACIALABcACIAQwBoAGkAbgBhAFwAIgAsADEANwAuADcALABcACIAXAAiACwAXAAiAFwAIgAsAFwAIg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EEAbQBtAG8AbgBpAHUAbQAgAFMAdQBsAGYAYQB0AGUAXAAiACwAXAAiAGsAZwBcACIALAAxACwAXAAiAFwAIgAsAFwAIgBcACIALABcACIAQwBoAGkAbgBhAFwAIgAsADIAMQAsAFwAIgBcACIALABcACIAXAAiACwAMgA0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7AFwAbgBcACIAUgBhAHYAZQBuAHMAZABvAHcAbgBcACIALABcACIAQQBtAG0AbwBuAGkAdQBtACAAUwB1AGwAcABoAGEAdABlACAALQAgAEcAcgBhAG4AdQBsAGEAcg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EAGkALQBBAG0AbQBvAG4AaQB1AG0AIABQAGgAbwBzAHAAaABhAHQAZQAgACgARABBAFAAKQBcACIALABcACIAawBnAFwAIgAsADEALABcACIAXAAiACwAXAAiAFwAIgAsAFwAIgBcACIALAAxADgALAAyADAALABcACIAXAAiACwAXAAiAFwAIgAsAFwAIgBEAGkAYQBtAG0AbwBuAGkAdQBtACAAcABoAG8AcwBwAGgAYQB0AGUAIAAoAEQAQQ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gBhAHMAYQBsAHQAIABCAG8AbwBTAFMAdABhAFwAIgAsAFwAIgBrAGcAXAAiACwAMQAsAFwAIgBcACIALABcACIAXAAiACwAXAAiAFwAIgAsADgALAAxADQALABcACIAXAAiACwAMgA3AC4ANgAsAFwAIgBTAHUAbABmAHUAcgAgAC0AIABHAGUAbgBlAHIAaQBjAFwAIgAsADAALgAyADcANgAsAFwAIgBQAGgAbwBzAHAAaABvAHIAdQBzACAALQAgAEcAZQBuAGUAcgBpAGMAXAAiACwAMAAuADEANAAsAFwAIgBOAGkAdAByAG8AZwBlAG4AIAAtACAARwBlAG4AZQByAGkAYwBcACIALAAwAC4AMAA4ACwAXAAiAEYAbAB1AG8AcgBpAGQAZQBcACIALAAwAC4AMAAyADQALABcACIAXAAiACwAXAAiAFwAIgAsAFwAIgBcACIALABcACIAXAAiACwAXAAiAFwAIgAsAFwAIgBcACIALABcACIAXAAiACwAXAAiAFwAIgAsAFwAIgBcACIALABcACIAXAAiACwAXAAiAFwAIgAsAFwAIgBcACIAOwBcAG4AXAAiAFMAdQBtAG0AaQB0ACAARgBlAHIAdABpAGwAaQB6AGUAcgBzAFwAIgAsAFwAIgBEAEEAUABTAFoAQwBcACIALABcACIAawBnAFwAIgAsADEALABcACIAXAAiACwAXAAiAFwAIgAsAFwAIgBcACIALAAxADYALgA5ACwAMQA4AC4AMgAsAFwAIgBcACIALAA4ACwAXAAiAFAAaABvAHMAcABoAG8AcgB1AHMAIAAtACAARwBlAG4AZQByAGkAYwBcACIALAAwAC4AMQA4ADIALABcACIATgBpAHQAcgBvAGcAZQBuACAALQAgAEcAZQBuAGUAcgBpAGMAXAAiACwAMAAuADEANgA5ACwAXAAiAFMAdQBsAGYAdQByACAALQAgAEcAZQBuAGUAcgBpAGMAXAAiACwAMAAuADAAOAAsAFwAIgBaAGkAbgBjAFwAIgAsADAALgAwADAAMgAsAFwAIgBDAG8AcABwAGUAcgBcACIALAAwAC4AMAAwADEALABcACIAXAAiACwAXAAiAFwAIgAsAFwAIgBcACIALABcACIAXAAiACwAXAAiAFwAIgAsAFwAIgBcACIALABcACIAXAAiACwAXAAiAFwAIgAsAFwAIgBcACIALABcACIAXAAiADsAXABuAFwAIgBJAG4AYwBpAHQAZQBjACAAUABpAHYAbwB0ACAARgBlAHIAdABpAGwAaQBzAGUAcgBzAFwAIgAsAFwAIgBFAGEAcwB5ACAATgBcACIALABcACIATABcACIALAAxAC4AMwAyACwAXAAiAFwAIgAsAFwAIgBcACIALABcACIAXAAiACwANAAyAC4ANQAsAFwAIgBcACIALABcACIAXAAiACwAXAAiAFwAIgAsAFwAIgBVAHIAZQBhAFwAIgAsADAALgA0ADYANwAzADkAMQ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7AFwAbgBcACIAUgBpAHMAcwBvAC0AQwBoAGUAbQBpAGMAYQBsAFwAIgAsAFwAIgBDAGEAbABjAGkAdQBtACAAQQBtAG0AbwBuAGkAdQBtACAAbgBpAHQAcgBhAHQAZQBcACIALABcACIAawBnAFwAIgAsADEALABcACIAXAAiACwAXAAiAFwAIgAsAFwAIgBDAGgAaQBuAGEAXAAiACwANAAwAC4ANQAsAFwAIgBcACIALABcACIAXAAiACwAXAAiAFwAIgAsAFwAIgBOAGkAdAByAG8AZwBlAG4AIAAtACAAQQBtAG0AbwBuAGkAYQBjAGEAbABcACIALAAwAC4AMgA3ACwAXAAiAE4AaQB0AHIAbwBnAGUAbgAgAC0AIABOAGkAdAByAGEAdABlAFwAIgAsADAALgAxADMANQAsAFwAIgBDAGEAbABjAGkAdQBtAFwAIgAsADAALgAxADIALABcACIAXAAiACwAXAAiAFwAIgAsAFwAIgBcACIALABcACIAXAAiACwAXAAiAFwAIgAsAFwAIgBcACIALABcACIAXAAiACwAXAAiAFwAIgAsAFwAIgBcACIALABcACIAXAAiACwAXAAiAFwAIgAsAFwAIgBcACIALABcACIAXAAiACwAXAAiAFwAIgA7AFwAbgBcACIAUwBMACAAVABlAGMAXAAiACwAXAAiAEMAZQBsAGwAQwBBAEwAIABQAGwAdQBzAFwAIgAsAFwAIgBMAFwAIgAsADEALgAxADMAOAAsAFwAIgBcACIALABcACIAXAAiACwAXAAiAFwAIgAsAFwAIgBcACIALABcACIAXAAiACwAXAAiAFwAIgAsAFwAIgBcACIALABcACIAQwBhAGwAYwBpAHUAbQ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LADUANQBcACIALABcACIAawBnAFwAIgAsADEALABcACIAXAAiACwAXAAiAFwAIgAsAFwAIgBcACIALAAxADMALgA1ACwAMQA1ACwANgAuADIANQAsADEALgAyACwAXAAiAFAAaABvAHMAcABoAG8AcgB1AHMAIAAtACAARwBlAG4AZQByAGkAYwBcACIALAAwAC4AMQA1ACwAXAAiAE4AaQB0AHIAbwBnAGUAbgAgAC0AIABBAG0AbQBvAG4AaQBhAGMAYQBsAFwAIgAsADAALgAxADMANQAsAFwAIgBNAHUAcgBpAGEAdABlACAAbwBmACAAcABvAHQAYQBzAGgAIAAoAE0ATwBQACkAXAAiACwAMAAuADEAMgA1ACwAXAAiAEYAbAB1AG8AcgBpAGQAZQBcACIALAAwAC4AMAAyADMALABcACIAUwB1AGwAZgB1AHIAIAAtACAARwBlAG4AZQByAGkAYwBcACIALAAwAC4AMAAxADIALABcACIAXAAiACwAXAAiAFwAIgAsAFwAIgBcACIALABcACIAXAAiACwAXAAiAFwAIgAsAFwAIgBcACIALABcACIAXAAiACwAXAAiAFwAIgAsAFwAIgBcACIALABcACIAXAAiADsAXABuAFwAIgBTAHcAaQB0AGMAaAAgAEEAZwBcACIALABcACIAQwByAG8AcAAgAEsAXAAiACwAXAAiAEwAXAAiACwAMQAuADIANQAsAFwAIgBcACIALABcACIAXAAiACwAXAAiAFwAIgAsADMALABcACIAXAAiACwAMgAxACwAXAAiAFwAIgAsAFwAIgBQAG8AdABhAHMAcwBpAHUAbQAgAC0AIABHAGUAbgBlAHIAaQBjAFwAIgAsADAALgAyADE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FMAdwBpAHQAYwBoACAAQQBnAFwAIgAsAFwAIgBDAHIAbwBwACAAUwB0AGEAcgB0AGUAcgBcACIALABcACIATABcACIALAAxAC4AMgAsAFwAIgBcACIALABcACIAXAAiACwAXAAiAFwAIgAsADUALAAzACwAOAAsAFwAIgBcACIALABcACIAUABvAHQAYQBzAHMAaQB1AG0AIAAtACAARwBlAG4AZQByAGkAYwBcACIALAAwAC4AMAA4ACwAXAAiAE4AaQB0AHIAbwBnAGUAbgAgAC0AIABHAGUAbgBlAHIAaQBjAFwAIgAsADAALgAwADUALABcACIAUABoAG8AcwBwAGgAbwByAHUAcwAgAC0AIABHAGUAbgBlAHIAaQBjAFwAIgAsADAALgAwADM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AtAE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XABuAFwAbgBcAG4ARgBlAHIAdABpAGwAaQBzAGUAcgBfAFAAcgBvAGQAdQBjAHQAcwBfAEQAYQB0AGEAMwBcAG4APQBMAEEATQBCAEQAQQAoAFwAbgAgAE0AQQBLAEUAQQBSAFIAQQBZACgAMwAwACwAIAAzADEALABcAG4AIABMAEEATQBCAEQAQQAoAHIALABjACwAXABuACAAIABJAE4ARABFAFgAKAB7AFwAbgBcACIAWQBhAHIAYQAgAEEAdQBzAHQAcgBhAGwAaQBhAFwAIgAsAFwAIgBZAGEAcgBhAE0AaQBsAGEAIAAyADEALQA3AC0AMwAoADQAKQBcACIALABcACIAawBnAFwAIgAsADEALABcACIAXAAiACwAXAAiAFwAIgAsAFwAIgBcACIALAAyADEALAA3AC4ANAAsADIALgA1ACwANAAsAFwAIgBOAGkAdAByAG8AZwBlAG4AIAAtACAATgBpAHQAcgBhAHQAZQBcACIALAAwAC4AMQAwADUALABcACIATgBpAHQAcgBvAGcAZQBuACAALQAgAEEAbQBtAG8AbgBpAGEAYwBhAGwAXAAiACwAMAAuADEAMAA1ACwAXAAiAFAAaABvAHMAcABoAG8AcgB1AHMAIAAtACAARwBlAG4AZQByAGkAYwBcACIALAAwAC4AMAA3ADQALABcACIAUwB1AGwAZgB1AHIAIAAtACAARwBlAG4AZQByAGkAYwBcACIALAAwAC4AMAA0ACwAXAAiAFAAbwB0AGEAcwBzAGkAdQBtACAALQAgAEcAZQBuAGUAcgBpAGMAXAAiACwAMAAuADAAMgA1ACwAXAAiAE0AYQBnAG4AZQBzAGkAdQBtAFwAIgAsADAALgAwADAANAAsAFwAIgBaAGkAbgBjAFwAIgAsADAALgAwADAAMQA1ACwAXAAiAFwAIgAsAFwAIgBcACIALABcACIAXAAiACwAXAAiAFwAIgAsAFwAIgBcACIALABcACIAXAAiADsAXABuAFwAIgBZAGEAcgBhACAAQQB1AHMAdAByAGEAbABpAGEAXAAiACwAXAAiAFkAYQByAGEAVABlAHIAYQAgAEsAUgBJAFMAVABBAEwATwBOACAAUwBDAEEAUgBMAEUAVABcACIALABcACIAawBnAFwAIgAsADEALABcACIAXAAiACwAXAAiAFwAIgAsAFwAIgBcACIALAA3AC4ANQAsAFwAIgBcACIALAAyADkALgA5ACwANAAsAFwAIgBQAG8AdABhAHMAcwBpAHUAbQAgAC0AIABHAGUAbgBlAHIAaQBjAFwAIgAsADAALgAyADkAOQAsAFwAIgBOAGkAdAByAG8AZwBlAG4AIAAtACAATgBpAHQAcgBhAHQAZQBcACIALAAwAC4AMAA1ADIALABcACIAUwB1AGwAZgB1AHIAIAAtACAARwBlAG4AZQByAGkAYwBcACIALAAwAC4AMAA0ACwAXAAiAE0AYQBnAG4AZQBzAGkAdQBtAFwAIgAsADAALgAwADIANwAsAFwAIgBOAGkAdAByAG8AZwBlAG4AIAAtACAAQQBtAG0AbwBuAGkAYQBjAGEAbABcACIALAAwAC4AMAAyADMALABcACIAXAAiACwAXAAiAFwAIgAsAFwAIgBcACIALABcACIAXAAiACwAXAAiAFwAIgAsAFwAIgBcACIALABcACIAXAAiACwAXAAiAFwAIgAsAFwAIgBcACIALABcACIAXAAiADsAXABuAFwAIgBDAGEAbQBwAGIAZQBsAGwAcwAgAGYAZQByAHQAaQBsAGkAcwBlAHIAcwAgAEEAdQBzAHQAcgBhAGwAaQBhAFwAIgAsAFwAIgBTAG8AbAB1AC0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wBvAGwAdQAtAFMAY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gB1AHMAdABpAGMAYQAgAFAAbAB1AHMAXAAiACwAXAAiAGsAZwBcACIALAAxACwAXAAiAFwAIgAsAFwAIgBcACIALABcACIAXAAiACwAMQAyACwANQAsADEANAAsADkALgA3ACwAXAAiAFAAbwB0AGEAcwBzAGkAdQBtACAALQAgAEcAZQBuAGUAcgBpAGMAXAAiACwAMAAuADEANAAsAFwAIgBTAHUAbABmAHUAcgAgAC0AIABHAGUAbgBlAHIAaQBjAFwAIgAsADAALgAwADkANwAsAFwAIgBOAGkAdAByAG8AZwBlAG4AIAAtACAATgBpAHQAcgBhAHQAZQBcACIALAAwAC4AMAA2ACwAXAAiAE4AaQB0AHIAbwBnAGUAbgAgAC0AIABBAG0AbQBvAG4AaQBhAGMAYQBsAFwAIgAsADAALgAwADYALABcACIAUABoAG8AcwBwAGgAbwByAHUAcwAgAC0AIABHAGUAbgBlAHIAaQBjAFwAIgAsADAALgAwADUALABcACIAQwBhAGwAYwBpAHUAbQBcACIALAAwAC4AMAAzADEALABcACIATQBhAGcAbgBlAHMAaQB1AG0AXAAiACwAMAAuADAAMQAyACwAXAAiAFoAaQBuAGMAXAAiACwAMAAuADAAMAAxACwAXAAiAEIAbwByAG8AbgBcACIALAAwAC4AMAAwADAAMgAsAFwAIgBcACIALABcACIAXAAiADsAXABuAFwAIgBDAGEAbQBwAGIAZQBsAGwAcwAgAGYAZQByAHQAaQBsAGkAcwBlAHIAcwAgAEEAdQBzAHQAcgBhAGwAaQBhAFwAIgAsAFwAIgBQAGwAYQB0AGkAbgB1AG0AIABQAGwAdQBzAFwAIgAsAFwAIgBrAGcAXAAiACwAMQAsAFwAIgBcACIALABcACIAXAAiACwAXAAiAFwAIgAsADEAMAAsADEAMQAsADEAMAAsADYALABcACIAUABoAG8AcwBwAGgAbwByAHUAcwAgAC0AIABHAGUAbgBlAHIAaQBjAFwAIgAsADAALgAxADEALABcACIAUABvAHQAYQBzAHMAaQB1AG0AIAAtACAARwBlAG4AZQByAGkAYwBcACIALAAwAC4AMQAsAFwAIgBTAHUAbABmAHUAcgAgAC0AIABHAGUAbgBlAHIAaQBjAFwAIgAsADAALgAwADYALABcACIATgBpAHQAcgBvAGcAZQBuACAALQAgAE4AaQB0AHIAYQB0AGUAXAAiACwAMAAuADAANQAsAFwAIgBOAGkAdAByAG8AZwBlAG4AIAAtACAAQQBtAG0AbwBuAGkAYQBjAGEAbABcACIALAAwAC4AMAA1ACwAXAAiAEMAYQBsAGMAaQB1AG0AXAAiACwAMAAuADAANAAzACwAXAAiAE0AYQBnAG4AZQBzAGkAdQBtAFwAIgAsADAALgAwADEAMgAsAFwAIgBaAGkAbgBjAFwAIgAsADAALgAwADAAMwA2ACwAXAAiAEIAbwByAG8AbgBcACIALAAwAC4AMAAwADEALABcACIAXAAiACwAXAAiAFwAIgA7AFwAbgBcACIAQwBhAG0AcABiAGUAbABsAHMAIABmAGUAcgB0AGkAbABpAHMAZQByAHMAIABBAHUAcwB0AHIAYQBsAGkAYQBcACIALABcACIAVAByAG8AcABpAGsAYQBcACIALABcACIAawBnAFwAIgAsADEALABcACIAXAAiACwAXAAiAFwAIgAsAFwAIgBcACIALAAxADEALAAyAC4ANgAsADIAMAAuADgALAA0ACwAXAAiAE4AaQB0AHIAbwBnAGUAbgAgAC0AIABOAGkAdAByAGEAdABlAFwAIgAsADAALgAwADUANQAsAFwAIgBOAGkAdAByAG8AZwBlAG4AIAAtACAAQQBtAG0AbwBuAGkAYQBjAGEAbABcACIALAAwAC4AMAA1ADUALABcACIAUABoAG8AcwBwAGgAbwByAHUAcwAgAC0AIABHAGUAbgBlAHIAaQBjAFwAIgAsADAALgAwADIANgAsAFwAIgBQAG8AdABhAHMAcwBpAHUAbQAgAC0AIABHAGUAbgBlAHIAaQBjAFwAIgAsADAALgAyADAAOAAsAFwAIgBTAHUAbABmAHUAcgAgAC0AIABHAGUAbgBlAHIAaQBjAFwAIgAsADAALgAwADQALABcACIATQBhAGcAbgBlAHMAaQB1AG0AXAAiACwAMAAuADAAMgA0ACwAXAAiAFwAIgAsAFwAIgBcACIALABcACIAXAAiACwAXAAiAFwAIgAsAFwAIgBcACIALABcACIAXAAiACwAXAAiAFwAIgAsAFwAIgBcACIAOwBcAG4AXAAiAEMAYQBtAHAAYgBlAGwAbABzACAAZgBlAHIAdABpAGwAaQBzAGUAcgBzACAAQQB1AHMAdAByAGEAbABpAGEAXAAiACwAXAAiAFIAdQBzAHQAaQBjAGEAIABOAGUAcgBnAGUAdABpAGMAXAAiACwAXAAiAGsAZwBcACIALAAxACwAXAAiAFwAIgAsAFwAIgBcACIALABcACIAXAAiACwAMQAyACwANQAuADIALAAxADQALgAxACwAOQAuADYALABcACIAUABvAHQAYQBzAHMAaQB1AG0AIAAtACAARwBlAG4AZQByAGkAYwBcACIALAAwAC4AMQA0ADEALABcACIAUwB1AGwAZgB1AHIAIAAtACAARwBlAG4AZQByAGkAYwBcACIALAAwAC4AMAA5ADYALABcACIATgBpAHQAcgBvAGcAZQBuACAALQAgAE4AaQB0AHIAYQB0AGUAXAAiACwAMAAuADAANgAsAFwAIgBOAGkAdAByAG8AZwBlAG4AIAAtACAAQQBtAG0AbwBuAGkAYQBjAGEAbABcACIALAAwAC4AMAA2ACwAXAAiAFAAaABvAHMAcABoAG8AcgB1AHMAIAAtACAARwBlAG4AZQByAGkAYwBcACIALAAwAC4AMAA1ADIALABcACIATQBhAGcAbgBlAHMAaQB1AG0AXAAiACwAMAAuADAAMQAyACwAXAAiAFoAaQBuAGMAXAAiACwAMAAuADAAMAAwADgALABcACIASQByAG8AbgBcACIALAAwAC4AMAAwADAANwAsAFwAIgBNAGEAbgBnAGEAbgBlAHMAZQBcACIALAAwAC4AMAAwADAANgAsAFwAIgBCAG8AcgBvAG4AXAAiACwAMAAuADAAMAAwADIAOwBcAG4AXAAiAEMAYQBtAHAAYgBlAGwAbABzACAAZgBlAHIAdABpAGwAaQBzAGUAcgBzACAAQQB1AHMAdAByAGEAbABpAGEAXAAiACwAXAAiAFEAdQBpAGMAawAtAE4AIABOAGUAcgBnAGUAdABpAGMAXAAiACwAXAAiAGsAZwBcACIALAAxACwAXAAiAFwAIgAsAFwAIgBcACIALABcACIAXAAiACwAMgA1ACwAXAAiAFwAIgAsAFwAIgBcACIALAAxADIALgA4ACwAXAAiAFMAdQBsAHAAaABhAHQAZQAgAG8AZgAgAGEAbQBtAG8AbgBpAGEAIAAoAFMATwBBACkAXAAiACwAMAAuADUAMwAzADMAMwAzACwAXAAiAEEAbQBtAG8AbgBpAHUAbQAgAG4AaQB0AHIAYQB0AGUAIAAoAEEATgApAFwAIgAsADAALgA0ADAAOQA0ADkANgAsAFwAIgBaAGkAbgBjAFwAIgAsADAALgAwADAAMQAsAFwAIgBNAGEAbgBnAGEAbgBlAHMAZQBcACIALAAwAC4AMAAwADEALABcACIAQgBvAHIAbwBuAFwAIgAsADAALgAwADAAMAAxACwAXAAiAE0AbwBsAHkAYgBkAGUAbgB1AG0AXAAiACwAMAAuADAAMAAwADAAMQAsAFwAIgBcACIALABcACIAXAAiACwAXAAiAFwAIgAsAFwAIgBcACIALABcACIAXAAiACwAXAAiAFwAIgAsAFwAIgBcACIALABcACIAXAAiADsAXABuAFwAIgBGAGUAcgB0AFAAcgBvACAATQBhAG4AdQBmAGEAYwB0AHUAcgBpAG4AZwAgAFAAdAB5AC4AIABMAHQAZAAuAFwAIgAsAFwAIgAoAFMAUwBQACkAIABTAGkAbgBnAGwAZQAgAFMAdQBwAGUAcgAgAEYAZQByAHQAaQBsAGkAcwBlAHI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WgBpAG4AYwBTAHQAYQByAFwAIgAsAFwAIgBrAGcAXAAiACwAMQAsAFwAIgBcACIALABcACIAXAAiACwAXAAiAFwAIgAsADEAMAAsADIAMQAuADkALAAwACwAMgAsAFwAIgBNAG8AbgBvAGEAbQBtAG8AbgBpAHUAbQAgAHAAaABvAHMAcABoAGEAdABlACAAKABNAEEAUAApAFwAIgAsADEALABcACIAWgBpAG4AYwBcACIALAAwAC4AMAAxACwAXAAiAFwAIgAsAFwAIgBcACIALABcACIAXAAiACwAXAAiAFwAIgAsAFwAIgBcACIALABcACIAXAAiACwAXAAiAFwAIgAsAFwAIgBcACIALABcACIAXAAiACwAXAAiAFwAIgAsAFwAIgBcACIALABcACIAXAAiACwAXAAiAFwAIgAsAFwAIgBcACIALABcACIAXAAiACwAXAAiAFwAIgA7AFwAbgBcACIAQgBhAGkAbABlAHkAcwAgACgAUwBpAG0AcABsAG8AdAApACAAWwBsAGkAcwB0AGUAZAAgAGEAcwAgAEkAbQBwAGEAYwB0AF0AXAAiACwAXAAiAEEAcABlAHgAIABHAGEASQBYAGUAIABMAG8AdwAgAFAAIAAyADEALQAxAC0ANgBcACIALABcACIAawBnAFwAIgAsADEALABcACIAXAAiACwAXAAiAFwAIgAsAFwAIgBcACIALAAyADEALAAwAC4AOAA2ACwANQAuADgALAA0AC4AMgAsAFwAIgBOAGkAdAByAG8AZwBlAG4AIAAtACAARwBlAG4AZQByAGkAYwBcACIALAAwAC4AMgAxACwAXAAiAFAAbwB0AGEAcwBzAGkAdQBtACAALQAgAEcAZQBuAGUAcgBpAGMAXAAiACwAMAAuADAANQA4ACwAXAAiAFMAdQBsAGYAdQByACAALQAgAEcAZQBuAGUAcgBpAGMAXAAiACwAMAAuADAANAAyACwAXAAiAFAAaABvAHMAcABoAG8AcgB1AHMAIAAtACAARwBlAG4AZQByAGkAYwBcACIALAAwAC4AMAAwADgANgAsAFwAIgBcACIALABcACIAXAAiACwAXAAiAFwAIgAsAFwAIgBcACIALABcACIAXAAiACwAXAAiAFwAIgAsAFwAIgBcACIALABcACIAXAAiACwAXAAiAFwAIgAsAFwAIgBcACIALABcACIAXAAiACwAXAAiAFwAIgA7AFwAbgBcACIASQBuAGMAaQB0AGUAYwAgAFAAaQB2AG8AdAAgAEYAZQByAHQAaQBsAGkAcwBlAHIAcwBcACIALABcACIAUwB1AFAAZQByAGYAZQBjAHQ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WwBsAGkAcwB0AGUAZAAgAGEAcwAgAFMAdQBtAG0AaQB0AF0AXAAiACwAXAAiAEIAaQBnACAATgBcACIALABcACIAawBnAFwAIgAsADEALABcACIAXAAiACwAXAAiAFwAIgAsAFwAIgBcACIALAA4ADIALgAzADUALABcACIAXAAiACwAXAAiAFwAIgAsAFwAIgBcACIALABcACIAQQBtAG0AbwBuAGk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FAG4AdABlAGMAIABVAHIAZQBhAFwAIgAsAFwAIgBrAGcAXAAiACwAMQAsAFwAIgBZAGUAcw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AoAG8AcgAgAFIAYQB2AGUAbgBzAGQAbwB3AG4AIAAtACAAcwBlAGUAIABuAG8AdABlACkAXAAiACwAXAAiAEYAbABlAHgAaQAtAE4AIABOAEkAIABvAG4AbAB5AFwAIgAsAFwAIgBrAGcAXAAiACwAMQAsAFwAIgBZAGUAcwBcACIALABcACIAXAAiACwAXAAiAFwAIgAsADQANQAuADUANAAsAFwAIgBcACIALABcACIAXAAiACwAXAAiAFwAIgAsAFwAIgBVAHIAZQBhAFwAIgAsADAALgA5ADkALABcACIAVQByAGUAYQBzAGUALwBuAGkAdAByAGkAZgBpAGMAYQB0AGkAbwBuACAAaQBuAGgAaQBiAGkAdABvAHIAXAAiACwAMAAuADAAMQAsAFwAIgBcACIALABcACIAXAAiACwAXAAiAFwAIgAsAFwAIgBcACIALABcACIAXAAiACwAXAAiAFwAIgAsAFwAIgBcACIALABcACIAXAAiACwAXAAiAFwAIgAsAFwAIgBcACIALABcACIAXAAiACwAXAAiAFwAIgAsAFwAIgBcACIALABcACIAXAAiACwAXAAiAFwAIgAsAFwAIgBcACIAOwBcAG4AXAAiAE4AdQB0AHIAaQAtAFQAZQBjAGgAIABTAG8AbAB1AHQAaQBvAG4AcwAgACgATgBUAFMAKQBcACIALABcACIATQB1AHIAaQBhAHQAZQAgAE8AZgAgAFAAbwB0AGEAcwBoACAATQBPAFA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OAHUAdAB1AHIAZgBcACIALABcACIATQBBAFAAIABOAFUAVABVAFIARg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RAHUAaQBjAGsALQBOAFwAIgAsAFwAIgBrAGcAXAAiACwAMQAsAFwAIgBcACIALABcACIAXAAiACwAXAAiAFwAIgAsADIANgAsAFwAIgBcACIALABcACIAXAAiACwAMQAzACwAXAAiAFMAdQBsAHAAaABhAHQAZQAgAG8AZgAgAGEAbQBtAG8AbgBpAGEAIAAoAFMATwBBACkAXAAiACwAMAAuADUANAAxADYANgA3ACwAXAAiAEEAbQBtAG8AbgBpAHUAbQAgAG4AaQB0AHIAYQB0AGUAIAAoAEEATgApAFwAIgAsADAALgA0ADMAMwA5ADcANg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QBBAFMAXAAiACwAXAAiAEwAXAAiACwAMQAuADIAMwA1ACwAXAAiAFwAIgAsAFwAIgBcACIALABcACIAXAAiACwAMgA2AC4ANgAsAFwAIgBcACIALABcACIAXAAiACwANgAuADcALABcACIAVQByAGUAYQBcACIALAAwAC4ANAA1ADAAOAAxADUALABcACIAUwB1AGwAcABoAGEAdABlACAAbwBmACAAYQBtAG0AbwBuAGkAYQAgACgAUwBPAEEAKQBcACIALAAwAC4AMgA3ADkAMQA2ADc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QAcgBpAGEAegBvAG4AZQAgAFUAcgBlAGEAXAAiACwAXAAiAEwAXAAiACwAMQAuADIAOAAsAFwAIgBcACIALABcACIAXAAiACwAXAAiAFwAIgAsADAALABcACIAXAAiACwAXAAiAFwAIgAsAFwAIgBcACIALABcACIAVQByAGUAYQBcACIALAAwAC4ANgA1ADIAMQA3ADQALABcACIAXAAiACwAXAAiAFwAIgAsAFwAIgBcACIALABcACIAXAAiACwAXAAiAFwAIgAsAFwAIgBcACIALABcACIAXAAiACwAXAAiAFwAIgAsAFwAIgBcACIALABcACIAXAAiACwAXAAiAFwAIgAsAFwAIgBcACIALABcACIAXAAiACwAXAAiAFwAIgAsAFwAIgBcACIALABcACIAXAAiACwAXAAiAFwAIgAsAFwAIgBcACIAOwBcAG4AXAAiAE0AYQByAG4AYwBvACAAWwBsAGkAcwB0AGUAZAAgAGEAcwAgAFMATABUAEUAQwBdAFwAIgAsAFwAIgBBAG0AbQBvACAAMwA2AE4AXAAiACwAXAAiAGsAZwBcACIALAAxACwAXAAiAFwAIgAsAFwAIgBcACIALABcACIAXAAiACwAMwA2ACwAXAAiAFwAIgAsAFwAIgBcACIALAA5AC4ANgAsAFwAIgBOAGkAdAByAG8AZwBlAG4AIAAtACAARwBlAG4AZQByAGkAYwBcACIALAAwAC4AMwA2ACwAXAAiAFMAdQBsAGYAdQByACAALQAgAEcAZQBuAGUAcgBpAGMAXAAiACwAMAAuADAAOQA2ACwAXAAiAFwAIgAsAFwAIgBcACIALABcACIAXAAiACwAXAAiAFwAIgAsAFwAIgBcACIALABcACIAXAAiACwAXAAiAFwAIgAsAFwAIgBcACIALABcACIAXAAiACwAXAAiAFwAIgAsAFwAIgBcACIALABcACIAXAAiACwAXAAiAFwAIgAsAFwAIgBcACIALABcACIAXAAiACwAXAAiAFwAIgA7AFwAbgBcACIAUgBpAHMAcwBvAC0AQwBoAGUAbQBpAGMAYQBsAFwAIgAsAFwAIgBSAGkAcwBzAG8AIABMAGkAcQB1AGkAZAAgAE4AUABLACAAKAAyADAAMAAtADIAMAAwAC0AMgAwADAAKQBcACIALABcACIATABcACIALAAxAC4AMwAsAFwAIgBcACIALABcACIAXAAiACwAXAAiAFwAIgAsADIAMAAsADgALgA3ADMALAAxADYALgA2ACwAXAAiAFwAIgAsAFwAIgBOAGkAdAByAG8AZwBlAG4AIAAtACAARwBlAG4AZQByAGkAYwBcACIALAAwAC4AMgAsAFwAIgBQAGgAbwBzAHAAaABvAHIAdQBzACAALQAgAEcAZQBuAGUAcgBpAGMAXAAiACwAMAAuADAAOAA3ADIAOAAsAFwAIgBQAG8AdABhAHMAcwBpAHUAbQAgAC0AIABHAGUAbgBlAHIAaQBjAFwAIgAsADAALgAxADYANgAwADIALABcACIAXAAiACwAXAAiAFwAIgAsAFwAIgBcACIALABcACIAXAAiACwAXAAiAFwAIgAsAFwAIgBcACIALABcACIAXAAiACwAXAAiAFwAIgAsAFwAIgBcACIALABcACIAXAAiACwAXAAiAFwAIgAsAFwAIgBcACIALABcACIAXAAiACwAXAAiAFwAIgA7AFwAbgBcACIAVAB1AHIAZgAgAEcAcgBvAHUAcAAgAEEAdQBzAHQAcgBhAGwAaQBhACAAKABTAGkAbQBwAGwAbwB0ACkAXAAiACwAXAAiAFMAdQBwAGUAcgAgAEMAYQBsACAAMQA1AC0AMAAtADEAMgBcACIALABcACIAawBnAFwAIgAsADEALABcACIAXAAiACwAXAAiAFwAIgAsAFwAIgBcACIALAAxADUALABcACIAXAAiACwAOQAuADkANgAsAFwAIgBcACIALABcACIATgBpAHQAcgBvAGcAZQBuACAALQAgAE4AaQB0AHIAYQB0AGUAXAAiACwAMAAuADAAOAA0ADcAMwA3ACwAXAAiAFAAbwB0AGEAcwBzAGkAdQBtACAALQAgAEcAZQBuAGUAcgBpAGMAXAAiACwAMAAuADAAOQA5ADYAMQAyACwAXAAiAEMAYQBsAGMAaQB1AG0AIABuAGkAdAByAGEAdABlAFwAIgAsADAALgA0ADIAMQAwADUAMwAsAFwAIgBNAGEAZwBuAGUAcwBpAHUAbQBcACIALAAwAC4AMAAwADUALABcACIAQgBvAHIAbwBuAFwAIgAsADAALgAwADAAMAAyACwAXAAiAFwAIgAsAFwAIgBcACIALABcACIAXAAiACwAXAAiAFwAIgAsAFwAIgBcACIALABcACIAXAAiACwAXAAiAFwAIgAsAFwAIgBcACIALABcACIAXAAiACwAXAAiAFwAIgA7AFwAbgBcACIASQBuAGMAaQB0AGUAYwAgAFAAaQB2AG8AdAAgAEYAZQByAHQAaQBsAGkAcwBlAHIAcwBcACIALABcACIAQwBLACAAOAA4AFwAIgAsAFwAIgBrAGcAXAAiACwAMQAsAFwAIgBcACIALABcACIAXAAiACwAXAAiAFwAIgAsADEANQAuADEALAA0AC4ANAAsADEAMQAuADUALAAxADMALgA2ACwAXAAiAE4AaQB0AHIAbwBnAGUAbgAgAC0AIABHAGUAbgBlAHIAaQBjAFwAIgAsADAALgAxADUAMQAsAFwAIgBQAGgAbwBzAHAAaABvAHIAdQBzACAALQAgAEcAZQBuAGUAcgBpAGMAXAAiACwAMAAuADAANAA0ACwAXAAiAFAAbwB0AGEAcwBzAGkAdQBtACAALQAgAEcAZQBuAGUAcgBpAGMAXAAiACwAMAAuADEAMQA1ACwAXAAiAFMAdQBsAGYAdQByACAALQAgAEcAZQBuAGUAcgBpAGMAXAAiACwAMAAuADEAMwA2ACwAXAAiAFwAIgAsAFwAIgBcACIALABcACIAXAAiACwAXAAiAFwAIgAsAFwAIgBcACIALABcACIAXAAiACwAXAAiAFwAIgAsAFwAIgBcACIALABcACIAXAAiACwAXAAiAFwAIgAsAFwAIgBcACIALABcACIAXAAiADsAXABuAFwAIgBJAG4AYwBpAHQAZQBjACAAUABpAHYAbwB0ACAARgBlAHIAdABpAGwAaQBzAGUAcgBzAFwAIgAsAFwAIgBDAHIAbwBwAEwAaQBmAHQAIAAxADUAXAAiACwAXAAiAGsAZwBcACIALAAxACwAXAAiAFwAIgAsAFwAIgBcACIALABcACIAXAAiACwAMQA0AC4ANgAsADEAMgAuADEALABcACIAXAAiACwAMQAxAC4ANgAsAFwAIgBOAGkAdAByAG8AZwBlAG4AIAAtACAARwBlAG4AZQByAGkAYwBcACIALAAwAC4AMQA0ADYALABcACIAUABoAG8AcwBwAGgAbwByAHUAcwAgAC0AIABHAGUAbgBlAHIAaQBjAFwAIgAsADAALgAxADIAMQAsAFwAIgBTAHUAbABmAHUAcgAgAC0AIABHAGUAbgBlAHIAaQBjAFwAIgAsADAALgAxADEAN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OAFAASwBTACAAMQA5AC0AMQAzAC0AMAAtADkAXAAiACwAXAAiAGsAZwBcACIALAAxACwAXAAiAFwAIgAsAFwAIgBcACIALABcACIAXAAiACwAMQA5ACwAMQAzACwAMAAsADkALABcACIATgBpAHQAcgBvAGcAZQBuACAALQAgAEcAZQBuAGUAcgBpAGMAXAAiACwAMAAuADEAOQAsAFwAIgBQAGgAbwBzAHAAaABvAHIAdQBzACAALQAgAEcAZQBuAGUAcgBpAGMAXAAiACwAMAAuADEAMwAsAFwAIgBTAHUAbABmAHUAcgAgAC0AIABHAGUAbgBlAHIAaQBjAFwAIgAsADAALgAwADk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UABhAHMAdAB1AHIAZQBCAG8AbwBzAHQAYQBcACIALABcACIAawBnAFwAIgAsADEALABcACIAXAAiACwAXAAiAFwAIgAsAFwAIgBcACIALAAyADMALgA4ACwAMwAuADcALAAxADMALAA0AC4AMQAsAFwAIgBOAGkAdAByAG8AZwBlAG4AIAAtACAARwBlAG4AZQByAGkAYwBcACIALAAwAC4AMgAzADgALABcACIAUABoAG8AcwBwAGgAbwByAHUAcwAgAC0AIABHAGUAbgBlAHIAaQBjAFwAIgAsADAALgAwADMANwAsAFwAIgBQAG8AdABhAHMAcwBpAHUAbQAgAC0AIABHAGUAbgBlAHIAaQBjAFwAIgAsADAALgAxADMALABcACIAUwB1AGwAZgB1AHIAIAAtACAARwBlAG4AZQByAGkAYwBcACIALAAwAC4AMAA0ADEALABcACIAXAAiACwAXAAiAFwAIgAsAFwAIgBcACIALABcACIAXAAiACwAXAAiAFwAIgAsAFwAIgBcACIALABcACIAXAAiACwAXAAiAFwAIgAsAFwAIgBcACIALABcACIAXAAiACwAXAAiAFwAIgAsAFwAIgBcACIAOwBcAG4AXAAiAEkAbgBjAGkAdABlAGMAIABQAGkAdgBvAHQAIABGAGUAcgB0AGkAbABpAHMAZQByAHMAXAAiACwAXAAiAEcAcgBlAGUAbgB0AG8AcAAgAEsAXAAiACwAXAAiAGsAZwBcACIALAAxACwAXAAiAFwAIgAsAFwAIgBcACIALABcACIAXAAiACwAMwAyAC4AOAAsAFwAIgBcACIALAAxADEALAAyAC4AOQAsAFwAIgBVAHIAZQBhAFwAIgAsADAALgA2ADYAMAA4ADcALABcACIATgBpAHQAcgBvAGcAZQBuACAALQAgAEEAbQBtAG8AbgBpAGEAYwBhAGwAXAAiACwAMAAuADAAMgA0ACwAXAAiAFAAbwB0AGEAcwBzAGkAdQBtACAALQAgAEcAZQBuAGUAcgBpAGMAXAAiACwAMAAuADEAMQAsAFwAIgBTAHUAbABmAHUAcgAgAC0AIABHAGUAbgBlAHIAaQBjAFwAIgAsADAALgAwADIAOQAsAFwAIgBcACIALABcACIAXAAiACwAXAAiAFwAIgAsAFwAIgBcACIALABcACIAXAAiACwAXAAiAFwAIgAsAFwAIgBcACIALABcACIAXAAiACwAXAAiAFwAIgAsAFwAIgBcACIALABcACIAXAAiACwAXAAiAFwAIgA7AFwAbgBcACIASQBuAGMAaQB0AGUAYwAgAFAAaQB2AG8AdAAgAEYAZQByAHQAaQBsAGkAcwBlAHIAcwBcACIALABcACIASABhAHkAQgBvAG8AcwB0AGEAXAAiACwAXAAiAGsAZwBcACIALAAxACwAXAAiAFwAIgAsAFwAIgBcACIALABcACIAXAAiACwAMQAxAC4ANwAsADQALgA3ACwAMgAzAC4AOQAsADQALgA2ACwAXAAiAE4AaQB0AHIAbwBnAGUAbgAgAC0AIABHAGUAbgBlAHIAaQBjAFwAIgAsADAALgAxADEANwAsAFwAIgBQAGgAbwBzAHAAaABvAHIAdQBzACAALQAgAEcAZQBuAGUAcgBpAGMAXAAiACwAMAAuADAANAA3ACwAXAAiAFAAbwB0AGEAcwBzAGkAdQBtACAALQAgAEcAZQBuAGUAcgBpAGMAXAAiACwAMAAuADIAMwA5ACwAXAAiAFMAdQBsAGYAdQByACAALQAgAEcAZQBuAGUAcgBpAGMAXAAiACwAMAAuADAAN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QAXABuAD0ATABBAE0AQgBEAEEAKABcAG4AIABNAEEASwBFAEEAUgBSAEEAWQAoADMAMAAsACAAMwAxACwAXABuACAATABBAE0AQgBEAEEAKAByACwAYwAsAFwAbgAgACAASQBOAEQARQBYACgAewBcAG4AXAAiAEkAbQBwAGEAYwB0ACAARgBlAHIAdABpAGwAaQBzAGUAcgBzAFwAIgAsAFwAIgBJAG0AcABhAGMAdAAgAFMAdQBwAGUAcgAgAFAAbwB0AGEAcwBoACAAMQBcAHUAMAAwADIAN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BcAHUAMAAwADIANgAxAFwAIgAsAFwAIgBrAGcAXAAiACwAMQAsAFwAIgBcACIALABcACIAXAAiACwAXAAiAFwAIgAsAFwAIgBcACIALAA1AC4AOAA0ACwAMQA2AC4AOAAsADcALgAyADkALABcACIAUwBpAG4AZwBsAGUAIABzAHUAcABlAHIAcABoAG8AcwBwAGgAYQB0AGUAIAAoAFMAUwBQACkAXAAiACwAMAAuADYANgAzADEANQA4ACwAXAAiAE0AdQByAGkAYQB0AGUAIABvAGYAIABwAG8AdABhAHMAaAAgACgATQBPAFAAKQBcACIALAAwAC4AMwAzADY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MAXAB1ADAAMAAyADYAMQBcACIALABcACIAawBnAFwAIgAsADEALABcACIAXAAiACwAXAAiAFwAIgAsAFwAIgBcACIALABcACIAXAAiACwANgAuADUAOAAsADEAMgAuADUALAA4AC4AMgAyACwAXAAiAFMAaQBuAGcAbABlACAAcwB1AHAAZQByAHAAaABvAHMAcABoAGEAdABlACAAKABTAFMAUAApAFwAIgAsADAALgA3ADQANwAzADYAOAAsAFwAIgBNAHUAcgBpAGEAdABlACAAbwBmACAAcABvAHQAYQBzAGgAIAAoAE0ATwBQACkAXAAiACwAMAAuADI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ABcAHUAMAAwADIAN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FwAdQAwADAAMgA2ADEAXAAiACwAXAAiAGsAZwBcACIALAAxACwAXAAiAFwAIgAsAFwAIgBcACIALABcACIAXAAiACwAXAAiAFwAIgAsADcALgAzADIALAA4AC4ANAAsADkALgAxADUALABcACIAUwBpAG4AZwBsAGUAIABzAHUAcABlAHIAcABoAG8AcwBwAGgAYQB0AGUAIAAoAFMAUwBQACkAXAAiACwAMAAuADgAMwAxADUANwA5ACwAXAAiAE0AdQByAGkAYQB0AGUAIABvAGYAIABwAG8AdABhAHMAaAAgACgATQBPAFAAKQBcACIALAAwAC4AMQA2ADgALABcACIAXAAiACwAXAAiAFwAIgAsAFwAIgBcACIALABcACIAXAAi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XAAiACwAXAAiAGsAZwBcACIALAAxACwAXAAiAFwAIgAsAFwAIgBcACIALABcACIAXAAiACwAMgAzAC4AOQAsAFwAIgBcACIALABcACIAXAAiACwAMQAwAC4AOAAsAFwAIgBOAGkAdAByAG8AZwBlAG4AIAAtACAATgBpAHQAcgBhAHQAZQBcACIALAAwAC4AMAA3ADQALABcACIATgBpAHQAcgBvAGcAZQBuACAALQAgAEEAbQBtAG8AbgBpAGEAYwBhAGwAXAAiACwAMAAuADEANgA1ACwAXAAiAFMAdQBsAGYAdQByACAALQAgAEcAZQBuAGUAcgBpAGMAXAAiACwAMAAuADEAMAA4ACwAXAAiAEMAYQBsAGMAaQB1AG0AXAAiACwAMAAuADAANAA0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XAAiACwAXAAiAGsAZwBcACIALAAxACwAXAAiAFwAIgAsAFwAIgBcACIALABcACIAXAAiACwAMQA3AC4AOQAsAFwAIgBcACIALAAxADUALAAzAC4ANgAsAFwAIgBOAGkAdAByAG8AZwBlAG4AIAAtACAATgBpAHQAcgBhAHQAZQBcACIALAAwAC4AMAA1ADUALABcACIATgBpAHQAcgBvAGcAZQBuACAALQAgAEEAbQBtAG8AbgBpAGEAYwBhAGwAXAAiACwAMAAuADEAMgA0ACwAXAAiAFAAbwB0AGEAcwBzAGkAdQBtACAALQAgAEcAZQBuAGUAcgBpAGMAXAAiACwAMAAuADEANQAsAFwAIgBTAHUAbABmAHUAcgAgAC0AIABHAGUAbgBlAHIAaQBjAFwAIgAsADAALgAwADMANg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AgACgAUwApAFwAIgAsAFwAIgBrAGcAXAAiACwAMQAsAFwAIgBcACIALABcACIAXAAiACwAXAAiAFwAIgAsADEANgAuADkALABcACIAXAAiACwAMQA0AC4ANAAsADgALgA3ACwAXAAiAE4AaQB0AHIAbwBnAGUAbgAgAC0AIABOAGkAdAByAGEAdABlAFwAIgAsADAALgAwADUAMgAsAFwAIgBOAGkAdAByAG8AZwBlAG4AIAAtACAAQQBtAG0AbwBuAGkAYQBjAGEAbABcACIALAAwAC4AMQAxADcALABcACIAUABvAHQAYQBzAHMAaQB1AG0AIAAtACAARwBlAG4AZQByAGkAYwBcACIALAAwAC4AMQA0ADQALABcACIAUwB1AGwAZgB1AHIAIAAtACAARwBlAG4AZQByAGkAYwBcACIALAAwAC4AMAA4ADc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MAMABcACIALABcACIAawBnAFwAIgAsADEALABcACIAXAAiACwAXAAiAFwAIgAsAFwAIgBcACIALAAxADgALgA4ACwAMQAsADEAMgAuADUALAAzAC4ANwAsAFwAIgBOAGkAdAByAG8AZwBlAG4AIAAtACAATgBpAHQAcgBhAHQAZQBcACIALAAwAC4AMAA1ADgALABcACIATgBpAHQAcgBvAGcAZQBuACAALQAgAEEAbQBtAG8AbgBpAGEAYwBhAGwAXAAiACwAMAAuADEAMwAsAFwAIgBQAGgAbwBzAHAAaABvAHIAdQBzACAALQAgAEcAZQBuAGUAcgBpAGMAXAAiACwAMAAuADAAMQAsAFwAIgBQAG8AdABhAHMAcwBpAHUAbQAgAC0AIABHAGUAbgBlAHIAaQBjAFwAIgAsADAALgAxADIANQAsAFwAIgBTAHUAbABmAHUAcgAgAC0AIABHAGUAbgBlAHIAaQBjAFwAIgAsADAALgAwADMANw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UAMABcACIALABcACIAawBnAFwAIgAsADEALABcACIAXAAiACwAXAAiAFwAIgAsAFwAIgBcACIALAAxADgALgA2ACwAMwAsADEAMgAuADUALAAxAC4ANAAsAFwAIgBOAGkAdAByAG8AZwBlAG4AIAAtACAATgBpAHQAcgBhAHQAZQBcACIALAAwAC4AMAA1ADgALABcACIATgBpAHQAcgBvAGcAZQBuACAALQAgAEEAbQBtAG8AbgBpAGEAYwBhAGwAXAAiACwAMAAuADEAMgA4ACwAXAAiAFAAaABvAHMAcABoAG8AcgB1AHMAIAAtACAARwBlAG4AZQByAGkAYwBcACIALAAwAC4AMAAzACwAXAAiAFAAbwB0AGEAcwBzAGkAdQBtACAALQAgAEcAZQBuAGUAcgBpAGMAXAAiACwAMAAuADEAMgA1ACwAXAAiAFMAdQBsAGYAdQByACAALQAgAEcAZQBuAGUAcgBpAGMAXAAiACwAMAAuADAAMQA0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EUAeAB0AHIAYQAgAEsAXAAiACwAXAAiAGsAZwBcACIALAAxACwAXAAiAFwAIgAsAFwAIgBcACIALABcACIAXAAiACwAMQA1AC4AOAAsAFwAIgBcACIALAAxADkALAAzAC4AMgAsAFwAIgBOAGkAdAByAG8AZwBlAG4AIAAtACAATgBpAHQAcgBhAHQAZQBcACIALAAwAC4AMAA0ADkALABcACIATgBpAHQAcgBvAGcAZQBuACAALQAgAEEAbQBtAG8AbgBpAGEAYwBhAGwAXAAiACwAMAAuADEAMAA5ACwAXAAiAFAAbwB0AGEAcwBzAGkAdQBtACAALQAgAEcAZQBuAGUAcgBpAGMAXAAiACwAMAAuADEAOQAsAFwAIgBTAHUAbABmAHUAcgAgAC0AIABHAGUAbgBlAHIAaQBjAFwAIgAsADAALgAwADMAMgAsAFwAIgBDAGEAbABjAGkAdQBtAFwAIgAsADAALgAwADMAOQAsAFwAIgBcACIALABcACIAXAAiACwAXAAiAFwAIgAsAFwAIgBcACIALABcACIAXAAiACwAXAAiAFwAIgAsAFwAIgBcACIALABcACIAXAAiACwAXAAiAFwAIgAsAFwAIgBcACIAOwBcAG4AXAAiAEkAbgBjAGkAdABlAGMAIABQAGkAdgBvAHQAIABGAGUAcgB0AGkAbABpAHMAZQByAHMAXAAiACwAXAAiAEQAYQBpAHIAeQAgAFAAcgBvAFwAIgAsAFwAIgBrAGcAXAAiACwAMQAsAFwAIgBcACIALABcACIAXAAiACwAXAAiAFwAIgAsADIANQAuADkALAAzAC4AOQAsADEANQAuADkALAAwAC4AMwAsAFwAIgBOAGkAdAByAG8AZwBlAG4AIAAtACAARwBlAG4AZQByAGkAYwBcACIALAAwAC4AMgA1ADkALABcACIAUABoAG8AcwBwAGgAbwByAHUAcwAgAC0AIABHAGUAbgBlAHIAaQBjAFwAIgAsADAALgAwADMAOQAsAFwAIgBQAG8AdABhAHMAcwBpAHUAbQAgAC0AIABHAGUAbgBlAHIAaQBjAFwAIgAsADAALgAxADUAOQAsAFwAIgBTAHUAbABmAHUAcgAgAC0AIABHAGUAbgBlAHIAaQBjAFwAIgAsADAALgAwADAAMwAsAFwAIgBcACIALABcACIAXAAiACwAXAAiAFwAIgAsAFwAIgBcACIALABcACIAXAAiACwAXAAiAFwAIgAsAFwAIgBcACIALABcACIAXAAiACwAXAAiAFwAIgAsAFwAIgBcACIALABcACIAXAAiACwAXAAiAFwAIgA7AFwAbgBcACIAWQBhAHIAYQAgAEEAdQBzAHQAcgBhAGwAaQBhAFwAIgAsAFwAIgBZAGEAcgBhAE0AaQBsAGEAIABBAEMAVABZAFYAQQAgAFMAXAAiACwAXAAiAGsAZwBcACIALAAxACwAXAAiAFwAIgAsAFwAIgBcACIALABcACIAXAAiACwAMQA1AC4ANgAsADYALgAzADcALAAxADIALgA0ADUALAAyAC4ANgAsAFwAIgBOAGkAdAByAG8AZwBlAG4AIAAtACAATgBpAHQAcgBhAHQAZQBcACIALAAwAC4AMAA1ADgALABcACIATgBpAHQAcgBvAGcAZQBuACAALQAgAEEAbQBtAG8AbgBpAGEAYwBhAGwAXAAiACwAMAAuADAAOQA4ACwAXAAiAFAAaABvAHMAcABoAG8AcgB1AHMAIAAtACAARwBlAG4AZQByAGkAYwBcACIALAAwAC4AMAA2ADMANwAxADQALABcACIAUABvAHQAYQBzAHMAaQB1AG0AIAAtACAARwBlAG4AZQByAGkAYwBcACIALAAwAC4AMQAyADQANQAxADUALABcACIAUwB1AGwAZgB1AHIAIAAtACAARwBlAG4AZQByAGkAYwBcACIALAAwAC4AMAAyADYALABcACIAXAAiACwAXAAiAFwAIgAsAFwAIgBcACIALABcACIAXAAiACwAXAAiAFwAIgAsAFwAIgBcACIALABcACIAXAAiACwAXAAiAFwAIgAsAFwAIgBcACIALABcACIAXAAiADsAXABuAFwAIgBDAFMAQgBQAFwAIgAsAFwAIgBBAGcAZgBsAG8AdwAgAEUAeAB0AHIAYQBcACIALABcACIAawBnAFwAIgAsADEALABcACIAXAAiACwAXAAiAFwAIgAsAFwAIgBcACIALAAxADEALgAxADUALAAxADcALgA1ADIALABcACIAXAAiACwAMwAuADYALABcACIATQBvAG4AbwBhAG0AbQBvAG4AaQB1AG0AIABwAGgAbwBzAHAAaABhAHQAZQAgACgATQBBAFAAKQBcACIALAAwAC4AOAAsAFwAIgBTAHUAbABwAGgAYQB0AGUAIABvAGYAIABhAG0AbQBvAG4AaQBhACAAKABTAE8AQQApAFwAIgAsADAALgAxADUALABcACIAQwBvAHAAcABlAHIAXAAiACwAXAAiAE4AbwAgAGQAYQB0AGEAXAAiACwAXAAiAE0AbwBsAHkAYgBkAGUAbgB1AG0AXAAiACwAXAAiAE4AbwAgAGQAYQB0AGEAXAAiACwAXAAiAFoAaQBuAGMAXAAiACwAXAAiAE4AbwAgAGQAYQB0AGEAXAAiACwAXAAiAFwAIgAsAFwAIgBcACIALABcACIAXAAiACwAXAAiAFwAIgAsAFwAIgBcACIALABcACIAXAAiACwAXAAiAFwAIgAsAFwAIgBcACIALABcACIAXAAiACwAXAAiAFwAIgA7AFwAbgBcACIAQwBTAEIAUABcACIALABcACIAUwB1AHAAZQByACAAXAB1ADAAMAAyADYAIABQAG8AdABhAHMAaAAgADMAOgAxAFwAIgAsAFwAIgBrAGcAXAAiACwAMQAsAFwAIgBcACIALABcACIAXAAiACwAXAAiAFwAIgAsAFwAIgBcACIALAA1AC4ANQAsADEANQAsADYALgA4ADgALABcACIAUwBpAG4AZwBsAGUAIABzAHUAcABlAHIAcABoAG8AcwBwAGgAYQB0AGUAIAAoAFMAUwBQACkAXAAiACwAMAAuADYAMgA1ACwAXAAiAE0AdQByAGkAYQB0AGUAIABvAGYAIABwAG8AdABhAHMAaAAgACgATQBPAFAAKQBcACIALAAwAC4AMwAsAFwAIgBcACIALABcACIAXAAiACwAXAAiAFwAIgAsAFwAIgBcACIALABcACIAXAAiACwAXAAiAFwAIgAsAFwAIgBcACIALABcACIAXAAiACwAXAAiAFwAIgAsAFwAIgBcACIALABcACIAXAAiACwAXAAiAFwAIgAsAFwAIgBcACIALABcACIAXAAiACwAXAAiAFwAIgAsAFwAIgBcACIAOwBcAG4AXAAiAFkAYQByAGEAXAAiACwAXAAiAFkAYQByAGEAQgBlAGwAYQAgAEMAQQBOAC0AMgA3AFwAIgAsAFwAIgBrAGcAXAAiACwAMQAsAFwAIgBcACIALABcACIAXAAiACwAXAAiAFwAIgAsADIANwAsAFwAIgBcACIALABcACIAXAAiACwAXAAiAFwAIgAsAFwAIgBDAGEAbABjAGkAdQBtACAAYQBtAG0AbwBuAGkAdQBtACAAbgBpAHQAcgBhAHQAZQAgACgAQwBBAE4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GEAbAAtAEcAcgBhAG4AIABBAGYAdABlAHIAZwByAGEAegBlAFwAIgAsAFwAIgBrAGcAXAAiACwAMQAsAFwAIgBcACIALABcACIAXAAiACwAXAAiAFwAIgAsADIAMAAuADYALAAzACwANwAuADUALAAzAC4AOAAsAFwAIgBOAGkAdAByAG8AZwBlAG4AIAAtACAATgBpAHQAcgBhAHQAZQBcACIALAAwAC4AMAA2ADQALABcACIATgBpAHQAcgBvAGcAZQBuACAALQAgAEEAbQBtAG8AbgBpAGEAYwBhAGwAXAAiACwAMAAuADEANAAyACwAXAAiAFAAaABvAHMAcABoAG8AcgB1AHMAIAAtACAARwBlAG4AZQByAGkAYwBcACIALAAwAC4AMAAzACwAXAAiAFAAbwB0AGEAcwBzAGkAdQBtACAALQAgAEcAZQBuAGUAcgBpAGMAXAAiACwAMAAuADAANwA1ACwAXAAiAFMAdQBsAGYAdQByACAALQAgAEcAZQBuAGUAcgBpAGMAXAAiACwAMAAuADAAMwA4ACwAXAAiAEMAYQBsAGMAaQB1AG0AXAAiACwAMAAuADAANAA0ACwAXAAiAFwAIgAsAFwAIgBcACIALABcACIAXAAiACwAXAAiAFwAIgAsAFwAIgBcACIALABcACIAXAAiACwAXAAiAFwAIgAsAFwAIgBcACIAOwBcAG4AXAAiAEkAbgBjAGkAdABlAGMAIABQAGkAdgBvAHQAIABGAGUAcgB0AGkAbABpAHMAZQByAHMAXAAiACwAXAAiAEMAYQBsAC0ARwByAGEAbgAgAFAAcgBvAGQAcgBlAHMAcwBcACIALABcACIAawBnAFwAIgAsADEALABcACIAXAAiACwAXAAiAFwAIgAsAFwAIgBcACIALAAxADcALgA4ACwAMQAsADEANQAsADIALgA1ACwAXAAiAE4AaQB0AHIAbwBnAGUAbgAgAC0AIABOAGkAdAByAGEAdABlAFwAIgAsADAALgAwADUANQAsAFwAIgBOAGkAdAByAG8AZwBlAG4AIAAtACAAQQBtAG0AbwBuAGkAYQBjAGEAbABcACIALAAwAC4AMQAyADMALABcACIAUABoAG8AcwBwAGgAbwByAHUAcwAgAC0AIABHAGUAbgBlAHIAaQBjAFwAIgAsADAALgAwADEALABcACIAUABvAHQAYQBzAHMAaQB1AG0AIAAtACAARwBlAG4AZQByAGkAYwBcACIALAAwAC4AMQA1ACwAXAAiAFMAdQBsAGYAdQByACAALQAgAEcAZQBuAGUAcgBpAGMAXAAiACwAMAAuADAAMgA1ACwAXAAiAEMAYQBsAGMAaQB1AG0AXAAiACwAMAAuADAANAA0ACwAXAAiAFwAIgAsAFwAIgBcACIALABcACIAXAAiACwAXAAiAFwAIgAsAFwAIgBcACIALABcACIAXAAiACwAXAAiAFwAIgAsAFwAIgBcACIAOwBcAG4AXAAiAFcAZQBuAGcAZgB1ACAAQQB1AHMAdAByAGEAbABpAGEAXAAiACwAXAAiAFcAZQBuAGcAZgB1ACAAUAByAGkAbQBlAFoAaQBuAGMAIAAxADAAXAAiACwAXAAiAGsAZwBcACIALAAxACwAXAAiAFwAIgAsAFwAIgBcACIALABcACIAXAAiACwAMQAwACwAMgAyACwAXAAiAFwAIgAsADEALgA1ACwAXAAiAE4AaQB0AHIAbwBnAGUAbgAgAC0AIABHAGUAbgBlAHIAaQBjAFwAIgAsADAALgAxACwAXAAiAFAAaABvAHMAcABoAG8AcgB1AHMAIAAtACAARwBlAG4AZQByAGkAYwBcACIALAAwAC4AMgAyACwAXAAiAFMAdQBsAGYAdQByACAALQAgAEcAZQBuAGUAcgBpAGMAXAAiACwAMAAuADAAMQA1ACwAXAAiAFoAaQBuAGMAXAAiACwAMAAuADAAMQAsAFwAIgBcACIALABcACIAXAAiACwAXAAiAFwAIgAsAFwAIgBcACIALABcACIAXAAiACwAXAAiAFwAIgAsAFwAIgBcACIALABcACIAXAAiACwAXAAiAFwAIgAsAFwAIgBcACIALABcACIAXAAiACwAXAAiAFwAIgA7AFwAbgBcACIAVwBlAG4AZwBmAHUAIABBAHUAcwB0AHIAYQBsAGkAYQBcACIALABcACIAVwBlAG4AZwBmAHUAIABQAGEAcwB0AHUAcgBlACAASwBpAG4AZwBcACIALABcACIAawBnAFwAIgAsADEALABcACIAXAAiACwAXAAiAFwAIgAsAFwAIgBcACIALABcACIAXAAiACwAMQA1AC4ANwAsAFwAIgBcACIALAA0AC4ANgAsAFwAIgBQAGgAbwBzAHAAaABvAHIAdQBzACAALQAgAEcAZQBuAGUAcgBpAGMAXAAiACwAMAAuADEANQA3ACwAXAAiAFMAdQBsAGYAdQByACAALQAgAEcAZQBuAGUAcgBpAGMAXAAiACwAMAAuADAANAA2ACwAXAAiAEMAYQBsAGMAaQB1AG0AXAAiACwAMAAuADEANAAsAFwAIgBcACIALABcACIAXAAiACwAXAAiAFwAIgAsAFwAIgBcACIALABcACIAXAAiACwAXAAiAFwAIgAsAFwAIgBcACIALABcACIAXAAiACwAXAAiAFwAIgAsAFwAIgBcACIALABcACIAXAAiACwAXAAiAFwAIgAsAFwAIgBcACIALABcACIAXAAiADsAXABuAFwAIgBXAGUAbgBnAGYAdQAgAEEAdQBzAHQAcgBhAGwAaQBhAFwAIgAsAFwAIgBXAGUAbgBnAGYAdQAgAFMAdQBTAHQAYQBpAG4AXAAiACwAXAAiAGsAZwBcACIALAAxACwAXAAiAFwAIgAsAFwAIgBcACIALABcACIAXAAiACwAXAAiAFwAIgAsAFwAIgBcACIALABcACIAXAAiACwAOQAwACwAXAAiAFMAdQBsAGYAdQByACAALQAgAEcAZQBuAGUAcgBpAGMAXAAiACwAMAAuADkALABcACIAXAAiACwAXAAiAFwAIg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sAGEAbQBcACIALABcACIAawBnAFwAIgAsADEALABcACIAXAAiACwAXAAiAFwAIgAsAFwAIgBcACIALAAxADkALgA1ACwAMAAuADcALABcACIAXAAiACwAMgAzACwAXAAiAE4AaQB0AHIAbwBnAGUAbgAgAC0AIABHAGUAbgBlAHIAaQBjAFwAIgAsADAALgAxADkANQAsAFwAIgBQAGgAbwBzAHAAaABvAHIAdQBzACAALQAgAEcAZQBuAGUAcgBpAGMAXAAiACwAMAAuADAAMAA3ACwAXAAiAFMAdQBsAGYAdQByACAALQAgAEcAZQBuAGUAcgBpAGMAXAAiACwAMAAuADIAMwAsAFwAIgBcACIALABcACIAXAAiACwAXAAiAFwAIgAsAFwAIgBcACIALABcACIAXAAiACwAXAAiAFwAIgAsAFwAIgBcACIALABcACIAXAAiACwAXAAiAFwAIgAsAFwAIgBcACIALABcACIAXAAiACwAXAAiAFwAIgAsAFwAIgBcACIALABcACIAXAAiADsAXABuAFwAIgBXAGUAbgBnAGYAdQAgAEEAdQBzAHQAcgBhAGwAaQBhAFwAIgAsAFwAIgBXAGUAbgBnAGYAdQAgAFAAcgBpAG0AZQAgAE0AUwBaAFwAIgAsAFwAIgBrAGcAXAAiACwAMQAsAFwAIgBcACIALABcACIAXAAiACwAXAAiAFwAIgAsADEAMAAsADEAOAAsAFwAIgBcACIALAA4ACwAXAAiAE4AaQB0AHIAbwBnAGUAbgAgAC0AIABHAGUAbgBlAHIAaQBjAFwAIgAsADAALgAxACwAXAAiAFAAaABvAHMAcABoAG8AcgB1AHMAIAAtACAARwBlAG4AZQByAGkAYwBcACIALAAwAC4AMQA4ACwAXAAiAFMAdQBsAGYAdQByACAALQAgAEcAZQBuAGUAcgBpAGMAXAAiACwAMAAuADAAOAAsAFwAIgBaAGkAbgBjAFwAIgAsADAALgAwADAANQAsAFwAIgBcACIALABcACIAXAAiACwAXAAiAFwAIgAsAFwAIgBcACIALABcACIAXAAiACwAXAAiAFwAIgAsAFwAIgBcACIALABcACIAXAAiACwAXAAiAFwAIgAsAFwAIgBcACIALABcACIAXAAiACwAXAAiAFwAIgA7AFwAbgBcACIAVwBlAG4AZwBmAHUAIABBAHUAcwB0AHIAYQBsAGkAYQBcACIALABcACIAVwBlAG4AZwBmAHUAIAA5AC0AMgAwAC0AMAAtADEAMAAgAE0AQQBQACAAUwB1AFMAdABhAGkAbg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EANQAtADEANwAtADAALQAxADUAIABEAEEAUAAgAFMAdQBTAHQAYQBpAG4AXAAiACwAXAAiAGsAZwBcACIALAAxACwAXAAiAFwAIgAsAFwAIgBcACIALABcACIAXAAiACwAMQA1AC4AMgAsADEANgAuADkALAAwACwAMQA1AC4AMgAsAFwAIgBOAGkAdAByAG8AZwBlAG4AIAAtACAARwBlAG4AZQByAGkAYwBcACIALAAwAC4AMQA1ADIALABcACIAUABoAG8AcwBwAGgAbwByAHUAcwAgAC0AIABHAGUAbgBlAHIAaQBjAFwAIgAsADAALgAxADYAOQAsAFwAIgBTAHUAbABmAHUAcgAgAC0AIABHAGUAbgBlAHIAaQBjAFwAIgAsADAALgAxADUAMgAsAFwAIgBcACIALABcACIAXAAiACwAXAAiAFwAIgAsAFwAIgBcACIALABcACIAXAAiACwAXAAiAFwAIgAsAFwAIgBcACIALABcACIAXAAiACwAXAAiAFwAIgAsAFwAIgBcACIALABcACIAXAAiACwAXAAiAFwAIgAsAFwAIgBcACIALABcACIAXAAiADsAXABuAFwAIgBXAGUAbgBnAGYAdQAgAEEAdQBzAHQAcgBhAGwAaQBhAFwAIgAsAFwAIgBXAGUAbgBnAGYAdQAgADEANgAtADEAOAAtADAALQAxADAAIABEAEEAUAAgAFMAdQBTAHQAYQBpAG4AXAAiACwAXAAiAGsAZwBcACIALAAxACwAXAAiAFwAIgAsAFwAIgBcACIALABcACIAXAAiACwAMQA2AC4AMgAsADEAOAAsADAALAAxADAALgA0ACwAXAAiAE4AaQB0AHIAbwBnAGUAbgAgAC0AIABHAGUAbgBlAHIAaQBjAFwAIgAsADAALgAxADYAMgAsAFwAIgBQAGgAbwBzAHAAaABvAHIAdQBzACAALQAgAEcAZQBuAGUAcgBpAGMAXAAiACwAMAAuADE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UALQAxADUALQAwAC0ANgAgAEYAYQBzAHQAIABTAHQAYQByAHQAIABMAGUAZwB1AG0AZQBcACIALABcACIAawBnAFwAIgAsADEALABcACIAXAAiACwAXAAiAFwAIgAsAFwAIgBcACIALAA1ACwAMQA1AC4ANAAsADAALAA2AC4AMwAsAFwAIgBOAGkAdAByAG8AZwBlAG4AIAAtACAARwBlAG4AZQByAGkAYwBcACIALAAwAC4AMAA1ACwAXAAiAFAAaABvAHMAcABoAG8AcgB1AHMAIAAtACAARwBlAG4AZQByAGkAYwBcACIALAAwAC4AMQA1ADQALABcACIAUwB1AGwAZgB1AHIAIAAtACAARwBlAG4AZQByAGkAYwBcACIALAAwAC4AMAA2ADMALABcACIAXAAiACwAXAAiAFwAIgAsAFwAIgBcACIALABcACIAXAAiACwAXAAiAFwAIgAsAFwAIgBcACIALABcACIAXAAiACwAXAAiAFwAIgAsAFwAIgBcACIALABcACIAXAAiACwAXAAiAFwAIgAsAFwAIgBcACIALABcACIAXAAiACwAXAAiAFwAIgA7AFwAbgBcACIAVwBlAG4AZwBmAHUAIABBAHUAcwB0AHIAYQBsAGkAYQBcACIALABcACIAVwBlAG4AZwBmAHUAIAA5AC0AMgAwAC0AMAAtADEAMAAgAFAAcgBpAG0AZQBaAGkAbgBj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oAaQBuAGMAXAAiACwAMAAuADAAMAA5ACwAXAAiAFwAIgAsAFwAIgBcACIALABcACIAXAAiACwAXAAiAFwAIgAsAFwAIgBcACIALABcACIAXAAiACwAXAAiAFwAIgAsAFwAIgBcACIALABcACIAXAAiACwAXAAiAFwAIgAsAFwAIgBcACIALABcACIAXAAiADsAXABuAFwAIgBXAGUAbgBnAGYAdQAgAEEAdQBzAHQAcgBhAGwAaQBhAFwAIgAsAFwAIgBXAGUAbgBnAGYAdQAgADEAMgAtADEAOAAtADAALQA2ACAAUAByAGkAbQBlAFoAaQBuAGMAXAAiACwAXAAiAGsAZwBcACIALAAxACwAXAAiAFwAIgAsAFwAIgBcACIALABcACIAXAAiACwAMQAxAC4AOQAsADEANwAuADYALAAwACwANQAuADkALABcACIATgBpAHQAcgBvAGcAZQBuACAALQAgAEcAZQBuAGUAcgBpAGMAXAAiACwAMAAuADEAMQA5ACwAXAAiAFAAaABvAHMAcABoAG8AcgB1AHMAIAAtACAARwBlAG4AZQByAGkAYwBcACIALAAwAC4AMQA3ADYALABcACIAUwB1AGwAZgB1AHIAIAAtACAARwBlAG4AZQByAGkAYwBcACIALAAwAC4AMAA1ADkALABcACIAWgBpAG4AYwBcACIALAAwAC4AMAAwADgALABcACIAXAAiACwAXAAiAFwAIgAsAFwAIgBcACIALABcACIAXAAiACwAXAAiAFwAIgAsAFwAIgBcACIALABcACIAXAAiACwAXAAiAFwAIgAsAFwAIgBcACIALABcACIAXAAiACwAXAAiAFwAIgAsAFwAIgBcACIAOwBcAG4AXAAiAFcAZQBuAGcAZgB1ACAAQQB1AHMAdAByAGEAbABpAGEAXAAiACwAXAAiAFcAZQBuAGcAZgB1ACAAMQA0AC0AMQAzAC0AMAAtADEAMQAgAFAAcgBpAG0AZQBaAGkAbgBjAFwAIgAsAFwAIgBrAGcAXAAiACwAMQAsAFwAIgBcACIALABcACIAXAAiACwAXAAiAFwAIgAsADEANAAuADEALAAxADIALgA4ACwAMAAsADEAMAAuADcALABcACIATgBpAHQAcgBvAGcAZQBuACAALQAgAEcAZQBuAGUAcgBpAGMAXAAiACwAMAAuADEANAAxACwAXAAiAFAAaABvAHMAcABoAG8AcgB1AHMAIAAtACAARwBlAG4AZQByAGkAYwBcACIALAAwAC4AMQAyADgALABcACIAUwB1AGwAZgB1AHIAIAAtACAARwBlAG4AZQByAGkAYwBcACIALAAwAC4AMQAwADcALABcACIAWgBpAG4AYwBcACIALAAwAC4AMAAw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128</vt:i4>
      </vt:variant>
    </vt:vector>
  </HeadingPairs>
  <TitlesOfParts>
    <vt:vector size="163"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X_Cell_Site_EndDate</vt:lpstr>
      <vt:lpstr>X_Cell_Site_FarmName</vt:lpstr>
      <vt:lpstr>X_Cell_Site_Region</vt:lpstr>
      <vt:lpstr>X_Cell_Site_ReportingEntityName</vt:lpstr>
      <vt:lpstr>X_Cell_Site_TemperatureZone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2026-08-10T03:23:19Z</dcterms:modified>
</cp:coreProperties>
</file>