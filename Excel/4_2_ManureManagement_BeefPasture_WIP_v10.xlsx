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38A04BD-76F2-439D-9580-42A2A29DEA10}" xr6:coauthVersionLast="47" xr6:coauthVersionMax="47" xr10:uidLastSave="{00000000-0000-0000-0000-000000000000}"/>
  <bookViews>
    <workbookView xWindow="30" yWindow="135" windowWidth="28770" windowHeight="1725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10"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 i="70" l="1"/>
  <c r="M20" i="70"/>
  <c r="L20" i="70"/>
  <c r="K20" i="70"/>
  <c r="J20" i="70"/>
  <c r="I20" i="70"/>
  <c r="H20" i="70"/>
  <c r="G20" i="70"/>
  <c r="F20" i="70"/>
  <c r="E20" i="70"/>
  <c r="N19" i="70"/>
  <c r="M19" i="70"/>
  <c r="L19" i="70"/>
  <c r="K19" i="70"/>
  <c r="J19" i="70"/>
  <c r="I19" i="70"/>
  <c r="H19" i="70"/>
  <c r="G19" i="70"/>
  <c r="F19" i="70"/>
  <c r="E19" i="70"/>
  <c r="N18" i="70"/>
  <c r="M18" i="70"/>
  <c r="L18" i="70"/>
  <c r="K18" i="70"/>
  <c r="J18" i="70"/>
  <c r="I18" i="70"/>
  <c r="H18" i="70"/>
  <c r="G18" i="70"/>
  <c r="F18" i="70"/>
  <c r="E18" i="70"/>
  <c r="N17" i="70"/>
  <c r="M17" i="70"/>
  <c r="L17" i="70"/>
  <c r="K17" i="70"/>
  <c r="J17" i="70"/>
  <c r="I17" i="70"/>
  <c r="H17" i="70"/>
  <c r="G17" i="70"/>
  <c r="F17" i="70"/>
  <c r="E17" i="70"/>
  <c r="A8" i="72"/>
  <c r="A7" i="72"/>
  <c r="A3" i="72"/>
  <c r="D9" i="79"/>
  <c r="D8" i="79"/>
  <c r="I33" i="98"/>
  <c r="P39" i="98"/>
  <c r="G39" i="98"/>
  <c r="I34" i="98"/>
  <c r="I14" i="98"/>
  <c r="Q38" i="97"/>
  <c r="G38" i="97"/>
  <c r="I30" i="97"/>
  <c r="I29" i="97"/>
  <c r="X270" i="76"/>
  <c r="G232" i="76"/>
  <c r="H226" i="76"/>
  <c r="H225" i="76"/>
  <c r="M28" i="76"/>
  <c r="L28" i="76"/>
  <c r="K28" i="76"/>
  <c r="J28" i="76"/>
  <c r="I28" i="76"/>
  <c r="H28" i="76"/>
  <c r="G28" i="76"/>
  <c r="F28" i="76"/>
  <c r="E28" i="76"/>
  <c r="D28" i="76"/>
  <c r="Z279" i="69"/>
  <c r="G247" i="69"/>
  <c r="X172" i="69"/>
  <c r="X171" i="69"/>
  <c r="E172" i="69"/>
  <c r="E17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33" i="15"/>
  <c r="E32" i="15"/>
  <c r="E31" i="15"/>
  <c r="E30" i="15"/>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c r="D107" i="110" a="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A8" i="110"/>
  <c r="F7" i="110" a="1"/>
  <c r="F7" i="110" s="1"/>
  <c r="E7" i="110" a="1"/>
  <c r="E7" i="110" s="1"/>
  <c r="D7" i="110" a="1"/>
  <c r="D7" i="110" s="1"/>
  <c r="A7" i="110"/>
  <c r="D5" i="110" a="1"/>
  <c r="D5" i="110" s="1"/>
  <c r="A3" i="110"/>
  <c r="A8" i="71"/>
  <c r="A7" i="71"/>
  <c r="A3" i="71"/>
  <c r="E29" i="15"/>
  <c r="E13" i="15"/>
  <c r="A24" i="74"/>
  <c r="A23" i="74"/>
  <c r="A22" i="74"/>
  <c r="A21" i="74"/>
  <c r="A20" i="74"/>
  <c r="A16" i="74"/>
  <c r="A15" i="74"/>
  <c r="A14" i="74"/>
  <c r="A13" i="74"/>
  <c r="A9" i="74"/>
  <c r="A8" i="74"/>
  <c r="A4" i="74"/>
  <c r="A3" i="74"/>
  <c r="A24" i="43"/>
  <c r="A23" i="43"/>
  <c r="A22" i="43"/>
  <c r="A21" i="43"/>
  <c r="A20" i="43"/>
  <c r="A16" i="43"/>
  <c r="A15" i="43"/>
  <c r="A14" i="43"/>
  <c r="A13" i="43"/>
  <c r="A9" i="43"/>
  <c r="A8" i="43"/>
  <c r="A4" i="43"/>
  <c r="A3" i="43"/>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18" i="76"/>
  <c r="E22" i="97"/>
  <c r="E26" i="98"/>
  <c r="H49" i="110" l="1"/>
  <c r="H53" i="110"/>
  <c r="H51" i="110"/>
  <c r="H54" i="110"/>
  <c r="H48" i="110"/>
  <c r="H52" i="110"/>
  <c r="H50" i="110"/>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I158" i="69" l="1"/>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78" i="70"/>
  <c r="L180" i="70"/>
  <c r="L179" i="70"/>
  <c r="M178" i="70"/>
  <c r="N178" i="70" s="1"/>
  <c r="L181" i="70"/>
  <c r="M181" i="70"/>
  <c r="M180" i="70"/>
  <c r="M179" i="70"/>
  <c r="W172" i="69"/>
  <c r="W171" i="69"/>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7"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136" i="76" a="1"/>
  <c r="E148" i="69" a="1"/>
  <c r="E39" i="69" a="1"/>
  <c r="E178" i="76" a="1"/>
  <c r="E7" i="76" a="1"/>
  <c r="E206" i="69" a="1"/>
  <c r="E42" i="76" a="1"/>
  <c r="E101" i="69" a="1"/>
  <c r="E104"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5" i="69" l="1"/>
  <c r="E166"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239" i="69" l="1" a="1"/>
  <c r="F239" i="69" s="1"/>
  <c r="E244" i="69" s="1"/>
  <c r="G246" i="69" s="1"/>
  <c r="J13" i="97"/>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8" i="13"/>
  <c r="E10" i="13" l="1"/>
  <c r="G38" i="98"/>
  <c r="E41" i="98" s="1" a="1"/>
  <c r="E41" i="98" s="1"/>
  <c r="H10" i="13" s="1"/>
  <c r="E9" i="13"/>
  <c r="G37" i="97"/>
  <c r="E40" i="97" s="1" a="1"/>
  <c r="E40" i="97" s="1"/>
  <c r="H9" i="13" s="1"/>
  <c r="E249" i="69" a="1"/>
  <c r="E249" i="69" s="1"/>
  <c r="H7" i="13" s="1"/>
  <c r="E7" i="13"/>
  <c r="X276" i="69"/>
  <c r="Z278" i="69" s="1"/>
  <c r="V261" i="76"/>
  <c r="V267" i="76" s="1"/>
  <c r="X269" i="76"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N41" i="98" s="1" a="1"/>
  <c r="N41" i="98" s="1"/>
  <c r="I10" i="13" s="1"/>
  <c r="F9" i="13"/>
  <c r="Q37" i="97"/>
  <c r="O40" i="97" s="1"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<sst xmlns="http://schemas.openxmlformats.org/spreadsheetml/2006/main" count="1990" uniqueCount="438">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</sst>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30">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xf numFmtId="0" fontId="19" fillId="0" borderId="0" xfId="34"/>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7506DB7-7B12-4E00-8B1A-FEEA2CF105E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15B120D-3997-4E4D-97B8-4D02B3356030}" name="State/Territory">
      <calculatedColumnFormula array="1">Common_InputFunctions.Utility_DisplayArrayInTable(Common_SourceData.Common_SourceData_AustralianStatesTerritories_Data(),Table_AustralianStates[[#Headers],[State/Territory]],0)</calculatedColumnFormula>
    </tableColumn>
    <tableColumn id="2" xr3:uid="{7CD4314B-3415-43A5-926F-375E1CAB4532}" name="Common Name">
      <calculatedColumnFormula array="1">Common_InputFunctions.Utility_DisplayArrayInTable(Common_SourceData.Common_SourceData_AustralianStatesTerritories_Data(),Table_AustralianStates[[#Headers],[State/Territory]],0)</calculatedColumnFormula>
    </tableColumn>
    <tableColumn id="3" xr3:uid="{DD1E1CC8-CA34-43D3-81B8-7EB70841BC6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80E8B1-598F-4ECE-AE0E-2F1B1EDF857A}" name="Table_WASA4Areas" displayName="Table_WASA4Areas" ref="D20:D30" totalsRowShown="0">
  <autoFilter ref="D20:D30" xr:uid="{5FA81339-C6C8-4D36-BEEA-6C4AEDD9E676}">
    <filterColumn colId="0" hiddenButton="1"/>
  </autoFilter>
  <tableColumns count="1">
    <tableColumn id="1" xr3:uid="{ADE4FE7E-F82D-4123-92AD-50B2125968C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87BBB48-3AEC-4F89-BE71-BBA766E0A897}" name="Table_GWPData" displayName="Table_GWPData" ref="D36:E43" totalsRowShown="0">
  <autoFilter ref="D36:E43" xr:uid="{B8E87A66-3E41-4AD3-925D-01EE21B43D7A}">
    <filterColumn colId="0" hiddenButton="1"/>
    <filterColumn colId="1" hiddenButton="1"/>
  </autoFilter>
  <tableColumns count="2">
    <tableColumn id="1" xr3:uid="{64A65ED8-D3EB-4679-804E-9075226AB969}" name="Gas">
      <calculatedColumnFormula array="1">Common_InputFunctions.Utility_DisplayArrayInTable(Common_SourceData.Common_SourceData_GWP_Data(), Table_GWPData[[#Headers],[Gas]], 0)</calculatedColumnFormula>
    </tableColumn>
    <tableColumn id="2" xr3:uid="{9B965DA4-B592-49B7-AD23-8909DCE9E89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28AB8F-E382-497F-A62E-199BED32E41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D1F413-E24B-4CE1-B875-A1ADB2BA435D}" name="Gas">
      <calculatedColumnFormula array="1">Common_InputFunctions.Utility_DisplayArrayInTable(Common_SourceData.Common_SourceData_ConvertGasElementalToMolecular_Data(),Table_GasToMolecularConversionFactor[[#Headers],[Gas]], 0)</calculatedColumnFormula>
    </tableColumn>
    <tableColumn id="5" xr3:uid="{6F75182A-DB9A-494E-BB2D-0B80B8338771}" name="Conversion factor">
      <calculatedColumnFormula array="1">Common_InputFunctions.Utility_DisplayArrayInTable(Common_SourceData.Common_SourceData_ConvertGasElementalToMolecular_Data(),Table_GasToMolecularConversionFactor[[#Headers],[Gas]], 0)</calculatedColumnFormula>
    </tableColumn>
    <tableColumn id="2" xr3:uid="{D1B0328D-88AC-46E9-B848-ABC77EBD0FA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F9E94F4-C231-478C-978A-A4361781406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1C09F8-9868-418A-B971-D4CE612A70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1055A8-5AFA-47D5-BE73-8580FFC0EFA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E02002-B8C0-43B3-839A-FED366CCB4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62CCD60-EA4D-4127-9DDC-EFFCC7D2C29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33AD09C-8E41-4BAE-93C1-EF37B919B11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E113D6C1-7620-4F81-B577-753FAE064EDC}"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400E68D9-1131-4D03-A09F-A23F79D9201C}"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538D34F6-8591-42EA-8A88-0DF1DECC35E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694AE756-C92C-47FC-AB52-35FB1045801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2BB2C973-AD74-42D4-A70C-381DD08D110F}"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811A489D-ED73-44B1-92D9-14AFD7D6998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9A7334D3-40AD-44E6-91F3-C6E825B55C80}"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20D9D845-D8C7-4A2A-B711-A0D018DEE10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CE595CDA-9DC9-42C6-904E-1D2027B39147}"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BAA62C8C-14B3-460A-8E8E-C6F2FAB8EEBB}"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DB29D7FB-2433-4650-98BB-86836A743D70}"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636E6529-B758-41D1-8AAF-4672170E379E}"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60D8F6F3-B8B4-4031-869A-9EF299FC40FE}"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B476A93-028A-47B6-B7B3-53C0174DC09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400B75B-0337-488C-81AA-F2A92B512B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5B292C-702B-4019-865C-918F2ACD9D83}"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CBDE073-EC06-49F7-9205-A6FF51F2155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B13C7B5-66A4-40A7-B02A-5F2BED50AF40}" name="Temperature Zone">
      <calculatedColumnFormula array="1">Common_InputFunctions.Utility_DisplayArrayInTable(Common_SourceData.Common_SourceData_TemperatureZones_Data(),Table_SourceData_TemperatureZones[[#Headers],[Temperature Zone]],0)</calculatedColumnFormula>
    </tableColumn>
    <tableColumn id="2" xr3:uid="{B1ACE393-E712-4538-B69B-98BC8ACFABFE}" name="MAT">
      <calculatedColumnFormula array="1">Common_InputFunctions.Utility_DisplayArrayInTable(Common_SourceData.Common_SourceData_TemperatureZones_Data(),Table_SourceData_TemperatureZones[[#Headers],[Temperature Zone]],0)</calculatedColumnFormula>
    </tableColumn>
    <tableColumn id="3" xr3:uid="{18CF38AB-1549-4B23-8A1E-0D61EFBE8DF7}" name="Min MAT">
      <calculatedColumnFormula array="1">Common_InputFunctions.Utility_DisplayArrayInTable(Common_SourceData.Common_SourceData_TemperatureZones_Data(),Table_SourceData_TemperatureZones[[#Headers],[Temperature Zone]],0)</calculatedColumnFormula>
    </tableColumn>
    <tableColumn id="4" xr3:uid="{4F187A4F-4C27-4EDE-81BE-615997DB26F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4C41619-81BE-459A-B85C-3B5E3680AE3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24778D8-0C61-47D1-ABD8-A91973E85B7F}" name="Rainfall Zone">
      <calculatedColumnFormula array="1">Common_InputFunctions.Utility_DisplayArrayInTable(Common_SourceData.Common_SourceData_RainfallZones_Data(),Table_SourceData_RainfallZones[[#Headers],[Rainfall Zone]],0)</calculatedColumnFormula>
    </tableColumn>
    <tableColumn id="2" xr3:uid="{971F1AEB-4209-47FE-9832-8AF331598AEA}" name="Annual rainfall">
      <calculatedColumnFormula array="1">Common_InputFunctions.Utility_DisplayArrayInTable(Common_SourceData.Common_SourceData_RainfallZones_Data(),Table_SourceData_RainfallZones[[#Headers],[Rainfall Zone]],0)</calculatedColumnFormula>
    </tableColumn>
    <tableColumn id="3" xr3:uid="{C386917B-7461-43F3-88E8-5522B9F7F9FA}" name="Min rainfall">
      <calculatedColumnFormula array="1">Common_InputFunctions.Utility_DisplayArrayInTable(Common_SourceData.Common_SourceData_RainfallZones_Data(),Table_SourceData_RainfallZones[[#Headers],[Rainfall Zone]],0)</calculatedColumnFormula>
    </tableColumn>
    <tableColumn id="4" xr3:uid="{08026432-395F-470F-8E20-9B60893CE4C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4E00A03-8995-49D0-84EB-D1E4C050DFE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E91617-DBB3-4AE2-A98F-DFC260262D8E}" name="Leaching Zone">
      <calculatedColumnFormula array="1">Common_InputFunctions.Utility_DisplayArrayInTable(Common_SourceData.Common_SourceData_LeachingZones_Data(), Table_SourceData_LeachingZones[[#Headers],[Leaching Zone]], 0)</calculatedColumnFormula>
    </tableColumn>
    <tableColumn id="2" xr3:uid="{D7A37EA5-1C8C-4B2B-8C2D-B1647BCCEE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76D6EE9-B42F-4C8C-A3E1-6F49E6B93D3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EC177D-48DB-48E0-8F79-5253AE8507BD}" name="Data source">
      <calculatedColumnFormula array="1">Common_InputFunctions.Utility_DisplayArrayInTable(Common_SourceData.Common_SourceData_DataScores_Scope3_Data(), Table_SourceData_DataScores_Scope3[[#Headers],[Data source]], 0)</calculatedColumnFormula>
    </tableColumn>
    <tableColumn id="2" xr3:uid="{3A30E3BC-91C9-4538-BE55-3647E12E0D2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105C5F-7998-4C73-B15E-15DD30457E67}" name="Table_SourceData_FracWET" displayName="Table_SourceData_FracWET" ref="D134:E136" totalsRowShown="0">
  <autoFilter ref="D134:E136" xr:uid="{308E99BE-FE1F-47A4-B2CA-97217277C4E9}">
    <filterColumn colId="0" hiddenButton="1"/>
    <filterColumn colId="1" hiddenButton="1"/>
  </autoFilter>
  <tableColumns count="2">
    <tableColumn id="1" xr3:uid="{30EF89DC-3232-429D-B800-8120993FA5D1}" name="Is in leaching zone">
      <calculatedColumnFormula array="1">Common_InputFunctions.Utility_DisplayArrayInTable(Common_SourceData.Common_SourceData_FracWET_Data(),Table_SourceData_FracWET[[#Headers],[Is in leaching zone]],0)</calculatedColumnFormula>
    </tableColumn>
    <tableColumn id="2" xr3:uid="{E222496D-4F52-4CA2-B702-20F4FC599881}"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E1A906-6F1D-481F-BAFE-E56F0545214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DE94C2A-7DA9-4A8A-A5C2-376EE914E2F9}" name="Production system j">
      <calculatedColumnFormula array="1">Common_InputFunctions.Utility_DisplayArrayInTable(Common_SourceData.Common_SourceData_EFN2O_Data(), Table_SourceData_Common_EFN2O[[#Headers],[Production system j]], 0)</calculatedColumnFormula>
    </tableColumn>
    <tableColumn id="2" xr3:uid="{B378E3E8-88E5-4D49-8D58-19BE3F7280F3}" name="EFN2O">
      <calculatedColumnFormula array="1">Common_InputFunctions.Utility_DisplayArrayInTable(Common_SourceData.Common_SourceData_EFN2O_Data(), Table_SourceData_Common_EFN2O[[#Headers],[Production system j]], 0)</calculatedColumnFormula>
    </tableColumn>
    <tableColumn id="3" xr3:uid="{435F1E2C-03BA-48DD-B118-3987D3805A76}" name="Production system only">
      <calculatedColumnFormula array="1">Common_InputFunctions.Utility_DisplayArrayInTable(Common_SourceData.Common_SourceData_EFN2O_Data(), Table_SourceData_Common_EFN2O[[#Headers],[Production system j]], 0)</calculatedColumnFormula>
    </tableColumn>
    <tableColumn id="4" xr3:uid="{14F8B29E-D5B0-4D20-835F-15EE0A1B80C8}" name="Irrigation method">
      <calculatedColumnFormula array="1">Common_InputFunctions.Utility_DisplayArrayInTable(Common_SourceData.Common_SourceData_EFN2O_Data(), Table_SourceData_Common_EFN2O[[#Headers],[Production system j]], 0)</calculatedColumnFormula>
    </tableColumn>
    <tableColumn id="5" xr3:uid="{009FFD4D-9065-4F21-94E2-40B213A7E8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1F12B1-AC9F-49BB-8D6C-C480FD61FCC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B22BDDF-75F6-4899-ACE5-526F8F25F5AF}" name="Irrigation type i">
      <calculatedColumnFormula array="1">Common_InputFunctions.Utility_DisplayArrayInTable(Common_SourceData.Common_SourceData_FracWETIrrigation_Data(), Table_SourceData_FracWETIrrigation[[#Headers],[Irrigation type i]], 0)</calculatedColumnFormula>
    </tableColumn>
    <tableColumn id="2" xr3:uid="{095FDFD4-57E1-4D27-9D12-570728F2770D}"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5849913-A975-4058-A066-211BD20752D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1237940-6072-471F-8956-AE1C76E0476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F25D4-60A7-40B9-B6EA-2D123A45BC9B}"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3A1912A-B3BF-4693-B546-77C60AEAD58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103B27F-96BC-4919-A9DA-CD876EC72C45}" name="Month">
      <calculatedColumnFormula array="1">Common_InputFunctions.Utility_DisplayArrayInTable(Common_SourceData.Common_SourceData_MonthsToSeasons_Data(), Table_SourceData_Common_MonthToSeason[[#Headers],[Month]], 0)</calculatedColumnFormula>
    </tableColumn>
    <tableColumn id="2" xr3:uid="{B28C24D1-22CA-4306-99D0-1A24AA662B81}"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AFC8DC0-DBEB-43E0-9CB0-6AE767DF324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9567E8A-8324-4279-B76C-4A54D3D6DB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95FE6A-5975-4537-BF77-F1975C2BA958}"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D83CD55-F19B-470A-B72D-DFF9A61F131D}"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B9C20C-BCD7-4E5B-9E9B-8C7B417C9AC1}"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488A92-8358-41B9-9C06-4FF575D2EB56}"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7116448-6082-4AF0-934A-145E036B993F}"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CA9435D-A6DB-4FD6-AC07-C40F8037A7B1}"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98DB42-C184-4E49-BD39-94F356DA75A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FC700E4-D957-4AE7-A1B6-E3BC61528C9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B12BD81-E415-40E0-B49C-F5342ED8D2CB}"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86E0030-AA98-4D41-AC60-56473CE5BBCA}"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D58975-47A9-4506-A7C9-5D50AA1C35A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BC25A12-2F6D-4043-B5F5-B60BB1F4B97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9FF84F7-5796-488A-9417-47702B6E3EC1}"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07DE403-2DB0-459F-838D-AE0207DC19EF}"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1E3C577-A499-4110-BD43-BD682C04854E}"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2BDCF78-05D5-41AE-B6A6-01A73993D3E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767DD22-2BAA-4CEC-B662-47A0AA14285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43561A7-08E6-4A44-84F0-30E7C85C6FD8}"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90A3508-4851-4616-8997-A90DED38A57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4B3899-9D34-42A9-BB3B-AD8B91A6E241}" name="Description" dataDxfId="25" dataCellStyle="Content normal"/>
    <tableColumn id="1" xr3:uid="{DB709C49-6094-41EF-8EE7-59DE5240F4BA}" name="ID"/>
    <tableColumn id="3" xr3:uid="{B9B59130-8286-43CB-9EC4-006A56BE30DA}"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1490E23-2E90-40AC-B613-A5CBC6BFAB6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559D61C-4139-452E-A193-5852137CA88C}" name="Description"/>
    <tableColumn id="2" xr3:uid="{47597991-CED9-4406-B8E8-54E88B2706C6}" name="ID"/>
    <tableColumn id="3" xr3:uid="{76234EB2-E34A-4016-B2DF-69A3AE8FA1BA}"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6CC9C4B-E0B5-470B-9E18-CB0E4929A2A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00A444A-FECD-40A6-A88C-23A054338FF0}" name="Description"/>
    <tableColumn id="2" xr3:uid="{912E3E30-1FF6-46D0-AB36-EE82592C5102}" name="ID"/>
    <tableColumn id="3" xr3:uid="{264DD3A6-05FA-44AD-831A-70775F7C4F93}"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D9F64E5-D795-4F6C-B083-D1544382E28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9B254CE-A6A8-4865-B27D-1147DA1658BC}" name="Description"/>
    <tableColumn id="2" xr3:uid="{F8D7029A-4CE3-45F0-A752-E89CB07790C6}" name="ID"/>
    <tableColumn id="3" xr3:uid="{8592B8C2-4613-4952-A7AA-5F14D55D9124}"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3" dataCellStyle="Content normal">
  <autoFilter ref="D43:E50" xr:uid="{995536B5-6CA5-4D7D-A704-9B6B595C2491}"/>
  <tableColumns count="2">
    <tableColumn id="1" xr3:uid="{E938630E-8222-4BE2-B52E-4473CFD04435}"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0" dataCellStyle="Content normal">
  <autoFilter ref="D54:E55" xr:uid="{257D8456-031C-4EEF-A8C4-474F215C3208}"/>
  <tableColumns count="2">
    <tableColumn id="1" xr3:uid="{CCAB4FA5-3C71-4C85-9272-34B79637BA1B}"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7" dataCellStyle="Content normal">
  <autoFilter ref="D59:E60" xr:uid="{71833C62-BA2B-4519-92E0-B189E393D12F}"/>
  <tableColumns count="2">
    <tableColumn id="1" xr3:uid="{BB13FB65-BFF1-4C4A-B3E1-18BD0F5BFCC3}"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4" dataCellStyle="Content normal">
  <autoFilter ref="D64:E65" xr:uid="{65FF5EF6-2A75-4137-9345-8328E2DA8F9C}"/>
  <tableColumns count="2">
    <tableColumn id="1" xr3:uid="{FF50B2BD-E102-4982-AE25-F8D8E417E7A1}"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7.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4" sqref="A24"/>
    </sheetView>
  </sheetViews>
  <sheetFormatPr defaultRowHeight="15" x14ac:dyDescent="0.25"/>
  <sheetData>
    <row r="1" spans="1:1" x14ac:dyDescent="0.25">
      <c r="A1" t="s">
        <v>388</v>
      </c>
    </row>
    <row r="3" spans="1:1" x14ac:dyDescent="0.25">
      <c r="A3" s="129" t="str">
        <f>HYPERLINK("#'Home'!A1", "Home")</f>
        <v>Home</v>
      </c>
    </row>
    <row r="6" spans="1:1" x14ac:dyDescent="0.25">
      <c r="A6" s="12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AA334"/>
  <sheetViews>
    <sheetView showGridLines="0" tabSelected="1" zoomScaleNormal="100" workbookViewId="0">
      <selection activeCell="E17" sqref="E17:N20"/>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f>91.25</f>
        <v>91.25</v>
      </c>
      <c r="F17" s="50">
        <f t="shared" ref="F17:N20" si="0">91.25</f>
        <v>91.25</v>
      </c>
      <c r="G17" s="50">
        <f t="shared" si="0"/>
        <v>91.25</v>
      </c>
      <c r="H17" s="50">
        <f t="shared" si="0"/>
        <v>91.25</v>
      </c>
      <c r="I17" s="50">
        <f t="shared" si="0"/>
        <v>91.25</v>
      </c>
      <c r="J17" s="50">
        <f t="shared" si="0"/>
        <v>91.25</v>
      </c>
      <c r="K17" s="50">
        <f t="shared" si="0"/>
        <v>91.25</v>
      </c>
      <c r="L17" s="50">
        <f t="shared" si="0"/>
        <v>91.25</v>
      </c>
      <c r="M17" s="50">
        <f t="shared" si="0"/>
        <v>91.25</v>
      </c>
      <c r="N17" s="50">
        <f t="shared" si="0"/>
        <v>91.25</v>
      </c>
      <c r="O17" s="2" t="s">
        <v>52</v>
      </c>
      <c r="T17" s="7"/>
    </row>
    <row r="18" spans="1:20" ht="20.100000000000001" customHeight="1" x14ac:dyDescent="0.25">
      <c r="D18" s="1" t="s">
        <v>168</v>
      </c>
      <c r="E18" s="50">
        <f t="shared" ref="E18:N20" si="1">91.25</f>
        <v>91.25</v>
      </c>
      <c r="F18" s="50">
        <f t="shared" si="0"/>
        <v>91.25</v>
      </c>
      <c r="G18" s="50">
        <f t="shared" si="0"/>
        <v>91.25</v>
      </c>
      <c r="H18" s="50">
        <f t="shared" si="0"/>
        <v>91.25</v>
      </c>
      <c r="I18" s="50">
        <f t="shared" si="0"/>
        <v>91.25</v>
      </c>
      <c r="J18" s="50">
        <f t="shared" si="0"/>
        <v>91.25</v>
      </c>
      <c r="K18" s="50">
        <f t="shared" si="0"/>
        <v>91.25</v>
      </c>
      <c r="L18" s="50">
        <f t="shared" si="0"/>
        <v>91.25</v>
      </c>
      <c r="M18" s="50">
        <f t="shared" si="0"/>
        <v>91.25</v>
      </c>
      <c r="N18" s="50">
        <f t="shared" si="0"/>
        <v>91.25</v>
      </c>
      <c r="O18" s="2" t="s">
        <v>52</v>
      </c>
      <c r="T18" s="7"/>
    </row>
    <row r="19" spans="1:20" ht="20.100000000000001" customHeight="1" x14ac:dyDescent="0.25">
      <c r="A19" s="125" t="s">
        <v>1</v>
      </c>
      <c r="D19" s="1" t="s">
        <v>169</v>
      </c>
      <c r="E19" s="50">
        <f t="shared" si="1"/>
        <v>91.25</v>
      </c>
      <c r="F19" s="50">
        <f t="shared" si="0"/>
        <v>91.25</v>
      </c>
      <c r="G19" s="50">
        <f t="shared" si="0"/>
        <v>91.25</v>
      </c>
      <c r="H19" s="50">
        <f t="shared" si="0"/>
        <v>91.25</v>
      </c>
      <c r="I19" s="50">
        <f t="shared" si="0"/>
        <v>91.25</v>
      </c>
      <c r="J19" s="50">
        <f t="shared" si="0"/>
        <v>91.25</v>
      </c>
      <c r="K19" s="50">
        <f t="shared" si="0"/>
        <v>91.25</v>
      </c>
      <c r="L19" s="50">
        <f t="shared" si="0"/>
        <v>91.25</v>
      </c>
      <c r="M19" s="50">
        <f t="shared" si="0"/>
        <v>91.25</v>
      </c>
      <c r="N19" s="50">
        <f t="shared" si="0"/>
        <v>91.25</v>
      </c>
      <c r="O19" s="2" t="s">
        <v>52</v>
      </c>
      <c r="T19" s="7"/>
    </row>
    <row r="20" spans="1:20" ht="20.100000000000001" customHeight="1" x14ac:dyDescent="0.25">
      <c r="A20" s="17" t="str">
        <f>HYPERLINK("#'Constants - Pasture Beef'!A1", "Constants - Pasture Beef")</f>
        <v>Constants - Pasture Beef</v>
      </c>
      <c r="D20" s="1" t="s">
        <v>170</v>
      </c>
      <c r="E20" s="50">
        <f t="shared" si="1"/>
        <v>91.25</v>
      </c>
      <c r="F20" s="50">
        <f t="shared" si="0"/>
        <v>91.25</v>
      </c>
      <c r="G20" s="50">
        <f t="shared" si="0"/>
        <v>91.25</v>
      </c>
      <c r="H20" s="50">
        <f t="shared" si="0"/>
        <v>91.25</v>
      </c>
      <c r="I20" s="50">
        <f t="shared" si="0"/>
        <v>91.25</v>
      </c>
      <c r="J20" s="50">
        <f t="shared" si="0"/>
        <v>91.25</v>
      </c>
      <c r="K20" s="50">
        <f t="shared" si="0"/>
        <v>91.25</v>
      </c>
      <c r="L20" s="50">
        <f t="shared" si="0"/>
        <v>91.25</v>
      </c>
      <c r="M20" s="50">
        <f t="shared" si="0"/>
        <v>91.25</v>
      </c>
      <c r="N20" s="50">
        <f t="shared" si="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2">DAY(EOMONTH($D23,0))</f>
        <v>31</v>
      </c>
      <c r="F23" s="62">
        <f t="shared" si="2"/>
        <v>31</v>
      </c>
      <c r="G23" s="62">
        <f t="shared" si="2"/>
        <v>31</v>
      </c>
      <c r="H23" s="62">
        <f t="shared" si="2"/>
        <v>31</v>
      </c>
      <c r="I23" s="62">
        <f t="shared" si="2"/>
        <v>31</v>
      </c>
      <c r="J23" s="62">
        <f t="shared" si="2"/>
        <v>31</v>
      </c>
      <c r="K23" s="62">
        <f t="shared" si="2"/>
        <v>31</v>
      </c>
      <c r="L23" s="62">
        <f t="shared" si="2"/>
        <v>31</v>
      </c>
      <c r="M23" s="62">
        <f t="shared" si="2"/>
        <v>31</v>
      </c>
      <c r="N23" s="62">
        <f t="shared" si="2"/>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2"/>
        <v>29</v>
      </c>
      <c r="F24" s="62">
        <f t="shared" si="2"/>
        <v>29</v>
      </c>
      <c r="G24" s="62">
        <f t="shared" si="2"/>
        <v>29</v>
      </c>
      <c r="H24" s="62">
        <f t="shared" si="2"/>
        <v>29</v>
      </c>
      <c r="I24" s="62">
        <f t="shared" si="2"/>
        <v>29</v>
      </c>
      <c r="J24" s="62">
        <f t="shared" si="2"/>
        <v>29</v>
      </c>
      <c r="K24" s="62">
        <f t="shared" si="2"/>
        <v>29</v>
      </c>
      <c r="L24" s="62">
        <f t="shared" si="2"/>
        <v>29</v>
      </c>
      <c r="M24" s="62">
        <f t="shared" si="2"/>
        <v>29</v>
      </c>
      <c r="N24" s="62">
        <f t="shared" si="2"/>
        <v>29</v>
      </c>
      <c r="O24" s="2" t="s">
        <v>52</v>
      </c>
      <c r="T24" s="7"/>
    </row>
    <row r="25" spans="1:20" ht="20.100000000000001" customHeight="1" x14ac:dyDescent="0.25">
      <c r="D25" s="1" t="str">
        <f>TEXT(EDATE(X_Cell_Site_StartDate,2), "mmmm yyyy")</f>
        <v>March 2024</v>
      </c>
      <c r="E25" s="62">
        <f t="shared" si="2"/>
        <v>31</v>
      </c>
      <c r="F25" s="62">
        <f t="shared" si="2"/>
        <v>31</v>
      </c>
      <c r="G25" s="62">
        <f t="shared" si="2"/>
        <v>31</v>
      </c>
      <c r="H25" s="62">
        <f t="shared" si="2"/>
        <v>31</v>
      </c>
      <c r="I25" s="62">
        <f t="shared" si="2"/>
        <v>31</v>
      </c>
      <c r="J25" s="62">
        <f t="shared" si="2"/>
        <v>31</v>
      </c>
      <c r="K25" s="62">
        <f t="shared" si="2"/>
        <v>31</v>
      </c>
      <c r="L25" s="62">
        <f t="shared" si="2"/>
        <v>31</v>
      </c>
      <c r="M25" s="62">
        <f t="shared" si="2"/>
        <v>31</v>
      </c>
      <c r="N25" s="62">
        <f t="shared" si="2"/>
        <v>31</v>
      </c>
      <c r="O25" s="2" t="s">
        <v>52</v>
      </c>
      <c r="T25" s="7"/>
    </row>
    <row r="26" spans="1:20" ht="20.100000000000001" customHeight="1" x14ac:dyDescent="0.25">
      <c r="D26" s="1" t="str">
        <f>TEXT(EDATE(X_Cell_Site_StartDate,3), "mmmm yyyy")</f>
        <v>April 2024</v>
      </c>
      <c r="E26" s="62">
        <f t="shared" si="2"/>
        <v>30</v>
      </c>
      <c r="F26" s="62">
        <f t="shared" si="2"/>
        <v>30</v>
      </c>
      <c r="G26" s="62">
        <f t="shared" si="2"/>
        <v>30</v>
      </c>
      <c r="H26" s="62">
        <f t="shared" si="2"/>
        <v>30</v>
      </c>
      <c r="I26" s="62">
        <f t="shared" si="2"/>
        <v>30</v>
      </c>
      <c r="J26" s="62">
        <f t="shared" si="2"/>
        <v>30</v>
      </c>
      <c r="K26" s="62">
        <f t="shared" si="2"/>
        <v>30</v>
      </c>
      <c r="L26" s="62">
        <f t="shared" si="2"/>
        <v>30</v>
      </c>
      <c r="M26" s="62">
        <f t="shared" si="2"/>
        <v>30</v>
      </c>
      <c r="N26" s="62">
        <f t="shared" si="2"/>
        <v>30</v>
      </c>
      <c r="O26" s="2" t="s">
        <v>52</v>
      </c>
      <c r="T26" s="7"/>
    </row>
    <row r="27" spans="1:20" ht="20.100000000000001" customHeight="1" x14ac:dyDescent="0.25">
      <c r="D27" s="1" t="str">
        <f>TEXT(EDATE(X_Cell_Site_StartDate,4), "mmmm yyyy")</f>
        <v>May 2024</v>
      </c>
      <c r="E27" s="62">
        <f t="shared" si="2"/>
        <v>31</v>
      </c>
      <c r="F27" s="62">
        <f t="shared" si="2"/>
        <v>31</v>
      </c>
      <c r="G27" s="62">
        <f t="shared" si="2"/>
        <v>31</v>
      </c>
      <c r="H27" s="62">
        <f t="shared" si="2"/>
        <v>31</v>
      </c>
      <c r="I27" s="62">
        <f t="shared" si="2"/>
        <v>31</v>
      </c>
      <c r="J27" s="62">
        <f t="shared" si="2"/>
        <v>31</v>
      </c>
      <c r="K27" s="62">
        <f t="shared" si="2"/>
        <v>31</v>
      </c>
      <c r="L27" s="62">
        <f t="shared" si="2"/>
        <v>31</v>
      </c>
      <c r="M27" s="62">
        <f t="shared" si="2"/>
        <v>31</v>
      </c>
      <c r="N27" s="62">
        <f t="shared" si="2"/>
        <v>31</v>
      </c>
      <c r="O27" s="2" t="s">
        <v>52</v>
      </c>
      <c r="T27" s="7"/>
    </row>
    <row r="28" spans="1:20" ht="20.100000000000001" customHeight="1" x14ac:dyDescent="0.25">
      <c r="D28" s="1" t="str">
        <f>TEXT(EDATE(X_Cell_Site_StartDate,5), "mmmm yyyy")</f>
        <v>June 2024</v>
      </c>
      <c r="E28" s="62">
        <f t="shared" si="2"/>
        <v>30</v>
      </c>
      <c r="F28" s="62">
        <f t="shared" si="2"/>
        <v>30</v>
      </c>
      <c r="G28" s="62">
        <f t="shared" si="2"/>
        <v>30</v>
      </c>
      <c r="H28" s="62">
        <f t="shared" si="2"/>
        <v>30</v>
      </c>
      <c r="I28" s="62">
        <f t="shared" si="2"/>
        <v>30</v>
      </c>
      <c r="J28" s="62">
        <f t="shared" si="2"/>
        <v>30</v>
      </c>
      <c r="K28" s="62">
        <f t="shared" si="2"/>
        <v>30</v>
      </c>
      <c r="L28" s="62">
        <f t="shared" si="2"/>
        <v>30</v>
      </c>
      <c r="M28" s="62">
        <f t="shared" si="2"/>
        <v>30</v>
      </c>
      <c r="N28" s="62">
        <f t="shared" si="2"/>
        <v>30</v>
      </c>
      <c r="O28" s="2" t="s">
        <v>52</v>
      </c>
      <c r="T28" s="7"/>
    </row>
    <row r="29" spans="1:20" ht="20.100000000000001" customHeight="1" x14ac:dyDescent="0.25">
      <c r="D29" s="1" t="str">
        <f>TEXT(EDATE(X_Cell_Site_StartDate,6), "mmmm yyyy")</f>
        <v>July 2024</v>
      </c>
      <c r="E29" s="62">
        <f t="shared" si="2"/>
        <v>31</v>
      </c>
      <c r="F29" s="62">
        <f t="shared" si="2"/>
        <v>31</v>
      </c>
      <c r="G29" s="62">
        <f t="shared" si="2"/>
        <v>31</v>
      </c>
      <c r="H29" s="62">
        <f t="shared" si="2"/>
        <v>31</v>
      </c>
      <c r="I29" s="62">
        <f t="shared" si="2"/>
        <v>31</v>
      </c>
      <c r="J29" s="62">
        <f t="shared" si="2"/>
        <v>31</v>
      </c>
      <c r="K29" s="62">
        <f t="shared" si="2"/>
        <v>31</v>
      </c>
      <c r="L29" s="62">
        <f t="shared" si="2"/>
        <v>31</v>
      </c>
      <c r="M29" s="62">
        <f t="shared" si="2"/>
        <v>31</v>
      </c>
      <c r="N29" s="62">
        <f t="shared" si="2"/>
        <v>31</v>
      </c>
      <c r="O29" s="2" t="s">
        <v>52</v>
      </c>
      <c r="T29" s="7"/>
    </row>
    <row r="30" spans="1:20" ht="20.100000000000001" customHeight="1" x14ac:dyDescent="0.25">
      <c r="D30" s="1" t="str">
        <f>TEXT(EDATE(X_Cell_Site_StartDate,7), "mmmm yyyy")</f>
        <v>August 2024</v>
      </c>
      <c r="E30" s="62">
        <f t="shared" si="2"/>
        <v>31</v>
      </c>
      <c r="F30" s="62">
        <f t="shared" si="2"/>
        <v>31</v>
      </c>
      <c r="G30" s="62">
        <f t="shared" si="2"/>
        <v>31</v>
      </c>
      <c r="H30" s="62">
        <f t="shared" si="2"/>
        <v>31</v>
      </c>
      <c r="I30" s="62">
        <f t="shared" si="2"/>
        <v>31</v>
      </c>
      <c r="J30" s="62">
        <f t="shared" si="2"/>
        <v>31</v>
      </c>
      <c r="K30" s="62">
        <f t="shared" si="2"/>
        <v>31</v>
      </c>
      <c r="L30" s="62">
        <f t="shared" si="2"/>
        <v>31</v>
      </c>
      <c r="M30" s="62">
        <f t="shared" si="2"/>
        <v>31</v>
      </c>
      <c r="N30" s="62">
        <f t="shared" si="2"/>
        <v>31</v>
      </c>
      <c r="O30" s="2" t="s">
        <v>52</v>
      </c>
      <c r="T30" s="7"/>
    </row>
    <row r="31" spans="1:20" ht="20.100000000000001" customHeight="1" x14ac:dyDescent="0.25">
      <c r="D31" s="1" t="str">
        <f>TEXT(EDATE(X_Cell_Site_StartDate,8), "mmmm yyyy")</f>
        <v>September 2024</v>
      </c>
      <c r="E31" s="62">
        <f t="shared" si="2"/>
        <v>30</v>
      </c>
      <c r="F31" s="62">
        <f t="shared" si="2"/>
        <v>30</v>
      </c>
      <c r="G31" s="62">
        <f t="shared" si="2"/>
        <v>30</v>
      </c>
      <c r="H31" s="62">
        <f t="shared" si="2"/>
        <v>30</v>
      </c>
      <c r="I31" s="62">
        <f t="shared" si="2"/>
        <v>30</v>
      </c>
      <c r="J31" s="62">
        <f t="shared" si="2"/>
        <v>30</v>
      </c>
      <c r="K31" s="62">
        <f t="shared" si="2"/>
        <v>30</v>
      </c>
      <c r="L31" s="62">
        <f t="shared" si="2"/>
        <v>30</v>
      </c>
      <c r="M31" s="62">
        <f t="shared" si="2"/>
        <v>30</v>
      </c>
      <c r="N31" s="62">
        <f t="shared" si="2"/>
        <v>30</v>
      </c>
      <c r="O31" s="2" t="s">
        <v>52</v>
      </c>
      <c r="T31" s="7"/>
    </row>
    <row r="32" spans="1:20" ht="20.100000000000001" customHeight="1" x14ac:dyDescent="0.25">
      <c r="D32" s="1" t="str">
        <f>TEXT(EDATE(X_Cell_Site_StartDate,9), "mmmm yyyy")</f>
        <v>October 2024</v>
      </c>
      <c r="E32" s="62">
        <f t="shared" si="2"/>
        <v>31</v>
      </c>
      <c r="F32" s="62">
        <f t="shared" si="2"/>
        <v>31</v>
      </c>
      <c r="G32" s="62">
        <f t="shared" si="2"/>
        <v>31</v>
      </c>
      <c r="H32" s="62">
        <f t="shared" si="2"/>
        <v>31</v>
      </c>
      <c r="I32" s="62">
        <f t="shared" si="2"/>
        <v>31</v>
      </c>
      <c r="J32" s="62">
        <f t="shared" si="2"/>
        <v>31</v>
      </c>
      <c r="K32" s="62">
        <f t="shared" si="2"/>
        <v>31</v>
      </c>
      <c r="L32" s="62">
        <f t="shared" si="2"/>
        <v>31</v>
      </c>
      <c r="M32" s="62">
        <f t="shared" si="2"/>
        <v>31</v>
      </c>
      <c r="N32" s="62">
        <f t="shared" si="2"/>
        <v>31</v>
      </c>
      <c r="O32" s="2" t="s">
        <v>52</v>
      </c>
      <c r="T32" s="7"/>
    </row>
    <row r="33" spans="4:20" ht="20.100000000000001" customHeight="1" x14ac:dyDescent="0.25">
      <c r="D33" s="1" t="str">
        <f>TEXT(EDATE(X_Cell_Site_StartDate,10), "mmmm yyyy")</f>
        <v>November 2024</v>
      </c>
      <c r="E33" s="62">
        <f t="shared" si="2"/>
        <v>30</v>
      </c>
      <c r="F33" s="62">
        <f t="shared" si="2"/>
        <v>30</v>
      </c>
      <c r="G33" s="62">
        <f t="shared" si="2"/>
        <v>30</v>
      </c>
      <c r="H33" s="62">
        <f t="shared" si="2"/>
        <v>30</v>
      </c>
      <c r="I33" s="62">
        <f t="shared" si="2"/>
        <v>30</v>
      </c>
      <c r="J33" s="62">
        <f t="shared" si="2"/>
        <v>30</v>
      </c>
      <c r="K33" s="62">
        <f t="shared" si="2"/>
        <v>30</v>
      </c>
      <c r="L33" s="62">
        <f t="shared" si="2"/>
        <v>30</v>
      </c>
      <c r="M33" s="62">
        <f t="shared" si="2"/>
        <v>30</v>
      </c>
      <c r="N33" s="62">
        <f t="shared" si="2"/>
        <v>30</v>
      </c>
      <c r="O33" s="2" t="s">
        <v>52</v>
      </c>
      <c r="T33" s="7"/>
    </row>
    <row r="34" spans="4:20" ht="20.100000000000001" customHeight="1" x14ac:dyDescent="0.25">
      <c r="D34" s="1" t="str">
        <f>TEXT(EDATE(X_Cell_Site_StartDate,11), "mmmm yyyy")</f>
        <v>December 2024</v>
      </c>
      <c r="E34" s="62">
        <f t="shared" si="2"/>
        <v>31</v>
      </c>
      <c r="F34" s="62">
        <f t="shared" si="2"/>
        <v>31</v>
      </c>
      <c r="G34" s="62">
        <f t="shared" si="2"/>
        <v>31</v>
      </c>
      <c r="H34" s="62">
        <f t="shared" si="2"/>
        <v>31</v>
      </c>
      <c r="I34" s="62">
        <f t="shared" si="2"/>
        <v>31</v>
      </c>
      <c r="J34" s="62">
        <f t="shared" si="2"/>
        <v>31</v>
      </c>
      <c r="K34" s="62">
        <f t="shared" si="2"/>
        <v>31</v>
      </c>
      <c r="L34" s="62">
        <f t="shared" si="2"/>
        <v>31</v>
      </c>
      <c r="M34" s="62">
        <f t="shared" si="2"/>
        <v>31</v>
      </c>
      <c r="N34" s="62">
        <f t="shared" si="2"/>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3">(L179*6)+(M179*4)+(N179*0)</f>
        <v>0</v>
      </c>
    </row>
    <row r="180" spans="4:15" ht="20.100000000000001" customHeight="1" x14ac:dyDescent="0.25">
      <c r="J180" s="50">
        <f>E41</f>
        <v>100</v>
      </c>
      <c r="K180" s="50">
        <f>MAX(0,E41-E40)</f>
        <v>0</v>
      </c>
      <c r="L180" s="1">
        <f>K180/J180</f>
        <v>0</v>
      </c>
      <c r="M180" s="1">
        <f>K179/J180</f>
        <v>0</v>
      </c>
      <c r="N180" s="2">
        <f>1-(L180+M180)</f>
        <v>1</v>
      </c>
      <c r="O180" s="51">
        <f t="shared" si="3"/>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3"/>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F189:F190">
    <cfRule type="cellIs" dxfId="11" priority="27" operator="lessThan">
      <formula>0</formula>
    </cfRule>
  </conditionalFormatting>
  <conditionalFormatting sqref="F194:F195">
    <cfRule type="cellIs" dxfId="10" priority="26" operator="lessThan">
      <formula>0</formula>
    </cfRule>
  </conditionalFormatting>
  <conditionalFormatting sqref="F227:F228">
    <cfRule type="cellIs" dxfId="9" priority="25" operator="lessThan">
      <formula>0</formula>
    </cfRule>
  </conditionalFormatting>
  <conditionalFormatting sqref="F251:F252">
    <cfRule type="cellIs" dxfId="8" priority="19" operator="lessThan">
      <formula>0</formula>
    </cfRule>
  </conditionalFormatting>
  <conditionalFormatting sqref="F256:F257">
    <cfRule type="cellIs" dxfId="7" priority="18" operator="lessThan">
      <formula>0</formula>
    </cfRule>
  </conditionalFormatting>
  <conditionalFormatting sqref="F261:F262">
    <cfRule type="cellIs" dxfId="6" priority="17" operator="lessThan">
      <formula>0</formula>
    </cfRule>
  </conditionalFormatting>
  <conditionalFormatting sqref="H181:K181">
    <cfRule type="cellIs" dxfId="5" priority="7"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4" priority="36" operator="lessThan">
      <formula>0</formula>
    </cfRule>
  </conditionalFormatting>
  <conditionalFormatting sqref="I125:O125">
    <cfRule type="cellIs" dxfId="3" priority="5" operator="lessThan">
      <formula>0</formula>
    </cfRule>
  </conditionalFormatting>
  <conditionalFormatting sqref="K180:K181">
    <cfRule type="cellIs" dxfId="2" priority="4" operator="lessThan">
      <formula>0</formula>
    </cfRule>
  </conditionalFormatting>
  <conditionalFormatting sqref="N178:N180">
    <cfRule type="cellIs" dxfId="1" priority="1" operator="lessThan">
      <formula>0</formula>
    </cfRule>
  </conditionalFormatting>
  <conditionalFormatting sqref="P43:R43">
    <cfRule type="cellIs" dxfId="0"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AK281"/>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AI291"/>
  <sheetViews>
    <sheetView showGridLines="0" zoomScaleNormal="100" workbookViewId="0">
      <selection activeCell="A15" sqref="A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V165"/>
  <sheetViews>
    <sheetView showGridLines="0" zoomScaleNormal="100" workbookViewId="0">
      <selection activeCell="A16" sqref="A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S16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Common_InputFunctions.CommonCropping_GetFracWET(I16,I18,Table_SourceData_FracWET[Is in leaching zone],Table_SourceData_FracWET[FracWET],Table_SourceData_FracWETIrrigation[Irrigation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483"/>
  <sheetViews>
    <sheetView showGridLines="0" topLeftCell="A36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3F5DA-DFEC-4386-8E11-7E71076B440B}">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5" t="s">
        <v>1</v>
      </c>
      <c r="D6" s="36" t="s">
        <v>19</v>
      </c>
      <c r="E6" s="36" t="s">
        <v>20</v>
      </c>
      <c r="F6" s="36" t="s">
        <v>21</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22</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355</v>
      </c>
      <c r="E257" s="36" t="s">
        <v>356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389</v>
      </c>
    </row>
    <row r="264" spans="4:6" x14ac:dyDescent="0.25">
      <c r="D264" s="1" t="s">
        <v>390</v>
      </c>
    </row>
    <row r="265" spans="4:6" x14ac:dyDescent="0.25">
      <c r="D265" s="36" t="s">
        <v>391</v>
      </c>
      <c r="E265" s="36" t="s">
        <v>392</v>
      </c>
      <c r="F265" s="36" t="s">
        <v>393</v>
      </c>
    </row>
    <row r="266" spans="4:6" x14ac:dyDescent="0.25">
      <c r="D266" s="36" t="s">
        <v>394</v>
      </c>
      <c r="E266" s="36" t="s">
        <v>395</v>
      </c>
      <c r="F266" s="36">
        <v>5</v>
      </c>
    </row>
    <row r="267" spans="4:6" x14ac:dyDescent="0.25">
      <c r="D267" s="36" t="s">
        <v>396</v>
      </c>
      <c r="E267" s="36" t="s">
        <v>397</v>
      </c>
      <c r="F267" s="36">
        <v>4</v>
      </c>
    </row>
    <row r="268" spans="4:6" x14ac:dyDescent="0.25">
      <c r="D268" s="36" t="s">
        <v>398</v>
      </c>
      <c r="E268" s="36" t="s">
        <v>399</v>
      </c>
      <c r="F268" s="36">
        <v>3</v>
      </c>
    </row>
    <row r="269" spans="4:6" x14ac:dyDescent="0.25">
      <c r="D269" s="36" t="s">
        <v>400</v>
      </c>
      <c r="E269" s="36" t="s">
        <v>401</v>
      </c>
      <c r="F269" s="36">
        <v>2</v>
      </c>
    </row>
    <row r="270" spans="4:6" x14ac:dyDescent="0.25">
      <c r="D270" s="36" t="s">
        <v>402</v>
      </c>
      <c r="E270" s="36" t="s">
        <v>403</v>
      </c>
      <c r="F270" s="36">
        <v>1</v>
      </c>
    </row>
    <row r="273" spans="4:6" x14ac:dyDescent="0.25">
      <c r="D273" s="1" t="s">
        <v>404</v>
      </c>
    </row>
    <row r="274" spans="4:6" x14ac:dyDescent="0.25">
      <c r="D274" s="36" t="s">
        <v>391</v>
      </c>
      <c r="E274" s="36" t="s">
        <v>392</v>
      </c>
      <c r="F274" s="36" t="s">
        <v>393</v>
      </c>
    </row>
    <row r="275" spans="4:6" x14ac:dyDescent="0.25">
      <c r="D275" s="36" t="s">
        <v>405</v>
      </c>
      <c r="E275" s="36" t="s">
        <v>406</v>
      </c>
      <c r="F275" s="36">
        <v>5</v>
      </c>
    </row>
    <row r="276" spans="4:6" x14ac:dyDescent="0.25">
      <c r="D276" s="36" t="s">
        <v>407</v>
      </c>
      <c r="E276" s="36" t="s">
        <v>408</v>
      </c>
      <c r="F276" s="36">
        <v>4</v>
      </c>
    </row>
    <row r="277" spans="4:6" x14ac:dyDescent="0.25">
      <c r="D277" s="36" t="s">
        <v>409</v>
      </c>
      <c r="E277" s="36" t="s">
        <v>410</v>
      </c>
      <c r="F277" s="36">
        <v>3</v>
      </c>
    </row>
    <row r="278" spans="4:6" x14ac:dyDescent="0.25">
      <c r="D278" s="36" t="s">
        <v>411</v>
      </c>
      <c r="E278" s="36" t="s">
        <v>412</v>
      </c>
      <c r="F278" s="36">
        <v>2</v>
      </c>
    </row>
    <row r="279" spans="4:6" x14ac:dyDescent="0.25">
      <c r="D279" s="36" t="s">
        <v>413</v>
      </c>
      <c r="E279" s="36" t="s">
        <v>414</v>
      </c>
      <c r="F279" s="36">
        <v>1</v>
      </c>
    </row>
    <row r="282" spans="4:6" x14ac:dyDescent="0.25">
      <c r="D282" s="1" t="s">
        <v>415</v>
      </c>
    </row>
    <row r="283" spans="4:6" x14ac:dyDescent="0.25">
      <c r="D283" s="36" t="s">
        <v>391</v>
      </c>
      <c r="E283" s="36" t="s">
        <v>392</v>
      </c>
      <c r="F283" s="36" t="s">
        <v>393</v>
      </c>
    </row>
    <row r="284" spans="4:6" x14ac:dyDescent="0.25">
      <c r="D284" s="36" t="s">
        <v>416</v>
      </c>
      <c r="E284" s="36" t="s">
        <v>417</v>
      </c>
      <c r="F284" s="36">
        <v>5</v>
      </c>
    </row>
    <row r="285" spans="4:6" x14ac:dyDescent="0.25">
      <c r="D285" s="36" t="s">
        <v>418</v>
      </c>
      <c r="E285" s="36" t="s">
        <v>419</v>
      </c>
      <c r="F285" s="36">
        <v>4</v>
      </c>
    </row>
    <row r="286" spans="4:6" x14ac:dyDescent="0.25">
      <c r="D286" s="36" t="s">
        <v>420</v>
      </c>
      <c r="E286" s="36" t="s">
        <v>421</v>
      </c>
      <c r="F286" s="36">
        <v>3</v>
      </c>
    </row>
    <row r="287" spans="4:6" x14ac:dyDescent="0.25">
      <c r="D287" s="36" t="s">
        <v>422</v>
      </c>
      <c r="E287" s="36" t="s">
        <v>423</v>
      </c>
      <c r="F287" s="36">
        <v>2</v>
      </c>
    </row>
    <row r="288" spans="4:6" x14ac:dyDescent="0.25">
      <c r="D288" s="36" t="s">
        <v>424</v>
      </c>
      <c r="E288" s="36" t="s">
        <v>425</v>
      </c>
      <c r="F288" s="36">
        <v>1</v>
      </c>
    </row>
    <row r="291" spans="4:6" x14ac:dyDescent="0.25">
      <c r="D291" s="1" t="s">
        <v>426</v>
      </c>
    </row>
    <row r="292" spans="4:6" x14ac:dyDescent="0.25">
      <c r="D292" s="36" t="s">
        <v>391</v>
      </c>
      <c r="E292" s="36" t="s">
        <v>392</v>
      </c>
      <c r="F292" s="36" t="s">
        <v>393</v>
      </c>
    </row>
    <row r="293" spans="4:6" x14ac:dyDescent="0.25">
      <c r="D293" s="36" t="s">
        <v>427</v>
      </c>
      <c r="E293" s="36" t="s">
        <v>428</v>
      </c>
      <c r="F293" s="36">
        <v>5</v>
      </c>
    </row>
    <row r="294" spans="4:6" x14ac:dyDescent="0.25">
      <c r="D294" s="36" t="s">
        <v>429</v>
      </c>
      <c r="E294" s="36" t="s">
        <v>430</v>
      </c>
      <c r="F294" s="36">
        <v>4</v>
      </c>
    </row>
    <row r="295" spans="4:6" x14ac:dyDescent="0.25">
      <c r="D295" s="36" t="s">
        <v>431</v>
      </c>
      <c r="E295" s="36" t="s">
        <v>432</v>
      </c>
      <c r="F295" s="36">
        <v>3</v>
      </c>
    </row>
    <row r="296" spans="4:6" x14ac:dyDescent="0.25">
      <c r="D296" s="36" t="s">
        <v>433</v>
      </c>
      <c r="E296" s="36" t="s">
        <v>434</v>
      </c>
      <c r="F296" s="36">
        <v>2</v>
      </c>
    </row>
    <row r="297" spans="4:6" x14ac:dyDescent="0.25">
      <c r="D297" s="36" t="s">
        <v>435</v>
      </c>
      <c r="E297" s="36" t="s">
        <v>436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5"/>
  <sheetViews>
    <sheetView showGridLines="0" topLeftCell="A1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4" sqref="A24"/>
    </sheetView>
  </sheetViews>
  <sheetFormatPr defaultRowHeight="15" x14ac:dyDescent="0.25"/>
  <sheetData>
    <row r="1" spans="1:1" x14ac:dyDescent="0.25">
      <c r="A1" t="s">
        <v>437</v>
      </c>
    </row>
    <row r="3" spans="1:1" ht="15.75" x14ac:dyDescent="0.25">
      <c r="A3" s="17" t="str">
        <f>HYPERLINK("#'Home'!A1", "Home")</f>
        <v>Home</v>
      </c>
    </row>
    <row r="6" spans="1:1" x14ac:dyDescent="0.25">
      <c r="A6" s="125" t="s">
        <v>1</v>
      </c>
    </row>
    <row r="7" spans="1:1" ht="15.75" x14ac:dyDescent="0.25">
      <c r="A7" s="17" t="str">
        <f>HYPERLINK("#'Constants - Common'!A1", "Constants - Common")</f>
        <v>Constants - Common</v>
      </c>
    </row>
    <row r="8" spans="1:1" ht="15.75" x14ac:dyDescent="0.25">
      <c r="A8" s="128" t="str">
        <f>HYPERLINK("#'Acknowledgements'!A1", "Acknowledgements")</f>
        <v>Acknowledgements</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105</vt:i4>
      </vt:variant>
    </vt:vector>
  </HeadingPairs>
  <TitlesOfParts>
    <vt:vector size="11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2026-08-18T08:59:48Z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