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C1DF6B3-AABF-45BB-AD00-A329A7E1593C}" xr6:coauthVersionLast="47" xr6:coauthVersionMax="47" xr10:uidLastSave="{00000000-0000-0000-0000-000000000000}"/>
  <bookViews>
    <workbookView xWindow="3900" yWindow="3900" windowWidth="28800" windowHeight="15345" firstSheet="13" activeTab="13" xr2:uid="{992023F3-CAB7-4E5B-A348-08D563A0EF40}"/>
  </bookViews>
  <sheets>
    <sheet name="Home" sheetId="71" r:id="rId1"/>
    <sheet name="Overview" sheetId="118" r:id="rId2"/>
    <sheet name="Results" sheetId="13" r:id="rId3"/>
    <sheet name="Input - Site" sheetId="15" r:id="rId4"/>
    <sheet name="Input - Crop" sheetId="70" r:id="rId5"/>
    <sheet name="Input - Pasture" sheetId="120" r:id="rId6"/>
    <sheet name="6.1.1.1-2 Crop residue N2O" sheetId="69" r:id="rId7"/>
    <sheet name="6.2.1.1-2 Pasture residue N2O" sheetId="74" r:id="rId8"/>
    <sheet name="6.3.1.1-2 Leaching and runoff" sheetId="113" r:id="rId9"/>
    <sheet name="6.3.1.1-2 Leach runoff crop" sheetId="123" r:id="rId10"/>
    <sheet name="6.3.1.1-2 Leach runoff pasture" sheetId="122" r:id="rId11"/>
    <sheet name="6.4.1.1-2 Residue burning" sheetId="114" r:id="rId12"/>
    <sheet name="Constants - Ag Residue" sheetId="110" r:id="rId13"/>
    <sheet name="Constants - Common" sheetId="135" r:id="rId14"/>
  </sheets>
  <definedNames>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_xlfn.LAMBDA("fraction")</definedName>
    <definedName name="AgResidue_Equations_CropResidue.VEERG_6_1_1_2__1__FractionOfCropResidueRemovedBaled_Variable">_xlfn.LAMBDA("FFOD_c")</definedName>
    <definedName name="AgResidue_Equations_CropResidue.VEERG_6_1_1_2__1__FractionOfCropResidueRemovedBaled_Variation">_xlfn.LAMBDA("")</definedName>
    <definedName name="AgResidue_Equations_FieldBurning.VEERG_6_4_1_1__1__MethaneEmissionsFromBurningOfCropResidues">_xlfn.LAMBDA(_xlpm.M_burnc,_xlpm.CC_c,_xlpm.EF_CH4,_xlpm.C_CH4, (_xlpm.M_burnc * _xlpm.CC_c) * _xlpm.EF_CH4 * _xlpm.C_CH4 * 10 ^ (-3))</definedName>
    <definedName name="AgResidue_Equations_FieldBurning.VEERG_6_4_1_1__1__MethaneEmissionsFromBurningOfCropResidues_Arguments">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_xlfn.LAMBDA("E_{CH4}=\sum\nolimits_c(M_{burn,c}\times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_xlfn.LAMBDA(_xlpm.M_burnc,_xlpm.NC_AGc,_xlpm.EF_N2O,_xlpm.C_N2O, (_xlpm.M_burnc * _xlpm.NC_AGc) * _xlpm.EF_N2O * _xlpm.C_N2O * 10 ^ (-3))</definedName>
    <definedName name="AgResidue_Equations_FieldBurning.VEERG_6_4_1_1__2__NitrousOxideEmissionsFromBurningOfCropResidues_Arguments">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_xlfn.LAMBDA("E_{N2O}=\sum\nolimits_c(M_{burn,c}\times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_xlfn.LAMBDA(_xlpm.P_c,_xlpm.R_AGc,_xlpm.S_c,_xlpm.DM_c,_xlpm.Z_c,_xlpm.F_c, _xlpm.P_c * _xlpm.R_AGc * _xlpm.S_c * _xlpm.DM_c * _xlpm.Z_c * _xlpm.F_c)</definedName>
    <definedName name="AgResidue_Equations_FieldBurning.VEERG_6_4_1_1__3__MassOfCropResidueBurnt_Arguments">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_xlfn.LAMBDA("M_burnc")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
  _xlfn.MAKEARRAY(6, 3,
    _xlfn.LAMBDA(_xlpm.r,_xlpm.c,
      INDEX({"Gas species","Emission factor EFg (Gg element in species/ Gg element in fuel burnt)","Elemental to molecular mass conversion factor (Cg)";"CH4",0.0035,"16/12";"N2O",0.0076,"44/28";"NOx",0.21,"46/14";"CO",0.078,"28/12";"NMVOC",0.0091,"14/12"}, _xlpm.r, _xlpm.c)
)))</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
  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
)))</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
  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
)))</definedName>
    <definedName name="Agresidue_SourceData.CropFractionRemoved_Data">_xlfn.LAMBDA(
  _xlfn.MAKEARRAY(17,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
)))</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
    _xlpm.criteria1,
    --(
      _xlpm.LookupArray1 = _xlpm.LookupTarget1
    ),
    _xlpm.criteria2,
    IF(
      _xlfn.ISOMITTED(
        _xlpm.LookupTarget2
      ),
      1,
      --(
        _xlpm.LookupArray2 = _xlpm.LookupTarget2
      )
    ),
    SUMPRODUCT(
      IFERROR(_xlpm.criteria1 * _xlpm.criteria2 * _xlpm.AmountApplied, 0)
    )
  )
)</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Fertiliser_InputFunctions.Fertiliser_SumProductApplied(
      _xlpm.ChemicalCompound,
      _xlpm.ProductIngredient1,
      _xlpm.calculatedAmount1
    ) + IFERROR(
      Fertiliser_InputFunctions.Fertiliser_SumProductApplied(
        _xlpm.ChemicalCompound,
        _xlpm.ProductIngredient2,
        _xlpm.calculatedAmount2
      ),
      0
    ) + IFERROR(
      Fertiliser_InputFunctions.Fertiliser_SumProductApplied(
        _xlpm.ChemicalCompound,
        _xlpm.ProductIngredient3,
        _xlpm.calculatedAmount3
      ),
      0
    ) + IFERROR(
      Fertiliser_InputFunctions.Fertiliser_SumProductApplied(
        _xlpm.ChemicalCompound,
        _xlpm.ProductIngredient4,
        _xlpm.calculatedAmount4
      ),
      0
    ) + IFERROR(
      Fertiliser_InputFunctions.Fertiliser_SumProductApplied(
        _xlpm.ChemicalCompound,
        _xlpm.ProductIngredient5,
        _xlpm.calculatedAmount5
      ),
      0
    ) + IFERROR(
      Fertiliser_InputFunctions.Fertiliser_SumProductApplied(
        _xlpm.ChemicalCompound,
        _xlpm.ProductIngredient6,
        _xlpm.calculatedAmount6
      ),
      0
    )
  )
)</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
    _xlpm.calculatedAmount1,
    (
      _xlpm.AmountApplied * _xlpm.ProductIngredientPercent1
    ),
    _xlpm.calculatedAmount2,
    (
      _xlpm.AmountApplied * _xlpm.ProductIngredientPercent2
    ),
    _xlpm.calculatedAmount3,
    (
      _xlpm.AmountApplied * _xlpm.ProductIngredientPercent3
    ),
    _xlpm.calculatedAmount4,
    (
      _xlpm.AmountApplied * _xlpm.ProductIngredientPercent4
    ),
    _xlpm.calculatedAmount5,
    (
      _xlpm.AmountApplied * _xlpm.ProductIngredientPercent5
    ),
    _xlpm.calculatedAmount6,
    (
      _xlpm.AmountApplied * _xlpm.ProductIngredientPercent6
    ),
    _xlpm.ProductIngredientSource,
    IF(
      _xlpm.ProductIngredientSource = "",
      "Global",
      _xlpm.ProductIngredientSource
    ),
    Fertiliser_InputFunctions.Fertiliser_SumProductApplied(
      _xlpm.ChemicalCompound,
      _xlpm.ProductIngredient1,
      _xlpm.calculatedAmount1,
      _xlpm.Source,
      _xlpm.ProductIngredientSource
    ) + IFERROR(
      Fertiliser_InputFunctions.Fertiliser_SumProductApplied(
        _xlpm.ChemicalCompound,
        _xlpm.ProductIngredient2,
        _xlpm.calculatedAmount2,
        _xlpm.Source,
        _xlpm.ProductIngredientSource
      ),
      0
    ) + IFERROR(
      Fertiliser_InputFunctions.Fertiliser_SumProductApplied(
        _xlpm.ChemicalCompound,
        _xlpm.ProductIngredient3,
        _xlpm.calculatedAmount3,
        _xlpm.Source,
        _xlpm.ProductIngredientSource
      ),
      0
    ) + IFERROR(
      Fertiliser_InputFunctions.Fertiliser_SumProductApplied(
        _xlpm.ChemicalCompound,
        _xlpm.ProductIngredient4,
        _xlpm.calculatedAmount4,
        _xlpm.Source,
        _xlpm.ProductIngredientSource
      ),
      0
    ) + IFERROR(
      Fertiliser_InputFunctions.Fertiliser_SumProductApplied(
        _xlpm.ChemicalCompound,
        _xlpm.ProductIngredient5,
        _xlpm.calculatedAmount5,
        _xlpm.Source,
        _xlpm.ProductIngredientSource
      ),
      0
    ) + IFERROR(
      Fertiliser_InputFunctions.Fertiliser_SumProductApplied(
        _xlpm.ChemicalCompound,
        _xlpm.ProductIngredient6,
        _xlpm.calculatedAmount6,
        _xlpm.Source,
        _xlpm.ProductIngredientSource
      ),
      0
    )
  )
)</definedName>
    <definedName name="Fertiliser_InputFunctions.Fertiliser_TotalSoilAmendmentApplied">_xlfn.LAMBDA(_xlpm.AmountApplied,_xlpm.AmendmentPercent, SUMPRODUCT(_xlpm.AmountApplied * _xlpm.AmendmentPercent))</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N2O" localSheetId="9">'6.3.1.1-2 Leach runoff crop'!$N$44:$O$46</definedName>
    <definedName name="M1_Table_E_N2O" localSheetId="10">'6.3.1.1-2 Leach runoff pasture'!$N$44:$O$46</definedName>
    <definedName name="M1_Table_E_N2O">'6.3.1.1-2 Leaching and runoff'!$N$44:$O$46</definedName>
    <definedName name="M1_Table_E_N2O_Consumer_1" localSheetId="9">'6.3.1.1-2 Leach runoff crop'!$D$44:$E$46</definedName>
    <definedName name="M1_Table_E_N2O_Consumer_1" localSheetId="10">'6.3.1.1-2 Leach runoff pasture'!$D$44:$E$46</definedName>
    <definedName name="M1_Table_E_N2O_Consumer_1">'6.3.1.1-2 Leaching and runoff'!$D$44:$E$46</definedName>
    <definedName name="M1_Table_M_leach_cp" localSheetId="9">'6.3.1.1-2 Leach runoff crop'!$D$23:$I$25</definedName>
    <definedName name="M1_Table_M_leach_cp" localSheetId="10">'6.3.1.1-2 Leach runoff pasture'!$D$23:$I$25</definedName>
    <definedName name="M1_Table_M_leach_cp">'6.3.1.1-2 Leaching and runoff'!$D$23:$I$25</definedName>
    <definedName name="M2_Table_M_leach_cp" localSheetId="9">'6.3.1.1-2 Leach runoff crop'!$N$23:$S$23</definedName>
    <definedName name="M2_Table_M_leach_cp" localSheetId="10">'6.3.1.1-2 Leach runoff pasture'!$N$23:$S$23</definedName>
    <definedName name="M2_Table_M_leach_cp">'6.3.1.1-2 Leaching and runoff'!$N$23:$S$23</definedName>
    <definedName name="Result_CarbonRemovalsFromPlantings">Results!$E$50</definedName>
    <definedName name="Result_EmissionsForWholeProductionCycle_Method1">Results!$E$39</definedName>
    <definedName name="Result_EmissionsForWholeProductionCycle_Method2">Results!$F$39</definedName>
    <definedName name="Result_Enterprise_Method1">Results!$H$25</definedName>
    <definedName name="Result_Enterprise_Method2">Results!$I$25</definedName>
    <definedName name="Result_NetEmissions_Method1">Results!$E$56</definedName>
    <definedName name="Result_NetEmissions_Method2">Results!$F$56</definedName>
    <definedName name="VEERG_6_1_1_1__1__NitrousOxideEmissionsFromCropResidues_Result_Method1">'6.1.1.1-2 Crop residue N2O'!$E$42</definedName>
    <definedName name="VEERG_6_1_1_1__1__NitrousOxideEmissionsFromCropResidues_Result_Method2">'6.1.1.1-2 Crop residue N2O'!$N$61</definedName>
    <definedName name="VEERG_6_1_1_1__2__MassOfNitrogenInCropResidues_Result_Method1">'6.1.1.1-2 Crop residue N2O'!$E$24</definedName>
    <definedName name="VEERG_6_1_1_1__2__MassOfNitrogenInCropResidues_Result_Method2">'6.1.1.1-2 Crop residue N2O'!$N$43</definedName>
    <definedName name="VEERG_6_1_1_2__1__FractionOfCropResidueRemovedBaled_Result">'6.1.1.1-2 Crop residue N2O'!$N$20</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'6.3.1.1-2 Leach runoff crop'!$E$48</definedName>
    <definedName name="VEERG_6_3_1_1__1__LeachingAndRunoffEmissionsCropAndPastureResidue_CropOnly_Result_Method2">'6.3.1.1-2 Leach runoff crop'!$O$48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9">'6.3.1.1-2 Leach runoff crop'!$E$48</definedName>
    <definedName name="VEERG_6_3_1_1__1__LeachingAndRunoffEmissionsCropAndPastureResidue_Result_Method1" localSheetId="10">'6.3.1.1-2 Leach runoff pasture'!$E$48</definedName>
    <definedName name="VEERG_6_3_1_1__1__LeachingAndRunoffEmissionsCropAndPastureResidue_Result_Method1">'6.3.1.1-2 Leaching and runoff'!$E$48</definedName>
    <definedName name="VEERG_6_3_1_1__1__LeachingAndRunoffEmissionsCropAndPastureResidue_Result_Method2" localSheetId="9">'6.3.1.1-2 Leach runoff crop'!$O$48</definedName>
    <definedName name="VEERG_6_3_1_1__1__LeachingAndRunoffEmissionsCropAndPastureResidue_Result_Method2" localSheetId="10">'6.3.1.1-2 Leach runoff pasture'!$O$48</definedName>
    <definedName name="VEERG_6_3_1_1__1__LeachingAndRunoffEmissionsCropAndPastureResidue_Result_Method2">'6.3.1.1-2 Leaching and runoff'!$O$48</definedName>
    <definedName name="VEERG_6_4_1_1__1__MethaneEmissionsFromBurningOfCropResidues_Result_Method1">'6.4.1.1-2 Residue burning'!$E$62</definedName>
    <definedName name="VEERG_6_4_1_1__2__NitrousOxideEmissionsFromBurningOfCropResidues_Result_Method1">'6.4.1.1-2 Residue burning'!$E$39</definedName>
    <definedName name="X_Cell_Crop_AreaUnderCropping">'Input - Crop'!$E$13</definedName>
    <definedName name="X_Cell_Crop_AverageWeightPerBale">'Input - Crop'!$E$34</definedName>
    <definedName name="X_Cell_Crop_CropPurpose">'Input - Crop'!$E$10</definedName>
    <definedName name="X_Cell_Crop_CropType">'Input - Crop'!$E$9</definedName>
    <definedName name="X_Cell_Crop_IrrigationMethod">'Input - Crop'!$E$11</definedName>
    <definedName name="X_Cell_Crop_NumberOfBales">'Input - Crop'!$E$35</definedName>
    <definedName name="X_Cell_Crop_PercentResidueBaled">'Input - Crop'!$E$33</definedName>
    <definedName name="X_Cell_Crop_PercentResidueBurned">'Input - Crop'!$E$39</definedName>
    <definedName name="X_Cell_Crop_TotalProductionOfCrop">'Input - Crop'!$E$22</definedName>
    <definedName name="X_Cell_Crop_TotalResidueBaled">'Input - Crop'!$E$36</definedName>
    <definedName name="X_Cell_Crop_YieldPerHectare">'Input - Crop'!$E$17</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Site_AverageTemperature">'Input - Site'!$E$25</definedName>
    <definedName name="X_Cell_Site_ClimateZone">'Input - Site'!$E$31</definedName>
    <definedName name="X_Cell_Site_Elevation">'Input - Site'!$E$24</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7" i="122" l="1"/>
  <c r="J15" i="122"/>
  <c r="J37" i="123"/>
  <c r="J15" i="123"/>
  <c r="J37" i="113"/>
  <c r="J15" i="113"/>
  <c r="H65" i="114"/>
  <c r="I59" i="114"/>
  <c r="H42" i="114"/>
  <c r="I36" i="114"/>
  <c r="Q51" i="122"/>
  <c r="G51" i="122"/>
  <c r="J38" i="122"/>
  <c r="H25" i="122"/>
  <c r="Q51" i="123"/>
  <c r="G51" i="123"/>
  <c r="J38" i="123"/>
  <c r="H24" i="123"/>
  <c r="Q51" i="113"/>
  <c r="G51" i="113"/>
  <c r="J38" i="113"/>
  <c r="H25" i="113"/>
  <c r="H24" i="113"/>
  <c r="Q43" i="74"/>
  <c r="G43" i="74"/>
  <c r="J35" i="74"/>
  <c r="P64" i="69"/>
  <c r="R57" i="69"/>
  <c r="G45" i="69"/>
  <c r="I38" i="69"/>
  <c r="I22" i="69"/>
  <c r="E33" i="15"/>
  <c r="E32" i="15"/>
  <c r="E31" i="15"/>
  <c r="E30" i="15"/>
  <c r="E259" i="135" a="1"/>
  <c r="E259" i="135" s="1"/>
  <c r="D259" i="135" a="1"/>
  <c r="D259" i="135" s="1"/>
  <c r="E258" i="135" a="1"/>
  <c r="E258" i="135" s="1"/>
  <c r="D258" i="135" a="1"/>
  <c r="D258" i="135" s="1"/>
  <c r="D256" i="135" a="1"/>
  <c r="D256" i="135" s="1"/>
  <c r="D255" i="135" a="1"/>
  <c r="D255" i="135" s="1"/>
  <c r="D254" i="135" a="1"/>
  <c r="D254" i="135" s="1"/>
  <c r="D253" i="135" a="1"/>
  <c r="D253" i="135" s="1"/>
  <c r="S250" i="135" a="1"/>
  <c r="S250" i="135" s="1"/>
  <c r="R250" i="135" a="1"/>
  <c r="R250" i="135" s="1"/>
  <c r="Q250" i="135" a="1"/>
  <c r="Q250" i="135" s="1"/>
  <c r="P250" i="135" a="1"/>
  <c r="P250" i="135" s="1"/>
  <c r="O250" i="135" a="1"/>
  <c r="O250" i="135" s="1"/>
  <c r="N250" i="135" a="1"/>
  <c r="N250" i="135" s="1"/>
  <c r="M250" i="135" a="1"/>
  <c r="M250" i="135" s="1"/>
  <c r="L250" i="135" a="1"/>
  <c r="L250" i="135" s="1"/>
  <c r="K250" i="135" a="1"/>
  <c r="K250" i="135" s="1"/>
  <c r="J250" i="135" a="1"/>
  <c r="J250" i="135" s="1"/>
  <c r="I250" i="135" a="1"/>
  <c r="I250" i="135" s="1"/>
  <c r="H250" i="135" a="1"/>
  <c r="H250" i="135" s="1"/>
  <c r="G250" i="135" a="1"/>
  <c r="G250" i="135" s="1"/>
  <c r="F250" i="135" a="1"/>
  <c r="F250" i="135" s="1"/>
  <c r="E250" i="135" a="1"/>
  <c r="E250" i="135" s="1"/>
  <c r="D250" i="135" a="1"/>
  <c r="D250" i="135" s="1"/>
  <c r="S249" i="135" a="1"/>
  <c r="S249" i="135" s="1"/>
  <c r="R249" i="135" a="1"/>
  <c r="R249" i="135" s="1"/>
  <c r="Q249" i="135" a="1"/>
  <c r="Q249" i="135" s="1"/>
  <c r="P249" i="135" a="1"/>
  <c r="P249" i="135" s="1"/>
  <c r="O249" i="135" a="1"/>
  <c r="O249" i="135" s="1"/>
  <c r="N249" i="135" a="1"/>
  <c r="N249" i="135" s="1"/>
  <c r="M249" i="135" a="1"/>
  <c r="M249" i="135" s="1"/>
  <c r="L249" i="135" a="1"/>
  <c r="L249" i="135" s="1"/>
  <c r="K249" i="135" a="1"/>
  <c r="K249" i="135" s="1"/>
  <c r="J249" i="135" a="1"/>
  <c r="J249" i="135" s="1"/>
  <c r="I249" i="135" a="1"/>
  <c r="I249" i="135" s="1"/>
  <c r="H249" i="135" a="1"/>
  <c r="H249" i="135" s="1"/>
  <c r="G249" i="135" a="1"/>
  <c r="G249" i="135" s="1"/>
  <c r="F249" i="135" a="1"/>
  <c r="F249" i="135" s="1"/>
  <c r="E249" i="135" a="1"/>
  <c r="E249" i="135" s="1"/>
  <c r="D249" i="135" a="1"/>
  <c r="D249" i="135" s="1"/>
  <c r="S248" i="135" a="1"/>
  <c r="S248" i="135" s="1"/>
  <c r="R248" i="135" a="1"/>
  <c r="R248" i="135" s="1"/>
  <c r="Q248" i="135" a="1"/>
  <c r="Q248" i="135" s="1"/>
  <c r="P248" i="135" a="1"/>
  <c r="P248" i="135" s="1"/>
  <c r="O248" i="135" a="1"/>
  <c r="O248" i="135" s="1"/>
  <c r="N248" i="135" a="1"/>
  <c r="N248" i="135" s="1"/>
  <c r="M248" i="135" a="1"/>
  <c r="M248" i="135" s="1"/>
  <c r="L248" i="135" a="1"/>
  <c r="L248" i="135" s="1"/>
  <c r="K248" i="135" a="1"/>
  <c r="K248" i="135" s="1"/>
  <c r="J248" i="135" a="1"/>
  <c r="J248" i="135" s="1"/>
  <c r="I248" i="135" a="1"/>
  <c r="I248" i="135" s="1"/>
  <c r="H248" i="135" a="1"/>
  <c r="H248" i="135" s="1"/>
  <c r="G248" i="135" a="1"/>
  <c r="G248" i="135" s="1"/>
  <c r="F248" i="135" a="1"/>
  <c r="F248" i="135" s="1"/>
  <c r="E248" i="135" a="1"/>
  <c r="E248" i="135" s="1"/>
  <c r="D248" i="135" a="1"/>
  <c r="D248" i="135" s="1"/>
  <c r="S247" i="135" a="1"/>
  <c r="S247" i="135" s="1"/>
  <c r="R247" i="135" a="1"/>
  <c r="R247" i="135" s="1"/>
  <c r="Q247" i="135" a="1"/>
  <c r="Q247" i="135" s="1"/>
  <c r="P247" i="135" a="1"/>
  <c r="P247" i="135" s="1"/>
  <c r="O247" i="135" a="1"/>
  <c r="O247" i="135" s="1"/>
  <c r="N247" i="135" a="1"/>
  <c r="N247" i="135" s="1"/>
  <c r="M247" i="135" a="1"/>
  <c r="M247" i="135" s="1"/>
  <c r="L247" i="135" a="1"/>
  <c r="L247" i="135" s="1"/>
  <c r="K247" i="135" a="1"/>
  <c r="K247" i="135" s="1"/>
  <c r="J247" i="135" a="1"/>
  <c r="J247" i="135" s="1"/>
  <c r="I247" i="135" a="1"/>
  <c r="I247" i="135" s="1"/>
  <c r="H247" i="135" a="1"/>
  <c r="H247" i="135" s="1"/>
  <c r="G247" i="135" a="1"/>
  <c r="G247" i="135" s="1"/>
  <c r="F247" i="135" a="1"/>
  <c r="F247" i="135" s="1"/>
  <c r="E247" i="135" a="1"/>
  <c r="E247" i="135" s="1"/>
  <c r="D247" i="135" a="1"/>
  <c r="D247" i="135" s="1"/>
  <c r="S246" i="135" a="1"/>
  <c r="S246" i="135" s="1"/>
  <c r="R246" i="135" a="1"/>
  <c r="R246" i="135" s="1"/>
  <c r="Q246" i="135" a="1"/>
  <c r="Q246" i="135" s="1"/>
  <c r="P246" i="135" a="1"/>
  <c r="P246" i="135" s="1"/>
  <c r="O246" i="135" a="1"/>
  <c r="O246" i="135" s="1"/>
  <c r="N246" i="135" a="1"/>
  <c r="N246" i="135" s="1"/>
  <c r="M246" i="135" a="1"/>
  <c r="M246" i="135" s="1"/>
  <c r="L246" i="135" a="1"/>
  <c r="L246" i="135" s="1"/>
  <c r="K246" i="135" a="1"/>
  <c r="K246" i="135" s="1"/>
  <c r="J246" i="135" a="1"/>
  <c r="J246" i="135" s="1"/>
  <c r="I246" i="135" a="1"/>
  <c r="I246" i="135" s="1"/>
  <c r="H246" i="135" a="1"/>
  <c r="H246" i="135" s="1"/>
  <c r="G246" i="135" a="1"/>
  <c r="G246" i="135" s="1"/>
  <c r="F246" i="135" a="1"/>
  <c r="F246" i="135" s="1"/>
  <c r="E246" i="135" a="1"/>
  <c r="E246" i="135" s="1"/>
  <c r="D246" i="135" a="1"/>
  <c r="D246" i="135" s="1"/>
  <c r="S245" i="135" a="1"/>
  <c r="S245" i="135" s="1"/>
  <c r="R245" i="135" a="1"/>
  <c r="R245" i="135" s="1"/>
  <c r="Q245" i="135" a="1"/>
  <c r="Q245" i="135" s="1"/>
  <c r="P245" i="135" a="1"/>
  <c r="P245" i="135" s="1"/>
  <c r="O245" i="135" a="1"/>
  <c r="O245" i="135" s="1"/>
  <c r="N245" i="135" a="1"/>
  <c r="N245" i="135" s="1"/>
  <c r="M245" i="135" a="1"/>
  <c r="M245" i="135" s="1"/>
  <c r="L245" i="135" a="1"/>
  <c r="L245" i="135" s="1"/>
  <c r="K245" i="135" a="1"/>
  <c r="K245" i="135" s="1"/>
  <c r="J245" i="135" a="1"/>
  <c r="J245" i="135" s="1"/>
  <c r="I245" i="135" a="1"/>
  <c r="I245" i="135" s="1"/>
  <c r="H245" i="135" a="1"/>
  <c r="H245" i="135" s="1"/>
  <c r="G245" i="135" a="1"/>
  <c r="G245" i="135" s="1"/>
  <c r="F245" i="135" a="1"/>
  <c r="F245" i="135" s="1"/>
  <c r="E245" i="135" a="1"/>
  <c r="E245" i="135" s="1"/>
  <c r="D245" i="135" a="1"/>
  <c r="D245" i="135" s="1"/>
  <c r="S244" i="135" a="1"/>
  <c r="S244" i="135" s="1"/>
  <c r="R244" i="135" a="1"/>
  <c r="R244" i="135" s="1"/>
  <c r="Q244" i="135" a="1"/>
  <c r="Q244" i="135" s="1"/>
  <c r="P244" i="135" a="1"/>
  <c r="P244" i="135" s="1"/>
  <c r="O244" i="135" a="1"/>
  <c r="O244" i="135" s="1"/>
  <c r="N244" i="135" a="1"/>
  <c r="N244" i="135" s="1"/>
  <c r="M244" i="135" a="1"/>
  <c r="M244" i="135" s="1"/>
  <c r="L244" i="135" a="1"/>
  <c r="L244" i="135" s="1"/>
  <c r="K244" i="135" a="1"/>
  <c r="K244" i="135" s="1"/>
  <c r="J244" i="135" a="1"/>
  <c r="J244" i="135" s="1"/>
  <c r="I244" i="135" a="1"/>
  <c r="I244" i="135" s="1"/>
  <c r="H244" i="135" a="1"/>
  <c r="H244" i="135" s="1"/>
  <c r="G244" i="135" a="1"/>
  <c r="G244" i="135" s="1"/>
  <c r="F244" i="135" a="1"/>
  <c r="F244" i="135" s="1"/>
  <c r="E244" i="135" a="1"/>
  <c r="E244" i="135" s="1"/>
  <c r="D244" i="135" a="1"/>
  <c r="D244" i="135" s="1"/>
  <c r="S243" i="135" a="1"/>
  <c r="S243" i="135" s="1"/>
  <c r="R243" i="135" a="1"/>
  <c r="R243" i="135" s="1"/>
  <c r="Q243" i="135" a="1"/>
  <c r="Q243" i="135" s="1"/>
  <c r="P243" i="135" a="1"/>
  <c r="P243" i="135" s="1"/>
  <c r="O243" i="135" a="1"/>
  <c r="O243" i="135" s="1"/>
  <c r="N243" i="135" a="1"/>
  <c r="N243" i="135" s="1"/>
  <c r="M243" i="135" a="1"/>
  <c r="M243" i="135" s="1"/>
  <c r="L243" i="135" a="1"/>
  <c r="L243" i="135" s="1"/>
  <c r="K243" i="135" a="1"/>
  <c r="K243" i="135" s="1"/>
  <c r="J243" i="135" a="1"/>
  <c r="J243" i="135" s="1"/>
  <c r="I243" i="135" a="1"/>
  <c r="I243" i="135" s="1"/>
  <c r="H243" i="135" a="1"/>
  <c r="H243" i="135" s="1"/>
  <c r="G243" i="135" a="1"/>
  <c r="G243" i="135" s="1"/>
  <c r="F243" i="135" a="1"/>
  <c r="F243" i="135" s="1"/>
  <c r="E243" i="135" a="1"/>
  <c r="E243" i="135" s="1"/>
  <c r="D243" i="135" a="1"/>
  <c r="D243" i="135" s="1"/>
  <c r="S242" i="135" a="1"/>
  <c r="S242" i="135" s="1"/>
  <c r="R242" i="135" a="1"/>
  <c r="R242" i="135" s="1"/>
  <c r="Q242" i="135" a="1"/>
  <c r="Q242" i="135" s="1"/>
  <c r="P242" i="135" a="1"/>
  <c r="P242" i="135" s="1"/>
  <c r="O242" i="135" a="1"/>
  <c r="O242" i="135" s="1"/>
  <c r="N242" i="135" a="1"/>
  <c r="N242" i="135" s="1"/>
  <c r="M242" i="135" a="1"/>
  <c r="M242" i="135" s="1"/>
  <c r="L242" i="135" a="1"/>
  <c r="L242" i="135" s="1"/>
  <c r="K242" i="135" a="1"/>
  <c r="K242" i="135" s="1"/>
  <c r="J242" i="135" a="1"/>
  <c r="J242" i="135" s="1"/>
  <c r="I242" i="135" a="1"/>
  <c r="I242" i="135" s="1"/>
  <c r="H242" i="135" a="1"/>
  <c r="H242" i="135" s="1"/>
  <c r="G242" i="135" a="1"/>
  <c r="G242" i="135" s="1"/>
  <c r="F242" i="135" a="1"/>
  <c r="F242" i="135" s="1"/>
  <c r="E242" i="135" a="1"/>
  <c r="E242" i="135" s="1"/>
  <c r="D242" i="135" a="1"/>
  <c r="D242" i="135" s="1"/>
  <c r="S241" i="135" a="1"/>
  <c r="S241" i="135" s="1"/>
  <c r="R241" i="135" a="1"/>
  <c r="R241" i="135" s="1"/>
  <c r="Q241" i="135" a="1"/>
  <c r="Q241" i="135" s="1"/>
  <c r="P241" i="135" a="1"/>
  <c r="P241" i="135" s="1"/>
  <c r="O241" i="135" a="1"/>
  <c r="O241" i="135" s="1"/>
  <c r="N241" i="135" a="1"/>
  <c r="N241" i="135" s="1"/>
  <c r="M241" i="135" a="1"/>
  <c r="M241" i="135" s="1"/>
  <c r="L241" i="135" a="1"/>
  <c r="L241" i="135" s="1"/>
  <c r="K241" i="135" a="1"/>
  <c r="K241" i="135" s="1"/>
  <c r="J241" i="135" a="1"/>
  <c r="J241" i="135" s="1"/>
  <c r="I241" i="135" a="1"/>
  <c r="I241" i="135" s="1"/>
  <c r="H241" i="135" a="1"/>
  <c r="H241" i="135" s="1"/>
  <c r="G241" i="135" a="1"/>
  <c r="G241" i="135" s="1"/>
  <c r="F241" i="135" a="1"/>
  <c r="F241" i="135" s="1"/>
  <c r="E241" i="135" a="1"/>
  <c r="E241" i="135" s="1"/>
  <c r="D241" i="135" a="1"/>
  <c r="D241" i="135" s="1"/>
  <c r="S240" i="135" a="1"/>
  <c r="S240" i="135" s="1"/>
  <c r="R240" i="135" a="1"/>
  <c r="R240" i="135" s="1"/>
  <c r="Q240" i="135" a="1"/>
  <c r="Q240" i="135" s="1"/>
  <c r="P240" i="135" a="1"/>
  <c r="P240" i="135" s="1"/>
  <c r="O240" i="135" a="1"/>
  <c r="O240" i="135" s="1"/>
  <c r="N240" i="135" a="1"/>
  <c r="N240" i="135" s="1"/>
  <c r="M240" i="135" a="1"/>
  <c r="M240" i="135" s="1"/>
  <c r="L240" i="135" a="1"/>
  <c r="L240" i="135" s="1"/>
  <c r="K240" i="135" a="1"/>
  <c r="K240" i="135" s="1"/>
  <c r="J240" i="135" a="1"/>
  <c r="J240" i="135" s="1"/>
  <c r="I240" i="135" a="1"/>
  <c r="I240" i="135" s="1"/>
  <c r="H240" i="135" a="1"/>
  <c r="H240" i="135" s="1"/>
  <c r="G240" i="135" a="1"/>
  <c r="G240" i="135" s="1"/>
  <c r="F240" i="135" a="1"/>
  <c r="F240" i="135" s="1"/>
  <c r="E240" i="135" a="1"/>
  <c r="E240" i="135" s="1"/>
  <c r="D240" i="135" a="1"/>
  <c r="D240" i="135" s="1"/>
  <c r="S239" i="135" a="1"/>
  <c r="S239" i="135" s="1"/>
  <c r="R239" i="135" a="1"/>
  <c r="R239" i="135" s="1"/>
  <c r="Q239" i="135" a="1"/>
  <c r="Q239" i="135" s="1"/>
  <c r="P239" i="135" a="1"/>
  <c r="P239" i="135" s="1"/>
  <c r="O239" i="135" a="1"/>
  <c r="O239" i="135" s="1"/>
  <c r="N239" i="135" a="1"/>
  <c r="N239" i="135" s="1"/>
  <c r="M239" i="135" a="1"/>
  <c r="M239" i="135" s="1"/>
  <c r="L239" i="135" a="1"/>
  <c r="L239" i="135" s="1"/>
  <c r="K239" i="135" a="1"/>
  <c r="K239" i="135" s="1"/>
  <c r="J239" i="135" a="1"/>
  <c r="J239" i="135" s="1"/>
  <c r="I239" i="135" a="1"/>
  <c r="I239" i="135" s="1"/>
  <c r="H239" i="135" a="1"/>
  <c r="H239" i="135" s="1"/>
  <c r="G239" i="135" a="1"/>
  <c r="G239" i="135" s="1"/>
  <c r="F239" i="135" a="1"/>
  <c r="F239" i="135" s="1"/>
  <c r="E239" i="135" a="1"/>
  <c r="E239" i="135" s="1"/>
  <c r="D239" i="135" a="1"/>
  <c r="D239" i="135" s="1"/>
  <c r="S238" i="135" a="1"/>
  <c r="S238" i="135" s="1"/>
  <c r="R238" i="135" a="1"/>
  <c r="R238" i="135" s="1"/>
  <c r="Q238" i="135" a="1"/>
  <c r="Q238" i="135" s="1"/>
  <c r="P238" i="135" a="1"/>
  <c r="P238" i="135" s="1"/>
  <c r="O238" i="135" a="1"/>
  <c r="O238" i="135" s="1"/>
  <c r="N238" i="135" a="1"/>
  <c r="N238" i="135" s="1"/>
  <c r="M238" i="135" a="1"/>
  <c r="M238" i="135" s="1"/>
  <c r="L238" i="135" a="1"/>
  <c r="L238" i="135" s="1"/>
  <c r="K238" i="135" a="1"/>
  <c r="K238" i="135" s="1"/>
  <c r="J238" i="135" a="1"/>
  <c r="J238" i="135" s="1"/>
  <c r="I238" i="135" a="1"/>
  <c r="I238" i="135" s="1"/>
  <c r="H238" i="135" a="1"/>
  <c r="H238" i="135" s="1"/>
  <c r="G238" i="135" a="1"/>
  <c r="G238" i="135" s="1"/>
  <c r="F238" i="135" a="1"/>
  <c r="F238" i="135" s="1"/>
  <c r="E238" i="135" a="1"/>
  <c r="E238" i="135" s="1"/>
  <c r="D238" i="135" a="1"/>
  <c r="D238" i="135" s="1"/>
  <c r="S237" i="135" a="1"/>
  <c r="S237" i="135" s="1"/>
  <c r="R237" i="135" a="1"/>
  <c r="R237" i="135" s="1"/>
  <c r="Q237" i="135" a="1"/>
  <c r="Q237" i="135" s="1"/>
  <c r="P237" i="135" a="1"/>
  <c r="P237" i="135" s="1"/>
  <c r="O237" i="135" a="1"/>
  <c r="O237" i="135" s="1"/>
  <c r="N237" i="135" a="1"/>
  <c r="N237" i="135" s="1"/>
  <c r="M237" i="135" a="1"/>
  <c r="M237" i="135" s="1"/>
  <c r="L237" i="135" a="1"/>
  <c r="L237" i="135" s="1"/>
  <c r="K237" i="135" a="1"/>
  <c r="K237" i="135" s="1"/>
  <c r="J237" i="135" a="1"/>
  <c r="J237" i="135" s="1"/>
  <c r="I237" i="135" a="1"/>
  <c r="I237" i="135" s="1"/>
  <c r="H237" i="135" a="1"/>
  <c r="H237" i="135" s="1"/>
  <c r="G237" i="135" a="1"/>
  <c r="G237" i="135" s="1"/>
  <c r="F237" i="135" a="1"/>
  <c r="F237" i="135" s="1"/>
  <c r="E237" i="135" a="1"/>
  <c r="E237" i="135" s="1"/>
  <c r="D237" i="135" a="1"/>
  <c r="D237" i="135" s="1"/>
  <c r="S236" i="135" a="1"/>
  <c r="S236" i="135" s="1"/>
  <c r="R236" i="135" a="1"/>
  <c r="R236" i="135" s="1"/>
  <c r="Q236" i="135" a="1"/>
  <c r="Q236" i="135" s="1"/>
  <c r="P236" i="135" a="1"/>
  <c r="P236" i="135" s="1"/>
  <c r="O236" i="135" a="1"/>
  <c r="O236" i="135" s="1"/>
  <c r="N236" i="135" a="1"/>
  <c r="N236" i="135" s="1"/>
  <c r="M236" i="135" a="1"/>
  <c r="M236" i="135" s="1"/>
  <c r="L236" i="135" a="1"/>
  <c r="L236" i="135" s="1"/>
  <c r="K236" i="135" a="1"/>
  <c r="K236" i="135" s="1"/>
  <c r="J236" i="135" a="1"/>
  <c r="J236" i="135" s="1"/>
  <c r="I236" i="135" a="1"/>
  <c r="I236" i="135" s="1"/>
  <c r="H236" i="135" a="1"/>
  <c r="H236" i="135" s="1"/>
  <c r="G236" i="135" a="1"/>
  <c r="G236" i="135" s="1"/>
  <c r="F236" i="135" a="1"/>
  <c r="F236" i="135" s="1"/>
  <c r="E236" i="135" a="1"/>
  <c r="E236" i="135" s="1"/>
  <c r="D236" i="135" a="1"/>
  <c r="D236" i="135" s="1"/>
  <c r="S235" i="135" a="1"/>
  <c r="S235" i="135" s="1"/>
  <c r="R235" i="135" a="1"/>
  <c r="R235" i="135" s="1"/>
  <c r="Q235" i="135" a="1"/>
  <c r="Q235" i="135" s="1"/>
  <c r="P235" i="135" a="1"/>
  <c r="P235" i="135" s="1"/>
  <c r="O235" i="135" a="1"/>
  <c r="O235" i="135" s="1"/>
  <c r="N235" i="135" a="1"/>
  <c r="N235" i="135" s="1"/>
  <c r="M235" i="135" a="1"/>
  <c r="M235" i="135" s="1"/>
  <c r="L235" i="135" a="1"/>
  <c r="L235" i="135" s="1"/>
  <c r="K235" i="135" a="1"/>
  <c r="K235" i="135" s="1"/>
  <c r="J235" i="135" a="1"/>
  <c r="J235" i="135" s="1"/>
  <c r="I235" i="135" a="1"/>
  <c r="I235" i="135" s="1"/>
  <c r="H235" i="135" a="1"/>
  <c r="H235" i="135" s="1"/>
  <c r="G235" i="135" a="1"/>
  <c r="G235" i="135" s="1"/>
  <c r="F235" i="135" a="1"/>
  <c r="F235" i="135" s="1"/>
  <c r="E235" i="135" a="1"/>
  <c r="E235" i="135" s="1"/>
  <c r="D235" i="135" a="1"/>
  <c r="D235" i="135" s="1"/>
  <c r="S234" i="135" a="1"/>
  <c r="S234" i="135" s="1"/>
  <c r="R234" i="135" a="1"/>
  <c r="R234" i="135" s="1"/>
  <c r="Q234" i="135" a="1"/>
  <c r="Q234" i="135" s="1"/>
  <c r="P234" i="135" a="1"/>
  <c r="P234" i="135" s="1"/>
  <c r="O234" i="135" a="1"/>
  <c r="O234" i="135" s="1"/>
  <c r="N234" i="135" a="1"/>
  <c r="N234" i="135" s="1"/>
  <c r="M234" i="135" a="1"/>
  <c r="M234" i="135" s="1"/>
  <c r="L234" i="135" a="1"/>
  <c r="L234" i="135" s="1"/>
  <c r="K234" i="135" a="1"/>
  <c r="K234" i="135" s="1"/>
  <c r="J234" i="135" a="1"/>
  <c r="J234" i="135" s="1"/>
  <c r="I234" i="135" a="1"/>
  <c r="I234" i="135" s="1"/>
  <c r="H234" i="135" a="1"/>
  <c r="H234" i="135" s="1"/>
  <c r="G234" i="135" a="1"/>
  <c r="G234" i="135" s="1"/>
  <c r="F234" i="135" a="1"/>
  <c r="F234" i="135" s="1"/>
  <c r="E234" i="135" a="1"/>
  <c r="E234" i="135" s="1"/>
  <c r="D234" i="135" a="1"/>
  <c r="D234" i="135" s="1"/>
  <c r="S233" i="135" a="1"/>
  <c r="S233" i="135" s="1"/>
  <c r="R233" i="135" a="1"/>
  <c r="R233" i="135" s="1"/>
  <c r="Q233" i="135" a="1"/>
  <c r="Q233" i="135" s="1"/>
  <c r="P233" i="135" a="1"/>
  <c r="P233" i="135" s="1"/>
  <c r="O233" i="135" a="1"/>
  <c r="O233" i="135" s="1"/>
  <c r="N233" i="135" a="1"/>
  <c r="N233" i="135" s="1"/>
  <c r="M233" i="135" a="1"/>
  <c r="M233" i="135" s="1"/>
  <c r="L233" i="135" a="1"/>
  <c r="L233" i="135" s="1"/>
  <c r="K233" i="135" a="1"/>
  <c r="K233" i="135" s="1"/>
  <c r="J233" i="135" a="1"/>
  <c r="J233" i="135" s="1"/>
  <c r="I233" i="135" a="1"/>
  <c r="I233" i="135" s="1"/>
  <c r="H233" i="135" a="1"/>
  <c r="H233" i="135" s="1"/>
  <c r="G233" i="135" a="1"/>
  <c r="G233" i="135" s="1"/>
  <c r="F233" i="135" a="1"/>
  <c r="F233" i="135" s="1"/>
  <c r="E233" i="135" a="1"/>
  <c r="E233" i="135" s="1"/>
  <c r="D233" i="135" a="1"/>
  <c r="D233" i="135" s="1"/>
  <c r="S232" i="135" a="1"/>
  <c r="S232" i="135" s="1"/>
  <c r="R232" i="135" a="1"/>
  <c r="R232" i="135" s="1"/>
  <c r="Q232" i="135" a="1"/>
  <c r="Q232" i="135" s="1"/>
  <c r="P232" i="135" a="1"/>
  <c r="P232" i="135" s="1"/>
  <c r="O232" i="135" a="1"/>
  <c r="O232" i="135" s="1"/>
  <c r="N232" i="135" a="1"/>
  <c r="N232" i="135" s="1"/>
  <c r="M232" i="135" a="1"/>
  <c r="M232" i="135" s="1"/>
  <c r="L232" i="135" a="1"/>
  <c r="L232" i="135" s="1"/>
  <c r="K232" i="135" a="1"/>
  <c r="K232" i="135" s="1"/>
  <c r="J232" i="135" a="1"/>
  <c r="J232" i="135" s="1"/>
  <c r="I232" i="135" a="1"/>
  <c r="I232" i="135" s="1"/>
  <c r="H232" i="135" a="1"/>
  <c r="H232" i="135" s="1"/>
  <c r="G232" i="135" a="1"/>
  <c r="G232" i="135" s="1"/>
  <c r="F232" i="135" a="1"/>
  <c r="F232" i="135" s="1"/>
  <c r="E232" i="135" a="1"/>
  <c r="E232" i="135" s="1"/>
  <c r="D232" i="135" a="1"/>
  <c r="D232" i="135" s="1"/>
  <c r="D229" i="135" a="1"/>
  <c r="D229" i="135" s="1"/>
  <c r="D228" i="135" a="1"/>
  <c r="D228" i="135" s="1"/>
  <c r="D227" i="135" a="1"/>
  <c r="D227" i="135" s="1"/>
  <c r="E224" i="135" a="1"/>
  <c r="E224" i="135" s="1"/>
  <c r="D224" i="135" a="1"/>
  <c r="D224" i="135" s="1"/>
  <c r="E223" i="135" a="1"/>
  <c r="E223" i="135" s="1"/>
  <c r="D223" i="135" a="1"/>
  <c r="D223" i="135" s="1"/>
  <c r="E222" i="135" a="1"/>
  <c r="E222" i="135" s="1"/>
  <c r="D222" i="135" a="1"/>
  <c r="D222" i="135" s="1"/>
  <c r="E221" i="135" a="1"/>
  <c r="E221" i="135" s="1"/>
  <c r="D221" i="135" a="1"/>
  <c r="D221" i="135" s="1"/>
  <c r="E220" i="135" a="1"/>
  <c r="E220" i="135" s="1"/>
  <c r="D220" i="135" a="1"/>
  <c r="D220" i="135" s="1"/>
  <c r="E219" i="135" a="1"/>
  <c r="E219" i="135" s="1"/>
  <c r="D219" i="135" a="1"/>
  <c r="D219" i="135" s="1"/>
  <c r="E218" i="135" a="1"/>
  <c r="E218" i="135" s="1"/>
  <c r="D218" i="135" a="1"/>
  <c r="D218" i="135" s="1"/>
  <c r="E217" i="135" a="1"/>
  <c r="E217" i="135" s="1"/>
  <c r="D217" i="135" a="1"/>
  <c r="D217" i="135" s="1"/>
  <c r="E216" i="135" a="1"/>
  <c r="E216" i="135" s="1"/>
  <c r="D216" i="135" a="1"/>
  <c r="D216" i="135" s="1"/>
  <c r="E215" i="135" a="1"/>
  <c r="E215" i="135" s="1"/>
  <c r="D215" i="135" a="1"/>
  <c r="D215" i="135" s="1"/>
  <c r="E214" i="135" a="1"/>
  <c r="E214" i="135" s="1"/>
  <c r="D214" i="135" a="1"/>
  <c r="D214" i="135" s="1"/>
  <c r="E213" i="135" a="1"/>
  <c r="E213" i="135" s="1"/>
  <c r="D213" i="135" a="1"/>
  <c r="D213" i="135" s="1"/>
  <c r="D211" i="135" a="1"/>
  <c r="D211" i="135" s="1"/>
  <c r="E208" i="135" a="1"/>
  <c r="E208" i="135" s="1"/>
  <c r="D208" i="135" a="1"/>
  <c r="D208" i="135" s="1"/>
  <c r="E207" i="135" a="1"/>
  <c r="E207" i="135" s="1"/>
  <c r="D207" i="135" a="1"/>
  <c r="D207" i="135" s="1"/>
  <c r="D205" i="135" a="1"/>
  <c r="D205" i="135" s="1"/>
  <c r="D204" i="135" a="1"/>
  <c r="D204" i="135" s="1"/>
  <c r="D203" i="135" a="1"/>
  <c r="D203" i="135" s="1"/>
  <c r="D202" i="135" a="1"/>
  <c r="D202" i="135" s="1"/>
  <c r="H199" i="135" a="1"/>
  <c r="H199" i="135" s="1"/>
  <c r="G199" i="135" a="1"/>
  <c r="G199" i="135" s="1"/>
  <c r="F199" i="135" a="1"/>
  <c r="F199" i="135" s="1"/>
  <c r="E199" i="135" a="1"/>
  <c r="E199" i="135" s="1"/>
  <c r="D199" i="135" a="1"/>
  <c r="D199" i="135" s="1"/>
  <c r="H198" i="135" a="1"/>
  <c r="H198" i="135" s="1"/>
  <c r="G198" i="135" a="1"/>
  <c r="G198" i="135" s="1"/>
  <c r="F198" i="135" a="1"/>
  <c r="F198" i="135" s="1"/>
  <c r="E198" i="135" a="1"/>
  <c r="E198" i="135" s="1"/>
  <c r="D198" i="135" a="1"/>
  <c r="D198" i="135" s="1"/>
  <c r="H197" i="135" a="1"/>
  <c r="H197" i="135" s="1"/>
  <c r="G197" i="135" a="1"/>
  <c r="G197" i="135" s="1"/>
  <c r="F197" i="135" a="1"/>
  <c r="F197" i="135" s="1"/>
  <c r="E197" i="135" a="1"/>
  <c r="E197" i="135" s="1"/>
  <c r="D197" i="135" a="1"/>
  <c r="D197" i="135" s="1"/>
  <c r="H196" i="135" a="1"/>
  <c r="H196" i="135" s="1"/>
  <c r="G196" i="135" a="1"/>
  <c r="G196" i="135" s="1"/>
  <c r="F196" i="135" a="1"/>
  <c r="F196" i="135" s="1"/>
  <c r="E196" i="135" a="1"/>
  <c r="E196" i="135" s="1"/>
  <c r="D196" i="135" a="1"/>
  <c r="D196" i="135" s="1"/>
  <c r="H195" i="135" a="1"/>
  <c r="H195" i="135" s="1"/>
  <c r="G195" i="135" a="1"/>
  <c r="G195" i="135" s="1"/>
  <c r="F195" i="135" a="1"/>
  <c r="F195" i="135" s="1"/>
  <c r="E195" i="135" a="1"/>
  <c r="E195" i="135" s="1"/>
  <c r="D195" i="135" a="1"/>
  <c r="D195" i="135" s="1"/>
  <c r="H194" i="135" a="1"/>
  <c r="H194" i="135" s="1"/>
  <c r="G194" i="135" a="1"/>
  <c r="G194" i="135" s="1"/>
  <c r="F194" i="135" a="1"/>
  <c r="F194" i="135" s="1"/>
  <c r="E194" i="135" a="1"/>
  <c r="E194" i="135" s="1"/>
  <c r="D194" i="135" a="1"/>
  <c r="D194" i="135" s="1"/>
  <c r="H193" i="135" a="1"/>
  <c r="H193" i="135" s="1"/>
  <c r="G193" i="135" a="1"/>
  <c r="G193" i="135" s="1"/>
  <c r="F193" i="135" a="1"/>
  <c r="F193" i="135" s="1"/>
  <c r="E193" i="135" a="1"/>
  <c r="E193" i="135" s="1"/>
  <c r="D193" i="135" a="1"/>
  <c r="D193" i="135" s="1"/>
  <c r="H192" i="135" a="1"/>
  <c r="H192" i="135" s="1"/>
  <c r="G192" i="135" a="1"/>
  <c r="G192" i="135" s="1"/>
  <c r="F192" i="135" a="1"/>
  <c r="F192" i="135" s="1"/>
  <c r="E192" i="135" a="1"/>
  <c r="E192" i="135" s="1"/>
  <c r="D192" i="135" a="1"/>
  <c r="D192" i="135" s="1"/>
  <c r="H191" i="135" a="1"/>
  <c r="H191" i="135" s="1"/>
  <c r="G191" i="135" a="1"/>
  <c r="G191" i="135" s="1"/>
  <c r="F191" i="135" a="1"/>
  <c r="F191" i="135" s="1"/>
  <c r="E191" i="135" a="1"/>
  <c r="E191" i="135" s="1"/>
  <c r="D191" i="135" a="1"/>
  <c r="D191" i="135" s="1"/>
  <c r="H190" i="135" a="1"/>
  <c r="H190" i="135" s="1"/>
  <c r="G190" i="135" a="1"/>
  <c r="G190" i="135" s="1"/>
  <c r="F190" i="135" a="1"/>
  <c r="F190" i="135" s="1"/>
  <c r="E190" i="135" a="1"/>
  <c r="E190" i="135" s="1"/>
  <c r="D190" i="135" a="1"/>
  <c r="D190" i="135" s="1"/>
  <c r="H189" i="135" a="1"/>
  <c r="H189" i="135" s="1"/>
  <c r="G189" i="135" a="1"/>
  <c r="G189" i="135" s="1"/>
  <c r="F189" i="135" a="1"/>
  <c r="F189" i="135" s="1"/>
  <c r="E189" i="135" a="1"/>
  <c r="E189" i="135" s="1"/>
  <c r="D189" i="135" a="1"/>
  <c r="D189" i="135" s="1"/>
  <c r="H188" i="135" a="1"/>
  <c r="H188" i="135" s="1"/>
  <c r="G188" i="135" a="1"/>
  <c r="G188" i="135" s="1"/>
  <c r="F188" i="135" a="1"/>
  <c r="F188" i="135" s="1"/>
  <c r="E188" i="135" a="1"/>
  <c r="E188" i="135" s="1"/>
  <c r="D188" i="135" a="1"/>
  <c r="D188" i="135" s="1"/>
  <c r="H187" i="135" a="1"/>
  <c r="H187" i="135" s="1"/>
  <c r="G187" i="135" a="1"/>
  <c r="G187" i="135" s="1"/>
  <c r="F187" i="135" a="1"/>
  <c r="F187" i="135" s="1"/>
  <c r="E187" i="135" a="1"/>
  <c r="E187" i="135" s="1"/>
  <c r="D187" i="135" a="1"/>
  <c r="D187" i="135" s="1"/>
  <c r="D181" i="135" a="1"/>
  <c r="D181" i="135" s="1"/>
  <c r="D180" i="135" a="1"/>
  <c r="D180" i="135" s="1"/>
  <c r="D179" i="135" a="1"/>
  <c r="D179" i="135" s="1"/>
  <c r="D178" i="135" a="1"/>
  <c r="D178" i="135" s="1"/>
  <c r="E175" i="135" a="1"/>
  <c r="E175" i="135" s="1"/>
  <c r="D175" i="135" a="1"/>
  <c r="D175" i="135" s="1"/>
  <c r="D174" i="135" a="1"/>
  <c r="D174" i="135" s="1"/>
  <c r="D173" i="135" a="1"/>
  <c r="D173" i="135" s="1"/>
  <c r="D170" i="135" a="1"/>
  <c r="D170" i="135" s="1"/>
  <c r="D169" i="135" a="1"/>
  <c r="D169" i="135" s="1"/>
  <c r="D168" i="135" a="1"/>
  <c r="D168" i="135" s="1"/>
  <c r="D167" i="135" a="1"/>
  <c r="D167" i="135" s="1"/>
  <c r="D164" i="135" a="1"/>
  <c r="D164" i="135" s="1"/>
  <c r="D163" i="135" a="1"/>
  <c r="D163" i="135" s="1"/>
  <c r="D162" i="135" a="1"/>
  <c r="D162" i="135" s="1"/>
  <c r="D161" i="135" a="1"/>
  <c r="D161" i="135" s="1"/>
  <c r="E158" i="135" a="1"/>
  <c r="E158" i="135" s="1"/>
  <c r="D158" i="135" a="1"/>
  <c r="D158" i="135" s="1"/>
  <c r="E157" i="135" a="1"/>
  <c r="E157" i="135" s="1"/>
  <c r="D157" i="135" a="1"/>
  <c r="D157" i="135" s="1"/>
  <c r="E156" i="135" a="1"/>
  <c r="E156" i="135" s="1"/>
  <c r="D156" i="135" a="1"/>
  <c r="D156" i="135" s="1"/>
  <c r="E155" i="135" a="1"/>
  <c r="E155" i="135" s="1"/>
  <c r="D155" i="135" a="1"/>
  <c r="D155" i="135" s="1"/>
  <c r="E154" i="135" a="1"/>
  <c r="E154" i="135" s="1"/>
  <c r="D154" i="135" a="1"/>
  <c r="D154" i="135" s="1"/>
  <c r="D151" i="135"/>
  <c r="D151" i="135" a="1"/>
  <c r="D150" i="135"/>
  <c r="D150" i="135" a="1"/>
  <c r="E147" i="135" a="1"/>
  <c r="E147" i="135" s="1"/>
  <c r="D147" i="135" a="1"/>
  <c r="D147" i="135" s="1"/>
  <c r="E146" i="135" a="1"/>
  <c r="E146" i="135" s="1"/>
  <c r="D146" i="135" a="1"/>
  <c r="D146" i="135" s="1"/>
  <c r="E145" i="135" a="1"/>
  <c r="E145" i="135" s="1"/>
  <c r="D145" i="135" a="1"/>
  <c r="D145" i="135" s="1"/>
  <c r="E144" i="135" a="1"/>
  <c r="E144" i="135" s="1"/>
  <c r="D144" i="135" a="1"/>
  <c r="D144" i="135" s="1"/>
  <c r="E143" i="135" a="1"/>
  <c r="E143" i="135" s="1"/>
  <c r="D143" i="135" a="1"/>
  <c r="D143" i="135" s="1"/>
  <c r="D141" i="135" a="1"/>
  <c r="D141" i="135" s="1"/>
  <c r="D140" i="135" a="1"/>
  <c r="D140" i="135" s="1"/>
  <c r="D139" i="135" a="1"/>
  <c r="D139" i="135" s="1"/>
  <c r="E136" i="135" a="1"/>
  <c r="E136" i="135" s="1"/>
  <c r="D136" i="135" a="1"/>
  <c r="D136" i="135" s="1"/>
  <c r="E135" i="135" a="1"/>
  <c r="E135" i="135" s="1"/>
  <c r="D135" i="135" a="1"/>
  <c r="D135" i="135" s="1"/>
  <c r="D133" i="135"/>
  <c r="D133" i="135" a="1"/>
  <c r="D132" i="135" a="1"/>
  <c r="D132" i="135" s="1"/>
  <c r="E129" i="135" a="1"/>
  <c r="E129" i="135" s="1"/>
  <c r="D129" i="135" a="1"/>
  <c r="D129" i="135" s="1"/>
  <c r="E128" i="135" a="1"/>
  <c r="E128" i="135" s="1"/>
  <c r="D128" i="135" a="1"/>
  <c r="D128" i="135" s="1"/>
  <c r="D125" i="135" a="1"/>
  <c r="D125" i="135" s="1"/>
  <c r="D124" i="135" a="1"/>
  <c r="D124" i="135" s="1"/>
  <c r="G121" i="135" a="1"/>
  <c r="G121" i="135" s="1"/>
  <c r="F121" i="135" a="1"/>
  <c r="F121" i="135" s="1"/>
  <c r="E121" i="135" a="1"/>
  <c r="E121" i="135" s="1"/>
  <c r="D121" i="135" a="1"/>
  <c r="D121" i="135" s="1"/>
  <c r="G120" i="135" a="1"/>
  <c r="G120" i="135" s="1"/>
  <c r="F120" i="135" a="1"/>
  <c r="F120" i="135" s="1"/>
  <c r="E120" i="135" a="1"/>
  <c r="E120" i="135" s="1"/>
  <c r="D120" i="135" a="1"/>
  <c r="D120" i="135" s="1"/>
  <c r="D117" i="135" a="1"/>
  <c r="D117" i="135" s="1"/>
  <c r="D116" i="135" a="1"/>
  <c r="D116" i="135" s="1"/>
  <c r="D115" i="135" a="1"/>
  <c r="D115" i="135" s="1"/>
  <c r="G112" i="135" a="1"/>
  <c r="G112" i="135" s="1"/>
  <c r="F112" i="135" a="1"/>
  <c r="F112" i="135" s="1"/>
  <c r="E112" i="135" a="1"/>
  <c r="E112" i="135" s="1"/>
  <c r="D112" i="135" a="1"/>
  <c r="D112" i="135" s="1"/>
  <c r="G111" i="135" a="1"/>
  <c r="G111" i="135" s="1"/>
  <c r="F111" i="135" a="1"/>
  <c r="F111" i="135" s="1"/>
  <c r="E111" i="135" a="1"/>
  <c r="E111" i="135" s="1"/>
  <c r="D111" i="135" a="1"/>
  <c r="D111" i="135" s="1"/>
  <c r="G110" i="135" a="1"/>
  <c r="G110" i="135" s="1"/>
  <c r="F110" i="135" a="1"/>
  <c r="F110" i="135" s="1"/>
  <c r="E110" i="135" a="1"/>
  <c r="E110" i="135" s="1"/>
  <c r="D110" i="135" a="1"/>
  <c r="D110" i="135" s="1"/>
  <c r="D107" i="135" a="1"/>
  <c r="D107" i="135" s="1"/>
  <c r="D106" i="135" a="1"/>
  <c r="D106" i="135" s="1"/>
  <c r="D105" i="135" a="1"/>
  <c r="D105" i="135" s="1"/>
  <c r="D99" i="135" a="1"/>
  <c r="D99" i="135" s="1"/>
  <c r="S97" i="135" a="1"/>
  <c r="S97" i="135" s="1"/>
  <c r="R97" i="135" a="1"/>
  <c r="R97" i="135" s="1"/>
  <c r="Q97" i="135" a="1"/>
  <c r="Q97" i="135" s="1"/>
  <c r="P97" i="135" a="1"/>
  <c r="P97" i="135" s="1"/>
  <c r="O97" i="135" a="1"/>
  <c r="O97" i="135" s="1"/>
  <c r="N97" i="135" a="1"/>
  <c r="N97" i="135" s="1"/>
  <c r="M97" i="135" a="1"/>
  <c r="M97" i="135" s="1"/>
  <c r="L97" i="135" a="1"/>
  <c r="L97" i="135" s="1"/>
  <c r="K97" i="135" a="1"/>
  <c r="K97" i="135" s="1"/>
  <c r="J97" i="135" a="1"/>
  <c r="J97" i="135" s="1"/>
  <c r="I97" i="135" a="1"/>
  <c r="I97" i="135" s="1"/>
  <c r="H97" i="135" a="1"/>
  <c r="H97" i="135" s="1"/>
  <c r="G97" i="135" a="1"/>
  <c r="G97" i="135" s="1"/>
  <c r="F97" i="135" a="1"/>
  <c r="F97" i="135" s="1"/>
  <c r="E97" i="135" a="1"/>
  <c r="E97" i="135" s="1"/>
  <c r="D97" i="135" a="1"/>
  <c r="D97" i="135" s="1"/>
  <c r="S96" i="135" a="1"/>
  <c r="S96" i="135" s="1"/>
  <c r="R96" i="135" a="1"/>
  <c r="R96" i="135" s="1"/>
  <c r="Q96" i="135" a="1"/>
  <c r="Q96" i="135" s="1"/>
  <c r="P96" i="135" a="1"/>
  <c r="P96" i="135" s="1"/>
  <c r="O96" i="135" a="1"/>
  <c r="O96" i="135" s="1"/>
  <c r="N96" i="135" a="1"/>
  <c r="N96" i="135" s="1"/>
  <c r="M96" i="135" a="1"/>
  <c r="M96" i="135" s="1"/>
  <c r="L96" i="135" a="1"/>
  <c r="L96" i="135" s="1"/>
  <c r="K96" i="135" a="1"/>
  <c r="K96" i="135" s="1"/>
  <c r="J96" i="135" a="1"/>
  <c r="J96" i="135" s="1"/>
  <c r="I96" i="135" a="1"/>
  <c r="I96" i="135" s="1"/>
  <c r="H96" i="135" a="1"/>
  <c r="H96" i="135" s="1"/>
  <c r="G96" i="135" a="1"/>
  <c r="G96" i="135" s="1"/>
  <c r="F96" i="135" a="1"/>
  <c r="F96" i="135" s="1"/>
  <c r="E96" i="135" a="1"/>
  <c r="E96" i="135" s="1"/>
  <c r="D96" i="135" a="1"/>
  <c r="D96" i="135" s="1"/>
  <c r="S95" i="135" a="1"/>
  <c r="S95" i="135" s="1"/>
  <c r="R95" i="135" a="1"/>
  <c r="R95" i="135" s="1"/>
  <c r="Q95" i="135" a="1"/>
  <c r="Q95" i="135" s="1"/>
  <c r="P95" i="135" a="1"/>
  <c r="P95" i="135" s="1"/>
  <c r="O95" i="135" a="1"/>
  <c r="O95" i="135" s="1"/>
  <c r="N95" i="135" a="1"/>
  <c r="N95" i="135" s="1"/>
  <c r="M95" i="135" a="1"/>
  <c r="M95" i="135" s="1"/>
  <c r="L95" i="135" a="1"/>
  <c r="L95" i="135" s="1"/>
  <c r="K95" i="135" a="1"/>
  <c r="K95" i="135" s="1"/>
  <c r="J95" i="135" a="1"/>
  <c r="J95" i="135" s="1"/>
  <c r="I95" i="135" a="1"/>
  <c r="I95" i="135" s="1"/>
  <c r="H95" i="135" a="1"/>
  <c r="H95" i="135" s="1"/>
  <c r="G95" i="135" a="1"/>
  <c r="G95" i="135" s="1"/>
  <c r="F95" i="135" a="1"/>
  <c r="F95" i="135" s="1"/>
  <c r="E95" i="135" a="1"/>
  <c r="E95" i="135" s="1"/>
  <c r="D95" i="135" a="1"/>
  <c r="D95" i="135" s="1"/>
  <c r="S94" i="135" a="1"/>
  <c r="S94" i="135" s="1"/>
  <c r="R94" i="135" a="1"/>
  <c r="R94" i="135" s="1"/>
  <c r="Q94" i="135" a="1"/>
  <c r="Q94" i="135" s="1"/>
  <c r="P94" i="135" a="1"/>
  <c r="P94" i="135" s="1"/>
  <c r="O94" i="135" a="1"/>
  <c r="O94" i="135" s="1"/>
  <c r="N94" i="135" a="1"/>
  <c r="N94" i="135" s="1"/>
  <c r="M94" i="135" a="1"/>
  <c r="M94" i="135" s="1"/>
  <c r="L94" i="135" a="1"/>
  <c r="L94" i="135" s="1"/>
  <c r="K94" i="135" a="1"/>
  <c r="K94" i="135" s="1"/>
  <c r="J94" i="135" a="1"/>
  <c r="J94" i="135" s="1"/>
  <c r="I94" i="135" a="1"/>
  <c r="I94" i="135" s="1"/>
  <c r="H94" i="135" a="1"/>
  <c r="H94" i="135" s="1"/>
  <c r="G94" i="135" a="1"/>
  <c r="G94" i="135" s="1"/>
  <c r="F94" i="135" a="1"/>
  <c r="F94" i="135" s="1"/>
  <c r="E94" i="135" a="1"/>
  <c r="E94" i="135" s="1"/>
  <c r="D94" i="135" a="1"/>
  <c r="D94" i="135" s="1"/>
  <c r="S93" i="135" a="1"/>
  <c r="S93" i="135" s="1"/>
  <c r="R93" i="135" a="1"/>
  <c r="R93" i="135" s="1"/>
  <c r="Q93" i="135" a="1"/>
  <c r="Q93" i="135" s="1"/>
  <c r="P93" i="135" a="1"/>
  <c r="P93" i="135" s="1"/>
  <c r="O93" i="135" a="1"/>
  <c r="O93" i="135" s="1"/>
  <c r="N93" i="135" a="1"/>
  <c r="N93" i="135" s="1"/>
  <c r="M93" i="135" a="1"/>
  <c r="M93" i="135" s="1"/>
  <c r="L93" i="135" a="1"/>
  <c r="L93" i="135" s="1"/>
  <c r="K93" i="135" a="1"/>
  <c r="K93" i="135" s="1"/>
  <c r="J93" i="135" a="1"/>
  <c r="J93" i="135" s="1"/>
  <c r="I93" i="135" a="1"/>
  <c r="I93" i="135" s="1"/>
  <c r="H93" i="135" a="1"/>
  <c r="H93" i="135" s="1"/>
  <c r="G93" i="135" a="1"/>
  <c r="G93" i="135" s="1"/>
  <c r="F93" i="135" a="1"/>
  <c r="F93" i="135" s="1"/>
  <c r="E93" i="135" a="1"/>
  <c r="E93" i="135" s="1"/>
  <c r="D93" i="135" a="1"/>
  <c r="D93" i="135" s="1"/>
  <c r="S92" i="135" a="1"/>
  <c r="S92" i="135" s="1"/>
  <c r="R92" i="135" a="1"/>
  <c r="R92" i="135" s="1"/>
  <c r="Q92" i="135" a="1"/>
  <c r="Q92" i="135" s="1"/>
  <c r="P92" i="135" a="1"/>
  <c r="P92" i="135" s="1"/>
  <c r="O92" i="135" a="1"/>
  <c r="O92" i="135" s="1"/>
  <c r="N92" i="135" a="1"/>
  <c r="N92" i="135" s="1"/>
  <c r="M92" i="135" a="1"/>
  <c r="M92" i="135" s="1"/>
  <c r="L92" i="135" a="1"/>
  <c r="L92" i="135" s="1"/>
  <c r="K92" i="135" a="1"/>
  <c r="K92" i="135" s="1"/>
  <c r="J92" i="135" a="1"/>
  <c r="J92" i="135" s="1"/>
  <c r="I92" i="135" a="1"/>
  <c r="I92" i="135" s="1"/>
  <c r="H92" i="135" a="1"/>
  <c r="H92" i="135" s="1"/>
  <c r="G92" i="135" a="1"/>
  <c r="G92" i="135" s="1"/>
  <c r="F92" i="135" a="1"/>
  <c r="F92" i="135" s="1"/>
  <c r="E92" i="135" a="1"/>
  <c r="E92" i="135" s="1"/>
  <c r="D92" i="135" a="1"/>
  <c r="D92" i="135" s="1"/>
  <c r="S91" i="135" a="1"/>
  <c r="S91" i="135" s="1"/>
  <c r="R91" i="135" a="1"/>
  <c r="R91" i="135" s="1"/>
  <c r="Q91" i="135" a="1"/>
  <c r="Q91" i="135" s="1"/>
  <c r="P91" i="135" a="1"/>
  <c r="P91" i="135" s="1"/>
  <c r="O91" i="135" a="1"/>
  <c r="O91" i="135" s="1"/>
  <c r="N91" i="135" a="1"/>
  <c r="N91" i="135" s="1"/>
  <c r="M91" i="135" a="1"/>
  <c r="M91" i="135" s="1"/>
  <c r="L91" i="135" a="1"/>
  <c r="L91" i="135" s="1"/>
  <c r="K91" i="135" a="1"/>
  <c r="K91" i="135" s="1"/>
  <c r="J91" i="135" a="1"/>
  <c r="J91" i="135" s="1"/>
  <c r="I91" i="135" a="1"/>
  <c r="I91" i="135" s="1"/>
  <c r="H91" i="135" a="1"/>
  <c r="H91" i="135" s="1"/>
  <c r="G91" i="135" a="1"/>
  <c r="G91" i="135" s="1"/>
  <c r="F91" i="135" a="1"/>
  <c r="F91" i="135" s="1"/>
  <c r="E91" i="135" a="1"/>
  <c r="E91" i="135" s="1"/>
  <c r="D91" i="135" a="1"/>
  <c r="D91" i="135" s="1"/>
  <c r="S90" i="135" a="1"/>
  <c r="S90" i="135" s="1"/>
  <c r="R90" i="135" a="1"/>
  <c r="R90" i="135" s="1"/>
  <c r="Q90" i="135" a="1"/>
  <c r="Q90" i="135" s="1"/>
  <c r="P90" i="135" a="1"/>
  <c r="P90" i="135" s="1"/>
  <c r="O90" i="135" a="1"/>
  <c r="O90" i="135" s="1"/>
  <c r="N90" i="135" a="1"/>
  <c r="N90" i="135" s="1"/>
  <c r="M90" i="135" a="1"/>
  <c r="M90" i="135" s="1"/>
  <c r="L90" i="135" a="1"/>
  <c r="L90" i="135" s="1"/>
  <c r="K90" i="135" a="1"/>
  <c r="K90" i="135" s="1"/>
  <c r="J90" i="135" a="1"/>
  <c r="J90" i="135" s="1"/>
  <c r="I90" i="135" a="1"/>
  <c r="I90" i="135" s="1"/>
  <c r="H90" i="135" a="1"/>
  <c r="H90" i="135" s="1"/>
  <c r="G90" i="135" a="1"/>
  <c r="G90" i="135" s="1"/>
  <c r="F90" i="135" a="1"/>
  <c r="F90" i="135" s="1"/>
  <c r="E90" i="135" a="1"/>
  <c r="E90" i="135" s="1"/>
  <c r="D90" i="135" a="1"/>
  <c r="D90" i="135" s="1"/>
  <c r="D83" i="135" a="1"/>
  <c r="D83" i="135" s="1"/>
  <c r="D82" i="135" a="1"/>
  <c r="D82" i="135" s="1"/>
  <c r="D81" i="135" a="1"/>
  <c r="D81" i="135" s="1"/>
  <c r="E77" i="135" a="1"/>
  <c r="E77" i="135" s="1"/>
  <c r="D77" i="135" a="1"/>
  <c r="D77" i="135" s="1"/>
  <c r="E76" i="135" a="1"/>
  <c r="E76" i="135" s="1"/>
  <c r="D76" i="135" a="1"/>
  <c r="D76" i="135" s="1"/>
  <c r="E75" i="135" a="1"/>
  <c r="E75" i="135" s="1"/>
  <c r="D75" i="135" a="1"/>
  <c r="D75" i="135" s="1"/>
  <c r="E74" i="135" a="1"/>
  <c r="E74" i="135" s="1"/>
  <c r="D74" i="135" a="1"/>
  <c r="D74" i="135" s="1"/>
  <c r="E73" i="135" a="1"/>
  <c r="E73" i="135" s="1"/>
  <c r="D73" i="135" a="1"/>
  <c r="D73" i="135" s="1"/>
  <c r="E72" i="135" a="1"/>
  <c r="E72" i="135" s="1"/>
  <c r="D72" i="135" a="1"/>
  <c r="D72" i="135" s="1"/>
  <c r="E71" i="135" a="1"/>
  <c r="E71" i="135" s="1"/>
  <c r="D71" i="135" a="1"/>
  <c r="D71" i="135" s="1"/>
  <c r="E70" i="135" a="1"/>
  <c r="E70" i="135" s="1"/>
  <c r="D70" i="135" a="1"/>
  <c r="D70" i="135" s="1"/>
  <c r="E69" i="135" a="1"/>
  <c r="E69" i="135" s="1"/>
  <c r="D69" i="135" a="1"/>
  <c r="D69" i="135" s="1"/>
  <c r="E68" i="135" a="1"/>
  <c r="E68" i="135" s="1"/>
  <c r="D68" i="135" a="1"/>
  <c r="D68" i="135" s="1"/>
  <c r="E67" i="135" a="1"/>
  <c r="E67" i="135" s="1"/>
  <c r="D67" i="135" a="1"/>
  <c r="D67" i="135" s="1"/>
  <c r="E66" i="135" a="1"/>
  <c r="E66" i="135" s="1"/>
  <c r="D66" i="135" a="1"/>
  <c r="D66" i="135" s="1"/>
  <c r="E65" i="135" a="1"/>
  <c r="E65" i="135" s="1"/>
  <c r="D65" i="135" a="1"/>
  <c r="D65" i="135" s="1"/>
  <c r="E64" i="135" a="1"/>
  <c r="E64" i="135" s="1"/>
  <c r="D64" i="135" a="1"/>
  <c r="D64" i="135" s="1"/>
  <c r="D59" i="135" a="1"/>
  <c r="D59" i="135" s="1"/>
  <c r="D58" i="135" a="1"/>
  <c r="D58" i="135" s="1"/>
  <c r="D57" i="135" a="1"/>
  <c r="D57" i="135" s="1"/>
  <c r="G54" i="135" a="1"/>
  <c r="G54" i="135" s="1"/>
  <c r="F54" i="135" a="1"/>
  <c r="F54" i="135" s="1"/>
  <c r="E54" i="135" a="1"/>
  <c r="E54" i="135" s="1"/>
  <c r="D54" i="135" a="1"/>
  <c r="D54" i="135" s="1"/>
  <c r="G53" i="135" a="1"/>
  <c r="G53" i="135" s="1"/>
  <c r="F53" i="135" a="1"/>
  <c r="F53" i="135" s="1"/>
  <c r="E53" i="135" a="1"/>
  <c r="E53" i="135" s="1"/>
  <c r="D53" i="135" a="1"/>
  <c r="D53" i="135" s="1"/>
  <c r="G52" i="135" a="1"/>
  <c r="G52" i="135" s="1"/>
  <c r="F52" i="135" a="1"/>
  <c r="F52" i="135" s="1"/>
  <c r="E52" i="135" a="1"/>
  <c r="E52" i="135" s="1"/>
  <c r="D52" i="135" a="1"/>
  <c r="D52" i="135" s="1"/>
  <c r="G51" i="135" a="1"/>
  <c r="G51" i="135" s="1"/>
  <c r="F51" i="135" a="1"/>
  <c r="F51" i="135" s="1"/>
  <c r="E51" i="135" a="1"/>
  <c r="E51" i="135" s="1"/>
  <c r="D51" i="135" a="1"/>
  <c r="D51" i="135" s="1"/>
  <c r="G50" i="135" a="1"/>
  <c r="G50" i="135" s="1"/>
  <c r="F50" i="135" a="1"/>
  <c r="F50" i="135" s="1"/>
  <c r="E50" i="135" a="1"/>
  <c r="E50" i="135" s="1"/>
  <c r="D50" i="135" a="1"/>
  <c r="D50" i="135" s="1"/>
  <c r="G49" i="135" a="1"/>
  <c r="G49" i="135" s="1"/>
  <c r="F49" i="135" a="1"/>
  <c r="F49" i="135" s="1"/>
  <c r="E49" i="135" a="1"/>
  <c r="E49" i="135" s="1"/>
  <c r="D49" i="135" a="1"/>
  <c r="D49" i="135" s="1"/>
  <c r="G48" i="135" a="1"/>
  <c r="G48" i="135" s="1"/>
  <c r="F48" i="135" a="1"/>
  <c r="F48" i="135" s="1"/>
  <c r="E48" i="135" a="1"/>
  <c r="E48" i="135" s="1"/>
  <c r="D48" i="135" a="1"/>
  <c r="D48" i="135" s="1"/>
  <c r="D46" i="135" a="1"/>
  <c r="D46" i="135" s="1"/>
  <c r="D45" i="135"/>
  <c r="D45" i="135" a="1"/>
  <c r="E43" i="135" a="1"/>
  <c r="E43" i="135" s="1"/>
  <c r="D43" i="135" a="1"/>
  <c r="D43" i="135" s="1"/>
  <c r="E42" i="135" a="1"/>
  <c r="E42" i="135" s="1"/>
  <c r="D42" i="135" a="1"/>
  <c r="D42" i="135" s="1"/>
  <c r="E41" i="135" a="1"/>
  <c r="E41" i="135" s="1"/>
  <c r="D41" i="135" a="1"/>
  <c r="D41" i="135" s="1"/>
  <c r="E40" i="135" a="1"/>
  <c r="E40" i="135" s="1"/>
  <c r="D40" i="135" a="1"/>
  <c r="D40" i="135" s="1"/>
  <c r="E39" i="135" a="1"/>
  <c r="E39" i="135" s="1"/>
  <c r="D39" i="135" a="1"/>
  <c r="D39" i="135" s="1"/>
  <c r="E38" i="135" a="1"/>
  <c r="E38" i="135" s="1"/>
  <c r="D38" i="135" a="1"/>
  <c r="D38" i="135" s="1"/>
  <c r="E37" i="135" a="1"/>
  <c r="E37" i="135" s="1"/>
  <c r="D37" i="135" a="1"/>
  <c r="D37" i="135" s="1"/>
  <c r="D35" i="135"/>
  <c r="D35" i="135" a="1"/>
  <c r="D34" i="135" a="1"/>
  <c r="D34" i="135" s="1"/>
  <c r="D30" i="135" a="1"/>
  <c r="D30" i="135" s="1"/>
  <c r="D29" i="135" a="1"/>
  <c r="D29" i="135" s="1"/>
  <c r="D28" i="135" a="1"/>
  <c r="D28" i="135" s="1"/>
  <c r="D27" i="135" a="1"/>
  <c r="D27" i="135" s="1"/>
  <c r="D26" i="135" a="1"/>
  <c r="D26" i="135" s="1"/>
  <c r="D25" i="135" a="1"/>
  <c r="D25" i="135" s="1"/>
  <c r="D24" i="135" a="1"/>
  <c r="D24" i="135" s="1"/>
  <c r="D23" i="135" a="1"/>
  <c r="D23" i="135" s="1"/>
  <c r="D22" i="135" a="1"/>
  <c r="D22" i="135" s="1"/>
  <c r="D21" i="135" a="1"/>
  <c r="D21" i="135" s="1"/>
  <c r="D19" i="135" a="1"/>
  <c r="D19" i="135" s="1"/>
  <c r="D18" i="135" a="1"/>
  <c r="D18" i="135" s="1"/>
  <c r="F14" i="135" a="1"/>
  <c r="F14" i="135" s="1"/>
  <c r="E14" i="135" a="1"/>
  <c r="E14" i="135" s="1"/>
  <c r="D14" i="135" a="1"/>
  <c r="D14" i="135" s="1"/>
  <c r="F13" i="135" a="1"/>
  <c r="F13" i="135" s="1"/>
  <c r="E13" i="135" a="1"/>
  <c r="E13" i="135" s="1"/>
  <c r="D13" i="135" a="1"/>
  <c r="D13" i="135" s="1"/>
  <c r="F12" i="135" a="1"/>
  <c r="F12" i="135" s="1"/>
  <c r="E12" i="135" a="1"/>
  <c r="E12" i="135" s="1"/>
  <c r="D12" i="135" a="1"/>
  <c r="D12" i="135" s="1"/>
  <c r="F11" i="135" a="1"/>
  <c r="F11" i="135" s="1"/>
  <c r="E11" i="135" a="1"/>
  <c r="E11" i="135" s="1"/>
  <c r="D11" i="135" a="1"/>
  <c r="D11" i="135" s="1"/>
  <c r="F10" i="135" a="1"/>
  <c r="F10" i="135" s="1"/>
  <c r="E10" i="135" a="1"/>
  <c r="E10" i="135" s="1"/>
  <c r="D10" i="135" a="1"/>
  <c r="D10" i="135" s="1"/>
  <c r="F9" i="135" a="1"/>
  <c r="F9" i="135" s="1"/>
  <c r="E9" i="135" a="1"/>
  <c r="E9" i="135" s="1"/>
  <c r="D9" i="135" a="1"/>
  <c r="D9" i="135" s="1"/>
  <c r="F8" i="135" a="1"/>
  <c r="F8" i="135" s="1"/>
  <c r="E8" i="135" a="1"/>
  <c r="E8" i="135" s="1"/>
  <c r="D8" i="135" a="1"/>
  <c r="D8" i="135" s="1"/>
  <c r="A8" i="135"/>
  <c r="F7" i="135" a="1"/>
  <c r="F7" i="135" s="1"/>
  <c r="E7" i="135" a="1"/>
  <c r="E7" i="135" s="1"/>
  <c r="D7" i="135" a="1"/>
  <c r="D7" i="135" s="1"/>
  <c r="A7" i="135"/>
  <c r="D5" i="135" a="1"/>
  <c r="D5" i="135" s="1"/>
  <c r="A3" i="135"/>
  <c r="A8" i="71"/>
  <c r="A7" i="71"/>
  <c r="A3" i="71"/>
  <c r="E22" i="70"/>
  <c r="I13" i="114" s="1"/>
  <c r="E29" i="15"/>
  <c r="E13" i="15"/>
  <c r="A25" i="110"/>
  <c r="A24" i="110"/>
  <c r="A20" i="110"/>
  <c r="A19" i="110"/>
  <c r="A18" i="110"/>
  <c r="A17" i="110"/>
  <c r="A16" i="110"/>
  <c r="A15" i="110"/>
  <c r="A11" i="110"/>
  <c r="A10" i="110"/>
  <c r="A9" i="110"/>
  <c r="A5" i="110"/>
  <c r="A4" i="110"/>
  <c r="A3" i="110"/>
  <c r="A25" i="114"/>
  <c r="A24" i="114"/>
  <c r="A20" i="114"/>
  <c r="A19" i="114"/>
  <c r="A18" i="114"/>
  <c r="A17" i="114"/>
  <c r="A16" i="114"/>
  <c r="A15" i="114"/>
  <c r="A11" i="114"/>
  <c r="A10" i="114"/>
  <c r="A9" i="114"/>
  <c r="A5" i="114"/>
  <c r="A4" i="114"/>
  <c r="A3" i="114"/>
  <c r="A25" i="122"/>
  <c r="A24" i="122"/>
  <c r="A20" i="122"/>
  <c r="A19" i="122"/>
  <c r="A18" i="122"/>
  <c r="A17" i="122"/>
  <c r="A16" i="122"/>
  <c r="A15" i="122"/>
  <c r="A11" i="122"/>
  <c r="A10" i="122"/>
  <c r="A9" i="122"/>
  <c r="A5" i="122"/>
  <c r="A4" i="122"/>
  <c r="A3" i="122"/>
  <c r="A25" i="123"/>
  <c r="A24" i="123"/>
  <c r="A20" i="123"/>
  <c r="A19" i="123"/>
  <c r="A18" i="123"/>
  <c r="A17" i="123"/>
  <c r="A16" i="123"/>
  <c r="A15" i="123"/>
  <c r="A11" i="123"/>
  <c r="A10" i="123"/>
  <c r="A9" i="123"/>
  <c r="A5" i="123"/>
  <c r="A4" i="123"/>
  <c r="A3" i="123"/>
  <c r="A25" i="113"/>
  <c r="A24" i="113"/>
  <c r="A20" i="113"/>
  <c r="A19" i="113"/>
  <c r="A18" i="113"/>
  <c r="A17" i="113"/>
  <c r="A16" i="113"/>
  <c r="A15" i="113"/>
  <c r="A11" i="113"/>
  <c r="A10" i="113"/>
  <c r="A9" i="113"/>
  <c r="A5" i="113"/>
  <c r="A4" i="113"/>
  <c r="A3" i="113"/>
  <c r="A25" i="74"/>
  <c r="A24" i="74"/>
  <c r="A20" i="74"/>
  <c r="A19" i="74"/>
  <c r="A18" i="74"/>
  <c r="A17" i="74"/>
  <c r="A16" i="74"/>
  <c r="A15" i="74"/>
  <c r="A11" i="74"/>
  <c r="A10" i="74"/>
  <c r="A9" i="74"/>
  <c r="A5" i="74"/>
  <c r="A4" i="74"/>
  <c r="A3" i="74"/>
  <c r="A25" i="69"/>
  <c r="A24" i="69"/>
  <c r="A20" i="69"/>
  <c r="A19" i="69"/>
  <c r="A18" i="69"/>
  <c r="A17" i="69"/>
  <c r="A16" i="69"/>
  <c r="A15" i="69"/>
  <c r="A11" i="69"/>
  <c r="A10" i="69"/>
  <c r="A9" i="69"/>
  <c r="A5" i="69"/>
  <c r="A4" i="69"/>
  <c r="A3" i="69"/>
  <c r="A25" i="120"/>
  <c r="A24" i="120"/>
  <c r="A20" i="120"/>
  <c r="A19" i="120"/>
  <c r="A18" i="120"/>
  <c r="A17" i="120"/>
  <c r="A16" i="120"/>
  <c r="A15" i="120"/>
  <c r="A11" i="120"/>
  <c r="A10" i="120"/>
  <c r="A9" i="120"/>
  <c r="A5" i="120"/>
  <c r="A4" i="120"/>
  <c r="A3" i="120"/>
  <c r="A25" i="70"/>
  <c r="A24" i="70"/>
  <c r="A20" i="70"/>
  <c r="A19" i="70"/>
  <c r="A18" i="70"/>
  <c r="A17" i="70"/>
  <c r="A16" i="70"/>
  <c r="A15" i="70"/>
  <c r="A11" i="70"/>
  <c r="A10" i="70"/>
  <c r="A9" i="70"/>
  <c r="A5" i="70"/>
  <c r="A4" i="70"/>
  <c r="A3" i="70"/>
  <c r="A25" i="15"/>
  <c r="A24" i="15"/>
  <c r="A20" i="15"/>
  <c r="A19" i="15"/>
  <c r="A18" i="15"/>
  <c r="A17" i="15"/>
  <c r="A16" i="15"/>
  <c r="A15" i="15"/>
  <c r="A11" i="15"/>
  <c r="A10" i="15"/>
  <c r="A9" i="15"/>
  <c r="A5" i="15"/>
  <c r="A4" i="15"/>
  <c r="A3" i="15"/>
  <c r="A25" i="13"/>
  <c r="A24" i="13"/>
  <c r="A20" i="13"/>
  <c r="A19" i="13"/>
  <c r="A18" i="13"/>
  <c r="A17" i="13"/>
  <c r="A16" i="13"/>
  <c r="A15" i="13"/>
  <c r="A11" i="13"/>
  <c r="A10" i="13"/>
  <c r="A9" i="13"/>
  <c r="A5" i="13"/>
  <c r="A4" i="13"/>
  <c r="A3" i="13"/>
  <c r="A25" i="118"/>
  <c r="A24" i="118"/>
  <c r="A20" i="118"/>
  <c r="A19" i="118"/>
  <c r="A18" i="118"/>
  <c r="A17" i="118"/>
  <c r="A16" i="118"/>
  <c r="A15" i="118"/>
  <c r="A11" i="118"/>
  <c r="A10" i="118"/>
  <c r="A9" i="118"/>
  <c r="A5" i="118"/>
  <c r="A4" i="118"/>
  <c r="A3" i="118"/>
  <c r="P53" i="123" a="1"/>
  <c r="P53" i="123" s="1"/>
  <c r="F53" i="123" a="1"/>
  <c r="F53" i="123" s="1"/>
  <c r="N50" i="123" a="1"/>
  <c r="N50" i="123" s="1"/>
  <c r="D50" i="123" a="1"/>
  <c r="D50" i="123" s="1"/>
  <c r="J39" i="123"/>
  <c r="J36" i="123" a="1"/>
  <c r="J36" i="123" s="1"/>
  <c r="H36" i="123" a="1"/>
  <c r="H36" i="123" s="1"/>
  <c r="D36" i="123" a="1"/>
  <c r="D36" i="123" s="1"/>
  <c r="E34" i="123" a="1"/>
  <c r="E34" i="123" s="1"/>
  <c r="E33" i="123" a="1"/>
  <c r="E33" i="123" s="1"/>
  <c r="D29" i="123" a="1"/>
  <c r="D29" i="123" s="1"/>
  <c r="D28" i="123" a="1"/>
  <c r="D28" i="123" s="1"/>
  <c r="G24" i="123"/>
  <c r="F24" i="123"/>
  <c r="J19" i="123" a="1"/>
  <c r="J19" i="123" s="1"/>
  <c r="J17" i="123"/>
  <c r="J16" i="123" a="1"/>
  <c r="J16" i="123" s="1"/>
  <c r="J14" i="123" a="1"/>
  <c r="J14" i="123" s="1"/>
  <c r="J13" i="123" a="1"/>
  <c r="J13" i="123" s="1"/>
  <c r="H13" i="123" a="1"/>
  <c r="H13" i="123" s="1"/>
  <c r="D13" i="123" a="1"/>
  <c r="D13" i="123" s="1"/>
  <c r="E11" i="123" a="1"/>
  <c r="E11" i="123" s="1"/>
  <c r="E10" i="123" a="1"/>
  <c r="E10" i="123" s="1"/>
  <c r="D6" i="123" a="1"/>
  <c r="D6" i="123" s="1"/>
  <c r="D5" i="123" a="1"/>
  <c r="D5" i="123" s="1"/>
  <c r="P53" i="122" a="1"/>
  <c r="P53" i="122" s="1"/>
  <c r="F53" i="122" a="1"/>
  <c r="F53" i="122" s="1"/>
  <c r="N50" i="122" a="1"/>
  <c r="N50" i="122" s="1"/>
  <c r="D50" i="122" a="1"/>
  <c r="D50" i="122" s="1"/>
  <c r="J40" i="122"/>
  <c r="J36" i="122" a="1"/>
  <c r="J36" i="122" s="1"/>
  <c r="H36" i="122" a="1"/>
  <c r="H36" i="122" s="1"/>
  <c r="D36" i="122" a="1"/>
  <c r="D36" i="122" s="1"/>
  <c r="E34" i="122" a="1"/>
  <c r="E34" i="122" s="1"/>
  <c r="E33" i="122" a="1"/>
  <c r="E33" i="122" s="1"/>
  <c r="D29" i="122" a="1"/>
  <c r="D29" i="122" s="1"/>
  <c r="D28" i="122" a="1"/>
  <c r="D28" i="122" s="1"/>
  <c r="G25" i="122"/>
  <c r="F25" i="122"/>
  <c r="J19" i="122" a="1"/>
  <c r="J19" i="122" s="1"/>
  <c r="J18" i="122"/>
  <c r="J16" i="122" a="1"/>
  <c r="J16" i="122" s="1"/>
  <c r="J14" i="122" a="1"/>
  <c r="J14" i="122" s="1"/>
  <c r="J13" i="122" a="1"/>
  <c r="J13" i="122" s="1"/>
  <c r="H13" i="122" a="1"/>
  <c r="H13" i="122" s="1"/>
  <c r="D13" i="122" a="1"/>
  <c r="D13" i="122" s="1"/>
  <c r="E11" i="122" a="1"/>
  <c r="E11" i="122" s="1"/>
  <c r="E10" i="122" a="1"/>
  <c r="E10" i="122" s="1"/>
  <c r="D6" i="122" a="1"/>
  <c r="D6" i="122" s="1"/>
  <c r="D5" i="122" a="1"/>
  <c r="D5" i="122" s="1"/>
  <c r="I18" i="114"/>
  <c r="G25" i="113"/>
  <c r="F25" i="113"/>
  <c r="G24" i="113"/>
  <c r="F24" i="113"/>
  <c r="I60" i="114"/>
  <c r="I37" i="114"/>
  <c r="I19" i="114"/>
  <c r="J40" i="113"/>
  <c r="J39" i="113"/>
  <c r="J18" i="113"/>
  <c r="J17" i="113"/>
  <c r="J36" i="74"/>
  <c r="J19" i="74"/>
  <c r="J13" i="74"/>
  <c r="R58" i="69"/>
  <c r="O27" i="74"/>
  <c r="E50" i="114"/>
  <c r="N49" i="69"/>
  <c r="E27" i="114"/>
  <c r="E30" i="123" a="1"/>
  <c r="E7" i="123" a="1"/>
  <c r="E30" i="122" a="1"/>
  <c r="E7" i="122" a="1"/>
  <c r="E27" i="74"/>
  <c r="E30" i="69"/>
  <c r="H54" i="135" l="1"/>
  <c r="H52" i="135"/>
  <c r="H50" i="135"/>
  <c r="H48" i="135"/>
  <c r="H51" i="135"/>
  <c r="H49" i="135"/>
  <c r="H53" i="135"/>
  <c r="E7" i="122"/>
  <c r="E30" i="122"/>
  <c r="E30" i="123"/>
  <c r="E7" i="123"/>
  <c r="P48" i="123"/>
  <c r="F48" i="123"/>
  <c r="P48" i="122"/>
  <c r="F48" i="122"/>
  <c r="I39" i="69"/>
  <c r="Q18" i="69"/>
  <c r="Q16" i="69"/>
  <c r="Q15" i="69"/>
  <c r="I21" i="69"/>
  <c r="I16" i="69"/>
  <c r="I13" i="69"/>
  <c r="D5" i="110" a="1"/>
  <c r="D5" i="110" s="1"/>
  <c r="K10" i="110" a="1"/>
  <c r="K10" i="110" s="1"/>
  <c r="J10" i="110" a="1"/>
  <c r="J10" i="110" s="1"/>
  <c r="I10" i="110" a="1"/>
  <c r="I10" i="110" s="1"/>
  <c r="H10" i="110" a="1"/>
  <c r="H10" i="110" s="1"/>
  <c r="G10" i="110" a="1"/>
  <c r="G10" i="110" s="1"/>
  <c r="F10" i="110" a="1"/>
  <c r="F10" i="110" s="1"/>
  <c r="E10" i="110" a="1"/>
  <c r="E10" i="110" s="1"/>
  <c r="D10" i="110" a="1"/>
  <c r="D10" i="110" s="1"/>
  <c r="K9" i="110" a="1"/>
  <c r="K9" i="110" s="1"/>
  <c r="J9" i="110" a="1"/>
  <c r="J9" i="110" s="1"/>
  <c r="I9" i="110" a="1"/>
  <c r="I9" i="110" s="1"/>
  <c r="H9" i="110" a="1"/>
  <c r="H9" i="110" s="1"/>
  <c r="G9" i="110" a="1"/>
  <c r="G9" i="110" s="1"/>
  <c r="F9" i="110" a="1"/>
  <c r="F9" i="110" s="1"/>
  <c r="E9" i="110" a="1"/>
  <c r="E9" i="110" s="1"/>
  <c r="D9" i="110" a="1"/>
  <c r="D9" i="110" s="1"/>
  <c r="K8" i="110" a="1"/>
  <c r="K8" i="110" s="1"/>
  <c r="J8" i="110" a="1"/>
  <c r="J8" i="110" s="1"/>
  <c r="I8" i="110" a="1"/>
  <c r="I8" i="110" s="1"/>
  <c r="H8" i="110" a="1"/>
  <c r="H8" i="110" s="1"/>
  <c r="G8" i="110" a="1"/>
  <c r="G8" i="110" s="1"/>
  <c r="F8" i="110" a="1"/>
  <c r="F8" i="110" s="1"/>
  <c r="E8" i="110" a="1"/>
  <c r="E8" i="110" s="1"/>
  <c r="D8" i="110" a="1"/>
  <c r="D8" i="110" s="1"/>
  <c r="D30" i="70" l="1"/>
  <c r="D25" i="70"/>
  <c r="D26" i="70"/>
  <c r="D24" i="70"/>
  <c r="F22" i="70"/>
  <c r="F17" i="70"/>
  <c r="D17" i="70"/>
  <c r="J37" i="74"/>
  <c r="I40" i="69" l="1"/>
  <c r="R59" i="69"/>
  <c r="D26" i="114" a="1"/>
  <c r="D26" i="114" s="1"/>
  <c r="D49" i="114" a="1"/>
  <c r="D49" i="114" s="1"/>
  <c r="F67" i="110" a="1"/>
  <c r="F67" i="110" s="1"/>
  <c r="E67" i="110" a="1"/>
  <c r="E67" i="110" s="1"/>
  <c r="D67" i="110" a="1"/>
  <c r="D67" i="110" s="1"/>
  <c r="F66" i="110" a="1"/>
  <c r="F66" i="110" s="1"/>
  <c r="E66" i="110" a="1"/>
  <c r="E66" i="110" s="1"/>
  <c r="D66" i="110" a="1"/>
  <c r="D66" i="110" s="1"/>
  <c r="F65" i="110" a="1"/>
  <c r="F65" i="110" s="1"/>
  <c r="E65" i="110" a="1"/>
  <c r="E65" i="110" s="1"/>
  <c r="D65" i="110" a="1"/>
  <c r="D65" i="110" s="1"/>
  <c r="F64" i="110" a="1"/>
  <c r="F64" i="110" s="1"/>
  <c r="E64" i="110" a="1"/>
  <c r="E64" i="110" s="1"/>
  <c r="D64" i="110" a="1"/>
  <c r="D64" i="110" s="1"/>
  <c r="F63" i="110" a="1"/>
  <c r="F63" i="110" s="1"/>
  <c r="E63" i="110" a="1"/>
  <c r="E63" i="110" s="1"/>
  <c r="D63" i="110" a="1"/>
  <c r="D63" i="110" s="1"/>
  <c r="D60" i="110" a="1"/>
  <c r="D60" i="110" s="1"/>
  <c r="D59" i="110" a="1"/>
  <c r="D59" i="110" s="1"/>
  <c r="G56" i="114" a="1"/>
  <c r="G56" i="114" s="1"/>
  <c r="D56" i="114" a="1"/>
  <c r="D56" i="114" s="1"/>
  <c r="G33" i="114" a="1"/>
  <c r="G33" i="114" s="1"/>
  <c r="D33" i="114" a="1"/>
  <c r="D33" i="114" s="1"/>
  <c r="G13" i="114" a="1"/>
  <c r="G13" i="114" s="1"/>
  <c r="D13" i="114" a="1"/>
  <c r="D13" i="114" s="1"/>
  <c r="F67" i="114" a="1"/>
  <c r="F67" i="114" s="1"/>
  <c r="D64" i="114" a="1"/>
  <c r="D64" i="114" s="1"/>
  <c r="E54" i="114" a="1"/>
  <c r="E54" i="114" s="1"/>
  <c r="F62" i="114" s="1"/>
  <c r="E53" i="114" a="1"/>
  <c r="E53" i="114" s="1"/>
  <c r="D48" i="114" a="1"/>
  <c r="D48" i="114" s="1"/>
  <c r="F44" i="114" a="1"/>
  <c r="F44" i="114" s="1"/>
  <c r="D41" i="114" a="1"/>
  <c r="D41" i="114" s="1"/>
  <c r="F39" i="114" a="1"/>
  <c r="F39" i="114" s="1"/>
  <c r="E31" i="114" a="1"/>
  <c r="E31" i="114" s="1"/>
  <c r="E30" i="114" a="1"/>
  <c r="E30" i="114" s="1"/>
  <c r="D25" i="114" a="1"/>
  <c r="D25" i="114" s="1"/>
  <c r="F21" i="114" a="1"/>
  <c r="F21" i="114" s="1"/>
  <c r="E11" i="114" a="1"/>
  <c r="E11" i="114" s="1"/>
  <c r="E10" i="114" a="1"/>
  <c r="E10" i="114" s="1"/>
  <c r="D6" i="114" a="1"/>
  <c r="D6" i="114" s="1"/>
  <c r="D5" i="114" a="1"/>
  <c r="D5" i="114" s="1"/>
  <c r="P53" i="113" a="1"/>
  <c r="P53" i="113" s="1"/>
  <c r="N50" i="113" a="1"/>
  <c r="N50" i="113" s="1"/>
  <c r="J36" i="113" a="1"/>
  <c r="J36" i="113" s="1"/>
  <c r="J19" i="113" a="1"/>
  <c r="J19" i="113" s="1"/>
  <c r="J16" i="113" a="1"/>
  <c r="J16" i="113" s="1"/>
  <c r="J14" i="113" a="1"/>
  <c r="J14" i="113" s="1"/>
  <c r="J13" i="113" a="1"/>
  <c r="J13" i="113" s="1"/>
  <c r="F235" i="110" a="1"/>
  <c r="F235" i="110" s="1"/>
  <c r="E235" i="110" a="1"/>
  <c r="E235" i="110" s="1"/>
  <c r="D235" i="110" a="1"/>
  <c r="D235" i="110" s="1"/>
  <c r="F234" i="110" a="1"/>
  <c r="F234" i="110" s="1"/>
  <c r="E234" i="110" a="1"/>
  <c r="E234" i="110" s="1"/>
  <c r="D234" i="110" a="1"/>
  <c r="D234" i="110" s="1"/>
  <c r="F233" i="110" a="1"/>
  <c r="F233" i="110" s="1"/>
  <c r="E233" i="110" a="1"/>
  <c r="E233" i="110" s="1"/>
  <c r="D233" i="110" a="1"/>
  <c r="D233" i="110" s="1"/>
  <c r="F232" i="110" a="1"/>
  <c r="F232" i="110" s="1"/>
  <c r="E232" i="110" a="1"/>
  <c r="E232" i="110" s="1"/>
  <c r="D232" i="110" a="1"/>
  <c r="D232" i="110" s="1"/>
  <c r="F231" i="110" a="1"/>
  <c r="F231" i="110" s="1"/>
  <c r="E231" i="110" a="1"/>
  <c r="E231" i="110" s="1"/>
  <c r="D231" i="110" a="1"/>
  <c r="D231" i="110" s="1"/>
  <c r="F230" i="110" a="1"/>
  <c r="F230" i="110" s="1"/>
  <c r="E230" i="110" a="1"/>
  <c r="E230" i="110" s="1"/>
  <c r="D230" i="110" a="1"/>
  <c r="D230" i="110" s="1"/>
  <c r="F229" i="110" a="1"/>
  <c r="F229" i="110" s="1"/>
  <c r="E229" i="110" a="1"/>
  <c r="E229" i="110" s="1"/>
  <c r="D229" i="110" a="1"/>
  <c r="D229" i="110" s="1"/>
  <c r="F228" i="110" a="1"/>
  <c r="F228" i="110" s="1"/>
  <c r="E228" i="110" a="1"/>
  <c r="E228" i="110" s="1"/>
  <c r="D228" i="110" a="1"/>
  <c r="D228" i="110" s="1"/>
  <c r="F227" i="110" a="1"/>
  <c r="F227" i="110" s="1"/>
  <c r="E227" i="110" a="1"/>
  <c r="E227" i="110" s="1"/>
  <c r="D227" i="110" a="1"/>
  <c r="D227" i="110" s="1"/>
  <c r="F226" i="110" a="1"/>
  <c r="F226" i="110" s="1"/>
  <c r="E226" i="110" a="1"/>
  <c r="E226" i="110" s="1"/>
  <c r="D226" i="110" a="1"/>
  <c r="D226" i="110" s="1"/>
  <c r="F225" i="110" a="1"/>
  <c r="F225" i="110" s="1"/>
  <c r="E225" i="110" a="1"/>
  <c r="E225" i="110" s="1"/>
  <c r="D225" i="110" a="1"/>
  <c r="D225" i="110" s="1"/>
  <c r="F224" i="110" a="1"/>
  <c r="F224" i="110" s="1"/>
  <c r="E224" i="110" a="1"/>
  <c r="E224" i="110" s="1"/>
  <c r="D224" i="110" a="1"/>
  <c r="D224" i="110" s="1"/>
  <c r="F223" i="110" a="1"/>
  <c r="F223" i="110" s="1"/>
  <c r="E223" i="110" a="1"/>
  <c r="E223" i="110" s="1"/>
  <c r="D223" i="110" a="1"/>
  <c r="D223" i="110" s="1"/>
  <c r="F222" i="110" a="1"/>
  <c r="F222" i="110" s="1"/>
  <c r="E222" i="110" a="1"/>
  <c r="E222" i="110" s="1"/>
  <c r="D222" i="110" a="1"/>
  <c r="D222" i="110" s="1"/>
  <c r="F221" i="110" a="1"/>
  <c r="F221" i="110" s="1"/>
  <c r="E221" i="110" a="1"/>
  <c r="E221" i="110" s="1"/>
  <c r="D221" i="110" a="1"/>
  <c r="D221" i="110" s="1"/>
  <c r="F220" i="110" a="1"/>
  <c r="F220" i="110" s="1"/>
  <c r="E220" i="110" a="1"/>
  <c r="E220" i="110" s="1"/>
  <c r="D220" i="110" a="1"/>
  <c r="D220" i="110" s="1"/>
  <c r="F219" i="110" a="1"/>
  <c r="F219" i="110" s="1"/>
  <c r="E219" i="110" a="1"/>
  <c r="E219" i="110" s="1"/>
  <c r="D219" i="110" a="1"/>
  <c r="D219" i="110" s="1"/>
  <c r="F218" i="110" a="1"/>
  <c r="F218" i="110" s="1"/>
  <c r="E218" i="110" a="1"/>
  <c r="E218" i="110" s="1"/>
  <c r="D218" i="110" a="1"/>
  <c r="D218" i="110" s="1"/>
  <c r="F217" i="110" a="1"/>
  <c r="F217" i="110" s="1"/>
  <c r="E217" i="110" a="1"/>
  <c r="E217" i="110" s="1"/>
  <c r="D217" i="110" a="1"/>
  <c r="D217" i="110" s="1"/>
  <c r="F216" i="110" a="1"/>
  <c r="F216" i="110" s="1"/>
  <c r="E216" i="110" a="1"/>
  <c r="E216" i="110" s="1"/>
  <c r="D216" i="110" a="1"/>
  <c r="D216" i="110" s="1"/>
  <c r="F215" i="110" a="1"/>
  <c r="F215" i="110" s="1"/>
  <c r="E215" i="110" a="1"/>
  <c r="E215" i="110" s="1"/>
  <c r="D215" i="110" a="1"/>
  <c r="D215" i="110" s="1"/>
  <c r="F214" i="110" a="1"/>
  <c r="F214" i="110" s="1"/>
  <c r="E214" i="110" a="1"/>
  <c r="E214" i="110" s="1"/>
  <c r="D214" i="110" a="1"/>
  <c r="D214" i="110" s="1"/>
  <c r="F213" i="110" a="1"/>
  <c r="F213" i="110" s="1"/>
  <c r="E213" i="110" a="1"/>
  <c r="E213" i="110" s="1"/>
  <c r="D213" i="110" a="1"/>
  <c r="D213" i="110" s="1"/>
  <c r="F212" i="110" a="1"/>
  <c r="F212" i="110" s="1"/>
  <c r="E212" i="110" a="1"/>
  <c r="E212" i="110" s="1"/>
  <c r="D212" i="110" a="1"/>
  <c r="D212" i="110" s="1"/>
  <c r="F211" i="110" a="1"/>
  <c r="F211" i="110" s="1"/>
  <c r="E211" i="110" a="1"/>
  <c r="E211" i="110" s="1"/>
  <c r="D211" i="110" a="1"/>
  <c r="D211" i="110" s="1"/>
  <c r="F210" i="110" a="1"/>
  <c r="F210" i="110" s="1"/>
  <c r="E210" i="110" a="1"/>
  <c r="E210" i="110" s="1"/>
  <c r="D210" i="110" a="1"/>
  <c r="D210" i="110" s="1"/>
  <c r="F209" i="110" a="1"/>
  <c r="F209" i="110" s="1"/>
  <c r="E209" i="110" a="1"/>
  <c r="E209" i="110" s="1"/>
  <c r="D209" i="110" a="1"/>
  <c r="D209" i="110" s="1"/>
  <c r="F208" i="110" a="1"/>
  <c r="F208" i="110" s="1"/>
  <c r="E208" i="110" a="1"/>
  <c r="E208" i="110" s="1"/>
  <c r="D208" i="110" a="1"/>
  <c r="D208" i="110" s="1"/>
  <c r="F207" i="110" a="1"/>
  <c r="F207" i="110" s="1"/>
  <c r="E207" i="110" a="1"/>
  <c r="E207" i="110" s="1"/>
  <c r="D207" i="110" a="1"/>
  <c r="D207" i="110" s="1"/>
  <c r="F206" i="110" a="1"/>
  <c r="F206" i="110" s="1"/>
  <c r="E206" i="110" a="1"/>
  <c r="E206" i="110" s="1"/>
  <c r="D206" i="110" a="1"/>
  <c r="D206" i="110" s="1"/>
  <c r="F205" i="110" a="1"/>
  <c r="F205" i="110" s="1"/>
  <c r="E205" i="110" a="1"/>
  <c r="E205" i="110" s="1"/>
  <c r="D205" i="110" a="1"/>
  <c r="D205" i="110" s="1"/>
  <c r="F204" i="110" a="1"/>
  <c r="F204" i="110" s="1"/>
  <c r="E204" i="110" a="1"/>
  <c r="E204" i="110" s="1"/>
  <c r="D204" i="110" a="1"/>
  <c r="D204" i="110" s="1"/>
  <c r="F203" i="110" a="1"/>
  <c r="F203" i="110" s="1"/>
  <c r="E203" i="110" a="1"/>
  <c r="E203" i="110" s="1"/>
  <c r="D203" i="110" a="1"/>
  <c r="D203" i="110" s="1"/>
  <c r="F202" i="110" a="1"/>
  <c r="F202" i="110" s="1"/>
  <c r="E202" i="110" a="1"/>
  <c r="E202" i="110" s="1"/>
  <c r="D202" i="110" a="1"/>
  <c r="D202" i="110" s="1"/>
  <c r="F201" i="110" a="1"/>
  <c r="F201" i="110" s="1"/>
  <c r="E201" i="110" a="1"/>
  <c r="E201" i="110" s="1"/>
  <c r="D201" i="110" a="1"/>
  <c r="D201" i="110" s="1"/>
  <c r="F200" i="110" a="1"/>
  <c r="F200" i="110" s="1"/>
  <c r="E200" i="110" a="1"/>
  <c r="E200" i="110" s="1"/>
  <c r="D200" i="110" a="1"/>
  <c r="D200" i="110" s="1"/>
  <c r="F199" i="110" a="1"/>
  <c r="F199" i="110" s="1"/>
  <c r="E199" i="110" a="1"/>
  <c r="E199" i="110" s="1"/>
  <c r="D199" i="110" a="1"/>
  <c r="D199" i="110" s="1"/>
  <c r="F198" i="110" a="1"/>
  <c r="F198" i="110" s="1"/>
  <c r="E198" i="110" a="1"/>
  <c r="E198" i="110" s="1"/>
  <c r="D198" i="110" a="1"/>
  <c r="D198" i="110" s="1"/>
  <c r="F197" i="110" a="1"/>
  <c r="F197" i="110" s="1"/>
  <c r="E197" i="110" a="1"/>
  <c r="E197" i="110" s="1"/>
  <c r="D197" i="110" a="1"/>
  <c r="D197" i="110" s="1"/>
  <c r="F196" i="110" a="1"/>
  <c r="F196" i="110" s="1"/>
  <c r="E196" i="110" a="1"/>
  <c r="E196" i="110" s="1"/>
  <c r="D196" i="110" a="1"/>
  <c r="D196" i="110" s="1"/>
  <c r="F195" i="110" a="1"/>
  <c r="F195" i="110" s="1"/>
  <c r="E195" i="110" a="1"/>
  <c r="E195" i="110" s="1"/>
  <c r="D195" i="110" a="1"/>
  <c r="D195" i="110" s="1"/>
  <c r="F194" i="110" a="1"/>
  <c r="F194" i="110" s="1"/>
  <c r="E194" i="110" a="1"/>
  <c r="E194" i="110" s="1"/>
  <c r="D194" i="110" a="1"/>
  <c r="D194" i="110" s="1"/>
  <c r="F193" i="110" a="1"/>
  <c r="F193" i="110" s="1"/>
  <c r="E193" i="110" a="1"/>
  <c r="E193" i="110" s="1"/>
  <c r="D193" i="110" a="1"/>
  <c r="D193" i="110" s="1"/>
  <c r="F192" i="110" a="1"/>
  <c r="F192" i="110" s="1"/>
  <c r="E192" i="110" a="1"/>
  <c r="E192" i="110" s="1"/>
  <c r="D192" i="110" a="1"/>
  <c r="D192" i="110" s="1"/>
  <c r="F191" i="110" a="1"/>
  <c r="F191" i="110" s="1"/>
  <c r="E191" i="110" a="1"/>
  <c r="E191" i="110" s="1"/>
  <c r="D191" i="110" a="1"/>
  <c r="D191" i="110" s="1"/>
  <c r="F190" i="110" a="1"/>
  <c r="F190" i="110" s="1"/>
  <c r="E190" i="110" a="1"/>
  <c r="E190" i="110" s="1"/>
  <c r="D190" i="110" a="1"/>
  <c r="D190" i="110" s="1"/>
  <c r="F189" i="110" a="1"/>
  <c r="F189" i="110" s="1"/>
  <c r="E189" i="110" a="1"/>
  <c r="E189" i="110" s="1"/>
  <c r="D189" i="110" a="1"/>
  <c r="D189" i="110" s="1"/>
  <c r="F188" i="110" a="1"/>
  <c r="F188" i="110" s="1"/>
  <c r="E188" i="110" a="1"/>
  <c r="E188" i="110" s="1"/>
  <c r="D188" i="110" a="1"/>
  <c r="D188" i="110" s="1"/>
  <c r="F187" i="110" a="1"/>
  <c r="F187" i="110" s="1"/>
  <c r="E187" i="110" a="1"/>
  <c r="E187" i="110" s="1"/>
  <c r="D187" i="110" a="1"/>
  <c r="D187" i="110" s="1"/>
  <c r="F186" i="110" a="1"/>
  <c r="F186" i="110" s="1"/>
  <c r="E186" i="110" a="1"/>
  <c r="E186" i="110" s="1"/>
  <c r="D186" i="110" a="1"/>
  <c r="D186" i="110" s="1"/>
  <c r="F185" i="110" a="1"/>
  <c r="F185" i="110" s="1"/>
  <c r="E185" i="110" a="1"/>
  <c r="E185" i="110" s="1"/>
  <c r="D185" i="110" a="1"/>
  <c r="D185" i="110" s="1"/>
  <c r="F184" i="110" a="1"/>
  <c r="F184" i="110" s="1"/>
  <c r="E184" i="110" a="1"/>
  <c r="E184" i="110" s="1"/>
  <c r="D184" i="110" a="1"/>
  <c r="D184" i="110" s="1"/>
  <c r="F183" i="110" a="1"/>
  <c r="F183" i="110" s="1"/>
  <c r="E183" i="110" a="1"/>
  <c r="E183" i="110" s="1"/>
  <c r="D183" i="110" a="1"/>
  <c r="D183" i="110" s="1"/>
  <c r="F182" i="110" a="1"/>
  <c r="F182" i="110" s="1"/>
  <c r="E182" i="110" a="1"/>
  <c r="E182" i="110" s="1"/>
  <c r="D182" i="110" a="1"/>
  <c r="D182" i="110" s="1"/>
  <c r="F181" i="110" a="1"/>
  <c r="F181" i="110" s="1"/>
  <c r="E181" i="110" a="1"/>
  <c r="E181" i="110" s="1"/>
  <c r="D181" i="110" a="1"/>
  <c r="D181" i="110" s="1"/>
  <c r="F180" i="110" a="1"/>
  <c r="F180" i="110" s="1"/>
  <c r="E180" i="110" a="1"/>
  <c r="E180" i="110" s="1"/>
  <c r="D180" i="110" a="1"/>
  <c r="D180" i="110" s="1"/>
  <c r="F179" i="110" a="1"/>
  <c r="F179" i="110" s="1"/>
  <c r="E179" i="110" a="1"/>
  <c r="E179" i="110" s="1"/>
  <c r="D179" i="110" a="1"/>
  <c r="D179" i="110" s="1"/>
  <c r="F178" i="110" a="1"/>
  <c r="F178" i="110" s="1"/>
  <c r="E178" i="110" a="1"/>
  <c r="E178" i="110" s="1"/>
  <c r="D178" i="110" a="1"/>
  <c r="D178" i="110" s="1"/>
  <c r="F177" i="110" a="1"/>
  <c r="F177" i="110" s="1"/>
  <c r="E177" i="110" a="1"/>
  <c r="E177" i="110" s="1"/>
  <c r="D177" i="110" a="1"/>
  <c r="D177" i="110" s="1"/>
  <c r="F176" i="110" a="1"/>
  <c r="F176" i="110" s="1"/>
  <c r="E176" i="110" a="1"/>
  <c r="E176" i="110" s="1"/>
  <c r="D176" i="110" a="1"/>
  <c r="D176" i="110" s="1"/>
  <c r="F175" i="110" a="1"/>
  <c r="F175" i="110" s="1"/>
  <c r="E175" i="110" a="1"/>
  <c r="E175" i="110" s="1"/>
  <c r="D175" i="110" a="1"/>
  <c r="D175" i="110" s="1"/>
  <c r="F174" i="110" a="1"/>
  <c r="F174" i="110" s="1"/>
  <c r="E174" i="110" a="1"/>
  <c r="E174" i="110" s="1"/>
  <c r="D174" i="110" a="1"/>
  <c r="D174" i="110" s="1"/>
  <c r="F173" i="110" a="1"/>
  <c r="F173" i="110" s="1"/>
  <c r="E173" i="110" a="1"/>
  <c r="E173" i="110" s="1"/>
  <c r="D173" i="110" a="1"/>
  <c r="D173" i="110" s="1"/>
  <c r="F172" i="110" a="1"/>
  <c r="F172" i="110" s="1"/>
  <c r="E172" i="110" a="1"/>
  <c r="E172" i="110" s="1"/>
  <c r="D172" i="110" a="1"/>
  <c r="D172" i="110" s="1"/>
  <c r="F171" i="110" a="1"/>
  <c r="F171" i="110" s="1"/>
  <c r="E171" i="110" a="1"/>
  <c r="E171" i="110" s="1"/>
  <c r="D171" i="110" a="1"/>
  <c r="D171" i="110" s="1"/>
  <c r="F170" i="110" a="1"/>
  <c r="F170" i="110" s="1"/>
  <c r="E170" i="110" a="1"/>
  <c r="E170" i="110" s="1"/>
  <c r="D170" i="110" a="1"/>
  <c r="D170" i="110" s="1"/>
  <c r="F169" i="110" a="1"/>
  <c r="F169" i="110" s="1"/>
  <c r="E169" i="110" a="1"/>
  <c r="E169" i="110" s="1"/>
  <c r="D169" i="110" a="1"/>
  <c r="D169" i="110" s="1"/>
  <c r="F168" i="110" a="1"/>
  <c r="F168" i="110" s="1"/>
  <c r="E168" i="110" a="1"/>
  <c r="E168" i="110" s="1"/>
  <c r="D168" i="110" a="1"/>
  <c r="D168" i="110" s="1"/>
  <c r="F167" i="110" a="1"/>
  <c r="F167" i="110" s="1"/>
  <c r="E167" i="110" a="1"/>
  <c r="E167" i="110" s="1"/>
  <c r="D167" i="110" a="1"/>
  <c r="D167" i="110" s="1"/>
  <c r="F166" i="110" a="1"/>
  <c r="F166" i="110" s="1"/>
  <c r="E166" i="110" a="1"/>
  <c r="E166" i="110" s="1"/>
  <c r="D166" i="110" a="1"/>
  <c r="D166" i="110" s="1"/>
  <c r="F165" i="110" a="1"/>
  <c r="F165" i="110" s="1"/>
  <c r="E165" i="110" a="1"/>
  <c r="E165" i="110" s="1"/>
  <c r="D165" i="110" a="1"/>
  <c r="D165" i="110" s="1"/>
  <c r="F164" i="110" a="1"/>
  <c r="F164" i="110" s="1"/>
  <c r="E164" i="110" a="1"/>
  <c r="E164" i="110" s="1"/>
  <c r="D164" i="110" a="1"/>
  <c r="D164" i="110" s="1"/>
  <c r="F163" i="110" a="1"/>
  <c r="F163" i="110" s="1"/>
  <c r="E163" i="110" a="1"/>
  <c r="E163" i="110" s="1"/>
  <c r="D163" i="110" a="1"/>
  <c r="D163" i="110" s="1"/>
  <c r="F162" i="110" a="1"/>
  <c r="F162" i="110" s="1"/>
  <c r="E162" i="110" a="1"/>
  <c r="E162" i="110" s="1"/>
  <c r="D162" i="110" a="1"/>
  <c r="D162" i="110" s="1"/>
  <c r="F161" i="110" a="1"/>
  <c r="F161" i="110" s="1"/>
  <c r="E161" i="110" a="1"/>
  <c r="E161" i="110" s="1"/>
  <c r="D161" i="110" a="1"/>
  <c r="D161" i="110" s="1"/>
  <c r="F160" i="110" a="1"/>
  <c r="F160" i="110" s="1"/>
  <c r="E160" i="110" a="1"/>
  <c r="E160" i="110" s="1"/>
  <c r="D160" i="110" a="1"/>
  <c r="D160" i="110" s="1"/>
  <c r="F159" i="110" a="1"/>
  <c r="F159" i="110" s="1"/>
  <c r="E159" i="110" a="1"/>
  <c r="E159" i="110" s="1"/>
  <c r="D159" i="110" a="1"/>
  <c r="D159" i="110" s="1"/>
  <c r="F158" i="110" a="1"/>
  <c r="F158" i="110" s="1"/>
  <c r="E158" i="110" a="1"/>
  <c r="E158" i="110" s="1"/>
  <c r="D158" i="110" a="1"/>
  <c r="D158" i="110" s="1"/>
  <c r="F157" i="110" a="1"/>
  <c r="F157" i="110" s="1"/>
  <c r="E157" i="110" a="1"/>
  <c r="E157" i="110" s="1"/>
  <c r="D157" i="110" a="1"/>
  <c r="D157" i="110" s="1"/>
  <c r="F156" i="110" a="1"/>
  <c r="F156" i="110" s="1"/>
  <c r="E156" i="110" a="1"/>
  <c r="E156" i="110" s="1"/>
  <c r="D156" i="110" a="1"/>
  <c r="D156" i="110" s="1"/>
  <c r="F155" i="110" a="1"/>
  <c r="F155" i="110" s="1"/>
  <c r="E155" i="110" a="1"/>
  <c r="E155" i="110" s="1"/>
  <c r="D155" i="110" a="1"/>
  <c r="D155" i="110" s="1"/>
  <c r="F154" i="110" a="1"/>
  <c r="F154" i="110" s="1"/>
  <c r="E154" i="110" a="1"/>
  <c r="E154" i="110" s="1"/>
  <c r="D154" i="110" a="1"/>
  <c r="D154" i="110" s="1"/>
  <c r="F153" i="110" a="1"/>
  <c r="F153" i="110" s="1"/>
  <c r="E153" i="110" a="1"/>
  <c r="E153" i="110" s="1"/>
  <c r="D153" i="110" a="1"/>
  <c r="D153" i="110" s="1"/>
  <c r="F152" i="110" a="1"/>
  <c r="F152" i="110" s="1"/>
  <c r="E152" i="110" a="1"/>
  <c r="E152" i="110" s="1"/>
  <c r="D152" i="110" a="1"/>
  <c r="D152" i="110" s="1"/>
  <c r="F151" i="110" a="1"/>
  <c r="F151" i="110" s="1"/>
  <c r="E151" i="110" a="1"/>
  <c r="E151" i="110" s="1"/>
  <c r="D151" i="110" a="1"/>
  <c r="D151" i="110" s="1"/>
  <c r="F150" i="110" a="1"/>
  <c r="F150" i="110" s="1"/>
  <c r="E150" i="110" a="1"/>
  <c r="E150" i="110" s="1"/>
  <c r="D150" i="110" a="1"/>
  <c r="D150" i="110" s="1"/>
  <c r="F149" i="110" a="1"/>
  <c r="F149" i="110" s="1"/>
  <c r="E149" i="110" a="1"/>
  <c r="E149" i="110" s="1"/>
  <c r="D149" i="110" a="1"/>
  <c r="D149" i="110" s="1"/>
  <c r="F148" i="110" a="1"/>
  <c r="F148" i="110" s="1"/>
  <c r="E148" i="110" a="1"/>
  <c r="E148" i="110" s="1"/>
  <c r="D148" i="110" a="1"/>
  <c r="D148" i="110" s="1"/>
  <c r="F147" i="110" a="1"/>
  <c r="F147" i="110" s="1"/>
  <c r="E147" i="110" a="1"/>
  <c r="E147" i="110" s="1"/>
  <c r="D147" i="110" a="1"/>
  <c r="D147" i="110" s="1"/>
  <c r="F146" i="110" a="1"/>
  <c r="F146" i="110" s="1"/>
  <c r="E146" i="110" a="1"/>
  <c r="E146" i="110" s="1"/>
  <c r="D146" i="110" a="1"/>
  <c r="D146" i="110" s="1"/>
  <c r="F145" i="110" a="1"/>
  <c r="F145" i="110" s="1"/>
  <c r="E145" i="110" a="1"/>
  <c r="E145" i="110" s="1"/>
  <c r="D145" i="110" a="1"/>
  <c r="D145" i="110" s="1"/>
  <c r="F144" i="110" a="1"/>
  <c r="F144" i="110" s="1"/>
  <c r="E144" i="110" a="1"/>
  <c r="E144" i="110" s="1"/>
  <c r="D144" i="110" a="1"/>
  <c r="D144" i="110" s="1"/>
  <c r="F143" i="110" a="1"/>
  <c r="F143" i="110" s="1"/>
  <c r="E143" i="110" a="1"/>
  <c r="E143" i="110" s="1"/>
  <c r="D143" i="110" a="1"/>
  <c r="D143" i="110" s="1"/>
  <c r="F142" i="110" a="1"/>
  <c r="F142" i="110" s="1"/>
  <c r="E142" i="110" a="1"/>
  <c r="E142" i="110" s="1"/>
  <c r="D142" i="110" a="1"/>
  <c r="D142" i="110" s="1"/>
  <c r="F141" i="110" a="1"/>
  <c r="F141" i="110" s="1"/>
  <c r="E141" i="110" a="1"/>
  <c r="E141" i="110" s="1"/>
  <c r="D141" i="110" a="1"/>
  <c r="D141" i="110" s="1"/>
  <c r="F140" i="110" a="1"/>
  <c r="F140" i="110" s="1"/>
  <c r="E140" i="110" a="1"/>
  <c r="E140" i="110" s="1"/>
  <c r="D140" i="110" a="1"/>
  <c r="D140" i="110" s="1"/>
  <c r="F139" i="110" a="1"/>
  <c r="F139" i="110" s="1"/>
  <c r="E139" i="110" a="1"/>
  <c r="E139" i="110" s="1"/>
  <c r="D139" i="110" a="1"/>
  <c r="D139" i="110" s="1"/>
  <c r="F138" i="110" a="1"/>
  <c r="F138" i="110" s="1"/>
  <c r="E138" i="110" a="1"/>
  <c r="E138" i="110" s="1"/>
  <c r="D138" i="110" a="1"/>
  <c r="D138" i="110" s="1"/>
  <c r="F137" i="110" a="1"/>
  <c r="F137" i="110" s="1"/>
  <c r="E137" i="110" a="1"/>
  <c r="E137" i="110" s="1"/>
  <c r="D137" i="110" a="1"/>
  <c r="D137" i="110" s="1"/>
  <c r="F136" i="110" a="1"/>
  <c r="F136" i="110" s="1"/>
  <c r="E136" i="110" a="1"/>
  <c r="E136" i="110" s="1"/>
  <c r="D136" i="110" a="1"/>
  <c r="D136" i="110" s="1"/>
  <c r="F135" i="110" a="1"/>
  <c r="F135" i="110" s="1"/>
  <c r="E135" i="110" a="1"/>
  <c r="E135" i="110" s="1"/>
  <c r="D135" i="110" a="1"/>
  <c r="D135" i="110" s="1"/>
  <c r="F134" i="110" a="1"/>
  <c r="F134" i="110" s="1"/>
  <c r="E134" i="110" a="1"/>
  <c r="E134" i="110" s="1"/>
  <c r="D134" i="110" a="1"/>
  <c r="D134" i="110" s="1"/>
  <c r="F133" i="110" a="1"/>
  <c r="F133" i="110" s="1"/>
  <c r="E133" i="110" a="1"/>
  <c r="E133" i="110" s="1"/>
  <c r="D133" i="110" a="1"/>
  <c r="D133" i="110" s="1"/>
  <c r="F132" i="110" a="1"/>
  <c r="F132" i="110" s="1"/>
  <c r="E132" i="110" a="1"/>
  <c r="E132" i="110" s="1"/>
  <c r="D132" i="110" a="1"/>
  <c r="D132" i="110" s="1"/>
  <c r="F131" i="110" a="1"/>
  <c r="F131" i="110" s="1"/>
  <c r="E131" i="110" a="1"/>
  <c r="E131" i="110" s="1"/>
  <c r="D131" i="110" a="1"/>
  <c r="D131" i="110" s="1"/>
  <c r="F130" i="110" a="1"/>
  <c r="F130" i="110" s="1"/>
  <c r="E130" i="110" a="1"/>
  <c r="E130" i="110" s="1"/>
  <c r="D130" i="110" a="1"/>
  <c r="D130" i="110" s="1"/>
  <c r="F129" i="110" a="1"/>
  <c r="F129" i="110" s="1"/>
  <c r="E129" i="110" a="1"/>
  <c r="E129" i="110" s="1"/>
  <c r="D129" i="110" a="1"/>
  <c r="D129" i="110" s="1"/>
  <c r="F128" i="110" a="1"/>
  <c r="F128" i="110" s="1"/>
  <c r="E128" i="110" a="1"/>
  <c r="E128" i="110" s="1"/>
  <c r="D128" i="110" a="1"/>
  <c r="D128" i="110" s="1"/>
  <c r="F127" i="110" a="1"/>
  <c r="F127" i="110" s="1"/>
  <c r="E127" i="110" a="1"/>
  <c r="E127" i="110" s="1"/>
  <c r="D127" i="110" a="1"/>
  <c r="D127" i="110" s="1"/>
  <c r="F126" i="110" a="1"/>
  <c r="F126" i="110" s="1"/>
  <c r="E126" i="110" a="1"/>
  <c r="E126" i="110" s="1"/>
  <c r="D126" i="110" a="1"/>
  <c r="D126" i="110" s="1"/>
  <c r="F125" i="110" a="1"/>
  <c r="F125" i="110" s="1"/>
  <c r="E125" i="110" a="1"/>
  <c r="E125" i="110" s="1"/>
  <c r="D125" i="110" a="1"/>
  <c r="D125" i="110" s="1"/>
  <c r="F124" i="110" a="1"/>
  <c r="F124" i="110" s="1"/>
  <c r="E124" i="110" a="1"/>
  <c r="E124" i="110" s="1"/>
  <c r="D124" i="110" a="1"/>
  <c r="D124" i="110" s="1"/>
  <c r="F123" i="110" a="1"/>
  <c r="F123" i="110" s="1"/>
  <c r="E123" i="110" a="1"/>
  <c r="E123" i="110" s="1"/>
  <c r="D123" i="110" a="1"/>
  <c r="D123" i="110" s="1"/>
  <c r="F122" i="110" a="1"/>
  <c r="F122" i="110" s="1"/>
  <c r="E122" i="110" a="1"/>
  <c r="E122" i="110" s="1"/>
  <c r="D122" i="110" a="1"/>
  <c r="D122" i="110" s="1"/>
  <c r="F121" i="110" a="1"/>
  <c r="F121" i="110" s="1"/>
  <c r="E121" i="110" a="1"/>
  <c r="E121" i="110" s="1"/>
  <c r="D121" i="110" a="1"/>
  <c r="D121"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F113" i="110" a="1"/>
  <c r="F113" i="110" s="1"/>
  <c r="E113" i="110" a="1"/>
  <c r="E113" i="110" s="1"/>
  <c r="D113" i="110" a="1"/>
  <c r="D113" i="110" s="1"/>
  <c r="F112" i="110" a="1"/>
  <c r="F112" i="110" s="1"/>
  <c r="E112" i="110" a="1"/>
  <c r="E112" i="110" s="1"/>
  <c r="D112" i="110" a="1"/>
  <c r="D112" i="110" s="1"/>
  <c r="F111" i="110" a="1"/>
  <c r="F111" i="110" s="1"/>
  <c r="E111" i="110" a="1"/>
  <c r="E111" i="110" s="1"/>
  <c r="D111" i="110" a="1"/>
  <c r="D111" i="110" s="1"/>
  <c r="F110" i="110" a="1"/>
  <c r="F110" i="110" s="1"/>
  <c r="E110" i="110" a="1"/>
  <c r="E110" i="110" s="1"/>
  <c r="D110" i="110" a="1"/>
  <c r="D110" i="110" s="1"/>
  <c r="F109" i="110" a="1"/>
  <c r="F109" i="110" s="1"/>
  <c r="E109" i="110" a="1"/>
  <c r="E109" i="110" s="1"/>
  <c r="D109" i="110" a="1"/>
  <c r="D109" i="110" s="1"/>
  <c r="F108" i="110" a="1"/>
  <c r="F108" i="110" s="1"/>
  <c r="E108" i="110" a="1"/>
  <c r="E108" i="110" s="1"/>
  <c r="D108" i="110" a="1"/>
  <c r="D108" i="110" s="1"/>
  <c r="F107" i="110" a="1"/>
  <c r="F107" i="110" s="1"/>
  <c r="E107" i="110" a="1"/>
  <c r="E107" i="110" s="1"/>
  <c r="D107" i="110" a="1"/>
  <c r="D107" i="110" s="1"/>
  <c r="F106" i="110" a="1"/>
  <c r="F106" i="110" s="1"/>
  <c r="E106" i="110" a="1"/>
  <c r="E106" i="110" s="1"/>
  <c r="D106" i="110" a="1"/>
  <c r="D106" i="110" s="1"/>
  <c r="F105" i="110" a="1"/>
  <c r="F105" i="110" s="1"/>
  <c r="E105" i="110" a="1"/>
  <c r="E105" i="110" s="1"/>
  <c r="D105" i="110" a="1"/>
  <c r="D105" i="110" s="1"/>
  <c r="F104" i="110" a="1"/>
  <c r="F104" i="110" s="1"/>
  <c r="E104" i="110" a="1"/>
  <c r="E104" i="110" s="1"/>
  <c r="D104" i="110" a="1"/>
  <c r="D104" i="110" s="1"/>
  <c r="F103" i="110" a="1"/>
  <c r="F103" i="110" s="1"/>
  <c r="E103" i="110" a="1"/>
  <c r="E103" i="110" s="1"/>
  <c r="D103" i="110" a="1"/>
  <c r="D103" i="110" s="1"/>
  <c r="F102" i="110" a="1"/>
  <c r="F102" i="110" s="1"/>
  <c r="E102" i="110" a="1"/>
  <c r="E102" i="110" s="1"/>
  <c r="D102" i="110" a="1"/>
  <c r="D102" i="110" s="1"/>
  <c r="F101" i="110" a="1"/>
  <c r="F101" i="110" s="1"/>
  <c r="E101" i="110" a="1"/>
  <c r="E101" i="110" s="1"/>
  <c r="D101" i="110" a="1"/>
  <c r="D101" i="110" s="1"/>
  <c r="F100" i="110" a="1"/>
  <c r="F100" i="110" s="1"/>
  <c r="E100" i="110" a="1"/>
  <c r="E100" i="110" s="1"/>
  <c r="D100" i="110" a="1"/>
  <c r="D100" i="110" s="1"/>
  <c r="F99" i="110" a="1"/>
  <c r="F99" i="110" s="1"/>
  <c r="E99" i="110" a="1"/>
  <c r="E99" i="110" s="1"/>
  <c r="D99" i="110" a="1"/>
  <c r="D99" i="110" s="1"/>
  <c r="F98" i="110" a="1"/>
  <c r="F98" i="110" s="1"/>
  <c r="E98" i="110" a="1"/>
  <c r="E98" i="110" s="1"/>
  <c r="D98" i="110" a="1"/>
  <c r="D98" i="110" s="1"/>
  <c r="F97" i="110" a="1"/>
  <c r="F97" i="110" s="1"/>
  <c r="E97" i="110" a="1"/>
  <c r="E97" i="110" s="1"/>
  <c r="D97" i="110" a="1"/>
  <c r="D97" i="110" s="1"/>
  <c r="F96" i="110" a="1"/>
  <c r="F96" i="110" s="1"/>
  <c r="E96" i="110" a="1"/>
  <c r="E96" i="110" s="1"/>
  <c r="D96" i="110" a="1"/>
  <c r="D96" i="110" s="1"/>
  <c r="F95" i="110" a="1"/>
  <c r="F95" i="110" s="1"/>
  <c r="E95" i="110" a="1"/>
  <c r="E95" i="110" s="1"/>
  <c r="D95" i="110" a="1"/>
  <c r="D95" i="110" s="1"/>
  <c r="F94" i="110" a="1"/>
  <c r="F94" i="110" s="1"/>
  <c r="E94" i="110" a="1"/>
  <c r="E94" i="110" s="1"/>
  <c r="D94" i="110" a="1"/>
  <c r="D94" i="110" s="1"/>
  <c r="F93" i="110" a="1"/>
  <c r="F93" i="110" s="1"/>
  <c r="E93" i="110" a="1"/>
  <c r="E93" i="110" s="1"/>
  <c r="D93" i="110" a="1"/>
  <c r="D93" i="110" s="1"/>
  <c r="D91" i="110" a="1"/>
  <c r="D91" i="110" s="1"/>
  <c r="F89" i="110" a="1"/>
  <c r="F89" i="110" s="1"/>
  <c r="E89" i="110" a="1"/>
  <c r="E89" i="110" s="1"/>
  <c r="D89" i="110" a="1"/>
  <c r="D89" i="110" s="1"/>
  <c r="F88" i="110" a="1"/>
  <c r="F88" i="110" s="1"/>
  <c r="E88" i="110" a="1"/>
  <c r="E88" i="110" s="1"/>
  <c r="D88" i="110" a="1"/>
  <c r="D88" i="110" s="1"/>
  <c r="F87" i="110" a="1"/>
  <c r="F87" i="110" s="1"/>
  <c r="E87" i="110" a="1"/>
  <c r="E87" i="110" s="1"/>
  <c r="D87" i="110" a="1"/>
  <c r="D87" i="110" s="1"/>
  <c r="F86" i="110" a="1"/>
  <c r="F86" i="110" s="1"/>
  <c r="E86" i="110" a="1"/>
  <c r="E86" i="110" s="1"/>
  <c r="D86" i="110" a="1"/>
  <c r="D86" i="110" s="1"/>
  <c r="F85" i="110" a="1"/>
  <c r="F85" i="110" s="1"/>
  <c r="E85" i="110" a="1"/>
  <c r="E85" i="110" s="1"/>
  <c r="D85" i="110" a="1"/>
  <c r="D85" i="110" s="1"/>
  <c r="F84" i="110" a="1"/>
  <c r="F84" i="110" s="1"/>
  <c r="E84" i="110" a="1"/>
  <c r="E84" i="110" s="1"/>
  <c r="D84" i="110" a="1"/>
  <c r="D84" i="110" s="1"/>
  <c r="F83" i="110" a="1"/>
  <c r="F83" i="110" s="1"/>
  <c r="E83" i="110" a="1"/>
  <c r="E83" i="110" s="1"/>
  <c r="D83" i="110" a="1"/>
  <c r="D83" i="110" s="1"/>
  <c r="F82" i="110" a="1"/>
  <c r="F82" i="110" s="1"/>
  <c r="E82" i="110" a="1"/>
  <c r="E82" i="110" s="1"/>
  <c r="D82" i="110" a="1"/>
  <c r="D82" i="110" s="1"/>
  <c r="F81" i="110" a="1"/>
  <c r="F81" i="110" s="1"/>
  <c r="E81" i="110" a="1"/>
  <c r="E81" i="110" s="1"/>
  <c r="D81" i="110" a="1"/>
  <c r="D81" i="110" s="1"/>
  <c r="F80" i="110" a="1"/>
  <c r="F80" i="110" s="1"/>
  <c r="E80" i="110" a="1"/>
  <c r="E80" i="110" s="1"/>
  <c r="D80" i="110" a="1"/>
  <c r="D80" i="110" s="1"/>
  <c r="F79" i="110" a="1"/>
  <c r="F79" i="110" s="1"/>
  <c r="E79" i="110" a="1"/>
  <c r="E79" i="110" s="1"/>
  <c r="D79" i="110" a="1"/>
  <c r="D79" i="110" s="1"/>
  <c r="F78" i="110" a="1"/>
  <c r="F78" i="110" s="1"/>
  <c r="E78" i="110" a="1"/>
  <c r="E78" i="110" s="1"/>
  <c r="D78" i="110" a="1"/>
  <c r="D78" i="110" s="1"/>
  <c r="F77" i="110" a="1"/>
  <c r="F77" i="110" s="1"/>
  <c r="E77" i="110" a="1"/>
  <c r="E77" i="110" s="1"/>
  <c r="D77" i="110" a="1"/>
  <c r="D77" i="110" s="1"/>
  <c r="F76" i="110" a="1"/>
  <c r="F76" i="110" s="1"/>
  <c r="E76" i="110" a="1"/>
  <c r="E76" i="110" s="1"/>
  <c r="D76" i="110" a="1"/>
  <c r="D76" i="110" s="1"/>
  <c r="F75" i="110" a="1"/>
  <c r="F75" i="110" s="1"/>
  <c r="E75" i="110" a="1"/>
  <c r="E75" i="110" s="1"/>
  <c r="D75" i="110" a="1"/>
  <c r="D75" i="110" s="1"/>
  <c r="F74" i="110" a="1"/>
  <c r="F74" i="110" s="1"/>
  <c r="E74" i="110" a="1"/>
  <c r="E74" i="110" s="1"/>
  <c r="D74" i="110" a="1"/>
  <c r="D74" i="110" s="1"/>
  <c r="D71" i="110" a="1"/>
  <c r="D71" i="110" s="1"/>
  <c r="D70" i="110" a="1"/>
  <c r="D70" i="110" s="1"/>
  <c r="L37" i="110" a="1"/>
  <c r="L37" i="110" s="1"/>
  <c r="K37" i="110" a="1"/>
  <c r="K37" i="110" s="1"/>
  <c r="J37" i="110" a="1"/>
  <c r="J37" i="110" s="1"/>
  <c r="I37" i="110" a="1"/>
  <c r="I37" i="110" s="1"/>
  <c r="H37" i="110" a="1"/>
  <c r="H37" i="110" s="1"/>
  <c r="G37" i="110" a="1"/>
  <c r="G37" i="110" s="1"/>
  <c r="F37" i="110" a="1"/>
  <c r="F37" i="110" s="1"/>
  <c r="E37" i="110" a="1"/>
  <c r="E37" i="110" s="1"/>
  <c r="D37" i="110" a="1"/>
  <c r="D37" i="110" s="1"/>
  <c r="L36" i="110" a="1"/>
  <c r="L36" i="110" s="1"/>
  <c r="K36" i="110" a="1"/>
  <c r="K36" i="110" s="1"/>
  <c r="J36" i="110" a="1"/>
  <c r="J36" i="110" s="1"/>
  <c r="I36" i="110" a="1"/>
  <c r="I36" i="110" s="1"/>
  <c r="H36" i="110" a="1"/>
  <c r="H36" i="110" s="1"/>
  <c r="G36" i="110" a="1"/>
  <c r="G36" i="110" s="1"/>
  <c r="F36" i="110" a="1"/>
  <c r="F36" i="110" s="1"/>
  <c r="E36" i="110" a="1"/>
  <c r="E36" i="110" s="1"/>
  <c r="D36" i="110" a="1"/>
  <c r="D36" i="110" s="1"/>
  <c r="L35" i="110" a="1"/>
  <c r="L35" i="110" s="1"/>
  <c r="K35" i="110" a="1"/>
  <c r="K35" i="110" s="1"/>
  <c r="J35" i="110" a="1"/>
  <c r="J35" i="110" s="1"/>
  <c r="I35" i="110" a="1"/>
  <c r="I35" i="110" s="1"/>
  <c r="H35" i="110" a="1"/>
  <c r="H35" i="110" s="1"/>
  <c r="G35" i="110" a="1"/>
  <c r="G35" i="110" s="1"/>
  <c r="F35" i="110" a="1"/>
  <c r="F35" i="110" s="1"/>
  <c r="E35" i="110" a="1"/>
  <c r="E35" i="110" s="1"/>
  <c r="D35" i="110" a="1"/>
  <c r="D35" i="110" s="1"/>
  <c r="L34" i="110" a="1"/>
  <c r="L34" i="110" s="1"/>
  <c r="K34" i="110" a="1"/>
  <c r="K34" i="110" s="1"/>
  <c r="J34" i="110" a="1"/>
  <c r="J34" i="110" s="1"/>
  <c r="I34" i="110" a="1"/>
  <c r="I34" i="110" s="1"/>
  <c r="H34" i="110" a="1"/>
  <c r="H34" i="110" s="1"/>
  <c r="G34" i="110" a="1"/>
  <c r="G34" i="110" s="1"/>
  <c r="F34" i="110" a="1"/>
  <c r="F34" i="110" s="1"/>
  <c r="E34" i="110" a="1"/>
  <c r="E34" i="110" s="1"/>
  <c r="D34" i="110" a="1"/>
  <c r="D34" i="110" s="1"/>
  <c r="L33" i="110" a="1"/>
  <c r="L33" i="110" s="1"/>
  <c r="K33" i="110" a="1"/>
  <c r="K33" i="110" s="1"/>
  <c r="J33" i="110" a="1"/>
  <c r="J33" i="110" s="1"/>
  <c r="I33" i="110" a="1"/>
  <c r="I33" i="110" s="1"/>
  <c r="H33" i="110" a="1"/>
  <c r="H33" i="110" s="1"/>
  <c r="G33" i="110" a="1"/>
  <c r="G33" i="110" s="1"/>
  <c r="F33" i="110" a="1"/>
  <c r="F33" i="110" s="1"/>
  <c r="E33" i="110" a="1"/>
  <c r="E33" i="110" s="1"/>
  <c r="D33" i="110" a="1"/>
  <c r="D33" i="110" s="1"/>
  <c r="L32" i="110" a="1"/>
  <c r="L32" i="110" s="1"/>
  <c r="K32" i="110" a="1"/>
  <c r="K32" i="110" s="1"/>
  <c r="J32" i="110" a="1"/>
  <c r="J32" i="110" s="1"/>
  <c r="I32" i="110" a="1"/>
  <c r="I32" i="110" s="1"/>
  <c r="H32" i="110" a="1"/>
  <c r="H32" i="110" s="1"/>
  <c r="G32" i="110" a="1"/>
  <c r="G32" i="110" s="1"/>
  <c r="F32" i="110" a="1"/>
  <c r="F32" i="110" s="1"/>
  <c r="E32" i="110" a="1"/>
  <c r="E32" i="110" s="1"/>
  <c r="D32" i="110" a="1"/>
  <c r="D32" i="110" s="1"/>
  <c r="L31" i="110" a="1"/>
  <c r="L31" i="110" s="1"/>
  <c r="K31" i="110" a="1"/>
  <c r="K31" i="110" s="1"/>
  <c r="J31" i="110" a="1"/>
  <c r="J31" i="110" s="1"/>
  <c r="I31" i="110" a="1"/>
  <c r="I31" i="110" s="1"/>
  <c r="H31" i="110" a="1"/>
  <c r="H31" i="110" s="1"/>
  <c r="G31" i="110" a="1"/>
  <c r="G31" i="110" s="1"/>
  <c r="F31" i="110" a="1"/>
  <c r="F31" i="110" s="1"/>
  <c r="E31" i="110" a="1"/>
  <c r="E31" i="110" s="1"/>
  <c r="D31" i="110" a="1"/>
  <c r="D31" i="110" s="1"/>
  <c r="L30" i="110" a="1"/>
  <c r="L30" i="110" s="1"/>
  <c r="K30" i="110" a="1"/>
  <c r="K30" i="110" s="1"/>
  <c r="J30" i="110" a="1"/>
  <c r="J30" i="110" s="1"/>
  <c r="I30" i="110" a="1"/>
  <c r="I30" i="110" s="1"/>
  <c r="H30" i="110" a="1"/>
  <c r="H30" i="110" s="1"/>
  <c r="G30" i="110" a="1"/>
  <c r="G30" i="110" s="1"/>
  <c r="F30" i="110" a="1"/>
  <c r="F30" i="110" s="1"/>
  <c r="E30" i="110" a="1"/>
  <c r="E30" i="110" s="1"/>
  <c r="D30" i="110" a="1"/>
  <c r="D30" i="110" s="1"/>
  <c r="L29" i="110" a="1"/>
  <c r="L29" i="110" s="1"/>
  <c r="K29" i="110" a="1"/>
  <c r="K29" i="110" s="1"/>
  <c r="J29" i="110" a="1"/>
  <c r="J29" i="110" s="1"/>
  <c r="I29" i="110" a="1"/>
  <c r="I29" i="110" s="1"/>
  <c r="H29" i="110" a="1"/>
  <c r="H29" i="110" s="1"/>
  <c r="G29" i="110" a="1"/>
  <c r="G29" i="110" s="1"/>
  <c r="F29" i="110" a="1"/>
  <c r="F29" i="110" s="1"/>
  <c r="E29" i="110" a="1"/>
  <c r="E29" i="110" s="1"/>
  <c r="D29" i="110" a="1"/>
  <c r="D29" i="110" s="1"/>
  <c r="L28" i="110" a="1"/>
  <c r="L28" i="110" s="1"/>
  <c r="K28" i="110" a="1"/>
  <c r="K28" i="110" s="1"/>
  <c r="J28" i="110" a="1"/>
  <c r="J28" i="110" s="1"/>
  <c r="I28" i="110" a="1"/>
  <c r="I28" i="110" s="1"/>
  <c r="H28" i="110" a="1"/>
  <c r="H28" i="110" s="1"/>
  <c r="G28" i="110" a="1"/>
  <c r="G28" i="110" s="1"/>
  <c r="F28" i="110" a="1"/>
  <c r="F28" i="110" s="1"/>
  <c r="E28" i="110" a="1"/>
  <c r="E28" i="110"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E18" i="70" s="1"/>
  <c r="E19" i="70" s="1"/>
  <c r="D17" i="110" a="1"/>
  <c r="D17" i="110" s="1"/>
  <c r="D16" i="110" a="1"/>
  <c r="D16" i="110" s="1"/>
  <c r="D15" i="110" a="1"/>
  <c r="D15" i="110" s="1"/>
  <c r="D26" i="74" a="1"/>
  <c r="D26" i="74" s="1"/>
  <c r="H13" i="113" a="1"/>
  <c r="H13" i="113" s="1"/>
  <c r="H36" i="113" a="1"/>
  <c r="H36" i="113" s="1"/>
  <c r="D36" i="113" a="1"/>
  <c r="D36" i="113" s="1"/>
  <c r="D13" i="113" a="1"/>
  <c r="D13" i="113" s="1"/>
  <c r="E34" i="113" a="1"/>
  <c r="E34" i="113" s="1"/>
  <c r="F48" i="113" s="1"/>
  <c r="E33" i="113" a="1"/>
  <c r="E33" i="113" s="1"/>
  <c r="D29" i="113" a="1"/>
  <c r="D29" i="113" s="1"/>
  <c r="D28" i="113" a="1"/>
  <c r="D28" i="113" s="1"/>
  <c r="E11" i="113" a="1"/>
  <c r="E11" i="113" s="1"/>
  <c r="E10" i="113" a="1"/>
  <c r="E10" i="113" s="1"/>
  <c r="D6" i="113" a="1"/>
  <c r="D6" i="113" s="1"/>
  <c r="D5" i="113" a="1"/>
  <c r="D5" i="113" s="1"/>
  <c r="F53" i="113" a="1"/>
  <c r="F53" i="113" s="1"/>
  <c r="D50" i="113" a="1"/>
  <c r="D50" i="113" s="1"/>
  <c r="E7" i="113" a="1"/>
  <c r="E30" i="113" a="1"/>
  <c r="E7" i="114" a="1"/>
  <c r="I58" i="114" l="1" a="1"/>
  <c r="I58" i="114" s="1"/>
  <c r="E20" i="70"/>
  <c r="E30" i="70"/>
  <c r="P48" i="113"/>
  <c r="I57" i="114" a="1"/>
  <c r="I57" i="114" s="1"/>
  <c r="I35" i="114" a="1"/>
  <c r="I35" i="114" s="1"/>
  <c r="I15" i="114" a="1"/>
  <c r="I15" i="114" s="1"/>
  <c r="I34" i="114" a="1"/>
  <c r="I34" i="114" s="1"/>
  <c r="I17" i="114" a="1"/>
  <c r="I17" i="114" s="1"/>
  <c r="I16" i="114" a="1"/>
  <c r="I16" i="114" s="1"/>
  <c r="E7" i="114"/>
  <c r="E30" i="113"/>
  <c r="E7" i="113"/>
  <c r="E40" i="70" l="1"/>
  <c r="E36" i="70"/>
  <c r="E35" i="70" s="1"/>
  <c r="P45" i="74" a="1"/>
  <c r="P45" i="74" s="1"/>
  <c r="N42" i="74" a="1"/>
  <c r="N42" i="74" s="1"/>
  <c r="P40" i="74" a="1"/>
  <c r="P40" i="74" s="1"/>
  <c r="R33" i="74" a="1"/>
  <c r="R33" i="74" s="1"/>
  <c r="N33" i="74" a="1"/>
  <c r="N33" i="74" s="1"/>
  <c r="O31" i="74" a="1"/>
  <c r="O31" i="74" s="1"/>
  <c r="O30" i="74" a="1"/>
  <c r="O30" i="74" s="1"/>
  <c r="N26" i="74" a="1"/>
  <c r="N26" i="74" s="1"/>
  <c r="N25" i="74" a="1"/>
  <c r="N25" i="74" s="1"/>
  <c r="R13" i="74" a="1"/>
  <c r="R13" i="74" s="1"/>
  <c r="N13" i="74" a="1"/>
  <c r="N13" i="74" s="1"/>
  <c r="P21" i="74" a="1"/>
  <c r="P21" i="74" s="1"/>
  <c r="H33" i="74" a="1"/>
  <c r="H33" i="74" s="1"/>
  <c r="D33" i="74" a="1"/>
  <c r="D33" i="74" s="1"/>
  <c r="H13" i="74" a="1"/>
  <c r="H13" i="74" s="1"/>
  <c r="D13" i="74" a="1"/>
  <c r="D13" i="74" s="1"/>
  <c r="F40" i="74" a="1"/>
  <c r="F40" i="74" s="1"/>
  <c r="E31" i="74" a="1"/>
  <c r="E31" i="74" s="1"/>
  <c r="E30" i="74" a="1"/>
  <c r="E30" i="74" s="1"/>
  <c r="D25" i="74" a="1"/>
  <c r="D25" i="74" s="1"/>
  <c r="F21" i="74" a="1"/>
  <c r="F21" i="74" s="1"/>
  <c r="E11" i="74" a="1"/>
  <c r="E11" i="74" s="1"/>
  <c r="E10" i="74" a="1"/>
  <c r="E10" i="74" s="1"/>
  <c r="D6" i="74" a="1"/>
  <c r="D6" i="74" s="1"/>
  <c r="D5" i="74" a="1"/>
  <c r="D5" i="74" s="1"/>
  <c r="F45" i="74" a="1"/>
  <c r="F45" i="74" s="1"/>
  <c r="D42" i="74" a="1"/>
  <c r="D42" i="74" s="1"/>
  <c r="I56" i="110" a="1"/>
  <c r="I56" i="110" s="1"/>
  <c r="H56" i="110" a="1"/>
  <c r="H56" i="110" s="1"/>
  <c r="G56" i="110" a="1"/>
  <c r="G56" i="110" s="1"/>
  <c r="F56" i="110" a="1"/>
  <c r="F56" i="110" s="1"/>
  <c r="E56" i="110" a="1"/>
  <c r="E56" i="110" s="1"/>
  <c r="D56" i="110" a="1"/>
  <c r="D56" i="110" s="1"/>
  <c r="I55" i="110" a="1"/>
  <c r="I55" i="110" s="1"/>
  <c r="H55" i="110" a="1"/>
  <c r="H55" i="110" s="1"/>
  <c r="G55" i="110" a="1"/>
  <c r="G55" i="110" s="1"/>
  <c r="F55" i="110" a="1"/>
  <c r="F55" i="110" s="1"/>
  <c r="E55" i="110" a="1"/>
  <c r="E55" i="110" s="1"/>
  <c r="D55" i="110" a="1"/>
  <c r="D55" i="110" s="1"/>
  <c r="I54" i="110" a="1"/>
  <c r="I54" i="110" s="1"/>
  <c r="H54" i="110" a="1"/>
  <c r="H54" i="110" s="1"/>
  <c r="G54" i="110" a="1"/>
  <c r="G54" i="110" s="1"/>
  <c r="F54" i="110" a="1"/>
  <c r="F54" i="110" s="1"/>
  <c r="E54" i="110" a="1"/>
  <c r="E54" i="110" s="1"/>
  <c r="D54" i="110" a="1"/>
  <c r="D54" i="110" s="1"/>
  <c r="I53" i="110" a="1"/>
  <c r="I53" i="110" s="1"/>
  <c r="H53" i="110" a="1"/>
  <c r="H53" i="110" s="1"/>
  <c r="G53" i="110" a="1"/>
  <c r="G53" i="110" s="1"/>
  <c r="F53" i="110" a="1"/>
  <c r="F53" i="110" s="1"/>
  <c r="E53" i="110" a="1"/>
  <c r="E53" i="110" s="1"/>
  <c r="D53" i="110" a="1"/>
  <c r="D53" i="110" s="1"/>
  <c r="I52" i="110" a="1"/>
  <c r="I52" i="110" s="1"/>
  <c r="H52" i="110" a="1"/>
  <c r="H52" i="110" s="1"/>
  <c r="G52" i="110" a="1"/>
  <c r="G52" i="110" s="1"/>
  <c r="F52" i="110" a="1"/>
  <c r="F52" i="110" s="1"/>
  <c r="E52" i="110" a="1"/>
  <c r="E52" i="110" s="1"/>
  <c r="D52" i="110" a="1"/>
  <c r="D52" i="110" s="1"/>
  <c r="D49" i="110" a="1"/>
  <c r="D49" i="110" s="1"/>
  <c r="D48" i="110" a="1"/>
  <c r="D48" i="110" s="1"/>
  <c r="P32" i="69" a="1"/>
  <c r="P32" i="69" s="1"/>
  <c r="M32" i="69" a="1"/>
  <c r="M32" i="69" s="1"/>
  <c r="O66" i="69" a="1"/>
  <c r="O66" i="69" s="1"/>
  <c r="M63" i="69" a="1"/>
  <c r="M63" i="69" s="1"/>
  <c r="P55" i="69" a="1"/>
  <c r="P55" i="69" s="1"/>
  <c r="M55" i="69" a="1"/>
  <c r="M55" i="69" s="1"/>
  <c r="N53" i="69" a="1"/>
  <c r="N53" i="69" s="1"/>
  <c r="N52" i="69" a="1"/>
  <c r="N52" i="69" s="1"/>
  <c r="M48" i="69" a="1"/>
  <c r="M48" i="69" s="1"/>
  <c r="M47" i="69" a="1"/>
  <c r="M47" i="69" s="1"/>
  <c r="N30" i="69" a="1"/>
  <c r="N30" i="69" s="1"/>
  <c r="N29" i="69" a="1"/>
  <c r="N29" i="69" s="1"/>
  <c r="M25" i="69" a="1"/>
  <c r="M25" i="69" s="1"/>
  <c r="M24" i="69" a="1"/>
  <c r="M24" i="69" s="1"/>
  <c r="E45" i="110" a="1"/>
  <c r="E45" i="110" s="1"/>
  <c r="D45" i="110" a="1"/>
  <c r="D45" i="110" s="1"/>
  <c r="E44" i="110" a="1"/>
  <c r="E44" i="110" s="1"/>
  <c r="D44" i="110" a="1"/>
  <c r="D44" i="110" s="1"/>
  <c r="D41" i="110" a="1"/>
  <c r="D41" i="110" s="1"/>
  <c r="D40" i="110" a="1"/>
  <c r="D40" i="110" s="1"/>
  <c r="G36" i="69" a="1"/>
  <c r="G36" i="69" s="1"/>
  <c r="G13" i="69" a="1"/>
  <c r="G13" i="69" s="1"/>
  <c r="O14" i="69" a="1"/>
  <c r="O14" i="69" s="1"/>
  <c r="M14" i="69" a="1"/>
  <c r="M14" i="69" s="1"/>
  <c r="D36" i="69" a="1"/>
  <c r="D36" i="69" s="1"/>
  <c r="D13" i="69" a="1"/>
  <c r="D13" i="69" s="1"/>
  <c r="E34" i="69" a="1"/>
  <c r="E34" i="69" s="1"/>
  <c r="F42" i="69" s="1"/>
  <c r="E33" i="69" a="1"/>
  <c r="E33" i="69" s="1"/>
  <c r="D29" i="69" a="1"/>
  <c r="D29" i="69" s="1"/>
  <c r="D28" i="69" a="1"/>
  <c r="D28" i="69" s="1"/>
  <c r="N12" i="69" a="1"/>
  <c r="N12" i="69" s="1"/>
  <c r="N11" i="69" a="1"/>
  <c r="N11" i="69" s="1"/>
  <c r="E11" i="69" a="1"/>
  <c r="E11" i="69" s="1"/>
  <c r="F24" i="69" s="1"/>
  <c r="E10" i="69" a="1"/>
  <c r="E10" i="69" s="1"/>
  <c r="M6" i="69" a="1"/>
  <c r="M6" i="69" s="1"/>
  <c r="D6" i="69" a="1"/>
  <c r="D6" i="69" s="1"/>
  <c r="M5" i="69" a="1"/>
  <c r="M5" i="69" s="1"/>
  <c r="D5" i="69" a="1"/>
  <c r="D5" i="69" s="1"/>
  <c r="I15" i="69" a="1"/>
  <c r="I15" i="69" s="1"/>
  <c r="F47" i="69" a="1"/>
  <c r="F47" i="69" s="1"/>
  <c r="D44" i="69" a="1"/>
  <c r="D44" i="69" s="1"/>
  <c r="E7" i="74" a="1"/>
  <c r="N26" i="69" a="1"/>
  <c r="E7" i="69" a="1"/>
  <c r="N7" i="69" a="1"/>
  <c r="E19" i="120" l="1"/>
  <c r="E20" i="120" s="1"/>
  <c r="E42" i="70"/>
  <c r="J16" i="74" a="1"/>
  <c r="J16" i="74" s="1"/>
  <c r="J17" i="74" a="1"/>
  <c r="J17" i="74" s="1"/>
  <c r="J18" i="74" a="1"/>
  <c r="J18" i="74" s="1"/>
  <c r="J14" i="74" a="1"/>
  <c r="J14" i="74" s="1"/>
  <c r="J15" i="74" a="1"/>
  <c r="J15" i="74" s="1"/>
  <c r="E7" i="74"/>
  <c r="O61" i="69"/>
  <c r="O43" i="69"/>
  <c r="N26" i="69"/>
  <c r="I19" i="69" a="1"/>
  <c r="I19" i="69" s="1"/>
  <c r="I18" i="69" a="1"/>
  <c r="I18" i="69" s="1"/>
  <c r="I20" i="69" a="1"/>
  <c r="I20" i="69" s="1"/>
  <c r="N7" i="69"/>
  <c r="E7" i="69"/>
  <c r="T14" i="74" l="1"/>
  <c r="O21" i="74" s="1" a="1"/>
  <c r="O21" i="74" s="1"/>
  <c r="I14" i="114"/>
  <c r="E21" i="114" s="1" a="1"/>
  <c r="E21" i="114" s="1"/>
  <c r="E21" i="74" a="1"/>
  <c r="E21" i="74" s="1"/>
  <c r="D46" i="123" s="1"/>
  <c r="Q17" i="69"/>
  <c r="I14" i="69"/>
  <c r="O25" i="122" l="1"/>
  <c r="S25" i="122" s="1" a="1"/>
  <c r="S25" i="122" s="1"/>
  <c r="N46" i="122" s="1"/>
  <c r="O46" i="122" s="1" a="1"/>
  <c r="O46" i="122" s="1"/>
  <c r="N46" i="123"/>
  <c r="E25" i="113"/>
  <c r="E25" i="122"/>
  <c r="I25" i="122" s="1" a="1"/>
  <c r="I25" i="122" s="1"/>
  <c r="D46" i="122" s="1"/>
  <c r="E46" i="122" s="1" a="1"/>
  <c r="E46" i="122" s="1"/>
  <c r="T33" i="74"/>
  <c r="O25" i="113"/>
  <c r="I33" i="114"/>
  <c r="I56" i="114"/>
  <c r="J33" i="74"/>
  <c r="Q14" i="69" l="1"/>
  <c r="N20" i="69" s="1" a="1"/>
  <c r="N20" i="69" s="1"/>
  <c r="R36" i="69" l="1"/>
  <c r="N43" i="69" s="1" a="1"/>
  <c r="N43" i="69" s="1"/>
  <c r="R55" i="69" s="1"/>
  <c r="N45" i="122"/>
  <c r="O48" i="122" s="1"/>
  <c r="O24" i="123" l="1"/>
  <c r="S24" i="123" s="1" a="1"/>
  <c r="S24" i="123" s="1"/>
  <c r="N45" i="123" s="1"/>
  <c r="O45" i="123" s="1" a="1"/>
  <c r="O45" i="123" s="1"/>
  <c r="O48" i="123" s="1"/>
  <c r="Q50" i="123" s="1"/>
  <c r="O53" i="123" s="1" a="1"/>
  <c r="O53" i="123" s="1"/>
  <c r="O24" i="113"/>
  <c r="S24" i="113" s="1" a="1"/>
  <c r="S24" i="113" s="1"/>
  <c r="N45" i="113" s="1"/>
  <c r="Q50" i="122"/>
  <c r="O53" i="122" s="1" a="1"/>
  <c r="O53" i="122" s="1"/>
  <c r="I17" i="69" a="1"/>
  <c r="I17" i="69" s="1"/>
  <c r="E24" i="69" s="1" a="1"/>
  <c r="E24" i="69" s="1"/>
  <c r="E62" i="114" a="1"/>
  <c r="E62" i="114" s="1"/>
  <c r="E24" i="123" l="1"/>
  <c r="I24" i="123" s="1" a="1"/>
  <c r="I24" i="123" s="1"/>
  <c r="D45" i="123" s="1"/>
  <c r="E45" i="123" s="1" a="1"/>
  <c r="E45" i="123" s="1"/>
  <c r="E48" i="123" s="1"/>
  <c r="G50" i="123" s="1"/>
  <c r="E53" i="123" s="1" a="1"/>
  <c r="E53" i="123" s="1"/>
  <c r="I36" i="69"/>
  <c r="E13" i="13"/>
  <c r="F13" i="13" s="1"/>
  <c r="H64" i="114"/>
  <c r="E67" i="114" s="1" a="1"/>
  <c r="E67" i="114" s="1"/>
  <c r="H13" i="13" s="1"/>
  <c r="I13" i="13" s="1"/>
  <c r="E24" i="113"/>
  <c r="I24" i="113" s="1" a="1"/>
  <c r="I24" i="113" s="1"/>
  <c r="D45" i="113" s="1"/>
  <c r="D45" i="122"/>
  <c r="E48" i="122" s="1"/>
  <c r="E39" i="114" a="1"/>
  <c r="E39" i="114" s="1"/>
  <c r="I25" i="113" a="1"/>
  <c r="I25" i="113" s="1"/>
  <c r="D46" i="113" s="1"/>
  <c r="S25" i="113" a="1"/>
  <c r="S25" i="113" s="1"/>
  <c r="N46" i="113" s="1"/>
  <c r="E12" i="13" l="1"/>
  <c r="F12" i="13" s="1"/>
  <c r="H41" i="114"/>
  <c r="E44" i="114" s="1" a="1"/>
  <c r="E44" i="114" s="1"/>
  <c r="H12" i="13" s="1"/>
  <c r="I12" i="13" s="1"/>
  <c r="G50" i="122"/>
  <c r="E53" i="122" s="1" a="1"/>
  <c r="E53" i="122" s="1"/>
  <c r="E45" i="113" a="1"/>
  <c r="E45" i="113" s="1"/>
  <c r="O46" i="113" a="1"/>
  <c r="O46" i="113" s="1"/>
  <c r="O45" i="113" a="1"/>
  <c r="O45" i="113" s="1"/>
  <c r="E46" i="113" a="1"/>
  <c r="E46" i="113" s="1"/>
  <c r="J34" i="74" a="1"/>
  <c r="J34" i="74" s="1"/>
  <c r="O48" i="113" l="1"/>
  <c r="Q50" i="113" s="1"/>
  <c r="E48" i="113"/>
  <c r="O40" i="74" a="1"/>
  <c r="O40" i="74" s="1"/>
  <c r="E40" i="74" a="1"/>
  <c r="E40" i="74" s="1"/>
  <c r="I37" i="69" a="1"/>
  <c r="I37" i="69" s="1"/>
  <c r="E42" i="69" s="1" a="1"/>
  <c r="E42" i="69" s="1"/>
  <c r="R56" i="69" a="1"/>
  <c r="R56" i="69" s="1"/>
  <c r="N61" i="69" s="1" a="1"/>
  <c r="N61" i="69" s="1"/>
  <c r="E10" i="13" l="1"/>
  <c r="G42" i="74"/>
  <c r="E45" i="74" s="1" a="1"/>
  <c r="E45" i="74" s="1"/>
  <c r="H10" i="13" s="1"/>
  <c r="F10" i="13"/>
  <c r="Q42" i="74"/>
  <c r="O45" i="74" s="1" a="1"/>
  <c r="O45" i="74" s="1"/>
  <c r="I10" i="13" s="1"/>
  <c r="E9" i="13"/>
  <c r="G44" i="69"/>
  <c r="E47" i="69" s="1" a="1"/>
  <c r="E47" i="69" s="1"/>
  <c r="H9" i="13" s="1"/>
  <c r="F9" i="13"/>
  <c r="P63" i="69"/>
  <c r="N66" i="69" s="1" a="1"/>
  <c r="N66" i="69" s="1"/>
  <c r="I9" i="13" s="1"/>
  <c r="E11" i="13"/>
  <c r="G50" i="113"/>
  <c r="E53" i="113" s="1" a="1"/>
  <c r="E53" i="113" s="1"/>
  <c r="H11" i="13" s="1"/>
  <c r="O53" i="113" a="1"/>
  <c r="O53" i="113" s="1"/>
  <c r="I11" i="13" s="1"/>
  <c r="F11" i="13"/>
  <c r="I14" i="13" l="1"/>
  <c r="H14"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<sst xmlns="http://schemas.openxmlformats.org/spreadsheetml/2006/main" count="540" uniqueCount="283">
  <si>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</si>
  <si>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</si>
  <si>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</si>
  <si>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</si>
  <si>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</si>
  <si>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</si>
  <si>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</si>
  <si>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</si>
  <si>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</si>
  <si>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</si>
  <si>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</si>
  <si>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</si>
  <si>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</si>
  <si>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</si>
  <si>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</si>
  <si>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</si>
  <si>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</si>
  <si>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</si>
  <si>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</si>
  <si>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</si>
  <si>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</si>
  <si>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</si>
  <si>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</si>
  <si>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</si>
  <si>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</si>
  <si>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</si>
  <si>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</si>
  <si>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</si>
  <si>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</si>
  <si>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</si>
  <si>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</si>
  <si>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</si>
  <si>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</si>
  <si>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</si>
  <si>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</si>
  <si>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</si>
  <si>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</si>
  <si>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</si>
  <si>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</si>
  <si>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</si>
  <si>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</si>
  <si>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</si>
  <si>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</si>
  <si>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</si>
  <si>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</si>
  <si>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</si>
  <si>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</si>
  <si>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</si>
  <si>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</si>
  <si>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</si>
  <si>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</si>
  <si>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</si>
  <si>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</si>
  <si>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</si>
  <si>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</si>
  <si>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</si>
  <si>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</si>
  <si>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</si>
  <si>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</si>
  <si>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</si>
  <si>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</si>
  <si>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</si>
  <si>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</si>
  <si>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</si>
  <si>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</si>
  <si>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</si>
  <si>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</si>
  <si>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</si>
  <si>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</si>
  <si>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</si>
  <si>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</si>
  <si>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</si>
  <si>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</si>
  <si>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</si>
  <si>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</si>
  <si>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</si>
  <si>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</si>
  <si>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</si>
  <si>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</si>
  <si>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</si>
  <si>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</si>
  <si>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</si>
  <si>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</si>
  <si>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</si>
  <si>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</si>
  <si>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</si>
  <si>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</si>
  <si>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</si>
  <si>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</si>
  <si>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</si>
  <si>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</si>
  <si>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</si>
  <si>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</si>
  <si>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</si>
  <si>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</si>
  <si>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</si>
  <si>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</si>
  <si>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</si>
  <si>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</si>
  <si>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</si>
  <si>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</si>
  <si>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</si>
  <si>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</si>
  <si>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</si>
  <si>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</si>
  <si>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</si>
  <si>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</si>
  <si>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Sprinkler irrigation</t>
  </si>
  <si>
    <r>
      <t>E</t>
    </r>
    <r>
      <rPr>
        <b/>
        <vertAlign val="subscript"/>
        <sz val="16"/>
        <color theme="1" tint="0.24994659260841701"/>
        <rFont val="Times New Roman"/>
        <family val="1"/>
      </rPr>
      <t>N2O</t>
    </r>
  </si>
  <si>
    <t>Crop type</t>
  </si>
  <si>
    <t>Area under cropping</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</si>
  <si>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</si>
  <si>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</si>
  <si>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</si>
  <si>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</si>
  <si>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</si>
  <si>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</si>
  <si>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</si>
  <si>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</si>
  <si>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</si>
  <si>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</si>
  <si>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</si>
  <si>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</si>
  <si>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</si>
  <si>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</si>
  <si>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</si>
  <si>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6: Agricultural Residue Management: Overview</t>
  </si>
  <si>
    <t>6: Agricultural Residue Management: Results</t>
  </si>
  <si>
    <t>6.1.1.1-2 Crop residue N2O emissions</t>
  </si>
  <si>
    <t>Input - Crop</t>
  </si>
  <si>
    <t>Area</t>
  </si>
  <si>
    <t>If multiple paddocks were managed in the same way at the same time, you can enter information for them all together.</t>
  </si>
  <si>
    <t>Wheat</t>
  </si>
  <si>
    <r>
      <rPr>
        <sz val="12"/>
        <color theme="1" tint="0.34998626667073579"/>
        <rFont val="Times New Roman"/>
        <family val="1"/>
      </rPr>
      <t>←</t>
    </r>
    <r>
      <rPr>
        <i/>
        <sz val="12"/>
        <color theme="1" tint="0.34998626667073579"/>
        <rFont val="Times New Roman"/>
        <family val="1"/>
      </rPr>
      <t xml:space="preserve"> Please select</t>
    </r>
  </si>
  <si>
    <t>Crop purpose</t>
  </si>
  <si>
    <t>Hectares</t>
  </si>
  <si>
    <t>Yield</t>
  </si>
  <si>
    <t>Whole plant above ground biomass</t>
  </si>
  <si>
    <t>Tonnes per hectare</t>
  </si>
  <si>
    <t>Crop residue biomass</t>
  </si>
  <si>
    <t>Residue management</t>
  </si>
  <si>
    <t>Tonnes</t>
  </si>
  <si>
    <t>Baled residue</t>
  </si>
  <si>
    <t>Percentage of residue that was baled</t>
  </si>
  <si>
    <t>Percent</t>
  </si>
  <si>
    <t>Average weight per bale</t>
  </si>
  <si>
    <t>Kilograms</t>
  </si>
  <si>
    <t>Number of bales</t>
  </si>
  <si>
    <t>Bales</t>
  </si>
  <si>
    <t>Total residue baled</t>
  </si>
  <si>
    <t>Burned residue</t>
  </si>
  <si>
    <t>Percentage of residue that was burned</t>
  </si>
  <si>
    <t>Total residue burned</t>
  </si>
  <si>
    <t>Residue retained on paddocks</t>
  </si>
  <si>
    <t>Constants - Agricultural residue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</si>
  <si>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</si>
  <si>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</si>
  <si>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</si>
  <si>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</si>
  <si>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</si>
  <si>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</si>
  <si>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</si>
  <si>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</si>
  <si>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Crop type c</t>
  </si>
  <si>
    <t>Fraction removed</t>
  </si>
  <si>
    <t>Purpose</t>
  </si>
  <si>
    <t>Per hectare unit</t>
  </si>
  <si>
    <t>harvest term</t>
  </si>
  <si>
    <t>harvest endpoint</t>
  </si>
  <si>
    <t>Harvest uit</t>
  </si>
  <si>
    <t>Cash grain crop</t>
  </si>
  <si>
    <r>
      <t>FFOD</t>
    </r>
    <r>
      <rPr>
        <b/>
        <vertAlign val="subscript"/>
        <sz val="12"/>
        <color theme="1" tint="0.24994659260841701"/>
        <rFont val="Times New Roman"/>
        <family val="1"/>
      </rPr>
      <t>c</t>
    </r>
  </si>
  <si>
    <r>
      <t>M</t>
    </r>
    <r>
      <rPr>
        <b/>
        <vertAlign val="subscript"/>
        <sz val="12"/>
        <color theme="1" tint="0.24994659260841701"/>
        <rFont val="Times New Roman"/>
        <family val="1"/>
      </rPr>
      <t>c</t>
    </r>
  </si>
  <si>
    <t>Climate zone type i</t>
  </si>
  <si>
    <t>EF i N2O</t>
  </si>
  <si>
    <t>6.2.1.1-2 Return of pasture residue to soils</t>
  </si>
  <si>
    <t>Pasture type</t>
  </si>
  <si>
    <t>Average Yield (t DM ha) Yp</t>
  </si>
  <si>
    <t>Below-ground: above-ground residue ratio RBGp</t>
  </si>
  <si>
    <t>N content Above-ground NCAGp</t>
  </si>
  <si>
    <t>N content Below-ground NCBGp</t>
  </si>
  <si>
    <t>Fraction of pasture yield that is removed FFODp</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</si>
  <si>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</si>
  <si>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</si>
  <si>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Area under pasture</t>
  </si>
  <si>
    <t>💡 'Pasture yield' is the average amount of dry matter that is grazed.</t>
  </si>
  <si>
    <t xml:space="preserve">       A default value is provided based on pasture type. You can edit this if known.</t>
  </si>
  <si>
    <t>Pasture yield</t>
  </si>
  <si>
    <t>Tonnes dry matter / hectare</t>
  </si>
  <si>
    <t>Total pasture yield</t>
  </si>
  <si>
    <t>Area of pasture renewed or removed</t>
  </si>
  <si>
    <t>← Please select</t>
  </si>
  <si>
    <t>Input - Pasture</t>
  </si>
  <si>
    <t>6.3.1.1-2 Leaching and run-off from crop and pasture residues</t>
  </si>
  <si>
    <r>
      <t>E</t>
    </r>
    <r>
      <rPr>
        <b/>
        <vertAlign val="subscript"/>
        <sz val="16"/>
        <color theme="1"/>
        <rFont val="Times New Roman"/>
        <family val="1"/>
        <scheme val="minor"/>
      </rPr>
      <t>N2O</t>
    </r>
  </si>
  <si>
    <t>Crop</t>
  </si>
  <si>
    <t>Pasture</t>
  </si>
  <si>
    <t>Crop or pasture</t>
  </si>
  <si>
    <t>FracWET_j</t>
  </si>
  <si>
    <t>M_cp</t>
  </si>
  <si>
    <t>M_leachcp</t>
  </si>
  <si>
    <t>Irrigation</t>
  </si>
  <si>
    <t>E_N2O</t>
  </si>
  <si>
    <t>M1_Table_M_leach_cp</t>
  </si>
  <si>
    <t>Mass of nitrogen lost through leaching and runoff (Method 1)</t>
  </si>
  <si>
    <t>M1_Table_E_N2O</t>
  </si>
  <si>
    <t>Nitrous oxide leaching and runoff emissions (Method 1)</t>
  </si>
  <si>
    <t>6.4.1.1-2 Field burning of crop residues</t>
  </si>
  <si>
    <r>
      <rPr>
        <b/>
        <sz val="12"/>
        <color theme="1" tint="0.24994659260841701"/>
        <rFont val="Times New Roman"/>
        <family val="1"/>
      </rPr>
      <t>M</t>
    </r>
    <r>
      <rPr>
        <b/>
        <vertAlign val="subscript"/>
        <sz val="12"/>
        <color theme="1" tint="0.24994659260841701"/>
        <rFont val="Times New Roman"/>
        <family val="1"/>
      </rPr>
      <t>burn,c</t>
    </r>
  </si>
  <si>
    <t>Gas species</t>
  </si>
  <si>
    <t>Emission factor EFg (Gg element in species/ Gg element in fuel burnt)</t>
  </si>
  <si>
    <t>Elemental to molecular mass conversion factor (Cg)</t>
  </si>
  <si>
    <t>6.1.1.1-2 Crop residue N2O</t>
  </si>
  <si>
    <t>6.2.1.1-2 Pasture residue N2O</t>
  </si>
  <si>
    <t>6.3.1.1-2 Leaching and runoff</t>
  </si>
  <si>
    <t>6.4.1.1-2 Residue burning</t>
  </si>
  <si>
    <t>t CH4</t>
  </si>
  <si>
    <t>Grass clover mixture</t>
  </si>
  <si>
    <t>Irrigation methods</t>
  </si>
  <si>
    <t>Not irrigated</t>
  </si>
  <si>
    <t>Drip irrigation</t>
  </si>
  <si>
    <t>Surface irrigation</t>
  </si>
  <si>
    <t>Other irrigation</t>
  </si>
  <si>
    <t>Yield note</t>
  </si>
  <si>
    <t>Residue crop ratio note</t>
  </si>
  <si>
    <t>Total production note</t>
  </si>
  <si>
    <t>Residue:crop ratio²</t>
  </si>
  <si>
    <t>Total production of crop³</t>
  </si>
  <si>
    <t>M2_Table_M_leach_cp</t>
  </si>
  <si>
    <t>Mass of nitrogen lost through leaching and runoff (Method 2)</t>
  </si>
  <si>
    <t>6.3.1.1-2 Leaching and run-off from pasture residues only</t>
  </si>
  <si>
    <t>N/A</t>
  </si>
  <si>
    <t>6.3.1.1-2 Leaching and run-off from crop residues only</t>
  </si>
  <si>
    <r>
      <t>E</t>
    </r>
    <r>
      <rPr>
        <b/>
        <vertAlign val="subscript"/>
        <sz val="16"/>
        <color theme="1" tint="0.24994659260841701"/>
        <rFont val="Times New Roman"/>
        <family val="1"/>
      </rPr>
      <t>CH4</t>
    </r>
  </si>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</sst>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 numFmtId="171" formatCode="0.00000000000"/>
  </numFmts>
  <fonts count="6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b/>
      <sz val="20"/>
      <color theme="3" tint="9.9978637043366805E-2"/>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2"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3"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2" fillId="4" borderId="0">
      <alignment horizontal="left" vertical="center"/>
    </xf>
    <xf numFmtId="0" fontId="38"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1" fillId="4" borderId="0">
      <alignment horizontal="left" vertical="center"/>
    </xf>
    <xf numFmtId="0" fontId="10" fillId="0" borderId="0"/>
    <xf numFmtId="0" fontId="2" fillId="0" borderId="2">
      <alignment horizontal="center" vertical="center"/>
    </xf>
    <xf numFmtId="0" fontId="46" fillId="4" borderId="0">
      <alignment horizontal="left" vertical="center"/>
    </xf>
    <xf numFmtId="0" fontId="47" fillId="4" borderId="0">
      <alignment horizontal="left" vertical="center"/>
    </xf>
    <xf numFmtId="0" fontId="53" fillId="4" borderId="0">
      <alignment horizontal="left" vertical="center"/>
    </xf>
    <xf numFmtId="0" fontId="45" fillId="11" borderId="0">
      <alignment horizontal="center" vertical="center"/>
    </xf>
    <xf numFmtId="0" fontId="22" fillId="11" borderId="0">
      <alignment horizontal="left" vertical="center" indent="1"/>
    </xf>
    <xf numFmtId="0" fontId="57" fillId="14" borderId="2">
      <alignment horizontal="center" vertical="center"/>
    </xf>
    <xf numFmtId="0" fontId="56" fillId="15" borderId="2">
      <alignment horizontal="center" vertical="center"/>
    </xf>
    <xf numFmtId="0" fontId="58" fillId="4" borderId="2">
      <alignment horizontal="left" vertical="center"/>
    </xf>
    <xf numFmtId="0" fontId="35" fillId="4" borderId="2">
      <alignment horizontal="left" vertical="center"/>
    </xf>
    <xf numFmtId="0" fontId="60" fillId="0" borderId="0"/>
  </cellStyleXfs>
  <cellXfs count="14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2"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3"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2"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9" fillId="4" borderId="1" xfId="8" applyBorder="1">
      <alignment horizontal="left" vertical="center"/>
    </xf>
    <xf numFmtId="4" fontId="26" fillId="0" borderId="0" xfId="18" applyFont="1" applyBorder="1">
      <alignment horizontal="center" vertical="center"/>
    </xf>
    <xf numFmtId="0" fontId="52"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0" fillId="4" borderId="0" xfId="8" applyFont="1">
      <alignment horizontal="left" vertical="center"/>
    </xf>
    <xf numFmtId="0" fontId="6" fillId="4" borderId="0" xfId="56">
      <alignment horizontal="left" vertical="center"/>
    </xf>
    <xf numFmtId="0" fontId="41"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3" fillId="13" borderId="10" xfId="41" applyBorder="1">
      <alignment horizontal="left" vertical="center"/>
    </xf>
    <xf numFmtId="0" fontId="43" fillId="13" borderId="12" xfId="41" applyBorder="1">
      <alignment horizontal="left" vertical="center"/>
    </xf>
    <xf numFmtId="0" fontId="43" fillId="13" borderId="14" xfId="41" applyBorder="1">
      <alignment horizontal="left" vertical="center"/>
    </xf>
    <xf numFmtId="0" fontId="43" fillId="13" borderId="13" xfId="41" applyBorder="1">
      <alignment horizontal="left" vertical="center"/>
    </xf>
    <xf numFmtId="0" fontId="43" fillId="13" borderId="15" xfId="41" applyBorder="1">
      <alignment horizontal="left" vertical="center"/>
    </xf>
    <xf numFmtId="0" fontId="43" fillId="13" borderId="17" xfId="41" applyBorder="1">
      <alignment horizontal="left" vertical="center"/>
    </xf>
    <xf numFmtId="0" fontId="43" fillId="13" borderId="11" xfId="41" applyBorder="1">
      <alignment horizontal="left" vertical="center"/>
    </xf>
    <xf numFmtId="0" fontId="43" fillId="13" borderId="16" xfId="41" applyBorder="1">
      <alignment horizontal="left" vertical="center"/>
    </xf>
    <xf numFmtId="0" fontId="43" fillId="13" borderId="18" xfId="41" applyBorder="1">
      <alignment horizontal="left" vertical="center"/>
    </xf>
    <xf numFmtId="0" fontId="44" fillId="13" borderId="9" xfId="41" applyFont="1" applyBorder="1">
      <alignment horizontal="left" vertical="center"/>
    </xf>
    <xf numFmtId="0" fontId="47" fillId="4" borderId="0" xfId="61">
      <alignment horizontal="left" vertical="center"/>
    </xf>
    <xf numFmtId="0" fontId="46" fillId="4" borderId="0" xfId="60">
      <alignment horizontal="left" vertical="center"/>
    </xf>
    <xf numFmtId="0" fontId="48" fillId="4" borderId="1" xfId="8" applyFont="1" applyBorder="1">
      <alignment horizontal="left" vertical="center"/>
    </xf>
    <xf numFmtId="0" fontId="49" fillId="4" borderId="1" xfId="8" applyFont="1" applyBorder="1">
      <alignment horizontal="left" vertical="center"/>
    </xf>
    <xf numFmtId="0" fontId="50"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3" fillId="4" borderId="0" xfId="62">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5" fillId="11" borderId="0" xfId="63">
      <alignment horizontal="center" vertical="center"/>
    </xf>
    <xf numFmtId="0" fontId="39" fillId="4" borderId="0" xfId="8" applyAlignment="1">
      <alignment horizontal="center" vertical="center"/>
    </xf>
    <xf numFmtId="0" fontId="43" fillId="13" borderId="9" xfId="41" applyBorder="1">
      <alignment horizontal="left" vertical="center"/>
    </xf>
    <xf numFmtId="0" fontId="55"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0" fillId="0" borderId="0" xfId="0" applyAlignment="1">
      <alignment vertical="center"/>
    </xf>
    <xf numFmtId="0" fontId="13" fillId="6" borderId="0" xfId="30">
      <alignment horizontal="center" vertical="center"/>
      <protection locked="0"/>
    </xf>
    <xf numFmtId="0" fontId="56" fillId="15" borderId="2" xfId="66">
      <alignment horizontal="center" vertical="center"/>
    </xf>
    <xf numFmtId="0" fontId="57" fillId="14" borderId="2" xfId="65">
      <alignment horizontal="center" vertical="center"/>
    </xf>
    <xf numFmtId="0" fontId="39" fillId="4" borderId="0" xfId="8" applyAlignment="1">
      <alignment horizontal="left" vertical="center" wrapText="1"/>
    </xf>
    <xf numFmtId="0" fontId="0" fillId="0" borderId="0" xfId="0" applyAlignment="1">
      <alignment wrapText="1"/>
    </xf>
    <xf numFmtId="0" fontId="2" fillId="0" borderId="2" xfId="59">
      <alignment horizontal="center" vertical="center"/>
    </xf>
    <xf numFmtId="0" fontId="58" fillId="4" borderId="2" xfId="67">
      <alignment horizontal="left" vertical="center"/>
    </xf>
    <xf numFmtId="0" fontId="35" fillId="4" borderId="2" xfId="68">
      <alignment horizontal="left" vertical="center"/>
    </xf>
    <xf numFmtId="0" fontId="40" fillId="4" borderId="1" xfId="8" applyFont="1" applyBorder="1">
      <alignment horizontal="left" vertical="center"/>
    </xf>
    <xf numFmtId="0" fontId="6" fillId="4" borderId="1" xfId="12" applyBorder="1">
      <alignment horizontal="left" vertical="center" indent="1"/>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9" fontId="2" fillId="0" borderId="2" xfId="17">
      <alignment horizontal="center" vertical="center"/>
    </xf>
    <xf numFmtId="170" fontId="8" fillId="4" borderId="0" xfId="10" applyNumberFormat="1">
      <alignment horizontal="center" vertical="center"/>
    </xf>
    <xf numFmtId="0" fontId="61" fillId="9" borderId="0" xfId="33" applyFont="1" applyFill="1"/>
    <xf numFmtId="0" fontId="39" fillId="9" borderId="0" xfId="8" applyFill="1">
      <alignment horizontal="left" vertical="center"/>
    </xf>
    <xf numFmtId="0" fontId="0" fillId="9" borderId="0" xfId="0" applyFill="1"/>
    <xf numFmtId="0" fontId="17" fillId="11" borderId="0" xfId="32" applyFill="1">
      <alignment vertical="center"/>
    </xf>
    <xf numFmtId="0" fontId="44"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4" fontId="2" fillId="0" borderId="2" xfId="18">
      <alignment horizontal="center" vertical="center"/>
    </xf>
    <xf numFmtId="0" fontId="43" fillId="13" borderId="9" xfId="41" quotePrefix="1" applyBorder="1">
      <alignment horizontal="left" vertical="center"/>
    </xf>
    <xf numFmtId="3" fontId="35" fillId="4" borderId="2" xfId="43">
      <alignment horizontal="center" vertical="center"/>
    </xf>
    <xf numFmtId="0" fontId="31" fillId="0" borderId="0" xfId="0" applyFont="1"/>
    <xf numFmtId="0" fontId="0" fillId="4" borderId="1" xfId="0" applyFill="1" applyBorder="1"/>
    <xf numFmtId="0" fontId="0" fillId="4" borderId="1" xfId="0" applyFill="1" applyBorder="1" applyAlignment="1">
      <alignment vertical="center"/>
    </xf>
    <xf numFmtId="3" fontId="35" fillId="4" borderId="2" xfId="68" applyNumberFormat="1">
      <alignment horizontal="left" vertical="center"/>
    </xf>
    <xf numFmtId="0" fontId="35" fillId="4" borderId="6" xfId="55" applyBorder="1">
      <alignment horizontal="center" vertical="center"/>
    </xf>
    <xf numFmtId="0" fontId="0" fillId="4" borderId="0" xfId="0" quotePrefix="1" applyFill="1"/>
    <xf numFmtId="0" fontId="62" fillId="4" borderId="1" xfId="0" applyFont="1" applyFill="1" applyBorder="1"/>
    <xf numFmtId="0" fontId="64" fillId="4" borderId="1" xfId="0" applyFont="1" applyFill="1" applyBorder="1"/>
    <xf numFmtId="171" fontId="8" fillId="4" borderId="0" xfId="10" applyNumberFormat="1">
      <alignment horizontal="center" vertical="center"/>
    </xf>
    <xf numFmtId="0" fontId="65" fillId="9" borderId="5" xfId="36" applyFont="1">
      <alignment horizontal="left" vertical="center" indent="1"/>
    </xf>
    <xf numFmtId="0" fontId="18" fillId="0" borderId="0" xfId="34"/>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79">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8"/>
      <tableStyleElement type="headerRow" dxfId="77"/>
      <tableStyleElement type="totalRow" dxfId="76"/>
      <tableStyleElement type="firstColumn" dxfId="75"/>
      <tableStyleElement type="firstRowStripe" dxfId="74"/>
      <tableStyleElement type="secondRowStripe" dxfId="73"/>
    </tableStyle>
    <tableStyle name="Equation table" pivot="0" count="6" xr9:uid="{B247698E-E41D-4CCD-AA0A-C14817E9DE65}">
      <tableStyleElement type="wholeTable" dxfId="72"/>
      <tableStyleElement type="headerRow" dxfId="71"/>
      <tableStyleElement type="totalRow" dxfId="70"/>
      <tableStyleElement type="firstColumn" dxfId="69"/>
      <tableStyleElement type="firstRowStripe" dxfId="68"/>
      <tableStyleElement type="secondRowStripe" dxfId="67"/>
    </tableStyle>
    <tableStyle name="Table Style 1" pivot="0" count="0" xr9:uid="{97B370DB-5463-4A31-9160-5A96BD6A559D}"/>
  </tableStyles>
  <colors>
    <mruColors>
      <color rgb="FF0C769E"/>
      <color rgb="FFC44340"/>
      <color rgb="FFFFCCCC"/>
      <color rgb="FFCC660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 /><Relationship Id="rId13" Type="http://schemas.openxmlformats.org/officeDocument/2006/relationships/worksheet" Target="worksheets/sheet13.xml" /><Relationship Id="rId18" Type="http://schemas.openxmlformats.org/officeDocument/2006/relationships/sharedStrings" Target="sharedStrings.xml" /><Relationship Id="rId26" Type="http://schemas.openxmlformats.org/officeDocument/2006/relationships/customXml" Target="../customXml/item2.xml" /><Relationship Id="rId3" Type="http://schemas.openxmlformats.org/officeDocument/2006/relationships/worksheet" Target="worksheets/sheet3.xml" /><Relationship Id="rId21" Type="http://schemas.microsoft.com/office/2017/06/relationships/rdRichValue" Target="richData/rdrichvalue.xml" /><Relationship Id="rId7" Type="http://schemas.openxmlformats.org/officeDocument/2006/relationships/worksheet" Target="worksheets/sheet7.xml" /><Relationship Id="rId12" Type="http://schemas.openxmlformats.org/officeDocument/2006/relationships/worksheet" Target="worksheets/sheet12.xml" /><Relationship Id="rId17" Type="http://schemas.openxmlformats.org/officeDocument/2006/relationships/styles" Target="styles.xml" /><Relationship Id="rId25" Type="http://schemas.openxmlformats.org/officeDocument/2006/relationships/customXml" Target="../customXml/item1.xml" /><Relationship Id="rId2" Type="http://schemas.openxmlformats.org/officeDocument/2006/relationships/worksheet" Target="worksheets/sheet2.xml" /><Relationship Id="rId16" Type="http://schemas.openxmlformats.org/officeDocument/2006/relationships/theme" Target="theme/theme1.xml" /><Relationship Id="rId20" Type="http://schemas.microsoft.com/office/2022/10/relationships/richValueRel" Target="richData/richValueRel.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worksheet" Target="worksheets/sheet11.xml" /><Relationship Id="rId24" Type="http://schemas.openxmlformats.org/officeDocument/2006/relationships/calcChain" Target="calcChain.xml" /><Relationship Id="rId5" Type="http://schemas.openxmlformats.org/officeDocument/2006/relationships/worksheet" Target="worksheets/sheet5.xml" /><Relationship Id="rId23" Type="http://schemas.microsoft.com/office/2017/06/relationships/rdRichValueTypes" Target="richData/rdRichValueTypes.xml" /><Relationship Id="rId28" Type="http://schemas.openxmlformats.org/officeDocument/2006/relationships/customXml" Target="../customXml/item4.xml" /><Relationship Id="rId10" Type="http://schemas.openxmlformats.org/officeDocument/2006/relationships/worksheet" Target="worksheets/sheet10.xml" /><Relationship Id="rId19" Type="http://schemas.openxmlformats.org/officeDocument/2006/relationships/sheetMetadata" Target="metadata.xml" /><Relationship Id="rId4" Type="http://schemas.openxmlformats.org/officeDocument/2006/relationships/worksheet" Target="worksheets/sheet4.xml" /><Relationship Id="rId9" Type="http://schemas.openxmlformats.org/officeDocument/2006/relationships/worksheet" Target="worksheets/sheet9.xml" /><Relationship Id="rId14" Type="http://schemas.openxmlformats.org/officeDocument/2006/relationships/worksheet" Target="worksheets/sheet14.xml" /><Relationship Id="rId22" Type="http://schemas.microsoft.com/office/2017/06/relationships/rdRichValueStructure" Target="richData/rdrichvaluestructure.xml" /><Relationship Id="rId27" Type="http://schemas.openxmlformats.org/officeDocument/2006/relationships/customXml" Target="../customXml/item3.xml" /></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6.3.1.1-2 Leaching and runoff'!D28"/><Relationship Id="rId3" Type="http://schemas.openxmlformats.org/officeDocument/2006/relationships/hyperlink" Target="#'6.1.1.1-2 Crop residue N2O'!M5"/><Relationship Id="rId7" Type="http://schemas.openxmlformats.org/officeDocument/2006/relationships/hyperlink" Target="#'6.3.1.1-2 Leaching and runoff'!D5"/><Relationship Id="rId2" Type="http://schemas.openxmlformats.org/officeDocument/2006/relationships/hyperlink" Target="#'6.1.1.1-2 Crop residue N2O'!D28"/><Relationship Id="rId1" Type="http://schemas.openxmlformats.org/officeDocument/2006/relationships/hyperlink" Target="#'6.1.1.1-2 Crop residue N2O'!D5"/><Relationship Id="rId6" Type="http://schemas.openxmlformats.org/officeDocument/2006/relationships/hyperlink" Target="#'6.2.1.1-2 Pasture residue N2O'!D25"/><Relationship Id="rId11" Type="http://schemas.openxmlformats.org/officeDocument/2006/relationships/hyperlink" Target="#'6.4.1.1-2 Residue burning'!D48"/><Relationship Id="rId5" Type="http://schemas.openxmlformats.org/officeDocument/2006/relationships/hyperlink" Target="#'6.2.1.1-2 Pasture residue N2O'!D5"/><Relationship Id="rId10" Type="http://schemas.openxmlformats.org/officeDocument/2006/relationships/hyperlink" Target="#'6.4.1.1-2 Residue burning'!D25"/><Relationship Id="rId4" Type="http://schemas.openxmlformats.org/officeDocument/2006/relationships/hyperlink" Target="#'6.1.1.1-2 Crop residue N2O'!M24"/><Relationship Id="rId9" Type="http://schemas.openxmlformats.org/officeDocument/2006/relationships/hyperlink" Target="#'6.4.1.1-2 Residue burning'!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6.1.1.1-2 </a:t>
          </a:r>
          <a:br>
            <a:rPr lang="en-AU" sz="1400" b="0">
              <a:solidFill>
                <a:srgbClr val="0C769E"/>
              </a:solidFill>
            </a:rPr>
          </a:br>
          <a:r>
            <a:rPr lang="en-AU" sz="1400" b="0">
              <a:solidFill>
                <a:srgbClr val="0C769E"/>
              </a:solidFill>
            </a:rPr>
            <a:t>Crop residue N2O</a:t>
          </a:r>
        </a:p>
      </xdr:txBody>
    </xdr:sp>
    <xdr:clientData/>
  </xdr:oneCellAnchor>
  <xdr:twoCellAnchor>
    <xdr:from>
      <xdr:col>3</xdr:col>
      <xdr:colOff>110835</xdr:colOff>
      <xdr:row>18</xdr:row>
      <xdr:rowOff>13855</xdr:rowOff>
    </xdr:from>
    <xdr:to>
      <xdr:col>5</xdr:col>
      <xdr:colOff>403635</xdr:colOff>
      <xdr:row>20</xdr:row>
      <xdr:rowOff>238555</xdr:rowOff>
    </xdr:to>
    <xdr:sp macro="" textlink="'6.1.1.1-2 Crop residue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46049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C8F877F-2135-416A-A46F-CAABBC04AD48}" type="TxLink">
            <a:rPr lang="en-US" sz="1000" b="0" i="0" u="none" strike="noStrike">
              <a:solidFill>
                <a:srgbClr val="0C769E"/>
              </a:solidFill>
              <a:latin typeface="Times New Roman"/>
              <a:cs typeface="Times New Roman"/>
            </a:rPr>
            <a:pPr algn="ctr"/>
            <a:t>Mass of nitrogen in crop residues returned to the soil</a:t>
          </a:fld>
          <a:endParaRPr lang="en-AU" sz="1000">
            <a:solidFill>
              <a:srgbClr val="0C769E"/>
            </a:solidFill>
          </a:endParaRPr>
        </a:p>
      </xdr:txBody>
    </xdr:sp>
    <xdr:clientData/>
  </xdr:twoCellAnchor>
  <xdr:twoCellAnchor>
    <xdr:from>
      <xdr:col>3</xdr:col>
      <xdr:colOff>110835</xdr:colOff>
      <xdr:row>28</xdr:row>
      <xdr:rowOff>7421</xdr:rowOff>
    </xdr:from>
    <xdr:to>
      <xdr:col>5</xdr:col>
      <xdr:colOff>403635</xdr:colOff>
      <xdr:row>32</xdr:row>
      <xdr:rowOff>96821</xdr:rowOff>
    </xdr:to>
    <xdr:sp macro="" textlink="'6.1.1.1-2 Crop residue N2O'!D28">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0749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6A8866F-96CC-4485-B727-458D801885D1}" type="TxLink">
            <a:rPr lang="en-US" sz="1000" b="1" i="0" u="none" strike="noStrike">
              <a:solidFill>
                <a:srgbClr val="0C769E"/>
              </a:solidFill>
              <a:latin typeface="Times New Roman"/>
              <a:cs typeface="Times New Roman"/>
            </a:rPr>
            <a:pPr algn="ctr"/>
            <a:t>Nitrous oxide emissions from the return of crop residues across all crops c to the soil</a:t>
          </a:fld>
          <a:endParaRPr lang="en-AU" sz="1000" b="1">
            <a:solidFill>
              <a:srgbClr val="0C769E"/>
            </a:solidFill>
          </a:endParaRPr>
        </a:p>
      </xdr:txBody>
    </xdr:sp>
    <xdr:clientData/>
  </xdr:twoCellAnchor>
  <xdr:twoCellAnchor>
    <xdr:from>
      <xdr:col>5</xdr:col>
      <xdr:colOff>212519</xdr:colOff>
      <xdr:row>10</xdr:row>
      <xdr:rowOff>242454</xdr:rowOff>
    </xdr:from>
    <xdr:to>
      <xdr:col>7</xdr:col>
      <xdr:colOff>505319</xdr:colOff>
      <xdr:row>13</xdr:row>
      <xdr:rowOff>94600</xdr:rowOff>
    </xdr:to>
    <xdr:sp macro="" textlink="'6.1.1.1-2 Crop residue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08244" y="2852304"/>
          <a:ext cx="1512000" cy="595096"/>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981765707">
                <a:custGeom>
                  <a:avLst/>
                  <a:gdLst>
                    <a:gd name="csX0" fmla="*/ 0 w 1512000"/>
                    <a:gd name="csY0" fmla="*/ 0 h 595096"/>
                    <a:gd name="csX1" fmla="*/ 1512000 w 1512000"/>
                    <a:gd name="csY1" fmla="*/ 0 h 595096"/>
                    <a:gd name="csX2" fmla="*/ 1512000 w 1512000"/>
                    <a:gd name="csY2" fmla="*/ 595096 h 595096"/>
                    <a:gd name="csX3" fmla="*/ 0 w 1512000"/>
                    <a:gd name="csY3" fmla="*/ 595096 h 595096"/>
                    <a:gd name="csX4" fmla="*/ 0 w 1512000"/>
                    <a:gd name="csY4" fmla="*/ 0 h 595096"/>
                  </a:gdLst>
                  <a:ahLst/>
                  <a:cxnLst>
                    <a:cxn ang="0">
                      <a:pos x="csX0" y="csY0"/>
                    </a:cxn>
                    <a:cxn ang="0">
                      <a:pos x="csX1" y="csY1"/>
                    </a:cxn>
                    <a:cxn ang="0">
                      <a:pos x="csX2" y="csY2"/>
                    </a:cxn>
                    <a:cxn ang="0">
                      <a:pos x="csX3" y="csY3"/>
                    </a:cxn>
                    <a:cxn ang="0">
                      <a:pos x="csX4" y="csY4"/>
                    </a:cxn>
                  </a:cxnLst>
                  <a:rect l="l" t="t" r="r" b="b"/>
                  <a:pathLst>
                    <a:path w="1512000" h="595096" fill="none" extrusionOk="0">
                      <a:moveTo>
                        <a:pt x="0" y="0"/>
                      </a:moveTo>
                      <a:cubicBezTo>
                        <a:pt x="351985" y="-88655"/>
                        <a:pt x="1321200" y="53433"/>
                        <a:pt x="1512000" y="0"/>
                      </a:cubicBezTo>
                      <a:cubicBezTo>
                        <a:pt x="1475347" y="147579"/>
                        <a:pt x="1504401" y="300380"/>
                        <a:pt x="1512000" y="595096"/>
                      </a:cubicBezTo>
                      <a:cubicBezTo>
                        <a:pt x="952601" y="693766"/>
                        <a:pt x="586528" y="489720"/>
                        <a:pt x="0" y="595096"/>
                      </a:cubicBezTo>
                      <a:cubicBezTo>
                        <a:pt x="16543" y="485270"/>
                        <a:pt x="26644" y="72834"/>
                        <a:pt x="0" y="0"/>
                      </a:cubicBezTo>
                      <a:close/>
                    </a:path>
                    <a:path w="1512000" h="595096" stroke="0" extrusionOk="0">
                      <a:moveTo>
                        <a:pt x="0" y="0"/>
                      </a:moveTo>
                      <a:cubicBezTo>
                        <a:pt x="741294" y="-103087"/>
                        <a:pt x="941791" y="40558"/>
                        <a:pt x="1512000" y="0"/>
                      </a:cubicBezTo>
                      <a:cubicBezTo>
                        <a:pt x="1502451" y="119951"/>
                        <a:pt x="1497496" y="405644"/>
                        <a:pt x="1512000" y="595096"/>
                      </a:cubicBezTo>
                      <a:cubicBezTo>
                        <a:pt x="919860" y="655721"/>
                        <a:pt x="526565" y="539527"/>
                        <a:pt x="0" y="595096"/>
                      </a:cubicBezTo>
                      <a:cubicBezTo>
                        <a:pt x="28147" y="429756"/>
                        <a:pt x="17071" y="29533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4AB987F-AD2C-407E-808B-9D3DB3AFA73C}" type="TxLink">
            <a:rPr lang="en-US" sz="1000" b="0" i="0" u="none" strike="noStrike">
              <a:solidFill>
                <a:srgbClr val="0C769E"/>
              </a:solidFill>
              <a:latin typeface="Times New Roman"/>
              <a:cs typeface="Times New Roman"/>
            </a:rPr>
            <a:pPr algn="ctr"/>
            <a:t>Fraction of crop residue that is removed for crop c, calculated where residues are baled</a:t>
          </a:fld>
          <a:endParaRPr lang="en-AU" sz="1000">
            <a:solidFill>
              <a:srgbClr val="0C769E"/>
            </a:solidFill>
          </a:endParaRPr>
        </a:p>
      </xdr:txBody>
    </xdr:sp>
    <xdr:clientData/>
  </xdr:twoCellAnchor>
  <xdr:twoCellAnchor>
    <xdr:from>
      <xdr:col>5</xdr:col>
      <xdr:colOff>212519</xdr:colOff>
      <xdr:row>14</xdr:row>
      <xdr:rowOff>18104</xdr:rowOff>
    </xdr:from>
    <xdr:to>
      <xdr:col>7</xdr:col>
      <xdr:colOff>505319</xdr:colOff>
      <xdr:row>16</xdr:row>
      <xdr:rowOff>183124</xdr:rowOff>
    </xdr:to>
    <xdr:sp macro="" textlink="'6.1.1.1-2 Crop residue N2O'!#REF!">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08244" y="3618554"/>
          <a:ext cx="1512000" cy="660320"/>
        </a:xfrm>
        <a:prstGeom prst="rect">
          <a:avLst/>
        </a:prstGeom>
        <a:solidFill>
          <a:schemeClr val="lt1"/>
        </a:solidFill>
        <a:ln w="9525" cmpd="sng">
          <a:solidFill>
            <a:srgbClr val="0C769E"/>
          </a:solidFill>
          <a:prstDash val="dash"/>
          <a:extLst>
            <a:ext uri="{C807C97D-BFC1-408E-A445-0C87EB9F89A2}">
              <ask:lineSketchStyleProps xmlns:ask="http://schemas.microsoft.com/office/drawing/2018/sketchyshapes" sd="1219033472">
                <a:custGeom>
                  <a:avLst/>
                  <a:gdLst>
                    <a:gd name="csX0" fmla="*/ 0 w 1512000"/>
                    <a:gd name="csY0" fmla="*/ 0 h 660320"/>
                    <a:gd name="csX1" fmla="*/ 1512000 w 1512000"/>
                    <a:gd name="csY1" fmla="*/ 0 h 660320"/>
                    <a:gd name="csX2" fmla="*/ 1512000 w 1512000"/>
                    <a:gd name="csY2" fmla="*/ 660320 h 660320"/>
                    <a:gd name="csX3" fmla="*/ 0 w 1512000"/>
                    <a:gd name="csY3" fmla="*/ 660320 h 660320"/>
                    <a:gd name="csX4" fmla="*/ 0 w 1512000"/>
                    <a:gd name="csY4" fmla="*/ 0 h 660320"/>
                  </a:gdLst>
                  <a:ahLst/>
                  <a:cxnLst>
                    <a:cxn ang="0">
                      <a:pos x="csX0" y="csY0"/>
                    </a:cxn>
                    <a:cxn ang="0">
                      <a:pos x="csX1" y="csY1"/>
                    </a:cxn>
                    <a:cxn ang="0">
                      <a:pos x="csX2" y="csY2"/>
                    </a:cxn>
                    <a:cxn ang="0">
                      <a:pos x="csX3" y="csY3"/>
                    </a:cxn>
                    <a:cxn ang="0">
                      <a:pos x="csX4" y="csY4"/>
                    </a:cxn>
                  </a:cxnLst>
                  <a:rect l="l" t="t" r="r" b="b"/>
                  <a:pathLst>
                    <a:path w="1512000" h="660320" fill="none" extrusionOk="0">
                      <a:moveTo>
                        <a:pt x="0" y="0"/>
                      </a:moveTo>
                      <a:cubicBezTo>
                        <a:pt x="735012" y="-48253"/>
                        <a:pt x="915414" y="66151"/>
                        <a:pt x="1512000" y="0"/>
                      </a:cubicBezTo>
                      <a:cubicBezTo>
                        <a:pt x="1455180" y="212826"/>
                        <a:pt x="1478967" y="480100"/>
                        <a:pt x="1512000" y="660320"/>
                      </a:cubicBezTo>
                      <a:cubicBezTo>
                        <a:pt x="1082717" y="531929"/>
                        <a:pt x="551777" y="600135"/>
                        <a:pt x="0" y="660320"/>
                      </a:cubicBezTo>
                      <a:cubicBezTo>
                        <a:pt x="40189" y="566168"/>
                        <a:pt x="-7720" y="246070"/>
                        <a:pt x="0" y="0"/>
                      </a:cubicBezTo>
                      <a:close/>
                    </a:path>
                    <a:path w="1512000" h="660320" stroke="0" extrusionOk="0">
                      <a:moveTo>
                        <a:pt x="0" y="0"/>
                      </a:moveTo>
                      <a:cubicBezTo>
                        <a:pt x="179393" y="31125"/>
                        <a:pt x="886742" y="-53428"/>
                        <a:pt x="1512000" y="0"/>
                      </a:cubicBezTo>
                      <a:cubicBezTo>
                        <a:pt x="1489907" y="293155"/>
                        <a:pt x="1455842" y="478481"/>
                        <a:pt x="1512000" y="660320"/>
                      </a:cubicBezTo>
                      <a:cubicBezTo>
                        <a:pt x="926750" y="708840"/>
                        <a:pt x="543592" y="643764"/>
                        <a:pt x="0" y="660320"/>
                      </a:cubicBezTo>
                      <a:cubicBezTo>
                        <a:pt x="52058" y="452402"/>
                        <a:pt x="-25266" y="212204"/>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1898658-55FF-4CEA-BA46-AFAB02210E5A}" type="TxLink">
            <a:rPr lang="en-US" sz="1000" b="0" i="0" u="none" strike="noStrike">
              <a:solidFill>
                <a:srgbClr val="0C769E"/>
              </a:solidFill>
              <a:latin typeface="Times New Roman"/>
              <a:cs typeface="Times New Roman"/>
            </a:rPr>
            <a:pPr algn="ctr"/>
            <a:t> </a:t>
          </a:fld>
          <a:endParaRPr lang="en-AU" sz="1000">
            <a:solidFill>
              <a:srgbClr val="0C769E"/>
            </a:solidFill>
          </a:endParaRPr>
        </a:p>
      </xdr:txBody>
    </xdr:sp>
    <xdr:clientData/>
  </xdr:twoCellAnchor>
  <xdr:oneCellAnchor>
    <xdr:from>
      <xdr:col>5</xdr:col>
      <xdr:colOff>404388</xdr:colOff>
      <xdr:row>9</xdr:row>
      <xdr:rowOff>139552</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300113" y="2501752"/>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8</xdr:col>
      <xdr:colOff>425587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61501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6.2.1.1-2 </a:t>
          </a:r>
          <a:br>
            <a:rPr lang="en-AU" sz="1400" b="0">
              <a:solidFill>
                <a:schemeClr val="accent5">
                  <a:lumMod val="75000"/>
                </a:schemeClr>
              </a:solidFill>
            </a:rPr>
          </a:br>
          <a:r>
            <a:rPr lang="en-AU" sz="1400" b="0">
              <a:solidFill>
                <a:schemeClr val="accent5">
                  <a:lumMod val="75000"/>
                </a:schemeClr>
              </a:solidFill>
            </a:rPr>
            <a:t>Pasture</a:t>
          </a:r>
          <a:r>
            <a:rPr lang="en-AU" sz="1400" b="0" baseline="0">
              <a:solidFill>
                <a:schemeClr val="accent5">
                  <a:lumMod val="75000"/>
                </a:schemeClr>
              </a:solidFill>
            </a:rPr>
            <a:t> residue N2O</a:t>
          </a:r>
          <a:endParaRPr lang="en-AU" sz="1400" b="0">
            <a:solidFill>
              <a:schemeClr val="accent5">
                <a:lumMod val="75000"/>
              </a:schemeClr>
            </a:solidFill>
          </a:endParaRPr>
        </a:p>
      </xdr:txBody>
    </xdr:sp>
    <xdr:clientData/>
  </xdr:oneCellAnchor>
  <xdr:twoCellAnchor>
    <xdr:from>
      <xdr:col>8</xdr:col>
      <xdr:colOff>604405</xdr:colOff>
      <xdr:row>9</xdr:row>
      <xdr:rowOff>113433</xdr:rowOff>
    </xdr:from>
    <xdr:to>
      <xdr:col>11</xdr:col>
      <xdr:colOff>287605</xdr:colOff>
      <xdr:row>12</xdr:row>
      <xdr:rowOff>90483</xdr:rowOff>
    </xdr:to>
    <xdr:sp macro="" textlink="'6.2.1.1-2 Pasture residue N2O'!D5">
      <xdr:nvSpPr>
        <xdr:cNvPr id="21" name="TextBox 20">
          <a:hlinkClick xmlns:r="http://schemas.openxmlformats.org/officeDocument/2006/relationships" r:id="rId5"/>
          <a:extLst>
            <a:ext uri="{FF2B5EF4-FFF2-40B4-BE49-F238E27FC236}">
              <a16:creationId xmlns:a16="http://schemas.microsoft.com/office/drawing/2014/main" id="{8C71CDED-7203-4C08-A42F-C497846ACCAF}"/>
            </a:ext>
          </a:extLst>
        </xdr:cNvPr>
        <xdr:cNvSpPr txBox="1"/>
      </xdr:nvSpPr>
      <xdr:spPr>
        <a:xfrm>
          <a:off x="63289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8D72C6-034D-43A6-BC4D-ED6DBD8D8AD9}" type="TxLink">
            <a:rPr lang="en-US" sz="1000" b="0" i="0" u="none" strike="noStrike">
              <a:solidFill>
                <a:schemeClr val="accent5">
                  <a:lumMod val="75000"/>
                </a:schemeClr>
              </a:solidFill>
              <a:latin typeface="Times New Roman"/>
              <a:cs typeface="Times New Roman"/>
            </a:rPr>
            <a:pPr algn="ctr"/>
            <a:t>Mass of nitrogen in pasture residues returned to the soil</a:t>
          </a:fld>
          <a:endParaRPr lang="en-AU" sz="1000">
            <a:solidFill>
              <a:schemeClr val="accent5">
                <a:lumMod val="75000"/>
              </a:schemeClr>
            </a:solidFill>
          </a:endParaRPr>
        </a:p>
      </xdr:txBody>
    </xdr:sp>
    <xdr:clientData/>
  </xdr:twoCellAnchor>
  <xdr:twoCellAnchor>
    <xdr:from>
      <xdr:col>8</xdr:col>
      <xdr:colOff>604405</xdr:colOff>
      <xdr:row>27</xdr:row>
      <xdr:rowOff>245546</xdr:rowOff>
    </xdr:from>
    <xdr:to>
      <xdr:col>11</xdr:col>
      <xdr:colOff>287605</xdr:colOff>
      <xdr:row>32</xdr:row>
      <xdr:rowOff>87296</xdr:rowOff>
    </xdr:to>
    <xdr:sp macro="" textlink="'6.2.1.1-2 Pasture residue N2O'!D25">
      <xdr:nvSpPr>
        <xdr:cNvPr id="22" name="TextBox 21">
          <a:hlinkClick xmlns:r="http://schemas.openxmlformats.org/officeDocument/2006/relationships" r:id="rId6"/>
          <a:extLst>
            <a:ext uri="{FF2B5EF4-FFF2-40B4-BE49-F238E27FC236}">
              <a16:creationId xmlns:a16="http://schemas.microsoft.com/office/drawing/2014/main" id="{7F32EBC4-93BF-46D3-9370-FCED2B7ACD11}"/>
            </a:ext>
          </a:extLst>
        </xdr:cNvPr>
        <xdr:cNvSpPr txBox="1"/>
      </xdr:nvSpPr>
      <xdr:spPr>
        <a:xfrm>
          <a:off x="6328930" y="70654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37A85A-DCD3-4A55-B19B-4B30DFFCEFEC}" type="TxLink">
            <a:rPr lang="en-US" sz="1000" b="1" i="0" u="none" strike="noStrike">
              <a:solidFill>
                <a:schemeClr val="accent5">
                  <a:lumMod val="75000"/>
                </a:schemeClr>
              </a:solidFill>
              <a:latin typeface="Times New Roman"/>
              <a:cs typeface="Times New Roman"/>
            </a:rPr>
            <a:pPr algn="ctr"/>
            <a:t>Nitrous oxide emissions from the return of pasture residues from all pasture types to the soil</a:t>
          </a:fld>
          <a:endParaRPr lang="en-AU" sz="1000" b="1">
            <a:solidFill>
              <a:schemeClr val="accent5">
                <a:lumMod val="75000"/>
              </a:schemeClr>
            </a:solidFill>
          </a:endParaRPr>
        </a:p>
      </xdr:txBody>
    </xdr:sp>
    <xdr:clientData/>
  </xdr:twoCellAnchor>
  <xdr:twoCellAnchor>
    <xdr:from>
      <xdr:col>10</xdr:col>
      <xdr:colOff>134856</xdr:colOff>
      <xdr:row>12</xdr:row>
      <xdr:rowOff>96832</xdr:rowOff>
    </xdr:from>
    <xdr:to>
      <xdr:col>10</xdr:col>
      <xdr:colOff>147556</xdr:colOff>
      <xdr:row>28</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5150024" y="5130539"/>
          <a:ext cx="38698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12</xdr:col>
      <xdr:colOff>504825</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8667750"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6.3.1.1-2 </a:t>
          </a:r>
          <a:br>
            <a:rPr lang="en-AU" sz="1400" b="0">
              <a:solidFill>
                <a:srgbClr val="7030A0"/>
              </a:solidFill>
            </a:rPr>
          </a:br>
          <a:r>
            <a:rPr lang="en-AU" sz="1400" b="0">
              <a:solidFill>
                <a:srgbClr val="7030A0"/>
              </a:solidFill>
            </a:rPr>
            <a:t>Leaching and runoff</a:t>
          </a:r>
        </a:p>
      </xdr:txBody>
    </xdr:sp>
    <xdr:clientData/>
  </xdr:oneCellAnchor>
  <xdr:twoCellAnchor>
    <xdr:from>
      <xdr:col>13</xdr:col>
      <xdr:colOff>71004</xdr:colOff>
      <xdr:row>23</xdr:row>
      <xdr:rowOff>122958</xdr:rowOff>
    </xdr:from>
    <xdr:to>
      <xdr:col>15</xdr:col>
      <xdr:colOff>363804</xdr:colOff>
      <xdr:row>26</xdr:row>
      <xdr:rowOff>100008</xdr:rowOff>
    </xdr:to>
    <xdr:sp macro="" textlink="'6.3.1.1-2 Leaching and runoff'!D5">
      <xdr:nvSpPr>
        <xdr:cNvPr id="26" name="TextBox 25">
          <a:hlinkClick xmlns:r="http://schemas.openxmlformats.org/officeDocument/2006/relationships" r:id="rId7"/>
          <a:extLst>
            <a:ext uri="{FF2B5EF4-FFF2-40B4-BE49-F238E27FC236}">
              <a16:creationId xmlns:a16="http://schemas.microsoft.com/office/drawing/2014/main" id="{DBEED495-A986-4806-A242-51BB4242F564}"/>
            </a:ext>
          </a:extLst>
        </xdr:cNvPr>
        <xdr:cNvSpPr txBox="1"/>
      </xdr:nvSpPr>
      <xdr:spPr>
        <a:xfrm>
          <a:off x="8843529" y="59522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DD3B76-7745-47A2-8A6A-9C455BAAC583}" type="TxLink">
            <a:rPr lang="en-US" sz="1000" b="0" i="0" u="none" strike="noStrike">
              <a:solidFill>
                <a:srgbClr val="7030A0"/>
              </a:solidFill>
              <a:latin typeface="Times New Roman"/>
              <a:cs typeface="Times New Roman"/>
            </a:rPr>
            <a:pPr algn="ctr"/>
            <a:t>Mass of nitrogen lost through leaching and runoff</a:t>
          </a:fld>
          <a:endParaRPr lang="en-AU" sz="1000">
            <a:solidFill>
              <a:srgbClr val="7030A0"/>
            </a:solidFill>
          </a:endParaRPr>
        </a:p>
      </xdr:txBody>
    </xdr:sp>
    <xdr:clientData/>
  </xdr:twoCellAnchor>
  <xdr:twoCellAnchor>
    <xdr:from>
      <xdr:col>13</xdr:col>
      <xdr:colOff>71005</xdr:colOff>
      <xdr:row>27</xdr:row>
      <xdr:rowOff>236021</xdr:rowOff>
    </xdr:from>
    <xdr:to>
      <xdr:col>15</xdr:col>
      <xdr:colOff>363805</xdr:colOff>
      <xdr:row>32</xdr:row>
      <xdr:rowOff>77771</xdr:rowOff>
    </xdr:to>
    <xdr:sp macro="" textlink="'6.3.1.1-2 Leaching and runoff'!D28">
      <xdr:nvSpPr>
        <xdr:cNvPr id="27" name="TextBox 26">
          <a:hlinkClick xmlns:r="http://schemas.openxmlformats.org/officeDocument/2006/relationships" r:id="rId8"/>
          <a:extLst>
            <a:ext uri="{FF2B5EF4-FFF2-40B4-BE49-F238E27FC236}">
              <a16:creationId xmlns:a16="http://schemas.microsoft.com/office/drawing/2014/main" id="{8CEAD9A6-E131-42B7-B4B1-243C02C15E43}"/>
            </a:ext>
          </a:extLst>
        </xdr:cNvPr>
        <xdr:cNvSpPr txBox="1"/>
      </xdr:nvSpPr>
      <xdr:spPr>
        <a:xfrm>
          <a:off x="8843530" y="70559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522ECB4-5552-4D48-9A15-1E47087F67BD}" type="TxLink">
            <a:rPr lang="en-US" sz="1000" b="1" i="0" u="none" strike="noStrike">
              <a:solidFill>
                <a:srgbClr val="7030A0"/>
              </a:solidFill>
              <a:latin typeface="Times New Roman"/>
              <a:cs typeface="Times New Roman"/>
            </a:rPr>
            <a:pPr algn="ctr"/>
            <a:t>Nitrous oxide leaching and runoff emissions from crop and pasture residues returned to the soil</a:t>
          </a:fld>
          <a:endParaRPr lang="en-AU" sz="1000" b="1">
            <a:solidFill>
              <a:srgbClr val="7030A0"/>
            </a:solidFill>
          </a:endParaRPr>
        </a:p>
      </xdr:txBody>
    </xdr:sp>
    <xdr:clientData/>
  </xdr:twoCellAnchor>
  <xdr:twoCellAnchor>
    <xdr:from>
      <xdr:col>14</xdr:col>
      <xdr:colOff>217404</xdr:colOff>
      <xdr:row>26</xdr:row>
      <xdr:rowOff>100007</xdr:rowOff>
    </xdr:from>
    <xdr:to>
      <xdr:col>14</xdr:col>
      <xdr:colOff>217405</xdr:colOff>
      <xdr:row>27</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9407698" y="6864088"/>
          <a:ext cx="3836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17</xdr:col>
      <xdr:colOff>390526</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11601451"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6.4.1.1-2 </a:t>
          </a:r>
          <a:br>
            <a:rPr lang="en-AU" sz="1400" b="0">
              <a:solidFill>
                <a:srgbClr val="C44340"/>
              </a:solidFill>
            </a:rPr>
          </a:br>
          <a:r>
            <a:rPr lang="en-AU" sz="1400" b="0">
              <a:solidFill>
                <a:srgbClr val="C44340"/>
              </a:solidFill>
            </a:rPr>
            <a:t>Residue burning</a:t>
          </a:r>
        </a:p>
      </xdr:txBody>
    </xdr:sp>
    <xdr:clientData/>
  </xdr:oneCellAnchor>
  <xdr:twoCellAnchor>
    <xdr:from>
      <xdr:col>17</xdr:col>
      <xdr:colOff>424792</xdr:colOff>
      <xdr:row>9</xdr:row>
      <xdr:rowOff>94383</xdr:rowOff>
    </xdr:from>
    <xdr:to>
      <xdr:col>20</xdr:col>
      <xdr:colOff>107992</xdr:colOff>
      <xdr:row>12</xdr:row>
      <xdr:rowOff>71433</xdr:rowOff>
    </xdr:to>
    <xdr:sp macro="" textlink="'6.4.1.1-2 Residue burning'!D5">
      <xdr:nvSpPr>
        <xdr:cNvPr id="31" name="TextBox 30">
          <a:hlinkClick xmlns:r="http://schemas.openxmlformats.org/officeDocument/2006/relationships" r:id="rId9"/>
          <a:extLst>
            <a:ext uri="{FF2B5EF4-FFF2-40B4-BE49-F238E27FC236}">
              <a16:creationId xmlns:a16="http://schemas.microsoft.com/office/drawing/2014/main" id="{B5CF1D1D-0430-4BEE-94E5-D4D9B7088BE2}"/>
            </a:ext>
          </a:extLst>
        </xdr:cNvPr>
        <xdr:cNvSpPr txBox="1"/>
      </xdr:nvSpPr>
      <xdr:spPr>
        <a:xfrm>
          <a:off x="11635717"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E42A1A8-2A3C-4DBD-AD3F-9F5B046B1CD5}" type="TxLink">
            <a:rPr lang="en-US" sz="1000" b="0" i="0" u="none" strike="noStrike">
              <a:solidFill>
                <a:srgbClr val="C00000"/>
              </a:solidFill>
              <a:latin typeface="Times New Roman"/>
              <a:cs typeface="Times New Roman"/>
            </a:rPr>
            <a:pPr algn="ctr"/>
            <a:t>Mass of residue of crop c burnt</a:t>
          </a:fld>
          <a:endParaRPr lang="en-AU" sz="1000" b="1">
            <a:solidFill>
              <a:srgbClr val="C00000"/>
            </a:solidFill>
          </a:endParaRPr>
        </a:p>
      </xdr:txBody>
    </xdr:sp>
    <xdr:clientData/>
  </xdr:twoCellAnchor>
  <xdr:twoCellAnchor>
    <xdr:from>
      <xdr:col>16</xdr:col>
      <xdr:colOff>423430</xdr:colOff>
      <xdr:row>27</xdr:row>
      <xdr:rowOff>236021</xdr:rowOff>
    </xdr:from>
    <xdr:to>
      <xdr:col>19</xdr:col>
      <xdr:colOff>106630</xdr:colOff>
      <xdr:row>32</xdr:row>
      <xdr:rowOff>77771</xdr:rowOff>
    </xdr:to>
    <xdr:sp macro="" textlink="'6.4.1.1-2 Residue burning'!D25">
      <xdr:nvSpPr>
        <xdr:cNvPr id="9" name="TextBox 8">
          <a:hlinkClick xmlns:r="http://schemas.openxmlformats.org/officeDocument/2006/relationships" r:id="rId10"/>
          <a:extLst>
            <a:ext uri="{FF2B5EF4-FFF2-40B4-BE49-F238E27FC236}">
              <a16:creationId xmlns:a16="http://schemas.microsoft.com/office/drawing/2014/main" id="{E2D7A35D-5983-462E-9E84-1DD45E71FD24}"/>
            </a:ext>
          </a:extLst>
        </xdr:cNvPr>
        <xdr:cNvSpPr txBox="1"/>
      </xdr:nvSpPr>
      <xdr:spPr>
        <a:xfrm>
          <a:off x="110247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61EFC4B-FCD2-47CD-B816-D94744160E77}" type="TxLink">
            <a:rPr lang="en-US" sz="1000" b="1" i="0" u="none" strike="noStrike">
              <a:solidFill>
                <a:srgbClr val="C00000"/>
              </a:solidFill>
              <a:latin typeface="Times New Roman"/>
              <a:cs typeface="Times New Roman"/>
            </a:rPr>
            <a:pPr algn="ctr"/>
            <a:t>Nitrous oxide emissions from the burning of crop residues</a:t>
          </a:fld>
          <a:endParaRPr lang="en-AU" sz="1000" b="1">
            <a:solidFill>
              <a:srgbClr val="C00000"/>
            </a:solidFill>
          </a:endParaRPr>
        </a:p>
      </xdr:txBody>
    </xdr:sp>
    <xdr:clientData/>
  </xdr:twoCellAnchor>
  <xdr:twoCellAnchor>
    <xdr:from>
      <xdr:col>19</xdr:col>
      <xdr:colOff>271030</xdr:colOff>
      <xdr:row>27</xdr:row>
      <xdr:rowOff>236021</xdr:rowOff>
    </xdr:from>
    <xdr:to>
      <xdr:col>21</xdr:col>
      <xdr:colOff>563830</xdr:colOff>
      <xdr:row>32</xdr:row>
      <xdr:rowOff>77771</xdr:rowOff>
    </xdr:to>
    <xdr:sp macro="" textlink="'6.4.1.1-2 Residue burning'!D48">
      <xdr:nvSpPr>
        <xdr:cNvPr id="11" name="TextBox 10">
          <a:hlinkClick xmlns:r="http://schemas.openxmlformats.org/officeDocument/2006/relationships" r:id="rId11"/>
          <a:extLst>
            <a:ext uri="{FF2B5EF4-FFF2-40B4-BE49-F238E27FC236}">
              <a16:creationId xmlns:a16="http://schemas.microsoft.com/office/drawing/2014/main" id="{E67335F8-C5A7-4B82-B51E-9764E59BA89A}"/>
            </a:ext>
          </a:extLst>
        </xdr:cNvPr>
        <xdr:cNvSpPr txBox="1"/>
      </xdr:nvSpPr>
      <xdr:spPr>
        <a:xfrm>
          <a:off x="12701155" y="7055921"/>
          <a:ext cx="1512000" cy="1080000"/>
        </a:xfrm>
        <a:prstGeom prst="rect">
          <a:avLst/>
        </a:prstGeom>
        <a:solidFill>
          <a:schemeClr val="lt1"/>
        </a:solidFill>
        <a:ln w="9525" cmpd="sng">
          <a:solidFill>
            <a:srgbClr val="C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6AD2B7-57B9-4EB1-9726-F2BB398BB068}" type="TxLink">
            <a:rPr lang="en-US" sz="1000" b="1" i="0" u="none" strike="noStrike">
              <a:solidFill>
                <a:srgbClr val="C00000"/>
              </a:solidFill>
              <a:latin typeface="Times New Roman"/>
              <a:cs typeface="Times New Roman"/>
            </a:rPr>
            <a:pPr algn="ctr"/>
            <a:t>Methane emissions from the burning of crop residues</a:t>
          </a:fld>
          <a:endParaRPr lang="en-AU" sz="1000" b="1">
            <a:solidFill>
              <a:srgbClr val="C00000"/>
            </a:solidFill>
          </a:endParaRPr>
        </a:p>
      </xdr:txBody>
    </xdr:sp>
    <xdr:clientData/>
  </xdr:twoCellAnchor>
  <xdr:twoCellAnchor>
    <xdr:from>
      <xdr:col>6</xdr:col>
      <xdr:colOff>352569</xdr:colOff>
      <xdr:row>13</xdr:row>
      <xdr:rowOff>100950</xdr:rowOff>
    </xdr:from>
    <xdr:to>
      <xdr:col>6</xdr:col>
      <xdr:colOff>365269</xdr:colOff>
      <xdr:row>14</xdr:row>
      <xdr:rowOff>24454</xdr:rowOff>
    </xdr:to>
    <xdr:cxnSp macro="">
      <xdr:nvCxnSpPr>
        <xdr:cNvPr id="15" name="Connector: Curved 14">
          <a:extLst>
            <a:ext uri="{FF2B5EF4-FFF2-40B4-BE49-F238E27FC236}">
              <a16:creationId xmlns:a16="http://schemas.microsoft.com/office/drawing/2014/main" id="{A1AB2F3D-3B64-8201-90B1-43DD7D3A21D9}"/>
            </a:ext>
          </a:extLst>
        </xdr:cNvPr>
        <xdr:cNvCxnSpPr>
          <a:stCxn id="10" idx="2"/>
          <a:endCxn id="12" idx="0"/>
        </xdr:cNvCxnSpPr>
      </xdr:nvCxnSpPr>
      <xdr:spPr>
        <a:xfrm rot="5400000">
          <a:off x="4778667" y="3532977"/>
          <a:ext cx="171154" cy="12700"/>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16</xdr:row>
      <xdr:rowOff>183123</xdr:rowOff>
    </xdr:from>
    <xdr:to>
      <xdr:col>6</xdr:col>
      <xdr:colOff>358920</xdr:colOff>
      <xdr:row>18</xdr:row>
      <xdr:rowOff>13854</xdr:rowOff>
    </xdr:to>
    <xdr:cxnSp macro="">
      <xdr:nvCxnSpPr>
        <xdr:cNvPr id="23" name="Connector: Curved 22">
          <a:extLst>
            <a:ext uri="{FF2B5EF4-FFF2-40B4-BE49-F238E27FC236}">
              <a16:creationId xmlns:a16="http://schemas.microsoft.com/office/drawing/2014/main" id="{4E5A1D22-7D48-3A65-7E21-61760AB44463}"/>
            </a:ext>
          </a:extLst>
        </xdr:cNvPr>
        <xdr:cNvCxnSpPr>
          <a:stCxn id="12" idx="2"/>
          <a:endCxn id="5" idx="0"/>
        </xdr:cNvCxnSpPr>
      </xdr:nvCxnSpPr>
      <xdr:spPr>
        <a:xfrm rot="5400000">
          <a:off x="4040787" y="3781447"/>
          <a:ext cx="326031" cy="132088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250885</xdr:colOff>
      <xdr:row>20</xdr:row>
      <xdr:rowOff>244905</xdr:rowOff>
    </xdr:from>
    <xdr:to>
      <xdr:col>4</xdr:col>
      <xdr:colOff>263585</xdr:colOff>
      <xdr:row>28</xdr:row>
      <xdr:rowOff>13771</xdr:rowOff>
    </xdr:to>
    <xdr:cxnSp macro="">
      <xdr:nvCxnSpPr>
        <xdr:cNvPr id="34" name="Connector: Curved 33">
          <a:extLst>
            <a:ext uri="{FF2B5EF4-FFF2-40B4-BE49-F238E27FC236}">
              <a16:creationId xmlns:a16="http://schemas.microsoft.com/office/drawing/2014/main" id="{DC594EE4-C581-961D-8C60-672FC7C9C76E}"/>
            </a:ext>
          </a:extLst>
        </xdr:cNvPr>
        <xdr:cNvCxnSpPr>
          <a:stCxn id="5" idx="2"/>
          <a:endCxn id="6" idx="0"/>
        </xdr:cNvCxnSpPr>
      </xdr:nvCxnSpPr>
      <xdr:spPr>
        <a:xfrm rot="5400000">
          <a:off x="2668327" y="6199938"/>
          <a:ext cx="17500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257235</xdr:colOff>
      <xdr:row>20</xdr:row>
      <xdr:rowOff>238554</xdr:rowOff>
    </xdr:from>
    <xdr:to>
      <xdr:col>14</xdr:col>
      <xdr:colOff>217404</xdr:colOff>
      <xdr:row>23</xdr:row>
      <xdr:rowOff>122957</xdr:rowOff>
    </xdr:to>
    <xdr:cxnSp macro="">
      <xdr:nvCxnSpPr>
        <xdr:cNvPr id="38" name="Connector: Curved 37">
          <a:extLst>
            <a:ext uri="{FF2B5EF4-FFF2-40B4-BE49-F238E27FC236}">
              <a16:creationId xmlns:a16="http://schemas.microsoft.com/office/drawing/2014/main" id="{5EA60C04-25B3-630C-14E4-3BFF4C1F8F59}"/>
            </a:ext>
          </a:extLst>
        </xdr:cNvPr>
        <xdr:cNvCxnSpPr>
          <a:stCxn id="5" idx="2"/>
          <a:endCxn id="26" idx="0"/>
        </xdr:cNvCxnSpPr>
      </xdr:nvCxnSpPr>
      <xdr:spPr>
        <a:xfrm rot="16200000" flipH="1">
          <a:off x="6257768" y="2610496"/>
          <a:ext cx="627353" cy="605616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141205</xdr:colOff>
      <xdr:row>12</xdr:row>
      <xdr:rowOff>90482</xdr:rowOff>
    </xdr:from>
    <xdr:to>
      <xdr:col>14</xdr:col>
      <xdr:colOff>217404</xdr:colOff>
      <xdr:row>23</xdr:row>
      <xdr:rowOff>122957</xdr:rowOff>
    </xdr:to>
    <xdr:cxnSp macro="">
      <xdr:nvCxnSpPr>
        <xdr:cNvPr id="51" name="Connector: Curved 50">
          <a:extLst>
            <a:ext uri="{FF2B5EF4-FFF2-40B4-BE49-F238E27FC236}">
              <a16:creationId xmlns:a16="http://schemas.microsoft.com/office/drawing/2014/main" id="{29656220-1623-68CD-E3AC-28B599DD10A5}"/>
            </a:ext>
          </a:extLst>
        </xdr:cNvPr>
        <xdr:cNvCxnSpPr>
          <a:stCxn id="21" idx="2"/>
          <a:endCxn id="26" idx="0"/>
        </xdr:cNvCxnSpPr>
      </xdr:nvCxnSpPr>
      <xdr:spPr>
        <a:xfrm rot="16200000" flipH="1">
          <a:off x="6963917" y="3316645"/>
          <a:ext cx="2756625" cy="2514599"/>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569830</xdr:colOff>
      <xdr:row>12</xdr:row>
      <xdr:rowOff>71433</xdr:rowOff>
    </xdr:from>
    <xdr:to>
      <xdr:col>18</xdr:col>
      <xdr:colOff>571192</xdr:colOff>
      <xdr:row>27</xdr:row>
      <xdr:rowOff>236021</xdr:rowOff>
    </xdr:to>
    <xdr:cxnSp macro="">
      <xdr:nvCxnSpPr>
        <xdr:cNvPr id="60" name="Connector: Curved 59">
          <a:extLst>
            <a:ext uri="{FF2B5EF4-FFF2-40B4-BE49-F238E27FC236}">
              <a16:creationId xmlns:a16="http://schemas.microsoft.com/office/drawing/2014/main" id="{02E48B0B-1811-62DF-A16A-AF6EEE8BCBC7}"/>
            </a:ext>
          </a:extLst>
        </xdr:cNvPr>
        <xdr:cNvCxnSpPr>
          <a:stCxn id="31" idx="2"/>
          <a:endCxn id="9" idx="0"/>
        </xdr:cNvCxnSpPr>
      </xdr:nvCxnSpPr>
      <xdr:spPr>
        <a:xfrm rot="5400000">
          <a:off x="10146567" y="4810771"/>
          <a:ext cx="3879338" cy="610962"/>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571192</xdr:colOff>
      <xdr:row>12</xdr:row>
      <xdr:rowOff>71433</xdr:rowOff>
    </xdr:from>
    <xdr:to>
      <xdr:col>20</xdr:col>
      <xdr:colOff>417430</xdr:colOff>
      <xdr:row>27</xdr:row>
      <xdr:rowOff>236021</xdr:rowOff>
    </xdr:to>
    <xdr:cxnSp macro="">
      <xdr:nvCxnSpPr>
        <xdr:cNvPr id="62" name="Connector: Curved 61">
          <a:extLst>
            <a:ext uri="{FF2B5EF4-FFF2-40B4-BE49-F238E27FC236}">
              <a16:creationId xmlns:a16="http://schemas.microsoft.com/office/drawing/2014/main" id="{30B7DB86-05BE-4A2F-7008-A1FB09FE1B91}"/>
            </a:ext>
          </a:extLst>
        </xdr:cNvPr>
        <xdr:cNvCxnSpPr>
          <a:stCxn id="31" idx="2"/>
          <a:endCxn id="11" idx="0"/>
        </xdr:cNvCxnSpPr>
      </xdr:nvCxnSpPr>
      <xdr:spPr>
        <a:xfrm rot="16200000" flipH="1">
          <a:off x="10984767" y="4583533"/>
          <a:ext cx="3879338" cy="1065438"/>
        </a:xfrm>
        <a:prstGeom prst="curvedConnector3">
          <a:avLst/>
        </a:prstGeom>
        <a:ln>
          <a:solidFill>
            <a:srgbClr val="C4434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12</xdr:col>
      <xdr:colOff>28575</xdr:colOff>
      <xdr:row>7</xdr:row>
      <xdr:rowOff>71437</xdr:rowOff>
    </xdr:from>
    <xdr:ext cx="1604735" cy="35843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5" name="TextBox 4">
              <a:extLst>
                <a:ext uri="{FF2B5EF4-FFF2-40B4-BE49-F238E27FC236}">
                  <a16:creationId xmlns:a16="http://schemas.microsoft.com/office/drawing/2014/main" id="{685D1849-53C9-4184-8A25-27A0186CA50B}"/>
                </a:ext>
              </a:extLst>
            </xdr:cNvPr>
            <xdr:cNvSpPr txBox="1"/>
          </xdr:nvSpPr>
          <xdr:spPr>
            <a:xfrm>
              <a:off x="4752975" y="2185987"/>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7</xdr:row>
      <xdr:rowOff>147637</xdr:rowOff>
    </xdr:from>
    <xdr:ext cx="5559406" cy="16536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8" name="TextBox 7">
              <a:extLst>
                <a:ext uri="{FF2B5EF4-FFF2-40B4-BE49-F238E27FC236}">
                  <a16:creationId xmlns:a16="http://schemas.microsoft.com/office/drawing/2014/main" id="{D28AAA60-64FA-4C36-8C37-1AE42DDEEDB2}"/>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3</xdr:col>
      <xdr:colOff>19050</xdr:colOff>
      <xdr:row>30</xdr:row>
      <xdr:rowOff>28575</xdr:rowOff>
    </xdr:from>
    <xdr:ext cx="2260682" cy="31290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e>
                        </m:d>
                      </m:e>
                    </m:nary>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8148D317-F4F6-4497-B5E3-463A180290EB}"/>
                </a:ext>
              </a:extLst>
            </xdr:cNvPr>
            <xdr:cNvSpPr txBox="1"/>
          </xdr:nvSpPr>
          <xdr:spPr>
            <a:xfrm>
              <a:off x="2695575" y="7591425"/>
              <a:ext cx="226068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𝐸=∑10_𝑐▒(𝑀_𝑐×𝐸𝐹_𝑁 ) ×𝐶_(𝑔,𝑁2𝑂)×10^(−3)</a:t>
              </a:r>
              <a:endParaRPr lang="en-AU" sz="1100"/>
            </a:p>
          </xdr:txBody>
        </xdr:sp>
      </mc:Fallback>
    </mc:AlternateContent>
    <xdr:clientData/>
  </xdr:oneCellAnchor>
  <xdr:oneCellAnchor>
    <xdr:from>
      <xdr:col>11</xdr:col>
      <xdr:colOff>295275</xdr:colOff>
      <xdr:row>26</xdr:row>
      <xdr:rowOff>147637</xdr:rowOff>
    </xdr:from>
    <xdr:ext cx="5559406" cy="165366"/>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12" name="TextBox 11">
              <a:extLst>
                <a:ext uri="{FF2B5EF4-FFF2-40B4-BE49-F238E27FC236}">
                  <a16:creationId xmlns:a16="http://schemas.microsoft.com/office/drawing/2014/main" id="{7244AF32-384C-4E03-A9DD-02ABB8EF5C7D}"/>
                </a:ext>
              </a:extLst>
            </xdr:cNvPr>
            <xdr:cNvSpPr txBox="1"/>
          </xdr:nvSpPr>
          <xdr:spPr>
            <a:xfrm>
              <a:off x="2657475" y="2014537"/>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12</xdr:col>
      <xdr:colOff>19050</xdr:colOff>
      <xdr:row>49</xdr:row>
      <xdr:rowOff>28575</xdr:rowOff>
    </xdr:from>
    <xdr:ext cx="2111860" cy="410753"/>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13" name="TextBox 12">
              <a:extLst>
                <a:ext uri="{FF2B5EF4-FFF2-40B4-BE49-F238E27FC236}">
                  <a16:creationId xmlns:a16="http://schemas.microsoft.com/office/drawing/2014/main" id="{A21E8323-D262-4FF3-A521-E7179D5C755B}"/>
                </a:ext>
              </a:extLst>
            </xdr:cNvPr>
            <xdr:cNvSpPr txBox="1"/>
          </xdr:nvSpPr>
          <xdr:spPr>
            <a:xfrm>
              <a:off x="2695575" y="759142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5CAF87B3-701F-4DE6-B7EF-7B18C084416E}"/>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𝐸_𝑁2𝑂=∑10_𝑝▒(𝑀_𝑝×𝐸𝐹_𝑁𝑖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5" name="TextBox 4">
              <a:extLst>
                <a:ext uri="{FF2B5EF4-FFF2-40B4-BE49-F238E27FC236}">
                  <a16:creationId xmlns:a16="http://schemas.microsoft.com/office/drawing/2014/main" id="{52EA7C64-AD79-4CE0-B83A-35BC2360A266}"/>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79595E21-FF86-43A2-9573-647953AF1605}"/>
                </a:ext>
              </a:extLst>
            </xdr:cNvPr>
            <xdr:cNvSpPr txBox="1"/>
          </xdr:nvSpPr>
          <xdr:spPr>
            <a:xfrm>
              <a:off x="26003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968D220-90DE-48A9-90C2-1DAB676B920B}"/>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246DCD0-83A0-4E05-A131-CEF316CE933C}"/>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𝐸_𝑁2𝑂=∑10_𝑐▒∑10_𝑝▒(𝑀_(𝑙𝑒𝑎𝑐ℎ,𝑐𝑝)×𝐸𝐹_𝑙𝑒𝑎𝑐ℎ×𝐶_𝑁2𝑂×10^(−3)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E7BC0C9D-B2A1-45ED-BCF8-A636C21DC4E1}"/>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0B38EF1-0963-419D-B2D7-A466CBA289EE}"/>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04CA73E8-3080-4A75-8326-054126D0B35E}"/>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3150799-7504-42BF-9B20-CA0C359EA61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75DE2AA7-4C7B-4657-AD41-E51AF8ABBD98}"/>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27</xdr:row>
      <xdr:rowOff>28575</xdr:rowOff>
    </xdr:from>
    <xdr:ext cx="3330079"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B935B8C-49BA-4FE1-908F-9B84A7830754}"/>
                </a:ext>
              </a:extLst>
            </xdr:cNvPr>
            <xdr:cNvSpPr txBox="1"/>
          </xdr:nvSpPr>
          <xdr:spPr>
            <a:xfrm>
              <a:off x="2662237" y="6848475"/>
              <a:ext cx="3330079"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𝐸_𝑁2𝑂=∑10_𝑐▒(𝑀_(𝑏𝑢𝑟𝑛,𝑐)×𝑁𝐶_𝐴𝐺𝑐 ) ×𝐸𝐹_𝑁2𝑂×𝐶_𝑁2𝑂×10^(−3)</a:t>
              </a:r>
              <a:endParaRPr lang="en-AU" sz="1100"/>
            </a:p>
          </xdr:txBody>
        </xdr:sp>
      </mc:Fallback>
    </mc:AlternateContent>
    <xdr:clientData/>
  </xdr:oneCellAnchor>
  <xdr:oneCellAnchor>
    <xdr:from>
      <xdr:col>2</xdr:col>
      <xdr:colOff>300037</xdr:colOff>
      <xdr:row>50</xdr:row>
      <xdr:rowOff>28575</xdr:rowOff>
    </xdr:from>
    <xdr:ext cx="3148105" cy="31290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e>
                        </m:d>
                      </m:e>
                    </m:nary>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1536FF2F-7E95-4B3D-B650-98D67BFF5193}"/>
                </a:ext>
              </a:extLst>
            </xdr:cNvPr>
            <xdr:cNvSpPr txBox="1"/>
          </xdr:nvSpPr>
          <xdr:spPr>
            <a:xfrm>
              <a:off x="2662237" y="12544425"/>
              <a:ext cx="3148105"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𝐸_𝐶𝐻4=∑10_𝑐▒(𝑀_(𝑏𝑢𝑟𝑛,𝑐)×𝐶𝐶_𝑐 ) ×𝐸𝐹_𝐶𝐻4×𝐶_𝐶𝐻4×10^(−3)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5F7211C-A71E-4F6D-A358-4E6EB133956B}"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1EC8425C-19BD-4F2B-BE37-5A6C190FA54F}" name="Crop type">
      <calculatedColumnFormula array="1">Common_InputFunctions.Utility_DisplayArrayInTable(Agresidue_SourceData.CropAttributes_Data(),Table_SourceData_CropAttributes[[#Headers],[Crop type]], -1)</calculatedColumnFormula>
    </tableColumn>
    <tableColumn id="2" xr3:uid="{CBEF375B-D817-45D6-849F-65178CB10FFE}" name="Residue: Crop ratio">
      <calculatedColumnFormula array="1">Common_InputFunctions.Utility_DisplayArrayInTable(Agresidue_SourceData.CropAttributes_Data(),Table_SourceData_CropAttributes[[#Headers],[Crop type]], -1)</calculatedColumnFormula>
    </tableColumn>
    <tableColumn id="3" xr3:uid="{B65386B8-01B5-4086-9D4F-090882108C07}" name="Below-ground: above-ground residue ratio">
      <calculatedColumnFormula array="1">Common_InputFunctions.Utility_DisplayArrayInTable(Agresidue_SourceData.CropAttributes_Data(),Table_SourceData_CropAttributes[[#Headers],[Crop type]], -1)</calculatedColumnFormula>
    </tableColumn>
    <tableColumn id="4" xr3:uid="{C9DB41EE-18C0-487A-B25B-E90C0A14F2C3}" name="Dry matter content">
      <calculatedColumnFormula array="1">Common_InputFunctions.Utility_DisplayArrayInTable(Agresidue_SourceData.CropAttributes_Data(),Table_SourceData_CropAttributes[[#Headers],[Crop type]], -1)</calculatedColumnFormula>
    </tableColumn>
    <tableColumn id="5" xr3:uid="{18C569B1-AAF4-4080-8509-D4AC5E59D253}" name="Carbon fraction in dry matter">
      <calculatedColumnFormula array="1">Common_InputFunctions.Utility_DisplayArrayInTable(Agresidue_SourceData.CropAttributes_Data(),Table_SourceData_CropAttributes[[#Headers],[Crop type]], -1)</calculatedColumnFormula>
    </tableColumn>
    <tableColumn id="6" xr3:uid="{29C03DA2-AA0C-4396-A223-37D62FD0A77C}" name="N content above-ground">
      <calculatedColumnFormula array="1">Common_InputFunctions.Utility_DisplayArrayInTable(Agresidue_SourceData.CropAttributes_Data(),Table_SourceData_CropAttributes[[#Headers],[Crop type]], -1)</calculatedColumnFormula>
    </tableColumn>
    <tableColumn id="7" xr3:uid="{E04BBA94-5C0E-4F1C-A813-456293B55F71}" name="N content below-ground">
      <calculatedColumnFormula array="1">Common_InputFunctions.Utility_DisplayArrayInTable(Agresidue_SourceData.CropAttributes_Data(),Table_SourceData_CropAttributes[[#Headers],[Crop type]], -1)</calculatedColumnFormula>
    </tableColumn>
    <tableColumn id="8" xr3:uid="{4455E2B9-7BA4-478A-8050-879C5AEF8411}"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40821647-085A-4F22-8E0F-4CAA40A363E6}"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CD0B032-9881-4EF1-81E3-483C7C16D9D0}" name="Table76" displayName="Table76" ref="D73:F89" totalsRowShown="0">
  <autoFilter ref="D73:F89" xr:uid="{7CD0B032-9881-4EF1-81E3-483C7C16D9D0}">
    <filterColumn colId="0" hiddenButton="1"/>
    <filterColumn colId="1" hiddenButton="1"/>
    <filterColumn colId="2" hiddenButton="1"/>
  </autoFilter>
  <tableColumns count="3">
    <tableColumn id="1" xr3:uid="{6FD2CE65-BF9A-4E21-A9CE-80870270DECD}" name="Crop type c">
      <calculatedColumnFormula array="1">Common_InputFunctions.Utility_DisplayArrayInTable(Agresidue_SourceData.CropFractionRemoved_Data(), Table76[[#Headers],[Crop type c]], 0)</calculatedColumnFormula>
    </tableColumn>
    <tableColumn id="2" xr3:uid="{3CAAA707-49F5-4EAC-B48E-E8DC1B8205E1}" name="State" dataDxfId="66">
      <calculatedColumnFormula array="1">Common_InputFunctions.Utility_DisplayArrayInTable(Agresidue_SourceData.CropFractionRemoved_Data(), Table76[[#Headers],[Crop type c]], 0)</calculatedColumnFormula>
    </tableColumn>
    <tableColumn id="3" xr3:uid="{BB1819D3-B175-4610-A8F6-4C85437820E5}" name="Fraction removed" dataDxfId="65">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FA7CC86-1C1E-41FA-9AA1-AAD48AA2EEF0}" name="Table77" displayName="Table77" ref="D92:F235" totalsRowShown="0">
  <autoFilter ref="D92:F235" xr:uid="{1FA7CC86-1C1E-41FA-9AA1-AAD48AA2EEF0}">
    <filterColumn colId="0" hiddenButton="1"/>
    <filterColumn colId="1" hiddenButton="1"/>
    <filterColumn colId="2" hiddenButton="1"/>
  </autoFilter>
  <tableColumns count="3">
    <tableColumn id="1" xr3:uid="{049E50B7-80D0-4C4A-AACF-92CF67DE19B6}" name="Crop type c">
      <calculatedColumnFormula array="1">Common_InputFunctions.Utility_DisplayArrayInTable(Agresidue_SourceData.CropFractionRemoved_CustomisedData(), Table77[[#Headers],[Crop type c]], 0)</calculatedColumnFormula>
    </tableColumn>
    <tableColumn id="2" xr3:uid="{8664DFEF-27FD-41CC-8EAA-DB47D755C823}" name="State" dataDxfId="64">
      <calculatedColumnFormula array="1">Common_InputFunctions.Utility_DisplayArrayInTable(Agresidue_SourceData.CropFractionRemoved_CustomisedData(), Table77[[#Headers],[Crop type c]], 0)</calculatedColumnFormula>
    </tableColumn>
    <tableColumn id="3" xr3:uid="{D6D9A758-CEA4-4B65-BD5F-735FB1C52F87}" name="Fraction removed" dataDxfId="63">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2270AB6D-D03A-4D71-95C0-00BA6BB02732}" name="Table_SourceData_N2OEFOrganicFert" displayName="Table_SourceData_N2OEFOrganicFert" ref="D43:E45" totalsRowShown="0" dataDxfId="62" dataCellStyle="Content bold">
  <autoFilter ref="D43:E45" xr:uid="{2270AB6D-D03A-4D71-95C0-00BA6BB02732}">
    <filterColumn colId="0" hiddenButton="1"/>
    <filterColumn colId="1" hiddenButton="1"/>
  </autoFilter>
  <tableColumns count="2">
    <tableColumn id="1" xr3:uid="{C1F5DE5C-442A-47C8-B53B-A669D141AC48}" name="Climate zone type i" dataDxfId="61" dataCellStyle="Content bold">
      <calculatedColumnFormula array="1">Common_InputFunctions.Utility_DisplayArrayInTable(Agresidue_SourceData.N2OEFOrganicFertiliser_Data(), Table_SourceData_N2OEFOrganicFert[[#Headers],[Climate zone type i]], 0)</calculatedColumnFormula>
    </tableColumn>
    <tableColumn id="2" xr3:uid="{0B992E9C-FEE4-422E-9A8F-E4AA59791F47}" name="EF i N2O" dataDxfId="60"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AE5C0F-BD48-43B0-80A1-E554D23A8F67}" name="Table_SourceData_PastureAttributes" displayName="Table_SourceData_PastureAttributes" ref="D51:I56" totalsRowShown="0" dataDxfId="59"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1838B418-F6EE-47A1-B9FC-0647B6C84134}" name="Pasture type" dataDxfId="58" dataCellStyle="Content normal">
      <calculatedColumnFormula array="1">Common_InputFunctions.Utility_DisplayArrayInTable(Agresidue_SourceData.PastureAttributes_Data(), Table_SourceData_PastureAttributes[[#Headers],[Pasture type]], 0)</calculatedColumnFormula>
    </tableColumn>
    <tableColumn id="2" xr3:uid="{873E13DA-944F-4361-8ECD-8EA6A285C43B}" name="Average Yield (t DM ha) Yp" dataDxfId="57" dataCellStyle="Content normal">
      <calculatedColumnFormula array="1">Common_InputFunctions.Utility_DisplayArrayInTable(Agresidue_SourceData.PastureAttributes_Data(), Table_SourceData_PastureAttributes[[#Headers],[Pasture type]], 0)</calculatedColumnFormula>
    </tableColumn>
    <tableColumn id="3" xr3:uid="{02527ED8-93BF-4F3A-8866-8E901E417C28}" name="Below-ground: above-ground residue ratio RBGp" dataDxfId="56" dataCellStyle="Content normal">
      <calculatedColumnFormula array="1">Common_InputFunctions.Utility_DisplayArrayInTable(Agresidue_SourceData.PastureAttributes_Data(), Table_SourceData_PastureAttributes[[#Headers],[Pasture type]], 0)</calculatedColumnFormula>
    </tableColumn>
    <tableColumn id="4" xr3:uid="{E0539BAE-485C-4C9E-A978-EF37B49B7CA0}" name="N content Above-ground NCAGp" dataDxfId="55" dataCellStyle="Content normal">
      <calculatedColumnFormula array="1">Common_InputFunctions.Utility_DisplayArrayInTable(Agresidue_SourceData.PastureAttributes_Data(), Table_SourceData_PastureAttributes[[#Headers],[Pasture type]], 0)</calculatedColumnFormula>
    </tableColumn>
    <tableColumn id="5" xr3:uid="{6B8DA215-9C35-4A18-9209-8BA7D350605B}" name="N content Below-ground NCBGp" dataDxfId="54" dataCellStyle="Content normal">
      <calculatedColumnFormula array="1">Common_InputFunctions.Utility_DisplayArrayInTable(Agresidue_SourceData.PastureAttributes_Data(), Table_SourceData_PastureAttributes[[#Headers],[Pasture type]], 0)</calculatedColumnFormula>
    </tableColumn>
    <tableColumn id="6" xr3:uid="{96E943F4-C0CA-4C28-8B72-47D33522B954}" name="Fraction of pasture yield that is removed FFODp" dataDxfId="53"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F5439AB-496D-443A-987D-2B47D1EC32A7}"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AA486717-CEAE-4ABC-8844-B1C3E6D1678A}" name="Gas species">
      <calculatedColumnFormula array="1">Common_InputFunctions.Utility_DisplayArrayInTable(AgResidues_SourceData.BurningOfAgriculturalResiduesEFs_Data(), Table_SourceData_BurningResidueEFs[[#Headers],[Gas species]], 0)</calculatedColumnFormula>
    </tableColumn>
    <tableColumn id="2" xr3:uid="{79796003-A994-46BF-ACB6-AECF4F1CD710}" name="Emission factor EFg (Gg element in species/ Gg element in fuel burnt)" dataDxfId="52" dataCellStyle="Content normal">
      <calculatedColumnFormula array="1">Common_InputFunctions.Utility_DisplayArrayInTable(AgResidues_SourceData.BurningOfAgriculturalResiduesEFs_Data(), Table_SourceData_BurningResidueEFs[[#Headers],[Gas species]], 0)</calculatedColumnFormula>
    </tableColumn>
    <tableColumn id="3" xr3:uid="{981D8431-0BB9-4F9D-BDD4-ED5B545ADC76}" name="Elemental to molecular mass conversion factor (Cg)" dataDxfId="51"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2BEDD81-DD4E-48EE-9D36-B81EDA1F3FAE}" name="Table_SourceData_CropPurposeAndYields" displayName="Table_SourceData_CropPurposeAndYields" ref="D7:K10" totalsRowShown="0" headerRowDxfId="50">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C9DD535A-77F7-423C-8CFD-670236F0115D}" name="Purpose">
      <calculatedColumnFormula array="1">Common_InputFunctions.Utility_DisplayArrayInTable(Agresidue_SourceData.CropPurposeAndYield_Data(), Table_SourceData_CropPurposeAndYields[[#Headers],[Purpose]], 0)</calculatedColumnFormula>
    </tableColumn>
    <tableColumn id="2" xr3:uid="{6A0A741A-D7B1-4817-B9F8-958D74C38EDF}" name="Per hectare unit">
      <calculatedColumnFormula array="1">Common_InputFunctions.Utility_DisplayArrayInTable(Agresidue_SourceData.CropPurposeAndYield_Data(), Table_SourceData_CropPurposeAndYields[[#Headers],[Purpose]], 0)</calculatedColumnFormula>
    </tableColumn>
    <tableColumn id="3" xr3:uid="{E5AB5C25-7560-4000-AD35-65ACF06C7737}" name="harvest term">
      <calculatedColumnFormula array="1">Common_InputFunctions.Utility_DisplayArrayInTable(Agresidue_SourceData.CropPurposeAndYield_Data(), Table_SourceData_CropPurposeAndYields[[#Headers],[Purpose]], 0)</calculatedColumnFormula>
    </tableColumn>
    <tableColumn id="4" xr3:uid="{88D6F5F4-EF2C-41D4-9046-1BDB27F66663}" name="harvest endpoint">
      <calculatedColumnFormula array="1">Common_InputFunctions.Utility_DisplayArrayInTable(Agresidue_SourceData.CropPurposeAndYield_Data(), Table_SourceData_CropPurposeAndYields[[#Headers],[Purpose]], 0)</calculatedColumnFormula>
    </tableColumn>
    <tableColumn id="5" xr3:uid="{A2A11291-D805-49EA-9025-EB73C0E860E5}" name="Harvest uit">
      <calculatedColumnFormula array="1">Common_InputFunctions.Utility_DisplayArrayInTable(Agresidue_SourceData.CropPurposeAndYield_Data(), Table_SourceData_CropPurposeAndYields[[#Headers],[Purpose]], 0)</calculatedColumnFormula>
    </tableColumn>
    <tableColumn id="6" xr3:uid="{A41EC583-4AE6-4929-8E67-62D2AE655F60}" name="Yield note">
      <calculatedColumnFormula array="1">Common_InputFunctions.Utility_DisplayArrayInTable(Agresidue_SourceData.CropPurposeAndYield_Data(), Table_SourceData_CropPurposeAndYields[[#Headers],[Purpose]], 0)</calculatedColumnFormula>
    </tableColumn>
    <tableColumn id="8" xr3:uid="{8BE31AE8-A08C-4333-A86E-37C71E1829E3}" name="Residue crop ratio note">
      <calculatedColumnFormula array="1">Common_InputFunctions.Utility_DisplayArrayInTable(Agresidue_SourceData.CropPurposeAndYield_Data(), Table_SourceData_CropPurposeAndYields[[#Headers],[Purpose]], 0)</calculatedColumnFormula>
    </tableColumn>
    <tableColumn id="9" xr3:uid="{796A7FB8-5F67-4075-92BE-CF6B0CB24E24}"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AC5909E-E06C-4A79-81E9-C25A0B6D9E90}" name="Table_SourceData_Fertiliser_IrrigationMethods" displayName="Table_SourceData_Fertiliser_IrrigationMethods" ref="N21:N26" totalsRowShown="0">
  <autoFilter ref="N21:N26" xr:uid="{1AC5909E-E06C-4A79-81E9-C25A0B6D9E90}">
    <filterColumn colId="0" hiddenButton="1"/>
  </autoFilter>
  <tableColumns count="1">
    <tableColumn id="1" xr3:uid="{58E65523-E496-4D4A-BAFA-CE90F5141B0D}" name="Irrigation method"/>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DEB414C-6B7E-486E-85CF-CF1F15CF7532}"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BA5AE82-1AC4-420F-B0A2-8225E56ACA65}" name="State/Territory">
      <calculatedColumnFormula array="1">Common_InputFunctions.Utility_DisplayArrayInTable(Common_SourceData.Common_SourceData_AustralianStatesTerritories_Data(),Table_AustralianStates[[#Headers],[State/Territory]],0)</calculatedColumnFormula>
    </tableColumn>
    <tableColumn id="2" xr3:uid="{81A21DBF-43B4-4912-B5EE-1F6DB3E41763}" name="Common Name">
      <calculatedColumnFormula array="1">Common_InputFunctions.Utility_DisplayArrayInTable(Common_SourceData.Common_SourceData_AustralianStatesTerritories_Data(),Table_AustralianStates[[#Headers],[State/Territory]],0)</calculatedColumnFormula>
    </tableColumn>
    <tableColumn id="3" xr3:uid="{4A40AD1A-44D1-4BFF-B5BB-D6DBEBC7EA6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15C1560-64A7-4351-80C5-EB8EA71A8623}" name="Table_WASA4Areas" displayName="Table_WASA4Areas" ref="D20:D30" totalsRowShown="0">
  <autoFilter ref="D20:D30" xr:uid="{5FA81339-C6C8-4D36-BEEA-6C4AEDD9E676}">
    <filterColumn colId="0" hiddenButton="1"/>
  </autoFilter>
  <tableColumns count="1">
    <tableColumn id="1" xr3:uid="{E510AB02-C279-476E-B2ED-5E371EC4380E}"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53FBB84-27EB-41EA-B5A9-EA88B4D86871}" name="Table_GWPData" displayName="Table_GWPData" ref="D36:E43" totalsRowShown="0">
  <autoFilter ref="D36:E43" xr:uid="{B8E87A66-3E41-4AD3-925D-01EE21B43D7A}">
    <filterColumn colId="0" hiddenButton="1"/>
    <filterColumn colId="1" hiddenButton="1"/>
  </autoFilter>
  <tableColumns count="2">
    <tableColumn id="1" xr3:uid="{B495A6BD-B5B4-442E-A479-64EFE05023B4}" name="Gas">
      <calculatedColumnFormula array="1">Common_InputFunctions.Utility_DisplayArrayInTable(Common_SourceData.Common_SourceData_GWP_Data(), Table_GWPData[[#Headers],[Gas]], 0)</calculatedColumnFormula>
    </tableColumn>
    <tableColumn id="2" xr3:uid="{D4C7C518-B815-428B-9BB9-6F4A172F234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1FAEAD4-54F0-40B0-B1F7-9E3B9CF4F207}"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22FDC489-8E7F-403D-9F95-24BCD9B082EE}" name="Gas">
      <calculatedColumnFormula array="1">Common_InputFunctions.Utility_DisplayArrayInTable(Common_SourceData.Common_SourceData_ConvertGasElementalToMolecular_Data(),Table_GasToMolecularConversionFactor[[#Headers],[Gas]], 0)</calculatedColumnFormula>
    </tableColumn>
    <tableColumn id="5" xr3:uid="{B522D5D1-0171-46BC-9858-ED0B30F8DBFD}" name="Conversion factor">
      <calculatedColumnFormula array="1">Common_InputFunctions.Utility_DisplayArrayInTable(Common_SourceData.Common_SourceData_ConvertGasElementalToMolecular_Data(),Table_GasToMolecularConversionFactor[[#Headers],[Gas]], 0)</calculatedColumnFormula>
    </tableColumn>
    <tableColumn id="2" xr3:uid="{091C8639-29A2-43AE-86AF-26C90CA741D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0556DA5-6485-4179-9D11-693E8E59AAE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189685A-47CB-4369-8E95-E064985BD4C2}"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5AA0B62-A486-4FC2-B3B2-241B8B93B572}"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F644A4F-C58E-4D81-945B-90E2671C2B78}"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7DF8476-7B1A-46A8-B5FD-48686317F47F}"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04D64D9B-EB1A-46AA-9A15-1EE65CFA2B6F}"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B1D9C9A0-FE36-4ADB-861A-9403BE41B59A}"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56E71351-5F87-444C-A5AD-B83BAA7D2CEA}"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6E03B055-B253-44F9-83EC-88BCE714C7C0}"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46C1D4F8-872E-46CF-9B2C-2AEB0D3D4E99}"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169EC666-40D9-49E0-B976-D83011B8D1E8}"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17408B01-33D5-441A-AD69-620534B4AE50}"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A7E252B7-89A9-47EC-87A3-68B07EC233FB}"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156ECB3E-E2D0-4CD4-8CF2-C8810724F8AC}"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AE7E363B-DD1B-4DA2-95CA-3842332ACEC7}"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58E30C80-26C4-4B50-BF08-FA831D18EFF5}"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7AFB7D7-B188-42F4-8413-30312574DBC2}"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B12FA9C0-1D16-4731-A9CE-DA9D70894424}"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6B155361-A6D4-4B5D-AA9E-E55AB19DAE7F}"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6DD0FBBD-74F9-4DD2-A354-60E661C1DE4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6D4C090F-DD22-4BB7-A1B3-22CFEDB9002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D932736-D44F-4940-926E-2C62A111682B}"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75BA69F-ADF0-4447-9D3A-7ABEEF2C230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D89B304-BAFB-4234-990B-A549A60DFE99}" name="Temperature Zone">
      <calculatedColumnFormula array="1">Common_InputFunctions.Utility_DisplayArrayInTable(Common_SourceData.Common_SourceData_TemperatureZones_Data(),Table_SourceData_TemperatureZones[[#Headers],[Temperature Zone]],0)</calculatedColumnFormula>
    </tableColumn>
    <tableColumn id="2" xr3:uid="{C1DE7AC2-4C4D-4F79-B8BF-4124183642B4}" name="MAT">
      <calculatedColumnFormula array="1">Common_InputFunctions.Utility_DisplayArrayInTable(Common_SourceData.Common_SourceData_TemperatureZones_Data(),Table_SourceData_TemperatureZones[[#Headers],[Temperature Zone]],0)</calculatedColumnFormula>
    </tableColumn>
    <tableColumn id="3" xr3:uid="{2680EEDB-CBF8-427F-B130-18F85A663185}" name="Min MAT">
      <calculatedColumnFormula array="1">Common_InputFunctions.Utility_DisplayArrayInTable(Common_SourceData.Common_SourceData_TemperatureZones_Data(),Table_SourceData_TemperatureZones[[#Headers],[Temperature Zone]],0)</calculatedColumnFormula>
    </tableColumn>
    <tableColumn id="4" xr3:uid="{9D7A067E-482E-43D3-A805-5337BA4CAAE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C242A84-A663-49DA-A5A5-F663F39B4CF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C42D2E8-59F5-4E3E-B45B-53D8C6151760}" name="Rainfall Zone">
      <calculatedColumnFormula array="1">Common_InputFunctions.Utility_DisplayArrayInTable(Common_SourceData.Common_SourceData_RainfallZones_Data(),Table_SourceData_RainfallZones[[#Headers],[Rainfall Zone]],0)</calculatedColumnFormula>
    </tableColumn>
    <tableColumn id="2" xr3:uid="{9BDE7624-A961-444A-8F27-F8BFF7B69C59}" name="Annual rainfall">
      <calculatedColumnFormula array="1">Common_InputFunctions.Utility_DisplayArrayInTable(Common_SourceData.Common_SourceData_RainfallZones_Data(),Table_SourceData_RainfallZones[[#Headers],[Rainfall Zone]],0)</calculatedColumnFormula>
    </tableColumn>
    <tableColumn id="3" xr3:uid="{88E5BAEC-5F5C-48CB-B533-2345B46611B5}" name="Min rainfall">
      <calculatedColumnFormula array="1">Common_InputFunctions.Utility_DisplayArrayInTable(Common_SourceData.Common_SourceData_RainfallZones_Data(),Table_SourceData_RainfallZones[[#Headers],[Rainfall Zone]],0)</calculatedColumnFormula>
    </tableColumn>
    <tableColumn id="4" xr3:uid="{401A16D9-0AB0-4785-A870-54F34B91CAB8}"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C74FEAB-2072-4F4D-803B-62BAF1150E8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F8704DD-90B7-48FF-8451-1BF35B238DE5}" name="Leaching Zone">
      <calculatedColumnFormula array="1">Common_InputFunctions.Utility_DisplayArrayInTable(Common_SourceData.Common_SourceData_LeachingZones_Data(), Table_SourceData_LeachingZones[[#Headers],[Leaching Zone]], 0)</calculatedColumnFormula>
    </tableColumn>
    <tableColumn id="2" xr3:uid="{B211CEA6-90CC-4881-AB2B-829511AA089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14FF659-4DBF-4B53-96FD-A8F1D2CC21B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57CC14B6-A3C0-437D-B8ED-2D874DE63F2A}" name="Data source">
      <calculatedColumnFormula array="1">Common_InputFunctions.Utility_DisplayArrayInTable(Common_SourceData.Common_SourceData_DataScores_Scope3_Data(), Table_SourceData_DataScores_Scope3[[#Headers],[Data source]], 0)</calculatedColumnFormula>
    </tableColumn>
    <tableColumn id="2" xr3:uid="{5A8258EC-5A0F-4CE0-83E5-0070C44440D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CFCB3D-2D58-4F60-8919-4BFB691D0C5E}" name="Table_SourceData_FracWET" displayName="Table_SourceData_FracWET" ref="D134:E136" totalsRowShown="0">
  <autoFilter ref="D134:E136" xr:uid="{308E99BE-FE1F-47A4-B2CA-97217277C4E9}">
    <filterColumn colId="0" hiddenButton="1"/>
    <filterColumn colId="1" hiddenButton="1"/>
  </autoFilter>
  <tableColumns count="2">
    <tableColumn id="1" xr3:uid="{AC5141B2-4FE3-48C6-AA15-48EAAF1A0831}" name="Is in leaching zone">
      <calculatedColumnFormula array="1">Common_InputFunctions.Utility_DisplayArrayInTable(Common_SourceData.Common_SourceData_FracWET_Data(),Table_SourceData_FracWET[[#Headers],[Is in leaching zone]],0)</calculatedColumnFormula>
    </tableColumn>
    <tableColumn id="2" xr3:uid="{7CD9C29C-F8D2-479B-91D6-443F30695C4B}"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90675A4-E953-41EF-A374-BA3141D9A44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BD27EB40-6719-4436-8866-ED2977690CF4}" name="Production system j">
      <calculatedColumnFormula array="1">Common_InputFunctions.Utility_DisplayArrayInTable(Common_SourceData.Common_SourceData_EFN2O_Data(), Table_SourceData_Common_EFN2O[[#Headers],[Production system j]], 0)</calculatedColumnFormula>
    </tableColumn>
    <tableColumn id="2" xr3:uid="{6AE4A378-95A8-4434-BD60-0A50A98E4659}" name="EFN2O">
      <calculatedColumnFormula array="1">Common_InputFunctions.Utility_DisplayArrayInTable(Common_SourceData.Common_SourceData_EFN2O_Data(), Table_SourceData_Common_EFN2O[[#Headers],[Production system j]], 0)</calculatedColumnFormula>
    </tableColumn>
    <tableColumn id="3" xr3:uid="{2AD49734-4A8F-40EA-B373-56D1929652CB}" name="Production system only">
      <calculatedColumnFormula array="1">Common_InputFunctions.Utility_DisplayArrayInTable(Common_SourceData.Common_SourceData_EFN2O_Data(), Table_SourceData_Common_EFN2O[[#Headers],[Production system j]], 0)</calculatedColumnFormula>
    </tableColumn>
    <tableColumn id="4" xr3:uid="{F81BE8E7-9A28-4576-9335-5CCE4F58A836}" name="Irrigation method">
      <calculatedColumnFormula array="1">Common_InputFunctions.Utility_DisplayArrayInTable(Common_SourceData.Common_SourceData_EFN2O_Data(), Table_SourceData_Common_EFN2O[[#Headers],[Production system j]], 0)</calculatedColumnFormula>
    </tableColumn>
    <tableColumn id="5" xr3:uid="{026FAF7A-A3A6-4427-AD75-ACE15C3FBD49}"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CD78A2CE-1496-4343-947D-7D2B6F77424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29E08959-51E1-4DE5-8649-B070638F0D2D}" name="Irrigation type i">
      <calculatedColumnFormula array="1">Common_InputFunctions.Utility_DisplayArrayInTable(Common_SourceData.Common_SourceData_FracWETIrrigation_Data(), Table_SourceData_FracWETIrrigation[[#Headers],[Irrigation type i]], 0)</calculatedColumnFormula>
    </tableColumn>
    <tableColumn id="2" xr3:uid="{4B3626C5-E6B3-4A71-963F-2783B46938CC}"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33DCE3C-ABAF-4820-BC8C-50A9DE8D350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5693007A-B737-4BB5-B979-3E413B7FB231}"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9ADA807-9F05-4701-8E8B-207E96EC29AC}"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72849C40-301F-4B5C-80C3-91BF380CB0B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10A5EB4-29DA-416F-A1A3-91D106A67AC8}" name="Month">
      <calculatedColumnFormula array="1">Common_InputFunctions.Utility_DisplayArrayInTable(Common_SourceData.Common_SourceData_MonthsToSeasons_Data(), Table_SourceData_Common_MonthToSeason[[#Headers],[Month]], 0)</calculatedColumnFormula>
    </tableColumn>
    <tableColumn id="2" xr3:uid="{18B6D47A-01F7-4EDE-A021-EAA38E8D94C3}"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EBC1CA7-A50B-4F93-8B67-4BD2017A481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0D724B6-9926-466D-B45E-A7EE0BFC65BB}"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1971B5A-3E4E-4DFD-8E97-A144FBD9051D}"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4EFAF10-AA1A-467B-8D68-F493383A0B5C}"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C2BFA3E-8E60-4859-AFEC-388472FAA870}"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94ADBD79-3C7A-49E7-8F14-AE9C320C2E65}"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B81A9AFC-9D4A-4AFF-85E7-BAB1FE0316A4}"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E916287F-EE97-493B-8E05-E74EFC95BDAF}"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30CC95B-DBD0-4836-948D-B016B7AB2621}"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52C3FE6-35C7-4CEE-B66B-B6CBB2FA5E82}"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F534367-0791-49FF-92B9-6D00B85F93E7}"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5C00E18-6E55-427D-A096-820F87E0880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E683A4BD-B332-4864-AA5B-37223F42AE94}"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3B6C8406-7EB1-43E2-A23C-325CBE8B6F68}"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B7B8FF4-CC2A-4636-B2F0-610A4942415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129BFD8A-520D-49B3-B10C-727A905EB73B}"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5CF3E39-12FA-4947-81D3-D0BD84822472}"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C1F2F84-9E2F-43EF-8DF4-25E9C1C08A46}"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E9AD8B9-BD69-4767-8AE1-C0C9591AC3CB}"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FF64023D-CBB5-4584-AAEC-DC5CF681DDC6}"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DD94540-1DE5-4F1A-816B-105F6C9EFDF9}"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D4A402BF-A3EA-44EE-BC14-6475B6377D8E}" name="Description" dataDxfId="0" dataCellStyle="Content normal"/>
    <tableColumn id="1" xr3:uid="{2BA05504-97BF-4601-A4B7-1544F405585F}" name="ID"/>
    <tableColumn id="3" xr3:uid="{FCB6D340-3669-4E9C-94DB-2E09A39F40DB}"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C55C530-DFAD-4CCA-8C29-4C525426AC5F}"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F51BD01E-5CCC-43E3-A37E-18A0952259AA}" name="Description"/>
    <tableColumn id="2" xr3:uid="{13EE255C-D8B7-4F83-A2AD-880157EA75A6}" name="ID"/>
    <tableColumn id="3" xr3:uid="{102C7517-DF56-40F7-AC36-67374BCF526F}"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6B4E345-E6B6-4029-AD70-21B5DA9E6949}"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8CDAC518-641D-47D5-830E-3264670E419A}" name="Description"/>
    <tableColumn id="2" xr3:uid="{AC4E5A3B-C173-4CCC-9AE4-9A10D09DA444}" name="ID"/>
    <tableColumn id="3" xr3:uid="{BA1D7E7D-DBDF-40F6-8BEF-141E3B28F1FE}"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ECF1F33B-BE5E-40F7-A632-DC3210A08078}"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A9F79D2-0852-40E4-B41B-9BC75F919430}" name="Description"/>
    <tableColumn id="2" xr3:uid="{9318A9CC-D737-405F-83A6-4F7E803F7252}" name="ID"/>
    <tableColumn id="3" xr3:uid="{E58DAFB5-CA1E-40EB-9201-64B576C88D1E}"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5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8" Type="http://schemas.openxmlformats.org/officeDocument/2006/relationships/table" Target="../tables/table7.xml"/><Relationship Id="rId3" Type="http://schemas.openxmlformats.org/officeDocument/2006/relationships/table" Target="../tables/table2.xml"/><Relationship Id="rId7" Type="http://schemas.openxmlformats.org/officeDocument/2006/relationships/table" Target="../tables/table6.xml"/><Relationship Id="rId2" Type="http://schemas.openxmlformats.org/officeDocument/2006/relationships/table" Target="../tables/table1.xml"/><Relationship Id="rId1" Type="http://schemas.openxmlformats.org/officeDocument/2006/relationships/printerSettings" Target="../printerSettings/printerSettings9.bin"/><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 Id="rId9"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21" Type="http://schemas.openxmlformats.org/officeDocument/2006/relationships/table" Target="../tables/table28.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20" Type="http://schemas.openxmlformats.org/officeDocument/2006/relationships/table" Target="../tables/table27.xml"/><Relationship Id="rId1" Type="http://schemas.openxmlformats.org/officeDocument/2006/relationships/printerSettings" Target="../printerSettings/printerSettings10.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19" Type="http://schemas.openxmlformats.org/officeDocument/2006/relationships/table" Target="../tables/table26.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 Id="rId22"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5" sqref="A25"/>
    </sheetView>
  </sheetViews>
  <sheetFormatPr defaultRowHeight="15" x14ac:dyDescent="0.25"/>
  <sheetData>
    <row r="1" spans="1:1" x14ac:dyDescent="0.25">
      <c r="A1" t="s">
        <v>234</v>
      </c>
    </row>
    <row r="3" spans="1:1" x14ac:dyDescent="0.25">
      <c r="A3" s="142" t="str">
        <f>HYPERLINK("#'Home'!A1", "Home")</f>
        <v>Home</v>
      </c>
    </row>
    <row r="6" spans="1:1" x14ac:dyDescent="0.25">
      <c r="A6" s="14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0" t="e" vm="1">
        <v>#VALUE!</v>
      </c>
      <c r="C1" s="122" t="s">
        <v>126</v>
      </c>
      <c r="D1" s="123"/>
      <c r="E1" s="123"/>
      <c r="F1" s="123"/>
      <c r="G1" s="123"/>
      <c r="H1" s="123"/>
      <c r="I1" s="123"/>
      <c r="J1" s="123"/>
      <c r="K1" s="123"/>
      <c r="L1" s="123"/>
      <c r="M1" s="123"/>
      <c r="N1" s="123"/>
      <c r="O1" s="123"/>
      <c r="P1" s="123"/>
      <c r="Q1" s="123"/>
      <c r="R1" s="123"/>
      <c r="S1" s="123"/>
      <c r="T1" s="123"/>
      <c r="U1" s="123"/>
      <c r="V1" s="123"/>
      <c r="W1" s="123"/>
      <c r="X1" s="123"/>
      <c r="Y1" s="123"/>
      <c r="Z1" s="123"/>
      <c r="AA1" s="123"/>
      <c r="AB1" s="123"/>
      <c r="AC1" s="123"/>
      <c r="AD1" s="123"/>
      <c r="AE1" s="123"/>
      <c r="AF1" s="123"/>
      <c r="AG1" s="123"/>
      <c r="AH1" s="123"/>
      <c r="AI1" s="123"/>
      <c r="AJ1" s="123"/>
      <c r="AK1" s="123"/>
      <c r="AL1" s="123"/>
      <c r="AM1" s="123"/>
      <c r="AN1" s="123"/>
      <c r="AO1" s="123"/>
    </row>
    <row r="2" spans="1:42" ht="20.100000000000001" customHeight="1" x14ac:dyDescent="0.25">
      <c r="C2" s="123"/>
      <c r="D2" s="123"/>
      <c r="E2" s="123"/>
      <c r="F2" s="123"/>
      <c r="G2" s="123"/>
      <c r="H2" s="123"/>
      <c r="I2" s="123"/>
      <c r="J2" s="123"/>
      <c r="K2" s="123"/>
      <c r="L2" s="123"/>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4"/>
    </row>
    <row r="3" spans="1:42" ht="20.100000000000001" customHeight="1" x14ac:dyDescent="0.25">
      <c r="A3" s="17" t="str">
        <f>HYPERLINK("#'Home'!A1", "Home")</f>
        <v>Home</v>
      </c>
      <c r="C3" s="125"/>
      <c r="D3" s="125"/>
      <c r="E3" s="125"/>
      <c r="F3" s="125"/>
      <c r="G3" s="125"/>
      <c r="H3" s="125"/>
      <c r="I3" s="125"/>
      <c r="J3" s="125"/>
      <c r="K3" s="125"/>
      <c r="L3" s="125"/>
      <c r="M3" s="125"/>
      <c r="N3" s="125"/>
      <c r="O3" s="125"/>
      <c r="P3" s="125"/>
      <c r="Q3" s="125"/>
      <c r="R3" s="125"/>
      <c r="S3" s="125"/>
      <c r="T3" s="125"/>
      <c r="U3" s="125"/>
      <c r="V3" s="125"/>
      <c r="W3" s="125"/>
      <c r="X3" s="125"/>
      <c r="Y3" s="125"/>
      <c r="Z3" s="125"/>
      <c r="AA3" s="125"/>
      <c r="AB3" s="125"/>
      <c r="AC3" s="125"/>
      <c r="AD3" s="125"/>
      <c r="AE3" s="125"/>
      <c r="AF3" s="125"/>
      <c r="AG3" s="125"/>
      <c r="AH3" s="125"/>
      <c r="AI3" s="125"/>
      <c r="AJ3" s="125"/>
      <c r="AK3" s="125"/>
      <c r="AL3" s="125"/>
      <c r="AM3" s="125"/>
      <c r="AN3" s="125"/>
      <c r="AO3" s="125"/>
    </row>
    <row r="4" spans="1:42" ht="20.100000000000001" customHeight="1" x14ac:dyDescent="0.25">
      <c r="A4" s="105" t="str">
        <f>HYPERLINK("#'Overview'!A1", "Overview")</f>
        <v>Overview</v>
      </c>
    </row>
    <row r="5" spans="1:42" ht="20.100000000000001" customHeight="1" x14ac:dyDescent="0.25">
      <c r="A5" s="17" t="str">
        <f>HYPERLINK("#'Results'!A1", "Results")</f>
        <v>Results</v>
      </c>
      <c r="D5" s="102" t="s">
        <v>124</v>
      </c>
      <c r="E5" s="83"/>
      <c r="F5" s="83"/>
      <c r="G5" s="83"/>
      <c r="H5" s="83"/>
      <c r="I5" s="83"/>
      <c r="J5" s="83"/>
      <c r="K5" s="83"/>
      <c r="L5" s="83"/>
      <c r="M5" s="83"/>
      <c r="N5" s="83"/>
      <c r="O5" s="79"/>
    </row>
    <row r="6" spans="1:42" ht="20.100000000000001" customHeight="1" x14ac:dyDescent="0.25">
      <c r="D6" s="126" t="s">
        <v>125</v>
      </c>
      <c r="E6" s="82"/>
      <c r="F6" s="82"/>
      <c r="G6" s="82"/>
      <c r="H6" s="82"/>
      <c r="I6" s="82"/>
      <c r="J6" s="82"/>
      <c r="K6" s="82"/>
      <c r="L6" s="82"/>
      <c r="M6" s="82"/>
      <c r="N6" s="82"/>
      <c r="O6" s="80"/>
    </row>
    <row r="7" spans="1:42" ht="20.100000000000001" customHeight="1" x14ac:dyDescent="0.25"/>
    <row r="8" spans="1:42" ht="20.100000000000001" customHeight="1" x14ac:dyDescent="0.25">
      <c r="A8" s="19" t="s">
        <v>0</v>
      </c>
    </row>
    <row r="9" spans="1:42" ht="20.100000000000001" customHeight="1" x14ac:dyDescent="0.25">
      <c r="A9" s="17" t="str">
        <f>HYPERLINK("#'Input - Site'!A1", "Site")</f>
        <v>Site</v>
      </c>
    </row>
    <row r="10" spans="1:42" ht="20.100000000000001" customHeight="1" x14ac:dyDescent="0.25">
      <c r="A10" s="17" t="str">
        <f>HYPERLINK("#'Input - Crop'!A1", "Crop")</f>
        <v>Crop</v>
      </c>
    </row>
    <row r="11" spans="1:42" ht="20.100000000000001" customHeight="1" x14ac:dyDescent="0.25">
      <c r="A11" s="17" t="str">
        <f>HYPERLINK("#'Input - Pasture'!A1", "Pasture")</f>
        <v>Pasture</v>
      </c>
    </row>
    <row r="12" spans="1:42" ht="20.100000000000001" customHeight="1" x14ac:dyDescent="0.25"/>
    <row r="13" spans="1:42" ht="20.100000000000001" customHeight="1" x14ac:dyDescent="0.25"/>
    <row r="14" spans="1:42" ht="20.100000000000001" customHeight="1" x14ac:dyDescent="0.25">
      <c r="A14" s="18" t="s">
        <v>68</v>
      </c>
    </row>
    <row r="15" spans="1:42" ht="20.100000000000001" customHeight="1" x14ac:dyDescent="0.25">
      <c r="A15" s="17" t="str">
        <f>HYPERLINK("#'6.1.1.1-2 Crop residue N2O'!A1", "6.1.1.1-2 Crop residue N2O")</f>
        <v>6.1.1.1-2 Crop residue N2O</v>
      </c>
    </row>
    <row r="16" spans="1:42" ht="20.100000000000001" customHeight="1" x14ac:dyDescent="0.25">
      <c r="A16" s="17" t="str">
        <f>HYPERLINK("#'6.2.1.1-2 Pasture residue N2O'!A1", "6.2.1.1-2 Pasture residue N2O")</f>
        <v>6.2.1.1-2 Pasture residue N2O</v>
      </c>
    </row>
    <row r="17" spans="1:1" ht="20.100000000000001" customHeight="1" x14ac:dyDescent="0.25">
      <c r="A17" s="17" t="str">
        <f>HYPERLINK("#'6.3.1.1-2 Leaching and runoff'!A1", "6.3.1.1-2 Leaching and runoff")</f>
        <v>6.3.1.1-2 Leaching and runoff</v>
      </c>
    </row>
    <row r="18" spans="1:1" ht="20.100000000000001" customHeight="1" x14ac:dyDescent="0.25">
      <c r="A18" s="17" t="str">
        <f>HYPERLINK("#'6.3.1.1-2 Leach runoff crop'!A1", "6.3.1.1-2 Leach runoff crop")</f>
        <v>6.3.1.1-2 Leach runoff crop</v>
      </c>
    </row>
    <row r="19" spans="1:1" ht="20.100000000000001" customHeight="1" x14ac:dyDescent="0.25">
      <c r="A19" s="17" t="str">
        <f>HYPERLINK("#'6.3.1.1-2 Leach runoff pasture'!A1", "6.3.1.1-2 Leach runoff pasture")</f>
        <v>6.3.1.1-2 Leach runoff pasture</v>
      </c>
    </row>
    <row r="20" spans="1:1" ht="20.100000000000001" customHeight="1" x14ac:dyDescent="0.25">
      <c r="A20" s="17" t="str">
        <f>HYPERLINK("#'6.4.1.1-2 Residue burning'!A1", "6.4.1.1-2 Residue burning")</f>
        <v>6.4.1.1-2 Residue burning</v>
      </c>
    </row>
    <row r="21" spans="1:1" ht="20.100000000000001" customHeight="1" x14ac:dyDescent="0.25"/>
    <row r="22" spans="1:1" ht="20.100000000000001" customHeight="1" x14ac:dyDescent="0.25"/>
    <row r="23" spans="1:1" ht="20.100000000000001" customHeight="1" x14ac:dyDescent="0.25">
      <c r="A23" s="141" t="s">
        <v>1</v>
      </c>
    </row>
    <row r="24" spans="1:1" ht="20.100000000000001" customHeight="1" x14ac:dyDescent="0.25">
      <c r="A24" s="17" t="str">
        <f>HYPERLINK("#'Constants - Ag Residue'!A1", "Constants - Ag Residue")</f>
        <v>Constants - Ag Residue</v>
      </c>
    </row>
    <row r="25" spans="1:1" ht="20.100000000000001" customHeight="1" x14ac:dyDescent="0.25">
      <c r="A25" s="17" t="str">
        <f>HYPERLINK("#'Constants - Common'!A1", "Constants - Common")</f>
        <v>Constants - Common</v>
      </c>
    </row>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122</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123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5" sqref="A15"/>
    </sheetView>
  </sheetViews>
  <sheetFormatPr defaultRowHeight="15" x14ac:dyDescent="0.25"/>
  <cols>
    <col min="1" max="1" width="30.7109375" customWidth="1"/>
    <col min="2" max="3" width="2.7109375" customWidth="1"/>
    <col min="4" max="4" width="60" customWidth="1"/>
    <col min="5" max="6" width="30.7109375" customWidth="1"/>
    <col min="7" max="7" width="18.5703125" customWidth="1"/>
    <col min="8" max="9" width="30.7109375" customWidth="1"/>
    <col min="10" max="10" width="20" customWidth="1"/>
    <col min="11" max="11" width="7.42578125" customWidth="1"/>
    <col min="12" max="26" width="28.7109375" customWidth="1"/>
  </cols>
  <sheetData>
    <row r="1" spans="1:11" ht="30" customHeight="1" x14ac:dyDescent="0.35">
      <c r="A1" s="60" t="e" vm="1">
        <v>#VALUE!</v>
      </c>
      <c r="C1" s="122" t="s">
        <v>127</v>
      </c>
    </row>
    <row r="2" spans="1:11" ht="20.100000000000001" customHeight="1" x14ac:dyDescent="0.25">
      <c r="C2" s="9"/>
    </row>
    <row r="3" spans="1:11" ht="20.100000000000001" customHeight="1" x14ac:dyDescent="0.25">
      <c r="A3" s="17" t="str">
        <f>HYPERLINK("#'Home'!A1", "Home")</f>
        <v>Home</v>
      </c>
      <c r="C3" s="21"/>
      <c r="D3" s="21"/>
      <c r="E3" s="21"/>
      <c r="F3" s="21"/>
      <c r="G3" s="21"/>
      <c r="H3" s="21"/>
      <c r="I3" s="21"/>
      <c r="J3" s="21"/>
      <c r="K3" s="21"/>
    </row>
    <row r="4" spans="1:11" ht="20.100000000000001" customHeight="1" x14ac:dyDescent="0.25">
      <c r="A4" s="17" t="str">
        <f>HYPERLINK("#'Overview'!A1", "Overview")</f>
        <v>Overview</v>
      </c>
      <c r="C4" s="21"/>
      <c r="D4" s="6" t="s">
        <v>2</v>
      </c>
      <c r="E4" s="23"/>
      <c r="F4" s="23"/>
      <c r="G4" s="23"/>
      <c r="H4" s="6"/>
      <c r="I4" s="6"/>
      <c r="J4" s="6"/>
      <c r="K4" s="24"/>
    </row>
    <row r="5" spans="1:11" ht="20.100000000000001" customHeight="1" x14ac:dyDescent="0.3">
      <c r="A5" s="105" t="str">
        <f>HYPERLINK("#'Results'!A1", "Results")</f>
        <v>Results</v>
      </c>
      <c r="C5" s="21"/>
      <c r="D5" s="25"/>
      <c r="E5" s="26"/>
      <c r="F5" s="26"/>
      <c r="G5" s="26"/>
      <c r="H5" s="23"/>
      <c r="I5" s="21"/>
      <c r="J5" s="21"/>
      <c r="K5" s="21"/>
    </row>
    <row r="6" spans="1:11" ht="20.100000000000001" customHeight="1" x14ac:dyDescent="0.25">
      <c r="C6" s="21"/>
      <c r="D6" s="86" t="s">
        <v>121</v>
      </c>
      <c r="E6" s="81"/>
      <c r="F6" s="21"/>
      <c r="G6" s="21"/>
      <c r="H6" s="21"/>
      <c r="I6" s="21"/>
      <c r="J6" s="21"/>
      <c r="K6" s="21"/>
    </row>
    <row r="7" spans="1:11" ht="20.100000000000001" customHeight="1" x14ac:dyDescent="0.25">
      <c r="C7" s="21"/>
      <c r="D7" s="21"/>
      <c r="E7" s="21"/>
      <c r="F7" s="21"/>
      <c r="G7" s="21"/>
      <c r="H7" s="21"/>
      <c r="I7" s="21"/>
      <c r="J7" s="21"/>
      <c r="K7" s="21"/>
    </row>
    <row r="8" spans="1:11" ht="20.100000000000001" customHeight="1" x14ac:dyDescent="0.25">
      <c r="A8" s="19" t="s">
        <v>0</v>
      </c>
      <c r="C8" s="21"/>
      <c r="D8" s="100" t="s">
        <v>81</v>
      </c>
      <c r="E8" s="100" t="s">
        <v>93</v>
      </c>
      <c r="F8" s="100" t="s">
        <v>94</v>
      </c>
      <c r="G8" s="100" t="s">
        <v>87</v>
      </c>
      <c r="H8" s="100" t="s">
        <v>95</v>
      </c>
      <c r="I8" s="100" t="s">
        <v>96</v>
      </c>
      <c r="J8" s="100" t="s">
        <v>88</v>
      </c>
      <c r="K8" s="21"/>
    </row>
    <row r="9" spans="1:11" ht="20.100000000000001" customHeight="1" x14ac:dyDescent="0.25">
      <c r="A9" s="17" t="str">
        <f>HYPERLINK("#'Input - Site'!A1", "Site")</f>
        <v>Site</v>
      </c>
      <c r="C9" s="21"/>
      <c r="D9" s="1" t="s">
        <v>212</v>
      </c>
      <c r="E9" s="121">
        <f>VEERG_6_1_1_1__1__NitrousOxideEmissionsFromCropResidues_Result_Method1</f>
        <v>0.66792000000000007</v>
      </c>
      <c r="F9" s="121">
        <f>VEERG_6_1_1_1__1__NitrousOxideEmissionsFromCropResidues_Result_Method2</f>
        <v>0.66792000000000007</v>
      </c>
      <c r="G9" s="51" t="s">
        <v>99</v>
      </c>
      <c r="H9" s="98">
        <f>'6.1.1.1-2 Crop residue N2O'!E47</f>
        <v>176.99880000000002</v>
      </c>
      <c r="I9" s="98">
        <f>'6.1.1.1-2 Crop residue N2O'!N66</f>
        <v>176.99880000000002</v>
      </c>
      <c r="J9" s="51" t="s">
        <v>91</v>
      </c>
      <c r="K9" s="21"/>
    </row>
    <row r="10" spans="1:11" ht="20.100000000000001" customHeight="1" x14ac:dyDescent="0.25">
      <c r="A10" s="17" t="str">
        <f>HYPERLINK("#'Input - Crop'!A1", "Crop")</f>
        <v>Crop</v>
      </c>
      <c r="C10" s="21"/>
      <c r="D10" s="1" t="s">
        <v>213</v>
      </c>
      <c r="E10" s="140">
        <f>VEERG_6_2_1_1__1__NitrousOxideEmissionsFromPastureResidues_Result_Method1</f>
        <v>5.8320428571428569E-7</v>
      </c>
      <c r="F10" s="140">
        <f>VEERG_6_2_1_1__1__NitrousOxideEmissionsFromPastureResidues_Result_Method2</f>
        <v>5.8320428571428569E-7</v>
      </c>
      <c r="G10" s="51" t="s">
        <v>99</v>
      </c>
      <c r="H10" s="98">
        <f>'6.2.1.1-2 Pasture residue N2O'!E45</f>
        <v>1.545491357142857E-4</v>
      </c>
      <c r="I10" s="98">
        <f>'6.2.1.1-2 Pasture residue N2O'!O45</f>
        <v>1.545491357142857E-4</v>
      </c>
      <c r="J10" s="51" t="s">
        <v>91</v>
      </c>
      <c r="K10" s="21"/>
    </row>
    <row r="11" spans="1:11" ht="20.100000000000001" customHeight="1" x14ac:dyDescent="0.25">
      <c r="A11" s="17" t="str">
        <f>HYPERLINK("#'Input - Pasture'!A1", "Pasture")</f>
        <v>Pasture</v>
      </c>
      <c r="C11" s="21"/>
      <c r="D11" s="1" t="s">
        <v>214</v>
      </c>
      <c r="E11" s="121">
        <f>VEERG_6_3_1_1__1__LeachingAndRunoffEmissionsCropAndPastureResidue_Result_Method1</f>
        <v>0.35266206793186283</v>
      </c>
      <c r="F11" s="121">
        <f>VEERG_6_3_1_1__1__LeachingAndRunoffEmissionsCropAndPastureResidue_Result_Method2</f>
        <v>0.35266206793186283</v>
      </c>
      <c r="G11" s="51" t="s">
        <v>99</v>
      </c>
      <c r="H11" s="98">
        <f>'6.3.1.1-2 Leaching and runoff'!E53</f>
        <v>93.455448001943651</v>
      </c>
      <c r="I11" s="98">
        <f>'6.3.1.1-2 Leaching and runoff'!O53</f>
        <v>93.455448001943651</v>
      </c>
      <c r="J11" s="51" t="s">
        <v>91</v>
      </c>
      <c r="K11" s="21"/>
    </row>
    <row r="12" spans="1:11" ht="20.100000000000001" customHeight="1" x14ac:dyDescent="0.25">
      <c r="C12" s="21"/>
      <c r="D12" s="1" t="s">
        <v>215</v>
      </c>
      <c r="E12" s="121">
        <f>VEERG_6_4_1_1__2__NitrousOxideEmissionsFromBurningOfCropResidues_Result_Method1</f>
        <v>0.12769302857142856</v>
      </c>
      <c r="F12" s="121">
        <f>E12</f>
        <v>0.12769302857142856</v>
      </c>
      <c r="G12" s="51" t="s">
        <v>99</v>
      </c>
      <c r="H12" s="98">
        <f>'6.4.1.1-2 Residue burning'!E44</f>
        <v>33.838652571428568</v>
      </c>
      <c r="I12" s="98">
        <f>H12</f>
        <v>33.838652571428568</v>
      </c>
      <c r="J12" s="51" t="s">
        <v>91</v>
      </c>
      <c r="K12" s="21"/>
    </row>
    <row r="13" spans="1:11" ht="20.100000000000001" customHeight="1" x14ac:dyDescent="0.25">
      <c r="C13" s="21"/>
      <c r="D13" s="1" t="s">
        <v>215</v>
      </c>
      <c r="E13" s="121">
        <f>VEERG_6_4_1_1__1__MethaneEmissionsFromBurningOfCropResidues_Result_Method1</f>
        <v>3.3264</v>
      </c>
      <c r="F13" s="121">
        <f>E13</f>
        <v>3.3264</v>
      </c>
      <c r="G13" s="51" t="s">
        <v>216</v>
      </c>
      <c r="H13" s="98">
        <f>'6.4.1.1-2 Residue burning'!E67</f>
        <v>93.139200000000002</v>
      </c>
      <c r="I13" s="98">
        <f>H13</f>
        <v>93.139200000000002</v>
      </c>
      <c r="J13" s="51" t="s">
        <v>91</v>
      </c>
      <c r="K13" s="21"/>
    </row>
    <row r="14" spans="1:11" ht="20.100000000000001" customHeight="1" x14ac:dyDescent="0.3">
      <c r="A14" s="18" t="s">
        <v>68</v>
      </c>
      <c r="C14" s="21"/>
      <c r="D14" s="28" t="s">
        <v>86</v>
      </c>
      <c r="E14" s="22"/>
      <c r="F14" s="22"/>
      <c r="G14" s="28"/>
      <c r="H14" s="99">
        <f>SUM(H9:H13)</f>
        <v>397.43225512250797</v>
      </c>
      <c r="I14" s="99">
        <f>SUM(I9:I13)</f>
        <v>397.43225512250797</v>
      </c>
      <c r="J14" s="95" t="s">
        <v>91</v>
      </c>
      <c r="K14" s="21"/>
    </row>
    <row r="15" spans="1:11" ht="20.100000000000001" customHeight="1" x14ac:dyDescent="0.25">
      <c r="A15" s="17" t="str">
        <f>HYPERLINK("#'6.1.1.1-2 Crop residue N2O'!A1", "6.1.1.1-2 Crop residue N2O")</f>
        <v>6.1.1.1-2 Crop residue N2O</v>
      </c>
      <c r="C15" s="21"/>
      <c r="D15" s="1"/>
      <c r="E15" s="1"/>
      <c r="F15" s="1"/>
      <c r="G15" s="1"/>
      <c r="H15" s="1"/>
      <c r="I15" s="1"/>
      <c r="J15" s="1"/>
      <c r="K15" s="21"/>
    </row>
    <row r="16" spans="1:11" ht="20.100000000000001" customHeight="1" x14ac:dyDescent="0.25">
      <c r="A16" s="17" t="str">
        <f>HYPERLINK("#'6.2.1.1-2 Pasture residue N2O'!A1", "6.2.1.1-2 Pasture residue N2O")</f>
        <v>6.2.1.1-2 Pasture residue N2O</v>
      </c>
      <c r="C16" s="21"/>
      <c r="D16" s="96"/>
      <c r="E16" s="96"/>
      <c r="F16" s="96"/>
      <c r="G16" s="96"/>
      <c r="H16" s="96"/>
      <c r="I16" s="96"/>
      <c r="J16" s="96"/>
      <c r="K16" s="21"/>
    </row>
    <row r="17" spans="1:11" ht="20.100000000000001" customHeight="1" x14ac:dyDescent="0.25">
      <c r="A17" s="17" t="str">
        <f>HYPERLINK("#'6.3.1.1-2 Leaching and runoff'!A1", "6.3.1.1-2 Leaching and runoff")</f>
        <v>6.3.1.1-2 Leaching and runoff</v>
      </c>
      <c r="C17" s="21"/>
      <c r="D17" s="96"/>
      <c r="E17" s="1"/>
      <c r="F17" s="1"/>
      <c r="G17" s="1"/>
      <c r="H17" s="1"/>
      <c r="I17" s="1"/>
      <c r="J17" s="21"/>
      <c r="K17" s="21"/>
    </row>
    <row r="18" spans="1:11" ht="20.100000000000001" customHeight="1" x14ac:dyDescent="0.25">
      <c r="A18" s="17" t="str">
        <f>HYPERLINK("#'6.3.1.1-2 Leach runoff crop'!A1", "6.3.1.1-2 Leach runoff crop")</f>
        <v>6.3.1.1-2 Leach runoff crop</v>
      </c>
      <c r="C18" s="21"/>
      <c r="D18" s="103"/>
      <c r="E18" s="1"/>
      <c r="F18" s="1"/>
      <c r="G18" s="1"/>
      <c r="H18" s="1"/>
      <c r="I18" s="1"/>
      <c r="J18" s="21"/>
      <c r="K18" s="21"/>
    </row>
    <row r="19" spans="1:11" ht="20.100000000000001" customHeight="1" x14ac:dyDescent="0.25">
      <c r="A19" s="17" t="str">
        <f>HYPERLINK("#'6.3.1.1-2 Leach runoff pasture'!A1", "6.3.1.1-2 Leach runoff pasture")</f>
        <v>6.3.1.1-2 Leach runoff pasture</v>
      </c>
      <c r="C19" s="21"/>
      <c r="D19" s="1"/>
      <c r="E19" s="1"/>
      <c r="F19" s="1"/>
      <c r="G19" s="1"/>
      <c r="H19" s="1"/>
      <c r="I19" s="1"/>
      <c r="J19" s="21"/>
      <c r="K19" s="21"/>
    </row>
    <row r="20" spans="1:11" ht="20.100000000000001" customHeight="1" x14ac:dyDescent="0.25">
      <c r="A20" s="17" t="str">
        <f>HYPERLINK("#'6.4.1.1-2 Residue burning'!A1", "6.4.1.1-2 Residue burning")</f>
        <v>6.4.1.1-2 Residue burning</v>
      </c>
      <c r="C20" s="21"/>
      <c r="D20" s="1"/>
      <c r="E20" s="1"/>
      <c r="F20" s="1"/>
      <c r="G20" s="1"/>
      <c r="H20" s="1"/>
      <c r="I20" s="1"/>
      <c r="J20" s="21"/>
      <c r="K20" s="21"/>
    </row>
    <row r="21" spans="1:11" ht="20.100000000000001" customHeight="1" x14ac:dyDescent="0.25">
      <c r="C21" s="21"/>
      <c r="D21" s="1"/>
      <c r="E21" s="101"/>
      <c r="F21" s="51"/>
      <c r="G21" s="1"/>
      <c r="H21" s="1"/>
      <c r="I21" s="21"/>
      <c r="J21" s="21"/>
      <c r="K21" s="21"/>
    </row>
    <row r="22" spans="1:11" ht="20.100000000000001" customHeight="1" x14ac:dyDescent="0.25">
      <c r="C22" s="21"/>
      <c r="D22" s="1"/>
      <c r="E22" s="101"/>
      <c r="F22" s="51"/>
      <c r="G22" s="1"/>
      <c r="H22" s="1"/>
      <c r="I22" s="21"/>
      <c r="J22" s="21"/>
      <c r="K22" s="21"/>
    </row>
    <row r="23" spans="1:11" ht="20.100000000000001" customHeight="1" x14ac:dyDescent="0.3">
      <c r="A23" s="141" t="s">
        <v>1</v>
      </c>
      <c r="C23" s="21"/>
      <c r="D23" s="1"/>
      <c r="E23" s="1"/>
      <c r="F23" s="1"/>
      <c r="G23" s="1"/>
      <c r="H23" s="26"/>
      <c r="I23" s="21"/>
      <c r="J23" s="21"/>
      <c r="K23" s="21"/>
    </row>
    <row r="24" spans="1:11" ht="20.100000000000001" customHeight="1" x14ac:dyDescent="0.3">
      <c r="A24" s="17" t="str">
        <f>HYPERLINK("#'Constants - Ag Residue'!A1", "Constants - Ag Residue")</f>
        <v>Constants - Ag Residue</v>
      </c>
      <c r="C24" s="21"/>
      <c r="D24" s="1"/>
      <c r="E24" s="1"/>
      <c r="F24" s="1"/>
      <c r="G24" s="1"/>
      <c r="H24" s="26"/>
      <c r="I24" s="21"/>
      <c r="J24" s="21"/>
      <c r="K24" s="21"/>
    </row>
    <row r="25" spans="1:11" ht="20.100000000000001" customHeight="1" x14ac:dyDescent="0.3">
      <c r="A25" s="17" t="str">
        <f>HYPERLINK("#'Constants - Common'!A1", "Constants - Common")</f>
        <v>Constants - Common</v>
      </c>
      <c r="C25" s="21"/>
      <c r="D25" s="1"/>
      <c r="E25" s="1"/>
      <c r="F25" s="1"/>
      <c r="G25" s="1"/>
      <c r="H25" s="26"/>
      <c r="I25" s="21"/>
      <c r="J25" s="21"/>
      <c r="K25" s="21"/>
    </row>
    <row r="26" spans="1:11" ht="20.100000000000001" customHeight="1" x14ac:dyDescent="0.3">
      <c r="C26" s="21"/>
      <c r="D26" s="1"/>
      <c r="E26" s="1"/>
      <c r="F26" s="1"/>
      <c r="G26" s="1"/>
      <c r="H26" s="26"/>
      <c r="I26" s="21"/>
      <c r="J26" s="21"/>
      <c r="K26" s="21"/>
    </row>
    <row r="27" spans="1:11" ht="20.100000000000001" customHeight="1" x14ac:dyDescent="0.25">
      <c r="C27" s="21"/>
      <c r="D27" s="1"/>
      <c r="E27" s="1"/>
      <c r="F27" s="1"/>
      <c r="G27" s="1"/>
      <c r="H27" s="1"/>
      <c r="I27" s="1"/>
      <c r="J27" s="21"/>
      <c r="K27" s="21"/>
    </row>
    <row r="28" spans="1:11" ht="20.100000000000001" customHeight="1" x14ac:dyDescent="0.25">
      <c r="C28" s="21"/>
      <c r="D28" s="1"/>
      <c r="E28" s="1"/>
      <c r="F28" s="1"/>
      <c r="G28" s="1"/>
      <c r="H28" s="1"/>
      <c r="I28" s="1"/>
      <c r="J28" s="21"/>
      <c r="K28" s="21"/>
    </row>
    <row r="29" spans="1:11" ht="20.100000000000001" customHeight="1" x14ac:dyDescent="0.25">
      <c r="C29" s="21"/>
      <c r="D29" s="1"/>
      <c r="E29" s="1"/>
      <c r="F29" s="1"/>
      <c r="G29" s="1"/>
      <c r="H29" s="1"/>
      <c r="I29" s="1"/>
      <c r="J29" s="21"/>
      <c r="K29" s="21"/>
    </row>
    <row r="30" spans="1:11" ht="20.100000000000001" customHeight="1" x14ac:dyDescent="0.25">
      <c r="C30" s="21"/>
      <c r="D30" s="1"/>
      <c r="E30" s="1"/>
      <c r="F30" s="1"/>
      <c r="G30" s="1"/>
      <c r="H30" s="1"/>
      <c r="I30" s="1"/>
      <c r="J30" s="21"/>
      <c r="K30" s="21"/>
    </row>
    <row r="31" spans="1:11" ht="20.100000000000001" customHeight="1" x14ac:dyDescent="0.25">
      <c r="C31" s="21"/>
      <c r="D31" s="1"/>
      <c r="E31" s="1"/>
      <c r="F31" s="1"/>
      <c r="G31" s="1"/>
      <c r="H31" s="1"/>
      <c r="I31" s="1"/>
      <c r="J31" s="21"/>
      <c r="K31" s="21"/>
    </row>
    <row r="32" spans="1:11" ht="20.100000000000001" customHeight="1" x14ac:dyDescent="0.25">
      <c r="C32" s="21"/>
      <c r="D32" s="1"/>
      <c r="E32" s="1"/>
      <c r="F32" s="1"/>
      <c r="G32" s="1"/>
      <c r="H32" s="1"/>
      <c r="I32" s="1"/>
      <c r="J32" s="21"/>
      <c r="K32" s="21"/>
    </row>
    <row r="33" spans="3:11" ht="20.100000000000001" customHeight="1" x14ac:dyDescent="0.25">
      <c r="C33" s="21"/>
      <c r="D33" s="1"/>
      <c r="E33" s="1"/>
      <c r="F33" s="1"/>
      <c r="G33" s="1"/>
      <c r="H33" s="1"/>
      <c r="I33" s="1"/>
      <c r="J33" s="21"/>
      <c r="K33" s="21"/>
    </row>
    <row r="34" spans="3:11" ht="20.100000000000001" customHeight="1" x14ac:dyDescent="0.25">
      <c r="C34" s="21"/>
      <c r="D34" s="1"/>
      <c r="E34" s="1"/>
      <c r="F34" s="1"/>
      <c r="G34" s="1"/>
      <c r="H34" s="1"/>
      <c r="I34" s="21"/>
      <c r="J34" s="21"/>
      <c r="K34" s="21"/>
    </row>
    <row r="35" spans="3:11" ht="20.100000000000001" customHeight="1" x14ac:dyDescent="0.25">
      <c r="C35" s="21"/>
      <c r="D35" s="1"/>
      <c r="E35" s="1"/>
      <c r="F35" s="1"/>
      <c r="G35" s="1"/>
      <c r="H35" s="1"/>
      <c r="I35" s="21"/>
      <c r="J35" s="21"/>
      <c r="K35" s="21"/>
    </row>
    <row r="36" spans="3:11" ht="20.100000000000001" customHeight="1" x14ac:dyDescent="0.25">
      <c r="C36" s="21"/>
      <c r="D36" s="1"/>
      <c r="E36" s="1"/>
      <c r="F36" s="1"/>
      <c r="G36" s="1"/>
      <c r="H36" s="1"/>
      <c r="I36" s="21"/>
      <c r="J36" s="21"/>
      <c r="K36" s="21"/>
    </row>
    <row r="37" spans="3:11" ht="20.100000000000001" customHeight="1" x14ac:dyDescent="0.25">
      <c r="C37" s="21"/>
      <c r="D37" s="1"/>
      <c r="E37" s="1"/>
      <c r="F37" s="1"/>
      <c r="G37" s="1"/>
      <c r="H37" s="1"/>
      <c r="I37" s="21"/>
      <c r="J37" s="21"/>
      <c r="K37" s="21"/>
    </row>
    <row r="38" spans="3:11" ht="20.100000000000001" customHeight="1" x14ac:dyDescent="0.25">
      <c r="C38" s="21"/>
      <c r="D38" s="1"/>
      <c r="E38" s="1"/>
      <c r="F38" s="1"/>
      <c r="G38" s="1"/>
      <c r="H38" s="1"/>
      <c r="I38" s="97"/>
      <c r="J38" s="97"/>
      <c r="K38" s="21"/>
    </row>
    <row r="39" spans="3:11" ht="20.100000000000001" customHeight="1" x14ac:dyDescent="0.25">
      <c r="C39" s="21"/>
      <c r="D39" s="1"/>
      <c r="E39" s="1"/>
      <c r="F39" s="1"/>
      <c r="G39" s="1"/>
      <c r="H39" s="1"/>
      <c r="I39" s="97"/>
      <c r="J39" s="97"/>
      <c r="K39" s="21"/>
    </row>
    <row r="40" spans="3:11" ht="20.100000000000001" customHeight="1" x14ac:dyDescent="0.25">
      <c r="C40" s="21"/>
      <c r="D40" s="1"/>
      <c r="E40" s="1"/>
      <c r="F40" s="1"/>
      <c r="G40" s="1"/>
      <c r="H40" s="1"/>
      <c r="I40" s="97"/>
      <c r="J40" s="97"/>
      <c r="K40" s="21"/>
    </row>
    <row r="41" spans="3:11" ht="20.100000000000001" customHeight="1" x14ac:dyDescent="0.25">
      <c r="C41" s="21"/>
      <c r="D41" s="1"/>
      <c r="E41" s="1"/>
      <c r="F41" s="1"/>
      <c r="G41" s="1"/>
      <c r="H41" s="1"/>
      <c r="I41" s="97"/>
      <c r="J41" s="97"/>
      <c r="K41" s="21"/>
    </row>
    <row r="42" spans="3:11" ht="20.100000000000001" customHeight="1" x14ac:dyDescent="0.25">
      <c r="C42" s="21"/>
      <c r="D42" s="1"/>
      <c r="E42" s="1"/>
      <c r="F42" s="1"/>
      <c r="G42" s="1"/>
      <c r="H42" s="1"/>
      <c r="I42" s="97"/>
      <c r="J42" s="97"/>
      <c r="K42" s="21"/>
    </row>
    <row r="43" spans="3:11" ht="20.100000000000001" customHeight="1" x14ac:dyDescent="0.25">
      <c r="C43" s="21"/>
      <c r="D43" s="1"/>
      <c r="E43" s="1"/>
      <c r="F43" s="1"/>
      <c r="G43" s="1"/>
      <c r="H43" s="1"/>
      <c r="I43" s="97"/>
      <c r="J43" s="97"/>
      <c r="K43" s="21"/>
    </row>
    <row r="44" spans="3:11" ht="20.100000000000001" customHeight="1" x14ac:dyDescent="0.25">
      <c r="C44" s="21"/>
      <c r="D44" s="1"/>
      <c r="E44" s="1"/>
      <c r="F44" s="1"/>
      <c r="G44" s="1"/>
      <c r="H44" s="1"/>
      <c r="I44" s="97"/>
      <c r="J44" s="97"/>
      <c r="K44" s="21"/>
    </row>
    <row r="45" spans="3:11" ht="20.100000000000001" customHeight="1" x14ac:dyDescent="0.25">
      <c r="C45" s="21"/>
      <c r="D45" s="1"/>
      <c r="E45" s="1"/>
      <c r="F45" s="1"/>
      <c r="G45" s="1"/>
      <c r="H45" s="1"/>
      <c r="I45" s="97"/>
      <c r="J45" s="97"/>
      <c r="K45" s="21"/>
    </row>
    <row r="46" spans="3:11" ht="20.100000000000001" customHeight="1" x14ac:dyDescent="0.25">
      <c r="C46" s="21"/>
      <c r="D46" s="1"/>
      <c r="E46" s="1"/>
      <c r="F46" s="1"/>
      <c r="G46" s="1"/>
      <c r="H46" s="1"/>
      <c r="I46" s="97"/>
      <c r="J46" s="97"/>
      <c r="K46" s="21"/>
    </row>
    <row r="47" spans="3:11" ht="20.100000000000001" customHeight="1" x14ac:dyDescent="0.25">
      <c r="C47" s="21"/>
      <c r="D47" s="1"/>
      <c r="E47" s="1"/>
      <c r="F47" s="1"/>
      <c r="G47" s="1"/>
      <c r="H47" s="1"/>
      <c r="I47" s="97"/>
      <c r="J47" s="97"/>
      <c r="K47" s="21"/>
    </row>
    <row r="48" spans="3:11" ht="20.100000000000001" customHeight="1" x14ac:dyDescent="0.25">
      <c r="C48" s="21"/>
      <c r="D48" s="1"/>
      <c r="E48" s="1"/>
      <c r="F48" s="1"/>
      <c r="G48" s="1"/>
      <c r="H48" s="1"/>
      <c r="I48" s="97"/>
      <c r="J48" s="97"/>
      <c r="K48" s="21"/>
    </row>
    <row r="49" spans="3:11" ht="20.100000000000001" customHeight="1" x14ac:dyDescent="0.25">
      <c r="C49" s="21"/>
      <c r="D49" s="1"/>
      <c r="E49" s="1"/>
      <c r="F49" s="1"/>
      <c r="G49" s="1"/>
      <c r="H49" s="97"/>
      <c r="I49" s="97"/>
      <c r="J49" s="97"/>
      <c r="K49" s="21"/>
    </row>
    <row r="50" spans="3:11" ht="20.100000000000001" customHeight="1" x14ac:dyDescent="0.25">
      <c r="C50" s="21"/>
      <c r="D50" s="1"/>
      <c r="E50" s="1"/>
      <c r="F50" s="1"/>
      <c r="G50" s="1"/>
      <c r="H50" s="97"/>
      <c r="I50" s="97"/>
      <c r="J50" s="97"/>
      <c r="K50" s="21"/>
    </row>
    <row r="51" spans="3:11" ht="20.100000000000001" customHeight="1" x14ac:dyDescent="0.25">
      <c r="C51" s="21"/>
      <c r="D51" s="1"/>
      <c r="E51" s="1"/>
      <c r="F51" s="1"/>
      <c r="G51" s="1"/>
      <c r="H51" s="97"/>
      <c r="I51" s="97"/>
      <c r="J51" s="97"/>
      <c r="K51" s="21"/>
    </row>
    <row r="52" spans="3:11" ht="20.100000000000001" customHeight="1" x14ac:dyDescent="0.25">
      <c r="C52" s="21"/>
      <c r="D52" s="1"/>
      <c r="E52" s="1"/>
      <c r="F52" s="1"/>
      <c r="G52" s="1"/>
      <c r="H52" s="97"/>
      <c r="I52" s="97"/>
      <c r="J52" s="97"/>
      <c r="K52" s="21"/>
    </row>
    <row r="53" spans="3:11" ht="20.100000000000001" customHeight="1" x14ac:dyDescent="0.25">
      <c r="C53" s="21"/>
      <c r="D53" s="1"/>
      <c r="E53" s="1"/>
      <c r="F53" s="1"/>
      <c r="G53" s="1"/>
      <c r="H53" s="97"/>
      <c r="I53" s="97"/>
      <c r="J53" s="97"/>
      <c r="K53" s="21"/>
    </row>
    <row r="54" spans="3:11" ht="20.100000000000001" customHeight="1" x14ac:dyDescent="0.25">
      <c r="C54" s="21"/>
      <c r="D54" s="1"/>
      <c r="E54" s="1"/>
      <c r="F54" s="1"/>
      <c r="G54" s="1"/>
      <c r="H54" s="21"/>
      <c r="I54" s="21"/>
      <c r="J54" s="21"/>
      <c r="K54" s="21"/>
    </row>
    <row r="55" spans="3:11" ht="20.100000000000001" customHeight="1" x14ac:dyDescent="0.25">
      <c r="C55" s="21"/>
      <c r="D55" s="1"/>
      <c r="E55" s="1"/>
      <c r="F55" s="1"/>
      <c r="G55" s="1"/>
      <c r="H55" s="21"/>
      <c r="I55" s="21"/>
      <c r="J55" s="21"/>
      <c r="K55" s="21"/>
    </row>
    <row r="56" spans="3:11" ht="20.100000000000001" customHeight="1" x14ac:dyDescent="0.25">
      <c r="C56" s="21"/>
      <c r="D56" s="1"/>
      <c r="E56" s="1"/>
      <c r="F56" s="1"/>
      <c r="G56" s="1"/>
      <c r="H56" s="21"/>
      <c r="I56" s="21"/>
      <c r="J56" s="21"/>
      <c r="K56" s="21"/>
    </row>
    <row r="57" spans="3:11" ht="20.100000000000001" customHeight="1" x14ac:dyDescent="0.25">
      <c r="C57" s="21"/>
      <c r="D57" s="1"/>
      <c r="E57" s="1"/>
      <c r="F57" s="1"/>
      <c r="G57" s="1"/>
      <c r="H57" s="21"/>
      <c r="I57" s="21"/>
      <c r="J57" s="21"/>
      <c r="K57" s="21"/>
    </row>
    <row r="58" spans="3:11" ht="20.100000000000001" customHeight="1" x14ac:dyDescent="0.25">
      <c r="C58" s="21"/>
      <c r="D58" s="1"/>
      <c r="E58" s="29"/>
      <c r="F58" s="27"/>
      <c r="G58" s="21"/>
      <c r="H58" s="21"/>
      <c r="I58" s="21"/>
      <c r="J58" s="21"/>
      <c r="K58" s="21"/>
    </row>
    <row r="59" spans="3:11" ht="20.100000000000001" customHeight="1" x14ac:dyDescent="0.25">
      <c r="C59" s="21"/>
      <c r="D59" s="1"/>
      <c r="E59" s="1"/>
      <c r="F59" s="1"/>
      <c r="G59" s="1"/>
      <c r="H59" s="1"/>
      <c r="I59" s="1"/>
      <c r="J59" s="1"/>
      <c r="K59" s="21"/>
    </row>
    <row r="60" spans="3:11" ht="20.100000000000001" customHeight="1" x14ac:dyDescent="0.25">
      <c r="C60" s="21"/>
      <c r="D60" s="1"/>
      <c r="E60" s="1"/>
      <c r="F60" s="1"/>
      <c r="G60" s="1"/>
      <c r="H60" s="1"/>
      <c r="I60" s="1"/>
      <c r="J60" s="1"/>
      <c r="K60" s="21"/>
    </row>
    <row r="61" spans="3:11" ht="20.100000000000001" customHeight="1" x14ac:dyDescent="0.25">
      <c r="C61" s="21"/>
      <c r="D61" s="1"/>
      <c r="E61" s="1"/>
      <c r="F61" s="1"/>
      <c r="G61" s="1"/>
      <c r="H61" s="1"/>
      <c r="I61" s="1"/>
      <c r="J61" s="1"/>
      <c r="K61" s="21"/>
    </row>
    <row r="62" spans="3:11" ht="20.100000000000001" customHeight="1" x14ac:dyDescent="0.25">
      <c r="C62" s="21"/>
      <c r="D62" s="1"/>
      <c r="E62" s="1"/>
      <c r="F62" s="1"/>
      <c r="G62" s="1"/>
      <c r="H62" s="1"/>
      <c r="I62" s="1"/>
      <c r="J62" s="1"/>
      <c r="K62" s="21"/>
    </row>
    <row r="63" spans="3:11" ht="20.100000000000001" customHeight="1" x14ac:dyDescent="0.25">
      <c r="C63" s="21"/>
      <c r="D63" s="1"/>
      <c r="E63" s="1"/>
      <c r="F63" s="1"/>
      <c r="G63" s="1"/>
      <c r="H63" s="1"/>
      <c r="I63" s="1"/>
      <c r="J63" s="1"/>
      <c r="K63" s="21"/>
    </row>
    <row r="64" spans="3:11" ht="20.100000000000001" customHeight="1" x14ac:dyDescent="0.25">
      <c r="C64" s="21"/>
      <c r="D64" s="1"/>
      <c r="E64" s="1"/>
      <c r="F64" s="1"/>
      <c r="G64" s="1"/>
      <c r="H64" s="1"/>
      <c r="I64" s="1"/>
      <c r="J64" s="1"/>
      <c r="K64" s="21"/>
    </row>
    <row r="65" spans="3:11" ht="20.100000000000001" customHeight="1" x14ac:dyDescent="0.25">
      <c r="C65" s="21"/>
      <c r="D65" s="1"/>
      <c r="E65" s="1"/>
      <c r="F65" s="1"/>
      <c r="G65" s="1"/>
      <c r="H65" s="1"/>
      <c r="I65" s="1"/>
      <c r="J65" s="1"/>
      <c r="K65" s="21"/>
    </row>
    <row r="66" spans="3:11" ht="20.100000000000001" customHeight="1" x14ac:dyDescent="0.25">
      <c r="C66" s="21"/>
      <c r="D66" s="1"/>
      <c r="E66" s="1"/>
      <c r="F66" s="1"/>
      <c r="G66" s="1"/>
      <c r="H66" s="1"/>
      <c r="I66" s="1"/>
      <c r="J66" s="1"/>
      <c r="K66" s="21"/>
    </row>
    <row r="67" spans="3:11" ht="20.100000000000001" customHeight="1" x14ac:dyDescent="0.25">
      <c r="C67" s="21"/>
      <c r="D67" s="1"/>
      <c r="E67" s="1"/>
      <c r="F67" s="1"/>
      <c r="G67" s="1"/>
      <c r="H67" s="1"/>
      <c r="I67" s="1"/>
      <c r="J67" s="1"/>
      <c r="K67" s="21"/>
    </row>
    <row r="68" spans="3:11" ht="20.100000000000001" customHeight="1" x14ac:dyDescent="0.25">
      <c r="C68" s="21"/>
      <c r="D68" s="1"/>
      <c r="E68" s="1"/>
      <c r="F68" s="1"/>
      <c r="G68" s="1"/>
      <c r="H68" s="1"/>
      <c r="I68" s="1"/>
      <c r="J68" s="1"/>
      <c r="K68" s="21"/>
    </row>
    <row r="69" spans="3:11" ht="20.100000000000001" customHeight="1" x14ac:dyDescent="0.25">
      <c r="C69" s="21"/>
      <c r="D69" s="1"/>
      <c r="E69" s="1"/>
      <c r="F69" s="1"/>
      <c r="G69" s="1"/>
      <c r="H69" s="1"/>
      <c r="I69" s="1"/>
      <c r="J69" s="1"/>
      <c r="K69" s="21"/>
    </row>
    <row r="70" spans="3:11" ht="20.100000000000001" customHeight="1" x14ac:dyDescent="0.25">
      <c r="C70" s="21"/>
      <c r="D70" s="1"/>
      <c r="E70" s="1"/>
      <c r="F70" s="1"/>
      <c r="G70" s="1"/>
      <c r="H70" s="1"/>
      <c r="I70" s="1"/>
      <c r="J70" s="1"/>
      <c r="K70" s="21"/>
    </row>
    <row r="71" spans="3:11" ht="20.100000000000001" customHeight="1" x14ac:dyDescent="0.25">
      <c r="C71" s="21"/>
      <c r="D71" s="1"/>
      <c r="E71" s="1"/>
      <c r="F71" s="1"/>
      <c r="G71" s="1"/>
      <c r="H71" s="1"/>
      <c r="I71" s="1"/>
      <c r="J71" s="1"/>
      <c r="K71" s="21"/>
    </row>
    <row r="72" spans="3:11" ht="20.100000000000001" customHeight="1" x14ac:dyDescent="0.25">
      <c r="C72" s="21"/>
      <c r="D72" s="1"/>
      <c r="E72" s="1"/>
      <c r="F72" s="1"/>
      <c r="G72" s="1"/>
      <c r="H72" s="1"/>
      <c r="I72" s="1"/>
      <c r="J72" s="1"/>
      <c r="K72" s="21"/>
    </row>
    <row r="73" spans="3:11" ht="20.100000000000001" customHeight="1" x14ac:dyDescent="0.25">
      <c r="C73" s="21"/>
      <c r="D73" s="1"/>
      <c r="E73" s="1"/>
      <c r="F73" s="1"/>
      <c r="G73" s="1"/>
      <c r="H73" s="1"/>
      <c r="I73" s="1"/>
      <c r="J73" s="1"/>
      <c r="K73" s="21"/>
    </row>
    <row r="74" spans="3:11" ht="20.100000000000001" customHeight="1" x14ac:dyDescent="0.25">
      <c r="C74" s="21"/>
      <c r="D74" s="1"/>
      <c r="E74" s="1"/>
      <c r="F74" s="1"/>
      <c r="G74" s="1"/>
      <c r="H74" s="1"/>
      <c r="I74" s="1"/>
      <c r="J74" s="1"/>
      <c r="K74" s="21"/>
    </row>
    <row r="75" spans="3:11" ht="20.100000000000001" customHeight="1" x14ac:dyDescent="0.25">
      <c r="C75" s="21"/>
      <c r="D75" s="1"/>
      <c r="E75" s="1"/>
      <c r="F75" s="1"/>
      <c r="G75" s="1"/>
      <c r="H75" s="1"/>
      <c r="I75" s="1"/>
      <c r="J75" s="1"/>
      <c r="K75" s="21"/>
    </row>
    <row r="76" spans="3:11" ht="15.75" x14ac:dyDescent="0.25">
      <c r="C76" s="21"/>
      <c r="D76" s="1"/>
      <c r="E76" s="1"/>
      <c r="F76" s="1"/>
      <c r="G76" s="1"/>
      <c r="H76" s="1"/>
      <c r="I76" s="1"/>
      <c r="J76" s="1"/>
      <c r="K76" s="21"/>
    </row>
    <row r="77" spans="3:11" ht="15.75" x14ac:dyDescent="0.25">
      <c r="C77" s="21"/>
      <c r="D77" s="1"/>
      <c r="E77" s="1"/>
      <c r="F77" s="1"/>
      <c r="G77" s="1"/>
      <c r="H77" s="1"/>
      <c r="I77" s="1"/>
      <c r="J77" s="1"/>
      <c r="K77" s="21"/>
    </row>
    <row r="78" spans="3:11" ht="15.75" x14ac:dyDescent="0.25">
      <c r="C78" s="21"/>
      <c r="D78" s="1"/>
      <c r="E78" s="1"/>
      <c r="F78" s="1"/>
      <c r="G78" s="1"/>
      <c r="H78" s="1"/>
      <c r="I78" s="1"/>
      <c r="J78" s="1"/>
      <c r="K78" s="21"/>
    </row>
    <row r="79" spans="3:11" ht="15.75" x14ac:dyDescent="0.25">
      <c r="C79" s="21"/>
      <c r="D79" s="1"/>
      <c r="E79" s="1"/>
      <c r="F79" s="1"/>
      <c r="G79" s="1"/>
      <c r="H79" s="1"/>
      <c r="I79" s="1"/>
      <c r="J79" s="1"/>
      <c r="K79" s="21"/>
    </row>
    <row r="80" spans="3:11" ht="15.75" x14ac:dyDescent="0.25">
      <c r="C80" s="21"/>
      <c r="D80" s="1"/>
      <c r="E80" s="1"/>
      <c r="F80" s="1"/>
      <c r="G80" s="1"/>
      <c r="H80" s="1"/>
      <c r="I80" s="1"/>
      <c r="J80" s="1"/>
      <c r="K80" s="21"/>
    </row>
    <row r="81" spans="3:11" ht="15.75" x14ac:dyDescent="0.25">
      <c r="C81" s="21"/>
      <c r="D81" s="1"/>
      <c r="E81" s="1"/>
      <c r="F81" s="1"/>
      <c r="G81" s="1"/>
      <c r="H81" s="1"/>
      <c r="I81" s="1"/>
      <c r="J81" s="1"/>
      <c r="K81" s="21"/>
    </row>
    <row r="82" spans="3:11" ht="15.75" x14ac:dyDescent="0.25">
      <c r="C82" s="21"/>
      <c r="D82" s="1"/>
      <c r="E82" s="1"/>
      <c r="F82" s="1"/>
      <c r="G82" s="1"/>
      <c r="H82" s="1"/>
      <c r="I82" s="1"/>
      <c r="J82" s="1"/>
      <c r="K82" s="21"/>
    </row>
    <row r="83" spans="3:11" ht="15.75" x14ac:dyDescent="0.25">
      <c r="C83" s="21"/>
      <c r="D83" s="1"/>
      <c r="E83" s="1"/>
      <c r="F83" s="1"/>
      <c r="G83" s="1"/>
      <c r="H83" s="1"/>
      <c r="I83" s="1"/>
      <c r="J83" s="1"/>
      <c r="K83" s="21"/>
    </row>
    <row r="84" spans="3:11" ht="15.75" x14ac:dyDescent="0.25">
      <c r="C84" s="21"/>
      <c r="D84" s="1"/>
      <c r="E84" s="1"/>
      <c r="F84" s="1"/>
      <c r="G84" s="1"/>
      <c r="H84" s="1"/>
      <c r="I84" s="1"/>
      <c r="J84" s="1"/>
      <c r="K84" s="21"/>
    </row>
    <row r="85" spans="3:11" ht="15.75" x14ac:dyDescent="0.25">
      <c r="C85" s="21"/>
      <c r="D85" s="1"/>
      <c r="E85" s="1"/>
      <c r="F85" s="1"/>
      <c r="G85" s="1"/>
      <c r="H85" s="1"/>
      <c r="I85" s="1"/>
      <c r="J85" s="1"/>
      <c r="K85" s="21"/>
    </row>
    <row r="86" spans="3:11" x14ac:dyDescent="0.25">
      <c r="C86" s="21"/>
      <c r="D86" s="21"/>
      <c r="E86" s="21"/>
      <c r="F86" s="21"/>
      <c r="G86" s="21"/>
      <c r="H86" s="21"/>
      <c r="I86" s="21"/>
      <c r="J86" s="21"/>
      <c r="K86" s="21"/>
    </row>
    <row r="87" spans="3:11" x14ac:dyDescent="0.25">
      <c r="C87" s="21"/>
      <c r="D87" s="21"/>
      <c r="E87" s="21"/>
      <c r="F87" s="21"/>
      <c r="G87" s="21"/>
      <c r="H87" s="21"/>
      <c r="I87" s="21"/>
      <c r="J87" s="21"/>
      <c r="K87" s="21"/>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5" sqref="A5"/>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0" t="e" vm="1">
        <v>#VALUE!</v>
      </c>
      <c r="C1" s="12" t="s">
        <v>71</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12</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66</v>
      </c>
      <c r="E8" s="32" t="s">
        <v>67</v>
      </c>
    </row>
    <row r="9" spans="1:24" ht="20.100000000000001" customHeight="1" x14ac:dyDescent="0.25">
      <c r="A9" s="104" t="str">
        <f>HYPERLINK("#'Input - Site'!A1", "Site")</f>
        <v>Site</v>
      </c>
      <c r="N9" s="41"/>
    </row>
    <row r="10" spans="1:24" ht="20.100000000000001" customHeight="1" x14ac:dyDescent="0.25">
      <c r="A10" s="17" t="str">
        <f>HYPERLINK("#'Input - Crop'!A1", "Crop")</f>
        <v>Crop</v>
      </c>
      <c r="D10" s="86" t="s">
        <v>70</v>
      </c>
      <c r="E10" s="84"/>
      <c r="F10" s="87"/>
      <c r="G10" s="81"/>
      <c r="N10" s="41"/>
    </row>
    <row r="11" spans="1:24" ht="20.100000000000001" customHeight="1" x14ac:dyDescent="0.25">
      <c r="A11" s="17" t="str">
        <f>HYPERLINK("#'Input - Pasture'!A1", "Pasture")</f>
        <v>Pasture</v>
      </c>
      <c r="N11" s="42"/>
    </row>
    <row r="12" spans="1:24" ht="20.100000000000001" customHeight="1" x14ac:dyDescent="0.25">
      <c r="A12"/>
      <c r="D12" s="10" t="s">
        <v>76</v>
      </c>
      <c r="E12" s="59">
        <v>45292</v>
      </c>
      <c r="F12" s="2" t="s">
        <v>64</v>
      </c>
    </row>
    <row r="13" spans="1:24" ht="20.100000000000001" customHeight="1" x14ac:dyDescent="0.25">
      <c r="A13"/>
      <c r="D13" s="10" t="s">
        <v>77</v>
      </c>
      <c r="E13" s="62">
        <f>DATE(YEAR(X_Cell_Site_StartDate)+1,MONTH(X_Cell_Site_StartDate),DAY(X_Cell_Site_StartDate))-1</f>
        <v>45657</v>
      </c>
      <c r="F13" s="2" t="s">
        <v>14</v>
      </c>
      <c r="N13" s="37"/>
      <c r="O13" s="37"/>
    </row>
    <row r="14" spans="1:24" ht="20.100000000000001" customHeight="1" x14ac:dyDescent="0.25">
      <c r="A14" s="18" t="s">
        <v>68</v>
      </c>
      <c r="N14" s="37"/>
      <c r="O14" s="37"/>
    </row>
    <row r="15" spans="1:24" ht="20.100000000000001" customHeight="1" x14ac:dyDescent="0.25">
      <c r="A15" s="17" t="str">
        <f>HYPERLINK("#'6.1.1.1-2 Crop residue N2O'!A1", "6.1.1.1-2 Crop residue N2O")</f>
        <v>6.1.1.1-2 Crop residue N2O</v>
      </c>
      <c r="N15" s="37"/>
      <c r="O15" s="37"/>
    </row>
    <row r="16" spans="1:24" ht="20.100000000000001" customHeight="1" x14ac:dyDescent="0.25">
      <c r="A16" s="17" t="str">
        <f>HYPERLINK("#'6.2.1.1-2 Pasture residue N2O'!A1", "6.2.1.1-2 Pasture residue N2O")</f>
        <v>6.2.1.1-2 Pasture residue N2O</v>
      </c>
      <c r="D16" s="6" t="s">
        <v>11</v>
      </c>
      <c r="N16" s="37"/>
      <c r="O16" s="37"/>
    </row>
    <row r="17" spans="1:25" ht="20.100000000000001" customHeight="1" x14ac:dyDescent="0.25">
      <c r="A17" s="17" t="str">
        <f>HYPERLINK("#'6.3.1.1-2 Leaching and runoff'!A1", "6.3.1.1-2 Leaching and runoff")</f>
        <v>6.3.1.1-2 Leaching and runoff</v>
      </c>
    </row>
    <row r="18" spans="1:25" ht="20.100000000000001" customHeight="1" x14ac:dyDescent="0.25">
      <c r="A18" s="17" t="str">
        <f>HYPERLINK("#'6.3.1.1-2 Leach runoff crop'!A1", "6.3.1.1-2 Leach runoff crop")</f>
        <v>6.3.1.1-2 Leach runoff crop</v>
      </c>
      <c r="D18" s="88" t="s">
        <v>13</v>
      </c>
      <c r="E18" s="83"/>
      <c r="F18" s="83"/>
      <c r="G18" s="79"/>
    </row>
    <row r="19" spans="1:25" ht="20.100000000000001" customHeight="1" x14ac:dyDescent="0.25">
      <c r="A19" s="17" t="str">
        <f>HYPERLINK("#'6.3.1.1-2 Leach runoff pasture'!A1", "6.3.1.1-2 Leach runoff pasture")</f>
        <v>6.3.1.1-2 Leach runoff pasture</v>
      </c>
      <c r="D19" s="85" t="s">
        <v>65</v>
      </c>
      <c r="E19" s="82"/>
      <c r="F19" s="82"/>
      <c r="G19" s="80"/>
      <c r="N19" s="39"/>
    </row>
    <row r="20" spans="1:25" ht="20.100000000000001" customHeight="1" x14ac:dyDescent="0.25">
      <c r="A20" s="17" t="str">
        <f>HYPERLINK("#'6.4.1.1-2 Residue burning'!A1", "6.4.1.1-2 Residue burning")</f>
        <v>6.4.1.1-2 Residue burning</v>
      </c>
      <c r="D20" s="1"/>
      <c r="E20" s="30"/>
      <c r="F20" s="2"/>
      <c r="N20" s="40"/>
    </row>
    <row r="21" spans="1:25" ht="20.100000000000001" customHeight="1" x14ac:dyDescent="0.25">
      <c r="A21"/>
      <c r="D21" s="1" t="s">
        <v>5</v>
      </c>
      <c r="E21" s="38" t="s">
        <v>98</v>
      </c>
      <c r="F21" s="2" t="s">
        <v>8</v>
      </c>
    </row>
    <row r="22" spans="1:25" ht="20.100000000000001" customHeight="1" x14ac:dyDescent="0.25">
      <c r="A22"/>
      <c r="D22" s="1" t="s">
        <v>20</v>
      </c>
      <c r="E22" s="38" t="s">
        <v>29</v>
      </c>
      <c r="F22" s="2" t="s">
        <v>8</v>
      </c>
      <c r="G22" s="1"/>
    </row>
    <row r="23" spans="1:25" ht="20.100000000000001" customHeight="1" x14ac:dyDescent="0.25">
      <c r="A23" s="141" t="s">
        <v>1</v>
      </c>
      <c r="D23" s="1" t="s">
        <v>6</v>
      </c>
      <c r="E23" s="38" t="s">
        <v>75</v>
      </c>
      <c r="F23" s="2" t="s">
        <v>8</v>
      </c>
    </row>
    <row r="24" spans="1:25" ht="20.100000000000001" customHeight="1" x14ac:dyDescent="0.25">
      <c r="A24" s="17" t="str">
        <f>HYPERLINK("#'Constants - Ag Residue'!A1", "Constants - Ag Residue")</f>
        <v>Constants - Ag Residue</v>
      </c>
      <c r="D24" s="1" t="s">
        <v>34</v>
      </c>
      <c r="E24" s="32">
        <v>307.7</v>
      </c>
      <c r="F24" s="2" t="s">
        <v>48</v>
      </c>
    </row>
    <row r="25" spans="1:25" ht="20.100000000000001" customHeight="1" x14ac:dyDescent="0.25">
      <c r="A25" s="17" t="str">
        <f>HYPERLINK("#'Constants - Common'!A1", "Constants - Common")</f>
        <v>Constants - Common</v>
      </c>
      <c r="D25" s="1" t="s">
        <v>56</v>
      </c>
      <c r="E25" s="32">
        <v>18</v>
      </c>
      <c r="F25" s="2" t="s">
        <v>9</v>
      </c>
      <c r="N25" s="40"/>
    </row>
    <row r="26" spans="1:25" ht="20.100000000000001" customHeight="1" x14ac:dyDescent="0.25">
      <c r="A26"/>
      <c r="D26" s="1" t="s">
        <v>57</v>
      </c>
      <c r="E26" s="32">
        <v>601</v>
      </c>
      <c r="F26" s="2" t="s">
        <v>10</v>
      </c>
    </row>
    <row r="27" spans="1:25" ht="20.100000000000001" customHeight="1" x14ac:dyDescent="0.25">
      <c r="A27"/>
      <c r="D27" s="10" t="s">
        <v>58</v>
      </c>
      <c r="E27" s="32">
        <v>1326</v>
      </c>
      <c r="F27" s="2" t="s">
        <v>10</v>
      </c>
    </row>
    <row r="28" spans="1:25" ht="20.100000000000001" customHeight="1" x14ac:dyDescent="0.25">
      <c r="A28"/>
      <c r="D28" s="1" t="s">
        <v>59</v>
      </c>
      <c r="E28" s="32">
        <v>7</v>
      </c>
      <c r="F28" s="2" t="s">
        <v>49</v>
      </c>
    </row>
    <row r="29" spans="1:25" ht="20.100000000000001" customHeight="1" x14ac:dyDescent="0.25">
      <c r="A29"/>
      <c r="D29" s="10" t="s">
        <v>55</v>
      </c>
      <c r="E29" s="49">
        <f>X_Cell_Site_TotalRainfall/X_Cell_Site_PotentialEvapotranspiration</f>
        <v>0.45324283559577677</v>
      </c>
      <c r="F29" s="2"/>
    </row>
    <row r="30" spans="1:25" ht="20.100000000000001" customHeight="1" x14ac:dyDescent="0.25">
      <c r="A30"/>
      <c r="D30" s="10" t="s">
        <v>30</v>
      </c>
      <c r="E30" s="49" t="str">
        <f>Common_InputFunctions.Utility_LookupItemFromMinMax(X_Cell_Site_TotalRainfall,Table_SourceData_RainfallZones[Min rainfall],Table_SourceData_RainfallZones[Max rainfall],Table_SourceData_RainfallZones[Rainfall Zone])</f>
        <v>High rainfall</v>
      </c>
      <c r="G30" s="31"/>
      <c r="L30" s="46"/>
      <c r="M30" s="46"/>
      <c r="N30" s="46"/>
      <c r="O30" s="46"/>
      <c r="P30" s="46"/>
      <c r="Q30" s="46"/>
      <c r="R30" s="46"/>
      <c r="S30" s="46"/>
      <c r="T30" s="46"/>
      <c r="U30" s="46"/>
      <c r="V30" s="46"/>
      <c r="W30" s="46"/>
      <c r="X30" s="46"/>
      <c r="Y30" s="46"/>
    </row>
    <row r="31" spans="1:25" ht="20.100000000000001" customHeight="1" x14ac:dyDescent="0.25">
      <c r="A31"/>
      <c r="D31" s="1" t="s">
        <v>7</v>
      </c>
      <c r="E31" s="49" t="str">
        <f>Common_InputFunctions.Utility_GetClimateZone(X_Cell_Site_AverageTemperature,X_Cell_Site_TotalRainfall,X_Cell_Site_FrostDays,X_Cell_Site_Elevation,X_Cell_Site_MapPetRatio,Table_SourceData_ClimateZones[Min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0"/>
      <c r="L31" s="44"/>
      <c r="M31" s="44"/>
      <c r="N31" s="44"/>
      <c r="O31" s="44"/>
      <c r="P31" s="44"/>
      <c r="Q31" s="44"/>
      <c r="R31" s="44"/>
      <c r="S31" s="44"/>
      <c r="T31" s="44"/>
      <c r="U31" s="44"/>
      <c r="V31" s="44"/>
      <c r="W31" s="44"/>
      <c r="X31" s="44"/>
      <c r="Y31" s="44"/>
    </row>
    <row r="32" spans="1:25" ht="20.100000000000001" customHeight="1" x14ac:dyDescent="0.25">
      <c r="A32"/>
      <c r="D32" s="1" t="s">
        <v>72</v>
      </c>
      <c r="E32" s="49" t="str">
        <f>Common_InputFunctions.Utility_LookupValueInTable(X_Cell_Site_ClimateZone,Table_SourceData_WetDryZones[Climate zone],Table_SourceData_WetDryZones[Wet or Dry Zone])</f>
        <v>Dry climate zone</v>
      </c>
      <c r="F32" s="1"/>
      <c r="G32" s="30"/>
      <c r="L32" s="44"/>
      <c r="M32" s="44"/>
      <c r="N32" s="44"/>
      <c r="O32" s="44"/>
      <c r="P32" s="44"/>
      <c r="Q32" s="44"/>
      <c r="R32" s="44"/>
      <c r="S32" s="44"/>
      <c r="T32" s="44"/>
      <c r="U32" s="44"/>
      <c r="V32" s="44"/>
      <c r="W32" s="44"/>
      <c r="X32" s="44"/>
      <c r="Y32" s="44"/>
    </row>
    <row r="33" spans="1:25" ht="20.100000000000001" customHeight="1" x14ac:dyDescent="0.25">
      <c r="A33"/>
      <c r="D33" s="1" t="s">
        <v>47</v>
      </c>
      <c r="E33" s="49" t="str">
        <f>Common_InputFunctions.Utility_LookupItemFromMinMax(X_Cell_Site_AverageTemperature,Table_SourceData_TemperatureZones[Min MAT],Table_SourceData_TemperatureZones[Max MAT],Table_SourceData_TemperatureZones[Temperature Zone])</f>
        <v>Temperate</v>
      </c>
      <c r="G33" s="63"/>
      <c r="L33" s="44"/>
      <c r="M33" s="44"/>
      <c r="N33" s="44"/>
      <c r="O33" s="44"/>
      <c r="P33" s="44"/>
      <c r="Q33" s="44"/>
      <c r="R33" s="44"/>
      <c r="S33" s="44"/>
      <c r="T33" s="44"/>
      <c r="U33" s="44"/>
      <c r="V33" s="44"/>
      <c r="W33" s="44"/>
      <c r="X33" s="44"/>
      <c r="Y33" s="44"/>
    </row>
    <row r="34" spans="1:25" ht="20.100000000000001" customHeight="1" x14ac:dyDescent="0.25">
      <c r="A34"/>
      <c r="J34" s="57"/>
      <c r="K34" s="66"/>
      <c r="L34" s="44"/>
      <c r="M34" s="44"/>
      <c r="N34" s="44"/>
      <c r="O34" s="44"/>
      <c r="P34" s="44"/>
      <c r="Q34" s="44"/>
      <c r="R34" s="44"/>
      <c r="S34" s="44"/>
      <c r="T34" s="44"/>
      <c r="U34" s="44"/>
      <c r="V34" s="44"/>
      <c r="W34" s="44"/>
      <c r="X34" s="44"/>
      <c r="Y34" s="44"/>
    </row>
    <row r="35" spans="1:25" ht="20.100000000000001" customHeight="1" x14ac:dyDescent="0.25">
      <c r="A35"/>
      <c r="J35" s="57"/>
      <c r="K35" s="66"/>
      <c r="L35" s="44"/>
      <c r="M35" s="44"/>
      <c r="N35" s="44"/>
      <c r="O35" s="44"/>
      <c r="P35" s="44"/>
      <c r="Q35" s="44"/>
      <c r="R35" s="44"/>
      <c r="S35" s="44"/>
      <c r="T35" s="44"/>
      <c r="U35" s="44"/>
      <c r="V35" s="44"/>
      <c r="W35" s="44"/>
      <c r="X35" s="44"/>
      <c r="Y35" s="44"/>
    </row>
    <row r="36" spans="1:25" ht="20.100000000000001" customHeight="1" x14ac:dyDescent="0.25">
      <c r="A36"/>
      <c r="D36" s="64"/>
      <c r="E36" s="64"/>
      <c r="F36" s="65"/>
      <c r="G36" s="57"/>
      <c r="H36" s="57"/>
      <c r="I36" s="58"/>
      <c r="J36" s="57"/>
      <c r="K36" s="66"/>
      <c r="L36" s="44"/>
      <c r="M36" s="44"/>
      <c r="N36" s="44"/>
      <c r="O36" s="44"/>
      <c r="P36" s="44"/>
      <c r="Q36" s="44"/>
      <c r="R36" s="44"/>
      <c r="S36" s="44"/>
      <c r="T36" s="44"/>
      <c r="U36" s="44"/>
      <c r="V36" s="44"/>
      <c r="W36" s="44"/>
      <c r="X36" s="44"/>
      <c r="Y36" s="44"/>
    </row>
    <row r="37" spans="1:25" ht="20.100000000000001" customHeight="1" x14ac:dyDescent="0.25">
      <c r="A37"/>
      <c r="D37" s="64"/>
      <c r="E37" s="64"/>
      <c r="F37" s="65"/>
      <c r="G37" s="57"/>
      <c r="H37" s="57"/>
      <c r="I37" s="58"/>
      <c r="J37" s="57"/>
      <c r="K37" s="66"/>
      <c r="L37" s="44"/>
      <c r="M37" s="44"/>
      <c r="N37" s="44"/>
      <c r="O37" s="44"/>
      <c r="P37" s="44"/>
      <c r="Q37" s="44"/>
      <c r="R37" s="44"/>
      <c r="S37" s="44"/>
      <c r="T37" s="44"/>
      <c r="U37" s="44"/>
      <c r="V37" s="44"/>
      <c r="W37" s="44"/>
      <c r="X37" s="44"/>
      <c r="Y37" s="44"/>
    </row>
    <row r="38" spans="1:25" ht="20.100000000000001" customHeight="1" x14ac:dyDescent="0.25">
      <c r="A38"/>
      <c r="D38" s="64"/>
      <c r="E38" s="64"/>
      <c r="F38" s="65"/>
      <c r="G38" s="57"/>
      <c r="H38" s="57"/>
      <c r="I38" s="58"/>
      <c r="J38" s="57"/>
      <c r="K38" s="66"/>
      <c r="L38" s="44"/>
      <c r="M38" s="44"/>
      <c r="N38" s="44"/>
      <c r="O38" s="44"/>
      <c r="P38" s="44"/>
      <c r="Q38" s="44"/>
      <c r="R38" s="44"/>
      <c r="S38" s="44"/>
      <c r="T38" s="44"/>
      <c r="U38" s="44"/>
      <c r="V38" s="44"/>
      <c r="W38" s="44"/>
      <c r="X38" s="44"/>
      <c r="Y38" s="44"/>
    </row>
    <row r="39" spans="1:25" ht="20.100000000000001" customHeight="1" x14ac:dyDescent="0.25">
      <c r="A39"/>
      <c r="D39" s="64"/>
      <c r="E39" s="64"/>
      <c r="F39" s="65"/>
      <c r="G39" s="57"/>
      <c r="H39" s="57"/>
      <c r="I39" s="58"/>
      <c r="J39" s="57"/>
      <c r="K39" s="66"/>
      <c r="L39" s="44"/>
      <c r="M39" s="44"/>
      <c r="N39" s="44"/>
      <c r="O39" s="44"/>
      <c r="P39" s="44"/>
      <c r="Q39" s="44"/>
      <c r="R39" s="44"/>
      <c r="S39" s="44"/>
      <c r="T39" s="44"/>
      <c r="U39" s="44"/>
      <c r="V39" s="44"/>
      <c r="W39" s="44"/>
      <c r="X39" s="44"/>
      <c r="Y39" s="44"/>
    </row>
    <row r="40" spans="1:25" ht="20.100000000000001" customHeight="1" x14ac:dyDescent="0.25">
      <c r="A40"/>
      <c r="D40" s="67"/>
      <c r="E40" s="67"/>
      <c r="F40" s="67"/>
      <c r="G40" s="68"/>
      <c r="H40" s="69"/>
      <c r="I40" s="69"/>
      <c r="J40" s="69"/>
      <c r="K40" s="69"/>
      <c r="L40" s="47"/>
      <c r="M40" s="47"/>
      <c r="N40" s="47"/>
      <c r="O40" s="47"/>
      <c r="P40" s="47"/>
      <c r="Q40" s="47"/>
      <c r="R40" s="47"/>
      <c r="S40" s="47"/>
      <c r="T40" s="47"/>
      <c r="U40" s="47"/>
      <c r="V40" s="47"/>
      <c r="W40" s="47"/>
      <c r="X40" s="47"/>
      <c r="Y40" s="47"/>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70"/>
      <c r="E47" s="70"/>
      <c r="F47" s="70"/>
      <c r="G47" s="70"/>
      <c r="H47" s="70"/>
    </row>
    <row r="48" spans="1:25" ht="20.100000000000001" customHeight="1" x14ac:dyDescent="0.25">
      <c r="A48"/>
      <c r="D48" s="33"/>
      <c r="E48" s="33"/>
      <c r="F48" s="34"/>
      <c r="G48" s="34"/>
      <c r="H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71"/>
      <c r="E51" s="72"/>
      <c r="F51" s="72"/>
      <c r="G51" s="72"/>
      <c r="H51" s="73"/>
    </row>
    <row r="52" spans="1:8" ht="20.100000000000001" customHeight="1" x14ac:dyDescent="0.25">
      <c r="A52"/>
    </row>
    <row r="53" spans="1:8" ht="20.100000000000001" customHeight="1" x14ac:dyDescent="0.25">
      <c r="A53"/>
    </row>
    <row r="54" spans="1:8" ht="20.100000000000001" customHeight="1" x14ac:dyDescent="0.25">
      <c r="A54"/>
      <c r="G54" s="74"/>
    </row>
    <row r="55" spans="1:8" ht="20.100000000000001" customHeight="1" x14ac:dyDescent="0.25">
      <c r="A55"/>
      <c r="D55" s="6"/>
    </row>
    <row r="56" spans="1:8" ht="20.100000000000001" customHeight="1" x14ac:dyDescent="0.25">
      <c r="A56"/>
    </row>
    <row r="57" spans="1:8" ht="20.100000000000001" customHeight="1" x14ac:dyDescent="0.25">
      <c r="A57"/>
      <c r="D57" s="20"/>
      <c r="F57" s="75"/>
    </row>
    <row r="58" spans="1:8" ht="20.100000000000001" customHeight="1" x14ac:dyDescent="0.25">
      <c r="A58"/>
      <c r="D58" s="1"/>
      <c r="E58" s="76"/>
    </row>
    <row r="59" spans="1:8" ht="20.100000000000001" customHeight="1" x14ac:dyDescent="0.25">
      <c r="A59"/>
      <c r="D59" s="1"/>
      <c r="E59" s="76"/>
    </row>
    <row r="60" spans="1:8" ht="20.100000000000001" customHeight="1" x14ac:dyDescent="0.25">
      <c r="A60"/>
      <c r="D60" s="1"/>
      <c r="E60" s="77"/>
    </row>
    <row r="61" spans="1:8" ht="20.100000000000001" customHeight="1" x14ac:dyDescent="0.25">
      <c r="A61"/>
      <c r="D61" s="1"/>
    </row>
    <row r="62" spans="1:8" ht="20.100000000000001" customHeight="1" x14ac:dyDescent="0.25">
      <c r="A62"/>
    </row>
    <row r="63" spans="1:8" ht="20.100000000000001" customHeight="1" x14ac:dyDescent="0.25">
      <c r="A63"/>
      <c r="D63" s="20"/>
    </row>
    <row r="64" spans="1:8" ht="20.100000000000001" customHeight="1" x14ac:dyDescent="0.25">
      <c r="A64"/>
      <c r="D64" s="1"/>
      <c r="E64" s="76"/>
    </row>
    <row r="65" spans="1:9" ht="20.100000000000001" customHeight="1" x14ac:dyDescent="0.25">
      <c r="A65"/>
      <c r="D65" s="1"/>
      <c r="E65" s="76"/>
    </row>
    <row r="66" spans="1:9" ht="20.100000000000001" customHeight="1" x14ac:dyDescent="0.25">
      <c r="A66"/>
      <c r="D66" s="1"/>
      <c r="E66" s="77"/>
    </row>
    <row r="67" spans="1:9" ht="20.100000000000001" customHeight="1" x14ac:dyDescent="0.25">
      <c r="A67"/>
    </row>
    <row r="68" spans="1:9" ht="20.100000000000001" customHeight="1" x14ac:dyDescent="0.25">
      <c r="A68"/>
    </row>
    <row r="69" spans="1:9" ht="20.100000000000001" customHeight="1" x14ac:dyDescent="0.25">
      <c r="A69"/>
      <c r="D69" s="56"/>
      <c r="E69" s="56"/>
      <c r="F69" s="56"/>
      <c r="G69" s="56"/>
      <c r="H69" s="56"/>
      <c r="I69" s="56"/>
    </row>
    <row r="70" spans="1:9" ht="20.100000000000001" customHeight="1" x14ac:dyDescent="0.25">
      <c r="A70"/>
      <c r="D70" s="56"/>
      <c r="E70" s="56"/>
      <c r="F70" s="56"/>
      <c r="G70" s="56"/>
      <c r="H70" s="56"/>
      <c r="I70" s="56"/>
    </row>
    <row r="71" spans="1:9" ht="20.100000000000001" customHeight="1" x14ac:dyDescent="0.25">
      <c r="A71"/>
      <c r="D71" s="56"/>
      <c r="E71" s="56"/>
      <c r="F71" s="56"/>
      <c r="G71" s="56"/>
      <c r="H71" s="56"/>
      <c r="I71" s="56"/>
    </row>
    <row r="72" spans="1:9" ht="20.100000000000001" customHeight="1" x14ac:dyDescent="0.25">
      <c r="A72"/>
      <c r="D72" s="56"/>
      <c r="E72" s="56"/>
      <c r="F72" s="56"/>
      <c r="G72" s="56"/>
      <c r="H72" s="56"/>
      <c r="I72" s="56"/>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8"/>
    </row>
    <row r="79" spans="1:9" ht="20.100000000000001" customHeight="1" x14ac:dyDescent="0.25">
      <c r="A79"/>
      <c r="D79" s="78"/>
    </row>
    <row r="80" spans="1:9" ht="20.100000000000001" customHeight="1" x14ac:dyDescent="0.25">
      <c r="A80"/>
      <c r="D80" s="78"/>
    </row>
    <row r="81" spans="1:4" ht="20.100000000000001" customHeight="1" x14ac:dyDescent="0.25">
      <c r="A81"/>
      <c r="D81" s="78"/>
    </row>
    <row r="82" spans="1:4" ht="20.100000000000001" customHeight="1" x14ac:dyDescent="0.25">
      <c r="A82"/>
      <c r="D82" s="78"/>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H361"/>
  <sheetViews>
    <sheetView showGridLines="0" topLeftCell="A12" zoomScaleNormal="100" workbookViewId="0">
      <selection activeCell="E18" sqref="E18"/>
    </sheetView>
  </sheetViews>
  <sheetFormatPr defaultRowHeight="15.75" x14ac:dyDescent="0.25"/>
  <cols>
    <col min="1" max="1" width="30.7109375" customWidth="1"/>
    <col min="2" max="2" width="4.7109375" customWidth="1"/>
    <col min="3" max="3" width="4.7109375" style="1" customWidth="1"/>
    <col min="4" max="4" width="52.140625" style="1" customWidth="1"/>
    <col min="5" max="7" width="30.7109375" style="1" customWidth="1"/>
    <col min="8" max="8" width="4.7109375" style="1" customWidth="1"/>
    <col min="9" max="9" width="4.7109375" customWidth="1"/>
  </cols>
  <sheetData>
    <row r="1" spans="1:8" s="60" customFormat="1" ht="30" customHeight="1" x14ac:dyDescent="0.35">
      <c r="A1" s="60" t="e" vm="1">
        <v>#VALUE!</v>
      </c>
      <c r="C1" s="60" t="s">
        <v>129</v>
      </c>
    </row>
    <row r="2" spans="1:8" s="9" customFormat="1" ht="20.100000000000001" customHeight="1" x14ac:dyDescent="0.25">
      <c r="A2"/>
    </row>
    <row r="3" spans="1:8" ht="20.100000000000001" customHeight="1" x14ac:dyDescent="0.25">
      <c r="A3" s="17" t="str">
        <f>HYPERLINK("#'Home'!A1", "Home")</f>
        <v>Home</v>
      </c>
      <c r="C3" s="15"/>
      <c r="D3" s="15"/>
      <c r="E3" s="15"/>
      <c r="F3" s="15"/>
      <c r="G3" s="15"/>
      <c r="H3" s="15"/>
    </row>
    <row r="4" spans="1:8" ht="20.100000000000001" customHeight="1" x14ac:dyDescent="0.25">
      <c r="A4" s="17" t="str">
        <f>HYPERLINK("#'Overview'!A1", "Overview")</f>
        <v>Overview</v>
      </c>
    </row>
    <row r="5" spans="1:8" ht="20.100000000000001" customHeight="1" x14ac:dyDescent="0.25">
      <c r="A5" s="17" t="str">
        <f>HYPERLINK("#'Results'!A1", "Results")</f>
        <v>Results</v>
      </c>
      <c r="D5" s="6" t="s">
        <v>130</v>
      </c>
    </row>
    <row r="6" spans="1:8" ht="20.100000000000001" customHeight="1" x14ac:dyDescent="0.25"/>
    <row r="7" spans="1:8" ht="20.100000000000001" customHeight="1" x14ac:dyDescent="0.25">
      <c r="D7" s="86" t="s">
        <v>131</v>
      </c>
      <c r="E7" s="87"/>
      <c r="F7" s="87"/>
      <c r="G7" s="81"/>
    </row>
    <row r="8" spans="1:8" ht="20.100000000000001" customHeight="1" x14ac:dyDescent="0.25">
      <c r="A8" s="19" t="s">
        <v>0</v>
      </c>
    </row>
    <row r="9" spans="1:8" ht="20.100000000000001" customHeight="1" x14ac:dyDescent="0.25">
      <c r="A9" s="17" t="str">
        <f>HYPERLINK("#'Input - Site'!A1", "Site")</f>
        <v>Site</v>
      </c>
      <c r="D9" s="1" t="s">
        <v>109</v>
      </c>
      <c r="E9" s="38" t="s">
        <v>132</v>
      </c>
      <c r="F9" s="2" t="s">
        <v>133</v>
      </c>
    </row>
    <row r="10" spans="1:8" ht="20.100000000000001" customHeight="1" x14ac:dyDescent="0.25">
      <c r="A10" s="104" t="str">
        <f>HYPERLINK("#'Input - Crop'!A1", "Crop")</f>
        <v>Crop</v>
      </c>
      <c r="D10" s="1" t="s">
        <v>134</v>
      </c>
      <c r="E10" s="38" t="s">
        <v>170</v>
      </c>
      <c r="F10" s="2" t="s">
        <v>133</v>
      </c>
    </row>
    <row r="11" spans="1:8" ht="20.100000000000001" customHeight="1" x14ac:dyDescent="0.25">
      <c r="A11" s="17" t="str">
        <f>HYPERLINK("#'Input - Pasture'!A1", "Pasture")</f>
        <v>Pasture</v>
      </c>
      <c r="D11" s="10" t="s">
        <v>85</v>
      </c>
      <c r="E11" s="38" t="s">
        <v>107</v>
      </c>
      <c r="F11" s="2" t="s">
        <v>133</v>
      </c>
    </row>
    <row r="12" spans="1:8" ht="20.100000000000001" customHeight="1" x14ac:dyDescent="0.25"/>
    <row r="13" spans="1:8" ht="20.100000000000001" customHeight="1" x14ac:dyDescent="0.25">
      <c r="D13" s="1" t="s">
        <v>110</v>
      </c>
      <c r="E13" s="129">
        <v>1000</v>
      </c>
      <c r="F13" s="2" t="s">
        <v>135</v>
      </c>
    </row>
    <row r="14" spans="1:8" ht="20.100000000000001" customHeight="1" x14ac:dyDescent="0.25">
      <c r="A14" s="18" t="s">
        <v>68</v>
      </c>
    </row>
    <row r="15" spans="1:8" ht="20.100000000000001" customHeight="1" x14ac:dyDescent="0.25">
      <c r="A15" s="17" t="str">
        <f>HYPERLINK("#'6.1.1.1-2 Crop residue N2O'!A1", "6.1.1.1-2 Crop residue N2O")</f>
        <v>6.1.1.1-2 Crop residue N2O</v>
      </c>
      <c r="D15" s="6" t="s">
        <v>136</v>
      </c>
    </row>
    <row r="16" spans="1:8" ht="20.100000000000001" customHeight="1" x14ac:dyDescent="0.25">
      <c r="A16" s="17" t="str">
        <f>HYPERLINK("#'6.2.1.1-2 Pasture residue N2O'!A1", "6.2.1.1-2 Pasture residue N2O")</f>
        <v>6.2.1.1-2 Pasture residue N2O</v>
      </c>
    </row>
    <row r="17" spans="1:6" ht="20.100000000000001" customHeight="1" x14ac:dyDescent="0.25">
      <c r="A17" s="17" t="str">
        <f>HYPERLINK("#'6.3.1.1-2 Leaching and runoff'!A1", "6.3.1.1-2 Leaching and runoff")</f>
        <v>6.3.1.1-2 Leaching and runoff</v>
      </c>
      <c r="D17" s="1" t="str">
        <f>X_Cell_Crop_CropPurpose &amp; " " &amp; _xlfn.XLOOKUP(X_Cell_Crop_CropPurpose,Table_SourceData_CropPurposeAndYields[Purpose], Table_SourceData_CropPurposeAndYields[harvest term]) &amp; " per hectare¹"</f>
        <v>Cash grain crop yield per hectare¹</v>
      </c>
      <c r="E17" s="112">
        <v>10</v>
      </c>
      <c r="F17" s="2" t="str">
        <f>"Tonnes " &amp; _xlfn.XLOOKUP(X_Cell_Crop_CropPurpose, Table_SourceData_CropPurposeAndYields[Purpose], Table_SourceData_CropPurposeAndYields[Per hectare unit], FALSE) &amp; " per hectare"</f>
        <v>Tonnes grain per hectare</v>
      </c>
    </row>
    <row r="18" spans="1:6" ht="20.100000000000001" customHeight="1" x14ac:dyDescent="0.25">
      <c r="A18" s="17" t="str">
        <f>HYPERLINK("#'6.3.1.1-2 Leach runoff crop'!A1", "6.3.1.1-2 Leach runoff crop")</f>
        <v>6.3.1.1-2 Leach runoff crop</v>
      </c>
      <c r="D18" s="1" t="s">
        <v>226</v>
      </c>
      <c r="E18" s="49">
        <f>_xlfn.IFS(X_Cell_Crop_CropPurpose="Cash grain crop", Common_InputFunctions.Utility_LookupValueInTableNumber(X_Cell_Crop_CropType, Table_SourceData_CropAttributes[Crop type],Table_SourceData_CropAttributes[Residue: Crop ratio]), X_Cell_Crop_CropPurpose="Cash crop for hay/silage", 0, X_Cell_Crop_CropPurpose="Cover crop", 1)</f>
        <v>1.5</v>
      </c>
    </row>
    <row r="19" spans="1:6" ht="20.100000000000001" customHeight="1" x14ac:dyDescent="0.25">
      <c r="A19" s="17" t="str">
        <f>HYPERLINK("#'6.3.1.1-2 Leach runoff pasture'!A1", "6.3.1.1-2 Leach runoff pasture")</f>
        <v>6.3.1.1-2 Leach runoff pasture</v>
      </c>
      <c r="D19" s="1" t="s">
        <v>139</v>
      </c>
      <c r="E19" s="49">
        <f>X_Cell_Crop_YieldPerHectare*E18</f>
        <v>15</v>
      </c>
      <c r="F19" s="2" t="s">
        <v>138</v>
      </c>
    </row>
    <row r="20" spans="1:6" ht="20.100000000000001" customHeight="1" x14ac:dyDescent="0.25">
      <c r="A20" s="17" t="str">
        <f>HYPERLINK("#'6.4.1.1-2 Residue burning'!A1", "6.4.1.1-2 Residue burning")</f>
        <v>6.4.1.1-2 Residue burning</v>
      </c>
      <c r="D20" s="1" t="s">
        <v>137</v>
      </c>
      <c r="E20" s="49">
        <f>X_Cell_Crop_YieldPerHectare+E19</f>
        <v>25</v>
      </c>
      <c r="F20" s="2" t="s">
        <v>138</v>
      </c>
    </row>
    <row r="21" spans="1:6" ht="20.100000000000001" customHeight="1" x14ac:dyDescent="0.25"/>
    <row r="22" spans="1:6" ht="20.100000000000001" customHeight="1" x14ac:dyDescent="0.25">
      <c r="D22" s="50" t="s">
        <v>227</v>
      </c>
      <c r="E22" s="49">
        <f>X_Cell_Crop_YieldPerHectare*X_Cell_Crop_AreaUnderCropping</f>
        <v>10000</v>
      </c>
      <c r="F22" s="2" t="str">
        <f>"Tonnes " &amp; _xlfn.XLOOKUP(X_Cell_Crop_CropPurpose, Table_SourceData_CropPurposeAndYields[Purpose], Table_SourceData_CropPurposeAndYields[Harvest uit], FALSE)</f>
        <v>Tonnes grain</v>
      </c>
    </row>
    <row r="23" spans="1:6" ht="20.100000000000001" customHeight="1" x14ac:dyDescent="0.25">
      <c r="A23" s="141" t="s">
        <v>1</v>
      </c>
    </row>
    <row r="24" spans="1:6" ht="20.100000000000001" customHeight="1" x14ac:dyDescent="0.25">
      <c r="A24" s="17" t="str">
        <f>HYPERLINK("#'Constants - Ag Residue'!A1", "Constants - Ag Residue")</f>
        <v>Constants - Ag Residue</v>
      </c>
      <c r="D24" s="96" t="str">
        <f>"¹ " &amp; _xlfn.XLOOKUP(X_Cell_Crop_CropPurpose, Table_SourceData_CropPurposeAndYields[Purpose],Table_SourceData_CropPurposeAndYields[Yield note])</f>
        <v>¹ Yield is the grain harvested from the plant</v>
      </c>
    </row>
    <row r="25" spans="1:6" ht="20.100000000000001" customHeight="1" x14ac:dyDescent="0.25">
      <c r="A25" s="17" t="str">
        <f>HYPERLINK("#'Constants - Common'!A1", "Constants - Common")</f>
        <v>Constants - Common</v>
      </c>
      <c r="D25" s="96" t="str">
        <f>"² " &amp; _xlfn.XLOOKUP(X_Cell_Crop_CropPurpose, Table_SourceData_CropPurposeAndYields[Purpose],Table_SourceData_CropPurposeAndYields[Residue crop ratio note])</f>
        <v>² Residue to crop ratio is provided from default values</v>
      </c>
    </row>
    <row r="26" spans="1:6" ht="20.100000000000001" customHeight="1" x14ac:dyDescent="0.25">
      <c r="D26" s="96" t="str">
        <f>"³ " &amp; _xlfn.XLOOKUP(X_Cell_Crop_CropPurpose,Table_SourceData_CropPurposeAndYields[Purpose],Table_SourceData_CropPurposeAndYields[Total production note])</f>
        <v>³ Total production is the total grain harvested</v>
      </c>
    </row>
    <row r="27" spans="1:6" ht="20.100000000000001" customHeight="1" x14ac:dyDescent="0.25"/>
    <row r="28" spans="1:6" ht="20.100000000000001" customHeight="1" x14ac:dyDescent="0.25">
      <c r="D28" s="6" t="s">
        <v>140</v>
      </c>
    </row>
    <row r="29" spans="1:6" ht="20.100000000000001" customHeight="1" x14ac:dyDescent="0.25"/>
    <row r="30" spans="1:6" ht="20.100000000000001" customHeight="1" x14ac:dyDescent="0.25">
      <c r="D30" s="1" t="str">
        <f>"Residue after " &amp; VLOOKUP(X_Cell_Crop_CropPurpose,'Constants - Ag Residue'!D8:G10, 4, FALSE)</f>
        <v>Residue after harvest</v>
      </c>
      <c r="E30" s="49">
        <f>E19*X_Cell_Crop_AreaUnderCropping</f>
        <v>15000</v>
      </c>
      <c r="F30" s="2" t="s">
        <v>141</v>
      </c>
    </row>
    <row r="31" spans="1:6" ht="20.100000000000001" customHeight="1" x14ac:dyDescent="0.25"/>
    <row r="32" spans="1:6" ht="20.100000000000001" customHeight="1" x14ac:dyDescent="0.25">
      <c r="D32" s="45" t="s">
        <v>142</v>
      </c>
    </row>
    <row r="33" spans="1:8" ht="20.100000000000001" customHeight="1" x14ac:dyDescent="0.25">
      <c r="D33" s="1" t="s">
        <v>143</v>
      </c>
      <c r="E33" s="120">
        <v>0.11</v>
      </c>
      <c r="F33" s="2" t="s">
        <v>144</v>
      </c>
    </row>
    <row r="34" spans="1:8" ht="20.100000000000001" customHeight="1" x14ac:dyDescent="0.25">
      <c r="D34" s="1" t="s">
        <v>145</v>
      </c>
      <c r="E34" s="112">
        <v>60</v>
      </c>
      <c r="F34" s="2" t="s">
        <v>146</v>
      </c>
    </row>
    <row r="35" spans="1:8" ht="20.100000000000001" customHeight="1" x14ac:dyDescent="0.25">
      <c r="D35" s="50" t="s">
        <v>147</v>
      </c>
      <c r="E35" s="131">
        <f>IFERROR((X_Cell_Crop_TotalResidueBaled*10^3)/X_Cell_Crop_AverageWeightPerBale, 0)</f>
        <v>27500</v>
      </c>
      <c r="F35" s="2" t="s">
        <v>148</v>
      </c>
    </row>
    <row r="36" spans="1:8" ht="20.100000000000001" customHeight="1" x14ac:dyDescent="0.25">
      <c r="D36" s="50" t="s">
        <v>149</v>
      </c>
      <c r="E36" s="49">
        <f>E30*X_Cell_Crop_PercentResidueBaled</f>
        <v>1650</v>
      </c>
      <c r="F36" s="2" t="s">
        <v>141</v>
      </c>
    </row>
    <row r="37" spans="1:8" ht="20.100000000000001" customHeight="1" x14ac:dyDescent="0.25">
      <c r="C37" s="110"/>
    </row>
    <row r="38" spans="1:8" ht="20.100000000000001" customHeight="1" x14ac:dyDescent="0.25">
      <c r="C38" s="110"/>
      <c r="D38" s="45" t="s">
        <v>150</v>
      </c>
    </row>
    <row r="39" spans="1:8" ht="20.100000000000001" customHeight="1" x14ac:dyDescent="0.25">
      <c r="D39" s="1" t="s">
        <v>151</v>
      </c>
      <c r="E39" s="120">
        <v>0.3</v>
      </c>
      <c r="F39" s="2" t="s">
        <v>144</v>
      </c>
    </row>
    <row r="40" spans="1:8" s="111" customFormat="1" ht="20.100000000000001" customHeight="1" x14ac:dyDescent="0.25">
      <c r="A40"/>
      <c r="C40" s="1"/>
      <c r="D40" s="1" t="s">
        <v>152</v>
      </c>
      <c r="E40" s="49">
        <f>E30*X_Cell_Crop_PercentResidueBurned</f>
        <v>4500</v>
      </c>
      <c r="F40" s="2" t="s">
        <v>141</v>
      </c>
      <c r="G40" s="1"/>
      <c r="H40" s="1"/>
    </row>
    <row r="41" spans="1:8" s="111" customFormat="1" ht="20.100000000000001" customHeight="1" x14ac:dyDescent="0.25">
      <c r="A41"/>
      <c r="C41" s="1"/>
      <c r="D41" s="1"/>
      <c r="E41" s="1"/>
      <c r="F41" s="1"/>
      <c r="G41" s="1"/>
      <c r="H41" s="1"/>
    </row>
    <row r="42" spans="1:8" ht="20.100000000000001" customHeight="1" x14ac:dyDescent="0.25">
      <c r="D42" s="1" t="s">
        <v>153</v>
      </c>
      <c r="E42" s="49">
        <f>E30-X_Cell_Crop_TotalResidueBaled-E40</f>
        <v>8850</v>
      </c>
      <c r="F42" s="2" t="s">
        <v>141</v>
      </c>
    </row>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c r="D48" s="6"/>
    </row>
    <row r="49" spans="4:6" ht="20.100000000000001" customHeight="1" x14ac:dyDescent="0.25"/>
    <row r="50" spans="4:6" ht="20.100000000000001" customHeight="1" x14ac:dyDescent="0.25">
      <c r="D50" s="10"/>
      <c r="F50" s="2"/>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row r="56" spans="4:6" ht="20.100000000000001" customHeight="1" x14ac:dyDescent="0.25"/>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1" spans="4:4" x14ac:dyDescent="0.25">
      <c r="D361" s="96"/>
    </row>
  </sheetData>
  <conditionalFormatting sqref="E210:G210">
    <cfRule type="cellIs" dxfId="49" priority="79" operator="lessThan">
      <formula>0</formula>
    </cfRule>
  </conditionalFormatting>
  <conditionalFormatting sqref="F42">
    <cfRule type="cellIs" dxfId="48" priority="62" operator="lessThan">
      <formula>0</formula>
    </cfRule>
  </conditionalFormatting>
  <conditionalFormatting sqref="F126:F127">
    <cfRule type="cellIs" dxfId="47" priority="21" operator="lessThan">
      <formula>0</formula>
    </cfRule>
  </conditionalFormatting>
  <conditionalFormatting sqref="F138:F139">
    <cfRule type="cellIs" dxfId="46" priority="20" operator="lessThan">
      <formula>0</formula>
    </cfRule>
  </conditionalFormatting>
  <conditionalFormatting sqref="F150:F151">
    <cfRule type="cellIs" dxfId="45" priority="19" operator="lessThan">
      <formula>0</formula>
    </cfRule>
  </conditionalFormatting>
  <conditionalFormatting sqref="F162:F163">
    <cfRule type="cellIs" dxfId="44" priority="18" operator="lessThan">
      <formula>0</formula>
    </cfRule>
  </conditionalFormatting>
  <conditionalFormatting sqref="F250:F251">
    <cfRule type="cellIs" dxfId="43" priority="93" operator="lessThan">
      <formula>0</formula>
    </cfRule>
  </conditionalFormatting>
  <conditionalFormatting sqref="F255:F256">
    <cfRule type="cellIs" dxfId="42" priority="92" operator="lessThan">
      <formula>0</formula>
    </cfRule>
  </conditionalFormatting>
  <conditionalFormatting sqref="F260:F261">
    <cfRule type="cellIs" dxfId="41" priority="91" operator="lessThan">
      <formula>0</formula>
    </cfRule>
  </conditionalFormatting>
  <conditionalFormatting sqref="F284:F285">
    <cfRule type="cellIs" dxfId="40" priority="85" operator="lessThan">
      <formula>0</formula>
    </cfRule>
  </conditionalFormatting>
  <conditionalFormatting sqref="F289:F290">
    <cfRule type="cellIs" dxfId="39" priority="84" operator="lessThan">
      <formula>0</formula>
    </cfRule>
  </conditionalFormatting>
  <conditionalFormatting sqref="F294:F295">
    <cfRule type="cellIs" dxfId="38" priority="83" operator="lessThan">
      <formula>0</formula>
    </cfRule>
  </conditionalFormatting>
  <dataValidations count="8">
    <dataValidation type="list" allowBlank="1" showInputMessage="1" showErrorMessage="1" sqref="D277" xr:uid="{4E913AB3-F90B-4C35-BCE1-5DBB8FC05107}">
      <formula1>INDIRECT("Table_SourceData_PoultryMMSStage1[MMS]")</formula1>
    </dataValidation>
    <dataValidation type="list" allowBlank="1" showInputMessage="1" showErrorMessage="1" sqref="E225" xr:uid="{9FB53635-991F-44AA-A123-E8ABEF9EE0A6}">
      <formula1>INDIRECT("Table_SourceData_Dairy_ProductionSystemTemplates[Area]")</formula1>
    </dataValidation>
    <dataValidation type="list" allowBlank="1" showInputMessage="1" showErrorMessage="1" sqref="E249 E254 E259 E293 E288 E283 E161 E149 E125 E137" xr:uid="{00A4EA4C-90D3-4150-979D-4D71C7F37A31}">
      <formula1>"Yes, No"</formula1>
    </dataValidation>
    <dataValidation type="list" allowBlank="1" showInputMessage="1" showErrorMessage="1" sqref="E65" xr:uid="{DBA884B0-B52E-420E-8FD2-21B082EB75E2}">
      <formula1>INDIRECT("Table_SourceData_Swine_IrrigationMethods[Irrigation method]")</formula1>
    </dataValidation>
    <dataValidation type="list" allowBlank="1" showInputMessage="1" showErrorMessage="1" sqref="E64" xr:uid="{B95E29DC-96D0-4475-A29E-3F3A3B60CEA1}">
      <formula1>INDIRECT("Table_SourceData_Swine_CropProdSystems[Production system]")</formula1>
    </dataValidation>
    <dataValidation type="list" allowBlank="1" showInputMessage="1" showErrorMessage="1" sqref="E10" xr:uid="{592DACDE-0EAE-4ADF-A3F2-183C51E20C70}">
      <formula1>INDIRECT("Table_SourceData_CropPurposeAndYields[Purpose]")</formula1>
    </dataValidation>
    <dataValidation type="list" allowBlank="1" showInputMessage="1" showErrorMessage="1" sqref="E9" xr:uid="{2C3CA787-BB6D-4639-BF2A-0185599765E7}">
      <formula1>INDIRECT("Table_SourceData_CropAttributes[Crop type]")</formula1>
    </dataValidation>
    <dataValidation type="list" allowBlank="1" showInputMessage="1" showErrorMessage="1" sqref="E11" xr:uid="{9CB8E160-F682-4FAB-8A2E-FE2008746B2B}">
      <formula1>INDIRECT("Table_SourceData_Fertiliser_IrrigationMethods[Irrigation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4446E5-1B14-4357-B6E7-A941464E9D52}">
  <dimension ref="A1:G39"/>
  <sheetViews>
    <sheetView showGridLines="0"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60" t="e" vm="1">
        <v>#VALUE!</v>
      </c>
      <c r="C1" s="60" t="s">
        <v>192</v>
      </c>
      <c r="D1" s="60"/>
      <c r="E1" s="60"/>
      <c r="F1" s="60"/>
      <c r="G1" s="60"/>
    </row>
    <row r="2" spans="1:7" ht="20.100000000000001" customHeight="1" x14ac:dyDescent="0.25">
      <c r="C2" s="9"/>
      <c r="D2" s="9"/>
      <c r="E2" s="9"/>
      <c r="F2" s="9"/>
      <c r="G2" s="9"/>
    </row>
    <row r="3" spans="1:7" ht="20.100000000000001" customHeight="1" x14ac:dyDescent="0.25">
      <c r="A3" s="17" t="str">
        <f>HYPERLINK("#'Home'!A1", "Home")</f>
        <v>Home</v>
      </c>
      <c r="C3" s="15"/>
      <c r="D3" s="15"/>
      <c r="E3" s="15"/>
      <c r="F3" s="15"/>
      <c r="G3" s="15"/>
    </row>
    <row r="4" spans="1:7" ht="20.100000000000001" customHeight="1" x14ac:dyDescent="0.25">
      <c r="A4" s="17" t="str">
        <f>HYPERLINK("#'Overview'!A1", "Overview")</f>
        <v>Overview</v>
      </c>
    </row>
    <row r="5" spans="1:7" ht="20.100000000000001" customHeight="1" x14ac:dyDescent="0.25">
      <c r="A5" s="17" t="str">
        <f>HYPERLINK("#'Results'!A1", "Results")</f>
        <v>Results</v>
      </c>
      <c r="D5" s="6" t="s">
        <v>130</v>
      </c>
    </row>
    <row r="6" spans="1:7" ht="20.100000000000001" customHeight="1" x14ac:dyDescent="0.25"/>
    <row r="7" spans="1:7" ht="20.100000000000001" customHeight="1" x14ac:dyDescent="0.25">
      <c r="D7" s="20" t="s">
        <v>131</v>
      </c>
      <c r="E7" s="20"/>
      <c r="F7" s="20"/>
    </row>
    <row r="8" spans="1:7" ht="20.100000000000001" customHeight="1" x14ac:dyDescent="0.25">
      <c r="A8" s="19" t="s">
        <v>0</v>
      </c>
    </row>
    <row r="9" spans="1:7" ht="20.100000000000001" customHeight="1" x14ac:dyDescent="0.25">
      <c r="A9" s="17" t="str">
        <f>HYPERLINK("#'Input - Site'!A1", "Site")</f>
        <v>Site</v>
      </c>
      <c r="D9" s="1" t="s">
        <v>176</v>
      </c>
      <c r="E9" s="38" t="s">
        <v>217</v>
      </c>
      <c r="F9" s="2" t="s">
        <v>191</v>
      </c>
    </row>
    <row r="10" spans="1:7" ht="20.100000000000001" customHeight="1" x14ac:dyDescent="0.25">
      <c r="A10" s="17" t="str">
        <f>HYPERLINK("#'Input - Crop'!A1", "Crop")</f>
        <v>Crop</v>
      </c>
      <c r="D10" s="1" t="s">
        <v>85</v>
      </c>
      <c r="E10" s="38" t="s">
        <v>221</v>
      </c>
      <c r="F10" s="2" t="s">
        <v>191</v>
      </c>
    </row>
    <row r="11" spans="1:7" ht="20.100000000000001" customHeight="1" x14ac:dyDescent="0.25">
      <c r="A11" s="104" t="str">
        <f>HYPERLINK("#'Input - Pasture'!A1", "Pasture")</f>
        <v>Pasture</v>
      </c>
    </row>
    <row r="12" spans="1:7" ht="20.100000000000001" customHeight="1" x14ac:dyDescent="0.25">
      <c r="D12" s="1" t="s">
        <v>184</v>
      </c>
      <c r="E12" s="112">
        <v>1000</v>
      </c>
      <c r="F12" s="2" t="s">
        <v>135</v>
      </c>
    </row>
    <row r="13" spans="1:7" ht="20.100000000000001" customHeight="1" x14ac:dyDescent="0.25"/>
    <row r="14" spans="1:7" ht="20.100000000000001" customHeight="1" x14ac:dyDescent="0.25">
      <c r="A14" s="18" t="s">
        <v>68</v>
      </c>
      <c r="D14" s="6" t="s">
        <v>136</v>
      </c>
    </row>
    <row r="15" spans="1:7" ht="20.100000000000001" customHeight="1" x14ac:dyDescent="0.25">
      <c r="A15" s="17" t="str">
        <f>HYPERLINK("#'6.1.1.1-2 Crop residue N2O'!A1", "6.1.1.1-2 Crop residue N2O")</f>
        <v>6.1.1.1-2 Crop residue N2O</v>
      </c>
    </row>
    <row r="16" spans="1:7" ht="20.100000000000001" customHeight="1" x14ac:dyDescent="0.25">
      <c r="A16" s="17" t="str">
        <f>HYPERLINK("#'6.2.1.1-2 Pasture residue N2O'!A1", "6.2.1.1-2 Pasture residue N2O")</f>
        <v>6.2.1.1-2 Pasture residue N2O</v>
      </c>
      <c r="D16" s="130" t="s">
        <v>185</v>
      </c>
      <c r="E16" s="83"/>
      <c r="F16" s="79"/>
    </row>
    <row r="17" spans="1:6" ht="20.100000000000001" customHeight="1" x14ac:dyDescent="0.25">
      <c r="A17" s="17" t="str">
        <f>HYPERLINK("#'6.3.1.1-2 Leaching and runoff'!A1", "6.3.1.1-2 Leaching and runoff")</f>
        <v>6.3.1.1-2 Leaching and runoff</v>
      </c>
      <c r="D17" s="85" t="s">
        <v>186</v>
      </c>
      <c r="E17" s="82"/>
      <c r="F17" s="80"/>
    </row>
    <row r="18" spans="1:6" ht="20.100000000000001" customHeight="1" x14ac:dyDescent="0.25">
      <c r="A18" s="17" t="str">
        <f>HYPERLINK("#'6.3.1.1-2 Leach runoff crop'!A1", "6.3.1.1-2 Leach runoff crop")</f>
        <v>6.3.1.1-2 Leach runoff crop</v>
      </c>
    </row>
    <row r="19" spans="1:6" ht="20.100000000000001" customHeight="1" x14ac:dyDescent="0.25">
      <c r="A19" s="17" t="str">
        <f>HYPERLINK("#'6.3.1.1-2 Leach runoff pasture'!A1", "6.3.1.1-2 Leach runoff pasture")</f>
        <v>6.3.1.1-2 Leach runoff pasture</v>
      </c>
      <c r="D19" s="1" t="s">
        <v>187</v>
      </c>
      <c r="E19" s="112">
        <f>_xlfn.XLOOKUP(X_Cell_Pasture_PastureType, Table_SourceData_PastureAttributes[Pasture type],Table_SourceData_PastureAttributes[Average Yield (t DM ha) Yp])</f>
        <v>8.34</v>
      </c>
      <c r="F19" s="2" t="s">
        <v>188</v>
      </c>
    </row>
    <row r="20" spans="1:6" ht="20.100000000000001" customHeight="1" x14ac:dyDescent="0.25">
      <c r="A20" s="17" t="str">
        <f>HYPERLINK("#'6.4.1.1-2 Residue burning'!A1", "6.4.1.1-2 Residue burning")</f>
        <v>6.4.1.1-2 Residue burning</v>
      </c>
      <c r="D20" s="1" t="s">
        <v>189</v>
      </c>
      <c r="E20" s="49">
        <f>X_Cell_Pasture_AreaUnderPasture*X_Cell_Pasture_YieldPerHectare</f>
        <v>8340</v>
      </c>
      <c r="F20" s="2" t="s">
        <v>141</v>
      </c>
    </row>
    <row r="21" spans="1:6" ht="20.100000000000001" customHeight="1" x14ac:dyDescent="0.25"/>
    <row r="22" spans="1:6" ht="20.100000000000001" customHeight="1" x14ac:dyDescent="0.25"/>
    <row r="23" spans="1:6" ht="20.100000000000001" customHeight="1" x14ac:dyDescent="0.25">
      <c r="A23" s="141" t="s">
        <v>1</v>
      </c>
      <c r="D23" s="6" t="s">
        <v>140</v>
      </c>
    </row>
    <row r="24" spans="1:6" ht="20.100000000000001" customHeight="1" x14ac:dyDescent="0.25">
      <c r="A24" s="17" t="str">
        <f>HYPERLINK("#'Constants - Ag Residue'!A1", "Constants - Ag Residue")</f>
        <v>Constants - Ag Residue</v>
      </c>
    </row>
    <row r="25" spans="1:6" ht="20.100000000000001" customHeight="1" x14ac:dyDescent="0.25">
      <c r="A25" s="17" t="str">
        <f>HYPERLINK("#'Constants - Common'!A1", "Constants - Common")</f>
        <v>Constants - Common</v>
      </c>
      <c r="D25" s="1" t="s">
        <v>190</v>
      </c>
      <c r="E25" s="112">
        <v>500</v>
      </c>
      <c r="F25" s="2" t="s">
        <v>135</v>
      </c>
    </row>
    <row r="26" spans="1:6" ht="20.100000000000001" customHeight="1" x14ac:dyDescent="0.25"/>
    <row r="27" spans="1:6" ht="20.100000000000001" customHeight="1" x14ac:dyDescent="0.25"/>
    <row r="28" spans="1:6" ht="20.100000000000001" customHeight="1" x14ac:dyDescent="0.25"/>
    <row r="29" spans="1:6" ht="20.100000000000001" customHeight="1" x14ac:dyDescent="0.25"/>
    <row r="30" spans="1:6" ht="20.100000000000001" customHeight="1" x14ac:dyDescent="0.25"/>
    <row r="31" spans="1:6" ht="20.100000000000001" customHeight="1" x14ac:dyDescent="0.25"/>
    <row r="32" spans="1:6"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sheetData>
  <conditionalFormatting sqref="D16:G16">
    <cfRule type="expression" dxfId="37" priority="1">
      <formula>$D$24&gt;$D$11</formula>
    </cfRule>
  </conditionalFormatting>
  <dataValidations count="2">
    <dataValidation type="list" allowBlank="1" showInputMessage="1" showErrorMessage="1" sqref="E9" xr:uid="{6A28EF6D-8A45-4725-BF96-0B0C797CE4BE}">
      <formula1>INDIRECT("Table_SourceData_PastureAttributes[Pasture type]")</formula1>
    </dataValidation>
    <dataValidation type="list" allowBlank="1" showInputMessage="1" showErrorMessage="1" sqref="E10" xr:uid="{FF0C78E2-6745-4837-B7E3-1C1338CAEED4}">
      <formula1>INDIRECT("Table_SourceData_Fertiliser_IrrigationMethods[Irrigation method]")</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T342"/>
  <sheetViews>
    <sheetView showGridLines="0" zoomScaleNormal="100" workbookViewId="0">
      <selection activeCell="I7" sqref="I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9" width="30.7109375" style="1" customWidth="1"/>
    <col min="20" max="20" width="4.7109375" style="1" customWidth="1"/>
  </cols>
  <sheetData>
    <row r="1" spans="1:20" s="8" customFormat="1" ht="30" customHeight="1" x14ac:dyDescent="0.35">
      <c r="A1" s="60" t="e" vm="1">
        <v>#VALUE!</v>
      </c>
      <c r="C1" s="8" t="s">
        <v>128</v>
      </c>
      <c r="K1"/>
    </row>
    <row r="2" spans="1:20" s="9" customFormat="1" ht="20.100000000000001" customHeight="1" x14ac:dyDescent="0.25">
      <c r="A2"/>
      <c r="K2"/>
    </row>
    <row r="3" spans="1:20" ht="20.100000000000001" customHeight="1" x14ac:dyDescent="0.25">
      <c r="A3" s="17" t="str">
        <f>HYPERLINK("#'Home'!A1", "Home")</f>
        <v>Home</v>
      </c>
      <c r="C3" s="4"/>
      <c r="D3" s="4" t="s">
        <v>79</v>
      </c>
      <c r="E3" s="4"/>
      <c r="F3" s="4"/>
      <c r="G3" s="4"/>
      <c r="H3" s="4"/>
      <c r="I3" s="4"/>
      <c r="J3" s="4"/>
      <c r="L3" s="4"/>
      <c r="M3" s="4" t="s">
        <v>80</v>
      </c>
      <c r="N3" s="4"/>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AgResidue_Equations_CropResidue.VEERG_6_1_1_1__2__MassOfNitrogenInCropResidues_Title()</f>
        <v>Mass of nitrogen in crop residues returned to the soil</v>
      </c>
      <c r="E5" s="21"/>
      <c r="F5" s="21"/>
      <c r="G5" s="21"/>
      <c r="H5" s="21"/>
      <c r="L5" s="21"/>
      <c r="M5" s="6" t="str" cm="1">
        <f t="array" ref="M5">AgResidue_Equations_CropResidue.VEERG_6_1_1_2__1__FractionOfCropResidueRemovedBaled_Title()</f>
        <v>Fraction of crop residue that is removed for crop c, calculated where residues are baled</v>
      </c>
      <c r="N5" s="21"/>
      <c r="O5" s="21"/>
      <c r="P5" s="21"/>
      <c r="Q5" s="21"/>
    </row>
    <row r="6" spans="1:20" ht="20.100000000000001" customHeight="1" x14ac:dyDescent="0.25">
      <c r="D6" s="5" t="str" cm="1">
        <f t="array" ref="D6">AgResidue_Equations_CropResidue.VEERG_6_1_1_1__2__MassOfNitrogenInCropResidues_Source()</f>
        <v>VEERG 2026: 6.1.1.1, Equation (2)</v>
      </c>
      <c r="E6" s="21"/>
      <c r="F6" s="21"/>
      <c r="G6" s="21"/>
      <c r="H6" s="21"/>
      <c r="J6" s="21"/>
      <c r="L6" s="21"/>
      <c r="M6" s="5" t="str" cm="1">
        <f t="array" ref="M6">AgResidue_Equations_CropResidue.VEERG_6_1_1_2__1__FractionOfCropResidueRemovedBaled_Source()</f>
        <v>VEERG 2026: 6.1.1.2, Equation (1)</v>
      </c>
      <c r="N6" s="21"/>
      <c r="O6" s="21"/>
      <c r="P6" s="21"/>
      <c r="Q6" s="21"/>
    </row>
    <row r="7" spans="1:20" ht="20.100000000000001" customHeight="1" x14ac:dyDescent="0.25">
      <c r="D7" s="13" t="s">
        <v>21</v>
      </c>
      <c r="E7" s="13" t="str" cm="1">
        <f t="array" aca="1" ref="E7" ca="1">Common_InputFunctions.Utility_DisplayFunctionName(E24)</f>
        <v>=AgResidue_Equations_CropResidue.VEERG_6_1_1_1__2__MassOfNitrogenInCropResidues</v>
      </c>
      <c r="F7" s="21"/>
      <c r="G7" s="21"/>
      <c r="H7" s="21"/>
      <c r="J7" s="21"/>
      <c r="L7" s="21"/>
      <c r="M7" s="13" t="s">
        <v>21</v>
      </c>
      <c r="N7" s="13" t="str" cm="1">
        <f t="array" aca="1" ref="N7" ca="1">Common_InputFunctions.Utility_DisplayFunctionName(N20)</f>
        <v>=AgResidue_Equations_CropResidue.VEERG_6_1_1_2__1__FractionOfCropResidueRemovedBaled</v>
      </c>
      <c r="O7" s="21"/>
      <c r="P7" s="21"/>
      <c r="Q7" s="21"/>
    </row>
    <row r="8" spans="1:20" ht="20.100000000000001" customHeight="1" x14ac:dyDescent="0.25">
      <c r="A8" s="19" t="s">
        <v>0</v>
      </c>
      <c r="F8" s="21"/>
      <c r="G8" s="21"/>
      <c r="H8" s="21"/>
      <c r="J8" s="21"/>
      <c r="L8" s="21"/>
      <c r="M8" s="21"/>
      <c r="N8" s="21"/>
      <c r="O8" s="21"/>
      <c r="P8" s="21"/>
      <c r="Q8" s="21"/>
    </row>
    <row r="9" spans="1:20" ht="20.100000000000001" customHeight="1" x14ac:dyDescent="0.25">
      <c r="A9" s="17" t="str">
        <f>HYPERLINK("#'Input - Site'!A1", "Site")</f>
        <v>Site</v>
      </c>
      <c r="D9" s="21"/>
      <c r="E9" s="21"/>
      <c r="F9" s="21"/>
      <c r="G9" s="21"/>
      <c r="H9" s="21"/>
      <c r="J9" s="21"/>
      <c r="L9" s="21"/>
      <c r="M9" s="21"/>
      <c r="N9" s="21"/>
      <c r="O9" s="21"/>
      <c r="P9" s="21"/>
      <c r="Q9" s="21"/>
    </row>
    <row r="10" spans="1:20" ht="20.100000000000001" customHeight="1" x14ac:dyDescent="0.25">
      <c r="A10" s="17" t="str">
        <f>HYPERLINK("#'Input - Crop'!A1", "Crop")</f>
        <v>Crop</v>
      </c>
      <c r="D10" s="50" t="s">
        <v>24</v>
      </c>
      <c r="E10" s="1" t="str" cm="1">
        <f t="array" ref="E10">AgResidue_Equations_CropResidue.VEERG_6_1_1_1__2__MassOfNitrogenInCropResidues_Variable()</f>
        <v>M_c</v>
      </c>
      <c r="F10" s="21"/>
      <c r="G10" s="21"/>
      <c r="H10" s="21"/>
      <c r="J10" s="21"/>
      <c r="L10" s="21"/>
      <c r="M10" s="21"/>
      <c r="N10" s="21"/>
      <c r="O10" s="21"/>
      <c r="P10" s="21"/>
      <c r="Q10" s="21"/>
    </row>
    <row r="11" spans="1:20" ht="20.100000000000001" customHeight="1" x14ac:dyDescent="0.25">
      <c r="A11" s="17" t="str">
        <f>HYPERLINK("#'Input - Pasture'!A1", "Pasture")</f>
        <v>Pasture</v>
      </c>
      <c r="D11" s="50" t="s">
        <v>15</v>
      </c>
      <c r="E11" s="51" t="str" cm="1">
        <f t="array" ref="E11">AgResidue_Equations_CropResidue.VEERG_6_1_1_1__2__MassOfNitrogenInCropResidues_Unit()</f>
        <v>kg N</v>
      </c>
      <c r="F11" s="21"/>
      <c r="G11" s="21"/>
      <c r="H11" s="21"/>
      <c r="J11" s="21"/>
      <c r="L11" s="21"/>
      <c r="M11" s="50" t="s">
        <v>24</v>
      </c>
      <c r="N11" s="1" t="str" cm="1">
        <f t="array" ref="N11">AgResidue_Equations_CropResidue.VEERG_6_1_1_2__1__FractionOfCropResidueRemovedBaled_Variable()</f>
        <v>FFOD_c</v>
      </c>
      <c r="O11" s="21"/>
      <c r="P11" s="21"/>
      <c r="Q11" s="21"/>
    </row>
    <row r="12" spans="1:20" ht="20.100000000000001" customHeight="1" x14ac:dyDescent="0.25">
      <c r="D12" s="21"/>
      <c r="E12" s="21"/>
      <c r="F12" s="21"/>
      <c r="G12" s="21"/>
      <c r="J12" s="21"/>
      <c r="L12" s="21"/>
      <c r="M12" s="50" t="s">
        <v>15</v>
      </c>
      <c r="N12" s="51" t="str" cm="1">
        <f t="array" ref="N12">AgResidue_Equations_CropResidue.VEERG_6_1_1_2__1__FractionOfCropResidueRemovedBaled_Unit()</f>
        <v>fraction</v>
      </c>
      <c r="O12" s="21"/>
      <c r="P12" s="21"/>
      <c r="Q12" s="21"/>
    </row>
    <row r="13" spans="1:20" ht="20.100000000000001" customHeight="1" x14ac:dyDescent="0.25">
      <c r="D13" s="114" t="str" cm="1">
        <f t="array" ref="D13:E22">_xlfn.CHOOSECOLS(AgResidue_Equations_CropResidue.VEERG_6_1_1_1__2__MassOfNitrogenInCropResidues_Arguments(), 1, 2)</f>
        <v>P_c</v>
      </c>
      <c r="E13" s="118" t="str">
        <v>annual production of crop c</v>
      </c>
      <c r="F13" s="117"/>
      <c r="G13" s="114" t="str" cm="1">
        <f t="array" ref="G13:H22">_xlfn.CHOOSECOLS(AgResidue_Equations_CropResidue.VEERG_6_1_1_1__2__MassOfNitrogenInCropResidues_Arguments(), 3,4)</f>
        <v>kg</v>
      </c>
      <c r="H13" s="109" t="str">
        <v>Input</v>
      </c>
      <c r="I13" s="114">
        <f>X_Cell_Crop_TotalProductionOfCrop*10^3</f>
        <v>10000000</v>
      </c>
      <c r="J13" s="21"/>
      <c r="L13" s="21"/>
      <c r="M13" s="21"/>
      <c r="N13" s="21"/>
      <c r="O13" s="21"/>
      <c r="P13" s="21"/>
    </row>
    <row r="14" spans="1:20" ht="20.100000000000001" customHeight="1" x14ac:dyDescent="0.25">
      <c r="A14" s="18" t="s">
        <v>68</v>
      </c>
      <c r="D14" s="114" t="str">
        <v>R_AGc</v>
      </c>
      <c r="E14" s="118" t="str">
        <v>residue to crop ratio for crop c</v>
      </c>
      <c r="F14" s="117"/>
      <c r="G14" s="114" t="str">
        <v/>
      </c>
      <c r="H14" s="108" t="str">
        <v>Constant</v>
      </c>
      <c r="I14" s="114">
        <f>'Input - Crop'!$E$18</f>
        <v>1.5</v>
      </c>
      <c r="J14" s="21"/>
      <c r="L14" s="21"/>
      <c r="M14" s="114" t="str" cm="1">
        <f t="array" ref="M14:N18">_xlfn.CHOOSECOLS(AgResidue_Equations_CropResidue.VEERG_6_1_1_2__1__FractionOfCropResidueRemovedBaled_Arguments(), 1, 2)</f>
        <v>B</v>
      </c>
      <c r="N14" s="114" t="str">
        <v>number of bales generated</v>
      </c>
      <c r="O14" s="114" t="str" cm="1">
        <f t="array" ref="O14:P18">_xlfn.CHOOSECOLS(AgResidue_Equations_CropResidue.VEERG_6_1_1_2__1__FractionOfCropResidueRemovedBaled_Arguments(), 3,4)</f>
        <v/>
      </c>
      <c r="P14" s="109" t="str">
        <v>Input</v>
      </c>
      <c r="Q14" s="135">
        <f>X_Cell_Crop_NumberOfBales</f>
        <v>27500</v>
      </c>
    </row>
    <row r="15" spans="1:20" ht="20.100000000000001" customHeight="1" x14ac:dyDescent="0.25">
      <c r="A15" s="127" t="str">
        <f>HYPERLINK("#'6.1.1.1-2 Crop residue N2O'!A1", "6.1.1.1-2 Crop residue N2O")</f>
        <v>6.1.1.1-2 Crop residue N2O</v>
      </c>
      <c r="D15" s="114" t="str">
        <v>R_BGc</v>
      </c>
      <c r="E15" s="118" t="str">
        <v>below ground-residue to above ground residue ratio for crop c</v>
      </c>
      <c r="F15" s="117"/>
      <c r="G15" s="114" t="str">
        <v/>
      </c>
      <c r="H15" s="108" t="str">
        <v>Constant</v>
      </c>
      <c r="I15" s="114" cm="1">
        <f t="array" ref="I15">Common_InputFunctions.Utility_LookupValueInTableNumber($I$21,Table_SourceData_CropAttributes[Crop type],Table_SourceData_CropAttributes[Below-ground: above-ground residue ratio])</f>
        <v>0.28999999999999998</v>
      </c>
      <c r="L15" s="21"/>
      <c r="M15" s="114" t="str">
        <v>M_B</v>
      </c>
      <c r="N15" s="114" t="str">
        <v>mass of each bale</v>
      </c>
      <c r="O15" s="114" t="str">
        <v>kg</v>
      </c>
      <c r="P15" s="109" t="str">
        <v>Input</v>
      </c>
      <c r="Q15" s="114">
        <f>X_Cell_Crop_AverageWeightPerBale</f>
        <v>60</v>
      </c>
    </row>
    <row r="16" spans="1:20" ht="20.100000000000001" customHeight="1" x14ac:dyDescent="0.25">
      <c r="A16" s="17" t="str">
        <f>HYPERLINK("#'6.2.1.1-2 Pasture residue N2O'!A1", "6.2.1.1-2 Pasture residue N2O")</f>
        <v>6.2.1.1-2 Pasture residue N2O</v>
      </c>
      <c r="D16" s="114" t="str">
        <v>F_c</v>
      </c>
      <c r="E16" s="118" t="str">
        <v>fraction of crop residue that is burnt for crop c</v>
      </c>
      <c r="F16" s="117"/>
      <c r="G16" s="114" t="str">
        <v>fraction</v>
      </c>
      <c r="H16" s="109" t="str">
        <v>Input</v>
      </c>
      <c r="I16" s="114">
        <f>X_Cell_Crop_PercentResidueBurned</f>
        <v>0.3</v>
      </c>
      <c r="L16" s="21"/>
      <c r="M16" s="114" t="str">
        <v>P_c</v>
      </c>
      <c r="N16" s="114" t="str">
        <v>annual production of crop c</v>
      </c>
      <c r="O16" s="114" t="str">
        <v>kg</v>
      </c>
      <c r="P16" s="109" t="str">
        <v>Input</v>
      </c>
      <c r="Q16" s="114">
        <f>X_Cell_Crop_TotalProductionOfCrop*10^3</f>
        <v>10000000</v>
      </c>
    </row>
    <row r="17" spans="1:20" ht="20.100000000000001" customHeight="1" x14ac:dyDescent="0.25">
      <c r="A17" s="17" t="str">
        <f>HYPERLINK("#'6.3.1.1-2 Leaching and runoff'!A1", "6.3.1.1-2 Leaching and runoff")</f>
        <v>6.3.1.1-2 Leaching and runoff</v>
      </c>
      <c r="D17" s="114" t="str">
        <v>FFOD_c</v>
      </c>
      <c r="E17" s="118" t="str">
        <v>fraction of the crop residue that is removed for crop c</v>
      </c>
      <c r="F17" s="117"/>
      <c r="G17" s="114" t="str">
        <v>fraction</v>
      </c>
      <c r="H17" s="108" t="str">
        <v>Constant</v>
      </c>
      <c r="I17" s="114" cm="1">
        <f t="array" ref="I17">IF(ISNUMBER(_xlfn.XLOOKUP(1, (Table77[Crop type c]=$I$21)*(Table77[State]=$I$22),Table77[Fraction removed])), _xlfn.XLOOKUP(1, (Table77[Crop type c]=$I$21)*(Table77[State]=$I$22),Table77[Fraction removed]), 0)</f>
        <v>0.11</v>
      </c>
      <c r="L17" s="21"/>
      <c r="M17" s="114" t="str">
        <v>R_AGc</v>
      </c>
      <c r="N17" s="114" t="str">
        <v>residue to crop ratio for crop c</v>
      </c>
      <c r="O17" s="114" t="str">
        <v/>
      </c>
      <c r="P17" s="108" t="str">
        <v>Constant</v>
      </c>
      <c r="Q17" s="114">
        <f>'Input - Crop'!$E$18</f>
        <v>1.5</v>
      </c>
    </row>
    <row r="18" spans="1:20" ht="20.100000000000001" customHeight="1" x14ac:dyDescent="0.25">
      <c r="A18" s="17" t="str">
        <f>HYPERLINK("#'6.3.1.1-2 Leach runoff crop'!A1", "6.3.1.1-2 Leach runoff crop")</f>
        <v>6.3.1.1-2 Leach runoff crop</v>
      </c>
      <c r="D18" s="114" t="str">
        <v>DM_c</v>
      </c>
      <c r="E18" s="118" t="str">
        <v>dry matter content of crop c</v>
      </c>
      <c r="F18" s="117"/>
      <c r="G18" s="114" t="str">
        <v>kg dry weight/kg crop residue</v>
      </c>
      <c r="H18" s="108" t="str">
        <v>Constant</v>
      </c>
      <c r="I18" s="114" cm="1">
        <f t="array" ref="I18">Common_InputFunctions.Utility_LookupValueInTableNumber($I$21,Table_SourceData_CropAttributes[Crop type],Table_SourceData_CropAttributes[Dry matter content])</f>
        <v>0.88</v>
      </c>
      <c r="L18" s="21"/>
      <c r="M18" s="114" t="str">
        <v>c</v>
      </c>
      <c r="N18" s="114" t="str">
        <v>Crop type</v>
      </c>
      <c r="O18" s="114" t="str">
        <v/>
      </c>
      <c r="P18" s="109" t="str">
        <v>Input</v>
      </c>
      <c r="Q18" s="114" t="str">
        <f>X_Cell_Crop_CropType</f>
        <v>Wheat</v>
      </c>
    </row>
    <row r="19" spans="1:20" ht="20.100000000000001" customHeight="1" x14ac:dyDescent="0.25">
      <c r="A19" s="17" t="str">
        <f>HYPERLINK("#'6.3.1.1-2 Leach runoff pasture'!A1", "6.3.1.1-2 Leach runoff pasture")</f>
        <v>6.3.1.1-2 Leach runoff pasture</v>
      </c>
      <c r="D19" s="114" t="str">
        <v>NC_AGc</v>
      </c>
      <c r="E19" s="118" t="str">
        <v>nitrogen content of above-ground crop residue of crop c</v>
      </c>
      <c r="F19" s="117"/>
      <c r="G19" s="114" t="str">
        <v>kg N/kg DM</v>
      </c>
      <c r="H19" s="108" t="str">
        <v>Constant</v>
      </c>
      <c r="I19" s="114" cm="1">
        <f t="array" ref="I19">Common_InputFunctions.Utility_LookupValueInTableNumber($I$21,Table_SourceData_CropAttributes[Crop type],Table_SourceData_CropAttributes[N content above-ground])</f>
        <v>6.0000000000000001E-3</v>
      </c>
      <c r="L19" s="21"/>
      <c r="M19" s="21"/>
      <c r="N19" s="21"/>
      <c r="O19" s="21"/>
      <c r="P19" s="21"/>
      <c r="Q19" s="21"/>
    </row>
    <row r="20" spans="1:20" ht="20.100000000000001" customHeight="1" x14ac:dyDescent="0.25">
      <c r="A20" s="17" t="str">
        <f>HYPERLINK("#'6.4.1.1-2 Residue burning'!A1", "6.4.1.1-2 Residue burning")</f>
        <v>6.4.1.1-2 Residue burning</v>
      </c>
      <c r="D20" s="114" t="str">
        <v>NC_BGc</v>
      </c>
      <c r="E20" s="118" t="str">
        <v>nitrogen content of below-ground crop residue of crop c</v>
      </c>
      <c r="F20" s="117"/>
      <c r="G20" s="114" t="str">
        <v>kg N/kg DM</v>
      </c>
      <c r="H20" s="108" t="str">
        <v>Constant</v>
      </c>
      <c r="I20" s="114" cm="1">
        <f t="array" ref="I20">Common_InputFunctions.Utility_LookupValueInTableNumber($I$21,Table_SourceData_CropAttributes[Crop type],Table_SourceData_CropAttributes[N content below-ground])</f>
        <v>0.01</v>
      </c>
      <c r="L20" s="21"/>
      <c r="M20" s="115" t="s">
        <v>171</v>
      </c>
      <c r="N20" s="43" cm="1">
        <f t="array" ref="N20">AgResidue_Equations_CropResidue.VEERG_6_1_1_2__1__FractionOfCropResidueRemovedBaled(Q14,Q15,Q16,Q17)</f>
        <v>0.11</v>
      </c>
    </row>
    <row r="21" spans="1:20" ht="20.100000000000001" customHeight="1" x14ac:dyDescent="0.25">
      <c r="D21" s="114" t="str">
        <v>c</v>
      </c>
      <c r="E21" s="118" t="str">
        <v>Crop type</v>
      </c>
      <c r="F21" s="117"/>
      <c r="G21" s="114" t="str">
        <v/>
      </c>
      <c r="H21" s="109" t="str">
        <v>Input</v>
      </c>
      <c r="I21" s="114" t="str">
        <f>X_Cell_Crop_CropType</f>
        <v>Wheat</v>
      </c>
      <c r="L21" s="21"/>
      <c r="M21" s="21"/>
      <c r="N21" s="21"/>
      <c r="O21" s="21"/>
      <c r="P21" s="21"/>
      <c r="Q21" s="21"/>
    </row>
    <row r="22" spans="1:20" ht="20.100000000000001" customHeight="1" x14ac:dyDescent="0.25">
      <c r="D22" s="114" t="str">
        <v>State</v>
      </c>
      <c r="E22" s="118" t="str">
        <v>State or territory</v>
      </c>
      <c r="F22" s="117"/>
      <c r="G22" s="114" t="str">
        <v/>
      </c>
      <c r="H22" s="109" t="str">
        <v>Input</v>
      </c>
      <c r="I22" s="114" t="str">
        <f>Common_InputFunctions.Utility_ConvertStateCommonNameToAbbreviation(X_Cell_Site_State,Table_AustralianStates[Common Name],Table_AustralianStates[Abbreviation])</f>
        <v>WA</v>
      </c>
      <c r="L22" s="21"/>
      <c r="M22" s="21"/>
      <c r="N22" s="21"/>
      <c r="O22" s="21"/>
      <c r="P22" s="21"/>
      <c r="Q22" s="21"/>
    </row>
    <row r="23" spans="1:20" ht="20.100000000000001" customHeight="1" x14ac:dyDescent="0.25">
      <c r="A23" s="141" t="s">
        <v>1</v>
      </c>
      <c r="D23" s="21"/>
      <c r="E23" s="21"/>
      <c r="F23" s="21"/>
      <c r="G23" s="21"/>
      <c r="H23" s="21"/>
      <c r="L23" s="43"/>
      <c r="M23" s="43"/>
      <c r="N23" s="43"/>
      <c r="O23" s="43"/>
      <c r="P23" s="43"/>
      <c r="Q23" s="43"/>
      <c r="R23" s="43"/>
      <c r="S23" s="43"/>
      <c r="T23" s="43"/>
    </row>
    <row r="24" spans="1:20" ht="20.100000000000001" customHeight="1" x14ac:dyDescent="0.25">
      <c r="A24" s="17" t="str">
        <f>HYPERLINK("#'Constants - Ag Residue'!A1", "Constants - Ag Residue")</f>
        <v>Constants - Ag Residue</v>
      </c>
      <c r="D24" s="115" t="s">
        <v>172</v>
      </c>
      <c r="E24" s="134" cm="1">
        <f t="array" ref="E24">AgResidue_Equations_CropResidue.VEERG_6_1_1_1__2__MassOfNitrogenInCropResidues(I13,I14,I16,I17,I18,I19,I15,I20)</f>
        <v>85008</v>
      </c>
      <c r="F24" s="116" t="str">
        <f>$E$11</f>
        <v>kg N</v>
      </c>
      <c r="M24" s="6" t="str" cm="1">
        <f t="array" ref="M24">AgResidue_Equations_CropResidue.VEERG_6_1_1_1__2__MassOfNitrogenInCropResidues_Title()</f>
        <v>Mass of nitrogen in crop residues returned to the soil</v>
      </c>
      <c r="N24" s="21"/>
      <c r="O24" s="21"/>
      <c r="P24" s="21"/>
      <c r="Q24" s="21"/>
    </row>
    <row r="25" spans="1:20" ht="20.100000000000001" customHeight="1" x14ac:dyDescent="0.25">
      <c r="A25" s="17" t="str">
        <f>HYPERLINK("#'Constants - Common'!A1", "Constants - Common")</f>
        <v>Constants - Common</v>
      </c>
      <c r="D25" s="50"/>
      <c r="E25" s="21"/>
      <c r="F25" s="21"/>
      <c r="G25" s="21"/>
      <c r="H25" s="21"/>
      <c r="L25" s="21"/>
      <c r="M25" s="5" t="str" cm="1">
        <f t="array" ref="M25">AgResidue_Equations_CropResidue.VEERG_6_1_1_1__2__MassOfNitrogenInCropResidues_Source()</f>
        <v>VEERG 2026: 6.1.1.1, Equation (2)</v>
      </c>
      <c r="N25" s="21"/>
      <c r="O25" s="21"/>
      <c r="P25" s="21"/>
      <c r="Q25" s="21"/>
    </row>
    <row r="26" spans="1:20" ht="20.100000000000001" customHeight="1" x14ac:dyDescent="0.25">
      <c r="D26" s="21"/>
      <c r="E26" s="21"/>
      <c r="F26" s="21"/>
      <c r="G26" s="21"/>
      <c r="H26" s="21"/>
      <c r="L26" s="21"/>
      <c r="M26" s="13" t="s">
        <v>21</v>
      </c>
      <c r="N26" s="13" t="str" cm="1">
        <f t="array" aca="1" ref="N26" ca="1">Common_InputFunctions.Utility_DisplayFunctionName(N43)</f>
        <v>=AgResidue_Equations_CropResidue.VEERG_6_1_1_1__2__MassOfNitrogenInCropResidues</v>
      </c>
      <c r="O26" s="21"/>
      <c r="P26" s="21"/>
      <c r="Q26" s="21"/>
    </row>
    <row r="27" spans="1:20" ht="20.100000000000001" customHeight="1" x14ac:dyDescent="0.25">
      <c r="D27" s="133"/>
      <c r="E27" s="133"/>
      <c r="F27" s="133"/>
      <c r="G27" s="133"/>
      <c r="H27" s="133"/>
      <c r="I27" s="133"/>
      <c r="L27" s="21"/>
      <c r="O27" s="21"/>
      <c r="P27" s="21"/>
      <c r="Q27" s="21"/>
    </row>
    <row r="28" spans="1:20" ht="20.100000000000001" customHeight="1" x14ac:dyDescent="0.25">
      <c r="D28" s="6" t="str" cm="1">
        <f t="array" ref="D28">AgResidue_Equations_CropResidue.VEERG_6_1_1_1__1__NitrousOxideEmissionsFromCropResidues_Title()</f>
        <v>Nitrous oxide emissions from the return of crop residues across all crops c to the soil</v>
      </c>
      <c r="E28" s="21"/>
      <c r="F28" s="21"/>
      <c r="G28" s="21"/>
      <c r="H28" s="21"/>
      <c r="J28" s="21"/>
      <c r="L28" s="21"/>
      <c r="M28" s="21"/>
      <c r="N28" s="21"/>
      <c r="O28" s="21"/>
      <c r="P28" s="21"/>
      <c r="Q28" s="21"/>
    </row>
    <row r="29" spans="1:20" ht="20.100000000000001" customHeight="1" x14ac:dyDescent="0.25">
      <c r="D29" s="5" t="str" cm="1">
        <f t="array" ref="D29">AgResidue_Equations_CropResidue.VEERG_6_1_1_1__1__NitrousOxideEmissionsFromCropResidues_Source()</f>
        <v>VEERG 2026: 6.1.1.1, Equation (1)</v>
      </c>
      <c r="E29" s="21"/>
      <c r="F29" s="21"/>
      <c r="G29" s="21"/>
      <c r="H29" s="21"/>
      <c r="J29" s="21"/>
      <c r="L29" s="21"/>
      <c r="M29" s="50" t="s">
        <v>24</v>
      </c>
      <c r="N29" s="1" t="str" cm="1">
        <f t="array" ref="N29">AgResidue_Equations_CropResidue.VEERG_6_1_1_1__2__MassOfNitrogenInCropResidues_Variable()</f>
        <v>M_c</v>
      </c>
      <c r="O29" s="21"/>
      <c r="P29" s="21"/>
      <c r="Q29" s="21"/>
    </row>
    <row r="30" spans="1:20" ht="20.100000000000001" customHeight="1" x14ac:dyDescent="0.25">
      <c r="D30" s="13" t="s">
        <v>21</v>
      </c>
      <c r="E30" s="13" t="str">
        <f ca="1">Common_InputFunctions.Utility_DisplayFunctionName(VEERG_6_1_1_1__1__NitrousOxideEmissionsFromCropResidues_Result_Method1)</f>
        <v>=AgResidue_Equations_CropResidue.VEERG_6_1_1_1__1__NitrousOxideEmissionsFromCropResidues</v>
      </c>
      <c r="F30" s="21"/>
      <c r="G30" s="21"/>
      <c r="H30" s="21"/>
      <c r="L30" s="21"/>
      <c r="M30" s="50" t="s">
        <v>15</v>
      </c>
      <c r="N30" s="51" t="str" cm="1">
        <f t="array" ref="N30">AgResidue_Equations_CropResidue.VEERG_6_1_1_1__2__MassOfNitrogenInCropResidues_Unit()</f>
        <v>kg N</v>
      </c>
      <c r="O30" s="21"/>
      <c r="P30" s="21"/>
      <c r="Q30" s="21"/>
    </row>
    <row r="31" spans="1:20" ht="20.100000000000001" customHeight="1" x14ac:dyDescent="0.25">
      <c r="F31" s="21"/>
      <c r="G31" s="21"/>
      <c r="H31" s="21"/>
      <c r="J31" s="21"/>
      <c r="L31" s="21"/>
      <c r="M31" s="21"/>
      <c r="N31" s="21"/>
      <c r="O31" s="21"/>
      <c r="P31" s="21"/>
    </row>
    <row r="32" spans="1:20" ht="20.100000000000001" customHeight="1" x14ac:dyDescent="0.25">
      <c r="D32" s="21"/>
      <c r="E32" s="21"/>
      <c r="F32" s="21"/>
      <c r="G32" s="21"/>
      <c r="H32" s="21"/>
      <c r="J32" s="21"/>
      <c r="L32" s="21"/>
      <c r="M32" s="114" t="str" cm="1">
        <f t="array" ref="M32:N41">_xlfn.CHOOSECOLS(AgResidue_Equations_CropResidue.VEERG_6_1_1_1__2__MassOfNitrogenInCropResidues_Arguments_Method2(), 1, 2)</f>
        <v>P_c</v>
      </c>
      <c r="N32" s="118" t="str">
        <v>annual production of crop c</v>
      </c>
      <c r="O32" s="117"/>
      <c r="P32" s="114" t="str" cm="1">
        <f t="array" ref="P32:Q41">_xlfn.CHOOSECOLS(AgResidue_Equations_CropResidue.VEERG_6_1_1_1__2__MassOfNitrogenInCropResidues_Arguments_Method2(), 3,4)</f>
        <v>kg</v>
      </c>
      <c r="Q32" s="109" t="str">
        <v>Input</v>
      </c>
      <c r="R32" s="114"/>
    </row>
    <row r="33" spans="4:20" ht="20.100000000000001" customHeight="1" x14ac:dyDescent="0.25">
      <c r="D33" s="50" t="s">
        <v>24</v>
      </c>
      <c r="E33" s="1" t="str" cm="1">
        <f t="array" ref="E33">AgResidue_Equations_CropResidue.VEERG_6_1_1_1__1__NitrousOxideEmissionsFromCropResidues_Variable()</f>
        <v>E</v>
      </c>
      <c r="F33" s="21"/>
      <c r="G33" s="21"/>
      <c r="H33" s="21"/>
      <c r="J33" s="21"/>
      <c r="M33" s="114" t="str">
        <v>R_AGc</v>
      </c>
      <c r="N33" s="118" t="str">
        <v>residue to crop ratio for crop c</v>
      </c>
      <c r="O33" s="117"/>
      <c r="P33" s="114" t="str">
        <v/>
      </c>
      <c r="Q33" s="108" t="str">
        <v>Constant</v>
      </c>
      <c r="R33" s="114"/>
    </row>
    <row r="34" spans="4:20" ht="20.100000000000001" customHeight="1" x14ac:dyDescent="0.25">
      <c r="D34" s="50" t="s">
        <v>15</v>
      </c>
      <c r="E34" s="51" t="str" cm="1">
        <f t="array" ref="E34">AgResidue_Equations_CropResidue.VEERG_6_1_1_1__1__NitrousOxideEmissionsFromCropResidues_Unit()</f>
        <v>t N2O</v>
      </c>
      <c r="F34" s="21"/>
      <c r="G34" s="21"/>
      <c r="H34" s="21"/>
      <c r="J34" s="21"/>
      <c r="M34" s="114" t="str">
        <v>R_BGc</v>
      </c>
      <c r="N34" s="118" t="str">
        <v>below ground-residue to above ground residue ratio for crop c</v>
      </c>
      <c r="O34" s="117"/>
      <c r="P34" s="114" t="str">
        <v/>
      </c>
      <c r="Q34" s="108" t="str">
        <v>Constant</v>
      </c>
      <c r="R34" s="114"/>
    </row>
    <row r="35" spans="4:20" ht="20.100000000000001" customHeight="1" x14ac:dyDescent="0.25">
      <c r="D35" s="21"/>
      <c r="E35" s="21"/>
      <c r="F35" s="21"/>
      <c r="G35" s="21"/>
      <c r="H35" s="21"/>
      <c r="J35" s="21"/>
      <c r="M35" s="114" t="str">
        <v>F_c</v>
      </c>
      <c r="N35" s="118" t="str">
        <v>fraction of crop residue that is burnt for crop c</v>
      </c>
      <c r="O35" s="117"/>
      <c r="P35" s="114" t="str">
        <v>fraction</v>
      </c>
      <c r="Q35" s="109" t="str">
        <v>Input</v>
      </c>
      <c r="R35" s="114"/>
    </row>
    <row r="36" spans="4:20" ht="20.100000000000001" customHeight="1" x14ac:dyDescent="0.25">
      <c r="D36" s="114" t="str" cm="1">
        <f t="array" ref="D36:E40">_xlfn.CHOOSECOLS(AgResidue_Equations_CropResidue.VEERG_6_1_1_1__1__NitrousOxideEmissionsFromCropResidues_Arguments(), 1, 2)</f>
        <v>M_c</v>
      </c>
      <c r="E36" s="118" t="str">
        <v>mass of nitrogen in crop c residues returned to the soil</v>
      </c>
      <c r="F36" s="117"/>
      <c r="G36" s="114" t="str" cm="1">
        <f t="array" ref="G36:H40">_xlfn.CHOOSECOLS(AgResidue_Equations_CropResidue.VEERG_6_1_1_1__1__NitrousOxideEmissionsFromCropResidues_Arguments(), 3,4)</f>
        <v>kg N</v>
      </c>
      <c r="H36" s="108" t="str">
        <v>Calculated from 6.1.1.1 (2)</v>
      </c>
      <c r="I36" s="114">
        <f>VEERG_6_1_1_1__2__MassOfNitrogenInCropResidues_Result_Method1</f>
        <v>85008</v>
      </c>
      <c r="J36" s="21"/>
      <c r="M36" s="114" t="str">
        <v>FFOD_c</v>
      </c>
      <c r="N36" s="118" t="str">
        <v>fraction of the crop residue that is removed for crop c</v>
      </c>
      <c r="O36" s="117"/>
      <c r="P36" s="114" t="str">
        <v>fraction</v>
      </c>
      <c r="Q36" s="108" t="str">
        <v>Calculated from 6.1.1.2 (1)</v>
      </c>
      <c r="R36" s="114">
        <f>VEERG_6_1_1_2__1__FractionOfCropResidueRemovedBaled_Result</f>
        <v>0.11</v>
      </c>
    </row>
    <row r="37" spans="4:20" ht="20.100000000000001" customHeight="1" x14ac:dyDescent="0.25">
      <c r="D37" s="114" t="str">
        <v>EF_Ni</v>
      </c>
      <c r="E37" s="118" t="str">
        <v>emission factor for crop residues returned to the soil</v>
      </c>
      <c r="F37" s="117"/>
      <c r="G37" s="114" t="str">
        <v>kg N2O-N/kg N</v>
      </c>
      <c r="H37" s="108" t="str">
        <v>Constant</v>
      </c>
      <c r="I37" s="114" cm="1">
        <f t="array" ref="I37">Common_InputFunctions.Utility_LookupValueInTableNumber(I40,Table_SourceData_N2OEFOrganicFert[Climate zone type i],Table_SourceData_N2OEFOrganicFert[EF i N2O])</f>
        <v>5.0000000000000001E-3</v>
      </c>
      <c r="J37" s="21"/>
      <c r="M37" s="114" t="str">
        <v>DM_c</v>
      </c>
      <c r="N37" s="118" t="str">
        <v>dry matter content of crop c</v>
      </c>
      <c r="O37" s="117"/>
      <c r="P37" s="114" t="str">
        <v>kg dry weight/kg crop residue</v>
      </c>
      <c r="Q37" s="108" t="str">
        <v>Constant</v>
      </c>
      <c r="R37" s="114"/>
    </row>
    <row r="38" spans="4:20" ht="20.100000000000001" customHeight="1" x14ac:dyDescent="0.25">
      <c r="D38" s="114" t="str">
        <v>C_N2O</v>
      </c>
      <c r="E38" s="118" t="str">
        <v>factor to convert elemental mass of nitrous oxide to molecular mass</v>
      </c>
      <c r="F38" s="117"/>
      <c r="G38" s="114" t="str">
        <v>dimensionless</v>
      </c>
      <c r="H38" s="108" t="str">
        <v>Constant</v>
      </c>
      <c r="I38" s="114">
        <f>Common_InputFunctions.Utility_LookupValueInTableNumber("N2O",Table_GasToMolecularConversionFactor[Gas],Table_GasToMolecularConversionFactor[Conversion factor combined])</f>
        <v>1.5714285714285714</v>
      </c>
      <c r="J38" s="21"/>
      <c r="M38" s="114" t="str">
        <v>NC_AGc</v>
      </c>
      <c r="N38" s="118" t="str">
        <v>nitrogen content of above-ground crop residue of crop c</v>
      </c>
      <c r="O38" s="117"/>
      <c r="P38" s="114" t="str">
        <v>kg N/kg DM</v>
      </c>
      <c r="Q38" s="108" t="str">
        <v>Constant</v>
      </c>
      <c r="R38" s="114"/>
    </row>
    <row r="39" spans="4:20" ht="20.100000000000001" customHeight="1" x14ac:dyDescent="0.25">
      <c r="D39" s="114" t="str">
        <v>c</v>
      </c>
      <c r="E39" s="118" t="str">
        <v>Crop type</v>
      </c>
      <c r="F39" s="117"/>
      <c r="G39" s="114" t="str">
        <v/>
      </c>
      <c r="H39" s="109" t="str">
        <v>Input</v>
      </c>
      <c r="I39" s="114" t="str">
        <f>X_Cell_Crop_CropType</f>
        <v>Wheat</v>
      </c>
      <c r="J39" s="21"/>
      <c r="M39" s="114" t="str">
        <v>NC_BGc</v>
      </c>
      <c r="N39" s="118" t="str">
        <v>nitrogen content of below-ground crop residue of crop c</v>
      </c>
      <c r="O39" s="117"/>
      <c r="P39" s="114" t="str">
        <v>kg N/kg DM</v>
      </c>
      <c r="Q39" s="108" t="str">
        <v>Constant</v>
      </c>
      <c r="R39" s="114"/>
    </row>
    <row r="40" spans="4:20" ht="20.100000000000001" customHeight="1" x14ac:dyDescent="0.25">
      <c r="D40" s="114" t="str">
        <v>i</v>
      </c>
      <c r="E40" s="118" t="str">
        <v>Wet or dry climate zone</v>
      </c>
      <c r="F40" s="117"/>
      <c r="G40" s="114" t="str">
        <v/>
      </c>
      <c r="H40" s="109" t="str">
        <v>Input</v>
      </c>
      <c r="I40" s="114" t="str">
        <f>X_Cell_Site_WetOrDryClimateZone</f>
        <v>Dry climate zone</v>
      </c>
      <c r="M40" s="114" t="str">
        <v>c</v>
      </c>
      <c r="N40" s="118" t="str">
        <v>Crop type</v>
      </c>
      <c r="O40" s="117"/>
      <c r="P40" s="114" t="str">
        <v/>
      </c>
      <c r="Q40" s="109" t="str">
        <v>Input</v>
      </c>
      <c r="R40" s="114"/>
    </row>
    <row r="41" spans="4:20" ht="20.100000000000001" customHeight="1" x14ac:dyDescent="0.25">
      <c r="D41" s="21"/>
      <c r="E41" s="21"/>
      <c r="F41" s="21"/>
      <c r="G41" s="21"/>
      <c r="H41" s="21"/>
      <c r="M41" s="114" t="str">
        <v>State</v>
      </c>
      <c r="N41" s="118" t="str">
        <v>State or territory</v>
      </c>
      <c r="O41" s="117"/>
      <c r="P41" s="114" t="str">
        <v/>
      </c>
      <c r="Q41" s="109" t="str">
        <v>Input</v>
      </c>
      <c r="R41" s="114"/>
    </row>
    <row r="42" spans="4:20" ht="20.100000000000001" customHeight="1" x14ac:dyDescent="0.25">
      <c r="D42" s="91" t="s">
        <v>108</v>
      </c>
      <c r="E42" s="92" cm="1">
        <f t="array" ref="E42">AgResidue_Equations_CropResidue.VEERG_6_1_1_1__1__NitrousOxideEmissionsFromCropResidues(I36,I37,I38)</f>
        <v>0.66792000000000007</v>
      </c>
      <c r="F42" s="93" t="str">
        <f>$E$34</f>
        <v>t N2O</v>
      </c>
      <c r="H42" s="21"/>
      <c r="M42" s="21"/>
      <c r="N42" s="21"/>
      <c r="O42" s="21"/>
      <c r="P42" s="21"/>
      <c r="Q42" s="21"/>
    </row>
    <row r="43" spans="4:20" ht="20.100000000000001" customHeight="1" x14ac:dyDescent="0.25">
      <c r="H43" s="21"/>
      <c r="M43" s="115" t="s">
        <v>172</v>
      </c>
      <c r="N43" s="134" cm="1">
        <f t="array" ref="N43">AgResidue_Equations_CropResidue.VEERG_6_1_1_1__2__MassOfNitrogenInCropResidues(I13,I14,I16,R36,I18,I19,I15,I20)</f>
        <v>85008</v>
      </c>
      <c r="O43" s="116" t="str">
        <f>$E$11</f>
        <v>kg N</v>
      </c>
    </row>
    <row r="44" spans="4:20" ht="20.100000000000001" customHeight="1" x14ac:dyDescent="0.25">
      <c r="D44" s="53" t="str" cm="1">
        <f t="array" ref="D44:E45">Common_Equations.Common_ConvertN2OToCO2e_Arguments()</f>
        <v>EN2O</v>
      </c>
      <c r="E44" s="54" t="str">
        <v>Nitrous oxide emissions (t N2O)</v>
      </c>
      <c r="F44" s="94"/>
      <c r="G44" s="49">
        <f>VEERG_6_1_1_1__1__NitrousOxideEmissionsFromCropResidues_Result_Method1</f>
        <v>0.66792000000000007</v>
      </c>
      <c r="M44" s="50"/>
      <c r="N44" s="21"/>
      <c r="O44" s="21"/>
      <c r="P44" s="21"/>
      <c r="Q44" s="21"/>
    </row>
    <row r="45" spans="4:20" ht="20.100000000000001" customHeight="1" x14ac:dyDescent="0.25">
      <c r="D45" s="53" t="str">
        <v>GWPN2O</v>
      </c>
      <c r="E45" s="54" t="str">
        <v>Global warming potential for nitrous oxide (t CO2-e / t N2O)</v>
      </c>
      <c r="F45" s="94"/>
      <c r="G45" s="49">
        <f>Common_InputFunctions.Utility_LookupValueInTableNumber("N2O",Table_GWPData[Gas],Table_GWPData[CO2-e factor])</f>
        <v>265</v>
      </c>
      <c r="J45" s="21"/>
      <c r="M45" s="21"/>
      <c r="N45" s="21"/>
      <c r="O45" s="21"/>
      <c r="P45" s="21"/>
      <c r="Q45" s="21"/>
    </row>
    <row r="46" spans="4:20" ht="20.100000000000001" customHeight="1" x14ac:dyDescent="0.25">
      <c r="H46" s="21"/>
      <c r="J46" s="21"/>
      <c r="L46" s="133"/>
      <c r="M46" s="133"/>
      <c r="N46" s="133"/>
      <c r="O46" s="133"/>
      <c r="P46" s="133"/>
      <c r="Q46" s="133"/>
      <c r="R46" s="133"/>
      <c r="S46" s="133"/>
      <c r="T46" s="133"/>
    </row>
    <row r="47" spans="4:20" ht="20.100000000000001" customHeight="1" x14ac:dyDescent="0.25">
      <c r="D47" s="43" t="s">
        <v>78</v>
      </c>
      <c r="E47" s="43" cm="1">
        <f t="array" ref="E47">Common_Equations.Common_ConvertN2OToCO2e(G44,G45)</f>
        <v>176.99880000000002</v>
      </c>
      <c r="F47" s="95" t="str" cm="1">
        <f t="array" ref="F47">Common_Equations.Common_ConvertN2OToCO2e_Unit()</f>
        <v>t CO2e</v>
      </c>
      <c r="H47" s="21"/>
      <c r="J47" s="21"/>
      <c r="L47" s="21"/>
      <c r="M47" s="6" t="str" cm="1">
        <f t="array" ref="M47">AgResidue_Equations_CropResidue.VEERG_6_1_1_1__1__NitrousOxideEmissionsFromCropResidues_Title()</f>
        <v>Nitrous oxide emissions from the return of crop residues across all crops c to the soil</v>
      </c>
      <c r="N47" s="21"/>
      <c r="O47" s="21"/>
      <c r="P47" s="21"/>
      <c r="Q47" s="21"/>
    </row>
    <row r="48" spans="4:20" ht="20.100000000000001" customHeight="1" x14ac:dyDescent="0.25">
      <c r="D48" s="21"/>
      <c r="E48" s="21"/>
      <c r="F48" s="101"/>
      <c r="G48" s="21"/>
      <c r="H48" s="21"/>
      <c r="I48" s="21"/>
      <c r="J48" s="21"/>
      <c r="M48" s="5" t="str" cm="1">
        <f t="array" ref="M48">AgResidue_Equations_CropResidue.VEERG_6_1_1_1__1__NitrousOxideEmissionsFromCropResidues_Source()</f>
        <v>VEERG 2026: 6.1.1.1, Equation (1)</v>
      </c>
      <c r="N48" s="21"/>
      <c r="O48" s="21"/>
      <c r="P48" s="21"/>
      <c r="Q48" s="21"/>
    </row>
    <row r="49" spans="10:18" ht="20.100000000000001" customHeight="1" x14ac:dyDescent="0.25">
      <c r="J49" s="21"/>
      <c r="L49" s="21"/>
      <c r="M49" s="13" t="s">
        <v>21</v>
      </c>
      <c r="N49" s="13" t="str">
        <f ca="1">Common_InputFunctions.Utility_DisplayFunctionName(VEERG_6_1_1_1__1__NitrousOxideEmissionsFromCropResidues_Result_Method2)</f>
        <v>=AgResidue_Equations_CropResidue.VEERG_6_1_1_1__1__NitrousOxideEmissionsFromCropResidues</v>
      </c>
      <c r="O49" s="21"/>
      <c r="P49" s="21"/>
      <c r="Q49" s="21"/>
    </row>
    <row r="50" spans="10:18" ht="20.100000000000001" customHeight="1" x14ac:dyDescent="0.25">
      <c r="J50" s="21"/>
      <c r="L50" s="21"/>
      <c r="O50" s="21"/>
      <c r="P50" s="21"/>
      <c r="Q50" s="21"/>
    </row>
    <row r="51" spans="10:18" ht="20.100000000000001" customHeight="1" x14ac:dyDescent="0.25">
      <c r="J51" s="21"/>
      <c r="L51" s="21"/>
      <c r="M51" s="21"/>
      <c r="N51" s="21"/>
      <c r="O51" s="21"/>
      <c r="P51" s="21"/>
      <c r="Q51" s="21"/>
    </row>
    <row r="52" spans="10:18" ht="20.100000000000001" customHeight="1" x14ac:dyDescent="0.25">
      <c r="J52" s="21"/>
      <c r="L52" s="21"/>
      <c r="M52" s="50" t="s">
        <v>24</v>
      </c>
      <c r="N52" s="1" t="str" cm="1">
        <f t="array" ref="N52">AgResidue_Equations_CropResidue.VEERG_6_1_1_1__1__NitrousOxideEmissionsFromCropResidues_Variable()</f>
        <v>E</v>
      </c>
      <c r="O52" s="21"/>
      <c r="P52" s="21"/>
      <c r="Q52" s="21"/>
    </row>
    <row r="53" spans="10:18" ht="20.100000000000001" customHeight="1" x14ac:dyDescent="0.25">
      <c r="L53" s="21"/>
      <c r="M53" s="50" t="s">
        <v>15</v>
      </c>
      <c r="N53" s="51" t="str" cm="1">
        <f t="array" ref="N53">AgResidue_Equations_CropResidue.VEERG_6_1_1_1__1__NitrousOxideEmissionsFromCropResidues_Unit()</f>
        <v>t N2O</v>
      </c>
      <c r="O53" s="21"/>
      <c r="P53" s="21"/>
      <c r="Q53" s="21"/>
    </row>
    <row r="54" spans="10:18" ht="20.100000000000001" customHeight="1" x14ac:dyDescent="0.25">
      <c r="L54" s="21"/>
      <c r="M54" s="21"/>
      <c r="N54" s="21"/>
      <c r="O54" s="21"/>
      <c r="P54" s="21"/>
      <c r="Q54" s="21"/>
    </row>
    <row r="55" spans="10:18" ht="20.100000000000001" customHeight="1" x14ac:dyDescent="0.25">
      <c r="L55" s="21"/>
      <c r="M55" s="114" t="str" cm="1">
        <f t="array" ref="M55:N59">_xlfn.CHOOSECOLS(AgResidue_Equations_CropResidue.VEERG_6_1_1_1__1__NitrousOxideEmissionsFromCropResidues_Arguments(), 1, 2)</f>
        <v>M_c</v>
      </c>
      <c r="N55" s="118" t="str">
        <v>mass of nitrogen in crop c residues returned to the soil</v>
      </c>
      <c r="O55" s="117"/>
      <c r="P55" s="114" t="str" cm="1">
        <f t="array" ref="P55:Q59">_xlfn.CHOOSECOLS(AgResidue_Equations_CropResidue.VEERG_6_1_1_1__1__NitrousOxideEmissionsFromCropResidues_Arguments(), 3,4)</f>
        <v>kg N</v>
      </c>
      <c r="Q55" s="108" t="str">
        <v>Calculated from 6.1.1.1 (2)</v>
      </c>
      <c r="R55" s="114">
        <f>VEERG_6_1_1_1__2__MassOfNitrogenInCropResidues_Result_Method2</f>
        <v>85008</v>
      </c>
    </row>
    <row r="56" spans="10:18" ht="20.100000000000001" customHeight="1" x14ac:dyDescent="0.25">
      <c r="L56" s="21"/>
      <c r="M56" s="114" t="str">
        <v>EF_Ni</v>
      </c>
      <c r="N56" s="118" t="str">
        <v>emission factor for crop residues returned to the soil</v>
      </c>
      <c r="O56" s="117"/>
      <c r="P56" s="114" t="str">
        <v>kg N2O-N/kg N</v>
      </c>
      <c r="Q56" s="108" t="str">
        <v>Constant</v>
      </c>
      <c r="R56" s="114" cm="1">
        <f t="array" ref="R56">Common_InputFunctions.Utility_LookupValueInTableNumber(R59,Table_SourceData_N2OEFOrganicFert[Climate zone type i],Table_SourceData_N2OEFOrganicFert[EF i N2O])</f>
        <v>5.0000000000000001E-3</v>
      </c>
    </row>
    <row r="57" spans="10:18" ht="20.100000000000001" customHeight="1" x14ac:dyDescent="0.25">
      <c r="L57" s="21"/>
      <c r="M57" s="114" t="str">
        <v>C_N2O</v>
      </c>
      <c r="N57" s="118" t="str">
        <v>factor to convert elemental mass of nitrous oxide to molecular mass</v>
      </c>
      <c r="O57" s="117"/>
      <c r="P57" s="114" t="str">
        <v>dimensionless</v>
      </c>
      <c r="Q57" s="108" t="str">
        <v>Constant</v>
      </c>
      <c r="R57" s="114">
        <f>Common_InputFunctions.Utility_LookupValueInTableNumber("N2O",Table_GasToMolecularConversionFactor[Gas],Table_GasToMolecularConversionFactor[Conversion factor combined])</f>
        <v>1.5714285714285714</v>
      </c>
    </row>
    <row r="58" spans="10:18" ht="20.100000000000001" customHeight="1" x14ac:dyDescent="0.25">
      <c r="L58" s="21"/>
      <c r="M58" s="114" t="str">
        <v>c</v>
      </c>
      <c r="N58" s="118" t="str">
        <v>Crop type</v>
      </c>
      <c r="O58" s="117"/>
      <c r="P58" s="114" t="str">
        <v/>
      </c>
      <c r="Q58" s="109" t="str">
        <v>Input</v>
      </c>
      <c r="R58" s="114" t="str">
        <f>X_Cell_Crop_CropType</f>
        <v>Wheat</v>
      </c>
    </row>
    <row r="59" spans="10:18" ht="20.100000000000001" customHeight="1" x14ac:dyDescent="0.25">
      <c r="L59" s="21"/>
      <c r="M59" s="114" t="str">
        <v>i</v>
      </c>
      <c r="N59" s="118" t="str">
        <v>Wet or dry climate zone</v>
      </c>
      <c r="O59" s="117"/>
      <c r="P59" s="114" t="str">
        <v/>
      </c>
      <c r="Q59" s="109" t="str">
        <v>Input</v>
      </c>
      <c r="R59" s="114" t="str">
        <f>X_Cell_Site_WetOrDryClimateZone</f>
        <v>Dry climate zone</v>
      </c>
    </row>
    <row r="60" spans="10:18" ht="20.100000000000001" customHeight="1" x14ac:dyDescent="0.25">
      <c r="L60" s="21"/>
      <c r="M60" s="21"/>
      <c r="N60" s="21"/>
      <c r="O60" s="21"/>
      <c r="P60" s="21"/>
      <c r="Q60" s="21"/>
    </row>
    <row r="61" spans="10:18" ht="20.100000000000001" customHeight="1" x14ac:dyDescent="0.25">
      <c r="L61" s="21"/>
      <c r="M61" s="91" t="s">
        <v>108</v>
      </c>
      <c r="N61" s="92" cm="1">
        <f t="array" ref="N61">AgResidue_Equations_CropResidue.VEERG_6_1_1_1__1__NitrousOxideEmissionsFromCropResidues(R55,R56,R57)</f>
        <v>0.66792000000000007</v>
      </c>
      <c r="O61" s="93" t="str">
        <f>$E$34</f>
        <v>t N2O</v>
      </c>
      <c r="Q61" s="21"/>
    </row>
    <row r="62" spans="10:18" ht="20.100000000000001" customHeight="1" x14ac:dyDescent="0.25">
      <c r="L62" s="21"/>
      <c r="Q62" s="21"/>
    </row>
    <row r="63" spans="10:18" ht="20.100000000000001" customHeight="1" x14ac:dyDescent="0.25">
      <c r="L63" s="21"/>
      <c r="M63" s="53" t="str" cm="1">
        <f t="array" ref="M63:N64">Common_Equations.Common_ConvertN2OToCO2e_Arguments()</f>
        <v>EN2O</v>
      </c>
      <c r="N63" s="54" t="str">
        <v>Nitrous oxide emissions (t N2O)</v>
      </c>
      <c r="O63" s="94"/>
      <c r="P63" s="49">
        <f>VEERG_6_1_1_1__1__NitrousOxideEmissionsFromCropResidues_Result_Method2</f>
        <v>0.66792000000000007</v>
      </c>
    </row>
    <row r="64" spans="10:18" ht="20.100000000000001" customHeight="1" x14ac:dyDescent="0.25">
      <c r="L64" s="21"/>
      <c r="M64" s="53" t="str">
        <v>GWPN2O</v>
      </c>
      <c r="N64" s="54" t="str">
        <v>Global warming potential for nitrous oxide (t CO2-e / t N2O)</v>
      </c>
      <c r="O64" s="94"/>
      <c r="P64" s="49">
        <f>Common_InputFunctions.Utility_LookupValueInTableNumber("N2O",Table_GWPData[Gas],Table_GWPData[CO2-e factor])</f>
        <v>265</v>
      </c>
    </row>
    <row r="65" spans="12:18" ht="20.100000000000001" customHeight="1" x14ac:dyDescent="0.25">
      <c r="L65" s="21"/>
      <c r="Q65" s="21"/>
    </row>
    <row r="66" spans="12:18" ht="20.100000000000001" customHeight="1" x14ac:dyDescent="0.25">
      <c r="L66" s="21"/>
      <c r="M66" s="43" t="s">
        <v>78</v>
      </c>
      <c r="N66" s="43" cm="1">
        <f t="array" ref="N66">Common_Equations.Common_ConvertN2OToCO2e(P63,P64)</f>
        <v>176.99880000000002</v>
      </c>
      <c r="O66" s="95" t="str" cm="1">
        <f t="array" ref="O66">Common_Equations.Common_ConvertN2OToCO2e_Unit()</f>
        <v>t CO2e</v>
      </c>
      <c r="Q66" s="21"/>
    </row>
    <row r="67" spans="12:18" ht="20.100000000000001" customHeight="1" x14ac:dyDescent="0.25">
      <c r="L67" s="21"/>
      <c r="M67" s="21"/>
      <c r="N67" s="21"/>
      <c r="O67" s="101"/>
      <c r="P67" s="21"/>
      <c r="Q67" s="21"/>
      <c r="R67" s="21"/>
    </row>
    <row r="68" spans="12:18" ht="20.100000000000001" customHeight="1" x14ac:dyDescent="0.25">
      <c r="L68" s="21"/>
    </row>
    <row r="69" spans="12:18" ht="20.100000000000001" customHeight="1" x14ac:dyDescent="0.25">
      <c r="L69" s="21"/>
    </row>
    <row r="70" spans="12:18" ht="20.100000000000001" customHeight="1" x14ac:dyDescent="0.25"/>
    <row r="71" spans="12:18" ht="20.100000000000001" customHeight="1" x14ac:dyDescent="0.25"/>
    <row r="72" spans="12:18" ht="20.100000000000001" customHeight="1" x14ac:dyDescent="0.25"/>
    <row r="73" spans="12:18" ht="20.100000000000001" customHeight="1" x14ac:dyDescent="0.25"/>
    <row r="74" spans="12:18" ht="20.100000000000001" customHeight="1" x14ac:dyDescent="0.25"/>
    <row r="75" spans="12:18" ht="20.100000000000001" customHeight="1" x14ac:dyDescent="0.25"/>
    <row r="76" spans="12:18" ht="20.100000000000001" customHeight="1" x14ac:dyDescent="0.25"/>
    <row r="77" spans="12:18" ht="20.100000000000001" customHeight="1" x14ac:dyDescent="0.25"/>
    <row r="78" spans="12:18" ht="20.100000000000001" customHeight="1" x14ac:dyDescent="0.25"/>
    <row r="79" spans="12:18" ht="20.100000000000001" customHeight="1" x14ac:dyDescent="0.25"/>
    <row r="80" spans="12:18" ht="20.100000000000001" customHeight="1" x14ac:dyDescent="0.25"/>
    <row r="81" spans="12:12" ht="20.100000000000001" customHeight="1" x14ac:dyDescent="0.25"/>
    <row r="82" spans="12:12" ht="20.100000000000001" customHeight="1" x14ac:dyDescent="0.25"/>
    <row r="83" spans="12:12" ht="20.100000000000001" customHeight="1" x14ac:dyDescent="0.25"/>
    <row r="84" spans="12:12" ht="20.100000000000001" customHeight="1" x14ac:dyDescent="0.25"/>
    <row r="85" spans="12:12" ht="20.100000000000001" customHeight="1" x14ac:dyDescent="0.25"/>
    <row r="86" spans="12:12" ht="20.100000000000001" customHeight="1" x14ac:dyDescent="0.25">
      <c r="L86" s="21"/>
    </row>
    <row r="87" spans="12:12" ht="20.100000000000001" customHeight="1" x14ac:dyDescent="0.25"/>
    <row r="88" spans="12:12" ht="20.100000000000001" customHeight="1" x14ac:dyDescent="0.25"/>
    <row r="89" spans="12:12" ht="20.100000000000001" customHeight="1" x14ac:dyDescent="0.25"/>
    <row r="90" spans="12:12" ht="20.100000000000001" customHeight="1" x14ac:dyDescent="0.25"/>
    <row r="91" spans="12:12" ht="20.100000000000001" customHeight="1" x14ac:dyDescent="0.25"/>
    <row r="92" spans="12:12" ht="20.100000000000001" customHeight="1" x14ac:dyDescent="0.25"/>
    <row r="93" spans="12:12" ht="20.100000000000001" customHeight="1" x14ac:dyDescent="0.25"/>
    <row r="94" spans="12:12" ht="20.100000000000001" customHeight="1" x14ac:dyDescent="0.25"/>
    <row r="95" spans="12:12" ht="20.100000000000001" customHeight="1" x14ac:dyDescent="0.25"/>
    <row r="96" spans="12:12"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disablePrompts="1" count="1">
    <dataValidation operator="equal" allowBlank="1" showInputMessage="1" showErrorMessage="1" sqref="N172:S172 O150:R150 E269 N166:S166 O143:S144 E228 O167:S167 G132 I129:I133 F134:I134 F129:F132 H128:H132 G129 F148:I148 I149 F150:I150 R149:S149" xr:uid="{AF7BB680-B75F-4AE8-AA2D-EDF03FCB10D8}"/>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0" t="e" vm="1">
        <v>#VALUE!</v>
      </c>
      <c r="C1" s="8" t="s">
        <v>175</v>
      </c>
    </row>
    <row r="2" spans="1:21" s="9" customFormat="1" ht="20.100000000000001" customHeight="1" x14ac:dyDescent="0.25">
      <c r="A2"/>
    </row>
    <row r="3" spans="1:21" ht="20.100000000000001" customHeight="1" x14ac:dyDescent="0.25">
      <c r="A3" s="17" t="str">
        <f>HYPERLINK("#'Home'!A1", "Home")</f>
        <v>Home</v>
      </c>
      <c r="C3" s="4"/>
      <c r="D3" s="4" t="s">
        <v>79</v>
      </c>
      <c r="E3" s="4"/>
      <c r="F3" s="4"/>
      <c r="G3" s="4"/>
      <c r="H3" s="4"/>
      <c r="I3" s="4"/>
      <c r="J3" s="4"/>
      <c r="K3" s="4"/>
      <c r="M3" s="4"/>
      <c r="N3" s="4" t="s">
        <v>80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AgResidue_Equations_PastureResidue.VEERG_6_2_1_1__2__MassOfNitrogenInPastureResidues_Title()</f>
        <v>Mass of nitrogen in pasture residues returned to the soil</v>
      </c>
    </row>
    <row r="6" spans="1:21" ht="20.100000000000001" customHeight="1" x14ac:dyDescent="0.25">
      <c r="D6" s="5" t="str" cm="1">
        <f t="array" ref="D6">AgResidue_Equations_PastureResidue.VEERG_6_2_1_1__2__MassOfNitrogenInPastureResidues_Source()</f>
        <v>VEERG 2026: 6.2.1.1, Equation (2)</v>
      </c>
    </row>
    <row r="7" spans="1:21" ht="20.100000000000001" customHeight="1" x14ac:dyDescent="0.25">
      <c r="D7" s="13" t="s">
        <v>21</v>
      </c>
      <c r="E7" s="13" t="str" cm="1">
        <f t="array" aca="1" ref="E7" ca="1">Common_InputFunctions.Utility_DisplayFunctionName(E21)</f>
        <v>=AgResidue_Equations_PastureResidue.VEERG_6_2_1_1__2__MassOfNitrogenInPastureResidues</v>
      </c>
    </row>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Crop'!A1", "Crop")</f>
        <v>Crop</v>
      </c>
      <c r="D10" s="3" t="s">
        <v>24</v>
      </c>
      <c r="E10" s="1" t="str" cm="1">
        <f t="array" ref="E10">AgResidue_Equations_PastureResidue.VEERG_6_2_1_1__2__MassOfNitrogenInPastureResidues_Variable()</f>
        <v>Mp</v>
      </c>
    </row>
    <row r="11" spans="1:21" ht="20.100000000000001" customHeight="1" x14ac:dyDescent="0.25">
      <c r="A11" s="17" t="str">
        <f>HYPERLINK("#'Input - Pasture'!A1", "Pasture")</f>
        <v>Pasture</v>
      </c>
      <c r="D11" s="3" t="s">
        <v>15</v>
      </c>
      <c r="E11" s="51" t="str" cm="1">
        <f t="array" ref="E11">AgResidue_Equations_PastureResidue.VEERG_6_2_1_1__2__MassOfNitrogenInPastureResidues_Unit()</f>
        <v>kg N</v>
      </c>
    </row>
    <row r="12" spans="1:21" ht="20.100000000000001" customHeight="1" x14ac:dyDescent="0.25"/>
    <row r="13" spans="1:21" ht="20.100000000000001" customHeight="1" x14ac:dyDescent="0.25">
      <c r="D13" s="114" t="str" cm="1">
        <f t="array" ref="D13:E19">_xlfn.CHOOSECOLS(AgResidue_Equations_PastureResidue.VEERG_6_2_1_1__2__MassOfNitrogenInPastureResidues_Arguments(), 1, 2)</f>
        <v>A_p</v>
      </c>
      <c r="E13" s="118" t="str">
        <v>area of pasture renewed or removed</v>
      </c>
      <c r="F13" s="119"/>
      <c r="G13" s="117"/>
      <c r="H13" s="114" t="str" cm="1">
        <f t="array" ref="H13:I19">_xlfn.CHOOSECOLS(AgResidue_Equations_PastureResidue.VEERG_6_2_1_1__2__MassOfNitrogenInPastureResidues_Arguments(), 3,4)</f>
        <v>ha</v>
      </c>
      <c r="I13" s="109" t="str">
        <v>Input</v>
      </c>
      <c r="J13" s="114">
        <f>X_Cell_Pasture_AreaRemovedOrRenewed</f>
        <v>500</v>
      </c>
      <c r="N13" s="114" t="str" cm="1">
        <f t="array" ref="N13:O19">_xlfn.CHOOSECOLS(AgResidue_Equations_PastureResidue.VEERG_6_2_1_1__2__MassOfNitrogenInPastureResidues_Arguments_Method2(), 1, 2)</f>
        <v>A_p</v>
      </c>
      <c r="O13" s="118" t="str">
        <v>area of pasture renewed or removed</v>
      </c>
      <c r="P13" s="119"/>
      <c r="Q13" s="117"/>
      <c r="R13" s="114" t="str" cm="1">
        <f t="array" ref="R13:S19">_xlfn.CHOOSECOLS(AgResidue_Equations_PastureResidue.VEERG_6_2_1_1__2__MassOfNitrogenInPastureResidues_Arguments_Method2(), 3,4)</f>
        <v>ha</v>
      </c>
      <c r="S13" s="109" t="str">
        <v>Input</v>
      </c>
      <c r="T13" s="114"/>
    </row>
    <row r="14" spans="1:21" ht="20.100000000000001" customHeight="1" x14ac:dyDescent="0.25">
      <c r="A14" s="18" t="s">
        <v>68</v>
      </c>
      <c r="D14" s="114" t="str">
        <v>Y_p</v>
      </c>
      <c r="E14" s="118" t="str">
        <v>average yield of pasture crop</v>
      </c>
      <c r="F14" s="119"/>
      <c r="G14" s="117"/>
      <c r="H14" s="114" t="str">
        <v>t DM/ha</v>
      </c>
      <c r="I14" s="108" t="str">
        <v>Constant</v>
      </c>
      <c r="J14" s="114" cm="1">
        <f t="array" ref="J14">Common_InputFunctions.Utility_LookupValueInTableNumber($J$19,Table_SourceData_PastureAttributes[Pasture type],Table_SourceData_PastureAttributes[Average Yield (t DM ha) Yp])</f>
        <v>8.34</v>
      </c>
      <c r="N14" s="114" t="str">
        <v>Y_p</v>
      </c>
      <c r="O14" s="118" t="str">
        <v>average yield of pasture crop</v>
      </c>
      <c r="P14" s="119"/>
      <c r="Q14" s="117"/>
      <c r="R14" s="114" t="str">
        <v>t DM/ha</v>
      </c>
      <c r="S14" s="109" t="str">
        <v>Input</v>
      </c>
      <c r="T14" s="114">
        <f>X_Cell_Pasture_YieldPerHectare</f>
        <v>8.34</v>
      </c>
    </row>
    <row r="15" spans="1:21" ht="20.100000000000001" customHeight="1" x14ac:dyDescent="0.25">
      <c r="A15" s="17" t="str">
        <f>HYPERLINK("#'6.1.1.1-2 Crop residue N2O'!A1", "6.1.1.1-2 Crop residue N2O")</f>
        <v>6.1.1.1-2 Crop residue N2O</v>
      </c>
      <c r="D15" s="114" t="str">
        <v>NC_AGp</v>
      </c>
      <c r="E15" s="118" t="str">
        <v>N content of above-ground pasture residue</v>
      </c>
      <c r="F15" s="119"/>
      <c r="G15" s="117"/>
      <c r="H15" s="114" t="str">
        <v>kg N/kg DM</v>
      </c>
      <c r="I15" s="108" t="str">
        <v>Constant</v>
      </c>
      <c r="J15" s="114" cm="1">
        <f t="array" ref="J15">Common_InputFunctions.Utility_LookupValueInTableNumber($J$19,Table_SourceData_PastureAttributes[Pasture type],Table_SourceData_PastureAttributes[N content Above-ground NCAGp])</f>
        <v>2.5000000000000001E-2</v>
      </c>
      <c r="N15" s="114" t="str">
        <v>NC_AGp</v>
      </c>
      <c r="O15" s="118" t="str">
        <v>N content of above-ground pasture residue</v>
      </c>
      <c r="P15" s="119"/>
      <c r="Q15" s="117"/>
      <c r="R15" s="114" t="str">
        <v>kg N/kg DM</v>
      </c>
      <c r="S15" s="108" t="str">
        <v>Constant</v>
      </c>
      <c r="T15" s="114"/>
    </row>
    <row r="16" spans="1:21" ht="20.100000000000001" customHeight="1" x14ac:dyDescent="0.25">
      <c r="A16" s="127" t="str">
        <f>HYPERLINK("#'6.2.1.1-2 Pasture residue N2O'!A1", "6.2.1.1-2 Pasture residue N2O")</f>
        <v>6.2.1.1-2 Pasture residue N2O</v>
      </c>
      <c r="D16" s="114" t="str">
        <v>R_BGp</v>
      </c>
      <c r="E16" s="118" t="str">
        <v>below-ground residue to above-ground residue ratio for pasture crop</v>
      </c>
      <c r="F16" s="119"/>
      <c r="G16" s="117"/>
      <c r="H16" s="114" t="str">
        <v/>
      </c>
      <c r="I16" s="108" t="str">
        <v>Constant</v>
      </c>
      <c r="J16" s="114" cm="1">
        <f t="array" ref="J16">Common_InputFunctions.Utility_LookupValueInTableNumber($J$19,Table_SourceData_PastureAttributes[Pasture type],Table_SourceData_PastureAttributes[Below-ground: above-ground residue ratio RBGp])</f>
        <v>0.8</v>
      </c>
      <c r="N16" s="114" t="str">
        <v>R_BGp</v>
      </c>
      <c r="O16" s="118" t="str">
        <v>below-ground residue to above-ground residue ratio for pasture crop</v>
      </c>
      <c r="P16" s="119"/>
      <c r="Q16" s="117"/>
      <c r="R16" s="114" t="str">
        <v/>
      </c>
      <c r="S16" s="108" t="str">
        <v>Constant</v>
      </c>
      <c r="T16" s="114"/>
    </row>
    <row r="17" spans="1:21" ht="20.100000000000001" customHeight="1" x14ac:dyDescent="0.25">
      <c r="A17" s="17" t="str">
        <f>HYPERLINK("#'6.3.1.1-2 Leaching and runoff'!A1", "6.3.1.1-2 Leaching and runoff")</f>
        <v>6.3.1.1-2 Leaching and runoff</v>
      </c>
      <c r="D17" s="114" t="str">
        <v>NC_BGp</v>
      </c>
      <c r="E17" s="118" t="str">
        <v>N content of below-ground pasture crop residue</v>
      </c>
      <c r="F17" s="119"/>
      <c r="G17" s="117"/>
      <c r="H17" s="114" t="str">
        <v>kg N/kg DM</v>
      </c>
      <c r="I17" s="108" t="str">
        <v>Constant</v>
      </c>
      <c r="J17" s="114" cm="1">
        <f t="array" ref="J17">Common_InputFunctions.Utility_LookupValueInTableNumber($J$19,Table_SourceData_PastureAttributes[Pasture type],Table_SourceData_PastureAttributes[N content Below-ground NCBGp])</f>
        <v>1.6E-2</v>
      </c>
      <c r="N17" s="114" t="str">
        <v>NC_BGp</v>
      </c>
      <c r="O17" s="118" t="str">
        <v>N content of below-ground pasture crop residue</v>
      </c>
      <c r="P17" s="119"/>
      <c r="Q17" s="117"/>
      <c r="R17" s="114" t="str">
        <v>kg N/kg DM</v>
      </c>
      <c r="S17" s="108" t="str">
        <v>Constant</v>
      </c>
      <c r="T17" s="114"/>
    </row>
    <row r="18" spans="1:21" ht="20.100000000000001" customHeight="1" x14ac:dyDescent="0.25">
      <c r="A18" s="17" t="str">
        <f>HYPERLINK("#'6.3.1.1-2 Leach runoff crop'!A1", "6.3.1.1-2 Leach runoff crop")</f>
        <v>6.3.1.1-2 Leach runoff crop</v>
      </c>
      <c r="D18" s="114" t="str">
        <v>FFOD_p</v>
      </c>
      <c r="E18" s="118" t="str">
        <v>fraction of pasture yield that is removed</v>
      </c>
      <c r="F18" s="119"/>
      <c r="G18" s="117"/>
      <c r="H18" s="114" t="str">
        <v>fraction</v>
      </c>
      <c r="I18" s="108" t="str">
        <v>Constant</v>
      </c>
      <c r="J18" s="114" cm="1">
        <f t="array" ref="J18">Common_InputFunctions.Utility_LookupValueInTableNumber($J$19,Table_SourceData_PastureAttributes[Pasture type],Table_SourceData_PastureAttributes[Fraction of pasture yield that is removed FFODp])</f>
        <v>0.8</v>
      </c>
      <c r="N18" s="114" t="str">
        <v>FFOD_p</v>
      </c>
      <c r="O18" s="118" t="str">
        <v>fraction of pasture yield that is removed</v>
      </c>
      <c r="P18" s="119"/>
      <c r="Q18" s="117"/>
      <c r="R18" s="114" t="str">
        <v>fraction</v>
      </c>
      <c r="S18" s="108" t="str">
        <v>Constant</v>
      </c>
      <c r="T18" s="114"/>
    </row>
    <row r="19" spans="1:21" ht="20.100000000000001" customHeight="1" x14ac:dyDescent="0.25">
      <c r="A19" s="17" t="str">
        <f>HYPERLINK("#'6.3.1.1-2 Leach runoff pasture'!A1", "6.3.1.1-2 Leach runoff pasture")</f>
        <v>6.3.1.1-2 Leach runoff pasture</v>
      </c>
      <c r="D19" s="114" t="str">
        <v>p</v>
      </c>
      <c r="E19" s="118" t="str">
        <v>Pasture type</v>
      </c>
      <c r="F19" s="119"/>
      <c r="G19" s="117"/>
      <c r="H19" s="114" t="str">
        <v/>
      </c>
      <c r="I19" s="109" t="str">
        <v>Input</v>
      </c>
      <c r="J19" s="114" t="str">
        <f>X_Cell_Pasture_PastureType</f>
        <v>Grass clover mixture</v>
      </c>
      <c r="N19" s="114" t="str">
        <v>p</v>
      </c>
      <c r="O19" s="118" t="str">
        <v>Pasture type</v>
      </c>
      <c r="P19" s="119"/>
      <c r="Q19" s="117"/>
      <c r="R19" s="114" t="str">
        <v/>
      </c>
      <c r="S19" s="109" t="str">
        <v>Input</v>
      </c>
      <c r="T19" s="114"/>
    </row>
    <row r="20" spans="1:21" ht="20.100000000000001" customHeight="1" x14ac:dyDescent="0.25">
      <c r="A20" s="17" t="str">
        <f>HYPERLINK("#'6.4.1.1-2 Residue burning'!A1", "6.4.1.1-2 Residue burning")</f>
        <v>6.4.1.1-2 Residue burning</v>
      </c>
    </row>
    <row r="21" spans="1:21" ht="20.100000000000001" customHeight="1" x14ac:dyDescent="0.25">
      <c r="D21" s="115" t="s">
        <v>182</v>
      </c>
      <c r="E21" s="43" cm="1">
        <f t="array" ref="E21">AgResidue_Equations_PastureResidue.VEERG_6_2_1_1__2__MassOfNitrogenInPastureResidues(J13,J14,J18,J15,J16,J17)</f>
        <v>7.4226E-2</v>
      </c>
      <c r="F21" s="95" t="str" cm="1">
        <f t="array" ref="F21">AgResidue_Equations_PastureResidue.VEERG_6_2_1_1__2__MassOfNitrogenInPastureResidues_Unit()</f>
        <v>kg N</v>
      </c>
      <c r="N21" s="115" t="s">
        <v>182</v>
      </c>
      <c r="O21" s="43" cm="1">
        <f t="array" ref="O21">AgResidue_Equations_PastureResidue.VEERG_6_2_1_1__2__MassOfNitrogenInPastureResidues(J13,T14,J18,J15,J16,J17)</f>
        <v>7.4226E-2</v>
      </c>
      <c r="P21" s="95" t="str" cm="1">
        <f t="array" ref="P21">AgResidue_Equations_PastureResidue.VEERG_6_2_1_1__2__MassOfNitrogenInPastureResidues_Unit()</f>
        <v>kg N</v>
      </c>
    </row>
    <row r="22" spans="1:21" ht="20.100000000000001" customHeight="1" x14ac:dyDescent="0.25"/>
    <row r="23" spans="1:21" ht="20.100000000000001" customHeight="1" x14ac:dyDescent="0.25">
      <c r="A23" s="141" t="s">
        <v>1</v>
      </c>
    </row>
    <row r="24" spans="1:21" ht="20.100000000000001" customHeight="1" x14ac:dyDescent="0.25">
      <c r="A24" s="17" t="str">
        <f>HYPERLINK("#'Constants - Ag Residue'!A1", "Constants - Ag Residue")</f>
        <v>Constants - Ag Residue</v>
      </c>
      <c r="C24" s="43"/>
      <c r="D24" s="43"/>
      <c r="E24" s="43"/>
      <c r="F24" s="43"/>
      <c r="G24" s="43"/>
      <c r="H24" s="43"/>
      <c r="I24" s="43"/>
      <c r="J24" s="43"/>
      <c r="K24" s="43"/>
      <c r="M24" s="43"/>
      <c r="N24" s="43"/>
      <c r="O24" s="43"/>
      <c r="P24" s="43"/>
      <c r="Q24" s="43"/>
      <c r="R24" s="43"/>
      <c r="S24" s="43"/>
      <c r="T24" s="43"/>
      <c r="U24" s="43"/>
    </row>
    <row r="25" spans="1:21" ht="20.100000000000001" customHeight="1" x14ac:dyDescent="0.25">
      <c r="A25" s="17" t="str">
        <f>HYPERLINK("#'Constants - Common'!A1", "Constants - Common")</f>
        <v>Constants - Common</v>
      </c>
      <c r="D25" s="6" t="str" cm="1">
        <f t="array" ref="D25">AgResidue_Equations_PastureResidue.VEERG_6_2_1_1__1__NitrousOxideEmissionsFromPastureResidues_Title()</f>
        <v>Nitrous oxide emissions from the return of pasture residues from all pasture types to the soil</v>
      </c>
      <c r="N25" s="6"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D26" s="5" t="str" cm="1">
        <f t="array" ref="D26">AgResidue_Equations_PastureResidue.VEERG_6_2_1_1__1__NitrousOxideEmissionsFromPastureResidues_Source()</f>
        <v>VEERG 2026: 6.2.1.1, Equation (1)</v>
      </c>
      <c r="N26" s="5" t="str" cm="1">
        <f t="array" ref="N26">AgResidue_Equations_PastureResidue.VEERG_6_2_1_1__1__NitrousOxideEmissionsFromPastureResidues_Source()</f>
        <v>VEERG 2026: 6.2.1.1, Equation (1)</v>
      </c>
    </row>
    <row r="27" spans="1:21" ht="20.100000000000001" customHeight="1" x14ac:dyDescent="0.25">
      <c r="D27" s="13" t="s">
        <v>21</v>
      </c>
      <c r="E27" s="13" t="str">
        <f ca="1">Common_InputFunctions.Utility_DisplayFunctionName(VEERG_6_2_1_1__1__NitrousOxideEmissionsFromPastureResidues_Result_Method1)</f>
        <v>=AgResidue_Equations_PastureResidue.VEERG_6_2_1_1__1__NitrousOxideEmissionsFromPastureResidues</v>
      </c>
      <c r="N27" s="13" t="s">
        <v>21</v>
      </c>
      <c r="O27" s="13" t="str">
        <f ca="1">Common_InputFunctions.Utility_DisplayFunctionName(VEERG_6_2_1_1__1__NitrousOxideEmissionsFromPastureResidues_Result_Method2)</f>
        <v>=AgResidue_Equations_PastureResidue.VEERG_6_2_1_1__1__NitrousOxideEmissionsFromPastureResidues</v>
      </c>
    </row>
    <row r="28" spans="1:21" ht="20.100000000000001" customHeight="1" x14ac:dyDescent="0.25"/>
    <row r="29" spans="1:21" ht="20.100000000000001" customHeight="1" x14ac:dyDescent="0.25"/>
    <row r="30" spans="1:21" ht="20.100000000000001" customHeight="1" x14ac:dyDescent="0.25">
      <c r="D30" s="3" t="s">
        <v>24</v>
      </c>
      <c r="E30" s="1" t="str" cm="1">
        <f t="array" ref="E30">AgResidue_Equations_PastureResidue.VEERG_6_2_1_1__1__NitrousOxideEmissionsFromPastureResidues_Variable()</f>
        <v>EN2O</v>
      </c>
      <c r="N30" s="3" t="s">
        <v>24</v>
      </c>
      <c r="O30" s="1" t="str" cm="1">
        <f t="array" ref="O30">AgResidue_Equations_PastureResidue.VEERG_6_2_1_1__1__NitrousOxideEmissionsFromPastureResidues_Variable()</f>
        <v>EN2O</v>
      </c>
    </row>
    <row r="31" spans="1:21" ht="20.100000000000001" customHeight="1" x14ac:dyDescent="0.25">
      <c r="D31" s="3" t="s">
        <v>15</v>
      </c>
      <c r="E31" s="51" t="str" cm="1">
        <f t="array" ref="E31">AgResidue_Equations_PastureResidue.VEERG_6_2_1_1__1__NitrousOxideEmissionsFromPastureResidues_Unit()</f>
        <v>t N2O</v>
      </c>
      <c r="N31" s="3" t="s">
        <v>15</v>
      </c>
      <c r="O31" s="51" t="str" cm="1">
        <f t="array" ref="O31">AgResidue_Equations_PastureResidue.VEERG_6_2_1_1__1__NitrousOxideEmissionsFromPastureResidues_Unit()</f>
        <v>t N2O</v>
      </c>
    </row>
    <row r="32" spans="1:21" ht="20.100000000000001" customHeight="1" x14ac:dyDescent="0.25"/>
    <row r="33" spans="4:20" ht="20.100000000000001" customHeight="1" x14ac:dyDescent="0.25">
      <c r="D33" s="114" t="str" cm="1">
        <f t="array" ref="D33:E37">_xlfn.CHOOSECOLS(AgResidue_Equations_PastureResidue.VEERG_6_2_1_1__1__NitrousOxideEmissionsFromPastureResidues_Arguments(), 1, 2)</f>
        <v>M_p</v>
      </c>
      <c r="E33" s="118" t="str">
        <v>mass of nitrogen in pasture p residues returned to the soil</v>
      </c>
      <c r="F33" s="119"/>
      <c r="G33" s="117"/>
      <c r="H33" s="114" t="str" cm="1">
        <f t="array" ref="H33:I37">_xlfn.CHOOSECOLS(AgResidue_Equations_PastureResidue.VEERG_6_2_1_1__1__NitrousOxideEmissionsFromPastureResidues_Arguments(), 3,4)</f>
        <v>kg N</v>
      </c>
      <c r="I33" s="108" t="str">
        <v>Calculated from 6.2.1.1 (2)</v>
      </c>
      <c r="J33" s="114">
        <f>$E$21</f>
        <v>7.4226E-2</v>
      </c>
      <c r="N33" s="114" t="str" cm="1">
        <f t="array" ref="N33:O37">_xlfn.CHOOSECOLS(AgResidue_Equations_PastureResidue.VEERG_6_2_1_1__1__NitrousOxideEmissionsFromPastureResidues_Arguments(), 1, 2)</f>
        <v>M_p</v>
      </c>
      <c r="O33" s="118" t="str">
        <v>mass of nitrogen in pasture p residues returned to the soil</v>
      </c>
      <c r="P33" s="119"/>
      <c r="Q33" s="117"/>
      <c r="R33" s="114" t="str" cm="1">
        <f t="array" ref="R33:S37">_xlfn.CHOOSECOLS(AgResidue_Equations_PastureResidue.VEERG_6_2_1_1__1__NitrousOxideEmissionsFromPastureResidues_Arguments(), 3,4)</f>
        <v>kg N</v>
      </c>
      <c r="S33" s="108" t="str">
        <v>Calculated from 6.2.1.1 (2)</v>
      </c>
      <c r="T33" s="114">
        <f>$O$21</f>
        <v>7.4226E-2</v>
      </c>
    </row>
    <row r="34" spans="4:20" ht="20.100000000000001" customHeight="1" x14ac:dyDescent="0.25">
      <c r="D34" s="114" t="str">
        <v>EF_Ni</v>
      </c>
      <c r="E34" s="118" t="str">
        <v>emission factor for crop residues returned to the soil in climate zone i</v>
      </c>
      <c r="F34" s="119"/>
      <c r="G34" s="117"/>
      <c r="H34" s="114" t="str">
        <v>kg N2O-N/kg N</v>
      </c>
      <c r="I34" s="108" t="str">
        <v>Constant</v>
      </c>
      <c r="J34" s="114" cm="1">
        <f t="array" ref="J34">Common_InputFunctions.Utility_LookupValueInTableNumber(J37,Table_SourceData_N2OEFOrganicFert[Climate zone type i],Table_SourceData_N2OEFOrganicFert[EF i N2O])</f>
        <v>5.0000000000000001E-3</v>
      </c>
      <c r="N34" s="114" t="str">
        <v>EF_Ni</v>
      </c>
      <c r="O34" s="118" t="str">
        <v>emission factor for crop residues returned to the soil in climate zone i</v>
      </c>
      <c r="P34" s="119"/>
      <c r="Q34" s="117"/>
      <c r="R34" s="114" t="str">
        <v>kg N2O-N/kg N</v>
      </c>
      <c r="S34" s="108" t="str">
        <v>Constant</v>
      </c>
      <c r="T34" s="114"/>
    </row>
    <row r="35" spans="4:20" ht="20.100000000000001" customHeight="1" x14ac:dyDescent="0.25">
      <c r="D35" s="114" t="str">
        <v>C_N2O</v>
      </c>
      <c r="E35" s="118" t="str">
        <v>factor to convert elemental mass of nitrous oxide to molecular mass</v>
      </c>
      <c r="F35" s="119"/>
      <c r="G35" s="117"/>
      <c r="H35" s="114" t="str">
        <v>dimensionless</v>
      </c>
      <c r="I35" s="108" t="str">
        <v>Constant</v>
      </c>
      <c r="J35" s="114">
        <f>Common_InputFunctions.Utility_LookupValueInTableNumber("N2O",Table_GasToMolecularConversionFactor[Gas],Table_GasToMolecularConversionFactor[Conversion factor combined])</f>
        <v>1.5714285714285714</v>
      </c>
      <c r="N35" s="114" t="str">
        <v>C_N2O</v>
      </c>
      <c r="O35" s="118" t="str">
        <v>factor to convert elemental mass of nitrous oxide to molecular mass</v>
      </c>
      <c r="P35" s="119"/>
      <c r="Q35" s="117"/>
      <c r="R35" s="114" t="str">
        <v>dimensionless</v>
      </c>
      <c r="S35" s="108" t="str">
        <v>Constant</v>
      </c>
      <c r="T35" s="114"/>
    </row>
    <row r="36" spans="4:20" ht="20.100000000000001" customHeight="1" x14ac:dyDescent="0.25">
      <c r="D36" s="114" t="str">
        <v>p</v>
      </c>
      <c r="E36" s="118" t="str">
        <v>Pasture type</v>
      </c>
      <c r="F36" s="119"/>
      <c r="G36" s="117"/>
      <c r="H36" s="114" t="str">
        <v/>
      </c>
      <c r="I36" s="109" t="str">
        <v>Input</v>
      </c>
      <c r="J36" s="114" t="str">
        <f>X_Cell_Pasture_PastureType</f>
        <v>Grass clover mixture</v>
      </c>
      <c r="N36" s="114" t="str">
        <v>p</v>
      </c>
      <c r="O36" s="118" t="str">
        <v>Pasture type</v>
      </c>
      <c r="P36" s="119"/>
      <c r="Q36" s="117"/>
      <c r="R36" s="114" t="str">
        <v/>
      </c>
      <c r="S36" s="109" t="str">
        <v>Input</v>
      </c>
      <c r="T36" s="114"/>
    </row>
    <row r="37" spans="4:20" ht="20.100000000000001" customHeight="1" x14ac:dyDescent="0.25">
      <c r="D37" s="114" t="str">
        <v>i</v>
      </c>
      <c r="E37" s="118" t="str">
        <v>Wet or dry climate zone</v>
      </c>
      <c r="F37" s="119"/>
      <c r="G37" s="117"/>
      <c r="H37" s="114" t="str">
        <v/>
      </c>
      <c r="I37" s="109" t="str">
        <v>Input</v>
      </c>
      <c r="J37" s="114" t="str">
        <f>X_Cell_Site_WetOrDryClimateZone</f>
        <v>Dry climate zone</v>
      </c>
      <c r="N37" s="114" t="str">
        <v>i</v>
      </c>
      <c r="O37" s="118" t="str">
        <v>Wet or dry climate zone</v>
      </c>
      <c r="P37" s="119"/>
      <c r="Q37" s="117"/>
      <c r="R37" s="114" t="str">
        <v/>
      </c>
      <c r="S37" s="109" t="str">
        <v>Input</v>
      </c>
      <c r="T37" s="114"/>
    </row>
    <row r="38" spans="4:20" ht="20.100000000000001" customHeight="1" x14ac:dyDescent="0.25"/>
    <row r="39" spans="4:20" ht="20.100000000000001" customHeight="1" x14ac:dyDescent="0.25"/>
    <row r="40" spans="4:20" ht="20.100000000000001" customHeight="1" x14ac:dyDescent="0.25">
      <c r="D40" s="91" t="s">
        <v>108</v>
      </c>
      <c r="E40" s="92" cm="1">
        <f t="array" ref="E40">AgResidue_Equations_PastureResidue.VEERG_6_2_1_1__1__NitrousOxideEmissionsFromPastureResidues(J33,J34,J35)</f>
        <v>5.8320428571428569E-7</v>
      </c>
      <c r="F40" s="93" t="str" cm="1">
        <f t="array" ref="F40">AgResidue_Equations_PastureResidue.VEERG_6_2_1_1__1__NitrousOxideEmissionsFromPastureResidues_Unit()</f>
        <v>t N2O</v>
      </c>
      <c r="N40" s="91" t="s">
        <v>108</v>
      </c>
      <c r="O40" s="92" cm="1">
        <f t="array" ref="O40">AgResidue_Equations_PastureResidue.VEERG_6_2_1_1__1__NitrousOxideEmissionsFromPastureResidues(T33,J34,J35)</f>
        <v>5.8320428571428569E-7</v>
      </c>
      <c r="P40" s="93" t="str" cm="1">
        <f t="array" ref="P40">AgResidue_Equations_PastureResidue.VEERG_6_2_1_1__1__NitrousOxideEmissionsFromPastureResidues_Unit()</f>
        <v>t N2O</v>
      </c>
    </row>
    <row r="41" spans="4:20" ht="20.100000000000001" customHeight="1" x14ac:dyDescent="0.25"/>
    <row r="42" spans="4:20" ht="20.100000000000001" customHeight="1" x14ac:dyDescent="0.25">
      <c r="D42" s="53" t="str" cm="1">
        <f t="array" ref="D42:E43">Common_Equations.Common_ConvertN2OToCO2e_Arguments()</f>
        <v>EN2O</v>
      </c>
      <c r="E42" s="54" t="str">
        <v>Nitrous oxide emissions (t N2O)</v>
      </c>
      <c r="F42" s="55"/>
      <c r="G42" s="53">
        <f>VEERG_6_2_1_1__1__NitrousOxideEmissionsFromPastureResidues_Result_Method1</f>
        <v>5.8320428571428569E-7</v>
      </c>
      <c r="N42" s="53" t="str" cm="1">
        <f t="array" ref="N42:O43">Common_Equations.Common_ConvertN2OToCO2e_Arguments()</f>
        <v>EN2O</v>
      </c>
      <c r="O42" s="54" t="str">
        <v>Nitrous oxide emissions (t N2O)</v>
      </c>
      <c r="P42" s="55"/>
      <c r="Q42" s="53">
        <f>VEERG_6_2_1_1__1__NitrousOxideEmissionsFromPastureResidues_Result_Method2</f>
        <v>5.8320428571428569E-7</v>
      </c>
    </row>
    <row r="43" spans="4:20" ht="20.100000000000001" customHeight="1" x14ac:dyDescent="0.25">
      <c r="D43" s="53" t="str">
        <v>GWPN2O</v>
      </c>
      <c r="E43" s="54" t="str">
        <v>Global warming potential for nitrous oxide (t CO2-e / t N2O)</v>
      </c>
      <c r="F43" s="55"/>
      <c r="G43" s="49">
        <f>Common_InputFunctions.Utility_LookupValueInTableNumber("N2O",Table_GWPData[Gas],Table_GWPData[CO2-e factor])</f>
        <v>265</v>
      </c>
      <c r="N43" s="53" t="str">
        <v>GWPN2O</v>
      </c>
      <c r="O43" s="54" t="str">
        <v>Global warming potential for nitrous oxide (t CO2-e / t N2O)</v>
      </c>
      <c r="P43" s="55"/>
      <c r="Q43" s="49">
        <f>Common_InputFunctions.Utility_LookupValueInTableNumber("N2O",Table_GWPData[Gas],Table_GWPData[CO2-e factor])</f>
        <v>265</v>
      </c>
    </row>
    <row r="44" spans="4:20" ht="20.100000000000001" customHeight="1" x14ac:dyDescent="0.25"/>
    <row r="45" spans="4:20" ht="20.100000000000001" customHeight="1" x14ac:dyDescent="0.25">
      <c r="D45" s="1" t="s">
        <v>183</v>
      </c>
      <c r="E45" s="1" cm="1">
        <f t="array" ref="E45">Common_Equations.Common_ConvertN2OToCO2e(G42,G43)</f>
        <v>1.545491357142857E-4</v>
      </c>
      <c r="F45" s="51" t="str" cm="1">
        <f t="array" ref="F45">Common_Equations.Common_ConvertN2OToCO2e_Unit()</f>
        <v>t CO2e</v>
      </c>
      <c r="N45" s="1" t="s">
        <v>183</v>
      </c>
      <c r="O45" s="1" cm="1">
        <f t="array" ref="O45">Common_Equations.Common_ConvertN2OToCO2e(Q42,Q43)</f>
        <v>1.545491357142857E-4</v>
      </c>
      <c r="P45" s="51" t="str" cm="1">
        <f t="array" ref="P45">Common_Equations.Common_ConvertN2OToCO2e_Unit()</f>
        <v>t CO2e</v>
      </c>
    </row>
    <row r="46" spans="4:20" ht="20.100000000000001" customHeight="1" x14ac:dyDescent="0.25"/>
    <row r="47" spans="4:20" ht="20.100000000000001" customHeight="1" x14ac:dyDescent="0.25"/>
    <row r="48" spans="4: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T165"/>
  <sheetViews>
    <sheetView showGridLines="0" topLeftCell="A9"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193</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2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0.35266206793186283</v>
      </c>
      <c r="F48" s="93" t="str">
        <f>$E$34</f>
        <v>t N2O</v>
      </c>
      <c r="G48" s="21"/>
      <c r="H48" s="21"/>
      <c r="I48" s="21"/>
      <c r="J48" s="21"/>
      <c r="K48" s="21"/>
      <c r="N48" s="138" t="s">
        <v>194</v>
      </c>
      <c r="O48" s="139">
        <f>SUM(O45:O46)</f>
        <v>0.35266206793186283</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VEERG_6_3_1_1__1__LeachingAndRunoffEmissionsCropAndPastureResidue_Result_Method1</f>
        <v>0.35266206793186283</v>
      </c>
      <c r="N50" s="53" t="str" cm="1">
        <f t="array" ref="N50:O51">Common_Equations.Common_ConvertN2OToCO2e_Arguments()</f>
        <v>EN2O</v>
      </c>
      <c r="O50" s="54" t="str">
        <v>Nitrous oxide emissions (t N2O)</v>
      </c>
      <c r="P50" s="94"/>
      <c r="Q50" s="49">
        <f>VEERG_6_3_1_1__1__LeachingAndRunoffEmissionsCropAndPastureResidue_Result_Method2</f>
        <v>0.35266206793186283</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93.455448001943651</v>
      </c>
      <c r="F53" s="95" t="str" cm="1">
        <f t="array" ref="F53">Common_Equations.Common_ConvertN2OToCO2e_Unit()</f>
        <v>t CO2e</v>
      </c>
      <c r="I53" s="21"/>
      <c r="N53" s="43" t="s">
        <v>78</v>
      </c>
      <c r="O53" s="43" cm="1">
        <f t="array" ref="O53">Common_Equations.Common_ConvertN2OToCO2e(Q50,Q51)</f>
        <v>93.455448001943651</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107ED-6FF1-46ED-8CBD-6301F0771971}">
  <dimension ref="A1:T165"/>
  <sheetViews>
    <sheetView showGridLines="0" topLeftCell="A14" zoomScaleNormal="100" workbookViewId="0">
      <selection activeCell="H25" sqref="H2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232</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Common_InputFunctions.Utility_DisplayFunctionName(I24)</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tr">
        <f>X_Cell_Crop_CropType</f>
        <v>Wheat</v>
      </c>
      <c r="K17" s="21"/>
    </row>
    <row r="18" spans="1:20" ht="20.100000000000001" customHeight="1" x14ac:dyDescent="0.25">
      <c r="A18" s="127" t="str">
        <f>HYPERLINK("#'6.3.1.1-2 Leach runoff crop'!A1", "6.3.1.1-2 Leach runoff crop")</f>
        <v>6.3.1.1-2 Leach runoff crop</v>
      </c>
      <c r="C18" s="21"/>
      <c r="D18" s="114" t="str">
        <v>p</v>
      </c>
      <c r="E18" s="118" t="str">
        <v>Pasture residue type</v>
      </c>
      <c r="F18" s="119"/>
      <c r="G18" s="117"/>
      <c r="H18" s="114" t="str">
        <v/>
      </c>
      <c r="I18" s="109" t="str">
        <v>Input</v>
      </c>
      <c r="J18" s="114" t="s">
        <v>231</v>
      </c>
      <c r="K18" s="21"/>
    </row>
    <row r="19" spans="1:20" ht="20.100000000000001" customHeight="1" x14ac:dyDescent="0.25">
      <c r="A19" s="1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f>'6.1.1.1-2 Crop residue N2O'!$E$24</f>
        <v>85008</v>
      </c>
      <c r="F24" s="49" t="str">
        <f>X_Cell_Crop_IrrigationMethod</f>
        <v>Sprinkler irrigation</v>
      </c>
      <c r="G24" s="49" t="str">
        <f>X_Cell_Site_LeachingZone</f>
        <v>NO - Not in leaching zone</v>
      </c>
      <c r="H24" s="49">
        <f>CommonCropping_InputFunctions.CommonCropping_GetFracWET(G24,F24,Table_SourceData_FracWET[Is in leaching zone],Table_SourceData_FracWET[FracWET], Table_SourceData_FracWETIrrigation[Irrigation type i],Table_SourceData_FracWETIrrigation[FracWET])</f>
        <v>1</v>
      </c>
      <c r="I24" s="49" cm="1">
        <f t="array" ref="I24">AgResidue_Equations_Leaching.VEERG_6_3_1_1__2__MassOfNitrogenLostThroughLeachingAndRunoff(E24,H24,$J$15)</f>
        <v>20401.919999999998</v>
      </c>
      <c r="N24" s="49"/>
      <c r="O24" s="49">
        <f>'6.1.1.1-2 Crop residue N2O'!$N$43</f>
        <v>85008</v>
      </c>
      <c r="P24" s="49"/>
      <c r="Q24" s="49"/>
      <c r="R24" s="49"/>
      <c r="S24" s="49" cm="1">
        <f t="array" ref="S24">AgResidue_Equations_Leaching.VEERG_6_3_1_1__2__MassOfNitrogenLostThroughLeachingAndRunoff(O24,H24,$J$15)</f>
        <v>20401.919999999998</v>
      </c>
    </row>
    <row r="25" spans="1:20" ht="20.100000000000001" customHeight="1" x14ac:dyDescent="0.25">
      <c r="A25" s="17" t="str">
        <f>HYPERLINK("#'Constants - Common'!A1", "Constants - Common")</f>
        <v>Constants - Common</v>
      </c>
      <c r="D25" s="49" t="s">
        <v>196</v>
      </c>
      <c r="E25" s="49" t="s">
        <v>231</v>
      </c>
      <c r="F25" s="49" t="s">
        <v>231</v>
      </c>
      <c r="G25" s="49" t="s">
        <v>231</v>
      </c>
      <c r="H25" s="49" t="s">
        <v>231</v>
      </c>
      <c r="I25" s="49" t="s">
        <v>231</v>
      </c>
      <c r="N25" s="49"/>
      <c r="O25" s="49" t="s">
        <v>231</v>
      </c>
      <c r="P25" s="49"/>
      <c r="Q25" s="49"/>
      <c r="R25" s="49"/>
      <c r="S25" s="49" t="s">
        <v>231</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Common_InputFunctions.Utility_DisplayFunctionName(E45)</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tr">
        <f>X_Cell_Crop_CropType</f>
        <v>Wheat</v>
      </c>
      <c r="K39" s="21"/>
    </row>
    <row r="40" spans="3:17" ht="20.100000000000001" customHeight="1" x14ac:dyDescent="0.25">
      <c r="C40" s="21"/>
      <c r="D40" s="114" t="str">
        <v>p</v>
      </c>
      <c r="E40" s="118" t="str">
        <v>Pasture residue type</v>
      </c>
      <c r="F40" s="119"/>
      <c r="G40" s="117"/>
      <c r="H40" s="114" t="str">
        <v/>
      </c>
      <c r="I40" s="109" t="str">
        <v>Input</v>
      </c>
      <c r="J40" s="114" t="s">
        <v>231</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f>I24</f>
        <v>20401.919999999998</v>
      </c>
      <c r="E45" s="49" cm="1">
        <f t="array" ref="E45">AgResidue_Equations_Leaching.VEERG_6_3_1_1__1__LeachingAndRunoffEmissionsCropAndPastureResidue(D45,$J$37,$J$38)</f>
        <v>0.35266175999999999</v>
      </c>
      <c r="F45" s="21"/>
      <c r="G45" s="21"/>
      <c r="H45" s="21"/>
      <c r="I45" s="21"/>
      <c r="J45" s="21"/>
      <c r="K45" s="21"/>
      <c r="N45" s="49">
        <f>S24</f>
        <v>20401.919999999998</v>
      </c>
      <c r="O45" s="49" cm="1">
        <f t="array" ref="O45">AgResidue_Equations_Leaching.VEERG_6_3_1_1__1__LeachingAndRunoffEmissionsCropAndPastureResidue(N45,$J$37,$J$38)</f>
        <v>0.35266175999999999</v>
      </c>
      <c r="P45" s="21"/>
      <c r="Q45" s="21"/>
    </row>
    <row r="46" spans="3:17" ht="20.100000000000001" customHeight="1" x14ac:dyDescent="0.25">
      <c r="C46" s="21"/>
      <c r="D46" s="49" t="str">
        <f>I25</f>
        <v>N/A</v>
      </c>
      <c r="E46" s="49" t="s">
        <v>231</v>
      </c>
      <c r="F46" s="21"/>
      <c r="G46" s="21"/>
      <c r="H46" s="21"/>
      <c r="I46" s="21"/>
      <c r="J46" s="21"/>
      <c r="K46" s="21"/>
      <c r="N46" s="49" t="str">
        <f>S25</f>
        <v>N/A</v>
      </c>
      <c r="O46" s="49" t="s">
        <v>231</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0.35266175999999999</v>
      </c>
      <c r="F48" s="93" t="str">
        <f>$E$34</f>
        <v>t N2O</v>
      </c>
      <c r="G48" s="21"/>
      <c r="H48" s="21"/>
      <c r="I48" s="21"/>
      <c r="J48" s="21"/>
      <c r="K48" s="21"/>
      <c r="N48" s="138" t="s">
        <v>194</v>
      </c>
      <c r="O48" s="139">
        <f>SUM(O45:O46)</f>
        <v>0.35266175999999999</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VEERG_6_3_1_1__1__LeachingAndRunoffEmissionsCropAndPastureResidue_CropOnly_Result_Method1</f>
        <v>0.35266175999999999</v>
      </c>
      <c r="N50" s="53" t="str" cm="1">
        <f t="array" ref="N50:O51">Common_Equations.Common_ConvertN2OToCO2e_Arguments()</f>
        <v>EN2O</v>
      </c>
      <c r="O50" s="54" t="str">
        <v>Nitrous oxide emissions (t N2O)</v>
      </c>
      <c r="P50" s="94"/>
      <c r="Q50" s="49">
        <f>VEERG_6_3_1_1__1__LeachingAndRunoffEmissionsCropAndPastureResidue_CropOnly_Result_Method2</f>
        <v>0.35266175999999999</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93.455366400000003</v>
      </c>
      <c r="F53" s="95" t="str" cm="1">
        <f t="array" ref="F53">Common_Equations.Common_ConvertN2OToCO2e_Unit()</f>
        <v>t CO2e</v>
      </c>
      <c r="I53" s="21"/>
      <c r="N53" s="43" t="s">
        <v>78</v>
      </c>
      <c r="O53" s="43" cm="1">
        <f t="array" ref="O53">Common_Equations.Common_ConvertN2OToCO2e(Q50,Q51)</f>
        <v>93.455366400000003</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E3AE05-1BBC-4424-B700-D8DD789D95B7}">
  <dimension ref="A1:T165"/>
  <sheetViews>
    <sheetView showGridLines="0" zoomScaleNormal="100" workbookViewId="0">
      <selection activeCell="A9" sqref="A9"/>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60" t="e" vm="1">
        <v>#VALUE!</v>
      </c>
      <c r="C1" s="8" t="s">
        <v>230</v>
      </c>
    </row>
    <row r="2" spans="1:20" s="9" customFormat="1" ht="20.100000000000001" customHeight="1" x14ac:dyDescent="0.25">
      <c r="A2"/>
    </row>
    <row r="3" spans="1:20" ht="20.100000000000001" customHeight="1" x14ac:dyDescent="0.25">
      <c r="A3" s="17" t="str">
        <f>HYPERLINK("#'Home'!A1", "Home")</f>
        <v>Home</v>
      </c>
      <c r="C3" s="4"/>
      <c r="D3" s="4" t="s">
        <v>79</v>
      </c>
      <c r="E3" s="4"/>
      <c r="F3" s="4"/>
      <c r="G3" s="4"/>
      <c r="H3" s="4"/>
      <c r="I3" s="4"/>
      <c r="J3" s="4"/>
      <c r="K3" s="4"/>
      <c r="M3" s="4"/>
      <c r="N3" s="4" t="s">
        <v>80</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C5" s="21"/>
      <c r="D5" s="6" t="str" cm="1">
        <f t="array" ref="D5">AgResidue_Equations_Leaching.VEERG_6_3_1_1__2__MassOfNitrogenLostThroughLeachingAndRunoff_Title()</f>
        <v>Mass of nitrogen lost through leaching and runoff</v>
      </c>
      <c r="E5" s="21"/>
      <c r="F5" s="21"/>
      <c r="G5" s="21"/>
      <c r="H5" s="21"/>
      <c r="I5" s="21"/>
      <c r="J5" s="21"/>
      <c r="K5" s="21"/>
    </row>
    <row r="6" spans="1:20" ht="20.100000000000001" customHeight="1" x14ac:dyDescent="0.25">
      <c r="C6" s="21"/>
      <c r="D6" s="5" t="str" cm="1">
        <f t="array" ref="D6">AgResidue_Equations_Leaching.VEERG_6_3_1_1__2__MassOfNitrogenLostThroughLeachingAndRunoff_Source()</f>
        <v>VEERG 2026: 6.3.1.1, Equation (2)</v>
      </c>
      <c r="E6" s="21"/>
      <c r="F6" s="21"/>
      <c r="G6" s="21"/>
      <c r="H6" s="21"/>
      <c r="I6" s="21"/>
      <c r="J6" s="21"/>
      <c r="K6" s="21"/>
    </row>
    <row r="7" spans="1:20" ht="20.100000000000001" customHeight="1" x14ac:dyDescent="0.25">
      <c r="C7" s="21"/>
      <c r="D7" s="13" t="s">
        <v>21</v>
      </c>
      <c r="E7" s="13" t="str" cm="1">
        <f t="array" aca="1" ref="E7" ca="1">Common_InputFunctions.Utility_DisplayFunctionName(I25)</f>
        <v>=AgResidue_Equations_Leaching.VEERG_6_3_1_1__2__MassOfNitrogenLostThroughLeachingAndRunoff</v>
      </c>
      <c r="F7" s="13"/>
      <c r="G7" s="21"/>
      <c r="H7" s="21"/>
      <c r="I7" s="21"/>
      <c r="J7" s="21"/>
      <c r="K7" s="21"/>
    </row>
    <row r="8" spans="1:20" ht="20.100000000000001" customHeight="1" x14ac:dyDescent="0.25">
      <c r="A8" s="19" t="s">
        <v>0</v>
      </c>
      <c r="C8" s="21"/>
      <c r="F8" s="21"/>
      <c r="G8" s="21"/>
      <c r="H8" s="21"/>
      <c r="I8" s="21"/>
      <c r="J8" s="21"/>
      <c r="K8" s="21"/>
    </row>
    <row r="9" spans="1:20" ht="20.100000000000001" customHeight="1" x14ac:dyDescent="0.25">
      <c r="A9" s="17" t="str">
        <f>HYPERLINK("#'Input - Site'!A1", "Site")</f>
        <v>Site</v>
      </c>
      <c r="C9" s="21"/>
      <c r="D9" s="21"/>
      <c r="E9" s="21"/>
      <c r="F9" s="21"/>
      <c r="G9" s="21"/>
      <c r="H9" s="21"/>
      <c r="I9" s="21"/>
      <c r="J9" s="21"/>
      <c r="K9" s="21"/>
    </row>
    <row r="10" spans="1:20" ht="20.100000000000001" customHeight="1" x14ac:dyDescent="0.25">
      <c r="A10" s="17" t="str">
        <f>HYPERLINK("#'Input - Crop'!A1", "Crop")</f>
        <v>Crop</v>
      </c>
      <c r="C10" s="21"/>
      <c r="D10" s="25" t="s">
        <v>24</v>
      </c>
      <c r="E10" s="21" t="str" cm="1">
        <f t="array" ref="E10">AgResidue_Equations_Leaching.VEERG_6_3_1_1__2__MassOfNitrogenLostThroughLeachingAndRunoff_Variable()</f>
        <v>M_leachcp</v>
      </c>
      <c r="F10" s="21"/>
      <c r="G10" s="5"/>
      <c r="H10" s="21"/>
      <c r="I10" s="21"/>
      <c r="J10" s="21"/>
      <c r="K10" s="21"/>
    </row>
    <row r="11" spans="1:20" ht="20.100000000000001" customHeight="1" x14ac:dyDescent="0.25">
      <c r="A11" s="17" t="str">
        <f>HYPERLINK("#'Input - Pasture'!A1", "Pasture")</f>
        <v>Pasture</v>
      </c>
      <c r="C11" s="21"/>
      <c r="D11" s="25" t="s">
        <v>15</v>
      </c>
      <c r="E11" s="51" t="str" cm="1">
        <f t="array" ref="E11">AgResidue_Equations_Leaching.VEERG_6_3_1_1__2__MassOfNitrogenLostThroughLeachingAndRunoff_Unit()</f>
        <v>kg N</v>
      </c>
      <c r="F11" s="21"/>
      <c r="G11" s="21"/>
      <c r="H11" s="21"/>
      <c r="I11" s="21"/>
      <c r="J11" s="21"/>
      <c r="K11" s="21"/>
    </row>
    <row r="12" spans="1:20" ht="20.100000000000001" customHeight="1" x14ac:dyDescent="0.25">
      <c r="C12" s="21"/>
      <c r="D12" s="21"/>
      <c r="E12" s="21"/>
      <c r="F12" s="21"/>
      <c r="G12" s="21"/>
      <c r="H12" s="21"/>
      <c r="I12" s="21"/>
      <c r="J12" s="21"/>
      <c r="K12" s="21"/>
    </row>
    <row r="13" spans="1:20" ht="20.100000000000001" customHeight="1" x14ac:dyDescent="0.25">
      <c r="C13" s="21"/>
      <c r="D13" s="114" t="str" cm="1">
        <f t="array" ref="D13:E19">_xlfn.CHOOSECOLS(AgResidue_Equations_Leaching.VEERG_6_3_1_1__2__MassOfNitrogenLostThroughLeachingAndRunoff_Arguments(), 1,2)</f>
        <v>M_cp</v>
      </c>
      <c r="E13" s="118" t="str">
        <v>mass of nitrogen in crop residues c or pasture residues p applied to soils</v>
      </c>
      <c r="F13" s="119"/>
      <c r="G13" s="117"/>
      <c r="H13" s="114" t="str" cm="1">
        <f t="array" ref="H13:I19">_xlfn.CHOOSECOLS(AgResidue_Equations_Leaching.VEERG_6_3_1_1__2__MassOfNitrogenLostThroughLeachingAndRunoff_Arguments(), 3,4)</f>
        <v>kg N</v>
      </c>
      <c r="I13" s="108" t="str">
        <v>Calc from 6.1.1.1 (2) and 6.2.1.1 (2)</v>
      </c>
      <c r="J13" s="113" t="str" cm="1">
        <f t="array" aca="1" ref="J13" ca="1">HYPERLINK(Common_InputFunctions.Utility_SourceHyperlink($D$21), $D$21)</f>
        <v>M1_Table_M_leach_cp</v>
      </c>
      <c r="K13" s="21"/>
    </row>
    <row r="14" spans="1:20" ht="20.100000000000001" customHeight="1" x14ac:dyDescent="0.25">
      <c r="A14" s="18" t="s">
        <v>68</v>
      </c>
      <c r="C14" s="21"/>
      <c r="D14" s="114" t="str">
        <v>FracWET_j</v>
      </c>
      <c r="E14" s="118" t="str">
        <v>fraction of N that is available for leaching and runoff from the leaching zone z and irrigation type ir</v>
      </c>
      <c r="F14" s="119"/>
      <c r="G14" s="117"/>
      <c r="H14" s="114" t="str">
        <v>fraction</v>
      </c>
      <c r="I14" s="108" t="str">
        <v>Constant</v>
      </c>
      <c r="J14" s="113" t="str" cm="1">
        <f t="array" aca="1" ref="J14" ca="1">HYPERLINK(Common_InputFunctions.Utility_SourceHyperlink($D$21), $D$21)</f>
        <v>M1_Table_M_leach_cp</v>
      </c>
      <c r="K14" s="21"/>
    </row>
    <row r="15" spans="1:20" ht="20.100000000000001" customHeight="1" x14ac:dyDescent="0.25">
      <c r="A15" s="17" t="str">
        <f>HYPERLINK("#'6.1.1.1-2 Crop residue N2O'!A1", "6.1.1.1-2 Crop residue N2O")</f>
        <v>6.1.1.1-2 Crop residue N2O</v>
      </c>
      <c r="C15" s="21"/>
      <c r="D15" s="114" t="str">
        <v>FracLEACH</v>
      </c>
      <c r="E15" s="118" t="str">
        <v>fraction of N that is lost through leaching and runoff</v>
      </c>
      <c r="F15" s="119"/>
      <c r="G15" s="117"/>
      <c r="H15" s="114" t="str">
        <v>fraction</v>
      </c>
      <c r="I15" s="108" t="str">
        <v>Constant</v>
      </c>
      <c r="J15" s="114">
        <f>'Constants - Common'!$E$164</f>
        <v>0.24</v>
      </c>
      <c r="K15" s="21"/>
    </row>
    <row r="16" spans="1:20" ht="20.100000000000001" customHeight="1" x14ac:dyDescent="0.25">
      <c r="A16" s="17" t="str">
        <f>HYPERLINK("#'6.2.1.1-2 Pasture residue N2O'!A1", "6.2.1.1-2 Pasture residue N2O")</f>
        <v>6.2.1.1-2 Pasture residue N2O</v>
      </c>
      <c r="C16" s="21"/>
      <c r="D16" s="114" t="str">
        <v>z</v>
      </c>
      <c r="E16" s="118" t="str">
        <v>Location in leaching zone</v>
      </c>
      <c r="F16" s="119"/>
      <c r="G16" s="117"/>
      <c r="H16" s="114" t="str">
        <v/>
      </c>
      <c r="I16" s="109" t="str">
        <v>Input</v>
      </c>
      <c r="J16" s="113" t="str" cm="1">
        <f t="array" aca="1" ref="J16" ca="1">HYPERLINK(Common_InputFunctions.Utility_SourceHyperlink($D$21), $D$21)</f>
        <v>M1_Table_M_leach_cp</v>
      </c>
      <c r="K16" s="21"/>
    </row>
    <row r="17" spans="1:20" ht="20.100000000000001" customHeight="1" x14ac:dyDescent="0.25">
      <c r="A17" s="17" t="str">
        <f>HYPERLINK("#'6.3.1.1-2 Leaching and runoff'!A1", "6.3.1.1-2 Leaching and runoff")</f>
        <v>6.3.1.1-2 Leaching and runoff</v>
      </c>
      <c r="C17" s="21"/>
      <c r="D17" s="114" t="str">
        <v>c</v>
      </c>
      <c r="E17" s="118" t="str">
        <v>Crop residue type</v>
      </c>
      <c r="F17" s="119"/>
      <c r="G17" s="117"/>
      <c r="H17" s="114" t="str">
        <v/>
      </c>
      <c r="I17" s="109" t="str">
        <v>Input</v>
      </c>
      <c r="J17" s="114" t="s">
        <v>231</v>
      </c>
      <c r="K17" s="21"/>
    </row>
    <row r="18" spans="1:20" ht="20.100000000000001" customHeight="1" x14ac:dyDescent="0.25">
      <c r="A18" s="17" t="str">
        <f>HYPERLINK("#'6.3.1.1-2 Leach runoff crop'!A1", "6.3.1.1-2 Leach runoff crop")</f>
        <v>6.3.1.1-2 Leach runoff crop</v>
      </c>
      <c r="C18" s="21"/>
      <c r="D18" s="114" t="str">
        <v>p</v>
      </c>
      <c r="E18" s="118" t="str">
        <v>Pasture residue type</v>
      </c>
      <c r="F18" s="119"/>
      <c r="G18" s="117"/>
      <c r="H18" s="114" t="str">
        <v/>
      </c>
      <c r="I18" s="109" t="str">
        <v>Input</v>
      </c>
      <c r="J18" s="114" t="str">
        <f>X_Cell_Pasture_PastureType</f>
        <v>Grass clover mixture</v>
      </c>
      <c r="K18" s="21"/>
    </row>
    <row r="19" spans="1:20" ht="20.100000000000001" customHeight="1" x14ac:dyDescent="0.25">
      <c r="A19" s="127" t="str">
        <f>HYPERLINK("#'6.3.1.1-2 Leach runoff pasture'!A1", "6.3.1.1-2 Leach runoff pasture")</f>
        <v>6.3.1.1-2 Leach runoff pasture</v>
      </c>
      <c r="C19" s="21"/>
      <c r="D19" s="114" t="str">
        <v>ir</v>
      </c>
      <c r="E19" s="118" t="str">
        <v>Irrigation type</v>
      </c>
      <c r="F19" s="119"/>
      <c r="G19" s="117"/>
      <c r="H19" s="114" t="str">
        <v/>
      </c>
      <c r="I19" s="109" t="str">
        <v>Input</v>
      </c>
      <c r="J19" s="113" t="str" cm="1">
        <f t="array" aca="1" ref="J19" ca="1">HYPERLINK(Common_InputFunctions.Utility_SourceHyperlink($D$21), $D$21)</f>
        <v>M1_Table_M_leach_cp</v>
      </c>
      <c r="K19" s="21"/>
    </row>
    <row r="20" spans="1:20" ht="20.100000000000001" customHeight="1" x14ac:dyDescent="0.25">
      <c r="A20" s="17" t="str">
        <f>HYPERLINK("#'6.4.1.1-2 Residue burning'!A1", "6.4.1.1-2 Residue burning")</f>
        <v>6.4.1.1-2 Residue burning</v>
      </c>
      <c r="C20" s="21"/>
      <c r="D20" s="21"/>
      <c r="E20" s="21"/>
      <c r="F20" s="21"/>
      <c r="G20" s="21"/>
      <c r="H20" s="21"/>
      <c r="I20" s="21"/>
      <c r="J20" s="21"/>
      <c r="K20" s="21"/>
    </row>
    <row r="21" spans="1:20" ht="20.100000000000001" customHeight="1" x14ac:dyDescent="0.25">
      <c r="C21" s="21"/>
      <c r="D21" s="90" t="s">
        <v>203</v>
      </c>
      <c r="E21" s="21"/>
      <c r="F21" s="21"/>
      <c r="G21" s="21"/>
      <c r="H21" s="21"/>
      <c r="I21" s="21"/>
      <c r="J21" s="21"/>
      <c r="K21" s="21"/>
      <c r="N21" s="90" t="s">
        <v>228</v>
      </c>
      <c r="O21" s="21"/>
      <c r="P21" s="21"/>
      <c r="Q21" s="21"/>
      <c r="R21" s="21"/>
      <c r="S21" s="21"/>
    </row>
    <row r="22" spans="1:20" ht="20.100000000000001" customHeight="1" x14ac:dyDescent="0.25">
      <c r="C22" s="21"/>
      <c r="D22" s="89" t="s">
        <v>204</v>
      </c>
      <c r="E22" s="21"/>
      <c r="F22" s="21"/>
      <c r="G22" s="21"/>
      <c r="H22" s="21"/>
      <c r="I22" s="21"/>
      <c r="J22" s="21"/>
      <c r="K22" s="21"/>
      <c r="N22" s="89" t="s">
        <v>229</v>
      </c>
      <c r="O22" s="21"/>
      <c r="P22" s="21"/>
      <c r="Q22" s="21"/>
      <c r="R22" s="21"/>
      <c r="S22" s="21"/>
    </row>
    <row r="23" spans="1:20" ht="20.100000000000001" customHeight="1" x14ac:dyDescent="0.25">
      <c r="A23" s="141" t="s">
        <v>1</v>
      </c>
      <c r="C23" s="21"/>
      <c r="D23" s="107" t="s">
        <v>197</v>
      </c>
      <c r="E23" s="48" t="s">
        <v>199</v>
      </c>
      <c r="F23" s="107" t="s">
        <v>201</v>
      </c>
      <c r="G23" s="107" t="s">
        <v>6</v>
      </c>
      <c r="H23" s="48" t="s">
        <v>198</v>
      </c>
      <c r="I23" s="48" t="s">
        <v>200</v>
      </c>
      <c r="J23" s="21"/>
      <c r="K23" s="21"/>
      <c r="N23" s="107" t="s">
        <v>197</v>
      </c>
      <c r="O23" s="48" t="s">
        <v>199</v>
      </c>
      <c r="P23" s="107" t="s">
        <v>201</v>
      </c>
      <c r="Q23" s="107" t="s">
        <v>6</v>
      </c>
      <c r="R23" s="48" t="s">
        <v>198</v>
      </c>
      <c r="S23" s="48" t="s">
        <v>200</v>
      </c>
    </row>
    <row r="24" spans="1:20" ht="20.100000000000001" customHeight="1" x14ac:dyDescent="0.25">
      <c r="A24" s="17" t="str">
        <f>HYPERLINK("#'Constants - Ag Residue'!A1", "Constants - Ag Residue")</f>
        <v>Constants - Ag Residue</v>
      </c>
      <c r="D24" s="49" t="s">
        <v>195</v>
      </c>
      <c r="E24" s="49" t="s">
        <v>231</v>
      </c>
      <c r="F24" s="49" t="s">
        <v>231</v>
      </c>
      <c r="G24" s="49" t="s">
        <v>231</v>
      </c>
      <c r="H24" s="49" t="s">
        <v>231</v>
      </c>
      <c r="I24" s="49" t="s">
        <v>231</v>
      </c>
      <c r="N24" s="49"/>
      <c r="O24" s="49" t="s">
        <v>231</v>
      </c>
      <c r="P24" s="49"/>
      <c r="Q24" s="49"/>
      <c r="R24" s="49"/>
      <c r="S24" s="49" t="s">
        <v>231</v>
      </c>
    </row>
    <row r="25" spans="1:20" ht="20.100000000000001" customHeight="1" x14ac:dyDescent="0.25">
      <c r="A25" s="17" t="str">
        <f>HYPERLINK("#'Constants - Common'!A1", "Constants - Common")</f>
        <v>Constants - Common</v>
      </c>
      <c r="D25" s="49" t="s">
        <v>196</v>
      </c>
      <c r="E25" s="49">
        <f>'6.2.1.1-2 Pasture residue N2O'!$E$21</f>
        <v>7.4226E-2</v>
      </c>
      <c r="F25" s="49" t="str">
        <f>X_Cell_Pasture_IrrigationMethod</f>
        <v>Surface irrigation</v>
      </c>
      <c r="G25" s="49" t="str">
        <f>X_Cell_Site_LeachingZone</f>
        <v>NO - Not in leaching zone</v>
      </c>
      <c r="H25" s="49">
        <f>CommonCropping_InputFunctions.CommonCropping_GetFracWET(G25,F25,Table_SourceData_FracWET[Is in leaching zone],Table_SourceData_FracWET[FracWET], Table_SourceData_FracWETIrrigation[Irrigation type i],Table_SourceData_FracWETIrrigation[FracWET])</f>
        <v>1</v>
      </c>
      <c r="I25" s="49" cm="1">
        <f t="array" ref="I25">AgResidue_Equations_Leaching.VEERG_6_3_1_1__2__MassOfNitrogenLostThroughLeachingAndRunoff(E25,H25,$J$15)</f>
        <v>1.7814239999999999E-2</v>
      </c>
      <c r="N25" s="49"/>
      <c r="O25" s="49">
        <f>'6.2.1.1-2 Pasture residue N2O'!$O$21</f>
        <v>7.4226E-2</v>
      </c>
      <c r="P25" s="49"/>
      <c r="Q25" s="49"/>
      <c r="R25" s="49"/>
      <c r="S25" s="49" cm="1">
        <f t="array" ref="S25">AgResidue_Equations_Leaching.VEERG_6_3_1_1__2__MassOfNitrogenLostThroughLeachingAndRunoff(O25,H25,$J$15)</f>
        <v>1.7814239999999999E-2</v>
      </c>
    </row>
    <row r="26" spans="1:20" ht="20.100000000000001" customHeight="1" x14ac:dyDescent="0.25"/>
    <row r="27" spans="1:20" ht="20.100000000000001" customHeight="1" x14ac:dyDescent="0.25">
      <c r="C27" s="133"/>
      <c r="D27" s="133"/>
      <c r="E27" s="133"/>
      <c r="F27" s="133"/>
      <c r="G27" s="133"/>
      <c r="H27" s="133"/>
      <c r="I27" s="133"/>
      <c r="J27" s="133"/>
      <c r="K27" s="133"/>
      <c r="M27" s="133"/>
      <c r="N27" s="133"/>
      <c r="O27" s="133"/>
      <c r="P27" s="133"/>
      <c r="Q27" s="133"/>
      <c r="R27" s="133"/>
      <c r="S27" s="133"/>
      <c r="T27" s="133"/>
    </row>
    <row r="28" spans="1:20" ht="20.100000000000001" customHeight="1" x14ac:dyDescent="0.25">
      <c r="C28" s="21"/>
      <c r="D28" s="6" t="str" cm="1">
        <f t="array" ref="D28">AgResidue_Equations_Leaching.VEERG_6_3_1_1__1__LeachingAndRunoffEmissionsCropAndPastureResidue_Title()</f>
        <v>Nitrous oxide leaching and runoff emissions from crop and pasture residues returned to the soil</v>
      </c>
      <c r="E28" s="21"/>
      <c r="F28" s="137"/>
      <c r="G28" s="21"/>
      <c r="H28" s="21"/>
      <c r="I28" s="21"/>
      <c r="J28" s="21"/>
      <c r="K28" s="21"/>
    </row>
    <row r="29" spans="1:20" ht="20.100000000000001" customHeight="1" x14ac:dyDescent="0.25">
      <c r="C29" s="21"/>
      <c r="D29" s="5" t="str" cm="1">
        <f t="array" ref="D29">AgResidue_Equations_Leaching.VEERG_6_3_1_1__1__LeachingAndRunoffEmissionsCropAndPastureResidue_Source()</f>
        <v>VEERG 2026: 6.3.1.1, Equation (1)</v>
      </c>
      <c r="E29" s="21"/>
      <c r="F29" s="21"/>
      <c r="G29" s="21"/>
      <c r="H29" s="21"/>
      <c r="I29" s="21"/>
      <c r="J29" s="21"/>
      <c r="K29" s="21"/>
    </row>
    <row r="30" spans="1:20" ht="20.100000000000001" customHeight="1" x14ac:dyDescent="0.25">
      <c r="C30" s="21"/>
      <c r="D30" s="13" t="s">
        <v>21</v>
      </c>
      <c r="E30" s="13" t="str" cm="1">
        <f t="array" aca="1" ref="E30" ca="1">Common_InputFunctions.Utility_DisplayFunctionName(E46)</f>
        <v>=AgResidue_Equations_Leaching.VEERG_6_3_1_1__1__LeachingAndRunoffEmissionsCropAndPastureResidue</v>
      </c>
      <c r="F30" s="21"/>
      <c r="G30" s="21"/>
      <c r="H30" s="21"/>
      <c r="I30" s="21"/>
      <c r="J30" s="21"/>
      <c r="K30" s="21"/>
    </row>
    <row r="31" spans="1:20" ht="20.100000000000001" customHeight="1" x14ac:dyDescent="0.25">
      <c r="C31" s="21"/>
      <c r="D31" s="21"/>
      <c r="E31" s="21"/>
      <c r="F31" s="21"/>
      <c r="G31" s="21"/>
      <c r="H31" s="21"/>
      <c r="I31" s="21"/>
      <c r="J31" s="21"/>
      <c r="K31" s="21"/>
    </row>
    <row r="32" spans="1:20" ht="20.100000000000001" customHeight="1" x14ac:dyDescent="0.25">
      <c r="C32" s="21"/>
      <c r="D32" s="21"/>
      <c r="E32" s="21"/>
      <c r="F32" s="5"/>
      <c r="G32" s="21"/>
      <c r="H32" s="21"/>
      <c r="I32" s="21"/>
      <c r="J32" s="21"/>
      <c r="K32" s="21"/>
    </row>
    <row r="33" spans="3:17" ht="20.100000000000001" customHeight="1" x14ac:dyDescent="0.25">
      <c r="C33" s="21"/>
      <c r="D33" s="25" t="s">
        <v>24</v>
      </c>
      <c r="E33" s="21" t="str" cm="1">
        <f t="array" ref="E33">AgResidue_Equations_Leaching.VEERG_6_3_1_1__1__LeachingAndRunoffEmissionsCropAndPastureResidue_Variable()</f>
        <v>EN2O</v>
      </c>
      <c r="F33" s="21"/>
      <c r="G33" s="21"/>
      <c r="H33" s="21"/>
      <c r="I33" s="21"/>
      <c r="J33" s="21"/>
      <c r="K33" s="21"/>
    </row>
    <row r="34" spans="3:17" ht="20.100000000000001" customHeight="1" x14ac:dyDescent="0.25">
      <c r="C34" s="21"/>
      <c r="D34" s="25" t="s">
        <v>15</v>
      </c>
      <c r="E34" s="51" t="str" cm="1">
        <f t="array" ref="E34">AgResidue_Equations_Leaching.VEERG_6_3_1_1__1__LeachingAndRunoffEmissionsCropAndPastureResidue_Unit()</f>
        <v>t N2O</v>
      </c>
      <c r="F34" s="21"/>
      <c r="G34" s="21"/>
      <c r="H34" s="21"/>
      <c r="I34" s="21"/>
      <c r="J34" s="21"/>
      <c r="K34" s="21"/>
    </row>
    <row r="35" spans="3:17" ht="20.100000000000001" customHeight="1" x14ac:dyDescent="0.25">
      <c r="C35" s="21"/>
      <c r="D35" s="21"/>
      <c r="E35" s="21"/>
      <c r="F35" s="21"/>
      <c r="G35" s="21"/>
      <c r="H35" s="21"/>
      <c r="I35" s="21"/>
      <c r="J35" s="21"/>
      <c r="K35" s="21"/>
    </row>
    <row r="36" spans="3:17" ht="20.100000000000001" customHeight="1" x14ac:dyDescent="0.25">
      <c r="C36" s="21"/>
      <c r="D36" s="114" t="str" cm="1">
        <f t="array" ref="D36:E40">_xlfn.CHOOSECOLS(AgResidue_Equations_Leaching.VEERG_6_3_1_1__1__LeachingAndRunoffEmissionsCropAndPastureResidue_Arguments(),1,2)</f>
        <v>M_leachcp</v>
      </c>
      <c r="E36" s="118" t="str">
        <v>mass of nitrogen lost through leaching and runoff from the crop residue c or pasture residue p</v>
      </c>
      <c r="F36" s="119"/>
      <c r="G36" s="117"/>
      <c r="H36" s="114" t="str" cm="1">
        <f t="array" ref="H36:I40">_xlfn.CHOOSECOLS(AgResidue_Equations_Leaching.VEERG_6_3_1_1__1__LeachingAndRunoffEmissionsCropAndPastureResidue_Arguments(),3,4)</f>
        <v>kg N</v>
      </c>
      <c r="I36" s="108" t="str">
        <v>Calculated from 6.3.1.1 (2)</v>
      </c>
      <c r="J36" s="114" t="str" cm="1">
        <f t="array" aca="1" ref="J36" ca="1">HYPERLINK(Common_InputFunctions.Utility_SourceHyperlink($D$21), $D$21)</f>
        <v>M1_Table_M_leach_cp</v>
      </c>
      <c r="K36" s="21"/>
    </row>
    <row r="37" spans="3:17" ht="20.100000000000001" customHeight="1" x14ac:dyDescent="0.25">
      <c r="C37" s="21"/>
      <c r="D37" s="114" t="str">
        <v>EF_leach</v>
      </c>
      <c r="E37" s="118" t="str">
        <v>emission factor for leaching and runoff</v>
      </c>
      <c r="F37" s="119"/>
      <c r="G37" s="117"/>
      <c r="H37" s="114" t="str">
        <v>kg N2O-N/kg N</v>
      </c>
      <c r="I37" s="108" t="str">
        <v>Constant</v>
      </c>
      <c r="J37" s="114">
        <f>'Constants - Common'!$E$170</f>
        <v>1.0999999999999999E-2</v>
      </c>
      <c r="K37" s="21"/>
    </row>
    <row r="38" spans="3:17" ht="20.100000000000001" customHeight="1" x14ac:dyDescent="0.25">
      <c r="C38" s="21"/>
      <c r="D38" s="114" t="str">
        <v>C_N2O</v>
      </c>
      <c r="E38" s="118" t="str">
        <v>factor to convert elemental mass of nitrous oxide to molecular mass</v>
      </c>
      <c r="F38" s="119"/>
      <c r="G38" s="117"/>
      <c r="H38" s="114" t="str">
        <v>dimensionless</v>
      </c>
      <c r="I38" s="108" t="str">
        <v>Constant</v>
      </c>
      <c r="J38" s="114">
        <f>Common_InputFunctions.Utility_LookupValueInTableNumber("N2O",Table_GasToMolecularConversionFactor[Gas],Table_GasToMolecularConversionFactor[Conversion factor combined])</f>
        <v>1.5714285714285714</v>
      </c>
      <c r="K38" s="21"/>
    </row>
    <row r="39" spans="3:17" ht="20.100000000000001" customHeight="1" x14ac:dyDescent="0.25">
      <c r="C39" s="21"/>
      <c r="D39" s="114" t="str">
        <v>c</v>
      </c>
      <c r="E39" s="118" t="str">
        <v>Crop residue type</v>
      </c>
      <c r="F39" s="119"/>
      <c r="G39" s="117"/>
      <c r="H39" s="114" t="str">
        <v/>
      </c>
      <c r="I39" s="109" t="str">
        <v>Input</v>
      </c>
      <c r="J39" s="114" t="s">
        <v>231</v>
      </c>
      <c r="K39" s="21"/>
    </row>
    <row r="40" spans="3:17" ht="20.100000000000001" customHeight="1" x14ac:dyDescent="0.25">
      <c r="C40" s="21"/>
      <c r="D40" s="114" t="str">
        <v>p</v>
      </c>
      <c r="E40" s="118" t="str">
        <v>Pasture residue type</v>
      </c>
      <c r="F40" s="119"/>
      <c r="G40" s="117"/>
      <c r="H40" s="114" t="str">
        <v/>
      </c>
      <c r="I40" s="109" t="str">
        <v>Input</v>
      </c>
      <c r="J40" s="114" t="str">
        <f>X_Cell_Pasture_PastureType</f>
        <v>Grass clover mixture</v>
      </c>
      <c r="K40" s="21"/>
    </row>
    <row r="41" spans="3:17" ht="20.100000000000001" customHeight="1" x14ac:dyDescent="0.25">
      <c r="C41" s="21"/>
      <c r="D41" s="21"/>
      <c r="E41" s="21"/>
      <c r="F41" s="21"/>
      <c r="G41" s="21"/>
      <c r="H41" s="21"/>
      <c r="I41" s="21"/>
      <c r="J41" s="21"/>
      <c r="K41" s="21"/>
    </row>
    <row r="42" spans="3:17" ht="20.100000000000001" customHeight="1" x14ac:dyDescent="0.25">
      <c r="C42" s="21"/>
      <c r="D42" s="90" t="s">
        <v>205</v>
      </c>
      <c r="E42" s="21"/>
      <c r="F42" s="21"/>
      <c r="G42" s="21"/>
      <c r="H42" s="21"/>
      <c r="I42" s="21"/>
      <c r="J42" s="21"/>
      <c r="K42" s="21"/>
      <c r="N42" s="90" t="s">
        <v>205</v>
      </c>
      <c r="O42" s="21"/>
      <c r="P42" s="21"/>
      <c r="Q42" s="21"/>
    </row>
    <row r="43" spans="3:17" ht="20.100000000000001" customHeight="1" x14ac:dyDescent="0.25">
      <c r="C43" s="21"/>
      <c r="D43" s="89" t="s">
        <v>206</v>
      </c>
      <c r="E43" s="21"/>
      <c r="F43" s="21"/>
      <c r="G43" s="21"/>
      <c r="H43" s="21"/>
      <c r="I43" s="21"/>
      <c r="J43" s="21"/>
      <c r="K43" s="21"/>
      <c r="N43" s="89" t="s">
        <v>206</v>
      </c>
      <c r="O43" s="21"/>
      <c r="P43" s="21"/>
      <c r="Q43" s="21"/>
    </row>
    <row r="44" spans="3:17" ht="20.100000000000001" customHeight="1" x14ac:dyDescent="0.25">
      <c r="C44" s="21"/>
      <c r="D44" s="48" t="s">
        <v>200</v>
      </c>
      <c r="E44" s="48" t="s">
        <v>202</v>
      </c>
      <c r="F44" s="21"/>
      <c r="G44" s="21"/>
      <c r="H44" s="21"/>
      <c r="I44" s="21"/>
      <c r="J44" s="21"/>
      <c r="K44" s="21"/>
      <c r="N44" s="48" t="s">
        <v>200</v>
      </c>
      <c r="O44" s="48" t="s">
        <v>202</v>
      </c>
      <c r="P44" s="21"/>
      <c r="Q44" s="21"/>
    </row>
    <row r="45" spans="3:17" ht="20.100000000000001" customHeight="1" x14ac:dyDescent="0.25">
      <c r="C45" s="21"/>
      <c r="D45" s="49" t="str">
        <f>I24</f>
        <v>N/A</v>
      </c>
      <c r="E45" s="49" t="s">
        <v>231</v>
      </c>
      <c r="F45" s="21"/>
      <c r="G45" s="21"/>
      <c r="H45" s="21"/>
      <c r="I45" s="21"/>
      <c r="J45" s="21"/>
      <c r="K45" s="21"/>
      <c r="N45" s="49" t="str">
        <f>S24</f>
        <v>N/A</v>
      </c>
      <c r="O45" s="49" t="s">
        <v>231</v>
      </c>
      <c r="P45" s="21"/>
      <c r="Q45" s="21"/>
    </row>
    <row r="46" spans="3:17" ht="20.100000000000001" customHeight="1" x14ac:dyDescent="0.25">
      <c r="C46" s="21"/>
      <c r="D46" s="49">
        <f>I25</f>
        <v>1.7814239999999999E-2</v>
      </c>
      <c r="E46" s="49" cm="1">
        <f t="array" ref="E46">AgResidue_Equations_Leaching.VEERG_6_3_1_1__1__LeachingAndRunoffEmissionsCropAndPastureResidue(D46,$J$37,$J$38)</f>
        <v>3.0793186285714277E-7</v>
      </c>
      <c r="F46" s="21"/>
      <c r="G46" s="21"/>
      <c r="H46" s="21"/>
      <c r="I46" s="21"/>
      <c r="J46" s="21"/>
      <c r="K46" s="21"/>
      <c r="N46" s="49">
        <f>S25</f>
        <v>1.7814239999999999E-2</v>
      </c>
      <c r="O46" s="49" cm="1">
        <f t="array" ref="O46">AgResidue_Equations_Leaching.VEERG_6_3_1_1__1__LeachingAndRunoffEmissionsCropAndPastureResidue(N46,$J$37,$J$38)</f>
        <v>3.0793186285714277E-7</v>
      </c>
      <c r="P46" s="21"/>
      <c r="Q46" s="21"/>
    </row>
    <row r="47" spans="3:17" ht="20.100000000000001" customHeight="1" x14ac:dyDescent="0.25">
      <c r="C47" s="21"/>
      <c r="F47" s="21"/>
      <c r="G47" s="21"/>
      <c r="H47" s="21"/>
      <c r="I47" s="21"/>
      <c r="J47" s="21"/>
      <c r="K47" s="21"/>
      <c r="P47" s="21"/>
      <c r="Q47" s="21"/>
    </row>
    <row r="48" spans="3:17" ht="20.100000000000001" customHeight="1" x14ac:dyDescent="0.4">
      <c r="C48" s="21"/>
      <c r="D48" s="138" t="s">
        <v>194</v>
      </c>
      <c r="E48" s="139">
        <f>SUM(E45:E46)</f>
        <v>3.0793186285714277E-7</v>
      </c>
      <c r="F48" s="93" t="str">
        <f>$E$34</f>
        <v>t N2O</v>
      </c>
      <c r="G48" s="21"/>
      <c r="H48" s="21"/>
      <c r="I48" s="21"/>
      <c r="J48" s="21"/>
      <c r="K48" s="21"/>
      <c r="N48" s="138" t="s">
        <v>194</v>
      </c>
      <c r="O48" s="139">
        <f>SUM(O45:O46)</f>
        <v>3.0793186285714277E-7</v>
      </c>
      <c r="P48" s="93" t="str">
        <f>$E$34</f>
        <v>t N2O</v>
      </c>
      <c r="Q48" s="21"/>
    </row>
    <row r="49" spans="4:17" ht="20.100000000000001" customHeight="1" x14ac:dyDescent="0.25">
      <c r="D49" s="21"/>
      <c r="E49" s="21"/>
      <c r="F49" s="21"/>
      <c r="G49" s="21"/>
      <c r="N49" s="21"/>
      <c r="O49" s="21"/>
      <c r="P49" s="21"/>
      <c r="Q49" s="21"/>
    </row>
    <row r="50" spans="4:17" ht="20.100000000000001" customHeight="1" x14ac:dyDescent="0.25">
      <c r="D50" s="53" t="str" cm="1">
        <f t="array" ref="D50:E51">Common_Equations.Common_ConvertN2OToCO2e_Arguments()</f>
        <v>EN2O</v>
      </c>
      <c r="E50" s="54" t="str">
        <v>Nitrous oxide emissions (t N2O)</v>
      </c>
      <c r="F50" s="94"/>
      <c r="G50" s="49">
        <f>VEERG_6_3_1_1__1__LeachingAndRunoffEmissionsCropAndPastureResidue_PastureOnly_Result_Method1</f>
        <v>3.0793186285714277E-7</v>
      </c>
      <c r="N50" s="53" t="str" cm="1">
        <f t="array" ref="N50:O51">Common_Equations.Common_ConvertN2OToCO2e_Arguments()</f>
        <v>EN2O</v>
      </c>
      <c r="O50" s="54" t="str">
        <v>Nitrous oxide emissions (t N2O)</v>
      </c>
      <c r="P50" s="94"/>
      <c r="Q50" s="49">
        <f>VEERG_6_3_1_1__1__LeachingAndRunoffEmissionsCropAndPastureResidue_PastureOnly_Result_Method2</f>
        <v>3.0793186285714277E-7</v>
      </c>
    </row>
    <row r="51" spans="4:17" ht="20.100000000000001" customHeight="1" x14ac:dyDescent="0.25">
      <c r="D51" s="53" t="str">
        <v>GWPN2O</v>
      </c>
      <c r="E51" s="54" t="str">
        <v>Global warming potential for nitrous oxide (t CO2-e / t N2O)</v>
      </c>
      <c r="F51" s="94"/>
      <c r="G51" s="49">
        <f>Common_InputFunctions.Utility_LookupValueInTableNumber("N2O",Table_GWPData[Gas],Table_GWPData[CO2-e factor])</f>
        <v>265</v>
      </c>
      <c r="H51" s="21"/>
      <c r="I51" s="21"/>
      <c r="N51" s="53" t="str">
        <v>GWPN2O</v>
      </c>
      <c r="O51" s="54" t="str">
        <v>Global warming potential for nitrous oxide (t CO2-e / t N2O)</v>
      </c>
      <c r="P51" s="94"/>
      <c r="Q51" s="49">
        <f>Common_InputFunctions.Utility_LookupValueInTableNumber("N2O",Table_GWPData[Gas],Table_GWPData[CO2-e factor])</f>
        <v>265</v>
      </c>
    </row>
    <row r="52" spans="4:17" ht="20.100000000000001" customHeight="1" x14ac:dyDescent="0.25">
      <c r="H52" s="21"/>
      <c r="I52" s="21"/>
    </row>
    <row r="53" spans="4:17" ht="20.100000000000001" customHeight="1" x14ac:dyDescent="0.25">
      <c r="D53" s="43" t="s">
        <v>78</v>
      </c>
      <c r="E53" s="43" cm="1">
        <f t="array" ref="E53">Common_Equations.Common_ConvertN2OToCO2e(G50,G51)</f>
        <v>8.1601943657142831E-5</v>
      </c>
      <c r="F53" s="95" t="str" cm="1">
        <f t="array" ref="F53">Common_Equations.Common_ConvertN2OToCO2e_Unit()</f>
        <v>t CO2e</v>
      </c>
      <c r="I53" s="21"/>
      <c r="N53" s="43" t="s">
        <v>78</v>
      </c>
      <c r="O53" s="43" cm="1">
        <f t="array" ref="O53">Common_Equations.Common_ConvertN2OToCO2e(Q50,Q51)</f>
        <v>8.1601943657142831E-5</v>
      </c>
      <c r="P53" s="95" t="str" cm="1">
        <f t="array" ref="P53">Common_Equations.Common_ConvertN2OToCO2e_Unit()</f>
        <v>t CO2e</v>
      </c>
    </row>
    <row r="54" spans="4:17" ht="20.100000000000001" customHeight="1" x14ac:dyDescent="0.25">
      <c r="I54" s="21"/>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21"/>
      <c r="I60" s="21"/>
    </row>
    <row r="61" spans="4:17" ht="20.100000000000001" customHeight="1" x14ac:dyDescent="0.25">
      <c r="H61" s="21"/>
      <c r="I61" s="21"/>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S165"/>
  <sheetViews>
    <sheetView showGridLines="0" topLeftCell="A36" zoomScaleNormal="100" workbookViewId="0">
      <selection activeCell="F63" sqref="F63"/>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60" t="e" vm="1">
        <v>#VALUE!</v>
      </c>
      <c r="C1" s="8" t="s">
        <v>207</v>
      </c>
    </row>
    <row r="2" spans="1:19" s="9" customFormat="1" ht="20.100000000000001" customHeight="1" x14ac:dyDescent="0.25">
      <c r="A2"/>
    </row>
    <row r="3" spans="1:19" ht="20.100000000000001" customHeight="1" x14ac:dyDescent="0.25">
      <c r="A3" s="17" t="str">
        <f>HYPERLINK("#'Home'!A1", "Home")</f>
        <v>Home</v>
      </c>
      <c r="C3" s="4"/>
      <c r="D3" s="4" t="s">
        <v>79</v>
      </c>
      <c r="E3" s="4"/>
      <c r="F3" s="4"/>
      <c r="G3" s="4"/>
      <c r="H3" s="4"/>
      <c r="I3" s="4"/>
      <c r="J3" s="4"/>
      <c r="L3" s="4"/>
      <c r="M3" s="4" t="s">
        <v>80</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AgResidue_Equations_FieldBurning.VEERG_6_4_1_1__3__MassOfCropResidueBurnt_Title()</f>
        <v>Mass of residue of crop c burnt</v>
      </c>
    </row>
    <row r="6" spans="1:19" ht="20.100000000000001" customHeight="1" x14ac:dyDescent="0.25">
      <c r="D6" s="5" t="str" cm="1">
        <f t="array" ref="D6">AgResidue_Equations_FieldBurning.VEERG_6_4_1_1__3__MassOfCropResidueBurnt_Source()</f>
        <v>VEERG 2026: 6.4.1.1, Equation (3)</v>
      </c>
    </row>
    <row r="7" spans="1:19" ht="20.100000000000001" customHeight="1" x14ac:dyDescent="0.25">
      <c r="D7" s="13" t="s">
        <v>21</v>
      </c>
      <c r="E7" s="13" t="str" cm="1">
        <f t="array" aca="1" ref="E7" ca="1">Common_InputFunctions.Utility_DisplayFunctionName(E21)</f>
        <v>=AgResidue_Equations_FieldBurning.VEERG_6_4_1_1__3__MassOfCropResidueBurnt</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Crop'!A1", "Crop")</f>
        <v>Crop</v>
      </c>
      <c r="D10" s="50" t="s">
        <v>24</v>
      </c>
      <c r="E10" s="1" t="str" cm="1">
        <f t="array" ref="E10">AgResidue_Equations_FieldBurning.VEERG_6_4_1_1__3__MassOfCropResidueBurnt_Variable()</f>
        <v>M_burnc</v>
      </c>
    </row>
    <row r="11" spans="1:19" ht="20.100000000000001" customHeight="1" x14ac:dyDescent="0.25">
      <c r="A11" s="17" t="str">
        <f>HYPERLINK("#'Input - Pasture'!A1", "Pasture")</f>
        <v>Pasture</v>
      </c>
      <c r="D11" s="50" t="s">
        <v>15</v>
      </c>
      <c r="E11" s="51" t="str" cm="1">
        <f t="array" ref="E11">AgResidue_Equations_FieldBurning.VEERG_6_4_1_1__3__MassOfCropResidueBurnt_Unit()</f>
        <v>kg</v>
      </c>
    </row>
    <row r="12" spans="1:19" ht="20.100000000000001" customHeight="1" x14ac:dyDescent="0.25"/>
    <row r="13" spans="1:19" ht="20.100000000000001" customHeight="1" x14ac:dyDescent="0.25">
      <c r="D13" s="114" t="str" cm="1">
        <f t="array" ref="D13:E19">_xlfn.CHOOSECOLS(AgResidue_Equations_FieldBurning.VEERG_6_4_1_1__3__MassOfCropResidueBurnt_Arguments(), 1, 2)</f>
        <v>P_c</v>
      </c>
      <c r="E13" s="118" t="str">
        <v>annual production of crop type c</v>
      </c>
      <c r="F13" s="117"/>
      <c r="G13" s="114" t="str" cm="1">
        <f t="array" ref="G13:H19">_xlfn.CHOOSECOLS(AgResidue_Equations_FieldBurning.VEERG_6_4_1_1__3__MassOfCropResidueBurnt_Arguments(), 3,4)</f>
        <v>kg</v>
      </c>
      <c r="H13" s="109" t="str">
        <v>Input</v>
      </c>
      <c r="I13" s="114">
        <f>X_Cell_Crop_TotalProductionOfCrop*10^3</f>
        <v>10000000</v>
      </c>
    </row>
    <row r="14" spans="1:19" ht="20.100000000000001" customHeight="1" x14ac:dyDescent="0.25">
      <c r="A14" s="18" t="s">
        <v>68</v>
      </c>
      <c r="D14" s="114" t="str">
        <v>R_AGc</v>
      </c>
      <c r="E14" s="118" t="str">
        <v>residue to crop ratio of crop type c</v>
      </c>
      <c r="F14" s="117"/>
      <c r="G14" s="114" t="str">
        <v>kg crop residue/kg crop</v>
      </c>
      <c r="H14" s="108" t="str">
        <v>Constant</v>
      </c>
      <c r="I14" s="114">
        <f>'Input - Crop'!$E$18</f>
        <v>1.5</v>
      </c>
    </row>
    <row r="15" spans="1:19" ht="20.100000000000001" customHeight="1" x14ac:dyDescent="0.25">
      <c r="A15" s="17" t="str">
        <f>HYPERLINK("#'6.1.1.1-2 Crop residue N2O'!A1", "6.1.1.1-2 Crop residue N2O")</f>
        <v>6.1.1.1-2 Crop residue N2O</v>
      </c>
      <c r="D15" s="114" t="str">
        <v>S_c</v>
      </c>
      <c r="E15" s="118" t="str">
        <v>fraction of residues of crop type c remaining at burning</v>
      </c>
      <c r="F15" s="117"/>
      <c r="G15" s="114" t="str">
        <v>fraction</v>
      </c>
      <c r="H15" s="108" t="str">
        <v>Constant</v>
      </c>
      <c r="I15" s="114" cm="1">
        <f t="array" ref="I15">Common_InputFunctions.Utility_LookupValueInTableNumber($I$19,Table_SourceData_CropAttributes[Crop type],Table_SourceData_CropAttributes[Fraction of residue remaining at time of burning (b)])</f>
        <v>0.5</v>
      </c>
    </row>
    <row r="16" spans="1:19" ht="20.100000000000001" customHeight="1" x14ac:dyDescent="0.25">
      <c r="A16" s="17" t="str">
        <f>HYPERLINK("#'6.2.1.1-2 Pasture residue N2O'!A1", "6.2.1.1-2 Pasture residue N2O")</f>
        <v>6.2.1.1-2 Pasture residue N2O</v>
      </c>
      <c r="D16" s="114" t="str">
        <v>DM_c</v>
      </c>
      <c r="E16" s="118" t="str">
        <v>dry matter content of crop type c</v>
      </c>
      <c r="F16" s="117"/>
      <c r="G16" s="114" t="str">
        <v>kg dry weight/kg crop residue</v>
      </c>
      <c r="H16" s="108" t="str">
        <v>Constant</v>
      </c>
      <c r="I16" s="114" cm="1">
        <f t="array" ref="I16">Common_InputFunctions.Utility_LookupValueInTableNumber($I$19,Table_SourceData_CropAttributes[Crop type],Table_SourceData_CropAttributes[Dry matter content])</f>
        <v>0.88</v>
      </c>
    </row>
    <row r="17" spans="1:10" ht="20.100000000000001" customHeight="1" x14ac:dyDescent="0.25">
      <c r="A17" s="17" t="str">
        <f>HYPERLINK("#'6.3.1.1-2 Leaching and runoff'!A1", "6.3.1.1-2 Leaching and runoff")</f>
        <v>6.3.1.1-2 Leaching and runoff</v>
      </c>
      <c r="D17" s="114" t="str">
        <v>Z_c</v>
      </c>
      <c r="E17" s="118" t="str">
        <v>burning efficiency (ratio of fuel burnt to fuel load) of crop type c</v>
      </c>
      <c r="F17" s="117"/>
      <c r="G17" s="114" t="str">
        <v/>
      </c>
      <c r="H17" s="108" t="str">
        <v>Constant</v>
      </c>
      <c r="I17" s="114" cm="1">
        <f t="array" ref="I17">Common_InputFunctions.Utility_LookupValueInTableNumber($I$19,Table_SourceData_CropAttributes[Crop type],Table_SourceData_CropAttributes[Fraction burnt])</f>
        <v>0.9</v>
      </c>
    </row>
    <row r="18" spans="1:10" ht="20.100000000000001" customHeight="1" x14ac:dyDescent="0.25">
      <c r="A18" s="17" t="str">
        <f>HYPERLINK("#'6.3.1.1-2 Leach runoff crop'!A1", "6.3.1.1-2 Leach runoff crop")</f>
        <v>6.3.1.1-2 Leach runoff crop</v>
      </c>
      <c r="D18" s="114" t="str">
        <v>F_c</v>
      </c>
      <c r="E18" s="118" t="str">
        <v>fraction of the annual production of crop type c that is burnt</v>
      </c>
      <c r="F18" s="117"/>
      <c r="G18" s="114" t="str">
        <v>fraction</v>
      </c>
      <c r="H18" s="108" t="str">
        <v>Constant</v>
      </c>
      <c r="I18" s="114">
        <f>X_Cell_Crop_PercentResidueBurned</f>
        <v>0.3</v>
      </c>
    </row>
    <row r="19" spans="1:10" ht="20.100000000000001" customHeight="1" x14ac:dyDescent="0.25">
      <c r="A19" s="17" t="str">
        <f>HYPERLINK("#'6.3.1.1-2 Leach runoff pasture'!A1", "6.3.1.1-2 Leach runoff pasture")</f>
        <v>6.3.1.1-2 Leach runoff pasture</v>
      </c>
      <c r="D19" s="114" t="str">
        <v>c</v>
      </c>
      <c r="E19" s="118" t="str">
        <v>Crop type</v>
      </c>
      <c r="F19" s="117"/>
      <c r="G19" s="114" t="str">
        <v/>
      </c>
      <c r="H19" s="109" t="str">
        <v>Input</v>
      </c>
      <c r="I19" s="114" t="str">
        <f>X_Cell_Crop_CropType</f>
        <v>Wheat</v>
      </c>
    </row>
    <row r="20" spans="1:10" ht="20.100000000000001" customHeight="1" x14ac:dyDescent="0.25">
      <c r="A20" s="127" t="str">
        <f>HYPERLINK("#'6.4.1.1-2 Residue burning'!A1", "6.4.1.1-2 Residue burning")</f>
        <v>6.4.1.1-2 Residue burning</v>
      </c>
    </row>
    <row r="21" spans="1:10" ht="20.100000000000001" customHeight="1" x14ac:dyDescent="0.25">
      <c r="D21" s="115" t="s">
        <v>208</v>
      </c>
      <c r="E21" s="43" cm="1">
        <f t="array" ref="E21">AgResidue_Equations_FieldBurning.VEERG_6_4_1_1__3__MassOfCropResidueBurnt(I13,I14,I15,I16,I17,I18)</f>
        <v>1782000</v>
      </c>
      <c r="F21" s="95" t="str" cm="1">
        <f t="array" ref="F21">AgResidue_Equations_FieldBurning.VEERG_6_4_1_1__3__MassOfCropResidueBurnt_Unit()</f>
        <v>kg</v>
      </c>
    </row>
    <row r="22" spans="1:10" ht="20.100000000000001" customHeight="1" x14ac:dyDescent="0.25"/>
    <row r="23" spans="1:10" ht="20.100000000000001" customHeight="1" x14ac:dyDescent="0.25">
      <c r="A23" s="141" t="s">
        <v>1</v>
      </c>
    </row>
    <row r="24" spans="1:10" ht="20.100000000000001" customHeight="1" x14ac:dyDescent="0.25">
      <c r="A24" s="17" t="str">
        <f>HYPERLINK("#'Constants - Ag Residue'!A1", "Constants - Ag Residue")</f>
        <v>Constants - Ag Residue</v>
      </c>
      <c r="C24" s="43"/>
      <c r="D24" s="43"/>
      <c r="E24" s="43"/>
      <c r="F24" s="43"/>
      <c r="G24" s="43"/>
      <c r="H24" s="43"/>
      <c r="I24" s="43"/>
      <c r="J24" s="43"/>
    </row>
    <row r="25" spans="1:10" ht="20.100000000000001" customHeight="1" x14ac:dyDescent="0.25">
      <c r="A25" s="17" t="str">
        <f>HYPERLINK("#'Constants - Common'!A1", "Constants - Common")</f>
        <v>Constants - Common</v>
      </c>
      <c r="D25" s="6" t="str" cm="1">
        <f t="array" ref="D25">AgResidue_Equations_FieldBurning.VEERG_6_4_1_1__2__NitrousOxideEmissionsFromBurningOfCropResidues_Title()</f>
        <v>Nitrous oxide emissions from the burning of crop residues</v>
      </c>
    </row>
    <row r="26" spans="1:10" ht="20.100000000000001" customHeight="1" x14ac:dyDescent="0.25">
      <c r="D26" s="5" t="str" cm="1">
        <f t="array" ref="D26">AgResidue_Equations_FieldBurning.VEERG_6_4_1_1__2__NitrousOxideEmissionsFromBurningOfCropResidues_Source()</f>
        <v>VEERG 2026: 6.4.1.1, Equation (2)</v>
      </c>
    </row>
    <row r="27" spans="1:10" ht="20.100000000000001" customHeight="1" x14ac:dyDescent="0.25">
      <c r="D27" s="13" t="s">
        <v>21</v>
      </c>
      <c r="E27" s="13" t="str">
        <f ca="1">Common_InputFunctions.Utility_DisplayFunctionName(VEERG_6_4_1_1__2__NitrousOxideEmissionsFromBurningOfCropResidues_Result_Method1)</f>
        <v>=AgResidue_Equations_FieldBurning.VEERG_6_4_1_1__2__NitrousOxideEmissionsFromBurningOfCropResidues</v>
      </c>
    </row>
    <row r="28" spans="1:10" ht="20.100000000000001" customHeight="1" x14ac:dyDescent="0.25"/>
    <row r="29" spans="1:10" ht="20.100000000000001" customHeight="1" x14ac:dyDescent="0.25"/>
    <row r="30" spans="1:10" ht="20.100000000000001" customHeight="1" x14ac:dyDescent="0.25">
      <c r="D30" s="50" t="s">
        <v>24</v>
      </c>
      <c r="E30" s="1" t="str" cm="1">
        <f t="array" ref="E30">AgResidue_Equations_FieldBurning.VEERG_6_4_1_1__2__NitrousOxideEmissionsFromBurningOfCropResidues_Variable()</f>
        <v>EN2O</v>
      </c>
    </row>
    <row r="31" spans="1:10" ht="20.100000000000001" customHeight="1" x14ac:dyDescent="0.25">
      <c r="D31" s="50" t="s">
        <v>15</v>
      </c>
      <c r="E31" s="51" t="str" cm="1">
        <f t="array" ref="E31">AgResidue_Equations_FieldBurning.VEERG_6_4_1_1__2__NitrousOxideEmissionsFromBurningOfCropResidues_Unit()</f>
        <v>t N2O</v>
      </c>
    </row>
    <row r="32" spans="1:10" ht="20.100000000000001" customHeight="1" x14ac:dyDescent="0.25"/>
    <row r="33" spans="3:10" ht="20.100000000000001" customHeight="1" x14ac:dyDescent="0.25">
      <c r="D33" s="114" t="str" cm="1">
        <f t="array" ref="D33:E37">_xlfn.CHOOSECOLS(AgResidue_Equations_FieldBurning.VEERG_6_4_1_1__2__NitrousOxideEmissionsFromBurningOfCropResidues_Arguments(), 1, 2)</f>
        <v>M_burnc</v>
      </c>
      <c r="E33" s="118" t="str">
        <v>mass of residue burnt for crop type c</v>
      </c>
      <c r="F33" s="117"/>
      <c r="G33" s="114" t="str" cm="1">
        <f t="array" ref="G33:H37">_xlfn.CHOOSECOLS(AgResidue_Equations_FieldBurning.VEERG_6_4_1_1__2__NitrousOxideEmissionsFromBurningOfCropResidues_Arguments(), 3,4)</f>
        <v>kg</v>
      </c>
      <c r="H33" s="108" t="str">
        <v>Calculated from 6.4.1.1 (3)</v>
      </c>
      <c r="I33" s="114">
        <f>$E$21</f>
        <v>1782000</v>
      </c>
    </row>
    <row r="34" spans="3:10" ht="20.100000000000001" customHeight="1" x14ac:dyDescent="0.25">
      <c r="D34" s="114" t="str">
        <v>NC_AGc</v>
      </c>
      <c r="E34" s="118" t="str">
        <v>nitrogen content in the above-ground residue of crop type c</v>
      </c>
      <c r="F34" s="117"/>
      <c r="G34" s="114" t="str">
        <v>kg N/kg DM</v>
      </c>
      <c r="H34" s="108" t="str">
        <v>Constant</v>
      </c>
      <c r="I34" s="114" cm="1">
        <f t="array" ref="I34">Common_InputFunctions.Utility_LookupValueInTableNumber($I$37,Table_SourceData_CropAttributes[Crop type],Table_SourceData_CropAttributes[N content above-ground])</f>
        <v>6.0000000000000001E-3</v>
      </c>
    </row>
    <row r="35" spans="3:10" ht="20.100000000000001" customHeight="1" x14ac:dyDescent="0.25">
      <c r="D35" s="114" t="str">
        <v>EF_N2O</v>
      </c>
      <c r="E35" s="118" t="str">
        <v>emission factor for nitrous oxide from burning of crop residues</v>
      </c>
      <c r="F35" s="117"/>
      <c r="G35" s="114" t="str">
        <v>kg N2O/kg N2O burnt</v>
      </c>
      <c r="H35" s="108" t="str">
        <v>Constant</v>
      </c>
      <c r="I35" s="114" cm="1">
        <f t="array" ref="I35">Common_InputFunctions.Utility_LookupValueInTableNumber("N2O", Table_SourceData_BurningResidueEFs[Gas species],Table_SourceData_BurningResidueEFs[Emission factor EFg (Gg element in species/ Gg element in fuel burnt)])</f>
        <v>7.6E-3</v>
      </c>
    </row>
    <row r="36" spans="3:10" ht="20.100000000000001" customHeight="1" x14ac:dyDescent="0.25">
      <c r="D36" s="114" t="str">
        <v>C_N2O</v>
      </c>
      <c r="E36" s="118" t="str">
        <v>factor to convert elemental mass of nitrous oxide to molecular mass</v>
      </c>
      <c r="F36" s="117"/>
      <c r="G36" s="114" t="str">
        <v>dimensionless</v>
      </c>
      <c r="H36" s="108" t="str">
        <v>Constant</v>
      </c>
      <c r="I36" s="114">
        <f>Common_InputFunctions.Utility_LookupValueInTableNumber("N2O",Table_GasToMolecularConversionFactor[Gas],Table_GasToMolecularConversionFactor[Conversion factor combined])</f>
        <v>1.5714285714285714</v>
      </c>
    </row>
    <row r="37" spans="3:10" ht="20.100000000000001" customHeight="1" x14ac:dyDescent="0.25">
      <c r="D37" s="114" t="str">
        <v>c</v>
      </c>
      <c r="E37" s="118" t="str">
        <v>Crop type</v>
      </c>
      <c r="F37" s="117"/>
      <c r="G37" s="114" t="str">
        <v/>
      </c>
      <c r="H37" s="109" t="str">
        <v>Input</v>
      </c>
      <c r="I37" s="114" t="str">
        <f>X_Cell_Crop_CropType</f>
        <v>Wheat</v>
      </c>
    </row>
    <row r="38" spans="3:10" ht="20.100000000000001" customHeight="1" x14ac:dyDescent="0.25"/>
    <row r="39" spans="3:10" ht="20.100000000000001" customHeight="1" x14ac:dyDescent="0.25">
      <c r="D39" s="91" t="s">
        <v>108</v>
      </c>
      <c r="E39" s="92" cm="1">
        <f t="array" ref="E39">AgResidue_Equations_FieldBurning.VEERG_6_4_1_1__2__NitrousOxideEmissionsFromBurningOfCropResidues(I33,I34,I35,I36)</f>
        <v>0.12769302857142856</v>
      </c>
      <c r="F39" s="93" t="str" cm="1">
        <f t="array" ref="F39">AgResidue_Equations_FieldBurning.VEERG_6_4_1_1__2__NitrousOxideEmissionsFromBurningOfCropResidues_Unit()</f>
        <v>t N2O</v>
      </c>
    </row>
    <row r="40" spans="3:10" ht="20.100000000000001" customHeight="1" x14ac:dyDescent="0.25"/>
    <row r="41" spans="3:10" ht="20.100000000000001" customHeight="1" x14ac:dyDescent="0.25">
      <c r="D41" s="53" t="str" cm="1">
        <f t="array" ref="D41:E42">Common_Equations.Common_ConvertN2OToCO2e_Arguments()</f>
        <v>EN2O</v>
      </c>
      <c r="E41" s="54" t="str">
        <v>Nitrous oxide emissions (t N2O)</v>
      </c>
      <c r="F41" s="94"/>
      <c r="G41" s="136"/>
      <c r="H41" s="49">
        <f>VEERG_6_4_1_1__2__NitrousOxideEmissionsFromBurningOfCropResidues_Result_Method1</f>
        <v>0.12769302857142856</v>
      </c>
    </row>
    <row r="42" spans="3:10" ht="20.100000000000001" customHeight="1" x14ac:dyDescent="0.25">
      <c r="D42" s="53" t="str">
        <v>GWPN2O</v>
      </c>
      <c r="E42" s="54" t="str">
        <v>Global warming potential for nitrous oxide (t CO2-e / t N2O)</v>
      </c>
      <c r="F42" s="94"/>
      <c r="G42" s="136"/>
      <c r="H42" s="49">
        <f>Common_InputFunctions.Utility_LookupValueInTableNumber("N2O",Table_GWPData[Gas],Table_GWPData[CO2-e factor])</f>
        <v>265</v>
      </c>
    </row>
    <row r="43" spans="3:10" ht="20.100000000000001" customHeight="1" x14ac:dyDescent="0.25">
      <c r="H43" s="21"/>
    </row>
    <row r="44" spans="3:10" ht="20.100000000000001" customHeight="1" x14ac:dyDescent="0.25">
      <c r="D44" s="43" t="s">
        <v>78</v>
      </c>
      <c r="E44" s="43" cm="1">
        <f t="array" ref="E44">Common_Equations.Common_ConvertN2OToCO2e(H41,H42)</f>
        <v>33.838652571428568</v>
      </c>
      <c r="F44" s="95" t="str" cm="1">
        <f t="array" ref="F44">Common_Equations.Common_ConvertN2OToCO2e_Unit()</f>
        <v>t CO2e</v>
      </c>
      <c r="H44" s="21"/>
    </row>
    <row r="45" spans="3:10" ht="20.100000000000001" customHeight="1" x14ac:dyDescent="0.25"/>
    <row r="46" spans="3:10" ht="20.100000000000001" customHeight="1" x14ac:dyDescent="0.25"/>
    <row r="47" spans="3:10" ht="20.100000000000001" customHeight="1" x14ac:dyDescent="0.25">
      <c r="C47" s="43"/>
      <c r="D47" s="43"/>
      <c r="E47" s="43"/>
      <c r="F47" s="43"/>
      <c r="G47" s="43"/>
      <c r="H47" s="43"/>
      <c r="I47" s="43"/>
      <c r="J47" s="43"/>
    </row>
    <row r="48" spans="3:10" ht="20.100000000000001" customHeight="1" x14ac:dyDescent="0.25">
      <c r="D48" s="6" t="str" cm="1">
        <f t="array" ref="D48">AgResidue_Equations_FieldBurning.VEERG_6_4_1_1__1__MethaneEmissionsFromBurningOfCropResidues_Title()</f>
        <v>Methane emissions from the burning of crop residues</v>
      </c>
    </row>
    <row r="49" spans="4:9" ht="20.100000000000001" customHeight="1" x14ac:dyDescent="0.25">
      <c r="D49" s="5" t="str" cm="1">
        <f t="array" ref="D49">AgResidue_Equations_FieldBurning.VEERG_6_4_1_1__1__MethaneEmissionsFromBurningOfCropResidues_Source()</f>
        <v>VEERG 2026: 6.4.1.1, Equation (1)</v>
      </c>
    </row>
    <row r="50" spans="4:9" ht="20.100000000000001" customHeight="1" x14ac:dyDescent="0.25">
      <c r="D50" s="13" t="s">
        <v>21</v>
      </c>
      <c r="E50" s="13" t="str">
        <f ca="1">Common_InputFunctions.Utility_DisplayFunctionName(VEERG_6_4_1_1__1__MethaneEmissionsFromBurningOfCropResidues_Result_Method1)</f>
        <v>=AgResidue_Equations_FieldBurning.VEERG_6_4_1_1__1__MethaneEmissionsFromBurningOfCropResidues</v>
      </c>
    </row>
    <row r="51" spans="4:9" ht="20.100000000000001" customHeight="1" x14ac:dyDescent="0.25"/>
    <row r="52" spans="4:9" ht="20.100000000000001" customHeight="1" x14ac:dyDescent="0.25"/>
    <row r="53" spans="4:9" ht="20.100000000000001" customHeight="1" x14ac:dyDescent="0.25">
      <c r="D53" s="50" t="s">
        <v>24</v>
      </c>
      <c r="E53" s="1" t="str" cm="1">
        <f t="array" ref="E53">AgResidue_Equations_FieldBurning.VEERG_6_4_1_1__1__MethaneEmissionsFromBurningOfCropResidues_Variable()</f>
        <v>ECH4</v>
      </c>
      <c r="F53" s="5"/>
    </row>
    <row r="54" spans="4:9" ht="20.100000000000001" customHeight="1" x14ac:dyDescent="0.25">
      <c r="D54" s="50" t="s">
        <v>15</v>
      </c>
      <c r="E54" s="51" t="str" cm="1">
        <f t="array" ref="E54">AgResidue_Equations_FieldBurning.VEERG_6_4_1_1__1__MethaneEmissionsFromBurningOfCropResidues_Unit()</f>
        <v>t CH4</v>
      </c>
    </row>
    <row r="55" spans="4:9" ht="20.100000000000001" customHeight="1" x14ac:dyDescent="0.25"/>
    <row r="56" spans="4:9" ht="20.100000000000001" customHeight="1" x14ac:dyDescent="0.25">
      <c r="D56" s="114" t="str" cm="1">
        <f t="array" ref="D56:E60">_xlfn.CHOOSECOLS(AgResidue_Equations_FieldBurning.VEERG_6_4_1_1__1__MethaneEmissionsFromBurningOfCropResidues_Arguments(), 1,2)</f>
        <v>M_burnc</v>
      </c>
      <c r="E56" s="118" t="str">
        <v>mass of residue burnt for crop type c</v>
      </c>
      <c r="F56" s="117"/>
      <c r="G56" s="114" t="str" cm="1">
        <f t="array" ref="G56:H60">_xlfn.CHOOSECOLS(AgResidue_Equations_FieldBurning.VEERG_6_4_1_1__1__MethaneEmissionsFromBurningOfCropResidues_Arguments(), 3,4)</f>
        <v>kg</v>
      </c>
      <c r="H56" s="108" t="str">
        <v>Calculated from 6.4.1.1 (3)</v>
      </c>
      <c r="I56" s="114">
        <f>$E$21</f>
        <v>1782000</v>
      </c>
    </row>
    <row r="57" spans="4:9" ht="20.100000000000001" customHeight="1" x14ac:dyDescent="0.25">
      <c r="D57" s="114" t="str">
        <v>CC_c</v>
      </c>
      <c r="E57" s="118" t="str">
        <v>carbon mass fraction in the residues of crop type c</v>
      </c>
      <c r="F57" s="117"/>
      <c r="G57" s="114" t="str">
        <v>fraction</v>
      </c>
      <c r="H57" s="108" t="str">
        <v>Constant</v>
      </c>
      <c r="I57" s="114" cm="1">
        <f t="array" ref="I57">Common_InputFunctions.Utility_LookupValueInTableNumber($I$60,Table_SourceData_CropAttributes[Crop type],Table_SourceData_CropAttributes[Carbon fraction in dry matter])</f>
        <v>0.4</v>
      </c>
    </row>
    <row r="58" spans="4:9" ht="20.100000000000001" customHeight="1" x14ac:dyDescent="0.25">
      <c r="D58" s="114" t="str">
        <v>EF_CH4</v>
      </c>
      <c r="E58" s="118" t="str">
        <v>emission factor for methane from burning of crop residues</v>
      </c>
      <c r="F58" s="117"/>
      <c r="G58" s="114" t="str">
        <v>kg CH4 / kg CH4 burnt</v>
      </c>
      <c r="H58" s="108" t="str">
        <v>Constant</v>
      </c>
      <c r="I58" s="114" cm="1">
        <f t="array" ref="I58">Common_InputFunctions.Utility_LookupValueInTableNumber("CH4", Table_SourceData_BurningResidueEFs[Gas species],Table_SourceData_BurningResidueEFs[Emission factor EFg (Gg element in species/ Gg element in fuel burnt)])</f>
        <v>3.5000000000000001E-3</v>
      </c>
    </row>
    <row r="59" spans="4:9" ht="20.100000000000001" customHeight="1" x14ac:dyDescent="0.25">
      <c r="D59" s="114" t="str">
        <v>C_CH4</v>
      </c>
      <c r="E59" s="118" t="str">
        <v>factor to convert elemental mass of methane to molecular mass</v>
      </c>
      <c r="F59" s="117"/>
      <c r="G59" s="114" t="str">
        <v>dimensionless</v>
      </c>
      <c r="H59" s="108" t="str">
        <v>Constant</v>
      </c>
      <c r="I59" s="114">
        <f>Common_InputFunctions.Utility_LookupValueInTableNumber("CH4",Table_GasToMolecularConversionFactor[Gas],Table_GasToMolecularConversionFactor[Conversion factor combined])</f>
        <v>1.3333333333333333</v>
      </c>
    </row>
    <row r="60" spans="4:9" ht="20.100000000000001" customHeight="1" x14ac:dyDescent="0.25">
      <c r="D60" s="114" t="str">
        <v>c</v>
      </c>
      <c r="E60" s="118" t="str">
        <v>Crop type</v>
      </c>
      <c r="F60" s="117"/>
      <c r="G60" s="114" t="str">
        <v/>
      </c>
      <c r="H60" s="109" t="str">
        <v>Input</v>
      </c>
      <c r="I60" s="114" t="str">
        <f>X_Cell_Crop_CropType</f>
        <v>Wheat</v>
      </c>
    </row>
    <row r="61" spans="4:9" ht="20.100000000000001" customHeight="1" x14ac:dyDescent="0.25"/>
    <row r="62" spans="4:9" ht="20.100000000000001" customHeight="1" x14ac:dyDescent="0.25">
      <c r="D62" s="91" t="s">
        <v>233</v>
      </c>
      <c r="E62" s="92" cm="1">
        <f t="array" ref="E62">AgResidue_Equations_FieldBurning.VEERG_6_4_1_1__1__MethaneEmissionsFromBurningOfCropResidues(I56,I57,I58,I59)</f>
        <v>3.3264</v>
      </c>
      <c r="F62" s="93" t="str">
        <f>E54</f>
        <v>t CH4</v>
      </c>
    </row>
    <row r="63" spans="4:9" ht="20.100000000000001" customHeight="1" x14ac:dyDescent="0.25"/>
    <row r="64" spans="4:9" ht="20.100000000000001" customHeight="1" x14ac:dyDescent="0.25">
      <c r="D64" s="53" t="str" cm="1">
        <f t="array" ref="D64:E65">Common_Equations.Common_ConvertCH4ToCO2e_Arguments()</f>
        <v>ECH4</v>
      </c>
      <c r="E64" s="54" t="str">
        <v>Methane emissions (t CH4)</v>
      </c>
      <c r="F64" s="94"/>
      <c r="G64" s="136"/>
      <c r="H64" s="49">
        <f>VEERG_6_4_1_1__1__MethaneEmissionsFromBurningOfCropResidues_Result_Method1</f>
        <v>3.3264</v>
      </c>
    </row>
    <row r="65" spans="4:8" ht="20.100000000000001" customHeight="1" x14ac:dyDescent="0.25">
      <c r="D65" s="53" t="str">
        <v>GWPCH4</v>
      </c>
      <c r="E65" s="54" t="str">
        <v>Global warming potential for methane (t CO2-e / t CH4)</v>
      </c>
      <c r="F65" s="94"/>
      <c r="G65" s="136"/>
      <c r="H65" s="49">
        <f>Common_InputFunctions.Utility_LookupValueInTableNumber("CH4",Table_GWPData[Gas],Table_GWPData[CO2-e factor])</f>
        <v>28</v>
      </c>
    </row>
    <row r="66" spans="4:8" ht="20.100000000000001" customHeight="1" x14ac:dyDescent="0.25">
      <c r="H66" s="21"/>
    </row>
    <row r="67" spans="4:8" ht="20.100000000000001" customHeight="1" x14ac:dyDescent="0.25">
      <c r="D67" s="43" t="s">
        <v>78</v>
      </c>
      <c r="E67" s="43" cm="1">
        <f t="array" ref="E67">Common_Equations.Common_ConvertCH4ToCO2e(H64,H65)</f>
        <v>93.139200000000002</v>
      </c>
      <c r="F67" s="95" t="str" cm="1">
        <f t="array" ref="F67">Common_Equations.Common_ConvertCH4ToCO2e_Unit()</f>
        <v>t CO2e</v>
      </c>
      <c r="H67" s="21"/>
    </row>
    <row r="68" spans="4:8" ht="20.100000000000001" customHeight="1" x14ac:dyDescent="0.25"/>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235"/>
  <sheetViews>
    <sheetView showGridLines="0" topLeftCell="B16" zoomScaleNormal="100" workbookViewId="0">
      <selection activeCell="A25" sqref="A25"/>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60" t="e" vm="1">
        <v>#VALUE!</v>
      </c>
      <c r="C1" s="8" t="s">
        <v>154</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Agresidue_SourceData.CropPurposeAndYield_Title()</f>
        <v>Crop purpose and yield</v>
      </c>
    </row>
    <row r="6" spans="1:35" ht="20.100000000000001" customHeight="1" x14ac:dyDescent="0.25"/>
    <row r="7" spans="1:35" ht="20.100000000000001" customHeight="1" x14ac:dyDescent="0.25">
      <c r="D7" s="132" t="s">
        <v>165</v>
      </c>
      <c r="E7" s="132" t="s">
        <v>166</v>
      </c>
      <c r="F7" s="132" t="s">
        <v>167</v>
      </c>
      <c r="G7" s="132" t="s">
        <v>168</v>
      </c>
      <c r="H7" s="132" t="s">
        <v>169</v>
      </c>
      <c r="I7" s="132" t="s">
        <v>223</v>
      </c>
      <c r="J7" s="132" t="s">
        <v>224</v>
      </c>
      <c r="K7" s="132" t="s">
        <v>225</v>
      </c>
      <c r="AG7" s="1"/>
      <c r="AH7" s="1"/>
      <c r="AI7" s="1"/>
    </row>
    <row r="8" spans="1:35" ht="20.100000000000001" customHeight="1" x14ac:dyDescent="0.25">
      <c r="A8" s="19" t="s">
        <v>0</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17"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17" t="str">
        <f>HYPERLINK("#'Input - Crop'!A1", "Crop")</f>
        <v>Crop</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17" t="str">
        <f>HYPERLINK("#'Input - Pasture'!A1", "Pasture")</f>
        <v>Pasture</v>
      </c>
    </row>
    <row r="12" spans="1:35" ht="20.100000000000001" customHeight="1" x14ac:dyDescent="0.25"/>
    <row r="13" spans="1:35" ht="20.100000000000001" customHeight="1" x14ac:dyDescent="0.25"/>
    <row r="14" spans="1:35" ht="20.100000000000001" customHeight="1" x14ac:dyDescent="0.25">
      <c r="A14" s="18" t="s">
        <v>68</v>
      </c>
    </row>
    <row r="15" spans="1:35" ht="20.100000000000001" customHeight="1" x14ac:dyDescent="0.25">
      <c r="A15" s="17" t="str">
        <f>HYPERLINK("#'6.1.1.1-2 Crop residue N2O'!A1", "6.1.1.1-2 Crop residue N2O")</f>
        <v>6.1.1.1-2 Crop residue N2O</v>
      </c>
      <c r="D15" s="6" t="str" cm="1">
        <f t="array" ref="D15">Agresidue_SourceData.CropAttributes_Title()</f>
        <v>Table A.2.1.1: Crop attributes</v>
      </c>
      <c r="E15" s="21"/>
      <c r="F15" s="21"/>
      <c r="G15" s="21"/>
      <c r="H15" s="21"/>
      <c r="I15" s="21"/>
      <c r="J15" s="21"/>
      <c r="K15" s="21"/>
      <c r="L15" s="21"/>
    </row>
    <row r="16" spans="1:35" ht="20.100000000000001" customHeight="1" x14ac:dyDescent="0.25">
      <c r="A16" s="17" t="str">
        <f>HYPERLINK("#'6.2.1.1-2 Pasture residue N2O'!A1", "6.2.1.1-2 Pasture residue N2O")</f>
        <v>6.2.1.1-2 Pasture residue N2O</v>
      </c>
      <c r="D16" s="5" t="str" cm="1">
        <f t="array" ref="D16">Agresidue_SourceData.CropAttributes_Source()</f>
        <v>VEERG 2026: Table A.2.1.1: Crop attributes</v>
      </c>
      <c r="E16" s="21"/>
      <c r="F16" s="21"/>
      <c r="G16" s="21"/>
      <c r="H16" s="21"/>
      <c r="I16" s="21"/>
      <c r="J16" s="21"/>
      <c r="K16" s="21"/>
      <c r="L16" s="21"/>
    </row>
    <row r="17" spans="1:14" ht="20.100000000000001" customHeight="1" x14ac:dyDescent="0.25">
      <c r="A17" s="17" t="str">
        <f>HYPERLINK("#'6.3.1.1-2 Leaching and runoff'!A1", "6.3.1.1-2 Leaching and runoff")</f>
        <v>6.3.1.1-2 Leaching and runoff</v>
      </c>
      <c r="D17" s="52" t="str" cm="1">
        <f t="array" ref="D17">"⚠️" &amp; Agresidue_SourceData.CropAttributes_Variation()</f>
        <v>⚠️VARIATION FROM SOURCE: 'N/A' values passed as zero for calculations.</v>
      </c>
      <c r="E17" s="21"/>
      <c r="F17" s="21"/>
      <c r="G17" s="21"/>
      <c r="H17" s="21"/>
      <c r="I17" s="21"/>
      <c r="J17" s="21"/>
      <c r="K17" s="21"/>
      <c r="L17" s="21"/>
    </row>
    <row r="18" spans="1:14" ht="20.100000000000001" customHeight="1" x14ac:dyDescent="0.25">
      <c r="A18" s="17" t="str">
        <f>HYPERLINK("#'6.3.1.1-2 Leach runoff crop'!A1", "6.3.1.1-2 Leach runoff crop")</f>
        <v>6.3.1.1-2 Leach runoff crop</v>
      </c>
      <c r="D18" s="21"/>
      <c r="E18" s="21"/>
      <c r="F18" s="21"/>
      <c r="G18" s="21"/>
      <c r="H18" s="21"/>
      <c r="I18" s="21"/>
      <c r="J18" s="21"/>
      <c r="K18" s="21"/>
      <c r="L18" s="21"/>
    </row>
    <row r="19" spans="1:14" ht="20.100000000000001" customHeight="1" x14ac:dyDescent="0.25">
      <c r="A19" s="17" t="str">
        <f>HYPERLINK("#'6.3.1.1-2 Leach runoff pasture'!A1", "6.3.1.1-2 Leach runoff pasture")</f>
        <v>6.3.1.1-2 Leach runoff pasture</v>
      </c>
      <c r="D19" t="s">
        <v>109</v>
      </c>
      <c r="E19" t="s">
        <v>155</v>
      </c>
      <c r="F19" t="s">
        <v>156</v>
      </c>
      <c r="G19" t="s">
        <v>157</v>
      </c>
      <c r="H19" t="s">
        <v>158</v>
      </c>
      <c r="I19" t="s">
        <v>159</v>
      </c>
      <c r="J19" t="s">
        <v>160</v>
      </c>
      <c r="K19" t="s">
        <v>161</v>
      </c>
      <c r="L19" t="s">
        <v>162</v>
      </c>
      <c r="N19" s="6" t="s">
        <v>218</v>
      </c>
    </row>
    <row r="20" spans="1:14" ht="20.100000000000001" customHeight="1" x14ac:dyDescent="0.25">
      <c r="A20" s="17" t="str">
        <f>HYPERLINK("#'6.4.1.1-2 Residue burning'!A1", "6.4.1.1-2 Residue burning")</f>
        <v>6.4.1.1-2 Residue burning</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6" t="s">
        <v>85</v>
      </c>
    </row>
    <row r="22" spans="1:14" ht="20.100000000000001" customHeight="1" x14ac:dyDescent="0.25">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6" t="s">
        <v>219</v>
      </c>
    </row>
    <row r="23" spans="1:14" ht="20.100000000000001" customHeight="1" x14ac:dyDescent="0.25">
      <c r="A23" s="141" t="s">
        <v>1</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6" t="s">
        <v>220</v>
      </c>
    </row>
    <row r="24" spans="1:14" ht="20.100000000000001" customHeight="1" x14ac:dyDescent="0.25">
      <c r="A24" s="128" t="str">
        <f>HYPERLINK("#'Constants - Ag Residue'!A1", "Constants - Ag Residue")</f>
        <v>Constants - Ag Residue</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107</v>
      </c>
    </row>
    <row r="25" spans="1:14" ht="20.100000000000001" customHeight="1" x14ac:dyDescent="0.25">
      <c r="A25" s="17" t="str">
        <f>HYPERLINK("#'Constants - Common'!A1", "Constants - Common")</f>
        <v>Constants - Common</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221</v>
      </c>
    </row>
    <row r="26" spans="1:14" ht="20.100000000000001" customHeight="1" x14ac:dyDescent="0.25">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222</v>
      </c>
    </row>
    <row r="27" spans="1:14" ht="20.100000000000001" customHeight="1" x14ac:dyDescent="0.25">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4:13" ht="20.100000000000001" customHeight="1" x14ac:dyDescent="0.25">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4:13" ht="20.100000000000001" customHeight="1" x14ac:dyDescent="0.25">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4: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4: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4:13" ht="20.100000000000001" customHeight="1" x14ac:dyDescent="0.25">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4:13" ht="20.100000000000001" customHeight="1" x14ac:dyDescent="0.25">
      <c r="D38" s="21"/>
      <c r="E38" s="21"/>
      <c r="F38" s="21"/>
      <c r="G38" s="21"/>
      <c r="H38" s="21"/>
      <c r="I38" s="21"/>
      <c r="J38" s="21"/>
      <c r="K38" s="21"/>
      <c r="L38" s="21"/>
    </row>
    <row r="39" spans="4:13" ht="20.100000000000001" customHeight="1" x14ac:dyDescent="0.25">
      <c r="D39" s="21"/>
      <c r="E39" s="21"/>
      <c r="F39" s="21"/>
      <c r="G39" s="21"/>
      <c r="H39" s="21"/>
      <c r="I39" s="21"/>
      <c r="J39" s="21"/>
      <c r="K39" s="21"/>
      <c r="L39" s="21"/>
    </row>
    <row r="40" spans="4:13" ht="20.100000000000001" customHeight="1" x14ac:dyDescent="0.25">
      <c r="D40" s="6" t="str" cm="1">
        <f t="array" ref="D40">Agresidue_SourceData.N2OEFOrganicFertiliser_Title()</f>
        <v>Emission factor for organic fertiliser and crop residues returned to the soil</v>
      </c>
      <c r="E40" s="3"/>
      <c r="F40" s="3"/>
      <c r="G40" s="21"/>
      <c r="H40" s="21"/>
      <c r="I40" s="21"/>
      <c r="J40" s="21"/>
      <c r="K40" s="21"/>
      <c r="L40" s="21"/>
    </row>
    <row r="41" spans="4:13" ht="20.100000000000001" customHeight="1" x14ac:dyDescent="0.25">
      <c r="D41" s="5" t="str" cm="1">
        <f t="array" ref="D41">Agresidue_SourceData.N2OEFOrganicFertiliser_Source()</f>
        <v>VEERG 2026: Table A.2.1.4</v>
      </c>
      <c r="E41" s="3"/>
      <c r="F41" s="3"/>
      <c r="G41" s="21"/>
      <c r="H41" s="21"/>
      <c r="I41" s="21"/>
      <c r="J41" s="21"/>
      <c r="K41" s="21"/>
      <c r="L41" s="21"/>
    </row>
    <row r="42" spans="4:13" ht="20.100000000000001" customHeight="1" x14ac:dyDescent="0.25">
      <c r="D42" s="5"/>
      <c r="E42" s="3"/>
      <c r="F42" s="3"/>
      <c r="H42" s="21"/>
      <c r="I42" s="21"/>
      <c r="M42" s="3"/>
    </row>
    <row r="43" spans="4:13" ht="20.100000000000001" customHeight="1" x14ac:dyDescent="0.25">
      <c r="D43" s="106" t="s">
        <v>173</v>
      </c>
      <c r="E43" s="106" t="s">
        <v>174</v>
      </c>
      <c r="F43" s="3"/>
      <c r="H43" s="21"/>
      <c r="I43" s="21"/>
      <c r="M43" s="3"/>
    </row>
    <row r="44" spans="4:13" ht="20.100000000000001" customHeight="1" x14ac:dyDescent="0.25">
      <c r="D44" s="35" t="str" cm="1">
        <f t="array" ref="D44">Common_InputFunctions.Utility_DisplayArrayInTable(Agresidue_SourceData.N2OEFOrganicFertiliser_Data(), Table_SourceData_N2OEFOrganicFert[[#Headers],[Climate zone type i]], 0)</f>
        <v>Wet climate zone</v>
      </c>
      <c r="E44" s="35" cm="1">
        <f t="array" ref="E44">Common_InputFunctions.Utility_DisplayArrayInTable(Agresidue_SourceData.N2OEFOrganicFertiliser_Data(), Table_SourceData_N2OEFOrganicFert[[#Headers],[Climate zone type i]], 0)</f>
        <v>6.0000000000000001E-3</v>
      </c>
      <c r="F44" s="3"/>
      <c r="H44" s="21"/>
      <c r="I44" s="21"/>
      <c r="M44" s="3"/>
    </row>
    <row r="45" spans="4:13" ht="20.100000000000001" customHeight="1" x14ac:dyDescent="0.25">
      <c r="D45" s="35" t="str" cm="1">
        <f t="array" ref="D45">Common_InputFunctions.Utility_DisplayArrayInTable(Agresidue_SourceData.N2OEFOrganicFertiliser_Data(), Table_SourceData_N2OEFOrganicFert[[#Headers],[Climate zone type i]], 0)</f>
        <v>Dry climate zone</v>
      </c>
      <c r="E45" s="35" cm="1">
        <f t="array" ref="E45">Common_InputFunctions.Utility_DisplayArrayInTable(Agresidue_SourceData.N2OEFOrganicFertiliser_Data(), Table_SourceData_N2OEFOrganicFert[[#Headers],[Climate zone type i]], 0)</f>
        <v>5.0000000000000001E-3</v>
      </c>
      <c r="F45" s="3"/>
      <c r="H45" s="21"/>
      <c r="I45" s="21"/>
      <c r="M45" s="3"/>
    </row>
    <row r="46" spans="4:13" ht="20.100000000000001" customHeight="1" x14ac:dyDescent="0.25">
      <c r="H46" s="21"/>
      <c r="I46" s="21"/>
      <c r="M46" s="3"/>
    </row>
    <row r="47" spans="4:13" ht="20.100000000000001" customHeight="1" x14ac:dyDescent="0.25">
      <c r="M47" s="3"/>
    </row>
    <row r="48" spans="4:13" ht="20.100000000000001" customHeight="1" x14ac:dyDescent="0.25">
      <c r="D48" s="6" t="str" cm="1">
        <f t="array" ref="D48">Agresidue_SourceData.PastureAttributes_Title()</f>
        <v>Table A.2.1.3 Pasture attributes</v>
      </c>
      <c r="K48" s="21"/>
      <c r="L48" s="21"/>
    </row>
    <row r="49" spans="4:12" ht="20.100000000000001" customHeight="1" x14ac:dyDescent="0.25">
      <c r="D49" s="5" t="str" cm="1">
        <f t="array" ref="D49">Agresidue_SourceData.PastureAttributes_Source()</f>
        <v>VEERG 2026: Table A.2.1.3: Pasture attributes</v>
      </c>
      <c r="K49" s="21"/>
      <c r="L49" s="21"/>
    </row>
    <row r="50" spans="4:12" ht="20.100000000000001" customHeight="1" x14ac:dyDescent="0.25">
      <c r="K50" s="21"/>
      <c r="L50" s="21"/>
    </row>
    <row r="51" spans="4:12" ht="20.100000000000001" customHeight="1" x14ac:dyDescent="0.25">
      <c r="D51" s="36" t="s">
        <v>176</v>
      </c>
      <c r="E51" s="36" t="s">
        <v>177</v>
      </c>
      <c r="F51" s="36" t="s">
        <v>178</v>
      </c>
      <c r="G51" s="36" t="s">
        <v>179</v>
      </c>
      <c r="H51" s="36" t="s">
        <v>180</v>
      </c>
      <c r="I51" s="36" t="s">
        <v>181</v>
      </c>
      <c r="K51" s="21"/>
      <c r="L51" s="21"/>
    </row>
    <row r="52" spans="4:12" ht="20.100000000000001" customHeight="1" x14ac:dyDescent="0.25">
      <c r="D52" s="36" t="str" cm="1">
        <f t="array" ref="D52">Common_InputFunctions.Utility_DisplayArrayInTable(Agresidue_SourceData.PastureAttributes_Data(), Table_SourceData_PastureAttributes[[#Headers],[Pasture type]], 0)</f>
        <v>Annual grass</v>
      </c>
      <c r="E52" s="36" cm="1">
        <f t="array" ref="E52">Common_InputFunctions.Utility_DisplayArrayInTable(Agresidue_SourceData.PastureAttributes_Data(), Table_SourceData_PastureAttributes[[#Headers],[Pasture type]], 0)</f>
        <v>4.41</v>
      </c>
      <c r="F52" s="36" cm="1">
        <f t="array" ref="F52">Common_InputFunctions.Utility_DisplayArrayInTable(Agresidue_SourceData.PastureAttributes_Data(), Table_SourceData_PastureAttributes[[#Headers],[Pasture type]], 0)</f>
        <v>0.4</v>
      </c>
      <c r="G52" s="36" cm="1">
        <f t="array" ref="G52">Common_InputFunctions.Utility_DisplayArrayInTable(Agresidue_SourceData.PastureAttributes_Data(), Table_SourceData_PastureAttributes[[#Headers],[Pasture type]], 0)</f>
        <v>1.4999999999999999E-2</v>
      </c>
      <c r="H52" s="36" cm="1">
        <f t="array" ref="H52">Common_InputFunctions.Utility_DisplayArrayInTable(Agresidue_SourceData.PastureAttributes_Data(), Table_SourceData_PastureAttributes[[#Headers],[Pasture type]], 0)</f>
        <v>1.2E-2</v>
      </c>
      <c r="I52" s="36" cm="1">
        <f t="array" ref="I52">Common_InputFunctions.Utility_DisplayArrayInTable(Agresidue_SourceData.PastureAttributes_Data(), Table_SourceData_PastureAttributes[[#Headers],[Pasture type]], 0)</f>
        <v>0.8</v>
      </c>
      <c r="L52" s="21"/>
    </row>
    <row r="53" spans="4:12" ht="20.100000000000001" customHeight="1" x14ac:dyDescent="0.25">
      <c r="D53" s="36" t="str" cm="1">
        <f t="array" ref="D53">Common_InputFunctions.Utility_DisplayArrayInTable(Agresidue_SourceData.PastureAttributes_Data(), Table_SourceData_PastureAttributes[[#Headers],[Pasture type]], 0)</f>
        <v>Grass clover mixture</v>
      </c>
      <c r="E53" s="36" cm="1">
        <f t="array" ref="E53">Common_InputFunctions.Utility_DisplayArrayInTable(Agresidue_SourceData.PastureAttributes_Data(), Table_SourceData_PastureAttributes[[#Headers],[Pasture type]], 0)</f>
        <v>8.34</v>
      </c>
      <c r="F53" s="36" cm="1">
        <f t="array" ref="F53">Common_InputFunctions.Utility_DisplayArrayInTable(Agresidue_SourceData.PastureAttributes_Data(), Table_SourceData_PastureAttributes[[#Headers],[Pasture type]], 0)</f>
        <v>0.8</v>
      </c>
      <c r="G53" s="36" cm="1">
        <f t="array" ref="G53">Common_InputFunctions.Utility_DisplayArrayInTable(Agresidue_SourceData.PastureAttributes_Data(), Table_SourceData_PastureAttributes[[#Headers],[Pasture type]], 0)</f>
        <v>2.5000000000000001E-2</v>
      </c>
      <c r="H53" s="36" cm="1">
        <f t="array" ref="H53">Common_InputFunctions.Utility_DisplayArrayInTable(Agresidue_SourceData.PastureAttributes_Data(), Table_SourceData_PastureAttributes[[#Headers],[Pasture type]], 0)</f>
        <v>1.6E-2</v>
      </c>
      <c r="I53" s="36" cm="1">
        <f t="array" ref="I53">Common_InputFunctions.Utility_DisplayArrayInTable(Agresidue_SourceData.PastureAttributes_Data(), Table_SourceData_PastureAttributes[[#Headers],[Pasture type]], 0)</f>
        <v>0.8</v>
      </c>
      <c r="L53" s="21"/>
    </row>
    <row r="54" spans="4:12" ht="20.100000000000001" customHeight="1" x14ac:dyDescent="0.25">
      <c r="D54" s="36" t="str" cm="1">
        <f t="array" ref="D54">Common_InputFunctions.Utility_DisplayArrayInTable(Agresidue_SourceData.PastureAttributes_Data(), Table_SourceData_PastureAttributes[[#Headers],[Pasture type]], 0)</f>
        <v>Lucerne</v>
      </c>
      <c r="E54" s="36" cm="1">
        <f t="array" ref="E54">Common_InputFunctions.Utility_DisplayArrayInTable(Agresidue_SourceData.PastureAttributes_Data(), Table_SourceData_PastureAttributes[[#Headers],[Pasture type]], 0)</f>
        <v>8.6199999999999992</v>
      </c>
      <c r="F54" s="36" cm="1">
        <f t="array" ref="F54">Common_InputFunctions.Utility_DisplayArrayInTable(Agresidue_SourceData.PastureAttributes_Data(), Table_SourceData_PastureAttributes[[#Headers],[Pasture type]], 0)</f>
        <v>0.4</v>
      </c>
      <c r="G54" s="36" cm="1">
        <f t="array" ref="G54">Common_InputFunctions.Utility_DisplayArrayInTable(Agresidue_SourceData.PastureAttributes_Data(), Table_SourceData_PastureAttributes[[#Headers],[Pasture type]], 0)</f>
        <v>2.7E-2</v>
      </c>
      <c r="H54" s="36" cm="1">
        <f t="array" ref="H54">Common_InputFunctions.Utility_DisplayArrayInTable(Agresidue_SourceData.PastureAttributes_Data(), Table_SourceData_PastureAttributes[[#Headers],[Pasture type]], 0)</f>
        <v>1.9E-2</v>
      </c>
      <c r="I54" s="36" cm="1">
        <f t="array" ref="I54">Common_InputFunctions.Utility_DisplayArrayInTable(Agresidue_SourceData.PastureAttributes_Data(), Table_SourceData_PastureAttributes[[#Headers],[Pasture type]], 0)</f>
        <v>0.8</v>
      </c>
    </row>
    <row r="55" spans="4:12" ht="20.100000000000001" customHeight="1" x14ac:dyDescent="0.25">
      <c r="D55" s="36" t="str" cm="1">
        <f t="array" ref="D55">Common_InputFunctions.Utility_DisplayArrayInTable(Agresidue_SourceData.PastureAttributes_Data(), Table_SourceData_PastureAttributes[[#Headers],[Pasture type]], 0)</f>
        <v>Other legume</v>
      </c>
      <c r="E55" s="36" cm="1">
        <f t="array" ref="E55">Common_InputFunctions.Utility_DisplayArrayInTable(Agresidue_SourceData.PastureAttributes_Data(), Table_SourceData_PastureAttributes[[#Headers],[Pasture type]], 0)</f>
        <v>5.62</v>
      </c>
      <c r="F55" s="36" cm="1">
        <f t="array" ref="F55">Common_InputFunctions.Utility_DisplayArrayInTable(Agresidue_SourceData.PastureAttributes_Data(), Table_SourceData_PastureAttributes[[#Headers],[Pasture type]], 0)</f>
        <v>0.4</v>
      </c>
      <c r="G55" s="36" cm="1">
        <f t="array" ref="G55">Common_InputFunctions.Utility_DisplayArrayInTable(Agresidue_SourceData.PastureAttributes_Data(), Table_SourceData_PastureAttributes[[#Headers],[Pasture type]], 0)</f>
        <v>2.7E-2</v>
      </c>
      <c r="H55" s="36" cm="1">
        <f t="array" ref="H55">Common_InputFunctions.Utility_DisplayArrayInTable(Agresidue_SourceData.PastureAttributes_Data(), Table_SourceData_PastureAttributes[[#Headers],[Pasture type]], 0)</f>
        <v>2.1999999999999999E-2</v>
      </c>
      <c r="I55" s="36" cm="1">
        <f t="array" ref="I55">Common_InputFunctions.Utility_DisplayArrayInTable(Agresidue_SourceData.PastureAttributes_Data(), Table_SourceData_PastureAttributes[[#Headers],[Pasture type]], 0)</f>
        <v>0.8</v>
      </c>
    </row>
    <row r="56" spans="4:12" ht="20.100000000000001" customHeight="1" x14ac:dyDescent="0.25">
      <c r="D56" s="36" t="str" cm="1">
        <f t="array" ref="D56">Common_InputFunctions.Utility_DisplayArrayInTable(Agresidue_SourceData.PastureAttributes_Data(), Table_SourceData_PastureAttributes[[#Headers],[Pasture type]], 0)</f>
        <v>Perennial pasture</v>
      </c>
      <c r="E56" s="36" cm="1">
        <f t="array" ref="E56">Common_InputFunctions.Utility_DisplayArrayInTable(Agresidue_SourceData.PastureAttributes_Data(), Table_SourceData_PastureAttributes[[#Headers],[Pasture type]], 0)</f>
        <v>8.35</v>
      </c>
      <c r="F56" s="36" cm="1">
        <f t="array" ref="F56">Common_InputFunctions.Utility_DisplayArrayInTable(Agresidue_SourceData.PastureAttributes_Data(), Table_SourceData_PastureAttributes[[#Headers],[Pasture type]], 0)</f>
        <v>0.8</v>
      </c>
      <c r="G56" s="36" cm="1">
        <f t="array" ref="G56">Common_InputFunctions.Utility_DisplayArrayInTable(Agresidue_SourceData.PastureAttributes_Data(), Table_SourceData_PastureAttributes[[#Headers],[Pasture type]], 0)</f>
        <v>1.4999999999999999E-2</v>
      </c>
      <c r="H56" s="36" cm="1">
        <f t="array" ref="H56">Common_InputFunctions.Utility_DisplayArrayInTable(Agresidue_SourceData.PastureAttributes_Data(), Table_SourceData_PastureAttributes[[#Headers],[Pasture type]], 0)</f>
        <v>1.2E-2</v>
      </c>
      <c r="I56" s="36" cm="1">
        <f t="array" ref="I56">Common_InputFunctions.Utility_DisplayArrayInTable(Agresidue_SourceData.PastureAttributes_Data(), Table_SourceData_PastureAttributes[[#Headers],[Pasture type]], 0)</f>
        <v>0.8</v>
      </c>
    </row>
    <row r="57" spans="4:12" ht="20.100000000000001" customHeight="1" x14ac:dyDescent="0.25">
      <c r="H57" s="21"/>
    </row>
    <row r="58" spans="4:12" ht="20.100000000000001" customHeight="1" x14ac:dyDescent="0.25"/>
    <row r="59" spans="4:12" ht="20.100000000000001" customHeight="1" x14ac:dyDescent="0.25">
      <c r="D59" s="6" t="str" cm="1">
        <f t="array" ref="D59">AgResidues_SourceData.BurningOfAgriculturalResiduesEFs_Title()</f>
        <v>Table 5.31 Burning of agricultural residues - EFs</v>
      </c>
    </row>
    <row r="60" spans="4:12" ht="20.100000000000001" customHeight="1" x14ac:dyDescent="0.25">
      <c r="D60" s="5"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6" t="s">
        <v>209</v>
      </c>
      <c r="E62" s="36" t="s">
        <v>210</v>
      </c>
      <c r="F62" s="36" t="s">
        <v>211</v>
      </c>
    </row>
    <row r="63" spans="4:12" ht="20.100000000000001" customHeight="1" x14ac:dyDescent="0.25">
      <c r="D63" s="36" t="str" cm="1">
        <f t="array" ref="D63">Common_InputFunctions.Utility_DisplayArrayInTable(AgResidues_SourceData.BurningOfAgriculturalResiduesEFs_Data(), Table_SourceData_BurningResidueEFs[[#Headers],[Gas species]], 0)</f>
        <v>CH4</v>
      </c>
      <c r="E63" s="36" cm="1">
        <f t="array" ref="E63">Common_InputFunctions.Utility_DisplayArrayInTable(AgResidues_SourceData.BurningOfAgriculturalResiduesEFs_Data(), Table_SourceData_BurningResidueEFs[[#Headers],[Gas species]], 0)</f>
        <v>3.5000000000000001E-3</v>
      </c>
      <c r="F63" s="36" t="str" cm="1">
        <f t="array" ref="F63">Common_InputFunctions.Utility_DisplayArrayInTable(AgResidues_SourceData.BurningOfAgriculturalResiduesEFs_Data(), Table_SourceData_BurningResidueEFs[[#Headers],[Gas species]], 0)</f>
        <v>16/12</v>
      </c>
      <c r="K63" s="21"/>
      <c r="L63" s="21"/>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6" cm="1">
        <f t="array" ref="E64">Common_InputFunctions.Utility_DisplayArrayInTable(AgResidues_SourceData.BurningOfAgriculturalResiduesEFs_Data(), Table_SourceData_BurningResidueEFs[[#Headers],[Gas species]], 0)</f>
        <v>7.6E-3</v>
      </c>
      <c r="F64" s="36" t="str" cm="1">
        <f t="array" ref="F64">Common_InputFunctions.Utility_DisplayArrayInTable(AgResidues_SourceData.BurningOfAgriculturalResiduesEFs_Data(), Table_SourceData_BurningResidueEFs[[#Headers],[Gas species]], 0)</f>
        <v>44/28</v>
      </c>
      <c r="K64" s="21"/>
      <c r="L64" s="21"/>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6" cm="1">
        <f t="array" ref="E65">Common_InputFunctions.Utility_DisplayArrayInTable(AgResidues_SourceData.BurningOfAgriculturalResiduesEFs_Data(), Table_SourceData_BurningResidueEFs[[#Headers],[Gas species]], 0)</f>
        <v>0.21</v>
      </c>
      <c r="F65" s="36" t="str" cm="1">
        <f t="array" ref="F65">Common_InputFunctions.Utility_DisplayArrayInTable(AgResidues_SourceData.BurningOfAgriculturalResiduesEFs_Data(), Table_SourceData_BurningResidueEFs[[#Headers],[Gas species]], 0)</f>
        <v>46/14</v>
      </c>
      <c r="K65" s="21"/>
      <c r="L65" s="21"/>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6" cm="1">
        <f t="array" ref="E66">Common_InputFunctions.Utility_DisplayArrayInTable(AgResidues_SourceData.BurningOfAgriculturalResiduesEFs_Data(), Table_SourceData_BurningResidueEFs[[#Headers],[Gas species]], 0)</f>
        <v>7.8E-2</v>
      </c>
      <c r="F66" s="36" t="str" cm="1">
        <f t="array" ref="F66">Common_InputFunctions.Utility_DisplayArrayInTable(AgResidues_SourceData.BurningOfAgriculturalResiduesEFs_Data(), Table_SourceData_BurningResidueEFs[[#Headers],[Gas species]], 0)</f>
        <v>28/12</v>
      </c>
      <c r="K66" s="21"/>
      <c r="L66" s="21"/>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6" cm="1">
        <f t="array" ref="E67">Common_InputFunctions.Utility_DisplayArrayInTable(AgResidues_SourceData.BurningOfAgriculturalResiduesEFs_Data(), Table_SourceData_BurningResidueEFs[[#Headers],[Gas species]], 0)</f>
        <v>9.1000000000000004E-3</v>
      </c>
      <c r="F67" s="36" t="str" cm="1">
        <f t="array" ref="F67">Common_InputFunctions.Utility_DisplayArrayInTable(AgResidues_SourceData.BurningOfAgriculturalResiduesEFs_Data(), Table_SourceData_BurningResidueEFs[[#Headers],[Gas species]], 0)</f>
        <v>14/12</v>
      </c>
      <c r="K67" s="21"/>
      <c r="L67" s="21"/>
    </row>
    <row r="68" spans="4:12" ht="20.100000000000001" customHeight="1" x14ac:dyDescent="0.25">
      <c r="K68" s="21"/>
      <c r="L68" s="21"/>
    </row>
    <row r="69" spans="4:12" ht="20.100000000000001" customHeight="1" x14ac:dyDescent="0.25">
      <c r="K69" s="21"/>
      <c r="L69" s="21"/>
    </row>
    <row r="70" spans="4:12" ht="20.100000000000001" customHeight="1" x14ac:dyDescent="0.25">
      <c r="D70" s="6" t="str" cm="1">
        <f t="array" ref="D70">Agresidue_SourceData.CropFractionRemoved_Title()</f>
        <v>Table A.2.1.2: Crop attributes - Fraction removed (FFODc)</v>
      </c>
      <c r="E70" s="21"/>
      <c r="F70" s="21"/>
      <c r="G70" s="21"/>
      <c r="K70" s="21"/>
      <c r="L70" s="21"/>
    </row>
    <row r="71" spans="4:12" ht="20.100000000000001" customHeight="1" x14ac:dyDescent="0.25">
      <c r="D71" s="5" t="str" cm="1">
        <f t="array" ref="D71">Agresidue_SourceData.CropFractionRemoved_Source()</f>
        <v>VEERG 2026: Table A.2.1.2: Crop attributes - Fraction removed (FFODc)</v>
      </c>
      <c r="E71" s="21"/>
      <c r="F71" s="21"/>
      <c r="G71" s="21"/>
      <c r="K71" s="21"/>
      <c r="L71" s="21"/>
    </row>
    <row r="72" spans="4:12" ht="20.100000000000001" customHeight="1" x14ac:dyDescent="0.25">
      <c r="D72" s="21"/>
      <c r="E72" s="21"/>
      <c r="F72" s="21"/>
      <c r="G72" s="21"/>
      <c r="K72" s="21"/>
      <c r="L72" s="21"/>
    </row>
    <row r="73" spans="4:12" ht="20.100000000000001" customHeight="1" x14ac:dyDescent="0.25">
      <c r="D73" t="s">
        <v>163</v>
      </c>
      <c r="E73" t="s">
        <v>5</v>
      </c>
      <c r="F73" t="s">
        <v>164</v>
      </c>
      <c r="G73" s="21"/>
      <c r="K73" s="21"/>
      <c r="L73" s="21"/>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21"/>
      <c r="K74" s="21"/>
      <c r="L74" s="21"/>
    </row>
    <row r="75" spans="4:12" ht="20.100000000000001" customHeight="1" x14ac:dyDescent="0.25">
      <c r="D75" s="21"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21"/>
      <c r="H75" s="21"/>
      <c r="K75" s="21"/>
      <c r="L75" s="21"/>
    </row>
    <row r="76" spans="4:12" ht="20.100000000000001" customHeight="1" x14ac:dyDescent="0.25">
      <c r="D76" s="21"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21"/>
      <c r="H76" s="21"/>
      <c r="K76" s="21"/>
      <c r="L76" s="21"/>
    </row>
    <row r="77" spans="4:12" ht="20.100000000000001" customHeight="1" x14ac:dyDescent="0.25">
      <c r="D77" s="21"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21"/>
      <c r="H77" s="21"/>
      <c r="I77" s="21"/>
      <c r="J77" s="21"/>
      <c r="K77" s="21"/>
      <c r="L77" s="21"/>
    </row>
    <row r="78" spans="4:12" ht="20.100000000000001" customHeight="1" x14ac:dyDescent="0.25">
      <c r="D78" s="21"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21"/>
      <c r="H78" s="21"/>
      <c r="I78" s="21"/>
      <c r="J78" s="21"/>
      <c r="K78" s="21"/>
      <c r="L78" s="21"/>
    </row>
    <row r="79" spans="4:12" ht="20.100000000000001" customHeight="1" x14ac:dyDescent="0.25">
      <c r="D79" s="21"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21"/>
      <c r="H79" s="21"/>
      <c r="I79" s="21"/>
      <c r="J79" s="21"/>
      <c r="K79" s="21"/>
      <c r="L79" s="21"/>
    </row>
    <row r="80" spans="4:12" ht="20.100000000000001" customHeight="1" x14ac:dyDescent="0.25">
      <c r="D80" s="21"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21"/>
      <c r="H80" s="21"/>
      <c r="I80" s="21"/>
      <c r="J80" s="21"/>
      <c r="K80" s="21"/>
      <c r="L80" s="21"/>
    </row>
    <row r="81" spans="4:12" ht="20.100000000000001" customHeight="1" x14ac:dyDescent="0.25">
      <c r="D81" s="21"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21"/>
      <c r="H81" s="21"/>
      <c r="I81" s="21"/>
      <c r="J81" s="21"/>
      <c r="K81" s="21"/>
      <c r="L81" s="21"/>
    </row>
    <row r="82" spans="4:12" ht="20.100000000000001" customHeight="1" x14ac:dyDescent="0.25">
      <c r="D82" s="21"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21"/>
      <c r="H82" s="21"/>
      <c r="I82" s="21"/>
      <c r="J82" s="21"/>
      <c r="K82" s="21"/>
      <c r="L82" s="21"/>
    </row>
    <row r="83" spans="4:12" ht="20.100000000000001" customHeight="1" x14ac:dyDescent="0.25">
      <c r="D83" s="21"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21"/>
      <c r="H83" s="21"/>
      <c r="I83" s="21"/>
      <c r="J83" s="21"/>
      <c r="K83" s="21"/>
      <c r="L83" s="21"/>
    </row>
    <row r="84" spans="4:12" ht="20.100000000000001" customHeight="1" x14ac:dyDescent="0.25">
      <c r="D84" s="21"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21"/>
      <c r="H84" s="21"/>
      <c r="I84" s="21"/>
      <c r="J84" s="21"/>
      <c r="K84" s="21"/>
      <c r="L84" s="21"/>
    </row>
    <row r="85" spans="4:12" ht="20.100000000000001" customHeight="1" x14ac:dyDescent="0.25">
      <c r="D85" s="21"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21"/>
      <c r="H85" s="21"/>
      <c r="I85" s="21"/>
      <c r="J85" s="21"/>
      <c r="K85" s="21"/>
      <c r="L85" s="21"/>
    </row>
    <row r="86" spans="4:12" ht="20.100000000000001" customHeight="1" x14ac:dyDescent="0.25">
      <c r="D86" s="21"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21"/>
      <c r="H86" s="21"/>
      <c r="I86" s="21"/>
      <c r="J86" s="21"/>
      <c r="K86" s="21"/>
      <c r="L86" s="21"/>
    </row>
    <row r="87" spans="4:12" ht="20.100000000000001" customHeight="1" x14ac:dyDescent="0.25">
      <c r="D87" s="21"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21"/>
      <c r="H87" s="21"/>
      <c r="I87" s="21"/>
      <c r="J87" s="21"/>
      <c r="K87" s="21"/>
      <c r="L87" s="21"/>
    </row>
    <row r="88" spans="4:12" ht="20.100000000000001" customHeight="1" x14ac:dyDescent="0.25">
      <c r="D88" s="21"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21"/>
      <c r="H88" s="21"/>
      <c r="I88" s="21"/>
      <c r="J88" s="21"/>
      <c r="K88" s="21"/>
      <c r="L88" s="21"/>
    </row>
    <row r="89" spans="4:12" ht="20.100000000000001" customHeight="1" x14ac:dyDescent="0.25">
      <c r="D89" s="21"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21"/>
      <c r="H89" s="21"/>
      <c r="I89" s="21"/>
      <c r="J89" s="21"/>
      <c r="K89" s="21"/>
      <c r="L89" s="21"/>
    </row>
    <row r="90" spans="4:12" ht="20.100000000000001" customHeight="1" x14ac:dyDescent="0.25">
      <c r="D90" s="21"/>
      <c r="E90" s="21"/>
      <c r="F90" s="21"/>
      <c r="G90" s="21"/>
      <c r="H90" s="21"/>
      <c r="I90" s="21"/>
      <c r="J90" s="21"/>
      <c r="K90" s="21"/>
      <c r="L90" s="21"/>
    </row>
    <row r="91" spans="4:12" ht="20.100000000000001" customHeight="1" x14ac:dyDescent="0.25">
      <c r="D91" s="52" t="str" cm="1">
        <f t="array" ref="D91">"⚠️" &amp; Agresidue_SourceData.CropFractionRemoved_Variation()</f>
        <v>⚠️VARIATION OF SOURCE DATA: Split 'All other crop types' into individual crop types for each state. Listed all states for Sugar Cane, with 'N/A' for states where it is not grown.</v>
      </c>
      <c r="E91" s="21"/>
      <c r="F91" s="21"/>
      <c r="G91" s="21"/>
      <c r="H91" s="21"/>
      <c r="I91" s="21"/>
      <c r="J91" s="21"/>
      <c r="K91" s="21"/>
      <c r="L91" s="21"/>
    </row>
    <row r="92" spans="4:12" ht="20.100000000000001" customHeight="1" x14ac:dyDescent="0.25">
      <c r="D92" t="s">
        <v>163</v>
      </c>
      <c r="E92" t="s">
        <v>5</v>
      </c>
      <c r="F92" t="s">
        <v>164</v>
      </c>
      <c r="G92" s="21"/>
      <c r="H92" s="21"/>
      <c r="I92" s="21"/>
      <c r="J92" s="21"/>
      <c r="K92" s="21"/>
      <c r="L92" s="21"/>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21"/>
      <c r="H93" s="21"/>
      <c r="I93" s="21"/>
      <c r="J93" s="21"/>
      <c r="K93" s="21"/>
      <c r="L93" s="21"/>
    </row>
    <row r="94" spans="4:12" ht="20.100000000000001" customHeight="1" x14ac:dyDescent="0.25">
      <c r="D94" s="21"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21"/>
      <c r="H94" s="21"/>
      <c r="I94" s="21"/>
      <c r="J94" s="21"/>
      <c r="K94" s="21"/>
      <c r="L94" s="21"/>
    </row>
    <row r="95" spans="4:12" ht="20.100000000000001" customHeight="1" x14ac:dyDescent="0.25">
      <c r="D95" s="21"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21"/>
      <c r="H95" s="21"/>
      <c r="I95" s="21"/>
      <c r="J95" s="21"/>
      <c r="K95" s="21"/>
      <c r="L95" s="21"/>
    </row>
    <row r="96" spans="4:12" ht="20.100000000000001" customHeight="1" x14ac:dyDescent="0.25">
      <c r="D96" s="21"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21"/>
      <c r="H96" s="21"/>
      <c r="I96" s="21"/>
      <c r="J96" s="21"/>
      <c r="K96" s="21"/>
      <c r="L96" s="21"/>
    </row>
    <row r="97" spans="4:12" ht="20.100000000000001" customHeight="1" x14ac:dyDescent="0.25">
      <c r="D97" s="21"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21"/>
      <c r="H97" s="21"/>
      <c r="I97" s="21"/>
      <c r="J97" s="21"/>
      <c r="K97" s="21"/>
      <c r="L97" s="21"/>
    </row>
    <row r="98" spans="4:12" ht="20.100000000000001" customHeight="1" x14ac:dyDescent="0.25">
      <c r="D98" s="21"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21"/>
      <c r="H98" s="21"/>
      <c r="I98" s="21"/>
      <c r="J98" s="21"/>
      <c r="K98" s="21"/>
      <c r="L98" s="21"/>
    </row>
    <row r="99" spans="4:12" ht="20.100000000000001" customHeight="1" x14ac:dyDescent="0.25">
      <c r="D99" s="21"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21"/>
      <c r="H99" s="21"/>
      <c r="I99" s="21"/>
      <c r="J99" s="21"/>
      <c r="K99" s="21"/>
      <c r="L99" s="21"/>
    </row>
    <row r="100" spans="4:12" ht="20.100000000000001" customHeight="1" x14ac:dyDescent="0.25">
      <c r="D100" s="21"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21"/>
      <c r="H100" s="21"/>
      <c r="I100" s="21"/>
      <c r="J100" s="21"/>
      <c r="K100" s="21"/>
      <c r="L100" s="21"/>
    </row>
    <row r="101" spans="4:12" ht="20.100000000000001" customHeight="1" x14ac:dyDescent="0.25">
      <c r="D101" s="21"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21"/>
      <c r="H101" s="21"/>
      <c r="I101" s="21"/>
      <c r="J101" s="21"/>
      <c r="K101" s="21"/>
      <c r="L101" s="21"/>
    </row>
    <row r="102" spans="4:12" ht="20.100000000000001" customHeight="1" x14ac:dyDescent="0.25">
      <c r="D102" s="21"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21"/>
      <c r="H102" s="21"/>
      <c r="I102" s="21"/>
      <c r="J102" s="21"/>
      <c r="K102" s="21"/>
      <c r="L102" s="21"/>
    </row>
    <row r="103" spans="4:12" ht="20.100000000000001" customHeight="1" x14ac:dyDescent="0.25">
      <c r="D103" s="21"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21"/>
      <c r="H103" s="21"/>
      <c r="I103" s="21"/>
      <c r="J103" s="21"/>
      <c r="K103" s="21"/>
      <c r="L103" s="21"/>
    </row>
    <row r="104" spans="4:12" ht="20.100000000000001" customHeight="1" x14ac:dyDescent="0.25">
      <c r="D104" s="21"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21"/>
      <c r="H104" s="21"/>
      <c r="I104" s="21"/>
      <c r="J104" s="21"/>
      <c r="K104" s="21"/>
      <c r="L104" s="21"/>
    </row>
    <row r="105" spans="4:12" ht="20.100000000000001" customHeight="1" x14ac:dyDescent="0.25">
      <c r="D105" s="21"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21"/>
      <c r="H105" s="21"/>
      <c r="I105" s="21"/>
      <c r="J105" s="21"/>
      <c r="K105" s="21"/>
      <c r="L105" s="21"/>
    </row>
    <row r="106" spans="4:12" ht="20.100000000000001" customHeight="1" x14ac:dyDescent="0.25">
      <c r="D106" s="21"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21"/>
      <c r="H106" s="21"/>
      <c r="I106" s="21"/>
      <c r="J106" s="21"/>
      <c r="K106" s="21"/>
      <c r="L106" s="21"/>
    </row>
    <row r="107" spans="4:12" ht="20.100000000000001" customHeight="1" x14ac:dyDescent="0.25">
      <c r="D107" s="21"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21"/>
      <c r="H107" s="21"/>
      <c r="I107" s="21"/>
      <c r="J107" s="21"/>
      <c r="K107" s="21"/>
      <c r="L107" s="21"/>
    </row>
    <row r="108" spans="4:12" ht="20.100000000000001" customHeight="1" x14ac:dyDescent="0.25">
      <c r="D108" s="21"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21"/>
      <c r="H108" s="21"/>
      <c r="I108" s="21"/>
      <c r="J108" s="21"/>
      <c r="K108" s="21"/>
      <c r="L108" s="21"/>
    </row>
    <row r="109" spans="4:12" ht="20.100000000000001" customHeight="1" x14ac:dyDescent="0.25">
      <c r="D109" s="21"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21"/>
      <c r="H109" s="21"/>
      <c r="I109" s="21"/>
      <c r="J109" s="21"/>
      <c r="K109" s="21"/>
      <c r="L109" s="21"/>
    </row>
    <row r="110" spans="4:12" ht="20.100000000000001" customHeight="1" x14ac:dyDescent="0.25">
      <c r="D110" s="21"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21"/>
      <c r="H110" s="21"/>
      <c r="I110" s="21"/>
      <c r="J110" s="21"/>
      <c r="K110" s="21"/>
      <c r="L110" s="21"/>
    </row>
    <row r="111" spans="4:12" ht="20.100000000000001" customHeight="1" x14ac:dyDescent="0.25">
      <c r="D111" s="21"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21"/>
      <c r="H111" s="21"/>
      <c r="I111" s="21"/>
      <c r="J111" s="21"/>
      <c r="K111" s="21"/>
      <c r="L111" s="21"/>
    </row>
    <row r="112" spans="4:12" ht="20.100000000000001" customHeight="1" x14ac:dyDescent="0.25">
      <c r="D112" s="21"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21"/>
      <c r="H112" s="21"/>
      <c r="I112" s="21"/>
      <c r="J112" s="21"/>
      <c r="K112" s="21"/>
      <c r="L112" s="21"/>
    </row>
    <row r="113" spans="4:12" ht="20.100000000000001" customHeight="1" x14ac:dyDescent="0.25">
      <c r="D113" s="21"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21"/>
      <c r="H113" s="21"/>
      <c r="I113" s="21"/>
      <c r="J113" s="21"/>
      <c r="K113" s="21"/>
      <c r="L113" s="21"/>
    </row>
    <row r="114" spans="4:12" ht="20.100000000000001" customHeight="1" x14ac:dyDescent="0.25">
      <c r="D114" s="21"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21"/>
      <c r="H114" s="21"/>
      <c r="I114" s="21"/>
      <c r="J114" s="21"/>
      <c r="K114" s="21"/>
      <c r="L114" s="21"/>
    </row>
    <row r="115" spans="4:12" ht="20.100000000000001" customHeight="1" x14ac:dyDescent="0.25">
      <c r="D115" s="21"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21"/>
      <c r="H115" s="21"/>
      <c r="I115" s="21"/>
      <c r="J115" s="21"/>
      <c r="K115" s="21"/>
      <c r="L115" s="21"/>
    </row>
    <row r="116" spans="4:12" ht="20.100000000000001" customHeight="1" x14ac:dyDescent="0.25">
      <c r="D116" s="21"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21"/>
      <c r="H116" s="21"/>
      <c r="I116" s="21"/>
      <c r="J116" s="21"/>
      <c r="K116" s="21"/>
      <c r="L116" s="21"/>
    </row>
    <row r="117" spans="4:12" ht="20.100000000000001" customHeight="1" x14ac:dyDescent="0.25">
      <c r="D117" s="21"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21"/>
      <c r="H117" s="21"/>
      <c r="I117" s="21"/>
      <c r="J117" s="21"/>
      <c r="K117" s="21"/>
      <c r="L117" s="21"/>
    </row>
    <row r="118" spans="4:12" ht="20.100000000000001" customHeight="1" x14ac:dyDescent="0.25">
      <c r="D118" s="21"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21"/>
      <c r="H118" s="21"/>
      <c r="I118" s="21"/>
      <c r="J118" s="21"/>
      <c r="K118" s="21"/>
      <c r="L118" s="21"/>
    </row>
    <row r="119" spans="4:12" ht="20.100000000000001" customHeight="1" x14ac:dyDescent="0.25">
      <c r="D119" s="21"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21"/>
      <c r="H119" s="21"/>
      <c r="I119" s="21"/>
      <c r="J119" s="21"/>
      <c r="K119" s="21"/>
      <c r="L119" s="21"/>
    </row>
    <row r="120" spans="4:12" ht="20.100000000000001" customHeight="1" x14ac:dyDescent="0.25">
      <c r="D120" s="21"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21"/>
      <c r="H120" s="21"/>
      <c r="I120" s="21"/>
      <c r="J120" s="21"/>
      <c r="K120" s="21"/>
      <c r="L120" s="21"/>
    </row>
    <row r="121" spans="4:12" ht="20.100000000000001" customHeight="1" x14ac:dyDescent="0.25">
      <c r="D121" s="21"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21"/>
      <c r="H121" s="21"/>
      <c r="I121" s="21"/>
      <c r="J121" s="21"/>
      <c r="K121" s="21"/>
      <c r="L121" s="21"/>
    </row>
    <row r="122" spans="4:12" ht="20.100000000000001" customHeight="1" x14ac:dyDescent="0.25">
      <c r="D122" s="21"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21"/>
      <c r="H122" s="21"/>
      <c r="I122" s="21"/>
      <c r="J122" s="21"/>
      <c r="K122" s="21"/>
      <c r="L122" s="21"/>
    </row>
    <row r="123" spans="4:12" ht="20.100000000000001" customHeight="1" x14ac:dyDescent="0.25">
      <c r="D123" s="21"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21"/>
      <c r="H123" s="21"/>
      <c r="I123" s="21"/>
      <c r="J123" s="21"/>
      <c r="K123" s="21"/>
      <c r="L123" s="21"/>
    </row>
    <row r="124" spans="4:12" ht="20.100000000000001" customHeight="1" x14ac:dyDescent="0.25">
      <c r="D124" s="21"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21"/>
      <c r="H124" s="21"/>
      <c r="I124" s="21"/>
      <c r="J124" s="21"/>
      <c r="K124" s="21"/>
      <c r="L124" s="21"/>
    </row>
    <row r="125" spans="4:12" ht="20.100000000000001" customHeight="1" x14ac:dyDescent="0.25">
      <c r="D125" s="21"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21"/>
      <c r="H125" s="21"/>
      <c r="I125" s="21"/>
      <c r="J125" s="21"/>
      <c r="K125" s="21"/>
      <c r="L125" s="21"/>
    </row>
    <row r="126" spans="4:12" ht="20.100000000000001" customHeight="1" x14ac:dyDescent="0.25">
      <c r="D126" s="21"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21"/>
      <c r="H126" s="21"/>
      <c r="I126" s="21"/>
      <c r="J126" s="21"/>
      <c r="K126" s="21"/>
      <c r="L126" s="21"/>
    </row>
    <row r="127" spans="4:12" ht="20.100000000000001" customHeight="1" x14ac:dyDescent="0.25">
      <c r="D127" s="21"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21"/>
      <c r="H127" s="21"/>
      <c r="I127" s="21"/>
      <c r="J127" s="21"/>
      <c r="K127" s="21"/>
      <c r="L127" s="21"/>
    </row>
    <row r="128" spans="4:12" ht="20.100000000000001" customHeight="1" x14ac:dyDescent="0.25">
      <c r="D128" s="21"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21"/>
      <c r="H128" s="21"/>
      <c r="I128" s="21"/>
      <c r="J128" s="21"/>
      <c r="K128" s="21"/>
      <c r="L128" s="21"/>
    </row>
    <row r="129" spans="4:12" ht="20.100000000000001" customHeight="1" x14ac:dyDescent="0.25">
      <c r="D129" s="21"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21"/>
      <c r="H129" s="21"/>
      <c r="I129" s="21"/>
      <c r="J129" s="21"/>
      <c r="K129" s="21"/>
      <c r="L129" s="21"/>
    </row>
    <row r="130" spans="4:12" ht="20.100000000000001" customHeight="1" x14ac:dyDescent="0.25">
      <c r="D130" s="21"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21"/>
      <c r="H130" s="21"/>
      <c r="I130" s="21"/>
      <c r="J130" s="21"/>
      <c r="K130" s="21"/>
      <c r="L130" s="21"/>
    </row>
    <row r="131" spans="4:12" ht="20.100000000000001" customHeight="1" x14ac:dyDescent="0.25">
      <c r="D131" s="21"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21"/>
      <c r="H131" s="21"/>
      <c r="I131" s="21"/>
      <c r="J131" s="21"/>
      <c r="K131" s="21"/>
      <c r="L131" s="21"/>
    </row>
    <row r="132" spans="4:12" ht="20.100000000000001" customHeight="1" x14ac:dyDescent="0.25">
      <c r="D132" s="21"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21"/>
      <c r="H132" s="21"/>
      <c r="I132" s="21"/>
      <c r="J132" s="21"/>
      <c r="K132" s="21"/>
      <c r="L132" s="21"/>
    </row>
    <row r="133" spans="4:12" ht="20.100000000000001" customHeight="1" x14ac:dyDescent="0.25">
      <c r="D133" s="21"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21"/>
      <c r="H133" s="21"/>
      <c r="I133" s="21"/>
      <c r="J133" s="21"/>
      <c r="K133" s="21"/>
      <c r="L133" s="21"/>
    </row>
    <row r="134" spans="4:12" ht="20.100000000000001" customHeight="1" x14ac:dyDescent="0.25">
      <c r="D134" s="21"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21"/>
      <c r="H134" s="21"/>
      <c r="I134" s="21"/>
      <c r="J134" s="21"/>
      <c r="K134" s="21"/>
      <c r="L134" s="21"/>
    </row>
    <row r="135" spans="4:12" ht="20.100000000000001" customHeight="1" x14ac:dyDescent="0.25">
      <c r="D135" s="21"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21"/>
      <c r="H135" s="21"/>
      <c r="I135" s="21"/>
      <c r="J135" s="21"/>
      <c r="K135" s="21"/>
      <c r="L135" s="21"/>
    </row>
    <row r="136" spans="4:12" ht="20.100000000000001" customHeight="1" x14ac:dyDescent="0.25">
      <c r="D136" s="21"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21"/>
      <c r="H136" s="21"/>
      <c r="I136" s="21"/>
      <c r="J136" s="21"/>
      <c r="K136" s="21"/>
      <c r="L136" s="21"/>
    </row>
    <row r="137" spans="4:12" ht="20.100000000000001" customHeight="1" x14ac:dyDescent="0.25">
      <c r="D137" s="21"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21"/>
      <c r="H137" s="21"/>
      <c r="I137" s="21"/>
      <c r="J137" s="21"/>
      <c r="K137" s="21"/>
      <c r="L137" s="21"/>
    </row>
    <row r="138" spans="4:12" ht="20.100000000000001" customHeight="1" x14ac:dyDescent="0.25">
      <c r="D138" s="21"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21"/>
      <c r="H138" s="21"/>
      <c r="I138" s="21"/>
      <c r="J138" s="21"/>
      <c r="K138" s="21"/>
      <c r="L138" s="21"/>
    </row>
    <row r="139" spans="4:12" ht="20.100000000000001" customHeight="1" x14ac:dyDescent="0.25">
      <c r="D139" s="21"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21"/>
      <c r="H139" s="21"/>
      <c r="I139" s="21"/>
      <c r="J139" s="21"/>
      <c r="K139" s="21"/>
      <c r="L139" s="21"/>
    </row>
    <row r="140" spans="4:12" ht="20.100000000000001" customHeight="1" x14ac:dyDescent="0.25">
      <c r="D140" s="21"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21"/>
      <c r="H140" s="21"/>
      <c r="I140" s="21"/>
      <c r="J140" s="21"/>
      <c r="K140" s="21"/>
      <c r="L140" s="21"/>
    </row>
    <row r="141" spans="4:12" ht="20.100000000000001" customHeight="1" x14ac:dyDescent="0.25">
      <c r="D141" s="21"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21"/>
      <c r="H141" s="21"/>
      <c r="I141" s="21"/>
      <c r="J141" s="21"/>
      <c r="K141" s="21"/>
      <c r="L141" s="21"/>
    </row>
    <row r="142" spans="4:12" ht="20.100000000000001" customHeight="1" x14ac:dyDescent="0.25">
      <c r="D142" s="21"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21"/>
      <c r="H142" s="21"/>
      <c r="I142" s="21"/>
      <c r="J142" s="21"/>
      <c r="K142" s="21"/>
      <c r="L142" s="21"/>
    </row>
    <row r="143" spans="4:12" ht="20.100000000000001" customHeight="1" x14ac:dyDescent="0.25">
      <c r="D143" s="21"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21"/>
      <c r="H143" s="21"/>
      <c r="I143" s="21"/>
      <c r="J143" s="21"/>
      <c r="K143" s="21"/>
      <c r="L143" s="21"/>
    </row>
    <row r="144" spans="4:12" ht="20.100000000000001" customHeight="1" x14ac:dyDescent="0.25">
      <c r="D144" s="21"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21"/>
      <c r="H144" s="21"/>
      <c r="I144" s="21"/>
      <c r="J144" s="21"/>
      <c r="K144" s="21"/>
      <c r="L144" s="21"/>
    </row>
    <row r="145" spans="4:12" ht="20.100000000000001" customHeight="1" x14ac:dyDescent="0.25">
      <c r="D145" s="21"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21"/>
      <c r="H145" s="21"/>
      <c r="I145" s="21"/>
      <c r="J145" s="21"/>
      <c r="K145" s="21"/>
      <c r="L145" s="21"/>
    </row>
    <row r="146" spans="4:12" ht="20.100000000000001" customHeight="1" x14ac:dyDescent="0.25">
      <c r="D146" s="21"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21"/>
      <c r="H146" s="21"/>
      <c r="I146" s="21"/>
      <c r="J146" s="21"/>
      <c r="K146" s="21"/>
      <c r="L146" s="21"/>
    </row>
    <row r="147" spans="4:12" ht="20.100000000000001" customHeight="1" x14ac:dyDescent="0.25">
      <c r="D147" s="21"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21"/>
      <c r="H147" s="21"/>
      <c r="I147" s="21"/>
      <c r="J147" s="21"/>
      <c r="K147" s="21"/>
      <c r="L147" s="21"/>
    </row>
    <row r="148" spans="4:12" ht="20.100000000000001" customHeight="1" x14ac:dyDescent="0.25">
      <c r="D148" s="21"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21"/>
      <c r="H148" s="21"/>
      <c r="I148" s="21"/>
      <c r="J148" s="21"/>
      <c r="K148" s="21"/>
      <c r="L148" s="21"/>
    </row>
    <row r="149" spans="4:12" ht="20.100000000000001" customHeight="1" x14ac:dyDescent="0.25">
      <c r="D149" s="21"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21"/>
      <c r="H149" s="21"/>
      <c r="I149" s="21"/>
      <c r="J149" s="21"/>
      <c r="K149" s="21"/>
      <c r="L149" s="21"/>
    </row>
    <row r="150" spans="4:12" ht="20.100000000000001" customHeight="1" x14ac:dyDescent="0.25">
      <c r="D150" s="21"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21"/>
      <c r="H150" s="21"/>
      <c r="I150" s="21"/>
      <c r="J150" s="21"/>
      <c r="K150" s="21"/>
      <c r="L150" s="21"/>
    </row>
    <row r="151" spans="4:12" ht="20.100000000000001" customHeight="1" x14ac:dyDescent="0.25">
      <c r="D151" s="21"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21"/>
      <c r="H151" s="21"/>
      <c r="I151" s="21"/>
      <c r="J151" s="21"/>
      <c r="K151" s="21"/>
      <c r="L151" s="21"/>
    </row>
    <row r="152" spans="4:12" ht="20.100000000000001" customHeight="1" x14ac:dyDescent="0.25">
      <c r="D152" s="21"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21"/>
      <c r="H152" s="21"/>
      <c r="I152" s="21"/>
      <c r="J152" s="21"/>
      <c r="K152" s="21"/>
      <c r="L152" s="21"/>
    </row>
    <row r="153" spans="4:12" ht="20.100000000000001" customHeight="1" x14ac:dyDescent="0.25">
      <c r="D153" s="21"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21"/>
      <c r="H153" s="21"/>
      <c r="I153" s="21"/>
      <c r="J153" s="21"/>
      <c r="K153" s="21"/>
      <c r="L153" s="21"/>
    </row>
    <row r="154" spans="4:12" ht="20.100000000000001" customHeight="1" x14ac:dyDescent="0.25">
      <c r="D154" s="21"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21"/>
      <c r="H154" s="21"/>
      <c r="I154" s="21"/>
      <c r="J154" s="21"/>
      <c r="K154" s="21"/>
      <c r="L154" s="21"/>
    </row>
    <row r="155" spans="4:12" ht="20.100000000000001" customHeight="1" x14ac:dyDescent="0.25">
      <c r="D155" s="21"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21"/>
      <c r="H155" s="21"/>
      <c r="I155" s="21"/>
      <c r="J155" s="21"/>
      <c r="K155" s="21"/>
      <c r="L155" s="21"/>
    </row>
    <row r="156" spans="4:12" ht="20.100000000000001" customHeight="1" x14ac:dyDescent="0.25">
      <c r="D156" s="21"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21"/>
      <c r="H156" s="21"/>
      <c r="I156" s="21"/>
      <c r="J156" s="21"/>
      <c r="K156" s="21"/>
      <c r="L156" s="21"/>
    </row>
    <row r="157" spans="4:12" ht="20.100000000000001" customHeight="1" x14ac:dyDescent="0.25">
      <c r="D157" s="21"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21"/>
      <c r="H157" s="21"/>
      <c r="I157" s="21"/>
      <c r="J157" s="21"/>
      <c r="K157" s="21"/>
      <c r="L157" s="21"/>
    </row>
    <row r="158" spans="4:12" ht="20.100000000000001" customHeight="1" x14ac:dyDescent="0.25">
      <c r="D158" s="21"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21"/>
      <c r="H158" s="21"/>
      <c r="I158" s="21"/>
      <c r="J158" s="21"/>
      <c r="K158" s="21"/>
      <c r="L158" s="21"/>
    </row>
    <row r="159" spans="4:12" ht="20.100000000000001" customHeight="1" x14ac:dyDescent="0.25">
      <c r="D159" s="21"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21"/>
      <c r="H159" s="21"/>
      <c r="I159" s="21"/>
      <c r="J159" s="21"/>
      <c r="K159" s="21"/>
      <c r="L159" s="21"/>
    </row>
    <row r="160" spans="4:12" ht="20.100000000000001" customHeight="1" x14ac:dyDescent="0.25">
      <c r="D160" s="21"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21"/>
      <c r="H160" s="21"/>
      <c r="I160" s="21"/>
      <c r="J160" s="21"/>
      <c r="K160" s="21"/>
      <c r="L160" s="21"/>
    </row>
    <row r="161" spans="4:12" ht="20.100000000000001" customHeight="1" x14ac:dyDescent="0.25">
      <c r="D161" s="21"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21"/>
      <c r="H161" s="21"/>
      <c r="I161" s="21"/>
      <c r="J161" s="21"/>
      <c r="K161" s="21"/>
      <c r="L161" s="21"/>
    </row>
    <row r="162" spans="4:12" ht="20.100000000000001" customHeight="1" x14ac:dyDescent="0.25">
      <c r="D162" s="21"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21"/>
      <c r="H162" s="21"/>
      <c r="I162" s="21"/>
      <c r="J162" s="21"/>
      <c r="K162" s="21"/>
      <c r="L162" s="21"/>
    </row>
    <row r="163" spans="4:12" ht="20.100000000000001" customHeight="1" x14ac:dyDescent="0.25">
      <c r="D163" s="21"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21"/>
      <c r="H163" s="21"/>
      <c r="I163" s="21"/>
      <c r="J163" s="21"/>
      <c r="K163" s="21"/>
      <c r="L163" s="21"/>
    </row>
    <row r="164" spans="4:12" ht="20.100000000000001" customHeight="1" x14ac:dyDescent="0.25">
      <c r="D164" s="21"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21"/>
      <c r="H164" s="21"/>
      <c r="I164" s="21"/>
      <c r="J164" s="21"/>
      <c r="K164" s="21"/>
      <c r="L164" s="21"/>
    </row>
    <row r="165" spans="4:12" ht="20.100000000000001" customHeight="1" x14ac:dyDescent="0.25">
      <c r="D165" s="21"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21"/>
      <c r="H165" s="21"/>
      <c r="I165" s="21"/>
      <c r="J165" s="21"/>
      <c r="K165" s="21"/>
      <c r="L165" s="21"/>
    </row>
    <row r="166" spans="4:12" x14ac:dyDescent="0.25">
      <c r="D166" s="21"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21"/>
      <c r="H166" s="21"/>
      <c r="I166" s="21"/>
      <c r="J166" s="21"/>
      <c r="K166" s="21"/>
      <c r="L166" s="21"/>
    </row>
    <row r="167" spans="4:12" x14ac:dyDescent="0.25">
      <c r="D167" s="21"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21"/>
      <c r="H167" s="21"/>
      <c r="I167" s="21"/>
      <c r="J167" s="21"/>
      <c r="K167" s="21"/>
      <c r="L167" s="21"/>
    </row>
    <row r="168" spans="4:12" x14ac:dyDescent="0.25">
      <c r="D168" s="21"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21"/>
      <c r="H168" s="21"/>
      <c r="I168" s="21"/>
      <c r="J168" s="21"/>
      <c r="K168" s="21"/>
      <c r="L168" s="21"/>
    </row>
    <row r="169" spans="4:12" x14ac:dyDescent="0.25">
      <c r="D169" s="21"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21"/>
      <c r="H169" s="21"/>
      <c r="I169" s="21"/>
      <c r="J169" s="21"/>
      <c r="K169" s="21"/>
      <c r="L169" s="21"/>
    </row>
    <row r="170" spans="4:12" x14ac:dyDescent="0.25">
      <c r="D170" s="21"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21"/>
      <c r="H170" s="21"/>
      <c r="I170" s="21"/>
      <c r="J170" s="21"/>
      <c r="K170" s="21"/>
      <c r="L170" s="21"/>
    </row>
    <row r="171" spans="4:12" x14ac:dyDescent="0.25">
      <c r="D171" s="21"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21"/>
      <c r="H171" s="21"/>
      <c r="I171" s="21"/>
      <c r="J171" s="21"/>
      <c r="K171" s="21"/>
      <c r="L171" s="21"/>
    </row>
    <row r="172" spans="4:12" x14ac:dyDescent="0.25">
      <c r="D172" s="21"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21"/>
      <c r="H172" s="21"/>
      <c r="I172" s="21"/>
      <c r="J172" s="21"/>
      <c r="K172" s="21"/>
      <c r="L172" s="21"/>
    </row>
    <row r="173" spans="4:12" x14ac:dyDescent="0.25">
      <c r="D173" s="21"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21"/>
      <c r="H173" s="21"/>
      <c r="I173" s="21"/>
      <c r="J173" s="21"/>
      <c r="K173" s="21"/>
      <c r="L173" s="21"/>
    </row>
    <row r="174" spans="4:12" x14ac:dyDescent="0.25">
      <c r="D174" s="21"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21"/>
      <c r="H174" s="21"/>
      <c r="I174" s="21"/>
      <c r="J174" s="21"/>
      <c r="K174" s="21"/>
      <c r="L174" s="21"/>
    </row>
    <row r="175" spans="4:12" x14ac:dyDescent="0.25">
      <c r="D175" s="21"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21"/>
      <c r="H175" s="21"/>
      <c r="I175" s="21"/>
      <c r="J175" s="21"/>
      <c r="K175" s="21"/>
      <c r="L175" s="21"/>
    </row>
    <row r="176" spans="4:12" x14ac:dyDescent="0.25">
      <c r="D176" s="21"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21"/>
      <c r="H176" s="21"/>
      <c r="I176" s="21"/>
      <c r="J176" s="21"/>
      <c r="K176" s="21"/>
      <c r="L176" s="21"/>
    </row>
    <row r="177" spans="4:12" x14ac:dyDescent="0.25">
      <c r="D177" s="21"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21"/>
      <c r="H177" s="21"/>
      <c r="I177" s="21"/>
      <c r="J177" s="21"/>
      <c r="K177" s="21"/>
      <c r="L177" s="21"/>
    </row>
    <row r="178" spans="4:12" x14ac:dyDescent="0.25">
      <c r="D178" s="21"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21"/>
      <c r="H178" s="21"/>
      <c r="I178" s="21"/>
      <c r="J178" s="21"/>
      <c r="K178" s="21"/>
      <c r="L178" s="21"/>
    </row>
    <row r="179" spans="4:12" x14ac:dyDescent="0.25">
      <c r="D179" s="21"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21"/>
      <c r="H179" s="21"/>
      <c r="I179" s="21"/>
      <c r="J179" s="21"/>
      <c r="K179" s="21"/>
      <c r="L179" s="21"/>
    </row>
    <row r="180" spans="4:12" x14ac:dyDescent="0.25">
      <c r="D180" s="21"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21"/>
      <c r="H180" s="21"/>
      <c r="I180" s="21"/>
      <c r="J180" s="21"/>
      <c r="K180" s="21"/>
      <c r="L180" s="21"/>
    </row>
    <row r="181" spans="4:12" x14ac:dyDescent="0.25">
      <c r="D181" s="21"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21"/>
      <c r="H181" s="21"/>
      <c r="I181" s="21"/>
      <c r="J181" s="21"/>
      <c r="K181" s="21"/>
      <c r="L181" s="21"/>
    </row>
    <row r="182" spans="4:12" x14ac:dyDescent="0.25">
      <c r="D182" s="21"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21"/>
      <c r="H182" s="21"/>
      <c r="I182" s="21"/>
      <c r="J182" s="21"/>
      <c r="K182" s="21"/>
      <c r="L182" s="21"/>
    </row>
    <row r="183" spans="4:12" x14ac:dyDescent="0.25">
      <c r="D183" s="21"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21"/>
      <c r="H183" s="21"/>
      <c r="I183" s="21"/>
      <c r="J183" s="21"/>
      <c r="K183" s="21"/>
      <c r="L183" s="21"/>
    </row>
    <row r="184" spans="4:12" x14ac:dyDescent="0.25">
      <c r="D184" s="21"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21"/>
      <c r="H184" s="21"/>
      <c r="I184" s="21"/>
      <c r="J184" s="21"/>
      <c r="K184" s="21"/>
      <c r="L184" s="21"/>
    </row>
    <row r="185" spans="4:12" x14ac:dyDescent="0.25">
      <c r="D185" s="21"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21"/>
      <c r="H185" s="21"/>
      <c r="I185" s="21"/>
      <c r="J185" s="21"/>
      <c r="K185" s="21"/>
      <c r="L185" s="21"/>
    </row>
    <row r="186" spans="4:12" x14ac:dyDescent="0.25">
      <c r="D186" s="21"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21"/>
      <c r="H186" s="21"/>
      <c r="I186" s="21"/>
      <c r="J186" s="21"/>
      <c r="K186" s="21"/>
      <c r="L186" s="21"/>
    </row>
    <row r="187" spans="4:12" x14ac:dyDescent="0.25">
      <c r="D187" s="21"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21"/>
      <c r="H187" s="21"/>
      <c r="I187" s="21"/>
      <c r="J187" s="21"/>
      <c r="K187" s="21"/>
      <c r="L187" s="21"/>
    </row>
    <row r="188" spans="4:12" x14ac:dyDescent="0.25">
      <c r="D188" s="21"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21"/>
      <c r="H188" s="21"/>
      <c r="I188" s="21"/>
      <c r="J188" s="21"/>
      <c r="K188" s="21"/>
      <c r="L188" s="21"/>
    </row>
    <row r="189" spans="4:12" x14ac:dyDescent="0.25">
      <c r="D189" s="21"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21"/>
      <c r="H189" s="21"/>
      <c r="I189" s="21"/>
      <c r="J189" s="21"/>
      <c r="K189" s="21"/>
      <c r="L189" s="21"/>
    </row>
    <row r="190" spans="4:12" x14ac:dyDescent="0.25">
      <c r="D190" s="21"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21"/>
      <c r="H190" s="21"/>
      <c r="I190" s="21"/>
      <c r="J190" s="21"/>
      <c r="K190" s="21"/>
      <c r="L190" s="21"/>
    </row>
    <row r="191" spans="4:12" x14ac:dyDescent="0.25">
      <c r="D191" s="21"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21"/>
      <c r="H191" s="21"/>
      <c r="I191" s="21"/>
      <c r="J191" s="21"/>
      <c r="K191" s="21"/>
      <c r="L191" s="21"/>
    </row>
    <row r="192" spans="4:12" x14ac:dyDescent="0.25">
      <c r="D192" s="21"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21"/>
      <c r="H192" s="21"/>
      <c r="I192" s="21"/>
      <c r="J192" s="21"/>
      <c r="K192" s="21"/>
      <c r="L192" s="21"/>
    </row>
    <row r="193" spans="4:12" x14ac:dyDescent="0.25">
      <c r="D193" s="21"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21"/>
      <c r="H193" s="21"/>
      <c r="I193" s="21"/>
      <c r="J193" s="21"/>
      <c r="K193" s="21"/>
      <c r="L193" s="21"/>
    </row>
    <row r="194" spans="4:12" x14ac:dyDescent="0.25">
      <c r="D194" s="21"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21"/>
      <c r="H194" s="21"/>
      <c r="I194" s="21"/>
      <c r="J194" s="21"/>
      <c r="K194" s="21"/>
      <c r="L194" s="21"/>
    </row>
    <row r="195" spans="4:12" x14ac:dyDescent="0.25">
      <c r="D195" s="21"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21"/>
      <c r="H195" s="21"/>
      <c r="I195" s="21"/>
      <c r="J195" s="21"/>
      <c r="K195" s="21"/>
      <c r="L195" s="21"/>
    </row>
    <row r="196" spans="4:12" x14ac:dyDescent="0.25">
      <c r="D196" s="21"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21"/>
      <c r="H196" s="21"/>
      <c r="I196" s="21"/>
      <c r="J196" s="21"/>
      <c r="K196" s="21"/>
      <c r="L196" s="21"/>
    </row>
    <row r="197" spans="4:12" x14ac:dyDescent="0.25">
      <c r="D197" s="21"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21"/>
      <c r="H197" s="21"/>
      <c r="I197" s="21"/>
      <c r="J197" s="21"/>
      <c r="K197" s="21"/>
      <c r="L197" s="21"/>
    </row>
    <row r="198" spans="4:12" x14ac:dyDescent="0.25">
      <c r="D198" s="21"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21"/>
      <c r="H198" s="21"/>
      <c r="I198" s="21"/>
      <c r="J198" s="21"/>
      <c r="K198" s="21"/>
      <c r="L198" s="21"/>
    </row>
    <row r="199" spans="4:12" x14ac:dyDescent="0.25">
      <c r="D199" s="21"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21"/>
      <c r="H199" s="21"/>
      <c r="I199" s="21"/>
      <c r="J199" s="21"/>
      <c r="K199" s="21"/>
      <c r="L199" s="21"/>
    </row>
    <row r="200" spans="4:12" x14ac:dyDescent="0.25">
      <c r="D200" s="21"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21"/>
      <c r="H200" s="21"/>
      <c r="I200" s="21"/>
      <c r="J200" s="21"/>
      <c r="K200" s="21"/>
      <c r="L200" s="21"/>
    </row>
    <row r="201" spans="4:12" x14ac:dyDescent="0.25">
      <c r="D201" s="21"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21"/>
      <c r="H201" s="21"/>
      <c r="I201" s="21"/>
      <c r="J201" s="21"/>
      <c r="K201" s="21"/>
      <c r="L201" s="21"/>
    </row>
    <row r="202" spans="4:12" x14ac:dyDescent="0.25">
      <c r="D202" s="21"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21"/>
      <c r="H202" s="21"/>
      <c r="I202" s="21"/>
      <c r="J202" s="21"/>
      <c r="K202" s="21"/>
      <c r="L202" s="21"/>
    </row>
    <row r="203" spans="4:12" x14ac:dyDescent="0.25">
      <c r="D203" s="21"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21"/>
      <c r="H203" s="21"/>
      <c r="I203" s="21"/>
      <c r="J203" s="21"/>
      <c r="K203" s="21"/>
      <c r="L203" s="21"/>
    </row>
    <row r="204" spans="4:12" x14ac:dyDescent="0.25">
      <c r="D204" s="21"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21"/>
      <c r="H204" s="21"/>
      <c r="I204" s="21"/>
      <c r="J204" s="21"/>
      <c r="K204" s="21"/>
      <c r="L204" s="21"/>
    </row>
    <row r="205" spans="4:12" x14ac:dyDescent="0.25">
      <c r="D205" s="21"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21"/>
      <c r="H205" s="21"/>
      <c r="I205" s="21"/>
      <c r="J205" s="21"/>
      <c r="K205" s="21"/>
      <c r="L205" s="21"/>
    </row>
    <row r="206" spans="4:12" x14ac:dyDescent="0.25">
      <c r="D206" s="21"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21"/>
      <c r="H206" s="21"/>
      <c r="I206" s="21"/>
      <c r="J206" s="21"/>
      <c r="K206" s="21"/>
      <c r="L206" s="21"/>
    </row>
    <row r="207" spans="4:12" x14ac:dyDescent="0.25">
      <c r="D207" s="21"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21"/>
      <c r="H207" s="21"/>
      <c r="I207" s="21"/>
      <c r="J207" s="21"/>
      <c r="K207" s="21"/>
      <c r="L207" s="21"/>
    </row>
    <row r="208" spans="4:12" x14ac:dyDescent="0.25">
      <c r="D208" s="21"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21"/>
      <c r="H208" s="21"/>
      <c r="I208" s="21"/>
      <c r="J208" s="21"/>
      <c r="K208" s="21"/>
      <c r="L208" s="21"/>
    </row>
    <row r="209" spans="4:12" x14ac:dyDescent="0.25">
      <c r="D209" s="21"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21"/>
      <c r="H209" s="21"/>
      <c r="I209" s="21"/>
      <c r="J209" s="21"/>
      <c r="K209" s="21"/>
      <c r="L209" s="21"/>
    </row>
    <row r="210" spans="4:12" x14ac:dyDescent="0.25">
      <c r="D210" s="21"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21"/>
      <c r="H210" s="21"/>
      <c r="I210" s="21"/>
      <c r="J210" s="21"/>
      <c r="K210" s="21"/>
      <c r="L210" s="21"/>
    </row>
    <row r="211" spans="4:12" x14ac:dyDescent="0.25">
      <c r="D211" s="21"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21"/>
      <c r="H211" s="21"/>
      <c r="I211" s="21"/>
      <c r="J211" s="21"/>
      <c r="K211" s="21"/>
      <c r="L211" s="21"/>
    </row>
    <row r="212" spans="4:12" x14ac:dyDescent="0.25">
      <c r="D212" s="21"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21"/>
      <c r="H212" s="21"/>
      <c r="I212" s="21"/>
      <c r="J212" s="21"/>
      <c r="K212" s="21"/>
      <c r="L212" s="21"/>
    </row>
    <row r="213" spans="4:12" x14ac:dyDescent="0.25">
      <c r="D213" s="21"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21"/>
      <c r="H213" s="21"/>
      <c r="I213" s="21"/>
      <c r="J213" s="21"/>
      <c r="K213" s="21"/>
      <c r="L213" s="21"/>
    </row>
    <row r="214" spans="4:12" x14ac:dyDescent="0.25">
      <c r="D214" s="21"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21"/>
      <c r="H214" s="21"/>
      <c r="I214" s="21"/>
      <c r="J214" s="21"/>
    </row>
    <row r="215" spans="4:12" x14ac:dyDescent="0.25">
      <c r="D215" s="21"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21"/>
      <c r="H215" s="21"/>
      <c r="I215" s="21"/>
      <c r="J215" s="21"/>
    </row>
    <row r="216" spans="4:12" x14ac:dyDescent="0.25">
      <c r="D216" s="21"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21"/>
      <c r="H216" s="21"/>
      <c r="I216" s="21"/>
      <c r="J216" s="21"/>
    </row>
    <row r="217" spans="4:12" x14ac:dyDescent="0.25">
      <c r="D217" s="21"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21"/>
      <c r="H217" s="21"/>
      <c r="I217" s="21"/>
      <c r="J217" s="21"/>
    </row>
    <row r="218" spans="4:12" x14ac:dyDescent="0.25">
      <c r="D218" s="21"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21"/>
      <c r="H218" s="21"/>
      <c r="I218" s="21"/>
      <c r="J218" s="21"/>
    </row>
    <row r="219" spans="4:12" x14ac:dyDescent="0.25">
      <c r="D219" s="21"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21"/>
      <c r="H219" s="21"/>
      <c r="I219" s="21"/>
      <c r="J219" s="21"/>
    </row>
    <row r="220" spans="4:12" x14ac:dyDescent="0.25">
      <c r="D220" s="21"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21"/>
      <c r="H220" s="21"/>
      <c r="I220" s="21"/>
      <c r="J220" s="21"/>
    </row>
    <row r="221" spans="4:12" x14ac:dyDescent="0.25">
      <c r="D221" s="21"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21"/>
      <c r="H221" s="21"/>
      <c r="I221" s="21"/>
      <c r="J221" s="21"/>
    </row>
    <row r="222" spans="4:12" x14ac:dyDescent="0.25">
      <c r="D222" s="21"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21"/>
      <c r="H222" s="21"/>
      <c r="I222" s="21"/>
      <c r="J222" s="21"/>
    </row>
    <row r="223" spans="4:12" x14ac:dyDescent="0.25">
      <c r="D223" s="21"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21"/>
      <c r="H223" s="21"/>
      <c r="I223" s="21"/>
      <c r="J223" s="21"/>
    </row>
    <row r="224" spans="4:12" x14ac:dyDescent="0.25">
      <c r="D224" s="21"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21"/>
      <c r="H224" s="21"/>
      <c r="I224" s="21"/>
      <c r="J224" s="21"/>
    </row>
    <row r="225" spans="4:10" x14ac:dyDescent="0.25">
      <c r="D225" s="21"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21"/>
      <c r="H225" s="21"/>
      <c r="I225" s="21"/>
      <c r="J225" s="21"/>
    </row>
    <row r="226" spans="4:10" x14ac:dyDescent="0.25">
      <c r="D226" s="21"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21"/>
      <c r="H226" s="21"/>
      <c r="I226" s="21"/>
      <c r="J226" s="21"/>
    </row>
    <row r="227" spans="4:10" x14ac:dyDescent="0.25">
      <c r="D227" s="21"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21"/>
      <c r="H227" s="21"/>
      <c r="I227" s="21"/>
      <c r="J227" s="21"/>
    </row>
    <row r="228" spans="4:10" x14ac:dyDescent="0.25">
      <c r="D228" s="21"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21"/>
      <c r="H228" s="21"/>
    </row>
    <row r="229" spans="4:10" x14ac:dyDescent="0.25">
      <c r="D229" s="21"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21"/>
    </row>
    <row r="230" spans="4:10" x14ac:dyDescent="0.25">
      <c r="D230" s="21"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21"/>
    </row>
    <row r="231" spans="4:10" x14ac:dyDescent="0.25">
      <c r="D231" s="21"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21"/>
    </row>
    <row r="232" spans="4:10" x14ac:dyDescent="0.25">
      <c r="D232" s="21"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21"/>
    </row>
    <row r="233" spans="4:10" x14ac:dyDescent="0.25">
      <c r="D233" s="21"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21"/>
    </row>
    <row r="234" spans="4:10" x14ac:dyDescent="0.25">
      <c r="D234" s="21"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21"/>
    </row>
    <row r="235" spans="4:10" x14ac:dyDescent="0.25">
      <c r="D235" s="21"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21"/>
    </row>
  </sheetData>
  <phoneticPr fontId="23" type="noConversion"/>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FBE4AC-3708-4DC1-A53B-3ECBA4712D1C}">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69</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41" t="s">
        <v>1</v>
      </c>
      <c r="D6" s="36" t="s">
        <v>16</v>
      </c>
      <c r="E6" s="36" t="s">
        <v>17</v>
      </c>
      <c r="F6" s="36" t="s">
        <v>18</v>
      </c>
    </row>
    <row r="7" spans="1:65" ht="20.100000000000001" customHeight="1" x14ac:dyDescent="0.25">
      <c r="A7" s="128"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19</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22</v>
      </c>
      <c r="E36" s="36" t="s">
        <v>23</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22</v>
      </c>
      <c r="E47" s="36" t="s">
        <v>25</v>
      </c>
      <c r="F47" s="36" t="s">
        <v>26</v>
      </c>
      <c r="G47" s="36" t="s">
        <v>27</v>
      </c>
      <c r="H47" s="36" t="s">
        <v>28</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2" t="str" cm="1">
        <f t="array" ref="D59:D61">"⚠️" &amp; Common_SourceData.Common_SourceData_WetAndDryZones_Variation()</f>
        <v>⚠️VARIATION OF SOURCE DATA:</v>
      </c>
    </row>
    <row r="60" spans="1:8" ht="20.100000000000001" customHeight="1" x14ac:dyDescent="0.25">
      <c r="A60"/>
      <c r="D60" s="52" t="str">
        <v>⚠️Added warm / cool temperate moist / dry - low frost and high temp classes to accommodate climate scenarios excluded by VEERG criteria.</v>
      </c>
    </row>
    <row r="61" spans="1:8" ht="20.100000000000001" customHeight="1" x14ac:dyDescent="0.25">
      <c r="A61"/>
      <c r="D61" s="52" t="str">
        <v>⚠️Fixed typo - Changed 'Fry' to 'Dry'.</v>
      </c>
    </row>
    <row r="62" spans="1:8" ht="20.100000000000001" customHeight="1" x14ac:dyDescent="0.25">
      <c r="A62"/>
    </row>
    <row r="63" spans="1:8" ht="20.100000000000001" customHeight="1" x14ac:dyDescent="0.25">
      <c r="A63"/>
      <c r="D63" s="36" t="s">
        <v>7</v>
      </c>
      <c r="E63" s="36" t="s">
        <v>43</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2" t="str" cm="1">
        <f t="array" ref="D83:D87">"⚠️" &amp; Common_SourceData.Common_SourceData_ClimateZones_Variation()</f>
        <v>⚠️VARIATION OF SOURCE DATA:</v>
      </c>
    </row>
    <row r="84" spans="1:20" ht="20.100000000000001" customHeight="1" x14ac:dyDescent="0.25">
      <c r="A84"/>
      <c r="D84" s="52" t="str">
        <v>⚠️Added warm / cool temperate moist / dry - low frost and high temp classes to accommodate climate scenarios excluded by VEERG criteria.</v>
      </c>
    </row>
    <row r="85" spans="1:20" ht="20.100000000000001" customHeight="1" x14ac:dyDescent="0.25">
      <c r="A85"/>
      <c r="D85" s="52" t="str">
        <v>⚠️Fixed typo in MAT value for warm temperate dry - changed 10 to 11.</v>
      </c>
    </row>
    <row r="86" spans="1:20" ht="20.100000000000001" customHeight="1" x14ac:dyDescent="0.25">
      <c r="A86"/>
      <c r="D86" s="52" t="str">
        <v>⚠️Added min and max columns for MAT, MAP, frost days per year, elevation, MAP:PET to calculate zones from real climate data.</v>
      </c>
    </row>
    <row r="87" spans="1:20" ht="20.100000000000001" customHeight="1" x14ac:dyDescent="0.25">
      <c r="A87"/>
      <c r="D87" s="52" t="str">
        <v>⚠️GAF accepts rainfall as a proxy for precipitation.</v>
      </c>
    </row>
    <row r="88" spans="1:20" ht="20.100000000000001" customHeight="1" x14ac:dyDescent="0.25">
      <c r="A88"/>
    </row>
    <row r="89" spans="1:20" ht="20.100000000000001" customHeight="1" x14ac:dyDescent="0.25">
      <c r="A89"/>
      <c r="D89" s="36" t="s">
        <v>7</v>
      </c>
      <c r="E89" s="36" t="s">
        <v>31</v>
      </c>
      <c r="F89" s="36" t="s">
        <v>32</v>
      </c>
      <c r="G89" s="36" t="s">
        <v>33</v>
      </c>
      <c r="H89" s="36" t="s">
        <v>34</v>
      </c>
      <c r="I89" s="36" t="s">
        <v>35</v>
      </c>
      <c r="J89" s="36" t="s">
        <v>36</v>
      </c>
      <c r="K89" s="36" t="s">
        <v>37</v>
      </c>
      <c r="L89" s="36" t="s">
        <v>38</v>
      </c>
      <c r="M89" s="36" t="s">
        <v>39</v>
      </c>
      <c r="N89" s="36" t="s">
        <v>40</v>
      </c>
      <c r="O89" s="36" t="s">
        <v>44</v>
      </c>
      <c r="P89" s="36" t="s">
        <v>41</v>
      </c>
      <c r="Q89" s="36" t="s">
        <v>45</v>
      </c>
      <c r="R89" s="36" t="s">
        <v>42</v>
      </c>
      <c r="S89" s="36" t="s">
        <v>46</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1" t="str" cm="1">
        <f t="array" ref="D99:D102">Common_SourceData.Common_SourceData_ClimateZones_Appendices()</f>
        <v>Note:</v>
      </c>
    </row>
    <row r="100" spans="1:20" ht="20.100000000000001" customHeight="1" x14ac:dyDescent="0.25">
      <c r="A100"/>
      <c r="D100" s="51" t="str">
        <v>MAT = mean annual temperature</v>
      </c>
    </row>
    <row r="101" spans="1:20" ht="20.100000000000001" customHeight="1" x14ac:dyDescent="0.25">
      <c r="A101"/>
      <c r="D101" s="51" t="str">
        <v>MAP = mean annual precipitation</v>
      </c>
    </row>
    <row r="102" spans="1:20" ht="20.100000000000001" customHeight="1" x14ac:dyDescent="0.25">
      <c r="A102"/>
      <c r="D102" s="51" t="str">
        <v>PET = potential evapotranspiration</v>
      </c>
    </row>
    <row r="103" spans="1:20" ht="20.100000000000001" customHeight="1" x14ac:dyDescent="0.25">
      <c r="A103"/>
      <c r="D103" s="51"/>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2"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50</v>
      </c>
      <c r="E109" s="36" t="s">
        <v>31</v>
      </c>
      <c r="F109" s="36" t="s">
        <v>51</v>
      </c>
      <c r="G109" s="36" t="s">
        <v>52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2"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53</v>
      </c>
      <c r="E119" s="36" t="s">
        <v>54</v>
      </c>
      <c r="F119" s="36" t="s">
        <v>38</v>
      </c>
      <c r="G119" s="36" t="s">
        <v>39</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60</v>
      </c>
      <c r="E127" s="36" t="s">
        <v>61</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1"/>
    </row>
    <row r="133" spans="1:77" ht="20.100000000000001" customHeight="1" x14ac:dyDescent="0.25">
      <c r="A133"/>
      <c r="D133" s="5" t="str" cm="1">
        <f t="array" ref="D133">Common_SourceData.Common_SourceData_FracWET_Source()</f>
        <v>VEERG 2026:5.5.2.3 Constant Parameters</v>
      </c>
      <c r="E133" s="21"/>
    </row>
    <row r="134" spans="1:77" ht="20.100000000000001" customHeight="1" x14ac:dyDescent="0.25">
      <c r="A134"/>
      <c r="D134" t="s">
        <v>73</v>
      </c>
      <c r="E134" t="s">
        <v>74</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90</v>
      </c>
      <c r="E142" s="36" t="s">
        <v>74</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62</v>
      </c>
      <c r="E153" s="36" t="s">
        <v>63</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1"/>
    </row>
    <row r="162" spans="4:68" ht="20.100000000000001" customHeight="1" x14ac:dyDescent="0.25">
      <c r="D162" s="5" t="str" cm="1">
        <f t="array" ref="D162">Common_SourceData.Common_SourceData_FracLEACH_Source()</f>
        <v>VEERG 2026:5.5.2.3 Constant Parameters</v>
      </c>
      <c r="E162" s="21"/>
    </row>
    <row r="163" spans="4:68" ht="20.100000000000001" customHeight="1" x14ac:dyDescent="0.25">
      <c r="D163" s="5"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1" t="str" cm="1">
        <f t="array" ref="D180">Common_SourceData.Common_SourceData_EFN2O_Unit()</f>
        <v>(kg N2O-N / kg N</v>
      </c>
    </row>
    <row r="181" spans="4:68" ht="20.100000000000001" customHeight="1" x14ac:dyDescent="0.25">
      <c r="D181" s="52" t="str" cm="1">
        <f t="array" ref="D181:D185">Common_SourceData.Common_SourceData_EFN2O_Variation()</f>
        <v>VARIATION OF SOURCE DATA:</v>
      </c>
    </row>
    <row r="182" spans="4:68" ht="20.100000000000001" customHeight="1" x14ac:dyDescent="0.25">
      <c r="D182" s="52" t="str">
        <v>Removed duplicate 'Aquaculture' row.</v>
      </c>
    </row>
    <row r="183" spans="4:68" ht="20.100000000000001" customHeight="1" x14ac:dyDescent="0.25">
      <c r="D183" s="52" t="str">
        <v>Removed asterisks to aid lookup.</v>
      </c>
    </row>
    <row r="184" spans="4:68" ht="20.100000000000001" customHeight="1" x14ac:dyDescent="0.25">
      <c r="D184" s="52" t="str">
        <v>Added 'production system only', 'rainfall zone' and 'irrigation method' columns to aid lookup.</v>
      </c>
    </row>
    <row r="185" spans="4:68" ht="20.100000000000001" customHeight="1" x14ac:dyDescent="0.25">
      <c r="D185" s="52" t="str">
        <v>Duplicated 'non-irrigated pasture' row with same EF for low and high rainfall zones to aid lookup.</v>
      </c>
    </row>
    <row r="186" spans="4:68" ht="20.100000000000001" customHeight="1" x14ac:dyDescent="0.25">
      <c r="D186" s="36" t="s">
        <v>82</v>
      </c>
      <c r="E186" s="36" t="s">
        <v>83</v>
      </c>
      <c r="F186" s="36" t="s">
        <v>84</v>
      </c>
      <c r="G186" s="36" t="s">
        <v>85</v>
      </c>
      <c r="H186" s="36" t="s">
        <v>30</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2" t="str" cm="1">
        <f t="array" ref="D204">Common_SourceData.Common_SourceData_EFPastureRangeAndPaddock_Variation()</f>
        <v>VARIATION FROM SOURCE DATA: Changed 'Dry climate zones' to singular 'Dry climate zone' to aid lookup.</v>
      </c>
    </row>
    <row r="205" spans="4:8" x14ac:dyDescent="0.25">
      <c r="D205" s="51" t="str" cm="1">
        <f t="array" ref="D205">Common_SourceData.Common_SourceData_EFPastureRangeAndPaddock_Unit()</f>
        <v>kg N2O - N / kg N</v>
      </c>
    </row>
    <row r="206" spans="4:8" x14ac:dyDescent="0.25">
      <c r="D206" s="36" t="s">
        <v>7</v>
      </c>
      <c r="E206" s="36" t="s">
        <v>92</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89</v>
      </c>
      <c r="E212" s="36" t="s">
        <v>97</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47</v>
      </c>
      <c r="E231" s="36" t="s">
        <v>111</v>
      </c>
      <c r="F231" s="35" t="s">
        <v>112</v>
      </c>
      <c r="G231" s="36" t="s">
        <v>103</v>
      </c>
      <c r="H231" s="36" t="s">
        <v>113</v>
      </c>
      <c r="I231" s="36" t="s">
        <v>114</v>
      </c>
      <c r="J231" s="36" t="s">
        <v>102</v>
      </c>
      <c r="K231" s="36" t="s">
        <v>101</v>
      </c>
      <c r="L231" s="36" t="s">
        <v>115</v>
      </c>
      <c r="M231" s="36" t="s">
        <v>116</v>
      </c>
      <c r="N231" s="36" t="s">
        <v>100</v>
      </c>
      <c r="O231" s="36" t="s">
        <v>117</v>
      </c>
      <c r="P231" s="36" t="s">
        <v>105</v>
      </c>
      <c r="Q231" s="36" t="s">
        <v>106</v>
      </c>
      <c r="R231" s="36" t="s">
        <v>104</v>
      </c>
      <c r="S231" s="36" t="s">
        <v>118</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1" t="str" cm="1">
        <f t="array" ref="D256">Common_SourceData.Common_SourceData_EFOrganicFertiliserAndCropResidues_Unit()</f>
        <v>kg N2O - N / kg N</v>
      </c>
    </row>
    <row r="257" spans="4:6" x14ac:dyDescent="0.25">
      <c r="D257" s="36" t="s">
        <v>119</v>
      </c>
      <c r="E257" s="36" t="s">
        <v>120</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235</v>
      </c>
    </row>
    <row r="264" spans="4:6" x14ac:dyDescent="0.25">
      <c r="D264" s="1" t="s">
        <v>236</v>
      </c>
    </row>
    <row r="265" spans="4:6" x14ac:dyDescent="0.25">
      <c r="D265" s="36" t="s">
        <v>237</v>
      </c>
      <c r="E265" s="36" t="s">
        <v>238</v>
      </c>
      <c r="F265" s="36" t="s">
        <v>239</v>
      </c>
    </row>
    <row r="266" spans="4:6" x14ac:dyDescent="0.25">
      <c r="D266" s="36" t="s">
        <v>240</v>
      </c>
      <c r="E266" s="36" t="s">
        <v>241</v>
      </c>
      <c r="F266" s="36">
        <v>5</v>
      </c>
    </row>
    <row r="267" spans="4:6" x14ac:dyDescent="0.25">
      <c r="D267" s="36" t="s">
        <v>242</v>
      </c>
      <c r="E267" s="36" t="s">
        <v>243</v>
      </c>
      <c r="F267" s="36">
        <v>4</v>
      </c>
    </row>
    <row r="268" spans="4:6" x14ac:dyDescent="0.25">
      <c r="D268" s="36" t="s">
        <v>244</v>
      </c>
      <c r="E268" s="36" t="s">
        <v>245</v>
      </c>
      <c r="F268" s="36">
        <v>3</v>
      </c>
    </row>
    <row r="269" spans="4:6" x14ac:dyDescent="0.25">
      <c r="D269" s="36" t="s">
        <v>246</v>
      </c>
      <c r="E269" s="36" t="s">
        <v>247</v>
      </c>
      <c r="F269" s="36">
        <v>2</v>
      </c>
    </row>
    <row r="270" spans="4:6" x14ac:dyDescent="0.25">
      <c r="D270" s="36" t="s">
        <v>248</v>
      </c>
      <c r="E270" s="36" t="s">
        <v>249</v>
      </c>
      <c r="F270" s="36">
        <v>1</v>
      </c>
    </row>
    <row r="273" spans="4:6" x14ac:dyDescent="0.25">
      <c r="D273" s="1" t="s">
        <v>250</v>
      </c>
    </row>
    <row r="274" spans="4:6" x14ac:dyDescent="0.25">
      <c r="D274" s="36" t="s">
        <v>237</v>
      </c>
      <c r="E274" s="36" t="s">
        <v>238</v>
      </c>
      <c r="F274" s="36" t="s">
        <v>239</v>
      </c>
    </row>
    <row r="275" spans="4:6" x14ac:dyDescent="0.25">
      <c r="D275" s="36" t="s">
        <v>251</v>
      </c>
      <c r="E275" s="36" t="s">
        <v>252</v>
      </c>
      <c r="F275" s="36">
        <v>5</v>
      </c>
    </row>
    <row r="276" spans="4:6" x14ac:dyDescent="0.25">
      <c r="D276" s="36" t="s">
        <v>253</v>
      </c>
      <c r="E276" s="36" t="s">
        <v>254</v>
      </c>
      <c r="F276" s="36">
        <v>4</v>
      </c>
    </row>
    <row r="277" spans="4:6" x14ac:dyDescent="0.25">
      <c r="D277" s="36" t="s">
        <v>255</v>
      </c>
      <c r="E277" s="36" t="s">
        <v>256</v>
      </c>
      <c r="F277" s="36">
        <v>3</v>
      </c>
    </row>
    <row r="278" spans="4:6" x14ac:dyDescent="0.25">
      <c r="D278" s="36" t="s">
        <v>257</v>
      </c>
      <c r="E278" s="36" t="s">
        <v>258</v>
      </c>
      <c r="F278" s="36">
        <v>2</v>
      </c>
    </row>
    <row r="279" spans="4:6" x14ac:dyDescent="0.25">
      <c r="D279" s="36" t="s">
        <v>259</v>
      </c>
      <c r="E279" s="36" t="s">
        <v>260</v>
      </c>
      <c r="F279" s="36">
        <v>1</v>
      </c>
    </row>
    <row r="282" spans="4:6" x14ac:dyDescent="0.25">
      <c r="D282" s="1" t="s">
        <v>261</v>
      </c>
    </row>
    <row r="283" spans="4:6" x14ac:dyDescent="0.25">
      <c r="D283" s="36" t="s">
        <v>237</v>
      </c>
      <c r="E283" s="36" t="s">
        <v>238</v>
      </c>
      <c r="F283" s="36" t="s">
        <v>239</v>
      </c>
    </row>
    <row r="284" spans="4:6" x14ac:dyDescent="0.25">
      <c r="D284" s="36" t="s">
        <v>262</v>
      </c>
      <c r="E284" s="36" t="s">
        <v>263</v>
      </c>
      <c r="F284" s="36">
        <v>5</v>
      </c>
    </row>
    <row r="285" spans="4:6" x14ac:dyDescent="0.25">
      <c r="D285" s="36" t="s">
        <v>264</v>
      </c>
      <c r="E285" s="36" t="s">
        <v>265</v>
      </c>
      <c r="F285" s="36">
        <v>4</v>
      </c>
    </row>
    <row r="286" spans="4:6" x14ac:dyDescent="0.25">
      <c r="D286" s="36" t="s">
        <v>266</v>
      </c>
      <c r="E286" s="36" t="s">
        <v>267</v>
      </c>
      <c r="F286" s="36">
        <v>3</v>
      </c>
    </row>
    <row r="287" spans="4:6" x14ac:dyDescent="0.25">
      <c r="D287" s="36" t="s">
        <v>268</v>
      </c>
      <c r="E287" s="36" t="s">
        <v>269</v>
      </c>
      <c r="F287" s="36">
        <v>2</v>
      </c>
    </row>
    <row r="288" spans="4:6" x14ac:dyDescent="0.25">
      <c r="D288" s="36" t="s">
        <v>270</v>
      </c>
      <c r="E288" s="36" t="s">
        <v>271</v>
      </c>
      <c r="F288" s="36">
        <v>1</v>
      </c>
    </row>
    <row r="291" spans="4:6" x14ac:dyDescent="0.25">
      <c r="D291" s="1" t="s">
        <v>272</v>
      </c>
    </row>
    <row r="292" spans="4:6" x14ac:dyDescent="0.25">
      <c r="D292" s="36" t="s">
        <v>237</v>
      </c>
      <c r="E292" s="36" t="s">
        <v>238</v>
      </c>
      <c r="F292" s="36" t="s">
        <v>239</v>
      </c>
    </row>
    <row r="293" spans="4:6" x14ac:dyDescent="0.25">
      <c r="D293" s="36" t="s">
        <v>273</v>
      </c>
      <c r="E293" s="36" t="s">
        <v>274</v>
      </c>
      <c r="F293" s="36">
        <v>5</v>
      </c>
    </row>
    <row r="294" spans="4:6" x14ac:dyDescent="0.25">
      <c r="D294" s="36" t="s">
        <v>275</v>
      </c>
      <c r="E294" s="36" t="s">
        <v>276</v>
      </c>
      <c r="F294" s="36">
        <v>4</v>
      </c>
    </row>
    <row r="295" spans="4:6" x14ac:dyDescent="0.25">
      <c r="D295" s="36" t="s">
        <v>277</v>
      </c>
      <c r="E295" s="36" t="s">
        <v>278</v>
      </c>
      <c r="F295" s="36">
        <v>3</v>
      </c>
    </row>
    <row r="296" spans="4:6" x14ac:dyDescent="0.25">
      <c r="D296" s="36" t="s">
        <v>279</v>
      </c>
      <c r="E296" s="36" t="s">
        <v>280</v>
      </c>
      <c r="F296" s="36">
        <v>2</v>
      </c>
    </row>
    <row r="297" spans="4:6" x14ac:dyDescent="0.25">
      <c r="D297" s="36" t="s">
        <v>281</v>
      </c>
      <c r="E297" s="36" t="s">
        <v>282</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QQBnAHIAZQBzAGkAZAB1AGUAXwBTAG8AdQByAGMAZQBEAGEAdABhACIALAAiAHQAZQB4AHQAIgA6ACIALwAqAFwAbgA9AD0APQA9AD0APQA9AD0APQA9AD0APQA9AD0APQA9AD0APQA9AD0APQA9AD0APQA9AD0APQA9AD0APQA9AD0APQA9AD0APQA9AD0APQA9AD0APQA9AD0APQA9AD0APQA9AD0APQA9AD0APQA9AD0APQA9AD0APQA9AD0APQA9AD0APQA9AD0APQA9AD0APQA9AD0APQA9AFwAbgBDAHIAbwBwACAAcAB1AHIAcABvAHMAZQAgAGEAbgBkACAAeQBpAGUAbABkAFwAbgA9AD0APQA9AD0APQA9AD0APQA9AD0APQA9AD0APQA9AD0APQA9AD0APQA9AD0APQA9AD0APQA9AD0APQA9AD0APQA9AD0APQA9AD0APQA9AD0APQA9AD0APQA9AD0APQA9AD0APQA9AD0APQA9AD0APQA9AD0APQA9AD0APQA9AD0APQA9AD0APQA9AD0APQA9AD0APQA9AFwAbgAqAC8AXABuAFwAbgBDAHIAbwBwAFAAdQByAHAAbwBzAGUAQQBuAGQAWQBpAGUAbABkAF8AVABpAHQAbABlAFwAbgA9AEwAQQBNAEIARABBACgAKABcACIAQwByAG8AcAAgAHAAdQByAHAAbwBzAGUAIABhAG4AZAAgAHkAaQBlAGwAZABcACIAKQApADsAXABuAFwAbgBDAHIAbwBwAFAAdQByAHAAbwBzAGUAQQBuAGQAWQBpAGUAbABkAF8ARABhAHQAYQBcAG4APQBMAEEATQBCAEQAQQAoAFwAbgAgACAATQBBAEsARQBBAFIAUgBBAFkAKAA0ACwAIAA4ACwAXABuACAAIAAgACAATABBAE0AQgBEAEEAKAByACwAYwAsAFwAbgAgACAAIAAgACAAIABJAE4ARABFAFgAKAB7AFwAbgAgACAAIAAgACAAIAAgACAAXAAiAFAAdQByAHAAbwBzAGUAXAAiACwAIABcACIAUABlAHIAIABoAGUAYwB0AGEAcgBlACAAdQBuAGkAdABcACIALAAgAFwAIgBoAGEAcgB2AGUAcwB0ACAAdABlAHIAbQBcACIALAAgAFwAIgBoAGEAcgB2AGUAcwB0ACAAZQBuAGQAcABvAGkAbgB0AFwAIgAsACAAXAAiAEgAYQByAHYAZQBzAHQAIAB1AGkAdABcACIALAAgAFwAIgBZAGkAZQBsAGQAIABuAG8AdABlAFwAIgAsACAAXAAiAFIAZQBzAGkAZAB1AGUAIABjAHIAbwBwACAAcgBhAHQAaQBvACAAbgBvAHQAZQBcACIALAAgAFwAIgBUAG8AdABhAGwAIABwAHIAbwBkAHUAYwB0AGkAbwBuACAAbgBvAHQAZQBcACIAOwBcAG4AIAAgACAAIAAgACAAIAAgAFwAIgBDAGEAcwBoACAAZwByAGEAaQBuACAAYwByAG8AcABcACIALAAgAFwAIgBnAHIAYQBpAG4AXAAiACwAIABcACIAeQBpAGUAbABkAFwAIgAsACAAXAAiAGgAYQByAHYAZQBzAHQAXAAiACwAIABcACIAZwByAGEAaQBuAFwAIgAsACAAXAAiAFkAaQBlAGwAZAAgAGkAcwAgAHQAaABlACAAZwByAGEAaQBuACAAaABhAHIAdgBlAHMAdABlAGQAIABmAHIAbwBtACAAdABoAGUAIABwAGwAYQBuAHQAXAAiACwAIABcACIAUgBlAHMAaQBkAHUAZQAgAHQAbwAgAGMAcgBvAHAAIAByAGEAdABpAG8AIABpAHMAIABwAHIAbwB2AGkAZABlAGQAIABmAHIAbwBtACAAZABlAGYAYQB1AGwAdAAgAHYAYQBsAHUAZQBzAFwAIgAsACAAXAAiAFQAbwB0AGEAbAAgAHAAcgBvAGQAdQBjAHQAaQBvAG4AIABpAHMAIAB0AGgAZQAgAHQAbwB0AGEAbAAgAGcAcgBhAGkAbgAgAGgAYQByAHYAZQBzAHQAZQBkAFwAIgA7AFwAbgAgACAAIAAgACAAIAAgACAAXAAiAEMAYQBzAGgAIABjAHIAbwBwACAAZgBvAHIAIABoAGEAeQAvAHMAaQBsAGEAZwBlAFwAIgAsACAAXAAiAGEAYgBvAHYAZQAgAGcAcgBvAHUAbgBkACAAYgBpAG8AbQBhAHMAcwBcACIALAAgAFwAIgB5AGkAZQBsAGQAXAAiACwAIABcACIAaABhAHIAdgBlAHMAdABcACIALAAgAFwAIgBwAGwAYQBuAHQAIABiAGkAbwBtAGEAcwBzAFwAIgAsACAAXAAiAFkAaQBlAGwAZAAgAGkAcwAgAHQAaABlACAAdwBoAG8AbABlACAAcABsAGEAbgB0ACAAaABhAHIAdgBlAHMAdABlAGQAIABmAG8AcgAgAGgAYQB5AC8AcwBpAGwAYQBnAGUAXAAiACwAIABcACIAUgBlAHMAaQBkAHUAZQAgAHQAbwAgAGMAcgBvAHAAIAByAGEAdABpAG8AIABpAHMAIAAwACAAYQBzAHMAdQBtAGkAbgBnACAAdABoAGUAIAB3AGgAbwBsAGUAIABwAGwAYQBuAHQAIABpAHMAIABoAGEAcgB2AGUAcwB0AGUAZAAgAGYAbwByACAAaABhAHkALwBzAGkAbABhAGcAZQBcACIALAAgAFwAIgBUAG8AdABhAGwAIABwAHIAbwBkAHUAYwB0AGkAbwBuACAAaQBzACAAdABoAGUAIAB0AG8AdABhAGwAIAB3AGgAbwBsAGUAIABwAGwAYQBuAHQAIABiAGkAbwBtAGEAcwBzACAAaABhAHIAdgBlAHMAdABlAGQAIABhAHMAIABoAGEAeQAvAHMAaQBsAGEAZwBlAFwAIgA7AFwAbgAgACAAIAAgACAAIAAgACAAXAAiAEMAbwB2AGUAcgAgAGMAcgBvAHAAXAAiACwAIABcACIAYQBiAG8AdgBlACAAZwByAG8AdQBuAGQAIABiAGkAbwBtAGEAcwBzAFwAIgAsACAAXAAiAG0AYQBzAHMAXAAiACwAIABcACIAZQBuAGQAIABvAGYAIABjAHIAbwBwACAAYwB5AGMAbABlAFwAIgAsACAAXAAiAGEAYgBvAHYAZQAgAGcAcgBvAHUAbgBkACAAYgBpAG8AbQBhAHMAcwBcACIALAAgAFwAIgBZAGkAZQBsAGQAIABpAHMAIAB0AGgAZQAgAHcAaABvAGwAZQAgAHAAbABhAG4AdAAgAGsAZQBwAHQAIABhAHMAIABjAG8AdgBlAHIAIABjAHIAbwBwAFwAIgAsACAAXAAiAFIAZQBzAGkAZAB1AGUAIAB0AG8AIABjAHIAbwBwACAAcgBhAHQAaQBvACAAaQBzACAAMQAgAGEAcwBzAHUAbQBpAG4AZwAgAHQAaABlACAAdwBoAG8AbABlACAAcABsAGEAbgB0ACAAaQBzACAAawBlAHAAdAAgAGEAcwAgAGMAbwB2AGUAcgAgAGMAcgBvAHAAXAAiACwAIABcACIAVABvAHQAYQBsACAAcAByAG8AZAB1AGMAdABpAG8AbgAgAGkAcwAgAHQAaABlACAAdABvAHQAYQBsACAAdwBoAG8AbABlACAAcABsAGEAbgB0ACAAYgBpAG8AbQBhAHMAcwAgAGsAZQBwAHQAIABhAHMAIABjAG8AdgBlAHIAIABjAHIAbwBw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HIAbwBwACAAYQB0AHQAcgBpAGIAdQB0AGUAcwBcAG4APQA9AD0APQA9AD0APQA9AD0APQA9AD0APQA9AD0APQA9AD0APQA9AD0APQA9AD0APQA9AD0APQA9AD0APQA9AD0APQA9AD0APQA9AD0APQA9AD0APQA9AD0APQA9AD0APQA9AD0APQA9AD0APQA9AD0APQA9AD0APQA9AD0APQA9AD0APQA9AD0APQA9AD0APQA9AD0APQBcAG4AKgAvAFwAbgBcAG4AQwByAG8AcABBAHQAdAByAGkAYgB1AHQAZQBzAF8AVABpAHQAbABlAFwAbgA9AEwAQQBNAEIARABBACgAKABcACIAVABhAGIAbABlACAAQQAuADIALgAxAC4AMQA6ACAAQwByAG8AcAAgAGEAdAB0AHIAaQBiAHUAdABlAHMAXAAiACkAKQA7AFwAbgBcAG4AQwByAG8AcABBAHQAdAByAGkAYgB1AHQAZQBzAF8ARABlAHMAYwByAGkAcAB0AGkAbwBuAFwAbgA9AEwAQQBNAEIARABBACgAKABcACIAQwByAG8AcAAgAGEAdAB0AHIAaQBiAHUAdABlAHMAXAAiACkAKQA7AFwAbgBcAG4AQwByAG8AcABBAHQAdAByAGkAYgB1AHQAZQBzAF8AUwBvAHUAcgBjAGUAXABuAD0ATABBAE0AQgBEAEEAKAAoAFwAIgBWAEUARQBSAEcAIAAyADAAMgA2ADoAIABUAGEAYgBsAGUAIABBAC4AMgAuADEALgAxADoAIABDAHIAbwBwACAAYQB0AHQAcgBpAGIAdQB0AGUAcwBcACIAKQApADsAXABuAFwAbgBDAHIAbwBwAEEAdAB0AHIAaQBiAHUAdABlAHMAXwBEAGEAdABhAFwAbgA9AEwAQQBNAEIARABBACgAXABuACAAIABNAEEASwBFAEEAUgBSAEEAWQAoADIAMAAsACAAOQAsAFwAbgAgACAAIAAgAEwAQQBNAEIARABBACgAcgAsAGMALABcAG4AIAAgACAAIAAgACAASQBOAEQARQBYACgAewBcAG4AIAAgACAAIAAgACAAIAAgAFwAIgBDAHIAbwBwACAAdAB5AHAAZQBcACIALAAgAFwAIgBSAGUAcwBpAGQAdQBlADoAIABDAHIAbwBwACAAcgBhAHQAaQBvAFwAIgAsACAAXAAiAEIAZQBsAG8AdwAtAGcAcgBvAHUAbgBkADoAIABhAGIAbwB2AGUALQBnAHIAbwB1AG4AZAAgAHIAZQBzAGkAZAB1AGUAIAByAGEAdABpAG8AXAAiACwAIABcACIARAByAHkAIABtAGEAdAB0AGUAcgAgAGMAbwBuAHQAZQBuAHQAXAAiACwAIABcACIAQwBhAHIAYgBvAG4AIABmAHIAYQBjAHQAaQBvAG4AIABpAG4AIABkAHIAeQAgAG0AYQB0AHQAZQByAFwAIgAsACAAXAAiAE4AIABjAG8AbgB0AGUAbgB0ACAAYQBiAG8AdgBlAC0AZwByAG8AdQBuAGQAXAAiACwAIABcACIATgAgAGMAbwBuAHQAZQBuAHQAIABiAGUAbABvAHcALQBnAHIAbwB1AG4AZABcACIALAAgAFwAIgBGAHIAYQBjAHQAaQBvAG4AIABvAGYAIAByAGUAcwBpAGQAdQBlACAAcgBlAG0AYQBpAG4AaQBuAGcAIABhAHQAIAB0AGkAbQBlACAAbwBmACAAYgB1AHIAbgBpAG4AZwBcACIALAAgAFwAIgBCAHUAcgBuAGkAbgBnACAAZQBmAGYAaQBjAGkAZQBuAGMAeQB0AFwAIgA7AFwAbgAgACAAIAAgACAAIAAgACAAXAAiAGMAXAAiACwAIABcACIAUgBBAEcAYwBcACIALAAgAFwAIgBSAEIARwBjAFwAIgAsACAAXAAiAEQATQBjAFwAIgAsACAAXAAiAEMAQwBjAFwAIgAsACAAXAAiAE4AQwBBAEcAYwBcACIALAAgAFwAIgBOAEMAQgBHAGMAXAAiACwAIABcACIAUwBjAFwAIgAsACAAXAAiAFoAYwBcACIAOwBcAG4AIAAgACAAIAAgACAAIAAgAFwAIgBXAGgAZQBhAHQAXAAiACwAIAAxAC4ANQAwACwAIAAwAC4AMgA5ACwAIAAwAC4AOAA4ACwAIAAwAC4ANAAwACwAIAAwAC4AMAAwADYALAAgADAALgAwADEAMAAsACAAMAAuADUALAAgADAALgA5ADAAOwBcAG4AIAAgACAAIAAgACAAIAAgAFwAIgBCAGEAcgBsAGUAeQBcACIALAAgADEALgAyADQALAAgADAALgAzADIALAAgADAALgA4ADgALAAgADAALgA0ADAALAAgADAALgAwADAANwAsACAAMAAuADAAMQAwACwAIAAwAC4ANQAsACAAMAAuADgANQA7AFwAbgAgACAAIAAgACAAIAAgACAAXAAiAE0AYQBpAHoAZQBcACIALAAgADAALgA4ADEALAAgADAALgAzADkALAAgADAALgA4ADUALAAgADAALgA0ADIALAAgADAALgAwADAANQAsACAAMAAuADAAMAA3ACwAIAAxAC4AMAAsACAAMAAuADgAMAA7AFwAbgAgACAAIAAgACAAIAAgACAAXAAiAE8AYQB0AHMAXAAiACwAIAAxAC4ANAAyACwAIAAwAC4ANAAzACwAIAAwAC4AOAA4ACwAIAAwAC4ANAAwACwAIAAwAC4AMAAwADYALAAgADAALgAwADEAMAAsACAAMAAuADUALAAgADAALgA4ADUAOwBcAG4AIAAgACAAIAAgACAAIAAgAFwAIgBSAGkAYwBlAFwAIgAsACAAMQAuADMAMQAsACAAMAAuADEANgAsACAAMAAuADgAMAAsACAAMAAuADQAMgAsACAAMAAuADAAMAA3ACwAIAAwAC4AMAAxADAALAAgADEALgAwACwAIAAwAC4AOAAwADsAXABuACAAIAAgACAAIAAgACAAIABcACIAUwBvAHIAZwBoAHUAbQBcACIALAAgADEALgA1ADAALAAgADAALgAyADIALAAgADAALgA4ADAALAAgADAALgA0ADAALAAgADAALgAwADAAOAAsACAAMAAuADAAMAA3ACwAIAAwAC4ANQAsACAAMAAuADgANQA7AFwAbgAgACAAIAAgACAAIAAgACAAXAAiAFQAcgBpAHQAaQBjAGEAbABlAFwAIgAsACAAMQAuADUAMAAsACAAMAAuADQAMgAsACAAMAAuADgAOAAsACAAMAAuADQAMAAsACAAMAAuADAAMAA2ACwAIAAwAC4AMAAxADAALAAgADAALgA1ACwAIAAwAC4AOAA1ADsAXABuACAAIAAgACAAIAAgACAAIABcACIATwB0AGgAZQByACAAYwBlAHIAZQBhAGwAcwBcACIALAAgADEALgA0ADYALAAgADAALgAzADYALAAgADAALgA4ADgALAAgADAALgA0ADAALAAgADAALgAwADAANgAsACAAMAAuADAAMQAwACwAIAAwAC4ANQAsACAAMAAuADgANQA7AFwAbgAgACAAIAAgACAAIAAgACAAXAAiAFAAdQBsAHMAZQBzAFwAIgAsACAAMQAuADMANwAsACAAMAAuADUAMQAsACAAMAAuADgANwAsACAAMAAuADQAMAAsACAAMAAuADAAMAA5ACwAIAAwAC4AMAAxADAALAAgADAALgA1ACwAIAAwAC4AOAA1ADsAXABuACAAIAAgACAAIAAgACAAIABcACIAVAB1AGIAZQByAHMAIABhAG4AZAAgAHIAbwBvAHQAcwBcACIALAAgADAALgAzADQALAAgADAALgA0ADMALAAgADAALgAyADUALAAgADAALgA0ADAALAAgADAALgAwADIAMAAsACAAMAAuADAAMQAwACwAIABcACIAbgAvAGEAXAAiACwAIAAwAC4AOAA1ADsAXABuACAAIAAgACAAIAAgACAAIABcACIAUABlAGEAbgB1AHQAcwBcACIALAAgADEALgAwADcALAAgADAALgAyADAALAAgADAALgA4ADAALAAgADAALgA0ADIALAAgADAALgAwADEANgAsACAAMAAuADAAMQA0ACwAIAAwAC4ANQAsACAAMAAuADgANQA7AFwAbgAgACAAIAAgACAAIAAgACAAXAAiAFMAdQBnAGEAcgAgAGMAYQBuAGUAXAAiACwAIAAwAC4AMgA1ACwAIAAwAC4ANAA1ACwAIAAwAC4AMgAwACwAIAAwAC4ANAAwACwAIAAwAC4AMAAwADUALAAgADAALgAwADAANwAsACAAMQAuADAALAAgADAALgA4ADAAOwBcAG4AIAAgACAAIAAgACAAIAAgAFwAIgBDAG8AdAB0AG8AbgBcACIALAAgADEALgA5ADAALAAgADAALgAzADAALAAgADAALgA5ADAALAAgADAALgA0ADAALAAgADAALgAwADEALAAgADAALgAwADEALAAgAFwAIgBuAC8AYQBcACIALAAgADAALgA4ADUAOwBcAG4AIAAgACAAIAAgACAAIAAgAFwAIgBIAG8AcABzAFwAIgAsACAAMQAuADUAMAAsACAAMAAuADIAOQAsACAAMAAuADgAOAAsACAAMAAuADQAMAAsACAAMAAuADAAMAA2ACwAIABcACIAbgAvAGEAXAAiACwAIABcACIAbgAvAGEAXAAiACwAIAAwAC4AOAA1ADsAXABuACAAIAAgACAAIAAgACAAIABcACIATwBpAGwAcwBlAGUAZABzAFwAIgAsACAAMgAuADAAOAAsACAAMAAuADMAMwAsACAAMAAuADkANgAsACAAMAAuADQAMAAsACAAMAAuADAAMAA5ACwAIAAwAC4AMAAxADAALAAgADAALgA1ACwAIAAwAC4AOAA1ADsAXABuACAAIAAgACAAIAAgACAAIABcACIARgBvAHIAYQBnAGUAIABjAHIAbwBwAHMAXAAiACwAIAAxAC4AMwA0ACwAIAAwAC4AMwA3ACwAIAAwAC4AOAA4ACwAIAAwAC4ANAAwACwAIAAwAC4AMAAwADYALAAgADAALgAwADEAMAAsACAAXAAiAG4ALwBhAFwAIgAsACAAMAAuADgANQA7AFwAbgAgACAAIAAgACAAIAAgACAAXAAiAE8AdABoAGUAcgAgAGEAbgBuAHUAYQBsACAAYwByAG8AcABzAFwAIgAsACAAMQAuADAAMAAsACAAMAAuADIAMgAsACAAMAAuADgANQAsACAAMAAuADQAMAAsACAAMAAuADAAMAA4ACwAIAAwAC4AMAAwADkALAAgAFwAIgBuAC8AYQBcACIALAAgAFwAIgBuAC8AYQBcACIAOwBcAG4AIAAgACAAIAAgACAAIAAgAFwAIgBPAHQAaABlAHIAIABwAGUAcgBlAG4AbgBpAGEAbAAgAGMAcgBvAHAAcwBcACIALAAgADEALgA1ACwAIAAwAC4AMgA5ACwAIAAwAC4AOAA4ACwAIAAwAC4ANAAsACAAMAAuADAAMAA2ACwAIABcACIAbgAvAGEAXAAiACwAIABcACIAbgAvAGEAXAAiACwAIABcACIAbgAvAGEAXAAiAFwAbgAgACAAIAAgACAAIAB9ACwAIAByACwAIABjACkAXABuACkAKQApADsAXABuAFwAbgBDAHIAbwBwAEEAdAB0AHIAaQBiAHUAdABlAHMAXwBWAGEAcgBpAGEAdABpAG8AbgBcAG4APQBMAEEATQBCAEQAQQAoACgAXAAiAFYAQQBSAEkAQQBUAEkATwBOACAARgBSAE8ATQAgAFMATwBVAFIAQwBFADoAIABcAHUAMAAwADIANwBOAC8AQQBcAHUAMAAwADIAN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QA3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FwAdQAwADAAMgA3AEEAbABsACAAbwB0AGgAZQByACAAYwByAG8AcAAgAHQAeQBwAGUAcwBcAHUAMAAwADIANwAgAGkAbgB0AG8AIABpAG4AZABpAHYAaQBkAHUAYQBsACAAYwByAG8AcAAgAHQAeQBwAGUAcwAgAGYAbwByACAAZQBhAGMAaAAgAHMAdABhAHQAZQAuACAATABpAHMAdABlAGQAIABhAGwAbAAgAHMAdABhAHQAZQBzACAAZgBvAHIAIABTAHUAZwBhAHIAIABDAGEAbgBlACwAIAB3AGkAdABoACAAXAB1ADAAMAAyADcATgAvAEEAXAB1ADAAMAAyADcAIABmAG8AcgAgAHMAdABhAHQAZQBzACAAdwBoAGUAcgBlACAAaQB0ACAAaQBzACAAbgBvAHQAIABnAHIAbwB3AG4ALgBcACIAKQApADsAXABuAFwAbgBcAG4ALwAqAFwAbgA9AD0APQA9AD0APQA9AD0APQA9AD0APQA9AD0APQA9AD0APQA9AD0APQA9AD0APQA9AD0APQA9AD0APQA9AD0APQA9AD0APQA9AD0APQA9AD0APQA9AD0APQA9AD0APQA9AD0APQA9AD0APQA9AD0APQA9AD0APQA9AD0APQA9AD0APQA9AD0APQA9AD0APQA9AD0APQA9AFwAbgBQAGEAcwB0AHUAcgBlACAAYQB0AHQAcgBpAGIAdQB0AGUAcwBcAG4APQA9AD0APQA9AD0APQA9AD0APQA9AD0APQA9AD0APQA9AD0APQA9AD0APQA9AD0APQA9AD0APQA9AD0APQA9AD0APQA9AD0APQA9AD0APQA9AD0APQA9AD0APQA9AD0APQA9AD0APQA9AD0APQA9AD0APQA9AD0APQA9AD0APQA9AD0APQA9AD0APQA9AD0APQA9AD0APQBcAG4AKgAvAFwAbgBcAG4AUABhAHMAdAB1AHIAZQBBAHQAdAByAGkAYgB1AHQAZQBzAF8AVABpAHQAbABlAFwAbgA9AEwAQQBNAEIARABBACgAKABcACIAVABhAGIAbABlACAAQQAuADIALgAxAC4AMwAgAFAAYQBzAHQAdQByAGUAIABhAHQAdAByAGkAYgB1AHQAZQBzAFwAIgApACkAOwBcAG4AXABuAFAAYQBzAHQAdQByAGUAQQB0AHQAcgBpAGIAdQB0AGUAcwBfAEQAZQBzAGMAcgBpAHAAdABpAG8AbgBcAG4APQBMAEEATQBCAEQAQQAoACgAXAAiAFAAYQBzAHQAdQByAGUAIABhAHQAdAByAGkAYgB1AHQAZQBzAFwAIgApACkAOwBcAG4AXABuAFAAYQBzAHQAdQByAGUAQQB0AHQAcgBpAGIAdQB0AGUAcwBfAFMAbwB1AHIAYwBlAFwAbgA9AEwAQQBNAEIARABBACgAKABcACIAVgBFAEUAUgBHACAAMgAwADIANgA6ACAAVABhAGIAbABlACAAQQAuADIALgAxAC4AMwA6ACAAUABhAHMAdAB1AHIAZQAgAGEAdAB0AHIAaQBiAHUAdABlAHMAXAAiACkAKQA7AFwAbgBcAG4AUABhAHMAdAB1AHIAZQBBAHQAdAByAGkAYgB1AHQAZQBzAF8ARABhAHQAYQBcAG4APQBMAEEATQBCAEQAQQAoAFwAbgAgACAATQBBAEsARQBBAFIAUgBBAFkAKAA2ACwAIAA2ACwAXABuACAAIAAgACAATABBAE0AQgBEAEEAKAByACwAYwAsAFwAbgAgACAAIAAgACAAIABJAE4ARABFAFgAKAB7AFwAbgAgACAAIAAgACAAIAAgACAAXAAiAFAAYQBzAHQAdQByAGUAIAB0AHkAcABlAFwAIgAsACAAXAAiAEEAdgBlAHIAYQBnAGUAIABZAGkAZQBsAGQAIAAoAHQAIABEAE0AIABoAGEAKQAgAFkAcABcACIALAAgAFwAIgBCAGUAbABvAHcALQBnAHIAbwB1AG4AZAA6ACAAYQBiAG8AdgBlAC0AZwByAG8AdQBuAGQAIAByAGUAcwBpAGQAdQBlACAAcgBhAHQAaQBvACAAUgBCAEcAcABcACIALAAgAFwAIgBOACAAYwBvAG4AdABlAG4AdAAgAEEAYgBvAHYAZQAtAGcAcgBvAHUAbgBkACAATgBDAEEARwBwAFwAIgAsACAAXAAiAE4AIABjAG8AbgB0AGUAbgB0ACAAQgBlAGwAbwB3AC0AZwByAG8AdQBuAGQAIABOAEMAQgBHAHAAXAAiACwAIABcACIARgByAGEAYwB0AGkAbwBuACAAbwBmACAAcABhAHMAdAB1AHIAZQAgAHkAaQBlAGwAZAAgAHQAaABhAHQAIABpAHMAIAByAGUAbQBvAHYAZQBkACAARgBGAE8ARABwAFwAIgA7AFwAbgAgACAAIAAgACAAIAAgACAAXAAiAEEAbgBuAHUAYQBsACAAZwByAGEAcwBzAFwAIgAsACAANAAuADQAMQAsACAAMAAuADQALAAgADAALgAwADEANQAsACAAMAAuADAAMQAyACwAIAAwAC4AOAA7AFwAbgAgACAAIAAgACAAIAAgACAAXAAiAEcAcgBhAHMAcwAgAGMAbABvAHYAZQByACAAbQBpAHgAdAB1AHIAZQBcACIALAAgADgALgAzADQALAAgADAALgA4ACwAIAAwAC4AMAAyADUALAAgADAALgAwADEANgAsACAAMAAuADgAOwBcAG4AIAAgACAAIAAgACAAIAAgAFwAIgBMAHUAYwBlAHIAbgBlAFwAIgAsACAAOAAuADYAMgAsACAAMAAuADQALAAgADAALgAwADIANwAsACAAMAAuADAAMQA5ACwAIAAwAC4AOAA7AFwAbgAgACAAIAAgACAAIAAgACAAXAAiAE8AdABoAGUAcgAgAGwAZQBnAHUAbQBlAFwAIgAsACAANQAuADYAMgAsACAAMAAuADQALAAgADAALgAwADIANwAsACAAMAAuADAAMgAyACwAIAAwAC4AOAA7AFwAbgAgACAAIAAgACAAIAAgACAAXAAiAFAAZQByAGUAbgBuAGkAYQBsACAAcABhAHMAdAB1AHIAZQBcACIALAAgADgALgAzADUALAAgADAALgA4ACwAIAAwAC4AMAAxADUALAAgADAALgAwADEAMgAsACAAMAAuADg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DUALgAzADEAIABCAHUAcgBuAGkAbgBnACAAbwBmACAAYQBnAHIAaQBjAHUAbAB0AHUAcgBhAGwAIAByAGUAcwBpAGQAdQBlAHMAIAAtACAARQBGAHMAXABuAD0APQA9AD0APQA9AD0APQA9AD0APQA9AD0APQA9AD0APQA9AD0APQA9AD0APQA9AD0APQA9AD0APQA9AD0APQA9AD0APQA9AD0APQA9AD0APQA9AD0APQA9AD0APQA9AD0APQA9AD0APQA9AD0APQA9AD0APQA9AD0APQA9AD0APQA9AD0APQA9AD0APQA9AD0APQA9AD0AXABuACoALwBcAG4AXABuAEIAdQByAG4AaQBuAGcATwBmAEEAZwByAGkAYwB1AGwAdAB1AHIAYQBsAFIAZQBzAGkAZAB1AGUAcwBFAEYAcwBfAFQAaQB0AGwAZQBcAG4APQBMAEEATQBCAEQAQQAoACgAXAAiAFQAYQBiAGwAZQAgADUALgAzADEAIABCAHUAcgBuAGkAbgBnACAAbwBmACAAYQBnAHIAaQBjAHUAbAB0AHUAcgBhAGwAIAByAGUAcwBpAGQAdQBlAHMAIAAtACAARQBGAHMAXAAiACkAKQA7AFwAbgBcAG4AQgB1AHIAbgBpAG4AZwBPAGYAQQBnAHIAaQBjAHUAbAB0AHUAcgBhAGwAUgBlAHMAaQBkAHUAZQBzAEUARgBzAF8ARABlAHMAYwByAGkAcAB0AGkAbwBuAFwAbgA9AEwAQQBNAEIARABBACgAKABcACIAQgB1AHIAbgBpAG4AZwAgAG8AZgAgAGEAZwByAGkAYwB1AGwAdAB1AHIAYQBsACAAcgBlAHMAaQBkAHUAZQBzACAALQAgAEUARgBzAFwAIgApACkAOwBcAG4AXABuAEIAdQByAG4AaQBuAGcATwBmAEEAZwByAGkAYwB1AGwAdAB1AHIAYQBsAFIAZQBzAGkAZAB1AGUAcwBFAEYAcwBfAFMAbwB1AHIAYwBlAFwAbgA9AEwAQQBNAEIARABBACgAKABcACIATgBhAHQAaQBvAG4AYQBsACAASQBuAHYAZQBuAHQAbwByAHkAIABSAGUAcABvAHIAdAAgADIAMAAyADMAIAB2AG8AbAB1AG0AZQAgADIAOgAgAFQAYQBiAGwAZQAgADUALgAzADEAOgAgAEIAdQByAG4AaQBuAGcAIABvAGYAIABhAGcAcgBpAGMAdQBsAHQAdQByAGEAbAAgAHIAZQBzAGkAZAB1AGUAcwAgAC0AIABFAEYAcwBcACIAKQApADsAXABuAFwAbgBCAHUAcgBuAGkAbgBnAE8AZgBBAGcAcgBpAGMAdQBsAHQAdQByAGEAbABSAGUAcwBpAGQAdQBlAHMARQBGAHMAXwBEAGEAdABhAFwAbgA9AEwAQQBNAEIARABBACgAXABuACAAIABNAEEASwBFAEEAUgBSAEEAWQAoADYALAAgADMALABcAG4AIAAgACAAIABMAEEATQBCAEQAQQAoAHIALABjACwAXABuACAAIAAgACAAIAAgAEkATgBEAEUAWAAoAHsAXABuACAAIAAgACAAIAAgACAAIABcACIARwBhAHMAIABzAHAAZQBjAGkAZQBzAFwAIgAsACAAXAAiAEUAbQBpAHMAcwBpAG8AbgAgAGYAYQBjAHQAbwByACAARQBGAGcAIAAoAEcAZwAgAGUAbABlAG0AZQBuAHQAIABpAG4AIABzAHAAZQBjAGkAZQBzAC8AIABHAGcAIABlAGwAZQBtAGUAbgB0ACAAaQBuACAAZgB1AGUAbAAgAGIAdQByAG4AdAApAFwAIgAsACAAXAAiAEUAbABlAG0AZQBuAHQAYQBsACAAdABvACAAbQBvAGwAZQBjAHUAbABhAHIAIABtAGEAcwBzACAAYwBvAG4AdgBlAHIAcwBpAG8AbgAgAGYAYQBjAHQAbwByACAAKABDAGcAKQBcACIAOwBcAG4AIAAgACAAIAAgACAAIAAgAFwAIgBDAEgANABcACIALAAgADAALgAwADAAMwA1ACwAIABcACIAMQA2AC8AMQAyAFwAIgA7AFwAbgAgACAAIAAgACAAIAAgACAAXAAiAE4AMgBPAFwAIgAsACAAMAAuADAAMAA3ADYALAAgAFwAIgA0ADQALwAyADgAXAAiADsAXABuACAAIAAgACAAIAAgACAAIABcACIATgBPAHgAXAAiACwAIAAwAC4AMgAxADAAMAAsACAAXAAiADQANgAvADEANABcACIAOwBcAG4AIAAgACAAIAAgACAAIAAgAFwAIgBDAE8AXAAiACwAIAAwAC4AMAA3ADgAMAAsACAAXAAiADIAOAAvADEAMgBcACIAOwBcAG4AIAAgACAAIAAgACAAIAAgAFwAIgBOAE0AVgBPAEMAXAAiACwAIAAwAC4AMAAwADkAMQAsACAAXAAiADEANAAvADEAMgBcACIAXABuACAAIAAgACAAIAAgAH0ALAAgAHIALAAgAGMAKQBcAG4AKQApACkAOwBcAG4AXABuAFwAbgAvACoAIABcAG4ALQAtAC0ALQAtAC0ALQAtAC0ALQAtAC0ALQAtAC0ALQAtAC0ALQAtAC0ALQAtAC0ALQAtAC0ALQAtAC0ALQAtAC0ALQAtAC0ALQAtAFwAbgBOADIATwBFAEYATwByAGcAYQBuAGkAYwBGAGUAcgB0AGkAbABpAHMAZQByAFwAbgBWAEUARQBSAEcAIAAyADAAMgA2ADoAIABUAGEAYgBsAGUAIABBAC4AMgAuADEALgA0ACAARQBtAGkAcwBzAGkAbwBuACAAZgBhAGMAdABvAHIAIABmAG8AcgAgAG8AcgBnAGEAbgBpAGMAIABmAGUAcgB0AGkAbABpAHMAZQByACAAYQBuAGQAIABjAHIAbwBwACAAcgBlAHMAaQBkAHUAZQBzACAAcgBlAHQAdQByAG4AZQBkACAAdABvACAAdABoAGUAIABzAG8AaQBsAFwAbgAtAC0ALQAtAC0ALQAtAC0ALQAtAC0ALQAtAC0ALQAtAC0ALQAtAC0ALQAtAC0ALQAtAC0ALQAtAC0ALQAtAC0ALQAtAC0ALQAtAC0AXABuACoALwBcAG4AXABu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TgAyAE8ARQBGAE8AcgBnAGEAbgBpAGMARgBlAHIAdABpAGwAaQBzAGUAcgBfAFUAbgBpAHQAXABuACAAIAA9AEwAQQBNAEIARABBACgAXAAiAGsAZwAgAE4AMgBPACAALQAgAE4AIAAvACAAawBnACAATgBcACIAKQA7AFwAbgBcAG4ATgAyAE8ARQBGAE8AcgBnAGEAbgBpAGMARgBlAHIAdABpAGwAaQBzAGUAcgBfAFMAbwB1AHIAYwBlAFwAbgAgACAAPQBMAEEATQBCAEQAQQAoAFwAIgBWAEUARQBSAEcAIAAyADAAMgA2ADoAIABUAGEAYgBsAGUAIABBAC4AMgAuADEALgA0AFwAIgApADsAXABuAFwAbg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OADIATwBFAEYATwByAGcAYQBuAGkAYwBGAGUAcgB0AGkAbABpAHMAZQByAF8ARABhAHQAYQBcAG4AIAAgAD0ATABBAE0AQgBEAEEAKABcAG4AIAAgACAAIABNAEEASwBFAEEAUgBSAEEAWQAoADMALAAgADIALAAgAFwAbgAgACAAIAAgACAAIABMAEEATQBCAEQAQQAoAHIALABjACwAIABcAG4AIAAgACAAIAAgACAAIAAgAEkATgBEAEUAWAAoAHsAXABuACAAIAAgACAAIAAgACAAIAAgACAAXAAiAEMAbABpAG0AYQB0AGUAIAB6AG8AbgBlACAAaQBcACIALAAgAFwAIgBFAEYAIABpACAATgAyAE8AXAAiADsAXABuACAAIAAgACAAIAAgACAAIAAgACAAIAAgAFwAIgBXAGUAdAAgAGMAbABpAG0AYQB0AGUAIAB6AG8AbgBlAFwAIgAsACAAMAAuADAAMAA2ADsAXABuACAAIAAgACAAIAAgACAAIAAgACAAIAAgAFwAIgBEAHIAeQAgAGMAbABpAG0AYQB0AGUAIAB6AG8AbgBlAFwAIgAsACAAMAAuADAAMAA1AFwAbgAgACAAIAAgACAAIAAgACAAfQAsACAAcgAsACAAYwApAFwAbgAgACAAIAAgACAAIAApAFwAbgAgACAAIAAgACkAXABuACAAIA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XABuAGQAaQBtAGUAbgBzAGkAbwBuAGwAZQBzAHMAXABuAEYARgBPAEQAXwB7AGMAfQA9AFwAXABmAHIAYQBjAHsAQgBcAFwAdABpAG0AZQBzACAATQBfAHsAQgB9AH0AewBQAF8AewBjAH0AXABcAHQAaQBtAGUAcwAgAFIAXwB7AEEARwAsAGMAfQB9AFwAbgBCACAAPQAgAG4AdQBtAGIAZQByACAAbwBmACAAYgBhAGwAZQBzACAAZwBlAG4AZQByAGEAdABlAGQAIAAoAG4AdQBtAGIAZQBy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gByAGEAYwB0AGkAbwBuACkAXABuAGMAIAA9ACAAQwByAG8AcAAgAHQAeQBwAGUAXABuAC0ALQAtAC0ALQAtAC0ALQAtAC0ALQAtAC0ALQAtAC0ALQAtAC0ALQAtAC0ALQAtAC0ALQAtAC0ALQAtAC0ALQAtAC0ALQAtAC0ALQBcAG4AKgAvAFwAbgBcAG4AVgBFAEUAUgBHAF8ANgBfADEAXwAxAF8AMgBfAF8AMQBfAF8ARgByAGEAYwB0AGkAbwBuAE8AZgBDAHIAbwBwAFIAZQBzAGkAZAB1AGUAUgBlAG0AbwB2AGUAZABCAGEAbABlAGQAXABuACAAIAA9AEwAQQBNAEIARABBACgAXABuACAAIAAgACAAQgAsACAATQBfAEIALAAgAFAAXwBjACwAIABSAF8AQQBHAGMALABcAG4AIAAgACAAIABJAEYARQBSAFIATwBSACgAKABCACAAKgAgAE0AXwBCACkAIAAvACAAKABQAF8AYwAgACoAIABSAF8AQQBHAGMAKQAsACAAMAApAFwAbgAgACAAKQBcAG4AOwBcAG4AXABuAFYARQBFAFIARwBfADYAXwAxAF8AMQBfADIAXwBfADEAXwBfAEYAcgBhAGMAdABpAG8AbgBPAGYAQwByAG8AcABSAGUAcwBpAGQAdQBlAFIAZQBtAG8AdgBlAGQAQgBhAGwAZQBkAF8AVABpAHQAbABlAFwAbgAgACAAPQBMAEEATQBCAEQAQQAoAFwAIgBGAHIAYQBjAHQAaQBvAG4AIABvAGYAIABjAHIAbwBwACAAcgBlAHMAaQBkAHUAZQAgAHQAaABhAHQAIABpAHMAIAByAGUAbQBvAHYAZQBkACAAZgBvAHIAIABjAHIAbwBwACAAYwAsACAAYwBhAGwAYwB1AGwAYQB0AGUAZAAgAHcAaABlAHIAZQAgAHIAZQBzAGkAZAB1AGUAcwAgAGEAcgBlACAAYgBhAGwAZQBkAFwAIgApADsAXABuAFwAbgBWAEUARQBSAEcAXwA2AF8AMQBfADEAXwAyAF8AXwAxAF8AXwBGAHIAYQBjAHQAaQBvAG4ATwBmAEMAcgBvAHAAUgBlAHMAaQBkAHUAZQBSAGUAbQBvAHYAZQBkAEIAYQBsAGUAZABfAFYAYQByAGkAYQBiAGwAZQBcAG4AIAAgAD0ATABBAE0AQgBEAEEAKABcACIARgBGAE8ARABfAGMAXAAiACkAOwBcAG4AXABuAFYARQBFAFIARwBfADYAXwAxAF8AMQBfADIAXwBfADEAXwBfAEYAcgBhAGMAdABpAG8AbgBPAGYAQwByAG8AcABSAGUAcwBpAGQAdQBlAFIAZQBtAG8AdgBlAGQAQgBhAGwAZQBkAF8AVQBuAGkAdABcAG4AIAAgAD0ATABBAE0AQgBEAEEAKABcACIAZgByAGEAYwB0AGkAbwBu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cACIAKQA7AFwAbgBcAG4AXABuAFwAbgAvACoAIABcAG4ALQAtAC0ALQAtAC0ALQAtAC0ALQAtAC0ALQAtAC0ALQAtAC0ALQAtAC0ALQAtAC0ALQAtAC0ALQAtAC0ALQAtAC0ALQAtAC0ALQAtAFwAbgBWAEUARQBSAEcAXwA2AF8AMQBfADEAXwAyAF8AXwAxAGEAXwBfAEYAcgBhAGMAdABpAG8AbgBPAGYAQwByAG8AcABSAGUAcwBpAGQAdQBlAFIAZQBtAG8AdgBlAGQAXABuAEYAcgBhAGMAdABpAG8AbgAgAG8AZgAgAGMAcgBvAHAAIAByAGUAcwBpAGQAdQBlACAAdABoAGEAdAAgAGkAcwAgAHIAZQBtAG8AdgBlAGQAIABmAG8AcgAgAGMAcgBvAHAAIABjAFwAbgBGAEYATwBEAGMAXABuAGQAaQBtAGUAbgBzAGkAbwBuAGwAZQBzAHMAXABuAFwAbgAtAC0ALQAtAC0ALQAtAC0ALQAtAC0ALQAtAC0ALQAtAC0ALQAtAC0ALQAtAC0ALQAtAC0ALQAtAC0ALQAtAC0ALQAtAC0ALQAtAC0AXABuACoALwBcAG4AXABuAC8AK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BcAG4AIAAgACoALwAiAH0ALAB7ACIAcABhAHQAaAAiADoAIgAvAHAAcgBvAGoAZQBjAHQAcwAvAEEAZwBSAGUAcwBpAGQAdQBlAF8ARQBxAHUAYQB0AGkAbwBuAHMAXwBGAGkAZQBsAGQAQgB1AHIAbgBpAG4AZwAiACwAIgB0AGUAeAB0ACIAOgAiAC8AKgAgAFwAbgAtAC0ALQAtAC0ALQAtAC0ALQAtAC0ALQAtAC0ALQAtAC0ALQAtAC0ALQAtAC0ALQAtAC0ALQAtAC0ALQAtAC0ALQAtAC0ALQAtAC0AXABuAFYARQBFAFIARwBfADYAXwA0AF8AMQBfADEAXwBfADEAXwBfAE0AZQB0AGgAYQBuAGUARQBtAGkAcwBzAGkAbwBuAHMARgByAG8AbQBCAHUAcgBuAGkAbgBnAE8AZgBDAHIAbwBwAFIAZQBzAGkAZAB1AGUAcwBcAG4ATQBlAHQAaABhAG4AZQAgAGUAbQBpAHMAcwBpAG8AbgBzACAAZgByAG8AbQAgAHQAaABlACAAYgB1AHIAbgBpAG4AZwAgAG8AZgAgAGMAcgBvAHAAIAByAGUAcwBpAGQAdQBlAHMAXABuAEUAQwBIADQAXABuAHQAIABDAEgANABcAG4ARQBfAHsAQwBIADQAfQA9AFwAbgBcAFwAcwB1AG0AXwB7AGMAfQAoAE0AXwB7AGIAdQByAG4ALABjAH0AXABcAHQAaQBtAGUAcwAgAEMAQwBfAHsAYwB9AFwAXAB0AGkAbQBlAHMAIABFAEYAXwB7AEMASAA0AH0AXABcAHQAaQBtAGUAcwAgAEMAXwB7AEMASAA0AH0AXABcAHQAaQBtAGUAcwAgADEAMABeAHsALQAzAH0AKQBcAG4ATQBfAGIAdQByAG4AYwAgAD0AIABtAGEAcwBzACAAbwBmACAAcgBlAHMAaQBkAHUAZQAgAGIAdQByAG4AdAAgAGYAbwByACAAYwByAG8AcAAgAHQAeQBwAGUAIABjACAAKABrAGcAKQBcAG4AQwBDAF8AYwAgAD0AIABjAGEAcgBiAG8AbgAgAG0AYQBzAHMAIABmAHIAYQBjAHQAaQBvAG4AIABpAG4AIAB0AGgAZQAgAHIAZQBzAGkAZAB1AGUAcwAgAG8AZgAgAGMAcgBvAHAAIAB0AHkAcABlACAAYwAgACgAZABpAG0AZQBuAHMAaQBvAG4AbABlAHMAcwApAFwAbgBFAEYAXwBDAEgANAAgAD0AIABlAG0AaQBzAHMAaQBvAG4AIABmAGEAYwB0AG8AcgAgAGYAbwByACAAbQBlAHQAaABhAG4AZQAgAGYAcgBvAG0AIABiAHUAcgBuAGkAbgBnACAAbwBmACAAYwByAG8AcAAgAHIAZQBzAGkAZAB1AGUAcwAgACgAawBnACAAQwBIADQALwBrAGcAIABDAEgANAAgAGIAdQByAG4AdAApAFwAbgBDAEMASAA0ACAAPQAgAGYAYQBjAHQAbwByACAAdABvACAAYwBvAG4AdgBlAHIAdAAgAGUAbABlAG0AZQBuAHQAYQBsACAAbQBhAHMAcwAgAG8AZgAgAG0AZQB0AGgAYQBu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xAF8AXwBNAGUAdABoAGEAbgBlAEUAbQBpAHMAcwBpAG8AbgBzAEYAcgBvAG0AQgB1AHIAbgBpAG4AZwBPAGYAQwByAG8AcABSAGUAcwBpAGQAdQBlAHMAXABuACAAIAA9AEwAQQBNAEIARABBACgAXABuACAAIAAgACAATQBfAGIAdQByAG4AYwAsACAAQwBDAF8AYwAsACAARQBGAF8AQwBIADQALAAgAEMAXwBDAEgANAAsAFwAbgAgACAAIAAgACgATQBfAGIAdQByAG4AYwAgACoAIABDAEMAXwBjACkAIAAqACAARQBGAF8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ABcAG4AbwBsAGkAbQBpAHQAcwBfAGMAKABNAF8AewBiAHUAcgBuACwAYwB9AFwAXAB0AGkAbQBlAHMAIABDAEMAXwB7AGMAfQApAFwAXAB0AGkAbQBlAHMAIABFAEYAXwB7AEMASAA0AH0AXABcAHQAaQBtAGUAcwAgAEMAXwB7AEMASAA0AH0AXABcAHQAaQBtAGUAcwAgADEAMABeAHsALQAzAH0AXAAiACkAOwBcAG4AXABuAFYARQBFAFIARwBfADYAXwA0AF8AMQBfADEAXwBfADEAXwBfAE0AZQB0AGgAYQBuAGUARQBtAGkAcwBzAGkAbwBuAHMARgByAG8AbQBCAHUAcgBuAGkAbgBnAE8AZgBDAHIAbwBwAFIAZQBzAGkAZAB1AGUAcwBfAEEAcgBnAHUAbQBlAG4AdABzAFwAbgAgACAAPQBMAEEATQBCAEQAQQAoAFwAbgAgACAAIAAgAE0AQQBLAEUAQQBSAFIAQQBZACgANQAsACAANAAsAFwAbgAgACAAIAAgACAAIABMAEEATQBCAEQAQQAoAHIALABjACwAXABuACAAIAAgACAAIAAgACAAIABJAE4ARABFAFgAKAB7AFwAbgAgACAAIAAgACAAIAAgACAAIAAgAFwAIgBNAF8AYgB1AHIAbgBjAFwAIgAsAFwAIgBtAGEAcwBzACAAbwBmACAAcgBlAHMAaQBkAHUAZQAgAGIAdQByAG4AdAAgAGYAbwByACAAYwByAG8AcAAgAHQAeQBwAGUAIABjAFwAIgAsACAAXAAiAGsAZwBcACIALAAgAFwAIgBDAGEAbABjAHUAbABhAHQAZQBkACAAZgByAG8AbQAgADYALgA0AC4AMQAuADEAIAAoADMAKQBcACIAOwBcAG4AIAAgACAAIAAgACAAIAAgACAAIABcACIAQwBDAF8AYwBcACIALABcACIAYwBhAHIAYgBvAG4AIABtAGEAcwBzACAAZgByAGEAYwB0AGkAbwBuACAAaQBuACAAdABoAGUAIAByAGUAcwBpAGQAdQBlAHMAIABvAGYAIABjAHIAbwBwACAAdAB5AHAAZQAgAGMAXAAiACwAIABcACIAZgByAGEAYwB0AGkAbwBuAFwAIgAsACAAXAAiAEMAbwBuAHMAdABhAG4AdABcACIAOwBcAG4AIAAgACAAIAAgACAAIAAgACAAIABcACIARQBGAF8AQwBIADQAXAAiACwAXAAiAGUAbQBpAHMAcwBpAG8AbgAgAGYAYQBjAHQAbwByACAAZgBvAHIAIABtAGUAdABoAGEAbgBlACAAZgByAG8AbQAgAGIAdQByAG4AaQBuAGcAIABvAGYAIABjAHIAbwBwACAAcgBlAHMAaQBkAHUAZQBzAFwAIgAsACAAXAAiAGsAZwAgAEMASAA0ACAALwAgAGsAZwAgAEMASAA0ACAAYgB1AHIAbgB0AFwAIgAsACAAXAAiAEMAbwBuAHMAdABhAG4AdABcACIAOwBcAG4AIAAgACAAIAAgACAAIAAgACAAIABcACIAQwBfAEMASAA0AFwAIgAsAFwAIgBmAGEAYwB0AG8AcgAgAHQAbwAgAGMAbwBuAHYAZQByAHQAIABlAGwAZQBtAGUAbgB0AGEAbAAgAG0AYQBzAHMAIABvAGYAIABtAGUAdABoAGEAbg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yAF8AXwBOAGkAdAByAG8AdQBzAE8AeABpAGQAZQBFAG0AaQBzAHMAaQBvAG4AcwBGAHIAbwBtAEIAdQByAG4AaQBuAGcATwBmAEMAcgBvAHAAUgBlAHMAaQBkAHUAZQBzAFwAbgBOAGkAdAByAG8AdQBzACAAbwB4AGkAZABlACAAZQBtAGkAcwBzAGkAbwBuAHMAIABmAHIAbwBtACAAdABoAGUAIABiAHUAcgBuAGkAbgBnACAAbwBmACAAYwByAG8AcAAgAHIAZQBzAGkAZAB1AGUAcwBcAG4ARQBOADIATwBcAG4AdAAgAE4AMgBPAFwAbgBFAF8AewBOADIATwB9AD0AXABcAHMAdQBtAF8AewBjAH0AKABNAF8AewBiAHUAcgBuACwAYwB9AFwAXAB0AGkAbQBlAHMAIABOAEMAXwB7AEEARwBjAH0AXABcAHQAaQBtAGUAcwAgAEUARgBfAHsATgAyAE8AfQBcAFwAdABpAG0AZQBzACAAQwBfAHsATgAyAE8AfQBcAFwAdABpAG0AZQBzACAAMQAwAF4AewAtADMAfQApAFwAbgBNAF8AYgB1AHIAbgBjACAAPQAgAG0AYQBzAHMAIABvAGYAIAByAGUAcwBpAGQAdQBlACAAYgB1AHIAbgB0ACAAZgBvAHIAIABjAHIAbwBwACAAdAB5AHAAZQAgAGMAIAAoAGsAZwApAFwAbgBOAEMAXwBBAEcAYwAgAD0AIABuAGkAdAByAG8AZwBlAG4AIABjAG8AbgB0AGUAbgB0ACAAaQBuACAAdABoAGUAIABhAGIAbwB2AGUALQBnAHIAbwB1AG4AZAAgAHIAZQBzAGkAZAB1AGUAIABvAGYAIABjAHIAbwBwACAAdAB5AHAAZQAgAGMAIAAoAGsAZwAgAE4ALwBrAGcAIABEAE0AKQBcAG4ARQBGAF8ATgAyAE8AIAA9ACAAZQBtAGkAcwBzAGkAbwBuACAAZgBhAGMAdABvAHIAIABmAG8AcgAgAG4AaQB0AHIAbwB1AHMAIABvAHgAaQBkAGUAIABmAHIAbwBtACAAYgB1AHIAbgBpAG4AZwAgAG8AZgAgAGMAcgBvAHAAIAByAGUAcwBpAGQAdQBlAHMAIAAoAGsAZwAgAE4AMgBPAC8AawBnACAATgAyAE8AIABiAHUAcgBuAHQAKQBcAG4AQwBf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XwBiAHUAcgBuAGMALAAgAE4AQwBfAEEARwBjACwAIABFAEYAXwBOADIATwAsACAAQwBfAE4AMgBPACwAXABuACAAIAAgACAAKABNAF8AYgB1AHIAbgBjACAAKgAgAE4AQwBfAEEARwBjACkAIAAqACAARQBGAF8ATgAyAE8AIAAqACAAQwBfAE4AMgBPACAAKgAgADEAMABeACgALQAzACkAXABuACAAIAApADsAXABuAFwAbgBWAEUARQBSAEcAXwA2AF8ANABfADEAXwAxAF8AXwAyAF8AXwBOAGkAdAByAG8AdQBzAE8AeABpAGQAZQBFAG0AaQBzAHMAaQBvAG4AcwBGAHIAbwBtAEIAdQByAG4AaQBuAGcATwBmAEMAcgBvAHAAUgBlAHMAaQBkAHUAZQBzAF8ARgB1AG4AYwB0AGkAbwBuAE4AYQBtAGUAXABuACAAIAA9AEwAQQBNAEIARABBACgAXAAiAFYARQBFAFIARwBfADYAXwA0AF8AMQBfADEAXwBfADIAXwBfAE4AaQB0AHIAbwB1AHMATwB4AGkAZABlAEUAbQBpAHMAcwBpAG8AbgBzAEYAcgBvAG0AQgB1AHIAbgBpAG4AZwBPAGYAQwByAG8AcABSAGUAcwBpAGQAdQBlAHMAXAAiACkAOwBcAG4AXABuAFYARQBFAFIARwBfADYAXwA0AF8AMQBfADEAXwBfADIAXwBfAE4AaQB0AHIAbwB1AHMATwB4AGkAZABlAEUAbQBpAHMAcwBpAG8AbgBzAEYAcgBvAG0AQgB1AHIAbgBpAG4AZwBPAGYAQwByAG8AcABSAGUAcwBpAGQAdQBlAHMAXwBUAGkAdABsAGUAXABuACAAIAA9AEwAQQBNAEIARABBACgAXAAiAE4AaQB0AHIAbwB1AHMAIABvAHgAaQBkAGUAIABlAG0AaQBzAHMAaQBvAG4AcwAgAGYAcgBvAG0AIAB0AGgAZQAgAGIAdQByAG4AaQBuAGcAIABvAGYAIABjAHIAbwBwACAAcgBlAHMAaQBkAHUAZQBzAFwAIgApADsAXABuAFwAbgBWAEUARQBSAEcAXwA2AF8ANABfADEAXwAxAF8AXwAyAF8AXwBOAGkAdAByAG8AdQBzAE8AeABpAGQAZQBFAG0AaQBzAHMAaQBvAG4AcwBGAHIAbwBtAEIAdQByAG4AaQBuAGcATwBmAEMAcgBvAHAAUgBlAHMAaQBkAHUAZQBzAF8AVgBhAHIAaQBhAGIAbABlAFwAbgAgACAAPQBMAEEATQBCAEQAQQAoAFwAIgBFAE4AMgBPAFwAIgApADsAXABuAFwAbgBWAEUARQBSAEcAXwA2AF8ANABfADEAXwAxAF8AXwAyAF8AXwBOAGkAdAByAG8AdQBzAE8AeABpAGQAZQBFAG0AaQBzAHMAaQBvAG4AcwBGAHIAbwBtAEIAdQByAG4AaQBuAGcATwBmAEMAcgBvAHAAUgBlAHMAaQBkAHUAZQBzAF8AVQBuAGkAdABcAG4AIAAgAD0ATABBAE0AQgBEAEEAKABcACIAdAAgAE4AMgBPAFwAIgApADsAXABuAFwAbgBWAEUARQBSAEcAXwA2AF8ANABfADEAXwAxAF8AXwAyAF8AXwBOAGkAdAByAG8AdQBzAE8AeABpAGQAZQBFAG0AaQBzAHMAaQBvAG4AcwBGAHIAbwBtAEIAdQByAG4AaQBuAGcATwBmAEMAcgBvAHAAUgBlAHMAaQBkAHUAZQBzAF8AUwBvAHUAcgBjAGUAXABuACAAIAA9AEwAQQBNAEIARABBACgAXAAiAFYARQBFAFIARwAgADIAMAAyADYAOgAgADYALgA0AC4AMQAuADEALAAgAEUAcQB1AGEAdABpAG8AbgAgACgAMgApAFwAIgApADsAXABuAFwAbgBWAEUARQBSAEcAXwA2AF8ANABfADEAXwAxAF8AXwAyAF8AXwBOAGkAdAByAG8AdQBzAE8AeABpAGQAZQBFAG0AaQBzAHMAaQBvAG4AcwBGAHIAbwBtAEIAdQByAG4AaQBuAGcATwBmAEMAcgBvAHAAUgBlAHMAaQBkAHUAZQBzAF8ATgBJAFIAUgBlAGYAZQByAGUAbgBjAGUAXABuACAAIAA9AEwAQQBNAEIARABBACgAXAAiAFwAIgApADsAXABuAFwAbgBWAEUARQBSAEcAXwA2AF8ANABfADEAXwAxAF8AXwAyAF8AXwBOAGkAdAByAG8AdQBzAE8AeABpAGQAZQBFAG0AaQBzAHMAaQBvAG4AcwBGAHIAbwBtAEIAdQByAG4AaQBuAGcATwBmAEMAcgBvAHAAUgBlAHMAaQBkAHUAZQBzAF8ATABhAHQAZQB4AEUAcQB1AGEAdABpAG8AbgBcAG4AIAAgAD0ATABBAE0AQgBEAEEAKABcACIARQBfAHsATgAyAE8AfQA9AFwAXABzAHUAbQBcAFwAbgBvAGwAaQBtAGkAdABzAF8AYwAoAE0AXwB7AGIAdQByAG4ALABjAH0AXABcAHQAaQBtAGUAcwAgAE4AQwBfAHsAQQBHAGMAfQApAFwAXAB0AGkAbQBlAHMAIABFAEYAXwB7AE4AMgBPAH0AXABcAHQAaQBtAGUAcwAgAEMAXwB7AE4AMgBPAH0AXABcAHQAaQBtAGUAcwAgADEAMABeAHsALQAzAH0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4AQwBfAEEARwBjAFwAIgAsAFwAIgBuAGkAdAByAG8AZwBlAG4AIABjAG8AbgB0AGUAbgB0ACAAaQBuACAAdABoAGUAIABhAGIAbwB2AGUALQBnAHIAbwB1AG4AZAAgAHIAZQBzAGkAZAB1AGUAIABvAGYAIABjAHIAbwBwACAAdAB5AHAAZQAgAGMAXAAiACwAIABcACIAawBnACAATgAvAGsAZwAgAEQATQBcACIALAAgAFwAIgBDAG8AbgBzAHQAYQBuAHQAXAAiADsAXABuACAAIAAgACAAIAAgACAAIAAgACAAXAAiAEUARgBfAE4AMgBPAFwAIgAsAFwAIgBlAG0AaQBzAHMAaQBvAG4AIABmAGEAYwB0AG8AcgAgAGYAbwByACAAbgBpAHQAcgBvAHUAcwAgAG8AeABpAGQAZQAgAGYAcgBvAG0AIABiAHUAcgBuAGkAbgBnACAAbwBmACAAYwByAG8AcAAgAHIAZQBzAGkAZAB1AGUAcwBcACIALAAgAFwAIgBrAGcAIABOADIATwAvAGsAZwAgAE4AMgBPACAAYgB1AHIAbgB0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F8AYgB1AHIAbgBjAFwAbgBrAGcAXABuAE0AXwB7AGIAdQByAG4ALABjAH0APQBQAF8AewBjAH0AXABcAHQAaQBtAGUAcwAgAFIAXwB7AEEARwBjAH0AXABcAHQAaQBtAGUAcwAgAFMAXwB7AGMAfQBcAFwAdABpAG0AZQBzACAARABNAF8AewBjAH0AXABcAHQAaQBtAGUAcwAgAFoAXwB7AGMAfQBcAFwAdABpAG0AZQBzACAARgBfAHsAYwB9AFwAbgBQAF8AYwAgAD0AIABhAG4AbgB1AGEAbAAgAHAAcgBvAGQAdQBjAHQAaQBvAG4AIABvAGYAIABjAHIAbwBwACAAdAB5AHAAZQAgAGMAIAAoAGsAZwApAFwAbgBSAF8AQQBHAGMAIAA9ACAAcgBlAHMAaQBkAHUAZQAgAHQAbwAgAGMAcgBvAHAAIAByAGEAdABpAG8AIABvAGYAIABjAHIAbwBwACAAdAB5AHAAZQAgAGMAIAAoAGsAZwAgAGMAcgBvAHAAIAByAGUAcwBpAGQAdQBlAC8AawBnACAAYwByAG8AcAApAFwAbgBTAF8AYwAgAD0AIABmAHIAYQBjAHQAaQBvAG4AIABvAGYAIAByAGUAcwBpAGQAdQBlAHMAIABvAGYAIABjAHIAbwBwACAAdAB5AHAAZQAgAGMAIAByAGUAbQBhAGkAbgBpAG4AZwAgAGEAdAAgAGIAdQByAG4AaQBuAGcAIAAoAGQAaQBtAGUAbgBzAGkAbwBuAGwAZQBzAHMAKQBcAG4ARABNAF8AYwAgAD0AIABkAHIAeQAgAG0AYQB0AHQAZQByACAAYwBvAG4AdABlAG4AdAAgAG8AZgAgAGMAcgBvAHAAIAB0AHkAcABlACAAYwAgACgAawBnACAAZAByAHkAIAB3AGUAaQBnAGgAdAAvAGsAZwAgAGMAcgBvAHAAIAByAGUAcwBpAGQAdQBlACkAXABuAFoAXwBjACAAPQAgAGIAdQByAG4AaQBuAGcAIABlAGYAZgBpAGMAaQBlAG4AYwB5ACAAKAByAGEAdABpAG8AIABvAGYAIABmAHUAZQBsACAAYgB1AHIAbgB0ACAAdABvACAAZgB1AGUAbAAgAGwAbwBhAGQAKQAgAG8AZgAgAGMAcgBvAHAAIAB0AHkAcABlACAAYwAgACgAZABpAG0AZQBuAHMAaQBvAG4AbABlAHMAcwApAFwAbgBGAF8AYwAgAD0AIABmAHIAYQBjAHQAaQBvAG4AIABvAGYAIAB0AGgAZQAgAGEAbgBuAHUAYQBsACAAcAByAG8AZAB1AGMAdABpAG8AbgAgAG8AZgAgAGMAcgBvAHAAIAB0AHkAcABlACAAYwAgAHQAaABhAHQAIABpAHMAIABiAHUAcgBuAHQAIAAoAGQAaQBtAGUAbgBzAGkAbwBuAGwAZQBzAHMAKQBcAG4AYwAgAD0AIABDAHIAbwBwACAAdAB5AHAAZQBcAG4ALQAtAC0ALQAtAC0ALQAtAC0ALQAtAC0ALQAtAC0ALQAtAC0ALQAtAC0ALQAtAC0ALQAtAC0ALQAtAC0ALQAtAC0ALQAtAC0ALQAtAFwAbgAqAC8AXABuAFwAbgBWAEUARQBSAEcAXwA2AF8ANABfADEAXwAxAF8AXwAzAF8AXwBNAGEAcwBzAE8AZgBDAHIAbwBwAFIAZQBzAGkAZAB1AGUAQgB1AHIAbgB0AFwAbgAgACAAPQBMAEEATQBCAEQAQQAoAFwAbgAgACAAIAAgAFAAXwBjACwAIABSAF8AQQBHAGMALAAgAFMAXwBjACwAIABEAE0AXwBjACwAIABaAF8AYwAsACAARgBfAGMALABcAG4AIAAgACAAIABQAF8AYwAgACoAIABSAF8AQQBHAGMAIAAqACAAUwBfAGMAIAAqACAARABNAF8AYwAgACoAIABaAF8AYwAgACoAIABGAF8AYwBcAG4AIAAgACkAOwBcAG4AXABuAFYARQBFAFIARwBfADYAXwA0AF8AMQBfADEAXwBfADMAXwBfAE0AYQBzAHMATwBmAEMAcgBvAHAAUgBlAHMAaQBkAHUAZQBCAHUAcgBuAHQAXwBGAHUAbgBjAHQAaQBvAG4ATgBhAG0AZQBcAG4AIAAgAD0ATABBAE0AQgBEAEEAKABcACIAVgBFAEUAUgBHAF8ANgBfADQAXwAxAF8AMQBfAF8AMwBfAF8ATQBhAHMAcwBPAGYAQwByAG8AcABSAGUAcwBpAGQAdQBlAEIAdQByAG4AdABcACIAKQA7AFwAbgBcAG4AVgBFAEUAUgBHAF8ANgBfADQAXwAxAF8AMQBfAF8AMwBfAF8ATQBhAHMAcwBPAGYAQwByAG8AcABSAGUAcwBpAGQAdQBlAEIAdQByAG4AdABfAFQAaQB0AGwAZQBcAG4AIAAgAD0ATABBAE0AQgBEAEEAKABcACIATQBhAHMAcwAgAG8AZgAgAHIAZQBzAGkAZAB1AGUAIABvAGYAIABjAHIAbwBwACAAYwAgAGIAdQByAG4AdABcACIAKQA7AFwAbgBcAG4AVgBFAEUAUgBHAF8ANgBfADQAXwAxAF8AMQBfAF8AMwBfAF8ATQBhAHMAcwBPAGYAQwByAG8AcABSAGUAcwBpAGQAdQBlAEIAdQByAG4AdABfAFYAYQByAGkAYQBiAGwAZQBcAG4AIAAgAD0ATABBAE0AQgBEAEEAKABcACIATQBfAGIAdQByAG4AYwBcACIAKQA7AFwAbgBcAG4AVgBFAEUAUgBHAF8ANgBfADQAXwAxAF8AMQBfAF8AMwBfAF8ATQBhAHMAcwBPAGYAQwByAG8AcABSAGUAcwBpAGQAdQBlAEIAdQByAG4AdABfAFUAbgBpAHQAXABuACAAIAA9AEwAQQBNAEIARABBACgAXAAiAGsAZwBcACIAKQA7AFwAbgBcAG4AVgBFAEUAUgBHAF8ANgBfADQAXwAxAF8AMQBfAF8AMwBfAF8ATQBhAHMAcwBPAGYAQwByAG8AcABSAGUAcwBpAGQAdQBlAEIAdQByAG4AdABfAFMAbwB1AHIAYwBlAFwAbgAgACAAPQBMAEEATQBCAEQAQQAoAFwAIgBWAEUARQBSAEcAIAAyADAAMgA2ADoAIAA2AC4ANAAuADEALgAxACwAIABFAHEAdQBhAHQAaQBvAG4AIAAoADMAKQBcACIAKQA7AFwAbgBcAG4AVgBFAEUAUgBHAF8ANgBfADQAXwAxAF8AMQBfAF8AMwBfAF8ATQBhAHMAcwBPAGYAQwByAG8AcABSAGUAcwBpAGQAdQBlAEIAdQByAG4AdABfAE4ASQBSAFIAZQBmAGUAcgBlAG4AYwBlAFwAbgAgACAAPQBMAEEATQBCAEQAQQAoAFwAIgBcACIAKQA7AFwAbgBcAG4AVgBFAEUAUgBHAF8ANgBfADQAXwAxAF8AMQBfAF8AMwBfAF8ATQBhAHMAcwBPAGYAQwByAG8AcABSAGUAcwBpAGQAdQBlAEIAdQByAG4AdABfAEwAYQB0AGUAeABFAHEAdQBhAHQAaQBvAG4AXABuACAAIAA9AEwAQQBNAEIARABBACgAXAAiAE0AXwB7AGIAdQByAG4ALABjAH0APQBQAF8AewBjAH0AXABcAHQAaQBtAGUAcwAgAFIAXwB7AEEARwBjAH0AXABcAHQAaQBtAGUAcwAgAFMAXwB7AGMAfQBcAFwAdABpAG0AZQBzACAARABNAF8AewBjAH0AXABcAHQAaQBtAGUAcwAgAFoAXwB7AGMAfQBcAFwAdABpAG0AZQBzACAARgBfAHsAYwB9AFwAIgApADsAXABuAFwAbgBWAEUARQBSAEcAXwA2AF8ANABfADEAXwAxAF8AXwAzAF8AXwBNAGEAcwBzAE8AZgBDAHIAbwBwAFIAZQBzAGkAZAB1AGUAQgB1AHIAbgB0AF8AQQByAGcAdQBtAGUAbgB0AHMAXABuACAAIAA9AEwAQQBNAEIARABBACgAXABuACAAIAAgACAATQBBAEsARQBBAFIAUgBBAFkAKAA3ACwAIAA0ACwAXABuACAAIAAgACAAIAAgAEwAQQBNAEIARABBACgAcgAsAGMALABcAG4AIAAgACAAIAAgACAAIAAgAEkATgBEAEUAWAAoAHsAXABuACAAIAAgACAAIAAgACAAIAAgACAAXAAiAFAAXwBjAFwAIgAsAFwAIgBhAG4AbgB1AGEAbAAgAHAAcgBvAGQAdQBjAHQAaQBvAG4AIABvAGYAIABjAHIAbwBwACAAdAB5AHAAZQAgAGMAXAAiACwAIABcACIAawBnAFwAIgAsACAAXAAiAEkAbgBwAHUAdABcACIAOwBcAG4AIAAgACAAIAAgACAAIAAgACAAIABcACIAUgBfAEEARwBjAFwAIgAsAFwAIgByAGUAcwBpAGQAdQBlACAAdABvACAAYwByAG8AcAAgAHIAYQB0AGkAbwAgAG8AZgAgAGMAcgBvAHAAIAB0AHkAcABlACAAYwBcACIALAAgAFwAIgBrAGcAIABjAHIAbwBwACAAcgBlAHMAaQBkAHUAZQAvAGsAZwAgAGMAcgBvAHAAXAAiACwAIABcACIAQwBvAG4AcwB0AGEAbgB0AFwAIgA7AFwAbgAgACAAIAAgACAAIAAgACAAIAAgAFwAIgBTAF8AYwBcACIALABcACIAZgByAGEAYwB0AGkAbwBuACAAbwBmACAAcgBlAHMAaQBkAHUAZQBzACAAbwBmACAAYwByAG8AcAAgAHQAeQBwAGUAIABjACAAcgBlAG0AYQBpAG4AaQBuAGcAIABhAHQAIABiAHUAcgBuAGkAbgBnAFwAIgAsACAAXAAiAGYAcgBhAGMAdABpAG8AbgBcACIALAAgAFwAIgBDAG8AbgBzAHQAYQBuAHQAXAAiADsAXABuACAAIAAgACAAIAAgACAAIAAgACAAXAAiAEQATQBfAGMAXAAiACwAXAAiAGQAcgB5ACAAbQBhAHQAdABlAHIAIABjAG8AbgB0AGUAbgB0ACAAbwBmACAAYwByAG8AcAAgAHQAeQBwAGUAIABjAFwAIgAsACAAXAAiAGsAZwAgAGQAcgB5ACAAdwBlAGkAZwBoAHQALwBrAGcAIABjAHIAbwBwACAAcgBlAHMAaQBkAHUAZQBcACIALAAgAFwAIgBDAG8AbgBzAHQAYQBuAHQAXAAiADsAXABuACAAIAAgACAAIAAgACAAIAAgACAAXAAiAFoAXwBjAFwAIgAsAFwAIgBiAHUAcgBuAGkAbgBnACAAZQBmAGYAaQBjAGkAZQBuAGMAeQAgACgAcgBhAHQAaQBvACAAbwBmACAAZgB1AGUAbAAgAGIAdQByAG4AdAAgAHQAbwAgAGYAdQBlAGwAIABsAG8AYQBkACkAIABvAGYAIABjAHIAbwBwACAAdAB5AHAAZQAgAGMAXAAiACwAIABcACIAXAAiACwAIABcACIAQwBvAG4AcwB0AGEAbgB0AFwAIgA7AFwAbgAgACAAIAAgACAAIAAgACAAIAAgAFwAIgBGAF8AYwBcACIALABcACIAZgByAGEAYwB0AGkAbwBuACAAbwBmACAAdABoAGUAIABhAG4AbgB1AGEAbAAgAHAAcgBvAGQAdQBjAHQAaQBvAG4AIABvAGYAIABjAHIAbwBwACAAdAB5AHAAZQAgAGMAIAB0AGgAYQB0ACAAaQBzACAAYgB1AHIAbgB0AFwAIgAsACAAXAAiAGYAcgBhAGMAdABpAG8AbgBcACIALAAgAFwAIgBDAG8AbgBzAHQAYQBuAHQAXAAiADsAXABuACAAIAAgACAAIAAgACAAIAAgACAAXAAiAGMAXAAiACwAXAAiAEMAcgBvAHAAIAB0AHkAcABlAFwAIgAsACAAXAAiAFwAIgAsACAAXAAiAEkAbgBwAHUAdABcACIAXABuACAAIAAgACAAIAAgACAAIAB9ACwAIAByACwAIABjACkAXABuACAAIAAgACAAIAAgACkAXABuACAAIAAgACAAKQBcAG4AIAAgACkAOw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UABhAHMAdAB1AHIAZQBSAGUAcwBpAGQAdQBlACIALAAiAHQAZQB4AHQAIgA6ACIALwAqACAAXABuAC0ALQAtAC0ALQAtAC0ALQAtAC0ALQAtAC0ALQAtAC0ALQAtAC0ALQAtAC0ALQAtAC0ALQAtAC0ALQAtAC0ALQAtAC0ALQAtAC0ALQBcAG4AVgBFAEUAUgBHAF8ANgBfADIAXwAxAF8AMQBfAF8AMQBfAF8ATgBpAHQAcgBvAHUAcwBPAHgAaQBkAGUARQBtAGkAcwBzAGkAbwBuAHMARgByAG8AbQBQAGEAcwB0AHUAcgBlAFIAZQBzAGkAZAB1AGUAcwBcAG4ATgBpAHQAcgBvAHUAcwAgAG8AeABpAGQAZQAgAGUAbQBpAHMAcwBpAG8AbgBzACAAZgByAG8AbQAgAHQAaABlACAAcgBlAHQAdQByAG4AIABvAGYAIABwAGEAcwB0AHUAcgBlACAAcgBlAHMAaQBkAHUAZQBzACAAZgByAG8AbQAgAGEAbABsACAAcABhAHMAdAB1AHIAZQAgAHQAeQBwAGUAcwAgAHQAbwAgAHQAaABlACAAcwBvAGkAbABcAG4ARQBOADIATwBcAG4AdAAgAE4AMgBPAFwAbgBFAF8AewBOADIATwB9AD0AXABcAHMAdQBtAF8AewBwAH0AXABcAGwAZQBmAHQAKABNAF8AcABcAFwAdABpAG0AZQBzACAARQBGAF8AewBOAGkAfQBcAFwAdABpAG0AZQBzACAAQwBfAHsATgAyAE8AfQBcAFwAdABpAG0AZQBzAHsAMQAwAH0AXgB7AC0AMwB9AFwAXAByAGkAZwBoAHQAKQBcAG4ATQBwACAAPQAgAG0AYQBzAHMAIABvAGYAIABuAGkAdAByAG8AZwBlAG4AIABpAG4AIABwAGEAcwB0AHUAcgBlACAAcAAgAHIAZQBzAGkAZAB1AGUAcwAgAHIAZQB0AHUAcgBuAGUAZAAgAHQAbwAgAHQAaABlACAAcwBvAGkAbAAgACgAawBnACAATgApAFwAbgBFAEYATgBpACAAPQAgAGUAbQBpAHMAcwBpAG8AbgAgAGYAYQBjAHQAbwByACAAZgBvAHIAIABjAHIAbwBwACAAcgBlAHMAaQBkAHUAZQBzACAAcgBlAHQAdQByAG4AZQBkACAAdABvACAAdABoAGUAIABzAG8AaQBsACAAaQBuACAAYwBsAGkAbQBhAHQAZQAgAHoAbwBuAGUAIABpACAAKABrAGcAIABOADIATwAtAE4ALwBrAGcAIABOACkAXABuAEMATgAyAE8AIAA9ACAAZgBhAGMAdABvAHIAIAB0AG8AIABjAG8AbgB2AGUAcgB0ACAAZQBsAGUAbQBlAG4AdABhAGwAIABtAGEAcwBzACAAbwBmACAAbgBpAHQAcgBvAHUAcwAgAG8AeABpAGQAZQAgAHQAbwAgAG0AbwBsAGUAYwB1AGwAYQByACAAbQBhAHMAcwAgACgAZABpAG0AZQBuAHMAaQBvAG4AbABlAHMAcwApAFwAbgBwACAAPQAgAFAAYQBzAHQAdQByAGUAIAB0AHkAcABlAFwAbgBpACAAPQAgAEMAbABpAG0AYQB0AGUAIAB6AG8AbgBlAFwAbgAtAC0ALQAtAC0ALQAtAC0ALQAtAC0ALQAtAC0ALQAtAC0ALQAtAC0ALQAtAC0ALQAtAC0ALQAtAC0ALQAtAC0ALQAtAC0ALQAtAC0AXABuACoALwBcAG4AXABuAFYARQBFAFIARwBfADYAXwAyAF8AMQBfADEAXwBfADEAXwBfAE4AaQB0AHIAbwB1AHMATwB4AGkAZABlAEUAbQBpAHMAcwBpAG8AbgBzAEYAcgBvAG0AUABhAHMAdAB1AHIAZQBSAGUAcwBpAGQAdQBlAHMAXABuACAAIAA9AEwAQQBNAEIARABBACgAXABuACAAIAAgACAATQBfAHAALAAgAEUARgBfAE4AaQAsACAAQwBfAE4AMgBPACwAXABuACAAIAAgACAAKABNAF8AcAAgACoAIABFAEYAXwBOAGkAKQAgACoAIABDAF8ATgAyAE8AIAAqACAAMQAwAF4AKAAtADMAKQBcAG4AIAAg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wAXABuAG8AbABpAG0AaQB0AHMAXwBwAFwAXABsAGUAZgB0ACgATQBfAHAAXABcAHQAaQBtAGUAcwAgAEUARgBfAHsATgBpAH0AXABcAHIAaQBnAGgAdAApAFwAXAB0AGkAbQBlAHMAIABDAF8AewBOADIATwB9AFwAXAB0AGkAbQBlAHMAewAxADAAfQBeAHsALQAzAH0AXAAiACkAOwBcAG4AXABuAFYARQBFAFIARwBfADYAXwAyAF8AMQBfADEAXwBfADEAXwBfAE4AaQB0AHIAbwB1AHMATwB4AGkAZABlAEUAbQBpAHMAcwBpAG8AbgBzAEYAcgBvAG0AUABhAHMAdAB1AHIAZQBSAGUAcwBpAGQAdQBlAHMAXwBBAHIAZwB1AG0AZQBuAHQAcwBcAG4AIAAgAD0ATABBAE0AQgBEAEEAKABcAG4AIAAgACAAIABNAEEASwBFAEEAUgBSAEEAWQAoADUALAAgADQALAAgAFwAbgAgACAAIAAgACAAIABMAEEATQBCAEQAQQAoAHIALABjACwAIABcAG4AIAAgACAAIAAgACAAIAAgAEkATgBEAEUAWAAoAHsAXABuACAAIAAgACAAIAAgACAAIAAgACAAXAAiAE0AXwBwAFwAIgAsAFwAIgBtAGEAcwBzACAAbwBmACAAbgBpAHQAcgBvAGcAZQBuACAAaQBuACAAcABhAHMAdAB1AHIAZQAgAHAAIAByAGUAcwBpAGQAdQBlAHMAIAByAGUAdAB1AHIAbgBlAGQAIAB0AG8AIAB0AGgAZQAgAHMAbwBpAGwAXAAiACwAIABcACIAawBnACAATgBcACIALAAgAFwAIgBDAGEAbABjAHUAbABhAHQAZQBkACAAZgByAG8AbQAgADYALgAyAC4AMQAuADEAIAAoADIAKQBcACIAOwBcAG4AIAAgACAAIAAgACAAIAAgACAAIABcACIARQBGAF8ATgBpAFwAIgAsAFwAIgBlAG0AaQBzAHMAaQBvAG4AIABmAGEAYwB0AG8AcgAgAGYAbwByACAAYwByAG8AcAAgAHIAZQBzAGkAZAB1AGUAcwAgAHIAZQB0AHUAcgBuAGUAZAAgAHQAbwAgAHQAaABlACAAcwBvAGkAbAAgAGkAbgAgAGMAbABpAG0AYQB0AGUAIAB6AG8AbgBlACAAaQ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GQAaQBtAGUAbgBzAGkAbwBuAGwAZQBzAHMAXAAiACwAIABcACIAQwBvAG4AcwB0AGEAbgB0AFwAIgA7AFwAbgAgACAAIAAgACAAIAAgACAAIAAgAFwAIgBwAFwAIgAsAFwAIgBQAGEAcwB0AHUAcgBlACAAdAB5AHAAZ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gBfADEAXwAxAF8AXwAyAF8AXwBNAGEAcwBzAE8AZgBOAGkAdAByAG8AZwBlAG4ASQBuAFAAYQBzAHQAdQByAGUAUgBlAHMAaQBkAHUAZQBzAFwAbgBNAGEAcwBzACAAbwBmACAAbgBpAHQAcgBvAGcAZQBuACAAaQBuACAAcABhAHMAdAB1AHIAZQAgAHIAZQBzAGkAZAB1AGUAcwAgAHIAZQB0AHUAcgBuAGUAZAAgAHQAbwAgAHQAaABlACAAcwBvAGkAbABcAG4ATQBwAFwAbgBrAGcAIABOAFwAbgBNAF8AcAAgAD0AIAAoAEEAXwBwACAA1w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G4AQQBf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F8AQgBHAHAAIAA9ACAAYgBlAGwAbwB3AC0AZwByAG8AdQBuAGQAIAByAGUAcwBpAGQAdQBlACAAdABvACAAYQBiAG8AdgBlAC0AZwByAG8AdQBuAGQAIAByAGUAcwBpAGQAdQBlACAAcgBhAHQAaQBvACAAZgBvAHIAIABwAGEAcwB0AHUAcgBlACAAYwByAG8AcAAgACgAZABpAG0AZQBuAHMAaQBvAG4AbABlAHMAcwApAFwAbgBOAEMAXwBCAEcAcAAgAD0AIABOACAAYwBvAG4AdABlAG4AdAAgAG8AZgAgAGIAZQBsAG8AdwAtAGcAcgBvAHUAbgBkACAAcABhAHMAdAB1AHIAZQAgAGMAcgBvAHAAIAByAGUAcwBpAGQAdQBlACAAKABrAGcAIABOAC8AawBnACAARABNACkAXABuAEYARgBPAEQAcAAgAD0AIABmAHIAYQBjAHQAaQBvAG4AIABvAGYAIABwAGEAcwB0AHUAcgBlACAAeQBpAGUAbABkACAAdABoAGEAdAAgAGkAcwAgAHIAZQBtAG8AdgBlAGQAIAAoAGQAaQBtAGUAbgBzAGkAbwBuAGwAZQBzAHMAKQBcAG4AcAAgAD0AIABQAGEAcwB0AHUAcgBlACAAdAB5AHAAZQBcAG4ALQAtAC0ALQAtAC0ALQAtAC0ALQAtAC0ALQAtAC0ALQAtAC0ALQAtAC0ALQAtAC0ALQAtAC0ALQAtAC0ALQAtAC0ALQAtAC0ALQAtAFwAbgAqAC8AXABuAFwAbgBWAEUARQBSAEcAXwA2AF8AMgBfADEAXwAxAF8AXwAyAF8AXwBNAGEAcwBzAE8AZgBOAGkAdAByAG8AZwBlAG4ASQBuAFAAYQBzAHQAdQByAGUAUgBlAHMAaQBkAHUAZQBzAFwAbgAgACAAPQBMAEEATQBCAEQAQQAoAFwAbgAgACAAIAAgAEEAXwBwACwAIABZAF8AcAAsACAARgBGAE8ARABfAHAALAAgAE4AQwBfAEEARwBwACwAIABSAF8AQgBHAHAALAAgAE4AQwBfAEIARwBwACwAXABuACAAIAAgACAAKABBAF8AcAAgACoAIAAoAFkAXwBwACAAKgAgADEAMABeACgALQAzACkAKQAgACoAIAAoADEAIAAtACAARgBGAE8ARABfAHAAKQAgACoAIABOAEMAXwBBAEcAcAApACAAKwAgACgAQQBfAHAAIAAqACAAKABZAF8AcAAgACoAIAAxADAAXgAoAC0AMwApACkAIAAqACAAUgBfAEIARwBwACAAKgAgAE4AQwBfAEIARwBwACkAXABuACAAIAApADsAXABuAFwAbgBWAEUARQBSAEcAXwA2AF8AMgBfADEAXwAxAF8AXwAyAF8AXwBNAGEAcwBzAE8AZgBOAGkAdAByAG8AZwBlAG4ASQBuAFAAYQBzAHQAdQByAGUAUgBlAHMAaQBkAHUAZQBzAF8AVABpAHQAbABlAFwAbgAgACAAPQBMAEEATQBCAEQAQQAoAFwAIgBNAGEAcwBzACAAbwBmACAAbgBpAHQAcgBvAGcAZQBuACAAaQBuACAAcABhAHMAdAB1AHIAZQAgAHIAZQBzAGkAZAB1AGUAcwAgAHIAZQB0AHUAcgBuAGUAZAAgAHQAbwAgAHQAaABlACAAcwBvAGkAbABcACIAKQA7AFwAbgBcAG4AVgBFAEUAUgBHAF8ANgBfADIAXwAxAF8AMQBfAF8AMgBfAF8ATQBhAHMAcwBPAGYATgBpAHQAcgBvAGcAZQBuAEkAbgBQAGEAcwB0AHUAcgBlAFIAZQBzAGkAZAB1AGUAcwBfAFYAYQByAGkAYQBiAGwAZQBcAG4AIAAgAD0ATABBAE0AQgBEAEEAKABcACIATQBwAFwAIgApADsAXABuAFwAbgBWAEUARQBSAEcAXwA2AF8AMgBfADEAXwAxAF8AXwAyAF8AXwBNAGEAcwBzAE8AZgBOAGkAdAByAG8AZwBlAG4ASQBuAFAAYQBzAHQAdQByAGUAUgBlAHMAaQBkAHUAZQBzAF8AVQBuAGkAdABcAG4AIAAgAD0ATABBAE0AQgBEAEEAKABcACIAawBnACAATgBcACIAKQA7AFwAbgBcAG4AVgBFAEUAUgBHAF8ANgBfADIAXwAxAF8AMQBfAF8AMgBfAF8ATQBhAHMAcwBPAGYATgBpAHQAcgBvAGcAZQBuAEkAbgBQAGEAcwB0AHUAcgBlAFIAZQBzAGkAZAB1AGUAcwBfAFMAbwB1AHIAYwBlAFwAbgAgACAAPQBMAEEATQBCAEQAQQAoAFwAIgBWAEUARQBSAEcAIAAyADAAMgA2ADoAIAA2AC4AMgAuADEALgAxACwAIABFAHEAdQBhAHQAaQBvAG4AIAAoADIAKQBcACIAKQA7AFwAbgBcAG4AVgBFAEUAUgBHAF8ANgBfADIAXwAxAF8AMQBfAF8AMgBfAF8ATQBhAHMAcwBPAGYATgBpAHQAcgBvAGcAZQBuAEkAbgBQAGEAcwB0AHUAcgBlAFIAZQBzAGkAZAB1AGUAcwBfAE4ASQBSAFIAZQBmAGUAcgBlAG4AYwBlAFwAbgAgACAAPQBMAEEATQBCAEQAQQAoAFwAIgBcACIAKQA7AFwAbgBcAG4AVgBFAEUAUgBHAF8ANgBfADIAXwAxAF8AMQBfAF8AMgBfAF8ATQBhAHMAcwBPAGYATgBpAHQAcgBvAGcAZQBuAEkAbgBQAGEAcwB0AHUAcgBlAFIAZQBzAGkAZAB1AGUAcwBfAEwAYQB0AGUAeABFAHEAdQBhAHQAaQBvAG4AXABuACAAIAA9AEwAQQBNAEIARABBACgAXAAiAE0AXwBwACAAPQAgACgAQQBfAHAAIABcAFwAdABpAG0AZQBzACAAKABZAF8AcAAgAFwAXAB0AGkAbQBlAHMAIAAxADAAXgB7AC0AMwB9ACkAIABcAFwAdABpAG0AZQBzACAAKAAxAC0AIABGAEYATwBEAF8AcAApACAAXABcAHQAaQBtAGUAcwAgAE4AQwBfAHsAQQBHAHAAfQApACAAKwAgACgAQQBfAHAAIABcAFwAdABpAG0AZQBzACAAKABZAF8AcAAgAFwAXAB0AGkAbQBlAHMAIAAxADAAXgB7AC0AMwB9ACkAXABcAHQAaQBtAGUAcwAgAFIAXwB7AEIARwBwAH0AIABcAFwAdABpAG0AZQBzACAATgBDAF8AewBCAEcAcAB9ACkAXAAiACkAOwBcAG4AXABuAFYARQBFAFIARwBfADYAXwAyAF8AMQBfADEAXwBfADIAXwBfAE0AYQBzAHMATwBmAE4AaQB0AHIAbwBnAGUAbgBJAG4AUABhAHMAdAB1AHIAZQBSAGUAcwBpAGQAdQBlAHMAXwBBAHIAZwB1AG0AZQBuAHQAcwBcAG4AIAAgAD0ATABBAE0AQgBEAEEAKABcAG4AIAAgACAAIABNAEEASwBFAEEAUgBSAEEAWQAoADcALAAgADQALAAgAFwAbgAgACAAIAAgACAAIABMAEEATQBCAEQAQQAoAHIALABjACwAIABcAG4AIAAgACAAIAAgACAAIAAgAEkATgBEAEUAWAAoAHsAXABuACAAIAAgACAAIAAgACAAIAAgACAAXAAiAEEAXwBwAFwAIgAsAFwAIgBhAHIAZQBhACAAbwBmACAAcABhAHMAdAB1AHIAZQAgAHIAZQBuAGUAdwBlAGQAIABvAHIAIAByAGUAbQBvAHYAZQBkAFwAIgAsACAAXAAiAGgAYQBcACIALAAgAFwAIgBJAG4AcAB1AHQAXAAiADsAXABuACAAIAAgACAAIAAgACAAIAAgACAAXAAiAFkAXwBwAFwAIgAsAFwAIgBhAHYAZQByAGEAZwBlACAAeQBpAGUAbABkACAAbwBmACAAcABhAHMAdAB1AHIAZQAgAGMAcgBvAHAAXAAiACwAIABcACIAdAAgAEQATQAvAGgAYQBcACIALAAgAFwAIgBDAG8AbgBzAHQAYQBuAHQAXAAiADsAXABuACAAIAAgACAAIAAgACAAIAAgACAAXAAiAE4AQwBfAEEARwBwAFwAIgAsAFwAIgBOACAAYwBvAG4AdABlAG4AdAAgAG8AZgAgAGEAYgBvAHYAZQAtAGcAcgBvAHUAbgBkACAAcABhAHMAdAB1AHIAZQAgAHIAZQBzAGkAZAB1AGUAXAAiACwAIABcACIAawBnACAATgAvAGsAZwAgAEQATQBcACIALAAgAFwAIgBDAG8AbgBzAHQAYQBuAHQAXAAiADsAXABuACAAIAAgACAAIAAgACAAIAAgACAAXAAiAFIAXwBCAEcAcABcACIALABcACIAYgBlAGwAbwB3AC0AZwByAG8AdQBuAGQAIAByAGUAcwBpAGQAdQBlACAAdABvACAAYQBiAG8AdgBlAC0AZwByAG8AdQBuAGQAIAByAGUAcwBpAGQAdQBlACAAcgBhAHQAaQBvACAAZgBvAHIAIABwAGEAcwB0AHUAcgBlACAAYwByAG8AcABcACIALAAgAFwAIgBcACIALAAgAFwAIgBDAG8AbgBzAHQAYQBuAHQAXAAiADsAXABuACAAIAAgACAAIAAgACAAIAAgACAAXAAiAE4AQwBfAEIARwBwAFwAIgAsAFwAIgBOACAAYwBvAG4AdABlAG4AdAAgAG8AZgAgAGIAZQBsAG8AdwAtAGcAcgBvAHUAbgBkACAAcABhAHMAdAB1AHIAZQAgAGMAcgBvAHAAIAByAGUAcwBpAGQAdQBlAFwAIgAsACAAXAAiAGsAZwAgAE4ALwBrAGcAIABEAE0AXAAiACwAIABcACIAQwBvAG4AcwB0AGEAbgB0AFwAIgA7AFwAbgAgACAAIAAgACAAIAAgACAAIAAgAFwAIgBGAEYATwBEAF8AcABcACIALABcACIAZgByAGEAYwB0AGkAbwBuACAAbwBmACAAcABhAHMAdAB1AHIAZQAgAHkAaQBlAGwAZAAgAHQAaABhAHQAIABpAHMAIAByAGUAbQBvAHYAZQBkAFwAIgAsACAAXAAiAGYAcgBhAGMAdABpAG8AbgBcACIALAAgAFwAIgBDAG8AbgBzAHQAYQBuAHQAXAAiADsAXABuACAAIAAgACAAIAAgACAAIAAgACAAXAAiAHAAXAAiACwAXAAiAFAAYQBzAHQAdQByAGUAIAB0AHkAcABlAFwAIgAsACAAXAAiAFwAIgAsACAAXAAiAEkAbgBwAHUAdABcACIAXABuACAAIAAgACAAIAAgACAAIAB9ACwAIAByACwAIABjACkAXABuACAAIAAgACAAIAAgACkAXABuACAAIAAgACAAKQBcAG4AIAAgACkAOwBcAG4AXABuAFwAbgBWAEUARQBSAEcAXwA2AF8AMgBfADEAXwAxAF8AXwAyAF8AXwBNAGEAcwBzAE8AZgBOAGkAdAByAG8AZwBlAG4ASQBuAFAAYQBzAHQAdQByAGUAUgBlAHMAaQBkAHUAZQBzAF8AQQByAGcAdQBtAGUAbgB0AHMAXwBNAGUAdABoAG8AZAAy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kAbgBwAHU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CwAIgBBAGcAcgBlAHMAaQBkAHUAZQBfAFMAbwB1AHIAYwBlAEQAYQB0AGEALgBDAHIAbwBwAFAAdQByAHAAbwBzAGUAQQBuAGQAWQBpAGUAbABkAF8AVABpAHQAbABlACIALAAiAEEAZwByAGUAcwBpAGQAdQBlAF8AUwBvAHUAcgBjAGUARABhAHQAYQAuAEMAcgBvAHAAUAB1AHIAcABvAHMAZQBBAG4AZABZAGkAZQBsAGQAXwBEAGEAdABhACIALAAiAEEAZwByAGUAcwBpAGQAdQBlAF8AUwBvAHUAcgBjAGUARABhAHQAYQAuAEMAcgBvAHAAQQB0AHQAcgBpAGIAdQB0AGUAcwBfAFQAaQB0AGwAZQAiACwAIgBBAGcAcgBlAHMAaQBkAHUAZQBfAFMAbwB1AHIAYwBlAEQAYQB0AGEALgBDAHIAbwBwAEEAdAB0AHIAaQBiAHUAdABlAHMAXwBEAGUAcwBjAHIAaQBwAHQAaQBvAG4AIgAsACIAQQBnAHIAZQBzAGkAZAB1AGUAXwBTAG8AdQByAGMAZQBEAGEAdABhAC4AQwByAG8AcABBAHQAdAByAGkAYgB1AHQAZQBzAF8AUwBvAHUAcgBjAGUAIgAsACIAQQBnAHIAZQBzAGkAZAB1AGUAXwBTAG8AdQByAGMAZQBEAGEAdABhAC4AQwByAG8AcABBAHQAdAByAGkAYgB1AHQAZQBzAF8ARABhAHQAYQAiACwAIgBBAGcAcgBlAHMAaQBkAHUAZQBfAFMAbwB1AHIAYwBlAEQAYQB0AGEALgBDAHIAbwBwAEEAdAB0AHIAaQBiAHUAdABlAHMAXwBWAGEAcgBpAGEAdABpAG8AbgAiACwAIgBBAGcAcgBlAHMAaQBkAHUAZQBfAFMAbwB1AHIAYwBlAEQAYQB0AGEALgBDAHIAbwBwAEYAcgBhAGMAdABpAG8AbgBSAGUAbQBvAHYAZQBkAF8AVABpAHQAbABlACIALAAiAEEAZwByAGUAcwBpAGQAdQBlAF8AUwBvAHUAcgBjAGUARABhAHQAYQAuAEMAcgBvAHAARgByAGEAYwB0AGkAbwBuAFIAZQBtAG8AdgBlAGQAXwBEAGUAcwBjAHIAaQBwAHQAaQBvAG4AIgAsACIAQQBnAHIAZQBzAGkAZAB1AGUAXwBTAG8AdQByAGMAZQBEAGEAdABhAC4AQwByAG8AcABGAHIAYQBjAHQAaQBvAG4AUgBlAG0AbwB2AGUAZABfAFMAbwB1AHIAYwBlACIALAAiAEEAZwByAGUAcwBpAGQAdQBlAF8AUwBvAHUAcgBjAGUARABhAHQAYQAuAEMAcgBvAHAARgByAGEAYwB0AGkAbwBuAFIAZQBtAG8AdgBlAGQAXwBEAGEAdABhACIALAAiAEEAZwByAGUAcwBpAGQAdQBlAF8AUwBvAHUAcgBjAGUARABhAHQAYQAuAEMAcgBvAHAARgByAGEAYwB0AGkAbwBuAFIAZQBtAG8AdgBlAGQAXwBDAHUAcwB0AG8AbQBpAHMAZQBkAEQAYQB0AGEAIgAsACIAQQBnAHIAZQBzAGkAZAB1AGUAXwBTAG8AdQByAGMAZQBEAGEAdABhAC4AQwByAG8AcABGAHIAYQBjAHQAaQBvAG4AUgBlAG0AbwB2AGUAZABfAFYAYQByAGkAYQB0AGkAbwBuACIALAAiAEEAZwByAGUAcwBpAGQAdQBlAF8AUwBvAHUAcgBjAGUARABhAHQAYQAuAFAAYQBzAHQAdQByAGUAQQB0AHQAcgBpAGIAdQB0AGUAcwBfAFQAaQB0AGwAZQAiACwAIgBBAGcAcgBlAHMAaQBkAHUAZQBfAFMAbwB1AHIAYwBlAEQAYQB0AGEALgBQAGEAcwB0AHUAcgBlAEEAdAB0AHIAaQBiAHUAdABlAHMAXwBEAGUAcwBjAHIAaQBwAHQAaQBvAG4AIgAsACIAQQBnAHIAZQBzAGkAZAB1AGUAXwBTAG8AdQByAGMAZQBEAGEAdABhAC4AUABhAHMAdAB1AHIAZQBBAHQAdAByAGkAYgB1AHQAZQBzAF8AUwBvAHUAcgBjAGUAIgAsACIAQQBnAHIAZQBzAGkAZAB1AGUAXwBTAG8AdQByAGMAZQBEAGEAdABhAC4AUABhAHMAdAB1AHIAZQBBAHQAdAByAGkAYgB1AHQAZQBzAF8ARABhAHQAYQAiACwAIgBBAGcAcgBlAHMAaQBkAHUAZQBfAFMAbwB1AHIAYwBlAEQAYQB0AGEALgBCAHUAcgBuAGkAbgBnAE8AZgBBAGcAcgBpAGMAdQBsAHQAdQByAGEAbABSAGUAcwBpAGQAdQBlAHMARQBGAHMAXwBUAGkAdABsAGUAIgAsACIAQQBnAHIAZQBzAGkAZAB1AGUAXwBTAG8AdQByAGMAZQBEAGEAdABhAC4AQgB1AHIAbgBpAG4AZwBPAGYAQQBnAHIAaQBjAHUAbAB0AHUAcgBhAGwAUgBlAHMAaQBkAHUAZQBzAEUARgBzAF8ARABlAHMAYwByAGkAcAB0AGkAbwBuACIALAAiAEEAZwByAGUAcwBpAGQAdQBlAF8AUwBvAHUAcgBjAGUARABhAHQAYQAuAEIAdQByAG4AaQBuAGcATwBmAEEAZwByAGkAYwB1AGwAdAB1AHIAYQBsAFIAZQBzAGkAZAB1AGUAcwBFAEYAcwBfAFMAbwB1AHIAYwBlACIALAAiAEEAZwByAGUAcwBpAGQAdQBlAF8AUwBvAHUAcgBjAGUARABhAHQAYQAuAEIAdQByAG4AaQBuAGcATwBmAEEAZwByAGkAYwB1AGwAdAB1AHIAYQBsAFIAZQBzAGkAZAB1AGUAcwBFAEYAcwBfAEQAYQB0AGEAIgAsACIAQQBnAHIAZQBzAGkAZAB1AGUAXwBTAG8AdQByAGMAZQBEAGEAdABhAC4ATgAyAE8ARQBGAE8AcgBnAGEAbgBpAGMARgBlAHIAdABpAGwAaQBzAGUAcgBfAFQAaQB0AGwAZQAiACwAIgBBAGcAcgBlAHMAaQBkAHUAZQBfAFMAbwB1AHIAYwBlAEQAYQB0AGEALgBOADIATwBFAEYATwByAGcAYQBuAGkAYwBGAGUAcgB0AGkAbABpAHMAZQByAF8AVQBuAGkAdAAiACwAIgBBAGcAcgBlAHMAaQBkAHUAZQBfAFMAbwB1AHIAYwBlAEQAYQB0AGEALgBOADIATwBFAEYATwByAGcAYQBuAGkAYwBGAGUAcgB0AGkAbABpAHMAZQByAF8AUwBvAHUAcgBjAGUAIgAsACIAQQBnAHIAZQBzAGkAZAB1AGUAXwBTAG8AdQByAGMAZQBEAGEAdABhAC4ATgAyAE8ARQBGAE8AcgBnAGEAbgBpAGMARgBlAHIAdABpAGwAaQBzAGUAcgBfAE4ASQBSAFIAZQBmAGUAcgBlAG4AYwBlACIALAAiAEEAZwByAGUAcwBpAGQAdQBlAF8AUwBvAHUAcgBjAGUARABhAHQAYQAuAE4AMgBPAEUARgBPAHIAZwBhAG4AaQBjAEYAZQByAHQAaQBsAGkAcwBlAHIAXwBEAGEAdABhACIALAAiAEEAZwBSAGUAcwBpAGQAdQBlAF8ARQBxAHUAYQB0AGkAbwBuAHMAXwBDAHIAbwBwAFIAZQBzAGkAZAB1AGUALgBWAEUARQBSAEcAXwA2AF8AMQBfADEAXwAxAF8AXwAxAF8AXwBOAGkAdAByAG8AdQBzAE8AeABpAGQAZQBFAG0AaQBzAHMAaQBvAG4AcwBGAHIAbwBtAEMAcgBvAHAAUgBlAHMAaQBkAHUAZQBzACIALAAiAEEAZwBSAGUAcwBpAGQAdQBlAF8ARQBxAHUAYQB0AGkAbwBuAHMAXwBDAHIAbwBwAFIAZQBzAGkAZAB1AGUALgBWAEUARQBSAEcAXwA2AF8AMQBfADEAXwAxAF8AXwAxAF8AXwBOAGkAdAByAG8AdQBzAE8AeABpAGQAZQBFAG0AaQBzAHMAaQBvAG4AcwBGAHIAbwBtAEMAcgBvAHAAUgBlAHMAaQBkAHUAZQBzAF8ARgB1AG4AYwB0AGkAbwBuAE4AYQBtAGUAIgAsACIAQQBnAFIAZQBzAGkAZAB1AGUAXwBFAHEAdQBhAHQAaQBvAG4AcwBfAEMAcgBvAHAAUgBlAHMAaQBkAHUAZQAuAFYARQBFAFIARwBfADYAXwAxAF8AMQBfADEAXwBfADEAXwBfAE4AaQB0AHIAbwB1AHMATwB4AGkAZABlAEUAbQBpAHMAcwBpAG8AbgBzAEYAcgBvAG0AQwByAG8AcABSAGUAcwBpAGQAdQBlAHMAXwBUAGkAdABsAGUAIgAsACIAQQBnAFIAZQBzAGkAZAB1AGUAXwBFAHEAdQBhAHQAaQBvAG4AcwBfAEMAcgBvAHAAUgBlAHMAaQBkAHUAZQAuAFYARQBFAFIARwBfADYAXwAxAF8AMQBfADEAXwBfADEAXwBfAE4AaQB0AHIAbwB1AHMATwB4AGkAZABlAEUAbQBpAHMAcwBpAG8AbgBzAEYAcgBvAG0AQwByAG8AcABSAGUAcwBpAGQAdQBlAHMAXwBWAGEAcgBpAGEAYgBsAGUAIgAsACIAQQBnAFIAZQBzAGkAZAB1AGUAXwBFAHEAdQBhAHQAaQBvAG4AcwBfAEMAcgBvAHAAUgBlAHMAaQBkAHUAZQAuAFYARQBFAFIARwBfADYAXwAxAF8AMQBfADEAXwBfADEAXwBfAE4AaQB0AHIAbwB1AHMATwB4AGkAZABlAEUAbQBpAHMAcwBpAG8AbgBzAEYAcgBvAG0AQwByAG8AcABSAGUAcwBpAGQAdQBlAHMAXwBVAG4AaQB0ACIALAAiAEEAZwBSAGUAcwBpAGQAdQBlAF8ARQBxAHUAYQB0AGkAbwBuAHMAXwBDAHIAbwBwAFIAZQBzAGkAZAB1AGUALgBWAEUARQBSAEcAXwA2AF8AMQBfADEAXwAxAF8AXwAxAF8AXwBOAGkAdAByAG8AdQBzAE8AeABpAGQAZQBFAG0AaQBzAHMAaQBvAG4AcwBGAHIAbwBtAEMAcgBvAHAAUgBlAHMAaQBkAHUAZQBzAF8AUwBvAHUAcgBjAGUAIgAsACIAQQBnAFIAZQBzAGkAZAB1AGUAXwBFAHEAdQBhAHQAaQBvAG4AcwBfAEMAcgBvAHAAUgBlAHMAaQBkAHUAZQAuAFYARQBFAFIARwBfADYAXwAxAF8AMQBfADEAXwBfADEAXwBfAE4AaQB0AHIAbwB1AHMATwB4AGkAZABlAEUAbQBpAHMAcwBpAG8AbgBzAEYAcgBvAG0AQwByAG8AcABSAGUAcwBpAGQAdQBlAHMAXwBOAEkAUgBSAGUAZgBlAHIAZQBuAGMAZQAiACwAIgBBAGcAUgBlAHMAaQBkAHUAZQBfAEUAcQB1AGEAdABpAG8AbgBzAF8AQwByAG8AcABSAGUAcwBpAGQAdQBlAC4AVgBFAEUAUgBHAF8ANgBfADEAXwAxAF8AMQBfAF8AMQBfAF8ATgBpAHQAcgBvAHUAcwBPAHgAaQBkAGUARQBtAGkAcwBzAGkAbwBuAHMARgByAG8AbQBDAHIAbwBwAFIAZQBzAGkAZAB1AGUAcwBfAEwAYQB0AGUAeABFAHEAdQBhAHQAaQBvAG4AIgAsACIAQQBnAFIAZQBzAGkAZAB1AGUAXwBFAHEAdQBhAHQAaQBvAG4AcwBfAEMAcgBvAHAAUgBlAHMAaQBkAHUAZQAuAFYARQBFAFIARwBfADYAXwAxAF8AMQBfADEAXwBfADEAXwBfAE4AaQB0AHIAbwB1AHMATwB4AGkAZABlAEUAbQBpAHMAcwBpAG8AbgBzAEYAcgBvAG0AQwByAG8AcABSAGUAcwBpAGQAdQBlAHMAXwBBAHIAZwB1AG0AZQBuAHQAcwAiACwAIgBBAGcAUgBlAHMAaQBkAHUAZQBfAEUAcQB1AGEAdABpAG8AbgBzAF8AQwByAG8AcABSAGUAcwBpAGQAdQBlAC4AVgBFAEUAUgBHAF8ANgBfADEAXwAxAF8AMQBfAF8AMgBfAF8ATQBhAHMAcwBPAGYATgBpAHQAcgBvAGcAZQBuAEkAbgBDAHIAbwBwAFIAZQBzAGkAZAB1AGUAcwAiACwAIgBBAGcAUgBlAHMAaQBkAHUAZQBfAEUAcQB1AGEAdABpAG8AbgBzAF8AQwByAG8AcABSAGUAcwBpAGQAdQBlAC4AVgBFAEUAUgBHAF8ANgBfADEAXwAxAF8AMQBfAF8AMgBfAF8ATQBhAHMAcwBPAGYATgBpAHQAcgBvAGcAZQBuAEkAbgBDAHIAbwBwAFIAZQBzAGkAZAB1AGUAcwBfAFQAaQB0AGwAZQAiACwAIgBBAGcAUgBlAHMAaQBkAHUAZQBfAEUAcQB1AGEAdABpAG8AbgBzAF8AQwByAG8AcABSAGUAcwBpAGQAdQBlAC4AVgBFAEUAUgBHAF8ANgBfADEAXwAxAF8AMQBfAF8AMgBfAF8ATQBhAHMAcwBPAGYATgBpAHQAcgBvAGcAZQBuAEkAbgBDAHIAbwBwAFIAZQBzAGkAZAB1AGUAcwBfAFYAYQByAGkAYQBiAGwAZQAiACwAIgBBAGcAUgBlAHMAaQBkAHUAZQBfAEUAcQB1AGEAdABpAG8AbgBzAF8AQwByAG8AcABSAGUAcwBpAGQAdQBlAC4AVgBFAEUAUgBHAF8ANgBfADEAXwAxAF8AMQBfAF8AMgBfAF8ATQBhAHMAcwBPAGYATgBpAHQAcgBvAGcAZQBuAEkAbgBDAHIAbwBwAFIAZQBzAGkAZAB1AGUAcwBfAFUAbgBpAHQAIgAsACIAQQBnAFIAZQBzAGkAZAB1AGUAXwBFAHEAdQBhAHQAaQBvAG4AcwBfAEMAcgBvAHAAUgBlAHMAaQBkAHUAZQAuAFYARQBFAFIARwBfADYAXwAxAF8AMQBfADEAXwBfADIAXwBfAE0AYQBzAHMATwBmAE4AaQB0AHIAbwBnAGUAbgBJAG4AQwByAG8AcABSAGUAcwBpAGQAdQBlAHMAXwBTAG8AdQByAGMAZQAiACwAIgBBAGcAUgBlAHMAaQBkAHUAZQBfAEUAcQB1AGEAdABpAG8AbgBzAF8AQwByAG8AcABSAGUAcwBpAGQAdQBlAC4AVgBFAEUAUgBHAF8ANgBfADEAXwAxAF8AMQBfAF8AMgBfAF8ATQBhAHMAcwBPAGYATgBpAHQAcgBvAGcAZQBuAEkAbgBDAHIAbwBwAFIAZQBzAGkAZAB1AGUAcwBfAE4ASQBSAFIAZQBmAGUAcgBlAG4AYwBlACIALAAiAEEAZwBSAGUAcwBpAGQAdQBlAF8ARQBxAHUAYQB0AGkAbwBuAHMAXwBDAHIAbwBwAFIAZQBzAGkAZAB1AGUALgBWAEUARQBSAEcAXwA2AF8AMQBfADEAXwAxAF8AXwAyAF8AXwBNAGEAcwBzAE8AZgBOAGkAdAByAG8AZwBlAG4ASQBuAEMAcgBvAHAAUgBlAHMAaQBkAHUAZQBzAF8ATABhAHQAZQB4AEUAcQB1AGEAdABpAG8AbgAiACwAIgBBAGcAUgBlAHMAaQBkAHUAZQBfAEUAcQB1AGEAdABpAG8AbgBzAF8AQwByAG8AcABSAGUAcwBpAGQAdQBlAC4AVgBFAEUAUgBHAF8ANgBfADEAXwAxAF8AMQBfAF8AMgBfAF8ATQBhAHMAcwBPAGYATgBpAHQAcgBvAGcAZQBuAEkAbgBDAHIAbwBwAFIAZQBzAGkAZAB1AGUAcwBfAEEAcgBnAHUAbQBlAG4AdABzACIALAAiAEEAZwBSAGUAcwBpAGQAdQBlAF8ARQBxAHUAYQB0AGkAbwBuAHMAXwBDAHIAbwBwAFIAZQBzAGkAZAB1AGUALgBWAEUARQBSAEcAXwA2AF8AMQBfADEAXwAxAF8AXwAyAF8AXwBNAGEAcwBzAE8AZgBOAGkAdAByAG8AZwBlAG4ASQBuAEMAcgBvAHAAUgBlAHMAaQBkAHUAZQBzAF8AQQByAGcAdQBtAGUAbgB0AHMAXwBNAGUAdABoAG8AZAAyACIALAAiAEEAZwBSAGUAcwBpAGQAdQBlAF8ARQBxAHUAYQB0AGkAbwBuAHMAXwBDAHIAbwBwAFIAZQBzAGkAZAB1AGUALgBWAEUARQBSAEcAXwA2AF8AMQBfADEAXwAyAF8AXwAxAF8AXwBGAHIAYQBjAHQAaQBvAG4ATwBmAEMAcgBvAHAAUgBlAHMAaQBkAHUAZQBSAGUAbQBvAHYAZQBkAEIAYQBsAGUAZAAiACwAIgBBAGcAUgBlAHMAaQBkAHUAZQBfAEUAcQB1AGEAdABpAG8AbgBzAF8AQwByAG8AcABSAGUAcwBpAGQAdQBlAC4AVgBFAEUAUgBHAF8ANgBfADEAXwAxAF8AMgBfAF8AMQBfAF8ARgByAGEAYwB0AGkAbwBuAE8AZgBDAHIAbwBwAFIAZQBzAGkAZAB1AGUAUgBlAG0AbwB2AGUAZABCAGEAbABlAGQAXwBUAGkAdABsAGUAIgAsACIAQQBnAFIAZQBzAGkAZAB1AGUAXwBFAHEAdQBhAHQAaQBvAG4AcwBfAEMAcgBvAHAAUgBlAHMAaQBkAHUAZQAuAFYARQBFAFIARwBfADYAXwAxAF8AMQBfADIAXwBfADEAXwBfAEYAcgBhAGMAdABpAG8AbgBPAGYAQwByAG8AcABSAGUAcwBpAGQAdQBlAFIAZQBtAG8AdgBlAGQAQgBhAGwAZQBkAF8AVgBhAHIAaQBhAGIAbABlACIALAAiAEEAZwBSAGUAcwBpAGQAdQBlAF8ARQBxAHUAYQB0AGkAbwBuAHMAXwBDAHIAbwBwAFIAZQBzAGkAZAB1AGUALgBWAEUARQBSAEcAXwA2AF8AMQBfADEAXwAyAF8AXwAxAF8AXwBGAHIAYQBjAHQAaQBvAG4ATwBmAEMAcgBvAHAAUgBlAHMAaQBkAHUAZQBSAGUAbQBvAHYAZQBkAEIAYQBsAGUAZABfAFUAbgBpAHQAIgAsACIAQQBnAFIAZQBzAGkAZAB1AGUAXwBFAHEAdQBhAHQAaQBvAG4AcwBfAEMAcgBvAHAAUgBlAHMAaQBkAHUAZQAuAFYARQBFAFIARwBfADYAXwAxAF8AMQBfADIAXwBfADEAXwBfAEYAcgBhAGMAdABpAG8AbgBPAGYAQwByAG8AcABSAGUAcwBpAGQAdQBlAFIAZQBtAG8AdgBlAGQAQgBhAGwAZQBkAF8AUwBvAHUAcgBjAGUAIgAsACIAQQBnAFIAZQBzAGkAZAB1AGUAXwBFAHEAdQBhAHQAaQBvAG4AcwBfAEMAcgBvAHAAUgBlAHMAaQBkAHUAZQAuAFYARQBFAFIARwBfADYAXwAxAF8AMQBfADIAXwBfADEAXwBfAEYAcgBhAGMAdABpAG8AbgBPAGYAQwByAG8AcABSAGUAcwBpAGQAdQBlAFIAZQBtAG8AdgBlAGQAQgBhAGwAZQBkAF8ATgBJAFIAUgBlAGYAZQByAGUAbgBjAGUAIgAsACIAQQBnAFIAZQBzAGkAZAB1AGUAXwBFAHEAdQBhAHQAaQBvAG4AcwBfAEMAcgBvAHAAUgBlAHMAaQBkAHUAZQAuAFYARQBFAFIARwBfADYAXwAxAF8AMQBfADIAXwBfADEAXwBfAEYAcgBhAGMAdABpAG8AbgBPAGYAQwByAG8AcABSAGUAcwBpAGQAdQBlAFIAZQBtAG8AdgBlAGQAQgBhAGwAZQBkAF8ATABhAHQAZQB4AEUAcQB1AGEAdABpAG8AbgAiACwAIgBBAGcAUgBlAHMAaQBkAHUAZQBfAEUAcQB1AGEAdABpAG8AbgBzAF8AQwByAG8AcABSAGUAcwBpAGQAdQBlAC4AVgBFAEUAUgBHAF8ANgBfADEAXwAxAF8AMgBfAF8AMQBfAF8ARgByAGEAYwB0AGkAbwBuAE8AZgBDAHIAbwBwAFIAZQBzAGkAZAB1AGUAUgBlAG0AbwB2AGUAZABCAGEAbABlAGQAXwBBAHIAZwB1AG0AZQBuAHQAcwAiACwAIgBBAGcAUgBlAHMAaQBkAHUAZQBfAEUAcQB1AGEAdABpAG8AbgBzAF8AQwByAG8AcABSAGUAcwBpAGQAdQBlAC4AVgBFAEUAUgBHAF8ANgBfADEAXwAxAF8AMgBfAF8AMQBfAF8ARgByAGEAYwB0AGkAbwBuAE8AZgBDAHIAbwBwAFIAZQBzAGkAZAB1AGUAUgBlAG0AbwB2AGUAZABCAGEAbABlAGQAXwBWAGEAcgBpAGEAdABpAG8Abg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BAGcAUgBlAHMAaQBkAHUAZQBfAEUAcQB1AGEAdABpAG8AbgBzAF8ATABlAGEAYwBoAGkAbgBnAC4AVgBFAEUAUgBHAF8ANgBfADMAXwAxAF8AMQBfAF8AMQBfAF8ATABlAGEAYwBoAGkAbgBnAEEAbgBkAFIAdQBuAG8AZgBmAEUAbQBpAHMAcwBpAG8AbgBzAEMAcgBvAHAAQQBuAGQAUABhAHMAdAB1AHIAZQBSAGUAcwBpAGQAdQBlACIALAAiAEEAZwBSAGUAcwBpAGQAdQBlAF8ARQBxAHUAYQB0AGkAbwBuAHMAXwBMAGUAYQBjAGgAaQBuAGcALgBWAEUARQBSAEcAXwA2AF8AMwBfADEAXwAxAF8AXwAxAF8AXwBMAGUAYQBjAGgAaQBuAGcAQQBuAGQAUgB1AG4AbwBmAGYARQBtAGkAcwBzAGkAbwBuAHMAQwByAG8AcABBAG4AZABQAGEAcwB0AHUAcgBlAFIAZQBzAGkAZAB1AGUAXwBUAGkAdABsAGUAIgAsACIAQQBnAFIAZQBzAGkAZAB1AGUAXwBFAHEAdQBhAHQAaQBvAG4AcwBfAEwAZQBhAGMAaABpAG4AZwAuAFYARQBFAFIARwBfADYAXwAzAF8AMQBfADEAXwBfADEAXwBfAEwAZQBhAGMAaABpAG4AZwBBAG4AZABSAHUAbgBvAGYAZgBFAG0AaQBzAHMAaQBvAG4AcwBDAHIAbwBwAEEAbgBkAFAAYQBzAHQAdQByAGUAUgBlAHMAaQBkAHUAZQBfAFYAYQByAGkAYQBiAGwAZQAiACwAIgBBAGcAUgBlAHMAaQBkAHUAZQBfAEUAcQB1AGEAdABpAG8AbgBzAF8ATABlAGEAYwBoAGkAbgBnAC4AVgBFAEUAUgBHAF8ANgBfADMAXwAxAF8AMQBfAF8AMQBfAF8ATABlAGEAYwBoAGkAbgBnAEEAbgBkAFIAdQBuAG8AZgBmAEUAbQBpAHMAcwBpAG8AbgBzAEMAcgBvAHAAQQBuAGQAUABhAHMAdAB1AHIAZQBSAGUAcwBpAGQAdQBlAF8AVQBuAGkAdAAiACwAIgBBAGcAUgBlAHMAaQBkAHUAZQBfAEUAcQB1AGEAdABpAG8AbgBzAF8ATABlAGEAYwBoAGkAbgBnAC4AVgBFAEUAUgBHAF8ANgBfADMAXwAxAF8AMQBfAF8AMQBfAF8ATABlAGEAYwBoAGkAbgBnAEEAbgBkAFIAdQBuAG8AZgBmAEUAbQBpAHMAcwBpAG8AbgBzAEMAcgBvAHAAQQBuAGQAUABhAHMAdAB1AHIAZQBSAGUAcwBpAGQAdQBlAF8AUwBvAHUAcgBjAGUAIgAsACIAQQBnAFIAZQBzAGkAZAB1AGUAXwBFAHEAdQBhAHQAaQBvAG4AcwBfAEwAZQBhAGMAaABpAG4AZwAuAFYARQBFAFIARwBfADYAXwAzAF8AMQBfADEAXwBfADEAXwBfAEwAZQBhAGMAaABpAG4AZwBBAG4AZABSAHUAbgBvAGYAZgBFAG0AaQBzAHMAaQBvAG4AcwBDAHIAbwBwAEEAbgBkAFAAYQBzAHQAdQByAGUAUgBlAHMAaQBkAHUAZQBfAE4ASQBSAFIAZQBmAGUAcgBlAG4AYwBlACIALAAiAEEAZwBSAGUAcwBpAGQAdQBlAF8ARQBxAHUAYQB0AGkAbwBuAHMAXwBMAGUAYQBjAGgAaQBuAGcALgBWAEUARQBSAEcAXwA2AF8AMwBfADEAXwAxAF8AXwAxAF8AXwBMAGUAYQBjAGgAaQBuAGcAQQBuAGQAUgB1AG4AbwBmAGYARQBtAGkAcwBzAGkAbwBuAHMAQwByAG8AcABBAG4AZABQAGEAcwB0AHUAcgBlAFIAZQBzAGkAZAB1AGUAXwBMAGEAdABlAHgARQBxAHUAYQB0AGkAbwBuACIALAAiAEEAZwBSAGUAcwBpAGQAdQBl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fAEUAcQB1AGEAdABpAG8AbgBzAF8ATABlAGEAYwBoAGkAbgBnAC4AVgBFAEUAUgBHAF8ANgBfADMAXwAxAF8AMQBfAF8AMgBfAF8ATQBhAHMAcwBPAGYATgBpAHQAcgBvAGcAZQBuAEwAbwBzAHQAVABoAHIAbwB1AGcAaABMAGUAYQBjAGgAaQBuAGcAQQBuAGQAUgB1AG4AbwBmAGYAIgAsACIAQQBnAFIAZQBzAGkAZAB1AGUAXwBFAHEAdQBhAHQAaQBvAG4AcwBfAEwAZQBhAGMAaABpAG4AZwAuAFYARQBFAFIARwBfADYAXwAzAF8AMQBfADEAXwBfADIAXwBfAE0AYQBzAHMATwBmAE4AaQB0AHIAbwBnAGUAbgBMAG8AcwB0AFQAaAByAG8AdQBnAGgATABlAGEAYwBoAGkAbgBnAEEAbgBkAFIAdQBuAG8AZgBmAF8AVABpAHQAbABlACIALAAiAEEAZwBSAGUAcwBpAGQAdQBlAF8ARQBxAHUAYQB0AGkAbwBuAHMAXwBMAGUAYQBjAGgAaQBuAGcALgBWAEUARQBSAEcAXwA2AF8AMwBfADEAXwAxAF8AXwAyAF8AXwBNAGEAcwBzAE8AZgBOAGkAdAByAG8AZwBlAG4ATABvAHMAdABUAGgAcgBvAHUAZwBoAEwAZQBhAGMAaABpAG4AZwBBAG4AZABSAHUAbgBvAGYAZgBfAFYAYQByAGkAYQBiAGwAZQAiACwAIgBBAGcAUgBlAHMAaQBkAHUAZQBfAEUAcQB1AGEAdABpAG8AbgBzAF8ATABlAGEAYwBoAGkAbgBnAC4AVgBFAEUAUgBHAF8ANgBfADMAXwAxAF8AMQBfAF8AMgBfAF8ATQBhAHMAcwBPAGYATgBpAHQAcgBvAGcAZQBuAEwAbwBzAHQAVABoAHIAbwB1AGcAaABMAGUAYQBjAGgAaQBuAGcAQQBuAGQAUgB1AG4AbwBmAGYAXwBVAG4AaQB0ACIALAAiAEEAZwBSAGUAcwBpAGQAdQBlAF8ARQBxAHUAYQB0AGkAbwBuAHMAXwBMAGUAYQBjAGgAaQBuAGcALgBWAEUARQBSAEcAXwA2AF8AMwBfADEAXwAxAF8AXwAyAF8AXwBNAGEAcwBzAE8AZgBOAGkAdAByAG8AZwBlAG4ATABvAHMAdABUAGgAcgBvAHUAZwBoAEwAZQBhAGMAaABpAG4AZwBBAG4AZABSAHUAbgBvAGYAZgBfAFMAbwB1AHIAYwBlACIALAAiAEEAZwBSAGUAcwBpAGQAdQBl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F8ARQBxAHUAYQB0AGkAbwBuAHMAXwBMAGUAYQBjAGgAaQBuAGcALgBWAEUARQBSAEcAXwA2AF8AMwBfADEAXwAxAF8AXwAyAF8AXwBNAGEAcwBzAE8AZgBOAGkAdAByAG8AZwBlAG4ATABvAHMAdABUAGgAcgBvAHUAZwBoAEwAZQBhAGMAaABpAG4AZwBBAG4AZABSAHUAbgBvAGYAZgBfAEwAYQB0AGUAeABFAHEAdQBhAHQAaQBvAG4AIgAsACIAQQBnAFIAZQBzAGkAZAB1AGUAXwBFAHEAdQBhAHQAaQBvAG4AcwBfAEwAZQBhAGMAaABpAG4AZwAuAFYARQBFAFIARwBfADYAXwAzAF8AMQBfADEAXwBfADIAXwBfAE0AYQBzAHMATwBmAE4AaQB0AHIAbwBnAGUAbgBMAG8AcwB0AFQAaAByAG8AdQBnAGgATABlAGEAYwBoAGkAbgBnAEEAbgBkAFIAdQBuAG8AZgBmAF8AQQByAGcAdQBtAGUAbgB0AHMAIgAsACIAQQBnAFIAZQBzAGkAZAB1AGUAXwBFAHEAdQBhAHQAaQBvAG4AcwBfAEwAZQBhAGMAaABpAG4AZwAuAFYARQBFAFIARwBfADYAXwAzAF8AMQBfADEAXwBfADIAXwBfAE0AYQBzAHMATwBmAE4AaQB0AHIAbwBnAGUAbgBMAG8AcwB0AFQAaAByAG8AdQBnAGgATABlAGEAYwBoAGkAbgBnAEEAbgBkAFIAdQBuAG8AZgBmAF8AVgBhAHIAaQBhAHQAaQBvAG4AIgAsACIAQQBnAFIAZQBzAGkAZAB1AGUAXwBFAHEAdQBhAHQAaQBvAG4AcwBfAFAAYQBzAHQAdQByAGUAUgBlAHMAaQBkAHUAZQAuAFYARQBFAFIARwBfADYAXwAyAF8AMQBfADEAXwBfADEAXwBfAE4AaQB0AHIAbwB1AHMATwB4AGkAZABlAEUAbQBpAHMAcwBpAG8AbgBzAEYAcgBvAG0AUABhAHMAdAB1AHIAZQBSAGUAcwBpAGQAdQBlAHMAIgAsACIAQQBnAFIAZQBzAGkAZAB1AGUAXwBFAHEAdQBhAHQAaQBvAG4AcwBfAFAAYQBzAHQAdQByAGUAUgBlAHMAaQBkAHUAZQAuAFYARQBFAFIARwBfADYAXwAyAF8AMQBfADEAXwBfADEAXwBfAE4AaQB0AHIAbwB1AHMATwB4AGkAZABlAEUAbQBpAHMAcwBpAG8AbgBzAEYAcgBvAG0AUABhAHMAdAB1AHIAZQBSAGUAcwBpAGQAdQBlAHMAXwBUAGkAdABsAGUAIgAsACIAQQBnAFIAZQBzAGkAZAB1AGUAXwBFAHEAdQBhAHQAaQBvAG4AcwBfAFAAYQBzAHQAdQByAGUAUgBlAHMAaQBkAHUAZQAuAFYARQBFAFIARwBfADYAXwAyAF8AMQBfADEAXwBfADEAXwBfAE4AaQB0AHIAbwB1AHMATwB4AGkAZABlAEUAbQBpAHMAcwBpAG8AbgBzAEYAcgBvAG0AUABhAHMAdAB1AHIAZQBSAGUAcwBpAGQAdQBlAHMAXwBWAGEAcgBpAGEAYgBsAGUAIgAsACIAQQBnAFIAZQBzAGkAZAB1AGUAXwBFAHEAdQBhAHQAaQBvAG4AcwBfAFAAYQBzAHQAdQByAGUAUgBlAHMAaQBkAHUAZQAuAFYARQBFAFIARwBfADYAXwAyAF8AMQBfADEAXwBfADEAXwBfAE4AaQB0AHIAbwB1AHMATwB4AGkAZABlAEUAbQBpAHMAcwBpAG8AbgBzAEYAcgBvAG0AUABhAHMAdAB1AHIAZQBSAGUAcwBpAGQAdQBlAHMAXwBVAG4AaQB0ACIALAAiAEEAZwBSAGUAcwBpAGQAdQBlAF8ARQBxAHUAYQB0AGkAbwBuAHMAXwBQAGEAcwB0AHUAcgBlAFIAZQBzAGkAZAB1AGUALgBWAEUARQBSAEcAXwA2AF8AMgBfADEAXwAxAF8AXwAxAF8AXwBOAGkAdAByAG8AdQBzAE8AeABpAGQAZQBFAG0AaQBzAHMAaQBvAG4AcwBGAHIAbwBtAFAAYQBzAHQAdQByAGUAUgBlAHMAaQBkAHUAZQBzAF8AUwBvAHUAcgBjAGUAIgAsACIAQQBnAFIAZQBzAGkAZAB1AGUAXwBFAHEAdQBhAHQAaQBvAG4AcwBfAFAAYQBzAHQAdQByAGUAUgBlAHMAaQBkAHUAZQAuAFYARQBFAFIARwBfADYAXwAyAF8AMQBfADEAXwBfADEAXwBfAE4AaQB0AHIAbwB1AHMATwB4AGkAZABlAEUAbQBpAHMAcwBpAG8AbgBzAEYAcgBvAG0AUABhAHMAdAB1AHIAZQBSAGUAcwBpAGQAdQBlAHMAXwBOAEkAUgBSAGUAZgBlAHIAZQBuAGMAZQAiACwAIgBBAGcAUgBlAHMAaQBkAHUAZQBfAEUAcQB1AGEAdABpAG8AbgBzAF8AUABhAHMAdAB1AHIAZQBSAGUAcwBpAGQAdQBlAC4AVgBFAEUAUgBHAF8ANgBfADIAXwAxAF8AMQBfAF8AMQBfAF8ATgBpAHQAcgBvAHUAcwBPAHgAaQBkAGUARQBtAGkAcwBzAGkAbwBuAHMARgByAG8AbQBQAGEAcwB0AHUAcgBlAFIAZQBzAGkAZAB1AGUAcwBfAEwAYQB0AGUAeABFAHEAdQBhAHQAaQBvAG4AIgAsACIAQQBnAFIAZQBzAGkAZAB1AGUAXwBFAHEAdQBhAHQAaQBvAG4AcwBfAFAAYQBzAHQAdQByAGUAUgBlAHMAaQBkAHUAZQAuAFYARQBFAFIARwBfADYAXwAyAF8AMQBfADEAXwBfADEAXwBfAE4AaQB0AHIAbwB1AHMATwB4AGkAZABlAEUAbQBpAHMAcwBpAG8AbgBzAEYAcgBvAG0AUABhAHMAdAB1AHIAZQBSAGUAcwBpAGQAdQBlAHMAXwBBAHIAZwB1AG0AZQBuAHQAcwAiACwAIgBBAGcAUgBlAHMAaQBkAHUAZQBfAEUAcQB1AGEAdABpAG8AbgBzAF8AUABhAHMAdAB1AHIAZQBSAGUAcwBpAGQAdQBlAC4AVgBFAEUAUgBHAF8ANgBfADIAXwAxAF8AMQBfAF8AMgBfAF8ATQBhAHMAcwBPAGYATgBpAHQAcgBvAGcAZQBuAEkAbgBQAGEAcwB0AHUAcgBlAFIAZQBzAGkAZAB1AGUAcwAiACwAIgBBAGcAUgBlAHMAaQBkAHUAZQBfAEUAcQB1AGEAdABpAG8AbgBzAF8AUABhAHMAdAB1AHIAZQBSAGUAcwBpAGQAdQBlAC4AVgBFAEUAUgBHAF8ANgBfADIAXwAxAF8AMQBfAF8AMgBfAF8ATQBhAHMAcwBPAGYATgBpAHQAcgBvAGcAZQBuAEkAbgBQAGEAcwB0AHUAcgBlAFIAZQBzAGkAZAB1AGUAcwBfAFQAaQB0AGwAZQAiACwAIgBBAGcAUgBlAHMAaQBkAHUAZQBfAEUAcQB1AGEAdABpAG8AbgBzAF8AUABhAHMAdAB1AHIAZQBSAGUAcwBpAGQAdQBlAC4AVgBFAEUAUgBHAF8ANgBfADIAXwAxAF8AMQBfAF8AMgBfAF8ATQBhAHMAcwBPAGYATgBpAHQAcgBvAGcAZQBuAEkAbgBQAGEAcwB0AHUAcgBlAFIAZQBzAGkAZAB1AGUAcwBfAFYAYQByAGkAYQBiAGwAZQAiACwAIgBBAGcAUgBlAHMAaQBkAHUAZQBfAEUAcQB1AGEAdABpAG8AbgBzAF8AUABhAHMAdAB1AHIAZQBSAGUAcwBpAGQAdQBlAC4AVgBFAEUAUgBHAF8ANgBfADIAXwAxAF8AMQBfAF8AMgBfAF8ATQBhAHMAcwBPAGYATgBpAHQAcgBvAGcAZQBuAEkAbgBQAGEAcwB0AHUAcgBlAFIAZQBzAGkAZAB1AGUAcwBfAFUAbgBpAHQAIgAsACIAQQBnAFIAZQBzAGkAZAB1AGUAXwBFAHEAdQBhAHQAaQBvAG4AcwBfAFAAYQBzAHQAdQByAGUAUgBlAHMAaQBkAHUAZQAuAFYARQBFAFIARwBfADYAXwAyAF8AMQBfADEAXwBfADIAXwBfAE0AYQBzAHMATwBmAE4AaQB0AHIAbwBnAGUAbgBJAG4AUABhAHMAdAB1AHIAZQBSAGUAcwBpAGQAdQBlAHMAXwBTAG8AdQByAGMAZQAiACwAIgBBAGcAUgBlAHMAaQBkAHUAZQBfAEUAcQB1AGEAdABpAG8AbgBzAF8AUABhAHMAdAB1AHIAZQBSAGUAcwBpAGQAdQBlAC4AVgBFAEUAUgBHAF8ANgBfADIAXwAxAF8AMQBfAF8AMgBfAF8ATQBhAHMAcwBPAGYATgBpAHQAcgBvAGcAZQBuAEkAbgBQAGEAcwB0AHUAcgBlAFIAZQBzAGkAZAB1AGUAcwBfAE4ASQBSAFIAZQBmAGUAcgBlAG4AYwBlACIALAAiAEEAZwBSAGUAcwBpAGQAdQBlAF8ARQBxAHUAYQB0AGkAbwBuAHMAXwBQAGEAcwB0AHUAcgBlAFIAZQBzAGkAZAB1AGUALgBWAEUARQBSAEcAXwA2AF8AMgBfADEAXwAxAF8AXwAyAF8AXwBNAGEAcwBzAE8AZgBOAGkAdAByAG8AZwBlAG4ASQBuAFAAYQBzAHQAdQByAGUAUgBlAHMAaQBkAHUAZQBzAF8ATABhAHQAZQB4AEUAcQB1AGEAdABpAG8AbgAiACwAIgBBAGcAUgBlAHMAaQBkAHUAZQBfAEUAcQB1AGEAdABpAG8AbgBzAF8AUABhAHMAdAB1AHIAZQBSAGUAcwBpAGQAdQBlAC4AVgBFAEUAUgBHAF8ANgBfADIAXwAxAF8AMQBfAF8AMgBfAF8ATQBhAHMAcwBPAGYATgBpAHQAcgBvAGcAZQBuAEkAbgBQAGEAcwB0AHUAcgBlAFIAZQBzAGkAZAB1AGUAcwBfAEEAcgBnAHUAbQBlAG4AdABzACIALAAiAEEAZwBSAGUAcwBpAGQAdQBlAF8ARQBxAHUAYQB0AGkAbwBuAHMAXwBQAGEAcwB0AHUAcgBlAFIAZQBzAGkAZAB1AGUALgBWAEUARQBSAEcAXwA2AF8AMgBfADEAXwAxAF8AXwAyAF8AXwBNAGEAcwBzAE8AZgBOAGkAdAByAG8AZwBlAG4ASQBuAFAAYQBzAHQAdQByAGUAUgBlAHMAaQBkAHUAZQBzAF8AQQByAGcAdQBtAGUAbgB0AHMAXwBNAGUAdABoAG8AZAAy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71</vt:i4>
      </vt:variant>
    </vt:vector>
  </HeadingPairs>
  <TitlesOfParts>
    <vt:vector size="85" baseType="lpstr">
      <vt:lpstr>Home</vt:lpstr>
      <vt:lpstr>Overview</vt:lpstr>
      <vt:lpstr>Results</vt:lpstr>
      <vt:lpstr>Input - Site</vt:lpstr>
      <vt:lpstr>Input - Crop</vt:lpstr>
      <vt:lpstr>Input - Pasture</vt:lpstr>
      <vt:lpstr>6.1.1.1-2 Crop residue N2O</vt:lpstr>
      <vt:lpstr>6.2.1.1-2 Pasture residue N2O</vt:lpstr>
      <vt:lpstr>6.3.1.1-2 Leaching and runoff</vt:lpstr>
      <vt:lpstr>6.3.1.1-2 Leach runoff crop</vt:lpstr>
      <vt:lpstr>6.3.1.1-2 Leach runoff pasture</vt:lpstr>
      <vt:lpstr>6.4.1.1-2 Residue burning</vt:lpstr>
      <vt:lpstr>Constants - Ag Residue</vt:lpstr>
      <vt:lpstr>Constants - Common</vt:lpstr>
      <vt:lpstr>Common_SourceData_DensityOfMethane_Data</vt:lpstr>
      <vt:lpstr>'6.3.1.1-2 Leach runoff crop'!M1_Table_E_N2O</vt:lpstr>
      <vt:lpstr>'6.3.1.1-2 Leach runoff pasture'!M1_Table_E_N2O</vt:lpstr>
      <vt:lpstr>M1_Table_E_N2O</vt:lpstr>
      <vt:lpstr>'6.3.1.1-2 Leach runoff crop'!M1_Table_E_N2O_Consumer_1</vt:lpstr>
      <vt:lpstr>'6.3.1.1-2 Leach runoff pasture'!M1_Table_E_N2O_Consumer_1</vt:lpstr>
      <vt:lpstr>M1_Table_E_N2O_Consumer_1</vt:lpstr>
      <vt:lpstr>'6.3.1.1-2 Leach runoff crop'!M1_Table_M_leach_cp</vt:lpstr>
      <vt:lpstr>'6.3.1.1-2 Leach runoff pasture'!M1_Table_M_leach_cp</vt:lpstr>
      <vt:lpstr>M1_Table_M_leach_cp</vt:lpstr>
      <vt:lpstr>'6.3.1.1-2 Leach runoff crop'!M2_Table_M_leach_cp</vt:lpstr>
      <vt:lpstr>'6.3.1.1-2 Leach runoff pasture'!M2_Table_M_leach_cp</vt:lpstr>
      <vt:lpstr>M2_Table_M_leach_cp</vt:lpstr>
      <vt:lpstr>Result_CarbonRemovalsFromPlantings</vt:lpstr>
      <vt:lpstr>Result_EmissionsForWholeProductionCycle_Method1</vt:lpstr>
      <vt:lpstr>Result_EmissionsForWholeProductionCycle_Method2</vt:lpstr>
      <vt:lpstr>Result_Enterprise_Method1</vt:lpstr>
      <vt:lpstr>Result_Enterprise_Method2</vt:lpstr>
      <vt:lpstr>Result_NetEmissions_Method1</vt:lpstr>
      <vt:lpstr>Result_NetEmissions_Method2</vt:lpstr>
      <vt:lpstr>VEERG_6_1_1_1__1__NitrousOxideEmissionsFromCropResidues_Result_Method1</vt:lpstr>
      <vt:lpstr>VEERG_6_1_1_1__1__NitrousOxideEmissionsFromCropResidues_Result_Method2</vt:lpstr>
      <vt:lpstr>VEERG_6_1_1_1__2__MassOfNitrogenInCropResidues_Result_Method1</vt:lpstr>
      <vt:lpstr>VEERG_6_1_1_1__2__MassOfNitrogenInCropResidues_Result_Method2</vt:lpstr>
      <vt:lpstr>VEERG_6_1_1_2__1__FractionOfCropResidueRemovedBaled_Result</vt:lpstr>
      <vt:lpstr>VEERG_6_2_1_1__1__NitrousOxideEmissionsFromPastureResidues_Result_Method1</vt:lpstr>
      <vt:lpstr>VEERG_6_2_1_1__1__NitrousOxideEmissionsFromPastureResidues_Result_Method2</vt:lpstr>
      <vt:lpstr>VEERG_6_3_1_1__1__LeachingAndRunoffEmissionsCropAndPastureResidue_CropOnly_Result_Method1</vt:lpstr>
      <vt:lpstr>VEERG_6_3_1_1__1__LeachingAndRunoffEmissionsCropAndPastureResidue_CropOnly_Result_Method2</vt:lpstr>
      <vt:lpstr>VEERG_6_3_1_1__1__LeachingAndRunoffEmissionsCropAndPastureResidue_PastureOnly_Result_Method1</vt:lpstr>
      <vt:lpstr>VEERG_6_3_1_1__1__LeachingAndRunoffEmissionsCropAndPastureResidue_PastureOnly_Result_Method2</vt:lpstr>
      <vt:lpstr>'6.3.1.1-2 Leach runoff crop'!VEERG_6_3_1_1__1__LeachingAndRunoffEmissionsCropAndPastureResidue_Result_Method1</vt:lpstr>
      <vt:lpstr>'6.3.1.1-2 Leach runoff pasture'!VEERG_6_3_1_1__1__LeachingAndRunoffEmissionsCropAndPastureResidue_Result_Method1</vt:lpstr>
      <vt:lpstr>VEERG_6_3_1_1__1__LeachingAndRunoffEmissionsCropAndPastureResidue_Result_Method1</vt:lpstr>
      <vt:lpstr>'6.3.1.1-2 Leach runoff crop'!VEERG_6_3_1_1__1__LeachingAndRunoffEmissionsCropAndPastureResidue_Result_Method2</vt:lpstr>
      <vt:lpstr>'6.3.1.1-2 Leach runoff pasture'!VEERG_6_3_1_1__1__LeachingAndRunoffEmissionsCropAndPastureResidue_Result_Method2</vt:lpstr>
      <vt:lpstr>VEERG_6_3_1_1__1__LeachingAndRunoffEmissionsCropAndPastureResidue_Result_Method2</vt:lpstr>
      <vt:lpstr>VEERG_6_4_1_1__1__MethaneEmissionsFromBurningOfCropResidues_Result_Method1</vt:lpstr>
      <vt:lpstr>VEERG_6_4_1_1__2__NitrousOxideEmissionsFromBurningOfCropResidues_Result_Method1</vt:lpstr>
      <vt:lpstr>X_Cell_Crop_AreaUnderCropping</vt:lpstr>
      <vt:lpstr>X_Cell_Crop_AverageWeightPerBale</vt:lpstr>
      <vt:lpstr>X_Cell_Crop_CropPurpose</vt:lpstr>
      <vt:lpstr>X_Cell_Crop_CropType</vt:lpstr>
      <vt:lpstr>X_Cell_Crop_IrrigationMethod</vt:lpstr>
      <vt:lpstr>X_Cell_Crop_NumberOfBales</vt:lpstr>
      <vt:lpstr>X_Cell_Crop_PercentResidueBaled</vt:lpstr>
      <vt:lpstr>X_Cell_Crop_PercentResidueBurned</vt:lpstr>
      <vt:lpstr>X_Cell_Crop_TotalProductionOfCrop</vt:lpstr>
      <vt:lpstr>X_Cell_Crop_TotalResidueBaled</vt:lpstr>
      <vt:lpstr>X_Cell_Crop_YieldPerHectare</vt:lpstr>
      <vt:lpstr>X_Cell_Pasture_AreaRemovedOrRenewed</vt:lpstr>
      <vt:lpstr>X_Cell_Pasture_AreaUnderPasture</vt:lpstr>
      <vt:lpstr>X_Cell_Pasture_IrrigationMethod</vt:lpstr>
      <vt:lpstr>X_Cell_Pasture_PastureType</vt:lpstr>
      <vt:lpstr>X_Cell_Pasture_YieldPerHectare</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2026-08-10T02:29:41Z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