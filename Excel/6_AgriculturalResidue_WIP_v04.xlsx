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4A8AF57-14DD-4BFF-B150-D06D39E69FB2}" xr6:coauthVersionLast="47" xr6:coauthVersionMax="47" xr10:uidLastSave="{00000000-0000-0000-0000-000000000000}"/>
  <bookViews>
    <workbookView xWindow="720" yWindow="735" windowWidth="37785" windowHeight="19140" firstSheet="2" activeTab="6"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2"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 i="122" l="1"/>
  <c r="H24" i="123"/>
  <c r="H25" i="113"/>
  <c r="H24" i="113"/>
  <c r="J37" i="122"/>
  <c r="J15" i="122"/>
  <c r="J37" i="123"/>
  <c r="J15" i="123"/>
  <c r="J37" i="113"/>
  <c r="J15" i="113"/>
  <c r="E30" i="15"/>
  <c r="E33" i="15"/>
  <c r="E32" i="15"/>
  <c r="E31" i="15"/>
  <c r="I59" i="114"/>
  <c r="I36" i="114"/>
  <c r="J38" i="122"/>
  <c r="J38" i="123"/>
  <c r="J38" i="113"/>
  <c r="J35" i="74"/>
  <c r="R57" i="69"/>
  <c r="I38" i="69"/>
  <c r="H65" i="114"/>
  <c r="H42" i="114"/>
  <c r="Q51" i="122"/>
  <c r="G51" i="122"/>
  <c r="Q51" i="123"/>
  <c r="G51" i="123"/>
  <c r="Q51" i="113"/>
  <c r="G51" i="113"/>
  <c r="Q43" i="74"/>
  <c r="G43" i="74"/>
  <c r="P64" i="69"/>
  <c r="G45" i="69"/>
  <c r="I22" i="69"/>
  <c r="E259" i="132" a="1"/>
  <c r="E259" i="132" s="1"/>
  <c r="D259" i="132" a="1"/>
  <c r="D259" i="132" s="1"/>
  <c r="E258" i="132" a="1"/>
  <c r="E258" i="132" s="1"/>
  <c r="D258" i="132" a="1"/>
  <c r="D258" i="132" s="1"/>
  <c r="D256" i="132" a="1"/>
  <c r="D256" i="132" s="1"/>
  <c r="D255" i="132"/>
  <c r="D255" i="132" a="1"/>
  <c r="D254" i="132" a="1"/>
  <c r="D254" i="132" s="1"/>
  <c r="D253" i="132" a="1"/>
  <c r="D253" i="132" s="1"/>
  <c r="S250" i="132" a="1"/>
  <c r="S250" i="132" s="1"/>
  <c r="R250" i="132" a="1"/>
  <c r="R250" i="132" s="1"/>
  <c r="Q250" i="132" a="1"/>
  <c r="Q250" i="132" s="1"/>
  <c r="P250" i="132" a="1"/>
  <c r="P250" i="132" s="1"/>
  <c r="O250" i="132" a="1"/>
  <c r="O250" i="132" s="1"/>
  <c r="N250" i="132" a="1"/>
  <c r="N250" i="132" s="1"/>
  <c r="M250" i="132" a="1"/>
  <c r="M250" i="132" s="1"/>
  <c r="L250" i="132" a="1"/>
  <c r="L250" i="132" s="1"/>
  <c r="K250" i="132" a="1"/>
  <c r="K250" i="132" s="1"/>
  <c r="J250" i="132" a="1"/>
  <c r="J250" i="132" s="1"/>
  <c r="I250" i="132" a="1"/>
  <c r="I250" i="132" s="1"/>
  <c r="H250" i="132" a="1"/>
  <c r="H250" i="132" s="1"/>
  <c r="G250" i="132" a="1"/>
  <c r="G250" i="132" s="1"/>
  <c r="F250" i="132" a="1"/>
  <c r="F250" i="132" s="1"/>
  <c r="E250" i="132" a="1"/>
  <c r="E250" i="132" s="1"/>
  <c r="D250" i="132" a="1"/>
  <c r="D250" i="132" s="1"/>
  <c r="S249" i="132" a="1"/>
  <c r="S249" i="132" s="1"/>
  <c r="R249" i="132" a="1"/>
  <c r="R249" i="132" s="1"/>
  <c r="Q249" i="132" a="1"/>
  <c r="Q249" i="132" s="1"/>
  <c r="P249" i="132" a="1"/>
  <c r="P249" i="132" s="1"/>
  <c r="O249" i="132" a="1"/>
  <c r="O249" i="132" s="1"/>
  <c r="N249" i="132" a="1"/>
  <c r="N249" i="132" s="1"/>
  <c r="M249" i="132" a="1"/>
  <c r="M249" i="132" s="1"/>
  <c r="L249" i="132" a="1"/>
  <c r="L249" i="132" s="1"/>
  <c r="K249" i="132" a="1"/>
  <c r="K249" i="132" s="1"/>
  <c r="J249" i="132" a="1"/>
  <c r="J249" i="132" s="1"/>
  <c r="I249" i="132" a="1"/>
  <c r="I249" i="132" s="1"/>
  <c r="H249" i="132" a="1"/>
  <c r="H249" i="132" s="1"/>
  <c r="G249" i="132" a="1"/>
  <c r="G249" i="132" s="1"/>
  <c r="F249" i="132" a="1"/>
  <c r="F249" i="132" s="1"/>
  <c r="E249" i="132" a="1"/>
  <c r="E249" i="132" s="1"/>
  <c r="D249" i="132" a="1"/>
  <c r="D249" i="132" s="1"/>
  <c r="S248" i="132" a="1"/>
  <c r="S248" i="132" s="1"/>
  <c r="R248" i="132" a="1"/>
  <c r="R248" i="132" s="1"/>
  <c r="Q248" i="132" a="1"/>
  <c r="Q248" i="132" s="1"/>
  <c r="P248" i="132" a="1"/>
  <c r="P248" i="132" s="1"/>
  <c r="O248" i="132" a="1"/>
  <c r="O248" i="132" s="1"/>
  <c r="N248" i="132" a="1"/>
  <c r="N248" i="132" s="1"/>
  <c r="M248" i="132" a="1"/>
  <c r="M248" i="132" s="1"/>
  <c r="L248" i="132" a="1"/>
  <c r="L248" i="132" s="1"/>
  <c r="K248" i="132" a="1"/>
  <c r="K248" i="132" s="1"/>
  <c r="J248" i="132" a="1"/>
  <c r="J248" i="132" s="1"/>
  <c r="I248" i="132" a="1"/>
  <c r="I248" i="132" s="1"/>
  <c r="H248" i="132" a="1"/>
  <c r="H248" i="132" s="1"/>
  <c r="G248" i="132" a="1"/>
  <c r="G248" i="132" s="1"/>
  <c r="F248" i="132" a="1"/>
  <c r="F248" i="132" s="1"/>
  <c r="E248" i="132" a="1"/>
  <c r="E248" i="132" s="1"/>
  <c r="D248" i="132" a="1"/>
  <c r="D248" i="132" s="1"/>
  <c r="S247" i="132" a="1"/>
  <c r="S247" i="132" s="1"/>
  <c r="R247" i="132" a="1"/>
  <c r="R247" i="132" s="1"/>
  <c r="Q247" i="132" a="1"/>
  <c r="Q247" i="132" s="1"/>
  <c r="P247" i="132" a="1"/>
  <c r="P247" i="132" s="1"/>
  <c r="O247" i="132" a="1"/>
  <c r="O247" i="132" s="1"/>
  <c r="N247" i="132" a="1"/>
  <c r="N247" i="132" s="1"/>
  <c r="M247" i="132" a="1"/>
  <c r="M247" i="132" s="1"/>
  <c r="L247" i="132" a="1"/>
  <c r="L247" i="132" s="1"/>
  <c r="K247" i="132" a="1"/>
  <c r="K247" i="132" s="1"/>
  <c r="J247" i="132" a="1"/>
  <c r="J247" i="132" s="1"/>
  <c r="I247" i="132" a="1"/>
  <c r="I247" i="132" s="1"/>
  <c r="H247" i="132" a="1"/>
  <c r="H247" i="132" s="1"/>
  <c r="G247" i="132" a="1"/>
  <c r="G247" i="132" s="1"/>
  <c r="F247" i="132" a="1"/>
  <c r="F247" i="132" s="1"/>
  <c r="E247" i="132" a="1"/>
  <c r="E247" i="132" s="1"/>
  <c r="D247" i="132" a="1"/>
  <c r="D247" i="132" s="1"/>
  <c r="S246" i="132" a="1"/>
  <c r="S246" i="132" s="1"/>
  <c r="R246" i="132" a="1"/>
  <c r="R246" i="132" s="1"/>
  <c r="Q246" i="132" a="1"/>
  <c r="Q246" i="132" s="1"/>
  <c r="P246" i="132" a="1"/>
  <c r="P246" i="132" s="1"/>
  <c r="O246" i="132" a="1"/>
  <c r="O246" i="132" s="1"/>
  <c r="N246" i="132" a="1"/>
  <c r="N246" i="132" s="1"/>
  <c r="M246" i="132" a="1"/>
  <c r="M246" i="132" s="1"/>
  <c r="L246" i="132" a="1"/>
  <c r="L246" i="132" s="1"/>
  <c r="K246" i="132" a="1"/>
  <c r="K246" i="132" s="1"/>
  <c r="J246" i="132" a="1"/>
  <c r="J246" i="132" s="1"/>
  <c r="I246" i="132" a="1"/>
  <c r="I246" i="132" s="1"/>
  <c r="H246" i="132" a="1"/>
  <c r="H246" i="132" s="1"/>
  <c r="G246" i="132" a="1"/>
  <c r="G246" i="132" s="1"/>
  <c r="F246" i="132" a="1"/>
  <c r="F246" i="132" s="1"/>
  <c r="E246" i="132" a="1"/>
  <c r="E246" i="132" s="1"/>
  <c r="D246" i="132" a="1"/>
  <c r="D246" i="132" s="1"/>
  <c r="S245" i="132" a="1"/>
  <c r="S245" i="132" s="1"/>
  <c r="R245" i="132" a="1"/>
  <c r="R245" i="132" s="1"/>
  <c r="Q245" i="132" a="1"/>
  <c r="Q245" i="132" s="1"/>
  <c r="P245" i="132" a="1"/>
  <c r="P245" i="132" s="1"/>
  <c r="O245" i="132" a="1"/>
  <c r="O245" i="132" s="1"/>
  <c r="N245" i="132" a="1"/>
  <c r="N245" i="132" s="1"/>
  <c r="M245" i="132" a="1"/>
  <c r="M245" i="132" s="1"/>
  <c r="L245" i="132" a="1"/>
  <c r="L245" i="132" s="1"/>
  <c r="K245" i="132" a="1"/>
  <c r="K245" i="132" s="1"/>
  <c r="J245" i="132" a="1"/>
  <c r="J245" i="132" s="1"/>
  <c r="I245" i="132" a="1"/>
  <c r="I245" i="132" s="1"/>
  <c r="H245" i="132" a="1"/>
  <c r="H245" i="132" s="1"/>
  <c r="G245" i="132" a="1"/>
  <c r="G245" i="132" s="1"/>
  <c r="F245" i="132" a="1"/>
  <c r="F245" i="132" s="1"/>
  <c r="E245" i="132" a="1"/>
  <c r="E245" i="132" s="1"/>
  <c r="D245" i="132" a="1"/>
  <c r="D245" i="132" s="1"/>
  <c r="S244" i="132" a="1"/>
  <c r="S244" i="132" s="1"/>
  <c r="R244" i="132" a="1"/>
  <c r="R244" i="132" s="1"/>
  <c r="Q244" i="132" a="1"/>
  <c r="Q244" i="132" s="1"/>
  <c r="P244" i="132" a="1"/>
  <c r="P244" i="132" s="1"/>
  <c r="O244" i="132" a="1"/>
  <c r="O244" i="132" s="1"/>
  <c r="N244" i="132" a="1"/>
  <c r="N244" i="132" s="1"/>
  <c r="M244" i="132" a="1"/>
  <c r="M244" i="132" s="1"/>
  <c r="L244" i="132" a="1"/>
  <c r="L244" i="132" s="1"/>
  <c r="K244" i="132" a="1"/>
  <c r="K244" i="132" s="1"/>
  <c r="J244" i="132" a="1"/>
  <c r="J244" i="132" s="1"/>
  <c r="I244" i="132" a="1"/>
  <c r="I244" i="132" s="1"/>
  <c r="H244" i="132" a="1"/>
  <c r="H244" i="132" s="1"/>
  <c r="G244" i="132" a="1"/>
  <c r="G244" i="132" s="1"/>
  <c r="F244" i="132" a="1"/>
  <c r="F244" i="132" s="1"/>
  <c r="E244" i="132" a="1"/>
  <c r="E244" i="132" s="1"/>
  <c r="D244" i="132" a="1"/>
  <c r="D244" i="132" s="1"/>
  <c r="S243" i="132" a="1"/>
  <c r="S243" i="132" s="1"/>
  <c r="R243" i="132" a="1"/>
  <c r="R243" i="132" s="1"/>
  <c r="Q243" i="132" a="1"/>
  <c r="Q243" i="132" s="1"/>
  <c r="P243" i="132" a="1"/>
  <c r="P243" i="132" s="1"/>
  <c r="O243" i="132" a="1"/>
  <c r="O243" i="132" s="1"/>
  <c r="N243" i="132" a="1"/>
  <c r="N243" i="132" s="1"/>
  <c r="M243" i="132" a="1"/>
  <c r="M243" i="132" s="1"/>
  <c r="L243" i="132" a="1"/>
  <c r="L243" i="132" s="1"/>
  <c r="K243" i="132" a="1"/>
  <c r="K243" i="132" s="1"/>
  <c r="J243" i="132" a="1"/>
  <c r="J243" i="132" s="1"/>
  <c r="I243" i="132" a="1"/>
  <c r="I243" i="132" s="1"/>
  <c r="H243" i="132" a="1"/>
  <c r="H243" i="132" s="1"/>
  <c r="G243" i="132" a="1"/>
  <c r="G243" i="132" s="1"/>
  <c r="F243" i="132" a="1"/>
  <c r="F243" i="132" s="1"/>
  <c r="E243" i="132" a="1"/>
  <c r="E243" i="132" s="1"/>
  <c r="D243" i="132" a="1"/>
  <c r="D243" i="132" s="1"/>
  <c r="S242" i="132" a="1"/>
  <c r="S242" i="132" s="1"/>
  <c r="R242" i="132" a="1"/>
  <c r="R242" i="132" s="1"/>
  <c r="Q242" i="132" a="1"/>
  <c r="Q242" i="132" s="1"/>
  <c r="P242" i="132" a="1"/>
  <c r="P242" i="132" s="1"/>
  <c r="O242" i="132" a="1"/>
  <c r="O242" i="132" s="1"/>
  <c r="N242" i="132" a="1"/>
  <c r="N242" i="132" s="1"/>
  <c r="M242" i="132" a="1"/>
  <c r="M242" i="132" s="1"/>
  <c r="L242" i="132" a="1"/>
  <c r="L242" i="132" s="1"/>
  <c r="K242" i="132" a="1"/>
  <c r="K242" i="132" s="1"/>
  <c r="J242" i="132" a="1"/>
  <c r="J242" i="132" s="1"/>
  <c r="I242" i="132" a="1"/>
  <c r="I242" i="132" s="1"/>
  <c r="H242" i="132" a="1"/>
  <c r="H242" i="132" s="1"/>
  <c r="G242" i="132" a="1"/>
  <c r="G242" i="132" s="1"/>
  <c r="F242" i="132" a="1"/>
  <c r="F242" i="132" s="1"/>
  <c r="E242" i="132" a="1"/>
  <c r="E242" i="132" s="1"/>
  <c r="D242" i="132" a="1"/>
  <c r="D242" i="132" s="1"/>
  <c r="S241" i="132" a="1"/>
  <c r="S241" i="132" s="1"/>
  <c r="R241" i="132" a="1"/>
  <c r="R241" i="132" s="1"/>
  <c r="Q241" i="132" a="1"/>
  <c r="Q241" i="132" s="1"/>
  <c r="P241" i="132" a="1"/>
  <c r="P241" i="132" s="1"/>
  <c r="O241" i="132" a="1"/>
  <c r="O241" i="132" s="1"/>
  <c r="N241" i="132" a="1"/>
  <c r="N241" i="132" s="1"/>
  <c r="M241" i="132" a="1"/>
  <c r="M241" i="132" s="1"/>
  <c r="L241" i="132" a="1"/>
  <c r="L241" i="132" s="1"/>
  <c r="K241" i="132" a="1"/>
  <c r="K241" i="132" s="1"/>
  <c r="J241" i="132" a="1"/>
  <c r="J241" i="132" s="1"/>
  <c r="I241" i="132" a="1"/>
  <c r="I241" i="132" s="1"/>
  <c r="H241" i="132" a="1"/>
  <c r="H241" i="132" s="1"/>
  <c r="G241" i="132" a="1"/>
  <c r="G241" i="132" s="1"/>
  <c r="F241" i="132" a="1"/>
  <c r="F241" i="132" s="1"/>
  <c r="E241" i="132" a="1"/>
  <c r="E241" i="132" s="1"/>
  <c r="D241" i="132" a="1"/>
  <c r="D241" i="132" s="1"/>
  <c r="S240" i="132" a="1"/>
  <c r="S240" i="132" s="1"/>
  <c r="R240" i="132" a="1"/>
  <c r="R240" i="132" s="1"/>
  <c r="Q240" i="132" a="1"/>
  <c r="Q240" i="132" s="1"/>
  <c r="P240" i="132" a="1"/>
  <c r="P240" i="132" s="1"/>
  <c r="O240" i="132" a="1"/>
  <c r="O240" i="132" s="1"/>
  <c r="N240" i="132" a="1"/>
  <c r="N240" i="132" s="1"/>
  <c r="M240" i="132" a="1"/>
  <c r="M240" i="132" s="1"/>
  <c r="L240" i="132" a="1"/>
  <c r="L240" i="132" s="1"/>
  <c r="K240" i="132" a="1"/>
  <c r="K240" i="132" s="1"/>
  <c r="J240" i="132" a="1"/>
  <c r="J240" i="132" s="1"/>
  <c r="I240" i="132" a="1"/>
  <c r="I240" i="132" s="1"/>
  <c r="H240" i="132" a="1"/>
  <c r="H240" i="132" s="1"/>
  <c r="G240" i="132" a="1"/>
  <c r="G240" i="132" s="1"/>
  <c r="F240" i="132" a="1"/>
  <c r="F240" i="132" s="1"/>
  <c r="E240" i="132" a="1"/>
  <c r="E240" i="132" s="1"/>
  <c r="D240" i="132" a="1"/>
  <c r="D240" i="132" s="1"/>
  <c r="S239" i="132" a="1"/>
  <c r="S239" i="132" s="1"/>
  <c r="R239" i="132" a="1"/>
  <c r="R239" i="132" s="1"/>
  <c r="Q239" i="132" a="1"/>
  <c r="Q239" i="132" s="1"/>
  <c r="P239" i="132" a="1"/>
  <c r="P239" i="132" s="1"/>
  <c r="O239" i="132" a="1"/>
  <c r="O239" i="132" s="1"/>
  <c r="N239" i="132" a="1"/>
  <c r="N239" i="132" s="1"/>
  <c r="M239" i="132" a="1"/>
  <c r="M239" i="132" s="1"/>
  <c r="L239" i="132" a="1"/>
  <c r="L239" i="132" s="1"/>
  <c r="K239" i="132" a="1"/>
  <c r="K239" i="132" s="1"/>
  <c r="J239" i="132" a="1"/>
  <c r="J239" i="132" s="1"/>
  <c r="I239" i="132" a="1"/>
  <c r="I239" i="132" s="1"/>
  <c r="H239" i="132" a="1"/>
  <c r="H239" i="132" s="1"/>
  <c r="G239" i="132" a="1"/>
  <c r="G239" i="132" s="1"/>
  <c r="F239" i="132" a="1"/>
  <c r="F239" i="132" s="1"/>
  <c r="E239" i="132" a="1"/>
  <c r="E239" i="132" s="1"/>
  <c r="D239" i="132" a="1"/>
  <c r="D239" i="132" s="1"/>
  <c r="S238" i="132" a="1"/>
  <c r="S238" i="132" s="1"/>
  <c r="R238" i="132" a="1"/>
  <c r="R238" i="132" s="1"/>
  <c r="Q238" i="132" a="1"/>
  <c r="Q238" i="132" s="1"/>
  <c r="P238" i="132" a="1"/>
  <c r="P238" i="132" s="1"/>
  <c r="O238" i="132" a="1"/>
  <c r="O238" i="132" s="1"/>
  <c r="N238" i="132" a="1"/>
  <c r="N238" i="132" s="1"/>
  <c r="M238" i="132" a="1"/>
  <c r="M238" i="132" s="1"/>
  <c r="L238" i="132" a="1"/>
  <c r="L238" i="132" s="1"/>
  <c r="K238" i="132" a="1"/>
  <c r="K238" i="132" s="1"/>
  <c r="J238" i="132" a="1"/>
  <c r="J238" i="132" s="1"/>
  <c r="I238" i="132" a="1"/>
  <c r="I238" i="132" s="1"/>
  <c r="H238" i="132" a="1"/>
  <c r="H238" i="132" s="1"/>
  <c r="G238" i="132" a="1"/>
  <c r="G238" i="132" s="1"/>
  <c r="F238" i="132" a="1"/>
  <c r="F238" i="132" s="1"/>
  <c r="E238" i="132" a="1"/>
  <c r="E238" i="132" s="1"/>
  <c r="D238" i="132" a="1"/>
  <c r="D238" i="132" s="1"/>
  <c r="S237" i="132" a="1"/>
  <c r="S237" i="132" s="1"/>
  <c r="R237" i="132" a="1"/>
  <c r="R237" i="132" s="1"/>
  <c r="Q237" i="132" a="1"/>
  <c r="Q237" i="132" s="1"/>
  <c r="P237" i="132" a="1"/>
  <c r="P237" i="132" s="1"/>
  <c r="O237" i="132" a="1"/>
  <c r="O237" i="132" s="1"/>
  <c r="N237" i="132" a="1"/>
  <c r="N237" i="132" s="1"/>
  <c r="M237" i="132" a="1"/>
  <c r="M237" i="132" s="1"/>
  <c r="L237" i="132" a="1"/>
  <c r="L237" i="132" s="1"/>
  <c r="K237" i="132" a="1"/>
  <c r="K237" i="132" s="1"/>
  <c r="J237" i="132" a="1"/>
  <c r="J237" i="132" s="1"/>
  <c r="I237" i="132" a="1"/>
  <c r="I237" i="132" s="1"/>
  <c r="H237" i="132" a="1"/>
  <c r="H237" i="132" s="1"/>
  <c r="G237" i="132" a="1"/>
  <c r="G237" i="132" s="1"/>
  <c r="F237" i="132" a="1"/>
  <c r="F237" i="132" s="1"/>
  <c r="E237" i="132" a="1"/>
  <c r="E237" i="132" s="1"/>
  <c r="D237" i="132" a="1"/>
  <c r="D237" i="132" s="1"/>
  <c r="S236" i="132" a="1"/>
  <c r="S236" i="132" s="1"/>
  <c r="R236" i="132" a="1"/>
  <c r="R236" i="132" s="1"/>
  <c r="Q236" i="132" a="1"/>
  <c r="Q236" i="132" s="1"/>
  <c r="P236" i="132" a="1"/>
  <c r="P236" i="132" s="1"/>
  <c r="O236" i="132" a="1"/>
  <c r="O236" i="132" s="1"/>
  <c r="N236" i="132" a="1"/>
  <c r="N236" i="132" s="1"/>
  <c r="M236" i="132" a="1"/>
  <c r="M236" i="132" s="1"/>
  <c r="L236" i="132" a="1"/>
  <c r="L236" i="132" s="1"/>
  <c r="K236" i="132" a="1"/>
  <c r="K236" i="132" s="1"/>
  <c r="J236" i="132" a="1"/>
  <c r="J236" i="132" s="1"/>
  <c r="I236" i="132" a="1"/>
  <c r="I236" i="132" s="1"/>
  <c r="H236" i="132" a="1"/>
  <c r="H236" i="132" s="1"/>
  <c r="G236" i="132" a="1"/>
  <c r="G236" i="132" s="1"/>
  <c r="F236" i="132" a="1"/>
  <c r="F236" i="132" s="1"/>
  <c r="E236" i="132" a="1"/>
  <c r="E236" i="132" s="1"/>
  <c r="D236" i="132" a="1"/>
  <c r="D236" i="132" s="1"/>
  <c r="S235" i="132" a="1"/>
  <c r="S235" i="132" s="1"/>
  <c r="R235" i="132" a="1"/>
  <c r="R235" i="132" s="1"/>
  <c r="Q235" i="132" a="1"/>
  <c r="Q235" i="132" s="1"/>
  <c r="P235" i="132" a="1"/>
  <c r="P235" i="132" s="1"/>
  <c r="O235" i="132" a="1"/>
  <c r="O235" i="132" s="1"/>
  <c r="N235" i="132" a="1"/>
  <c r="N235" i="132" s="1"/>
  <c r="M235" i="132" a="1"/>
  <c r="M235" i="132" s="1"/>
  <c r="L235" i="132" a="1"/>
  <c r="L235" i="132" s="1"/>
  <c r="K235" i="132" a="1"/>
  <c r="K235" i="132" s="1"/>
  <c r="J235" i="132" a="1"/>
  <c r="J235" i="132" s="1"/>
  <c r="I235" i="132" a="1"/>
  <c r="I235" i="132" s="1"/>
  <c r="H235" i="132" a="1"/>
  <c r="H235" i="132" s="1"/>
  <c r="G235" i="132" a="1"/>
  <c r="G235" i="132" s="1"/>
  <c r="F235" i="132" a="1"/>
  <c r="F235" i="132" s="1"/>
  <c r="E235" i="132" a="1"/>
  <c r="E235" i="132" s="1"/>
  <c r="D235" i="132" a="1"/>
  <c r="D235" i="132" s="1"/>
  <c r="S234" i="132" a="1"/>
  <c r="S234" i="132" s="1"/>
  <c r="R234" i="132" a="1"/>
  <c r="R234" i="132" s="1"/>
  <c r="Q234" i="132" a="1"/>
  <c r="Q234" i="132" s="1"/>
  <c r="P234" i="132" a="1"/>
  <c r="P234" i="132" s="1"/>
  <c r="O234" i="132" a="1"/>
  <c r="O234" i="132" s="1"/>
  <c r="N234" i="132" a="1"/>
  <c r="N234" i="132" s="1"/>
  <c r="M234" i="132" a="1"/>
  <c r="M234" i="132" s="1"/>
  <c r="L234" i="132" a="1"/>
  <c r="L234" i="132" s="1"/>
  <c r="K234" i="132" a="1"/>
  <c r="K234" i="132" s="1"/>
  <c r="J234" i="132" a="1"/>
  <c r="J234" i="132" s="1"/>
  <c r="I234" i="132" a="1"/>
  <c r="I234" i="132" s="1"/>
  <c r="H234" i="132" a="1"/>
  <c r="H234" i="132" s="1"/>
  <c r="G234" i="132" a="1"/>
  <c r="G234" i="132" s="1"/>
  <c r="F234" i="132" a="1"/>
  <c r="F234" i="132" s="1"/>
  <c r="E234" i="132" a="1"/>
  <c r="E234" i="132" s="1"/>
  <c r="D234" i="132" a="1"/>
  <c r="D234" i="132" s="1"/>
  <c r="S233" i="132" a="1"/>
  <c r="S233" i="132" s="1"/>
  <c r="R233" i="132" a="1"/>
  <c r="R233" i="132" s="1"/>
  <c r="Q233" i="132" a="1"/>
  <c r="Q233" i="132" s="1"/>
  <c r="P233" i="132" a="1"/>
  <c r="P233" i="132" s="1"/>
  <c r="O233" i="132" a="1"/>
  <c r="O233" i="132" s="1"/>
  <c r="N233" i="132" a="1"/>
  <c r="N233" i="132" s="1"/>
  <c r="M233" i="132" a="1"/>
  <c r="M233" i="132" s="1"/>
  <c r="L233" i="132" a="1"/>
  <c r="L233" i="132" s="1"/>
  <c r="K233" i="132" a="1"/>
  <c r="K233" i="132" s="1"/>
  <c r="J233" i="132" a="1"/>
  <c r="J233" i="132" s="1"/>
  <c r="I233" i="132" a="1"/>
  <c r="I233" i="132" s="1"/>
  <c r="H233" i="132" a="1"/>
  <c r="H233" i="132" s="1"/>
  <c r="G233" i="132" a="1"/>
  <c r="G233" i="132" s="1"/>
  <c r="F233" i="132" a="1"/>
  <c r="F233" i="132" s="1"/>
  <c r="E233" i="132" a="1"/>
  <c r="E233" i="132" s="1"/>
  <c r="D233" i="132" a="1"/>
  <c r="D233" i="132" s="1"/>
  <c r="S232" i="132" a="1"/>
  <c r="S232" i="132" s="1"/>
  <c r="R232" i="132" a="1"/>
  <c r="R232" i="132" s="1"/>
  <c r="Q232" i="132" a="1"/>
  <c r="Q232" i="132" s="1"/>
  <c r="P232" i="132" a="1"/>
  <c r="P232" i="132" s="1"/>
  <c r="O232" i="132" a="1"/>
  <c r="O232" i="132" s="1"/>
  <c r="N232" i="132" a="1"/>
  <c r="N232" i="132" s="1"/>
  <c r="M232" i="132" a="1"/>
  <c r="M232" i="132" s="1"/>
  <c r="L232" i="132" a="1"/>
  <c r="L232" i="132" s="1"/>
  <c r="K232" i="132" a="1"/>
  <c r="K232" i="132" s="1"/>
  <c r="J232" i="132" a="1"/>
  <c r="J232" i="132" s="1"/>
  <c r="I232" i="132" a="1"/>
  <c r="I232" i="132" s="1"/>
  <c r="H232" i="132" a="1"/>
  <c r="H232" i="132" s="1"/>
  <c r="G232" i="132" a="1"/>
  <c r="G232" i="132" s="1"/>
  <c r="F232" i="132" a="1"/>
  <c r="F232" i="132" s="1"/>
  <c r="E232" i="132" a="1"/>
  <c r="E232" i="132" s="1"/>
  <c r="D232" i="132" a="1"/>
  <c r="D232" i="132" s="1"/>
  <c r="D229" i="132"/>
  <c r="D229" i="132" a="1"/>
  <c r="D228" i="132"/>
  <c r="D228" i="132" a="1"/>
  <c r="D227" i="132" a="1"/>
  <c r="D227" i="132" s="1"/>
  <c r="E224" i="132" a="1"/>
  <c r="E224" i="132" s="1"/>
  <c r="D224" i="132" a="1"/>
  <c r="D224" i="132" s="1"/>
  <c r="E223" i="132" a="1"/>
  <c r="E223" i="132" s="1"/>
  <c r="D223" i="132" a="1"/>
  <c r="D223" i="132" s="1"/>
  <c r="E222" i="132" a="1"/>
  <c r="E222" i="132" s="1"/>
  <c r="D222" i="132" a="1"/>
  <c r="D222" i="132" s="1"/>
  <c r="E221" i="132" a="1"/>
  <c r="E221" i="132" s="1"/>
  <c r="D221" i="132" a="1"/>
  <c r="D221" i="132" s="1"/>
  <c r="E220" i="132" a="1"/>
  <c r="E220" i="132" s="1"/>
  <c r="D220" i="132" a="1"/>
  <c r="D220" i="132" s="1"/>
  <c r="E219" i="132" a="1"/>
  <c r="E219" i="132" s="1"/>
  <c r="D219" i="132" a="1"/>
  <c r="D219" i="132" s="1"/>
  <c r="E218" i="132" a="1"/>
  <c r="E218" i="132" s="1"/>
  <c r="D218" i="132" a="1"/>
  <c r="D218" i="132" s="1"/>
  <c r="E217" i="132" a="1"/>
  <c r="E217" i="132" s="1"/>
  <c r="D217" i="132" a="1"/>
  <c r="D217" i="132" s="1"/>
  <c r="E216" i="132" a="1"/>
  <c r="E216" i="132" s="1"/>
  <c r="D216" i="132" a="1"/>
  <c r="D216" i="132" s="1"/>
  <c r="E215" i="132" a="1"/>
  <c r="E215" i="132" s="1"/>
  <c r="D215" i="132" a="1"/>
  <c r="D215" i="132" s="1"/>
  <c r="E214" i="132" a="1"/>
  <c r="E214" i="132" s="1"/>
  <c r="D214" i="132" a="1"/>
  <c r="D214" i="132" s="1"/>
  <c r="E213" i="132" a="1"/>
  <c r="E213" i="132" s="1"/>
  <c r="D213" i="132" a="1"/>
  <c r="D213" i="132" s="1"/>
  <c r="D211" i="132"/>
  <c r="D211" i="132" a="1"/>
  <c r="E208" i="132" a="1"/>
  <c r="E208" i="132" s="1"/>
  <c r="D208" i="132" a="1"/>
  <c r="D208" i="132" s="1"/>
  <c r="E207" i="132" a="1"/>
  <c r="E207" i="132" s="1"/>
  <c r="D207" i="132" a="1"/>
  <c r="D207" i="132" s="1"/>
  <c r="D205" i="132" a="1"/>
  <c r="D205" i="132" s="1"/>
  <c r="D204" i="132" a="1"/>
  <c r="D204" i="132" s="1"/>
  <c r="D203" i="132" a="1"/>
  <c r="D203" i="132" s="1"/>
  <c r="D202" i="132" a="1"/>
  <c r="D202" i="132" s="1"/>
  <c r="H199" i="132" a="1"/>
  <c r="H199" i="132" s="1"/>
  <c r="G199" i="132" a="1"/>
  <c r="G199" i="132" s="1"/>
  <c r="F199" i="132" a="1"/>
  <c r="F199" i="132" s="1"/>
  <c r="E199" i="132" a="1"/>
  <c r="E199" i="132" s="1"/>
  <c r="D199" i="132" a="1"/>
  <c r="D199" i="132" s="1"/>
  <c r="H198" i="132" a="1"/>
  <c r="H198" i="132" s="1"/>
  <c r="G198" i="132" a="1"/>
  <c r="G198" i="132" s="1"/>
  <c r="F198" i="132" a="1"/>
  <c r="F198" i="132" s="1"/>
  <c r="E198" i="132" a="1"/>
  <c r="E198" i="132" s="1"/>
  <c r="D198" i="132" a="1"/>
  <c r="D198" i="132" s="1"/>
  <c r="H197" i="132" a="1"/>
  <c r="H197" i="132" s="1"/>
  <c r="G197" i="132" a="1"/>
  <c r="G197" i="132" s="1"/>
  <c r="F197" i="132" a="1"/>
  <c r="F197" i="132" s="1"/>
  <c r="E197" i="132" a="1"/>
  <c r="E197" i="132" s="1"/>
  <c r="D197" i="132" a="1"/>
  <c r="D197" i="132" s="1"/>
  <c r="H196" i="132" a="1"/>
  <c r="H196" i="132" s="1"/>
  <c r="G196" i="132" a="1"/>
  <c r="G196" i="132" s="1"/>
  <c r="F196" i="132" a="1"/>
  <c r="F196" i="132" s="1"/>
  <c r="E196" i="132" a="1"/>
  <c r="E196" i="132" s="1"/>
  <c r="D196" i="132" a="1"/>
  <c r="D196" i="132" s="1"/>
  <c r="H195" i="132" a="1"/>
  <c r="H195" i="132" s="1"/>
  <c r="G195" i="132" a="1"/>
  <c r="G195" i="132" s="1"/>
  <c r="F195" i="132" a="1"/>
  <c r="F195" i="132" s="1"/>
  <c r="E195" i="132" a="1"/>
  <c r="E195" i="132" s="1"/>
  <c r="D195" i="132" a="1"/>
  <c r="D195" i="132" s="1"/>
  <c r="H194" i="132" a="1"/>
  <c r="H194" i="132" s="1"/>
  <c r="G194" i="132" a="1"/>
  <c r="G194" i="132" s="1"/>
  <c r="F194" i="132" a="1"/>
  <c r="F194" i="132" s="1"/>
  <c r="E194" i="132" a="1"/>
  <c r="E194" i="132" s="1"/>
  <c r="D194" i="132" a="1"/>
  <c r="D194" i="132" s="1"/>
  <c r="H193" i="132" a="1"/>
  <c r="H193" i="132" s="1"/>
  <c r="G193" i="132" a="1"/>
  <c r="G193" i="132" s="1"/>
  <c r="F193" i="132" a="1"/>
  <c r="F193" i="132" s="1"/>
  <c r="E193" i="132" a="1"/>
  <c r="E193" i="132" s="1"/>
  <c r="D193" i="132" a="1"/>
  <c r="D193" i="132" s="1"/>
  <c r="H192" i="132" a="1"/>
  <c r="H192" i="132" s="1"/>
  <c r="G192" i="132" a="1"/>
  <c r="G192" i="132" s="1"/>
  <c r="F192" i="132" a="1"/>
  <c r="F192" i="132" s="1"/>
  <c r="E192" i="132" a="1"/>
  <c r="E192" i="132" s="1"/>
  <c r="D192" i="132" a="1"/>
  <c r="D192" i="132" s="1"/>
  <c r="H191" i="132" a="1"/>
  <c r="H191" i="132" s="1"/>
  <c r="G191" i="132" a="1"/>
  <c r="G191" i="132" s="1"/>
  <c r="F191" i="132" a="1"/>
  <c r="F191" i="132" s="1"/>
  <c r="E191" i="132" a="1"/>
  <c r="E191" i="132" s="1"/>
  <c r="D191" i="132" a="1"/>
  <c r="D191" i="132" s="1"/>
  <c r="H190" i="132" a="1"/>
  <c r="H190" i="132" s="1"/>
  <c r="G190" i="132" a="1"/>
  <c r="G190" i="132" s="1"/>
  <c r="F190" i="132" a="1"/>
  <c r="F190" i="132" s="1"/>
  <c r="E190" i="132" a="1"/>
  <c r="E190" i="132" s="1"/>
  <c r="D190" i="132" a="1"/>
  <c r="D190" i="132" s="1"/>
  <c r="H189" i="132" a="1"/>
  <c r="H189" i="132" s="1"/>
  <c r="G189" i="132" a="1"/>
  <c r="G189" i="132" s="1"/>
  <c r="F189" i="132" a="1"/>
  <c r="F189" i="132" s="1"/>
  <c r="E189" i="132" a="1"/>
  <c r="E189" i="132" s="1"/>
  <c r="D189" i="132" a="1"/>
  <c r="D189" i="132" s="1"/>
  <c r="H188" i="132" a="1"/>
  <c r="H188" i="132" s="1"/>
  <c r="G188" i="132" a="1"/>
  <c r="G188" i="132" s="1"/>
  <c r="F188" i="132" a="1"/>
  <c r="F188" i="132" s="1"/>
  <c r="E188" i="132" a="1"/>
  <c r="E188" i="132" s="1"/>
  <c r="D188" i="132" a="1"/>
  <c r="D188" i="132" s="1"/>
  <c r="H187" i="132" a="1"/>
  <c r="H187" i="132" s="1"/>
  <c r="G187" i="132" a="1"/>
  <c r="G187" i="132" s="1"/>
  <c r="F187" i="132" a="1"/>
  <c r="F187" i="132" s="1"/>
  <c r="E187" i="132" a="1"/>
  <c r="E187" i="132" s="1"/>
  <c r="D187" i="132" a="1"/>
  <c r="D187" i="132" s="1"/>
  <c r="D181" i="132" a="1"/>
  <c r="D181" i="132" s="1"/>
  <c r="D180" i="132" a="1"/>
  <c r="D180" i="132" s="1"/>
  <c r="D179" i="132" a="1"/>
  <c r="D179" i="132" s="1"/>
  <c r="D178" i="132" a="1"/>
  <c r="D178" i="132" s="1"/>
  <c r="E175" i="132" a="1"/>
  <c r="E175" i="132" s="1"/>
  <c r="D175" i="132" a="1"/>
  <c r="D175" i="132" s="1"/>
  <c r="D174" i="132" a="1"/>
  <c r="D174" i="132" s="1"/>
  <c r="D173" i="132" a="1"/>
  <c r="D173" i="132" s="1"/>
  <c r="D170" i="132" a="1"/>
  <c r="D170" i="132" s="1"/>
  <c r="D169" i="132" a="1"/>
  <c r="D169" i="132" s="1"/>
  <c r="D168" i="132" a="1"/>
  <c r="D168" i="132" s="1"/>
  <c r="D167" i="132"/>
  <c r="D167" i="132" a="1"/>
  <c r="D164" i="132" a="1"/>
  <c r="D164" i="132" s="1"/>
  <c r="D163" i="132" a="1"/>
  <c r="D163" i="132" s="1"/>
  <c r="D162" i="132" a="1"/>
  <c r="D162" i="132" s="1"/>
  <c r="D161" i="132" a="1"/>
  <c r="D161" i="132" s="1"/>
  <c r="E158" i="132" a="1"/>
  <c r="E158" i="132" s="1"/>
  <c r="D158" i="132" a="1"/>
  <c r="D158" i="132" s="1"/>
  <c r="E157" i="132" a="1"/>
  <c r="E157" i="132" s="1"/>
  <c r="D157" i="132" a="1"/>
  <c r="D157" i="132" s="1"/>
  <c r="E156" i="132" a="1"/>
  <c r="E156" i="132" s="1"/>
  <c r="D156" i="132" a="1"/>
  <c r="D156" i="132" s="1"/>
  <c r="E155" i="132" a="1"/>
  <c r="E155" i="132" s="1"/>
  <c r="D155" i="132" a="1"/>
  <c r="D155" i="132" s="1"/>
  <c r="E154" i="132" a="1"/>
  <c r="E154" i="132" s="1"/>
  <c r="D154" i="132" a="1"/>
  <c r="D154" i="132" s="1"/>
  <c r="D151" i="132" a="1"/>
  <c r="D151" i="132" s="1"/>
  <c r="D150" i="132" a="1"/>
  <c r="D150" i="132" s="1"/>
  <c r="E147" i="132" a="1"/>
  <c r="E147" i="132" s="1"/>
  <c r="D147" i="132" a="1"/>
  <c r="D147" i="132" s="1"/>
  <c r="E146" i="132" a="1"/>
  <c r="E146" i="132" s="1"/>
  <c r="D146" i="132" a="1"/>
  <c r="D146" i="132" s="1"/>
  <c r="E145" i="132" a="1"/>
  <c r="E145" i="132" s="1"/>
  <c r="D145" i="132" a="1"/>
  <c r="D145" i="132" s="1"/>
  <c r="E144" i="132" a="1"/>
  <c r="E144" i="132" s="1"/>
  <c r="D144" i="132" a="1"/>
  <c r="D144" i="132" s="1"/>
  <c r="E143" i="132" a="1"/>
  <c r="E143" i="132" s="1"/>
  <c r="D143" i="132" a="1"/>
  <c r="D143" i="132" s="1"/>
  <c r="D141" i="132"/>
  <c r="D141" i="132" a="1"/>
  <c r="D140" i="132" a="1"/>
  <c r="D140" i="132" s="1"/>
  <c r="D139" i="132" a="1"/>
  <c r="D139" i="132" s="1"/>
  <c r="E136" i="132" a="1"/>
  <c r="E136" i="132" s="1"/>
  <c r="D136" i="132" a="1"/>
  <c r="D136" i="132" s="1"/>
  <c r="E135" i="132" a="1"/>
  <c r="E135" i="132" s="1"/>
  <c r="D135" i="132" a="1"/>
  <c r="D135" i="132" s="1"/>
  <c r="D133" i="132" a="1"/>
  <c r="D133" i="132" s="1"/>
  <c r="D132" i="132" a="1"/>
  <c r="D132" i="132" s="1"/>
  <c r="E129" i="132" a="1"/>
  <c r="E129" i="132" s="1"/>
  <c r="D129" i="132" a="1"/>
  <c r="D129" i="132" s="1"/>
  <c r="E128" i="132" a="1"/>
  <c r="E128" i="132" s="1"/>
  <c r="D128" i="132" a="1"/>
  <c r="D128" i="132" s="1"/>
  <c r="D125" i="132" a="1"/>
  <c r="D125" i="132" s="1"/>
  <c r="D124" i="132"/>
  <c r="D124" i="132" a="1"/>
  <c r="G121" i="132" a="1"/>
  <c r="G121" i="132" s="1"/>
  <c r="F121" i="132" a="1"/>
  <c r="F121" i="132" s="1"/>
  <c r="E121" i="132" a="1"/>
  <c r="E121" i="132" s="1"/>
  <c r="D121" i="132" a="1"/>
  <c r="D121" i="132" s="1"/>
  <c r="G120" i="132" a="1"/>
  <c r="G120" i="132" s="1"/>
  <c r="F120" i="132" a="1"/>
  <c r="F120" i="132" s="1"/>
  <c r="E120" i="132" a="1"/>
  <c r="E120" i="132" s="1"/>
  <c r="D120" i="132" a="1"/>
  <c r="D120" i="132" s="1"/>
  <c r="D117" i="132" a="1"/>
  <c r="D117" i="132" s="1"/>
  <c r="D116" i="132" a="1"/>
  <c r="D116" i="132" s="1"/>
  <c r="D115" i="132" a="1"/>
  <c r="D115" i="132" s="1"/>
  <c r="G112" i="132" a="1"/>
  <c r="G112" i="132" s="1"/>
  <c r="F112" i="132" a="1"/>
  <c r="F112" i="132" s="1"/>
  <c r="E112" i="132" a="1"/>
  <c r="E112" i="132" s="1"/>
  <c r="D112" i="132" a="1"/>
  <c r="D112" i="132" s="1"/>
  <c r="G111" i="132" a="1"/>
  <c r="G111" i="132" s="1"/>
  <c r="F111" i="132" a="1"/>
  <c r="F111" i="132" s="1"/>
  <c r="E111" i="132" a="1"/>
  <c r="E111" i="132" s="1"/>
  <c r="D111" i="132" a="1"/>
  <c r="D111" i="132" s="1"/>
  <c r="G110" i="132" a="1"/>
  <c r="G110" i="132" s="1"/>
  <c r="F110" i="132" a="1"/>
  <c r="F110" i="132" s="1"/>
  <c r="E110" i="132" a="1"/>
  <c r="E110" i="132" s="1"/>
  <c r="D110" i="132" a="1"/>
  <c r="D110" i="132" s="1"/>
  <c r="D107" i="132" a="1"/>
  <c r="D107" i="132" s="1"/>
  <c r="D106" i="132" a="1"/>
  <c r="D106" i="132" s="1"/>
  <c r="D105" i="132" a="1"/>
  <c r="D105" i="132" s="1"/>
  <c r="D99" i="132" a="1"/>
  <c r="D99" i="132" s="1"/>
  <c r="S97" i="132" a="1"/>
  <c r="S97" i="132" s="1"/>
  <c r="R97" i="132" a="1"/>
  <c r="R97" i="132" s="1"/>
  <c r="Q97" i="132" a="1"/>
  <c r="Q97" i="132" s="1"/>
  <c r="P97" i="132" a="1"/>
  <c r="P97" i="132" s="1"/>
  <c r="O97" i="132" a="1"/>
  <c r="O97" i="132" s="1"/>
  <c r="N97" i="132" a="1"/>
  <c r="N97" i="132" s="1"/>
  <c r="M97" i="132" a="1"/>
  <c r="M97" i="132" s="1"/>
  <c r="L97" i="132" a="1"/>
  <c r="L97" i="132" s="1"/>
  <c r="K97" i="132" a="1"/>
  <c r="K97" i="132" s="1"/>
  <c r="J97" i="132" a="1"/>
  <c r="J97" i="132" s="1"/>
  <c r="I97" i="132" a="1"/>
  <c r="I97" i="132" s="1"/>
  <c r="H97" i="132" a="1"/>
  <c r="H97" i="132" s="1"/>
  <c r="G97" i="132" a="1"/>
  <c r="G97" i="132" s="1"/>
  <c r="F97" i="132" a="1"/>
  <c r="F97" i="132" s="1"/>
  <c r="E97" i="132" a="1"/>
  <c r="E97" i="132" s="1"/>
  <c r="D97" i="132" a="1"/>
  <c r="D97" i="132" s="1"/>
  <c r="S96" i="132" a="1"/>
  <c r="S96" i="132" s="1"/>
  <c r="R96" i="132" a="1"/>
  <c r="R96" i="132" s="1"/>
  <c r="Q96" i="132" a="1"/>
  <c r="Q96" i="132" s="1"/>
  <c r="P96" i="132" a="1"/>
  <c r="P96" i="132" s="1"/>
  <c r="O96" i="132" a="1"/>
  <c r="O96" i="132" s="1"/>
  <c r="N96" i="132" a="1"/>
  <c r="N96" i="132" s="1"/>
  <c r="M96" i="132" a="1"/>
  <c r="M96" i="132" s="1"/>
  <c r="L96" i="132" a="1"/>
  <c r="L96" i="132" s="1"/>
  <c r="K96" i="132" a="1"/>
  <c r="K96" i="132" s="1"/>
  <c r="J96" i="132" a="1"/>
  <c r="J96" i="132" s="1"/>
  <c r="I96" i="132" a="1"/>
  <c r="I96" i="132" s="1"/>
  <c r="H96" i="132" a="1"/>
  <c r="H96" i="132" s="1"/>
  <c r="G96" i="132" a="1"/>
  <c r="G96" i="132" s="1"/>
  <c r="F96" i="132" a="1"/>
  <c r="F96" i="132" s="1"/>
  <c r="E96" i="132" a="1"/>
  <c r="E96" i="132" s="1"/>
  <c r="D96" i="132" a="1"/>
  <c r="D96" i="132" s="1"/>
  <c r="S95" i="132" a="1"/>
  <c r="S95" i="132" s="1"/>
  <c r="R95" i="132" a="1"/>
  <c r="R95" i="132" s="1"/>
  <c r="Q95" i="132" a="1"/>
  <c r="Q95" i="132" s="1"/>
  <c r="P95" i="132" a="1"/>
  <c r="P95" i="132" s="1"/>
  <c r="O95" i="132" a="1"/>
  <c r="O95" i="132" s="1"/>
  <c r="N95" i="132" a="1"/>
  <c r="N95" i="132" s="1"/>
  <c r="M95" i="132" a="1"/>
  <c r="M95" i="132" s="1"/>
  <c r="L95" i="132" a="1"/>
  <c r="L95" i="132" s="1"/>
  <c r="K95" i="132" a="1"/>
  <c r="K95" i="132" s="1"/>
  <c r="J95" i="132" a="1"/>
  <c r="J95" i="132" s="1"/>
  <c r="I95" i="132" a="1"/>
  <c r="I95" i="132" s="1"/>
  <c r="H95" i="132" a="1"/>
  <c r="H95" i="132" s="1"/>
  <c r="G95" i="132" a="1"/>
  <c r="G95" i="132" s="1"/>
  <c r="F95" i="132" a="1"/>
  <c r="F95" i="132" s="1"/>
  <c r="E95" i="132" a="1"/>
  <c r="E95" i="132" s="1"/>
  <c r="D95" i="132" a="1"/>
  <c r="D95" i="132" s="1"/>
  <c r="S94" i="132" a="1"/>
  <c r="S94" i="132" s="1"/>
  <c r="R94" i="132" a="1"/>
  <c r="R94" i="132" s="1"/>
  <c r="Q94" i="132" a="1"/>
  <c r="Q94" i="132" s="1"/>
  <c r="P94" i="132" a="1"/>
  <c r="P94" i="132" s="1"/>
  <c r="O94" i="132" a="1"/>
  <c r="O94" i="132" s="1"/>
  <c r="N94" i="132" a="1"/>
  <c r="N94" i="132" s="1"/>
  <c r="M94" i="132" a="1"/>
  <c r="M94" i="132" s="1"/>
  <c r="L94" i="132" a="1"/>
  <c r="L94" i="132" s="1"/>
  <c r="K94" i="132" a="1"/>
  <c r="K94" i="132" s="1"/>
  <c r="J94" i="132" a="1"/>
  <c r="J94" i="132" s="1"/>
  <c r="I94" i="132" a="1"/>
  <c r="I94" i="132" s="1"/>
  <c r="H94" i="132" a="1"/>
  <c r="H94" i="132" s="1"/>
  <c r="G94" i="132" a="1"/>
  <c r="G94" i="132" s="1"/>
  <c r="F94" i="132" a="1"/>
  <c r="F94" i="132" s="1"/>
  <c r="E94" i="132" a="1"/>
  <c r="E94" i="132" s="1"/>
  <c r="D94" i="132" a="1"/>
  <c r="D94" i="132" s="1"/>
  <c r="S93" i="132" a="1"/>
  <c r="S93" i="132" s="1"/>
  <c r="R93" i="132" a="1"/>
  <c r="R93" i="132" s="1"/>
  <c r="Q93" i="132" a="1"/>
  <c r="Q93" i="132" s="1"/>
  <c r="P93" i="132" a="1"/>
  <c r="P93" i="132" s="1"/>
  <c r="O93" i="132" a="1"/>
  <c r="O93" i="132" s="1"/>
  <c r="N93" i="132" a="1"/>
  <c r="N93" i="132" s="1"/>
  <c r="M93" i="132" a="1"/>
  <c r="M93" i="132" s="1"/>
  <c r="L93" i="132" a="1"/>
  <c r="L93" i="132" s="1"/>
  <c r="K93" i="132" a="1"/>
  <c r="K93" i="132" s="1"/>
  <c r="J93" i="132" a="1"/>
  <c r="J93" i="132" s="1"/>
  <c r="I93" i="132" a="1"/>
  <c r="I93" i="132" s="1"/>
  <c r="H93" i="132" a="1"/>
  <c r="H93" i="132" s="1"/>
  <c r="G93" i="132" a="1"/>
  <c r="G93" i="132" s="1"/>
  <c r="F93" i="132" a="1"/>
  <c r="F93" i="132" s="1"/>
  <c r="E93" i="132" a="1"/>
  <c r="E93" i="132" s="1"/>
  <c r="D93" i="132" a="1"/>
  <c r="D93" i="132" s="1"/>
  <c r="S92" i="132" a="1"/>
  <c r="S92" i="132" s="1"/>
  <c r="R92" i="132" a="1"/>
  <c r="R92" i="132" s="1"/>
  <c r="Q92" i="132" a="1"/>
  <c r="Q92" i="132" s="1"/>
  <c r="P92" i="132" a="1"/>
  <c r="P92" i="132" s="1"/>
  <c r="O92" i="132" a="1"/>
  <c r="O92" i="132" s="1"/>
  <c r="N92" i="132" a="1"/>
  <c r="N92" i="132" s="1"/>
  <c r="M92" i="132" a="1"/>
  <c r="M92" i="132" s="1"/>
  <c r="L92" i="132" a="1"/>
  <c r="L92" i="132" s="1"/>
  <c r="K92" i="132" a="1"/>
  <c r="K92" i="132" s="1"/>
  <c r="J92" i="132" a="1"/>
  <c r="J92" i="132" s="1"/>
  <c r="I92" i="132" a="1"/>
  <c r="I92" i="132" s="1"/>
  <c r="H92" i="132" a="1"/>
  <c r="H92" i="132" s="1"/>
  <c r="G92" i="132" a="1"/>
  <c r="G92" i="132" s="1"/>
  <c r="F92" i="132" a="1"/>
  <c r="F92" i="132" s="1"/>
  <c r="E92" i="132" a="1"/>
  <c r="E92" i="132" s="1"/>
  <c r="D92" i="132" a="1"/>
  <c r="D92" i="132" s="1"/>
  <c r="S91" i="132" a="1"/>
  <c r="S91" i="132" s="1"/>
  <c r="R91" i="132" a="1"/>
  <c r="R91" i="132" s="1"/>
  <c r="Q91" i="132" a="1"/>
  <c r="Q91" i="132" s="1"/>
  <c r="P91" i="132" a="1"/>
  <c r="P91" i="132" s="1"/>
  <c r="O91" i="132" a="1"/>
  <c r="O91" i="132" s="1"/>
  <c r="N91" i="132" a="1"/>
  <c r="N91" i="132" s="1"/>
  <c r="M91" i="132" a="1"/>
  <c r="M91" i="132" s="1"/>
  <c r="L91" i="132" a="1"/>
  <c r="L91" i="132" s="1"/>
  <c r="K91" i="132" a="1"/>
  <c r="K91" i="132" s="1"/>
  <c r="J91" i="132" a="1"/>
  <c r="J91" i="132" s="1"/>
  <c r="I91" i="132" a="1"/>
  <c r="I91" i="132" s="1"/>
  <c r="H91" i="132" a="1"/>
  <c r="H91" i="132" s="1"/>
  <c r="G91" i="132" a="1"/>
  <c r="G91" i="132" s="1"/>
  <c r="F91" i="132" a="1"/>
  <c r="F91" i="132" s="1"/>
  <c r="E91" i="132" a="1"/>
  <c r="E91" i="132" s="1"/>
  <c r="D91" i="132" a="1"/>
  <c r="D91" i="132" s="1"/>
  <c r="S90" i="132" a="1"/>
  <c r="S90" i="132" s="1"/>
  <c r="R90" i="132" a="1"/>
  <c r="R90" i="132" s="1"/>
  <c r="Q90" i="132" a="1"/>
  <c r="Q90" i="132" s="1"/>
  <c r="P90" i="132" a="1"/>
  <c r="P90" i="132" s="1"/>
  <c r="O90" i="132" a="1"/>
  <c r="O90" i="132" s="1"/>
  <c r="N90" i="132" a="1"/>
  <c r="N90" i="132" s="1"/>
  <c r="M90" i="132" a="1"/>
  <c r="M90" i="132" s="1"/>
  <c r="L90" i="132" a="1"/>
  <c r="L90" i="132" s="1"/>
  <c r="K90" i="132" a="1"/>
  <c r="K90" i="132" s="1"/>
  <c r="J90" i="132" a="1"/>
  <c r="J90" i="132" s="1"/>
  <c r="I90" i="132" a="1"/>
  <c r="I90" i="132" s="1"/>
  <c r="H90" i="132" a="1"/>
  <c r="H90" i="132" s="1"/>
  <c r="G90" i="132" a="1"/>
  <c r="G90" i="132" s="1"/>
  <c r="F90" i="132" a="1"/>
  <c r="F90" i="132" s="1"/>
  <c r="E90" i="132" a="1"/>
  <c r="E90" i="132" s="1"/>
  <c r="D90" i="132" a="1"/>
  <c r="D90" i="132" s="1"/>
  <c r="D83" i="132" a="1"/>
  <c r="D83" i="132" s="1"/>
  <c r="D82" i="132" a="1"/>
  <c r="D82" i="132" s="1"/>
  <c r="D81" i="132" a="1"/>
  <c r="D81" i="132" s="1"/>
  <c r="E77" i="132" a="1"/>
  <c r="E77" i="132" s="1"/>
  <c r="D77" i="132" a="1"/>
  <c r="D77" i="132" s="1"/>
  <c r="E76" i="132" a="1"/>
  <c r="E76" i="132" s="1"/>
  <c r="D76" i="132" a="1"/>
  <c r="D76" i="132" s="1"/>
  <c r="E75" i="132" a="1"/>
  <c r="E75" i="132" s="1"/>
  <c r="D75" i="132" a="1"/>
  <c r="D75" i="132" s="1"/>
  <c r="E74" i="132" a="1"/>
  <c r="E74" i="132" s="1"/>
  <c r="D74" i="132" a="1"/>
  <c r="D74" i="132" s="1"/>
  <c r="E73" i="132" a="1"/>
  <c r="E73" i="132" s="1"/>
  <c r="D73" i="132" a="1"/>
  <c r="D73" i="132" s="1"/>
  <c r="E72" i="132" a="1"/>
  <c r="E72" i="132" s="1"/>
  <c r="D72" i="132" a="1"/>
  <c r="D72" i="132" s="1"/>
  <c r="E71" i="132" a="1"/>
  <c r="E71" i="132" s="1"/>
  <c r="D71" i="132" a="1"/>
  <c r="D71" i="132" s="1"/>
  <c r="E70" i="132" a="1"/>
  <c r="E70" i="132" s="1"/>
  <c r="D70" i="132" a="1"/>
  <c r="D70" i="132" s="1"/>
  <c r="E69" i="132" a="1"/>
  <c r="E69" i="132" s="1"/>
  <c r="D69" i="132" a="1"/>
  <c r="D69" i="132" s="1"/>
  <c r="E68" i="132" a="1"/>
  <c r="E68" i="132" s="1"/>
  <c r="D68" i="132" a="1"/>
  <c r="D68" i="132" s="1"/>
  <c r="E67" i="132" a="1"/>
  <c r="E67" i="132" s="1"/>
  <c r="D67" i="132" a="1"/>
  <c r="D67" i="132" s="1"/>
  <c r="E66" i="132" a="1"/>
  <c r="E66" i="132" s="1"/>
  <c r="D66" i="132" a="1"/>
  <c r="D66" i="132" s="1"/>
  <c r="E65" i="132" a="1"/>
  <c r="E65" i="132" s="1"/>
  <c r="D65" i="132" a="1"/>
  <c r="D65" i="132" s="1"/>
  <c r="E64" i="132" a="1"/>
  <c r="E64" i="132" s="1"/>
  <c r="D64" i="132" a="1"/>
  <c r="D64" i="132" s="1"/>
  <c r="D59" i="132" a="1"/>
  <c r="D59" i="132" s="1"/>
  <c r="D58" i="132" a="1"/>
  <c r="D58" i="132" s="1"/>
  <c r="D57" i="132" a="1"/>
  <c r="D57" i="132" s="1"/>
  <c r="G54" i="132" a="1"/>
  <c r="G54" i="132" s="1"/>
  <c r="F54" i="132" a="1"/>
  <c r="F54" i="132" s="1"/>
  <c r="E54" i="132" a="1"/>
  <c r="E54" i="132" s="1"/>
  <c r="D54" i="132" a="1"/>
  <c r="D54" i="132" s="1"/>
  <c r="G53" i="132" a="1"/>
  <c r="G53" i="132" s="1"/>
  <c r="F53" i="132" a="1"/>
  <c r="F53" i="132" s="1"/>
  <c r="E53" i="132" a="1"/>
  <c r="E53" i="132" s="1"/>
  <c r="D53" i="132" a="1"/>
  <c r="D53" i="132" s="1"/>
  <c r="G52" i="132" a="1"/>
  <c r="G52" i="132" s="1"/>
  <c r="F52" i="132" a="1"/>
  <c r="F52" i="132" s="1"/>
  <c r="E52" i="132" a="1"/>
  <c r="E52" i="132" s="1"/>
  <c r="D52" i="132" a="1"/>
  <c r="D52" i="132" s="1"/>
  <c r="G51" i="132" a="1"/>
  <c r="G51" i="132" s="1"/>
  <c r="F51" i="132" a="1"/>
  <c r="F51" i="132" s="1"/>
  <c r="E51" i="132" a="1"/>
  <c r="E51" i="132" s="1"/>
  <c r="D51" i="132" a="1"/>
  <c r="D51" i="132" s="1"/>
  <c r="G50" i="132" a="1"/>
  <c r="G50" i="132" s="1"/>
  <c r="F50" i="132" a="1"/>
  <c r="F50" i="132" s="1"/>
  <c r="E50" i="132" a="1"/>
  <c r="E50" i="132" s="1"/>
  <c r="D50" i="132" a="1"/>
  <c r="D50" i="132" s="1"/>
  <c r="G49" i="132" a="1"/>
  <c r="G49" i="132" s="1"/>
  <c r="F49" i="132" a="1"/>
  <c r="F49" i="132" s="1"/>
  <c r="E49" i="132" a="1"/>
  <c r="E49" i="132" s="1"/>
  <c r="D49" i="132" a="1"/>
  <c r="D49" i="132" s="1"/>
  <c r="G48" i="132" a="1"/>
  <c r="G48" i="132" s="1"/>
  <c r="F48" i="132" a="1"/>
  <c r="F48" i="132" s="1"/>
  <c r="E48" i="132" a="1"/>
  <c r="E48" i="132" s="1"/>
  <c r="D48" i="132" a="1"/>
  <c r="D48" i="132" s="1"/>
  <c r="D46" i="132"/>
  <c r="D46" i="132" a="1"/>
  <c r="D45" i="132" a="1"/>
  <c r="D45" i="132" s="1"/>
  <c r="E43" i="132" a="1"/>
  <c r="E43" i="132" s="1"/>
  <c r="D43" i="132" a="1"/>
  <c r="D43" i="132" s="1"/>
  <c r="E42" i="132" a="1"/>
  <c r="E42" i="132" s="1"/>
  <c r="D42" i="132" a="1"/>
  <c r="D42" i="132" s="1"/>
  <c r="E41" i="132" a="1"/>
  <c r="E41" i="132" s="1"/>
  <c r="D41" i="132" a="1"/>
  <c r="D41" i="132" s="1"/>
  <c r="E40" i="132" a="1"/>
  <c r="E40" i="132" s="1"/>
  <c r="D40" i="132" a="1"/>
  <c r="D40" i="132" s="1"/>
  <c r="E39" i="132" a="1"/>
  <c r="E39" i="132" s="1"/>
  <c r="D39" i="132" a="1"/>
  <c r="D39" i="132" s="1"/>
  <c r="E38" i="132" a="1"/>
  <c r="E38" i="132" s="1"/>
  <c r="D38" i="132" a="1"/>
  <c r="D38" i="132" s="1"/>
  <c r="E37" i="132" a="1"/>
  <c r="E37" i="132" s="1"/>
  <c r="D37" i="132" a="1"/>
  <c r="D37" i="132" s="1"/>
  <c r="D35" i="132" a="1"/>
  <c r="D35" i="132" s="1"/>
  <c r="D34" i="132" a="1"/>
  <c r="D34" i="132" s="1"/>
  <c r="D30" i="132" a="1"/>
  <c r="D30" i="132" s="1"/>
  <c r="D29" i="132" a="1"/>
  <c r="D29" i="132" s="1"/>
  <c r="D28" i="132" a="1"/>
  <c r="D28" i="132" s="1"/>
  <c r="D27" i="132" a="1"/>
  <c r="D27" i="132" s="1"/>
  <c r="D26" i="132" a="1"/>
  <c r="D26" i="132" s="1"/>
  <c r="D25" i="132" a="1"/>
  <c r="D25" i="132" s="1"/>
  <c r="D24" i="132" a="1"/>
  <c r="D24" i="132" s="1"/>
  <c r="D23" i="132" a="1"/>
  <c r="D23" i="132" s="1"/>
  <c r="D22" i="132" a="1"/>
  <c r="D22" i="132" s="1"/>
  <c r="D21" i="132" a="1"/>
  <c r="D21" i="132" s="1"/>
  <c r="D19" i="132"/>
  <c r="D19" i="132" a="1"/>
  <c r="D18" i="132"/>
  <c r="D18" i="132" a="1"/>
  <c r="F14" i="132" a="1"/>
  <c r="F14" i="132" s="1"/>
  <c r="E14" i="132" a="1"/>
  <c r="E14" i="132" s="1"/>
  <c r="D14" i="132" a="1"/>
  <c r="D14" i="132" s="1"/>
  <c r="F13" i="132" a="1"/>
  <c r="F13" i="132" s="1"/>
  <c r="E13" i="132" a="1"/>
  <c r="E13" i="132" s="1"/>
  <c r="D13" i="132" a="1"/>
  <c r="D13" i="132" s="1"/>
  <c r="F12" i="132" a="1"/>
  <c r="F12" i="132" s="1"/>
  <c r="E12" i="132" a="1"/>
  <c r="E12" i="132" s="1"/>
  <c r="D12" i="132" a="1"/>
  <c r="D12" i="132" s="1"/>
  <c r="F11" i="132" a="1"/>
  <c r="F11" i="132" s="1"/>
  <c r="E11" i="132" a="1"/>
  <c r="E11" i="132" s="1"/>
  <c r="D11" i="132" a="1"/>
  <c r="D11" i="132" s="1"/>
  <c r="F10" i="132" a="1"/>
  <c r="F10" i="132" s="1"/>
  <c r="E10" i="132" a="1"/>
  <c r="E10" i="132" s="1"/>
  <c r="D10" i="132" a="1"/>
  <c r="D10" i="132" s="1"/>
  <c r="F9" i="132" a="1"/>
  <c r="F9" i="132" s="1"/>
  <c r="E9" i="132" a="1"/>
  <c r="E9" i="132" s="1"/>
  <c r="D9" i="132" a="1"/>
  <c r="D9" i="132" s="1"/>
  <c r="F8" i="132" a="1"/>
  <c r="F8" i="132" s="1"/>
  <c r="E8" i="132" a="1"/>
  <c r="E8" i="132" s="1"/>
  <c r="D8" i="132" a="1"/>
  <c r="D8" i="132" s="1"/>
  <c r="A8" i="132"/>
  <c r="F7" i="132" a="1"/>
  <c r="F7" i="132" s="1"/>
  <c r="E7" i="132" a="1"/>
  <c r="E7" i="132" s="1"/>
  <c r="D7" i="132" a="1"/>
  <c r="D7" i="132" s="1"/>
  <c r="A7" i="132"/>
  <c r="D5" i="132" a="1"/>
  <c r="D5" i="132" s="1"/>
  <c r="A3" i="132"/>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E27" i="114"/>
  <c r="O27" i="74"/>
  <c r="E30" i="69"/>
  <c r="E7" i="123" a="1"/>
  <c r="E27" i="74"/>
  <c r="E7" i="122" a="1"/>
  <c r="E30" i="123" a="1"/>
  <c r="E30" i="122" a="1"/>
  <c r="E50" i="114"/>
  <c r="N49" i="69"/>
  <c r="H52" i="132" l="1"/>
  <c r="H49" i="132"/>
  <c r="H50" i="132"/>
  <c r="H54" i="132"/>
  <c r="H53" i="132"/>
  <c r="H48" i="132"/>
  <c r="H51" i="132"/>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30" i="113" a="1"/>
  <c r="E7" i="114" a="1"/>
  <c r="E7" i="113"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N7" i="69" a="1"/>
  <c r="E7" i="74" a="1"/>
  <c r="N26" i="69" a="1"/>
  <c r="E7" i="69" a="1"/>
  <c r="E19" i="120" l="1"/>
  <c r="E20" i="120" s="1"/>
  <c r="E42" i="70"/>
  <c r="J16" i="74" a="1"/>
  <c r="J16" i="74" s="1"/>
  <c r="J17" i="74" a="1"/>
  <c r="J17" i="74" s="1"/>
  <c r="J18" i="74" a="1"/>
  <c r="J18" i="74" s="1"/>
  <c r="J14" i="74" a="1"/>
  <c r="J14" i="74" s="1"/>
  <c r="J15" i="74" a="1"/>
  <c r="J15" i="74" s="1"/>
  <c r="E7" i="74"/>
  <c r="O61" i="69"/>
  <c r="O43" i="69"/>
  <c r="N26" i="69"/>
  <c r="I19" i="69" a="1"/>
  <c r="I19" i="69" s="1"/>
  <c r="I18" i="69" a="1"/>
  <c r="I18" i="69" s="1"/>
  <c r="I20" i="69" a="1"/>
  <c r="I20" i="69" s="1"/>
  <c r="N7" i="69"/>
  <c r="E7" i="69"/>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O24" i="123" l="1"/>
  <c r="S24" i="123" s="1" a="1"/>
  <c r="S24" i="123" s="1"/>
  <c r="N45" i="123" s="1"/>
  <c r="O45" i="123" s="1" a="1"/>
  <c r="O45" i="123" s="1"/>
  <c r="O48" i="123" s="1"/>
  <c r="Q50" i="123" s="1"/>
  <c r="O53" i="123" s="1" a="1"/>
  <c r="O53" i="123" s="1"/>
  <c r="O24" i="113"/>
  <c r="Q50" i="122"/>
  <c r="O53" i="122" s="1" a="1"/>
  <c r="O53" i="122" s="1"/>
  <c r="I17" i="69" a="1"/>
  <c r="I17" i="69" s="1"/>
  <c r="E24" i="69" s="1" a="1"/>
  <c r="E24" i="69" s="1"/>
  <c r="S24" i="113" a="1"/>
  <c r="S24" i="113" s="1"/>
  <c r="N45" i="113" s="1"/>
  <c r="E62" i="114" a="1"/>
  <c r="E62" i="114" s="1"/>
  <c r="E24" i="123" l="1"/>
  <c r="I24" i="123" s="1" a="1"/>
  <c r="I24" i="123" s="1"/>
  <c r="D45" i="123" s="1"/>
  <c r="E45" i="123" s="1" a="1"/>
  <c r="E45" i="123" s="1"/>
  <c r="E48" i="123" s="1"/>
  <c r="G50" i="123" s="1"/>
  <c r="E53" i="123" s="1" a="1"/>
  <c r="E53" i="123" s="1"/>
  <c r="I36" i="69"/>
  <c r="E13" i="13"/>
  <c r="F13" i="13" s="1"/>
  <c r="H64" i="114"/>
  <c r="E67" i="114" s="1" a="1"/>
  <c r="E67" i="114" s="1"/>
  <c r="H13" i="13" s="1"/>
  <c r="I13" i="13" s="1"/>
  <c r="E24" i="113"/>
  <c r="I24" i="113" s="1"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<sst xmlns="http://schemas.openxmlformats.org/spreadsheetml/2006/main" count="540" uniqueCount="283">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</sst>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mc:Choice xmlns:a14="http://schemas.microsoft.com/office/drawing/2010/main"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mc:Choice xmlns:a14="http://schemas.microsoft.com/office/drawing/2010/main"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29">
      <calculatedColumnFormula array="1">Common_InputFunctions.Utility_DisplayArrayInTable(Agresidue_SourceData.CropFractionRemoved_Data(), Table76[[#Headers],[Crop type c]], 0)</calculatedColumnFormula>
    </tableColumn>
    <tableColumn id="3" xr3:uid="{BB1819D3-B175-4610-A8F6-4C85437820E5}"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27">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C1F5DE5C-442A-47C8-B53B-A669D141AC48}"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3ECDA4-2A80-452A-A8CC-0FFC6758D64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C2FA07A-75F1-443B-A896-C244A5F51B09}" name="State/Territory">
      <calculatedColumnFormula array="1">Common_InputFunctions.Utility_DisplayArrayInTable(Common_SourceData.Common_SourceData_AustralianStatesTerritories_Data(),Table_AustralianStates[[#Headers],[State/Territory]],0)</calculatedColumnFormula>
    </tableColumn>
    <tableColumn id="2" xr3:uid="{FE5E6FBE-80A8-43F7-943D-A44851DE41B4}" name="Common Name">
      <calculatedColumnFormula array="1">Common_InputFunctions.Utility_DisplayArrayInTable(Common_SourceData.Common_SourceData_AustralianStatesTerritories_Data(),Table_AustralianStates[[#Headers],[State/Territory]],0)</calculatedColumnFormula>
    </tableColumn>
    <tableColumn id="3" xr3:uid="{34CE656E-E7D9-436A-B6F9-4D5B45D5014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E07C81-6487-427D-8C62-0255A9D041A9}" name="Table_WASA4Areas" displayName="Table_WASA4Areas" ref="D20:D30" totalsRowShown="0">
  <autoFilter ref="D20:D30" xr:uid="{5FA81339-C6C8-4D36-BEEA-6C4AEDD9E676}">
    <filterColumn colId="0" hiddenButton="1"/>
  </autoFilter>
  <tableColumns count="1">
    <tableColumn id="1" xr3:uid="{CA76BE64-2F33-4EF0-BCE4-8A44229CC6D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1571A58-9BF1-4CFA-9CE9-803E3A339644}" name="Table_GWPData" displayName="Table_GWPData" ref="D36:E43" totalsRowShown="0">
  <autoFilter ref="D36:E43" xr:uid="{B8E87A66-3E41-4AD3-925D-01EE21B43D7A}">
    <filterColumn colId="0" hiddenButton="1"/>
    <filterColumn colId="1" hiddenButton="1"/>
  </autoFilter>
  <tableColumns count="2">
    <tableColumn id="1" xr3:uid="{50B8AC69-5350-49B8-A1BC-8B846FE57FC8}" name="Gas">
      <calculatedColumnFormula array="1">Common_InputFunctions.Utility_DisplayArrayInTable(Common_SourceData.Common_SourceData_GWP_Data(), Table_GWPData[[#Headers],[Gas]], 0)</calculatedColumnFormula>
    </tableColumn>
    <tableColumn id="2" xr3:uid="{77BF2D6B-45B1-432D-B86D-8AE25F9DEE5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EFA5C10-758E-4090-B592-41708617B95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772FDC2-87FB-4F26-8875-52416108D889}" name="Gas">
      <calculatedColumnFormula array="1">Common_InputFunctions.Utility_DisplayArrayInTable(Common_SourceData.Common_SourceData_ConvertGasElementalToMolecular_Data(),Table_GasToMolecularConversionFactor[[#Headers],[Gas]], 0)</calculatedColumnFormula>
    </tableColumn>
    <tableColumn id="5" xr3:uid="{A95EF5F2-2DAA-433E-92F0-76FB05373F54}" name="Conversion factor">
      <calculatedColumnFormula array="1">Common_InputFunctions.Utility_DisplayArrayInTable(Common_SourceData.Common_SourceData_ConvertGasElementalToMolecular_Data(),Table_GasToMolecularConversionFactor[[#Headers],[Gas]], 0)</calculatedColumnFormula>
    </tableColumn>
    <tableColumn id="2" xr3:uid="{8F14136F-8E30-4C05-A95D-569006EFA2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04BDB39-5F76-448B-A8C1-EB128C69FA3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CADDBB0-D037-485F-A4FF-9E6A6C30AD5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B6A456F-5464-4F1E-A94C-220B57EC4AB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18A1C0-BDF4-40A5-BB30-F1069E86A94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DFEBAF4-D4DA-4D4A-9AE7-6C81F337A754}"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8BD4F922-8695-450B-AB54-99AC7DBD5ACC}"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A70A5EC3-C050-44B7-82CA-9E7584959CCC}"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E480DBD4-6EA8-43F5-87F7-E47566A0E214}"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39A71C2D-6E38-4D49-8729-9B68DADFFAA4}"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6CE010F9-120C-4060-B54B-A0567B2713AD}"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560B66A2-70AA-4D90-B827-7C0419E2C275}"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6742256F-EBF3-43DB-9AE3-CF8702852AD4}"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0DDADF9D-E6C7-49E3-A63D-75D409817153}"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6190E0E7-FB98-4BBF-996E-812AADE3D335}"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065BF91B-8E03-4937-A5F9-BA41065CFA1B}"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FF63F78D-3E3D-4B97-9BF5-F0F1A5AFC4EE}"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850E48EA-2CAD-42D8-A2F3-B73AE39D9A66}"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0684EB3E-F606-4858-983F-E1371E1A1A91}"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5D77C452-4AF1-4D6B-9EAE-E41CB289DEA8}"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6D4A2FF-1F78-4EA2-9BF5-B3A971E9DD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FAAD756-BA01-4902-AD32-A5EEA625CB4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1B2B2CA-9386-48E7-AC6D-B1899E68D2F3}"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962B81C-02F9-4313-B657-E2A044208FB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4A211E4-F126-44CB-B82E-44C39A034DBE}" name="Temperature Zone">
      <calculatedColumnFormula array="1">Common_InputFunctions.Utility_DisplayArrayInTable(Common_SourceData.Common_SourceData_TemperatureZones_Data(),Table_SourceData_TemperatureZones[[#Headers],[Temperature Zone]],0)</calculatedColumnFormula>
    </tableColumn>
    <tableColumn id="2" xr3:uid="{A7CAFC71-99FA-40CB-A95E-F6FF1FF6DEAD}" name="MAT">
      <calculatedColumnFormula array="1">Common_InputFunctions.Utility_DisplayArrayInTable(Common_SourceData.Common_SourceData_TemperatureZones_Data(),Table_SourceData_TemperatureZones[[#Headers],[Temperature Zone]],0)</calculatedColumnFormula>
    </tableColumn>
    <tableColumn id="3" xr3:uid="{62177AFB-D5A4-4291-B3A3-A04B00A8B857}" name="Min MAT">
      <calculatedColumnFormula array="1">Common_InputFunctions.Utility_DisplayArrayInTable(Common_SourceData.Common_SourceData_TemperatureZones_Data(),Table_SourceData_TemperatureZones[[#Headers],[Temperature Zone]],0)</calculatedColumnFormula>
    </tableColumn>
    <tableColumn id="4" xr3:uid="{E5F11152-EB97-4E73-A531-5B7F0A2CEE5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8DD230F-D72B-4F48-BC22-A6BA6F8D69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ECF7E16-39D6-4537-8A87-FDE48DC13F1C}" name="Rainfall Zone">
      <calculatedColumnFormula array="1">Common_InputFunctions.Utility_DisplayArrayInTable(Common_SourceData.Common_SourceData_RainfallZones_Data(),Table_SourceData_RainfallZones[[#Headers],[Rainfall Zone]],0)</calculatedColumnFormula>
    </tableColumn>
    <tableColumn id="2" xr3:uid="{A2DFAB08-971E-4900-8345-B0BF70FF2A34}" name="Annual rainfall">
      <calculatedColumnFormula array="1">Common_InputFunctions.Utility_DisplayArrayInTable(Common_SourceData.Common_SourceData_RainfallZones_Data(),Table_SourceData_RainfallZones[[#Headers],[Rainfall Zone]],0)</calculatedColumnFormula>
    </tableColumn>
    <tableColumn id="3" xr3:uid="{8D875CBA-B265-4941-80E5-3D87B955177C}" name="Min rainfall">
      <calculatedColumnFormula array="1">Common_InputFunctions.Utility_DisplayArrayInTable(Common_SourceData.Common_SourceData_RainfallZones_Data(),Table_SourceData_RainfallZones[[#Headers],[Rainfall Zone]],0)</calculatedColumnFormula>
    </tableColumn>
    <tableColumn id="4" xr3:uid="{11AB1C60-14F1-4660-8D02-5DC4B6B4B2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5A2D879-CDCB-498F-8A32-92F08622783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97AED44-084C-41CD-BB53-88262B1ED80A}" name="Leaching Zone">
      <calculatedColumnFormula array="1">Common_InputFunctions.Utility_DisplayArrayInTable(Common_SourceData.Common_SourceData_LeachingZones_Data(), Table_SourceData_LeachingZones[[#Headers],[Leaching Zone]], 0)</calculatedColumnFormula>
    </tableColumn>
    <tableColumn id="2" xr3:uid="{3393A61F-0633-489A-8EEC-2165F0676DC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717FB2-0DEE-4A18-81D3-1D1FD59E6590}"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587091A-7999-48E1-9770-216E26A6DC1E}" name="Data source">
      <calculatedColumnFormula array="1">Common_InputFunctions.Utility_DisplayArrayInTable(Common_SourceData.Common_SourceData_DataScores_Scope3_Data(), Table_SourceData_DataScores_Scope3[[#Headers],[Data source]], 0)</calculatedColumnFormula>
    </tableColumn>
    <tableColumn id="2" xr3:uid="{10E75014-0E67-4637-B263-2F77210A41F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C1226C5-EFBE-49AC-AACB-6474E92217D4}" name="Table_SourceData_FracWET" displayName="Table_SourceData_FracWET" ref="D134:E136" totalsRowShown="0">
  <autoFilter ref="D134:E136" xr:uid="{308E99BE-FE1F-47A4-B2CA-97217277C4E9}">
    <filterColumn colId="0" hiddenButton="1"/>
    <filterColumn colId="1" hiddenButton="1"/>
  </autoFilter>
  <tableColumns count="2">
    <tableColumn id="1" xr3:uid="{9B4EC284-9FC9-4BAD-AAFA-5C624BD784F4}" name="Is in leaching zone">
      <calculatedColumnFormula array="1">Common_InputFunctions.Utility_DisplayArrayInTable(Common_SourceData.Common_SourceData_FracWET_Data(),Table_SourceData_FracWET[[#Headers],[Is in leaching zone]],0)</calculatedColumnFormula>
    </tableColumn>
    <tableColumn id="2" xr3:uid="{CF897129-CEAA-49FA-9CE2-5588C5FA19F4}"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B917628-0FF5-4F71-A6A4-7775F5F5CA8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FB244D4-25E0-40A0-ABF8-C7D7A373DF67}" name="Production system j">
      <calculatedColumnFormula array="1">Common_InputFunctions.Utility_DisplayArrayInTable(Common_SourceData.Common_SourceData_EFN2O_Data(), Table_SourceData_Common_EFN2O[[#Headers],[Production system j]], 0)</calculatedColumnFormula>
    </tableColumn>
    <tableColumn id="2" xr3:uid="{574A8B04-0ECB-47C7-A2E6-616D228A5185}" name="EFN2O">
      <calculatedColumnFormula array="1">Common_InputFunctions.Utility_DisplayArrayInTable(Common_SourceData.Common_SourceData_EFN2O_Data(), Table_SourceData_Common_EFN2O[[#Headers],[Production system j]], 0)</calculatedColumnFormula>
    </tableColumn>
    <tableColumn id="3" xr3:uid="{508617A0-80EF-4982-8BAB-A60F525055C3}" name="Production system only">
      <calculatedColumnFormula array="1">Common_InputFunctions.Utility_DisplayArrayInTable(Common_SourceData.Common_SourceData_EFN2O_Data(), Table_SourceData_Common_EFN2O[[#Headers],[Production system j]], 0)</calculatedColumnFormula>
    </tableColumn>
    <tableColumn id="4" xr3:uid="{C8526979-7574-4885-B9A1-0F7211183CE2}" name="Irrigation method">
      <calculatedColumnFormula array="1">Common_InputFunctions.Utility_DisplayArrayInTable(Common_SourceData.Common_SourceData_EFN2O_Data(), Table_SourceData_Common_EFN2O[[#Headers],[Production system j]], 0)</calculatedColumnFormula>
    </tableColumn>
    <tableColumn id="5" xr3:uid="{6989A52F-E80F-4F08-A97A-C13A1DBE001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36F51CD-849B-4986-ACBC-F71120891E4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08758E1-168B-4814-AA74-7675A5308E5C}" name="Irrigation type i">
      <calculatedColumnFormula array="1">Common_InputFunctions.Utility_DisplayArrayInTable(Common_SourceData.Common_SourceData_FracWETIrrigation_Data(), Table_SourceData_FracWETIrrigation[[#Headers],[Irrigation type i]], 0)</calculatedColumnFormula>
    </tableColumn>
    <tableColumn id="2" xr3:uid="{CA4C0B0B-7986-411F-954B-E60FDCF05E1E}"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160C423-7C11-4438-BE3E-7E071DD851C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53D2CF6-75FB-419C-8AD0-8B03BC4BC6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1621D41-1D6D-4C2F-9027-68A94B6E9261}"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9DD240A-615B-4E8E-8FD3-3F6BBD476F4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36737B2-0837-41F2-8AFC-3B701C68BDDB}" name="Month">
      <calculatedColumnFormula array="1">Common_InputFunctions.Utility_DisplayArrayInTable(Common_SourceData.Common_SourceData_MonthsToSeasons_Data(), Table_SourceData_Common_MonthToSeason[[#Headers],[Month]], 0)</calculatedColumnFormula>
    </tableColumn>
    <tableColumn id="2" xr3:uid="{3B380892-EE3A-4BD0-B224-3BC71EB3BC6D}"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4C1CC0F-15F2-4B60-AC9C-0EBB7B50579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11CFC29-3D8E-4718-B400-4FD106B06E7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415D1BD-F0A9-4666-9EF8-15E1D90B0953}"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BC20AAA-3627-44FF-A4D6-29DC9D6BDEC1}"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9BCA42A-C7BD-47BC-A5B3-36F332384706}"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09D57CE-8C3C-42D0-84AE-6E17D13CC0E2}"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B32E3B-6C5F-4877-A91D-774FD2BEE208}"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2A1CEC8-385E-41D1-A9E5-4E64086DBB17}"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937AABD-9052-4821-AC17-B853093AA09B}"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0FCAF2-EB93-4837-A1A4-D784E91B7263}"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A4CB96F-FB26-454E-84A2-21B3D29527D1}"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D8D25B4-4335-40BD-9DC0-42BD6C4C14B4}"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30A528-3A5A-441C-B29B-AB28D1BBEED8}"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71947DA-DED3-407A-B953-DED8F03B1CAC}"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EE32DFD-3E59-4C68-9DB3-72091838E88A}"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4AD76D4-C10C-4097-A2CB-94A97CA58397}"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931BDAE-66CF-4B09-A816-500115949213}"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26F19DF-4413-4484-A0D0-B736D6F98D5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0102D97-75C3-43BD-859C-3B6634CD46C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ABCAD8F-B2A9-4F72-ABE7-3BD409BFDA13}" name="EFNi &amp; EFN2Oi" dataDxfId="3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B66449E-8CAD-4327-ADED-1AB12E8C0335}"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E1958D7-F6E1-405F-96CF-203D114F0D71}" name="Description" dataDxfId="30" dataCellStyle="Content normal"/>
    <tableColumn id="1" xr3:uid="{6636E24E-E62A-4D9C-9097-E5D69A11E2DA}" name="ID"/>
    <tableColumn id="3" xr3:uid="{4D6A6F42-65C9-4E04-AC91-9075DE63C930}"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4E909DB-1E39-4EE1-A3D6-3BCFBED18C99}"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72AA600-A75D-4C70-840F-FB28E908967B}" name="Description"/>
    <tableColumn id="2" xr3:uid="{4FF4F02C-FD6C-4836-B107-607D89D9F210}" name="ID"/>
    <tableColumn id="3" xr3:uid="{4266C68D-9303-4F63-AD1B-1879212F0556}"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A804B0F-BF6E-40E0-B27E-967730E3B31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2B70857C-990B-4ADB-946C-739696B03DC4}" name="Description"/>
    <tableColumn id="2" xr3:uid="{835F0AC8-5E8A-4987-A202-CF1B3CDA0C37}" name="ID"/>
    <tableColumn id="3" xr3:uid="{F75C3FD5-7513-4712-B510-DD2222B9CF81}"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2C28B09-AE68-44ED-9CA5-D7C1170FCA1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FE33D0F4-15AC-46E3-A6AA-C80C995DBB74}" name="Description"/>
    <tableColumn id="2" xr3:uid="{92ED1594-3CC6-4C2B-A5DB-C68A573E4127}" name="ID"/>
    <tableColumn id="3" xr3:uid="{B06B3A62-4E67-4132-87C1-E74CA608764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234</v>
      </c>
    </row>
    <row r="3" spans="1:1" x14ac:dyDescent="0.25">
      <c r="A3" s="142"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5" sqref="A1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12" priority="79" operator="lessThan">
      <formula>0</formula>
    </cfRule>
  </conditionalFormatting>
  <conditionalFormatting sqref="F42">
    <cfRule type="cellIs" dxfId="11" priority="62" operator="lessThan">
      <formula>0</formula>
    </cfRule>
  </conditionalFormatting>
  <conditionalFormatting sqref="F126:F127">
    <cfRule type="cellIs" dxfId="10" priority="21" operator="lessThan">
      <formula>0</formula>
    </cfRule>
  </conditionalFormatting>
  <conditionalFormatting sqref="F138:F139">
    <cfRule type="cellIs" dxfId="9" priority="20" operator="lessThan">
      <formula>0</formula>
    </cfRule>
  </conditionalFormatting>
  <conditionalFormatting sqref="F150:F151">
    <cfRule type="cellIs" dxfId="8" priority="19" operator="lessThan">
      <formula>0</formula>
    </cfRule>
  </conditionalFormatting>
  <conditionalFormatting sqref="F162:F163">
    <cfRule type="cellIs" dxfId="7" priority="18" operator="lessThan">
      <formula>0</formula>
    </cfRule>
  </conditionalFormatting>
  <conditionalFormatting sqref="F250:F251">
    <cfRule type="cellIs" dxfId="6" priority="93" operator="lessThan">
      <formula>0</formula>
    </cfRule>
  </conditionalFormatting>
  <conditionalFormatting sqref="F255:F256">
    <cfRule type="cellIs" dxfId="5" priority="92" operator="lessThan">
      <formula>0</formula>
    </cfRule>
  </conditionalFormatting>
  <conditionalFormatting sqref="F260:F261">
    <cfRule type="cellIs" dxfId="4" priority="91" operator="lessThan">
      <formula>0</formula>
    </cfRule>
  </conditionalFormatting>
  <conditionalFormatting sqref="F284:F285">
    <cfRule type="cellIs" dxfId="3" priority="85" operator="lessThan">
      <formula>0</formula>
    </cfRule>
  </conditionalFormatting>
  <conditionalFormatting sqref="F289:F290">
    <cfRule type="cellIs" dxfId="2" priority="84" operator="lessThan">
      <formula>0</formula>
    </cfRule>
  </conditionalFormatting>
  <conditionalFormatting sqref="F294:F295">
    <cfRule type="cellIs" dxfId="1"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0"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tabSelected="1" zoomScaleNormal="100" workbookViewId="0">
      <selection activeCell="I7" sqref="I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13" t="s">
        <v>21</v>
      </c>
      <c r="N7" s="13" t="str" cm="1">
        <f t="array" aca="1" ref="N7" ca="1">Common_InputFunctions.Utility_DisplayFunctionName(N20)</f>
        <v>=AgResidue_Equations_CropResidue.VEERG_6_1_1_2__1__FractionOfCropResidueRemovedBaled</v>
      </c>
      <c r="O7" s="21"/>
      <c r="P7" s="21"/>
      <c r="Q7" s="21"/>
    </row>
    <row r="8" spans="1:20" ht="20.100000000000001" customHeight="1" x14ac:dyDescent="0.25">
      <c r="A8" s="19" t="s">
        <v>0</v>
      </c>
      <c r="F8" s="21"/>
      <c r="G8" s="21"/>
      <c r="H8" s="21"/>
      <c r="J8" s="21"/>
      <c r="L8" s="21"/>
      <c r="M8" s="21"/>
      <c r="N8" s="21"/>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100000000000001"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100000000000001"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43"/>
      <c r="M23" s="43"/>
      <c r="N23" s="43"/>
      <c r="O23" s="43"/>
      <c r="P23" s="43"/>
      <c r="Q23" s="43"/>
      <c r="R23" s="43"/>
      <c r="S23" s="43"/>
      <c r="T23" s="43"/>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100000000000001"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100000000000001" customHeight="1" x14ac:dyDescent="0.25">
      <c r="D26" s="21"/>
      <c r="E26" s="21"/>
      <c r="F26" s="21"/>
      <c r="G26" s="21"/>
      <c r="H26" s="21"/>
      <c r="L26" s="21"/>
      <c r="M26" s="13" t="s">
        <v>21</v>
      </c>
      <c r="N26" s="13" t="str" cm="1">
        <f t="array" aca="1" ref="N26" ca="1">Common_InputFunctions.Utility_DisplayFunctionName(N43)</f>
        <v>=AgResidue_Equations_CropResidue.VEERG_6_1_1_1__2__MassOfNitrogenInCropResidues</v>
      </c>
      <c r="O26" s="21"/>
      <c r="P26" s="21"/>
      <c r="Q26" s="21"/>
    </row>
    <row r="27" spans="1:20" ht="20.100000000000001" customHeight="1" x14ac:dyDescent="0.25">
      <c r="D27" s="133"/>
      <c r="E27" s="133"/>
      <c r="F27" s="133"/>
      <c r="G27" s="133"/>
      <c r="H27" s="133"/>
      <c r="I27" s="133"/>
      <c r="L27" s="21"/>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100000000000001" customHeight="1" x14ac:dyDescent="0.25">
      <c r="F31" s="21"/>
      <c r="G31" s="21"/>
      <c r="H31" s="21"/>
      <c r="J31" s="21"/>
      <c r="L31" s="21"/>
      <c r="M31" s="21"/>
      <c r="N31" s="21"/>
      <c r="O31" s="21"/>
      <c r="P31" s="21"/>
    </row>
    <row r="32" spans="1:20" ht="20.100000000000001"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100000000000001"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100000000000001" customHeight="1" x14ac:dyDescent="0.25">
      <c r="D41" s="21"/>
      <c r="E41" s="21"/>
      <c r="F41" s="21"/>
      <c r="G41" s="21"/>
      <c r="H41" s="21"/>
      <c r="M41" s="114" t="str">
        <v>State</v>
      </c>
      <c r="N41" s="118" t="str">
        <v>State or territory</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100000000000001" customHeight="1" x14ac:dyDescent="0.25">
      <c r="H43" s="21"/>
      <c r="M43" s="115" t="s">
        <v>172</v>
      </c>
      <c r="N43" s="134" cm="1">
        <f t="array" ref="N43">AgResidue_Equations_CropResidue.VEERG_6_1_1_1__2__MassOfNitrogenInCropResidues(I13,I14,I16,R36,I18,I19,I15,I20)</f>
        <v>85008</v>
      </c>
      <c r="O43" s="116" t="str">
        <f>$E$11</f>
        <v>kg N</v>
      </c>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100000000000001" customHeight="1" x14ac:dyDescent="0.25">
      <c r="H46" s="21"/>
      <c r="J46" s="21"/>
      <c r="L46" s="133"/>
      <c r="M46" s="133"/>
      <c r="N46" s="133"/>
      <c r="O46" s="133"/>
      <c r="P46" s="133"/>
      <c r="Q46" s="133"/>
      <c r="R46" s="133"/>
      <c r="S46" s="133"/>
      <c r="T46" s="133"/>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100000000000001"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100000000000001"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100000000000001" customHeight="1" x14ac:dyDescent="0.25">
      <c r="J50" s="21"/>
      <c r="L50" s="21"/>
      <c r="O50" s="21"/>
      <c r="P50" s="21"/>
      <c r="Q50" s="21"/>
    </row>
    <row r="51" spans="10:18" ht="20.100000000000001" customHeight="1" x14ac:dyDescent="0.25">
      <c r="J51" s="21"/>
      <c r="L51" s="21"/>
      <c r="M51" s="21"/>
      <c r="N51" s="21"/>
      <c r="O51" s="21"/>
      <c r="P51" s="21"/>
      <c r="Q51" s="21"/>
    </row>
    <row r="52" spans="10:18" ht="20.100000000000001" customHeight="1" x14ac:dyDescent="0.25">
      <c r="J52" s="21"/>
      <c r="L52" s="21"/>
      <c r="M52" s="50" t="s">
        <v>24</v>
      </c>
      <c r="N52" s="1" t="str" cm="1">
        <f t="array" ref="N52">AgResidue_Equations_CropResidue.VEERG_6_1_1_1__1__NitrousOxideEmissionsFromCropResidues_Variable()</f>
        <v>E</v>
      </c>
      <c r="O52" s="21"/>
      <c r="P52" s="21"/>
      <c r="Q52" s="21"/>
    </row>
    <row r="53" spans="10:18" ht="20.100000000000001" customHeight="1" x14ac:dyDescent="0.25">
      <c r="L53" s="21"/>
      <c r="M53" s="50" t="s">
        <v>15</v>
      </c>
      <c r="N53" s="51" t="str" cm="1">
        <f t="array" ref="N53">AgResidue_Equations_CropResidue.VEERG_6_1_1_1__1__NitrousOxideEmissionsFromCropResidues_Unit()</f>
        <v>t N2O</v>
      </c>
      <c r="O53" s="21"/>
      <c r="P53" s="21"/>
      <c r="Q53" s="21"/>
    </row>
    <row r="54" spans="10:18" ht="20.100000000000001" customHeight="1" x14ac:dyDescent="0.25">
      <c r="L54" s="21"/>
      <c r="M54" s="21"/>
      <c r="N54" s="21"/>
      <c r="O54" s="21"/>
      <c r="P54" s="21"/>
      <c r="Q54" s="21"/>
    </row>
    <row r="55" spans="10:18" ht="20.100000000000001"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100000000000001"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100000000000001"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100000000000001" customHeight="1" x14ac:dyDescent="0.25">
      <c r="L58" s="21"/>
      <c r="M58" s="114" t="str">
        <v>c</v>
      </c>
      <c r="N58" s="118" t="str">
        <v>Crop type</v>
      </c>
      <c r="O58" s="117"/>
      <c r="P58" s="114" t="str">
        <v/>
      </c>
      <c r="Q58" s="109" t="str">
        <v>Input</v>
      </c>
      <c r="R58" s="114" t="str">
        <f>X_Cell_Crop_CropType</f>
        <v>Wheat</v>
      </c>
    </row>
    <row r="59" spans="10:18" ht="20.100000000000001" customHeight="1" x14ac:dyDescent="0.25">
      <c r="L59" s="21"/>
      <c r="M59" s="114" t="str">
        <v>i</v>
      </c>
      <c r="N59" s="118" t="str">
        <v>Wet or dry climate zone</v>
      </c>
      <c r="O59" s="117"/>
      <c r="P59" s="114" t="str">
        <v/>
      </c>
      <c r="Q59" s="109" t="str">
        <v>Input</v>
      </c>
      <c r="R59" s="114" t="str">
        <f>X_Cell_Site_WetOrDryClimateZone</f>
        <v>Dry climate zone</v>
      </c>
    </row>
    <row r="60" spans="10:18" ht="20.100000000000001" customHeight="1" x14ac:dyDescent="0.25">
      <c r="L60" s="21"/>
      <c r="M60" s="21"/>
      <c r="N60" s="21"/>
      <c r="O60" s="21"/>
      <c r="P60" s="21"/>
      <c r="Q60" s="21"/>
    </row>
    <row r="61" spans="10:18" ht="20.100000000000001"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100000000000001" customHeight="1" x14ac:dyDescent="0.25">
      <c r="L62" s="21"/>
      <c r="Q62" s="21"/>
    </row>
    <row r="63" spans="10:18" ht="20.100000000000001"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100000000000001"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100000000000001" customHeight="1" x14ac:dyDescent="0.25">
      <c r="L65" s="21"/>
      <c r="Q65" s="21"/>
    </row>
    <row r="66" spans="12:18" ht="20.100000000000001"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100000000000001" customHeight="1" x14ac:dyDescent="0.25">
      <c r="L67" s="21"/>
      <c r="M67" s="21"/>
      <c r="N67" s="21"/>
      <c r="O67" s="101"/>
      <c r="P67" s="21"/>
      <c r="Q67" s="21"/>
      <c r="R67" s="21"/>
    </row>
    <row r="68" spans="12:18" ht="20.100000000000001" customHeight="1" x14ac:dyDescent="0.25">
      <c r="L68" s="21"/>
    </row>
    <row r="69" spans="12:18" ht="20.100000000000001" customHeight="1" x14ac:dyDescent="0.25">
      <c r="L69" s="21"/>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A9"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14"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9E246-5257-4EB1-9157-C641E76F1F7E}">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16</v>
      </c>
      <c r="E6" s="36" t="s">
        <v>17</v>
      </c>
      <c r="F6" s="36" t="s">
        <v>18</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119</v>
      </c>
      <c r="E257" s="36" t="s">
        <v>120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235</v>
      </c>
    </row>
    <row r="264" spans="4:6" x14ac:dyDescent="0.25">
      <c r="D264" s="1" t="s">
        <v>236</v>
      </c>
    </row>
    <row r="265" spans="4:6" x14ac:dyDescent="0.25">
      <c r="D265" s="36" t="s">
        <v>237</v>
      </c>
      <c r="E265" s="36" t="s">
        <v>238</v>
      </c>
      <c r="F265" s="36" t="s">
        <v>239</v>
      </c>
    </row>
    <row r="266" spans="4:6" x14ac:dyDescent="0.25">
      <c r="D266" s="36" t="s">
        <v>240</v>
      </c>
      <c r="E266" s="36" t="s">
        <v>241</v>
      </c>
      <c r="F266" s="36">
        <v>5</v>
      </c>
    </row>
    <row r="267" spans="4:6" x14ac:dyDescent="0.25">
      <c r="D267" s="36" t="s">
        <v>242</v>
      </c>
      <c r="E267" s="36" t="s">
        <v>243</v>
      </c>
      <c r="F267" s="36">
        <v>4</v>
      </c>
    </row>
    <row r="268" spans="4:6" x14ac:dyDescent="0.25">
      <c r="D268" s="36" t="s">
        <v>244</v>
      </c>
      <c r="E268" s="36" t="s">
        <v>245</v>
      </c>
      <c r="F268" s="36">
        <v>3</v>
      </c>
    </row>
    <row r="269" spans="4:6" x14ac:dyDescent="0.25">
      <c r="D269" s="36" t="s">
        <v>246</v>
      </c>
      <c r="E269" s="36" t="s">
        <v>247</v>
      </c>
      <c r="F269" s="36">
        <v>2</v>
      </c>
    </row>
    <row r="270" spans="4:6" x14ac:dyDescent="0.25">
      <c r="D270" s="36" t="s">
        <v>248</v>
      </c>
      <c r="E270" s="36" t="s">
        <v>249</v>
      </c>
      <c r="F270" s="36">
        <v>1</v>
      </c>
    </row>
    <row r="273" spans="4:6" x14ac:dyDescent="0.25">
      <c r="D273" s="1" t="s">
        <v>250</v>
      </c>
    </row>
    <row r="274" spans="4:6" x14ac:dyDescent="0.25">
      <c r="D274" s="36" t="s">
        <v>237</v>
      </c>
      <c r="E274" s="36" t="s">
        <v>238</v>
      </c>
      <c r="F274" s="36" t="s">
        <v>239</v>
      </c>
    </row>
    <row r="275" spans="4:6" x14ac:dyDescent="0.25">
      <c r="D275" s="36" t="s">
        <v>251</v>
      </c>
      <c r="E275" s="36" t="s">
        <v>252</v>
      </c>
      <c r="F275" s="36">
        <v>5</v>
      </c>
    </row>
    <row r="276" spans="4:6" x14ac:dyDescent="0.25">
      <c r="D276" s="36" t="s">
        <v>253</v>
      </c>
      <c r="E276" s="36" t="s">
        <v>254</v>
      </c>
      <c r="F276" s="36">
        <v>4</v>
      </c>
    </row>
    <row r="277" spans="4:6" x14ac:dyDescent="0.25">
      <c r="D277" s="36" t="s">
        <v>255</v>
      </c>
      <c r="E277" s="36" t="s">
        <v>256</v>
      </c>
      <c r="F277" s="36">
        <v>3</v>
      </c>
    </row>
    <row r="278" spans="4:6" x14ac:dyDescent="0.25">
      <c r="D278" s="36" t="s">
        <v>257</v>
      </c>
      <c r="E278" s="36" t="s">
        <v>258</v>
      </c>
      <c r="F278" s="36">
        <v>2</v>
      </c>
    </row>
    <row r="279" spans="4:6" x14ac:dyDescent="0.25">
      <c r="D279" s="36" t="s">
        <v>259</v>
      </c>
      <c r="E279" s="36" t="s">
        <v>260</v>
      </c>
      <c r="F279" s="36">
        <v>1</v>
      </c>
    </row>
    <row r="282" spans="4:6" x14ac:dyDescent="0.25">
      <c r="D282" s="1" t="s">
        <v>261</v>
      </c>
    </row>
    <row r="283" spans="4:6" x14ac:dyDescent="0.25">
      <c r="D283" s="36" t="s">
        <v>237</v>
      </c>
      <c r="E283" s="36" t="s">
        <v>238</v>
      </c>
      <c r="F283" s="36" t="s">
        <v>239</v>
      </c>
    </row>
    <row r="284" spans="4:6" x14ac:dyDescent="0.25">
      <c r="D284" s="36" t="s">
        <v>262</v>
      </c>
      <c r="E284" s="36" t="s">
        <v>263</v>
      </c>
      <c r="F284" s="36">
        <v>5</v>
      </c>
    </row>
    <row r="285" spans="4:6" x14ac:dyDescent="0.25">
      <c r="D285" s="36" t="s">
        <v>264</v>
      </c>
      <c r="E285" s="36" t="s">
        <v>265</v>
      </c>
      <c r="F285" s="36">
        <v>4</v>
      </c>
    </row>
    <row r="286" spans="4:6" x14ac:dyDescent="0.25">
      <c r="D286" s="36" t="s">
        <v>266</v>
      </c>
      <c r="E286" s="36" t="s">
        <v>267</v>
      </c>
      <c r="F286" s="36">
        <v>3</v>
      </c>
    </row>
    <row r="287" spans="4:6" x14ac:dyDescent="0.25">
      <c r="D287" s="36" t="s">
        <v>268</v>
      </c>
      <c r="E287" s="36" t="s">
        <v>269</v>
      </c>
      <c r="F287" s="36">
        <v>2</v>
      </c>
    </row>
    <row r="288" spans="4:6" x14ac:dyDescent="0.25">
      <c r="D288" s="36" t="s">
        <v>270</v>
      </c>
      <c r="E288" s="36" t="s">
        <v>271</v>
      </c>
      <c r="F288" s="36">
        <v>1</v>
      </c>
    </row>
    <row r="291" spans="4:6" x14ac:dyDescent="0.25">
      <c r="D291" s="1" t="s">
        <v>272</v>
      </c>
    </row>
    <row r="292" spans="4:6" x14ac:dyDescent="0.25">
      <c r="D292" s="36" t="s">
        <v>237</v>
      </c>
      <c r="E292" s="36" t="s">
        <v>238</v>
      </c>
      <c r="F292" s="36" t="s">
        <v>239</v>
      </c>
    </row>
    <row r="293" spans="4:6" x14ac:dyDescent="0.25">
      <c r="D293" s="36" t="s">
        <v>273</v>
      </c>
      <c r="E293" s="36" t="s">
        <v>274</v>
      </c>
      <c r="F293" s="36">
        <v>5</v>
      </c>
    </row>
    <row r="294" spans="4:6" x14ac:dyDescent="0.25">
      <c r="D294" s="36" t="s">
        <v>275</v>
      </c>
      <c r="E294" s="36" t="s">
        <v>276</v>
      </c>
      <c r="F294" s="36">
        <v>4</v>
      </c>
    </row>
    <row r="295" spans="4:6" x14ac:dyDescent="0.25">
      <c r="D295" s="36" t="s">
        <v>277</v>
      </c>
      <c r="E295" s="36" t="s">
        <v>278</v>
      </c>
      <c r="F295" s="36">
        <v>3</v>
      </c>
    </row>
    <row r="296" spans="4:6" x14ac:dyDescent="0.25">
      <c r="D296" s="36" t="s">
        <v>279</v>
      </c>
      <c r="E296" s="36" t="s">
        <v>280</v>
      </c>
      <c r="F296" s="36">
        <v>2</v>
      </c>
    </row>
    <row r="297" spans="4:6" x14ac:dyDescent="0.25">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71</vt:i4>
      </vt:variant>
    </vt:vector>
  </HeadingPairs>
  <TitlesOfParts>
    <vt:vector size="8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2026-08-09T23:48:35Z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