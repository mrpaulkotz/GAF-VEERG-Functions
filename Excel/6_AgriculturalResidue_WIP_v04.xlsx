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715B88B-E650-4BEB-B0CD-0E19C5EBF611}" xr6:coauthVersionLast="47" xr6:coauthVersionMax="47" xr10:uidLastSave="{00000000-0000-0000-0000-000000000000}"/>
  <bookViews>
    <workbookView xWindow="585" yWindow="495" windowWidth="37785" windowHeight="19140" activeTab="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6"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4" i="123" l="1"/>
  <c r="E24" i="123"/>
  <c r="O24" i="113"/>
  <c r="E24" i="113"/>
  <c r="J37" i="122"/>
  <c r="J15" i="122"/>
  <c r="J37" i="123"/>
  <c r="J15" i="123"/>
  <c r="J37" i="113"/>
  <c r="J15" i="113"/>
  <c r="H65" i="114"/>
  <c r="I59" i="114"/>
  <c r="H42" i="114"/>
  <c r="I36" i="114"/>
  <c r="Q51" i="122"/>
  <c r="G51" i="122"/>
  <c r="J38" i="122"/>
  <c r="H25" i="122"/>
  <c r="Q51" i="123"/>
  <c r="G51" i="123"/>
  <c r="J38" i="123"/>
  <c r="H24" i="123"/>
  <c r="Q51" i="113"/>
  <c r="G51" i="113"/>
  <c r="J38" i="113"/>
  <c r="H25" i="113"/>
  <c r="H24" i="113"/>
  <c r="Q43" i="74"/>
  <c r="G43" i="74"/>
  <c r="J35" i="74"/>
  <c r="P64" i="69"/>
  <c r="R57" i="69"/>
  <c r="G45" i="69"/>
  <c r="I38" i="69"/>
  <c r="I22" i="69"/>
  <c r="E33" i="15"/>
  <c r="E32" i="15"/>
  <c r="E31" i="15"/>
  <c r="E30" i="15"/>
  <c r="E259" i="136" a="1"/>
  <c r="E259" i="136" s="1"/>
  <c r="D259" i="136" a="1"/>
  <c r="D259" i="136" s="1"/>
  <c r="E258" i="136" a="1"/>
  <c r="E258" i="136" s="1"/>
  <c r="D258" i="136" a="1"/>
  <c r="D258" i="136" s="1"/>
  <c r="D256" i="136" a="1"/>
  <c r="D256" i="136" s="1"/>
  <c r="D255" i="136" a="1"/>
  <c r="D255" i="136" s="1"/>
  <c r="D254" i="136" a="1"/>
  <c r="D254" i="136" s="1"/>
  <c r="D253" i="136" a="1"/>
  <c r="D253" i="136" s="1"/>
  <c r="S250" i="136" a="1"/>
  <c r="S250" i="136" s="1"/>
  <c r="R250" i="136" a="1"/>
  <c r="R250" i="136" s="1"/>
  <c r="Q250" i="136" a="1"/>
  <c r="Q250" i="136" s="1"/>
  <c r="P250" i="136" a="1"/>
  <c r="P250" i="136" s="1"/>
  <c r="O250" i="136" a="1"/>
  <c r="O250" i="136" s="1"/>
  <c r="N250" i="136" a="1"/>
  <c r="N250" i="136" s="1"/>
  <c r="M250" i="136" a="1"/>
  <c r="M250" i="136" s="1"/>
  <c r="L250" i="136" a="1"/>
  <c r="L250" i="136" s="1"/>
  <c r="K250" i="136" a="1"/>
  <c r="K250" i="136" s="1"/>
  <c r="J250" i="136" a="1"/>
  <c r="J250" i="136" s="1"/>
  <c r="I250" i="136" a="1"/>
  <c r="I250" i="136" s="1"/>
  <c r="H250" i="136" a="1"/>
  <c r="H250" i="136" s="1"/>
  <c r="G250" i="136" a="1"/>
  <c r="G250" i="136" s="1"/>
  <c r="F250" i="136" a="1"/>
  <c r="F250" i="136" s="1"/>
  <c r="E250" i="136" a="1"/>
  <c r="E250" i="136" s="1"/>
  <c r="D250" i="136" a="1"/>
  <c r="D250" i="136" s="1"/>
  <c r="S249" i="136" a="1"/>
  <c r="S249" i="136" s="1"/>
  <c r="R249" i="136" a="1"/>
  <c r="R249" i="136" s="1"/>
  <c r="Q249" i="136" a="1"/>
  <c r="Q249" i="136" s="1"/>
  <c r="P249" i="136" a="1"/>
  <c r="P249" i="136" s="1"/>
  <c r="O249" i="136" a="1"/>
  <c r="O249" i="136" s="1"/>
  <c r="N249" i="136" a="1"/>
  <c r="N249" i="136" s="1"/>
  <c r="M249" i="136" a="1"/>
  <c r="M249" i="136" s="1"/>
  <c r="L249" i="136" a="1"/>
  <c r="L249" i="136" s="1"/>
  <c r="K249" i="136" a="1"/>
  <c r="K249" i="136" s="1"/>
  <c r="J249" i="136" a="1"/>
  <c r="J249" i="136" s="1"/>
  <c r="I249" i="136" a="1"/>
  <c r="I249" i="136" s="1"/>
  <c r="H249" i="136" a="1"/>
  <c r="H249" i="136" s="1"/>
  <c r="G249" i="136" a="1"/>
  <c r="G249" i="136" s="1"/>
  <c r="F249" i="136" a="1"/>
  <c r="F249" i="136" s="1"/>
  <c r="E249" i="136" a="1"/>
  <c r="E249" i="136" s="1"/>
  <c r="D249" i="136" a="1"/>
  <c r="D249" i="136" s="1"/>
  <c r="S248" i="136" a="1"/>
  <c r="S248" i="136" s="1"/>
  <c r="R248" i="136" a="1"/>
  <c r="R248" i="136" s="1"/>
  <c r="Q248" i="136" a="1"/>
  <c r="Q248" i="136" s="1"/>
  <c r="P248" i="136" a="1"/>
  <c r="P248" i="136" s="1"/>
  <c r="O248" i="136" a="1"/>
  <c r="O248" i="136" s="1"/>
  <c r="N248" i="136" a="1"/>
  <c r="N248" i="136" s="1"/>
  <c r="M248" i="136" a="1"/>
  <c r="M248" i="136" s="1"/>
  <c r="L248" i="136" a="1"/>
  <c r="L248" i="136" s="1"/>
  <c r="K248" i="136" a="1"/>
  <c r="K248" i="136" s="1"/>
  <c r="J248" i="136" a="1"/>
  <c r="J248" i="136" s="1"/>
  <c r="I248" i="136" a="1"/>
  <c r="I248" i="136" s="1"/>
  <c r="H248" i="136" a="1"/>
  <c r="H248" i="136" s="1"/>
  <c r="G248" i="136" a="1"/>
  <c r="G248" i="136" s="1"/>
  <c r="F248" i="136" a="1"/>
  <c r="F248" i="136" s="1"/>
  <c r="E248" i="136" a="1"/>
  <c r="E248" i="136" s="1"/>
  <c r="D248" i="136" a="1"/>
  <c r="D248" i="136" s="1"/>
  <c r="S247" i="136" a="1"/>
  <c r="S247" i="136" s="1"/>
  <c r="R247" i="136" a="1"/>
  <c r="R247" i="136" s="1"/>
  <c r="Q247" i="136" a="1"/>
  <c r="Q247" i="136" s="1"/>
  <c r="P247" i="136" a="1"/>
  <c r="P247" i="136" s="1"/>
  <c r="O247" i="136" a="1"/>
  <c r="O247" i="136" s="1"/>
  <c r="N247" i="136" a="1"/>
  <c r="N247" i="136" s="1"/>
  <c r="M247" i="136" a="1"/>
  <c r="M247" i="136" s="1"/>
  <c r="L247" i="136" a="1"/>
  <c r="L247" i="136" s="1"/>
  <c r="K247" i="136" a="1"/>
  <c r="K247" i="136" s="1"/>
  <c r="J247" i="136" a="1"/>
  <c r="J247" i="136" s="1"/>
  <c r="I247" i="136" a="1"/>
  <c r="I247" i="136" s="1"/>
  <c r="H247" i="136" a="1"/>
  <c r="H247" i="136" s="1"/>
  <c r="G247" i="136" a="1"/>
  <c r="G247" i="136" s="1"/>
  <c r="F247" i="136" a="1"/>
  <c r="F247" i="136" s="1"/>
  <c r="E247" i="136" a="1"/>
  <c r="E247" i="136" s="1"/>
  <c r="D247" i="136" a="1"/>
  <c r="D247" i="136" s="1"/>
  <c r="S246" i="136" a="1"/>
  <c r="S246" i="136" s="1"/>
  <c r="R246" i="136" a="1"/>
  <c r="R246" i="136" s="1"/>
  <c r="Q246" i="136" a="1"/>
  <c r="Q246" i="136" s="1"/>
  <c r="P246" i="136" a="1"/>
  <c r="P246" i="136" s="1"/>
  <c r="O246" i="136" a="1"/>
  <c r="O246" i="136" s="1"/>
  <c r="N246" i="136" a="1"/>
  <c r="N246" i="136" s="1"/>
  <c r="M246" i="136" a="1"/>
  <c r="M246" i="136" s="1"/>
  <c r="L246" i="136" a="1"/>
  <c r="L246" i="136" s="1"/>
  <c r="K246" i="136" a="1"/>
  <c r="K246" i="136" s="1"/>
  <c r="J246" i="136" a="1"/>
  <c r="J246" i="136" s="1"/>
  <c r="I246" i="136" a="1"/>
  <c r="I246" i="136" s="1"/>
  <c r="H246" i="136" a="1"/>
  <c r="H246" i="136" s="1"/>
  <c r="G246" i="136" a="1"/>
  <c r="G246" i="136" s="1"/>
  <c r="F246" i="136" a="1"/>
  <c r="F246" i="136" s="1"/>
  <c r="E246" i="136" a="1"/>
  <c r="E246" i="136" s="1"/>
  <c r="D246" i="136" a="1"/>
  <c r="D246" i="136" s="1"/>
  <c r="S245" i="136" a="1"/>
  <c r="S245" i="136" s="1"/>
  <c r="R245" i="136" a="1"/>
  <c r="R245" i="136" s="1"/>
  <c r="Q245" i="136" a="1"/>
  <c r="Q245" i="136" s="1"/>
  <c r="P245" i="136" a="1"/>
  <c r="P245" i="136" s="1"/>
  <c r="O245" i="136" a="1"/>
  <c r="O245" i="136" s="1"/>
  <c r="N245" i="136" a="1"/>
  <c r="N245" i="136" s="1"/>
  <c r="M245" i="136" a="1"/>
  <c r="M245" i="136" s="1"/>
  <c r="L245" i="136" a="1"/>
  <c r="L245" i="136" s="1"/>
  <c r="K245" i="136" a="1"/>
  <c r="K245" i="136" s="1"/>
  <c r="J245" i="136" a="1"/>
  <c r="J245" i="136" s="1"/>
  <c r="I245" i="136" a="1"/>
  <c r="I245" i="136" s="1"/>
  <c r="H245" i="136" a="1"/>
  <c r="H245" i="136" s="1"/>
  <c r="G245" i="136" a="1"/>
  <c r="G245" i="136" s="1"/>
  <c r="F245" i="136" a="1"/>
  <c r="F245" i="136" s="1"/>
  <c r="E245" i="136" a="1"/>
  <c r="E245" i="136" s="1"/>
  <c r="D245" i="136" a="1"/>
  <c r="D245" i="136" s="1"/>
  <c r="S244" i="136" a="1"/>
  <c r="S244" i="136" s="1"/>
  <c r="R244" i="136" a="1"/>
  <c r="R244" i="136" s="1"/>
  <c r="Q244" i="136" a="1"/>
  <c r="Q244" i="136" s="1"/>
  <c r="P244" i="136" a="1"/>
  <c r="P244" i="136" s="1"/>
  <c r="O244" i="136" a="1"/>
  <c r="O244" i="136" s="1"/>
  <c r="N244" i="136" a="1"/>
  <c r="N244" i="136" s="1"/>
  <c r="M244" i="136" a="1"/>
  <c r="M244" i="136" s="1"/>
  <c r="L244" i="136" a="1"/>
  <c r="L244" i="136" s="1"/>
  <c r="K244" i="136" a="1"/>
  <c r="K244" i="136" s="1"/>
  <c r="J244" i="136" a="1"/>
  <c r="J244" i="136" s="1"/>
  <c r="I244" i="136" a="1"/>
  <c r="I244" i="136" s="1"/>
  <c r="H244" i="136" a="1"/>
  <c r="H244" i="136" s="1"/>
  <c r="G244" i="136" a="1"/>
  <c r="G244" i="136" s="1"/>
  <c r="F244" i="136" a="1"/>
  <c r="F244" i="136" s="1"/>
  <c r="E244" i="136" a="1"/>
  <c r="E244" i="136" s="1"/>
  <c r="D244" i="136" a="1"/>
  <c r="D244" i="136" s="1"/>
  <c r="S243" i="136" a="1"/>
  <c r="S243" i="136" s="1"/>
  <c r="R243" i="136" a="1"/>
  <c r="R243" i="136" s="1"/>
  <c r="Q243" i="136" a="1"/>
  <c r="Q243" i="136" s="1"/>
  <c r="P243" i="136" a="1"/>
  <c r="P243" i="136" s="1"/>
  <c r="O243" i="136" a="1"/>
  <c r="O243" i="136" s="1"/>
  <c r="N243" i="136" a="1"/>
  <c r="N243" i="136" s="1"/>
  <c r="M243" i="136" a="1"/>
  <c r="M243" i="136" s="1"/>
  <c r="L243" i="136" a="1"/>
  <c r="L243" i="136" s="1"/>
  <c r="K243" i="136" a="1"/>
  <c r="K243" i="136" s="1"/>
  <c r="J243" i="136" a="1"/>
  <c r="J243" i="136" s="1"/>
  <c r="I243" i="136" a="1"/>
  <c r="I243" i="136" s="1"/>
  <c r="H243" i="136" a="1"/>
  <c r="H243" i="136" s="1"/>
  <c r="G243" i="136" a="1"/>
  <c r="G243" i="136" s="1"/>
  <c r="F243" i="136" a="1"/>
  <c r="F243" i="136" s="1"/>
  <c r="E243" i="136" a="1"/>
  <c r="E243" i="136" s="1"/>
  <c r="D243" i="136" a="1"/>
  <c r="D243" i="136" s="1"/>
  <c r="S242" i="136" a="1"/>
  <c r="S242" i="136" s="1"/>
  <c r="R242" i="136" a="1"/>
  <c r="R242" i="136" s="1"/>
  <c r="Q242" i="136" a="1"/>
  <c r="Q242" i="136" s="1"/>
  <c r="P242" i="136" a="1"/>
  <c r="P242" i="136" s="1"/>
  <c r="O242" i="136" a="1"/>
  <c r="O242" i="136" s="1"/>
  <c r="N242" i="136" a="1"/>
  <c r="N242" i="136" s="1"/>
  <c r="M242" i="136" a="1"/>
  <c r="M242" i="136" s="1"/>
  <c r="L242" i="136" a="1"/>
  <c r="L242" i="136" s="1"/>
  <c r="K242" i="136" a="1"/>
  <c r="K242" i="136" s="1"/>
  <c r="J242" i="136" a="1"/>
  <c r="J242" i="136" s="1"/>
  <c r="I242" i="136" a="1"/>
  <c r="I242" i="136" s="1"/>
  <c r="H242" i="136" a="1"/>
  <c r="H242" i="136" s="1"/>
  <c r="G242" i="136" a="1"/>
  <c r="G242" i="136" s="1"/>
  <c r="F242" i="136" a="1"/>
  <c r="F242" i="136" s="1"/>
  <c r="E242" i="136" a="1"/>
  <c r="E242" i="136" s="1"/>
  <c r="D242" i="136" a="1"/>
  <c r="D242" i="136" s="1"/>
  <c r="S241" i="136" a="1"/>
  <c r="S241" i="136" s="1"/>
  <c r="R241" i="136" a="1"/>
  <c r="R241" i="136" s="1"/>
  <c r="Q241" i="136" a="1"/>
  <c r="Q241" i="136" s="1"/>
  <c r="P241" i="136" a="1"/>
  <c r="P241" i="136" s="1"/>
  <c r="O241" i="136" a="1"/>
  <c r="O241" i="136" s="1"/>
  <c r="N241" i="136" a="1"/>
  <c r="N241" i="136" s="1"/>
  <c r="M241" i="136" a="1"/>
  <c r="M241" i="136" s="1"/>
  <c r="L241" i="136" a="1"/>
  <c r="L241" i="136" s="1"/>
  <c r="K241" i="136" a="1"/>
  <c r="K241" i="136" s="1"/>
  <c r="J241" i="136" a="1"/>
  <c r="J241" i="136" s="1"/>
  <c r="I241" i="136" a="1"/>
  <c r="I241" i="136" s="1"/>
  <c r="H241" i="136" a="1"/>
  <c r="H241" i="136" s="1"/>
  <c r="G241" i="136" a="1"/>
  <c r="G241" i="136" s="1"/>
  <c r="F241" i="136" a="1"/>
  <c r="F241" i="136" s="1"/>
  <c r="E241" i="136" a="1"/>
  <c r="E241" i="136" s="1"/>
  <c r="D241" i="136" a="1"/>
  <c r="D241" i="136" s="1"/>
  <c r="S240" i="136" a="1"/>
  <c r="S240" i="136" s="1"/>
  <c r="R240" i="136" a="1"/>
  <c r="R240" i="136" s="1"/>
  <c r="Q240" i="136" a="1"/>
  <c r="Q240" i="136" s="1"/>
  <c r="P240" i="136" a="1"/>
  <c r="P240" i="136" s="1"/>
  <c r="O240" i="136" a="1"/>
  <c r="O240" i="136" s="1"/>
  <c r="N240" i="136" a="1"/>
  <c r="N240" i="136" s="1"/>
  <c r="M240" i="136" a="1"/>
  <c r="M240" i="136" s="1"/>
  <c r="L240" i="136" a="1"/>
  <c r="L240" i="136" s="1"/>
  <c r="K240" i="136" a="1"/>
  <c r="K240" i="136" s="1"/>
  <c r="J240" i="136" a="1"/>
  <c r="J240" i="136" s="1"/>
  <c r="I240" i="136" a="1"/>
  <c r="I240" i="136" s="1"/>
  <c r="H240" i="136" a="1"/>
  <c r="H240" i="136" s="1"/>
  <c r="G240" i="136" a="1"/>
  <c r="G240" i="136" s="1"/>
  <c r="F240" i="136" a="1"/>
  <c r="F240" i="136" s="1"/>
  <c r="E240" i="136" a="1"/>
  <c r="E240" i="136" s="1"/>
  <c r="D240" i="136" a="1"/>
  <c r="D240" i="136" s="1"/>
  <c r="S239" i="136" a="1"/>
  <c r="S239" i="136" s="1"/>
  <c r="R239" i="136" a="1"/>
  <c r="R239" i="136" s="1"/>
  <c r="Q239" i="136" a="1"/>
  <c r="Q239" i="136" s="1"/>
  <c r="P239" i="136" a="1"/>
  <c r="P239" i="136" s="1"/>
  <c r="O239" i="136" a="1"/>
  <c r="O239" i="136" s="1"/>
  <c r="N239" i="136" a="1"/>
  <c r="N239" i="136" s="1"/>
  <c r="M239" i="136" a="1"/>
  <c r="M239" i="136" s="1"/>
  <c r="L239" i="136" a="1"/>
  <c r="L239" i="136" s="1"/>
  <c r="K239" i="136" a="1"/>
  <c r="K239" i="136" s="1"/>
  <c r="J239" i="136" a="1"/>
  <c r="J239" i="136" s="1"/>
  <c r="I239" i="136" a="1"/>
  <c r="I239" i="136" s="1"/>
  <c r="H239" i="136" a="1"/>
  <c r="H239" i="136" s="1"/>
  <c r="G239" i="136" a="1"/>
  <c r="G239" i="136" s="1"/>
  <c r="F239" i="136" a="1"/>
  <c r="F239" i="136" s="1"/>
  <c r="E239" i="136" a="1"/>
  <c r="E239" i="136" s="1"/>
  <c r="D239" i="136" a="1"/>
  <c r="D239" i="136" s="1"/>
  <c r="S238" i="136" a="1"/>
  <c r="S238" i="136" s="1"/>
  <c r="R238" i="136" a="1"/>
  <c r="R238" i="136" s="1"/>
  <c r="Q238" i="136" a="1"/>
  <c r="Q238" i="136" s="1"/>
  <c r="P238" i="136" a="1"/>
  <c r="P238" i="136" s="1"/>
  <c r="O238" i="136" a="1"/>
  <c r="O238" i="136" s="1"/>
  <c r="N238" i="136" a="1"/>
  <c r="N238" i="136" s="1"/>
  <c r="M238" i="136" a="1"/>
  <c r="M238" i="136" s="1"/>
  <c r="L238" i="136" a="1"/>
  <c r="L238" i="136" s="1"/>
  <c r="K238" i="136" a="1"/>
  <c r="K238" i="136" s="1"/>
  <c r="J238" i="136" a="1"/>
  <c r="J238" i="136" s="1"/>
  <c r="I238" i="136" a="1"/>
  <c r="I238" i="136" s="1"/>
  <c r="H238" i="136" a="1"/>
  <c r="H238" i="136" s="1"/>
  <c r="G238" i="136" a="1"/>
  <c r="G238" i="136" s="1"/>
  <c r="F238" i="136" a="1"/>
  <c r="F238" i="136" s="1"/>
  <c r="E238" i="136" a="1"/>
  <c r="E238" i="136" s="1"/>
  <c r="D238" i="136" a="1"/>
  <c r="D238" i="136" s="1"/>
  <c r="S237" i="136" a="1"/>
  <c r="S237" i="136" s="1"/>
  <c r="R237" i="136" a="1"/>
  <c r="R237" i="136" s="1"/>
  <c r="Q237" i="136" a="1"/>
  <c r="Q237" i="136" s="1"/>
  <c r="P237" i="136" a="1"/>
  <c r="P237" i="136" s="1"/>
  <c r="O237" i="136" a="1"/>
  <c r="O237" i="136" s="1"/>
  <c r="N237" i="136" a="1"/>
  <c r="N237" i="136" s="1"/>
  <c r="M237" i="136" a="1"/>
  <c r="M237" i="136" s="1"/>
  <c r="L237" i="136" a="1"/>
  <c r="L237" i="136" s="1"/>
  <c r="K237" i="136" a="1"/>
  <c r="K237" i="136" s="1"/>
  <c r="J237" i="136" a="1"/>
  <c r="J237" i="136" s="1"/>
  <c r="I237" i="136" a="1"/>
  <c r="I237" i="136" s="1"/>
  <c r="H237" i="136" a="1"/>
  <c r="H237" i="136" s="1"/>
  <c r="G237" i="136" a="1"/>
  <c r="G237" i="136" s="1"/>
  <c r="F237" i="136" a="1"/>
  <c r="F237" i="136" s="1"/>
  <c r="E237" i="136" a="1"/>
  <c r="E237" i="136" s="1"/>
  <c r="D237" i="136" a="1"/>
  <c r="D237" i="136" s="1"/>
  <c r="S236" i="136" a="1"/>
  <c r="S236" i="136" s="1"/>
  <c r="R236" i="136" a="1"/>
  <c r="R236" i="136" s="1"/>
  <c r="Q236" i="136" a="1"/>
  <c r="Q236" i="136" s="1"/>
  <c r="P236" i="136" a="1"/>
  <c r="P236" i="136" s="1"/>
  <c r="O236" i="136" a="1"/>
  <c r="O236" i="136" s="1"/>
  <c r="N236" i="136" a="1"/>
  <c r="N236" i="136" s="1"/>
  <c r="M236" i="136" a="1"/>
  <c r="M236" i="136" s="1"/>
  <c r="L236" i="136" a="1"/>
  <c r="L236" i="136" s="1"/>
  <c r="K236" i="136" a="1"/>
  <c r="K236" i="136" s="1"/>
  <c r="J236" i="136" a="1"/>
  <c r="J236" i="136" s="1"/>
  <c r="I236" i="136" a="1"/>
  <c r="I236" i="136" s="1"/>
  <c r="H236" i="136" a="1"/>
  <c r="H236" i="136" s="1"/>
  <c r="G236" i="136" a="1"/>
  <c r="G236" i="136" s="1"/>
  <c r="F236" i="136" a="1"/>
  <c r="F236" i="136" s="1"/>
  <c r="E236" i="136" a="1"/>
  <c r="E236" i="136" s="1"/>
  <c r="D236" i="136" a="1"/>
  <c r="D236" i="136" s="1"/>
  <c r="S235" i="136" a="1"/>
  <c r="S235" i="136" s="1"/>
  <c r="R235" i="136" a="1"/>
  <c r="R235" i="136" s="1"/>
  <c r="Q235" i="136" a="1"/>
  <c r="Q235" i="136" s="1"/>
  <c r="P235" i="136" a="1"/>
  <c r="P235" i="136" s="1"/>
  <c r="O235" i="136" a="1"/>
  <c r="O235" i="136" s="1"/>
  <c r="N235" i="136" a="1"/>
  <c r="N235" i="136" s="1"/>
  <c r="M235" i="136" a="1"/>
  <c r="M235" i="136" s="1"/>
  <c r="L235" i="136" a="1"/>
  <c r="L235" i="136" s="1"/>
  <c r="K235" i="136" a="1"/>
  <c r="K235" i="136" s="1"/>
  <c r="J235" i="136" a="1"/>
  <c r="J235" i="136" s="1"/>
  <c r="I235" i="136" a="1"/>
  <c r="I235" i="136" s="1"/>
  <c r="H235" i="136" a="1"/>
  <c r="H235" i="136" s="1"/>
  <c r="G235" i="136" a="1"/>
  <c r="G235" i="136" s="1"/>
  <c r="F235" i="136" a="1"/>
  <c r="F235" i="136" s="1"/>
  <c r="E235" i="136" a="1"/>
  <c r="E235" i="136" s="1"/>
  <c r="D235" i="136" a="1"/>
  <c r="D235" i="136" s="1"/>
  <c r="S234" i="136" a="1"/>
  <c r="S234" i="136" s="1"/>
  <c r="R234" i="136" a="1"/>
  <c r="R234" i="136" s="1"/>
  <c r="Q234" i="136" a="1"/>
  <c r="Q234" i="136" s="1"/>
  <c r="P234" i="136" a="1"/>
  <c r="P234" i="136" s="1"/>
  <c r="O234" i="136" a="1"/>
  <c r="O234" i="136" s="1"/>
  <c r="N234" i="136" a="1"/>
  <c r="N234" i="136" s="1"/>
  <c r="M234" i="136" a="1"/>
  <c r="M234" i="136" s="1"/>
  <c r="L234" i="136" a="1"/>
  <c r="L234" i="136" s="1"/>
  <c r="K234" i="136" a="1"/>
  <c r="K234" i="136" s="1"/>
  <c r="J234" i="136" a="1"/>
  <c r="J234" i="136" s="1"/>
  <c r="I234" i="136" a="1"/>
  <c r="I234" i="136" s="1"/>
  <c r="H234" i="136" a="1"/>
  <c r="H234" i="136" s="1"/>
  <c r="G234" i="136" a="1"/>
  <c r="G234" i="136" s="1"/>
  <c r="F234" i="136" a="1"/>
  <c r="F234" i="136" s="1"/>
  <c r="E234" i="136" a="1"/>
  <c r="E234" i="136" s="1"/>
  <c r="D234" i="136" a="1"/>
  <c r="D234" i="136" s="1"/>
  <c r="S233" i="136" a="1"/>
  <c r="S233" i="136" s="1"/>
  <c r="R233" i="136" a="1"/>
  <c r="R233" i="136" s="1"/>
  <c r="Q233" i="136" a="1"/>
  <c r="Q233" i="136" s="1"/>
  <c r="P233" i="136" a="1"/>
  <c r="P233" i="136" s="1"/>
  <c r="O233" i="136" a="1"/>
  <c r="O233" i="136" s="1"/>
  <c r="N233" i="136" a="1"/>
  <c r="N233" i="136" s="1"/>
  <c r="M233" i="136" a="1"/>
  <c r="M233" i="136" s="1"/>
  <c r="L233" i="136" a="1"/>
  <c r="L233" i="136" s="1"/>
  <c r="K233" i="136" a="1"/>
  <c r="K233" i="136" s="1"/>
  <c r="J233" i="136" a="1"/>
  <c r="J233" i="136" s="1"/>
  <c r="I233" i="136" a="1"/>
  <c r="I233" i="136" s="1"/>
  <c r="H233" i="136" a="1"/>
  <c r="H233" i="136" s="1"/>
  <c r="G233" i="136" a="1"/>
  <c r="G233" i="136" s="1"/>
  <c r="F233" i="136" a="1"/>
  <c r="F233" i="136" s="1"/>
  <c r="E233" i="136" a="1"/>
  <c r="E233" i="136" s="1"/>
  <c r="D233" i="136" a="1"/>
  <c r="D233" i="136" s="1"/>
  <c r="S232" i="136" a="1"/>
  <c r="S232" i="136" s="1"/>
  <c r="R232" i="136" a="1"/>
  <c r="R232" i="136" s="1"/>
  <c r="Q232" i="136" a="1"/>
  <c r="Q232" i="136" s="1"/>
  <c r="P232" i="136" a="1"/>
  <c r="P232" i="136" s="1"/>
  <c r="O232" i="136" a="1"/>
  <c r="O232" i="136" s="1"/>
  <c r="N232" i="136" a="1"/>
  <c r="N232" i="136" s="1"/>
  <c r="M232" i="136" a="1"/>
  <c r="M232" i="136" s="1"/>
  <c r="L232" i="136" a="1"/>
  <c r="L232" i="136" s="1"/>
  <c r="K232" i="136" a="1"/>
  <c r="K232" i="136" s="1"/>
  <c r="J232" i="136" a="1"/>
  <c r="J232" i="136" s="1"/>
  <c r="I232" i="136" a="1"/>
  <c r="I232" i="136" s="1"/>
  <c r="H232" i="136" a="1"/>
  <c r="H232" i="136" s="1"/>
  <c r="G232" i="136" a="1"/>
  <c r="G232" i="136" s="1"/>
  <c r="F232" i="136" a="1"/>
  <c r="F232" i="136" s="1"/>
  <c r="E232" i="136" a="1"/>
  <c r="E232" i="136" s="1"/>
  <c r="D232" i="136" a="1"/>
  <c r="D232" i="136" s="1"/>
  <c r="D229" i="136" a="1"/>
  <c r="D229" i="136" s="1"/>
  <c r="D228" i="136" a="1"/>
  <c r="D228" i="136" s="1"/>
  <c r="D227" i="136" a="1"/>
  <c r="D227" i="136" s="1"/>
  <c r="E224" i="136" a="1"/>
  <c r="E224" i="136" s="1"/>
  <c r="D224" i="136" a="1"/>
  <c r="D224" i="136" s="1"/>
  <c r="E223" i="136" a="1"/>
  <c r="E223" i="136" s="1"/>
  <c r="D223" i="136" a="1"/>
  <c r="D223" i="136" s="1"/>
  <c r="E222" i="136" a="1"/>
  <c r="E222" i="136" s="1"/>
  <c r="D222" i="136" a="1"/>
  <c r="D222" i="136" s="1"/>
  <c r="E221" i="136" a="1"/>
  <c r="E221" i="136" s="1"/>
  <c r="D221" i="136" a="1"/>
  <c r="D221" i="136" s="1"/>
  <c r="E220" i="136" a="1"/>
  <c r="E220" i="136" s="1"/>
  <c r="D220" i="136" a="1"/>
  <c r="D220" i="136" s="1"/>
  <c r="E219" i="136" a="1"/>
  <c r="E219" i="136" s="1"/>
  <c r="D219" i="136" a="1"/>
  <c r="D219" i="136" s="1"/>
  <c r="E218" i="136" a="1"/>
  <c r="E218" i="136" s="1"/>
  <c r="D218" i="136" a="1"/>
  <c r="D218" i="136" s="1"/>
  <c r="E217" i="136" a="1"/>
  <c r="E217" i="136" s="1"/>
  <c r="D217" i="136" a="1"/>
  <c r="D217" i="136" s="1"/>
  <c r="E216" i="136" a="1"/>
  <c r="E216" i="136" s="1"/>
  <c r="D216" i="136" a="1"/>
  <c r="D216" i="136" s="1"/>
  <c r="E215" i="136" a="1"/>
  <c r="E215" i="136" s="1"/>
  <c r="D215" i="136" a="1"/>
  <c r="D215" i="136" s="1"/>
  <c r="E214" i="136" a="1"/>
  <c r="E214" i="136" s="1"/>
  <c r="D214" i="136" a="1"/>
  <c r="D214" i="136" s="1"/>
  <c r="E213" i="136" a="1"/>
  <c r="E213" i="136" s="1"/>
  <c r="D213" i="136" a="1"/>
  <c r="D213" i="136" s="1"/>
  <c r="D211" i="136" a="1"/>
  <c r="D211" i="136" s="1"/>
  <c r="E208" i="136" a="1"/>
  <c r="E208" i="136" s="1"/>
  <c r="D208" i="136" a="1"/>
  <c r="D208" i="136" s="1"/>
  <c r="E207" i="136" a="1"/>
  <c r="E207" i="136" s="1"/>
  <c r="D207" i="136" a="1"/>
  <c r="D207" i="136" s="1"/>
  <c r="D205" i="136" a="1"/>
  <c r="D205" i="136" s="1"/>
  <c r="D204" i="136" a="1"/>
  <c r="D204" i="136" s="1"/>
  <c r="D203" i="136" a="1"/>
  <c r="D203" i="136" s="1"/>
  <c r="D202" i="136" a="1"/>
  <c r="D202" i="136" s="1"/>
  <c r="H199" i="136" a="1"/>
  <c r="H199" i="136" s="1"/>
  <c r="G199" i="136" a="1"/>
  <c r="G199" i="136" s="1"/>
  <c r="F199" i="136" a="1"/>
  <c r="F199" i="136" s="1"/>
  <c r="E199" i="136" a="1"/>
  <c r="E199" i="136" s="1"/>
  <c r="D199" i="136" a="1"/>
  <c r="D199" i="136" s="1"/>
  <c r="H198" i="136" a="1"/>
  <c r="H198" i="136" s="1"/>
  <c r="G198" i="136" a="1"/>
  <c r="G198" i="136" s="1"/>
  <c r="F198" i="136" a="1"/>
  <c r="F198" i="136" s="1"/>
  <c r="E198" i="136" a="1"/>
  <c r="E198" i="136" s="1"/>
  <c r="D198" i="136" a="1"/>
  <c r="D198" i="136" s="1"/>
  <c r="H197" i="136" a="1"/>
  <c r="H197" i="136" s="1"/>
  <c r="G197" i="136" a="1"/>
  <c r="G197" i="136" s="1"/>
  <c r="F197" i="136" a="1"/>
  <c r="F197" i="136" s="1"/>
  <c r="E197" i="136" a="1"/>
  <c r="E197" i="136" s="1"/>
  <c r="D197" i="136" a="1"/>
  <c r="D197" i="136" s="1"/>
  <c r="H196" i="136" a="1"/>
  <c r="H196" i="136" s="1"/>
  <c r="G196" i="136" a="1"/>
  <c r="G196" i="136" s="1"/>
  <c r="F196" i="136" a="1"/>
  <c r="F196" i="136" s="1"/>
  <c r="E196" i="136" a="1"/>
  <c r="E196" i="136" s="1"/>
  <c r="D196" i="136" a="1"/>
  <c r="D196" i="136" s="1"/>
  <c r="H195" i="136" a="1"/>
  <c r="H195" i="136" s="1"/>
  <c r="G195" i="136" a="1"/>
  <c r="G195" i="136" s="1"/>
  <c r="F195" i="136" a="1"/>
  <c r="F195" i="136" s="1"/>
  <c r="E195" i="136" a="1"/>
  <c r="E195" i="136" s="1"/>
  <c r="D195" i="136" a="1"/>
  <c r="D195" i="136" s="1"/>
  <c r="H194" i="136" a="1"/>
  <c r="H194" i="136" s="1"/>
  <c r="G194" i="136" a="1"/>
  <c r="G194" i="136" s="1"/>
  <c r="F194" i="136" a="1"/>
  <c r="F194" i="136" s="1"/>
  <c r="E194" i="136" a="1"/>
  <c r="E194" i="136" s="1"/>
  <c r="D194" i="136" a="1"/>
  <c r="D194" i="136" s="1"/>
  <c r="H193" i="136" a="1"/>
  <c r="H193" i="136" s="1"/>
  <c r="G193" i="136" a="1"/>
  <c r="G193" i="136" s="1"/>
  <c r="F193" i="136" a="1"/>
  <c r="F193" i="136" s="1"/>
  <c r="E193" i="136" a="1"/>
  <c r="E193" i="136" s="1"/>
  <c r="D193" i="136" a="1"/>
  <c r="D193" i="136" s="1"/>
  <c r="H192" i="136" a="1"/>
  <c r="H192" i="136" s="1"/>
  <c r="G192" i="136" a="1"/>
  <c r="G192" i="136" s="1"/>
  <c r="F192" i="136" a="1"/>
  <c r="F192" i="136" s="1"/>
  <c r="E192" i="136" a="1"/>
  <c r="E192" i="136" s="1"/>
  <c r="D192" i="136" a="1"/>
  <c r="D192" i="136" s="1"/>
  <c r="H191" i="136" a="1"/>
  <c r="H191" i="136" s="1"/>
  <c r="G191" i="136" a="1"/>
  <c r="G191" i="136" s="1"/>
  <c r="F191" i="136" a="1"/>
  <c r="F191" i="136" s="1"/>
  <c r="E191" i="136" a="1"/>
  <c r="E191" i="136" s="1"/>
  <c r="D191" i="136" a="1"/>
  <c r="D191" i="136" s="1"/>
  <c r="H190" i="136" a="1"/>
  <c r="H190" i="136" s="1"/>
  <c r="G190" i="136" a="1"/>
  <c r="G190" i="136" s="1"/>
  <c r="F190" i="136" a="1"/>
  <c r="F190" i="136" s="1"/>
  <c r="E190" i="136" a="1"/>
  <c r="E190" i="136" s="1"/>
  <c r="D190" i="136" a="1"/>
  <c r="D190" i="136" s="1"/>
  <c r="H189" i="136" a="1"/>
  <c r="H189" i="136" s="1"/>
  <c r="G189" i="136" a="1"/>
  <c r="G189" i="136" s="1"/>
  <c r="F189" i="136" a="1"/>
  <c r="F189" i="136" s="1"/>
  <c r="E189" i="136" a="1"/>
  <c r="E189" i="136" s="1"/>
  <c r="D189" i="136" a="1"/>
  <c r="D189" i="136" s="1"/>
  <c r="H188" i="136" a="1"/>
  <c r="H188" i="136" s="1"/>
  <c r="G188" i="136" a="1"/>
  <c r="G188" i="136" s="1"/>
  <c r="F188" i="136" a="1"/>
  <c r="F188" i="136" s="1"/>
  <c r="E188" i="136" a="1"/>
  <c r="E188" i="136" s="1"/>
  <c r="D188" i="136" a="1"/>
  <c r="D188" i="136" s="1"/>
  <c r="H187" i="136" a="1"/>
  <c r="H187" i="136" s="1"/>
  <c r="G187" i="136" a="1"/>
  <c r="G187" i="136" s="1"/>
  <c r="F187" i="136" a="1"/>
  <c r="F187" i="136" s="1"/>
  <c r="E187" i="136" a="1"/>
  <c r="E187" i="136" s="1"/>
  <c r="D187" i="136" a="1"/>
  <c r="D187" i="136" s="1"/>
  <c r="D181" i="136" a="1"/>
  <c r="D181" i="136" s="1"/>
  <c r="D180" i="136" a="1"/>
  <c r="D180" i="136" s="1"/>
  <c r="D179" i="136" a="1"/>
  <c r="D179" i="136" s="1"/>
  <c r="D178" i="136" a="1"/>
  <c r="D178" i="136" s="1"/>
  <c r="E175" i="136" a="1"/>
  <c r="E175" i="136" s="1"/>
  <c r="D175" i="136" a="1"/>
  <c r="D175" i="136" s="1"/>
  <c r="D174" i="136" a="1"/>
  <c r="D174" i="136" s="1"/>
  <c r="D173" i="136" a="1"/>
  <c r="D173" i="136" s="1"/>
  <c r="D170" i="136" a="1"/>
  <c r="D170" i="136" s="1"/>
  <c r="D169" i="136" a="1"/>
  <c r="D169" i="136" s="1"/>
  <c r="D168" i="136" a="1"/>
  <c r="D168" i="136" s="1"/>
  <c r="D167" i="136" a="1"/>
  <c r="D167" i="136" s="1"/>
  <c r="D164" i="136" a="1"/>
  <c r="D164" i="136" s="1"/>
  <c r="D163" i="136" a="1"/>
  <c r="D163" i="136" s="1"/>
  <c r="D162" i="136" a="1"/>
  <c r="D162" i="136" s="1"/>
  <c r="D161" i="136" a="1"/>
  <c r="D161" i="136" s="1"/>
  <c r="E158" i="136" a="1"/>
  <c r="E158" i="136" s="1"/>
  <c r="D158" i="136" a="1"/>
  <c r="D158" i="136" s="1"/>
  <c r="E157" i="136" a="1"/>
  <c r="E157" i="136" s="1"/>
  <c r="D157" i="136" a="1"/>
  <c r="D157" i="136" s="1"/>
  <c r="E156" i="136" a="1"/>
  <c r="E156" i="136" s="1"/>
  <c r="D156" i="136" a="1"/>
  <c r="D156" i="136" s="1"/>
  <c r="E155" i="136" a="1"/>
  <c r="E155" i="136" s="1"/>
  <c r="D155" i="136" a="1"/>
  <c r="D155" i="136" s="1"/>
  <c r="E154" i="136" a="1"/>
  <c r="E154" i="136" s="1"/>
  <c r="D154" i="136" a="1"/>
  <c r="D154" i="136" s="1"/>
  <c r="D151" i="136" a="1"/>
  <c r="D151" i="136" s="1"/>
  <c r="D150" i="136" a="1"/>
  <c r="D150" i="136" s="1"/>
  <c r="E147" i="136" a="1"/>
  <c r="E147" i="136" s="1"/>
  <c r="D147" i="136" a="1"/>
  <c r="D147" i="136" s="1"/>
  <c r="E146" i="136" a="1"/>
  <c r="E146" i="136" s="1"/>
  <c r="D146" i="136" a="1"/>
  <c r="D146" i="136" s="1"/>
  <c r="E145" i="136" a="1"/>
  <c r="E145" i="136" s="1"/>
  <c r="D145" i="136" a="1"/>
  <c r="D145" i="136" s="1"/>
  <c r="E144" i="136" a="1"/>
  <c r="E144" i="136" s="1"/>
  <c r="D144" i="136" a="1"/>
  <c r="D144" i="136" s="1"/>
  <c r="E143" i="136" a="1"/>
  <c r="E143" i="136" s="1"/>
  <c r="D143" i="136" a="1"/>
  <c r="D143" i="136" s="1"/>
  <c r="D141" i="136" a="1"/>
  <c r="D141" i="136" s="1"/>
  <c r="D140" i="136" a="1"/>
  <c r="D140" i="136" s="1"/>
  <c r="D139" i="136" a="1"/>
  <c r="D139" i="136" s="1"/>
  <c r="E136" i="136" a="1"/>
  <c r="E136" i="136" s="1"/>
  <c r="D136" i="136" a="1"/>
  <c r="D136" i="136" s="1"/>
  <c r="E135" i="136" a="1"/>
  <c r="E135" i="136" s="1"/>
  <c r="D135" i="136" a="1"/>
  <c r="D135" i="136" s="1"/>
  <c r="D133" i="136" a="1"/>
  <c r="D133" i="136" s="1"/>
  <c r="D132" i="136" a="1"/>
  <c r="D132" i="136" s="1"/>
  <c r="E129" i="136" a="1"/>
  <c r="E129" i="136" s="1"/>
  <c r="D129" i="136" a="1"/>
  <c r="D129" i="136" s="1"/>
  <c r="E128" i="136" a="1"/>
  <c r="E128" i="136" s="1"/>
  <c r="D128" i="136" a="1"/>
  <c r="D128" i="136" s="1"/>
  <c r="D125" i="136" a="1"/>
  <c r="D125" i="136" s="1"/>
  <c r="D124" i="136" a="1"/>
  <c r="D124" i="136" s="1"/>
  <c r="G121" i="136" a="1"/>
  <c r="G121" i="136" s="1"/>
  <c r="F121" i="136" a="1"/>
  <c r="F121" i="136" s="1"/>
  <c r="E121" i="136" a="1"/>
  <c r="E121" i="136" s="1"/>
  <c r="D121" i="136" a="1"/>
  <c r="D121" i="136" s="1"/>
  <c r="G120" i="136" a="1"/>
  <c r="G120" i="136" s="1"/>
  <c r="F120" i="136" a="1"/>
  <c r="F120" i="136" s="1"/>
  <c r="E120" i="136" a="1"/>
  <c r="E120" i="136" s="1"/>
  <c r="D120" i="136" a="1"/>
  <c r="D120" i="136" s="1"/>
  <c r="D117" i="136" a="1"/>
  <c r="D117" i="136" s="1"/>
  <c r="D116" i="136" a="1"/>
  <c r="D116" i="136" s="1"/>
  <c r="D115" i="136" a="1"/>
  <c r="D115" i="136" s="1"/>
  <c r="G112" i="136" a="1"/>
  <c r="G112" i="136" s="1"/>
  <c r="F112" i="136" a="1"/>
  <c r="F112" i="136" s="1"/>
  <c r="E112" i="136" a="1"/>
  <c r="E112" i="136" s="1"/>
  <c r="D112" i="136" a="1"/>
  <c r="D112" i="136" s="1"/>
  <c r="G111" i="136" a="1"/>
  <c r="G111" i="136" s="1"/>
  <c r="F111" i="136" a="1"/>
  <c r="F111" i="136" s="1"/>
  <c r="E111" i="136" a="1"/>
  <c r="E111" i="136" s="1"/>
  <c r="D111" i="136" a="1"/>
  <c r="D111" i="136" s="1"/>
  <c r="G110" i="136" a="1"/>
  <c r="G110" i="136" s="1"/>
  <c r="F110" i="136" a="1"/>
  <c r="F110" i="136" s="1"/>
  <c r="E110" i="136" a="1"/>
  <c r="E110" i="136" s="1"/>
  <c r="D110" i="136" a="1"/>
  <c r="D110" i="136" s="1"/>
  <c r="D107" i="136" a="1"/>
  <c r="D107" i="136" s="1"/>
  <c r="D106" i="136" a="1"/>
  <c r="D106" i="136" s="1"/>
  <c r="D105" i="136" a="1"/>
  <c r="D105" i="136" s="1"/>
  <c r="D99" i="136" a="1"/>
  <c r="D99" i="136" s="1"/>
  <c r="S97" i="136" a="1"/>
  <c r="S97" i="136" s="1"/>
  <c r="R97" i="136" a="1"/>
  <c r="R97" i="136" s="1"/>
  <c r="Q97" i="136" a="1"/>
  <c r="Q97" i="136" s="1"/>
  <c r="P97" i="136" a="1"/>
  <c r="P97" i="136" s="1"/>
  <c r="O97" i="136" a="1"/>
  <c r="O97" i="136" s="1"/>
  <c r="N97" i="136" a="1"/>
  <c r="N97" i="136" s="1"/>
  <c r="M97" i="136" a="1"/>
  <c r="M97" i="136" s="1"/>
  <c r="L97" i="136" a="1"/>
  <c r="L97" i="136" s="1"/>
  <c r="K97" i="136" a="1"/>
  <c r="K97" i="136" s="1"/>
  <c r="J97" i="136" a="1"/>
  <c r="J97" i="136" s="1"/>
  <c r="I97" i="136" a="1"/>
  <c r="I97" i="136" s="1"/>
  <c r="H97" i="136" a="1"/>
  <c r="H97" i="136" s="1"/>
  <c r="G97" i="136" a="1"/>
  <c r="G97" i="136" s="1"/>
  <c r="F97" i="136" a="1"/>
  <c r="F97" i="136" s="1"/>
  <c r="E97" i="136" a="1"/>
  <c r="E97" i="136" s="1"/>
  <c r="D97" i="136" a="1"/>
  <c r="D97" i="136" s="1"/>
  <c r="S96" i="136" a="1"/>
  <c r="S96" i="136" s="1"/>
  <c r="R96" i="136" a="1"/>
  <c r="R96" i="136" s="1"/>
  <c r="Q96" i="136" a="1"/>
  <c r="Q96" i="136" s="1"/>
  <c r="P96" i="136" a="1"/>
  <c r="P96" i="136" s="1"/>
  <c r="O96" i="136" a="1"/>
  <c r="O96" i="136" s="1"/>
  <c r="N96" i="136" a="1"/>
  <c r="N96" i="136" s="1"/>
  <c r="M96" i="136" a="1"/>
  <c r="M96" i="136" s="1"/>
  <c r="L96" i="136" a="1"/>
  <c r="L96" i="136" s="1"/>
  <c r="K96" i="136" a="1"/>
  <c r="K96" i="136" s="1"/>
  <c r="J96" i="136" a="1"/>
  <c r="J96" i="136" s="1"/>
  <c r="I96" i="136" a="1"/>
  <c r="I96" i="136" s="1"/>
  <c r="H96" i="136" a="1"/>
  <c r="H96" i="136" s="1"/>
  <c r="G96" i="136" a="1"/>
  <c r="G96" i="136" s="1"/>
  <c r="F96" i="136" a="1"/>
  <c r="F96" i="136" s="1"/>
  <c r="E96" i="136" a="1"/>
  <c r="E96" i="136" s="1"/>
  <c r="D96" i="136" a="1"/>
  <c r="D96" i="136" s="1"/>
  <c r="S95" i="136" a="1"/>
  <c r="S95" i="136" s="1"/>
  <c r="R95" i="136" a="1"/>
  <c r="R95" i="136" s="1"/>
  <c r="Q95" i="136" a="1"/>
  <c r="Q95" i="136" s="1"/>
  <c r="P95" i="136" a="1"/>
  <c r="P95" i="136" s="1"/>
  <c r="O95" i="136" a="1"/>
  <c r="O95" i="136" s="1"/>
  <c r="N95" i="136" a="1"/>
  <c r="N95" i="136" s="1"/>
  <c r="M95" i="136" a="1"/>
  <c r="M95" i="136" s="1"/>
  <c r="L95" i="136" a="1"/>
  <c r="L95" i="136" s="1"/>
  <c r="K95" i="136" a="1"/>
  <c r="K95" i="136" s="1"/>
  <c r="J95" i="136" a="1"/>
  <c r="J95" i="136" s="1"/>
  <c r="I95" i="136" a="1"/>
  <c r="I95" i="136" s="1"/>
  <c r="H95" i="136" a="1"/>
  <c r="H95" i="136" s="1"/>
  <c r="G95" i="136" a="1"/>
  <c r="G95" i="136" s="1"/>
  <c r="F95" i="136" a="1"/>
  <c r="F95" i="136" s="1"/>
  <c r="E95" i="136" a="1"/>
  <c r="E95" i="136" s="1"/>
  <c r="D95" i="136" a="1"/>
  <c r="D95" i="136" s="1"/>
  <c r="S94" i="136" a="1"/>
  <c r="S94" i="136" s="1"/>
  <c r="R94" i="136" a="1"/>
  <c r="R94" i="136" s="1"/>
  <c r="Q94" i="136" a="1"/>
  <c r="Q94" i="136" s="1"/>
  <c r="P94" i="136" a="1"/>
  <c r="P94" i="136" s="1"/>
  <c r="O94" i="136" a="1"/>
  <c r="O94" i="136" s="1"/>
  <c r="N94" i="136" a="1"/>
  <c r="N94" i="136" s="1"/>
  <c r="M94" i="136" a="1"/>
  <c r="M94" i="136" s="1"/>
  <c r="L94" i="136" a="1"/>
  <c r="L94" i="136" s="1"/>
  <c r="K94" i="136" a="1"/>
  <c r="K94" i="136" s="1"/>
  <c r="J94" i="136" a="1"/>
  <c r="J94" i="136" s="1"/>
  <c r="I94" i="136" a="1"/>
  <c r="I94" i="136" s="1"/>
  <c r="H94" i="136" a="1"/>
  <c r="H94" i="136" s="1"/>
  <c r="G94" i="136" a="1"/>
  <c r="G94" i="136" s="1"/>
  <c r="F94" i="136" a="1"/>
  <c r="F94" i="136" s="1"/>
  <c r="E94" i="136" a="1"/>
  <c r="E94" i="136" s="1"/>
  <c r="D94" i="136" a="1"/>
  <c r="D94" i="136" s="1"/>
  <c r="S93" i="136" a="1"/>
  <c r="S93" i="136" s="1"/>
  <c r="R93" i="136" a="1"/>
  <c r="R93" i="136" s="1"/>
  <c r="Q93" i="136" a="1"/>
  <c r="Q93" i="136" s="1"/>
  <c r="P93" i="136" a="1"/>
  <c r="P93" i="136" s="1"/>
  <c r="O93" i="136" a="1"/>
  <c r="O93" i="136" s="1"/>
  <c r="N93" i="136" a="1"/>
  <c r="N93" i="136" s="1"/>
  <c r="M93" i="136" a="1"/>
  <c r="M93" i="136" s="1"/>
  <c r="L93" i="136" a="1"/>
  <c r="L93" i="136" s="1"/>
  <c r="K93" i="136" a="1"/>
  <c r="K93" i="136" s="1"/>
  <c r="J93" i="136" a="1"/>
  <c r="J93" i="136" s="1"/>
  <c r="I93" i="136" a="1"/>
  <c r="I93" i="136" s="1"/>
  <c r="H93" i="136" a="1"/>
  <c r="H93" i="136" s="1"/>
  <c r="G93" i="136" a="1"/>
  <c r="G93" i="136" s="1"/>
  <c r="F93" i="136" a="1"/>
  <c r="F93" i="136" s="1"/>
  <c r="E93" i="136" a="1"/>
  <c r="E93" i="136" s="1"/>
  <c r="D93" i="136" a="1"/>
  <c r="D93" i="136" s="1"/>
  <c r="S92" i="136" a="1"/>
  <c r="S92" i="136" s="1"/>
  <c r="R92" i="136" a="1"/>
  <c r="R92" i="136" s="1"/>
  <c r="Q92" i="136" a="1"/>
  <c r="Q92" i="136" s="1"/>
  <c r="P92" i="136" a="1"/>
  <c r="P92" i="136" s="1"/>
  <c r="O92" i="136" a="1"/>
  <c r="O92" i="136" s="1"/>
  <c r="N92" i="136" a="1"/>
  <c r="N92" i="136" s="1"/>
  <c r="M92" i="136" a="1"/>
  <c r="M92" i="136" s="1"/>
  <c r="L92" i="136" a="1"/>
  <c r="L92" i="136" s="1"/>
  <c r="K92" i="136" a="1"/>
  <c r="K92" i="136" s="1"/>
  <c r="J92" i="136" a="1"/>
  <c r="J92" i="136" s="1"/>
  <c r="I92" i="136" a="1"/>
  <c r="I92" i="136" s="1"/>
  <c r="H92" i="136" a="1"/>
  <c r="H92" i="136" s="1"/>
  <c r="G92" i="136" a="1"/>
  <c r="G92" i="136" s="1"/>
  <c r="F92" i="136" a="1"/>
  <c r="F92" i="136" s="1"/>
  <c r="E92" i="136" a="1"/>
  <c r="E92" i="136" s="1"/>
  <c r="D92" i="136" a="1"/>
  <c r="D92" i="136" s="1"/>
  <c r="S91" i="136" a="1"/>
  <c r="S91" i="136" s="1"/>
  <c r="R91" i="136" a="1"/>
  <c r="R91" i="136" s="1"/>
  <c r="Q91" i="136" a="1"/>
  <c r="Q91" i="136" s="1"/>
  <c r="P91" i="136" a="1"/>
  <c r="P91" i="136" s="1"/>
  <c r="O91" i="136" a="1"/>
  <c r="O91" i="136" s="1"/>
  <c r="N91" i="136" a="1"/>
  <c r="N91" i="136" s="1"/>
  <c r="M91" i="136" a="1"/>
  <c r="M91" i="136" s="1"/>
  <c r="L91" i="136" a="1"/>
  <c r="L91" i="136" s="1"/>
  <c r="K91" i="136" a="1"/>
  <c r="K91" i="136" s="1"/>
  <c r="J91" i="136" a="1"/>
  <c r="J91" i="136" s="1"/>
  <c r="I91" i="136" a="1"/>
  <c r="I91" i="136" s="1"/>
  <c r="H91" i="136" a="1"/>
  <c r="H91" i="136" s="1"/>
  <c r="G91" i="136" a="1"/>
  <c r="G91" i="136" s="1"/>
  <c r="F91" i="136" a="1"/>
  <c r="F91" i="136" s="1"/>
  <c r="E91" i="136" a="1"/>
  <c r="E91" i="136" s="1"/>
  <c r="D91" i="136" a="1"/>
  <c r="D91" i="136" s="1"/>
  <c r="S90" i="136" a="1"/>
  <c r="S90" i="136" s="1"/>
  <c r="R90" i="136" a="1"/>
  <c r="R90" i="136" s="1"/>
  <c r="Q90" i="136" a="1"/>
  <c r="Q90" i="136" s="1"/>
  <c r="P90" i="136" a="1"/>
  <c r="P90" i="136" s="1"/>
  <c r="O90" i="136" a="1"/>
  <c r="O90" i="136" s="1"/>
  <c r="N90" i="136" a="1"/>
  <c r="N90" i="136" s="1"/>
  <c r="M90" i="136" a="1"/>
  <c r="M90" i="136" s="1"/>
  <c r="L90" i="136" a="1"/>
  <c r="L90" i="136" s="1"/>
  <c r="K90" i="136" a="1"/>
  <c r="K90" i="136" s="1"/>
  <c r="J90" i="136" a="1"/>
  <c r="J90" i="136" s="1"/>
  <c r="I90" i="136" a="1"/>
  <c r="I90" i="136" s="1"/>
  <c r="H90" i="136" a="1"/>
  <c r="H90" i="136" s="1"/>
  <c r="G90" i="136" a="1"/>
  <c r="G90" i="136" s="1"/>
  <c r="F90" i="136" a="1"/>
  <c r="F90" i="136" s="1"/>
  <c r="E90" i="136" a="1"/>
  <c r="E90" i="136" s="1"/>
  <c r="D90" i="136" a="1"/>
  <c r="D90" i="136" s="1"/>
  <c r="D83" i="136" a="1"/>
  <c r="D83" i="136" s="1"/>
  <c r="D82" i="136" a="1"/>
  <c r="D82" i="136" s="1"/>
  <c r="D81" i="136" a="1"/>
  <c r="D81" i="136" s="1"/>
  <c r="E77" i="136" a="1"/>
  <c r="E77" i="136" s="1"/>
  <c r="D77" i="136" a="1"/>
  <c r="D77" i="136" s="1"/>
  <c r="E76" i="136" a="1"/>
  <c r="E76" i="136" s="1"/>
  <c r="D76" i="136" a="1"/>
  <c r="D76" i="136" s="1"/>
  <c r="E75" i="136" a="1"/>
  <c r="E75" i="136" s="1"/>
  <c r="D75" i="136" a="1"/>
  <c r="D75" i="136" s="1"/>
  <c r="E74" i="136" a="1"/>
  <c r="E74" i="136" s="1"/>
  <c r="D74" i="136" a="1"/>
  <c r="D74" i="136" s="1"/>
  <c r="E73" i="136" a="1"/>
  <c r="E73" i="136" s="1"/>
  <c r="D73" i="136" a="1"/>
  <c r="D73" i="136" s="1"/>
  <c r="E72" i="136" a="1"/>
  <c r="E72" i="136" s="1"/>
  <c r="D72" i="136" a="1"/>
  <c r="D72" i="136" s="1"/>
  <c r="E71" i="136" a="1"/>
  <c r="E71" i="136" s="1"/>
  <c r="D71" i="136" a="1"/>
  <c r="D71" i="136" s="1"/>
  <c r="E70" i="136" a="1"/>
  <c r="E70" i="136" s="1"/>
  <c r="D70" i="136" a="1"/>
  <c r="D70" i="136" s="1"/>
  <c r="E69" i="136" a="1"/>
  <c r="E69" i="136" s="1"/>
  <c r="D69" i="136" a="1"/>
  <c r="D69" i="136" s="1"/>
  <c r="E68" i="136" a="1"/>
  <c r="E68" i="136" s="1"/>
  <c r="D68" i="136" a="1"/>
  <c r="D68" i="136" s="1"/>
  <c r="E67" i="136" a="1"/>
  <c r="E67" i="136" s="1"/>
  <c r="D67" i="136" a="1"/>
  <c r="D67" i="136" s="1"/>
  <c r="E66" i="136" a="1"/>
  <c r="E66" i="136" s="1"/>
  <c r="D66" i="136" a="1"/>
  <c r="D66" i="136" s="1"/>
  <c r="E65" i="136" a="1"/>
  <c r="E65" i="136" s="1"/>
  <c r="D65" i="136" a="1"/>
  <c r="D65" i="136" s="1"/>
  <c r="E64" i="136" a="1"/>
  <c r="E64" i="136" s="1"/>
  <c r="D64" i="136" a="1"/>
  <c r="D64" i="136" s="1"/>
  <c r="D59" i="136" a="1"/>
  <c r="D59" i="136" s="1"/>
  <c r="D58" i="136"/>
  <c r="D58" i="136" a="1"/>
  <c r="D57" i="136" a="1"/>
  <c r="D57" i="136" s="1"/>
  <c r="G54" i="136" a="1"/>
  <c r="G54" i="136" s="1"/>
  <c r="F54" i="136" a="1"/>
  <c r="F54" i="136" s="1"/>
  <c r="E54" i="136" a="1"/>
  <c r="E54" i="136" s="1"/>
  <c r="D54" i="136" a="1"/>
  <c r="D54" i="136" s="1"/>
  <c r="G53" i="136" a="1"/>
  <c r="G53" i="136" s="1"/>
  <c r="F53" i="136" a="1"/>
  <c r="F53" i="136" s="1"/>
  <c r="E53" i="136" a="1"/>
  <c r="E53" i="136" s="1"/>
  <c r="D53" i="136" a="1"/>
  <c r="D53" i="136" s="1"/>
  <c r="G52" i="136" a="1"/>
  <c r="G52" i="136" s="1"/>
  <c r="F52" i="136" a="1"/>
  <c r="F52" i="136" s="1"/>
  <c r="E52" i="136" a="1"/>
  <c r="E52" i="136" s="1"/>
  <c r="D52" i="136" a="1"/>
  <c r="D52" i="136" s="1"/>
  <c r="G51" i="136" a="1"/>
  <c r="G51" i="136" s="1"/>
  <c r="F51" i="136" a="1"/>
  <c r="F51" i="136" s="1"/>
  <c r="E51" i="136" a="1"/>
  <c r="E51" i="136" s="1"/>
  <c r="D51" i="136" a="1"/>
  <c r="D51" i="136" s="1"/>
  <c r="G50" i="136" a="1"/>
  <c r="G50" i="136" s="1"/>
  <c r="F50" i="136" a="1"/>
  <c r="F50" i="136" s="1"/>
  <c r="E50" i="136" a="1"/>
  <c r="E50" i="136" s="1"/>
  <c r="D50" i="136" a="1"/>
  <c r="D50" i="136" s="1"/>
  <c r="G49" i="136" a="1"/>
  <c r="G49" i="136" s="1"/>
  <c r="F49" i="136" a="1"/>
  <c r="F49" i="136" s="1"/>
  <c r="E49" i="136" a="1"/>
  <c r="E49" i="136" s="1"/>
  <c r="D49" i="136" a="1"/>
  <c r="D49" i="136" s="1"/>
  <c r="G48" i="136" a="1"/>
  <c r="G48" i="136" s="1"/>
  <c r="F48" i="136" a="1"/>
  <c r="F48" i="136" s="1"/>
  <c r="E48" i="136" a="1"/>
  <c r="E48" i="136" s="1"/>
  <c r="D48" i="136" a="1"/>
  <c r="D48" i="136" s="1"/>
  <c r="D46" i="136" a="1"/>
  <c r="D46" i="136" s="1"/>
  <c r="D45" i="136" a="1"/>
  <c r="D45" i="136" s="1"/>
  <c r="E43" i="136" a="1"/>
  <c r="E43" i="136" s="1"/>
  <c r="D43" i="136" a="1"/>
  <c r="D43" i="136" s="1"/>
  <c r="E42" i="136" a="1"/>
  <c r="E42" i="136" s="1"/>
  <c r="D42" i="136" a="1"/>
  <c r="D42" i="136" s="1"/>
  <c r="E41" i="136" a="1"/>
  <c r="E41" i="136" s="1"/>
  <c r="D41" i="136" a="1"/>
  <c r="D41" i="136" s="1"/>
  <c r="E40" i="136" a="1"/>
  <c r="E40" i="136" s="1"/>
  <c r="D40" i="136" a="1"/>
  <c r="D40" i="136" s="1"/>
  <c r="E39" i="136" a="1"/>
  <c r="E39" i="136" s="1"/>
  <c r="D39" i="136" a="1"/>
  <c r="D39" i="136" s="1"/>
  <c r="E38" i="136" a="1"/>
  <c r="E38" i="136" s="1"/>
  <c r="D38" i="136" a="1"/>
  <c r="D38" i="136" s="1"/>
  <c r="E37" i="136" a="1"/>
  <c r="E37" i="136" s="1"/>
  <c r="D37" i="136" a="1"/>
  <c r="D37" i="136" s="1"/>
  <c r="D35" i="136"/>
  <c r="D35" i="136" a="1"/>
  <c r="D34" i="136" a="1"/>
  <c r="D34"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19" i="136" a="1"/>
  <c r="D19" i="136" s="1"/>
  <c r="D18" i="136" a="1"/>
  <c r="D18" i="136" s="1"/>
  <c r="F14" i="136" a="1"/>
  <c r="F14" i="136" s="1"/>
  <c r="E14" i="136" a="1"/>
  <c r="E14" i="136" s="1"/>
  <c r="D14" i="136" a="1"/>
  <c r="D14" i="136" s="1"/>
  <c r="F13" i="136" a="1"/>
  <c r="F13" i="136" s="1"/>
  <c r="E13" i="136" a="1"/>
  <c r="E13" i="136" s="1"/>
  <c r="D13" i="136" a="1"/>
  <c r="D13" i="136" s="1"/>
  <c r="F12" i="136" a="1"/>
  <c r="F12" i="136" s="1"/>
  <c r="E12" i="136" a="1"/>
  <c r="E12" i="136" s="1"/>
  <c r="D12" i="136" a="1"/>
  <c r="D12" i="136" s="1"/>
  <c r="F11" i="136" a="1"/>
  <c r="F11" i="136" s="1"/>
  <c r="E11" i="136" a="1"/>
  <c r="E11" i="136" s="1"/>
  <c r="D11" i="136" a="1"/>
  <c r="D11" i="136" s="1"/>
  <c r="F10" i="136" a="1"/>
  <c r="F10" i="136" s="1"/>
  <c r="E10" i="136" a="1"/>
  <c r="E10" i="136" s="1"/>
  <c r="D10" i="136" a="1"/>
  <c r="D10" i="136" s="1"/>
  <c r="F9" i="136" a="1"/>
  <c r="F9" i="136" s="1"/>
  <c r="E9" i="136" a="1"/>
  <c r="E9" i="136" s="1"/>
  <c r="D9" i="136" a="1"/>
  <c r="D9" i="136" s="1"/>
  <c r="F8" i="136" a="1"/>
  <c r="F8" i="136" s="1"/>
  <c r="E8" i="136" a="1"/>
  <c r="E8" i="136" s="1"/>
  <c r="D8" i="136" a="1"/>
  <c r="D8" i="136" s="1"/>
  <c r="A8" i="136"/>
  <c r="F7" i="136" a="1"/>
  <c r="F7" i="136" s="1"/>
  <c r="E7" i="136" a="1"/>
  <c r="E7" i="136" s="1"/>
  <c r="D7" i="136" a="1"/>
  <c r="D7" i="136" s="1"/>
  <c r="A7" i="136"/>
  <c r="D5" i="136" a="1"/>
  <c r="D5" i="136" s="1"/>
  <c r="A3" i="136"/>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N26" i="69"/>
  <c r="N7" i="69"/>
  <c r="E7" i="69"/>
  <c r="E27" i="74"/>
  <c r="E50" i="114"/>
  <c r="N49" i="69"/>
  <c r="E30" i="122" a="1"/>
  <c r="O27" i="74"/>
  <c r="E27" i="114"/>
  <c r="E7" i="122" a="1"/>
  <c r="E30" i="69"/>
  <c r="E30" i="123" a="1"/>
  <c r="E7" i="123" a="1"/>
  <c r="H53" i="136" l="1"/>
  <c r="H51" i="136"/>
  <c r="H54" i="136"/>
  <c r="H52" i="136"/>
  <c r="H49" i="136"/>
  <c r="H48" i="136"/>
  <c r="H50" i="136"/>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3" a="1"/>
  <c r="E30" i="113" a="1"/>
  <c r="E7" i="114"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E7" i="74" a="1"/>
  <c r="E19" i="120" l="1"/>
  <c r="E20" i="120" s="1"/>
  <c r="E42" i="70"/>
  <c r="J16" i="74" a="1"/>
  <c r="J16" i="74" s="1"/>
  <c r="J17" i="74" a="1"/>
  <c r="J17" i="74" s="1"/>
  <c r="J18" i="74" a="1"/>
  <c r="J18" i="74" s="1"/>
  <c r="J14" i="74" a="1"/>
  <c r="J14" i="74" s="1"/>
  <c r="J15" i="74" a="1"/>
  <c r="J15" i="74" s="1"/>
  <c r="E7" i="74"/>
  <c r="O61" i="69"/>
  <c r="O43" i="69"/>
  <c r="I19" i="69" a="1"/>
  <c r="I19" i="69" s="1"/>
  <c r="I18" i="69" a="1"/>
  <c r="I18" i="69" s="1"/>
  <c r="I20" i="69" a="1"/>
  <c r="I20" i="69" s="1"/>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S24" i="123" l="1" a="1"/>
  <c r="S24" i="123" s="1"/>
  <c r="N45" i="123" s="1"/>
  <c r="O45" i="123" s="1" a="1"/>
  <c r="O45" i="123" s="1"/>
  <c r="O48" i="123" s="1"/>
  <c r="Q50" i="123" s="1"/>
  <c r="O53" i="123" s="1" a="1"/>
  <c r="O53" i="123" s="1"/>
  <c r="S24" i="113" a="1"/>
  <c r="S24" i="113" s="1"/>
  <c r="N45" i="113" s="1"/>
  <c r="Q50" i="122"/>
  <c r="O53" i="122" s="1" a="1"/>
  <c r="O53" i="122" s="1"/>
  <c r="I17" i="69" a="1"/>
  <c r="I17" i="69" s="1"/>
  <c r="E24" i="69" s="1" a="1"/>
  <c r="E24" i="69" s="1"/>
  <c r="E62" i="114" a="1"/>
  <c r="E62" i="114" s="1"/>
  <c r="I24" i="123" l="1" a="1"/>
  <c r="I24" i="123" s="1"/>
  <c r="D45" i="123" s="1"/>
  <c r="E45" i="123" s="1" a="1"/>
  <c r="E45" i="123" s="1"/>
  <c r="E48" i="123" s="1"/>
  <c r="G50" i="123" s="1"/>
  <c r="E53" i="123" s="1" a="1"/>
  <c r="E53" i="123" s="1"/>
  <c r="I36" i="69"/>
  <c r="E13" i="13"/>
  <c r="F13" i="13" s="1"/>
  <c r="H64" i="114"/>
  <c r="E67" i="114" s="1" a="1"/>
  <c r="E67" i="114" s="1"/>
  <c r="H13" i="13" s="1"/>
  <c r="I13" i="13" s="1"/>
  <c r="I24" i="113"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<sst xmlns="http://schemas.openxmlformats.org/spreadsheetml/2006/main" count="540" uniqueCount="283">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</sst>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008000"/>
      <color rgb="FFC44340"/>
      <color rgb="FFFFCCCC"/>
      <color rgb="FFCC660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6">
      <calculatedColumnFormula array="1">Common_InputFunctions.Utility_DisplayArrayInTable(Agresidue_SourceData.CropFractionRemoved_Data(), Table76[[#Headers],[Crop type c]], 0)</calculatedColumnFormula>
    </tableColumn>
    <tableColumn id="3" xr3:uid="{BB1819D3-B175-4610-A8F6-4C85437820E5}" name="Fraction removed" dataDxfId="6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4">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2" dataCellStyle="Content bold">
  <autoFilter ref="D43:E45" xr:uid="{2270AB6D-D03A-4D71-95C0-00BA6BB02732}">
    <filterColumn colId="0" hiddenButton="1"/>
    <filterColumn colId="1" hiddenButton="1"/>
  </autoFilter>
  <tableColumns count="2">
    <tableColumn id="1" xr3:uid="{C1F5DE5C-442A-47C8-B53B-A669D141AC48}" name="Climate zone type i" dataDxfId="61"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6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8"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7"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6"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5"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4"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2"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5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15242E4-94BB-4388-8FCD-8FBF5FDB1F2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85285F7-0197-4419-8454-314D0043F797}" name="State/Territory">
      <calculatedColumnFormula array="1">Common_InputFunctions.Utility_DisplayArrayInTable(Common_SourceData.Common_SourceData_AustralianStatesTerritories_Data(),Table_AustralianStates[[#Headers],[State/Territory]],0)</calculatedColumnFormula>
    </tableColumn>
    <tableColumn id="2" xr3:uid="{0E7C3FC1-C79D-4AD5-9C64-49871634B187}" name="Common Name">
      <calculatedColumnFormula array="1">Common_InputFunctions.Utility_DisplayArrayInTable(Common_SourceData.Common_SourceData_AustralianStatesTerritories_Data(),Table_AustralianStates[[#Headers],[State/Territory]],0)</calculatedColumnFormula>
    </tableColumn>
    <tableColumn id="3" xr3:uid="{45626805-9E17-4BD1-B702-9656ECB5D39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ECFFD67-DE8D-40A6-9376-20869391F69E}" name="Table_WASA4Areas" displayName="Table_WASA4Areas" ref="D20:D30" totalsRowShown="0">
  <autoFilter ref="D20:D30" xr:uid="{5FA81339-C6C8-4D36-BEEA-6C4AEDD9E676}">
    <filterColumn colId="0" hiddenButton="1"/>
  </autoFilter>
  <tableColumns count="1">
    <tableColumn id="1" xr3:uid="{E3476D7B-012A-46A1-9E4E-C1B7E2E97C5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1A38FF3-B452-4864-A7B2-18BE6D0E8C18}" name="Table_GWPData" displayName="Table_GWPData" ref="D36:E43" totalsRowShown="0">
  <autoFilter ref="D36:E43" xr:uid="{B8E87A66-3E41-4AD3-925D-01EE21B43D7A}">
    <filterColumn colId="0" hiddenButton="1"/>
    <filterColumn colId="1" hiddenButton="1"/>
  </autoFilter>
  <tableColumns count="2">
    <tableColumn id="1" xr3:uid="{F5143C51-DE74-4AD3-BE14-E303C5E3B360}" name="Gas">
      <calculatedColumnFormula array="1">Common_InputFunctions.Utility_DisplayArrayInTable(Common_SourceData.Common_SourceData_GWP_Data(), Table_GWPData[[#Headers],[Gas]], 0)</calculatedColumnFormula>
    </tableColumn>
    <tableColumn id="2" xr3:uid="{52ED7FB2-F1F2-44E2-9676-45825BF02B8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CD9E27E-6713-4809-B302-5C566B83F76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6EE6686-FDCF-490C-A905-6D25DF95806D}" name="Gas">
      <calculatedColumnFormula array="1">Common_InputFunctions.Utility_DisplayArrayInTable(Common_SourceData.Common_SourceData_ConvertGasElementalToMolecular_Data(),Table_GasToMolecularConversionFactor[[#Headers],[Gas]], 0)</calculatedColumnFormula>
    </tableColumn>
    <tableColumn id="5" xr3:uid="{768C0AB2-C8E1-433B-B144-79259594899E}" name="Conversion factor">
      <calculatedColumnFormula array="1">Common_InputFunctions.Utility_DisplayArrayInTable(Common_SourceData.Common_SourceData_ConvertGasElementalToMolecular_Data(),Table_GasToMolecularConversionFactor[[#Headers],[Gas]], 0)</calculatedColumnFormula>
    </tableColumn>
    <tableColumn id="2" xr3:uid="{DE7D9EC6-BDD9-43FB-8CD6-A93FA0CDE74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757A869-0205-4059-A5C5-4D79BF07882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A125E95-25BE-405C-BA7E-A98785A7F5A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AFC621-F2D0-4222-A5B9-9791FDB5BF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B71CB2-DF62-44CE-A955-5FA230170E4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E80A9DE-F0C3-497F-82CA-21EBFFAF9992}" name="MA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3" xr3:uid="{6E8E9504-3C6F-4C0D-98DA-9BAEDAC99D11}" name="MA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4" xr3:uid="{443D671D-B455-4AE8-9F51-412B14BD786E}" name="Frost days per year"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5" xr3:uid="{EAC94197-2D40-4D0C-AC82-ABEEBBE1C8A7}" name="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6" xr3:uid="{07178A7C-1F41-4A0B-874B-5620D5CA93CD}" name="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7" xr3:uid="{F51BFF1E-ADA8-4084-98B2-B0EE1F29C8D9}" name="Min temp"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8" xr3:uid="{55ECB238-7918-410F-A288-1944115D64F9}" name="Max temp"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9" xr3:uid="{93BB3183-03B5-4DD3-813A-57039CD49026}" name="Min rainfall"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0" xr3:uid="{36F6A66F-87C9-41B8-92D3-CC8F9F943A43}" name="Max rainfall"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1" xr3:uid="{180FDA2C-2826-4C34-AF47-04D8B1A3BA7C}" name="Min frost days"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5" xr3:uid="{0BCE5116-BD89-4504-91C7-AB4A7DAB92E1}" name="Max frost days"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2" xr3:uid="{EE0BC106-DAB3-44B5-9F7C-CE6BBBED0312}" name="Min 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6" xr3:uid="{2A2170A7-DB10-4096-BF15-E647A37DAB1B}" name="Max 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3" xr3:uid="{3942B39A-5E69-49A3-9A83-56E41A6BD8BD}" name="Min 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7" xr3:uid="{DAABE527-C1BE-4ECC-9D29-FEBBF749ED1D}" name="Max MAP:PET" totalsRowDxfId="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B61AC17-82AF-4EB2-B3DE-05D70689643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5140128-22CE-45C3-9B25-FAA7D0157E1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EBD49D-F86A-4042-B65D-6811E1971B24}" name="Wet or Dry Zone" totalsRowDxfId="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8D96B28-3376-409A-8150-B96A99979D1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658A21F-0221-43DE-91EF-6307F0D1F566}" name="Temperature Zone">
      <calculatedColumnFormula array="1">Common_InputFunctions.Utility_DisplayArrayInTable(Common_SourceData.Common_SourceData_TemperatureZones_Data(),Table_SourceData_TemperatureZones[[#Headers],[Temperature Zone]],0)</calculatedColumnFormula>
    </tableColumn>
    <tableColumn id="2" xr3:uid="{F9F35E82-2A45-40E1-9B15-9226D39F6AA5}" name="MAT">
      <calculatedColumnFormula array="1">Common_InputFunctions.Utility_DisplayArrayInTable(Common_SourceData.Common_SourceData_TemperatureZones_Data(),Table_SourceData_TemperatureZones[[#Headers],[Temperature Zone]],0)</calculatedColumnFormula>
    </tableColumn>
    <tableColumn id="3" xr3:uid="{089ED630-BB0B-4097-9236-695599632C3C}" name="Min MAT">
      <calculatedColumnFormula array="1">Common_InputFunctions.Utility_DisplayArrayInTable(Common_SourceData.Common_SourceData_TemperatureZones_Data(),Table_SourceData_TemperatureZones[[#Headers],[Temperature Zone]],0)</calculatedColumnFormula>
    </tableColumn>
    <tableColumn id="4" xr3:uid="{28988991-4D48-4149-AA82-3078C02F3B2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A9A40AE-2261-4EEE-BE9E-C8892C7D560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E6FFE83-6518-4111-B816-89F79A4D2F34}" name="Rainfall Zone">
      <calculatedColumnFormula array="1">Common_InputFunctions.Utility_DisplayArrayInTable(Common_SourceData.Common_SourceData_RainfallZones_Data(),Table_SourceData_RainfallZones[[#Headers],[Rainfall Zone]],0)</calculatedColumnFormula>
    </tableColumn>
    <tableColumn id="2" xr3:uid="{E6ABD893-B837-4937-946C-DF23BA09E5A0}" name="Annual rainfall">
      <calculatedColumnFormula array="1">Common_InputFunctions.Utility_DisplayArrayInTable(Common_SourceData.Common_SourceData_RainfallZones_Data(),Table_SourceData_RainfallZones[[#Headers],[Rainfall Zone]],0)</calculatedColumnFormula>
    </tableColumn>
    <tableColumn id="3" xr3:uid="{CB918A9C-F25D-46AC-8CAF-520CBAC4E313}" name="Min rainfall">
      <calculatedColumnFormula array="1">Common_InputFunctions.Utility_DisplayArrayInTable(Common_SourceData.Common_SourceData_RainfallZones_Data(),Table_SourceData_RainfallZones[[#Headers],[Rainfall Zone]],0)</calculatedColumnFormula>
    </tableColumn>
    <tableColumn id="4" xr3:uid="{66547D2F-72D2-45C9-A52C-3C7319D5EC7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3AC2AEF-E3B7-4B4C-B8A8-0110EDDF89E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D6434C9-BA54-47CB-A5E3-359EC5113C6C}" name="Leaching Zone">
      <calculatedColumnFormula array="1">Common_InputFunctions.Utility_DisplayArrayInTable(Common_SourceData.Common_SourceData_LeachingZones_Data(), Table_SourceData_LeachingZones[[#Headers],[Leaching Zone]], 0)</calculatedColumnFormula>
    </tableColumn>
    <tableColumn id="2" xr3:uid="{AD2C4179-AC75-4F20-A90D-0EA27A87067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9C8CA9C-7C20-4ED4-ADE4-1C63057CE17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716E96E-C1B7-4147-8F11-9A5A92A00A0C}" name="Data source">
      <calculatedColumnFormula array="1">Common_InputFunctions.Utility_DisplayArrayInTable(Common_SourceData.Common_SourceData_DataScores_Scope3_Data(), Table_SourceData_DataScores_Scope3[[#Headers],[Data source]], 0)</calculatedColumnFormula>
    </tableColumn>
    <tableColumn id="2" xr3:uid="{B194167F-E43E-4C15-BA3F-938B624A823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1FC472F-62F5-4495-B319-BDEE5A7B088D}" name="Table_SourceData_FracWET" displayName="Table_SourceData_FracWET" ref="D134:E136" totalsRowShown="0">
  <autoFilter ref="D134:E136" xr:uid="{308E99BE-FE1F-47A4-B2CA-97217277C4E9}">
    <filterColumn colId="0" hiddenButton="1"/>
    <filterColumn colId="1" hiddenButton="1"/>
  </autoFilter>
  <tableColumns count="2">
    <tableColumn id="1" xr3:uid="{E3354658-ACC4-40B7-9868-13B3E3C4DD1D}" name="Is in leaching zone">
      <calculatedColumnFormula array="1">Common_InputFunctions.Utility_DisplayArrayInTable(Common_SourceData.Common_SourceData_FracWET_Data(),Table_SourceData_FracWET[[#Headers],[Is in leaching zone]],0)</calculatedColumnFormula>
    </tableColumn>
    <tableColumn id="2" xr3:uid="{94AC354C-3E9B-4746-B8AD-8BC6A999841A}" name="FracWET" dataDxfId="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FBB57CC-6040-44DD-9FAF-FC0428C19E5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0ECCAAA-9924-4DE1-84BC-8D9064B8CC44}" name="Production system j">
      <calculatedColumnFormula array="1">Common_InputFunctions.Utility_DisplayArrayInTable(Common_SourceData.Common_SourceData_EFN2O_Data(), Table_SourceData_Common_EFN2O[[#Headers],[Production system j]], 0)</calculatedColumnFormula>
    </tableColumn>
    <tableColumn id="2" xr3:uid="{28169AB7-EF43-4719-A504-B75DC00584E5}" name="EFN2O">
      <calculatedColumnFormula array="1">Common_InputFunctions.Utility_DisplayArrayInTable(Common_SourceData.Common_SourceData_EFN2O_Data(), Table_SourceData_Common_EFN2O[[#Headers],[Production system j]], 0)</calculatedColumnFormula>
    </tableColumn>
    <tableColumn id="3" xr3:uid="{60EBD679-081F-49DE-9E4E-4FCBED4D1579}" name="Production system only">
      <calculatedColumnFormula array="1">Common_InputFunctions.Utility_DisplayArrayInTable(Common_SourceData.Common_SourceData_EFN2O_Data(), Table_SourceData_Common_EFN2O[[#Headers],[Production system j]], 0)</calculatedColumnFormula>
    </tableColumn>
    <tableColumn id="4" xr3:uid="{57F1AEB9-FCFF-4AF9-8452-1C16412130AE}" name="Irrigation method">
      <calculatedColumnFormula array="1">Common_InputFunctions.Utility_DisplayArrayInTable(Common_SourceData.Common_SourceData_EFN2O_Data(), Table_SourceData_Common_EFN2O[[#Headers],[Production system j]], 0)</calculatedColumnFormula>
    </tableColumn>
    <tableColumn id="5" xr3:uid="{9EAA6F39-6BD3-4724-918E-5FB79857E7D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938A556-70C0-4BBB-A679-8D263374449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61CCCD-DBF3-4EF3-A319-57D1F9E09857}" name="Irrigation type i">
      <calculatedColumnFormula array="1">Common_InputFunctions.Utility_DisplayArrayInTable(Common_SourceData.Common_SourceData_FracWETIrrigation_Data(), Table_SourceData_FracWETIrrigation[[#Headers],[Irrigation type i]], 0)</calculatedColumnFormula>
    </tableColumn>
    <tableColumn id="2" xr3:uid="{257859AA-EF19-4073-B64C-997501B2752D}" name="FracWET" dataDxfId="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546BCAA-B087-4919-9415-2F922035646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7E218CA-3B12-4310-8241-F55FBC60C4F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C29A251-6F34-47FF-AB49-EC46CCBCB5A6}" name="EFPRP" dataDxfId="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5586725-89B6-4E9E-B92B-F79798131D3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7608570-5D01-4AC4-9CF0-B64FD200818D}" name="Month">
      <calculatedColumnFormula array="1">Common_InputFunctions.Utility_DisplayArrayInTable(Common_SourceData.Common_SourceData_MonthsToSeasons_Data(), Table_SourceData_Common_MonthToSeason[[#Headers],[Month]], 0)</calculatedColumnFormula>
    </tableColumn>
    <tableColumn id="2" xr3:uid="{FE6E9157-D06E-4A49-A4E8-12BBACEA9D68}" name="Season" dataDxfId="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0C4928D-9491-4DAE-8E41-940E8B0641A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A9864C8-A9A9-4116-BFA9-8AE4C33B203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D020718-B126-4E1E-B7A2-E4799CE84F90}" name="MAT (ºC)"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DF30795-81CA-4753-8DC6-BE82EB56ED08}" name="Anaerobic lagoon"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24071FF-B9F3-4701-8161-C219AA038402}" name="Digester / covered lagoons"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4F25A1E-BD1A-4A32-B3B9-3FE66F06A7C4}" name="Liquid systems"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E88BFF6-4788-4CD7-9D86-76D3ED21E32D}" name="Daily spread"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3B68D19-308D-4A97-8EAC-DFD2DA03D834}" name="Composting (passive windro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2FA9499-2E9B-4059-8073-E3F174038738}" name="Solid storage"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DEFC96-F03D-4B17-801A-22BB9A5F0C13}" name="Pit storage"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593D4FF2-E7DF-4153-AC57-DF4C8497FA91}" name="Deep litter"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E5C229F-E953-48BE-B9EC-00F01E583582}" name="Poultry manure with bedding"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6D5C57F-CF70-4D00-8627-B307B61DBA91}" name="Poultry manure without bedding"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15FB04B-C98F-40ED-BD0B-F3C991004B61}" name="Direct process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6CD9218-60CE-4633-86A8-A4C085F547BC}" name="Direct application"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62A4390-490F-4133-991C-A562D6FB1048}" name="Pasture range and paddock"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4931689-F00B-49B7-BFE8-DDEC799D500F}" name="MAT ra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9B72A60-B7F4-47F3-99DF-63A1E0AFD7B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713A0F3-8298-4022-BC27-83A9CF7BD32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C71DBEE-43BC-4913-A5B0-D331A36FD792}" name="EFNi &amp; EFN2Oi" dataDxfId="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DB59068-0BAB-4E3F-8845-54FF464CA2F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CC4F15D-FB39-4B3E-8DC8-B2A7FAD84DB1}" name="Description" dataDxfId="13" dataCellStyle="Content normal"/>
    <tableColumn id="1" xr3:uid="{F9FA899D-1E1B-4193-8267-8FE4F843DBA5}" name="ID"/>
    <tableColumn id="3" xr3:uid="{6E45CED9-9F11-4902-983D-7D1EC6ECB644}"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9877CA-4402-4924-B096-59CBB4702102}"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1B8440E-D98F-4798-BA82-2F440729C7F0}" name="Description"/>
    <tableColumn id="2" xr3:uid="{CD946835-BD8C-447B-9052-7CCF880EE0D7}" name="ID"/>
    <tableColumn id="3" xr3:uid="{10653BBF-D21A-4397-81AD-63AD94D6DDC6}"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68C1BD0-7202-409D-937C-63B91EC8812F}"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E6A0250-5756-4FCF-A49F-8EB618CC8DF0}" name="Description"/>
    <tableColumn id="2" xr3:uid="{EE7C1207-AFC1-4E18-8EEB-3F87D593C77F}" name="ID"/>
    <tableColumn id="3" xr3:uid="{2B90D16D-7E8B-4915-8BC8-1EA14FDB00F5}"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73C2B07-C279-4209-B1C8-205615980A6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6A8F045-E54F-47A5-AA1C-7708BD93EC09}" name="Description"/>
    <tableColumn id="2" xr3:uid="{95BAF0B4-F148-4313-A2AF-D663916B48B9}" name="ID"/>
    <tableColumn id="3" xr3:uid="{F56A140B-AA34-4EB4-B697-563581A00C12}"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234</v>
      </c>
    </row>
    <row r="3" spans="1:1" x14ac:dyDescent="0.25">
      <c r="A3" s="142"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5" sqref="A1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2">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sheetPr>
    <tabColor theme="5" tint="-0.249977111117893"/>
  </sheetPr>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T342"/>
  <sheetViews>
    <sheetView showGridLines="0" zoomScaleNormal="100" workbookViewId="0">
      <selection activeCell="I7" sqref="I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f ca="1">Common_InputFunctions.Utility_DisplayFunctionName(VEERG_6_1_1_1__2__MassOfNitrogenInCropResidues_Result_Method1)</f>
        <v>=AgResidue_Equations_CropResidue.VEERG_6_1_1_1__2__MassOfNitrogenInCropResidues</v>
      </c>
      <c r="F7" s="21"/>
      <c r="G7" s="21"/>
      <c r="H7" s="21"/>
      <c r="J7" s="21"/>
      <c r="L7" s="21"/>
      <c r="M7" s="13" t="s">
        <v>21</v>
      </c>
      <c r="N7" s="13" t="str">
        <f ca="1">Common_InputFunctions.Utility_DisplayFunctionName(VEERG_6_1_1_2__1__FractionOfCropResidueRemovedBaled_Result)</f>
        <v>=AgResidue_Equations_CropResidue.VEERG_6_1_1_2__1__FractionOfCropResidueRemovedBaled</v>
      </c>
      <c r="O7" s="21"/>
      <c r="P7" s="21"/>
      <c r="Q7" s="21"/>
    </row>
    <row r="8" spans="1:20" ht="20.100000000000001" customHeight="1" x14ac:dyDescent="0.25">
      <c r="A8" s="19" t="s">
        <v>0</v>
      </c>
      <c r="F8" s="21"/>
      <c r="G8" s="21"/>
      <c r="H8" s="21"/>
      <c r="J8" s="21"/>
      <c r="L8" s="21"/>
      <c r="M8" s="21"/>
      <c r="N8" s="21"/>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100000000000001"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100000000000001"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43"/>
      <c r="M23" s="43"/>
      <c r="N23" s="43"/>
      <c r="O23" s="43"/>
      <c r="P23" s="43"/>
      <c r="Q23" s="43"/>
      <c r="R23" s="43"/>
      <c r="S23" s="43"/>
      <c r="T23" s="43"/>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100000000000001"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100000000000001" customHeight="1" x14ac:dyDescent="0.25">
      <c r="D26" s="21"/>
      <c r="E26" s="21"/>
      <c r="F26" s="21"/>
      <c r="G26" s="21"/>
      <c r="H26" s="21"/>
      <c r="L26" s="21"/>
      <c r="M26" s="13" t="s">
        <v>21</v>
      </c>
      <c r="N26" s="13" t="str">
        <f ca="1">Common_InputFunctions.Utility_DisplayFunctionName(VEERG_6_1_1_1__2__MassOfNitrogenInCropResidues_Result_Method2)</f>
        <v>=AgResidue_Equations_CropResidue.VEERG_6_1_1_1__2__MassOfNitrogenInCropResidues</v>
      </c>
      <c r="O26" s="21"/>
      <c r="P26" s="21"/>
      <c r="Q26" s="21"/>
    </row>
    <row r="27" spans="1:20" ht="20.100000000000001" customHeight="1" x14ac:dyDescent="0.25">
      <c r="D27" s="133"/>
      <c r="E27" s="133"/>
      <c r="F27" s="133"/>
      <c r="G27" s="133"/>
      <c r="H27" s="133"/>
      <c r="I27" s="133"/>
      <c r="L27" s="21"/>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100000000000001" customHeight="1" x14ac:dyDescent="0.25">
      <c r="F31" s="21"/>
      <c r="G31" s="21"/>
      <c r="H31" s="21"/>
      <c r="J31" s="21"/>
      <c r="L31" s="21"/>
      <c r="M31" s="21"/>
      <c r="N31" s="21"/>
      <c r="O31" s="21"/>
      <c r="P31" s="21"/>
    </row>
    <row r="32" spans="1:20" ht="20.100000000000001"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100000000000001"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100000000000001" customHeight="1" x14ac:dyDescent="0.25">
      <c r="D41" s="21"/>
      <c r="E41" s="21"/>
      <c r="F41" s="21"/>
      <c r="G41" s="21"/>
      <c r="H41" s="21"/>
      <c r="M41" s="114" t="str">
        <v>State</v>
      </c>
      <c r="N41" s="118" t="str">
        <v>State or territory</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100000000000001" customHeight="1" x14ac:dyDescent="0.25">
      <c r="H43" s="21"/>
      <c r="M43" s="115" t="s">
        <v>172</v>
      </c>
      <c r="N43" s="134" cm="1">
        <f t="array" ref="N43">AgResidue_Equations_CropResidue.VEERG_6_1_1_1__2__MassOfNitrogenInCropResidues(I13,I14,I16,R36,I18,I19,I15,I20)</f>
        <v>85008</v>
      </c>
      <c r="O43" s="116" t="str">
        <f>$E$11</f>
        <v>kg N</v>
      </c>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100000000000001" customHeight="1" x14ac:dyDescent="0.25">
      <c r="H46" s="21"/>
      <c r="J46" s="21"/>
      <c r="L46" s="133"/>
      <c r="M46" s="133"/>
      <c r="N46" s="133"/>
      <c r="O46" s="133"/>
      <c r="P46" s="133"/>
      <c r="Q46" s="133"/>
      <c r="R46" s="133"/>
      <c r="S46" s="133"/>
      <c r="T46" s="133"/>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100000000000001"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100000000000001"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100000000000001" customHeight="1" x14ac:dyDescent="0.25">
      <c r="J50" s="21"/>
      <c r="L50" s="21"/>
      <c r="O50" s="21"/>
      <c r="P50" s="21"/>
      <c r="Q50" s="21"/>
    </row>
    <row r="51" spans="10:18" ht="20.100000000000001" customHeight="1" x14ac:dyDescent="0.25">
      <c r="J51" s="21"/>
      <c r="L51" s="21"/>
      <c r="M51" s="21"/>
      <c r="N51" s="21"/>
      <c r="O51" s="21"/>
      <c r="P51" s="21"/>
      <c r="Q51" s="21"/>
    </row>
    <row r="52" spans="10:18" ht="20.100000000000001" customHeight="1" x14ac:dyDescent="0.25">
      <c r="J52" s="21"/>
      <c r="L52" s="21"/>
      <c r="M52" s="50" t="s">
        <v>24</v>
      </c>
      <c r="N52" s="1" t="str" cm="1">
        <f t="array" ref="N52">AgResidue_Equations_CropResidue.VEERG_6_1_1_1__1__NitrousOxideEmissionsFromCropResidues_Variable()</f>
        <v>E</v>
      </c>
      <c r="O52" s="21"/>
      <c r="P52" s="21"/>
      <c r="Q52" s="21"/>
    </row>
    <row r="53" spans="10:18" ht="20.100000000000001" customHeight="1" x14ac:dyDescent="0.25">
      <c r="L53" s="21"/>
      <c r="M53" s="50" t="s">
        <v>15</v>
      </c>
      <c r="N53" s="51" t="str" cm="1">
        <f t="array" ref="N53">AgResidue_Equations_CropResidue.VEERG_6_1_1_1__1__NitrousOxideEmissionsFromCropResidues_Unit()</f>
        <v>t N2O</v>
      </c>
      <c r="O53" s="21"/>
      <c r="P53" s="21"/>
      <c r="Q53" s="21"/>
    </row>
    <row r="54" spans="10:18" ht="20.100000000000001" customHeight="1" x14ac:dyDescent="0.25">
      <c r="L54" s="21"/>
      <c r="M54" s="21"/>
      <c r="N54" s="21"/>
      <c r="O54" s="21"/>
      <c r="P54" s="21"/>
      <c r="Q54" s="21"/>
    </row>
    <row r="55" spans="10:18" ht="20.100000000000001"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100000000000001"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100000000000001"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100000000000001" customHeight="1" x14ac:dyDescent="0.25">
      <c r="L58" s="21"/>
      <c r="M58" s="114" t="str">
        <v>c</v>
      </c>
      <c r="N58" s="118" t="str">
        <v>Crop type</v>
      </c>
      <c r="O58" s="117"/>
      <c r="P58" s="114" t="str">
        <v/>
      </c>
      <c r="Q58" s="109" t="str">
        <v>Input</v>
      </c>
      <c r="R58" s="114" t="str">
        <f>X_Cell_Crop_CropType</f>
        <v>Wheat</v>
      </c>
    </row>
    <row r="59" spans="10:18" ht="20.100000000000001" customHeight="1" x14ac:dyDescent="0.25">
      <c r="L59" s="21"/>
      <c r="M59" s="114" t="str">
        <v>i</v>
      </c>
      <c r="N59" s="118" t="str">
        <v>Wet or dry climate zone</v>
      </c>
      <c r="O59" s="117"/>
      <c r="P59" s="114" t="str">
        <v/>
      </c>
      <c r="Q59" s="109" t="str">
        <v>Input</v>
      </c>
      <c r="R59" s="114" t="str">
        <f>X_Cell_Site_WetOrDryClimateZone</f>
        <v>Dry climate zone</v>
      </c>
    </row>
    <row r="60" spans="10:18" ht="20.100000000000001" customHeight="1" x14ac:dyDescent="0.25">
      <c r="L60" s="21"/>
      <c r="M60" s="21"/>
      <c r="N60" s="21"/>
      <c r="O60" s="21"/>
      <c r="P60" s="21"/>
      <c r="Q60" s="21"/>
    </row>
    <row r="61" spans="10:18" ht="20.100000000000001"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100000000000001" customHeight="1" x14ac:dyDescent="0.25">
      <c r="L62" s="21"/>
      <c r="Q62" s="21"/>
    </row>
    <row r="63" spans="10:18" ht="20.100000000000001"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100000000000001"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100000000000001" customHeight="1" x14ac:dyDescent="0.25">
      <c r="L65" s="21"/>
      <c r="Q65" s="21"/>
    </row>
    <row r="66" spans="12:18" ht="20.100000000000001"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100000000000001" customHeight="1" x14ac:dyDescent="0.25">
      <c r="L67" s="21"/>
      <c r="M67" s="21"/>
      <c r="N67" s="21"/>
      <c r="O67" s="101"/>
      <c r="P67" s="21"/>
      <c r="Q67" s="21"/>
      <c r="R67" s="21"/>
    </row>
    <row r="68" spans="12:18" ht="20.100000000000001" customHeight="1" x14ac:dyDescent="0.25">
      <c r="L68" s="21"/>
    </row>
    <row r="69" spans="12:18" ht="20.100000000000001" customHeight="1" x14ac:dyDescent="0.25">
      <c r="L69" s="21"/>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T165"/>
  <sheetViews>
    <sheetView showGridLines="0" topLeftCell="A9"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VEERG_6_1_1_1__2__MassOfNitrogenInCropResidues_Result_Method1</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VEERG_6_1_1_1__2__MassOfNitrogenInCropResidues_Result_Method2</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sheetPr>
    <tabColor rgb="FF008000"/>
  </sheetPr>
  <dimension ref="A1:T165"/>
  <sheetViews>
    <sheetView showGridLines="0" topLeftCell="A14"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VEERG_6_1_1_1__2__MassOfNitrogenInCropResidues_Result_Method1</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VEERG_6_1_1_1__2__MassOfNitrogenInCropResidues_Result_Method2</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sheetPr>
    <tabColor rgb="FF008000"/>
  </sheetPr>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S165"/>
  <sheetViews>
    <sheetView showGridLines="0"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A3638-5724-4FD8-8944-B854D71A049A}">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16</v>
      </c>
      <c r="E6" s="36" t="s">
        <v>17</v>
      </c>
      <c r="F6" s="36" t="s">
        <v>18</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119</v>
      </c>
      <c r="E257" s="36" t="s">
        <v>120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235</v>
      </c>
    </row>
    <row r="264" spans="4:6" x14ac:dyDescent="0.25">
      <c r="D264" s="1" t="s">
        <v>236</v>
      </c>
    </row>
    <row r="265" spans="4:6" x14ac:dyDescent="0.25">
      <c r="D265" s="36" t="s">
        <v>237</v>
      </c>
      <c r="E265" s="36" t="s">
        <v>238</v>
      </c>
      <c r="F265" s="36" t="s">
        <v>239</v>
      </c>
    </row>
    <row r="266" spans="4:6" x14ac:dyDescent="0.25">
      <c r="D266" s="36" t="s">
        <v>240</v>
      </c>
      <c r="E266" s="36" t="s">
        <v>241</v>
      </c>
      <c r="F266" s="36">
        <v>5</v>
      </c>
    </row>
    <row r="267" spans="4:6" x14ac:dyDescent="0.25">
      <c r="D267" s="36" t="s">
        <v>242</v>
      </c>
      <c r="E267" s="36" t="s">
        <v>243</v>
      </c>
      <c r="F267" s="36">
        <v>4</v>
      </c>
    </row>
    <row r="268" spans="4:6" x14ac:dyDescent="0.25">
      <c r="D268" s="36" t="s">
        <v>244</v>
      </c>
      <c r="E268" s="36" t="s">
        <v>245</v>
      </c>
      <c r="F268" s="36">
        <v>3</v>
      </c>
    </row>
    <row r="269" spans="4:6" x14ac:dyDescent="0.25">
      <c r="D269" s="36" t="s">
        <v>246</v>
      </c>
      <c r="E269" s="36" t="s">
        <v>247</v>
      </c>
      <c r="F269" s="36">
        <v>2</v>
      </c>
    </row>
    <row r="270" spans="4:6" x14ac:dyDescent="0.25">
      <c r="D270" s="36" t="s">
        <v>248</v>
      </c>
      <c r="E270" s="36" t="s">
        <v>249</v>
      </c>
      <c r="F270" s="36">
        <v>1</v>
      </c>
    </row>
    <row r="273" spans="4:6" x14ac:dyDescent="0.25">
      <c r="D273" s="1" t="s">
        <v>250</v>
      </c>
    </row>
    <row r="274" spans="4:6" x14ac:dyDescent="0.25">
      <c r="D274" s="36" t="s">
        <v>237</v>
      </c>
      <c r="E274" s="36" t="s">
        <v>238</v>
      </c>
      <c r="F274" s="36" t="s">
        <v>239</v>
      </c>
    </row>
    <row r="275" spans="4:6" x14ac:dyDescent="0.25">
      <c r="D275" s="36" t="s">
        <v>251</v>
      </c>
      <c r="E275" s="36" t="s">
        <v>252</v>
      </c>
      <c r="F275" s="36">
        <v>5</v>
      </c>
    </row>
    <row r="276" spans="4:6" x14ac:dyDescent="0.25">
      <c r="D276" s="36" t="s">
        <v>253</v>
      </c>
      <c r="E276" s="36" t="s">
        <v>254</v>
      </c>
      <c r="F276" s="36">
        <v>4</v>
      </c>
    </row>
    <row r="277" spans="4:6" x14ac:dyDescent="0.25">
      <c r="D277" s="36" t="s">
        <v>255</v>
      </c>
      <c r="E277" s="36" t="s">
        <v>256</v>
      </c>
      <c r="F277" s="36">
        <v>3</v>
      </c>
    </row>
    <row r="278" spans="4:6" x14ac:dyDescent="0.25">
      <c r="D278" s="36" t="s">
        <v>257</v>
      </c>
      <c r="E278" s="36" t="s">
        <v>258</v>
      </c>
      <c r="F278" s="36">
        <v>2</v>
      </c>
    </row>
    <row r="279" spans="4:6" x14ac:dyDescent="0.25">
      <c r="D279" s="36" t="s">
        <v>259</v>
      </c>
      <c r="E279" s="36" t="s">
        <v>260</v>
      </c>
      <c r="F279" s="36">
        <v>1</v>
      </c>
    </row>
    <row r="282" spans="4:6" x14ac:dyDescent="0.25">
      <c r="D282" s="1" t="s">
        <v>261</v>
      </c>
    </row>
    <row r="283" spans="4:6" x14ac:dyDescent="0.25">
      <c r="D283" s="36" t="s">
        <v>237</v>
      </c>
      <c r="E283" s="36" t="s">
        <v>238</v>
      </c>
      <c r="F283" s="36" t="s">
        <v>239</v>
      </c>
    </row>
    <row r="284" spans="4:6" x14ac:dyDescent="0.25">
      <c r="D284" s="36" t="s">
        <v>262</v>
      </c>
      <c r="E284" s="36" t="s">
        <v>263</v>
      </c>
      <c r="F284" s="36">
        <v>5</v>
      </c>
    </row>
    <row r="285" spans="4:6" x14ac:dyDescent="0.25">
      <c r="D285" s="36" t="s">
        <v>264</v>
      </c>
      <c r="E285" s="36" t="s">
        <v>265</v>
      </c>
      <c r="F285" s="36">
        <v>4</v>
      </c>
    </row>
    <row r="286" spans="4:6" x14ac:dyDescent="0.25">
      <c r="D286" s="36" t="s">
        <v>266</v>
      </c>
      <c r="E286" s="36" t="s">
        <v>267</v>
      </c>
      <c r="F286" s="36">
        <v>3</v>
      </c>
    </row>
    <row r="287" spans="4:6" x14ac:dyDescent="0.25">
      <c r="D287" s="36" t="s">
        <v>268</v>
      </c>
      <c r="E287" s="36" t="s">
        <v>269</v>
      </c>
      <c r="F287" s="36">
        <v>2</v>
      </c>
    </row>
    <row r="288" spans="4:6" x14ac:dyDescent="0.25">
      <c r="D288" s="36" t="s">
        <v>270</v>
      </c>
      <c r="E288" s="36" t="s">
        <v>271</v>
      </c>
      <c r="F288" s="36">
        <v>1</v>
      </c>
    </row>
    <row r="291" spans="4:6" x14ac:dyDescent="0.25">
      <c r="D291" s="1" t="s">
        <v>272</v>
      </c>
    </row>
    <row r="292" spans="4:6" x14ac:dyDescent="0.25">
      <c r="D292" s="36" t="s">
        <v>237</v>
      </c>
      <c r="E292" s="36" t="s">
        <v>238</v>
      </c>
      <c r="F292" s="36" t="s">
        <v>239</v>
      </c>
    </row>
    <row r="293" spans="4:6" x14ac:dyDescent="0.25">
      <c r="D293" s="36" t="s">
        <v>273</v>
      </c>
      <c r="E293" s="36" t="s">
        <v>274</v>
      </c>
      <c r="F293" s="36">
        <v>5</v>
      </c>
    </row>
    <row r="294" spans="4:6" x14ac:dyDescent="0.25">
      <c r="D294" s="36" t="s">
        <v>275</v>
      </c>
      <c r="E294" s="36" t="s">
        <v>276</v>
      </c>
      <c r="F294" s="36">
        <v>4</v>
      </c>
    </row>
    <row r="295" spans="4:6" x14ac:dyDescent="0.25">
      <c r="D295" s="36" t="s">
        <v>277</v>
      </c>
      <c r="E295" s="36" t="s">
        <v>278</v>
      </c>
      <c r="F295" s="36">
        <v>3</v>
      </c>
    </row>
    <row r="296" spans="4:6" x14ac:dyDescent="0.25">
      <c r="D296" s="36" t="s">
        <v>279</v>
      </c>
      <c r="E296" s="36" t="s">
        <v>280</v>
      </c>
      <c r="F296" s="36">
        <v>2</v>
      </c>
    </row>
    <row r="297" spans="4:6" x14ac:dyDescent="0.25">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72</vt:i4>
      </vt:variant>
    </vt:vector>
  </HeadingPairs>
  <TitlesOfParts>
    <vt:vector size="86"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2026-08-14T03:40:10Z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