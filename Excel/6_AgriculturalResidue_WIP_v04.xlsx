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8DE78E2-F536-46C7-A618-6DFDF38075D3}" xr6:coauthVersionLast="47" xr6:coauthVersionMax="47" xr10:uidLastSave="{00000000-0000-0000-0000-000000000000}"/>
  <bookViews>
    <workbookView xWindow="735" yWindow="735" windowWidth="37170" windowHeight="19920" activeTab="3"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36" r:id="rId14"/>
  </sheet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Fertiliser_InputFunctions.Fertiliser_SumProductApplied(
      _xlpm.ChemicalCompound,
      _xlpm.ProductIngredient1,
      _xlpm.calculatedAmount1
    ) + IFERROR(
      Fertiliser_InputFunctions.Fertiliser_SumProductApplied(
        _xlpm.ChemicalCompound,
        _xlpm.ProductIngredient2,
        _xlpm.calculatedAmount2
      ),
      0
    ) + IFERROR(
      Fertiliser_InputFunctions.Fertiliser_SumProductApplied(
        _xlpm.ChemicalCompound,
        _xlpm.ProductIngredient3,
        _xlpm.calculatedAmount3
      ),
      0
    ) + IFERROR(
      Fertiliser_InputFunctions.Fertiliser_SumProductApplied(
        _xlpm.ChemicalCompound,
        _xlpm.ProductIngredient4,
        _xlpm.calculatedAmount4
      ),
      0
    ) + IFERROR(
      Fertiliser_InputFunctions.Fertiliser_SumProductApplied(
        _xlpm.ChemicalCompound,
        _xlpm.ProductIngredient5,
        _xlpm.calculatedAmount5
      ),
      0
    ) + IFERROR(
      Fertiliser_InputFunctions.Fertiliser_SumProductApplied(
        _xlpm.ChemicalCompound,
        _xlpm.ProductIngredient6,
        _xlpm.calculatedAmount6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Fertiliser_InputFunctions.Fertiliser_SumProductApplied(
      _xlpm.ChemicalCompound,
      _xlpm.ProductIngredient1,
      _xlpm.calculatedAmount1,
      _xlpm.Source,
      _xlpm.ProductIngredientSource
    ) + IFERROR(
      Fertiliser_InputFunctions.Fertiliser_SumProductApplied(
        _xlpm.ChemicalCompound,
        _xlpm.ProductIngredient2,
        _xlpm.calculatedAmount2,
        _xlpm.Source,
        _xlpm.ProductIngredientSource
      ),
      0
    ) + IFERROR(
      Fertiliser_InputFunctions.Fertiliser_SumProductApplied(
        _xlpm.ChemicalCompound,
        _xlpm.ProductIngredient3,
        _xlpm.calculatedAmount3,
        _xlpm.Source,
        _xlpm.ProductIngredientSource
      ),
      0
    ) + IFERROR(
      Fertiliser_InputFunctions.Fertiliser_SumProductApplied(
        _xlpm.ChemicalCompound,
        _xlpm.ProductIngredient4,
        _xlpm.calculatedAmount4,
        _xlpm.Source,
        _xlpm.ProductIngredientSource
      ),
      0
    ) + IFERROR(
      Fertiliser_InputFunctions.Fertiliser_SumProductApplied(
        _xlpm.ChemicalCompound,
        _xlpm.ProductIngredient5,
        _xlpm.calculatedAmount5,
        _xlpm.Source,
        _xlpm.ProductIngredientSource
      ),
      0
    ) + IFERROR(
      Fertiliser_InputFunctions.Fertiliser_SumProductApplied(
        _xlpm.ChemicalCompound,
        _xlpm.ProductIngredient6,
        _xlpm.calculatedAmount6,
        _xlpm.Source,
        _xlpm.ProductIngredientSource
      ),
      0
    )
  )
)</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VEERG_6_1_1_1__1__NitrousOxideEmissionsFromCropResidues_Result_Method1">'6.1.1.1-2 Crop residue N2O'!$E$42</definedName>
    <definedName name="VEERG_6_1_1_1__1__NitrousOxideEmissionsFromCropResidues_Result_Method2">'6.1.1.1-2 Crop residue N2O'!$N$61</definedName>
    <definedName name="VEERG_6_1_1_1__2__MassOfNitrogenInCropResidues_Result_Method1">'6.1.1.1-2 Crop residue N2O'!$E$24</definedName>
    <definedName name="VEERG_6_1_1_1__2__MassOfNitrogenInCropResidues_Result_Method2">'6.1.1.1-2 Crop residue N2O'!$N$43</definedName>
    <definedName name="VEERG_6_1_1_2__1__FractionOfCropResidueRemovedBaled_Result">'6.1.1.1-2 Crop residue N2O'!$N$20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Crop'!$E$39</definedName>
    <definedName name="X_Cell_Crop_TotalProductionOfCrop">'Input - Crop'!$E$22</definedName>
    <definedName name="X_Cell_Crop_TotalResidueBaled">'Input - Crop'!$E$36</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22" l="1"/>
  <c r="J15" i="122"/>
  <c r="J37" i="123"/>
  <c r="J15" i="123"/>
  <c r="J37" i="113"/>
  <c r="J15" i="113"/>
  <c r="H65" i="114"/>
  <c r="I59" i="114"/>
  <c r="H42" i="114"/>
  <c r="I36" i="114"/>
  <c r="Q51" i="122"/>
  <c r="G51" i="122"/>
  <c r="J38" i="122"/>
  <c r="H25" i="122"/>
  <c r="Q51" i="123"/>
  <c r="G51" i="123"/>
  <c r="J38" i="123"/>
  <c r="H24" i="123"/>
  <c r="Q51" i="113"/>
  <c r="G51" i="113"/>
  <c r="J38" i="113"/>
  <c r="H25" i="113"/>
  <c r="H24" i="113"/>
  <c r="Q43" i="74"/>
  <c r="G43" i="74"/>
  <c r="J35" i="74"/>
  <c r="P64" i="69"/>
  <c r="R57" i="69"/>
  <c r="G45" i="69"/>
  <c r="I38" i="69"/>
  <c r="I22" i="69"/>
  <c r="E33" i="15"/>
  <c r="E32" i="15"/>
  <c r="E31" i="15"/>
  <c r="E30" i="15"/>
  <c r="E259" i="136" a="1"/>
  <c r="E259" i="136" s="1"/>
  <c r="D259" i="136" a="1"/>
  <c r="D259" i="136" s="1"/>
  <c r="E258" i="136" a="1"/>
  <c r="E258" i="136" s="1"/>
  <c r="D258" i="136" a="1"/>
  <c r="D258" i="136" s="1"/>
  <c r="D256" i="136" a="1"/>
  <c r="D256" i="136" s="1"/>
  <c r="D255" i="136" a="1"/>
  <c r="D255" i="136" s="1"/>
  <c r="D254" i="136" a="1"/>
  <c r="D254" i="136" s="1"/>
  <c r="D253" i="136" a="1"/>
  <c r="D253" i="136" s="1"/>
  <c r="S250" i="136" a="1"/>
  <c r="S250" i="136" s="1"/>
  <c r="R250" i="136" a="1"/>
  <c r="R250" i="136" s="1"/>
  <c r="Q250" i="136" a="1"/>
  <c r="Q250" i="136" s="1"/>
  <c r="P250" i="136" a="1"/>
  <c r="P250" i="136" s="1"/>
  <c r="O250" i="136" a="1"/>
  <c r="O250" i="136" s="1"/>
  <c r="N250" i="136" a="1"/>
  <c r="N250" i="136" s="1"/>
  <c r="M250" i="136" a="1"/>
  <c r="M250" i="136" s="1"/>
  <c r="L250" i="136" a="1"/>
  <c r="L250" i="136" s="1"/>
  <c r="K250" i="136" a="1"/>
  <c r="K250" i="136" s="1"/>
  <c r="J250" i="136" a="1"/>
  <c r="J250" i="136" s="1"/>
  <c r="I250" i="136" a="1"/>
  <c r="I250" i="136" s="1"/>
  <c r="H250" i="136" a="1"/>
  <c r="H250" i="136" s="1"/>
  <c r="G250" i="136" a="1"/>
  <c r="G250" i="136" s="1"/>
  <c r="F250" i="136" a="1"/>
  <c r="F250" i="136" s="1"/>
  <c r="E250" i="136" a="1"/>
  <c r="E250" i="136" s="1"/>
  <c r="D250" i="136" a="1"/>
  <c r="D250" i="136" s="1"/>
  <c r="S249" i="136" a="1"/>
  <c r="S249" i="136" s="1"/>
  <c r="R249" i="136" a="1"/>
  <c r="R249" i="136" s="1"/>
  <c r="Q249" i="136" a="1"/>
  <c r="Q249" i="136" s="1"/>
  <c r="P249" i="136" a="1"/>
  <c r="P249" i="136" s="1"/>
  <c r="O249" i="136" a="1"/>
  <c r="O249" i="136" s="1"/>
  <c r="N249" i="136" a="1"/>
  <c r="N249" i="136" s="1"/>
  <c r="M249" i="136" a="1"/>
  <c r="M249" i="136" s="1"/>
  <c r="L249" i="136" a="1"/>
  <c r="L249" i="136" s="1"/>
  <c r="K249" i="136" a="1"/>
  <c r="K249" i="136" s="1"/>
  <c r="J249" i="136" a="1"/>
  <c r="J249" i="136" s="1"/>
  <c r="I249" i="136" a="1"/>
  <c r="I249" i="136" s="1"/>
  <c r="H249" i="136" a="1"/>
  <c r="H249" i="136" s="1"/>
  <c r="G249" i="136" a="1"/>
  <c r="G249" i="136" s="1"/>
  <c r="F249" i="136" a="1"/>
  <c r="F249" i="136" s="1"/>
  <c r="E249" i="136" a="1"/>
  <c r="E249" i="136" s="1"/>
  <c r="D249" i="136" a="1"/>
  <c r="D249" i="136" s="1"/>
  <c r="S248" i="136" a="1"/>
  <c r="S248" i="136" s="1"/>
  <c r="R248" i="136" a="1"/>
  <c r="R248" i="136" s="1"/>
  <c r="Q248" i="136" a="1"/>
  <c r="Q248" i="136" s="1"/>
  <c r="P248" i="136" a="1"/>
  <c r="P248" i="136" s="1"/>
  <c r="O248" i="136" a="1"/>
  <c r="O248" i="136" s="1"/>
  <c r="N248" i="136" a="1"/>
  <c r="N248" i="136" s="1"/>
  <c r="M248" i="136" a="1"/>
  <c r="M248" i="136" s="1"/>
  <c r="L248" i="136" a="1"/>
  <c r="L248" i="136" s="1"/>
  <c r="K248" i="136" a="1"/>
  <c r="K248" i="136" s="1"/>
  <c r="J248" i="136" a="1"/>
  <c r="J248" i="136" s="1"/>
  <c r="I248" i="136" a="1"/>
  <c r="I248" i="136" s="1"/>
  <c r="H248" i="136" a="1"/>
  <c r="H248" i="136" s="1"/>
  <c r="G248" i="136" a="1"/>
  <c r="G248" i="136" s="1"/>
  <c r="F248" i="136" a="1"/>
  <c r="F248" i="136" s="1"/>
  <c r="E248" i="136" a="1"/>
  <c r="E248" i="136" s="1"/>
  <c r="D248" i="136" a="1"/>
  <c r="D248" i="136" s="1"/>
  <c r="S247" i="136" a="1"/>
  <c r="S247" i="136" s="1"/>
  <c r="R247" i="136" a="1"/>
  <c r="R247" i="136" s="1"/>
  <c r="Q247" i="136" a="1"/>
  <c r="Q247" i="136" s="1"/>
  <c r="P247" i="136" a="1"/>
  <c r="P247" i="136" s="1"/>
  <c r="O247" i="136" a="1"/>
  <c r="O247" i="136" s="1"/>
  <c r="N247" i="136" a="1"/>
  <c r="N247" i="136" s="1"/>
  <c r="M247" i="136" a="1"/>
  <c r="M247" i="136" s="1"/>
  <c r="L247" i="136" a="1"/>
  <c r="L247" i="136" s="1"/>
  <c r="K247" i="136" a="1"/>
  <c r="K247" i="136" s="1"/>
  <c r="J247" i="136" a="1"/>
  <c r="J247" i="136" s="1"/>
  <c r="I247" i="136" a="1"/>
  <c r="I247" i="136" s="1"/>
  <c r="H247" i="136" a="1"/>
  <c r="H247" i="136" s="1"/>
  <c r="G247" i="136" a="1"/>
  <c r="G247" i="136" s="1"/>
  <c r="F247" i="136" a="1"/>
  <c r="F247" i="136" s="1"/>
  <c r="E247" i="136" a="1"/>
  <c r="E247" i="136" s="1"/>
  <c r="D247" i="136" a="1"/>
  <c r="D247" i="136" s="1"/>
  <c r="S246" i="136" a="1"/>
  <c r="S246" i="136" s="1"/>
  <c r="R246" i="136" a="1"/>
  <c r="R246" i="136" s="1"/>
  <c r="Q246" i="136" a="1"/>
  <c r="Q246" i="136" s="1"/>
  <c r="P246" i="136" a="1"/>
  <c r="P246" i="136" s="1"/>
  <c r="O246" i="136" a="1"/>
  <c r="O246" i="136" s="1"/>
  <c r="N246" i="136" a="1"/>
  <c r="N246" i="136" s="1"/>
  <c r="M246" i="136" a="1"/>
  <c r="M246" i="136" s="1"/>
  <c r="L246" i="136" a="1"/>
  <c r="L246" i="136" s="1"/>
  <c r="K246" i="136" a="1"/>
  <c r="K246" i="136" s="1"/>
  <c r="J246" i="136" a="1"/>
  <c r="J246" i="136" s="1"/>
  <c r="I246" i="136" a="1"/>
  <c r="I246" i="136" s="1"/>
  <c r="H246" i="136" a="1"/>
  <c r="H246" i="136" s="1"/>
  <c r="G246" i="136" a="1"/>
  <c r="G246" i="136" s="1"/>
  <c r="F246" i="136" a="1"/>
  <c r="F246" i="136" s="1"/>
  <c r="E246" i="136" a="1"/>
  <c r="E246" i="136" s="1"/>
  <c r="D246" i="136" a="1"/>
  <c r="D246" i="136" s="1"/>
  <c r="S245" i="136" a="1"/>
  <c r="S245" i="136" s="1"/>
  <c r="R245" i="136" a="1"/>
  <c r="R245" i="136" s="1"/>
  <c r="Q245" i="136" a="1"/>
  <c r="Q245" i="136" s="1"/>
  <c r="P245" i="136" a="1"/>
  <c r="P245" i="136" s="1"/>
  <c r="O245" i="136" a="1"/>
  <c r="O245" i="136" s="1"/>
  <c r="N245" i="136" a="1"/>
  <c r="N245" i="136" s="1"/>
  <c r="M245" i="136" a="1"/>
  <c r="M245" i="136" s="1"/>
  <c r="L245" i="136" a="1"/>
  <c r="L245" i="136" s="1"/>
  <c r="K245" i="136" a="1"/>
  <c r="K245" i="136" s="1"/>
  <c r="J245" i="136" a="1"/>
  <c r="J245" i="136" s="1"/>
  <c r="I245" i="136" a="1"/>
  <c r="I245" i="136" s="1"/>
  <c r="H245" i="136" a="1"/>
  <c r="H245" i="136" s="1"/>
  <c r="G245" i="136" a="1"/>
  <c r="G245" i="136" s="1"/>
  <c r="F245" i="136" a="1"/>
  <c r="F245" i="136" s="1"/>
  <c r="E245" i="136" a="1"/>
  <c r="E245" i="136" s="1"/>
  <c r="D245" i="136" a="1"/>
  <c r="D245" i="136" s="1"/>
  <c r="S244" i="136" a="1"/>
  <c r="S244" i="136" s="1"/>
  <c r="R244" i="136" a="1"/>
  <c r="R244" i="136" s="1"/>
  <c r="Q244" i="136" a="1"/>
  <c r="Q244" i="136" s="1"/>
  <c r="P244" i="136" a="1"/>
  <c r="P244" i="136" s="1"/>
  <c r="O244" i="136" a="1"/>
  <c r="O244" i="136" s="1"/>
  <c r="N244" i="136" a="1"/>
  <c r="N244" i="136" s="1"/>
  <c r="M244" i="136" a="1"/>
  <c r="M244" i="136" s="1"/>
  <c r="L244" i="136" a="1"/>
  <c r="L244" i="136" s="1"/>
  <c r="K244" i="136" a="1"/>
  <c r="K244" i="136" s="1"/>
  <c r="J244" i="136" a="1"/>
  <c r="J244" i="136" s="1"/>
  <c r="I244" i="136" a="1"/>
  <c r="I244" i="136" s="1"/>
  <c r="H244" i="136" a="1"/>
  <c r="H244" i="136" s="1"/>
  <c r="G244" i="136" a="1"/>
  <c r="G244" i="136" s="1"/>
  <c r="F244" i="136" a="1"/>
  <c r="F244" i="136" s="1"/>
  <c r="E244" i="136" a="1"/>
  <c r="E244" i="136" s="1"/>
  <c r="D244" i="136" a="1"/>
  <c r="D244" i="136" s="1"/>
  <c r="S243" i="136" a="1"/>
  <c r="S243" i="136" s="1"/>
  <c r="R243" i="136" a="1"/>
  <c r="R243" i="136" s="1"/>
  <c r="Q243" i="136" a="1"/>
  <c r="Q243" i="136" s="1"/>
  <c r="P243" i="136" a="1"/>
  <c r="P243" i="136" s="1"/>
  <c r="O243" i="136" a="1"/>
  <c r="O243" i="136" s="1"/>
  <c r="N243" i="136" a="1"/>
  <c r="N243" i="136" s="1"/>
  <c r="M243" i="136" a="1"/>
  <c r="M243" i="136" s="1"/>
  <c r="L243" i="136" a="1"/>
  <c r="L243" i="136" s="1"/>
  <c r="K243" i="136" a="1"/>
  <c r="K243" i="136" s="1"/>
  <c r="J243" i="136" a="1"/>
  <c r="J243" i="136" s="1"/>
  <c r="I243" i="136" a="1"/>
  <c r="I243" i="136" s="1"/>
  <c r="H243" i="136" a="1"/>
  <c r="H243" i="136" s="1"/>
  <c r="G243" i="136" a="1"/>
  <c r="G243" i="136" s="1"/>
  <c r="F243" i="136" a="1"/>
  <c r="F243" i="136" s="1"/>
  <c r="E243" i="136" a="1"/>
  <c r="E243" i="136" s="1"/>
  <c r="D243" i="136" a="1"/>
  <c r="D243" i="136" s="1"/>
  <c r="S242" i="136" a="1"/>
  <c r="S242" i="136" s="1"/>
  <c r="R242" i="136" a="1"/>
  <c r="R242" i="136" s="1"/>
  <c r="Q242" i="136" a="1"/>
  <c r="Q242" i="136" s="1"/>
  <c r="P242" i="136" a="1"/>
  <c r="P242" i="136" s="1"/>
  <c r="O242" i="136" a="1"/>
  <c r="O242" i="136" s="1"/>
  <c r="N242" i="136" a="1"/>
  <c r="N242" i="136" s="1"/>
  <c r="M242" i="136" a="1"/>
  <c r="M242" i="136" s="1"/>
  <c r="L242" i="136" a="1"/>
  <c r="L242" i="136" s="1"/>
  <c r="K242" i="136" a="1"/>
  <c r="K242" i="136" s="1"/>
  <c r="J242" i="136" a="1"/>
  <c r="J242" i="136" s="1"/>
  <c r="I242" i="136" a="1"/>
  <c r="I242" i="136" s="1"/>
  <c r="H242" i="136" a="1"/>
  <c r="H242" i="136" s="1"/>
  <c r="G242" i="136" a="1"/>
  <c r="G242" i="136" s="1"/>
  <c r="F242" i="136" a="1"/>
  <c r="F242" i="136" s="1"/>
  <c r="E242" i="136" a="1"/>
  <c r="E242" i="136" s="1"/>
  <c r="D242" i="136" a="1"/>
  <c r="D242" i="136" s="1"/>
  <c r="S241" i="136" a="1"/>
  <c r="S241" i="136" s="1"/>
  <c r="R241" i="136" a="1"/>
  <c r="R241" i="136" s="1"/>
  <c r="Q241" i="136" a="1"/>
  <c r="Q241" i="136" s="1"/>
  <c r="P241" i="136" a="1"/>
  <c r="P241" i="136" s="1"/>
  <c r="O241" i="136" a="1"/>
  <c r="O241" i="136" s="1"/>
  <c r="N241" i="136" a="1"/>
  <c r="N241" i="136" s="1"/>
  <c r="M241" i="136" a="1"/>
  <c r="M241" i="136" s="1"/>
  <c r="L241" i="136" a="1"/>
  <c r="L241" i="136" s="1"/>
  <c r="K241" i="136" a="1"/>
  <c r="K241" i="136" s="1"/>
  <c r="J241" i="136" a="1"/>
  <c r="J241" i="136" s="1"/>
  <c r="I241" i="136" a="1"/>
  <c r="I241" i="136" s="1"/>
  <c r="H241" i="136" a="1"/>
  <c r="H241" i="136" s="1"/>
  <c r="G241" i="136" a="1"/>
  <c r="G241" i="136" s="1"/>
  <c r="F241" i="136" a="1"/>
  <c r="F241" i="136" s="1"/>
  <c r="E241" i="136" a="1"/>
  <c r="E241" i="136" s="1"/>
  <c r="D241" i="136" a="1"/>
  <c r="D241" i="136" s="1"/>
  <c r="S240" i="136" a="1"/>
  <c r="S240" i="136" s="1"/>
  <c r="R240" i="136" a="1"/>
  <c r="R240" i="136" s="1"/>
  <c r="Q240" i="136" a="1"/>
  <c r="Q240" i="136" s="1"/>
  <c r="P240" i="136" a="1"/>
  <c r="P240" i="136" s="1"/>
  <c r="O240" i="136" a="1"/>
  <c r="O240" i="136" s="1"/>
  <c r="N240" i="136" a="1"/>
  <c r="N240" i="136" s="1"/>
  <c r="M240" i="136" a="1"/>
  <c r="M240" i="136" s="1"/>
  <c r="L240" i="136" a="1"/>
  <c r="L240" i="136" s="1"/>
  <c r="K240" i="136" a="1"/>
  <c r="K240" i="136" s="1"/>
  <c r="J240" i="136" a="1"/>
  <c r="J240" i="136" s="1"/>
  <c r="I240" i="136" a="1"/>
  <c r="I240" i="136" s="1"/>
  <c r="H240" i="136" a="1"/>
  <c r="H240" i="136" s="1"/>
  <c r="G240" i="136" a="1"/>
  <c r="G240" i="136" s="1"/>
  <c r="F240" i="136" a="1"/>
  <c r="F240" i="136" s="1"/>
  <c r="E240" i="136" a="1"/>
  <c r="E240" i="136" s="1"/>
  <c r="D240" i="136" a="1"/>
  <c r="D240" i="136" s="1"/>
  <c r="S239" i="136" a="1"/>
  <c r="S239" i="136" s="1"/>
  <c r="R239" i="136" a="1"/>
  <c r="R239" i="136" s="1"/>
  <c r="Q239" i="136" a="1"/>
  <c r="Q239" i="136" s="1"/>
  <c r="P239" i="136" a="1"/>
  <c r="P239" i="136" s="1"/>
  <c r="O239" i="136" a="1"/>
  <c r="O239" i="136" s="1"/>
  <c r="N239" i="136" a="1"/>
  <c r="N239" i="136" s="1"/>
  <c r="M239" i="136" a="1"/>
  <c r="M239" i="136" s="1"/>
  <c r="L239" i="136" a="1"/>
  <c r="L239" i="136" s="1"/>
  <c r="K239" i="136" a="1"/>
  <c r="K239" i="136" s="1"/>
  <c r="J239" i="136" a="1"/>
  <c r="J239" i="136" s="1"/>
  <c r="I239" i="136" a="1"/>
  <c r="I239" i="136" s="1"/>
  <c r="H239" i="136" a="1"/>
  <c r="H239" i="136" s="1"/>
  <c r="G239" i="136" a="1"/>
  <c r="G239" i="136" s="1"/>
  <c r="F239" i="136" a="1"/>
  <c r="F239" i="136" s="1"/>
  <c r="E239" i="136" a="1"/>
  <c r="E239" i="136" s="1"/>
  <c r="D239" i="136" a="1"/>
  <c r="D239" i="136" s="1"/>
  <c r="S238" i="136" a="1"/>
  <c r="S238" i="136" s="1"/>
  <c r="R238" i="136" a="1"/>
  <c r="R238" i="136" s="1"/>
  <c r="Q238" i="136" a="1"/>
  <c r="Q238" i="136" s="1"/>
  <c r="P238" i="136" a="1"/>
  <c r="P238" i="136" s="1"/>
  <c r="O238" i="136" a="1"/>
  <c r="O238" i="136" s="1"/>
  <c r="N238" i="136" a="1"/>
  <c r="N238" i="136" s="1"/>
  <c r="M238" i="136" a="1"/>
  <c r="M238" i="136" s="1"/>
  <c r="L238" i="136" a="1"/>
  <c r="L238" i="136" s="1"/>
  <c r="K238" i="136" a="1"/>
  <c r="K238" i="136" s="1"/>
  <c r="J238" i="136" a="1"/>
  <c r="J238" i="136" s="1"/>
  <c r="I238" i="136" a="1"/>
  <c r="I238" i="136" s="1"/>
  <c r="H238" i="136" a="1"/>
  <c r="H238" i="136" s="1"/>
  <c r="G238" i="136" a="1"/>
  <c r="G238" i="136" s="1"/>
  <c r="F238" i="136" a="1"/>
  <c r="F238" i="136" s="1"/>
  <c r="E238" i="136" a="1"/>
  <c r="E238" i="136" s="1"/>
  <c r="D238" i="136" a="1"/>
  <c r="D238" i="136" s="1"/>
  <c r="S237" i="136" a="1"/>
  <c r="S237" i="136" s="1"/>
  <c r="R237" i="136" a="1"/>
  <c r="R237" i="136" s="1"/>
  <c r="Q237" i="136" a="1"/>
  <c r="Q237" i="136" s="1"/>
  <c r="P237" i="136" a="1"/>
  <c r="P237" i="136" s="1"/>
  <c r="O237" i="136" a="1"/>
  <c r="O237" i="136" s="1"/>
  <c r="N237" i="136" a="1"/>
  <c r="N237" i="136" s="1"/>
  <c r="M237" i="136" a="1"/>
  <c r="M237" i="136" s="1"/>
  <c r="L237" i="136" a="1"/>
  <c r="L237" i="136" s="1"/>
  <c r="K237" i="136" a="1"/>
  <c r="K237" i="136" s="1"/>
  <c r="J237" i="136" a="1"/>
  <c r="J237" i="136" s="1"/>
  <c r="I237" i="136" a="1"/>
  <c r="I237" i="136" s="1"/>
  <c r="H237" i="136" a="1"/>
  <c r="H237" i="136" s="1"/>
  <c r="G237" i="136" a="1"/>
  <c r="G237" i="136" s="1"/>
  <c r="F237" i="136" a="1"/>
  <c r="F237" i="136" s="1"/>
  <c r="E237" i="136" a="1"/>
  <c r="E237" i="136" s="1"/>
  <c r="D237" i="136" a="1"/>
  <c r="D237" i="136" s="1"/>
  <c r="S236" i="136" a="1"/>
  <c r="S236" i="136" s="1"/>
  <c r="R236" i="136" a="1"/>
  <c r="R236" i="136" s="1"/>
  <c r="Q236" i="136" a="1"/>
  <c r="Q236" i="136" s="1"/>
  <c r="P236" i="136" a="1"/>
  <c r="P236" i="136" s="1"/>
  <c r="O236" i="136" a="1"/>
  <c r="O236" i="136" s="1"/>
  <c r="N236" i="136" a="1"/>
  <c r="N236" i="136" s="1"/>
  <c r="M236" i="136" a="1"/>
  <c r="M236" i="136" s="1"/>
  <c r="L236" i="136" a="1"/>
  <c r="L236" i="136" s="1"/>
  <c r="K236" i="136" a="1"/>
  <c r="K236" i="136" s="1"/>
  <c r="J236" i="136" a="1"/>
  <c r="J236" i="136" s="1"/>
  <c r="I236" i="136" a="1"/>
  <c r="I236" i="136" s="1"/>
  <c r="H236" i="136" a="1"/>
  <c r="H236" i="136" s="1"/>
  <c r="G236" i="136" a="1"/>
  <c r="G236" i="136" s="1"/>
  <c r="F236" i="136" a="1"/>
  <c r="F236" i="136" s="1"/>
  <c r="E236" i="136" a="1"/>
  <c r="E236" i="136" s="1"/>
  <c r="D236" i="136" a="1"/>
  <c r="D236" i="136" s="1"/>
  <c r="S235" i="136" a="1"/>
  <c r="S235" i="136" s="1"/>
  <c r="R235" i="136" a="1"/>
  <c r="R235" i="136" s="1"/>
  <c r="Q235" i="136" a="1"/>
  <c r="Q235" i="136" s="1"/>
  <c r="P235" i="136" a="1"/>
  <c r="P235" i="136" s="1"/>
  <c r="O235" i="136" a="1"/>
  <c r="O235" i="136" s="1"/>
  <c r="N235" i="136" a="1"/>
  <c r="N235" i="136" s="1"/>
  <c r="M235" i="136" a="1"/>
  <c r="M235" i="136" s="1"/>
  <c r="L235" i="136" a="1"/>
  <c r="L235" i="136" s="1"/>
  <c r="K235" i="136" a="1"/>
  <c r="K235" i="136" s="1"/>
  <c r="J235" i="136" a="1"/>
  <c r="J235" i="136" s="1"/>
  <c r="I235" i="136" a="1"/>
  <c r="I235" i="136" s="1"/>
  <c r="H235" i="136" a="1"/>
  <c r="H235" i="136" s="1"/>
  <c r="G235" i="136" a="1"/>
  <c r="G235" i="136" s="1"/>
  <c r="F235" i="136" a="1"/>
  <c r="F235" i="136" s="1"/>
  <c r="E235" i="136" a="1"/>
  <c r="E235" i="136" s="1"/>
  <c r="D235" i="136" a="1"/>
  <c r="D235" i="136" s="1"/>
  <c r="S234" i="136" a="1"/>
  <c r="S234" i="136" s="1"/>
  <c r="R234" i="136" a="1"/>
  <c r="R234" i="136" s="1"/>
  <c r="Q234" i="136" a="1"/>
  <c r="Q234" i="136" s="1"/>
  <c r="P234" i="136" a="1"/>
  <c r="P234" i="136" s="1"/>
  <c r="O234" i="136" a="1"/>
  <c r="O234" i="136" s="1"/>
  <c r="N234" i="136" a="1"/>
  <c r="N234" i="136" s="1"/>
  <c r="M234" i="136" a="1"/>
  <c r="M234" i="136" s="1"/>
  <c r="L234" i="136" a="1"/>
  <c r="L234" i="136" s="1"/>
  <c r="K234" i="136" a="1"/>
  <c r="K234" i="136" s="1"/>
  <c r="J234" i="136" a="1"/>
  <c r="J234" i="136" s="1"/>
  <c r="I234" i="136" a="1"/>
  <c r="I234" i="136" s="1"/>
  <c r="H234" i="136" a="1"/>
  <c r="H234" i="136" s="1"/>
  <c r="G234" i="136" a="1"/>
  <c r="G234" i="136" s="1"/>
  <c r="F234" i="136" a="1"/>
  <c r="F234" i="136" s="1"/>
  <c r="E234" i="136" a="1"/>
  <c r="E234" i="136" s="1"/>
  <c r="D234" i="136" a="1"/>
  <c r="D234" i="136" s="1"/>
  <c r="S233" i="136" a="1"/>
  <c r="S233" i="136" s="1"/>
  <c r="R233" i="136" a="1"/>
  <c r="R233" i="136" s="1"/>
  <c r="Q233" i="136" a="1"/>
  <c r="Q233" i="136" s="1"/>
  <c r="P233" i="136" a="1"/>
  <c r="P233" i="136" s="1"/>
  <c r="O233" i="136" a="1"/>
  <c r="O233" i="136" s="1"/>
  <c r="N233" i="136" a="1"/>
  <c r="N233" i="136" s="1"/>
  <c r="M233" i="136" a="1"/>
  <c r="M233" i="136" s="1"/>
  <c r="L233" i="136" a="1"/>
  <c r="L233" i="136" s="1"/>
  <c r="K233" i="136" a="1"/>
  <c r="K233" i="136" s="1"/>
  <c r="J233" i="136" a="1"/>
  <c r="J233" i="136" s="1"/>
  <c r="I233" i="136" a="1"/>
  <c r="I233" i="136" s="1"/>
  <c r="H233" i="136" a="1"/>
  <c r="H233" i="136" s="1"/>
  <c r="G233" i="136" a="1"/>
  <c r="G233" i="136" s="1"/>
  <c r="F233" i="136" a="1"/>
  <c r="F233" i="136" s="1"/>
  <c r="E233" i="136" a="1"/>
  <c r="E233" i="136" s="1"/>
  <c r="D233" i="136" a="1"/>
  <c r="D233" i="136" s="1"/>
  <c r="S232" i="136" a="1"/>
  <c r="S232" i="136" s="1"/>
  <c r="R232" i="136" a="1"/>
  <c r="R232" i="136" s="1"/>
  <c r="Q232" i="136" a="1"/>
  <c r="Q232" i="136" s="1"/>
  <c r="P232" i="136" a="1"/>
  <c r="P232" i="136" s="1"/>
  <c r="O232" i="136" a="1"/>
  <c r="O232" i="136" s="1"/>
  <c r="N232" i="136" a="1"/>
  <c r="N232" i="136" s="1"/>
  <c r="M232" i="136" a="1"/>
  <c r="M232" i="136" s="1"/>
  <c r="L232" i="136" a="1"/>
  <c r="L232" i="136" s="1"/>
  <c r="K232" i="136" a="1"/>
  <c r="K232" i="136" s="1"/>
  <c r="J232" i="136" a="1"/>
  <c r="J232" i="136" s="1"/>
  <c r="I232" i="136" a="1"/>
  <c r="I232" i="136" s="1"/>
  <c r="H232" i="136" a="1"/>
  <c r="H232" i="136" s="1"/>
  <c r="G232" i="136" a="1"/>
  <c r="G232" i="136" s="1"/>
  <c r="F232" i="136" a="1"/>
  <c r="F232" i="136" s="1"/>
  <c r="E232" i="136" a="1"/>
  <c r="E232" i="136" s="1"/>
  <c r="D232" i="136" a="1"/>
  <c r="D232" i="136" s="1"/>
  <c r="D229" i="136" a="1"/>
  <c r="D229" i="136" s="1"/>
  <c r="D228" i="136" a="1"/>
  <c r="D228" i="136" s="1"/>
  <c r="D227" i="136" a="1"/>
  <c r="D227" i="136" s="1"/>
  <c r="E224" i="136" a="1"/>
  <c r="E224" i="136" s="1"/>
  <c r="D224" i="136" a="1"/>
  <c r="D224" i="136" s="1"/>
  <c r="E223" i="136" a="1"/>
  <c r="E223" i="136" s="1"/>
  <c r="D223" i="136" a="1"/>
  <c r="D223" i="136" s="1"/>
  <c r="E222" i="136" a="1"/>
  <c r="E222" i="136" s="1"/>
  <c r="D222" i="136" a="1"/>
  <c r="D222" i="136" s="1"/>
  <c r="E221" i="136" a="1"/>
  <c r="E221" i="136" s="1"/>
  <c r="D221" i="136" a="1"/>
  <c r="D221" i="136" s="1"/>
  <c r="E220" i="136" a="1"/>
  <c r="E220" i="136" s="1"/>
  <c r="D220" i="136" a="1"/>
  <c r="D220" i="136" s="1"/>
  <c r="E219" i="136" a="1"/>
  <c r="E219" i="136" s="1"/>
  <c r="D219" i="136" a="1"/>
  <c r="D219" i="136" s="1"/>
  <c r="E218" i="136" a="1"/>
  <c r="E218" i="136" s="1"/>
  <c r="D218" i="136" a="1"/>
  <c r="D218" i="136" s="1"/>
  <c r="E217" i="136" a="1"/>
  <c r="E217" i="136" s="1"/>
  <c r="D217" i="136" a="1"/>
  <c r="D217" i="136" s="1"/>
  <c r="E216" i="136" a="1"/>
  <c r="E216" i="136" s="1"/>
  <c r="D216" i="136" a="1"/>
  <c r="D216" i="136" s="1"/>
  <c r="E215" i="136" a="1"/>
  <c r="E215" i="136" s="1"/>
  <c r="D215" i="136" a="1"/>
  <c r="D215" i="136" s="1"/>
  <c r="E214" i="136" a="1"/>
  <c r="E214" i="136" s="1"/>
  <c r="D214" i="136" a="1"/>
  <c r="D214" i="136" s="1"/>
  <c r="E213" i="136" a="1"/>
  <c r="E213" i="136" s="1"/>
  <c r="D213" i="136" a="1"/>
  <c r="D213" i="136" s="1"/>
  <c r="D211" i="136" a="1"/>
  <c r="D211" i="136" s="1"/>
  <c r="E208" i="136" a="1"/>
  <c r="E208" i="136" s="1"/>
  <c r="D208" i="136" a="1"/>
  <c r="D208" i="136" s="1"/>
  <c r="E207" i="136" a="1"/>
  <c r="E207" i="136" s="1"/>
  <c r="D207" i="136" a="1"/>
  <c r="D207" i="136" s="1"/>
  <c r="D205" i="136" a="1"/>
  <c r="D205" i="136" s="1"/>
  <c r="D204" i="136" a="1"/>
  <c r="D204" i="136" s="1"/>
  <c r="D203" i="136" a="1"/>
  <c r="D203" i="136" s="1"/>
  <c r="D202" i="136" a="1"/>
  <c r="D202" i="136" s="1"/>
  <c r="H199" i="136" a="1"/>
  <c r="H199" i="136" s="1"/>
  <c r="G199" i="136" a="1"/>
  <c r="G199" i="136" s="1"/>
  <c r="F199" i="136" a="1"/>
  <c r="F199" i="136" s="1"/>
  <c r="E199" i="136" a="1"/>
  <c r="E199" i="136" s="1"/>
  <c r="D199" i="136" a="1"/>
  <c r="D199" i="136" s="1"/>
  <c r="H198" i="136" a="1"/>
  <c r="H198" i="136" s="1"/>
  <c r="G198" i="136" a="1"/>
  <c r="G198" i="136" s="1"/>
  <c r="F198" i="136" a="1"/>
  <c r="F198" i="136" s="1"/>
  <c r="E198" i="136" a="1"/>
  <c r="E198" i="136" s="1"/>
  <c r="D198" i="136" a="1"/>
  <c r="D198" i="136" s="1"/>
  <c r="H197" i="136" a="1"/>
  <c r="H197" i="136" s="1"/>
  <c r="G197" i="136" a="1"/>
  <c r="G197" i="136" s="1"/>
  <c r="F197" i="136" a="1"/>
  <c r="F197" i="136" s="1"/>
  <c r="E197" i="136" a="1"/>
  <c r="E197" i="136" s="1"/>
  <c r="D197" i="136" a="1"/>
  <c r="D197" i="136" s="1"/>
  <c r="H196" i="136" a="1"/>
  <c r="H196" i="136" s="1"/>
  <c r="G196" i="136" a="1"/>
  <c r="G196" i="136" s="1"/>
  <c r="F196" i="136" a="1"/>
  <c r="F196" i="136" s="1"/>
  <c r="E196" i="136" a="1"/>
  <c r="E196" i="136" s="1"/>
  <c r="D196" i="136" a="1"/>
  <c r="D196" i="136" s="1"/>
  <c r="H195" i="136" a="1"/>
  <c r="H195" i="136" s="1"/>
  <c r="G195" i="136" a="1"/>
  <c r="G195" i="136" s="1"/>
  <c r="F195" i="136" a="1"/>
  <c r="F195" i="136" s="1"/>
  <c r="E195" i="136" a="1"/>
  <c r="E195" i="136" s="1"/>
  <c r="D195" i="136" a="1"/>
  <c r="D195" i="136" s="1"/>
  <c r="H194" i="136" a="1"/>
  <c r="H194" i="136" s="1"/>
  <c r="G194" i="136" a="1"/>
  <c r="G194" i="136" s="1"/>
  <c r="F194" i="136" a="1"/>
  <c r="F194" i="136" s="1"/>
  <c r="E194" i="136" a="1"/>
  <c r="E194" i="136" s="1"/>
  <c r="D194" i="136" a="1"/>
  <c r="D194" i="136" s="1"/>
  <c r="H193" i="136" a="1"/>
  <c r="H193" i="136" s="1"/>
  <c r="G193" i="136" a="1"/>
  <c r="G193" i="136" s="1"/>
  <c r="F193" i="136" a="1"/>
  <c r="F193" i="136" s="1"/>
  <c r="E193" i="136" a="1"/>
  <c r="E193" i="136" s="1"/>
  <c r="D193" i="136" a="1"/>
  <c r="D193" i="136" s="1"/>
  <c r="H192" i="136" a="1"/>
  <c r="H192" i="136" s="1"/>
  <c r="G192" i="136" a="1"/>
  <c r="G192" i="136" s="1"/>
  <c r="F192" i="136" a="1"/>
  <c r="F192" i="136" s="1"/>
  <c r="E192" i="136" a="1"/>
  <c r="E192" i="136" s="1"/>
  <c r="D192" i="136" a="1"/>
  <c r="D192" i="136" s="1"/>
  <c r="H191" i="136" a="1"/>
  <c r="H191" i="136" s="1"/>
  <c r="G191" i="136" a="1"/>
  <c r="G191" i="136" s="1"/>
  <c r="F191" i="136" a="1"/>
  <c r="F191" i="136" s="1"/>
  <c r="E191" i="136" a="1"/>
  <c r="E191" i="136" s="1"/>
  <c r="D191" i="136" a="1"/>
  <c r="D191" i="136" s="1"/>
  <c r="H190" i="136" a="1"/>
  <c r="H190" i="136" s="1"/>
  <c r="G190" i="136" a="1"/>
  <c r="G190" i="136" s="1"/>
  <c r="F190" i="136" a="1"/>
  <c r="F190" i="136" s="1"/>
  <c r="E190" i="136" a="1"/>
  <c r="E190" i="136" s="1"/>
  <c r="D190" i="136" a="1"/>
  <c r="D190" i="136" s="1"/>
  <c r="H189" i="136" a="1"/>
  <c r="H189" i="136" s="1"/>
  <c r="G189" i="136" a="1"/>
  <c r="G189" i="136" s="1"/>
  <c r="F189" i="136" a="1"/>
  <c r="F189" i="136" s="1"/>
  <c r="E189" i="136" a="1"/>
  <c r="E189" i="136" s="1"/>
  <c r="D189" i="136" a="1"/>
  <c r="D189" i="136" s="1"/>
  <c r="H188" i="136" a="1"/>
  <c r="H188" i="136" s="1"/>
  <c r="G188" i="136" a="1"/>
  <c r="G188" i="136" s="1"/>
  <c r="F188" i="136" a="1"/>
  <c r="F188" i="136" s="1"/>
  <c r="E188" i="136" a="1"/>
  <c r="E188" i="136" s="1"/>
  <c r="D188" i="136" a="1"/>
  <c r="D188" i="136" s="1"/>
  <c r="H187" i="136" a="1"/>
  <c r="H187" i="136" s="1"/>
  <c r="G187" i="136" a="1"/>
  <c r="G187" i="136" s="1"/>
  <c r="F187" i="136" a="1"/>
  <c r="F187" i="136" s="1"/>
  <c r="E187" i="136" a="1"/>
  <c r="E187" i="136" s="1"/>
  <c r="D187" i="136" a="1"/>
  <c r="D187" i="136" s="1"/>
  <c r="D181" i="136" a="1"/>
  <c r="D181" i="136" s="1"/>
  <c r="D180" i="136" a="1"/>
  <c r="D180" i="136" s="1"/>
  <c r="D179" i="136" a="1"/>
  <c r="D179" i="136" s="1"/>
  <c r="D178" i="136" a="1"/>
  <c r="D178" i="136" s="1"/>
  <c r="E175" i="136" a="1"/>
  <c r="E175" i="136" s="1"/>
  <c r="D175" i="136" a="1"/>
  <c r="D175" i="136" s="1"/>
  <c r="D174" i="136" a="1"/>
  <c r="D174" i="136" s="1"/>
  <c r="D173" i="136" a="1"/>
  <c r="D173" i="136" s="1"/>
  <c r="D170" i="136" a="1"/>
  <c r="D170" i="136" s="1"/>
  <c r="D169" i="136" a="1"/>
  <c r="D169" i="136" s="1"/>
  <c r="D168" i="136" a="1"/>
  <c r="D168" i="136" s="1"/>
  <c r="D167" i="136" a="1"/>
  <c r="D167" i="136" s="1"/>
  <c r="D164" i="136" a="1"/>
  <c r="D164" i="136" s="1"/>
  <c r="D163" i="136" a="1"/>
  <c r="D163" i="136" s="1"/>
  <c r="D162" i="136" a="1"/>
  <c r="D162" i="136" s="1"/>
  <c r="D161" i="136" a="1"/>
  <c r="D161" i="136" s="1"/>
  <c r="E158" i="136" a="1"/>
  <c r="E158" i="136" s="1"/>
  <c r="D158" i="136" a="1"/>
  <c r="D158" i="136" s="1"/>
  <c r="E157" i="136" a="1"/>
  <c r="E157" i="136" s="1"/>
  <c r="D157" i="136" a="1"/>
  <c r="D157" i="136" s="1"/>
  <c r="E156" i="136" a="1"/>
  <c r="E156" i="136" s="1"/>
  <c r="D156" i="136" a="1"/>
  <c r="D156" i="136" s="1"/>
  <c r="E155" i="136" a="1"/>
  <c r="E155" i="136" s="1"/>
  <c r="D155" i="136" a="1"/>
  <c r="D155" i="136" s="1"/>
  <c r="E154" i="136" a="1"/>
  <c r="E154" i="136" s="1"/>
  <c r="D154" i="136" a="1"/>
  <c r="D154" i="136" s="1"/>
  <c r="D151" i="136" a="1"/>
  <c r="D151" i="136" s="1"/>
  <c r="D150" i="136" a="1"/>
  <c r="D150" i="136" s="1"/>
  <c r="E147" i="136" a="1"/>
  <c r="E147" i="136" s="1"/>
  <c r="D147" i="136" a="1"/>
  <c r="D147" i="136" s="1"/>
  <c r="E146" i="136" a="1"/>
  <c r="E146" i="136" s="1"/>
  <c r="D146" i="136" a="1"/>
  <c r="D146" i="136" s="1"/>
  <c r="E145" i="136" a="1"/>
  <c r="E145" i="136" s="1"/>
  <c r="D145" i="136" a="1"/>
  <c r="D145" i="136" s="1"/>
  <c r="E144" i="136" a="1"/>
  <c r="E144" i="136" s="1"/>
  <c r="D144" i="136" a="1"/>
  <c r="D144" i="136" s="1"/>
  <c r="E143" i="136" a="1"/>
  <c r="E143" i="136" s="1"/>
  <c r="D143" i="136" a="1"/>
  <c r="D143" i="136" s="1"/>
  <c r="D141" i="136" a="1"/>
  <c r="D141" i="136" s="1"/>
  <c r="D140" i="136" a="1"/>
  <c r="D140" i="136" s="1"/>
  <c r="D139" i="136" a="1"/>
  <c r="D139" i="136" s="1"/>
  <c r="E136" i="136" a="1"/>
  <c r="E136" i="136" s="1"/>
  <c r="D136" i="136" a="1"/>
  <c r="D136" i="136" s="1"/>
  <c r="E135" i="136" a="1"/>
  <c r="E135" i="136" s="1"/>
  <c r="D135" i="136" a="1"/>
  <c r="D135" i="136" s="1"/>
  <c r="D133" i="136" a="1"/>
  <c r="D133" i="136" s="1"/>
  <c r="D132" i="136" a="1"/>
  <c r="D132" i="136" s="1"/>
  <c r="E129" i="136" a="1"/>
  <c r="E129" i="136" s="1"/>
  <c r="D129" i="136" a="1"/>
  <c r="D129" i="136" s="1"/>
  <c r="E128" i="136" a="1"/>
  <c r="E128" i="136" s="1"/>
  <c r="D128" i="136" a="1"/>
  <c r="D128" i="136" s="1"/>
  <c r="D125" i="136" a="1"/>
  <c r="D125" i="136" s="1"/>
  <c r="D124" i="136" a="1"/>
  <c r="D124" i="136" s="1"/>
  <c r="G121" i="136" a="1"/>
  <c r="G121" i="136" s="1"/>
  <c r="F121" i="136" a="1"/>
  <c r="F121" i="136" s="1"/>
  <c r="E121" i="136" a="1"/>
  <c r="E121" i="136" s="1"/>
  <c r="D121" i="136" a="1"/>
  <c r="D121" i="136" s="1"/>
  <c r="G120" i="136" a="1"/>
  <c r="G120" i="136" s="1"/>
  <c r="F120" i="136" a="1"/>
  <c r="F120" i="136" s="1"/>
  <c r="E120" i="136" a="1"/>
  <c r="E120" i="136" s="1"/>
  <c r="D120" i="136" a="1"/>
  <c r="D120" i="136" s="1"/>
  <c r="D117" i="136" a="1"/>
  <c r="D117" i="136" s="1"/>
  <c r="D116" i="136" a="1"/>
  <c r="D116" i="136" s="1"/>
  <c r="D115" i="136" a="1"/>
  <c r="D115" i="136" s="1"/>
  <c r="G112" i="136" a="1"/>
  <c r="G112" i="136" s="1"/>
  <c r="F112" i="136" a="1"/>
  <c r="F112" i="136" s="1"/>
  <c r="E112" i="136" a="1"/>
  <c r="E112" i="136" s="1"/>
  <c r="D112" i="136" a="1"/>
  <c r="D112" i="136" s="1"/>
  <c r="G111" i="136" a="1"/>
  <c r="G111" i="136" s="1"/>
  <c r="F111" i="136" a="1"/>
  <c r="F111" i="136" s="1"/>
  <c r="E111" i="136" a="1"/>
  <c r="E111" i="136" s="1"/>
  <c r="D111" i="136" a="1"/>
  <c r="D111" i="136" s="1"/>
  <c r="G110" i="136" a="1"/>
  <c r="G110" i="136" s="1"/>
  <c r="F110" i="136" a="1"/>
  <c r="F110" i="136" s="1"/>
  <c r="E110" i="136" a="1"/>
  <c r="E110" i="136" s="1"/>
  <c r="D110" i="136" a="1"/>
  <c r="D110" i="136" s="1"/>
  <c r="D107" i="136" a="1"/>
  <c r="D107" i="136" s="1"/>
  <c r="D106" i="136" a="1"/>
  <c r="D106" i="136" s="1"/>
  <c r="D105" i="136" a="1"/>
  <c r="D105" i="136" s="1"/>
  <c r="D99" i="136" a="1"/>
  <c r="D99" i="136" s="1"/>
  <c r="S97" i="136" a="1"/>
  <c r="S97" i="136" s="1"/>
  <c r="R97" i="136" a="1"/>
  <c r="R97" i="136" s="1"/>
  <c r="Q97" i="136" a="1"/>
  <c r="Q97" i="136" s="1"/>
  <c r="P97" i="136" a="1"/>
  <c r="P97" i="136" s="1"/>
  <c r="O97" i="136" a="1"/>
  <c r="O97" i="136" s="1"/>
  <c r="N97" i="136" a="1"/>
  <c r="N97" i="136" s="1"/>
  <c r="M97" i="136" a="1"/>
  <c r="M97" i="136" s="1"/>
  <c r="L97" i="136" a="1"/>
  <c r="L97" i="136" s="1"/>
  <c r="K97" i="136" a="1"/>
  <c r="K97" i="136" s="1"/>
  <c r="J97" i="136" a="1"/>
  <c r="J97" i="136" s="1"/>
  <c r="I97" i="136" a="1"/>
  <c r="I97" i="136" s="1"/>
  <c r="H97" i="136" a="1"/>
  <c r="H97" i="136" s="1"/>
  <c r="G97" i="136" a="1"/>
  <c r="G97" i="136" s="1"/>
  <c r="F97" i="136" a="1"/>
  <c r="F97" i="136" s="1"/>
  <c r="E97" i="136" a="1"/>
  <c r="E97" i="136" s="1"/>
  <c r="D97" i="136" a="1"/>
  <c r="D97" i="136" s="1"/>
  <c r="S96" i="136" a="1"/>
  <c r="S96" i="136" s="1"/>
  <c r="R96" i="136" a="1"/>
  <c r="R96" i="136" s="1"/>
  <c r="Q96" i="136" a="1"/>
  <c r="Q96" i="136" s="1"/>
  <c r="P96" i="136" a="1"/>
  <c r="P96" i="136" s="1"/>
  <c r="O96" i="136" a="1"/>
  <c r="O96" i="136" s="1"/>
  <c r="N96" i="136" a="1"/>
  <c r="N96" i="136" s="1"/>
  <c r="M96" i="136" a="1"/>
  <c r="M96" i="136" s="1"/>
  <c r="L96" i="136" a="1"/>
  <c r="L96" i="136" s="1"/>
  <c r="K96" i="136" a="1"/>
  <c r="K96" i="136" s="1"/>
  <c r="J96" i="136" a="1"/>
  <c r="J96" i="136" s="1"/>
  <c r="I96" i="136" a="1"/>
  <c r="I96" i="136" s="1"/>
  <c r="H96" i="136" a="1"/>
  <c r="H96" i="136" s="1"/>
  <c r="G96" i="136" a="1"/>
  <c r="G96" i="136" s="1"/>
  <c r="F96" i="136" a="1"/>
  <c r="F96" i="136" s="1"/>
  <c r="E96" i="136" a="1"/>
  <c r="E96" i="136" s="1"/>
  <c r="D96" i="136" a="1"/>
  <c r="D96" i="136" s="1"/>
  <c r="S95" i="136" a="1"/>
  <c r="S95" i="136" s="1"/>
  <c r="R95" i="136" a="1"/>
  <c r="R95" i="136" s="1"/>
  <c r="Q95" i="136" a="1"/>
  <c r="Q95" i="136" s="1"/>
  <c r="P95" i="136" a="1"/>
  <c r="P95" i="136" s="1"/>
  <c r="O95" i="136" a="1"/>
  <c r="O95" i="136" s="1"/>
  <c r="N95" i="136" a="1"/>
  <c r="N95" i="136" s="1"/>
  <c r="M95" i="136" a="1"/>
  <c r="M95" i="136" s="1"/>
  <c r="L95" i="136" a="1"/>
  <c r="L95" i="136" s="1"/>
  <c r="K95" i="136" a="1"/>
  <c r="K95" i="136" s="1"/>
  <c r="J95" i="136" a="1"/>
  <c r="J95" i="136" s="1"/>
  <c r="I95" i="136" a="1"/>
  <c r="I95" i="136" s="1"/>
  <c r="H95" i="136" a="1"/>
  <c r="H95" i="136" s="1"/>
  <c r="G95" i="136" a="1"/>
  <c r="G95" i="136" s="1"/>
  <c r="F95" i="136" a="1"/>
  <c r="F95" i="136" s="1"/>
  <c r="E95" i="136" a="1"/>
  <c r="E95" i="136" s="1"/>
  <c r="D95" i="136" a="1"/>
  <c r="D95" i="136" s="1"/>
  <c r="S94" i="136" a="1"/>
  <c r="S94" i="136" s="1"/>
  <c r="R94" i="136" a="1"/>
  <c r="R94" i="136" s="1"/>
  <c r="Q94" i="136" a="1"/>
  <c r="Q94" i="136" s="1"/>
  <c r="P94" i="136" a="1"/>
  <c r="P94" i="136" s="1"/>
  <c r="O94" i="136" a="1"/>
  <c r="O94" i="136" s="1"/>
  <c r="N94" i="136" a="1"/>
  <c r="N94" i="136" s="1"/>
  <c r="M94" i="136" a="1"/>
  <c r="M94" i="136" s="1"/>
  <c r="L94" i="136" a="1"/>
  <c r="L94" i="136" s="1"/>
  <c r="K94" i="136" a="1"/>
  <c r="K94" i="136" s="1"/>
  <c r="J94" i="136" a="1"/>
  <c r="J94" i="136" s="1"/>
  <c r="I94" i="136" a="1"/>
  <c r="I94" i="136" s="1"/>
  <c r="H94" i="136" a="1"/>
  <c r="H94" i="136" s="1"/>
  <c r="G94" i="136" a="1"/>
  <c r="G94" i="136" s="1"/>
  <c r="F94" i="136" a="1"/>
  <c r="F94" i="136" s="1"/>
  <c r="E94" i="136" a="1"/>
  <c r="E94" i="136" s="1"/>
  <c r="D94" i="136" a="1"/>
  <c r="D94" i="136" s="1"/>
  <c r="S93" i="136" a="1"/>
  <c r="S93" i="136" s="1"/>
  <c r="R93" i="136" a="1"/>
  <c r="R93" i="136" s="1"/>
  <c r="Q93" i="136" a="1"/>
  <c r="Q93" i="136" s="1"/>
  <c r="P93" i="136" a="1"/>
  <c r="P93" i="136" s="1"/>
  <c r="O93" i="136" a="1"/>
  <c r="O93" i="136" s="1"/>
  <c r="N93" i="136" a="1"/>
  <c r="N93" i="136" s="1"/>
  <c r="M93" i="136" a="1"/>
  <c r="M93" i="136" s="1"/>
  <c r="L93" i="136" a="1"/>
  <c r="L93" i="136" s="1"/>
  <c r="K93" i="136" a="1"/>
  <c r="K93" i="136" s="1"/>
  <c r="J93" i="136" a="1"/>
  <c r="J93" i="136" s="1"/>
  <c r="I93" i="136" a="1"/>
  <c r="I93" i="136" s="1"/>
  <c r="H93" i="136" a="1"/>
  <c r="H93" i="136" s="1"/>
  <c r="G93" i="136" a="1"/>
  <c r="G93" i="136" s="1"/>
  <c r="F93" i="136" a="1"/>
  <c r="F93" i="136" s="1"/>
  <c r="E93" i="136" a="1"/>
  <c r="E93" i="136" s="1"/>
  <c r="D93" i="136" a="1"/>
  <c r="D93" i="136" s="1"/>
  <c r="S92" i="136" a="1"/>
  <c r="S92" i="136" s="1"/>
  <c r="R92" i="136" a="1"/>
  <c r="R92" i="136" s="1"/>
  <c r="Q92" i="136" a="1"/>
  <c r="Q92" i="136" s="1"/>
  <c r="P92" i="136" a="1"/>
  <c r="P92" i="136" s="1"/>
  <c r="O92" i="136" a="1"/>
  <c r="O92" i="136" s="1"/>
  <c r="N92" i="136" a="1"/>
  <c r="N92" i="136" s="1"/>
  <c r="M92" i="136" a="1"/>
  <c r="M92" i="136" s="1"/>
  <c r="L92" i="136" a="1"/>
  <c r="L92" i="136" s="1"/>
  <c r="K92" i="136" a="1"/>
  <c r="K92" i="136" s="1"/>
  <c r="J92" i="136" a="1"/>
  <c r="J92" i="136" s="1"/>
  <c r="I92" i="136" a="1"/>
  <c r="I92" i="136" s="1"/>
  <c r="H92" i="136" a="1"/>
  <c r="H92" i="136" s="1"/>
  <c r="G92" i="136" a="1"/>
  <c r="G92" i="136" s="1"/>
  <c r="F92" i="136" a="1"/>
  <c r="F92" i="136" s="1"/>
  <c r="E92" i="136" a="1"/>
  <c r="E92" i="136" s="1"/>
  <c r="D92" i="136" a="1"/>
  <c r="D92" i="136" s="1"/>
  <c r="S91" i="136" a="1"/>
  <c r="S91" i="136" s="1"/>
  <c r="R91" i="136" a="1"/>
  <c r="R91" i="136" s="1"/>
  <c r="Q91" i="136" a="1"/>
  <c r="Q91" i="136" s="1"/>
  <c r="P91" i="136" a="1"/>
  <c r="P91" i="136" s="1"/>
  <c r="O91" i="136" a="1"/>
  <c r="O91" i="136" s="1"/>
  <c r="N91" i="136" a="1"/>
  <c r="N91" i="136" s="1"/>
  <c r="M91" i="136" a="1"/>
  <c r="M91" i="136" s="1"/>
  <c r="L91" i="136" a="1"/>
  <c r="L91" i="136" s="1"/>
  <c r="K91" i="136" a="1"/>
  <c r="K91" i="136" s="1"/>
  <c r="J91" i="136" a="1"/>
  <c r="J91" i="136" s="1"/>
  <c r="I91" i="136" a="1"/>
  <c r="I91" i="136" s="1"/>
  <c r="H91" i="136" a="1"/>
  <c r="H91" i="136" s="1"/>
  <c r="G91" i="136" a="1"/>
  <c r="G91" i="136" s="1"/>
  <c r="F91" i="136" a="1"/>
  <c r="F91" i="136" s="1"/>
  <c r="E91" i="136" a="1"/>
  <c r="E91" i="136" s="1"/>
  <c r="D91" i="136" a="1"/>
  <c r="D91" i="136" s="1"/>
  <c r="S90" i="136" a="1"/>
  <c r="S90" i="136" s="1"/>
  <c r="R90" i="136" a="1"/>
  <c r="R90" i="136" s="1"/>
  <c r="Q90" i="136" a="1"/>
  <c r="Q90" i="136" s="1"/>
  <c r="P90" i="136" a="1"/>
  <c r="P90" i="136" s="1"/>
  <c r="O90" i="136" a="1"/>
  <c r="O90" i="136" s="1"/>
  <c r="N90" i="136" a="1"/>
  <c r="N90" i="136" s="1"/>
  <c r="M90" i="136" a="1"/>
  <c r="M90" i="136" s="1"/>
  <c r="L90" i="136" a="1"/>
  <c r="L90" i="136" s="1"/>
  <c r="K90" i="136" a="1"/>
  <c r="K90" i="136" s="1"/>
  <c r="J90" i="136" a="1"/>
  <c r="J90" i="136" s="1"/>
  <c r="I90" i="136" a="1"/>
  <c r="I90" i="136" s="1"/>
  <c r="H90" i="136" a="1"/>
  <c r="H90" i="136" s="1"/>
  <c r="G90" i="136" a="1"/>
  <c r="G90" i="136" s="1"/>
  <c r="F90" i="136" a="1"/>
  <c r="F90" i="136" s="1"/>
  <c r="E90" i="136" a="1"/>
  <c r="E90" i="136" s="1"/>
  <c r="D90" i="136" a="1"/>
  <c r="D90" i="136" s="1"/>
  <c r="D83" i="136" a="1"/>
  <c r="D83" i="136" s="1"/>
  <c r="D82" i="136" a="1"/>
  <c r="D82" i="136" s="1"/>
  <c r="D81" i="136" a="1"/>
  <c r="D81" i="136" s="1"/>
  <c r="E77" i="136" a="1"/>
  <c r="E77" i="136" s="1"/>
  <c r="D77" i="136" a="1"/>
  <c r="D77" i="136" s="1"/>
  <c r="E76" i="136" a="1"/>
  <c r="E76" i="136" s="1"/>
  <c r="D76" i="136" a="1"/>
  <c r="D76" i="136" s="1"/>
  <c r="E75" i="136" a="1"/>
  <c r="E75" i="136" s="1"/>
  <c r="D75" i="136" a="1"/>
  <c r="D75" i="136" s="1"/>
  <c r="E74" i="136" a="1"/>
  <c r="E74" i="136" s="1"/>
  <c r="D74" i="136" a="1"/>
  <c r="D74" i="136" s="1"/>
  <c r="E73" i="136" a="1"/>
  <c r="E73" i="136" s="1"/>
  <c r="D73" i="136" a="1"/>
  <c r="D73" i="136" s="1"/>
  <c r="E72" i="136" a="1"/>
  <c r="E72" i="136" s="1"/>
  <c r="D72" i="136" a="1"/>
  <c r="D72" i="136" s="1"/>
  <c r="E71" i="136" a="1"/>
  <c r="E71" i="136" s="1"/>
  <c r="D71" i="136" a="1"/>
  <c r="D71" i="136" s="1"/>
  <c r="E70" i="136" a="1"/>
  <c r="E70" i="136" s="1"/>
  <c r="D70" i="136" a="1"/>
  <c r="D70" i="136" s="1"/>
  <c r="E69" i="136" a="1"/>
  <c r="E69" i="136" s="1"/>
  <c r="D69" i="136" a="1"/>
  <c r="D69" i="136" s="1"/>
  <c r="E68" i="136" a="1"/>
  <c r="E68" i="136" s="1"/>
  <c r="D68" i="136" a="1"/>
  <c r="D68" i="136" s="1"/>
  <c r="E67" i="136" a="1"/>
  <c r="E67" i="136" s="1"/>
  <c r="D67" i="136" a="1"/>
  <c r="D67" i="136" s="1"/>
  <c r="E66" i="136" a="1"/>
  <c r="E66" i="136" s="1"/>
  <c r="D66" i="136" a="1"/>
  <c r="D66" i="136" s="1"/>
  <c r="E65" i="136" a="1"/>
  <c r="E65" i="136" s="1"/>
  <c r="D65" i="136" a="1"/>
  <c r="D65" i="136" s="1"/>
  <c r="E64" i="136" a="1"/>
  <c r="E64" i="136" s="1"/>
  <c r="D64" i="136" a="1"/>
  <c r="D64" i="136" s="1"/>
  <c r="D59" i="136" a="1"/>
  <c r="D59" i="136" s="1"/>
  <c r="D58" i="136"/>
  <c r="D58" i="136" a="1"/>
  <c r="D57" i="136" a="1"/>
  <c r="D57" i="136" s="1"/>
  <c r="G54" i="136" a="1"/>
  <c r="G54" i="136" s="1"/>
  <c r="F54" i="136" a="1"/>
  <c r="F54" i="136" s="1"/>
  <c r="E54" i="136" a="1"/>
  <c r="E54" i="136" s="1"/>
  <c r="D54" i="136" a="1"/>
  <c r="D54" i="136" s="1"/>
  <c r="G53" i="136" a="1"/>
  <c r="G53" i="136" s="1"/>
  <c r="F53" i="136" a="1"/>
  <c r="F53" i="136" s="1"/>
  <c r="E53" i="136" a="1"/>
  <c r="E53" i="136" s="1"/>
  <c r="D53" i="136" a="1"/>
  <c r="D53" i="136" s="1"/>
  <c r="G52" i="136" a="1"/>
  <c r="G52" i="136" s="1"/>
  <c r="F52" i="136" a="1"/>
  <c r="F52" i="136" s="1"/>
  <c r="E52" i="136" a="1"/>
  <c r="E52" i="136" s="1"/>
  <c r="D52" i="136" a="1"/>
  <c r="D52" i="136" s="1"/>
  <c r="G51" i="136" a="1"/>
  <c r="G51" i="136" s="1"/>
  <c r="F51" i="136" a="1"/>
  <c r="F51" i="136" s="1"/>
  <c r="E51" i="136" a="1"/>
  <c r="E51" i="136" s="1"/>
  <c r="D51" i="136" a="1"/>
  <c r="D51" i="136" s="1"/>
  <c r="G50" i="136" a="1"/>
  <c r="G50" i="136" s="1"/>
  <c r="F50" i="136" a="1"/>
  <c r="F50" i="136" s="1"/>
  <c r="E50" i="136" a="1"/>
  <c r="E50" i="136" s="1"/>
  <c r="D50" i="136" a="1"/>
  <c r="D50" i="136" s="1"/>
  <c r="G49" i="136" a="1"/>
  <c r="G49" i="136" s="1"/>
  <c r="F49" i="136" a="1"/>
  <c r="F49" i="136" s="1"/>
  <c r="E49" i="136" a="1"/>
  <c r="E49" i="136" s="1"/>
  <c r="D49" i="136" a="1"/>
  <c r="D49" i="136" s="1"/>
  <c r="G48" i="136" a="1"/>
  <c r="G48" i="136" s="1"/>
  <c r="F48" i="136" a="1"/>
  <c r="F48" i="136" s="1"/>
  <c r="E48" i="136" a="1"/>
  <c r="E48" i="136" s="1"/>
  <c r="D48" i="136" a="1"/>
  <c r="D48" i="136" s="1"/>
  <c r="D46" i="136" a="1"/>
  <c r="D46" i="136" s="1"/>
  <c r="D45" i="136" a="1"/>
  <c r="D45" i="136" s="1"/>
  <c r="E43" i="136" a="1"/>
  <c r="E43" i="136" s="1"/>
  <c r="D43" i="136" a="1"/>
  <c r="D43" i="136" s="1"/>
  <c r="E42" i="136" a="1"/>
  <c r="E42" i="136" s="1"/>
  <c r="D42" i="136" a="1"/>
  <c r="D42" i="136" s="1"/>
  <c r="E41" i="136" a="1"/>
  <c r="E41" i="136" s="1"/>
  <c r="D41" i="136" a="1"/>
  <c r="D41" i="136" s="1"/>
  <c r="E40" i="136" a="1"/>
  <c r="E40" i="136" s="1"/>
  <c r="D40" i="136" a="1"/>
  <c r="D40" i="136" s="1"/>
  <c r="E39" i="136" a="1"/>
  <c r="E39" i="136" s="1"/>
  <c r="D39" i="136" a="1"/>
  <c r="D39" i="136" s="1"/>
  <c r="E38" i="136" a="1"/>
  <c r="E38" i="136" s="1"/>
  <c r="D38" i="136" a="1"/>
  <c r="D38" i="136" s="1"/>
  <c r="E37" i="136" a="1"/>
  <c r="E37" i="136" s="1"/>
  <c r="D37" i="136" a="1"/>
  <c r="D37" i="136" s="1"/>
  <c r="D35" i="136"/>
  <c r="D35" i="136" a="1"/>
  <c r="D34" i="136" a="1"/>
  <c r="D34"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19" i="136" a="1"/>
  <c r="D19" i="136" s="1"/>
  <c r="D18" i="136" a="1"/>
  <c r="D18" i="136" s="1"/>
  <c r="F14" i="136" a="1"/>
  <c r="F14" i="136" s="1"/>
  <c r="E14" i="136" a="1"/>
  <c r="E14" i="136" s="1"/>
  <c r="D14" i="136" a="1"/>
  <c r="D14" i="136" s="1"/>
  <c r="F13" i="136" a="1"/>
  <c r="F13" i="136" s="1"/>
  <c r="E13" i="136" a="1"/>
  <c r="E13" i="136" s="1"/>
  <c r="D13" i="136" a="1"/>
  <c r="D13" i="136" s="1"/>
  <c r="F12" i="136" a="1"/>
  <c r="F12" i="136" s="1"/>
  <c r="E12" i="136" a="1"/>
  <c r="E12" i="136" s="1"/>
  <c r="D12" i="136" a="1"/>
  <c r="D12" i="136" s="1"/>
  <c r="F11" i="136" a="1"/>
  <c r="F11" i="136" s="1"/>
  <c r="E11" i="136" a="1"/>
  <c r="E11" i="136" s="1"/>
  <c r="D11" i="136" a="1"/>
  <c r="D11" i="136" s="1"/>
  <c r="F10" i="136" a="1"/>
  <c r="F10" i="136" s="1"/>
  <c r="E10" i="136" a="1"/>
  <c r="E10" i="136" s="1"/>
  <c r="D10" i="136" a="1"/>
  <c r="D10" i="136" s="1"/>
  <c r="F9" i="136" a="1"/>
  <c r="F9" i="136" s="1"/>
  <c r="E9" i="136" a="1"/>
  <c r="E9" i="136" s="1"/>
  <c r="D9" i="136" a="1"/>
  <c r="D9" i="136" s="1"/>
  <c r="F8" i="136" a="1"/>
  <c r="F8" i="136" s="1"/>
  <c r="E8" i="136" a="1"/>
  <c r="E8" i="136" s="1"/>
  <c r="D8" i="136" a="1"/>
  <c r="D8" i="136" s="1"/>
  <c r="A8" i="136"/>
  <c r="F7" i="136" a="1"/>
  <c r="F7" i="136" s="1"/>
  <c r="E7" i="136" a="1"/>
  <c r="E7" i="136" s="1"/>
  <c r="D7" i="136" a="1"/>
  <c r="D7" i="136" s="1"/>
  <c r="A7" i="136"/>
  <c r="D5" i="136" a="1"/>
  <c r="D5" i="136" s="1"/>
  <c r="A3" i="136"/>
  <c r="A8" i="71"/>
  <c r="A7" i="71"/>
  <c r="A3" i="71"/>
  <c r="E22" i="70"/>
  <c r="I13" i="114" s="1"/>
  <c r="E29" i="15"/>
  <c r="E13" i="15"/>
  <c r="A25" i="110"/>
  <c r="A24" i="110"/>
  <c r="A20" i="110"/>
  <c r="A19" i="110"/>
  <c r="A18" i="110"/>
  <c r="A17" i="110"/>
  <c r="A16" i="110"/>
  <c r="A15" i="110"/>
  <c r="A11" i="110"/>
  <c r="A10" i="110"/>
  <c r="A9" i="110"/>
  <c r="A5" i="110"/>
  <c r="A4" i="110"/>
  <c r="A3" i="110"/>
  <c r="A25" i="114"/>
  <c r="A24" i="114"/>
  <c r="A20" i="114"/>
  <c r="A19" i="114"/>
  <c r="A18" i="114"/>
  <c r="A17" i="114"/>
  <c r="A16" i="114"/>
  <c r="A15" i="114"/>
  <c r="A11" i="114"/>
  <c r="A10" i="114"/>
  <c r="A9" i="114"/>
  <c r="A5" i="114"/>
  <c r="A4" i="114"/>
  <c r="A3" i="114"/>
  <c r="A25" i="122"/>
  <c r="A24" i="122"/>
  <c r="A20" i="122"/>
  <c r="A19" i="122"/>
  <c r="A18" i="122"/>
  <c r="A17" i="122"/>
  <c r="A16" i="122"/>
  <c r="A15" i="122"/>
  <c r="A11" i="122"/>
  <c r="A10" i="122"/>
  <c r="A9" i="122"/>
  <c r="A5" i="122"/>
  <c r="A4" i="122"/>
  <c r="A3" i="122"/>
  <c r="A25" i="123"/>
  <c r="A24" i="123"/>
  <c r="A20" i="123"/>
  <c r="A19" i="123"/>
  <c r="A18" i="123"/>
  <c r="A17" i="123"/>
  <c r="A16" i="123"/>
  <c r="A15" i="123"/>
  <c r="A11" i="123"/>
  <c r="A10" i="123"/>
  <c r="A9" i="123"/>
  <c r="A5" i="123"/>
  <c r="A4" i="123"/>
  <c r="A3" i="123"/>
  <c r="A25" i="113"/>
  <c r="A24" i="113"/>
  <c r="A20" i="113"/>
  <c r="A19" i="113"/>
  <c r="A18" i="113"/>
  <c r="A17" i="113"/>
  <c r="A16" i="113"/>
  <c r="A15" i="113"/>
  <c r="A11" i="113"/>
  <c r="A10" i="113"/>
  <c r="A9" i="113"/>
  <c r="A5" i="113"/>
  <c r="A4" i="113"/>
  <c r="A3" i="113"/>
  <c r="A25" i="74"/>
  <c r="A24" i="74"/>
  <c r="A20" i="74"/>
  <c r="A19" i="74"/>
  <c r="A18" i="74"/>
  <c r="A17" i="74"/>
  <c r="A16" i="74"/>
  <c r="A15" i="74"/>
  <c r="A11" i="74"/>
  <c r="A10" i="74"/>
  <c r="A9" i="74"/>
  <c r="A5" i="74"/>
  <c r="A4" i="74"/>
  <c r="A3" i="74"/>
  <c r="A25" i="69"/>
  <c r="A24" i="69"/>
  <c r="A20" i="69"/>
  <c r="A19" i="69"/>
  <c r="A18" i="69"/>
  <c r="A17" i="69"/>
  <c r="A16" i="69"/>
  <c r="A15" i="69"/>
  <c r="A11" i="69"/>
  <c r="A10" i="69"/>
  <c r="A9" i="69"/>
  <c r="A5" i="69"/>
  <c r="A4" i="69"/>
  <c r="A3" i="69"/>
  <c r="A25" i="120"/>
  <c r="A24" i="120"/>
  <c r="A20" i="120"/>
  <c r="A19" i="120"/>
  <c r="A18" i="120"/>
  <c r="A17" i="120"/>
  <c r="A16" i="120"/>
  <c r="A15" i="120"/>
  <c r="A11" i="120"/>
  <c r="A10" i="120"/>
  <c r="A9" i="120"/>
  <c r="A5" i="120"/>
  <c r="A4" i="120"/>
  <c r="A3" i="120"/>
  <c r="A25" i="70"/>
  <c r="A24" i="70"/>
  <c r="A20" i="70"/>
  <c r="A19" i="70"/>
  <c r="A18" i="70"/>
  <c r="A17" i="70"/>
  <c r="A16" i="70"/>
  <c r="A15" i="70"/>
  <c r="A11" i="70"/>
  <c r="A10" i="70"/>
  <c r="A9" i="70"/>
  <c r="A5" i="70"/>
  <c r="A4" i="70"/>
  <c r="A3" i="70"/>
  <c r="A25" i="15"/>
  <c r="A24" i="15"/>
  <c r="A20" i="15"/>
  <c r="A19" i="15"/>
  <c r="A18" i="15"/>
  <c r="A17" i="15"/>
  <c r="A16" i="15"/>
  <c r="A15" i="15"/>
  <c r="A11" i="15"/>
  <c r="A10" i="15"/>
  <c r="A9" i="15"/>
  <c r="A5" i="15"/>
  <c r="A4" i="15"/>
  <c r="A3" i="15"/>
  <c r="A25" i="13"/>
  <c r="A24" i="13"/>
  <c r="A20" i="13"/>
  <c r="A19" i="13"/>
  <c r="A18" i="13"/>
  <c r="A17" i="13"/>
  <c r="A16" i="13"/>
  <c r="A15" i="13"/>
  <c r="A11" i="13"/>
  <c r="A10" i="13"/>
  <c r="A9" i="13"/>
  <c r="A5" i="13"/>
  <c r="A4" i="13"/>
  <c r="A3" i="13"/>
  <c r="A25" i="118"/>
  <c r="A24" i="118"/>
  <c r="A20" i="118"/>
  <c r="A19" i="118"/>
  <c r="A18" i="118"/>
  <c r="A17" i="118"/>
  <c r="A16" i="118"/>
  <c r="A15" i="118"/>
  <c r="A11" i="118"/>
  <c r="A10" i="118"/>
  <c r="A9" i="118"/>
  <c r="A5" i="118"/>
  <c r="A4" i="118"/>
  <c r="A3" i="118"/>
  <c r="P53" i="123" a="1"/>
  <c r="P53" i="123" s="1"/>
  <c r="F53" i="123" a="1"/>
  <c r="F53" i="123" s="1"/>
  <c r="N50" i="123" a="1"/>
  <c r="N50" i="123" s="1"/>
  <c r="D50" i="123" a="1"/>
  <c r="D50" i="123" s="1"/>
  <c r="J39" i="123"/>
  <c r="J36" i="123" a="1"/>
  <c r="J36" i="123" s="1"/>
  <c r="H36" i="123" a="1"/>
  <c r="H36" i="123" s="1"/>
  <c r="D36" i="123" a="1"/>
  <c r="D36" i="123" s="1"/>
  <c r="E34" i="123" a="1"/>
  <c r="E34" i="123" s="1"/>
  <c r="E33" i="123" a="1"/>
  <c r="E33" i="123" s="1"/>
  <c r="D29" i="123" a="1"/>
  <c r="D29" i="123" s="1"/>
  <c r="D28" i="123" a="1"/>
  <c r="D28" i="123" s="1"/>
  <c r="G24" i="123"/>
  <c r="F24" i="123"/>
  <c r="J19" i="123" a="1"/>
  <c r="J19" i="123" s="1"/>
  <c r="J17" i="123"/>
  <c r="J16" i="123" a="1"/>
  <c r="J16" i="123" s="1"/>
  <c r="J14" i="123" a="1"/>
  <c r="J14" i="123" s="1"/>
  <c r="J13" i="123" a="1"/>
  <c r="J13" i="123" s="1"/>
  <c r="H13" i="123" a="1"/>
  <c r="H13" i="123" s="1"/>
  <c r="D13" i="123" a="1"/>
  <c r="D13" i="123" s="1"/>
  <c r="E11" i="123" a="1"/>
  <c r="E11" i="123" s="1"/>
  <c r="E10" i="123" a="1"/>
  <c r="E10" i="123" s="1"/>
  <c r="D6" i="123" a="1"/>
  <c r="D6" i="123" s="1"/>
  <c r="D5" i="123" a="1"/>
  <c r="D5" i="123" s="1"/>
  <c r="P53" i="122" a="1"/>
  <c r="P53" i="122" s="1"/>
  <c r="F53" i="122" a="1"/>
  <c r="F53" i="122" s="1"/>
  <c r="N50" i="122" a="1"/>
  <c r="N50" i="122" s="1"/>
  <c r="D50" i="122" a="1"/>
  <c r="D50" i="122" s="1"/>
  <c r="J40" i="122"/>
  <c r="J36" i="122" a="1"/>
  <c r="J36" i="122" s="1"/>
  <c r="H36" i="122" a="1"/>
  <c r="H36" i="122" s="1"/>
  <c r="D36" i="122" a="1"/>
  <c r="D36" i="122" s="1"/>
  <c r="E34" i="122" a="1"/>
  <c r="E34" i="122" s="1"/>
  <c r="E33" i="122" a="1"/>
  <c r="E33" i="122" s="1"/>
  <c r="D29" i="122" a="1"/>
  <c r="D29" i="122" s="1"/>
  <c r="D28" i="122" a="1"/>
  <c r="D28" i="122" s="1"/>
  <c r="G25" i="122"/>
  <c r="F25" i="122"/>
  <c r="J19" i="122" a="1"/>
  <c r="J19" i="122" s="1"/>
  <c r="J18" i="122"/>
  <c r="J16" i="122" a="1"/>
  <c r="J16" i="122" s="1"/>
  <c r="J14" i="122" a="1"/>
  <c r="J14" i="122" s="1"/>
  <c r="J13" i="122" a="1"/>
  <c r="J13" i="122" s="1"/>
  <c r="H13" i="122" a="1"/>
  <c r="H13" i="122" s="1"/>
  <c r="D13" i="122" a="1"/>
  <c r="D13" i="122" s="1"/>
  <c r="E11" i="122" a="1"/>
  <c r="E11" i="122" s="1"/>
  <c r="E10" i="122" a="1"/>
  <c r="E10" i="122" s="1"/>
  <c r="D6" i="122" a="1"/>
  <c r="D6" i="122" s="1"/>
  <c r="D5" i="122" a="1"/>
  <c r="D5" i="122" s="1"/>
  <c r="I18" i="114"/>
  <c r="G25" i="113"/>
  <c r="F25" i="113"/>
  <c r="G24" i="113"/>
  <c r="F24" i="113"/>
  <c r="I60" i="114"/>
  <c r="I37" i="114"/>
  <c r="I19" i="114"/>
  <c r="J40" i="113"/>
  <c r="J39" i="113"/>
  <c r="J18" i="113"/>
  <c r="J17" i="113"/>
  <c r="J36" i="74"/>
  <c r="J19" i="74"/>
  <c r="J13" i="74"/>
  <c r="R58" i="69"/>
  <c r="O27" i="74"/>
  <c r="E27" i="114"/>
  <c r="E30" i="123" a="1"/>
  <c r="E7" i="123" a="1"/>
  <c r="E27" i="74"/>
  <c r="E50" i="114"/>
  <c r="N49" i="69"/>
  <c r="E30" i="122" a="1"/>
  <c r="E7" i="122" a="1"/>
  <c r="E30" i="69"/>
  <c r="H53" i="136" l="1"/>
  <c r="H51" i="136"/>
  <c r="H54" i="136"/>
  <c r="H52" i="136"/>
  <c r="H49" i="136"/>
  <c r="H48" i="136"/>
  <c r="H50" i="136"/>
  <c r="E7" i="122"/>
  <c r="E30" i="122"/>
  <c r="E30" i="123"/>
  <c r="E7" i="123"/>
  <c r="P48" i="123"/>
  <c r="F48" i="123"/>
  <c r="P48" i="122"/>
  <c r="F48" i="122"/>
  <c r="I39" i="69"/>
  <c r="Q18" i="69"/>
  <c r="Q16" i="69"/>
  <c r="Q15" i="69"/>
  <c r="I21" i="69"/>
  <c r="I16" i="69"/>
  <c r="I13" i="69"/>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D30" i="70" l="1"/>
  <c r="D25" i="70"/>
  <c r="D26" i="70"/>
  <c r="D24" i="70"/>
  <c r="F22" i="70"/>
  <c r="F17" i="70"/>
  <c r="D17" i="70"/>
  <c r="J37" i="74"/>
  <c r="I40" i="69" l="1"/>
  <c r="R59"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E54" i="114" a="1"/>
  <c r="E54" i="114" s="1"/>
  <c r="F62"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E18" i="70" s="1"/>
  <c r="E19" i="70" s="1"/>
  <c r="D17" i="110" a="1"/>
  <c r="D17" i="110" s="1"/>
  <c r="D16" i="110" a="1"/>
  <c r="D16" i="110" s="1"/>
  <c r="D15" i="110" a="1"/>
  <c r="D15" i="110" s="1"/>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30" i="113" a="1"/>
  <c r="E7" i="114" a="1"/>
  <c r="E7" i="113" a="1"/>
  <c r="I58" i="114" l="1" a="1"/>
  <c r="I58" i="114" s="1"/>
  <c r="E20" i="70"/>
  <c r="E30" i="70"/>
  <c r="P48" i="113"/>
  <c r="I57" i="114" a="1"/>
  <c r="I57" i="114" s="1"/>
  <c r="I35" i="114" a="1"/>
  <c r="I35" i="114" s="1"/>
  <c r="I15" i="114" a="1"/>
  <c r="I15" i="114" s="1"/>
  <c r="I34" i="114" a="1"/>
  <c r="I34" i="114" s="1"/>
  <c r="I17" i="114" a="1"/>
  <c r="I17" i="114" s="1"/>
  <c r="I16" i="114" a="1"/>
  <c r="I16" i="114" s="1"/>
  <c r="E7" i="114"/>
  <c r="E30" i="113"/>
  <c r="E7" i="113"/>
  <c r="E40" i="70" l="1"/>
  <c r="E36" i="70"/>
  <c r="E35" i="70" s="1"/>
  <c r="P45" i="74"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32" i="69" a="1"/>
  <c r="P32" i="69" s="1"/>
  <c r="M32" i="69" a="1"/>
  <c r="M32" i="69" s="1"/>
  <c r="O66" i="69" a="1"/>
  <c r="O66" i="69" s="1"/>
  <c r="M63" i="69" a="1"/>
  <c r="M63" i="69" s="1"/>
  <c r="P55" i="69" a="1"/>
  <c r="P55" i="69" s="1"/>
  <c r="M55" i="69" a="1"/>
  <c r="M55" i="69" s="1"/>
  <c r="N53" i="69" a="1"/>
  <c r="N53" i="69" s="1"/>
  <c r="N52" i="69" a="1"/>
  <c r="N52" i="69" s="1"/>
  <c r="M48" i="69" a="1"/>
  <c r="M48" i="69" s="1"/>
  <c r="M47" i="69" a="1"/>
  <c r="M47" i="69" s="1"/>
  <c r="N30" i="69" a="1"/>
  <c r="N30" i="69" s="1"/>
  <c r="N29" i="69" a="1"/>
  <c r="N29" i="69" s="1"/>
  <c r="M25" i="69" a="1"/>
  <c r="M25" i="69" s="1"/>
  <c r="M24" i="69" a="1"/>
  <c r="M24" i="69" s="1"/>
  <c r="E45" i="110" a="1"/>
  <c r="E45" i="110" s="1"/>
  <c r="D45" i="110" a="1"/>
  <c r="D45" i="110" s="1"/>
  <c r="E44" i="110" a="1"/>
  <c r="E44" i="110" s="1"/>
  <c r="D44" i="110" a="1"/>
  <c r="D44" i="110" s="1"/>
  <c r="D41" i="110" a="1"/>
  <c r="D41" i="110" s="1"/>
  <c r="D40" i="110" a="1"/>
  <c r="D40" i="110" s="1"/>
  <c r="G36" i="69" a="1"/>
  <c r="G36" i="69" s="1"/>
  <c r="G13" i="69" a="1"/>
  <c r="G13" i="69" s="1"/>
  <c r="O14" i="69" a="1"/>
  <c r="O14" i="69" s="1"/>
  <c r="M14" i="69" a="1"/>
  <c r="M14" i="69" s="1"/>
  <c r="D36" i="69" a="1"/>
  <c r="D36" i="69" s="1"/>
  <c r="D13" i="69" a="1"/>
  <c r="D13" i="69" s="1"/>
  <c r="E34" i="69" a="1"/>
  <c r="E34" i="69" s="1"/>
  <c r="F42" i="69" s="1"/>
  <c r="E33" i="69" a="1"/>
  <c r="E33" i="69" s="1"/>
  <c r="D29" i="69" a="1"/>
  <c r="D29" i="69" s="1"/>
  <c r="D28" i="69" a="1"/>
  <c r="D28" i="69" s="1"/>
  <c r="N12" i="69" a="1"/>
  <c r="N12" i="69" s="1"/>
  <c r="N11" i="69" a="1"/>
  <c r="N11" i="69" s="1"/>
  <c r="E11" i="69" a="1"/>
  <c r="E11" i="69" s="1"/>
  <c r="F24" i="69" s="1"/>
  <c r="E10" i="69" a="1"/>
  <c r="E10" i="69" s="1"/>
  <c r="M6" i="69" a="1"/>
  <c r="M6" i="69" s="1"/>
  <c r="D6" i="69" a="1"/>
  <c r="D6" i="69" s="1"/>
  <c r="M5" i="69" a="1"/>
  <c r="M5" i="69" s="1"/>
  <c r="D5" i="69" a="1"/>
  <c r="D5" i="69" s="1"/>
  <c r="I15" i="69" a="1"/>
  <c r="I15" i="69" s="1"/>
  <c r="F47" i="69" a="1"/>
  <c r="F47" i="69" s="1"/>
  <c r="D44" i="69" a="1"/>
  <c r="D44" i="69" s="1"/>
  <c r="N26" i="69" a="1"/>
  <c r="N7" i="69" a="1"/>
  <c r="E7" i="74" a="1"/>
  <c r="E7" i="69" a="1"/>
  <c r="E19" i="120" l="1"/>
  <c r="E20" i="120" s="1"/>
  <c r="E42" i="70"/>
  <c r="J16" i="74" a="1"/>
  <c r="J16" i="74" s="1"/>
  <c r="J17" i="74" a="1"/>
  <c r="J17" i="74" s="1"/>
  <c r="J18" i="74" a="1"/>
  <c r="J18" i="74" s="1"/>
  <c r="J14" i="74" a="1"/>
  <c r="J14" i="74" s="1"/>
  <c r="J15" i="74" a="1"/>
  <c r="J15" i="74" s="1"/>
  <c r="E7" i="74"/>
  <c r="O61" i="69"/>
  <c r="O43" i="69"/>
  <c r="N26" i="69"/>
  <c r="I19" i="69" a="1"/>
  <c r="I19" i="69" s="1"/>
  <c r="I18" i="69" a="1"/>
  <c r="I18" i="69" s="1"/>
  <c r="I20" i="69" a="1"/>
  <c r="I20" i="69" s="1"/>
  <c r="N7" i="69"/>
  <c r="E7" i="69"/>
  <c r="T14" i="74" l="1"/>
  <c r="O21" i="74" s="1" a="1"/>
  <c r="O21" i="74" s="1"/>
  <c r="I14" i="114"/>
  <c r="E21" i="114" s="1" a="1"/>
  <c r="E21" i="114" s="1"/>
  <c r="E21" i="74" a="1"/>
  <c r="E21" i="74" s="1"/>
  <c r="D46" i="123" s="1"/>
  <c r="Q17" i="69"/>
  <c r="I14" i="69"/>
  <c r="O25" i="122" l="1"/>
  <c r="S25" i="122" s="1" a="1"/>
  <c r="S25" i="122" s="1"/>
  <c r="N46" i="122" s="1"/>
  <c r="O46" i="122" s="1" a="1"/>
  <c r="O46" i="122" s="1"/>
  <c r="N46" i="123"/>
  <c r="E25" i="113"/>
  <c r="E25" i="122"/>
  <c r="I25" i="122" s="1" a="1"/>
  <c r="I25" i="122" s="1"/>
  <c r="D46" i="122" s="1"/>
  <c r="E46" i="122" s="1" a="1"/>
  <c r="E46" i="122" s="1"/>
  <c r="T33" i="74"/>
  <c r="O25" i="113"/>
  <c r="I33" i="114"/>
  <c r="I56" i="114"/>
  <c r="J33" i="74"/>
  <c r="Q14" i="69" l="1"/>
  <c r="N20" i="69" s="1" a="1"/>
  <c r="N20" i="69" s="1"/>
  <c r="R36" i="69" l="1"/>
  <c r="N43" i="69" s="1" a="1"/>
  <c r="N43" i="69" s="1"/>
  <c r="R55" i="69" s="1"/>
  <c r="N45" i="122"/>
  <c r="O48" i="122" s="1"/>
  <c r="O24" i="123" l="1"/>
  <c r="S24" i="123" s="1" a="1"/>
  <c r="S24" i="123" s="1"/>
  <c r="N45" i="123" s="1"/>
  <c r="O45" i="123" s="1" a="1"/>
  <c r="O45" i="123" s="1"/>
  <c r="O48" i="123" s="1"/>
  <c r="Q50" i="123" s="1"/>
  <c r="O53" i="123" s="1" a="1"/>
  <c r="O53" i="123" s="1"/>
  <c r="O24" i="113"/>
  <c r="S24" i="113" s="1" a="1"/>
  <c r="S24" i="113" s="1"/>
  <c r="N45" i="113" s="1"/>
  <c r="Q50" i="122"/>
  <c r="O53" i="122" s="1" a="1"/>
  <c r="O53" i="122" s="1"/>
  <c r="I17" i="69" a="1"/>
  <c r="I17" i="69" s="1"/>
  <c r="E24" i="69" s="1" a="1"/>
  <c r="E24" i="69" s="1"/>
  <c r="E62" i="114" a="1"/>
  <c r="E62" i="114" s="1"/>
  <c r="E24" i="123" l="1"/>
  <c r="I24" i="123" s="1" a="1"/>
  <c r="I24" i="123" s="1"/>
  <c r="D45" i="123" s="1"/>
  <c r="E45" i="123" s="1" a="1"/>
  <c r="E45" i="123" s="1"/>
  <c r="E48" i="123" s="1"/>
  <c r="G50" i="123" s="1"/>
  <c r="E53" i="123" s="1" a="1"/>
  <c r="E53" i="123" s="1"/>
  <c r="I36" i="69"/>
  <c r="E13" i="13"/>
  <c r="F13" i="13" s="1"/>
  <c r="H64" i="114"/>
  <c r="E67" i="114" s="1" a="1"/>
  <c r="E67" i="114" s="1"/>
  <c r="H13" i="13" s="1"/>
  <c r="I13" i="13" s="1"/>
  <c r="E24" i="113"/>
  <c r="I24" i="113" s="1" a="1"/>
  <c r="I24" i="113" s="1"/>
  <c r="D45" i="113" s="1"/>
  <c r="D45" i="122"/>
  <c r="E48" i="122" s="1"/>
  <c r="E39" i="114" a="1"/>
  <c r="E39" i="114" s="1"/>
  <c r="I25" i="113" a="1"/>
  <c r="I25" i="113" s="1"/>
  <c r="D46" i="113" s="1"/>
  <c r="S25" i="113" a="1"/>
  <c r="S25" i="113" s="1"/>
  <c r="N46" i="113" s="1"/>
  <c r="E12" i="13" l="1"/>
  <c r="F12" i="13" s="1"/>
  <c r="H41" i="114"/>
  <c r="E44" i="114" s="1" a="1"/>
  <c r="E44" i="114" s="1"/>
  <c r="H12" i="13" s="1"/>
  <c r="I12" i="13" s="1"/>
  <c r="G50" i="122"/>
  <c r="E53" i="122" s="1" a="1"/>
  <c r="E53" i="122" s="1"/>
  <c r="E45" i="113" a="1"/>
  <c r="E45" i="113" s="1"/>
  <c r="O46" i="113" a="1"/>
  <c r="O46" i="113" s="1"/>
  <c r="O45" i="113" a="1"/>
  <c r="O45" i="113" s="1"/>
  <c r="E46" i="113" a="1"/>
  <c r="E46" i="113" s="1"/>
  <c r="J34" i="74" a="1"/>
  <c r="J34" i="74" s="1"/>
  <c r="O48" i="113" l="1"/>
  <c r="Q50" i="113" s="1"/>
  <c r="E48" i="113"/>
  <c r="O40" i="74" a="1"/>
  <c r="O40" i="74" s="1"/>
  <c r="E40" i="74" a="1"/>
  <c r="E40" i="74" s="1"/>
  <c r="I37" i="69" a="1"/>
  <c r="I37" i="69" s="1"/>
  <c r="E42" i="69" s="1" a="1"/>
  <c r="E42" i="69" s="1"/>
  <c r="R56" i="69" a="1"/>
  <c r="R56" i="69" s="1"/>
  <c r="N61" i="69" s="1" a="1"/>
  <c r="N61" i="69" s="1"/>
  <c r="E10" i="13" l="1"/>
  <c r="G42" i="74"/>
  <c r="E45" i="74" s="1" a="1"/>
  <c r="E45" i="74" s="1"/>
  <c r="H10" i="13" s="1"/>
  <c r="F10" i="13"/>
  <c r="Q42" i="74"/>
  <c r="O45" i="74" s="1" a="1"/>
  <c r="O45" i="74" s="1"/>
  <c r="I10" i="13" s="1"/>
  <c r="E9" i="13"/>
  <c r="G44" i="69"/>
  <c r="E47" i="69" s="1" a="1"/>
  <c r="E47" i="69" s="1"/>
  <c r="H9" i="13" s="1"/>
  <c r="F9" i="13"/>
  <c r="P63" i="69"/>
  <c r="N66" i="69" s="1" a="1"/>
  <c r="N66" i="69" s="1"/>
  <c r="I9" i="13" s="1"/>
  <c r="E11" i="13"/>
  <c r="G50" i="113"/>
  <c r="E53" i="113" s="1" a="1"/>
  <c r="E53" i="113" s="1"/>
  <c r="H11" i="13" s="1"/>
  <c r="O53" i="113" a="1"/>
  <c r="O53" i="113" s="1"/>
  <c r="I11" i="13" s="1"/>
  <c r="F11" i="13"/>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<sst xmlns="http://schemas.openxmlformats.org/spreadsheetml/2006/main" count="540" uniqueCount="283">
  <si>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</si>
  <si>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</si>
  <si>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</si>
  <si>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</si>
  <si>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</si>
  <si>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</si>
  <si>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</si>
  <si>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</si>
  <si>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</si>
  <si>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</si>
  <si>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</si>
  <si>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</si>
  <si>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</si>
  <si>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</si>
  <si>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</si>
  <si>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</si>
  <si>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</si>
  <si>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</si>
  <si>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</si>
  <si>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</si>
  <si>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</si>
  <si>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</si>
  <si>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</si>
  <si>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</si>
  <si>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</si>
  <si>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</si>
  <si>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</si>
  <si>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</si>
  <si>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</si>
  <si>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</si>
  <si>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</si>
  <si>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</si>
  <si>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</si>
  <si>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</si>
  <si>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</si>
  <si>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</si>
  <si>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</si>
  <si>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</si>
  <si>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</si>
  <si>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</si>
  <si>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</si>
  <si>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</si>
  <si>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</si>
  <si>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</si>
  <si>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</si>
  <si>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</si>
  <si>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</si>
  <si>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</si>
  <si>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</si>
  <si>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</si>
  <si>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</si>
  <si>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</si>
  <si>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</si>
  <si>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</si>
  <si>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</si>
  <si>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</si>
  <si>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</si>
  <si>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</si>
  <si>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</si>
  <si>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</si>
  <si>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</si>
  <si>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</si>
  <si>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</si>
  <si>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</si>
  <si>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</si>
  <si>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</si>
  <si>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</si>
  <si>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</si>
  <si>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</si>
  <si>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</si>
  <si>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</si>
  <si>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</si>
  <si>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</si>
  <si>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</si>
  <si>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</si>
  <si>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</si>
  <si>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</si>
  <si>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</si>
  <si>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</si>
  <si>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</si>
  <si>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</si>
  <si>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</si>
  <si>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</si>
  <si>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</si>
  <si>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</si>
  <si>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</si>
  <si>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</si>
  <si>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</si>
  <si>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</si>
  <si>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</si>
  <si>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</si>
  <si>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</si>
  <si>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</si>
  <si>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</si>
  <si>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</si>
  <si>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</si>
  <si>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</si>
  <si>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</si>
  <si>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</si>
  <si>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</si>
  <si>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</si>
  <si>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</si>
  <si>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</si>
  <si>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</si>
  <si>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</si>
  <si>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</si>
  <si>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</si>
  <si>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</si>
  <si>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</si>
  <si>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</si>
  <si>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</si>
  <si>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</si>
  <si>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</si>
  <si>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</si>
  <si>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</si>
  <si>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</si>
  <si>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</si>
  <si>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</si>
  <si>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</si>
  <si>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</si>
  <si>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</si>
  <si>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</si>
  <si>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</si>
  <si>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</si>
  <si>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</si>
  <si>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</si>
  <si>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</si>
  <si>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</si>
  <si>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</si>
  <si>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</si>
  <si>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</si>
  <si>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</si>
  <si>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</si>
  <si>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</si>
  <si>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</si>
  <si>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</si>
  <si>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</si>
  <si>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</si>
  <si>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</si>
  <si>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</si>
  <si>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</si>
  <si>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</si>
  <si>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</si>
  <si>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</si>
  <si>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</si>
  <si>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</si>
  <si>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</si>
  <si>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</si>
  <si>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</si>
  <si>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</si>
  <si>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</si>
  <si>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</si>
  <si>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</si>
  <si>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</si>
  <si>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</si>
  <si>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</si>
  <si>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</si>
  <si>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</si>
  <si>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</si>
  <si>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</si>
  <si>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</si>
  <si>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</si>
  <si>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</si>
  <si>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</si>
  <si>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</si>
  <si>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</si>
  <si>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</si>
  <si>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</si>
  <si>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</si>
  <si>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</si>
  <si>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</si>
  <si>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</si>
  <si>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</si>
  <si>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</si>
  <si>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</si>
  <si>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</si>
  <si>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</si>
  <si>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</si>
  <si>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</si>
  <si>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</si>
  <si>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</si>
  <si>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</si>
  <si>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</si>
  <si>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</si>
  <si>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</si>
  <si>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</si>
  <si>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</si>
  <si>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</si>
  <si>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</si>
  <si>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</si>
  <si>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</si>
  <si>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</si>
  <si>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</si>
  <si>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</si>
  <si>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</si>
  <si>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</si>
  <si>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</si>
  <si>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</si>
  <si>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</si>
  <si>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</si>
  <si>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</si>
  <si>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</si>
  <si>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</si>
  <si>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</si>
  <si>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</si>
  <si>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</si>
  <si>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</si>
  <si>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</si>
  <si>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</si>
  <si>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</si>
  <si>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</si>
  <si>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</si>
  <si>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</si>
  <si>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</si>
  <si>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</si>
  <si>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</si>
  <si>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</si>
  <si>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</si>
  <si>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</si>
  <si>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</si>
  <si>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</si>
  <si>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</si>
  <si>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</si>
  <si>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</si>
  <si>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</si>
  <si>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</si>
  <si>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</si>
  <si>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</si>
  <si>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</si>
  <si>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</si>
  <si>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</si>
  <si>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</si>
  <si>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</si>
  <si>
    <r>
      <t>E</t>
    </r>
    <r>
      <rPr>
        <b/>
        <vertAlign val="subscript"/>
        <sz val="16"/>
        <color theme="1" tint="0.24994659260841701"/>
        <rFont val="Times New Roman"/>
        <family val="1"/>
      </rPr>
      <t>CH4</t>
    </r>
  </si>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</sst>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60" fillId="0" borderId="0"/>
  </cellStyleXfs>
  <cellXfs count="143">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40"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9" fontId="2" fillId="0" borderId="2" xfId="17">
      <alignment horizontal="center" vertical="center"/>
    </xf>
    <xf numFmtId="170" fontId="8" fillId="4" borderId="0" xfId="10" applyNumberFormat="1">
      <alignment horizontal="center" vertical="center"/>
    </xf>
    <xf numFmtId="0" fontId="61"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3"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2" fillId="4" borderId="1" xfId="0" applyFont="1" applyFill="1" applyBorder="1"/>
    <xf numFmtId="0" fontId="64" fillId="4" borderId="1" xfId="0" applyFont="1" applyFill="1" applyBorder="1"/>
    <xf numFmtId="171" fontId="8" fillId="4" borderId="0" xfId="10" applyNumberFormat="1">
      <alignment horizontal="center" vertical="center"/>
    </xf>
    <xf numFmtId="0" fontId="65" fillId="9" borderId="5" xfId="36" applyFont="1">
      <alignment horizontal="left" vertical="center" inden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8"/>
      <tableStyleElement type="headerRow" dxfId="77"/>
      <tableStyleElement type="totalRow" dxfId="76"/>
      <tableStyleElement type="firstColumn" dxfId="75"/>
      <tableStyleElement type="firstRowStripe" dxfId="74"/>
      <tableStyleElement type="secondRowStripe" dxfId="73"/>
    </tableStyle>
    <tableStyle name="Equation table" pivot="0" count="6" xr9:uid="{B247698E-E41D-4CCD-AA0A-C14817E9DE65}">
      <tableStyleElement type="wholeTable" dxfId="72"/>
      <tableStyleElement type="headerRow" dxfId="71"/>
      <tableStyleElement type="totalRow" dxfId="70"/>
      <tableStyleElement type="firstColumn" dxfId="69"/>
      <tableStyleElement type="firstRowStripe" dxfId="68"/>
      <tableStyleElement type="secondRowStripe" dxfId="67"/>
    </tableStyle>
    <tableStyle name="Table Style 1" pivot="0" count="0" xr9:uid="{97B370DB-5463-4A31-9160-5A96BD6A559D}"/>
  </tableStyles>
  <colors>
    <mruColors>
      <color rgb="FF0C769E"/>
      <color rgb="FF008000"/>
      <color rgb="FFC44340"/>
      <color rgb="FFFFCCCC"/>
      <color rgb="FFCC660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REF!">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 </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7</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11</xdr:col>
      <xdr:colOff>295275</xdr:colOff>
      <xdr:row>26</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49</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𝑙𝑒𝑎𝑐ℎ</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𝑙𝑒𝑎𝑐ℎ</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𝑙𝑒𝑎𝑐ℎ</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29">
      <calculatedColumnFormula array="1">Common_InputFunctions.Utility_DisplayArrayInTable(Agresidue_SourceData.CropFractionRemoved_Data(), Table76[[#Headers],[Crop type c]], 0)</calculatedColumnFormula>
    </tableColumn>
    <tableColumn id="3" xr3:uid="{BB1819D3-B175-4610-A8F6-4C85437820E5}" name="Fraction removed" dataDxfId="28">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27">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26">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25" dataCellStyle="Content bold">
  <autoFilter ref="D43:E45" xr:uid="{2270AB6D-D03A-4D71-95C0-00BA6BB02732}">
    <filterColumn colId="0" hiddenButton="1"/>
    <filterColumn colId="1" hiddenButton="1"/>
  </autoFilter>
  <tableColumns count="2">
    <tableColumn id="1" xr3:uid="{C1F5DE5C-442A-47C8-B53B-A669D141AC48}" name="Climate zone type i" dataDxfId="24"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23"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22"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21"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20"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19"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18"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17"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16"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15"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1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13">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15242E4-94BB-4388-8FCD-8FBF5FDB1F2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85285F7-0197-4419-8454-314D0043F797}" name="State/Territory">
      <calculatedColumnFormula array="1">Common_InputFunctions.Utility_DisplayArrayInTable(Common_SourceData.Common_SourceData_AustralianStatesTerritories_Data(),Table_AustralianStates[[#Headers],[State/Territory]],0)</calculatedColumnFormula>
    </tableColumn>
    <tableColumn id="2" xr3:uid="{0E7C3FC1-C79D-4AD5-9C64-49871634B187}" name="Common Name">
      <calculatedColumnFormula array="1">Common_InputFunctions.Utility_DisplayArrayInTable(Common_SourceData.Common_SourceData_AustralianStatesTerritories_Data(),Table_AustralianStates[[#Headers],[State/Territory]],0)</calculatedColumnFormula>
    </tableColumn>
    <tableColumn id="3" xr3:uid="{45626805-9E17-4BD1-B702-9656ECB5D39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ECFFD67-DE8D-40A6-9376-20869391F69E}" name="Table_WASA4Areas" displayName="Table_WASA4Areas" ref="D20:D30" totalsRowShown="0">
  <autoFilter ref="D20:D30" xr:uid="{5FA81339-C6C8-4D36-BEEA-6C4AEDD9E676}">
    <filterColumn colId="0" hiddenButton="1"/>
  </autoFilter>
  <tableColumns count="1">
    <tableColumn id="1" xr3:uid="{E3476D7B-012A-46A1-9E4E-C1B7E2E97C5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1A38FF3-B452-4864-A7B2-18BE6D0E8C18}" name="Table_GWPData" displayName="Table_GWPData" ref="D36:E43" totalsRowShown="0">
  <autoFilter ref="D36:E43" xr:uid="{B8E87A66-3E41-4AD3-925D-01EE21B43D7A}">
    <filterColumn colId="0" hiddenButton="1"/>
    <filterColumn colId="1" hiddenButton="1"/>
  </autoFilter>
  <tableColumns count="2">
    <tableColumn id="1" xr3:uid="{F5143C51-DE74-4AD3-BE14-E303C5E3B360}" name="Gas">
      <calculatedColumnFormula array="1">Common_InputFunctions.Utility_DisplayArrayInTable(Common_SourceData.Common_SourceData_GWP_Data(), Table_GWPData[[#Headers],[Gas]], 0)</calculatedColumnFormula>
    </tableColumn>
    <tableColumn id="2" xr3:uid="{52ED7FB2-F1F2-44E2-9676-45825BF02B8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CD9E27E-6713-4809-B302-5C566B83F76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6EE6686-FDCF-490C-A905-6D25DF95806D}" name="Gas">
      <calculatedColumnFormula array="1">Common_InputFunctions.Utility_DisplayArrayInTable(Common_SourceData.Common_SourceData_ConvertGasElementalToMolecular_Data(),Table_GasToMolecularConversionFactor[[#Headers],[Gas]], 0)</calculatedColumnFormula>
    </tableColumn>
    <tableColumn id="5" xr3:uid="{768C0AB2-C8E1-433B-B144-79259594899E}" name="Conversion factor">
      <calculatedColumnFormula array="1">Common_InputFunctions.Utility_DisplayArrayInTable(Common_SourceData.Common_SourceData_ConvertGasElementalToMolecular_Data(),Table_GasToMolecularConversionFactor[[#Headers],[Gas]], 0)</calculatedColumnFormula>
    </tableColumn>
    <tableColumn id="2" xr3:uid="{DE7D9EC6-BDD9-43FB-8CD6-A93FA0CDE74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757A869-0205-4059-A5C5-4D79BF07882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A125E95-25BE-405C-BA7E-A98785A7F5A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61AFC621-F2D0-4222-A5B9-9791FDB5BFA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4B71CB2-DF62-44CE-A955-5FA230170E4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E80A9DE-F0C3-497F-82CA-21EBFFAF9992}" name="MA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3" xr3:uid="{6E8E9504-3C6F-4C0D-98DA-9BAEDAC99D11}" name="MAP"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4" xr3:uid="{443D671D-B455-4AE8-9F51-412B14BD786E}" name="Frost days per year"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5" xr3:uid="{EAC94197-2D40-4D0C-AC82-ABEEBBE1C8A7}" name="Elevation"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6" xr3:uid="{07178A7C-1F41-4A0B-874B-5620D5CA93CD}" name="MAP:PET"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7" xr3:uid="{F51BFF1E-ADA8-4084-98B2-B0EE1F29C8D9}" name="Min temp"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8" xr3:uid="{55ECB238-7918-410F-A288-1944115D64F9}" name="Max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9" xr3:uid="{93BB3183-03B5-4DD3-813A-57039CD49026}" name="Min rainfall"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10" xr3:uid="{36F6A66F-87C9-41B8-92D3-CC8F9F943A43}" name="Max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1" xr3:uid="{180FDA2C-2826-4C34-AF47-04D8B1A3BA7C}" name="Min frost days"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5" xr3:uid="{0BCE5116-BD89-4504-91C7-AB4A7DAB92E1}" name="Max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2" xr3:uid="{EE0BC106-DAB3-44B5-9F7C-CE6BBBED0312}" name="Min 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6" xr3:uid="{2A2170A7-DB10-4096-BF15-E647A37DAB1B}" name="Max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3" xr3:uid="{3942B39A-5E69-49A3-9A83-56E41A6BD8BD}" name="Min MAP:PET"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7" xr3:uid="{DAABE527-C1BE-4ECC-9D29-FEBBF749ED1D}" name="Max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B61AC17-82AF-4EB2-B3DE-05D70689643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5140128-22CE-45C3-9B25-FAA7D0157E1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6EBD49D-F86A-4042-B65D-6811E1971B24}" name="Wet or Dry Zone" totalsRowDxfId="5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D8D96B28-3376-409A-8150-B96A99979D1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658A21F-0221-43DE-91EF-6307F0D1F566}" name="Temperature Zone">
      <calculatedColumnFormula array="1">Common_InputFunctions.Utility_DisplayArrayInTable(Common_SourceData.Common_SourceData_TemperatureZones_Data(),Table_SourceData_TemperatureZones[[#Headers],[Temperature Zone]],0)</calculatedColumnFormula>
    </tableColumn>
    <tableColumn id="2" xr3:uid="{F9F35E82-2A45-40E1-9B15-9226D39F6AA5}" name="MAT">
      <calculatedColumnFormula array="1">Common_InputFunctions.Utility_DisplayArrayInTable(Common_SourceData.Common_SourceData_TemperatureZones_Data(),Table_SourceData_TemperatureZones[[#Headers],[Temperature Zone]],0)</calculatedColumnFormula>
    </tableColumn>
    <tableColumn id="3" xr3:uid="{089ED630-BB0B-4097-9236-695599632C3C}" name="Min MAT">
      <calculatedColumnFormula array="1">Common_InputFunctions.Utility_DisplayArrayInTable(Common_SourceData.Common_SourceData_TemperatureZones_Data(),Table_SourceData_TemperatureZones[[#Headers],[Temperature Zone]],0)</calculatedColumnFormula>
    </tableColumn>
    <tableColumn id="4" xr3:uid="{28988991-4D48-4149-AA82-3078C02F3B2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A9A40AE-2261-4EEE-BE9E-C8892C7D560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E6FFE83-6518-4111-B816-89F79A4D2F34}" name="Rainfall Zone">
      <calculatedColumnFormula array="1">Common_InputFunctions.Utility_DisplayArrayInTable(Common_SourceData.Common_SourceData_RainfallZones_Data(),Table_SourceData_RainfallZones[[#Headers],[Rainfall Zone]],0)</calculatedColumnFormula>
    </tableColumn>
    <tableColumn id="2" xr3:uid="{E6ABD893-B837-4937-946C-DF23BA09E5A0}" name="Annual rainfall">
      <calculatedColumnFormula array="1">Common_InputFunctions.Utility_DisplayArrayInTable(Common_SourceData.Common_SourceData_RainfallZones_Data(),Table_SourceData_RainfallZones[[#Headers],[Rainfall Zone]],0)</calculatedColumnFormula>
    </tableColumn>
    <tableColumn id="3" xr3:uid="{CB918A9C-F25D-46AC-8CAF-520CBAC4E313}" name="Min rainfall">
      <calculatedColumnFormula array="1">Common_InputFunctions.Utility_DisplayArrayInTable(Common_SourceData.Common_SourceData_RainfallZones_Data(),Table_SourceData_RainfallZones[[#Headers],[Rainfall Zone]],0)</calculatedColumnFormula>
    </tableColumn>
    <tableColumn id="4" xr3:uid="{66547D2F-72D2-45C9-A52C-3C7319D5EC7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3AC2AEF-E3B7-4B4C-B8A8-0110EDDF89E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D6434C9-BA54-47CB-A5E3-359EC5113C6C}" name="Leaching Zone">
      <calculatedColumnFormula array="1">Common_InputFunctions.Utility_DisplayArrayInTable(Common_SourceData.Common_SourceData_LeachingZones_Data(), Table_SourceData_LeachingZones[[#Headers],[Leaching Zone]], 0)</calculatedColumnFormula>
    </tableColumn>
    <tableColumn id="2" xr3:uid="{AD2C4179-AC75-4F20-A90D-0EA27A87067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9C8CA9C-7C20-4ED4-ADE4-1C63057CE17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716E96E-C1B7-4147-8F11-9A5A92A00A0C}" name="Data source">
      <calculatedColumnFormula array="1">Common_InputFunctions.Utility_DisplayArrayInTable(Common_SourceData.Common_SourceData_DataScores_Scope3_Data(), Table_SourceData_DataScores_Scope3[[#Headers],[Data source]], 0)</calculatedColumnFormula>
    </tableColumn>
    <tableColumn id="2" xr3:uid="{B194167F-E43E-4C15-BA3F-938B624A823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1FC472F-62F5-4495-B319-BDEE5A7B088D}" name="Table_SourceData_FracWET" displayName="Table_SourceData_FracWET" ref="D134:E136" totalsRowShown="0">
  <autoFilter ref="D134:E136" xr:uid="{308E99BE-FE1F-47A4-B2CA-97217277C4E9}">
    <filterColumn colId="0" hiddenButton="1"/>
    <filterColumn colId="1" hiddenButton="1"/>
  </autoFilter>
  <tableColumns count="2">
    <tableColumn id="1" xr3:uid="{E3354658-ACC4-40B7-9868-13B3E3C4DD1D}" name="Is in leaching zone">
      <calculatedColumnFormula array="1">Common_InputFunctions.Utility_DisplayArrayInTable(Common_SourceData.Common_SourceData_FracWET_Data(),Table_SourceData_FracWET[[#Headers],[Is in leaching zone]],0)</calculatedColumnFormula>
    </tableColumn>
    <tableColumn id="2" xr3:uid="{94AC354C-3E9B-4746-B8AD-8BC6A999841A}" name="FracWET" dataDxfId="5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FBB57CC-6040-44DD-9FAF-FC0428C19E5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0ECCAAA-9924-4DE1-84BC-8D9064B8CC44}" name="Production system j">
      <calculatedColumnFormula array="1">Common_InputFunctions.Utility_DisplayArrayInTable(Common_SourceData.Common_SourceData_EFN2O_Data(), Table_SourceData_Common_EFN2O[[#Headers],[Production system j]], 0)</calculatedColumnFormula>
    </tableColumn>
    <tableColumn id="2" xr3:uid="{28169AB7-EF43-4719-A504-B75DC00584E5}" name="EFN2O">
      <calculatedColumnFormula array="1">Common_InputFunctions.Utility_DisplayArrayInTable(Common_SourceData.Common_SourceData_EFN2O_Data(), Table_SourceData_Common_EFN2O[[#Headers],[Production system j]], 0)</calculatedColumnFormula>
    </tableColumn>
    <tableColumn id="3" xr3:uid="{60EBD679-081F-49DE-9E4E-4FCBED4D1579}" name="Production system only">
      <calculatedColumnFormula array="1">Common_InputFunctions.Utility_DisplayArrayInTable(Common_SourceData.Common_SourceData_EFN2O_Data(), Table_SourceData_Common_EFN2O[[#Headers],[Production system j]], 0)</calculatedColumnFormula>
    </tableColumn>
    <tableColumn id="4" xr3:uid="{57F1AEB9-FCFF-4AF9-8452-1C16412130AE}" name="Irrigation method">
      <calculatedColumnFormula array="1">Common_InputFunctions.Utility_DisplayArrayInTable(Common_SourceData.Common_SourceData_EFN2O_Data(), Table_SourceData_Common_EFN2O[[#Headers],[Production system j]], 0)</calculatedColumnFormula>
    </tableColumn>
    <tableColumn id="5" xr3:uid="{9EAA6F39-6BD3-4724-918E-5FB79857E7D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938A556-70C0-4BBB-A679-8D263374449E}"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161CCCD-DBF3-4EF3-A319-57D1F9E09857}" name="Irrigation type i">
      <calculatedColumnFormula array="1">Common_InputFunctions.Utility_DisplayArrayInTable(Common_SourceData.Common_SourceData_FracWETIrrigation_Data(), Table_SourceData_FracWETIrrigation[[#Headers],[Irrigation type i]], 0)</calculatedColumnFormula>
    </tableColumn>
    <tableColumn id="2" xr3:uid="{257859AA-EF19-4073-B64C-997501B2752D}" name="FracWET" dataDxfId="4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546BCAA-B087-4919-9415-2F922035646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7E218CA-3B12-4310-8241-F55FBC60C4F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C29A251-6F34-47FF-AB49-EC46CCBCB5A6}" name="EFPRP" dataDxfId="4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5586725-89B6-4E9E-B92B-F79798131D37}"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7608570-5D01-4AC4-9CF0-B64FD200818D}" name="Month">
      <calculatedColumnFormula array="1">Common_InputFunctions.Utility_DisplayArrayInTable(Common_SourceData.Common_SourceData_MonthsToSeasons_Data(), Table_SourceData_Common_MonthToSeason[[#Headers],[Month]], 0)</calculatedColumnFormula>
    </tableColumn>
    <tableColumn id="2" xr3:uid="{FE6E9157-D06E-4A49-A4E8-12BBACEA9D68}" name="Season" dataDxfId="4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0C4928D-9491-4DAE-8E41-940E8B0641A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A9864C8-A9A9-4116-BFA9-8AE4C33B203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D020718-B126-4E1E-B7A2-E4799CE84F90}" name="MAT (ºC)"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DF30795-81CA-4753-8DC6-BE82EB56ED08}" name="Anaerobic lagoon"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24071FF-B9F3-4701-8161-C219AA038402}" name="Digester / covered lagoons"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4F25A1E-BD1A-4A32-B3B9-3FE66F06A7C4}" name="Liquid system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E88BFF6-4788-4CD7-9D86-76D3ED21E32D}" name="Daily spread"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3B68D19-308D-4A97-8EAC-DFD2DA03D834}" name="Composting (passive windrow)"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2FA9499-2E9B-4059-8073-E3F174038738}" name="Solid storage"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9DEFC96-F03D-4B17-801A-22BB9A5F0C13}" name="Pit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93D4FF2-E7DF-4153-AC57-DF4C8497FA91}" name="Deep litter"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E5C229F-E953-48BE-B9EC-00F01E583582}" name="Poultry manure with bedding"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6D5C57F-CF70-4D00-8627-B307B61DBA91}" name="Poultry manure without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15FB04B-C98F-40ED-BD0B-F3C991004B61}" name="Direct process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6CD9218-60CE-4633-86A8-A4C085F547BC}" name="Direct application"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62A4390-490F-4133-991C-A562D6FB1048}" name="Pasture range and paddock"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4931689-F00B-49B7-BFE8-DDEC799D500F}" name="MAT raw"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9B72A60-B7F4-47F3-99DF-63A1E0AFD7B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713A0F3-8298-4022-BC27-83A9CF7BD322}"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C71DBEE-43BC-4913-A5B0-D331A36FD792}" name="EFNi &amp; EFN2Oi" dataDxfId="3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DB59068-0BAB-4E3F-8845-54FF464CA2F7}"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DCC4F15D-FB39-4B3E-8DC8-B2A7FAD84DB1}" name="Description" dataDxfId="30" dataCellStyle="Content normal"/>
    <tableColumn id="1" xr3:uid="{F9FA899D-1E1B-4193-8267-8FE4F843DBA5}" name="ID"/>
    <tableColumn id="3" xr3:uid="{6E45CED9-9F11-4902-983D-7D1EC6ECB644}"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A9877CA-4402-4924-B096-59CBB4702102}"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1B8440E-D98F-4798-BA82-2F440729C7F0}" name="Description"/>
    <tableColumn id="2" xr3:uid="{CD946835-BD8C-447B-9052-7CCF880EE0D7}" name="ID"/>
    <tableColumn id="3" xr3:uid="{10653BBF-D21A-4397-81AD-63AD94D6DDC6}"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68C1BD0-7202-409D-937C-63B91EC8812F}"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E6A0250-5756-4FCF-A49F-8EB618CC8DF0}" name="Description"/>
    <tableColumn id="2" xr3:uid="{EE7C1207-AFC1-4E18-8EEB-3F87D593C77F}" name="ID"/>
    <tableColumn id="3" xr3:uid="{2B90D16D-7E8B-4915-8BC8-1EA14FDB00F5}"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73C2B07-C279-4209-B1C8-205615980A6C}"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6A8F045-E54F-47A5-AA1C-7708BD93EC09}" name="Description"/>
    <tableColumn id="2" xr3:uid="{95BAF0B4-F148-4313-A2AF-D663916B48B9}" name="ID"/>
    <tableColumn id="3" xr3:uid="{F56A140B-AA34-4EB4-B697-563581A00C12}"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59"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21" Type="http://schemas.openxmlformats.org/officeDocument/2006/relationships/table" Target="../tables/table28.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20" Type="http://schemas.openxmlformats.org/officeDocument/2006/relationships/table" Target="../tables/table27.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19" Type="http://schemas.openxmlformats.org/officeDocument/2006/relationships/table" Target="../tables/table26.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 Id="rId22"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5" sqref="A25"/>
    </sheetView>
  </sheetViews>
  <sheetFormatPr defaultRowHeight="15" x14ac:dyDescent="0.25"/>
  <sheetData>
    <row r="1" spans="1:1" x14ac:dyDescent="0.25">
      <c r="A1" t="s">
        <v>234</v>
      </c>
    </row>
    <row r="3" spans="1:1" x14ac:dyDescent="0.25">
      <c r="A3" s="142" t="str">
        <f>HYPERLINK("#'Home'!A1", "Home")</f>
        <v>Home</v>
      </c>
    </row>
    <row r="6" spans="1:1" x14ac:dyDescent="0.25">
      <c r="A6" s="141"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AV45"/>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22" t="s">
        <v>126</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c r="AJ1" s="123"/>
      <c r="AK1" s="123"/>
      <c r="AL1" s="123"/>
      <c r="AM1" s="123"/>
      <c r="AN1" s="123"/>
      <c r="AO1" s="123"/>
    </row>
    <row r="2" spans="1:42"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4"/>
    </row>
    <row r="3" spans="1:42" ht="20.100000000000001" customHeight="1" x14ac:dyDescent="0.25">
      <c r="A3" s="17" t="str">
        <f>HYPERLINK("#'Home'!A1", "Home")</f>
        <v>Home</v>
      </c>
      <c r="C3" s="125"/>
      <c r="D3" s="125"/>
      <c r="E3" s="125"/>
      <c r="F3" s="125"/>
      <c r="G3" s="125"/>
      <c r="H3" s="125"/>
      <c r="I3" s="125"/>
      <c r="J3" s="125"/>
      <c r="K3" s="125"/>
      <c r="L3" s="125"/>
      <c r="M3" s="125"/>
      <c r="N3" s="125"/>
      <c r="O3" s="125"/>
      <c r="P3" s="125"/>
      <c r="Q3" s="125"/>
      <c r="R3" s="125"/>
      <c r="S3" s="125"/>
      <c r="T3" s="125"/>
      <c r="U3" s="125"/>
      <c r="V3" s="125"/>
      <c r="W3" s="125"/>
      <c r="X3" s="125"/>
      <c r="Y3" s="125"/>
      <c r="Z3" s="125"/>
      <c r="AA3" s="125"/>
      <c r="AB3" s="125"/>
      <c r="AC3" s="125"/>
      <c r="AD3" s="125"/>
      <c r="AE3" s="125"/>
      <c r="AF3" s="125"/>
      <c r="AG3" s="125"/>
      <c r="AH3" s="125"/>
      <c r="AI3" s="125"/>
      <c r="AJ3" s="125"/>
      <c r="AK3" s="125"/>
      <c r="AL3" s="125"/>
      <c r="AM3" s="125"/>
      <c r="AN3" s="125"/>
      <c r="AO3" s="125"/>
    </row>
    <row r="4" spans="1:42" ht="20.100000000000001" customHeight="1" x14ac:dyDescent="0.25">
      <c r="A4" s="105" t="str">
        <f>HYPERLINK("#'Overview'!A1", "Overview")</f>
        <v>Overview</v>
      </c>
    </row>
    <row r="5" spans="1:42" ht="20.100000000000001" customHeight="1" x14ac:dyDescent="0.25">
      <c r="A5" s="17" t="str">
        <f>HYPERLINK("#'Results'!A1", "Results")</f>
        <v>Results</v>
      </c>
      <c r="D5" s="102" t="s">
        <v>124</v>
      </c>
      <c r="E5" s="83"/>
      <c r="F5" s="83"/>
      <c r="G5" s="83"/>
      <c r="H5" s="83"/>
      <c r="I5" s="83"/>
      <c r="J5" s="83"/>
      <c r="K5" s="83"/>
      <c r="L5" s="83"/>
      <c r="M5" s="83"/>
      <c r="N5" s="83"/>
      <c r="O5" s="79"/>
    </row>
    <row r="6" spans="1:42" ht="20.100000000000001" customHeight="1" x14ac:dyDescent="0.25">
      <c r="D6" s="126" t="s">
        <v>125</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Crop'!A1", "Crop")</f>
        <v>Crop</v>
      </c>
    </row>
    <row r="11" spans="1:42" ht="20.100000000000001" customHeight="1" x14ac:dyDescent="0.25">
      <c r="A11" s="17" t="str">
        <f>HYPERLINK("#'Input - Pasture'!A1", "Pasture")</f>
        <v>Pasture</v>
      </c>
    </row>
    <row r="12" spans="1:42" ht="20.100000000000001" customHeight="1" x14ac:dyDescent="0.25"/>
    <row r="13" spans="1:42" ht="20.100000000000001" customHeight="1" x14ac:dyDescent="0.25"/>
    <row r="14" spans="1:42" ht="20.100000000000001" customHeight="1" x14ac:dyDescent="0.25">
      <c r="A14" s="18" t="s">
        <v>68</v>
      </c>
    </row>
    <row r="15" spans="1:42" ht="20.100000000000001" customHeight="1" x14ac:dyDescent="0.25">
      <c r="A15" s="17" t="str">
        <f>HYPERLINK("#'6.1.1.1-2 Crop residue N2O'!A1", "6.1.1.1-2 Crop residue N2O")</f>
        <v>6.1.1.1-2 Crop residue N2O</v>
      </c>
    </row>
    <row r="16" spans="1:42" ht="20.100000000000001" customHeight="1" x14ac:dyDescent="0.25">
      <c r="A16" s="17" t="str">
        <f>HYPERLINK("#'6.2.1.1-2 Pasture residue N2O'!A1", "6.2.1.1-2 Pasture residue N2O")</f>
        <v>6.2.1.1-2 Pasture residue N2O</v>
      </c>
    </row>
    <row r="17" spans="1:1" ht="20.100000000000001" customHeight="1" x14ac:dyDescent="0.25">
      <c r="A17" s="17" t="str">
        <f>HYPERLINK("#'6.3.1.1-2 Leaching and runoff'!A1", "6.3.1.1-2 Leaching and runoff")</f>
        <v>6.3.1.1-2 Leaching and runoff</v>
      </c>
    </row>
    <row r="18" spans="1:1" ht="20.100000000000001" customHeight="1" x14ac:dyDescent="0.25">
      <c r="A18" s="17" t="str">
        <f>HYPERLINK("#'6.3.1.1-2 Leach runoff crop'!A1", "6.3.1.1-2 Leach runoff crop")</f>
        <v>6.3.1.1-2 Leach runoff crop</v>
      </c>
    </row>
    <row r="19" spans="1:1" ht="20.100000000000001" customHeight="1" x14ac:dyDescent="0.25">
      <c r="A19" s="17" t="str">
        <f>HYPERLINK("#'6.3.1.1-2 Leach runoff pasture'!A1", "6.3.1.1-2 Leach runoff pasture")</f>
        <v>6.3.1.1-2 Leach runoff pasture</v>
      </c>
    </row>
    <row r="20" spans="1:1" ht="20.100000000000001" customHeight="1" x14ac:dyDescent="0.25">
      <c r="A20" s="17" t="str">
        <f>HYPERLINK("#'6.4.1.1-2 Residue burning'!A1", "6.4.1.1-2 Residue burning")</f>
        <v>6.4.1.1-2 Residue burning</v>
      </c>
    </row>
    <row r="21" spans="1:1" ht="20.100000000000001" customHeight="1" x14ac:dyDescent="0.25"/>
    <row r="22" spans="1:1" ht="20.100000000000001" customHeight="1" x14ac:dyDescent="0.25"/>
    <row r="23" spans="1:1" ht="20.100000000000001" customHeight="1" x14ac:dyDescent="0.25">
      <c r="A23" s="141" t="s">
        <v>1</v>
      </c>
    </row>
    <row r="24" spans="1:1" ht="20.100000000000001" customHeight="1" x14ac:dyDescent="0.25">
      <c r="A24" s="17" t="str">
        <f>HYPERLINK("#'Constants - Ag Residue'!A1", "Constants - Ag Residue")</f>
        <v>Constants - Ag Residue</v>
      </c>
    </row>
    <row r="25" spans="1:1" ht="20.100000000000001" customHeight="1" x14ac:dyDescent="0.25">
      <c r="A25" s="17" t="str">
        <f>HYPERLINK("#'Constants - Common'!A1", "Constants - Common")</f>
        <v>Constants - Common</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15" sqref="A15"/>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0" t="e" vm="1">
        <v>#VALUE!</v>
      </c>
      <c r="C1" s="122" t="s">
        <v>127</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5" t="str">
        <f>HYPERLINK("#'Results'!A1", "Results")</f>
        <v>Results</v>
      </c>
      <c r="C5" s="21"/>
      <c r="D5" s="25"/>
      <c r="E5" s="26"/>
      <c r="F5" s="26"/>
      <c r="G5" s="26"/>
      <c r="H5" s="23"/>
      <c r="I5" s="21"/>
      <c r="J5" s="21"/>
      <c r="K5" s="21"/>
    </row>
    <row r="6" spans="1:11" ht="20.100000000000001" customHeight="1" x14ac:dyDescent="0.25">
      <c r="C6" s="21"/>
      <c r="D6" s="86" t="s">
        <v>121</v>
      </c>
      <c r="E6" s="8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0" t="s">
        <v>81</v>
      </c>
      <c r="E8" s="100" t="s">
        <v>93</v>
      </c>
      <c r="F8" s="100" t="s">
        <v>94</v>
      </c>
      <c r="G8" s="100" t="s">
        <v>87</v>
      </c>
      <c r="H8" s="100" t="s">
        <v>95</v>
      </c>
      <c r="I8" s="100" t="s">
        <v>96</v>
      </c>
      <c r="J8" s="100" t="s">
        <v>88</v>
      </c>
      <c r="K8" s="21"/>
    </row>
    <row r="9" spans="1:11" ht="20.100000000000001" customHeight="1" x14ac:dyDescent="0.25">
      <c r="A9" s="17" t="str">
        <f>HYPERLINK("#'Input - Site'!A1", "Site")</f>
        <v>Site</v>
      </c>
      <c r="C9" s="21"/>
      <c r="D9" s="1" t="s">
        <v>212</v>
      </c>
      <c r="E9" s="121">
        <f>VEERG_6_1_1_1__1__NitrousOxideEmissionsFromCropResidues_Result_Method1</f>
        <v>0.66792000000000007</v>
      </c>
      <c r="F9" s="121">
        <f>VEERG_6_1_1_1__1__NitrousOxideEmissionsFromCropResidues_Result_Method2</f>
        <v>0.66792000000000007</v>
      </c>
      <c r="G9" s="51" t="s">
        <v>99</v>
      </c>
      <c r="H9" s="98">
        <f>'6.1.1.1-2 Crop residue N2O'!E47</f>
        <v>176.99880000000002</v>
      </c>
      <c r="I9" s="98">
        <f>'6.1.1.1-2 Crop residue N2O'!N66</f>
        <v>176.99880000000002</v>
      </c>
      <c r="J9" s="51" t="s">
        <v>91</v>
      </c>
      <c r="K9" s="21"/>
    </row>
    <row r="10" spans="1:11" ht="20.100000000000001" customHeight="1" x14ac:dyDescent="0.25">
      <c r="A10" s="17" t="str">
        <f>HYPERLINK("#'Input - Crop'!A1", "Crop")</f>
        <v>Crop</v>
      </c>
      <c r="C10" s="21"/>
      <c r="D10" s="1" t="s">
        <v>213</v>
      </c>
      <c r="E10" s="140">
        <f>VEERG_6_2_1_1__1__NitrousOxideEmissionsFromPastureResidues_Result_Method1</f>
        <v>5.8320428571428569E-7</v>
      </c>
      <c r="F10" s="140">
        <f>VEERG_6_2_1_1__1__NitrousOxideEmissionsFromPastureResidues_Result_Method2</f>
        <v>5.8320428571428569E-7</v>
      </c>
      <c r="G10" s="51" t="s">
        <v>99</v>
      </c>
      <c r="H10" s="98">
        <f>'6.2.1.1-2 Pasture residue N2O'!E45</f>
        <v>1.545491357142857E-4</v>
      </c>
      <c r="I10" s="98">
        <f>'6.2.1.1-2 Pasture residue N2O'!O45</f>
        <v>1.545491357142857E-4</v>
      </c>
      <c r="J10" s="51" t="s">
        <v>91</v>
      </c>
      <c r="K10" s="21"/>
    </row>
    <row r="11" spans="1:11" ht="20.100000000000001" customHeight="1" x14ac:dyDescent="0.25">
      <c r="A11" s="17" t="str">
        <f>HYPERLINK("#'Input - Pasture'!A1", "Pasture")</f>
        <v>Pasture</v>
      </c>
      <c r="C11" s="21"/>
      <c r="D11" s="1" t="s">
        <v>214</v>
      </c>
      <c r="E11" s="121">
        <f>VEERG_6_3_1_1__1__LeachingAndRunoffEmissionsCropAndPastureResidue_Result_Method1</f>
        <v>0.35266206793186283</v>
      </c>
      <c r="F11" s="121">
        <f>VEERG_6_3_1_1__1__LeachingAndRunoffEmissionsCropAndPastureResidue_Result_Method2</f>
        <v>0.35266206793186283</v>
      </c>
      <c r="G11" s="51" t="s">
        <v>99</v>
      </c>
      <c r="H11" s="98">
        <f>'6.3.1.1-2 Leaching and runoff'!E53</f>
        <v>93.455448001943651</v>
      </c>
      <c r="I11" s="98">
        <f>'6.3.1.1-2 Leaching and runoff'!O53</f>
        <v>93.455448001943651</v>
      </c>
      <c r="J11" s="51" t="s">
        <v>91</v>
      </c>
      <c r="K11" s="21"/>
    </row>
    <row r="12" spans="1:11" ht="20.100000000000001" customHeight="1" x14ac:dyDescent="0.25">
      <c r="C12" s="21"/>
      <c r="D12" s="1" t="s">
        <v>215</v>
      </c>
      <c r="E12" s="121">
        <f>VEERG_6_4_1_1__2__NitrousOxideEmissionsFromBurningOfCropResidues_Result_Method1</f>
        <v>0.12769302857142856</v>
      </c>
      <c r="F12" s="121">
        <f>E12</f>
        <v>0.12769302857142856</v>
      </c>
      <c r="G12" s="51" t="s">
        <v>99</v>
      </c>
      <c r="H12" s="98">
        <f>'6.4.1.1-2 Residue burning'!E44</f>
        <v>33.838652571428568</v>
      </c>
      <c r="I12" s="98">
        <f>H12</f>
        <v>33.838652571428568</v>
      </c>
      <c r="J12" s="51" t="s">
        <v>91</v>
      </c>
      <c r="K12" s="21"/>
    </row>
    <row r="13" spans="1:11" ht="20.100000000000001" customHeight="1" x14ac:dyDescent="0.25">
      <c r="C13" s="21"/>
      <c r="D13" s="1" t="s">
        <v>215</v>
      </c>
      <c r="E13" s="121">
        <f>VEERG_6_4_1_1__1__MethaneEmissionsFromBurningOfCropResidues_Result_Method1</f>
        <v>3.3264</v>
      </c>
      <c r="F13" s="121">
        <f>E13</f>
        <v>3.3264</v>
      </c>
      <c r="G13" s="51" t="s">
        <v>216</v>
      </c>
      <c r="H13" s="98">
        <f>'6.4.1.1-2 Residue burning'!E67</f>
        <v>93.139200000000002</v>
      </c>
      <c r="I13" s="98">
        <f>H13</f>
        <v>93.139200000000002</v>
      </c>
      <c r="J13" s="51" t="s">
        <v>91</v>
      </c>
      <c r="K13" s="21"/>
    </row>
    <row r="14" spans="1:11" ht="20.100000000000001" customHeight="1" x14ac:dyDescent="0.3">
      <c r="A14" s="18" t="s">
        <v>68</v>
      </c>
      <c r="C14" s="21"/>
      <c r="D14" s="28" t="s">
        <v>86</v>
      </c>
      <c r="E14" s="22"/>
      <c r="F14" s="22"/>
      <c r="G14" s="28"/>
      <c r="H14" s="99">
        <f>SUM(H9:H13)</f>
        <v>397.43225512250797</v>
      </c>
      <c r="I14" s="99">
        <f>SUM(I9:I13)</f>
        <v>397.43225512250797</v>
      </c>
      <c r="J14" s="95" t="s">
        <v>91</v>
      </c>
      <c r="K14" s="21"/>
    </row>
    <row r="15" spans="1:11" ht="20.100000000000001" customHeight="1" x14ac:dyDescent="0.25">
      <c r="A15" s="17" t="str">
        <f>HYPERLINK("#'6.1.1.1-2 Crop residue N2O'!A1", "6.1.1.1-2 Crop residue N2O")</f>
        <v>6.1.1.1-2 Crop residue N2O</v>
      </c>
      <c r="C15" s="21"/>
      <c r="D15" s="1"/>
      <c r="E15" s="1"/>
      <c r="F15" s="1"/>
      <c r="G15" s="1"/>
      <c r="H15" s="1"/>
      <c r="I15" s="1"/>
      <c r="J15" s="1"/>
      <c r="K15" s="21"/>
    </row>
    <row r="16" spans="1:11" ht="20.100000000000001" customHeight="1" x14ac:dyDescent="0.25">
      <c r="A16" s="17" t="str">
        <f>HYPERLINK("#'6.2.1.1-2 Pasture residue N2O'!A1", "6.2.1.1-2 Pasture residue N2O")</f>
        <v>6.2.1.1-2 Pasture residue N2O</v>
      </c>
      <c r="C16" s="21"/>
      <c r="D16" s="96"/>
      <c r="E16" s="96"/>
      <c r="F16" s="96"/>
      <c r="G16" s="96"/>
      <c r="H16" s="96"/>
      <c r="I16" s="96"/>
      <c r="J16" s="96"/>
      <c r="K16" s="21"/>
    </row>
    <row r="17" spans="1:11" ht="20.100000000000001" customHeight="1" x14ac:dyDescent="0.25">
      <c r="A17" s="17" t="str">
        <f>HYPERLINK("#'6.3.1.1-2 Leaching and runoff'!A1", "6.3.1.1-2 Leaching and runoff")</f>
        <v>6.3.1.1-2 Leaching and runoff</v>
      </c>
      <c r="C17" s="21"/>
      <c r="D17" s="96"/>
      <c r="E17" s="1"/>
      <c r="F17" s="1"/>
      <c r="G17" s="1"/>
      <c r="H17" s="1"/>
      <c r="I17" s="1"/>
      <c r="J17" s="21"/>
      <c r="K17" s="21"/>
    </row>
    <row r="18" spans="1:11" ht="20.100000000000001" customHeight="1" x14ac:dyDescent="0.25">
      <c r="A18" s="17" t="str">
        <f>HYPERLINK("#'6.3.1.1-2 Leach runoff crop'!A1", "6.3.1.1-2 Leach runoff crop")</f>
        <v>6.3.1.1-2 Leach runoff crop</v>
      </c>
      <c r="C18" s="21"/>
      <c r="D18" s="103"/>
      <c r="E18" s="1"/>
      <c r="F18" s="1"/>
      <c r="G18" s="1"/>
      <c r="H18" s="1"/>
      <c r="I18" s="1"/>
      <c r="J18" s="21"/>
      <c r="K18" s="21"/>
    </row>
    <row r="19" spans="1:11" ht="20.100000000000001" customHeight="1" x14ac:dyDescent="0.25">
      <c r="A19" s="17" t="str">
        <f>HYPERLINK("#'6.3.1.1-2 Leach runoff pasture'!A1", "6.3.1.1-2 Leach runoff pasture")</f>
        <v>6.3.1.1-2 Leach runoff pasture</v>
      </c>
      <c r="C19" s="21"/>
      <c r="D19" s="1"/>
      <c r="E19" s="1"/>
      <c r="F19" s="1"/>
      <c r="G19" s="1"/>
      <c r="H19" s="1"/>
      <c r="I19" s="1"/>
      <c r="J19" s="21"/>
      <c r="K19" s="21"/>
    </row>
    <row r="20" spans="1:11" ht="20.100000000000001" customHeight="1" x14ac:dyDescent="0.25">
      <c r="A20" s="17" t="str">
        <f>HYPERLINK("#'6.4.1.1-2 Residue burning'!A1", "6.4.1.1-2 Residue burning")</f>
        <v>6.4.1.1-2 Residue burning</v>
      </c>
      <c r="C20" s="21"/>
      <c r="D20" s="1"/>
      <c r="E20" s="1"/>
      <c r="F20" s="1"/>
      <c r="G20" s="1"/>
      <c r="H20" s="1"/>
      <c r="I20" s="1"/>
      <c r="J20" s="21"/>
      <c r="K20" s="21"/>
    </row>
    <row r="21" spans="1:11" ht="20.100000000000001" customHeight="1" x14ac:dyDescent="0.25">
      <c r="C21" s="21"/>
      <c r="D21" s="1"/>
      <c r="E21" s="101"/>
      <c r="F21" s="51"/>
      <c r="G21" s="1"/>
      <c r="H21" s="1"/>
      <c r="I21" s="21"/>
      <c r="J21" s="21"/>
      <c r="K21" s="21"/>
    </row>
    <row r="22" spans="1:11" ht="20.100000000000001" customHeight="1" x14ac:dyDescent="0.25">
      <c r="C22" s="21"/>
      <c r="D22" s="1"/>
      <c r="E22" s="101"/>
      <c r="F22" s="51"/>
      <c r="G22" s="1"/>
      <c r="H22" s="1"/>
      <c r="I22" s="21"/>
      <c r="J22" s="21"/>
      <c r="K22" s="21"/>
    </row>
    <row r="23" spans="1:11" ht="20.100000000000001" customHeight="1" x14ac:dyDescent="0.3">
      <c r="A23" s="141" t="s">
        <v>1</v>
      </c>
      <c r="C23" s="21"/>
      <c r="D23" s="1"/>
      <c r="E23" s="1"/>
      <c r="F23" s="1"/>
      <c r="G23" s="1"/>
      <c r="H23" s="26"/>
      <c r="I23" s="21"/>
      <c r="J23" s="21"/>
      <c r="K23" s="21"/>
    </row>
    <row r="24" spans="1:11" ht="20.100000000000001" customHeight="1" x14ac:dyDescent="0.3">
      <c r="A24" s="17" t="str">
        <f>HYPERLINK("#'Constants - Ag Residue'!A1", "Constants - Ag Residue")</f>
        <v>Constants - Ag Residue</v>
      </c>
      <c r="C24" s="21"/>
      <c r="D24" s="1"/>
      <c r="E24" s="1"/>
      <c r="F24" s="1"/>
      <c r="G24" s="1"/>
      <c r="H24" s="26"/>
      <c r="I24" s="21"/>
      <c r="J24" s="21"/>
      <c r="K24" s="21"/>
    </row>
    <row r="25" spans="1:11" ht="20.100000000000001" customHeight="1" x14ac:dyDescent="0.3">
      <c r="A25" s="17" t="str">
        <f>HYPERLINK("#'Constants - Common'!A1", "Constants - Common")</f>
        <v>Constants - Common</v>
      </c>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7"/>
      <c r="J38" s="97"/>
      <c r="K38" s="21"/>
    </row>
    <row r="39" spans="3:11" ht="20.100000000000001" customHeight="1" x14ac:dyDescent="0.25">
      <c r="C39" s="21"/>
      <c r="D39" s="1"/>
      <c r="E39" s="1"/>
      <c r="F39" s="1"/>
      <c r="G39" s="1"/>
      <c r="H39" s="1"/>
      <c r="I39" s="97"/>
      <c r="J39" s="97"/>
      <c r="K39" s="21"/>
    </row>
    <row r="40" spans="3:11" ht="20.100000000000001" customHeight="1" x14ac:dyDescent="0.25">
      <c r="C40" s="21"/>
      <c r="D40" s="1"/>
      <c r="E40" s="1"/>
      <c r="F40" s="1"/>
      <c r="G40" s="1"/>
      <c r="H40" s="1"/>
      <c r="I40" s="97"/>
      <c r="J40" s="97"/>
      <c r="K40" s="21"/>
    </row>
    <row r="41" spans="3:11" ht="20.100000000000001" customHeight="1" x14ac:dyDescent="0.25">
      <c r="C41" s="21"/>
      <c r="D41" s="1"/>
      <c r="E41" s="1"/>
      <c r="F41" s="1"/>
      <c r="G41" s="1"/>
      <c r="H41" s="1"/>
      <c r="I41" s="97"/>
      <c r="J41" s="97"/>
      <c r="K41" s="21"/>
    </row>
    <row r="42" spans="3:11" ht="20.100000000000001" customHeight="1" x14ac:dyDescent="0.25">
      <c r="C42" s="21"/>
      <c r="D42" s="1"/>
      <c r="E42" s="1"/>
      <c r="F42" s="1"/>
      <c r="G42" s="1"/>
      <c r="H42" s="1"/>
      <c r="I42" s="97"/>
      <c r="J42" s="97"/>
      <c r="K42" s="21"/>
    </row>
    <row r="43" spans="3:11" ht="20.100000000000001" customHeight="1" x14ac:dyDescent="0.25">
      <c r="C43" s="21"/>
      <c r="D43" s="1"/>
      <c r="E43" s="1"/>
      <c r="F43" s="1"/>
      <c r="G43" s="1"/>
      <c r="H43" s="1"/>
      <c r="I43" s="97"/>
      <c r="J43" s="97"/>
      <c r="K43" s="21"/>
    </row>
    <row r="44" spans="3:11" ht="20.100000000000001" customHeight="1" x14ac:dyDescent="0.25">
      <c r="C44" s="21"/>
      <c r="D44" s="1"/>
      <c r="E44" s="1"/>
      <c r="F44" s="1"/>
      <c r="G44" s="1"/>
      <c r="H44" s="1"/>
      <c r="I44" s="97"/>
      <c r="J44" s="97"/>
      <c r="K44" s="21"/>
    </row>
    <row r="45" spans="3:11" ht="20.100000000000001" customHeight="1" x14ac:dyDescent="0.25">
      <c r="C45" s="21"/>
      <c r="D45" s="1"/>
      <c r="E45" s="1"/>
      <c r="F45" s="1"/>
      <c r="G45" s="1"/>
      <c r="H45" s="1"/>
      <c r="I45" s="97"/>
      <c r="J45" s="97"/>
      <c r="K45" s="21"/>
    </row>
    <row r="46" spans="3:11" ht="20.100000000000001" customHeight="1" x14ac:dyDescent="0.25">
      <c r="C46" s="21"/>
      <c r="D46" s="1"/>
      <c r="E46" s="1"/>
      <c r="F46" s="1"/>
      <c r="G46" s="1"/>
      <c r="H46" s="1"/>
      <c r="I46" s="97"/>
      <c r="J46" s="97"/>
      <c r="K46" s="21"/>
    </row>
    <row r="47" spans="3:11" ht="20.100000000000001" customHeight="1" x14ac:dyDescent="0.25">
      <c r="C47" s="21"/>
      <c r="D47" s="1"/>
      <c r="E47" s="1"/>
      <c r="F47" s="1"/>
      <c r="G47" s="1"/>
      <c r="H47" s="1"/>
      <c r="I47" s="97"/>
      <c r="J47" s="97"/>
      <c r="K47" s="21"/>
    </row>
    <row r="48" spans="3:11" ht="20.100000000000001" customHeight="1" x14ac:dyDescent="0.25">
      <c r="C48" s="21"/>
      <c r="D48" s="1"/>
      <c r="E48" s="1"/>
      <c r="F48" s="1"/>
      <c r="G48" s="1"/>
      <c r="H48" s="1"/>
      <c r="I48" s="97"/>
      <c r="J48" s="97"/>
      <c r="K48" s="21"/>
    </row>
    <row r="49" spans="3:11" ht="20.100000000000001" customHeight="1" x14ac:dyDescent="0.25">
      <c r="C49" s="21"/>
      <c r="D49" s="1"/>
      <c r="E49" s="1"/>
      <c r="F49" s="1"/>
      <c r="G49" s="1"/>
      <c r="H49" s="97"/>
      <c r="I49" s="97"/>
      <c r="J49" s="97"/>
      <c r="K49" s="21"/>
    </row>
    <row r="50" spans="3:11" ht="20.100000000000001" customHeight="1" x14ac:dyDescent="0.25">
      <c r="C50" s="21"/>
      <c r="D50" s="1"/>
      <c r="E50" s="1"/>
      <c r="F50" s="1"/>
      <c r="G50" s="1"/>
      <c r="H50" s="97"/>
      <c r="I50" s="97"/>
      <c r="J50" s="97"/>
      <c r="K50" s="21"/>
    </row>
    <row r="51" spans="3:11" ht="20.100000000000001" customHeight="1" x14ac:dyDescent="0.25">
      <c r="C51" s="21"/>
      <c r="D51" s="1"/>
      <c r="E51" s="1"/>
      <c r="F51" s="1"/>
      <c r="G51" s="1"/>
      <c r="H51" s="97"/>
      <c r="I51" s="97"/>
      <c r="J51" s="97"/>
      <c r="K51" s="21"/>
    </row>
    <row r="52" spans="3:11" ht="20.100000000000001" customHeight="1" x14ac:dyDescent="0.25">
      <c r="C52" s="21"/>
      <c r="D52" s="1"/>
      <c r="E52" s="1"/>
      <c r="F52" s="1"/>
      <c r="G52" s="1"/>
      <c r="H52" s="97"/>
      <c r="I52" s="97"/>
      <c r="J52" s="97"/>
      <c r="K52" s="21"/>
    </row>
    <row r="53" spans="3:11" ht="20.100000000000001" customHeight="1" x14ac:dyDescent="0.25">
      <c r="C53" s="21"/>
      <c r="D53" s="1"/>
      <c r="E53" s="1"/>
      <c r="F53" s="1"/>
      <c r="G53" s="1"/>
      <c r="H53" s="97"/>
      <c r="I53" s="97"/>
      <c r="J53" s="9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4" t="str">
        <f>HYPERLINK("#'Input - Site'!A1", "Site")</f>
        <v>Site</v>
      </c>
      <c r="N9" s="41"/>
    </row>
    <row r="10" spans="1:24" ht="20.100000000000001" customHeight="1" x14ac:dyDescent="0.25">
      <c r="A10" s="17" t="str">
        <f>HYPERLINK("#'Input - Crop'!A1", "Crop")</f>
        <v>Crop</v>
      </c>
      <c r="D10" s="86" t="s">
        <v>70</v>
      </c>
      <c r="E10" s="84"/>
      <c r="F10" s="87"/>
      <c r="G10" s="81"/>
      <c r="N10" s="41"/>
    </row>
    <row r="11" spans="1:24" ht="20.100000000000001" customHeight="1" x14ac:dyDescent="0.25">
      <c r="A11" s="17" t="str">
        <f>HYPERLINK("#'Input - Pasture'!A1", "Pasture")</f>
        <v>Pasture</v>
      </c>
      <c r="N11" s="42"/>
    </row>
    <row r="12" spans="1:24" ht="20.100000000000001" customHeight="1" x14ac:dyDescent="0.25">
      <c r="A12"/>
      <c r="D12" s="10" t="s">
        <v>76</v>
      </c>
      <c r="E12" s="59">
        <v>45292</v>
      </c>
      <c r="F12" s="2" t="s">
        <v>64</v>
      </c>
    </row>
    <row r="13" spans="1:24" ht="20.100000000000001" customHeight="1" x14ac:dyDescent="0.25">
      <c r="A13"/>
      <c r="D13" s="10" t="s">
        <v>77</v>
      </c>
      <c r="E13" s="62">
        <f>DATE(YEAR(X_Cell_Site_StartDate)+1,MONTH(X_Cell_Site_StartDate),DAY(X_Cell_Site_StartDate))-1</f>
        <v>45657</v>
      </c>
      <c r="F13" s="2" t="s">
        <v>14</v>
      </c>
      <c r="N13" s="37"/>
      <c r="O13" s="37"/>
    </row>
    <row r="14" spans="1:24" ht="20.100000000000001" customHeight="1" x14ac:dyDescent="0.25">
      <c r="A14" s="18" t="s">
        <v>68</v>
      </c>
      <c r="N14" s="37"/>
      <c r="O14" s="37"/>
    </row>
    <row r="15" spans="1:24" ht="20.100000000000001" customHeight="1" x14ac:dyDescent="0.25">
      <c r="A15" s="17" t="str">
        <f>HYPERLINK("#'6.1.1.1-2 Crop residue N2O'!A1", "6.1.1.1-2 Crop residue N2O")</f>
        <v>6.1.1.1-2 Crop residue N2O</v>
      </c>
      <c r="N15" s="37"/>
      <c r="O15" s="37"/>
    </row>
    <row r="16" spans="1:24" ht="20.100000000000001" customHeight="1" x14ac:dyDescent="0.25">
      <c r="A16" s="17" t="str">
        <f>HYPERLINK("#'6.2.1.1-2 Pasture residue N2O'!A1", "6.2.1.1-2 Pasture residue N2O")</f>
        <v>6.2.1.1-2 Pasture residue N2O</v>
      </c>
      <c r="D16" s="6" t="s">
        <v>11</v>
      </c>
      <c r="N16" s="37"/>
      <c r="O16" s="37"/>
    </row>
    <row r="17" spans="1:25" ht="20.100000000000001" customHeight="1" x14ac:dyDescent="0.25">
      <c r="A17" s="17" t="str">
        <f>HYPERLINK("#'6.3.1.1-2 Leaching and runoff'!A1", "6.3.1.1-2 Leaching and runoff")</f>
        <v>6.3.1.1-2 Leaching and runoff</v>
      </c>
    </row>
    <row r="18" spans="1:25" ht="20.100000000000001" customHeight="1" x14ac:dyDescent="0.25">
      <c r="A18" s="17" t="str">
        <f>HYPERLINK("#'6.3.1.1-2 Leach runoff crop'!A1", "6.3.1.1-2 Leach runoff crop")</f>
        <v>6.3.1.1-2 Leach runoff crop</v>
      </c>
      <c r="D18" s="88" t="s">
        <v>13</v>
      </c>
      <c r="E18" s="83"/>
      <c r="F18" s="83"/>
      <c r="G18" s="79"/>
    </row>
    <row r="19" spans="1:25" ht="20.100000000000001" customHeight="1" x14ac:dyDescent="0.25">
      <c r="A19" s="17" t="str">
        <f>HYPERLINK("#'6.3.1.1-2 Leach runoff pasture'!A1", "6.3.1.1-2 Leach runoff pasture")</f>
        <v>6.3.1.1-2 Leach runoff pasture</v>
      </c>
      <c r="D19" s="85" t="s">
        <v>65</v>
      </c>
      <c r="E19" s="82"/>
      <c r="F19" s="82"/>
      <c r="G19" s="80"/>
      <c r="N19" s="39"/>
    </row>
    <row r="20" spans="1:25" ht="20.100000000000001" customHeight="1" x14ac:dyDescent="0.25">
      <c r="A20" s="17" t="str">
        <f>HYPERLINK("#'6.4.1.1-2 Residue burning'!A1", "6.4.1.1-2 Residue burning")</f>
        <v>6.4.1.1-2 Residue burning</v>
      </c>
      <c r="D20" s="1"/>
      <c r="E20" s="30"/>
      <c r="F20" s="2"/>
      <c r="N20" s="40"/>
    </row>
    <row r="21" spans="1:25" ht="20.100000000000001" customHeight="1" x14ac:dyDescent="0.25">
      <c r="A21"/>
      <c r="D21" s="1" t="s">
        <v>5</v>
      </c>
      <c r="E21" s="38" t="s">
        <v>98</v>
      </c>
      <c r="F21" s="2" t="s">
        <v>8</v>
      </c>
    </row>
    <row r="22" spans="1:25" ht="20.100000000000001" customHeight="1" x14ac:dyDescent="0.25">
      <c r="A22"/>
      <c r="D22" s="1" t="s">
        <v>20</v>
      </c>
      <c r="E22" s="38" t="s">
        <v>29</v>
      </c>
      <c r="F22" s="2" t="s">
        <v>8</v>
      </c>
      <c r="G22" s="1"/>
    </row>
    <row r="23" spans="1:25" ht="20.100000000000001" customHeight="1" x14ac:dyDescent="0.25">
      <c r="A23" s="141" t="s">
        <v>1</v>
      </c>
      <c r="D23" s="1" t="s">
        <v>6</v>
      </c>
      <c r="E23" s="38" t="s">
        <v>75</v>
      </c>
      <c r="F23" s="2" t="s">
        <v>8</v>
      </c>
    </row>
    <row r="24" spans="1:25" ht="20.100000000000001" customHeight="1" x14ac:dyDescent="0.25">
      <c r="A24" s="17" t="str">
        <f>HYPERLINK("#'Constants - Ag Residue'!A1", "Constants - Ag Residue")</f>
        <v>Constants - Ag Residue</v>
      </c>
      <c r="D24" s="1" t="s">
        <v>34</v>
      </c>
      <c r="E24" s="32">
        <v>307.7</v>
      </c>
      <c r="F24" s="2" t="s">
        <v>48</v>
      </c>
    </row>
    <row r="25" spans="1:25" ht="20.100000000000001" customHeight="1" x14ac:dyDescent="0.25">
      <c r="A25" s="17" t="str">
        <f>HYPERLINK("#'Constants - Common'!A1", "Constants - Common")</f>
        <v>Constants - Common</v>
      </c>
      <c r="D25" s="1" t="s">
        <v>56</v>
      </c>
      <c r="E25" s="32">
        <v>18</v>
      </c>
      <c r="F25" s="2" t="s">
        <v>9</v>
      </c>
      <c r="N25" s="40"/>
    </row>
    <row r="26" spans="1:25" ht="20.100000000000001" customHeight="1" x14ac:dyDescent="0.25">
      <c r="A26"/>
      <c r="D26" s="1" t="s">
        <v>57</v>
      </c>
      <c r="E26" s="32">
        <v>601</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0.45324283559577677</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High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H361"/>
  <sheetViews>
    <sheetView showGridLines="0" topLeftCell="A12" zoomScaleNormal="100" workbookViewId="0">
      <selection activeCell="E18" sqref="E1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0" customFormat="1" ht="30" customHeight="1" x14ac:dyDescent="0.35">
      <c r="A1" s="60" t="e" vm="1">
        <v>#VALUE!</v>
      </c>
      <c r="C1" s="60" t="s">
        <v>129</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130</v>
      </c>
    </row>
    <row r="6" spans="1:8" ht="20.100000000000001" customHeight="1" x14ac:dyDescent="0.25"/>
    <row r="7" spans="1:8" ht="20.100000000000001" customHeight="1" x14ac:dyDescent="0.25">
      <c r="D7" s="86" t="s">
        <v>131</v>
      </c>
      <c r="E7" s="87"/>
      <c r="F7" s="87"/>
      <c r="G7" s="81"/>
    </row>
    <row r="8" spans="1:8" ht="20.100000000000001" customHeight="1" x14ac:dyDescent="0.25">
      <c r="A8" s="19" t="s">
        <v>0</v>
      </c>
    </row>
    <row r="9" spans="1:8" ht="20.100000000000001" customHeight="1" x14ac:dyDescent="0.25">
      <c r="A9" s="17" t="str">
        <f>HYPERLINK("#'Input - Site'!A1", "Site")</f>
        <v>Site</v>
      </c>
      <c r="D9" s="1" t="s">
        <v>109</v>
      </c>
      <c r="E9" s="38" t="s">
        <v>132</v>
      </c>
      <c r="F9" s="2" t="s">
        <v>133</v>
      </c>
    </row>
    <row r="10" spans="1:8" ht="20.100000000000001" customHeight="1" x14ac:dyDescent="0.25">
      <c r="A10" s="104" t="str">
        <f>HYPERLINK("#'Input - Crop'!A1", "Crop")</f>
        <v>Crop</v>
      </c>
      <c r="D10" s="1" t="s">
        <v>134</v>
      </c>
      <c r="E10" s="38" t="s">
        <v>170</v>
      </c>
      <c r="F10" s="2" t="s">
        <v>133</v>
      </c>
    </row>
    <row r="11" spans="1:8" ht="20.100000000000001" customHeight="1" x14ac:dyDescent="0.25">
      <c r="A11" s="17" t="str">
        <f>HYPERLINK("#'Input - Pasture'!A1", "Pasture")</f>
        <v>Pasture</v>
      </c>
      <c r="D11" s="10" t="s">
        <v>85</v>
      </c>
      <c r="E11" s="38" t="s">
        <v>107</v>
      </c>
      <c r="F11" s="2" t="s">
        <v>133</v>
      </c>
    </row>
    <row r="12" spans="1:8" ht="20.100000000000001" customHeight="1" x14ac:dyDescent="0.25"/>
    <row r="13" spans="1:8" ht="20.100000000000001" customHeight="1" x14ac:dyDescent="0.25">
      <c r="D13" s="1" t="s">
        <v>110</v>
      </c>
      <c r="E13" s="129">
        <v>1000</v>
      </c>
      <c r="F13" s="2" t="s">
        <v>135</v>
      </c>
    </row>
    <row r="14" spans="1:8" ht="20.100000000000001" customHeight="1" x14ac:dyDescent="0.25">
      <c r="A14" s="18" t="s">
        <v>68</v>
      </c>
    </row>
    <row r="15" spans="1:8" ht="20.100000000000001" customHeight="1" x14ac:dyDescent="0.25">
      <c r="A15" s="17" t="str">
        <f>HYPERLINK("#'6.1.1.1-2 Crop residue N2O'!A1", "6.1.1.1-2 Crop residue N2O")</f>
        <v>6.1.1.1-2 Crop residue N2O</v>
      </c>
      <c r="D15" s="6" t="s">
        <v>136</v>
      </c>
    </row>
    <row r="16" spans="1:8" ht="20.100000000000001" customHeight="1" x14ac:dyDescent="0.25">
      <c r="A16" s="17" t="str">
        <f>HYPERLINK("#'6.2.1.1-2 Pasture residue N2O'!A1", "6.2.1.1-2 Pasture residue N2O")</f>
        <v>6.2.1.1-2 Pasture residue N2O</v>
      </c>
    </row>
    <row r="17" spans="1:6" ht="20.100000000000001" customHeight="1" x14ac:dyDescent="0.25">
      <c r="A17" s="17" t="str">
        <f>HYPERLINK("#'6.3.1.1-2 Leaching and runoff'!A1", "6.3.1.1-2 Leaching and runoff")</f>
        <v>6.3.1.1-2 Leaching and runoff</v>
      </c>
      <c r="D17" s="1" t="str">
        <f>X_Cell_Crop_CropPurpose &amp; " " &amp; _xlfn.XLOOKUP(X_Cell_Crop_CropPurpose,Table_SourceData_CropPurposeAndYields[Purpose], Table_SourceData_CropPurposeAndYields[harvest term]) &amp; " per hectare¹"</f>
        <v>Cash grain crop yield per hectare¹</v>
      </c>
      <c r="E17" s="112">
        <v>10</v>
      </c>
      <c r="F17" s="2" t="str">
        <f>"Tonnes " &amp; _xlfn.XLOOKUP(X_Cell_Crop_CropPurpose, Table_SourceData_CropPurposeAndYields[Purpose], Table_SourceData_CropPurposeAndYields[Per hectare unit], FALSE) &amp; " per hectare"</f>
        <v>Tonnes grain per hectare</v>
      </c>
    </row>
    <row r="18" spans="1:6" ht="20.100000000000001" customHeight="1" x14ac:dyDescent="0.25">
      <c r="A18" s="17" t="str">
        <f>HYPERLINK("#'6.3.1.1-2 Leach runoff crop'!A1", "6.3.1.1-2 Leach runoff crop")</f>
        <v>6.3.1.1-2 Leach runoff crop</v>
      </c>
      <c r="D18" s="1" t="s">
        <v>226</v>
      </c>
      <c r="E18" s="49">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5">
      <c r="A19" s="17" t="str">
        <f>HYPERLINK("#'6.3.1.1-2 Leach runoff pasture'!A1", "6.3.1.1-2 Leach runoff pasture")</f>
        <v>6.3.1.1-2 Leach runoff pasture</v>
      </c>
      <c r="D19" s="1" t="s">
        <v>139</v>
      </c>
      <c r="E19" s="49">
        <f>X_Cell_Crop_YieldPerHectare*E18</f>
        <v>15</v>
      </c>
      <c r="F19" s="2" t="s">
        <v>138</v>
      </c>
    </row>
    <row r="20" spans="1:6" ht="20.100000000000001" customHeight="1" x14ac:dyDescent="0.25">
      <c r="A20" s="17" t="str">
        <f>HYPERLINK("#'6.4.1.1-2 Residue burning'!A1", "6.4.1.1-2 Residue burning")</f>
        <v>6.4.1.1-2 Residue burning</v>
      </c>
      <c r="D20" s="1" t="s">
        <v>137</v>
      </c>
      <c r="E20" s="49">
        <f>X_Cell_Crop_YieldPerHectare+E19</f>
        <v>25</v>
      </c>
      <c r="F20" s="2" t="s">
        <v>138</v>
      </c>
    </row>
    <row r="21" spans="1:6" ht="20.100000000000001" customHeight="1" x14ac:dyDescent="0.25"/>
    <row r="22" spans="1:6" ht="20.100000000000001" customHeight="1" x14ac:dyDescent="0.25">
      <c r="D22" s="50" t="s">
        <v>227</v>
      </c>
      <c r="E22" s="49">
        <f>X_Cell_Crop_YieldPerHectare*X_Cell_Crop_AreaUnderCropping</f>
        <v>10000</v>
      </c>
      <c r="F22" s="2" t="str">
        <f>"Tonnes " &amp; _xlfn.XLOOKUP(X_Cell_Crop_CropPurpose, Table_SourceData_CropPurposeAndYields[Purpose], Table_SourceData_CropPurposeAndYields[Harvest uit], FALSE)</f>
        <v>Tonnes grain</v>
      </c>
    </row>
    <row r="23" spans="1:6" ht="20.100000000000001" customHeight="1" x14ac:dyDescent="0.25">
      <c r="A23" s="141" t="s">
        <v>1</v>
      </c>
    </row>
    <row r="24" spans="1:6" ht="20.100000000000001" customHeight="1" x14ac:dyDescent="0.25">
      <c r="A24" s="17" t="str">
        <f>HYPERLINK("#'Constants - Ag Residue'!A1", "Constants - Ag Residue")</f>
        <v>Constants - Ag Residue</v>
      </c>
      <c r="D24" s="96" t="str">
        <f>"¹ " &amp; _xlfn.XLOOKUP(X_Cell_Crop_CropPurpose, Table_SourceData_CropPurposeAndYields[Purpose],Table_SourceData_CropPurposeAndYields[Yield note])</f>
        <v>¹ Yield is the grain harvested from the plant</v>
      </c>
    </row>
    <row r="25" spans="1:6" ht="20.100000000000001" customHeight="1" x14ac:dyDescent="0.25">
      <c r="A25" s="17" t="str">
        <f>HYPERLINK("#'Constants - Common'!A1", "Constants - Common")</f>
        <v>Constants - Common</v>
      </c>
      <c r="D25" s="96"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5">
      <c r="D26" s="96" t="str">
        <f>"³ " &amp; _xlfn.XLOOKUP(X_Cell_Crop_CropPurpose,Table_SourceData_CropPurposeAndYields[Purpose],Table_SourceData_CropPurposeAndYields[Total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140</v>
      </c>
    </row>
    <row r="29" spans="1:6" ht="20.100000000000001" customHeight="1" x14ac:dyDescent="0.25"/>
    <row r="30" spans="1:6" ht="20.100000000000001" customHeight="1" x14ac:dyDescent="0.25">
      <c r="D30" s="1" t="str">
        <f>"Residue after " &amp; VLOOKUP(X_Cell_Crop_CropPurpose,'Constants - Ag Residue'!D8:G10, 4, FALSE)</f>
        <v>Residue after harvest</v>
      </c>
      <c r="E30" s="49">
        <f>E19*X_Cell_Crop_AreaUnderCropping</f>
        <v>15000</v>
      </c>
      <c r="F30" s="2" t="s">
        <v>141</v>
      </c>
    </row>
    <row r="31" spans="1:6" ht="20.100000000000001" customHeight="1" x14ac:dyDescent="0.25"/>
    <row r="32" spans="1:6" ht="20.100000000000001" customHeight="1" x14ac:dyDescent="0.25">
      <c r="D32" s="45" t="s">
        <v>142</v>
      </c>
    </row>
    <row r="33" spans="1:8" ht="20.100000000000001" customHeight="1" x14ac:dyDescent="0.25">
      <c r="D33" s="1" t="s">
        <v>143</v>
      </c>
      <c r="E33" s="120">
        <v>0.11</v>
      </c>
      <c r="F33" s="2" t="s">
        <v>144</v>
      </c>
    </row>
    <row r="34" spans="1:8" ht="20.100000000000001" customHeight="1" x14ac:dyDescent="0.25">
      <c r="D34" s="1" t="s">
        <v>145</v>
      </c>
      <c r="E34" s="112">
        <v>60</v>
      </c>
      <c r="F34" s="2" t="s">
        <v>146</v>
      </c>
    </row>
    <row r="35" spans="1:8" ht="20.100000000000001" customHeight="1" x14ac:dyDescent="0.25">
      <c r="D35" s="50" t="s">
        <v>147</v>
      </c>
      <c r="E35" s="131">
        <f>IFERROR((X_Cell_Crop_TotalResidueBaled*10^3)/X_Cell_Crop_AverageWeightPerBale, 0)</f>
        <v>27500</v>
      </c>
      <c r="F35" s="2" t="s">
        <v>148</v>
      </c>
    </row>
    <row r="36" spans="1:8" ht="20.100000000000001" customHeight="1" x14ac:dyDescent="0.25">
      <c r="D36" s="50" t="s">
        <v>149</v>
      </c>
      <c r="E36" s="49">
        <f>E30*X_Cell_Crop_PercentResidueBaled</f>
        <v>1650</v>
      </c>
      <c r="F36" s="2" t="s">
        <v>141</v>
      </c>
    </row>
    <row r="37" spans="1:8" ht="20.100000000000001" customHeight="1" x14ac:dyDescent="0.25">
      <c r="C37" s="110"/>
    </row>
    <row r="38" spans="1:8" ht="20.100000000000001" customHeight="1" x14ac:dyDescent="0.25">
      <c r="C38" s="110"/>
      <c r="D38" s="45" t="s">
        <v>150</v>
      </c>
    </row>
    <row r="39" spans="1:8" ht="20.100000000000001" customHeight="1" x14ac:dyDescent="0.25">
      <c r="D39" s="1" t="s">
        <v>151</v>
      </c>
      <c r="E39" s="120">
        <v>0.3</v>
      </c>
      <c r="F39" s="2" t="s">
        <v>144</v>
      </c>
    </row>
    <row r="40" spans="1:8" s="111" customFormat="1" ht="20.100000000000001" customHeight="1" x14ac:dyDescent="0.25">
      <c r="A40"/>
      <c r="C40" s="1"/>
      <c r="D40" s="1" t="s">
        <v>152</v>
      </c>
      <c r="E40" s="49">
        <f>E30*X_Cell_Crop_PercentResidueBurned</f>
        <v>4500</v>
      </c>
      <c r="F40" s="2" t="s">
        <v>141</v>
      </c>
      <c r="G40" s="1"/>
      <c r="H40" s="1"/>
    </row>
    <row r="41" spans="1:8" s="111" customFormat="1" ht="20.100000000000001" customHeight="1" x14ac:dyDescent="0.25">
      <c r="A41"/>
      <c r="C41" s="1"/>
      <c r="D41" s="1"/>
      <c r="E41" s="1"/>
      <c r="F41" s="1"/>
      <c r="G41" s="1"/>
      <c r="H41" s="1"/>
    </row>
    <row r="42" spans="1:8" ht="20.100000000000001" customHeight="1" x14ac:dyDescent="0.25">
      <c r="D42" s="1" t="s">
        <v>153</v>
      </c>
      <c r="E42" s="49">
        <f>E30-X_Cell_Crop_TotalResidueBaled-E40</f>
        <v>8850</v>
      </c>
      <c r="F42" s="2" t="s">
        <v>141</v>
      </c>
    </row>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6"/>
    </row>
  </sheetData>
  <conditionalFormatting sqref="E210:G210">
    <cfRule type="cellIs" dxfId="12" priority="79" operator="lessThan">
      <formula>0</formula>
    </cfRule>
  </conditionalFormatting>
  <conditionalFormatting sqref="F42">
    <cfRule type="cellIs" dxfId="11" priority="62" operator="lessThan">
      <formula>0</formula>
    </cfRule>
  </conditionalFormatting>
  <conditionalFormatting sqref="F126:F127">
    <cfRule type="cellIs" dxfId="10" priority="21" operator="lessThan">
      <formula>0</formula>
    </cfRule>
  </conditionalFormatting>
  <conditionalFormatting sqref="F138:F139">
    <cfRule type="cellIs" dxfId="9" priority="20" operator="lessThan">
      <formula>0</formula>
    </cfRule>
  </conditionalFormatting>
  <conditionalFormatting sqref="F150:F151">
    <cfRule type="cellIs" dxfId="8" priority="19" operator="lessThan">
      <formula>0</formula>
    </cfRule>
  </conditionalFormatting>
  <conditionalFormatting sqref="F162:F163">
    <cfRule type="cellIs" dxfId="7" priority="18" operator="lessThan">
      <formula>0</formula>
    </cfRule>
  </conditionalFormatting>
  <conditionalFormatting sqref="F250:F251">
    <cfRule type="cellIs" dxfId="6" priority="93" operator="lessThan">
      <formula>0</formula>
    </cfRule>
  </conditionalFormatting>
  <conditionalFormatting sqref="F255:F256">
    <cfRule type="cellIs" dxfId="5" priority="92" operator="lessThan">
      <formula>0</formula>
    </cfRule>
  </conditionalFormatting>
  <conditionalFormatting sqref="F260:F261">
    <cfRule type="cellIs" dxfId="4" priority="91" operator="lessThan">
      <formula>0</formula>
    </cfRule>
  </conditionalFormatting>
  <conditionalFormatting sqref="F284:F285">
    <cfRule type="cellIs" dxfId="3" priority="85" operator="lessThan">
      <formula>0</formula>
    </cfRule>
  </conditionalFormatting>
  <conditionalFormatting sqref="F289:F290">
    <cfRule type="cellIs" dxfId="2" priority="84" operator="lessThan">
      <formula>0</formula>
    </cfRule>
  </conditionalFormatting>
  <conditionalFormatting sqref="F294:F295">
    <cfRule type="cellIs" dxfId="1"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sheetPr>
    <tabColor theme="5" tint="-0.249977111117893"/>
  </sheetPr>
  <dimension ref="A1:G39"/>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0" t="e" vm="1">
        <v>#VALUE!</v>
      </c>
      <c r="C1" s="60" t="s">
        <v>192</v>
      </c>
      <c r="D1" s="60"/>
      <c r="E1" s="60"/>
      <c r="F1" s="60"/>
      <c r="G1" s="60"/>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130</v>
      </c>
    </row>
    <row r="6" spans="1:7" ht="20.100000000000001" customHeight="1" x14ac:dyDescent="0.25"/>
    <row r="7" spans="1:7" ht="20.100000000000001" customHeight="1" x14ac:dyDescent="0.25">
      <c r="D7" s="20" t="s">
        <v>131</v>
      </c>
      <c r="E7" s="20"/>
      <c r="F7" s="20"/>
    </row>
    <row r="8" spans="1:7" ht="20.100000000000001" customHeight="1" x14ac:dyDescent="0.25">
      <c r="A8" s="19" t="s">
        <v>0</v>
      </c>
    </row>
    <row r="9" spans="1:7" ht="20.100000000000001" customHeight="1" x14ac:dyDescent="0.25">
      <c r="A9" s="17" t="str">
        <f>HYPERLINK("#'Input - Site'!A1", "Site")</f>
        <v>Site</v>
      </c>
      <c r="D9" s="1" t="s">
        <v>176</v>
      </c>
      <c r="E9" s="38" t="s">
        <v>217</v>
      </c>
      <c r="F9" s="2" t="s">
        <v>191</v>
      </c>
    </row>
    <row r="10" spans="1:7" ht="20.100000000000001" customHeight="1" x14ac:dyDescent="0.25">
      <c r="A10" s="17" t="str">
        <f>HYPERLINK("#'Input - Crop'!A1", "Crop")</f>
        <v>Crop</v>
      </c>
      <c r="D10" s="1" t="s">
        <v>85</v>
      </c>
      <c r="E10" s="38" t="s">
        <v>221</v>
      </c>
      <c r="F10" s="2" t="s">
        <v>191</v>
      </c>
    </row>
    <row r="11" spans="1:7" ht="20.100000000000001" customHeight="1" x14ac:dyDescent="0.25">
      <c r="A11" s="104" t="str">
        <f>HYPERLINK("#'Input - Pasture'!A1", "Pasture")</f>
        <v>Pasture</v>
      </c>
    </row>
    <row r="12" spans="1:7" ht="20.100000000000001" customHeight="1" x14ac:dyDescent="0.25">
      <c r="D12" s="1" t="s">
        <v>184</v>
      </c>
      <c r="E12" s="112">
        <v>1000</v>
      </c>
      <c r="F12" s="2" t="s">
        <v>135</v>
      </c>
    </row>
    <row r="13" spans="1:7" ht="20.100000000000001" customHeight="1" x14ac:dyDescent="0.25"/>
    <row r="14" spans="1:7" ht="20.100000000000001" customHeight="1" x14ac:dyDescent="0.25">
      <c r="A14" s="18" t="s">
        <v>68</v>
      </c>
      <c r="D14" s="6" t="s">
        <v>136</v>
      </c>
    </row>
    <row r="15" spans="1:7" ht="20.100000000000001" customHeight="1" x14ac:dyDescent="0.25">
      <c r="A15" s="17" t="str">
        <f>HYPERLINK("#'6.1.1.1-2 Crop residue N2O'!A1", "6.1.1.1-2 Crop residue N2O")</f>
        <v>6.1.1.1-2 Crop residue N2O</v>
      </c>
    </row>
    <row r="16" spans="1:7" ht="20.100000000000001" customHeight="1" x14ac:dyDescent="0.25">
      <c r="A16" s="17" t="str">
        <f>HYPERLINK("#'6.2.1.1-2 Pasture residue N2O'!A1", "6.2.1.1-2 Pasture residue N2O")</f>
        <v>6.2.1.1-2 Pasture residue N2O</v>
      </c>
      <c r="D16" s="130" t="s">
        <v>185</v>
      </c>
      <c r="E16" s="83"/>
      <c r="F16" s="79"/>
    </row>
    <row r="17" spans="1:6" ht="20.100000000000001" customHeight="1" x14ac:dyDescent="0.25">
      <c r="A17" s="17" t="str">
        <f>HYPERLINK("#'6.3.1.1-2 Leaching and runoff'!A1", "6.3.1.1-2 Leaching and runoff")</f>
        <v>6.3.1.1-2 Leaching and runoff</v>
      </c>
      <c r="D17" s="85" t="s">
        <v>186</v>
      </c>
      <c r="E17" s="82"/>
      <c r="F17" s="80"/>
    </row>
    <row r="18" spans="1:6" ht="20.100000000000001" customHeight="1" x14ac:dyDescent="0.25">
      <c r="A18" s="17" t="str">
        <f>HYPERLINK("#'6.3.1.1-2 Leach runoff crop'!A1", "6.3.1.1-2 Leach runoff crop")</f>
        <v>6.3.1.1-2 Leach runoff crop</v>
      </c>
    </row>
    <row r="19" spans="1:6" ht="20.100000000000001" customHeight="1" x14ac:dyDescent="0.25">
      <c r="A19" s="17" t="str">
        <f>HYPERLINK("#'6.3.1.1-2 Leach runoff pasture'!A1", "6.3.1.1-2 Leach runoff pasture")</f>
        <v>6.3.1.1-2 Leach runoff pasture</v>
      </c>
      <c r="D19" s="1" t="s">
        <v>187</v>
      </c>
      <c r="E19" s="112">
        <f>_xlfn.XLOOKUP(X_Cell_Pasture_PastureType, Table_SourceData_PastureAttributes[Pasture type],Table_SourceData_PastureAttributes[Average Yield (t DM ha) Yp])</f>
        <v>8.34</v>
      </c>
      <c r="F19" s="2" t="s">
        <v>188</v>
      </c>
    </row>
    <row r="20" spans="1:6" ht="20.100000000000001" customHeight="1" x14ac:dyDescent="0.25">
      <c r="A20" s="17" t="str">
        <f>HYPERLINK("#'6.4.1.1-2 Residue burning'!A1", "6.4.1.1-2 Residue burning")</f>
        <v>6.4.1.1-2 Residue burning</v>
      </c>
      <c r="D20" s="1" t="s">
        <v>189</v>
      </c>
      <c r="E20" s="49">
        <f>X_Cell_Pasture_AreaUnderPasture*X_Cell_Pasture_YieldPerHectare</f>
        <v>8340</v>
      </c>
      <c r="F20" s="2" t="s">
        <v>141</v>
      </c>
    </row>
    <row r="21" spans="1:6" ht="20.100000000000001" customHeight="1" x14ac:dyDescent="0.25"/>
    <row r="22" spans="1:6" ht="20.100000000000001" customHeight="1" x14ac:dyDescent="0.25"/>
    <row r="23" spans="1:6" ht="20.100000000000001" customHeight="1" x14ac:dyDescent="0.25">
      <c r="A23" s="141" t="s">
        <v>1</v>
      </c>
      <c r="D23" s="6" t="s">
        <v>140</v>
      </c>
    </row>
    <row r="24" spans="1:6" ht="20.100000000000001" customHeight="1" x14ac:dyDescent="0.25">
      <c r="A24" s="17" t="str">
        <f>HYPERLINK("#'Constants - Ag Residue'!A1", "Constants - Ag Residue")</f>
        <v>Constants - Ag Residue</v>
      </c>
    </row>
    <row r="25" spans="1:6" ht="20.100000000000001" customHeight="1" x14ac:dyDescent="0.25">
      <c r="A25" s="17" t="str">
        <f>HYPERLINK("#'Constants - Common'!A1", "Constants - Common")</f>
        <v>Constants - Common</v>
      </c>
      <c r="D25" s="1" t="s">
        <v>190</v>
      </c>
      <c r="E25" s="112">
        <v>500</v>
      </c>
      <c r="F25" s="2" t="s">
        <v>135</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0"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T342"/>
  <sheetViews>
    <sheetView showGridLines="0" zoomScaleNormal="100" workbookViewId="0">
      <selection activeCell="I7" sqref="I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0" t="e" vm="1">
        <v>#VALUE!</v>
      </c>
      <c r="C1" s="8" t="s">
        <v>128</v>
      </c>
      <c r="K1"/>
    </row>
    <row r="2" spans="1:20" s="9" customFormat="1" ht="20.100000000000001" customHeight="1" x14ac:dyDescent="0.25">
      <c r="A2"/>
      <c r="K2"/>
    </row>
    <row r="3" spans="1:20" ht="20.100000000000001" customHeight="1" x14ac:dyDescent="0.25">
      <c r="A3" s="17" t="str">
        <f>HYPERLINK("#'Home'!A1", "Home")</f>
        <v>Home</v>
      </c>
      <c r="C3" s="4"/>
      <c r="D3" s="4" t="s">
        <v>79</v>
      </c>
      <c r="E3" s="4"/>
      <c r="F3" s="4"/>
      <c r="G3" s="4"/>
      <c r="H3" s="4"/>
      <c r="I3" s="4"/>
      <c r="J3" s="4"/>
      <c r="L3" s="4"/>
      <c r="M3" s="4" t="s">
        <v>80</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1"/>
      <c r="F5" s="21"/>
      <c r="G5" s="21"/>
      <c r="H5" s="21"/>
      <c r="L5" s="21"/>
      <c r="M5" s="6" t="str" cm="1">
        <f t="array" ref="M5">AgResidue_Equations_CropResidue.VEERG_6_1_1_2__1__FractionOfCropResidueRemovedBaled_Title()</f>
        <v>Fraction of crop residue that is removed for crop c, calculated where residues are baled</v>
      </c>
      <c r="N5" s="21"/>
      <c r="O5" s="21"/>
      <c r="P5" s="21"/>
      <c r="Q5" s="21"/>
    </row>
    <row r="6" spans="1:20" ht="20.100000000000001" customHeight="1" x14ac:dyDescent="0.25">
      <c r="D6" s="5" t="str" cm="1">
        <f t="array" ref="D6">AgResidue_Equations_CropResidue.VEERG_6_1_1_1__2__MassOfNitrogenInCropResidues_Source()</f>
        <v>VEERG 2026: 6.1.1.1, Equation (2)</v>
      </c>
      <c r="E6" s="21"/>
      <c r="F6" s="21"/>
      <c r="G6" s="21"/>
      <c r="H6" s="21"/>
      <c r="J6" s="21"/>
      <c r="L6" s="21"/>
      <c r="M6" s="5" t="str" cm="1">
        <f t="array" ref="M6">AgResidue_Equations_CropResidue.VEERG_6_1_1_2__1__FractionOfCropResidueRemovedBaled_Source()</f>
        <v>VEERG 2026: 6.1.1.2, Equation (1)</v>
      </c>
      <c r="N6" s="21"/>
      <c r="O6" s="21"/>
      <c r="P6" s="21"/>
      <c r="Q6" s="21"/>
    </row>
    <row r="7" spans="1:20" ht="20.100000000000001" customHeight="1" x14ac:dyDescent="0.25">
      <c r="D7" s="13" t="s">
        <v>21</v>
      </c>
      <c r="E7" s="13" t="str" cm="1">
        <f t="array" aca="1" ref="E7" ca="1">Common_InputFunctions.Utility_DisplayFunctionName(E24)</f>
        <v>=AgResidue_Equations_CropResidue.VEERG_6_1_1_1__2__MassOfNitrogenInCropResidues</v>
      </c>
      <c r="F7" s="21"/>
      <c r="G7" s="21"/>
      <c r="H7" s="21"/>
      <c r="J7" s="21"/>
      <c r="L7" s="21"/>
      <c r="M7" s="13" t="s">
        <v>21</v>
      </c>
      <c r="N7" s="13" t="str" cm="1">
        <f t="array" aca="1" ref="N7" ca="1">Common_InputFunctions.Utility_DisplayFunctionName(N20)</f>
        <v>=AgResidue_Equations_CropResidue.VEERG_6_1_1_2__1__FractionOfCropResidueRemovedBaled</v>
      </c>
      <c r="O7" s="21"/>
      <c r="P7" s="21"/>
      <c r="Q7" s="21"/>
    </row>
    <row r="8" spans="1:20" ht="20.100000000000001" customHeight="1" x14ac:dyDescent="0.25">
      <c r="A8" s="19" t="s">
        <v>0</v>
      </c>
      <c r="F8" s="21"/>
      <c r="G8" s="21"/>
      <c r="H8" s="21"/>
      <c r="J8" s="21"/>
      <c r="L8" s="21"/>
      <c r="M8" s="21"/>
      <c r="N8" s="21"/>
      <c r="O8" s="21"/>
      <c r="P8" s="21"/>
      <c r="Q8" s="21"/>
    </row>
    <row r="9" spans="1:20" ht="20.100000000000001" customHeight="1" x14ac:dyDescent="0.25">
      <c r="A9" s="17" t="str">
        <f>HYPERLINK("#'Input - Site'!A1", "Site")</f>
        <v>Site</v>
      </c>
      <c r="D9" s="21"/>
      <c r="E9" s="21"/>
      <c r="F9" s="21"/>
      <c r="G9" s="21"/>
      <c r="H9" s="21"/>
      <c r="J9" s="21"/>
      <c r="L9" s="21"/>
      <c r="M9" s="21"/>
      <c r="N9" s="21"/>
      <c r="O9" s="21"/>
      <c r="P9" s="21"/>
      <c r="Q9" s="21"/>
    </row>
    <row r="10" spans="1:20" ht="20.100000000000001" customHeight="1" x14ac:dyDescent="0.25">
      <c r="A10" s="17" t="str">
        <f>HYPERLINK("#'Input - Crop'!A1", "Crop")</f>
        <v>Crop</v>
      </c>
      <c r="D10" s="50" t="s">
        <v>24</v>
      </c>
      <c r="E10" s="1" t="str" cm="1">
        <f t="array" ref="E10">AgResidue_Equations_CropResidue.VEERG_6_1_1_1__2__MassOfNitrogenInCropResidues_Variable()</f>
        <v>M_c</v>
      </c>
      <c r="F10" s="21"/>
      <c r="G10" s="21"/>
      <c r="H10" s="21"/>
      <c r="J10" s="21"/>
      <c r="L10" s="21"/>
      <c r="M10" s="21"/>
      <c r="N10" s="21"/>
      <c r="O10" s="21"/>
      <c r="P10" s="21"/>
      <c r="Q10" s="21"/>
    </row>
    <row r="11" spans="1:20" ht="20.100000000000001" customHeight="1" x14ac:dyDescent="0.25">
      <c r="A11" s="17" t="str">
        <f>HYPERLINK("#'Input - Pasture'!A1", "Pasture")</f>
        <v>Pasture</v>
      </c>
      <c r="D11" s="50" t="s">
        <v>15</v>
      </c>
      <c r="E11" s="51" t="str" cm="1">
        <f t="array" ref="E11">AgResidue_Equations_CropResidue.VEERG_6_1_1_1__2__MassOfNitrogenInCropResidues_Unit()</f>
        <v>kg N</v>
      </c>
      <c r="F11" s="21"/>
      <c r="G11" s="21"/>
      <c r="H11" s="21"/>
      <c r="J11" s="21"/>
      <c r="L11" s="21"/>
      <c r="M11" s="50" t="s">
        <v>24</v>
      </c>
      <c r="N11" s="1" t="str" cm="1">
        <f t="array" ref="N11">AgResidue_Equations_CropResidue.VEERG_6_1_1_2__1__FractionOfCropResidueRemovedBaled_Variable()</f>
        <v>FFOD_c</v>
      </c>
      <c r="O11" s="21"/>
      <c r="P11" s="21"/>
      <c r="Q11" s="21"/>
    </row>
    <row r="12" spans="1:20" ht="20.100000000000001" customHeight="1" x14ac:dyDescent="0.25">
      <c r="D12" s="21"/>
      <c r="E12" s="21"/>
      <c r="F12" s="21"/>
      <c r="G12" s="21"/>
      <c r="J12" s="21"/>
      <c r="L12" s="21"/>
      <c r="M12" s="50" t="s">
        <v>15</v>
      </c>
      <c r="N12" s="51" t="str" cm="1">
        <f t="array" ref="N12">AgResidue_Equations_CropResidue.VEERG_6_1_1_2__1__FractionOfCropResidueRemovedBaled_Unit()</f>
        <v>fraction</v>
      </c>
      <c r="O12" s="21"/>
      <c r="P12" s="21"/>
      <c r="Q12" s="21"/>
    </row>
    <row r="13" spans="1:20" ht="20.100000000000001" customHeight="1" x14ac:dyDescent="0.25">
      <c r="D13" s="114" t="str" cm="1">
        <f t="array" ref="D13:E22">_xlfn.CHOOSECOLS(AgResidue_Equations_CropResidue.VEERG_6_1_1_1__2__MassOfNitrogenInCropResidues_Arguments(), 1, 2)</f>
        <v>P_c</v>
      </c>
      <c r="E13" s="118" t="str">
        <v>annual production of crop c</v>
      </c>
      <c r="F13" s="117"/>
      <c r="G13" s="114" t="str" cm="1">
        <f t="array" ref="G13:H22">_xlfn.CHOOSECOLS(AgResidue_Equations_CropResidue.VEERG_6_1_1_1__2__MassOfNitrogenInCropResidues_Arguments(), 3,4)</f>
        <v>kg</v>
      </c>
      <c r="H13" s="109" t="str">
        <v>Input</v>
      </c>
      <c r="I13" s="114">
        <f>X_Cell_Crop_TotalProductionOfCrop*10^3</f>
        <v>10000000</v>
      </c>
      <c r="J13" s="21"/>
      <c r="L13" s="21"/>
      <c r="M13" s="21"/>
      <c r="N13" s="21"/>
      <c r="O13" s="21"/>
      <c r="P13" s="21"/>
    </row>
    <row r="14" spans="1:20" ht="20.100000000000001" customHeight="1" x14ac:dyDescent="0.25">
      <c r="A14" s="18" t="s">
        <v>68</v>
      </c>
      <c r="D14" s="114" t="str">
        <v>R_AGc</v>
      </c>
      <c r="E14" s="118" t="str">
        <v>residue to crop ratio for crop c</v>
      </c>
      <c r="F14" s="117"/>
      <c r="G14" s="114" t="str">
        <v/>
      </c>
      <c r="H14" s="108" t="str">
        <v>Constant</v>
      </c>
      <c r="I14" s="114">
        <f>'Input - Crop'!$E$18</f>
        <v>1.5</v>
      </c>
      <c r="J14" s="21"/>
      <c r="L14" s="21"/>
      <c r="M14" s="114" t="str" cm="1">
        <f t="array" ref="M14:N18">_xlfn.CHOOSECOLS(AgResidue_Equations_CropResidue.VEERG_6_1_1_2__1__FractionOfCropResidueRemovedBaled_Arguments(), 1, 2)</f>
        <v>B</v>
      </c>
      <c r="N14" s="114" t="str">
        <v>number of bales generated</v>
      </c>
      <c r="O14" s="114" t="str" cm="1">
        <f t="array" ref="O14:P18">_xlfn.CHOOSECOLS(AgResidue_Equations_CropResidue.VEERG_6_1_1_2__1__FractionOfCropResidueRemovedBaled_Arguments(), 3,4)</f>
        <v/>
      </c>
      <c r="P14" s="109" t="str">
        <v>Input</v>
      </c>
      <c r="Q14" s="135">
        <f>X_Cell_Crop_NumberOfBales</f>
        <v>27500</v>
      </c>
    </row>
    <row r="15" spans="1:20" ht="20.100000000000001" customHeight="1" x14ac:dyDescent="0.25">
      <c r="A15" s="127" t="str">
        <f>HYPERLINK("#'6.1.1.1-2 Crop residue N2O'!A1", "6.1.1.1-2 Crop residue N2O")</f>
        <v>6.1.1.1-2 Crop residue N2O</v>
      </c>
      <c r="D15" s="114" t="str">
        <v>R_BGc</v>
      </c>
      <c r="E15" s="118" t="str">
        <v>below ground-residue to above ground residue ratio for crop c</v>
      </c>
      <c r="F15" s="117"/>
      <c r="G15" s="114" t="str">
        <v/>
      </c>
      <c r="H15" s="108" t="str">
        <v>Constant</v>
      </c>
      <c r="I15" s="114" cm="1">
        <f t="array" ref="I15">Common_InputFunctions.Utility_LookupValueInTableNumber($I$21,Table_SourceData_CropAttributes[Crop type],Table_SourceData_CropAttributes[Below-ground: above-ground residue ratio])</f>
        <v>0.28999999999999998</v>
      </c>
      <c r="L15" s="21"/>
      <c r="M15" s="114" t="str">
        <v>M_B</v>
      </c>
      <c r="N15" s="114" t="str">
        <v>mass of each bale</v>
      </c>
      <c r="O15" s="114" t="str">
        <v>kg</v>
      </c>
      <c r="P15" s="109" t="str">
        <v>Input</v>
      </c>
      <c r="Q15" s="114">
        <f>X_Cell_Crop_AverageWeightPerBale</f>
        <v>60</v>
      </c>
    </row>
    <row r="16" spans="1:20" ht="20.100000000000001" customHeight="1" x14ac:dyDescent="0.25">
      <c r="A16" s="17" t="str">
        <f>HYPERLINK("#'6.2.1.1-2 Pasture residue N2O'!A1", "6.2.1.1-2 Pasture residue N2O")</f>
        <v>6.2.1.1-2 Pasture residue N2O</v>
      </c>
      <c r="D16" s="114" t="str">
        <v>F_c</v>
      </c>
      <c r="E16" s="118" t="str">
        <v>fraction of crop residue that is burnt for crop c</v>
      </c>
      <c r="F16" s="117"/>
      <c r="G16" s="114" t="str">
        <v>fraction</v>
      </c>
      <c r="H16" s="109" t="str">
        <v>Input</v>
      </c>
      <c r="I16" s="114">
        <f>X_Cell_Crop_PercentResidueBurned</f>
        <v>0.3</v>
      </c>
      <c r="L16" s="21"/>
      <c r="M16" s="114" t="str">
        <v>P_c</v>
      </c>
      <c r="N16" s="114" t="str">
        <v>annual production of crop c</v>
      </c>
      <c r="O16" s="114" t="str">
        <v>kg</v>
      </c>
      <c r="P16" s="109" t="str">
        <v>Input</v>
      </c>
      <c r="Q16" s="114">
        <f>X_Cell_Crop_TotalProductionOfCrop*10^3</f>
        <v>10000000</v>
      </c>
    </row>
    <row r="17" spans="1:20" ht="20.100000000000001" customHeight="1" x14ac:dyDescent="0.25">
      <c r="A17" s="17" t="str">
        <f>HYPERLINK("#'6.3.1.1-2 Leaching and runoff'!A1", "6.3.1.1-2 Leaching and runoff")</f>
        <v>6.3.1.1-2 Leaching and runoff</v>
      </c>
      <c r="D17" s="114" t="str">
        <v>FFOD_c</v>
      </c>
      <c r="E17" s="118" t="str">
        <v>fraction of the crop residue that is removed for crop c</v>
      </c>
      <c r="F17" s="117"/>
      <c r="G17" s="114" t="str">
        <v>fraction</v>
      </c>
      <c r="H17" s="108" t="str">
        <v>Constant</v>
      </c>
      <c r="I17" s="114" cm="1">
        <f t="array" ref="I17">IF(ISNUMBER(_xlfn.XLOOKUP(1, (Table77[Crop type c]=$I$21)*(Table77[State]=$I$22),Table77[Fraction removed])), _xlfn.XLOOKUP(1, (Table77[Crop type c]=$I$21)*(Table77[State]=$I$22),Table77[Fraction removed]), 0)</f>
        <v>0.11</v>
      </c>
      <c r="L17" s="21"/>
      <c r="M17" s="114" t="str">
        <v>R_AGc</v>
      </c>
      <c r="N17" s="114" t="str">
        <v>residue to crop ratio for crop c</v>
      </c>
      <c r="O17" s="114" t="str">
        <v/>
      </c>
      <c r="P17" s="108" t="str">
        <v>Constant</v>
      </c>
      <c r="Q17" s="114">
        <f>'Input - Crop'!$E$18</f>
        <v>1.5</v>
      </c>
    </row>
    <row r="18" spans="1:20" ht="20.100000000000001" customHeight="1" x14ac:dyDescent="0.25">
      <c r="A18" s="17" t="str">
        <f>HYPERLINK("#'6.3.1.1-2 Leach runoff crop'!A1", "6.3.1.1-2 Leach runoff crop")</f>
        <v>6.3.1.1-2 Leach runoff crop</v>
      </c>
      <c r="D18" s="114" t="str">
        <v>DM_c</v>
      </c>
      <c r="E18" s="118" t="str">
        <v>dry matter content of crop c</v>
      </c>
      <c r="F18" s="117"/>
      <c r="G18" s="114" t="str">
        <v>kg dry weight/kg crop residue</v>
      </c>
      <c r="H18" s="108" t="str">
        <v>Constant</v>
      </c>
      <c r="I18" s="114" cm="1">
        <f t="array" ref="I18">Common_InputFunctions.Utility_LookupValueInTableNumber($I$21,Table_SourceData_CropAttributes[Crop type],Table_SourceData_CropAttributes[Dry matter content])</f>
        <v>0.88</v>
      </c>
      <c r="L18" s="21"/>
      <c r="M18" s="114" t="str">
        <v>c</v>
      </c>
      <c r="N18" s="114" t="str">
        <v>Crop type</v>
      </c>
      <c r="O18" s="114" t="str">
        <v/>
      </c>
      <c r="P18" s="109" t="str">
        <v>Input</v>
      </c>
      <c r="Q18" s="114" t="str">
        <f>X_Cell_Crop_CropType</f>
        <v>Wheat</v>
      </c>
    </row>
    <row r="19" spans="1:20" ht="20.100000000000001" customHeight="1" x14ac:dyDescent="0.25">
      <c r="A19" s="17" t="str">
        <f>HYPERLINK("#'6.3.1.1-2 Leach runoff pasture'!A1", "6.3.1.1-2 Leach runoff pasture")</f>
        <v>6.3.1.1-2 Leach runoff pasture</v>
      </c>
      <c r="D19" s="114" t="str">
        <v>NC_AGc</v>
      </c>
      <c r="E19" s="118" t="str">
        <v>nitrogen content of above-ground crop residue of crop c</v>
      </c>
      <c r="F19" s="117"/>
      <c r="G19" s="114" t="str">
        <v>kg N/kg DM</v>
      </c>
      <c r="H19" s="108" t="str">
        <v>Constant</v>
      </c>
      <c r="I19" s="114" cm="1">
        <f t="array" ref="I19">Common_InputFunctions.Utility_LookupValueInTableNumber($I$21,Table_SourceData_CropAttributes[Crop type],Table_SourceData_CropAttributes[N content above-ground])</f>
        <v>6.0000000000000001E-3</v>
      </c>
      <c r="L19" s="21"/>
      <c r="M19" s="21"/>
      <c r="N19" s="21"/>
      <c r="O19" s="21"/>
      <c r="P19" s="21"/>
      <c r="Q19" s="21"/>
    </row>
    <row r="20" spans="1:20" ht="20.100000000000001" customHeight="1" x14ac:dyDescent="0.25">
      <c r="A20" s="17" t="str">
        <f>HYPERLINK("#'6.4.1.1-2 Residue burning'!A1", "6.4.1.1-2 Residue burning")</f>
        <v>6.4.1.1-2 Residue burning</v>
      </c>
      <c r="D20" s="114" t="str">
        <v>NC_BGc</v>
      </c>
      <c r="E20" s="118" t="str">
        <v>nitrogen content of below-ground crop residue of crop c</v>
      </c>
      <c r="F20" s="117"/>
      <c r="G20" s="114" t="str">
        <v>kg N/kg DM</v>
      </c>
      <c r="H20" s="108" t="str">
        <v>Constant</v>
      </c>
      <c r="I20" s="114" cm="1">
        <f t="array" ref="I20">Common_InputFunctions.Utility_LookupValueInTableNumber($I$21,Table_SourceData_CropAttributes[Crop type],Table_SourceData_CropAttributes[N content below-ground])</f>
        <v>0.01</v>
      </c>
      <c r="L20" s="21"/>
      <c r="M20" s="115" t="s">
        <v>171</v>
      </c>
      <c r="N20" s="43" cm="1">
        <f t="array" ref="N20">AgResidue_Equations_CropResidue.VEERG_6_1_1_2__1__FractionOfCropResidueRemovedBaled(Q14,Q15,Q16,Q17)</f>
        <v>0.11</v>
      </c>
    </row>
    <row r="21" spans="1:20" ht="20.100000000000001" customHeight="1" x14ac:dyDescent="0.25">
      <c r="D21" s="114" t="str">
        <v>c</v>
      </c>
      <c r="E21" s="118" t="str">
        <v>Crop type</v>
      </c>
      <c r="F21" s="117"/>
      <c r="G21" s="114" t="str">
        <v/>
      </c>
      <c r="H21" s="109" t="str">
        <v>Input</v>
      </c>
      <c r="I21" s="114" t="str">
        <f>X_Cell_Crop_CropType</f>
        <v>Wheat</v>
      </c>
      <c r="L21" s="21"/>
      <c r="M21" s="21"/>
      <c r="N21" s="21"/>
      <c r="O21" s="21"/>
      <c r="P21" s="21"/>
      <c r="Q21" s="21"/>
    </row>
    <row r="22" spans="1:20" ht="20.100000000000001" customHeight="1" x14ac:dyDescent="0.25">
      <c r="D22" s="114" t="str">
        <v>State</v>
      </c>
      <c r="E22" s="118" t="str">
        <v>State or territory</v>
      </c>
      <c r="F22" s="117"/>
      <c r="G22" s="114" t="str">
        <v/>
      </c>
      <c r="H22" s="109" t="str">
        <v>Input</v>
      </c>
      <c r="I22" s="114" t="str">
        <f>Common_InputFunctions.Utility_ConvertStateCommonNameToAbbreviation(X_Cell_Site_State,Table_AustralianStates[Common Name],Table_AustralianStates[Abbreviation])</f>
        <v>WA</v>
      </c>
      <c r="L22" s="21"/>
      <c r="M22" s="21"/>
      <c r="N22" s="21"/>
      <c r="O22" s="21"/>
      <c r="P22" s="21"/>
      <c r="Q22" s="21"/>
    </row>
    <row r="23" spans="1:20" ht="20.100000000000001" customHeight="1" x14ac:dyDescent="0.25">
      <c r="A23" s="141" t="s">
        <v>1</v>
      </c>
      <c r="D23" s="21"/>
      <c r="E23" s="21"/>
      <c r="F23" s="21"/>
      <c r="G23" s="21"/>
      <c r="H23" s="21"/>
      <c r="L23" s="43"/>
      <c r="M23" s="43"/>
      <c r="N23" s="43"/>
      <c r="O23" s="43"/>
      <c r="P23" s="43"/>
      <c r="Q23" s="43"/>
      <c r="R23" s="43"/>
      <c r="S23" s="43"/>
      <c r="T23" s="43"/>
    </row>
    <row r="24" spans="1:20" ht="20.100000000000001" customHeight="1" x14ac:dyDescent="0.25">
      <c r="A24" s="17" t="str">
        <f>HYPERLINK("#'Constants - Ag Residue'!A1", "Constants - Ag Residue")</f>
        <v>Constants - Ag Residue</v>
      </c>
      <c r="D24" s="115" t="s">
        <v>172</v>
      </c>
      <c r="E24" s="134" cm="1">
        <f t="array" ref="E24">AgResidue_Equations_CropResidue.VEERG_6_1_1_1__2__MassOfNitrogenInCropResidues(I13,I14,I16,I17,I18,I19,I15,I20)</f>
        <v>85008</v>
      </c>
      <c r="F24" s="116" t="str">
        <f>$E$11</f>
        <v>kg N</v>
      </c>
      <c r="M24" s="6" t="str" cm="1">
        <f t="array" ref="M24">AgResidue_Equations_CropResidue.VEERG_6_1_1_1__2__MassOfNitrogenInCropResidues_Title()</f>
        <v>Mass of nitrogen in crop residues returned to the soil</v>
      </c>
      <c r="N24" s="21"/>
      <c r="O24" s="21"/>
      <c r="P24" s="21"/>
      <c r="Q24" s="21"/>
    </row>
    <row r="25" spans="1:20" ht="20.100000000000001" customHeight="1" x14ac:dyDescent="0.25">
      <c r="A25" s="17" t="str">
        <f>HYPERLINK("#'Constants - Common'!A1", "Constants - Common")</f>
        <v>Constants - Common</v>
      </c>
      <c r="D25" s="50"/>
      <c r="E25" s="21"/>
      <c r="F25" s="21"/>
      <c r="G25" s="21"/>
      <c r="H25" s="21"/>
      <c r="L25" s="21"/>
      <c r="M25" s="5" t="str" cm="1">
        <f t="array" ref="M25">AgResidue_Equations_CropResidue.VEERG_6_1_1_1__2__MassOfNitrogenInCropResidues_Source()</f>
        <v>VEERG 2026: 6.1.1.1, Equation (2)</v>
      </c>
      <c r="N25" s="21"/>
      <c r="O25" s="21"/>
      <c r="P25" s="21"/>
      <c r="Q25" s="21"/>
    </row>
    <row r="26" spans="1:20" ht="20.100000000000001" customHeight="1" x14ac:dyDescent="0.25">
      <c r="D26" s="21"/>
      <c r="E26" s="21"/>
      <c r="F26" s="21"/>
      <c r="G26" s="21"/>
      <c r="H26" s="21"/>
      <c r="L26" s="21"/>
      <c r="M26" s="13" t="s">
        <v>21</v>
      </c>
      <c r="N26" s="13" t="str" cm="1">
        <f t="array" aca="1" ref="N26" ca="1">Common_InputFunctions.Utility_DisplayFunctionName(N43)</f>
        <v>=AgResidue_Equations_CropResidue.VEERG_6_1_1_1__2__MassOfNitrogenInCropResidues</v>
      </c>
      <c r="O26" s="21"/>
      <c r="P26" s="21"/>
      <c r="Q26" s="21"/>
    </row>
    <row r="27" spans="1:20" ht="20.100000000000001" customHeight="1" x14ac:dyDescent="0.25">
      <c r="D27" s="133"/>
      <c r="E27" s="133"/>
      <c r="F27" s="133"/>
      <c r="G27" s="133"/>
      <c r="H27" s="133"/>
      <c r="I27" s="133"/>
      <c r="L27" s="21"/>
      <c r="O27" s="21"/>
      <c r="P27" s="21"/>
      <c r="Q27" s="21"/>
    </row>
    <row r="28" spans="1:20"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1"/>
      <c r="F28" s="21"/>
      <c r="G28" s="21"/>
      <c r="H28" s="21"/>
      <c r="J28" s="21"/>
      <c r="L28" s="21"/>
      <c r="M28" s="21"/>
      <c r="N28" s="21"/>
      <c r="O28" s="21"/>
      <c r="P28" s="21"/>
      <c r="Q28" s="21"/>
    </row>
    <row r="29" spans="1:20" ht="20.100000000000001" customHeight="1" x14ac:dyDescent="0.25">
      <c r="D29" s="5" t="str" cm="1">
        <f t="array" ref="D29">AgResidue_Equations_CropResidue.VEERG_6_1_1_1__1__NitrousOxideEmissionsFromCropResidues_Source()</f>
        <v>VEERG 2026: 6.1.1.1, Equation (1)</v>
      </c>
      <c r="E29" s="21"/>
      <c r="F29" s="21"/>
      <c r="G29" s="21"/>
      <c r="H29" s="21"/>
      <c r="J29" s="21"/>
      <c r="L29" s="21"/>
      <c r="M29" s="50" t="s">
        <v>24</v>
      </c>
      <c r="N29" s="1" t="str" cm="1">
        <f t="array" ref="N29">AgResidue_Equations_CropResidue.VEERG_6_1_1_1__2__MassOfNitrogenInCropResidues_Variable()</f>
        <v>M_c</v>
      </c>
      <c r="O29" s="21"/>
      <c r="P29" s="21"/>
      <c r="Q29" s="21"/>
    </row>
    <row r="30" spans="1:20" ht="20.100000000000001" customHeight="1" x14ac:dyDescent="0.25">
      <c r="D30" s="13" t="s">
        <v>21</v>
      </c>
      <c r="E30" s="13" t="str">
        <f ca="1">Common_InputFunctions.Utility_DisplayFunctionName(VEERG_6_1_1_1__1__NitrousOxideEmissionsFromCropResidues_Result_Method1)</f>
        <v>=AgResidue_Equations_CropResidue.VEERG_6_1_1_1__1__NitrousOxideEmissionsFromCropResidues</v>
      </c>
      <c r="F30" s="21"/>
      <c r="G30" s="21"/>
      <c r="H30" s="21"/>
      <c r="L30" s="21"/>
      <c r="M30" s="50" t="s">
        <v>15</v>
      </c>
      <c r="N30" s="51" t="str" cm="1">
        <f t="array" ref="N30">AgResidue_Equations_CropResidue.VEERG_6_1_1_1__2__MassOfNitrogenInCropResidues_Unit()</f>
        <v>kg N</v>
      </c>
      <c r="O30" s="21"/>
      <c r="P30" s="21"/>
      <c r="Q30" s="21"/>
    </row>
    <row r="31" spans="1:20" ht="20.100000000000001" customHeight="1" x14ac:dyDescent="0.25">
      <c r="F31" s="21"/>
      <c r="G31" s="21"/>
      <c r="H31" s="21"/>
      <c r="J31" s="21"/>
      <c r="L31" s="21"/>
      <c r="M31" s="21"/>
      <c r="N31" s="21"/>
      <c r="O31" s="21"/>
      <c r="P31" s="21"/>
    </row>
    <row r="32" spans="1:20" ht="20.100000000000001" customHeight="1" x14ac:dyDescent="0.25">
      <c r="D32" s="21"/>
      <c r="E32" s="21"/>
      <c r="F32" s="21"/>
      <c r="G32" s="21"/>
      <c r="H32" s="21"/>
      <c r="J32" s="21"/>
      <c r="L32" s="21"/>
      <c r="M32" s="114" t="str" cm="1">
        <f t="array" ref="M32:N41">_xlfn.CHOOSECOLS(AgResidue_Equations_CropResidue.VEERG_6_1_1_1__2__MassOfNitrogenInCropResidues_Arguments_Method2(), 1, 2)</f>
        <v>P_c</v>
      </c>
      <c r="N32" s="118" t="str">
        <v>annual production of crop c</v>
      </c>
      <c r="O32" s="117"/>
      <c r="P32" s="114" t="str" cm="1">
        <f t="array" ref="P32:Q41">_xlfn.CHOOSECOLS(AgResidue_Equations_CropResidue.VEERG_6_1_1_1__2__MassOfNitrogenInCropResidues_Arguments_Method2(), 3,4)</f>
        <v>kg</v>
      </c>
      <c r="Q32" s="109" t="str">
        <v>Input</v>
      </c>
      <c r="R32" s="114"/>
    </row>
    <row r="33" spans="4:20" ht="20.100000000000001" customHeight="1" x14ac:dyDescent="0.25">
      <c r="D33" s="50" t="s">
        <v>24</v>
      </c>
      <c r="E33" s="1" t="str" cm="1">
        <f t="array" ref="E33">AgResidue_Equations_CropResidue.VEERG_6_1_1_1__1__NitrousOxideEmissionsFromCropResidues_Variable()</f>
        <v>E</v>
      </c>
      <c r="F33" s="21"/>
      <c r="G33" s="21"/>
      <c r="H33" s="21"/>
      <c r="J33" s="21"/>
      <c r="M33" s="114" t="str">
        <v>R_AGc</v>
      </c>
      <c r="N33" s="118" t="str">
        <v>residue to crop ratio for crop c</v>
      </c>
      <c r="O33" s="117"/>
      <c r="P33" s="114" t="str">
        <v/>
      </c>
      <c r="Q33" s="108" t="str">
        <v>Constant</v>
      </c>
      <c r="R33" s="114"/>
    </row>
    <row r="34" spans="4:20" ht="20.100000000000001" customHeight="1" x14ac:dyDescent="0.25">
      <c r="D34" s="50" t="s">
        <v>15</v>
      </c>
      <c r="E34" s="51" t="str" cm="1">
        <f t="array" ref="E34">AgResidue_Equations_CropResidue.VEERG_6_1_1_1__1__NitrousOxideEmissionsFromCropResidues_Unit()</f>
        <v>t N2O</v>
      </c>
      <c r="F34" s="21"/>
      <c r="G34" s="21"/>
      <c r="H34" s="21"/>
      <c r="J34" s="21"/>
      <c r="M34" s="114" t="str">
        <v>R_BGc</v>
      </c>
      <c r="N34" s="118" t="str">
        <v>below ground-residue to above ground residue ratio for crop c</v>
      </c>
      <c r="O34" s="117"/>
      <c r="P34" s="114" t="str">
        <v/>
      </c>
      <c r="Q34" s="108" t="str">
        <v>Constant</v>
      </c>
      <c r="R34" s="114"/>
    </row>
    <row r="35" spans="4:20" ht="20.100000000000001" customHeight="1" x14ac:dyDescent="0.25">
      <c r="D35" s="21"/>
      <c r="E35" s="21"/>
      <c r="F35" s="21"/>
      <c r="G35" s="21"/>
      <c r="H35" s="21"/>
      <c r="J35" s="21"/>
      <c r="M35" s="114" t="str">
        <v>F_c</v>
      </c>
      <c r="N35" s="118" t="str">
        <v>fraction of crop residue that is burnt for crop c</v>
      </c>
      <c r="O35" s="117"/>
      <c r="P35" s="114" t="str">
        <v>fraction</v>
      </c>
      <c r="Q35" s="109" t="str">
        <v>Input</v>
      </c>
      <c r="R35" s="114"/>
    </row>
    <row r="36" spans="4:20" ht="20.100000000000001" customHeight="1" x14ac:dyDescent="0.25">
      <c r="D36" s="114" t="str" cm="1">
        <f t="array" ref="D36:E40">_xlfn.CHOOSECOLS(AgResidue_Equations_CropResidue.VEERG_6_1_1_1__1__NitrousOxideEmissionsFromCropResidues_Arguments(), 1, 2)</f>
        <v>M_c</v>
      </c>
      <c r="E36" s="118" t="str">
        <v>mass of nitrogen in crop c residues returned to the soil</v>
      </c>
      <c r="F36" s="117"/>
      <c r="G36" s="114" t="str" cm="1">
        <f t="array" ref="G36:H40">_xlfn.CHOOSECOLS(AgResidue_Equations_CropResidue.VEERG_6_1_1_1__1__NitrousOxideEmissionsFromCropResidues_Arguments(), 3,4)</f>
        <v>kg N</v>
      </c>
      <c r="H36" s="108" t="str">
        <v>Calculated from 6.1.1.1 (2)</v>
      </c>
      <c r="I36" s="114">
        <f>VEERG_6_1_1_1__2__MassOfNitrogenInCropResidues_Result_Method1</f>
        <v>85008</v>
      </c>
      <c r="J36" s="21"/>
      <c r="M36" s="114" t="str">
        <v>FFOD_c</v>
      </c>
      <c r="N36" s="118" t="str">
        <v>fraction of the crop residue that is removed for crop c</v>
      </c>
      <c r="O36" s="117"/>
      <c r="P36" s="114" t="str">
        <v>fraction</v>
      </c>
      <c r="Q36" s="108" t="str">
        <v>Calculated from 6.1.1.2 (1)</v>
      </c>
      <c r="R36" s="114">
        <f>VEERG_6_1_1_2__1__FractionOfCropResidueRemovedBaled_Result</f>
        <v>0.11</v>
      </c>
    </row>
    <row r="37" spans="4:20" ht="20.100000000000001" customHeight="1" x14ac:dyDescent="0.25">
      <c r="D37" s="114" t="str">
        <v>EF_Ni</v>
      </c>
      <c r="E37" s="118" t="str">
        <v>emission factor for crop residues returned to the soil</v>
      </c>
      <c r="F37" s="117"/>
      <c r="G37" s="114" t="str">
        <v>kg N2O-N/kg N</v>
      </c>
      <c r="H37" s="108" t="str">
        <v>Constant</v>
      </c>
      <c r="I37" s="114" cm="1">
        <f t="array" ref="I37">Common_InputFunctions.Utility_LookupValueInTableNumber(I40,Table_SourceData_N2OEFOrganicFert[Climate zone type i],Table_SourceData_N2OEFOrganicFert[EF i N2O])</f>
        <v>5.0000000000000001E-3</v>
      </c>
      <c r="J37" s="21"/>
      <c r="M37" s="114" t="str">
        <v>DM_c</v>
      </c>
      <c r="N37" s="118" t="str">
        <v>dry matter content of crop c</v>
      </c>
      <c r="O37" s="117"/>
      <c r="P37" s="114" t="str">
        <v>kg dry weight/kg crop residue</v>
      </c>
      <c r="Q37" s="108" t="str">
        <v>Constant</v>
      </c>
      <c r="R37" s="114"/>
    </row>
    <row r="38" spans="4:20" ht="20.100000000000001" customHeight="1" x14ac:dyDescent="0.25">
      <c r="D38" s="114" t="str">
        <v>C_N2O</v>
      </c>
      <c r="E38" s="118" t="str">
        <v>factor to convert elemental mass of nitrous oxide to molecular mass</v>
      </c>
      <c r="F38" s="117"/>
      <c r="G38" s="114" t="str">
        <v>dimensionless</v>
      </c>
      <c r="H38" s="108" t="str">
        <v>Constant</v>
      </c>
      <c r="I38" s="114">
        <f>Common_InputFunctions.Utility_LookupValueInTableNumber("N2O",Table_GasToMolecularConversionFactor[Gas],Table_GasToMolecularConversionFactor[Conversion factor combined])</f>
        <v>1.5714285714285714</v>
      </c>
      <c r="J38" s="21"/>
      <c r="M38" s="114" t="str">
        <v>NC_AGc</v>
      </c>
      <c r="N38" s="118" t="str">
        <v>nitrogen content of above-ground crop residue of crop c</v>
      </c>
      <c r="O38" s="117"/>
      <c r="P38" s="114" t="str">
        <v>kg N/kg DM</v>
      </c>
      <c r="Q38" s="108" t="str">
        <v>Constant</v>
      </c>
      <c r="R38" s="114"/>
    </row>
    <row r="39" spans="4:20" ht="20.100000000000001" customHeight="1" x14ac:dyDescent="0.25">
      <c r="D39" s="114" t="str">
        <v>c</v>
      </c>
      <c r="E39" s="118" t="str">
        <v>Crop type</v>
      </c>
      <c r="F39" s="117"/>
      <c r="G39" s="114" t="str">
        <v/>
      </c>
      <c r="H39" s="109" t="str">
        <v>Input</v>
      </c>
      <c r="I39" s="114" t="str">
        <f>X_Cell_Crop_CropType</f>
        <v>Wheat</v>
      </c>
      <c r="J39" s="21"/>
      <c r="M39" s="114" t="str">
        <v>NC_BGc</v>
      </c>
      <c r="N39" s="118" t="str">
        <v>nitrogen content of below-ground crop residue of crop c</v>
      </c>
      <c r="O39" s="117"/>
      <c r="P39" s="114" t="str">
        <v>kg N/kg DM</v>
      </c>
      <c r="Q39" s="108" t="str">
        <v>Constant</v>
      </c>
      <c r="R39" s="114"/>
    </row>
    <row r="40" spans="4:20" ht="20.100000000000001" customHeight="1" x14ac:dyDescent="0.25">
      <c r="D40" s="114" t="str">
        <v>i</v>
      </c>
      <c r="E40" s="118" t="str">
        <v>Wet or dry climate zone</v>
      </c>
      <c r="F40" s="117"/>
      <c r="G40" s="114" t="str">
        <v/>
      </c>
      <c r="H40" s="109" t="str">
        <v>Input</v>
      </c>
      <c r="I40" s="114" t="str">
        <f>X_Cell_Site_WetOrDryClimateZone</f>
        <v>Dry climate zone</v>
      </c>
      <c r="M40" s="114" t="str">
        <v>c</v>
      </c>
      <c r="N40" s="118" t="str">
        <v>Crop type</v>
      </c>
      <c r="O40" s="117"/>
      <c r="P40" s="114" t="str">
        <v/>
      </c>
      <c r="Q40" s="109" t="str">
        <v>Input</v>
      </c>
      <c r="R40" s="114"/>
    </row>
    <row r="41" spans="4:20" ht="20.100000000000001" customHeight="1" x14ac:dyDescent="0.25">
      <c r="D41" s="21"/>
      <c r="E41" s="21"/>
      <c r="F41" s="21"/>
      <c r="G41" s="21"/>
      <c r="H41" s="21"/>
      <c r="M41" s="114" t="str">
        <v>State</v>
      </c>
      <c r="N41" s="118" t="str">
        <v>State or territory</v>
      </c>
      <c r="O41" s="117"/>
      <c r="P41" s="114" t="str">
        <v/>
      </c>
      <c r="Q41" s="109" t="str">
        <v>Input</v>
      </c>
      <c r="R41" s="114"/>
    </row>
    <row r="42" spans="4:20" ht="20.100000000000001" customHeight="1" x14ac:dyDescent="0.25">
      <c r="D42" s="91" t="s">
        <v>108</v>
      </c>
      <c r="E42" s="92" cm="1">
        <f t="array" ref="E42">AgResidue_Equations_CropResidue.VEERG_6_1_1_1__1__NitrousOxideEmissionsFromCropResidues(I36,I37,I38)</f>
        <v>0.66792000000000007</v>
      </c>
      <c r="F42" s="93" t="str">
        <f>$E$34</f>
        <v>t N2O</v>
      </c>
      <c r="H42" s="21"/>
      <c r="M42" s="21"/>
      <c r="N42" s="21"/>
      <c r="O42" s="21"/>
      <c r="P42" s="21"/>
      <c r="Q42" s="21"/>
    </row>
    <row r="43" spans="4:20" ht="20.100000000000001" customHeight="1" x14ac:dyDescent="0.25">
      <c r="H43" s="21"/>
      <c r="M43" s="115" t="s">
        <v>172</v>
      </c>
      <c r="N43" s="134" cm="1">
        <f t="array" ref="N43">AgResidue_Equations_CropResidue.VEERG_6_1_1_1__2__MassOfNitrogenInCropResidues(I13,I14,I16,R36,I18,I19,I15,I20)</f>
        <v>85008</v>
      </c>
      <c r="O43" s="116" t="str">
        <f>$E$11</f>
        <v>kg N</v>
      </c>
    </row>
    <row r="44" spans="4:20" ht="20.100000000000001" customHeight="1" x14ac:dyDescent="0.25">
      <c r="D44" s="53" t="str" cm="1">
        <f t="array" ref="D44:E45">Common_Equations.Common_ConvertN2OToCO2e_Arguments()</f>
        <v>EN2O</v>
      </c>
      <c r="E44" s="54" t="str">
        <v>Nitrous oxide emissions (t N2O)</v>
      </c>
      <c r="F44" s="94"/>
      <c r="G44" s="49">
        <f>VEERG_6_1_1_1__1__NitrousOxideEmissionsFromCropResidues_Result_Method1</f>
        <v>0.66792000000000007</v>
      </c>
      <c r="M44" s="50"/>
      <c r="N44" s="21"/>
      <c r="O44" s="21"/>
      <c r="P44" s="21"/>
      <c r="Q44" s="21"/>
    </row>
    <row r="45" spans="4:20" ht="20.100000000000001" customHeight="1" x14ac:dyDescent="0.25">
      <c r="D45" s="53" t="str">
        <v>GWPN2O</v>
      </c>
      <c r="E45" s="54" t="str">
        <v>Global warming potential for nitrous oxide (t CO2-e / t N2O)</v>
      </c>
      <c r="F45" s="94"/>
      <c r="G45" s="49">
        <f>Common_InputFunctions.Utility_LookupValueInTableNumber("N2O",Table_GWPData[Gas],Table_GWPData[CO2-e factor])</f>
        <v>265</v>
      </c>
      <c r="J45" s="21"/>
      <c r="M45" s="21"/>
      <c r="N45" s="21"/>
      <c r="O45" s="21"/>
      <c r="P45" s="21"/>
      <c r="Q45" s="21"/>
    </row>
    <row r="46" spans="4:20" ht="20.100000000000001" customHeight="1" x14ac:dyDescent="0.25">
      <c r="H46" s="21"/>
      <c r="J46" s="21"/>
      <c r="L46" s="133"/>
      <c r="M46" s="133"/>
      <c r="N46" s="133"/>
      <c r="O46" s="133"/>
      <c r="P46" s="133"/>
      <c r="Q46" s="133"/>
      <c r="R46" s="133"/>
      <c r="S46" s="133"/>
      <c r="T46" s="133"/>
    </row>
    <row r="47" spans="4:20" ht="20.100000000000001" customHeight="1" x14ac:dyDescent="0.25">
      <c r="D47" s="43" t="s">
        <v>78</v>
      </c>
      <c r="E47" s="43" cm="1">
        <f t="array" ref="E47">Common_Equations.Common_ConvertN2OToCO2e(G44,G45)</f>
        <v>176.99880000000002</v>
      </c>
      <c r="F47" s="95" t="str" cm="1">
        <f t="array" ref="F47">Common_Equations.Common_ConvertN2OToCO2e_Unit()</f>
        <v>t CO2e</v>
      </c>
      <c r="H47" s="21"/>
      <c r="J47" s="21"/>
      <c r="L47" s="21"/>
      <c r="M47" s="6" t="str" cm="1">
        <f t="array" ref="M47">AgResidue_Equations_CropResidue.VEERG_6_1_1_1__1__NitrousOxideEmissionsFromCropResidues_Title()</f>
        <v>Nitrous oxide emissions from the return of crop residues across all crops c to the soil</v>
      </c>
      <c r="N47" s="21"/>
      <c r="O47" s="21"/>
      <c r="P47" s="21"/>
      <c r="Q47" s="21"/>
    </row>
    <row r="48" spans="4:20" ht="20.100000000000001" customHeight="1" x14ac:dyDescent="0.25">
      <c r="D48" s="21"/>
      <c r="E48" s="21"/>
      <c r="F48" s="101"/>
      <c r="G48" s="21"/>
      <c r="H48" s="21"/>
      <c r="I48" s="21"/>
      <c r="J48" s="21"/>
      <c r="M48" s="5" t="str" cm="1">
        <f t="array" ref="M48">AgResidue_Equations_CropResidue.VEERG_6_1_1_1__1__NitrousOxideEmissionsFromCropResidues_Source()</f>
        <v>VEERG 2026: 6.1.1.1, Equation (1)</v>
      </c>
      <c r="N48" s="21"/>
      <c r="O48" s="21"/>
      <c r="P48" s="21"/>
      <c r="Q48" s="21"/>
    </row>
    <row r="49" spans="10:18" ht="20.100000000000001" customHeight="1" x14ac:dyDescent="0.25">
      <c r="J49" s="21"/>
      <c r="L49" s="21"/>
      <c r="M49" s="13" t="s">
        <v>21</v>
      </c>
      <c r="N49" s="13" t="str">
        <f ca="1">Common_InputFunctions.Utility_DisplayFunctionName(VEERG_6_1_1_1__1__NitrousOxideEmissionsFromCropResidues_Result_Method2)</f>
        <v>=AgResidue_Equations_CropResidue.VEERG_6_1_1_1__1__NitrousOxideEmissionsFromCropResidues</v>
      </c>
      <c r="O49" s="21"/>
      <c r="P49" s="21"/>
      <c r="Q49" s="21"/>
    </row>
    <row r="50" spans="10:18" ht="20.100000000000001" customHeight="1" x14ac:dyDescent="0.25">
      <c r="J50" s="21"/>
      <c r="L50" s="21"/>
      <c r="O50" s="21"/>
      <c r="P50" s="21"/>
      <c r="Q50" s="21"/>
    </row>
    <row r="51" spans="10:18" ht="20.100000000000001" customHeight="1" x14ac:dyDescent="0.25">
      <c r="J51" s="21"/>
      <c r="L51" s="21"/>
      <c r="M51" s="21"/>
      <c r="N51" s="21"/>
      <c r="O51" s="21"/>
      <c r="P51" s="21"/>
      <c r="Q51" s="21"/>
    </row>
    <row r="52" spans="10:18" ht="20.100000000000001" customHeight="1" x14ac:dyDescent="0.25">
      <c r="J52" s="21"/>
      <c r="L52" s="21"/>
      <c r="M52" s="50" t="s">
        <v>24</v>
      </c>
      <c r="N52" s="1" t="str" cm="1">
        <f t="array" ref="N52">AgResidue_Equations_CropResidue.VEERG_6_1_1_1__1__NitrousOxideEmissionsFromCropResidues_Variable()</f>
        <v>E</v>
      </c>
      <c r="O52" s="21"/>
      <c r="P52" s="21"/>
      <c r="Q52" s="21"/>
    </row>
    <row r="53" spans="10:18" ht="20.100000000000001" customHeight="1" x14ac:dyDescent="0.25">
      <c r="L53" s="21"/>
      <c r="M53" s="50" t="s">
        <v>15</v>
      </c>
      <c r="N53" s="51" t="str" cm="1">
        <f t="array" ref="N53">AgResidue_Equations_CropResidue.VEERG_6_1_1_1__1__NitrousOxideEmissionsFromCropResidues_Unit()</f>
        <v>t N2O</v>
      </c>
      <c r="O53" s="21"/>
      <c r="P53" s="21"/>
      <c r="Q53" s="21"/>
    </row>
    <row r="54" spans="10:18" ht="20.100000000000001" customHeight="1" x14ac:dyDescent="0.25">
      <c r="L54" s="21"/>
      <c r="M54" s="21"/>
      <c r="N54" s="21"/>
      <c r="O54" s="21"/>
      <c r="P54" s="21"/>
      <c r="Q54" s="21"/>
    </row>
    <row r="55" spans="10:18" ht="20.100000000000001" customHeight="1" x14ac:dyDescent="0.25">
      <c r="L55" s="21"/>
      <c r="M55" s="114" t="str" cm="1">
        <f t="array" ref="M55:N59">_xlfn.CHOOSECOLS(AgResidue_Equations_CropResidue.VEERG_6_1_1_1__1__NitrousOxideEmissionsFromCropResidues_Arguments(), 1, 2)</f>
        <v>M_c</v>
      </c>
      <c r="N55" s="118" t="str">
        <v>mass of nitrogen in crop c residues returned to the soil</v>
      </c>
      <c r="O55" s="117"/>
      <c r="P55" s="114" t="str" cm="1">
        <f t="array" ref="P55:Q59">_xlfn.CHOOSECOLS(AgResidue_Equations_CropResidue.VEERG_6_1_1_1__1__NitrousOxideEmissionsFromCropResidues_Arguments(), 3,4)</f>
        <v>kg N</v>
      </c>
      <c r="Q55" s="108" t="str">
        <v>Calculated from 6.1.1.1 (2)</v>
      </c>
      <c r="R55" s="114">
        <f>VEERG_6_1_1_1__2__MassOfNitrogenInCropResidues_Result_Method2</f>
        <v>85008</v>
      </c>
    </row>
    <row r="56" spans="10:18" ht="20.100000000000001" customHeight="1" x14ac:dyDescent="0.25">
      <c r="L56" s="21"/>
      <c r="M56" s="114" t="str">
        <v>EF_Ni</v>
      </c>
      <c r="N56" s="118" t="str">
        <v>emission factor for crop residues returned to the soil</v>
      </c>
      <c r="O56" s="117"/>
      <c r="P56" s="114" t="str">
        <v>kg N2O-N/kg N</v>
      </c>
      <c r="Q56" s="108" t="str">
        <v>Constant</v>
      </c>
      <c r="R56" s="114" cm="1">
        <f t="array" ref="R56">Common_InputFunctions.Utility_LookupValueInTableNumber(R59,Table_SourceData_N2OEFOrganicFert[Climate zone type i],Table_SourceData_N2OEFOrganicFert[EF i N2O])</f>
        <v>5.0000000000000001E-3</v>
      </c>
    </row>
    <row r="57" spans="10:18" ht="20.100000000000001" customHeight="1" x14ac:dyDescent="0.25">
      <c r="L57" s="21"/>
      <c r="M57" s="114" t="str">
        <v>C_N2O</v>
      </c>
      <c r="N57" s="118" t="str">
        <v>factor to convert elemental mass of nitrous oxide to molecular mass</v>
      </c>
      <c r="O57" s="117"/>
      <c r="P57" s="114" t="str">
        <v>dimensionless</v>
      </c>
      <c r="Q57" s="108" t="str">
        <v>Constant</v>
      </c>
      <c r="R57" s="114">
        <f>Common_InputFunctions.Utility_LookupValueInTableNumber("N2O",Table_GasToMolecularConversionFactor[Gas],Table_GasToMolecularConversionFactor[Conversion factor combined])</f>
        <v>1.5714285714285714</v>
      </c>
    </row>
    <row r="58" spans="10:18" ht="20.100000000000001" customHeight="1" x14ac:dyDescent="0.25">
      <c r="L58" s="21"/>
      <c r="M58" s="114" t="str">
        <v>c</v>
      </c>
      <c r="N58" s="118" t="str">
        <v>Crop type</v>
      </c>
      <c r="O58" s="117"/>
      <c r="P58" s="114" t="str">
        <v/>
      </c>
      <c r="Q58" s="109" t="str">
        <v>Input</v>
      </c>
      <c r="R58" s="114" t="str">
        <f>X_Cell_Crop_CropType</f>
        <v>Wheat</v>
      </c>
    </row>
    <row r="59" spans="10:18" ht="20.100000000000001" customHeight="1" x14ac:dyDescent="0.25">
      <c r="L59" s="21"/>
      <c r="M59" s="114" t="str">
        <v>i</v>
      </c>
      <c r="N59" s="118" t="str">
        <v>Wet or dry climate zone</v>
      </c>
      <c r="O59" s="117"/>
      <c r="P59" s="114" t="str">
        <v/>
      </c>
      <c r="Q59" s="109" t="str">
        <v>Input</v>
      </c>
      <c r="R59" s="114" t="str">
        <f>X_Cell_Site_WetOrDryClimateZone</f>
        <v>Dry climate zone</v>
      </c>
    </row>
    <row r="60" spans="10:18" ht="20.100000000000001" customHeight="1" x14ac:dyDescent="0.25">
      <c r="L60" s="21"/>
      <c r="M60" s="21"/>
      <c r="N60" s="21"/>
      <c r="O60" s="21"/>
      <c r="P60" s="21"/>
      <c r="Q60" s="21"/>
    </row>
    <row r="61" spans="10:18" ht="20.100000000000001" customHeight="1" x14ac:dyDescent="0.25">
      <c r="L61" s="21"/>
      <c r="M61" s="91" t="s">
        <v>108</v>
      </c>
      <c r="N61" s="92" cm="1">
        <f t="array" ref="N61">AgResidue_Equations_CropResidue.VEERG_6_1_1_1__1__NitrousOxideEmissionsFromCropResidues(R55,R56,R57)</f>
        <v>0.66792000000000007</v>
      </c>
      <c r="O61" s="93" t="str">
        <f>$E$34</f>
        <v>t N2O</v>
      </c>
      <c r="Q61" s="21"/>
    </row>
    <row r="62" spans="10:18" ht="20.100000000000001" customHeight="1" x14ac:dyDescent="0.25">
      <c r="L62" s="21"/>
      <c r="Q62" s="21"/>
    </row>
    <row r="63" spans="10:18" ht="20.100000000000001" customHeight="1" x14ac:dyDescent="0.25">
      <c r="L63" s="21"/>
      <c r="M63" s="53" t="str" cm="1">
        <f t="array" ref="M63:N64">Common_Equations.Common_ConvertN2OToCO2e_Arguments()</f>
        <v>EN2O</v>
      </c>
      <c r="N63" s="54" t="str">
        <v>Nitrous oxide emissions (t N2O)</v>
      </c>
      <c r="O63" s="94"/>
      <c r="P63" s="49">
        <f>VEERG_6_1_1_1__1__NitrousOxideEmissionsFromCropResidues_Result_Method2</f>
        <v>0.66792000000000007</v>
      </c>
    </row>
    <row r="64" spans="10:18" ht="20.100000000000001" customHeight="1" x14ac:dyDescent="0.25">
      <c r="L64" s="21"/>
      <c r="M64" s="53" t="str">
        <v>GWPN2O</v>
      </c>
      <c r="N64" s="54" t="str">
        <v>Global warming potential for nitrous oxide (t CO2-e / t N2O)</v>
      </c>
      <c r="O64" s="94"/>
      <c r="P64" s="49">
        <f>Common_InputFunctions.Utility_LookupValueInTableNumber("N2O",Table_GWPData[Gas],Table_GWPData[CO2-e factor])</f>
        <v>265</v>
      </c>
    </row>
    <row r="65" spans="12:18" ht="20.100000000000001" customHeight="1" x14ac:dyDescent="0.25">
      <c r="L65" s="21"/>
      <c r="Q65" s="21"/>
    </row>
    <row r="66" spans="12:18" ht="20.100000000000001" customHeight="1" x14ac:dyDescent="0.25">
      <c r="L66" s="21"/>
      <c r="M66" s="43" t="s">
        <v>78</v>
      </c>
      <c r="N66" s="43" cm="1">
        <f t="array" ref="N66">Common_Equations.Common_ConvertN2OToCO2e(P63,P64)</f>
        <v>176.99880000000002</v>
      </c>
      <c r="O66" s="95" t="str" cm="1">
        <f t="array" ref="O66">Common_Equations.Common_ConvertN2OToCO2e_Unit()</f>
        <v>t CO2e</v>
      </c>
      <c r="Q66" s="21"/>
    </row>
    <row r="67" spans="12:18" ht="20.100000000000001" customHeight="1" x14ac:dyDescent="0.25">
      <c r="L67" s="21"/>
      <c r="M67" s="21"/>
      <c r="N67" s="21"/>
      <c r="O67" s="101"/>
      <c r="P67" s="21"/>
      <c r="Q67" s="21"/>
      <c r="R67" s="21"/>
    </row>
    <row r="68" spans="12:18" ht="20.100000000000001" customHeight="1" x14ac:dyDescent="0.25">
      <c r="L68" s="21"/>
    </row>
    <row r="69" spans="12:18" ht="20.100000000000001" customHeight="1" x14ac:dyDescent="0.25">
      <c r="L69" s="21"/>
    </row>
    <row r="70" spans="12:18" ht="20.100000000000001" customHeight="1" x14ac:dyDescent="0.25"/>
    <row r="71" spans="12:18" ht="20.100000000000001" customHeight="1" x14ac:dyDescent="0.25"/>
    <row r="72" spans="12:18" ht="20.100000000000001" customHeight="1" x14ac:dyDescent="0.25"/>
    <row r="73" spans="12:18" ht="20.100000000000001" customHeight="1" x14ac:dyDescent="0.25"/>
    <row r="74" spans="12:18" ht="20.100000000000001" customHeight="1" x14ac:dyDescent="0.25"/>
    <row r="75" spans="12:18" ht="20.100000000000001" customHeight="1" x14ac:dyDescent="0.25"/>
    <row r="76" spans="12:18" ht="20.100000000000001" customHeight="1" x14ac:dyDescent="0.25"/>
    <row r="77" spans="12:18" ht="20.100000000000001" customHeight="1" x14ac:dyDescent="0.25"/>
    <row r="78" spans="12:18" ht="20.100000000000001" customHeight="1" x14ac:dyDescent="0.25"/>
    <row r="79" spans="12:18" ht="20.100000000000001" customHeight="1" x14ac:dyDescent="0.25"/>
    <row r="80" spans="12:18" ht="20.100000000000001" customHeight="1" x14ac:dyDescent="0.25"/>
    <row r="81" spans="12:12" ht="20.100000000000001" customHeight="1" x14ac:dyDescent="0.25"/>
    <row r="82" spans="12:12" ht="20.100000000000001" customHeight="1" x14ac:dyDescent="0.25"/>
    <row r="83" spans="12:12" ht="20.100000000000001" customHeight="1" x14ac:dyDescent="0.25"/>
    <row r="84" spans="12:12" ht="20.100000000000001" customHeight="1" x14ac:dyDescent="0.25"/>
    <row r="85" spans="12:12" ht="20.100000000000001" customHeight="1" x14ac:dyDescent="0.25"/>
    <row r="86" spans="12:12" ht="20.100000000000001" customHeight="1" x14ac:dyDescent="0.25">
      <c r="L86" s="21"/>
    </row>
    <row r="87" spans="12:12" ht="20.100000000000001" customHeight="1" x14ac:dyDescent="0.25"/>
    <row r="88" spans="12:12" ht="20.100000000000001" customHeight="1" x14ac:dyDescent="0.25"/>
    <row r="89" spans="12:12" ht="20.100000000000001" customHeight="1" x14ac:dyDescent="0.25"/>
    <row r="90" spans="12:12" ht="20.100000000000001" customHeight="1" x14ac:dyDescent="0.25"/>
    <row r="91" spans="12:12" ht="20.100000000000001" customHeight="1" x14ac:dyDescent="0.25"/>
    <row r="92" spans="12:12" ht="20.100000000000001" customHeight="1" x14ac:dyDescent="0.25"/>
    <row r="93" spans="12:12" ht="20.100000000000001" customHeight="1" x14ac:dyDescent="0.25"/>
    <row r="94" spans="12:12" ht="20.100000000000001" customHeight="1" x14ac:dyDescent="0.25"/>
    <row r="95" spans="12:12" ht="20.100000000000001" customHeight="1" x14ac:dyDescent="0.25"/>
    <row r="96" spans="12:12"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sheetPr>
    <tabColor rgb="FF008000"/>
  </sheetPr>
  <dimension ref="A1:U165"/>
  <sheetViews>
    <sheetView showGridLines="0" topLeftCell="A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0" t="e" vm="1">
        <v>#VALUE!</v>
      </c>
      <c r="C1" s="8" t="s">
        <v>175</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M3" s="4"/>
      <c r="N3" s="4" t="s">
        <v>80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D6" s="5" t="str" cm="1">
        <f t="array" ref="D6">AgResidue_Equations_PastureResidue.VEERG_6_2_1_1__2__MassOfNitrogenInPastureResidues_Source()</f>
        <v>VEERG 2026: 6.2.1.1, Equation (2)</v>
      </c>
    </row>
    <row r="7" spans="1:21" ht="20.100000000000001" customHeight="1" x14ac:dyDescent="0.25">
      <c r="D7" s="13" t="s">
        <v>21</v>
      </c>
      <c r="E7" s="13" t="str" cm="1">
        <f t="array" aca="1" ref="E7" ca="1">Common_InputFunctions.Utility_DisplayFunctionName(E21)</f>
        <v>=AgResidue_Equations_PastureResidue.VEERG_6_2_1_1__2__MassOfNitrogenInPastureResidues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Crop'!A1", "Crop")</f>
        <v>Crop</v>
      </c>
      <c r="D10" s="3" t="s">
        <v>24</v>
      </c>
      <c r="E10" s="1" t="str" cm="1">
        <f t="array" ref="E10">AgResidue_Equations_PastureResidue.VEERG_6_2_1_1__2__MassOfNitrogenInPastureResidues_Variable()</f>
        <v>Mp</v>
      </c>
    </row>
    <row r="11" spans="1:21" ht="20.100000000000001" customHeight="1" x14ac:dyDescent="0.25">
      <c r="A11" s="17" t="str">
        <f>HYPERLINK("#'Input - Pasture'!A1", "Pasture")</f>
        <v>Pasture</v>
      </c>
      <c r="D11" s="3" t="s">
        <v>15</v>
      </c>
      <c r="E11" s="51" t="str" cm="1">
        <f t="array" ref="E11">AgResidue_Equations_PastureResidue.VEERG_6_2_1_1__2__MassOfNitrogenInPastureResidues_Unit()</f>
        <v>kg N</v>
      </c>
    </row>
    <row r="12" spans="1:21" ht="20.100000000000001" customHeight="1" x14ac:dyDescent="0.25"/>
    <row r="13" spans="1:21" ht="20.100000000000001" customHeight="1" x14ac:dyDescent="0.25">
      <c r="D13" s="114" t="str" cm="1">
        <f t="array" ref="D13:E19">_xlfn.CHOOSECOLS(AgResidue_Equations_PastureResidue.VEERG_6_2_1_1__2__MassOfNitrogenInPastureResidues_Arguments(), 1, 2)</f>
        <v>A_p</v>
      </c>
      <c r="E13" s="118" t="str">
        <v>area of pasture renewed or removed</v>
      </c>
      <c r="F13" s="119"/>
      <c r="G13" s="117"/>
      <c r="H13" s="114" t="str" cm="1">
        <f t="array" ref="H13:I19">_xlfn.CHOOSECOLS(AgResidue_Equations_PastureResidue.VEERG_6_2_1_1__2__MassOfNitrogenInPastureResidues_Arguments(), 3,4)</f>
        <v>ha</v>
      </c>
      <c r="I13" s="109" t="str">
        <v>Input</v>
      </c>
      <c r="J13" s="114">
        <f>X_Cell_Pasture_AreaRemovedOrRenewed</f>
        <v>500</v>
      </c>
      <c r="N13" s="114" t="str" cm="1">
        <f t="array" ref="N13:O19">_xlfn.CHOOSECOLS(AgResidue_Equations_PastureResidue.VEERG_6_2_1_1__2__MassOfNitrogenInPastureResidues_Arguments_Method2(), 1, 2)</f>
        <v>A_p</v>
      </c>
      <c r="O13" s="118" t="str">
        <v>area of pasture renewed or removed</v>
      </c>
      <c r="P13" s="119"/>
      <c r="Q13" s="117"/>
      <c r="R13" s="114" t="str" cm="1">
        <f t="array" ref="R13:S19">_xlfn.CHOOSECOLS(AgResidue_Equations_PastureResidue.VEERG_6_2_1_1__2__MassOfNitrogenInPastureResidues_Arguments_Method2(), 3,4)</f>
        <v>ha</v>
      </c>
      <c r="S13" s="109" t="str">
        <v>Input</v>
      </c>
      <c r="T13" s="114"/>
    </row>
    <row r="14" spans="1:21" ht="20.100000000000001" customHeight="1" x14ac:dyDescent="0.25">
      <c r="A14" s="18" t="s">
        <v>68</v>
      </c>
      <c r="D14" s="114" t="str">
        <v>Y_p</v>
      </c>
      <c r="E14" s="118" t="str">
        <v>average yield of pasture crop</v>
      </c>
      <c r="F14" s="119"/>
      <c r="G14" s="117"/>
      <c r="H14" s="114" t="str">
        <v>t DM/ha</v>
      </c>
      <c r="I14" s="108" t="str">
        <v>Constant</v>
      </c>
      <c r="J14" s="114" cm="1">
        <f t="array" ref="J14">Common_InputFunctions.Utility_LookupValueInTableNumber($J$19,Table_SourceData_PastureAttributes[Pasture type],Table_SourceData_PastureAttributes[Average Yield (t DM ha) Yp])</f>
        <v>8.34</v>
      </c>
      <c r="N14" s="114" t="str">
        <v>Y_p</v>
      </c>
      <c r="O14" s="118" t="str">
        <v>average yield of pasture crop</v>
      </c>
      <c r="P14" s="119"/>
      <c r="Q14" s="117"/>
      <c r="R14" s="114" t="str">
        <v>t DM/ha</v>
      </c>
      <c r="S14" s="109" t="str">
        <v>Input</v>
      </c>
      <c r="T14" s="114">
        <f>X_Cell_Pasture_YieldPerHectare</f>
        <v>8.34</v>
      </c>
    </row>
    <row r="15" spans="1:21" ht="20.100000000000001" customHeight="1" x14ac:dyDescent="0.25">
      <c r="A15" s="17" t="str">
        <f>HYPERLINK("#'6.1.1.1-2 Crop residue N2O'!A1", "6.1.1.1-2 Crop residue N2O")</f>
        <v>6.1.1.1-2 Crop residue N2O</v>
      </c>
      <c r="D15" s="114" t="str">
        <v>NC_AGp</v>
      </c>
      <c r="E15" s="118" t="str">
        <v>N content of above-ground pasture residue</v>
      </c>
      <c r="F15" s="119"/>
      <c r="G15" s="117"/>
      <c r="H15" s="114" t="str">
        <v>kg N/kg DM</v>
      </c>
      <c r="I15" s="108" t="str">
        <v>Constant</v>
      </c>
      <c r="J15" s="114" cm="1">
        <f t="array" ref="J15">Common_InputFunctions.Utility_LookupValueInTableNumber($J$19,Table_SourceData_PastureAttributes[Pasture type],Table_SourceData_PastureAttributes[N content Above-ground NCAGp])</f>
        <v>2.5000000000000001E-2</v>
      </c>
      <c r="N15" s="114" t="str">
        <v>NC_AGp</v>
      </c>
      <c r="O15" s="118" t="str">
        <v>N content of above-ground pasture residue</v>
      </c>
      <c r="P15" s="119"/>
      <c r="Q15" s="117"/>
      <c r="R15" s="114" t="str">
        <v>kg N/kg DM</v>
      </c>
      <c r="S15" s="108" t="str">
        <v>Constant</v>
      </c>
      <c r="T15" s="114"/>
    </row>
    <row r="16" spans="1:21" ht="20.100000000000001" customHeight="1" x14ac:dyDescent="0.25">
      <c r="A16" s="127" t="str">
        <f>HYPERLINK("#'6.2.1.1-2 Pasture residue N2O'!A1", "6.2.1.1-2 Pasture residue N2O")</f>
        <v>6.2.1.1-2 Pasture residue N2O</v>
      </c>
      <c r="D16" s="114" t="str">
        <v>R_BGp</v>
      </c>
      <c r="E16" s="118" t="str">
        <v>below-ground residue to above-ground residue ratio for pasture crop</v>
      </c>
      <c r="F16" s="119"/>
      <c r="G16" s="117"/>
      <c r="H16" s="114" t="str">
        <v/>
      </c>
      <c r="I16" s="108" t="str">
        <v>Constant</v>
      </c>
      <c r="J16" s="114" cm="1">
        <f t="array" ref="J16">Common_InputFunctions.Utility_LookupValueInTableNumber($J$19,Table_SourceData_PastureAttributes[Pasture type],Table_SourceData_PastureAttributes[Below-ground: above-ground residue ratio RBGp])</f>
        <v>0.8</v>
      </c>
      <c r="N16" s="114" t="str">
        <v>R_BGp</v>
      </c>
      <c r="O16" s="118" t="str">
        <v>below-ground residue to above-ground residue ratio for pasture crop</v>
      </c>
      <c r="P16" s="119"/>
      <c r="Q16" s="117"/>
      <c r="R16" s="114" t="str">
        <v/>
      </c>
      <c r="S16" s="108" t="str">
        <v>Constant</v>
      </c>
      <c r="T16" s="114"/>
    </row>
    <row r="17" spans="1:21" ht="20.100000000000001" customHeight="1" x14ac:dyDescent="0.25">
      <c r="A17" s="17" t="str">
        <f>HYPERLINK("#'6.3.1.1-2 Leaching and runoff'!A1", "6.3.1.1-2 Leaching and runoff")</f>
        <v>6.3.1.1-2 Leaching and runoff</v>
      </c>
      <c r="D17" s="114" t="str">
        <v>NC_BGp</v>
      </c>
      <c r="E17" s="118" t="str">
        <v>N content of below-ground pasture crop residue</v>
      </c>
      <c r="F17" s="119"/>
      <c r="G17" s="117"/>
      <c r="H17" s="114" t="str">
        <v>kg N/kg DM</v>
      </c>
      <c r="I17" s="108" t="str">
        <v>Constant</v>
      </c>
      <c r="J17" s="114" cm="1">
        <f t="array" ref="J17">Common_InputFunctions.Utility_LookupValueInTableNumber($J$19,Table_SourceData_PastureAttributes[Pasture type],Table_SourceData_PastureAttributes[N content Below-ground NCBGp])</f>
        <v>1.6E-2</v>
      </c>
      <c r="N17" s="114" t="str">
        <v>NC_BGp</v>
      </c>
      <c r="O17" s="118" t="str">
        <v>N content of below-ground pasture crop residue</v>
      </c>
      <c r="P17" s="119"/>
      <c r="Q17" s="117"/>
      <c r="R17" s="114" t="str">
        <v>kg N/kg DM</v>
      </c>
      <c r="S17" s="108" t="str">
        <v>Constant</v>
      </c>
      <c r="T17" s="114"/>
    </row>
    <row r="18" spans="1:21" ht="20.100000000000001" customHeight="1" x14ac:dyDescent="0.25">
      <c r="A18" s="17" t="str">
        <f>HYPERLINK("#'6.3.1.1-2 Leach runoff crop'!A1", "6.3.1.1-2 Leach runoff crop")</f>
        <v>6.3.1.1-2 Leach runoff crop</v>
      </c>
      <c r="D18" s="114" t="str">
        <v>FFOD_p</v>
      </c>
      <c r="E18" s="118" t="str">
        <v>fraction of pasture yield that is removed</v>
      </c>
      <c r="F18" s="119"/>
      <c r="G18" s="117"/>
      <c r="H18" s="114" t="str">
        <v>fraction</v>
      </c>
      <c r="I18" s="108" t="str">
        <v>Constant</v>
      </c>
      <c r="J18" s="114" cm="1">
        <f t="array" ref="J18">Common_InputFunctions.Utility_LookupValueInTableNumber($J$19,Table_SourceData_PastureAttributes[Pasture type],Table_SourceData_PastureAttributes[Fraction of pasture yield that is removed FFODp])</f>
        <v>0.8</v>
      </c>
      <c r="N18" s="114" t="str">
        <v>FFOD_p</v>
      </c>
      <c r="O18" s="118" t="str">
        <v>fraction of pasture yield that is removed</v>
      </c>
      <c r="P18" s="119"/>
      <c r="Q18" s="117"/>
      <c r="R18" s="114" t="str">
        <v>fraction</v>
      </c>
      <c r="S18" s="108" t="str">
        <v>Constant</v>
      </c>
      <c r="T18" s="114"/>
    </row>
    <row r="19" spans="1:21" ht="20.100000000000001" customHeight="1" x14ac:dyDescent="0.25">
      <c r="A19" s="17" t="str">
        <f>HYPERLINK("#'6.3.1.1-2 Leach runoff pasture'!A1", "6.3.1.1-2 Leach runoff pasture")</f>
        <v>6.3.1.1-2 Leach runoff pasture</v>
      </c>
      <c r="D19" s="114" t="str">
        <v>p</v>
      </c>
      <c r="E19" s="118" t="str">
        <v>Pasture type</v>
      </c>
      <c r="F19" s="119"/>
      <c r="G19" s="117"/>
      <c r="H19" s="114" t="str">
        <v/>
      </c>
      <c r="I19" s="109" t="str">
        <v>Input</v>
      </c>
      <c r="J19" s="114" t="str">
        <f>X_Cell_Pasture_PastureType</f>
        <v>Grass clover mixture</v>
      </c>
      <c r="N19" s="114" t="str">
        <v>p</v>
      </c>
      <c r="O19" s="118" t="str">
        <v>Pasture type</v>
      </c>
      <c r="P19" s="119"/>
      <c r="Q19" s="117"/>
      <c r="R19" s="114" t="str">
        <v/>
      </c>
      <c r="S19" s="109" t="str">
        <v>Input</v>
      </c>
      <c r="T19" s="114"/>
    </row>
    <row r="20" spans="1:21" ht="20.100000000000001" customHeight="1" x14ac:dyDescent="0.25">
      <c r="A20" s="17" t="str">
        <f>HYPERLINK("#'6.4.1.1-2 Residue burning'!A1", "6.4.1.1-2 Residue burning")</f>
        <v>6.4.1.1-2 Residue burning</v>
      </c>
    </row>
    <row r="21" spans="1:21" ht="20.100000000000001" customHeight="1" x14ac:dyDescent="0.25">
      <c r="D21" s="115" t="s">
        <v>182</v>
      </c>
      <c r="E21" s="43" cm="1">
        <f t="array" ref="E21">AgResidue_Equations_PastureResidue.VEERG_6_2_1_1__2__MassOfNitrogenInPastureResidues(J13,J14,J18,J15,J16,J17)</f>
        <v>7.4226E-2</v>
      </c>
      <c r="F21" s="95" t="str" cm="1">
        <f t="array" ref="F21">AgResidue_Equations_PastureResidue.VEERG_6_2_1_1__2__MassOfNitrogenInPastureResidues_Unit()</f>
        <v>kg N</v>
      </c>
      <c r="N21" s="115" t="s">
        <v>182</v>
      </c>
      <c r="O21" s="43" cm="1">
        <f t="array" ref="O21">AgResidue_Equations_PastureResidue.VEERG_6_2_1_1__2__MassOfNitrogenInPastureResidues(J13,T14,J18,J15,J16,J17)</f>
        <v>7.4226E-2</v>
      </c>
      <c r="P21" s="95" t="str" cm="1">
        <f t="array" ref="P21">AgResidue_Equations_PastureResidue.VEERG_6_2_1_1__2__MassOfNitrogenInPastureResidues_Unit()</f>
        <v>kg N</v>
      </c>
    </row>
    <row r="22" spans="1:21" ht="20.100000000000001" customHeight="1" x14ac:dyDescent="0.25"/>
    <row r="23" spans="1:21" ht="20.100000000000001" customHeight="1" x14ac:dyDescent="0.25">
      <c r="A23" s="141" t="s">
        <v>1</v>
      </c>
    </row>
    <row r="24" spans="1:21" ht="20.100000000000001" customHeight="1" x14ac:dyDescent="0.25">
      <c r="A24" s="17" t="str">
        <f>HYPERLINK("#'Constants - Ag Residue'!A1", "Constants - Ag Residue")</f>
        <v>Constants - Ag Residue</v>
      </c>
      <c r="C24" s="43"/>
      <c r="D24" s="43"/>
      <c r="E24" s="43"/>
      <c r="F24" s="43"/>
      <c r="G24" s="43"/>
      <c r="H24" s="43"/>
      <c r="I24" s="43"/>
      <c r="J24" s="43"/>
      <c r="K24" s="43"/>
      <c r="M24" s="43"/>
      <c r="N24" s="43"/>
      <c r="O24" s="43"/>
      <c r="P24" s="43"/>
      <c r="Q24" s="43"/>
      <c r="R24" s="43"/>
      <c r="S24" s="43"/>
      <c r="T24" s="43"/>
      <c r="U24" s="43"/>
    </row>
    <row r="25" spans="1:21" ht="20.100000000000001" customHeight="1" x14ac:dyDescent="0.25">
      <c r="A25" s="17" t="str">
        <f>HYPERLINK("#'Constants - Common'!A1", "Constants - Common")</f>
        <v>Constants - Common</v>
      </c>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21</v>
      </c>
      <c r="E27" s="13" t="str">
        <f ca="1">Common_InputFunctions.Utility_DisplayFunctionName(VEERG_6_2_1_1__1__NitrousOxideEmissionsFromPastureResidues_Result_Method1)</f>
        <v>=AgResidue_Equations_PastureResidue.VEERG_6_2_1_1__1__NitrousOxideEmissionsFromPastureResidues</v>
      </c>
      <c r="N27" s="13" t="s">
        <v>21</v>
      </c>
      <c r="O27" s="13"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24</v>
      </c>
      <c r="E30" s="1" t="str" cm="1">
        <f t="array" ref="E30">AgResidue_Equations_PastureResidue.VEERG_6_2_1_1__1__NitrousOxideEmissionsFromPastureResidues_Variable()</f>
        <v>EN2O</v>
      </c>
      <c r="N30" s="3" t="s">
        <v>24</v>
      </c>
      <c r="O30" s="1" t="str" cm="1">
        <f t="array" ref="O30">AgResidue_Equations_PastureResidue.VEERG_6_2_1_1__1__NitrousOxideEmissionsFromPastureResidues_Variable()</f>
        <v>EN2O</v>
      </c>
    </row>
    <row r="31" spans="1:21" ht="20.100000000000001" customHeight="1" x14ac:dyDescent="0.25">
      <c r="D31" s="3" t="s">
        <v>15</v>
      </c>
      <c r="E31" s="51" t="str" cm="1">
        <f t="array" ref="E31">AgResidue_Equations_PastureResidue.VEERG_6_2_1_1__1__NitrousOxideEmissionsFromPastureResidues_Unit()</f>
        <v>t N2O</v>
      </c>
      <c r="N31" s="3" t="s">
        <v>15</v>
      </c>
      <c r="O31" s="51" t="str" cm="1">
        <f t="array" ref="O31">AgResidue_Equations_PastureResidue.VEERG_6_2_1_1__1__NitrousOxideEmissionsFromPastureResidues_Unit()</f>
        <v>t N2O</v>
      </c>
    </row>
    <row r="32" spans="1:21" ht="20.100000000000001" customHeight="1" x14ac:dyDescent="0.25"/>
    <row r="33" spans="4:20" ht="20.100000000000001" customHeight="1" x14ac:dyDescent="0.25">
      <c r="D33" s="114" t="str" cm="1">
        <f t="array" ref="D33:E37">_xlfn.CHOOSECOLS(AgResidue_Equations_PastureResidue.VEERG_6_2_1_1__1__NitrousOxideEmissionsFromPastureResidues_Arguments(), 1, 2)</f>
        <v>M_p</v>
      </c>
      <c r="E33" s="118" t="str">
        <v>mass of nitrogen in pasture p residues returned to the soil</v>
      </c>
      <c r="F33" s="119"/>
      <c r="G33" s="117"/>
      <c r="H33" s="114" t="str" cm="1">
        <f t="array" ref="H33:I37">_xlfn.CHOOSECOLS(AgResidue_Equations_PastureResidue.VEERG_6_2_1_1__1__NitrousOxideEmissionsFromPastureResidues_Arguments(), 3,4)</f>
        <v>kg N</v>
      </c>
      <c r="I33" s="108" t="str">
        <v>Calculated from 6.2.1.1 (2)</v>
      </c>
      <c r="J33" s="114">
        <f>$E$21</f>
        <v>7.4226E-2</v>
      </c>
      <c r="N33" s="114" t="str" cm="1">
        <f t="array" ref="N33:O37">_xlfn.CHOOSECOLS(AgResidue_Equations_PastureResidue.VEERG_6_2_1_1__1__NitrousOxideEmissionsFromPastureResidues_Arguments(), 1, 2)</f>
        <v>M_p</v>
      </c>
      <c r="O33" s="118" t="str">
        <v>mass of nitrogen in pasture p residues returned to the soil</v>
      </c>
      <c r="P33" s="119"/>
      <c r="Q33" s="117"/>
      <c r="R33" s="114" t="str" cm="1">
        <f t="array" ref="R33:S37">_xlfn.CHOOSECOLS(AgResidue_Equations_PastureResidue.VEERG_6_2_1_1__1__NitrousOxideEmissionsFromPastureResidues_Arguments(), 3,4)</f>
        <v>kg N</v>
      </c>
      <c r="S33" s="108" t="str">
        <v>Calculated from 6.2.1.1 (2)</v>
      </c>
      <c r="T33" s="114">
        <f>$O$21</f>
        <v>7.4226E-2</v>
      </c>
    </row>
    <row r="34" spans="4:20" ht="20.100000000000001" customHeight="1" x14ac:dyDescent="0.25">
      <c r="D34" s="114" t="str">
        <v>EF_Ni</v>
      </c>
      <c r="E34" s="118" t="str">
        <v>emission factor for crop residues returned to the soil in climate zone i</v>
      </c>
      <c r="F34" s="119"/>
      <c r="G34" s="117"/>
      <c r="H34" s="114" t="str">
        <v>kg N2O-N/kg N</v>
      </c>
      <c r="I34" s="108" t="str">
        <v>Constant</v>
      </c>
      <c r="J34" s="114" cm="1">
        <f t="array" ref="J34">Common_InputFunctions.Utility_LookupValueInTableNumber(J37,Table_SourceData_N2OEFOrganicFert[Climate zone type i],Table_SourceData_N2OEFOrganicFert[EF i N2O])</f>
        <v>5.0000000000000001E-3</v>
      </c>
      <c r="N34" s="114" t="str">
        <v>EF_Ni</v>
      </c>
      <c r="O34" s="118" t="str">
        <v>emission factor for crop residues returned to the soil in climate zone i</v>
      </c>
      <c r="P34" s="119"/>
      <c r="Q34" s="117"/>
      <c r="R34" s="114" t="str">
        <v>kg N2O-N/kg N</v>
      </c>
      <c r="S34" s="108" t="str">
        <v>Constant</v>
      </c>
      <c r="T34" s="114"/>
    </row>
    <row r="35" spans="4:20" ht="20.100000000000001" customHeight="1" x14ac:dyDescent="0.25">
      <c r="D35" s="114" t="str">
        <v>C_N2O</v>
      </c>
      <c r="E35" s="118" t="str">
        <v>factor to convert elemental mass of nitrous oxide to molecular mass</v>
      </c>
      <c r="F35" s="119"/>
      <c r="G35" s="117"/>
      <c r="H35" s="114" t="str">
        <v>dimensionless</v>
      </c>
      <c r="I35" s="108" t="str">
        <v>Constant</v>
      </c>
      <c r="J35" s="114">
        <f>Common_InputFunctions.Utility_LookupValueInTableNumber("N2O",Table_GasToMolecularConversionFactor[Gas],Table_GasToMolecularConversionFactor[Conversion factor combined])</f>
        <v>1.5714285714285714</v>
      </c>
      <c r="N35" s="114" t="str">
        <v>C_N2O</v>
      </c>
      <c r="O35" s="118" t="str">
        <v>factor to convert elemental mass of nitrous oxide to molecular mass</v>
      </c>
      <c r="P35" s="119"/>
      <c r="Q35" s="117"/>
      <c r="R35" s="114" t="str">
        <v>dimensionless</v>
      </c>
      <c r="S35" s="108" t="str">
        <v>Constant</v>
      </c>
      <c r="T35" s="114"/>
    </row>
    <row r="36" spans="4:20" ht="20.100000000000001" customHeight="1" x14ac:dyDescent="0.25">
      <c r="D36" s="114" t="str">
        <v>p</v>
      </c>
      <c r="E36" s="118" t="str">
        <v>Pasture type</v>
      </c>
      <c r="F36" s="119"/>
      <c r="G36" s="117"/>
      <c r="H36" s="114" t="str">
        <v/>
      </c>
      <c r="I36" s="109" t="str">
        <v>Input</v>
      </c>
      <c r="J36" s="114" t="str">
        <f>X_Cell_Pasture_PastureType</f>
        <v>Grass clover mixture</v>
      </c>
      <c r="N36" s="114" t="str">
        <v>p</v>
      </c>
      <c r="O36" s="118" t="str">
        <v>Pasture type</v>
      </c>
      <c r="P36" s="119"/>
      <c r="Q36" s="117"/>
      <c r="R36" s="114" t="str">
        <v/>
      </c>
      <c r="S36" s="109" t="str">
        <v>Input</v>
      </c>
      <c r="T36" s="114"/>
    </row>
    <row r="37" spans="4:20" ht="20.100000000000001" customHeight="1" x14ac:dyDescent="0.25">
      <c r="D37" s="114" t="str">
        <v>i</v>
      </c>
      <c r="E37" s="118" t="str">
        <v>Wet or dry climate zone</v>
      </c>
      <c r="F37" s="119"/>
      <c r="G37" s="117"/>
      <c r="H37" s="114" t="str">
        <v/>
      </c>
      <c r="I37" s="109" t="str">
        <v>Input</v>
      </c>
      <c r="J37" s="114" t="str">
        <f>X_Cell_Site_WetOrDryClimateZone</f>
        <v>Dry climate zone</v>
      </c>
      <c r="N37" s="114" t="str">
        <v>i</v>
      </c>
      <c r="O37" s="118" t="str">
        <v>Wet or dry climate zone</v>
      </c>
      <c r="P37" s="119"/>
      <c r="Q37" s="117"/>
      <c r="R37" s="114" t="str">
        <v/>
      </c>
      <c r="S37" s="109" t="str">
        <v>Input</v>
      </c>
      <c r="T37" s="114"/>
    </row>
    <row r="38" spans="4:20" ht="20.100000000000001" customHeight="1" x14ac:dyDescent="0.25"/>
    <row r="39" spans="4:20" ht="20.100000000000001" customHeight="1" x14ac:dyDescent="0.25"/>
    <row r="40" spans="4:20" ht="20.100000000000001" customHeight="1" x14ac:dyDescent="0.25">
      <c r="D40" s="91" t="s">
        <v>108</v>
      </c>
      <c r="E40" s="92" cm="1">
        <f t="array" ref="E40">AgResidue_Equations_PastureResidue.VEERG_6_2_1_1__1__NitrousOxideEmissionsFromPastureResidues(J33,J34,J35)</f>
        <v>5.8320428571428569E-7</v>
      </c>
      <c r="F40" s="93" t="str" cm="1">
        <f t="array" ref="F40">AgResidue_Equations_PastureResidue.VEERG_6_2_1_1__1__NitrousOxideEmissionsFromPastureResidues_Unit()</f>
        <v>t N2O</v>
      </c>
      <c r="N40" s="91" t="s">
        <v>108</v>
      </c>
      <c r="O40" s="92" cm="1">
        <f t="array" ref="O40">AgResidue_Equations_PastureResidue.VEERG_6_2_1_1__1__NitrousOxideEmissionsFromPastureResidues(T33,J34,J35)</f>
        <v>5.8320428571428569E-7</v>
      </c>
      <c r="P40" s="93" t="str" cm="1">
        <f t="array" ref="P40">AgResidue_Equations_PastureResidue.VEERG_6_2_1_1__1__NitrousOxideEmissionsFromPastureResidues_Unit()</f>
        <v>t N2O</v>
      </c>
    </row>
    <row r="41" spans="4:20" ht="20.100000000000001" customHeight="1" x14ac:dyDescent="0.25"/>
    <row r="42" spans="4:20" ht="20.100000000000001" customHeight="1" x14ac:dyDescent="0.25">
      <c r="D42" s="53" t="str" cm="1">
        <f t="array" ref="D42:E43">Common_Equations.Common_ConvertN2OToCO2e_Arguments()</f>
        <v>EN2O</v>
      </c>
      <c r="E42" s="54" t="str">
        <v>Nitrous oxide emissions (t N2O)</v>
      </c>
      <c r="F42" s="55"/>
      <c r="G42" s="53">
        <f>VEERG_6_2_1_1__1__NitrousOxideEmissionsFromPastureResidues_Result_Method1</f>
        <v>5.8320428571428569E-7</v>
      </c>
      <c r="N42" s="53" t="str" cm="1">
        <f t="array" ref="N42:O43">Common_Equations.Common_ConvertN2OToCO2e_Arguments()</f>
        <v>EN2O</v>
      </c>
      <c r="O42" s="54" t="str">
        <v>Nitrous oxide emissions (t N2O)</v>
      </c>
      <c r="P42" s="55"/>
      <c r="Q42" s="53">
        <f>VEERG_6_2_1_1__1__NitrousOxideEmissionsFromPastureResidues_Result_Method2</f>
        <v>5.8320428571428569E-7</v>
      </c>
    </row>
    <row r="43" spans="4:20" ht="20.100000000000001" customHeight="1" x14ac:dyDescent="0.25">
      <c r="D43" s="53" t="str">
        <v>GWPN2O</v>
      </c>
      <c r="E43" s="54" t="str">
        <v>Global warming potential for nitrous oxide (t CO2-e / t N2O)</v>
      </c>
      <c r="F43" s="55"/>
      <c r="G43" s="49">
        <f>Common_InputFunctions.Utility_LookupValueInTableNumber("N2O",Table_GWPData[Gas],Table_GWPData[CO2-e factor])</f>
        <v>265</v>
      </c>
      <c r="N43" s="53" t="str">
        <v>GWPN2O</v>
      </c>
      <c r="O43" s="54" t="str">
        <v>Global warming potential for nitrous oxide (t CO2-e / t N2O)</v>
      </c>
      <c r="P43" s="55"/>
      <c r="Q43" s="49">
        <f>Common_InputFunctions.Utility_LookupValueInTableNumber("N2O",Table_GWPData[Gas],Table_GWPData[CO2-e factor])</f>
        <v>265</v>
      </c>
    </row>
    <row r="44" spans="4:20" ht="20.100000000000001" customHeight="1" x14ac:dyDescent="0.25"/>
    <row r="45" spans="4:20" ht="20.100000000000001" customHeight="1" x14ac:dyDescent="0.25">
      <c r="D45" s="1" t="s">
        <v>183</v>
      </c>
      <c r="E45" s="1" cm="1">
        <f t="array" ref="E45">Common_Equations.Common_ConvertN2OToCO2e(G42,G43)</f>
        <v>1.545491357142857E-4</v>
      </c>
      <c r="F45" s="51" t="str" cm="1">
        <f t="array" ref="F45">Common_Equations.Common_ConvertN2OToCO2e_Unit()</f>
        <v>t CO2e</v>
      </c>
      <c r="N45" s="1" t="s">
        <v>183</v>
      </c>
      <c r="O45" s="1" cm="1">
        <f t="array" ref="O45">Common_Equations.Common_ConvertN2OToCO2e(Q42,Q43)</f>
        <v>1.545491357142857E-4</v>
      </c>
      <c r="P45" s="51" t="str" cm="1">
        <f t="array" ref="P45">Common_Equations.Common_ConvertN2OToCO2e_Unit()</f>
        <v>t CO2e</v>
      </c>
    </row>
    <row r="46" spans="4:20" ht="20.100000000000001" customHeight="1" x14ac:dyDescent="0.25"/>
    <row r="47" spans="4:20" ht="20.100000000000001" customHeight="1" x14ac:dyDescent="0.25"/>
    <row r="48" spans="4: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sheetPr>
    <tabColor rgb="FF008000"/>
  </sheetPr>
  <dimension ref="A1:T165"/>
  <sheetViews>
    <sheetView showGridLines="0" topLeftCell="A9" zoomScaleNormal="100" workbookViewId="0">
      <selection activeCell="H25" sqref="H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193</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2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f>'6.1.1.1-2 Crop residue N2O'!$E$24</f>
        <v>85008</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20401.919999999998</v>
      </c>
      <c r="N24" s="49"/>
      <c r="O24" s="49">
        <f>'6.1.1.1-2 Crop residue N2O'!$N$43</f>
        <v>85008</v>
      </c>
      <c r="P24" s="49"/>
      <c r="Q24" s="49"/>
      <c r="R24" s="49"/>
      <c r="S24" s="49" cm="1">
        <f t="array" ref="S24">AgResidue_Equations_Leaching.VEERG_6_3_1_1__2__MassOfNitrogenLostThroughLeachingAndRunoff(O24,H24,$J$15)</f>
        <v>20401.919999999998</v>
      </c>
    </row>
    <row r="25" spans="1:20" ht="20.100000000000001" customHeight="1" x14ac:dyDescent="0.25">
      <c r="A25" s="17" t="str">
        <f>HYPERLINK("#'Constants - Common'!A1", "Constants - Common")</f>
        <v>Constants - Common</v>
      </c>
      <c r="D25" s="49" t="s">
        <v>196</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f>I24</f>
        <v>20401.919999999998</v>
      </c>
      <c r="E45" s="49" cm="1">
        <f t="array" ref="E45">AgResidue_Equations_Leaching.VEERG_6_3_1_1__1__LeachingAndRunoffEmissionsCropAndPastureResidue(D45,$J$37,$J$38)</f>
        <v>0.35266175999999999</v>
      </c>
      <c r="F45" s="21"/>
      <c r="G45" s="21"/>
      <c r="H45" s="21"/>
      <c r="I45" s="21"/>
      <c r="J45" s="21"/>
      <c r="K45" s="21"/>
      <c r="N45" s="49">
        <f>S24</f>
        <v>20401.919999999998</v>
      </c>
      <c r="O45" s="49" cm="1">
        <f t="array" ref="O45">AgResidue_Equations_Leaching.VEERG_6_3_1_1__1__LeachingAndRunoffEmissionsCropAndPastureResidue(N45,$J$37,$J$38)</f>
        <v>0.35266175999999999</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0.35266206793186283</v>
      </c>
      <c r="F48" s="93" t="str">
        <f>$E$34</f>
        <v>t N2O</v>
      </c>
      <c r="G48" s="21"/>
      <c r="H48" s="21"/>
      <c r="I48" s="21"/>
      <c r="J48" s="21"/>
      <c r="K48" s="21"/>
      <c r="N48" s="138" t="s">
        <v>194</v>
      </c>
      <c r="O48" s="139">
        <f>SUM(O45:O46)</f>
        <v>0.35266206793186283</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VEERG_6_3_1_1__1__LeachingAndRunoffEmissionsCropAndPastureResidue_Result_Method1</f>
        <v>0.35266206793186283</v>
      </c>
      <c r="N50" s="53" t="str" cm="1">
        <f t="array" ref="N50:O51">Common_Equations.Common_ConvertN2OToCO2e_Arguments()</f>
        <v>EN2O</v>
      </c>
      <c r="O50" s="54" t="str">
        <v>Nitrous oxide emissions (t N2O)</v>
      </c>
      <c r="P50" s="94"/>
      <c r="Q50" s="49">
        <f>VEERG_6_3_1_1__1__LeachingAndRunoffEmissionsCropAndPastureResidue_Result_Method2</f>
        <v>0.35266206793186283</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93.455448001943651</v>
      </c>
      <c r="F53" s="95" t="str" cm="1">
        <f t="array" ref="F53">Common_Equations.Common_ConvertN2OToCO2e_Unit()</f>
        <v>t CO2e</v>
      </c>
      <c r="I53" s="21"/>
      <c r="N53" s="43" t="s">
        <v>78</v>
      </c>
      <c r="O53" s="43" cm="1">
        <f t="array" ref="O53">Common_Equations.Common_ConvertN2OToCO2e(Q50,Q51)</f>
        <v>93.455448001943651</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sheetPr>
    <tabColor rgb="FF008000"/>
  </sheetPr>
  <dimension ref="A1:T165"/>
  <sheetViews>
    <sheetView showGridLines="0" topLeftCell="A14" zoomScaleNormal="100" workbookViewId="0">
      <selection activeCell="H25" sqref="H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232</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27" t="str">
        <f>HYPERLINK("#'6.3.1.1-2 Leach runoff crop'!A1", "6.3.1.1-2 Leach runoff crop")</f>
        <v>6.3.1.1-2 Leach runoff crop</v>
      </c>
      <c r="C18" s="21"/>
      <c r="D18" s="114" t="str">
        <v>p</v>
      </c>
      <c r="E18" s="118" t="str">
        <v>Pasture residue type</v>
      </c>
      <c r="F18" s="119"/>
      <c r="G18" s="117"/>
      <c r="H18" s="114" t="str">
        <v/>
      </c>
      <c r="I18" s="109" t="str">
        <v>Input</v>
      </c>
      <c r="J18" s="114" t="s">
        <v>231</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f>'6.1.1.1-2 Crop residue N2O'!$E$24</f>
        <v>85008</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20401.919999999998</v>
      </c>
      <c r="N24" s="49"/>
      <c r="O24" s="49">
        <f>'6.1.1.1-2 Crop residue N2O'!$N$43</f>
        <v>85008</v>
      </c>
      <c r="P24" s="49"/>
      <c r="Q24" s="49"/>
      <c r="R24" s="49"/>
      <c r="S24" s="49" cm="1">
        <f t="array" ref="S24">AgResidue_Equations_Leaching.VEERG_6_3_1_1__2__MassOfNitrogenLostThroughLeachingAndRunoff(O24,H24,$J$15)</f>
        <v>20401.919999999998</v>
      </c>
    </row>
    <row r="25" spans="1:20" ht="20.100000000000001" customHeight="1" x14ac:dyDescent="0.25">
      <c r="A25" s="17" t="str">
        <f>HYPERLINK("#'Constants - Common'!A1", "Constants - Common")</f>
        <v>Constants - Common</v>
      </c>
      <c r="D25" s="49" t="s">
        <v>196</v>
      </c>
      <c r="E25" s="49" t="s">
        <v>231</v>
      </c>
      <c r="F25" s="49" t="s">
        <v>231</v>
      </c>
      <c r="G25" s="49" t="s">
        <v>231</v>
      </c>
      <c r="H25" s="49" t="s">
        <v>231</v>
      </c>
      <c r="I25" s="49" t="s">
        <v>231</v>
      </c>
      <c r="N25" s="49"/>
      <c r="O25" s="49" t="s">
        <v>231</v>
      </c>
      <c r="P25" s="49"/>
      <c r="Q25" s="49"/>
      <c r="R25" s="49"/>
      <c r="S25" s="49" t="s">
        <v>231</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
        <v>231</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f>I24</f>
        <v>20401.919999999998</v>
      </c>
      <c r="E45" s="49" cm="1">
        <f t="array" ref="E45">AgResidue_Equations_Leaching.VEERG_6_3_1_1__1__LeachingAndRunoffEmissionsCropAndPastureResidue(D45,$J$37,$J$38)</f>
        <v>0.35266175999999999</v>
      </c>
      <c r="F45" s="21"/>
      <c r="G45" s="21"/>
      <c r="H45" s="21"/>
      <c r="I45" s="21"/>
      <c r="J45" s="21"/>
      <c r="K45" s="21"/>
      <c r="N45" s="49">
        <f>S24</f>
        <v>20401.919999999998</v>
      </c>
      <c r="O45" s="49" cm="1">
        <f t="array" ref="O45">AgResidue_Equations_Leaching.VEERG_6_3_1_1__1__LeachingAndRunoffEmissionsCropAndPastureResidue(N45,$J$37,$J$38)</f>
        <v>0.35266175999999999</v>
      </c>
      <c r="P45" s="21"/>
      <c r="Q45" s="21"/>
    </row>
    <row r="46" spans="3:17" ht="20.100000000000001" customHeight="1" x14ac:dyDescent="0.25">
      <c r="C46" s="21"/>
      <c r="D46" s="49" t="str">
        <f>I25</f>
        <v>N/A</v>
      </c>
      <c r="E46" s="49" t="s">
        <v>231</v>
      </c>
      <c r="F46" s="21"/>
      <c r="G46" s="21"/>
      <c r="H46" s="21"/>
      <c r="I46" s="21"/>
      <c r="J46" s="21"/>
      <c r="K46" s="21"/>
      <c r="N46" s="49" t="str">
        <f>S25</f>
        <v>N/A</v>
      </c>
      <c r="O46" s="49" t="s">
        <v>231</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0.35266175999999999</v>
      </c>
      <c r="F48" s="93" t="str">
        <f>$E$34</f>
        <v>t N2O</v>
      </c>
      <c r="G48" s="21"/>
      <c r="H48" s="21"/>
      <c r="I48" s="21"/>
      <c r="J48" s="21"/>
      <c r="K48" s="21"/>
      <c r="N48" s="138" t="s">
        <v>194</v>
      </c>
      <c r="O48" s="139">
        <f>SUM(O45:O46)</f>
        <v>0.35266175999999999</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VEERG_6_3_1_1__1__LeachingAndRunoffEmissionsCropAndPastureResidue_CropOnly_Result_Method1</f>
        <v>0.35266175999999999</v>
      </c>
      <c r="N50" s="53" t="str" cm="1">
        <f t="array" ref="N50:O51">Common_Equations.Common_ConvertN2OToCO2e_Arguments()</f>
        <v>EN2O</v>
      </c>
      <c r="O50" s="54" t="str">
        <v>Nitrous oxide emissions (t N2O)</v>
      </c>
      <c r="P50" s="94"/>
      <c r="Q50" s="49">
        <f>VEERG_6_3_1_1__1__LeachingAndRunoffEmissionsCropAndPastureResidue_CropOnly_Result_Method2</f>
        <v>0.35266175999999999</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93.455366400000003</v>
      </c>
      <c r="F53" s="95" t="str" cm="1">
        <f t="array" ref="F53">Common_Equations.Common_ConvertN2OToCO2e_Unit()</f>
        <v>t CO2e</v>
      </c>
      <c r="I53" s="21"/>
      <c r="N53" s="43" t="s">
        <v>78</v>
      </c>
      <c r="O53" s="43" cm="1">
        <f t="array" ref="O53">Common_Equations.Common_ConvertN2OToCO2e(Q50,Q51)</f>
        <v>93.455366400000003</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sheetPr>
    <tabColor rgb="FF008000"/>
  </sheetPr>
  <dimension ref="A1:T165"/>
  <sheetViews>
    <sheetView showGridLines="0" zoomScaleNormal="100" workbookViewId="0">
      <selection activeCell="A9" sqref="A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230</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Common_InputFunctions.Utility_DisplayFunctionName(I25)</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
        <v>231</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2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t="s">
        <v>231</v>
      </c>
      <c r="F24" s="49" t="s">
        <v>231</v>
      </c>
      <c r="G24" s="49" t="s">
        <v>231</v>
      </c>
      <c r="H24" s="49" t="s">
        <v>231</v>
      </c>
      <c r="I24" s="49" t="s">
        <v>231</v>
      </c>
      <c r="N24" s="49"/>
      <c r="O24" s="49" t="s">
        <v>231</v>
      </c>
      <c r="P24" s="49"/>
      <c r="Q24" s="49"/>
      <c r="R24" s="49"/>
      <c r="S24" s="49" t="s">
        <v>231</v>
      </c>
    </row>
    <row r="25" spans="1:20" ht="20.100000000000001" customHeight="1" x14ac:dyDescent="0.25">
      <c r="A25" s="17" t="str">
        <f>HYPERLINK("#'Constants - Common'!A1", "Constants - Common")</f>
        <v>Constants - Common</v>
      </c>
      <c r="D25" s="49" t="s">
        <v>196</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Common_InputFunctions.Utility_DisplayFunctionName(E46)</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
        <v>231</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t="str">
        <f>I24</f>
        <v>N/A</v>
      </c>
      <c r="E45" s="49" t="s">
        <v>231</v>
      </c>
      <c r="F45" s="21"/>
      <c r="G45" s="21"/>
      <c r="H45" s="21"/>
      <c r="I45" s="21"/>
      <c r="J45" s="21"/>
      <c r="K45" s="21"/>
      <c r="N45" s="49" t="str">
        <f>S24</f>
        <v>N/A</v>
      </c>
      <c r="O45" s="49" t="s">
        <v>231</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3.0793186285714277E-7</v>
      </c>
      <c r="F48" s="93" t="str">
        <f>$E$34</f>
        <v>t N2O</v>
      </c>
      <c r="G48" s="21"/>
      <c r="H48" s="21"/>
      <c r="I48" s="21"/>
      <c r="J48" s="21"/>
      <c r="K48" s="21"/>
      <c r="N48" s="138" t="s">
        <v>194</v>
      </c>
      <c r="O48" s="139">
        <f>SUM(O45:O46)</f>
        <v>3.0793186285714277E-7</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VEERG_6_3_1_1__1__LeachingAndRunoffEmissionsCropAndPastureResidue_PastureOnly_Result_Method1</f>
        <v>3.0793186285714277E-7</v>
      </c>
      <c r="N50" s="53" t="str" cm="1">
        <f t="array" ref="N50:O51">Common_Equations.Common_ConvertN2OToCO2e_Arguments()</f>
        <v>EN2O</v>
      </c>
      <c r="O50" s="54" t="str">
        <v>Nitrous oxide emissions (t N2O)</v>
      </c>
      <c r="P50" s="94"/>
      <c r="Q50" s="49">
        <f>VEERG_6_3_1_1__1__LeachingAndRunoffEmissionsCropAndPastureResidue_PastureOnly_Result_Method2</f>
        <v>3.0793186285714277E-7</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8.1601943657142831E-5</v>
      </c>
      <c r="F53" s="95" t="str" cm="1">
        <f t="array" ref="F53">Common_Equations.Common_ConvertN2OToCO2e_Unit()</f>
        <v>t CO2e</v>
      </c>
      <c r="I53" s="21"/>
      <c r="N53" s="43" t="s">
        <v>78</v>
      </c>
      <c r="O53" s="43" cm="1">
        <f t="array" ref="O53">Common_Equations.Common_ConvertN2OToCO2e(Q50,Q51)</f>
        <v>8.1601943657142831E-5</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sheetPr>
    <tabColor rgb="FF008000"/>
  </sheetPr>
  <dimension ref="A1:S165"/>
  <sheetViews>
    <sheetView showGridLines="0" topLeftCell="A36" zoomScaleNormal="100" workbookViewId="0">
      <selection activeCell="F63" sqref="F6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0" t="e" vm="1">
        <v>#VALUE!</v>
      </c>
      <c r="C1" s="8" t="s">
        <v>207</v>
      </c>
    </row>
    <row r="2" spans="1:19" s="9" customFormat="1" ht="20.100000000000001" customHeight="1" x14ac:dyDescent="0.25">
      <c r="A2"/>
    </row>
    <row r="3" spans="1:19" ht="20.100000000000001" customHeight="1" x14ac:dyDescent="0.25">
      <c r="A3" s="17" t="str">
        <f>HYPERLINK("#'Home'!A1", "Home")</f>
        <v>Home</v>
      </c>
      <c r="C3" s="4"/>
      <c r="D3" s="4" t="s">
        <v>79</v>
      </c>
      <c r="E3" s="4"/>
      <c r="F3" s="4"/>
      <c r="G3" s="4"/>
      <c r="H3" s="4"/>
      <c r="I3" s="4"/>
      <c r="J3" s="4"/>
      <c r="L3" s="4"/>
      <c r="M3" s="4" t="s">
        <v>80</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D6" s="5" t="str" cm="1">
        <f t="array" ref="D6">AgResidue_Equations_FieldBurning.VEERG_6_4_1_1__3__MassOfCropResidueBurnt_Source()</f>
        <v>VEERG 2026: 6.4.1.1, Equation (3)</v>
      </c>
    </row>
    <row r="7" spans="1:19" ht="20.100000000000001" customHeight="1" x14ac:dyDescent="0.25">
      <c r="D7" s="13" t="s">
        <v>21</v>
      </c>
      <c r="E7" s="13" t="str" cm="1">
        <f t="array" aca="1" ref="E7" ca="1">Common_InputFunctions.Utility_DisplayFunctionName(E21)</f>
        <v>=AgResidue_Equations_FieldBurning.VEERG_6_4_1_1__3__MassOfCropResidueBurnt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Crop'!A1", "Crop")</f>
        <v>Crop</v>
      </c>
      <c r="D10" s="50" t="s">
        <v>24</v>
      </c>
      <c r="E10" s="1" t="str" cm="1">
        <f t="array" ref="E10">AgResidue_Equations_FieldBurning.VEERG_6_4_1_1__3__MassOfCropResidueBurnt_Variable()</f>
        <v>M_burnc</v>
      </c>
    </row>
    <row r="11" spans="1:19" ht="20.100000000000001" customHeight="1" x14ac:dyDescent="0.25">
      <c r="A11" s="17" t="str">
        <f>HYPERLINK("#'Input - Pasture'!A1", "Pasture")</f>
        <v>Pasture</v>
      </c>
      <c r="D11" s="50" t="s">
        <v>15</v>
      </c>
      <c r="E11" s="51" t="str" cm="1">
        <f t="array" ref="E11">AgResidue_Equations_FieldBurning.VEERG_6_4_1_1__3__MassOfCropResidueBurnt_Unit()</f>
        <v>kg</v>
      </c>
    </row>
    <row r="12" spans="1:19" ht="20.100000000000001" customHeight="1" x14ac:dyDescent="0.25"/>
    <row r="13" spans="1:19" ht="20.100000000000001" customHeight="1" x14ac:dyDescent="0.25">
      <c r="D13" s="114" t="str" cm="1">
        <f t="array" ref="D13:E19">_xlfn.CHOOSECOLS(AgResidue_Equations_FieldBurning.VEERG_6_4_1_1__3__MassOfCropResidueBurnt_Arguments(), 1, 2)</f>
        <v>P_c</v>
      </c>
      <c r="E13" s="118" t="str">
        <v>annual production of crop type c</v>
      </c>
      <c r="F13" s="117"/>
      <c r="G13" s="114" t="str" cm="1">
        <f t="array" ref="G13:H19">_xlfn.CHOOSECOLS(AgResidue_Equations_FieldBurning.VEERG_6_4_1_1__3__MassOfCropResidueBurnt_Arguments(), 3,4)</f>
        <v>kg</v>
      </c>
      <c r="H13" s="109" t="str">
        <v>Input</v>
      </c>
      <c r="I13" s="114">
        <f>X_Cell_Crop_TotalProductionOfCrop*10^3</f>
        <v>10000000</v>
      </c>
    </row>
    <row r="14" spans="1:19" ht="20.100000000000001" customHeight="1" x14ac:dyDescent="0.25">
      <c r="A14" s="18" t="s">
        <v>68</v>
      </c>
      <c r="D14" s="114" t="str">
        <v>R_AGc</v>
      </c>
      <c r="E14" s="118" t="str">
        <v>residue to crop ratio of crop type c</v>
      </c>
      <c r="F14" s="117"/>
      <c r="G14" s="114" t="str">
        <v>kg crop residue/kg crop</v>
      </c>
      <c r="H14" s="108" t="str">
        <v>Constant</v>
      </c>
      <c r="I14" s="114">
        <f>'Input - Crop'!$E$18</f>
        <v>1.5</v>
      </c>
    </row>
    <row r="15" spans="1:19" ht="20.100000000000001" customHeight="1" x14ac:dyDescent="0.25">
      <c r="A15" s="17" t="str">
        <f>HYPERLINK("#'6.1.1.1-2 Crop residue N2O'!A1", "6.1.1.1-2 Crop residue N2O")</f>
        <v>6.1.1.1-2 Crop residue N2O</v>
      </c>
      <c r="D15" s="114" t="str">
        <v>S_c</v>
      </c>
      <c r="E15" s="118" t="str">
        <v>fraction of residues of crop type c remaining at burning</v>
      </c>
      <c r="F15" s="117"/>
      <c r="G15" s="114" t="str">
        <v>fraction</v>
      </c>
      <c r="H15" s="108" t="str">
        <v>Constant</v>
      </c>
      <c r="I15" s="114"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7" t="str">
        <f>HYPERLINK("#'6.2.1.1-2 Pasture residue N2O'!A1", "6.2.1.1-2 Pasture residue N2O")</f>
        <v>6.2.1.1-2 Pasture residue N2O</v>
      </c>
      <c r="D16" s="114" t="str">
        <v>DM_c</v>
      </c>
      <c r="E16" s="118" t="str">
        <v>dry matter content of crop type c</v>
      </c>
      <c r="F16" s="117"/>
      <c r="G16" s="114" t="str">
        <v>kg dry weight/kg crop residue</v>
      </c>
      <c r="H16" s="108" t="str">
        <v>Constant</v>
      </c>
      <c r="I16" s="114" cm="1">
        <f t="array" ref="I16">Common_InputFunctions.Utility_LookupValueInTableNumber($I$19,Table_SourceData_CropAttributes[Crop type],Table_SourceData_CropAttributes[Dry matter content])</f>
        <v>0.88</v>
      </c>
    </row>
    <row r="17" spans="1:10" ht="20.100000000000001" customHeight="1" x14ac:dyDescent="0.25">
      <c r="A17" s="17" t="str">
        <f>HYPERLINK("#'6.3.1.1-2 Leaching and runoff'!A1", "6.3.1.1-2 Leaching and runoff")</f>
        <v>6.3.1.1-2 Leaching and runoff</v>
      </c>
      <c r="D17" s="114" t="str">
        <v>Z_c</v>
      </c>
      <c r="E17" s="118" t="str">
        <v>burning efficiency (ratio of fuel burnt to fuel load) of crop type c</v>
      </c>
      <c r="F17" s="117"/>
      <c r="G17" s="114" t="str">
        <v/>
      </c>
      <c r="H17" s="108" t="str">
        <v>Constant</v>
      </c>
      <c r="I17" s="114" cm="1">
        <f t="array" ref="I17">Common_InputFunctions.Utility_LookupValueInTableNumber($I$19,Table_SourceData_CropAttributes[Crop type],Table_SourceData_CropAttributes[Fraction burnt])</f>
        <v>0.9</v>
      </c>
    </row>
    <row r="18" spans="1:10" ht="20.100000000000001" customHeight="1" x14ac:dyDescent="0.25">
      <c r="A18" s="17" t="str">
        <f>HYPERLINK("#'6.3.1.1-2 Leach runoff crop'!A1", "6.3.1.1-2 Leach runoff crop")</f>
        <v>6.3.1.1-2 Leach runoff crop</v>
      </c>
      <c r="D18" s="114" t="str">
        <v>F_c</v>
      </c>
      <c r="E18" s="118" t="str">
        <v>fraction of the annual production of crop type c that is burnt</v>
      </c>
      <c r="F18" s="117"/>
      <c r="G18" s="114" t="str">
        <v>fraction</v>
      </c>
      <c r="H18" s="108" t="str">
        <v>Constant</v>
      </c>
      <c r="I18" s="114">
        <f>X_Cell_Crop_PercentResidueBurned</f>
        <v>0.3</v>
      </c>
    </row>
    <row r="19" spans="1:10" ht="20.100000000000001" customHeight="1" x14ac:dyDescent="0.25">
      <c r="A19" s="17" t="str">
        <f>HYPERLINK("#'6.3.1.1-2 Leach runoff pasture'!A1", "6.3.1.1-2 Leach runoff pasture")</f>
        <v>6.3.1.1-2 Leach runoff pasture</v>
      </c>
      <c r="D19" s="114" t="str">
        <v>c</v>
      </c>
      <c r="E19" s="118" t="str">
        <v>Crop type</v>
      </c>
      <c r="F19" s="117"/>
      <c r="G19" s="114" t="str">
        <v/>
      </c>
      <c r="H19" s="109" t="str">
        <v>Input</v>
      </c>
      <c r="I19" s="114" t="str">
        <f>X_Cell_Crop_CropType</f>
        <v>Wheat</v>
      </c>
    </row>
    <row r="20" spans="1:10" ht="20.100000000000001" customHeight="1" x14ac:dyDescent="0.25">
      <c r="A20" s="127" t="str">
        <f>HYPERLINK("#'6.4.1.1-2 Residue burning'!A1", "6.4.1.1-2 Residue burning")</f>
        <v>6.4.1.1-2 Residue burning</v>
      </c>
    </row>
    <row r="21" spans="1:10" ht="20.100000000000001" customHeight="1" x14ac:dyDescent="0.25">
      <c r="D21" s="115" t="s">
        <v>208</v>
      </c>
      <c r="E21" s="43" cm="1">
        <f t="array" ref="E21">AgResidue_Equations_FieldBurning.VEERG_6_4_1_1__3__MassOfCropResidueBurnt(I13,I14,I15,I16,I17,I18)</f>
        <v>1782000</v>
      </c>
      <c r="F21" s="95" t="str" cm="1">
        <f t="array" ref="F21">AgResidue_Equations_FieldBurning.VEERG_6_4_1_1__3__MassOfCropResidueBurnt_Unit()</f>
        <v>kg</v>
      </c>
    </row>
    <row r="22" spans="1:10" ht="20.100000000000001" customHeight="1" x14ac:dyDescent="0.25"/>
    <row r="23" spans="1:10" ht="20.100000000000001" customHeight="1" x14ac:dyDescent="0.25">
      <c r="A23" s="141" t="s">
        <v>1</v>
      </c>
    </row>
    <row r="24" spans="1:10" ht="20.100000000000001" customHeight="1" x14ac:dyDescent="0.25">
      <c r="A24" s="17" t="str">
        <f>HYPERLINK("#'Constants - Ag Residue'!A1", "Constants - Ag Residue")</f>
        <v>Constants - Ag Residue</v>
      </c>
      <c r="C24" s="43"/>
      <c r="D24" s="43"/>
      <c r="E24" s="43"/>
      <c r="F24" s="43"/>
      <c r="G24" s="43"/>
      <c r="H24" s="43"/>
      <c r="I24" s="43"/>
      <c r="J24" s="43"/>
    </row>
    <row r="25" spans="1:10" ht="20.100000000000001" customHeight="1" x14ac:dyDescent="0.25">
      <c r="A25" s="17" t="str">
        <f>HYPERLINK("#'Constants - Common'!A1", "Constants - Common")</f>
        <v>Constants - Common</v>
      </c>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21</v>
      </c>
      <c r="E27" s="13"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0" t="s">
        <v>24</v>
      </c>
      <c r="E30" s="1" t="str" cm="1">
        <f t="array" ref="E30">AgResidue_Equations_FieldBurning.VEERG_6_4_1_1__2__NitrousOxideEmissionsFromBurningOfCropResidues_Variable()</f>
        <v>EN2O</v>
      </c>
    </row>
    <row r="31" spans="1:10" ht="20.100000000000001" customHeight="1" x14ac:dyDescent="0.25">
      <c r="D31" s="50" t="s">
        <v>15</v>
      </c>
      <c r="E31" s="51" t="str" cm="1">
        <f t="array" ref="E31">AgResidue_Equations_FieldBurning.VEERG_6_4_1_1__2__NitrousOxideEmissionsFromBurningOfCropResidues_Unit()</f>
        <v>t N2O</v>
      </c>
    </row>
    <row r="32" spans="1:10" ht="20.100000000000001" customHeight="1" x14ac:dyDescent="0.25"/>
    <row r="33" spans="3:10" ht="20.100000000000001" customHeight="1" x14ac:dyDescent="0.25">
      <c r="D33" s="114" t="str" cm="1">
        <f t="array" ref="D33:E37">_xlfn.CHOOSECOLS(AgResidue_Equations_FieldBurning.VEERG_6_4_1_1__2__NitrousOxideEmissionsFromBurningOfCropResidues_Arguments(), 1, 2)</f>
        <v>M_burnc</v>
      </c>
      <c r="E33" s="118" t="str">
        <v>mass of residue burnt for crop type c</v>
      </c>
      <c r="F33" s="117"/>
      <c r="G33" s="114" t="str" cm="1">
        <f t="array" ref="G33:H37">_xlfn.CHOOSECOLS(AgResidue_Equations_FieldBurning.VEERG_6_4_1_1__2__NitrousOxideEmissionsFromBurningOfCropResidues_Arguments(), 3,4)</f>
        <v>kg</v>
      </c>
      <c r="H33" s="108" t="str">
        <v>Calculated from 6.4.1.1 (3)</v>
      </c>
      <c r="I33" s="114">
        <f>$E$21</f>
        <v>1782000</v>
      </c>
    </row>
    <row r="34" spans="3:10" ht="20.100000000000001" customHeight="1" x14ac:dyDescent="0.25">
      <c r="D34" s="114" t="str">
        <v>NC_AGc</v>
      </c>
      <c r="E34" s="118" t="str">
        <v>nitrogen content in the above-ground residue of crop type c</v>
      </c>
      <c r="F34" s="117"/>
      <c r="G34" s="114" t="str">
        <v>kg N/kg DM</v>
      </c>
      <c r="H34" s="108" t="str">
        <v>Constant</v>
      </c>
      <c r="I34" s="114" cm="1">
        <f t="array" ref="I34">Common_InputFunctions.Utility_LookupValueInTableNumber($I$37,Table_SourceData_CropAttributes[Crop type],Table_SourceData_CropAttributes[N content above-ground])</f>
        <v>6.0000000000000001E-3</v>
      </c>
    </row>
    <row r="35" spans="3:10" ht="20.100000000000001" customHeight="1" x14ac:dyDescent="0.25">
      <c r="D35" s="114" t="str">
        <v>EF_N2O</v>
      </c>
      <c r="E35" s="118" t="str">
        <v>emission factor for nitrous oxide from burning of crop residues</v>
      </c>
      <c r="F35" s="117"/>
      <c r="G35" s="114" t="str">
        <v>kg N2O/kg N2O burnt</v>
      </c>
      <c r="H35" s="108" t="str">
        <v>Constant</v>
      </c>
      <c r="I35" s="114" cm="1">
        <f t="array" ref="I35">Common_InputFunctions.Utility_LookupValueInTableNumber("N2O", Table_SourceData_BurningResidueEFs[Gas species],Table_SourceData_BurningResidueEFs[Emission factor EFg (Gg element in species/ Gg element in fuel burnt)])</f>
        <v>7.6E-3</v>
      </c>
    </row>
    <row r="36" spans="3:10" ht="20.100000000000001" customHeight="1" x14ac:dyDescent="0.25">
      <c r="D36" s="114" t="str">
        <v>C_N2O</v>
      </c>
      <c r="E36" s="118" t="str">
        <v>factor to convert elemental mass of nitrous oxide to molecular mass</v>
      </c>
      <c r="F36" s="117"/>
      <c r="G36" s="114" t="str">
        <v>dimensionless</v>
      </c>
      <c r="H36" s="108" t="str">
        <v>Constant</v>
      </c>
      <c r="I36" s="114">
        <f>Common_InputFunctions.Utility_LookupValueInTableNumber("N2O",Table_GasToMolecularConversionFactor[Gas],Table_GasToMolecularConversionFactor[Conversion factor combined])</f>
        <v>1.5714285714285714</v>
      </c>
    </row>
    <row r="37" spans="3:10" ht="20.100000000000001" customHeight="1" x14ac:dyDescent="0.25">
      <c r="D37" s="114" t="str">
        <v>c</v>
      </c>
      <c r="E37" s="118" t="str">
        <v>Crop type</v>
      </c>
      <c r="F37" s="117"/>
      <c r="G37" s="114" t="str">
        <v/>
      </c>
      <c r="H37" s="109" t="str">
        <v>Input</v>
      </c>
      <c r="I37" s="114" t="str">
        <f>X_Cell_Crop_CropType</f>
        <v>Wheat</v>
      </c>
    </row>
    <row r="38" spans="3:10" ht="20.100000000000001" customHeight="1" x14ac:dyDescent="0.25"/>
    <row r="39" spans="3:10" ht="20.100000000000001" customHeight="1" x14ac:dyDescent="0.25">
      <c r="D39" s="91" t="s">
        <v>108</v>
      </c>
      <c r="E39" s="92" cm="1">
        <f t="array" ref="E39">AgResidue_Equations_FieldBurning.VEERG_6_4_1_1__2__NitrousOxideEmissionsFromBurningOfCropResidues(I33,I34,I35,I36)</f>
        <v>0.12769302857142856</v>
      </c>
      <c r="F39" s="93" t="str" cm="1">
        <f t="array" ref="F39">AgResidue_Equations_FieldBurning.VEERG_6_4_1_1__2__NitrousOxideEmissionsFromBurningOfCropResidues_Unit()</f>
        <v>t N2O</v>
      </c>
    </row>
    <row r="40" spans="3:10" ht="20.100000000000001" customHeight="1" x14ac:dyDescent="0.25"/>
    <row r="41" spans="3:10" ht="20.100000000000001" customHeight="1" x14ac:dyDescent="0.25">
      <c r="D41" s="53" t="str" cm="1">
        <f t="array" ref="D41:E42">Common_Equations.Common_ConvertN2OToCO2e_Arguments()</f>
        <v>EN2O</v>
      </c>
      <c r="E41" s="54" t="str">
        <v>Nitrous oxide emissions (t N2O)</v>
      </c>
      <c r="F41" s="94"/>
      <c r="G41" s="136"/>
      <c r="H41" s="49">
        <f>VEERG_6_4_1_1__2__NitrousOxideEmissionsFromBurningOfCropResidues_Result_Method1</f>
        <v>0.12769302857142856</v>
      </c>
    </row>
    <row r="42" spans="3:10" ht="20.100000000000001" customHeight="1" x14ac:dyDescent="0.25">
      <c r="D42" s="53" t="str">
        <v>GWPN2O</v>
      </c>
      <c r="E42" s="54" t="str">
        <v>Global warming potential for nitrous oxide (t CO2-e / t N2O)</v>
      </c>
      <c r="F42" s="94"/>
      <c r="G42" s="136"/>
      <c r="H42" s="49">
        <f>Common_InputFunctions.Utility_LookupValueInTableNumber("N2O",Table_GWPData[Gas],Table_GWPData[CO2-e factor])</f>
        <v>265</v>
      </c>
    </row>
    <row r="43" spans="3:10" ht="20.100000000000001" customHeight="1" x14ac:dyDescent="0.25">
      <c r="H43" s="21"/>
    </row>
    <row r="44" spans="3:10" ht="20.100000000000001" customHeight="1" x14ac:dyDescent="0.25">
      <c r="D44" s="43" t="s">
        <v>78</v>
      </c>
      <c r="E44" s="43" cm="1">
        <f t="array" ref="E44">Common_Equations.Common_ConvertN2OToCO2e(H41,H42)</f>
        <v>33.838652571428568</v>
      </c>
      <c r="F44" s="95" t="str" cm="1">
        <f t="array" ref="F44">Common_Equations.Common_ConvertN2OToCO2e_Unit()</f>
        <v>t CO2e</v>
      </c>
      <c r="H44" s="21"/>
    </row>
    <row r="45" spans="3:10" ht="20.100000000000001" customHeight="1" x14ac:dyDescent="0.25"/>
    <row r="46" spans="3:10" ht="20.100000000000001" customHeight="1" x14ac:dyDescent="0.25"/>
    <row r="47" spans="3:10" ht="20.100000000000001" customHeight="1" x14ac:dyDescent="0.25">
      <c r="C47" s="43"/>
      <c r="D47" s="43"/>
      <c r="E47" s="43"/>
      <c r="F47" s="43"/>
      <c r="G47" s="43"/>
      <c r="H47" s="43"/>
      <c r="I47" s="43"/>
      <c r="J47" s="43"/>
    </row>
    <row r="48" spans="3: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21</v>
      </c>
      <c r="E50" s="13" t="str">
        <f ca="1">Common_InputFunctions.Utility_DisplayFunctionName(VEERG_6_4_1_1__1__MethaneEmissionsFromBurningOfCropResidues_Result_Method1)</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0" t="s">
        <v>24</v>
      </c>
      <c r="E53" s="1" t="str" cm="1">
        <f t="array" ref="E53">AgResidue_Equations_FieldBurning.VEERG_6_4_1_1__1__MethaneEmissionsFromBurningOfCropResidues_Variable()</f>
        <v>ECH4</v>
      </c>
      <c r="F53" s="5"/>
    </row>
    <row r="54" spans="4:9" ht="20.100000000000001" customHeight="1" x14ac:dyDescent="0.25">
      <c r="D54" s="50" t="s">
        <v>15</v>
      </c>
      <c r="E54" s="51"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4" t="str" cm="1">
        <f t="array" ref="D56:E60">_xlfn.CHOOSECOLS(AgResidue_Equations_FieldBurning.VEERG_6_4_1_1__1__MethaneEmissionsFromBurningOfCropResidues_Arguments(), 1,2)</f>
        <v>M_burnc</v>
      </c>
      <c r="E56" s="118" t="str">
        <v>mass of residue burnt for crop type c</v>
      </c>
      <c r="F56" s="117"/>
      <c r="G56" s="114" t="str" cm="1">
        <f t="array" ref="G56:H60">_xlfn.CHOOSECOLS(AgResidue_Equations_FieldBurning.VEERG_6_4_1_1__1__MethaneEmissionsFromBurningOfCropResidues_Arguments(), 3,4)</f>
        <v>kg</v>
      </c>
      <c r="H56" s="108" t="str">
        <v>Calculated from 6.4.1.1 (3)</v>
      </c>
      <c r="I56" s="114">
        <f>$E$21</f>
        <v>1782000</v>
      </c>
    </row>
    <row r="57" spans="4:9" ht="20.100000000000001" customHeight="1" x14ac:dyDescent="0.25">
      <c r="D57" s="114" t="str">
        <v>CC_c</v>
      </c>
      <c r="E57" s="118" t="str">
        <v>carbon mass fraction in the residues of crop type c</v>
      </c>
      <c r="F57" s="117"/>
      <c r="G57" s="114" t="str">
        <v>fraction</v>
      </c>
      <c r="H57" s="108" t="str">
        <v>Constant</v>
      </c>
      <c r="I57" s="114" cm="1">
        <f t="array" ref="I57">Common_InputFunctions.Utility_LookupValueInTableNumber($I$60,Table_SourceData_CropAttributes[Crop type],Table_SourceData_CropAttributes[Carbon fraction in dry matter])</f>
        <v>0.4</v>
      </c>
    </row>
    <row r="58" spans="4:9" ht="20.100000000000001" customHeight="1" x14ac:dyDescent="0.25">
      <c r="D58" s="114" t="str">
        <v>EF_CH4</v>
      </c>
      <c r="E58" s="118" t="str">
        <v>emission factor for methane from burning of crop residues</v>
      </c>
      <c r="F58" s="117"/>
      <c r="G58" s="114" t="str">
        <v>kg CH4 / kg CH4 burnt</v>
      </c>
      <c r="H58" s="108" t="str">
        <v>Constant</v>
      </c>
      <c r="I58" s="114"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4" t="str">
        <v>C_CH4</v>
      </c>
      <c r="E59" s="118" t="str">
        <v>factor to convert elemental mass of methane to molecular mass</v>
      </c>
      <c r="F59" s="117"/>
      <c r="G59" s="114" t="str">
        <v>dimensionless</v>
      </c>
      <c r="H59" s="108" t="str">
        <v>Constant</v>
      </c>
      <c r="I59" s="114">
        <f>Common_InputFunctions.Utility_LookupValueInTableNumber("CH4",Table_GasToMolecularConversionFactor[Gas],Table_GasToMolecularConversionFactor[Conversion factor combined])</f>
        <v>1.3333333333333333</v>
      </c>
    </row>
    <row r="60" spans="4:9" ht="20.100000000000001" customHeight="1" x14ac:dyDescent="0.25">
      <c r="D60" s="114" t="str">
        <v>c</v>
      </c>
      <c r="E60" s="118" t="str">
        <v>Crop type</v>
      </c>
      <c r="F60" s="117"/>
      <c r="G60" s="114" t="str">
        <v/>
      </c>
      <c r="H60" s="109" t="str">
        <v>Input</v>
      </c>
      <c r="I60" s="114" t="str">
        <f>X_Cell_Crop_CropType</f>
        <v>Wheat</v>
      </c>
    </row>
    <row r="61" spans="4:9" ht="20.100000000000001" customHeight="1" x14ac:dyDescent="0.25"/>
    <row r="62" spans="4:9" ht="20.100000000000001" customHeight="1" x14ac:dyDescent="0.25">
      <c r="D62" s="91" t="s">
        <v>233</v>
      </c>
      <c r="E62" s="92" cm="1">
        <f t="array" ref="E62">AgResidue_Equations_FieldBurning.VEERG_6_4_1_1__1__MethaneEmissionsFromBurningOfCropResidues(I56,I57,I58,I59)</f>
        <v>3.3264</v>
      </c>
      <c r="F62" s="93" t="str">
        <f>E54</f>
        <v>t CH4</v>
      </c>
    </row>
    <row r="63" spans="4:9" ht="20.100000000000001" customHeight="1" x14ac:dyDescent="0.25"/>
    <row r="64" spans="4:9" ht="20.100000000000001" customHeight="1" x14ac:dyDescent="0.25">
      <c r="D64" s="53" t="str" cm="1">
        <f t="array" ref="D64:E65">Common_Equations.Common_ConvertCH4ToCO2e_Arguments()</f>
        <v>ECH4</v>
      </c>
      <c r="E64" s="54" t="str">
        <v>Methane emissions (t CH4)</v>
      </c>
      <c r="F64" s="94"/>
      <c r="G64" s="136"/>
      <c r="H64" s="49">
        <f>VEERG_6_4_1_1__1__MethaneEmissionsFromBurningOfCropResidues_Result_Method1</f>
        <v>3.3264</v>
      </c>
    </row>
    <row r="65" spans="4:8" ht="20.100000000000001" customHeight="1" x14ac:dyDescent="0.25">
      <c r="D65" s="53" t="str">
        <v>GWPCH4</v>
      </c>
      <c r="E65" s="54" t="str">
        <v>Global warming potential for methane (t CO2-e / t CH4)</v>
      </c>
      <c r="F65" s="94"/>
      <c r="G65" s="136"/>
      <c r="H65" s="49">
        <f>Common_InputFunctions.Utility_LookupValueInTableNumber("CH4",Table_GWPData[Gas],Table_GWPData[CO2-e factor])</f>
        <v>28</v>
      </c>
    </row>
    <row r="66" spans="4:8" ht="20.100000000000001" customHeight="1" x14ac:dyDescent="0.25">
      <c r="H66" s="21"/>
    </row>
    <row r="67" spans="4:8" ht="20.100000000000001" customHeight="1" x14ac:dyDescent="0.25">
      <c r="D67" s="43" t="s">
        <v>78</v>
      </c>
      <c r="E67" s="43" cm="1">
        <f t="array" ref="E67">Common_Equations.Common_ConvertCH4ToCO2e(H64,H65)</f>
        <v>93.139200000000002</v>
      </c>
      <c r="F67" s="95" t="str" cm="1">
        <f t="array" ref="F67">Common_Equations.Common_ConvertCH4ToCO2e_Unit()</f>
        <v>t CO2e</v>
      </c>
      <c r="H67" s="21"/>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235"/>
  <sheetViews>
    <sheetView showGridLines="0" topLeftCell="B1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154</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row r="7" spans="1:35" ht="20.100000000000001" customHeight="1" x14ac:dyDescent="0.25">
      <c r="D7" s="132" t="s">
        <v>165</v>
      </c>
      <c r="E7" s="132" t="s">
        <v>166</v>
      </c>
      <c r="F7" s="132" t="s">
        <v>167</v>
      </c>
      <c r="G7" s="132" t="s">
        <v>168</v>
      </c>
      <c r="H7" s="132" t="s">
        <v>169</v>
      </c>
      <c r="I7" s="132" t="s">
        <v>223</v>
      </c>
      <c r="J7" s="132" t="s">
        <v>224</v>
      </c>
      <c r="K7" s="132" t="s">
        <v>225</v>
      </c>
      <c r="AG7" s="1"/>
      <c r="AH7" s="1"/>
      <c r="AI7" s="1"/>
    </row>
    <row r="8" spans="1:35" ht="20.100000000000001" customHeight="1" x14ac:dyDescent="0.25">
      <c r="A8" s="19"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Crop'!A1", "Crop")</f>
        <v>Crop</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17" t="str">
        <f>HYPERLINK("#'Input - Pasture'!A1", "Pasture")</f>
        <v>Pasture</v>
      </c>
    </row>
    <row r="12" spans="1:35" ht="20.100000000000001" customHeight="1" x14ac:dyDescent="0.25"/>
    <row r="13" spans="1:35" ht="20.100000000000001" customHeight="1" x14ac:dyDescent="0.25"/>
    <row r="14" spans="1:35" ht="20.100000000000001" customHeight="1" x14ac:dyDescent="0.25">
      <c r="A14" s="18" t="s">
        <v>68</v>
      </c>
    </row>
    <row r="15" spans="1:35" ht="20.100000000000001" customHeight="1" x14ac:dyDescent="0.25">
      <c r="A15" s="17" t="str">
        <f>HYPERLINK("#'6.1.1.1-2 Crop residue N2O'!A1", "6.1.1.1-2 Crop residue N2O")</f>
        <v>6.1.1.1-2 Crop residue N2O</v>
      </c>
      <c r="D15" s="6" t="str" cm="1">
        <f t="array" ref="D15">Agresidue_SourceData.CropAttributes_Title()</f>
        <v>Table A.2.1.1: Crop attributes</v>
      </c>
      <c r="E15" s="21"/>
      <c r="F15" s="21"/>
      <c r="G15" s="21"/>
      <c r="H15" s="21"/>
      <c r="I15" s="21"/>
      <c r="J15" s="21"/>
      <c r="K15" s="21"/>
      <c r="L15" s="21"/>
    </row>
    <row r="16" spans="1:35" ht="20.100000000000001" customHeight="1" x14ac:dyDescent="0.25">
      <c r="A16" s="17" t="str">
        <f>HYPERLINK("#'6.2.1.1-2 Pasture residue N2O'!A1", "6.2.1.1-2 Pasture residue N2O")</f>
        <v>6.2.1.1-2 Pasture residue N2O</v>
      </c>
      <c r="D16" s="5" t="str" cm="1">
        <f t="array" ref="D16">Agresidue_SourceData.CropAttributes_Source()</f>
        <v>VEERG 2026: Table A.2.1.1: Crop attributes</v>
      </c>
      <c r="E16" s="21"/>
      <c r="F16" s="21"/>
      <c r="G16" s="21"/>
      <c r="H16" s="21"/>
      <c r="I16" s="21"/>
      <c r="J16" s="21"/>
      <c r="K16" s="21"/>
      <c r="L16" s="21"/>
    </row>
    <row r="17" spans="1:14" ht="20.100000000000001" customHeight="1" x14ac:dyDescent="0.25">
      <c r="A17" s="17" t="str">
        <f>HYPERLINK("#'6.3.1.1-2 Leaching and runoff'!A1", "6.3.1.1-2 Leaching and runoff")</f>
        <v>6.3.1.1-2 Leaching and runoff</v>
      </c>
      <c r="D17" s="52" t="str" cm="1">
        <f t="array" ref="D17">"⚠️" &amp; Agresidue_SourceData.CropAttributes_Variation()</f>
        <v>⚠️VARIATION FROM SOURCE: 'N/A' values passed as zero for calculations.</v>
      </c>
      <c r="E17" s="21"/>
      <c r="F17" s="21"/>
      <c r="G17" s="21"/>
      <c r="H17" s="21"/>
      <c r="I17" s="21"/>
      <c r="J17" s="21"/>
      <c r="K17" s="21"/>
      <c r="L17" s="21"/>
    </row>
    <row r="18" spans="1:14" ht="20.100000000000001" customHeight="1" x14ac:dyDescent="0.25">
      <c r="A18" s="17" t="str">
        <f>HYPERLINK("#'6.3.1.1-2 Leach runoff crop'!A1", "6.3.1.1-2 Leach runoff crop")</f>
        <v>6.3.1.1-2 Leach runoff crop</v>
      </c>
      <c r="D18" s="21"/>
      <c r="E18" s="21"/>
      <c r="F18" s="21"/>
      <c r="G18" s="21"/>
      <c r="H18" s="21"/>
      <c r="I18" s="21"/>
      <c r="J18" s="21"/>
      <c r="K18" s="21"/>
      <c r="L18" s="21"/>
    </row>
    <row r="19" spans="1:14" ht="20.100000000000001" customHeight="1" x14ac:dyDescent="0.25">
      <c r="A19" s="17" t="str">
        <f>HYPERLINK("#'6.3.1.1-2 Leach runoff pasture'!A1", "6.3.1.1-2 Leach runoff pasture")</f>
        <v>6.3.1.1-2 Leach runoff pasture</v>
      </c>
      <c r="D19" t="s">
        <v>109</v>
      </c>
      <c r="E19" t="s">
        <v>155</v>
      </c>
      <c r="F19" t="s">
        <v>156</v>
      </c>
      <c r="G19" t="s">
        <v>157</v>
      </c>
      <c r="H19" t="s">
        <v>158</v>
      </c>
      <c r="I19" t="s">
        <v>159</v>
      </c>
      <c r="J19" t="s">
        <v>160</v>
      </c>
      <c r="K19" t="s">
        <v>161</v>
      </c>
      <c r="L19" t="s">
        <v>162</v>
      </c>
      <c r="N19" s="6" t="s">
        <v>218</v>
      </c>
    </row>
    <row r="20" spans="1:14" ht="20.100000000000001" customHeight="1" x14ac:dyDescent="0.25">
      <c r="A20" s="17" t="str">
        <f>HYPERLINK("#'6.4.1.1-2 Residue burning'!A1", "6.4.1.1-2 Residue burning")</f>
        <v>6.4.1.1-2 Residue burning</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6" t="s">
        <v>85</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6" t="s">
        <v>219</v>
      </c>
    </row>
    <row r="23" spans="1:14" ht="20.100000000000001" customHeight="1" x14ac:dyDescent="0.25">
      <c r="A23" s="141" t="s">
        <v>1</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6" t="s">
        <v>220</v>
      </c>
    </row>
    <row r="24" spans="1:14" ht="20.100000000000001" customHeight="1" x14ac:dyDescent="0.25">
      <c r="A24" s="128" t="str">
        <f>HYPERLINK("#'Constants - Ag Residue'!A1", "Constants - Ag Residue")</f>
        <v>Constants - Ag Residue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107</v>
      </c>
    </row>
    <row r="25" spans="1:14" ht="20.100000000000001" customHeight="1" x14ac:dyDescent="0.25">
      <c r="A25" s="17" t="str">
        <f>HYPERLINK("#'Constants - Common'!A1", "Constants - Common")</f>
        <v>Constants - Common</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221</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222</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1"/>
      <c r="E38" s="21"/>
      <c r="F38" s="21"/>
      <c r="G38" s="21"/>
      <c r="H38" s="21"/>
      <c r="I38" s="21"/>
      <c r="J38" s="21"/>
      <c r="K38" s="21"/>
      <c r="L38" s="21"/>
    </row>
    <row r="39" spans="4:13" ht="20.100000000000001" customHeight="1" x14ac:dyDescent="0.25">
      <c r="D39" s="21"/>
      <c r="E39" s="21"/>
      <c r="F39" s="21"/>
      <c r="G39" s="21"/>
      <c r="H39" s="21"/>
      <c r="I39" s="21"/>
      <c r="J39" s="21"/>
      <c r="K39" s="21"/>
      <c r="L39" s="21"/>
    </row>
    <row r="40" spans="4:13" ht="20.100000000000001" customHeight="1" x14ac:dyDescent="0.25">
      <c r="D40" s="6" t="str" cm="1">
        <f t="array" ref="D40">Agresidue_SourceData.N2OEFOrganicFertiliser_Title()</f>
        <v>Emission factor for organic fertiliser and crop residues returned to the soil</v>
      </c>
      <c r="E40" s="3"/>
      <c r="F40" s="3"/>
      <c r="G40" s="21"/>
      <c r="H40" s="21"/>
      <c r="I40" s="21"/>
      <c r="J40" s="21"/>
      <c r="K40" s="21"/>
      <c r="L40" s="21"/>
    </row>
    <row r="41" spans="4:13" ht="20.100000000000001" customHeight="1" x14ac:dyDescent="0.25">
      <c r="D41" s="5" t="str" cm="1">
        <f t="array" ref="D41">Agresidue_SourceData.N2OEFOrganicFertiliser_Source()</f>
        <v>VEERG 2026: Table A.2.1.4</v>
      </c>
      <c r="E41" s="3"/>
      <c r="F41" s="3"/>
      <c r="G41" s="21"/>
      <c r="H41" s="21"/>
      <c r="I41" s="21"/>
      <c r="J41" s="21"/>
      <c r="K41" s="21"/>
      <c r="L41" s="21"/>
    </row>
    <row r="42" spans="4:13" ht="20.100000000000001" customHeight="1" x14ac:dyDescent="0.25">
      <c r="D42" s="5"/>
      <c r="E42" s="3"/>
      <c r="F42" s="3"/>
      <c r="H42" s="21"/>
      <c r="I42" s="21"/>
      <c r="M42" s="3"/>
    </row>
    <row r="43" spans="4:13" ht="20.100000000000001" customHeight="1" x14ac:dyDescent="0.25">
      <c r="D43" s="106" t="s">
        <v>173</v>
      </c>
      <c r="E43" s="106" t="s">
        <v>174</v>
      </c>
      <c r="F43" s="3"/>
      <c r="H43" s="21"/>
      <c r="I43" s="21"/>
      <c r="M43" s="3"/>
    </row>
    <row r="44" spans="4:13" ht="20.100000000000001" customHeight="1" x14ac:dyDescent="0.25">
      <c r="D44" s="35" t="str" cm="1">
        <f t="array" ref="D44">Common_InputFunctions.Utility_DisplayArrayInTable(Agresidue_SourceData.N2OEFOrganicFertiliser_Data(), Table_SourceData_N2OEFOrganicFert[[#Headers],[Climate zone type i]], 0)</f>
        <v>Wet climate zone</v>
      </c>
      <c r="E44" s="35" cm="1">
        <f t="array" ref="E44">Common_InputFunctions.Utility_DisplayArrayInTable(Agresidue_SourceData.N2OEFOrganicFertiliser_Data(), Table_SourceData_N2OEFOrganicFert[[#Headers],[Climate zone type i]], 0)</f>
        <v>6.0000000000000001E-3</v>
      </c>
      <c r="F44" s="3"/>
      <c r="H44" s="21"/>
      <c r="I44" s="21"/>
      <c r="M44" s="3"/>
    </row>
    <row r="45" spans="4:13" ht="20.100000000000001" customHeight="1" x14ac:dyDescent="0.25">
      <c r="D45" s="35" t="str" cm="1">
        <f t="array" ref="D45">Common_InputFunctions.Utility_DisplayArrayInTable(Agresidue_SourceData.N2OEFOrganicFertiliser_Data(), Table_SourceData_N2OEFOrganicFert[[#Headers],[Climate zone type i]], 0)</f>
        <v>Dry climate zone</v>
      </c>
      <c r="E45" s="35" cm="1">
        <f t="array" ref="E45">Common_InputFunctions.Utility_DisplayArrayInTable(Agresidue_SourceData.N2OEFOrganicFertiliser_Data(), Table_SourceData_N2OEFOrganicFert[[#Headers],[Climate zone type i]], 0)</f>
        <v>5.0000000000000001E-3</v>
      </c>
      <c r="F45" s="3"/>
      <c r="H45" s="21"/>
      <c r="I45" s="21"/>
      <c r="M45" s="3"/>
    </row>
    <row r="46" spans="4:13" ht="20.100000000000001" customHeight="1" x14ac:dyDescent="0.25">
      <c r="H46" s="21"/>
      <c r="I46" s="21"/>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1"/>
      <c r="L48" s="21"/>
    </row>
    <row r="49" spans="4:12" ht="20.100000000000001" customHeight="1" x14ac:dyDescent="0.25">
      <c r="D49" s="5" t="str" cm="1">
        <f t="array" ref="D49">Agresidue_SourceData.PastureAttributes_Source()</f>
        <v>VEERG 2026: Table A.2.1.3: Pasture attributes</v>
      </c>
      <c r="K49" s="21"/>
      <c r="L49" s="21"/>
    </row>
    <row r="50" spans="4:12" ht="20.100000000000001" customHeight="1" x14ac:dyDescent="0.25">
      <c r="K50" s="21"/>
      <c r="L50" s="21"/>
    </row>
    <row r="51" spans="4:12" ht="20.100000000000001" customHeight="1" x14ac:dyDescent="0.25">
      <c r="D51" s="36" t="s">
        <v>176</v>
      </c>
      <c r="E51" s="36" t="s">
        <v>177</v>
      </c>
      <c r="F51" s="36" t="s">
        <v>178</v>
      </c>
      <c r="G51" s="36" t="s">
        <v>179</v>
      </c>
      <c r="H51" s="36" t="s">
        <v>180</v>
      </c>
      <c r="I51" s="36" t="s">
        <v>181</v>
      </c>
      <c r="K51" s="21"/>
      <c r="L51" s="21"/>
    </row>
    <row r="52" spans="4:12" ht="20.100000000000001" customHeight="1" x14ac:dyDescent="0.25">
      <c r="D52" s="36" t="str" cm="1">
        <f t="array" ref="D52">Common_InputFunctions.Utility_DisplayArrayInTable(Agresidue_SourceData.PastureAttributes_Data(), Table_SourceData_PastureAttributes[[#Headers],[Pasture type]], 0)</f>
        <v>Annual grass</v>
      </c>
      <c r="E52" s="36" cm="1">
        <f t="array" ref="E52">Common_InputFunctions.Utility_DisplayArrayInTable(Agresidue_SourceData.PastureAttributes_Data(), Table_SourceData_PastureAttributes[[#Headers],[Pasture type]], 0)</f>
        <v>4.41</v>
      </c>
      <c r="F52" s="36" cm="1">
        <f t="array" ref="F52">Common_InputFunctions.Utility_DisplayArrayInTable(Agresidue_SourceData.PastureAttributes_Data(), Table_SourceData_PastureAttributes[[#Headers],[Pasture type]], 0)</f>
        <v>0.4</v>
      </c>
      <c r="G52" s="36" cm="1">
        <f t="array" ref="G52">Common_InputFunctions.Utility_DisplayArrayInTable(Agresidue_SourceData.PastureAttributes_Data(), Table_SourceData_PastureAttributes[[#Headers],[Pasture type]], 0)</f>
        <v>1.4999999999999999E-2</v>
      </c>
      <c r="H52" s="36" cm="1">
        <f t="array" ref="H52">Common_InputFunctions.Utility_DisplayArrayInTable(Agresidue_SourceData.PastureAttributes_Data(), Table_SourceData_PastureAttributes[[#Headers],[Pasture type]], 0)</f>
        <v>1.2E-2</v>
      </c>
      <c r="I52" s="36" cm="1">
        <f t="array" ref="I52">Common_InputFunctions.Utility_DisplayArrayInTable(Agresidue_SourceData.PastureAttributes_Data(), Table_SourceData_PastureAttributes[[#Headers],[Pasture type]], 0)</f>
        <v>0.8</v>
      </c>
      <c r="L52" s="21"/>
    </row>
    <row r="53" spans="4:12" ht="20.100000000000001" customHeight="1" x14ac:dyDescent="0.25">
      <c r="D53" s="36" t="str" cm="1">
        <f t="array" ref="D53">Common_InputFunctions.Utility_DisplayArrayInTable(Agresidue_SourceData.PastureAttributes_Data(), Table_SourceData_PastureAttributes[[#Headers],[Pasture type]], 0)</f>
        <v>Grass clover mixture</v>
      </c>
      <c r="E53" s="36" cm="1">
        <f t="array" ref="E53">Common_InputFunctions.Utility_DisplayArrayInTable(Agresidue_SourceData.PastureAttributes_Data(), Table_SourceData_PastureAttributes[[#Headers],[Pasture type]], 0)</f>
        <v>8.34</v>
      </c>
      <c r="F53" s="36" cm="1">
        <f t="array" ref="F53">Common_InputFunctions.Utility_DisplayArrayInTable(Agresidue_SourceData.PastureAttributes_Data(), Table_SourceData_PastureAttributes[[#Headers],[Pasture type]], 0)</f>
        <v>0.8</v>
      </c>
      <c r="G53" s="36" cm="1">
        <f t="array" ref="G53">Common_InputFunctions.Utility_DisplayArrayInTable(Agresidue_SourceData.PastureAttributes_Data(), Table_SourceData_PastureAttributes[[#Headers],[Pasture type]], 0)</f>
        <v>2.5000000000000001E-2</v>
      </c>
      <c r="H53" s="36" cm="1">
        <f t="array" ref="H53">Common_InputFunctions.Utility_DisplayArrayInTable(Agresidue_SourceData.PastureAttributes_Data(), Table_SourceData_PastureAttributes[[#Headers],[Pasture type]], 0)</f>
        <v>1.6E-2</v>
      </c>
      <c r="I53" s="36" cm="1">
        <f t="array" ref="I53">Common_InputFunctions.Utility_DisplayArrayInTable(Agresidue_SourceData.PastureAttributes_Data(), Table_SourceData_PastureAttributes[[#Headers],[Pasture type]], 0)</f>
        <v>0.8</v>
      </c>
      <c r="L53" s="21"/>
    </row>
    <row r="54" spans="4:12" ht="20.100000000000001" customHeight="1" x14ac:dyDescent="0.25">
      <c r="D54" s="36" t="str" cm="1">
        <f t="array" ref="D54">Common_InputFunctions.Utility_DisplayArrayInTable(Agresidue_SourceData.PastureAttributes_Data(), Table_SourceData_PastureAttributes[[#Headers],[Pasture type]], 0)</f>
        <v>Lucerne</v>
      </c>
      <c r="E54" s="36" cm="1">
        <f t="array" ref="E54">Common_InputFunctions.Utility_DisplayArrayInTable(Agresidue_SourceData.PastureAttributes_Data(), Table_SourceData_PastureAttributes[[#Headers],[Pasture type]], 0)</f>
        <v>8.6199999999999992</v>
      </c>
      <c r="F54" s="36" cm="1">
        <f t="array" ref="F54">Common_InputFunctions.Utility_DisplayArrayInTable(Agresidue_SourceData.PastureAttributes_Data(), Table_SourceData_PastureAttributes[[#Headers],[Pasture type]], 0)</f>
        <v>0.4</v>
      </c>
      <c r="G54" s="36" cm="1">
        <f t="array" ref="G54">Common_InputFunctions.Utility_DisplayArrayInTable(Agresidue_SourceData.PastureAttributes_Data(), Table_SourceData_PastureAttributes[[#Headers],[Pasture type]], 0)</f>
        <v>2.7E-2</v>
      </c>
      <c r="H54" s="36" cm="1">
        <f t="array" ref="H54">Common_InputFunctions.Utility_DisplayArrayInTable(Agresidue_SourceData.PastureAttributes_Data(), Table_SourceData_PastureAttributes[[#Headers],[Pasture type]], 0)</f>
        <v>1.9E-2</v>
      </c>
      <c r="I54" s="36" cm="1">
        <f t="array" ref="I54">Common_InputFunctions.Utility_DisplayArrayInTable(Agresidue_SourceData.PastureAttributes_Data(), Table_SourceData_PastureAttributes[[#Headers],[Pasture type]], 0)</f>
        <v>0.8</v>
      </c>
    </row>
    <row r="55" spans="4:12" ht="20.100000000000001" customHeight="1" x14ac:dyDescent="0.25">
      <c r="D55" s="36" t="str" cm="1">
        <f t="array" ref="D55">Common_InputFunctions.Utility_DisplayArrayInTable(Agresidue_SourceData.PastureAttributes_Data(), Table_SourceData_PastureAttributes[[#Headers],[Pasture type]], 0)</f>
        <v>Other legume</v>
      </c>
      <c r="E55" s="36" cm="1">
        <f t="array" ref="E55">Common_InputFunctions.Utility_DisplayArrayInTable(Agresidue_SourceData.PastureAttributes_Data(), Table_SourceData_PastureAttributes[[#Headers],[Pasture type]], 0)</f>
        <v>5.62</v>
      </c>
      <c r="F55" s="36" cm="1">
        <f t="array" ref="F55">Common_InputFunctions.Utility_DisplayArrayInTable(Agresidue_SourceData.PastureAttributes_Data(), Table_SourceData_PastureAttributes[[#Headers],[Pasture type]], 0)</f>
        <v>0.4</v>
      </c>
      <c r="G55" s="36" cm="1">
        <f t="array" ref="G55">Common_InputFunctions.Utility_DisplayArrayInTable(Agresidue_SourceData.PastureAttributes_Data(), Table_SourceData_PastureAttributes[[#Headers],[Pasture type]], 0)</f>
        <v>2.7E-2</v>
      </c>
      <c r="H55" s="36" cm="1">
        <f t="array" ref="H55">Common_InputFunctions.Utility_DisplayArrayInTable(Agresidue_SourceData.PastureAttributes_Data(), Table_SourceData_PastureAttributes[[#Headers],[Pasture type]], 0)</f>
        <v>2.1999999999999999E-2</v>
      </c>
      <c r="I55" s="36" cm="1">
        <f t="array" ref="I55">Common_InputFunctions.Utility_DisplayArrayInTable(Agresidue_SourceData.PastureAttributes_Data(), Table_SourceData_PastureAttributes[[#Headers],[Pasture type]], 0)</f>
        <v>0.8</v>
      </c>
    </row>
    <row r="56" spans="4:12" ht="20.100000000000001" customHeight="1" x14ac:dyDescent="0.25">
      <c r="D56" s="36" t="str" cm="1">
        <f t="array" ref="D56">Common_InputFunctions.Utility_DisplayArrayInTable(Agresidue_SourceData.PastureAttributes_Data(), Table_SourceData_PastureAttributes[[#Headers],[Pasture type]], 0)</f>
        <v>Perennial pasture</v>
      </c>
      <c r="E56" s="36" cm="1">
        <f t="array" ref="E56">Common_InputFunctions.Utility_DisplayArrayInTable(Agresidue_SourceData.PastureAttributes_Data(), Table_SourceData_PastureAttributes[[#Headers],[Pasture type]], 0)</f>
        <v>8.35</v>
      </c>
      <c r="F56" s="36" cm="1">
        <f t="array" ref="F56">Common_InputFunctions.Utility_DisplayArrayInTable(Agresidue_SourceData.PastureAttributes_Data(), Table_SourceData_PastureAttributes[[#Headers],[Pasture type]], 0)</f>
        <v>0.8</v>
      </c>
      <c r="G56" s="36" cm="1">
        <f t="array" ref="G56">Common_InputFunctions.Utility_DisplayArrayInTable(Agresidue_SourceData.PastureAttributes_Data(), Table_SourceData_PastureAttributes[[#Headers],[Pasture type]], 0)</f>
        <v>1.4999999999999999E-2</v>
      </c>
      <c r="H56" s="36" cm="1">
        <f t="array" ref="H56">Common_InputFunctions.Utility_DisplayArrayInTable(Agresidue_SourceData.PastureAttributes_Data(), Table_SourceData_PastureAttributes[[#Headers],[Pasture type]], 0)</f>
        <v>1.2E-2</v>
      </c>
      <c r="I56" s="36" cm="1">
        <f t="array" ref="I56">Common_InputFunctions.Utility_DisplayArrayInTable(Agresidue_SourceData.PastureAttributes_Data(), Table_SourceData_PastureAttributes[[#Headers],[Pasture type]], 0)</f>
        <v>0.8</v>
      </c>
    </row>
    <row r="57" spans="4:12" ht="20.100000000000001" customHeight="1" x14ac:dyDescent="0.25">
      <c r="H57" s="21"/>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6" t="s">
        <v>209</v>
      </c>
      <c r="E62" s="36" t="s">
        <v>210</v>
      </c>
      <c r="F62" s="36" t="s">
        <v>211</v>
      </c>
    </row>
    <row r="63" spans="4:12" ht="20.100000000000001" customHeight="1" x14ac:dyDescent="0.25">
      <c r="D63" s="36" t="str" cm="1">
        <f t="array" ref="D63">Common_InputFunctions.Utility_DisplayArrayInTable(AgResidues_SourceData.BurningOfAgriculturalResiduesEFs_Data(), Table_SourceData_BurningResidueEFs[[#Headers],[Gas species]], 0)</f>
        <v>CH4</v>
      </c>
      <c r="E63" s="36" cm="1">
        <f t="array" ref="E63">Common_InputFunctions.Utility_DisplayArrayInTable(AgResidues_SourceData.BurningOfAgriculturalResiduesEFs_Data(), Table_SourceData_BurningResidueEFs[[#Headers],[Gas species]], 0)</f>
        <v>3.5000000000000001E-3</v>
      </c>
      <c r="F63" s="36" t="str" cm="1">
        <f t="array" ref="F63">Common_InputFunctions.Utility_DisplayArrayInTable(AgResidues_SourceData.BurningOfAgriculturalResiduesEFs_Data(), Table_SourceData_BurningResidueEFs[[#Headers],[Gas species]], 0)</f>
        <v>16/12</v>
      </c>
      <c r="K63" s="21"/>
      <c r="L63" s="21"/>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6" cm="1">
        <f t="array" ref="E64">Common_InputFunctions.Utility_DisplayArrayInTable(AgResidues_SourceData.BurningOfAgriculturalResiduesEFs_Data(), Table_SourceData_BurningResidueEFs[[#Headers],[Gas species]], 0)</f>
        <v>7.6E-3</v>
      </c>
      <c r="F64" s="36" t="str" cm="1">
        <f t="array" ref="F64">Common_InputFunctions.Utility_DisplayArrayInTable(AgResidues_SourceData.BurningOfAgriculturalResiduesEFs_Data(), Table_SourceData_BurningResidueEFs[[#Headers],[Gas species]], 0)</f>
        <v>44/28</v>
      </c>
      <c r="K64" s="21"/>
      <c r="L64" s="21"/>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6" cm="1">
        <f t="array" ref="E65">Common_InputFunctions.Utility_DisplayArrayInTable(AgResidues_SourceData.BurningOfAgriculturalResiduesEFs_Data(), Table_SourceData_BurningResidueEFs[[#Headers],[Gas species]], 0)</f>
        <v>0.21</v>
      </c>
      <c r="F65" s="36" t="str" cm="1">
        <f t="array" ref="F65">Common_InputFunctions.Utility_DisplayArrayInTable(AgResidues_SourceData.BurningOfAgriculturalResiduesEFs_Data(), Table_SourceData_BurningResidueEFs[[#Headers],[Gas species]], 0)</f>
        <v>46/14</v>
      </c>
      <c r="K65" s="21"/>
      <c r="L65" s="21"/>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6" cm="1">
        <f t="array" ref="E66">Common_InputFunctions.Utility_DisplayArrayInTable(AgResidues_SourceData.BurningOfAgriculturalResiduesEFs_Data(), Table_SourceData_BurningResidueEFs[[#Headers],[Gas species]], 0)</f>
        <v>7.8E-2</v>
      </c>
      <c r="F66" s="36" t="str" cm="1">
        <f t="array" ref="F66">Common_InputFunctions.Utility_DisplayArrayInTable(AgResidues_SourceData.BurningOfAgriculturalResiduesEFs_Data(), Table_SourceData_BurningResidueEFs[[#Headers],[Gas species]], 0)</f>
        <v>28/12</v>
      </c>
      <c r="K66" s="21"/>
      <c r="L66" s="21"/>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6" cm="1">
        <f t="array" ref="E67">Common_InputFunctions.Utility_DisplayArrayInTable(AgResidues_SourceData.BurningOfAgriculturalResiduesEFs_Data(), Table_SourceData_BurningResidueEFs[[#Headers],[Gas species]], 0)</f>
        <v>9.1000000000000004E-3</v>
      </c>
      <c r="F67" s="36" t="str" cm="1">
        <f t="array" ref="F67">Common_InputFunctions.Utility_DisplayArrayInTable(AgResidues_SourceData.BurningOfAgriculturalResiduesEFs_Data(), Table_SourceData_BurningResidueEFs[[#Headers],[Gas species]], 0)</f>
        <v>14/12</v>
      </c>
      <c r="K67" s="21"/>
      <c r="L67" s="21"/>
    </row>
    <row r="68" spans="4:12" ht="20.100000000000001" customHeight="1" x14ac:dyDescent="0.25">
      <c r="K68" s="21"/>
      <c r="L68" s="21"/>
    </row>
    <row r="69" spans="4:12" ht="20.100000000000001" customHeight="1" x14ac:dyDescent="0.25">
      <c r="K69" s="21"/>
      <c r="L69" s="21"/>
    </row>
    <row r="70" spans="4:12" ht="20.100000000000001" customHeight="1" x14ac:dyDescent="0.25">
      <c r="D70" s="6" t="str" cm="1">
        <f t="array" ref="D70">Agresidue_SourceData.CropFractionRemoved_Title()</f>
        <v>Table A.2.1.2: Crop attributes - Fraction removed (FFODc)</v>
      </c>
      <c r="E70" s="21"/>
      <c r="F70" s="21"/>
      <c r="G70" s="21"/>
      <c r="K70" s="21"/>
      <c r="L70" s="21"/>
    </row>
    <row r="71" spans="4:12" ht="20.100000000000001" customHeight="1" x14ac:dyDescent="0.25">
      <c r="D71" s="5" t="str" cm="1">
        <f t="array" ref="D71">Agresidue_SourceData.CropFractionRemoved_Source()</f>
        <v>VEERG 2026: Table A.2.1.2: Crop attributes - Fraction removed (FFODc)</v>
      </c>
      <c r="E71" s="21"/>
      <c r="F71" s="21"/>
      <c r="G71" s="21"/>
      <c r="K71" s="21"/>
      <c r="L71" s="21"/>
    </row>
    <row r="72" spans="4:12" ht="20.100000000000001" customHeight="1" x14ac:dyDescent="0.25">
      <c r="D72" s="21"/>
      <c r="E72" s="21"/>
      <c r="F72" s="21"/>
      <c r="G72" s="21"/>
      <c r="K72" s="21"/>
      <c r="L72" s="21"/>
    </row>
    <row r="73" spans="4:12" ht="20.100000000000001" customHeight="1" x14ac:dyDescent="0.25">
      <c r="D73" t="s">
        <v>163</v>
      </c>
      <c r="E73" t="s">
        <v>5</v>
      </c>
      <c r="F73" t="s">
        <v>164</v>
      </c>
      <c r="G73" s="21"/>
      <c r="K73" s="21"/>
      <c r="L73" s="21"/>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1"/>
      <c r="K74" s="21"/>
      <c r="L74" s="21"/>
    </row>
    <row r="75" spans="4:12" ht="20.100000000000001" customHeight="1" x14ac:dyDescent="0.25">
      <c r="D75" s="21"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1"/>
      <c r="H75" s="21"/>
      <c r="K75" s="21"/>
      <c r="L75" s="21"/>
    </row>
    <row r="76" spans="4:12" ht="20.100000000000001" customHeight="1" x14ac:dyDescent="0.25">
      <c r="D76" s="21"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1"/>
      <c r="H76" s="21"/>
      <c r="K76" s="21"/>
      <c r="L76" s="21"/>
    </row>
    <row r="77" spans="4:12" ht="20.100000000000001" customHeight="1" x14ac:dyDescent="0.25">
      <c r="D77" s="21"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1"/>
      <c r="H77" s="21"/>
      <c r="I77" s="21"/>
      <c r="J77" s="21"/>
      <c r="K77" s="21"/>
      <c r="L77" s="21"/>
    </row>
    <row r="78" spans="4:12" ht="20.100000000000001" customHeight="1" x14ac:dyDescent="0.25">
      <c r="D78" s="21"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1"/>
      <c r="H78" s="21"/>
      <c r="I78" s="21"/>
      <c r="J78" s="21"/>
      <c r="K78" s="21"/>
      <c r="L78" s="21"/>
    </row>
    <row r="79" spans="4:12" ht="20.100000000000001" customHeight="1" x14ac:dyDescent="0.25">
      <c r="D79" s="21"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1"/>
      <c r="H79" s="21"/>
      <c r="I79" s="21"/>
      <c r="J79" s="21"/>
      <c r="K79" s="21"/>
      <c r="L79" s="21"/>
    </row>
    <row r="80" spans="4:12" ht="20.100000000000001" customHeight="1" x14ac:dyDescent="0.25">
      <c r="D80" s="21"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1"/>
      <c r="H80" s="21"/>
      <c r="I80" s="21"/>
      <c r="J80" s="21"/>
      <c r="K80" s="21"/>
      <c r="L80" s="21"/>
    </row>
    <row r="81" spans="4:12" ht="20.100000000000001" customHeight="1" x14ac:dyDescent="0.25">
      <c r="D81" s="21"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1"/>
      <c r="H81" s="21"/>
      <c r="I81" s="21"/>
      <c r="J81" s="21"/>
      <c r="K81" s="21"/>
      <c r="L81" s="21"/>
    </row>
    <row r="82" spans="4:12" ht="20.100000000000001" customHeight="1" x14ac:dyDescent="0.25">
      <c r="D82" s="21"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1"/>
      <c r="H82" s="21"/>
      <c r="I82" s="21"/>
      <c r="J82" s="21"/>
      <c r="K82" s="21"/>
      <c r="L82" s="21"/>
    </row>
    <row r="83" spans="4:12" ht="20.100000000000001" customHeight="1" x14ac:dyDescent="0.25">
      <c r="D83" s="21"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1"/>
      <c r="H83" s="21"/>
      <c r="I83" s="21"/>
      <c r="J83" s="21"/>
      <c r="K83" s="21"/>
      <c r="L83" s="21"/>
    </row>
    <row r="84" spans="4:12" ht="20.100000000000001" customHeight="1" x14ac:dyDescent="0.25">
      <c r="D84" s="21"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1"/>
      <c r="H84" s="21"/>
      <c r="I84" s="21"/>
      <c r="J84" s="21"/>
      <c r="K84" s="21"/>
      <c r="L84" s="21"/>
    </row>
    <row r="85" spans="4:12" ht="20.100000000000001" customHeight="1" x14ac:dyDescent="0.25">
      <c r="D85" s="21"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1"/>
      <c r="H85" s="21"/>
      <c r="I85" s="21"/>
      <c r="J85" s="21"/>
      <c r="K85" s="21"/>
      <c r="L85" s="21"/>
    </row>
    <row r="86" spans="4:12" ht="20.100000000000001" customHeight="1" x14ac:dyDescent="0.25">
      <c r="D86" s="21"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1"/>
      <c r="H86" s="21"/>
      <c r="I86" s="21"/>
      <c r="J86" s="21"/>
      <c r="K86" s="21"/>
      <c r="L86" s="21"/>
    </row>
    <row r="87" spans="4:12" ht="20.100000000000001" customHeight="1" x14ac:dyDescent="0.25">
      <c r="D87" s="21"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1"/>
      <c r="H87" s="21"/>
      <c r="I87" s="21"/>
      <c r="J87" s="21"/>
      <c r="K87" s="21"/>
      <c r="L87" s="21"/>
    </row>
    <row r="88" spans="4:12" ht="20.100000000000001" customHeight="1" x14ac:dyDescent="0.25">
      <c r="D88" s="21"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1"/>
      <c r="H88" s="21"/>
      <c r="I88" s="21"/>
      <c r="J88" s="21"/>
      <c r="K88" s="21"/>
      <c r="L88" s="21"/>
    </row>
    <row r="89" spans="4:12" ht="20.100000000000001" customHeight="1" x14ac:dyDescent="0.25">
      <c r="D89" s="21"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1"/>
      <c r="H89" s="21"/>
      <c r="I89" s="21"/>
      <c r="J89" s="21"/>
      <c r="K89" s="21"/>
      <c r="L89" s="21"/>
    </row>
    <row r="90" spans="4:12" ht="20.100000000000001" customHeight="1" x14ac:dyDescent="0.25">
      <c r="D90" s="21"/>
      <c r="E90" s="21"/>
      <c r="F90" s="21"/>
      <c r="G90" s="21"/>
      <c r="H90" s="21"/>
      <c r="I90" s="21"/>
      <c r="J90" s="21"/>
      <c r="K90" s="21"/>
      <c r="L90" s="21"/>
    </row>
    <row r="91" spans="4:12" ht="20.100000000000001" customHeight="1" x14ac:dyDescent="0.25">
      <c r="D91" s="52" t="str" cm="1">
        <f t="array" ref="D91">"⚠️" &amp; Agresidue_SourceData.CropFractionRemoved_Variation()</f>
        <v>⚠️VARIATION OF SOURCE DATA: Split 'All other crop types' into individual crop types for each state. Listed all states for Sugar Cane, with 'N/A' for states where it is not grown.</v>
      </c>
      <c r="E91" s="21"/>
      <c r="F91" s="21"/>
      <c r="G91" s="21"/>
      <c r="H91" s="21"/>
      <c r="I91" s="21"/>
      <c r="J91" s="21"/>
      <c r="K91" s="21"/>
      <c r="L91" s="21"/>
    </row>
    <row r="92" spans="4:12" ht="20.100000000000001" customHeight="1" x14ac:dyDescent="0.25">
      <c r="D92" t="s">
        <v>163</v>
      </c>
      <c r="E92" t="s">
        <v>5</v>
      </c>
      <c r="F92" t="s">
        <v>164</v>
      </c>
      <c r="G92" s="21"/>
      <c r="H92" s="21"/>
      <c r="I92" s="21"/>
      <c r="J92" s="21"/>
      <c r="K92" s="21"/>
      <c r="L92" s="21"/>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1"/>
      <c r="H93" s="21"/>
      <c r="I93" s="21"/>
      <c r="J93" s="21"/>
      <c r="K93" s="21"/>
      <c r="L93" s="21"/>
    </row>
    <row r="94" spans="4:12" ht="20.100000000000001" customHeight="1" x14ac:dyDescent="0.25">
      <c r="D94" s="21"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1"/>
      <c r="H94" s="21"/>
      <c r="I94" s="21"/>
      <c r="J94" s="21"/>
      <c r="K94" s="21"/>
      <c r="L94" s="21"/>
    </row>
    <row r="95" spans="4:12" ht="20.100000000000001" customHeight="1" x14ac:dyDescent="0.25">
      <c r="D95" s="21"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1"/>
      <c r="H95" s="21"/>
      <c r="I95" s="21"/>
      <c r="J95" s="21"/>
      <c r="K95" s="21"/>
      <c r="L95" s="21"/>
    </row>
    <row r="96" spans="4:12" ht="20.100000000000001" customHeight="1" x14ac:dyDescent="0.25">
      <c r="D96" s="21"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1"/>
      <c r="H96" s="21"/>
      <c r="I96" s="21"/>
      <c r="J96" s="21"/>
      <c r="K96" s="21"/>
      <c r="L96" s="21"/>
    </row>
    <row r="97" spans="4:12" ht="20.100000000000001" customHeight="1" x14ac:dyDescent="0.25">
      <c r="D97" s="21"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1"/>
      <c r="H97" s="21"/>
      <c r="I97" s="21"/>
      <c r="J97" s="21"/>
      <c r="K97" s="21"/>
      <c r="L97" s="21"/>
    </row>
    <row r="98" spans="4:12" ht="20.100000000000001" customHeight="1" x14ac:dyDescent="0.25">
      <c r="D98" s="21"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1"/>
      <c r="H98" s="21"/>
      <c r="I98" s="21"/>
      <c r="J98" s="21"/>
      <c r="K98" s="21"/>
      <c r="L98" s="21"/>
    </row>
    <row r="99" spans="4:12" ht="20.100000000000001" customHeight="1" x14ac:dyDescent="0.25">
      <c r="D99" s="21"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1"/>
      <c r="H99" s="21"/>
      <c r="I99" s="21"/>
      <c r="J99" s="21"/>
      <c r="K99" s="21"/>
      <c r="L99" s="21"/>
    </row>
    <row r="100" spans="4:12" ht="20.100000000000001" customHeight="1" x14ac:dyDescent="0.25">
      <c r="D100" s="21"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1"/>
      <c r="H100" s="21"/>
      <c r="I100" s="21"/>
      <c r="J100" s="21"/>
      <c r="K100" s="21"/>
      <c r="L100" s="21"/>
    </row>
    <row r="101" spans="4:12" ht="20.100000000000001" customHeight="1" x14ac:dyDescent="0.25">
      <c r="D101" s="21"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1"/>
      <c r="H101" s="21"/>
      <c r="I101" s="21"/>
      <c r="J101" s="21"/>
      <c r="K101" s="21"/>
      <c r="L101" s="21"/>
    </row>
    <row r="102" spans="4:12" ht="20.100000000000001" customHeight="1" x14ac:dyDescent="0.25">
      <c r="D102" s="21"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1"/>
      <c r="H102" s="21"/>
      <c r="I102" s="21"/>
      <c r="J102" s="21"/>
      <c r="K102" s="21"/>
      <c r="L102" s="21"/>
    </row>
    <row r="103" spans="4:12" ht="20.100000000000001" customHeight="1" x14ac:dyDescent="0.25">
      <c r="D103" s="21"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1"/>
      <c r="H103" s="21"/>
      <c r="I103" s="21"/>
      <c r="J103" s="21"/>
      <c r="K103" s="21"/>
      <c r="L103" s="21"/>
    </row>
    <row r="104" spans="4:12" ht="20.100000000000001" customHeight="1" x14ac:dyDescent="0.25">
      <c r="D104" s="21"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1"/>
      <c r="H104" s="21"/>
      <c r="I104" s="21"/>
      <c r="J104" s="21"/>
      <c r="K104" s="21"/>
      <c r="L104" s="21"/>
    </row>
    <row r="105" spans="4:12" ht="20.100000000000001" customHeight="1" x14ac:dyDescent="0.25">
      <c r="D105" s="21"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1"/>
      <c r="H105" s="21"/>
      <c r="I105" s="21"/>
      <c r="J105" s="21"/>
      <c r="K105" s="21"/>
      <c r="L105" s="21"/>
    </row>
    <row r="106" spans="4:12" ht="20.100000000000001" customHeight="1" x14ac:dyDescent="0.25">
      <c r="D106" s="21"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1"/>
      <c r="H106" s="21"/>
      <c r="I106" s="21"/>
      <c r="J106" s="21"/>
      <c r="K106" s="21"/>
      <c r="L106" s="21"/>
    </row>
    <row r="107" spans="4:12" ht="20.100000000000001" customHeight="1" x14ac:dyDescent="0.25">
      <c r="D107" s="21"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1"/>
      <c r="H107" s="21"/>
      <c r="I107" s="21"/>
      <c r="J107" s="21"/>
      <c r="K107" s="21"/>
      <c r="L107" s="21"/>
    </row>
    <row r="108" spans="4:12" ht="20.100000000000001" customHeight="1" x14ac:dyDescent="0.25">
      <c r="D108" s="21"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1"/>
      <c r="H108" s="21"/>
      <c r="I108" s="21"/>
      <c r="J108" s="21"/>
      <c r="K108" s="21"/>
      <c r="L108" s="21"/>
    </row>
    <row r="109" spans="4:12" ht="20.100000000000001" customHeight="1" x14ac:dyDescent="0.25">
      <c r="D109" s="21"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1"/>
      <c r="H109" s="21"/>
      <c r="I109" s="21"/>
      <c r="J109" s="21"/>
      <c r="K109" s="21"/>
      <c r="L109" s="21"/>
    </row>
    <row r="110" spans="4:12" ht="20.100000000000001" customHeight="1" x14ac:dyDescent="0.25">
      <c r="D110" s="21"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1"/>
      <c r="H110" s="21"/>
      <c r="I110" s="21"/>
      <c r="J110" s="21"/>
      <c r="K110" s="21"/>
      <c r="L110" s="21"/>
    </row>
    <row r="111" spans="4:12" ht="20.100000000000001" customHeight="1" x14ac:dyDescent="0.25">
      <c r="D111" s="21"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1"/>
      <c r="H111" s="21"/>
      <c r="I111" s="21"/>
      <c r="J111" s="21"/>
      <c r="K111" s="21"/>
      <c r="L111" s="21"/>
    </row>
    <row r="112" spans="4:12" ht="20.100000000000001" customHeight="1" x14ac:dyDescent="0.25">
      <c r="D112" s="21"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1"/>
      <c r="H112" s="21"/>
      <c r="I112" s="21"/>
      <c r="J112" s="21"/>
      <c r="K112" s="21"/>
      <c r="L112" s="21"/>
    </row>
    <row r="113" spans="4:12" ht="20.100000000000001" customHeight="1" x14ac:dyDescent="0.25">
      <c r="D113" s="21"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1"/>
      <c r="H113" s="21"/>
      <c r="I113" s="21"/>
      <c r="J113" s="21"/>
      <c r="K113" s="21"/>
      <c r="L113" s="21"/>
    </row>
    <row r="114" spans="4:12" ht="20.100000000000001" customHeight="1" x14ac:dyDescent="0.25">
      <c r="D114" s="21"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1"/>
      <c r="H114" s="21"/>
      <c r="I114" s="21"/>
      <c r="J114" s="21"/>
      <c r="K114" s="21"/>
      <c r="L114" s="21"/>
    </row>
    <row r="115" spans="4:12" ht="20.100000000000001" customHeight="1" x14ac:dyDescent="0.25">
      <c r="D115" s="21"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1"/>
      <c r="H115" s="21"/>
      <c r="I115" s="21"/>
      <c r="J115" s="21"/>
      <c r="K115" s="21"/>
      <c r="L115" s="21"/>
    </row>
    <row r="116" spans="4:12" ht="20.100000000000001" customHeight="1" x14ac:dyDescent="0.25">
      <c r="D116" s="21"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1"/>
      <c r="H116" s="21"/>
      <c r="I116" s="21"/>
      <c r="J116" s="21"/>
      <c r="K116" s="21"/>
      <c r="L116" s="21"/>
    </row>
    <row r="117" spans="4:12" ht="20.100000000000001" customHeight="1" x14ac:dyDescent="0.25">
      <c r="D117" s="21"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1"/>
      <c r="H117" s="21"/>
      <c r="I117" s="21"/>
      <c r="J117" s="21"/>
      <c r="K117" s="21"/>
      <c r="L117" s="21"/>
    </row>
    <row r="118" spans="4:12" ht="20.100000000000001" customHeight="1" x14ac:dyDescent="0.25">
      <c r="D118" s="21"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1"/>
      <c r="H118" s="21"/>
      <c r="I118" s="21"/>
      <c r="J118" s="21"/>
      <c r="K118" s="21"/>
      <c r="L118" s="21"/>
    </row>
    <row r="119" spans="4:12" ht="20.100000000000001" customHeight="1" x14ac:dyDescent="0.25">
      <c r="D119" s="21"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1"/>
      <c r="H119" s="21"/>
      <c r="I119" s="21"/>
      <c r="J119" s="21"/>
      <c r="K119" s="21"/>
      <c r="L119" s="21"/>
    </row>
    <row r="120" spans="4:12" ht="20.100000000000001" customHeight="1" x14ac:dyDescent="0.25">
      <c r="D120" s="21"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1"/>
      <c r="H120" s="21"/>
      <c r="I120" s="21"/>
      <c r="J120" s="21"/>
      <c r="K120" s="21"/>
      <c r="L120" s="21"/>
    </row>
    <row r="121" spans="4:12" ht="20.100000000000001" customHeight="1" x14ac:dyDescent="0.25">
      <c r="D121" s="21"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1"/>
      <c r="H121" s="21"/>
      <c r="I121" s="21"/>
      <c r="J121" s="21"/>
      <c r="K121" s="21"/>
      <c r="L121" s="21"/>
    </row>
    <row r="122" spans="4:12" ht="20.100000000000001" customHeight="1" x14ac:dyDescent="0.25">
      <c r="D122" s="21"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1"/>
      <c r="H122" s="21"/>
      <c r="I122" s="21"/>
      <c r="J122" s="21"/>
      <c r="K122" s="21"/>
      <c r="L122" s="21"/>
    </row>
    <row r="123" spans="4:12" ht="20.100000000000001" customHeight="1" x14ac:dyDescent="0.25">
      <c r="D123" s="21"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1"/>
      <c r="H123" s="21"/>
      <c r="I123" s="21"/>
      <c r="J123" s="21"/>
      <c r="K123" s="21"/>
      <c r="L123" s="21"/>
    </row>
    <row r="124" spans="4:12" ht="20.100000000000001" customHeight="1" x14ac:dyDescent="0.25">
      <c r="D124" s="21"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1"/>
      <c r="H124" s="21"/>
      <c r="I124" s="21"/>
      <c r="J124" s="21"/>
      <c r="K124" s="21"/>
      <c r="L124" s="21"/>
    </row>
    <row r="125" spans="4:12" ht="20.100000000000001" customHeight="1" x14ac:dyDescent="0.25">
      <c r="D125" s="21"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1"/>
      <c r="H125" s="21"/>
      <c r="I125" s="21"/>
      <c r="J125" s="21"/>
      <c r="K125" s="21"/>
      <c r="L125" s="21"/>
    </row>
    <row r="126" spans="4:12" ht="20.100000000000001" customHeight="1" x14ac:dyDescent="0.25">
      <c r="D126" s="21"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1"/>
      <c r="H126" s="21"/>
      <c r="I126" s="21"/>
      <c r="J126" s="21"/>
      <c r="K126" s="21"/>
      <c r="L126" s="21"/>
    </row>
    <row r="127" spans="4:12" ht="20.100000000000001" customHeight="1" x14ac:dyDescent="0.25">
      <c r="D127" s="21"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1"/>
      <c r="H127" s="21"/>
      <c r="I127" s="21"/>
      <c r="J127" s="21"/>
      <c r="K127" s="21"/>
      <c r="L127" s="21"/>
    </row>
    <row r="128" spans="4:12" ht="20.100000000000001" customHeight="1" x14ac:dyDescent="0.25">
      <c r="D128" s="21"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1"/>
      <c r="H128" s="21"/>
      <c r="I128" s="21"/>
      <c r="J128" s="21"/>
      <c r="K128" s="21"/>
      <c r="L128" s="21"/>
    </row>
    <row r="129" spans="4:12" ht="20.100000000000001" customHeight="1" x14ac:dyDescent="0.25">
      <c r="D129" s="21"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1"/>
      <c r="H129" s="21"/>
      <c r="I129" s="21"/>
      <c r="J129" s="21"/>
      <c r="K129" s="21"/>
      <c r="L129" s="21"/>
    </row>
    <row r="130" spans="4:12" ht="20.100000000000001" customHeight="1" x14ac:dyDescent="0.25">
      <c r="D130" s="21"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1"/>
      <c r="H130" s="21"/>
      <c r="I130" s="21"/>
      <c r="J130" s="21"/>
      <c r="K130" s="21"/>
      <c r="L130" s="21"/>
    </row>
    <row r="131" spans="4:12" ht="20.100000000000001" customHeight="1" x14ac:dyDescent="0.25">
      <c r="D131" s="21"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1"/>
      <c r="H131" s="21"/>
      <c r="I131" s="21"/>
      <c r="J131" s="21"/>
      <c r="K131" s="21"/>
      <c r="L131" s="21"/>
    </row>
    <row r="132" spans="4:12" ht="20.100000000000001" customHeight="1" x14ac:dyDescent="0.25">
      <c r="D132" s="21"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1"/>
      <c r="H132" s="21"/>
      <c r="I132" s="21"/>
      <c r="J132" s="21"/>
      <c r="K132" s="21"/>
      <c r="L132" s="21"/>
    </row>
    <row r="133" spans="4:12" ht="20.100000000000001" customHeight="1" x14ac:dyDescent="0.25">
      <c r="D133" s="21"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1"/>
      <c r="H133" s="21"/>
      <c r="I133" s="21"/>
      <c r="J133" s="21"/>
      <c r="K133" s="21"/>
      <c r="L133" s="21"/>
    </row>
    <row r="134" spans="4:12" ht="20.100000000000001" customHeight="1" x14ac:dyDescent="0.25">
      <c r="D134" s="21"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1"/>
      <c r="H134" s="21"/>
      <c r="I134" s="21"/>
      <c r="J134" s="21"/>
      <c r="K134" s="21"/>
      <c r="L134" s="21"/>
    </row>
    <row r="135" spans="4:12" ht="20.100000000000001" customHeight="1" x14ac:dyDescent="0.25">
      <c r="D135" s="21"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1"/>
      <c r="H135" s="21"/>
      <c r="I135" s="21"/>
      <c r="J135" s="21"/>
      <c r="K135" s="21"/>
      <c r="L135" s="21"/>
    </row>
    <row r="136" spans="4:12" ht="20.100000000000001" customHeight="1" x14ac:dyDescent="0.25">
      <c r="D136" s="21"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1"/>
      <c r="H136" s="21"/>
      <c r="I136" s="21"/>
      <c r="J136" s="21"/>
      <c r="K136" s="21"/>
      <c r="L136" s="21"/>
    </row>
    <row r="137" spans="4:12" ht="20.100000000000001" customHeight="1" x14ac:dyDescent="0.25">
      <c r="D137" s="21"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1"/>
      <c r="H137" s="21"/>
      <c r="I137" s="21"/>
      <c r="J137" s="21"/>
      <c r="K137" s="21"/>
      <c r="L137" s="21"/>
    </row>
    <row r="138" spans="4:12" ht="20.100000000000001" customHeight="1" x14ac:dyDescent="0.25">
      <c r="D138" s="21"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1"/>
      <c r="H138" s="21"/>
      <c r="I138" s="21"/>
      <c r="J138" s="21"/>
      <c r="K138" s="21"/>
      <c r="L138" s="21"/>
    </row>
    <row r="139" spans="4:12" ht="20.100000000000001" customHeight="1" x14ac:dyDescent="0.25">
      <c r="D139" s="21"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1"/>
      <c r="H139" s="21"/>
      <c r="I139" s="21"/>
      <c r="J139" s="21"/>
      <c r="K139" s="21"/>
      <c r="L139" s="21"/>
    </row>
    <row r="140" spans="4:12" ht="20.100000000000001" customHeight="1" x14ac:dyDescent="0.25">
      <c r="D140" s="21"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1"/>
      <c r="H140" s="21"/>
      <c r="I140" s="21"/>
      <c r="J140" s="21"/>
      <c r="K140" s="21"/>
      <c r="L140" s="21"/>
    </row>
    <row r="141" spans="4:12" ht="20.100000000000001" customHeight="1" x14ac:dyDescent="0.25">
      <c r="D141" s="21"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1"/>
      <c r="H141" s="21"/>
      <c r="I141" s="21"/>
      <c r="J141" s="21"/>
      <c r="K141" s="21"/>
      <c r="L141" s="21"/>
    </row>
    <row r="142" spans="4:12" ht="20.100000000000001" customHeight="1" x14ac:dyDescent="0.25">
      <c r="D142" s="21"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1"/>
      <c r="H142" s="21"/>
      <c r="I142" s="21"/>
      <c r="J142" s="21"/>
      <c r="K142" s="21"/>
      <c r="L142" s="21"/>
    </row>
    <row r="143" spans="4:12" ht="20.100000000000001" customHeight="1" x14ac:dyDescent="0.25">
      <c r="D143" s="21"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1"/>
      <c r="H143" s="21"/>
      <c r="I143" s="21"/>
      <c r="J143" s="21"/>
      <c r="K143" s="21"/>
      <c r="L143" s="21"/>
    </row>
    <row r="144" spans="4:12" ht="20.100000000000001" customHeight="1" x14ac:dyDescent="0.25">
      <c r="D144" s="21"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1"/>
      <c r="H144" s="21"/>
      <c r="I144" s="21"/>
      <c r="J144" s="21"/>
      <c r="K144" s="21"/>
      <c r="L144" s="21"/>
    </row>
    <row r="145" spans="4:12" ht="20.100000000000001" customHeight="1" x14ac:dyDescent="0.25">
      <c r="D145" s="21"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1"/>
      <c r="H145" s="21"/>
      <c r="I145" s="21"/>
      <c r="J145" s="21"/>
      <c r="K145" s="21"/>
      <c r="L145" s="21"/>
    </row>
    <row r="146" spans="4:12" ht="20.100000000000001" customHeight="1" x14ac:dyDescent="0.25">
      <c r="D146" s="21"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1"/>
      <c r="H146" s="21"/>
      <c r="I146" s="21"/>
      <c r="J146" s="21"/>
      <c r="K146" s="21"/>
      <c r="L146" s="21"/>
    </row>
    <row r="147" spans="4:12" ht="20.100000000000001" customHeight="1" x14ac:dyDescent="0.25">
      <c r="D147" s="21"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1"/>
      <c r="H147" s="21"/>
      <c r="I147" s="21"/>
      <c r="J147" s="21"/>
      <c r="K147" s="21"/>
      <c r="L147" s="21"/>
    </row>
    <row r="148" spans="4:12" ht="20.100000000000001" customHeight="1" x14ac:dyDescent="0.25">
      <c r="D148" s="21"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1"/>
      <c r="H148" s="21"/>
      <c r="I148" s="21"/>
      <c r="J148" s="21"/>
      <c r="K148" s="21"/>
      <c r="L148" s="21"/>
    </row>
    <row r="149" spans="4:12" ht="20.100000000000001" customHeight="1" x14ac:dyDescent="0.25">
      <c r="D149" s="21"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1"/>
      <c r="H149" s="21"/>
      <c r="I149" s="21"/>
      <c r="J149" s="21"/>
      <c r="K149" s="21"/>
      <c r="L149" s="21"/>
    </row>
    <row r="150" spans="4:12" ht="20.100000000000001" customHeight="1" x14ac:dyDescent="0.25">
      <c r="D150" s="21"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1"/>
      <c r="H150" s="21"/>
      <c r="I150" s="21"/>
      <c r="J150" s="21"/>
      <c r="K150" s="21"/>
      <c r="L150" s="21"/>
    </row>
    <row r="151" spans="4:12" ht="20.100000000000001" customHeight="1" x14ac:dyDescent="0.25">
      <c r="D151" s="21"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1"/>
      <c r="H151" s="21"/>
      <c r="I151" s="21"/>
      <c r="J151" s="21"/>
      <c r="K151" s="21"/>
      <c r="L151" s="21"/>
    </row>
    <row r="152" spans="4:12" ht="20.100000000000001" customHeight="1" x14ac:dyDescent="0.25">
      <c r="D152" s="21"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1"/>
      <c r="H152" s="21"/>
      <c r="I152" s="21"/>
      <c r="J152" s="21"/>
      <c r="K152" s="21"/>
      <c r="L152" s="21"/>
    </row>
    <row r="153" spans="4:12" ht="20.100000000000001" customHeight="1" x14ac:dyDescent="0.25">
      <c r="D153" s="21"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1"/>
      <c r="H153" s="21"/>
      <c r="I153" s="21"/>
      <c r="J153" s="21"/>
      <c r="K153" s="21"/>
      <c r="L153" s="21"/>
    </row>
    <row r="154" spans="4:12" ht="20.100000000000001" customHeight="1" x14ac:dyDescent="0.25">
      <c r="D154" s="21"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1"/>
      <c r="H154" s="21"/>
      <c r="I154" s="21"/>
      <c r="J154" s="21"/>
      <c r="K154" s="21"/>
      <c r="L154" s="21"/>
    </row>
    <row r="155" spans="4:12" ht="20.100000000000001" customHeight="1" x14ac:dyDescent="0.25">
      <c r="D155" s="21"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1"/>
      <c r="H155" s="21"/>
      <c r="I155" s="21"/>
      <c r="J155" s="21"/>
      <c r="K155" s="21"/>
      <c r="L155" s="21"/>
    </row>
    <row r="156" spans="4:12" ht="20.100000000000001" customHeight="1" x14ac:dyDescent="0.25">
      <c r="D156" s="21"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1"/>
      <c r="H156" s="21"/>
      <c r="I156" s="21"/>
      <c r="J156" s="21"/>
      <c r="K156" s="21"/>
      <c r="L156" s="21"/>
    </row>
    <row r="157" spans="4:12" ht="20.100000000000001" customHeight="1" x14ac:dyDescent="0.25">
      <c r="D157" s="21"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1"/>
      <c r="H157" s="21"/>
      <c r="I157" s="21"/>
      <c r="J157" s="21"/>
      <c r="K157" s="21"/>
      <c r="L157" s="21"/>
    </row>
    <row r="158" spans="4:12" ht="20.100000000000001" customHeight="1" x14ac:dyDescent="0.25">
      <c r="D158" s="21"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1"/>
      <c r="H158" s="21"/>
      <c r="I158" s="21"/>
      <c r="J158" s="21"/>
      <c r="K158" s="21"/>
      <c r="L158" s="21"/>
    </row>
    <row r="159" spans="4:12" ht="20.100000000000001" customHeight="1" x14ac:dyDescent="0.25">
      <c r="D159" s="21"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1"/>
      <c r="H159" s="21"/>
      <c r="I159" s="21"/>
      <c r="J159" s="21"/>
      <c r="K159" s="21"/>
      <c r="L159" s="21"/>
    </row>
    <row r="160" spans="4:12" ht="20.100000000000001" customHeight="1" x14ac:dyDescent="0.25">
      <c r="D160" s="21"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1"/>
      <c r="H160" s="21"/>
      <c r="I160" s="21"/>
      <c r="J160" s="21"/>
      <c r="K160" s="21"/>
      <c r="L160" s="21"/>
    </row>
    <row r="161" spans="4:12" ht="20.100000000000001" customHeight="1" x14ac:dyDescent="0.25">
      <c r="D161" s="21"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1"/>
      <c r="H161" s="21"/>
      <c r="I161" s="21"/>
      <c r="J161" s="21"/>
      <c r="K161" s="21"/>
      <c r="L161" s="21"/>
    </row>
    <row r="162" spans="4:12" ht="20.100000000000001" customHeight="1" x14ac:dyDescent="0.25">
      <c r="D162" s="21"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1"/>
      <c r="H162" s="21"/>
      <c r="I162" s="21"/>
      <c r="J162" s="21"/>
      <c r="K162" s="21"/>
      <c r="L162" s="21"/>
    </row>
    <row r="163" spans="4:12" ht="20.100000000000001" customHeight="1" x14ac:dyDescent="0.25">
      <c r="D163" s="21"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1"/>
      <c r="H163" s="21"/>
      <c r="I163" s="21"/>
      <c r="J163" s="21"/>
      <c r="K163" s="21"/>
      <c r="L163" s="21"/>
    </row>
    <row r="164" spans="4:12" ht="20.100000000000001" customHeight="1" x14ac:dyDescent="0.25">
      <c r="D164" s="21"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1"/>
      <c r="H164" s="21"/>
      <c r="I164" s="21"/>
      <c r="J164" s="21"/>
      <c r="K164" s="21"/>
      <c r="L164" s="21"/>
    </row>
    <row r="165" spans="4:12" ht="20.100000000000001" customHeight="1" x14ac:dyDescent="0.25">
      <c r="D165" s="21"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1"/>
      <c r="H165" s="21"/>
      <c r="I165" s="21"/>
      <c r="J165" s="21"/>
      <c r="K165" s="21"/>
      <c r="L165" s="21"/>
    </row>
    <row r="166" spans="4:12" x14ac:dyDescent="0.25">
      <c r="D166" s="21"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1"/>
      <c r="H166" s="21"/>
      <c r="I166" s="21"/>
      <c r="J166" s="21"/>
      <c r="K166" s="21"/>
      <c r="L166" s="21"/>
    </row>
    <row r="167" spans="4:12" x14ac:dyDescent="0.25">
      <c r="D167" s="21"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1"/>
      <c r="H167" s="21"/>
      <c r="I167" s="21"/>
      <c r="J167" s="21"/>
      <c r="K167" s="21"/>
      <c r="L167" s="21"/>
    </row>
    <row r="168" spans="4:12" x14ac:dyDescent="0.25">
      <c r="D168" s="21"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1"/>
      <c r="H168" s="21"/>
      <c r="I168" s="21"/>
      <c r="J168" s="21"/>
      <c r="K168" s="21"/>
      <c r="L168" s="21"/>
    </row>
    <row r="169" spans="4:12" x14ac:dyDescent="0.25">
      <c r="D169" s="21"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1"/>
      <c r="H169" s="21"/>
      <c r="I169" s="21"/>
      <c r="J169" s="21"/>
      <c r="K169" s="21"/>
      <c r="L169" s="21"/>
    </row>
    <row r="170" spans="4:12" x14ac:dyDescent="0.25">
      <c r="D170" s="21"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1"/>
      <c r="H170" s="21"/>
      <c r="I170" s="21"/>
      <c r="J170" s="21"/>
      <c r="K170" s="21"/>
      <c r="L170" s="21"/>
    </row>
    <row r="171" spans="4:12" x14ac:dyDescent="0.25">
      <c r="D171" s="21"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1"/>
      <c r="H171" s="21"/>
      <c r="I171" s="21"/>
      <c r="J171" s="21"/>
      <c r="K171" s="21"/>
      <c r="L171" s="21"/>
    </row>
    <row r="172" spans="4:12" x14ac:dyDescent="0.25">
      <c r="D172" s="21"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1"/>
      <c r="H172" s="21"/>
      <c r="I172" s="21"/>
      <c r="J172" s="21"/>
      <c r="K172" s="21"/>
      <c r="L172" s="21"/>
    </row>
    <row r="173" spans="4:12" x14ac:dyDescent="0.25">
      <c r="D173" s="21"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1"/>
      <c r="H173" s="21"/>
      <c r="I173" s="21"/>
      <c r="J173" s="21"/>
      <c r="K173" s="21"/>
      <c r="L173" s="21"/>
    </row>
    <row r="174" spans="4:12" x14ac:dyDescent="0.25">
      <c r="D174" s="21"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1"/>
      <c r="H174" s="21"/>
      <c r="I174" s="21"/>
      <c r="J174" s="21"/>
      <c r="K174" s="21"/>
      <c r="L174" s="21"/>
    </row>
    <row r="175" spans="4:12" x14ac:dyDescent="0.25">
      <c r="D175" s="21"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1"/>
      <c r="H175" s="21"/>
      <c r="I175" s="21"/>
      <c r="J175" s="21"/>
      <c r="K175" s="21"/>
      <c r="L175" s="21"/>
    </row>
    <row r="176" spans="4:12" x14ac:dyDescent="0.25">
      <c r="D176" s="21"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1"/>
      <c r="H176" s="21"/>
      <c r="I176" s="21"/>
      <c r="J176" s="21"/>
      <c r="K176" s="21"/>
      <c r="L176" s="21"/>
    </row>
    <row r="177" spans="4:12" x14ac:dyDescent="0.25">
      <c r="D177" s="21"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1"/>
      <c r="H177" s="21"/>
      <c r="I177" s="21"/>
      <c r="J177" s="21"/>
      <c r="K177" s="21"/>
      <c r="L177" s="21"/>
    </row>
    <row r="178" spans="4:12" x14ac:dyDescent="0.25">
      <c r="D178" s="21"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1"/>
      <c r="H178" s="21"/>
      <c r="I178" s="21"/>
      <c r="J178" s="21"/>
      <c r="K178" s="21"/>
      <c r="L178" s="21"/>
    </row>
    <row r="179" spans="4:12" x14ac:dyDescent="0.25">
      <c r="D179" s="21"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1"/>
      <c r="H179" s="21"/>
      <c r="I179" s="21"/>
      <c r="J179" s="21"/>
      <c r="K179" s="21"/>
      <c r="L179" s="21"/>
    </row>
    <row r="180" spans="4:12" x14ac:dyDescent="0.25">
      <c r="D180" s="21"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1"/>
      <c r="H180" s="21"/>
      <c r="I180" s="21"/>
      <c r="J180" s="21"/>
      <c r="K180" s="21"/>
      <c r="L180" s="21"/>
    </row>
    <row r="181" spans="4:12" x14ac:dyDescent="0.25">
      <c r="D181" s="21"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1"/>
      <c r="H181" s="21"/>
      <c r="I181" s="21"/>
      <c r="J181" s="21"/>
      <c r="K181" s="21"/>
      <c r="L181" s="21"/>
    </row>
    <row r="182" spans="4:12" x14ac:dyDescent="0.25">
      <c r="D182" s="21"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1"/>
      <c r="H182" s="21"/>
      <c r="I182" s="21"/>
      <c r="J182" s="21"/>
      <c r="K182" s="21"/>
      <c r="L182" s="21"/>
    </row>
    <row r="183" spans="4:12" x14ac:dyDescent="0.25">
      <c r="D183" s="21"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1"/>
      <c r="H183" s="21"/>
      <c r="I183" s="21"/>
      <c r="J183" s="21"/>
      <c r="K183" s="21"/>
      <c r="L183" s="21"/>
    </row>
    <row r="184" spans="4:12" x14ac:dyDescent="0.25">
      <c r="D184" s="21"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1"/>
      <c r="H184" s="21"/>
      <c r="I184" s="21"/>
      <c r="J184" s="21"/>
      <c r="K184" s="21"/>
      <c r="L184" s="21"/>
    </row>
    <row r="185" spans="4:12" x14ac:dyDescent="0.25">
      <c r="D185" s="21"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1"/>
      <c r="H185" s="21"/>
      <c r="I185" s="21"/>
      <c r="J185" s="21"/>
      <c r="K185" s="21"/>
      <c r="L185" s="21"/>
    </row>
    <row r="186" spans="4:12" x14ac:dyDescent="0.25">
      <c r="D186" s="21"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1"/>
      <c r="H186" s="21"/>
      <c r="I186" s="21"/>
      <c r="J186" s="21"/>
      <c r="K186" s="21"/>
      <c r="L186" s="21"/>
    </row>
    <row r="187" spans="4:12" x14ac:dyDescent="0.25">
      <c r="D187" s="21"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1"/>
      <c r="H187" s="21"/>
      <c r="I187" s="21"/>
      <c r="J187" s="21"/>
      <c r="K187" s="21"/>
      <c r="L187" s="21"/>
    </row>
    <row r="188" spans="4:12" x14ac:dyDescent="0.25">
      <c r="D188" s="21"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1"/>
      <c r="H188" s="21"/>
      <c r="I188" s="21"/>
      <c r="J188" s="21"/>
      <c r="K188" s="21"/>
      <c r="L188" s="21"/>
    </row>
    <row r="189" spans="4:12" x14ac:dyDescent="0.25">
      <c r="D189" s="21"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1"/>
      <c r="H189" s="21"/>
      <c r="I189" s="21"/>
      <c r="J189" s="21"/>
      <c r="K189" s="21"/>
      <c r="L189" s="21"/>
    </row>
    <row r="190" spans="4:12" x14ac:dyDescent="0.25">
      <c r="D190" s="21"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1"/>
      <c r="H190" s="21"/>
      <c r="I190" s="21"/>
      <c r="J190" s="21"/>
      <c r="K190" s="21"/>
      <c r="L190" s="21"/>
    </row>
    <row r="191" spans="4:12" x14ac:dyDescent="0.25">
      <c r="D191" s="21"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1"/>
      <c r="H191" s="21"/>
      <c r="I191" s="21"/>
      <c r="J191" s="21"/>
      <c r="K191" s="21"/>
      <c r="L191" s="21"/>
    </row>
    <row r="192" spans="4:12" x14ac:dyDescent="0.25">
      <c r="D192" s="21"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1"/>
      <c r="H192" s="21"/>
      <c r="I192" s="21"/>
      <c r="J192" s="21"/>
      <c r="K192" s="21"/>
      <c r="L192" s="21"/>
    </row>
    <row r="193" spans="4:12" x14ac:dyDescent="0.25">
      <c r="D193" s="21"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1"/>
      <c r="H193" s="21"/>
      <c r="I193" s="21"/>
      <c r="J193" s="21"/>
      <c r="K193" s="21"/>
      <c r="L193" s="21"/>
    </row>
    <row r="194" spans="4:12" x14ac:dyDescent="0.25">
      <c r="D194" s="21"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1"/>
      <c r="H194" s="21"/>
      <c r="I194" s="21"/>
      <c r="J194" s="21"/>
      <c r="K194" s="21"/>
      <c r="L194" s="21"/>
    </row>
    <row r="195" spans="4:12" x14ac:dyDescent="0.25">
      <c r="D195" s="21"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1"/>
      <c r="H195" s="21"/>
      <c r="I195" s="21"/>
      <c r="J195" s="21"/>
      <c r="K195" s="21"/>
      <c r="L195" s="21"/>
    </row>
    <row r="196" spans="4:12" x14ac:dyDescent="0.25">
      <c r="D196" s="21"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1"/>
      <c r="H196" s="21"/>
      <c r="I196" s="21"/>
      <c r="J196" s="21"/>
      <c r="K196" s="21"/>
      <c r="L196" s="21"/>
    </row>
    <row r="197" spans="4:12" x14ac:dyDescent="0.25">
      <c r="D197" s="21"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1"/>
      <c r="H197" s="21"/>
      <c r="I197" s="21"/>
      <c r="J197" s="21"/>
      <c r="K197" s="21"/>
      <c r="L197" s="21"/>
    </row>
    <row r="198" spans="4:12" x14ac:dyDescent="0.25">
      <c r="D198" s="21"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1"/>
      <c r="H198" s="21"/>
      <c r="I198" s="21"/>
      <c r="J198" s="21"/>
      <c r="K198" s="21"/>
      <c r="L198" s="21"/>
    </row>
    <row r="199" spans="4:12" x14ac:dyDescent="0.25">
      <c r="D199" s="21"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1"/>
      <c r="H199" s="21"/>
      <c r="I199" s="21"/>
      <c r="J199" s="21"/>
      <c r="K199" s="21"/>
      <c r="L199" s="21"/>
    </row>
    <row r="200" spans="4:12" x14ac:dyDescent="0.25">
      <c r="D200" s="21"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1"/>
      <c r="H200" s="21"/>
      <c r="I200" s="21"/>
      <c r="J200" s="21"/>
      <c r="K200" s="21"/>
      <c r="L200" s="21"/>
    </row>
    <row r="201" spans="4:12" x14ac:dyDescent="0.25">
      <c r="D201" s="21"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1"/>
      <c r="H201" s="21"/>
      <c r="I201" s="21"/>
      <c r="J201" s="21"/>
      <c r="K201" s="21"/>
      <c r="L201" s="21"/>
    </row>
    <row r="202" spans="4:12" x14ac:dyDescent="0.25">
      <c r="D202" s="21"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1"/>
      <c r="H202" s="21"/>
      <c r="I202" s="21"/>
      <c r="J202" s="21"/>
      <c r="K202" s="21"/>
      <c r="L202" s="21"/>
    </row>
    <row r="203" spans="4:12" x14ac:dyDescent="0.25">
      <c r="D203" s="21"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1"/>
      <c r="H203" s="21"/>
      <c r="I203" s="21"/>
      <c r="J203" s="21"/>
      <c r="K203" s="21"/>
      <c r="L203" s="21"/>
    </row>
    <row r="204" spans="4:12" x14ac:dyDescent="0.25">
      <c r="D204" s="21"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1"/>
      <c r="H204" s="21"/>
      <c r="I204" s="21"/>
      <c r="J204" s="21"/>
      <c r="K204" s="21"/>
      <c r="L204" s="21"/>
    </row>
    <row r="205" spans="4:12" x14ac:dyDescent="0.25">
      <c r="D205" s="21"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1"/>
      <c r="H205" s="21"/>
      <c r="I205" s="21"/>
      <c r="J205" s="21"/>
      <c r="K205" s="21"/>
      <c r="L205" s="21"/>
    </row>
    <row r="206" spans="4:12" x14ac:dyDescent="0.25">
      <c r="D206" s="21"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1"/>
      <c r="H206" s="21"/>
      <c r="I206" s="21"/>
      <c r="J206" s="21"/>
      <c r="K206" s="21"/>
      <c r="L206" s="21"/>
    </row>
    <row r="207" spans="4:12" x14ac:dyDescent="0.25">
      <c r="D207" s="21"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1"/>
      <c r="H207" s="21"/>
      <c r="I207" s="21"/>
      <c r="J207" s="21"/>
      <c r="K207" s="21"/>
      <c r="L207" s="21"/>
    </row>
    <row r="208" spans="4:12" x14ac:dyDescent="0.25">
      <c r="D208" s="21"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1"/>
      <c r="H208" s="21"/>
      <c r="I208" s="21"/>
      <c r="J208" s="21"/>
      <c r="K208" s="21"/>
      <c r="L208" s="21"/>
    </row>
    <row r="209" spans="4:12" x14ac:dyDescent="0.25">
      <c r="D209" s="21"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1"/>
      <c r="H209" s="21"/>
      <c r="I209" s="21"/>
      <c r="J209" s="21"/>
      <c r="K209" s="21"/>
      <c r="L209" s="21"/>
    </row>
    <row r="210" spans="4:12" x14ac:dyDescent="0.25">
      <c r="D210" s="21"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1"/>
      <c r="H210" s="21"/>
      <c r="I210" s="21"/>
      <c r="J210" s="21"/>
      <c r="K210" s="21"/>
      <c r="L210" s="21"/>
    </row>
    <row r="211" spans="4:12" x14ac:dyDescent="0.25">
      <c r="D211" s="21"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1"/>
      <c r="H211" s="21"/>
      <c r="I211" s="21"/>
      <c r="J211" s="21"/>
      <c r="K211" s="21"/>
      <c r="L211" s="21"/>
    </row>
    <row r="212" spans="4:12" x14ac:dyDescent="0.25">
      <c r="D212" s="21"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1"/>
      <c r="H212" s="21"/>
      <c r="I212" s="21"/>
      <c r="J212" s="21"/>
      <c r="K212" s="21"/>
      <c r="L212" s="21"/>
    </row>
    <row r="213" spans="4:12" x14ac:dyDescent="0.25">
      <c r="D213" s="21"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1"/>
      <c r="H213" s="21"/>
      <c r="I213" s="21"/>
      <c r="J213" s="21"/>
      <c r="K213" s="21"/>
      <c r="L213" s="21"/>
    </row>
    <row r="214" spans="4:12" x14ac:dyDescent="0.25">
      <c r="D214" s="21"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1"/>
      <c r="H214" s="21"/>
      <c r="I214" s="21"/>
      <c r="J214" s="21"/>
    </row>
    <row r="215" spans="4:12" x14ac:dyDescent="0.25">
      <c r="D215" s="21"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1"/>
      <c r="H215" s="21"/>
      <c r="I215" s="21"/>
      <c r="J215" s="21"/>
    </row>
    <row r="216" spans="4:12" x14ac:dyDescent="0.25">
      <c r="D216" s="21"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1"/>
      <c r="H216" s="21"/>
      <c r="I216" s="21"/>
      <c r="J216" s="21"/>
    </row>
    <row r="217" spans="4:12" x14ac:dyDescent="0.25">
      <c r="D217" s="21"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1"/>
      <c r="H217" s="21"/>
      <c r="I217" s="21"/>
      <c r="J217" s="21"/>
    </row>
    <row r="218" spans="4:12" x14ac:dyDescent="0.25">
      <c r="D218" s="21"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1"/>
      <c r="H218" s="21"/>
      <c r="I218" s="21"/>
      <c r="J218" s="21"/>
    </row>
    <row r="219" spans="4:12" x14ac:dyDescent="0.25">
      <c r="D219" s="21"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1"/>
      <c r="H219" s="21"/>
      <c r="I219" s="21"/>
      <c r="J219" s="21"/>
    </row>
    <row r="220" spans="4:12" x14ac:dyDescent="0.25">
      <c r="D220" s="21"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1"/>
      <c r="H220" s="21"/>
      <c r="I220" s="21"/>
      <c r="J220" s="21"/>
    </row>
    <row r="221" spans="4:12" x14ac:dyDescent="0.25">
      <c r="D221" s="21"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1"/>
      <c r="H221" s="21"/>
      <c r="I221" s="21"/>
      <c r="J221" s="21"/>
    </row>
    <row r="222" spans="4:12" x14ac:dyDescent="0.25">
      <c r="D222" s="21"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1"/>
      <c r="H222" s="21"/>
      <c r="I222" s="21"/>
      <c r="J222" s="21"/>
    </row>
    <row r="223" spans="4:12" x14ac:dyDescent="0.25">
      <c r="D223" s="21"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1"/>
      <c r="H223" s="21"/>
      <c r="I223" s="21"/>
      <c r="J223" s="21"/>
    </row>
    <row r="224" spans="4:12" x14ac:dyDescent="0.25">
      <c r="D224" s="21"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1"/>
      <c r="H224" s="21"/>
      <c r="I224" s="21"/>
      <c r="J224" s="21"/>
    </row>
    <row r="225" spans="4:10" x14ac:dyDescent="0.25">
      <c r="D225" s="21"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1"/>
      <c r="H225" s="21"/>
      <c r="I225" s="21"/>
      <c r="J225" s="21"/>
    </row>
    <row r="226" spans="4:10" x14ac:dyDescent="0.25">
      <c r="D226" s="21"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1"/>
      <c r="H226" s="21"/>
      <c r="I226" s="21"/>
      <c r="J226" s="21"/>
    </row>
    <row r="227" spans="4:10" x14ac:dyDescent="0.25">
      <c r="D227" s="21"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1"/>
      <c r="H227" s="21"/>
      <c r="I227" s="21"/>
      <c r="J227" s="21"/>
    </row>
    <row r="228" spans="4:10" x14ac:dyDescent="0.25">
      <c r="D228" s="21"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1"/>
      <c r="H228" s="21"/>
    </row>
    <row r="229" spans="4:10" x14ac:dyDescent="0.25">
      <c r="D229" s="21"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1"/>
    </row>
    <row r="230" spans="4:10" x14ac:dyDescent="0.25">
      <c r="D230" s="21"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1"/>
    </row>
    <row r="231" spans="4:10" x14ac:dyDescent="0.25">
      <c r="D231" s="21"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1"/>
    </row>
    <row r="232" spans="4:10" x14ac:dyDescent="0.25">
      <c r="D232" s="21"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1"/>
    </row>
    <row r="233" spans="4:10" x14ac:dyDescent="0.25">
      <c r="D233" s="21"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1"/>
    </row>
    <row r="234" spans="4:10" x14ac:dyDescent="0.25">
      <c r="D234" s="21"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1"/>
    </row>
    <row r="235" spans="4:10" x14ac:dyDescent="0.25">
      <c r="D235" s="21"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1"/>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A3638-5724-4FD8-8944-B854D71A049A}">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1" t="s">
        <v>1</v>
      </c>
      <c r="D6" s="36" t="s">
        <v>16</v>
      </c>
      <c r="E6" s="36" t="s">
        <v>17</v>
      </c>
      <c r="F6" s="36" t="s">
        <v>18</v>
      </c>
    </row>
    <row r="7" spans="1:65" ht="20.100000000000001" customHeight="1" x14ac:dyDescent="0.25">
      <c r="A7" s="12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90</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92</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89</v>
      </c>
      <c r="E212" s="36" t="s">
        <v>97</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111</v>
      </c>
      <c r="F231" s="35" t="s">
        <v>112</v>
      </c>
      <c r="G231" s="36" t="s">
        <v>103</v>
      </c>
      <c r="H231" s="36" t="s">
        <v>113</v>
      </c>
      <c r="I231" s="36" t="s">
        <v>114</v>
      </c>
      <c r="J231" s="36" t="s">
        <v>102</v>
      </c>
      <c r="K231" s="36" t="s">
        <v>101</v>
      </c>
      <c r="L231" s="36" t="s">
        <v>115</v>
      </c>
      <c r="M231" s="36" t="s">
        <v>116</v>
      </c>
      <c r="N231" s="36" t="s">
        <v>100</v>
      </c>
      <c r="O231" s="36" t="s">
        <v>117</v>
      </c>
      <c r="P231" s="36" t="s">
        <v>105</v>
      </c>
      <c r="Q231" s="36" t="s">
        <v>106</v>
      </c>
      <c r="R231" s="36" t="s">
        <v>104</v>
      </c>
      <c r="S231" s="36" t="s">
        <v>118</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6" t="s">
        <v>119</v>
      </c>
      <c r="E257" s="36" t="s">
        <v>120</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235</v>
      </c>
    </row>
    <row r="264" spans="4:6" x14ac:dyDescent="0.25">
      <c r="D264" s="1" t="s">
        <v>236</v>
      </c>
    </row>
    <row r="265" spans="4:6" x14ac:dyDescent="0.25">
      <c r="D265" s="36" t="s">
        <v>237</v>
      </c>
      <c r="E265" s="36" t="s">
        <v>238</v>
      </c>
      <c r="F265" s="36" t="s">
        <v>239</v>
      </c>
    </row>
    <row r="266" spans="4:6" x14ac:dyDescent="0.25">
      <c r="D266" s="36" t="s">
        <v>240</v>
      </c>
      <c r="E266" s="36" t="s">
        <v>241</v>
      </c>
      <c r="F266" s="36">
        <v>5</v>
      </c>
    </row>
    <row r="267" spans="4:6" x14ac:dyDescent="0.25">
      <c r="D267" s="36" t="s">
        <v>242</v>
      </c>
      <c r="E267" s="36" t="s">
        <v>243</v>
      </c>
      <c r="F267" s="36">
        <v>4</v>
      </c>
    </row>
    <row r="268" spans="4:6" x14ac:dyDescent="0.25">
      <c r="D268" s="36" t="s">
        <v>244</v>
      </c>
      <c r="E268" s="36" t="s">
        <v>245</v>
      </c>
      <c r="F268" s="36">
        <v>3</v>
      </c>
    </row>
    <row r="269" spans="4:6" x14ac:dyDescent="0.25">
      <c r="D269" s="36" t="s">
        <v>246</v>
      </c>
      <c r="E269" s="36" t="s">
        <v>247</v>
      </c>
      <c r="F269" s="36">
        <v>2</v>
      </c>
    </row>
    <row r="270" spans="4:6" x14ac:dyDescent="0.25">
      <c r="D270" s="36" t="s">
        <v>248</v>
      </c>
      <c r="E270" s="36" t="s">
        <v>249</v>
      </c>
      <c r="F270" s="36">
        <v>1</v>
      </c>
    </row>
    <row r="273" spans="4:6" x14ac:dyDescent="0.25">
      <c r="D273" s="1" t="s">
        <v>250</v>
      </c>
    </row>
    <row r="274" spans="4:6" x14ac:dyDescent="0.25">
      <c r="D274" s="36" t="s">
        <v>237</v>
      </c>
      <c r="E274" s="36" t="s">
        <v>238</v>
      </c>
      <c r="F274" s="36" t="s">
        <v>239</v>
      </c>
    </row>
    <row r="275" spans="4:6" x14ac:dyDescent="0.25">
      <c r="D275" s="36" t="s">
        <v>251</v>
      </c>
      <c r="E275" s="36" t="s">
        <v>252</v>
      </c>
      <c r="F275" s="36">
        <v>5</v>
      </c>
    </row>
    <row r="276" spans="4:6" x14ac:dyDescent="0.25">
      <c r="D276" s="36" t="s">
        <v>253</v>
      </c>
      <c r="E276" s="36" t="s">
        <v>254</v>
      </c>
      <c r="F276" s="36">
        <v>4</v>
      </c>
    </row>
    <row r="277" spans="4:6" x14ac:dyDescent="0.25">
      <c r="D277" s="36" t="s">
        <v>255</v>
      </c>
      <c r="E277" s="36" t="s">
        <v>256</v>
      </c>
      <c r="F277" s="36">
        <v>3</v>
      </c>
    </row>
    <row r="278" spans="4:6" x14ac:dyDescent="0.25">
      <c r="D278" s="36" t="s">
        <v>257</v>
      </c>
      <c r="E278" s="36" t="s">
        <v>258</v>
      </c>
      <c r="F278" s="36">
        <v>2</v>
      </c>
    </row>
    <row r="279" spans="4:6" x14ac:dyDescent="0.25">
      <c r="D279" s="36" t="s">
        <v>259</v>
      </c>
      <c r="E279" s="36" t="s">
        <v>260</v>
      </c>
      <c r="F279" s="36">
        <v>1</v>
      </c>
    </row>
    <row r="282" spans="4:6" x14ac:dyDescent="0.25">
      <c r="D282" s="1" t="s">
        <v>261</v>
      </c>
    </row>
    <row r="283" spans="4:6" x14ac:dyDescent="0.25">
      <c r="D283" s="36" t="s">
        <v>237</v>
      </c>
      <c r="E283" s="36" t="s">
        <v>238</v>
      </c>
      <c r="F283" s="36" t="s">
        <v>239</v>
      </c>
    </row>
    <row r="284" spans="4:6" x14ac:dyDescent="0.25">
      <c r="D284" s="36" t="s">
        <v>262</v>
      </c>
      <c r="E284" s="36" t="s">
        <v>263</v>
      </c>
      <c r="F284" s="36">
        <v>5</v>
      </c>
    </row>
    <row r="285" spans="4:6" x14ac:dyDescent="0.25">
      <c r="D285" s="36" t="s">
        <v>264</v>
      </c>
      <c r="E285" s="36" t="s">
        <v>265</v>
      </c>
      <c r="F285" s="36">
        <v>4</v>
      </c>
    </row>
    <row r="286" spans="4:6" x14ac:dyDescent="0.25">
      <c r="D286" s="36" t="s">
        <v>266</v>
      </c>
      <c r="E286" s="36" t="s">
        <v>267</v>
      </c>
      <c r="F286" s="36">
        <v>3</v>
      </c>
    </row>
    <row r="287" spans="4:6" x14ac:dyDescent="0.25">
      <c r="D287" s="36" t="s">
        <v>268</v>
      </c>
      <c r="E287" s="36" t="s">
        <v>269</v>
      </c>
      <c r="F287" s="36">
        <v>2</v>
      </c>
    </row>
    <row r="288" spans="4:6" x14ac:dyDescent="0.25">
      <c r="D288" s="36" t="s">
        <v>270</v>
      </c>
      <c r="E288" s="36" t="s">
        <v>271</v>
      </c>
      <c r="F288" s="36">
        <v>1</v>
      </c>
    </row>
    <row r="291" spans="4:6" x14ac:dyDescent="0.25">
      <c r="D291" s="1" t="s">
        <v>272</v>
      </c>
    </row>
    <row r="292" spans="4:6" x14ac:dyDescent="0.25">
      <c r="D292" s="36" t="s">
        <v>237</v>
      </c>
      <c r="E292" s="36" t="s">
        <v>238</v>
      </c>
      <c r="F292" s="36" t="s">
        <v>239</v>
      </c>
    </row>
    <row r="293" spans="4:6" x14ac:dyDescent="0.25">
      <c r="D293" s="36" t="s">
        <v>273</v>
      </c>
      <c r="E293" s="36" t="s">
        <v>274</v>
      </c>
      <c r="F293" s="36">
        <v>5</v>
      </c>
    </row>
    <row r="294" spans="4:6" x14ac:dyDescent="0.25">
      <c r="D294" s="36" t="s">
        <v>275</v>
      </c>
      <c r="E294" s="36" t="s">
        <v>276</v>
      </c>
      <c r="F294" s="36">
        <v>4</v>
      </c>
    </row>
    <row r="295" spans="4:6" x14ac:dyDescent="0.25">
      <c r="D295" s="36" t="s">
        <v>277</v>
      </c>
      <c r="E295" s="36" t="s">
        <v>278</v>
      </c>
      <c r="F295" s="36">
        <v>3</v>
      </c>
    </row>
    <row r="296" spans="4:6" x14ac:dyDescent="0.25">
      <c r="D296" s="36" t="s">
        <v>279</v>
      </c>
      <c r="E296" s="36" t="s">
        <v>280</v>
      </c>
      <c r="F296" s="36">
        <v>2</v>
      </c>
    </row>
    <row r="297" spans="4:6" x14ac:dyDescent="0.25">
      <c r="D297" s="36" t="s">
        <v>281</v>
      </c>
      <c r="E297" s="36" t="s">
        <v>282</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YAZQByAHQAaQBsAGkAcwBlAHIAXwBFAHEAdQBhAHQAaQBvAG4AcwBfAEkAbgBvAHIAZwBhAG4AaQBjAE4AMgBPAC4AVgBFAEUAUgBHAF8ANQBfADEAXwAxAF8AMQBfAF8AMQBfAEkAbgBvAHIAZwBhAG4AaQBjAEYAZQByAHQAaQBsAGkAcwBlAHIAQQBwAHAAbABpAGMAYQB0AGkAbwBuAE4AMgBPAEUAbQBpAHMAcwBpAG8AbgBzACIALAAiAEYAZQByAHQAaQBsAGkAcwBlAHIAXwBFAHEAdQBhAHQAaQBvAG4AcwBfAEkAbgBvAHIAZwBhAG4AaQBjAE4AMgBPAC4AVgBFAEUAUgBHAF8ANQBfADEAXwAxAF8AMQBfAF8AMQBfAEkAbgBvAHIAZwBhAG4AaQBjAEYAZQByAHQAaQBsAGkAcwBlAHIAQQBwAHAAbABpAGMAYQB0AGkAbwBuAE4AMgBPAEUAbQBpAHMAcwBpAG8AbgBzAF8AVABpAHQAbABlACIALAAiAEYAZQByAHQAaQBsAGkAcwBlAHIAXwBFAHEAdQBhAHQAaQBvAG4AcwBfAEkAbgBvAHIAZwBhAG4AaQBjAE4AMgBPAC4AVgBFAEUAUgBHAF8ANQBfADEAXwAxAF8AMQBfAF8AMQBfAEkAbgBvAHIAZwBhAG4AaQBjAEYAZQByAHQAaQBsAGkAcwBlAHIAQQBwAHAAbABpAGMAYQB0AGkAbwBuAE4AMgBPAEUAbQBpAHMAcwBpAG8AbgBzAF8AVgBhAHIAaQBhAGIAbABlACIALAAiAEYAZQByAHQAaQBsAGkAcwBlAHIAXwBFAHEAdQBhAHQAaQBvAG4AcwBfAEkAbgBvAHIAZwBhAG4AaQBjAE4AMgBPAC4AVgBFAEUAUgBHAF8ANQBfADEAXwAxAF8AMQBfAF8AMQBfAEkAbgBvAHIAZwBhAG4AaQBjAEYAZQByAHQAaQBsAGkAcwBlAHIAQQBwAHAAbABpAGMAYQB0AGkAbwBuAE4AMgBPAEUAbQBpAHMAcwBpAG8AbgBzAF8AVQBuAGkAdAAiACwAIgBGAGUAcgB0AGkAbABpAHMAZQByAF8ARQBxAHUAYQB0AGkAbwBuAHMAXwBJAG4AbwByAGcAYQBuAGkAYwBOADIATwAuAFYARQBFAFIARwBfADUAXwAxAF8AMQBfADEAXwBfADEAXwBJAG4AbwByAGcAYQBuAGkAYwBGAGUAcgB0AGkAbABpAHMAZQByAEEAcABwAGwAaQBjAGEAdABpAG8AbgBOADIATwBFAG0AaQBzAHMAaQBvAG4AcwBfAFMAbwB1AHIAYwBlACIALAAiAEYAZQByAHQAaQBsAGkAcwBlAHIAXwBFAHEAdQBhAHQAaQBvAG4AcwBfAEkAbgBvAHIAZwBhAG4AaQBjAE4AMgBPAC4AVgBFAEUAUgBHAF8ANQBfADEAXwAxAF8AMQBfAF8AMQBfAEkAbgBvAHIAZwBhAG4AaQBjAEYAZQByAHQAaQBsAGkAcwBlAHIAQQBwAHAAbABpAGMAYQB0AGkAbwBuAE4AMgBPAEUAbQBpAHMAcwBpAG8AbgBzAF8ATgBJAFIAUgBlAGYAZQByAGUAbgBjAGUAIgAsACIARgBlAHIAdABpAGwAaQBzAGUAcgBfAEUAcQB1AGEAdABpAG8AbgBzAF8ASQBuAG8AcgBnAGEAbgBpAGMATgAyAE8ALgBWAEUARQBSAEcAXwA1AF8AMQBfADEAXwAxAF8AXwAxAF8ASQBuAG8AcgBnAGEAbgBpAGMARgBlAHIAdABpAGwAaQBzAGUAcgBBAHAAcABsAGkAYwBhAHQAaQBvAG4ATgAyAE8ARQBtAGkAcwBzAGkAbwBuAHMAXwBMAGEAdABlAHgARQBxAHUAYQB0AGkAbwBu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BfAE0AZQB0AGgAbwBkADIAIgAsACIARgBlAHIAdABpAGwAaQBzAGUAcgBfAEUAcQB1AGEAdABpAG8AbgBzAF8ASQBuAG8AcgBnAGEAbgBpAGMATgAyAE8ALgBWAEUARQBSAEcAXwA1AF8AMQBfADEAXwAxAF8AXwAyAF8ATQBhAHMAcwBPAGYATgBpAHQAcgBvAGcAZQBuAEkAbgBJAG4AbwByAGcAYQBuAGkAYwBGAGUAcgB0AGkAbABpAHMAZQByACIALAAiAEYAZQByAHQAaQBsAGkAcwBlAHIAXwBFAHEAdQBhAHQAaQBvAG4AcwBfAEkAbgBvAHIAZwBhAG4AaQBjAE4AMgBPAC4AVgBFAEUAUgBHAF8ANQBfADEAXwAxAF8AMQBfAF8AMgBfAE0AYQBzAHMATwBmAE4AaQB0AHIAbwBnAGUAbgBJAG4ASQBuAG8AcgBnAGEAbgBpAGMARgBlAHIAdABpAGwAaQBzAGUAcgBfAFQAaQB0AGwAZQAiACwAIgBGAGUAcgB0AGkAbABpAHMAZQByAF8ARQBxAHUAYQB0AGkAbwBuAHMAXwBJAG4AbwByAGcAYQBuAGkAYwBOADIATwAuAFYARQBFAFIARwBfADUAXwAxAF8AMQBfADEAXwBfADIAXwBNAGEAcwBzAE8AZgBOAGkAdAByAG8AZwBlAG4ASQBuAEkAbgBvAHIAZwBhAG4AaQBjAEYAZQByAHQAaQBsAGkAcwBlAHIAXwBWAGEAcgBpAGEAYgBsAGUAIgAsACIARgBlAHIAdABpAGwAaQBzAGUAcgBfAEUAcQB1AGEAdABpAG8AbgBzAF8ASQBuAG8AcgBnAGEAbgBpAGMATgAyAE8ALgBWAEUARQBSAEcAXwA1AF8AMQBfADEAXwAxAF8AXwAyAF8ATQBhAHMAcwBPAGYATgBpAHQAcgBvAGcAZQBuAEkAbgBJAG4AbwByAGcAYQBuAGkAYwBGAGUAcgB0AGkAbABpAHMAZQByAF8AVQBuAGkAdAAiACwAIgBGAGUAcgB0AGkAbABpAHMAZQByAF8ARQBxAHUAYQB0AGkAbwBuAHMAXwBJAG4AbwByAGcAYQBuAGkAYwBOADIATwAuAFYARQBFAFIARwBfADUAXwAxAF8AMQBfADEAXwBfADIAXwBNAGEAcwBzAE8AZgBOAGkAdAByAG8AZwBlAG4ASQBuAEkAbgBvAHIAZwBhAG4AaQBjAEYAZQByAHQAaQBsAGkAcwBlAHIAXwBTAG8AdQByAGMAZQAiACwAIgBGAGUAcgB0AGkAbABpAHMAZQByAF8ARQBxAHUAYQB0AGkAbwBuAHMAXwBJAG4AbwByAGcAYQBuAGkAYwBOADIATwAuAFYARQBFAFIARwBfADUAXwAxAF8AMQBfADEAXwBfADIAXwBNAGEAcwBzAE8AZgBOAGkAdAByAG8AZwBlAG4ASQBuAEkAbgBvAHIAZwBhAG4AaQBjAEYAZQByAHQAaQBsAGkAcwBlAHIAXwBOAEkAUgBSAGUAZgBlAHIAZQBuAGMAZQAiACwAIgBGAGUAcgB0AGkAbABpAHMAZQByAF8ARQBxAHUAYQB0AGkAbwBuAHMAXwBJAG4AbwByAGcAYQBuAGkAYwBOADIATwAuAFYARQBFAFIARwBfADUAXwAxAF8AMQBfADEAXwBfADIAXwBNAGEAcwBzAE8AZgBOAGkAdAByAG8AZwBlAG4ASQBuAEkAbgBvAHIAZwBhAG4AaQBjAEYAZQByAHQAaQBsAGkAcwBlAHIAXwBMAGEAdABlAHgARQBxAHUAYQB0AGkAbwBuACIALAAiAEYAZQByAHQAaQBsAGkAcwBlAHIAXwBFAHEAdQBhAHQAaQBvAG4AcwBfAEkAbgBvAHIAZwBhAG4AaQBjAE4AMgBPAC4AVgBFAEUAUgBHAF8ANQBfADEAXwAxAF8AMQBfAF8AMgBfAE0AYQBzAHMATwBmAE4AaQB0AHIAbwBnAGUAbgBJAG4ASQBuAG8AcgBnAGEAbgBpAGMARgBlAHIAdABpAGwAaQBzAGUAcgBfAEEAcgBnAHUAbQBlAG4AdABzACIALAAiAEYAZQByAHQAaQBsAGkAcwBlAHIAXwBFAHEAdQBhAHQAaQBvAG4AcwBfAEkAbgBvAHIAZwBhAG4AaQBjAE4AMgBPAC4AVgBFAEUAUgBHAF8ANQBfADEAXwAxAF8AMgBfAF8AMQBfAEUAbQBpAHMAcwBpAG8AbgBGAGEAYwB0AG8AcgBJAHIAcgBpAGcAYQB0AGUAZABNAGEAaQB6AGUAIgAsACIARgBlAHIAdABpAGwAaQBzAGUAcgBfAEUAcQB1AGEAdABpAG8AbgBzAF8ASQBuAG8AcgBnAGEAbgBpAGMATgAyAE8ALgBWAEUARQBSAEcAXwA1AF8AMQBfADEAXwAyAF8AXwAxAF8ARQBtAGkAcwBzAGkAbwBuAEYAYQBjAHQAbwByAEkAcgByAGkAZwBhAHQAZQBkAE0AYQBpAHoAZQBfAFQAaQB0AGwAZQAiACwAIgBGAGUAcgB0AGkAbABpAHMAZQByAF8ARQBxAHUAYQB0AGkAbwBuAHMAXwBJAG4AbwByAGcAYQBuAGkAYwBOADIATwAuAFYARQBFAFIARwBfADUAXwAxAF8AMQBfADIAXwBfADEAXwBFAG0AaQBzAHMAaQBvAG4ARgBhAGMAdABvAHIASQByAHIAaQBnAGEAdABlAGQATQBhAGkAegBlAF8AVgBhAHIAaQBhAGIAbABlACIALAAiAEYAZQByAHQAaQBsAGkAcwBlAHIAXwBFAHEAdQBhAHQAaQBvAG4AcwBfAEkAbgBvAHIAZwBhAG4AaQBjAE4AMgBPAC4AVgBFAEUAUgBHAF8ANQBfADEAXwAxAF8AMgBfAF8AMQBfAEUAbQBpAHMAcwBpAG8AbgBGAGEAYwB0AG8AcgBJAHIAcgBpAGcAYQB0AGUAZABNAGEAaQB6AGUAXwBVAG4AaQB0ACIALAAiAEYAZQByAHQAaQBsAGkAcwBlAHIAXwBFAHEAdQBhAHQAaQBvAG4AcwBfAEkAbgBvAHIAZwBhAG4AaQBjAE4AMgBPAC4AVgBFAEUAUgBHAF8ANQBfADEAXwAxAF8AMgBfAF8AMQBfAEUAbQBpAHMAcwBpAG8AbgBGAGEAYwB0AG8AcgBJAHIAcgBpAGcAYQB0AGUAZABNAGEAaQB6AGUAXwBTAG8AdQByAGMAZQAiACwAIgBGAGUAcgB0AGkAbABpAHMAZQByAF8ARQBxAHUAYQB0AGkAbwBuAHMAXwBJAG4AbwByAGcAYQBuAGkAYwBOADIATwAuAFYARQBFAFIARwBfADUAXwAxAF8AMQBfADIAXwBfADEAXwBFAG0AaQBzAHMAaQBvAG4ARgBhAGMAdABvAHIASQByAHIAaQBnAGEAdABlAGQATQBhAGkAegBlAF8ATgBJAFIAUgBlAGYAZQByAGUAbgBjAGUAIgAsACIARgBlAHIAdABpAGwAaQBzAGUAcgBfAEUAcQB1AGEAdABpAG8AbgBzAF8ASQBuAG8AcgBnAGEAbgBpAGMATgAyAE8ALgBWAEUARQBSAEcAXwA1AF8AMQBfADEAXwAyAF8AXwAxAF8ARQBtAGkAcwBzAGkAbwBuAEYAYQBjAHQAbwByAEkAcgByAGkAZwBhAHQAZQBkAE0AYQBpAHoAZQBfAEwAYQB0AGUAeABFAHEAdQBhAHQAaQBvAG4AIgAsACIARgBlAHIAdABpAGwAaQBzAGUAcgBfAEUAcQB1AGEAdABpAG8AbgBzAF8ASQBuAG8AcgBnAGEAbgBpAGMATgAyAE8ALgBWAEUARQBSAEcAXwA1AF8AMQBfADEAXwAyAF8AXwAxAF8ARQBtAGkAcwBzAGkAbwBuAEYAYQBjAHQAbwByAEkAcgByAGkAZwBhAHQAZQBkAE0AYQBpAHoAZQBfAEEAcgBnAHUAbQBlAG4AdABzACIALAAiAEYAZQByAHQAaQBsAGkAcwBlAHIAXwBFAHEAdQBhAHQAaQBvAG4AcwBfAEkAbgBvAHIAZwBhAG4AaQBjAE4AMgBPAC4AVgBFAEUAUgBHAF8ANQBfADEAXwAxAF8AMgBfAF8AMgBfAEUAbQBpAHMAcwBpAG8AbgBGAGEAYwB0AG8AcgBOAG8AbgBJAHIAcgBpAGcAYQB0AGUAZABHAHIAYQBpAG4AcwBIAGkAZwBoAFIAYQBpAG4AZgBhAGwAbAAiACwAIgBGAGUAcgB0AGkAbABpAHMAZQByAF8ARQBxAHUAYQB0AGkAbwBuAHMAXwBJAG4AbwByAGcAYQBuAGkAYwBOADIATwAuAFYARQBFAFIARwBfADUAXwAxAF8AMQBfADIAXwBfADIAXwBFAG0AaQBzAHMAaQBvAG4ARgBhAGMAdABvAHIATgBvAG4ASQByAHIAaQBnAGEAdABlAGQARwByAGEAaQBuAHMASABpAGcAaABSAGEAaQBuAGYAYQBsAGwAXwBUAGkAdABsAGUAIgAsACIARgBlAHIAdABpAGwAaQBzAGUAcgBfAEUAcQB1AGEAdABpAG8AbgBzAF8ASQBuAG8AcgBnAGEAbgBpAGMATgAyAE8ALgBWAEUARQBSAEcAXwA1AF8AMQBfADEAXwAyAF8AXwAyAF8ARQBtAGkAcwBzAGkAbwBuAEYAYQBjAHQAbwByAE4AbwBuAEkAcgByAGkAZwBhAHQAZQBkAEcAcgBhAGkAbgBzAEgAaQBnAGgAUgBhAGkAbgBmAGEAbABsAF8AVgBhAHIAaQBhAGIAbABlACIALAAiAEYAZQByAHQAaQBsAGkAcwBlAHIAXwBFAHEAdQBhAHQAaQBvAG4AcwBfAEkAbgBvAHIAZwBhAG4AaQBjAE4AMgBPAC4AVgBFAEUAUgBHAF8ANQBfADEAXwAxAF8AMgBfAF8AMgBfAEUAbQBpAHMAcwBpAG8AbgBGAGEAYwB0AG8AcgBOAG8AbgBJAHIAcgBpAGcAYQB0AGUAZABHAHIAYQBpAG4AcwBIAGkAZwBoAFIAYQBpAG4AZgBhAGwAbABfAFUAbgBpAHQAIgAsACIARgBlAHIAdABpAGwAaQBzAGUAcgBfAEUAcQB1AGEAdABpAG8AbgBzAF8ASQBuAG8AcgBnAGEAbgBpAGMATgAyAE8ALgBWAEUARQBSAEcAXwA1AF8AMQBfADEAXwAyAF8AXwAyAF8ARQBtAGkAcwBzAGkAbwBuAEYAYQBjAHQAbwByAE4AbwBuAEkAcgByAGkAZwBhAHQAZQBkAEcAcgBhAGkAbgBzAEgAaQBnAGgAUgBhAGkAbgBmAGEAbABsAF8AUwBvAHUAcgBjAGUAIgAsACIARgBlAHIAdABpAGwAaQBzAGUAcgBfAEUAcQB1AGEAdABpAG8AbgBzAF8ASQBuAG8AcgBnAGEAbgBpAGMATgAyAE8ALgBWAEUARQBSAEcAXwA1AF8AMQBfADEAXwAyAF8AXwAyAF8ARQBtAGkAcwBzAGkAbwBuAEYAYQBjAHQAbwByAE4AbwBuAEkAcgByAGkAZwBhAHQAZQBkAEcAcgBhAGkAbgBzAEgAaQBnAGgAUgBhAGkAbgBmAGEAbABsAF8ATgBJAFIAUgBlAGYAZQByAGUAbgBjAGUAIgAsACIARgBlAHIAdABpAGwAaQBzAGUAcgBfAEUAcQB1AGEAdABpAG8AbgBzAF8ASQBuAG8AcgBnAGEAbgBpAGMATgAyAE8ALgBWAEUARQBSAEcAXwA1AF8AMQBfADEAXwAyAF8AXwAyAF8ARQBtAGkAcwBzAGkAbwBuAEYAYQBjAHQAbwByAE4AbwBuAEkAcgByAGkAZwBhAHQAZQBkAEcAcgBhAGkAbgBzAEgAaQBnAGgAUgBhAGkAbgBmAGEAbABsAF8ATABhAHQAZQB4AEUAcQB1AGEAdABpAG8AbgAiACwAIgBGAGUAcgB0AGkAbABpAHMAZQByAF8ARQBxAHUAYQB0AGkAbwBuAHMAXwBJAG4AbwByAGcAYQBuAGkAYwBOADIATwAuAFYARQBFAFIARwBfADUAXwAxAF8AMQBfADIAXwBfADIAXwBFAG0AaQBzAHMAaQBvAG4ARgBhAGMAdABvAHIATgBvAG4ASQByAHIAaQBnAGEAdABlAGQARwByAGEAaQBuAHMASABpAGcAaABSAGEAaQBuAGYAYQBsAGwAXwBBAHIAZwB1AG0AZQBuAHQAcwAiACwAIgBGAGUAcgB0AGkAbABpAHMAZQByAF8ARQBxAHUAYQB0AGkAbwBuAHMAXwBJAG4AbwByAGcAYQBuAGkAYwBOADIATwAuAFYARQBFAFIARwBfADUAXwAxAF8AMQBfADIAXwBfADMAXwBFAG0AaQBzAHMAaQBvAG4ARgBhAGMAdABvAHIAQwBvAHQAdABvAG4AIgAsACIARgBlAHIAdABpAGwAaQBzAGUAcgBfAEUAcQB1AGEAdABpAG8AbgBzAF8ASQBuAG8AcgBnAGEAbgBpAGMATgAyAE8ALgBWAEUARQBSAEcAXwA1AF8AMQBfADEAXwAyAF8AXwAzAF8ARQBtAGkAcwBzAGkAbwBuAEYAYQBjAHQAbwByAEMAbwB0AHQAbwBuAF8AVABpAHQAbABlACIALAAiAEYAZQByAHQAaQBsAGkAcwBlAHIAXwBFAHEAdQBhAHQAaQBvAG4AcwBfAEkAbgBvAHIAZwBhAG4AaQBjAE4AMgBPAC4AVgBFAEUAUgBHAF8ANQBfADEAXwAxAF8AMgBfAF8AMwBfAEUAbQBpAHMAcwBpAG8AbgBGAGEAYwB0AG8AcgBDAG8AdAB0AG8AbgBfAFYAYQByAGkAYQBiAGwAZQAiACwAIgBGAGUAcgB0AGkAbABpAHMAZQByAF8ARQBxAHUAYQB0AGkAbwBuAHMAXwBJAG4AbwByAGcAYQBuAGkAYwBOADIATwAuAFYARQBFAFIARwBfADUAXwAxAF8AMQBfADIAXwBfADMAXwBFAG0AaQBzAHMAaQBvAG4ARgBhAGMAdABvAHIAQwBvAHQAdABvAG4AXwBVAG4AaQB0ACIALAAiAEYAZQByAHQAaQBsAGkAcwBlAHIAXwBFAHEAdQBhAHQAaQBvAG4AcwBfAEkAbgBvAHIAZwBhAG4AaQBjAE4AMgBPAC4AVgBFAEUAUgBHAF8ANQBfADEAXwAxAF8AMgBfAF8AMwBfAEUAbQBpAHMAcwBpAG8AbgBGAGEAYwB0AG8AcgBDAG8AdAB0AG8AbgBfAFMAbwB1AHIAYwBlACIALAAiAEYAZQByAHQAaQBsAGkAcwBlAHIAXwBFAHEAdQBhAHQAaQBvAG4AcwBfAEkAbgBvAHIAZwBhAG4AaQBjAE4AMgBPAC4AVgBFAEUAUgBHAF8ANQBfADEAXwAxAF8AMgBfAF8AMwBfAEUAbQBpAHMAcwBpAG8AbgBGAGEAYwB0AG8AcgBDAG8AdAB0AG8AbgBfAE4ASQBSAFIAZQBmAGUAcgBlAG4AYwBlACIALAAiAEYAZQByAHQAaQBsAGkAcwBlAHIAXwBFAHEAdQBhAHQAaQBvAG4AcwBfAEkAbgBvAHIAZwBhAG4AaQBjAE4AMgBPAC4AVgBFAEUAUgBHAF8ANQBfADEAXwAxAF8AMgBfAF8AMwBfAEUAbQBpAHMAcwBpAG8AbgBGAGEAYwB0AG8AcgBDAG8AdAB0AG8AbgBfAEwAYQB0AGUAeABFAHEAdQBhAHQAaQBvAG4AIgAsACIARgBlAHIAdABpAGwAaQBzAGUAcgBfAEUAcQB1AGEAdABpAG8AbgBzAF8ASQBuAG8AcgBnAGEAbgBpAGMATgAyAE8ALgBWAEUARQBSAEcAXwA1AF8AMQBfADEAXwAyAF8AXwAzAF8ARQBtAGkAcwBzAGkAbwBuAEYAYQBjAHQAbwByAEMAbwB0AHQAbwBuAF8AQQByAGcAdQBtAGUAbgB0AHMAIgAsACIARgBlAHIAdABpAGwAaQBzAGUAcgBfAEUAcQB1AGEAdABpAG8AbgBzAF8ASQBuAG8AcgBnAGEAbgBpAGMAQwBPADIALgBWAEUARQBSAEcAXwA1AF8AMQBfADEAXwAzAF8AXwAxAF8ASQBuAG8AcgBnAGEAbgBpAGMARgBlAHIAdABpAGwAaQBzAGUAcgBBAHAAcABsAGkAYwBhAHQAaQBvAG4AQwBPADIARQBtAGkAcwBzAGkAbwBuAHMAIgAsACIARgBlAHIAdABpAGwAaQBzAGUAcgBfAEUAcQB1AGEAdABpAG8AbgBzAF8ASQBuAG8AcgBnAGEAbgBpAGMAQwBPADIALgBWAEUARQBSAEcAXwA1AF8AMQBfADEAXwAzAF8AXwAxAF8ASQBuAG8AcgBnAGEAbgBpAGMARgBlAHIAdABpAGwAaQBzAGUAcgBBAHAAcABsAGkAYwBhAHQAaQBvAG4AQwBPADIARQBtAGkAcwBzAGkAbwBuAHMAXwBUAGkAdABsAGUAIgAsACIARgBlAHIAdABpAGwAaQBzAGUAcgBfAEUAcQB1AGEAdABpAG8AbgBzAF8ASQBuAG8AcgBnAGEAbgBpAGMAQwBPADIALgBWAEUARQBSAEcAXwA1AF8AMQBfADEAXwAzAF8AXwAxAF8ASQBuAG8AcgBnAGEAbgBpAGMARgBlAHIAdABpAGwAaQBzAGUAcgBBAHAAcABsAGkAYwBhAHQAaQBvAG4AQwBPADIARQBtAGkAcwBzAGkAbwBuAHMAXwBWAGEAcgBpAGEAYgBsAGUAIgAsACIARgBlAHIAdABpAGwAaQBzAGUAcgBfAEUAcQB1AGEAdABpAG8AbgBzAF8ASQBuAG8AcgBnAGEAbgBpAGMAQwBPADIALgBWAEUARQBSAEcAXwA1AF8AMQBfADEAXwAzAF8AXwAxAF8ASQBuAG8AcgBnAGEAbgBpAGMARgBlAHIAdABpAGwAaQBzAGUAcgBBAHAAcABsAGkAYwBhAHQAaQBvAG4AQwBPADIARQBtAGkAcwBzAGkAbwBuAHMAXwBVAG4AaQB0ACIALAAiAEYAZQByAHQAaQBsAGkAcwBlAHIAXwBFAHEAdQBhAHQAaQBvAG4AcwBfAEkAbgBvAHIAZwBhAG4AaQBjAEMATwAyAC4AVgBFAEUAUgBHAF8ANQBfADEAXwAxAF8AMwBfAF8AMQBfAEkAbgBvAHIAZwBhAG4AaQBjAEYAZQByAHQAaQBsAGkAcwBlAHIAQQBwAHAAbABpAGMAYQB0AGkAbwBuAEMATwAyAEUAbQBpAHMAcwBpAG8AbgBzAF8AUwBvAHUAcgBjAGUAIgAsACIARgBlAHIAdABpAGwAaQBzAGUAcgBfAEUAcQB1AGEAdABpAG8AbgBzAF8ASQBuAG8AcgBnAGEAbgBpAGMAQwBPADIALgBWAEUARQBSAEcAXwA1AF8AMQBfADEAXwAzAF8AXwAxAF8ASQBuAG8AcgBnAGEAbgBpAGMARgBlAHIAdABpAGwAaQBzAGUAcgBBAHAAcABsAGkAYwBhAHQAaQBvAG4AQwBPADIARQBtAGkAcwBzAGkAbwBuAHMAXwBOAEkAUgBSAGUAZgBlAHIAZQBuAGMAZQAiACwAIgBGAGUAcgB0AGkAbABpAHMAZQByAF8ARQBxAHUAYQB0AGkAbwBuAHMAXwBJAG4AbwByAGcAYQBuAGkAYwBDAE8AMgAuAFYARQBFAFIARwBfADUAXwAxAF8AMQBfADMAXwBfADEAXwBJAG4AbwByAGcAYQBuAGkAYwBGAGUAcgB0AGkAbABpAHMAZQByAEEAcABwAGwAaQBjAGEAdABpAG8AbgBDAE8AMgBFAG0AaQBzAHMAaQBvAG4AcwBfAEwAYQB0AGUAeABFAHEAdQBhAHQAaQBvAG4AIgAsACIARgBlAHIAdABpAGwAaQBzAGUAcgBfAEUAcQB1AGEAdABpAG8AbgBzAF8ASQBuAG8AcgBnAGEAbgBpAGMAQwBPADIALgBWAEUARQBSAEcAXwA1AF8AMQBfADEAXwAzAF8AXwAxAF8ASQBuAG8AcgBnAGEAbgBpAGMARgBlAHIAdABpAGwAaQBzAGUAcgBBAHAAcABsAGkAYwBhAHQAaQBvAG4AQwBPADIARQBtAGkAcwBzAGkAbwBuAHMAXwBBAHIAZwB1AG0AZQBuAHQAcwAiACwAIgBGAGUAcgB0AGkAbABpAHMAZQByAF8ARQBxAHUAYQB0AGkAbwBuAHMAXwBJAG4AbwByAGcAYQBuAGkAYwBDAE8AMgAuAFYARQBFAFIARwBfADUAXwAxAF8AMQBfADMAXwBfADIAXwBNAGEAcwBzAE8AZgBVAHIAZQBhAEkAbgBJAG4AbwByAGcAYQBuAGkAYwBGAGUAcgB0AGkAbABpAHMAZQByACIALAAiAEYAZQByAHQAaQBsAGkAcwBlAHIAXwBFAHEAdQBhAHQAaQBvAG4AcwBfAEkAbgBvAHIAZwBhAG4AaQBjAEMATwAyAC4AVgBFAEUAUgBHAF8ANQBfADEAXwAxAF8AMwBfAF8AMgBfAE0AYQBzAHMATwBmAFUAcgBlAGEASQBuAEkAbgBvAHIAZwBhAG4AaQBjAEYAZQByAHQAaQBsAGkAcwBlAHIAXwBUAGkAdABsAGUAIgAsACIARgBlAHIAdABpAGwAaQBzAGUAcgBfAEUAcQB1AGEAdABpAG8AbgBzAF8ASQBuAG8AcgBnAGEAbgBpAGMAQwBPADIALgBWAEUARQBSAEcAXwA1AF8AMQBfADEAXwAzAF8AXwAyAF8ATQBhAHMAcwBPAGYAVQByAGUAYQBJAG4ASQBuAG8AcgBnAGEAbgBpAGMARgBlAHIAdABpAGwAaQBzAGUAcgBfAFYAYQByAGkAYQBiAGwAZQAiACwAIgBGAGUAcgB0AGkAbABpAHMAZQByAF8ARQBxAHUAYQB0AGkAbwBuAHMAXwBJAG4AbwByAGcAYQBuAGkAYwBDAE8AMgAuAFYARQBFAFIARwBfADUAXwAxAF8AMQBfADMAXwBfADIAXwBNAGEAcwBzAE8AZgBVAHIAZQBhAEkAbgBJAG4AbwByAGcAYQBuAGkAYwBGAGUAcgB0AGkAbABpAHMAZQByAF8AVQBuAGkAdAAiACwAIgBGAGUAcgB0AGkAbABpAHMAZQByAF8ARQBxAHUAYQB0AGkAbwBuAHMAXwBJAG4AbwByAGcAYQBuAGkAYwBDAE8AMgAuAFYARQBFAFIARwBfADUAXwAxAF8AMQBfADMAXwBfADIAXwBNAGEAcwBzAE8AZgBVAHIAZQBhAEkAbgBJAG4AbwByAGcAYQBuAGkAYwBGAGUAcgB0AGkAbABpAHMAZQByAF8AUwBvAHUAcgBjAGUAIgAsACIARgBlAHIAdABpAGwAaQBzAGUAcgBfAEUAcQB1AGEAdABpAG8AbgBzAF8ASQBuAG8AcgBnAGEAbgBpAGMAQwBPADIALgBWAEUARQBSAEcAXwA1AF8AMQBfADEAXwAzAF8AXwAyAF8ATQBhAHMAcwBPAGYAVQByAGUAYQBJAG4ASQBuAG8AcgBnAGEAbgBpAGMARgBlAHIAdABpAGwAaQBzAGUAcgBfAE4ASQBSAFIAZQBmAGUAcgBlAG4AYwBlACIALAAiAEYAZQByAHQAaQBsAGkAcwBlAHIAXwBFAHEAdQBhAHQAaQBvAG4AcwBfAEkAbgBvAHIAZwBhAG4AaQBjAEMATwAyAC4AVgBFAEUAUgBHAF8ANQBfADEAXwAxAF8AMwBfAF8AMgBfAE0AYQBzAHMATwBmAFUAcgBlAGEASQBuAEkAbgBvAHIAZwBhAG4AaQBjAEYAZQByAHQAaQBsAGkAcwBlAHIAXwBMAGEAdABlAHgARQBxAHUAYQB0AGkAbwBuACIALAAiAEYAZQByAHQAaQBsAGkAcwBlAHIAXwBFAHEAdQBhAHQAaQBvAG4AcwBfAEkAbgBvAHIAZwBhAG4AaQBjAEMATwAyAC4AVgBFAEUAUgBHAF8ANQBfADEAXwAxAF8AMwBfAF8AMgBfAE0AYQBzAHMATwBmAFUAcgBlAGEASQBuAEkAbgBvAHIAZwBhAG4AaQBjAEYAZQByAHQAaQBsAGkAcwBlAHI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TABpAG0AZQAuAFYARQBFAFIARwBfADUAXwAzAF8AMQBfADEAXwBfADEAXwBMAGkAbQBlAEEAcABwAGwAaQBjAGEAdABpAG8AbgBDAE8AMgBFAG0AaQBzAHMAaQBvAG4AcwAiACwAIgBGAGUAcgB0AGkAbABpAHMAZQByAF8ARQBxAHUAYQB0AGkAbwBuAHMAXwBMAGkAbQBlAC4AVgBFAEUAUgBHAF8ANQBfADMAXwAxAF8AMQBfAF8AMQBfAEwAaQBtAGUAQQBwAHAAbABpAGMAYQB0AGkAbwBuAEMATwAyAEUAbQBpAHMAcwBpAG8AbgBzAF8AVABpAHQAbABlACIALAAiAEYAZQByAHQAaQBsAGkAcwBlAHIAXwBFAHEAdQBhAHQAaQBvAG4AcwBfAEwAaQBtAGUALgBWAEUARQBSAEcAXwA1AF8AMwBfADEAXwAxAF8AXwAxAF8ATABpAG0AZQBBAHAAcABsAGkAYwBhAHQAaQBvAG4AQwBPADIARQBtAGkAcwBzAGkAbwBuAHMAXwBWAGEAcgBpAGEAYgBsAGUAIgAsACIARgBlAHIAdABpAGwAaQBzAGUAcgBfAEUAcQB1AGEAdABpAG8AbgBzAF8ATABpAG0AZQAuAFYARQBFAFIARwBfADUAXwAzAF8AMQBfADEAXwBfADEAXwBMAGkAbQBlAEEAcABwAGwAaQBjAGEAdABpAG8AbgBDAE8AMgBFAG0AaQBzAHMAaQBvAG4AcwBfAFUAbgBpAHQAIgAsACIARgBlAHIAdABpAGwAaQBzAGUAcgBfAEUAcQB1AGEAdABpAG8AbgBzAF8ATABpAG0AZQAuAFYARQBFAFIARwBfADUAXwAzAF8AMQBfADEAXwBfADEAXwBMAGkAbQBlAEEAcABwAGwAaQBjAGEAdABpAG8AbgBDAE8AMgBFAG0AaQBzAHMAaQBvAG4AcwBfAFMAbwB1AHIAYwBlACIALAAiAEYAZQByAHQAaQBsAGkAcwBlAHIAXwBFAHEAdQBhAHQAaQBvAG4AcwBfAEwAaQBtAGUALgBWAEUARQBSAEcAXwA1AF8AMwBfADEAXwAxAF8AXwAxAF8ATABpAG0AZQBBAHAAcABsAGkAYwBhAHQAaQBvAG4AQwBPADIARQBtAGkAcwBzAGkAbwBuAHMAXwBOAEkAUgBSAGUAZgBlAHIAZQBuAGMAZQAiACwAIgBGAGUAcgB0AGkAbABpAHMAZQByAF8ARQBxAHUAYQB0AGkAbwBuAHMAXwBMAGkAbQBlAC4AVgBFAEUAUgBHAF8ANQBfADMAXwAxAF8AMQBfAF8AMQBfAEwAaQBtAGUAQQBwAHAAbABpAGMAYQB0AGkAbwBuAEMATwAyAEUAbQBpAHMAcwBpAG8AbgBzAF8ATABhAHQAZQB4AEUAcQB1AGEAdABpAG8AbgAiACwAIgBGAGUAcgB0AGkAbABpAHMAZQByAF8ARQBxAHUAYQB0AGkAbwBuAHMAXwBMAGkAbQBlAC4AVgBFAEUAUgBHAF8ANQBfADMAXwAxAF8AMQBfAF8AMQBfAEwAaQBtAGUAQQBwAHAAbABpAGMAYQB0AGkAbwBuAEMATwAyAEUAbQBpAHMAcwBpAG8AbgBz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BAGcAcgBlAHMAaQBkAHUAZQBfAFMAbwB1AHIAYwBlAEQAYQB0AGEALgBDAHIAbwBwAFAAdQByAHAAbwBzAGUAQQBuAGQAWQBpAGUAbABkAF8AVABpAHQAbABlACIALAAiAEEAZwByAGUAcwBpAGQAdQBlAF8AUwBvAHUAcgBjAGUARABhAHQAYQAuAEMAcgBvAHAAUAB1AHIAcABvAHMAZQBBAG4AZABZAGkAZQBsAGQAXwBEAGEAdABhACIALAAiAEEAZwByAGUAcwBpAGQAdQBlAF8AUwBvAHUAcgBjAGUARABhAHQAYQAuAEMAcgBvAHAAQQB0AHQAcgBpAGIAdQB0AGUAcwBfAFQAaQB0AGwAZQAiACwAIgBBAGcAcgBlAHMAaQBkAHUAZQBfAFMAbwB1AHIAYwBlAEQAYQB0AGEALgBDAHIAbwBwAEEAdAB0AHIAaQBiAHUAdABlAHMAXwBEAGUAcwBjAHIAaQBwAHQAaQBvAG4AIgAsACIAQQBnAHIAZQBzAGkAZAB1AGUAXwBTAG8AdQByAGMAZQBEAGEAdABhAC4AQwByAG8AcABBAHQAdAByAGkAYgB1AHQAZQBzAF8AUwBvAHUAcgBjAGUAIgAsACIAQQBnAHIAZQBzAGkAZAB1AGUAXwBTAG8AdQByAGMAZQBEAGEAdABhAC4AQwByAG8AcABBAHQAdAByAGkAYgB1AHQAZQBzAF8ARABhAHQAYQAiACwAIgBBAGcAcgBlAHMAaQBkAHUAZQBfAFMAbwB1AHIAYwBlAEQAYQB0AGEALgBDAHIAbwBwAEEAdAB0AHIAaQBiAHUAdABlAHMAXwBWAGEAcgBpAGEAdABpAG8AbgAiACwAIgBBAGcAcgBlAHMAaQBkAHUAZQBfAFMAbwB1AHIAYwBlAEQAYQB0AGEALgBDAHIAbwBwAEYAcgBhAGMAdABpAG8AbgBSAGUAbQBvAHYAZQBkAF8AVABpAHQAbABlACIALAAiAEEAZwByAGUAcwBpAGQAdQBlAF8AUwBvAHUAcgBjAGUARABhAHQAYQAuAEMAcgBvAHAARgByAGEAYwB0AGkAbwBuAFIAZQBtAG8AdgBlAGQAXwBEAGUAcwBjAHIAaQBwAHQAaQBvAG4AIgAsACIAQQBnAHIAZQBzAGkAZAB1AGUAXwBTAG8AdQByAGMAZQBEAGEAdABhAC4AQwByAG8AcABGAHIAYQBjAHQAaQBvAG4AUgBlAG0AbwB2AGUAZABfAFMAbwB1AHIAYwBlACIALAAiAEEAZwByAGUAcwBpAGQAdQBlAF8AUwBvAHUAcgBjAGUARABhAHQAYQAuAEMAcgBvAHAARgByAGEAYwB0AGkAbwBuAFIAZQBtAG8AdgBlAGQAXwBEAGEAdABhACIALAAiAEEAZwByAGUAcwBpAGQAdQBlAF8AUwBvAHUAcgBjAGUARABhAHQAYQAuAEMAcgBvAHAARgByAGEAYwB0AGkAbwBuAFIAZQBtAG8AdgBlAGQAXwBDAHUAcwB0AG8AbQBpAHMAZQBkAEQAYQB0AGEAIgAsACIAQQBnAHIAZQBzAGkAZAB1AGUAXwBTAG8AdQByAGMAZQBEAGEAdABhAC4AQwByAG8AcABGAHIAYQBjAHQAaQBvAG4AUgBlAG0AbwB2AGUAZABfAFYAYQByAGkAYQB0AGkAbwBuACIALAAiAEEAZwByAGUAcwBpAGQAdQBlAF8AUwBvAHUAcgBjAGUARABhAHQAYQAuAFAAYQBzAHQAdQByAGUAQQB0AHQAcgBpAGIAdQB0AGUAcwBfAFQAaQB0AGwAZQAiACwAIgBBAGcAcgBlAHMAaQBkAHUAZQBfAFMAbwB1AHIAYwBlAEQAYQB0AGEALgBQAGEAcwB0AHUAcgBlAEEAdAB0AHIAaQBiAHUAdABlAHMAXwBEAGUAcwBjAHIAaQBwAHQAaQBvAG4AIgAsACIAQQBnAHIAZQBzAGkAZAB1AGUAXwBTAG8AdQByAGMAZQBEAGEAdABhAC4AUABhAHMAdAB1AHIAZQBBAHQAdAByAGkAYgB1AHQAZQBzAF8AUwBvAHUAcgBjAGUAIgAsACIAQQBnAHIAZQBzAGkAZAB1AGUAXwBTAG8AdQByAGMAZQBEAGEAdABhAC4AUABhAHMAdAB1AHIAZQBBAHQAdAByAGkAYgB1AHQAZQBzAF8ARABhAHQAYQAiACwAIgBBAGcAcgBlAHMAaQBkAHUAZQBfAFMAbwB1AHIAYwBlAEQAYQB0AGEALgBCAHUAcgBuAGkAbgBnAE8AZgBBAGcAcgBpAGMAdQBsAHQAdQByAGEAbABSAGUAcwBpAGQAdQBlAHMARQBGAHMAXwBUAGkAdABsAGUAIgAsACIAQQBnAHIAZQBzAGkAZAB1AGUAXwBTAG8AdQByAGMAZQBEAGEAdABhAC4AQgB1AHIAbgBpAG4AZwBPAGYAQQBnAHIAaQBjAHUAbAB0AHUAcgBhAGwAUgBlAHMAaQBkAHUAZQBzAEUARgBzAF8ARABlAHMAYwByAGkAcAB0AGkAbwBuACIALAAiAEEAZwByAGUAcwBpAGQAdQBlAF8AUwBvAHUAcgBjAGUARABhAHQAYQAuAEIAdQByAG4AaQBuAGcATwBmAEEAZwByAGkAYwB1AGwAdAB1AHIAYQBsAFIAZQBzAGkAZAB1AGUAcwBFAEYAcwBfAFMAbwB1AHIAYwBlACIALAAiAEEAZwByAGUAcwBpAGQAdQBlAF8AUwBvAHUAcgBjAGUARABhAHQAYQAuAEIAdQByAG4AaQBuAGcATwBmAEEAZwByAGkAYwB1AGwAdAB1AHIAYQBsAFIAZQBzAGkAZAB1AGUAcwBFAEYAcwBfAEQAYQB0AGEAIgAsACIAQQBnAHIAZQBzAGkAZAB1AGUAXwBTAG8AdQByAGMAZQBEAGEAdABhAC4ATgAyAE8ARQBGAE8AcgBnAGEAbgBpAGMARgBlAHIAdABpAGwAaQBzAGUAcgBfAFQAaQB0AGwAZQAiACwAIgBBAGcAcgBlAHMAaQBkAHUAZQBfAFMAbwB1AHIAYwBlAEQAYQB0AGEALgBOADIATwBFAEYATwByAGcAYQBuAGkAYwBGAGUAcgB0AGkAbABpAHMAZQByAF8AVQBuAGkAdAAiACwAIgBBAGcAcgBlAHMAaQBkAHUAZQBfAFMAbwB1AHIAYwBlAEQAYQB0AGEALgBOADIATwBFAEYATwByAGcAYQBuAGkAYwBGAGUAcgB0AGkAbABpAHMAZQByAF8AUwBvAHUAcgBjAGUAIgAsACIAQQBnAHIAZQBzAGkAZAB1AGUAXwBTAG8AdQByAGMAZQBEAGEAdABhAC4ATgAyAE8ARQBGAE8AcgBnAGEAbgBpAGMARgBlAHIAdABpAGwAaQBzAGUAcgBfAE4ASQBSAFIAZQBmAGUAcgBlAG4AYwBlACIALAAiAEEAZwByAGUAcwBpAGQAdQBlAF8AUwBvAHUAcgBjAGUARABhAHQAYQAuAE4AMgBPAEUARgBPAHIAZwBhAG4AaQBjAEYAZQByAHQAaQBsAGkAcwBlAHIAXwBEAGEAdABhACIALAAiAEEAZwBSAGUAcwBpAGQAdQBlAF8ARQBxAHUAYQB0AGkAbwBuAHMAXwBDAHIAbwBwAFIAZQBzAGkAZAB1AGUALgBWAEUARQBSAEcAXwA2AF8AMQBfADEAXwAxAF8AXwAxAF8AXwBOAGkAdAByAG8AdQBzAE8AeABpAGQAZQBFAG0AaQBzAHMAaQBvAG4AcwBGAHIAbwBtAEMAcgBvAHAAUgBlAHMAaQBkAHUAZQBzACIALAAiAEEAZwBSAGUAcwBpAGQAdQBlAF8ARQBxAHUAYQB0AGkAbwBuAHMAXwBDAHIAbwBwAFIAZQBzAGkAZAB1AGUALgBWAEUARQBSAEcAXwA2AF8AMQBfADEAXwAxAF8AXwAxAF8AXwBOAGkAdAByAG8AdQBzAE8AeABpAGQAZQBFAG0AaQBzAHMAaQBvAG4AcwBGAHIAbwBtAEMAcgBvAHAAUgBlAHMAaQBkAHUAZQBzAF8ARgB1AG4AYwB0AGkAbwBuAE4AYQBtAGUAIgAsACIAQQBnAFIAZQBzAGkAZAB1AGUAXwBFAHEAdQBhAHQAaQBvAG4AcwBfAEMAcgBvAHAAUgBlAHMAaQBkAHUAZQAuAFYARQBFAFIARwBfADYAXwAxAF8AMQBfADEAXwBfADEAXwBfAE4AaQB0AHIAbwB1AHMATwB4AGkAZABlAEUAbQBpAHMAcwBpAG8AbgBzAEYAcgBvAG0AQwByAG8AcABSAGUAcwBpAGQAdQBlAHMAXwBUAGkAdABsAGUAIgAsACIAQQBnAFIAZQBzAGkAZAB1AGUAXwBFAHEAdQBhAHQAaQBvAG4AcwBfAEMAcgBvAHAAUgBlAHMAaQBkAHUAZQAuAFYARQBFAFIARwBfADYAXwAxAF8AMQBfADEAXwBfADEAXwBfAE4AaQB0AHIAbwB1AHMATwB4AGkAZABlAEUAbQBpAHMAcwBpAG8AbgBzAEYAcgBvAG0AQwByAG8AcABSAGUAcwBpAGQAdQBlAHMAXwBWAGEAcgBpAGEAYgBsAGUAIgAsACIAQQBnAFIAZQBzAGkAZAB1AGUAXwBFAHEAdQBhAHQAaQBvAG4AcwBfAEMAcgBvAHAAUgBlAHMAaQBkAHUAZQAuAFYARQBFAFIARwBfADYAXwAxAF8AMQBfADEAXwBfADEAXwBfAE4AaQB0AHIAbwB1AHMATwB4AGkAZABlAEUAbQBpAHMAcwBpAG8AbgBzAEYAcgBvAG0AQwByAG8AcABSAGUAcwBpAGQAdQBlAHMAXwBVAG4AaQB0ACIALAAiAEEAZwBSAGUAcwBpAGQAdQBlAF8ARQBxAHUAYQB0AGkAbwBuAHMAXwBDAHIAbwBwAFIAZQBzAGkAZAB1AGUALgBWAEUARQBSAEcAXwA2AF8AMQBfADEAXwAxAF8AXwAxAF8AXwBOAGkAdAByAG8AdQBzAE8AeABpAGQAZQBFAG0AaQBzAHMAaQBvAG4AcwBGAHIAbwBtAEMAcgBvAHAAUgBlAHMAaQBkAHUAZQBzAF8AUwBvAHUAcgBjAGUAIgAsACIAQQBnAFIAZQBzAGkAZAB1AGUAXwBFAHEAdQBhAHQAaQBvAG4AcwBfAEMAcgBvAHAAUgBlAHMAaQBkAHUAZQAuAFYARQBFAFIARwBfADYAXwAxAF8AMQBfADEAXwBfADEAXwBfAE4AaQB0AHIAbwB1AHMATwB4AGkAZABlAEUAbQBpAHMAcwBpAG8AbgBzAEYAcgBvAG0AQwByAG8AcABSAGUAcwBpAGQAdQBlAHMAXwBOAEkAUgBSAGUAZgBlAHIAZQBuAGMAZQAiACwAIgBBAGcAUgBlAHMAaQBkAHUAZQBfAEUAcQB1AGEAdABpAG8AbgBzAF8AQwByAG8AcABSAGUAcwBpAGQAdQBlAC4AVgBFAEUAUgBHAF8ANgBfADEAXwAxAF8AMQBfAF8AMQBfAF8ATgBpAHQAcgBvAHUAcwBPAHgAaQBkAGUARQBtAGkAcwBzAGkAbwBuAHMARgByAG8AbQBDAHIAbwBwAFIAZQBzAGkAZAB1AGUAcwBfAEwAYQB0AGUAeABFAHEAdQBhAHQAaQBvAG4AIgAsACIAQQBnAFIAZQBzAGkAZAB1AGUAXwBFAHEAdQBhAHQAaQBvAG4AcwBfAEMAcgBvAHAAUgBlAHMAaQBkAHUAZQAuAFYARQBFAFIARwBfADYAXwAxAF8AMQBfADEAXwBfADEAXwBfAE4AaQB0AHIAbwB1AHMATwB4AGkAZABlAEUAbQBpAHMAcwBpAG8AbgBzAEYAcgBvAG0AQwByAG8AcABSAGUAcwBpAGQAdQBlAHMAXwBBAHIAZwB1AG0AZQBuAHQAcwAiACwAIgBBAGcAUgBlAHMAaQBkAHUAZQBfAEUAcQB1AGEAdABpAG8AbgBzAF8AQwByAG8AcABSAGUAcwBpAGQAdQBlAC4AVgBFAEUAUgBHAF8ANgBfADEAXwAxAF8AMQBfAF8AMgBfAF8ATQBhAHMAcwBPAGYATgBpAHQAcgBvAGcAZQBuAEkAbgBDAHIAbwBwAFIAZQBzAGkAZAB1AGUAcwAiACwAIgBBAGcAUgBlAHMAaQBkAHUAZQBfAEUAcQB1AGEAdABpAG8AbgBzAF8AQwByAG8AcABSAGUAcwBpAGQAdQBlAC4AVgBFAEUAUgBHAF8ANgBfADEAXwAxAF8AMQBfAF8AMgBfAF8ATQBhAHMAcwBPAGYATgBpAHQAcgBvAGcAZQBuAEkAbgBDAHIAbwBwAFIAZQBzAGkAZAB1AGUAcwBfAFQAaQB0AGwAZQAiACwAIgBBAGcAUgBlAHMAaQBkAHUAZQBfAEUAcQB1AGEAdABpAG8AbgBzAF8AQwByAG8AcABSAGUAcwBpAGQAdQBlAC4AVgBFAEUAUgBHAF8ANgBfADEAXwAxAF8AMQBfAF8AMgBfAF8ATQBhAHMAcwBPAGYATgBpAHQAcgBvAGcAZQBuAEkAbgBDAHIAbwBwAFIAZQBzAGkAZAB1AGUAcwBfAFYAYQByAGkAYQBiAGwAZQAiACwAIgBBAGcAUgBlAHMAaQBkAHUAZQBfAEUAcQB1AGEAdABpAG8AbgBzAF8AQwByAG8AcABSAGUAcwBpAGQAdQBlAC4AVgBFAEUAUgBHAF8ANgBfADEAXwAxAF8AMQBfAF8AMgBfAF8ATQBhAHMAcwBPAGYATgBpAHQAcgBvAGcAZQBuAEkAbgBDAHIAbwBwAFIAZQBzAGkAZAB1AGUAcwBfAFUAbgBpAHQAIgAsACIAQQBnAFIAZQBzAGkAZAB1AGUAXwBFAHEAdQBhAHQAaQBvAG4AcwBfAEMAcgBvAHAAUgBlAHMAaQBkAHUAZQAuAFYARQBFAFIARwBfADYAXwAxAF8AMQBfADEAXwBfADIAXwBfAE0AYQBzAHMATwBmAE4AaQB0AHIAbwBnAGUAbgBJAG4AQwByAG8AcABSAGUAcwBpAGQAdQBlAHMAXwBTAG8AdQByAGMAZQAiACwAIgBBAGcAUgBlAHMAaQBkAHUAZQBfAEUAcQB1AGEAdABpAG8AbgBzAF8AQwByAG8AcABSAGUAcwBpAGQAdQBlAC4AVgBFAEUAUgBHAF8ANgBfADEAXwAxAF8AMQBfAF8AMgBfAF8ATQBhAHMAcwBPAGYATgBpAHQAcgBvAGcAZQBuAEkAbgBDAHIAbwBwAFIAZQBzAGkAZAB1AGUAcwBfAE4ASQBSAFIAZQBmAGUAcgBlAG4AYwBlACIALAAiAEEAZwBSAGUAcwBpAGQAdQBlAF8ARQBxAHUAYQB0AGkAbwBuAHMAXwBDAHIAbwBwAFIAZQBzAGkAZAB1AGUALgBWAEUARQBSAEcAXwA2AF8AMQBfADEAXwAxAF8AXwAyAF8AXwBNAGEAcwBzAE8AZgBOAGkAdAByAG8AZwBlAG4ASQBuAEMAcgBvAHAAUgBlAHMAaQBkAHUAZQBzAF8ATABhAHQAZQB4AEUAcQB1AGEAdABpAG8AbgAiACwAIgBBAGcAUgBlAHMAaQBkAHUAZQBfAEUAcQB1AGEAdABpAG8AbgBzAF8AQwByAG8AcABSAGUAcwBpAGQAdQBlAC4AVgBFAEUAUgBHAF8ANgBfADEAXwAxAF8AMQBfAF8AMgBfAF8ATQBhAHMAcwBPAGYATgBpAHQAcgBvAGcAZQBuAEkAbgBDAHIAbwBwAFIAZQBzAGkAZAB1AGUAcwBfAEEAcgBnAHUAbQBlAG4AdABzACIALAAiAEEAZwBSAGUAcwBpAGQAdQBlAF8ARQBxAHUAYQB0AGkAbwBuAHMAXwBDAHIAbwBwAFIAZQBzAGkAZAB1AGUALgBWAEUARQBSAEcAXwA2AF8AMQBfADEAXwAxAF8AXwAyAF8AXwBNAGEAcwBzAE8AZgBOAGkAdAByAG8AZwBlAG4ASQBuAEMAcgBvAHAAUgBlAHMAaQBkAHUAZQBzAF8AQQByAGcAdQBtAGUAbgB0AHMAXwBNAGUAdABoAG8AZAAyACIALAAiAEEAZwBSAGUAcwBpAGQAdQBlAF8ARQBxAHUAYQB0AGkAbwBuAHMAXwBDAHIAbwBwAFIAZQBzAGkAZAB1AGUALgBWAEUARQBSAEcAXwA2AF8AMQBfADEAXwAyAF8AXwAxAF8AXwBGAHIAYQBjAHQAaQBvAG4ATwBmAEMAcgBvAHAAUgBlAHMAaQBkAHUAZQBSAGUAbQBvAHYAZQBkAEIAYQBsAGUAZAAiACwAIgBBAGcAUgBlAHMAaQBkAHUAZQBfAEUAcQB1AGEAdABpAG8AbgBzAF8AQwByAG8AcABSAGUAcwBpAGQAdQBlAC4AVgBFAEUAUgBHAF8ANgBfADEAXwAxAF8AMgBfAF8AMQBfAF8ARgByAGEAYwB0AGkAbwBuAE8AZgBDAHIAbwBwAFIAZQBzAGkAZAB1AGUAUgBlAG0AbwB2AGUAZABCAGEAbABlAGQAXwBUAGkAdABsAGUAIgAsACIAQQBnAFIAZQBzAGkAZAB1AGUAXwBFAHEAdQBhAHQAaQBvAG4AcwBfAEMAcgBvAHAAUgBlAHMAaQBkAHUAZQAuAFYARQBFAFIARwBfADYAXwAxAF8AMQBfADIAXwBfADEAXwBfAEYAcgBhAGMAdABpAG8AbgBPAGYAQwByAG8AcABSAGUAcwBpAGQAdQBlAFIAZQBtAG8AdgBlAGQAQgBhAGwAZQBkAF8AVgBhAHIAaQBhAGIAbABlACIALAAiAEEAZwBSAGUAcwBpAGQAdQBlAF8ARQBxAHUAYQB0AGkAbwBuAHMAXwBDAHIAbwBwAFIAZQBzAGkAZAB1AGUALgBWAEUARQBSAEcAXwA2AF8AMQBfADEAXwAyAF8AXwAxAF8AXwBGAHIAYQBjAHQAaQBvAG4ATwBmAEMAcgBvAHAAUgBlAHMAaQBkAHUAZQBSAGUAbQBvAHYAZQBkAEIAYQBsAGUAZABfAFUAbgBpAHQAIgAsACIAQQBnAFIAZQBzAGkAZAB1AGUAXwBFAHEAdQBhAHQAaQBvAG4AcwBfAEMAcgBvAHAAUgBlAHMAaQBkAHUAZQAuAFYARQBFAFIARwBfADYAXwAxAF8AMQBfADIAXwBfADEAXwBfAEYAcgBhAGMAdABpAG8AbgBPAGYAQwByAG8AcABSAGUAcwBpAGQAdQBlAFIAZQBtAG8AdgBlAGQAQgBhAGwAZQBkAF8AUwBvAHUAcgBjAGUAIgAsACIAQQBnAFIAZQBzAGkAZAB1AGUAXwBFAHEAdQBhAHQAaQBvAG4AcwBfAEMAcgBvAHAAUgBlAHMAaQBkAHUAZQAuAFYARQBFAFIARwBfADYAXwAxAF8AMQBfADIAXwBfADEAXwBfAEYAcgBhAGMAdABpAG8AbgBPAGYAQwByAG8AcABSAGUAcwBpAGQAdQBlAFIAZQBtAG8AdgBlAGQAQgBhAGwAZQBkAF8ATgBJAFIAUgBlAGYAZQByAGUAbgBjAGUAIgAsACIAQQBnAFIAZQBzAGkAZAB1AGUAXwBFAHEAdQBhAHQAaQBvAG4AcwBfAEMAcgBvAHAAUgBlAHMAaQBkAHUAZQAuAFYARQBFAFIARwBfADYAXwAxAF8AMQBfADIAXwBfADEAXwBfAEYAcgBhAGMAdABpAG8AbgBPAGYAQwByAG8AcABSAGUAcwBpAGQAdQBlAFIAZQBtAG8AdgBlAGQAQgBhAGwAZQBkAF8ATABhAHQAZQB4AEUAcQB1AGEAdABpAG8AbgAiACwAIgBBAGcAUgBlAHMAaQBkAHUAZQBfAEUAcQB1AGEAdABpAG8AbgBzAF8AQwByAG8AcABSAGUAcwBpAGQAdQBlAC4AVgBFAEUAUgBHAF8ANgBfADEAXwAxAF8AMgBfAF8AMQBfAF8ARgByAGEAYwB0AGkAbwBuAE8AZgBDAHIAbwBwAFIAZQBzAGkAZAB1AGUAUgBlAG0AbwB2AGUAZABCAGEAbABlAGQAXwBBAHIAZwB1AG0AZQBuAHQAcwAiACwAIgBBAGcAUgBlAHMAaQBkAHUAZQBfAEUAcQB1AGEAdABpAG8AbgBzAF8AQwByAG8AcABSAGUAcwBpAGQAdQBlAC4AVgBFAEUAUgBHAF8ANgBfADEAXwAxAF8AMgBfAF8AMQBfAF8ARgByAGEAYwB0AGkAbwBuAE8AZgBDAHIAbwBwAFIAZQBzAGkAZAB1AGUAUgBlAG0AbwB2AGUAZABCAGEAbA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72</vt:i4>
      </vt:variant>
    </vt:vector>
  </HeadingPairs>
  <TitlesOfParts>
    <vt:vector size="86"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VEERG_6_1_1_1__1__NitrousOxideEmissionsFromCropResidues_Result_Method1</vt:lpstr>
      <vt:lpstr>VEERG_6_1_1_1__1__NitrousOxideEmissionsFromCropResidues_Result_Method2</vt:lpstr>
      <vt:lpstr>VEERG_6_1_1_1__2__MassOfNitrogenInCropResidues_Result_Method1</vt:lpstr>
      <vt:lpstr>VEERG_6_1_1_1__2__MassOfNitrogenInCropResidues_Result_Method2</vt:lpstr>
      <vt:lpstr>VEERG_6_1_1_2__1__FractionOfCropResidueRemovedBaled_Result</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X_Cell_Crop_TotalProductionOfCrop</vt:lpstr>
      <vt:lpstr>X_Cell_Crop_TotalResidueBaled</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2026-08-14T00:02:30Z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