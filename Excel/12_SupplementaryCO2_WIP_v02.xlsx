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C77F040-612A-426B-808B-CCAAFDF22678}" xr6:coauthVersionLast="47" xr6:coauthVersionMax="47" xr10:uidLastSave="{00000000-0000-0000-0000-000000000000}"/>
  <bookViews>
    <workbookView xWindow="4290" yWindow="4290" windowWidth="28800" windowHeight="15345"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7"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7" l="1"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c r="D229" i="127" a="1"/>
  <c r="D228" i="127"/>
  <c r="D228" i="127" a="1"/>
  <c r="D227" i="127" a="1"/>
  <c r="D227" i="127" s="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a="1"/>
  <c r="F189" i="127" s="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a="1"/>
  <c r="D169" i="127" s="1"/>
  <c r="D168" i="127" a="1"/>
  <c r="D168" i="127" s="1"/>
  <c r="D167" i="127" a="1"/>
  <c r="D167" i="127" s="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a="1"/>
  <c r="E145" i="127" s="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a="1"/>
  <c r="D132" i="127" s="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a="1"/>
  <c r="D107" i="127" s="1"/>
  <c r="D106" i="127" a="1"/>
  <c r="D106" i="127" s="1"/>
  <c r="D105" i="127" a="1"/>
  <c r="D105" i="127" s="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a="1"/>
  <c r="D82" i="127" s="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H48" i="127" s="1"/>
  <c r="E48" i="127" a="1"/>
  <c r="E48" i="127" s="1"/>
  <c r="D48" i="127" a="1"/>
  <c r="D48" i="127" s="1"/>
  <c r="D46" i="127" a="1"/>
  <c r="D46" i="127" s="1"/>
  <c r="D45" i="127" a="1"/>
  <c r="D45" i="127" s="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a="1"/>
  <c r="D35" i="127" s="1"/>
  <c r="D34" i="127" a="1"/>
  <c r="D34"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a="1"/>
  <c r="D19" i="127" s="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A8" i="127"/>
  <c r="F7" i="127" a="1"/>
  <c r="F7" i="127" s="1"/>
  <c r="E7" i="127" a="1"/>
  <c r="E7" i="127" s="1"/>
  <c r="D7" i="127" a="1"/>
  <c r="D7" i="127" s="1"/>
  <c r="A7" i="127"/>
  <c r="D5" i="127" a="1"/>
  <c r="D5" i="127" s="1"/>
  <c r="A3" i="127"/>
  <c r="A8" i="71"/>
  <c r="A7" i="71"/>
  <c r="A3" i="71"/>
  <c r="A17" i="69"/>
  <c r="A13" i="69"/>
  <c r="A9" i="69"/>
  <c r="A5" i="69"/>
  <c r="A4" i="69"/>
  <c r="A3" i="69"/>
  <c r="A17" i="70"/>
  <c r="A13" i="70"/>
  <c r="A9" i="70"/>
  <c r="A5" i="70"/>
  <c r="A4" i="70"/>
  <c r="A3" i="70"/>
  <c r="A17" i="13"/>
  <c r="A13" i="13"/>
  <c r="A9" i="13"/>
  <c r="A5" i="13"/>
  <c r="A4" i="13"/>
  <c r="A3" i="13"/>
  <c r="A17" i="118"/>
  <c r="A13" i="118"/>
  <c r="A9" i="118"/>
  <c r="A5" i="118"/>
  <c r="A4" i="118"/>
  <c r="A3" i="118"/>
  <c r="E15" i="69" a="1"/>
  <c r="E15" i="69" s="1"/>
  <c r="E9" i="13" s="1"/>
  <c r="E10" i="13" s="1"/>
  <c r="I13" i="69"/>
  <c r="G13" i="69" a="1"/>
  <c r="G13" i="69" s="1"/>
  <c r="D13" i="69" a="1"/>
  <c r="D13" i="69" s="1"/>
  <c r="E11" i="69" a="1"/>
  <c r="E11" i="69" s="1"/>
  <c r="F15" i="69" s="1"/>
  <c r="E10" i="69" a="1"/>
  <c r="E10" i="69" s="1"/>
  <c r="D6" i="69" a="1"/>
  <c r="D6" i="69" s="1"/>
  <c r="D5" i="69" a="1"/>
  <c r="D5" i="69" s="1"/>
  <c r="E7" i="69"/>
  <c r="H52" i="127" l="1"/>
  <c r="H54" i="127"/>
  <c r="H49" i="127"/>
  <c r="H51" i="127"/>
  <c r="H50" i="127"/>
  <c r="H53" i="127"/>
  <c r="F9" i="13" l="1"/>
  <c r="F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<sst xmlns="http://schemas.openxmlformats.org/spreadsheetml/2006/main" count="175" uniqueCount="146">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</sst>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4" fillId="4" borderId="2">
      <alignment horizontal="left" vertical="center"/>
    </xf>
    <xf numFmtId="0" fontId="26" fillId="4" borderId="2">
      <alignment horizontal="left" vertical="center"/>
    </xf>
    <xf numFmtId="0" fontId="45" fillId="0" borderId="0"/>
    <xf numFmtId="0" fontId="51" fillId="0" borderId="0" applyNumberFormat="0" applyFill="0" applyBorder="0" applyAlignment="0" applyProtection="0"/>
  </cellStyleXfs>
  <cellXfs count="6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6"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5" fillId="13" borderId="15" xfId="39" applyBorder="1">
      <alignment horizontal="left" vertical="center"/>
    </xf>
    <xf numFmtId="0" fontId="35" fillId="13" borderId="14" xfId="39" applyBorder="1">
      <alignment horizontal="left" vertical="center"/>
    </xf>
    <xf numFmtId="0" fontId="35" fillId="13" borderId="16" xfId="39" applyBorder="1">
      <alignment horizontal="left" vertical="center"/>
    </xf>
    <xf numFmtId="0" fontId="2" fillId="0" borderId="2" xfId="14">
      <alignment horizontal="center" vertical="center"/>
    </xf>
    <xf numFmtId="0" fontId="49" fillId="4" borderId="1" xfId="8" applyFont="1" applyBorder="1">
      <alignment horizontal="left" vertical="center"/>
    </xf>
    <xf numFmtId="0" fontId="47" fillId="4" borderId="1" xfId="8" applyFont="1" applyBorder="1">
      <alignment horizontal="left" vertical="center"/>
    </xf>
    <xf numFmtId="0" fontId="48" fillId="4" borderId="1" xfId="53" applyFont="1" applyBorder="1">
      <alignment horizontal="left" vertical="center"/>
    </xf>
    <xf numFmtId="0" fontId="50" fillId="9" borderId="4" xfId="34" applyFont="1">
      <alignment horizontal="left" vertical="center" indent="1"/>
    </xf>
    <xf numFmtId="0" fontId="20" fillId="10" borderId="0" xfId="35">
      <alignment horizontal="left" vertical="center" indent="1"/>
    </xf>
    <xf numFmtId="0" fontId="51"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Equation table" pivot="0" count="6" xr9:uid="{B247698E-E41D-4CCD-AA0A-C14817E9DE65}">
      <tableStyleElement type="wholeTable" dxfId="56"/>
      <tableStyleElement type="headerRow" dxfId="55"/>
      <tableStyleElement type="totalRow" dxfId="54"/>
      <tableStyleElement type="firstColumn" dxfId="53"/>
      <tableStyleElement type="firstRowStripe" dxfId="52"/>
      <tableStyleElement type="secondRowStripe" dxfId="5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 /><Relationship Id="rId13" Type="http://schemas.microsoft.com/office/2017/06/relationships/rdRichValue" Target="richData/rdrichvalue.xml" /><Relationship Id="rId18" Type="http://schemas.openxmlformats.org/officeDocument/2006/relationships/customXml" Target="../customXml/item2.xml" /><Relationship Id="rId3" Type="http://schemas.openxmlformats.org/officeDocument/2006/relationships/worksheet" Target="worksheets/sheet3.xml" /><Relationship Id="rId12" Type="http://schemas.microsoft.com/office/2022/10/relationships/richValueRel" Target="richData/richValueRel.xml" /><Relationship Id="rId17" Type="http://schemas.openxmlformats.org/officeDocument/2006/relationships/customXml" Target="../customXml/item1.xml" /><Relationship Id="rId2" Type="http://schemas.openxmlformats.org/officeDocument/2006/relationships/worksheet" Target="worksheets/sheet2.xml" /><Relationship Id="rId16" Type="http://schemas.openxmlformats.org/officeDocument/2006/relationships/calcChain" Target="calcChain.xml" /><Relationship Id="rId20" Type="http://schemas.openxmlformats.org/officeDocument/2006/relationships/customXml" Target="../customXml/item4.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eetMetadata" Target="metadata.xml" /><Relationship Id="rId5" Type="http://schemas.openxmlformats.org/officeDocument/2006/relationships/worksheet" Target="worksheets/sheet5.xml" /><Relationship Id="rId15" Type="http://schemas.microsoft.com/office/2017/06/relationships/rdRichValueTypes" Target="richData/rdRichValueTypes.xml" /><Relationship Id="rId10" Type="http://schemas.openxmlformats.org/officeDocument/2006/relationships/sharedStrings" Target="sharedStrings.xml" /><Relationship Id="rId19" Type="http://schemas.openxmlformats.org/officeDocument/2006/relationships/customXml" Target="../customXml/item3.xml" /><Relationship Id="rId4" Type="http://schemas.openxmlformats.org/officeDocument/2006/relationships/worksheet" Target="worksheets/sheet4.xml" /><Relationship Id="rId9" Type="http://schemas.openxmlformats.org/officeDocument/2006/relationships/styles" Target="styles.xml" /><Relationship Id="rId14" Type="http://schemas.microsoft.com/office/2017/06/relationships/rdRichValueStructure" Target="richData/rdrichvaluestructure.xml" /></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50"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9" dataCellStyle="Input text" totalsRowCellStyle="Input select"/>
    <tableColumn id="4" xr3:uid="{9DFFE0DC-C289-47FB-8F0C-2D2F480EEE4C}" name="Amount used (kg)" totalsRowDxfId="48"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2E5CC0-51D9-4693-8F13-EE89BBFD082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FF1F45C-A257-4FBD-B662-F87AE4470DFD}" name="State/Territory">
      <calculatedColumnFormula array="1">Common_InputFunctions.Utility_DisplayArrayInTable(Common_SourceData.Common_SourceData_AustralianStatesTerritories_Data(),Table_AustralianStates[[#Headers],[State/Territory]],0)</calculatedColumnFormula>
    </tableColumn>
    <tableColumn id="2" xr3:uid="{7D62EED0-F8E0-4CB9-A5FB-E5D1A1569379}" name="Common Name">
      <calculatedColumnFormula array="1">Common_InputFunctions.Utility_DisplayArrayInTable(Common_SourceData.Common_SourceData_AustralianStatesTerritories_Data(),Table_AustralianStates[[#Headers],[State/Territory]],0)</calculatedColumnFormula>
    </tableColumn>
    <tableColumn id="3" xr3:uid="{6B7D15F8-F738-4AB4-8563-D586E5E8915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3468AF-1637-4B61-8101-4451DA47C503}" name="Table_WASA4Areas" displayName="Table_WASA4Areas" ref="D20:D30" totalsRowShown="0">
  <autoFilter ref="D20:D30" xr:uid="{5FA81339-C6C8-4D36-BEEA-6C4AEDD9E676}">
    <filterColumn colId="0" hiddenButton="1"/>
  </autoFilter>
  <tableColumns count="1">
    <tableColumn id="1" xr3:uid="{2A03CE20-CD90-4FEE-B06F-64D2229A895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13A4C3-3110-43B6-9333-36BD164DE574}" name="Table_GWPData" displayName="Table_GWPData" ref="D36:E43" totalsRowShown="0">
  <autoFilter ref="D36:E43" xr:uid="{B8E87A66-3E41-4AD3-925D-01EE21B43D7A}">
    <filterColumn colId="0" hiddenButton="1"/>
    <filterColumn colId="1" hiddenButton="1"/>
  </autoFilter>
  <tableColumns count="2">
    <tableColumn id="1" xr3:uid="{E1FE04D9-8004-457C-B439-475F7D798807}" name="Gas">
      <calculatedColumnFormula array="1">Common_InputFunctions.Utility_DisplayArrayInTable(Common_SourceData.Common_SourceData_GWP_Data(), Table_GWPData[[#Headers],[Gas]], 0)</calculatedColumnFormula>
    </tableColumn>
    <tableColumn id="2" xr3:uid="{B1CDA4A4-DC83-4092-990E-729BE69759C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AA0145E-4972-4FBE-BA19-A44AA87A8B6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0CC170C-C31E-497A-ACD2-80A85C0E04D3}" name="Gas">
      <calculatedColumnFormula array="1">Common_InputFunctions.Utility_DisplayArrayInTable(Common_SourceData.Common_SourceData_ConvertGasElementalToMolecular_Data(),Table_GasToMolecularConversionFactor[[#Headers],[Gas]], 0)</calculatedColumnFormula>
    </tableColumn>
    <tableColumn id="5" xr3:uid="{0F79759F-937E-4445-9AD9-161629DAAB72}" name="Conversion factor">
      <calculatedColumnFormula array="1">Common_InputFunctions.Utility_DisplayArrayInTable(Common_SourceData.Common_SourceData_ConvertGasElementalToMolecular_Data(),Table_GasToMolecularConversionFactor[[#Headers],[Gas]], 0)</calculatedColumnFormula>
    </tableColumn>
    <tableColumn id="2" xr3:uid="{D962EEF6-94BE-4F0B-A8E8-7BD661065BB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4B32C4-EA66-41CE-9BCF-77085E9C967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E3FAB0A-2198-4ADE-A4B4-F8C7A4FF46E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4263C75-FC5C-4806-AB88-AAB491944BC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4ADDE4-4928-49CB-90E9-FD4B5F94FD4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4098229-8DD8-4238-8BE9-1749F815B636}"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D39C6A5-2D83-4117-BB06-46E31C33A684}"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6862CC3D-9AF8-4012-ADEB-C055476BFCE3}"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B88E6825-0EBC-4F28-9778-542DCF6EE9D6}"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B1B9737-5D3C-48D7-9AA5-42787EEE45B5}"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EEE8BF6C-1010-4996-A3A4-4ED33DE281E7}"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EE1B74A0-2FD4-4785-9EFF-0EC77517200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791F9712-0CB8-4AC9-9F73-9EC06540041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25B26DB-D756-4566-AF36-FFE06FF6C0C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B33DC8BE-97A4-47D5-A984-F8C69669E479}"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9E7D3FBA-D727-4894-BEB7-F73C2808ED29}"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1A094ED6-4D87-43EC-9048-0C0CB298F8AD}"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F02D46E9-F8D6-47D4-948F-57F0BD3C6369}"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D8B17B11-2259-4110-ACB8-B9BDD9032097}"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4F3B0D10-835D-43C1-B886-17F46C3C547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BA02A09-894F-47AC-8028-255B8D66EE5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6E59482-6658-4D2C-B205-B179937F0EE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FCBA2FA-738B-4322-B76F-F4C844C7BA74}"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A8F2B80-BDDB-4E61-9BC3-D974A0C5D4B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B6F5C9E-1A59-491C-ADC7-8F2AAF2E1ECA}" name="Temperature Zone">
      <calculatedColumnFormula array="1">Common_InputFunctions.Utility_DisplayArrayInTable(Common_SourceData.Common_SourceData_TemperatureZones_Data(),Table_SourceData_TemperatureZones[[#Headers],[Temperature Zone]],0)</calculatedColumnFormula>
    </tableColumn>
    <tableColumn id="2" xr3:uid="{F846C2D5-6F33-420D-88F1-89EBF37E06CE}" name="MAT">
      <calculatedColumnFormula array="1">Common_InputFunctions.Utility_DisplayArrayInTable(Common_SourceData.Common_SourceData_TemperatureZones_Data(),Table_SourceData_TemperatureZones[[#Headers],[Temperature Zone]],0)</calculatedColumnFormula>
    </tableColumn>
    <tableColumn id="3" xr3:uid="{F70FD646-BCC4-4C7F-95F3-287983709E86}" name="Min MAT">
      <calculatedColumnFormula array="1">Common_InputFunctions.Utility_DisplayArrayInTable(Common_SourceData.Common_SourceData_TemperatureZones_Data(),Table_SourceData_TemperatureZones[[#Headers],[Temperature Zone]],0)</calculatedColumnFormula>
    </tableColumn>
    <tableColumn id="4" xr3:uid="{6EC2E55A-AD1D-456D-B4A4-ADE8D85E887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95369C1-6979-4358-B872-8D1ECA4195C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D2A5443-0374-48BF-9095-EEA527A80FC3}" name="Rainfall Zone">
      <calculatedColumnFormula array="1">Common_InputFunctions.Utility_DisplayArrayInTable(Common_SourceData.Common_SourceData_RainfallZones_Data(),Table_SourceData_RainfallZones[[#Headers],[Rainfall Zone]],0)</calculatedColumnFormula>
    </tableColumn>
    <tableColumn id="2" xr3:uid="{C8B7866B-B74F-4B94-A281-7CC763518940}" name="Annual rainfall">
      <calculatedColumnFormula array="1">Common_InputFunctions.Utility_DisplayArrayInTable(Common_SourceData.Common_SourceData_RainfallZones_Data(),Table_SourceData_RainfallZones[[#Headers],[Rainfall Zone]],0)</calculatedColumnFormula>
    </tableColumn>
    <tableColumn id="3" xr3:uid="{7D2BB857-C755-4FE2-A26D-4BA6DFB59D52}" name="Min rainfall">
      <calculatedColumnFormula array="1">Common_InputFunctions.Utility_DisplayArrayInTable(Common_SourceData.Common_SourceData_RainfallZones_Data(),Table_SourceData_RainfallZones[[#Headers],[Rainfall Zone]],0)</calculatedColumnFormula>
    </tableColumn>
    <tableColumn id="4" xr3:uid="{76E0C7B0-8964-480E-983E-0D16D082116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5204035-E607-40B0-841C-696A4F9CBA9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C80224A-B498-4D53-B722-12C66D01AA32}" name="Leaching Zone">
      <calculatedColumnFormula array="1">Common_InputFunctions.Utility_DisplayArrayInTable(Common_SourceData.Common_SourceData_LeachingZones_Data(), Table_SourceData_LeachingZones[[#Headers],[Leaching Zone]], 0)</calculatedColumnFormula>
    </tableColumn>
    <tableColumn id="2" xr3:uid="{F816B62E-0FAD-4859-A5E6-4028D5585F6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63232A4-CD30-4832-B7C3-8B3A91193F2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EEC2BE-E76C-4578-9ACF-30EE648A1C4A}" name="Data source">
      <calculatedColumnFormula array="1">Common_InputFunctions.Utility_DisplayArrayInTable(Common_SourceData.Common_SourceData_DataScores_Scope3_Data(), Table_SourceData_DataScores_Scope3[[#Headers],[Data source]], 0)</calculatedColumnFormula>
    </tableColumn>
    <tableColumn id="2" xr3:uid="{8D86E644-DC11-4C40-9590-4B3BD6843A5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74E6B96-D709-47E0-A529-2EA1152BD842}" name="Table_SourceData_FracWET" displayName="Table_SourceData_FracWET" ref="D134:E136" totalsRowShown="0">
  <autoFilter ref="D134:E136" xr:uid="{308E99BE-FE1F-47A4-B2CA-97217277C4E9}">
    <filterColumn colId="0" hiddenButton="1"/>
    <filterColumn colId="1" hiddenButton="1"/>
  </autoFilter>
  <tableColumns count="2">
    <tableColumn id="1" xr3:uid="{5A7FC14B-7C0A-4795-A4BB-B5A55259AC62}" name="Is in leaching zone">
      <calculatedColumnFormula array="1">Common_InputFunctions.Utility_DisplayArrayInTable(Common_SourceData.Common_SourceData_FracWET_Data(),Table_SourceData_FracWET[[#Headers],[Is in leaching zone]],0)</calculatedColumnFormula>
    </tableColumn>
    <tableColumn id="2" xr3:uid="{D565A015-B07B-4B01-8002-21E487DC3EFE}"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6A9006D-8719-4529-8351-57A86E976DD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42A789A-147E-4054-BCFA-F187C396CB09}" name="Production system j">
      <calculatedColumnFormula array="1">Common_InputFunctions.Utility_DisplayArrayInTable(Common_SourceData.Common_SourceData_EFN2O_Data(), Table_SourceData_Common_EFN2O[[#Headers],[Production system j]], 0)</calculatedColumnFormula>
    </tableColumn>
    <tableColumn id="2" xr3:uid="{FB69C6DC-6B76-49D2-9F03-B36C9BF08012}" name="EFN2O">
      <calculatedColumnFormula array="1">Common_InputFunctions.Utility_DisplayArrayInTable(Common_SourceData.Common_SourceData_EFN2O_Data(), Table_SourceData_Common_EFN2O[[#Headers],[Production system j]], 0)</calculatedColumnFormula>
    </tableColumn>
    <tableColumn id="3" xr3:uid="{AD51D126-B857-4D8D-A27F-927A0FC6A400}" name="Production system only">
      <calculatedColumnFormula array="1">Common_InputFunctions.Utility_DisplayArrayInTable(Common_SourceData.Common_SourceData_EFN2O_Data(), Table_SourceData_Common_EFN2O[[#Headers],[Production system j]], 0)</calculatedColumnFormula>
    </tableColumn>
    <tableColumn id="4" xr3:uid="{6532262A-79D6-436F-ADDC-67AEA002ED1B}" name="Irrigation method">
      <calculatedColumnFormula array="1">Common_InputFunctions.Utility_DisplayArrayInTable(Common_SourceData.Common_SourceData_EFN2O_Data(), Table_SourceData_Common_EFN2O[[#Headers],[Production system j]], 0)</calculatedColumnFormula>
    </tableColumn>
    <tableColumn id="5" xr3:uid="{36C69E1B-355D-42DF-BBFC-B28B804B142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195DB36-0D2D-4696-B5D9-0496F3621E0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943B61C-730E-4A5A-A410-AD5391184A0E}" name="Irrigation type i">
      <calculatedColumnFormula array="1">Common_InputFunctions.Utility_DisplayArrayInTable(Common_SourceData.Common_SourceData_FracWETIrrigation_Data(), Table_SourceData_FracWETIrrigation[[#Headers],[Irrigation type i]], 0)</calculatedColumnFormula>
    </tableColumn>
    <tableColumn id="2" xr3:uid="{D803B934-6727-43C4-A265-7B34C9BC4F89}"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B0C3F3F-A746-42ED-8750-35C2F6712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C770A1E-D6CF-4B8A-90E5-7D0F886CA4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192D093-DE33-4D4A-A20D-A401A200BC52}"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DAB7093-D09D-4312-BD08-C8E6B32EA2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7D66F0-BFB2-4D00-B9D2-A1D7F1DCB237}" name="Month">
      <calculatedColumnFormula array="1">Common_InputFunctions.Utility_DisplayArrayInTable(Common_SourceData.Common_SourceData_MonthsToSeasons_Data(), Table_SourceData_Common_MonthToSeason[[#Headers],[Month]], 0)</calculatedColumnFormula>
    </tableColumn>
    <tableColumn id="2" xr3:uid="{131CC122-AD7D-44D1-82C8-C429D6B6F5ED}"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9765FC7-8C43-485E-9EF6-5C320FDFED0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2BD2A30-8A14-4435-B32A-263083D1096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42F433-191D-41DE-9A6B-BC015A7BCE9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9DEBC94-E9AB-4490-8024-B60234FC6EF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AD8D69-1D1D-4C5C-B78A-0475D8DA805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4219C4F-106F-42D2-80A1-A5452B13B0E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6909AA7-2D4A-4598-B095-6A05D10061E3}"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4CEEFCA-D8F2-446E-8C51-F9CF69B3BF79}"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A8AAB98-C810-4CF7-BFAE-7CAAED5E66BF}"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700EF10-B2A7-4DC9-A15E-1C09F1165D42}"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124471-C8A9-43BC-96E9-56BB6D193772}"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D5CF530-0D0C-4D9B-800D-68EAF27E2AE0}"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E991179-15C1-4CD8-9CE2-9ABAAB0F6DC5}"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E1D93F3-1B34-455C-9108-8E53F0A56965}"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55AF009-94DC-4DD6-AED5-950B7FD943B3}"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8A7EBCD-3DA5-4770-9AA8-0A38F4E9DA5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6D55E6A-65B7-46AF-A229-5777F5BC8E2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F0923DC-E698-47AB-BC8F-216FF0D424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BB2C1A2-85CC-4423-8E4F-D36B7036922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8DE39E9-0081-45E5-B5F1-EC70658B99D6}"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1308D86-6B36-4F0D-9536-A544390C8DB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E427B5A-0B9F-439F-85C5-0EEAEC63DBC6}" name="Description" dataDxfId="0" dataCellStyle="Content normal"/>
    <tableColumn id="1" xr3:uid="{404157F6-0C25-431C-9849-F709DC4EFC96}" name="ID"/>
    <tableColumn id="3" xr3:uid="{E6574B6D-73C7-4944-A460-9EDC5C5BB427}"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D9140AC-B2FF-4344-82A3-04D0E698E28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E069101-8B03-4FFA-BD92-1926D2744A82}" name="Description"/>
    <tableColumn id="2" xr3:uid="{71BBAFB5-9B78-40C7-94E9-103886B6EC9F}" name="ID"/>
    <tableColumn id="3" xr3:uid="{A87FD86C-FE18-4121-B895-EE81C8E4FB7E}"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DCB80B4-E58C-45AB-8208-D3CBC006D12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ECB4CE6-35EE-4C48-80E1-2CB7ED8B6CDC}" name="Description"/>
    <tableColumn id="2" xr3:uid="{43ADF377-CA66-42FA-AEA8-E3C6F57D9DAA}" name="ID"/>
    <tableColumn id="3" xr3:uid="{49931228-3201-44B3-9D6A-10FF2CF66A28}"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050CFB4-A6D7-45B8-A746-A4578925032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086BFEA3-45D0-4E22-B2C2-DB8FA068436B}" name="Description"/>
    <tableColumn id="2" xr3:uid="{7E5CC7BF-2BA6-416A-9C90-EE810584A7CF}" name="ID"/>
    <tableColumn id="3" xr3:uid="{7304EF1A-BC76-4E31-A95A-6AB427EBB95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7" sqref="A17"/>
    </sheetView>
  </sheetViews>
  <sheetFormatPr defaultRowHeight="15" x14ac:dyDescent="0.25"/>
  <sheetData>
    <row r="1" spans="1:1" x14ac:dyDescent="0.25">
      <c r="A1" t="s">
        <v>97</v>
      </c>
    </row>
    <row r="3" spans="1:1" x14ac:dyDescent="0.25">
      <c r="A3" s="67" t="str">
        <f>HYPERLINK("#'Home'!A1", "Home")</f>
        <v>Home</v>
      </c>
    </row>
    <row r="6" spans="1:1" x14ac:dyDescent="0.25">
      <c r="A6" s="65"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29" t="e" vm="1">
        <v>#VALUE!</v>
      </c>
      <c r="C1" s="51" t="s">
        <v>96</v>
      </c>
      <c r="D1" s="52"/>
      <c r="E1" s="52"/>
      <c r="F1" s="52"/>
      <c r="G1" s="52"/>
      <c r="H1" s="52"/>
      <c r="I1" s="52"/>
      <c r="J1" s="52"/>
      <c r="K1" s="52"/>
      <c r="L1" s="52"/>
      <c r="M1" s="52"/>
      <c r="N1" s="52"/>
      <c r="O1" s="52"/>
      <c r="P1" s="52"/>
    </row>
    <row r="2" spans="1:17" ht="20.100000000000001" customHeight="1" x14ac:dyDescent="0.25">
      <c r="C2" s="52"/>
      <c r="D2" s="52"/>
      <c r="E2" s="52"/>
      <c r="F2" s="52"/>
      <c r="G2" s="52"/>
      <c r="H2" s="52"/>
      <c r="I2" s="52"/>
      <c r="J2" s="52"/>
      <c r="K2" s="52"/>
      <c r="L2" s="52"/>
      <c r="M2" s="52"/>
      <c r="N2" s="52"/>
      <c r="O2" s="52"/>
      <c r="P2" s="52"/>
      <c r="Q2" s="53"/>
    </row>
    <row r="3" spans="1:17" ht="20.100000000000001" customHeight="1" x14ac:dyDescent="0.25">
      <c r="A3" s="12" t="str">
        <f>HYPERLINK("#'Home'!A1", "Home")</f>
        <v>Home</v>
      </c>
      <c r="C3" s="54"/>
      <c r="D3" s="54"/>
      <c r="E3" s="54"/>
      <c r="F3" s="54"/>
      <c r="G3" s="54"/>
      <c r="H3" s="54"/>
      <c r="I3" s="54"/>
      <c r="J3" s="54"/>
      <c r="K3" s="54"/>
      <c r="L3" s="54"/>
      <c r="M3" s="54"/>
      <c r="N3" s="54"/>
      <c r="O3" s="54"/>
      <c r="P3" s="54"/>
    </row>
    <row r="4" spans="1:17" ht="20.100000000000001" customHeight="1" x14ac:dyDescent="0.25">
      <c r="A4" s="41" t="str">
        <f>HYPERLINK("#'Overview'!A1", "Overview")</f>
        <v>Overview</v>
      </c>
    </row>
    <row r="5" spans="1:17" ht="20.100000000000001" customHeight="1" x14ac:dyDescent="0.25">
      <c r="A5" s="12" t="str">
        <f>HYPERLINK("#'Results'!A1", "Results")</f>
        <v>Results</v>
      </c>
      <c r="D5" s="39" t="s">
        <v>82</v>
      </c>
      <c r="E5" s="33"/>
      <c r="F5" s="33"/>
      <c r="G5" s="33"/>
      <c r="H5" s="33"/>
      <c r="I5" s="33"/>
      <c r="J5" s="33"/>
      <c r="K5" s="33"/>
      <c r="L5" s="33"/>
      <c r="M5" s="33"/>
      <c r="N5" s="33"/>
      <c r="O5" s="30"/>
    </row>
    <row r="6" spans="1:17" ht="20.100000000000001" customHeight="1" x14ac:dyDescent="0.25">
      <c r="D6" s="55" t="s">
        <v>83</v>
      </c>
      <c r="E6" s="32"/>
      <c r="F6" s="32"/>
      <c r="G6" s="32"/>
      <c r="H6" s="32"/>
      <c r="I6" s="32"/>
      <c r="J6" s="32"/>
      <c r="K6" s="32"/>
      <c r="L6" s="32"/>
      <c r="M6" s="32"/>
      <c r="N6" s="32"/>
      <c r="O6" s="31"/>
    </row>
    <row r="7" spans="1:17" ht="20.100000000000001" customHeight="1" x14ac:dyDescent="0.25"/>
    <row r="8" spans="1:17" ht="20.100000000000001" customHeight="1" x14ac:dyDescent="0.25">
      <c r="A8" s="14" t="s">
        <v>0</v>
      </c>
    </row>
    <row r="9" spans="1:17" ht="20.100000000000001" customHeight="1" x14ac:dyDescent="0.25">
      <c r="A9" s="12" t="str">
        <f>HYPERLINK("#'Input - CO2 Use'!A1", "CO2 Use")</f>
        <v>CO2 Use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HYPERLINK("#'12.1.1-2 Supplementary CO2'!A1", "12.1.1-2 Supplementary CO2")</f>
        <v>12.1.1-2 Supplementary CO2</v>
      </c>
    </row>
    <row r="14" spans="1:17" ht="20.100000000000001" customHeight="1" x14ac:dyDescent="0.25">
      <c r="O14" s="1" t="s">
        <v>85</v>
      </c>
    </row>
    <row r="15" spans="1:17" ht="20.100000000000001" customHeight="1" x14ac:dyDescent="0.25"/>
    <row r="16" spans="1: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7" sqref="A17"/>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29" t="e" vm="1">
        <v>#VALUE!</v>
      </c>
      <c r="C1" s="51" t="s">
        <v>95</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1"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7" t="s">
        <v>49</v>
      </c>
      <c r="E8" s="37" t="s">
        <v>59</v>
      </c>
      <c r="F8" s="37" t="s">
        <v>60</v>
      </c>
      <c r="G8" s="37" t="s">
        <v>55</v>
      </c>
      <c r="H8" s="16"/>
    </row>
    <row r="9" spans="1:8" ht="20.100000000000001" customHeight="1" x14ac:dyDescent="0.25">
      <c r="A9" s="12" t="str">
        <f>HYPERLINK("#'Input - CO2 Use'!A1", "CO2 Use")</f>
        <v>CO2 Use</v>
      </c>
      <c r="C9" s="16"/>
      <c r="D9" s="1" t="s">
        <v>87</v>
      </c>
      <c r="E9" s="50">
        <f>VEERG_12_1_1_1__1_EmissionsFromSupplementaryCO2_Result_Method1</f>
        <v>0.2</v>
      </c>
      <c r="F9" s="50">
        <f>E9</f>
        <v>0.2</v>
      </c>
      <c r="G9" s="27" t="s">
        <v>94</v>
      </c>
      <c r="H9" s="16"/>
    </row>
    <row r="10" spans="1:8" ht="20.100000000000001" customHeight="1" x14ac:dyDescent="0.3">
      <c r="C10" s="16"/>
      <c r="D10" s="22" t="s">
        <v>54</v>
      </c>
      <c r="E10" s="36">
        <f>SUM(E9:E9)</f>
        <v>0.2</v>
      </c>
      <c r="F10" s="36">
        <f>SUM(F9:F9)</f>
        <v>0.2</v>
      </c>
      <c r="G10" s="34" t="s">
        <v>94</v>
      </c>
      <c r="H10" s="16"/>
    </row>
    <row r="11" spans="1:8" ht="20.100000000000001" customHeight="1" x14ac:dyDescent="0.25">
      <c r="C11" s="16"/>
      <c r="D11" s="1"/>
      <c r="E11" s="1"/>
      <c r="F11" s="1"/>
      <c r="G11" s="1"/>
      <c r="H11" s="16"/>
    </row>
    <row r="12" spans="1:8" ht="20.100000000000001" customHeight="1" x14ac:dyDescent="0.25">
      <c r="A12" s="13" t="s">
        <v>44</v>
      </c>
      <c r="C12" s="16"/>
      <c r="D12" s="1"/>
      <c r="E12" s="1"/>
      <c r="F12" s="1"/>
      <c r="G12" s="1"/>
      <c r="H12" s="16"/>
    </row>
    <row r="13" spans="1:8" ht="20.100000000000001" customHeight="1" x14ac:dyDescent="0.25">
      <c r="A13" s="12" t="str">
        <f>HYPERLINK("#'12.1.1-2 Supplementary CO2'!A1", "12.1.1-2 Supplementary CO2")</f>
        <v>12.1.1-2 Supplementary CO2</v>
      </c>
      <c r="C13" s="16"/>
      <c r="D13" s="1"/>
      <c r="E13" s="38"/>
      <c r="F13" s="27"/>
      <c r="G13" s="1"/>
      <c r="H13" s="16"/>
    </row>
    <row r="14" spans="1:8" ht="20.100000000000001" customHeight="1" x14ac:dyDescent="0.25">
      <c r="C14" s="16"/>
      <c r="D14" s="1"/>
      <c r="E14" s="38"/>
      <c r="F14" s="27"/>
      <c r="G14" s="1"/>
      <c r="H14" s="16"/>
    </row>
    <row r="15" spans="1:8" ht="20.100000000000001" customHeight="1" x14ac:dyDescent="0.25">
      <c r="C15" s="16"/>
      <c r="D15" s="1"/>
      <c r="E15" s="1"/>
      <c r="F15" s="1"/>
      <c r="G15" s="1"/>
      <c r="H15" s="16"/>
    </row>
    <row r="16" spans="1:8" ht="20.100000000000001" customHeight="1" x14ac:dyDescent="0.25">
      <c r="A16" s="65" t="s">
        <v>1</v>
      </c>
      <c r="C16" s="16"/>
      <c r="D16" s="1"/>
      <c r="E16" s="1"/>
      <c r="F16" s="1"/>
      <c r="G16" s="1"/>
      <c r="H16" s="16"/>
    </row>
    <row r="17" spans="1:8" ht="20.100000000000001" customHeight="1" x14ac:dyDescent="0.25">
      <c r="A17" s="12" t="str">
        <f>HYPERLINK("#'Constants - Common'!A1", "Constants - Common")</f>
        <v>Constants - Common</v>
      </c>
      <c r="C17" s="16"/>
      <c r="D17" s="1"/>
      <c r="E17" s="1"/>
      <c r="F17" s="1"/>
      <c r="G17" s="1"/>
      <c r="H17" s="16"/>
    </row>
    <row r="18" spans="1:8" ht="20.100000000000001" customHeight="1" x14ac:dyDescent="0.25">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38"/>
      <c r="F21" s="27"/>
      <c r="G21" s="1"/>
      <c r="H21" s="16"/>
    </row>
    <row r="22" spans="1:8" ht="20.100000000000001" customHeight="1" x14ac:dyDescent="0.25">
      <c r="C22" s="16"/>
      <c r="D22" s="1"/>
      <c r="E22" s="38"/>
      <c r="F22" s="27"/>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3"/>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29" customFormat="1" ht="30" customHeight="1" x14ac:dyDescent="0.35">
      <c r="A1" s="29" t="e" vm="1">
        <v>#VALUE!</v>
      </c>
      <c r="C1" s="29" t="s">
        <v>86</v>
      </c>
    </row>
    <row r="2" spans="1:7" s="8" customFormat="1" ht="20.100000000000001" customHeight="1" x14ac:dyDescent="0.25">
      <c r="A2"/>
    </row>
    <row r="3" spans="1:7" ht="20.100000000000001" customHeight="1" x14ac:dyDescent="0.25">
      <c r="A3" s="12" t="str">
        <f>HYPERLINK("#'Home'!A1", "Home")</f>
        <v>Home</v>
      </c>
      <c r="C3" s="11"/>
      <c r="D3" s="11"/>
      <c r="E3" s="11"/>
      <c r="F3" s="11"/>
      <c r="G3" s="11"/>
    </row>
    <row r="4" spans="1:7" ht="20.100000000000001" customHeight="1" x14ac:dyDescent="0.25">
      <c r="A4" s="12" t="str">
        <f>HYPERLINK("#'Overview'!A1", "Overview")</f>
        <v>Overview</v>
      </c>
    </row>
    <row r="5" spans="1:7" ht="20.100000000000001" customHeight="1" x14ac:dyDescent="0.25">
      <c r="A5" s="12" t="str">
        <f>HYPERLINK("#'Results'!A1", "Results")</f>
        <v>Results</v>
      </c>
      <c r="D5" s="5" t="s">
        <v>92</v>
      </c>
      <c r="E5" s="2"/>
      <c r="F5" s="2"/>
    </row>
    <row r="6" spans="1:7" ht="20.100000000000001" customHeight="1" x14ac:dyDescent="0.25">
      <c r="D6" s="16"/>
      <c r="E6" s="16"/>
      <c r="F6" s="16"/>
    </row>
    <row r="7" spans="1:7" ht="20.100000000000001" customHeight="1" x14ac:dyDescent="0.25">
      <c r="D7" s="59" t="s">
        <v>84</v>
      </c>
      <c r="E7" s="60"/>
      <c r="F7" s="58"/>
    </row>
    <row r="8" spans="1:7" ht="20.100000000000001" customHeight="1" x14ac:dyDescent="0.25">
      <c r="A8" s="14" t="s">
        <v>0</v>
      </c>
      <c r="D8" s="16"/>
      <c r="E8" s="16"/>
      <c r="F8" s="16"/>
    </row>
    <row r="9" spans="1:7" ht="20.100000000000001" customHeight="1" x14ac:dyDescent="0.25">
      <c r="A9" s="40" t="str">
        <f>HYPERLINK("#'Input - CO2 Use'!A1", "CO2 Use")</f>
        <v>CO2 Use</v>
      </c>
      <c r="D9" s="43" t="s">
        <v>89</v>
      </c>
      <c r="E9" s="43" t="s">
        <v>88</v>
      </c>
      <c r="F9" s="16"/>
    </row>
    <row r="10" spans="1:7" ht="20.100000000000001" customHeight="1" x14ac:dyDescent="0.25">
      <c r="D10" s="61" t="s">
        <v>90</v>
      </c>
      <c r="E10" s="57">
        <v>100</v>
      </c>
    </row>
    <row r="11" spans="1:7" ht="20.100000000000001" customHeight="1" x14ac:dyDescent="0.25">
      <c r="D11" s="61" t="s">
        <v>91</v>
      </c>
      <c r="E11" s="57">
        <v>100</v>
      </c>
    </row>
    <row r="12" spans="1:7" ht="20.100000000000001" customHeight="1" x14ac:dyDescent="0.25">
      <c r="A12" s="13" t="s">
        <v>44</v>
      </c>
    </row>
    <row r="13" spans="1:7" ht="20.100000000000001" customHeight="1" x14ac:dyDescent="0.25">
      <c r="A13" s="12" t="str">
        <f>HYPERLINK("#'12.1.1-2 Supplementary CO2'!A1", "12.1.1-2 Supplementary CO2")</f>
        <v>12.1.1-2 Supplementary CO2</v>
      </c>
    </row>
    <row r="14" spans="1:7" ht="20.100000000000001" customHeight="1" x14ac:dyDescent="0.25"/>
    <row r="15" spans="1:7" ht="20.100000000000001" customHeight="1" x14ac:dyDescent="0.25"/>
    <row r="16" spans="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7" ht="20.100000000000001" customHeight="1" x14ac:dyDescent="0.25"/>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5"/>
      <c r="G38" s="45"/>
    </row>
    <row r="39" spans="1:7" ht="20.100000000000001" customHeight="1" x14ac:dyDescent="0.25">
      <c r="C39" s="45"/>
      <c r="G39" s="45"/>
    </row>
    <row r="40" spans="1:7" s="46" customFormat="1" ht="20.100000000000001" customHeight="1" x14ac:dyDescent="0.25">
      <c r="A40"/>
      <c r="C40" s="1"/>
      <c r="D40" s="1"/>
      <c r="E40" s="1"/>
      <c r="F40" s="1"/>
      <c r="G40" s="1"/>
    </row>
    <row r="41" spans="1:7" s="46" customFormat="1" ht="20.100000000000001" customHeight="1" x14ac:dyDescent="0.25">
      <c r="A41"/>
      <c r="C41" s="1"/>
      <c r="D41" s="1"/>
      <c r="E41" s="1"/>
      <c r="F41" s="1"/>
      <c r="G41" s="1"/>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5"/>
    </row>
  </sheetData>
  <phoneticPr fontId="21" type="noConversion"/>
  <conditionalFormatting sqref="F47 E200 F210">
    <cfRule type="cellIs" dxfId="47" priority="62" operator="lessThan">
      <formula>0</formula>
    </cfRule>
  </conditionalFormatting>
  <conditionalFormatting sqref="F126:F127">
    <cfRule type="cellIs" dxfId="46" priority="21" operator="lessThan">
      <formula>0</formula>
    </cfRule>
  </conditionalFormatting>
  <conditionalFormatting sqref="F138:F139">
    <cfRule type="cellIs" dxfId="45" priority="20" operator="lessThan">
      <formula>0</formula>
    </cfRule>
  </conditionalFormatting>
  <conditionalFormatting sqref="F150:F151">
    <cfRule type="cellIs" dxfId="44" priority="19" operator="lessThan">
      <formula>0</formula>
    </cfRule>
  </conditionalFormatting>
  <conditionalFormatting sqref="F162:F163">
    <cfRule type="cellIs" dxfId="43" priority="18" operator="lessThan">
      <formula>0</formula>
    </cfRule>
  </conditionalFormatting>
  <conditionalFormatting sqref="F250:F251">
    <cfRule type="cellIs" dxfId="42" priority="93" operator="lessThan">
      <formula>0</formula>
    </cfRule>
  </conditionalFormatting>
  <conditionalFormatting sqref="F255:F256">
    <cfRule type="cellIs" dxfId="41" priority="92" operator="lessThan">
      <formula>0</formula>
    </cfRule>
  </conditionalFormatting>
  <conditionalFormatting sqref="F260:F261">
    <cfRule type="cellIs" dxfId="40" priority="91" operator="lessThan">
      <formula>0</formula>
    </cfRule>
  </conditionalFormatting>
  <conditionalFormatting sqref="F284:F285">
    <cfRule type="cellIs" dxfId="39" priority="85" operator="lessThan">
      <formula>0</formula>
    </cfRule>
  </conditionalFormatting>
  <conditionalFormatting sqref="F289:F290">
    <cfRule type="cellIs" dxfId="38" priority="84" operator="lessThan">
      <formula>0</formula>
    </cfRule>
  </conditionalFormatting>
  <conditionalFormatting sqref="F294:F295">
    <cfRule type="cellIs" dxfId="37"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29" t="e" vm="1">
        <v>#VALUE!</v>
      </c>
      <c r="C1" s="7" t="s">
        <v>87</v>
      </c>
    </row>
    <row r="2" spans="1:16" s="8" customFormat="1" ht="20.100000000000001" customHeight="1" x14ac:dyDescent="0.25">
      <c r="A2"/>
    </row>
    <row r="3" spans="1:16" ht="20.100000000000001" customHeight="1" x14ac:dyDescent="0.25">
      <c r="A3" s="12" t="str">
        <f>HYPERLINK("#'Home'!A1", "Home")</f>
        <v>Home</v>
      </c>
      <c r="C3" s="3"/>
      <c r="D3" s="3" t="s">
        <v>48</v>
      </c>
      <c r="E3" s="3"/>
      <c r="F3" s="3"/>
      <c r="G3" s="3"/>
      <c r="H3" s="3"/>
      <c r="I3" s="3"/>
      <c r="J3" s="3"/>
      <c r="K3" s="3"/>
      <c r="L3" s="3"/>
      <c r="M3" s="3"/>
      <c r="N3" s="3"/>
      <c r="O3" s="3"/>
      <c r="P3" s="3"/>
    </row>
    <row r="4" spans="1:16" ht="20.100000000000001" customHeight="1" x14ac:dyDescent="0.25">
      <c r="A4" s="12" t="str">
        <f>HYPERLINK("#'Overview'!A1", "Overview")</f>
        <v>Overview</v>
      </c>
    </row>
    <row r="5" spans="1:16" ht="20.100000000000001" customHeight="1" x14ac:dyDescent="0.25">
      <c r="A5" s="12" t="str">
        <f>HYPERLINK("#'Results'!A1", "Results")</f>
        <v>Results</v>
      </c>
      <c r="D5" s="5" t="str" cm="1">
        <f t="array" ref="D5">SupplementaryCO2_Equations.VEERG_12_1_1_1__1_EmissionsFromSupplementaryCO2_Title()</f>
        <v>Emissions from the use of supplementary CO2</v>
      </c>
      <c r="O5" s="42"/>
    </row>
    <row r="6" spans="1:16" ht="20.100000000000001" customHeight="1" x14ac:dyDescent="0.25">
      <c r="D6" s="4" t="str" cm="1">
        <f t="array" ref="D6">SupplementaryCO2_Equations.VEERG_12_1_1_1__1_EmissionsFromSupplementaryCO2_Source()</f>
        <v>VEERG 2026: 12.1.1.1, Equation (1)</v>
      </c>
      <c r="O6" s="42"/>
    </row>
    <row r="7" spans="1:16" ht="20.100000000000001" customHeight="1" x14ac:dyDescent="0.25">
      <c r="D7" s="10" t="s">
        <v>9</v>
      </c>
      <c r="E7" s="10" t="str">
        <f ca="1">Common_InputFunctions.Utility_DisplayFunctionName(VEERG_12_1_1_1__1_EmissionsFromSupplementaryCO2_Result_Method1)</f>
        <v>=SupplementaryCO2_Equations.VEERG_12_1_1_1__1_EmissionsFromSupplementaryCO2</v>
      </c>
      <c r="O7" s="42"/>
    </row>
    <row r="8" spans="1:16" ht="20.100000000000001" customHeight="1" x14ac:dyDescent="0.25">
      <c r="A8" s="14" t="s">
        <v>0</v>
      </c>
      <c r="O8" s="42"/>
    </row>
    <row r="9" spans="1:16" ht="20.100000000000001" customHeight="1" x14ac:dyDescent="0.25">
      <c r="A9" s="12" t="str">
        <f>HYPERLINK("#'Input - CO2 Use'!A1", "CO2 Use")</f>
        <v>CO2 Use</v>
      </c>
      <c r="G9" s="4"/>
      <c r="O9" s="42"/>
    </row>
    <row r="10" spans="1:16" ht="20.100000000000001" customHeight="1" x14ac:dyDescent="0.25">
      <c r="D10" s="26" t="s">
        <v>12</v>
      </c>
      <c r="E10" s="1" t="str" cm="1">
        <f t="array" ref="E10">SupplementaryCO2_Equations.VEERG_12_1_1_1__1_EmissionsFromSupplementaryCO2_Variable()</f>
        <v>E</v>
      </c>
      <c r="O10" s="42"/>
    </row>
    <row r="11" spans="1:16" ht="20.100000000000001" customHeight="1" x14ac:dyDescent="0.25">
      <c r="D11" s="26" t="s">
        <v>4</v>
      </c>
      <c r="E11" s="27" t="str" cm="1">
        <f t="array" ref="E11">SupplementaryCO2_Equations.VEERG_12_1_1_1__1_EmissionsFromSupplementaryCO2_Unit()</f>
        <v>t CO2e</v>
      </c>
      <c r="O11" s="42"/>
    </row>
    <row r="12" spans="1:16" ht="20.100000000000001" customHeight="1" x14ac:dyDescent="0.25">
      <c r="A12" s="13" t="s">
        <v>44</v>
      </c>
    </row>
    <row r="13" spans="1:16" ht="20.100000000000001" customHeight="1" x14ac:dyDescent="0.25">
      <c r="A13" s="56" t="str">
        <f>HYPERLINK("#'12.1.1-2 Supplementary CO2'!A1", "12.1.1-2 Supplementary CO2")</f>
        <v>12.1.1-2 Supplementary CO2</v>
      </c>
      <c r="D13" s="47" t="str" cm="1">
        <f t="array" ref="D13:E13">_xlfn.CHOOSECOLS(SupplementaryCO2_Equations.VEERG_12_1_1_1__1_EmissionsFromSupplementaryCO2_Arguments(), 1,2)</f>
        <v>Q</v>
      </c>
      <c r="E13" s="49" t="str">
        <v>quantity of supplementary CO2 used within the operations</v>
      </c>
      <c r="F13" s="48"/>
      <c r="G13" s="47" t="str" cm="1">
        <f t="array" ref="G13:H13">_xlfn.CHOOSECOLS(SupplementaryCO2_Equations.VEERG_12_1_1_1__1_EmissionsFromSupplementaryCO2_Arguments(), 3,4)</f>
        <v>kg CO2</v>
      </c>
      <c r="H13" s="44" t="str">
        <v>Input</v>
      </c>
      <c r="I13" s="47">
        <f>SUM(Table_Input_SupplementaryCO2[Amount used (kg)])</f>
        <v>200</v>
      </c>
    </row>
    <row r="14" spans="1:16" ht="20.100000000000001" customHeight="1" x14ac:dyDescent="0.25">
      <c r="O14" s="42"/>
    </row>
    <row r="15" spans="1:16" ht="20.100000000000001" customHeight="1" x14ac:dyDescent="0.25">
      <c r="D15" s="62" t="s">
        <v>93</v>
      </c>
      <c r="E15" s="63" cm="1">
        <f t="array" ref="E15">SupplementaryCO2_Equations.VEERG_12_1_1_1__1_EmissionsFromSupplementaryCO2(I13)</f>
        <v>0.2</v>
      </c>
      <c r="F15" s="64" t="str">
        <f>E11</f>
        <v>t CO2e</v>
      </c>
      <c r="O15" s="42"/>
    </row>
    <row r="16" spans="1:16" ht="20.100000000000001" customHeight="1" x14ac:dyDescent="0.25">
      <c r="A16" s="65" t="s">
        <v>1</v>
      </c>
      <c r="O16" s="42"/>
    </row>
    <row r="17" spans="1:15" ht="20.100000000000001" customHeight="1" x14ac:dyDescent="0.25">
      <c r="A17" s="12" t="str">
        <f>HYPERLINK("#'Constants - Common'!A1", "Constants - Common")</f>
        <v>Constants - Common</v>
      </c>
      <c r="L17" s="42"/>
      <c r="M17" s="42"/>
      <c r="N17" s="42"/>
      <c r="O17" s="42"/>
    </row>
    <row r="18" spans="1:15" ht="20.100000000000001" customHeight="1" x14ac:dyDescent="0.25">
      <c r="L18" s="42"/>
      <c r="M18" s="42"/>
      <c r="N18" s="42"/>
      <c r="O18" s="42"/>
    </row>
    <row r="19" spans="1:15" ht="20.100000000000001" customHeight="1" x14ac:dyDescent="0.25">
      <c r="L19" s="42"/>
      <c r="M19" s="42"/>
      <c r="N19" s="42"/>
      <c r="O19" s="42"/>
    </row>
    <row r="20" spans="1:15" ht="20.100000000000001" customHeight="1" x14ac:dyDescent="0.25">
      <c r="L20" s="42"/>
      <c r="M20" s="42"/>
      <c r="N20" s="42"/>
      <c r="O20" s="42"/>
    </row>
    <row r="21" spans="1:15" ht="20.100000000000001" customHeight="1" x14ac:dyDescent="0.25">
      <c r="O21" s="42"/>
    </row>
    <row r="22" spans="1:15" ht="20.100000000000001" customHeight="1" x14ac:dyDescent="0.25"/>
    <row r="23" spans="1:15" ht="20.100000000000001" customHeight="1" x14ac:dyDescent="0.25"/>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A6B87-9D57-4E79-A664-223B29968CAF}">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65" t="s">
        <v>1</v>
      </c>
      <c r="D6" s="25" t="s">
        <v>5</v>
      </c>
      <c r="E6" s="25" t="s">
        <v>6</v>
      </c>
      <c r="F6" s="25" t="s">
        <v>7</v>
      </c>
    </row>
    <row r="7" spans="1:65" ht="20.100000000000001" customHeight="1" x14ac:dyDescent="0.25">
      <c r="A7" s="66" t="str">
        <f>HYPERLINK("#'Constants - Common'!A1", "Constants - Common")</f>
        <v>Constants - Common</v>
      </c>
      <c r="D7" s="25" t="str" cm="1">
        <f t="array" ref="D7">Common_InputFunctions.Utility_DisplayArrayInTable(Common_SourceData.Common_SourceData_AustralianStatesTerritories_Data(),Table_AustralianStates[[#Headers],[State/Territory]],0)</f>
        <v>New South Wales</v>
      </c>
      <c r="E7" s="25" t="str" cm="1">
        <f t="array" ref="E7">Common_InputFunctions.Utility_DisplayArrayInTable(Common_SourceData.Common_SourceData_AustralianStatesTerritories_Data(),Table_AustralianStates[[#Headers],[State/Territory]],0)</f>
        <v>New South Wales</v>
      </c>
      <c r="F7" s="25"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5" t="str" cm="1">
        <f t="array" ref="D8">Common_InputFunctions.Utility_DisplayArrayInTable(Common_SourceData.Common_SourceData_AustralianStatesTerritories_Data(),Table_AustralianStates[[#Headers],[State/Territory]],0)</f>
        <v>Australian Capital Territory</v>
      </c>
      <c r="E8" s="25" t="str" cm="1">
        <f t="array" ref="E8">Common_InputFunctions.Utility_DisplayArrayInTable(Common_SourceData.Common_SourceData_AustralianStatesTerritories_Data(),Table_AustralianStates[[#Headers],[State/Territory]],0)</f>
        <v>ACT</v>
      </c>
      <c r="F8" s="25" t="str" cm="1">
        <f t="array" ref="F8">Common_InputFunctions.Utility_DisplayArrayInTable(Common_SourceData.Common_SourceData_AustralianStatesTerritories_Data(),Table_AustralianStates[[#Headers],[State/Territory]],0)</f>
        <v>ACT</v>
      </c>
    </row>
    <row r="9" spans="1:65" ht="20.100000000000001" customHeight="1" x14ac:dyDescent="0.25">
      <c r="A9"/>
      <c r="D9" s="25" t="str" cm="1">
        <f t="array" ref="D9">Common_InputFunctions.Utility_DisplayArrayInTable(Common_SourceData.Common_SourceData_AustralianStatesTerritories_Data(),Table_AustralianStates[[#Headers],[State/Territory]],0)</f>
        <v>Victoria</v>
      </c>
      <c r="E9" s="25" t="str" cm="1">
        <f t="array" ref="E9">Common_InputFunctions.Utility_DisplayArrayInTable(Common_SourceData.Common_SourceData_AustralianStatesTerritories_Data(),Table_AustralianStates[[#Headers],[State/Territory]],0)</f>
        <v>Victoria</v>
      </c>
      <c r="F9" s="2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5" t="str" cm="1">
        <f t="array" ref="D10">Common_InputFunctions.Utility_DisplayArrayInTable(Common_SourceData.Common_SourceData_AustralianStatesTerritories_Data(),Table_AustralianStates[[#Headers],[State/Territory]],0)</f>
        <v>Queensland</v>
      </c>
      <c r="E10" s="25" t="str" cm="1">
        <f t="array" ref="E10">Common_InputFunctions.Utility_DisplayArrayInTable(Common_SourceData.Common_SourceData_AustralianStatesTerritories_Data(),Table_AustralianStates[[#Headers],[State/Territory]],0)</f>
        <v>Queensland</v>
      </c>
      <c r="F10" s="2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5" t="str" cm="1">
        <f t="array" ref="D11">Common_InputFunctions.Utility_DisplayArrayInTable(Common_SourceData.Common_SourceData_AustralianStatesTerritories_Data(),Table_AustralianStates[[#Headers],[State/Territory]],0)</f>
        <v>South Australia</v>
      </c>
      <c r="E11" s="25" t="str" cm="1">
        <f t="array" ref="E11">Common_InputFunctions.Utility_DisplayArrayInTable(Common_SourceData.Common_SourceData_AustralianStatesTerritories_Data(),Table_AustralianStates[[#Headers],[State/Territory]],0)</f>
        <v>South Australia</v>
      </c>
      <c r="F11" s="25"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5" t="str" cm="1">
        <f t="array" ref="D12">Common_InputFunctions.Utility_DisplayArrayInTable(Common_SourceData.Common_SourceData_AustralianStatesTerritories_Data(),Table_AustralianStates[[#Headers],[State/Territory]],0)</f>
        <v>Western Australia</v>
      </c>
      <c r="E12" s="25" t="str" cm="1">
        <f t="array" ref="E12">Common_InputFunctions.Utility_DisplayArrayInTable(Common_SourceData.Common_SourceData_AustralianStatesTerritories_Data(),Table_AustralianStates[[#Headers],[State/Territory]],0)</f>
        <v>Western Australia</v>
      </c>
      <c r="F12" s="25"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5" t="str" cm="1">
        <f t="array" ref="D13">Common_InputFunctions.Utility_DisplayArrayInTable(Common_SourceData.Common_SourceData_AustralianStatesTerritories_Data(),Table_AustralianStates[[#Headers],[State/Territory]],0)</f>
        <v>Tasmania</v>
      </c>
      <c r="E13" s="25" t="str" cm="1">
        <f t="array" ref="E13">Common_InputFunctions.Utility_DisplayArrayInTable(Common_SourceData.Common_SourceData_AustralianStatesTerritories_Data(),Table_AustralianStates[[#Headers],[State/Territory]],0)</f>
        <v>Tasmania</v>
      </c>
      <c r="F13" s="2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5" t="str" cm="1">
        <f t="array" ref="D14">Common_InputFunctions.Utility_DisplayArrayInTable(Common_SourceData.Common_SourceData_AustralianStatesTerritories_Data(),Table_AustralianStates[[#Headers],[State/Territory]],0)</f>
        <v>Northern Territory</v>
      </c>
      <c r="E14" s="25" t="str" cm="1">
        <f t="array" ref="E14">Common_InputFunctions.Utility_DisplayArrayInTable(Common_SourceData.Common_SourceData_AustralianStatesTerritories_Data(),Table_AustralianStates[[#Headers],[State/Territory]],0)</f>
        <v>Northern Territory</v>
      </c>
      <c r="F14" s="2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5" t="s">
        <v>8</v>
      </c>
    </row>
    <row r="21" spans="1:4" ht="20.100000000000001" customHeight="1" x14ac:dyDescent="0.25">
      <c r="A21"/>
      <c r="D21" s="25" t="str" cm="1">
        <f t="array" ref="D21">Common_InputFunctions.Utility_DisplayArrayInTable(Common_SourceData.Common_SourceData_WASA4Areas_Data(), Table_WASA4Areas[[#Headers],[SA 4 Name]], 0)</f>
        <v>Bunbury</v>
      </c>
    </row>
    <row r="22" spans="1:4" ht="20.100000000000001" customHeight="1" x14ac:dyDescent="0.25">
      <c r="A22"/>
      <c r="D22" s="25" t="str" cm="1">
        <f t="array" ref="D22">Common_InputFunctions.Utility_DisplayArrayInTable(Common_SourceData.Common_SourceData_WASA4Areas_Data(), Table_WASA4Areas[[#Headers],[SA 4 Name]], 0)</f>
        <v>Mandurah</v>
      </c>
    </row>
    <row r="23" spans="1:4" ht="20.100000000000001" customHeight="1" x14ac:dyDescent="0.25">
      <c r="A23"/>
      <c r="D23" s="25" t="str" cm="1">
        <f t="array" ref="D23">Common_InputFunctions.Utility_DisplayArrayInTable(Common_SourceData.Common_SourceData_WASA4Areas_Data(), Table_WASA4Areas[[#Headers],[SA 4 Name]], 0)</f>
        <v>Perth - Inner</v>
      </c>
    </row>
    <row r="24" spans="1:4" ht="20.100000000000001" customHeight="1" x14ac:dyDescent="0.25">
      <c r="A24"/>
      <c r="D24" s="25" t="str" cm="1">
        <f t="array" ref="D24">Common_InputFunctions.Utility_DisplayArrayInTable(Common_SourceData.Common_SourceData_WASA4Areas_Data(), Table_WASA4Areas[[#Headers],[SA 4 Name]], 0)</f>
        <v>Perth - North East</v>
      </c>
    </row>
    <row r="25" spans="1:4" ht="20.100000000000001" customHeight="1" x14ac:dyDescent="0.25">
      <c r="A25"/>
      <c r="D25" s="25" t="str" cm="1">
        <f t="array" ref="D25">Common_InputFunctions.Utility_DisplayArrayInTable(Common_SourceData.Common_SourceData_WASA4Areas_Data(), Table_WASA4Areas[[#Headers],[SA 4 Name]], 0)</f>
        <v>Perth - North West</v>
      </c>
    </row>
    <row r="26" spans="1:4" ht="20.100000000000001" customHeight="1" x14ac:dyDescent="0.25">
      <c r="A26"/>
      <c r="D26" s="25" t="str" cm="1">
        <f t="array" ref="D26">Common_InputFunctions.Utility_DisplayArrayInTable(Common_SourceData.Common_SourceData_WASA4Areas_Data(), Table_WASA4Areas[[#Headers],[SA 4 Name]], 0)</f>
        <v>Perth - South East</v>
      </c>
    </row>
    <row r="27" spans="1:4" ht="20.100000000000001" customHeight="1" x14ac:dyDescent="0.25">
      <c r="A27"/>
      <c r="D27" s="25" t="str" cm="1">
        <f t="array" ref="D27">Common_InputFunctions.Utility_DisplayArrayInTable(Common_SourceData.Common_SourceData_WASA4Areas_Data(), Table_WASA4Areas[[#Headers],[SA 4 Name]], 0)</f>
        <v>Perth - South West</v>
      </c>
    </row>
    <row r="28" spans="1:4" ht="20.100000000000001" customHeight="1" x14ac:dyDescent="0.25">
      <c r="A28"/>
      <c r="D28" s="2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5" t="s">
        <v>10</v>
      </c>
      <c r="E36" s="25" t="s">
        <v>11</v>
      </c>
    </row>
    <row r="37" spans="1:8" ht="20.100000000000001" customHeight="1" x14ac:dyDescent="0.25">
      <c r="A37"/>
      <c r="D37" s="25" t="str" cm="1">
        <f t="array" ref="D37">Common_InputFunctions.Utility_DisplayArrayInTable(Common_SourceData.Common_SourceData_GWP_Data(), Table_GWPData[[#Headers],[Gas]], 0)</f>
        <v>CO2</v>
      </c>
      <c r="E37" s="25" cm="1">
        <f t="array" ref="E37">Common_InputFunctions.Utility_DisplayArrayInTable(Common_SourceData.Common_SourceData_GWP_Data(), Table_GWPData[[#Headers],[Gas]], 0)</f>
        <v>1</v>
      </c>
    </row>
    <row r="38" spans="1:8" ht="20.100000000000001" customHeight="1" x14ac:dyDescent="0.25">
      <c r="A38"/>
      <c r="D38" s="25" t="str" cm="1">
        <f t="array" ref="D38">Common_InputFunctions.Utility_DisplayArrayInTable(Common_SourceData.Common_SourceData_GWP_Data(), Table_GWPData[[#Headers],[Gas]], 0)</f>
        <v>CH4</v>
      </c>
      <c r="E38" s="25" cm="1">
        <f t="array" ref="E38">Common_InputFunctions.Utility_DisplayArrayInTable(Common_SourceData.Common_SourceData_GWP_Data(), Table_GWPData[[#Headers],[Gas]], 0)</f>
        <v>28</v>
      </c>
    </row>
    <row r="39" spans="1:8" ht="20.100000000000001" customHeight="1" x14ac:dyDescent="0.25">
      <c r="A39"/>
      <c r="D39" s="25" t="str" cm="1">
        <f t="array" ref="D39">Common_InputFunctions.Utility_DisplayArrayInTable(Common_SourceData.Common_SourceData_GWP_Data(), Table_GWPData[[#Headers],[Gas]], 0)</f>
        <v>N2O</v>
      </c>
      <c r="E39" s="25" cm="1">
        <f t="array" ref="E39">Common_InputFunctions.Utility_DisplayArrayInTable(Common_SourceData.Common_SourceData_GWP_Data(), Table_GWPData[[#Headers],[Gas]], 0)</f>
        <v>265</v>
      </c>
    </row>
    <row r="40" spans="1:8" ht="20.100000000000001" customHeight="1" x14ac:dyDescent="0.25">
      <c r="A40"/>
      <c r="D40" s="25" t="str" cm="1">
        <f t="array" ref="D40">Common_InputFunctions.Utility_DisplayArrayInTable(Common_SourceData.Common_SourceData_GWP_Data(), Table_GWPData[[#Headers],[Gas]], 0)</f>
        <v>CF4</v>
      </c>
      <c r="E40" s="25" cm="1">
        <f t="array" ref="E40">Common_InputFunctions.Utility_DisplayArrayInTable(Common_SourceData.Common_SourceData_GWP_Data(), Table_GWPData[[#Headers],[Gas]], 0)</f>
        <v>6630</v>
      </c>
    </row>
    <row r="41" spans="1:8" ht="20.100000000000001" customHeight="1" x14ac:dyDescent="0.25">
      <c r="A41"/>
      <c r="D41" s="25" t="str" cm="1">
        <f t="array" ref="D41">Common_InputFunctions.Utility_DisplayArrayInTable(Common_SourceData.Common_SourceData_GWP_Data(), Table_GWPData[[#Headers],[Gas]], 0)</f>
        <v>C2F6</v>
      </c>
      <c r="E41" s="25" cm="1">
        <f t="array" ref="E41">Common_InputFunctions.Utility_DisplayArrayInTable(Common_SourceData.Common_SourceData_GWP_Data(), Table_GWPData[[#Headers],[Gas]], 0)</f>
        <v>12200</v>
      </c>
    </row>
    <row r="42" spans="1:8" ht="20.100000000000001" customHeight="1" x14ac:dyDescent="0.25">
      <c r="A42"/>
      <c r="D42" s="25" t="str" cm="1">
        <f t="array" ref="D42">Common_InputFunctions.Utility_DisplayArrayInTable(Common_SourceData.Common_SourceData_GWP_Data(), Table_GWPData[[#Headers],[Gas]], 0)</f>
        <v>SF6</v>
      </c>
      <c r="E42" s="25" cm="1">
        <f t="array" ref="E42">Common_InputFunctions.Utility_DisplayArrayInTable(Common_SourceData.Common_SourceData_GWP_Data(), Table_GWPData[[#Headers],[Gas]], 0)</f>
        <v>22800</v>
      </c>
    </row>
    <row r="43" spans="1:8" ht="20.100000000000001" customHeight="1" x14ac:dyDescent="0.25">
      <c r="A43"/>
      <c r="D43" s="25" t="str" cm="1">
        <f t="array" ref="D43">Common_InputFunctions.Utility_DisplayArrayInTable(Common_SourceData.Common_SourceData_GWP_Data(), Table_GWPData[[#Headers],[Gas]], 0)</f>
        <v>NF3</v>
      </c>
      <c r="E43" s="2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5" t="s">
        <v>10</v>
      </c>
      <c r="E47" s="25" t="s">
        <v>13</v>
      </c>
      <c r="F47" s="25" t="s">
        <v>14</v>
      </c>
      <c r="G47" s="25" t="s">
        <v>15</v>
      </c>
      <c r="H47" s="25" t="s">
        <v>16</v>
      </c>
    </row>
    <row r="48" spans="1:8" ht="20.100000000000001" customHeight="1" x14ac:dyDescent="0.25">
      <c r="A48"/>
      <c r="D48" s="25" t="str" cm="1">
        <f t="array" ref="D48">Common_InputFunctions.Utility_DisplayArrayInTable(Common_SourceData.Common_SourceData_ConvertGasElementalToMolecular_Data(),Table_GasToMolecularConversionFactor[[#Headers],[Gas]], 0)</f>
        <v>CO2</v>
      </c>
      <c r="E48" s="25" t="str" cm="1">
        <f t="array" ref="E48">Common_InputFunctions.Utility_DisplayArrayInTable(Common_SourceData.Common_SourceData_ConvertGasElementalToMolecular_Data(),Table_GasToMolecularConversionFactor[[#Headers],[Gas]], 0)</f>
        <v>44/12</v>
      </c>
      <c r="F48" s="25" cm="1">
        <f t="array" ref="F48">Common_InputFunctions.Utility_DisplayArrayInTable(Common_SourceData.Common_SourceData_ConvertGasElementalToMolecular_Data(),Table_GasToMolecularConversionFactor[[#Headers],[Gas]], 0)</f>
        <v>44</v>
      </c>
      <c r="G48" s="25" cm="1">
        <f t="array" ref="G48">Common_InputFunctions.Utility_DisplayArrayInTable(Common_SourceData.Common_SourceData_ConvertGasElementalToMolecular_Data(),Table_GasToMolecularConversionFactor[[#Headers],[Gas]], 0)</f>
        <v>12</v>
      </c>
      <c r="H48" s="25">
        <f>Table_GasToMolecularConversionFactor[[#This Row],[Conversion factor 1]]/Table_GasToMolecularConversionFactor[[#This Row],[Conversion factor 2]]</f>
        <v>3.6666666666666665</v>
      </c>
    </row>
    <row r="49" spans="1:8" ht="20.100000000000001" customHeight="1" x14ac:dyDescent="0.25">
      <c r="A49"/>
      <c r="D49" s="25" t="str" cm="1">
        <f t="array" ref="D49">Common_InputFunctions.Utility_DisplayArrayInTable(Common_SourceData.Common_SourceData_ConvertGasElementalToMolecular_Data(),Table_GasToMolecularConversionFactor[[#Headers],[Gas]], 0)</f>
        <v>CH4</v>
      </c>
      <c r="E49" s="25" t="str" cm="1">
        <f t="array" ref="E49">Common_InputFunctions.Utility_DisplayArrayInTable(Common_SourceData.Common_SourceData_ConvertGasElementalToMolecular_Data(),Table_GasToMolecularConversionFactor[[#Headers],[Gas]], 0)</f>
        <v>16/12</v>
      </c>
      <c r="F49" s="25" cm="1">
        <f t="array" ref="F49">Common_InputFunctions.Utility_DisplayArrayInTable(Common_SourceData.Common_SourceData_ConvertGasElementalToMolecular_Data(),Table_GasToMolecularConversionFactor[[#Headers],[Gas]], 0)</f>
        <v>16</v>
      </c>
      <c r="G49" s="25" cm="1">
        <f t="array" ref="G49">Common_InputFunctions.Utility_DisplayArrayInTable(Common_SourceData.Common_SourceData_ConvertGasElementalToMolecular_Data(),Table_GasToMolecularConversionFactor[[#Headers],[Gas]], 0)</f>
        <v>12</v>
      </c>
      <c r="H49" s="25">
        <f>Table_GasToMolecularConversionFactor[[#This Row],[Conversion factor 1]]/Table_GasToMolecularConversionFactor[[#This Row],[Conversion factor 2]]</f>
        <v>1.3333333333333333</v>
      </c>
    </row>
    <row r="50" spans="1:8" ht="20.100000000000001" customHeight="1" x14ac:dyDescent="0.25">
      <c r="A50"/>
      <c r="D50" s="25" t="str" cm="1">
        <f t="array" ref="D50">Common_InputFunctions.Utility_DisplayArrayInTable(Common_SourceData.Common_SourceData_ConvertGasElementalToMolecular_Data(),Table_GasToMolecularConversionFactor[[#Headers],[Gas]], 0)</f>
        <v>N2O</v>
      </c>
      <c r="E50" s="25" t="str" cm="1">
        <f t="array" ref="E50">Common_InputFunctions.Utility_DisplayArrayInTable(Common_SourceData.Common_SourceData_ConvertGasElementalToMolecular_Data(),Table_GasToMolecularConversionFactor[[#Headers],[Gas]], 0)</f>
        <v>44/28</v>
      </c>
      <c r="F50" s="25" cm="1">
        <f t="array" ref="F50">Common_InputFunctions.Utility_DisplayArrayInTable(Common_SourceData.Common_SourceData_ConvertGasElementalToMolecular_Data(),Table_GasToMolecularConversionFactor[[#Headers],[Gas]], 0)</f>
        <v>44</v>
      </c>
      <c r="G50" s="25" cm="1">
        <f t="array" ref="G50">Common_InputFunctions.Utility_DisplayArrayInTable(Common_SourceData.Common_SourceData_ConvertGasElementalToMolecular_Data(),Table_GasToMolecularConversionFactor[[#Headers],[Gas]], 0)</f>
        <v>28</v>
      </c>
      <c r="H50" s="25">
        <f>Table_GasToMolecularConversionFactor[[#This Row],[Conversion factor 1]]/Table_GasToMolecularConversionFactor[[#This Row],[Conversion factor 2]]</f>
        <v>1.5714285714285714</v>
      </c>
    </row>
    <row r="51" spans="1:8" ht="20.100000000000001" customHeight="1" x14ac:dyDescent="0.25">
      <c r="A51"/>
      <c r="D51" s="25" t="str" cm="1">
        <f t="array" ref="D51">Common_InputFunctions.Utility_DisplayArrayInTable(Common_SourceData.Common_SourceData_ConvertGasElementalToMolecular_Data(),Table_GasToMolecularConversionFactor[[#Headers],[Gas]], 0)</f>
        <v>Nox</v>
      </c>
      <c r="E51" s="25" t="str" cm="1">
        <f t="array" ref="E51">Common_InputFunctions.Utility_DisplayArrayInTable(Common_SourceData.Common_SourceData_ConvertGasElementalToMolecular_Data(),Table_GasToMolecularConversionFactor[[#Headers],[Gas]], 0)</f>
        <v>46/14</v>
      </c>
      <c r="F51" s="25" cm="1">
        <f t="array" ref="F51">Common_InputFunctions.Utility_DisplayArrayInTable(Common_SourceData.Common_SourceData_ConvertGasElementalToMolecular_Data(),Table_GasToMolecularConversionFactor[[#Headers],[Gas]], 0)</f>
        <v>46</v>
      </c>
      <c r="G51" s="25" cm="1">
        <f t="array" ref="G51">Common_InputFunctions.Utility_DisplayArrayInTable(Common_SourceData.Common_SourceData_ConvertGasElementalToMolecular_Data(),Table_GasToMolecularConversionFactor[[#Headers],[Gas]], 0)</f>
        <v>14</v>
      </c>
      <c r="H51" s="25">
        <f>Table_GasToMolecularConversionFactor[[#This Row],[Conversion factor 1]]/Table_GasToMolecularConversionFactor[[#This Row],[Conversion factor 2]]</f>
        <v>3.2857142857142856</v>
      </c>
    </row>
    <row r="52" spans="1:8" ht="20.100000000000001" customHeight="1" x14ac:dyDescent="0.25">
      <c r="A52"/>
      <c r="D52" s="25" t="str" cm="1">
        <f t="array" ref="D52">Common_InputFunctions.Utility_DisplayArrayInTable(Common_SourceData.Common_SourceData_ConvertGasElementalToMolecular_Data(),Table_GasToMolecularConversionFactor[[#Headers],[Gas]], 0)</f>
        <v>CO</v>
      </c>
      <c r="E52" s="25" t="str" cm="1">
        <f t="array" ref="E52">Common_InputFunctions.Utility_DisplayArrayInTable(Common_SourceData.Common_SourceData_ConvertGasElementalToMolecular_Data(),Table_GasToMolecularConversionFactor[[#Headers],[Gas]], 0)</f>
        <v>28/12</v>
      </c>
      <c r="F52" s="25" cm="1">
        <f t="array" ref="F52">Common_InputFunctions.Utility_DisplayArrayInTable(Common_SourceData.Common_SourceData_ConvertGasElementalToMolecular_Data(),Table_GasToMolecularConversionFactor[[#Headers],[Gas]], 0)</f>
        <v>28</v>
      </c>
      <c r="G52" s="25" cm="1">
        <f t="array" ref="G52">Common_InputFunctions.Utility_DisplayArrayInTable(Common_SourceData.Common_SourceData_ConvertGasElementalToMolecular_Data(),Table_GasToMolecularConversionFactor[[#Headers],[Gas]], 0)</f>
        <v>12</v>
      </c>
      <c r="H52" s="25">
        <f>Table_GasToMolecularConversionFactor[[#This Row],[Conversion factor 1]]/Table_GasToMolecularConversionFactor[[#This Row],[Conversion factor 2]]</f>
        <v>2.3333333333333335</v>
      </c>
    </row>
    <row r="53" spans="1:8" ht="20.100000000000001" customHeight="1" x14ac:dyDescent="0.25">
      <c r="A53"/>
      <c r="D53" s="25" t="str" cm="1">
        <f t="array" ref="D53">Common_InputFunctions.Utility_DisplayArrayInTable(Common_SourceData.Common_SourceData_ConvertGasElementalToMolecular_Data(),Table_GasToMolecularConversionFactor[[#Headers],[Gas]], 0)</f>
        <v>CO2 Lime</v>
      </c>
      <c r="E53" s="25" t="str" cm="1">
        <f t="array" ref="E53">Common_InputFunctions.Utility_DisplayArrayInTable(Common_SourceData.Common_SourceData_ConvertGasElementalToMolecular_Data(),Table_GasToMolecularConversionFactor[[#Headers],[Gas]], 0)</f>
        <v>44/12</v>
      </c>
      <c r="F53" s="25" cm="1">
        <f t="array" ref="F53">Common_InputFunctions.Utility_DisplayArrayInTable(Common_SourceData.Common_SourceData_ConvertGasElementalToMolecular_Data(),Table_GasToMolecularConversionFactor[[#Headers],[Gas]], 0)</f>
        <v>44</v>
      </c>
      <c r="G53" s="25" cm="1">
        <f t="array" ref="G53">Common_InputFunctions.Utility_DisplayArrayInTable(Common_SourceData.Common_SourceData_ConvertGasElementalToMolecular_Data(),Table_GasToMolecularConversionFactor[[#Headers],[Gas]], 0)</f>
        <v>12</v>
      </c>
      <c r="H53" s="25">
        <f>Table_GasToMolecularConversionFactor[[#This Row],[Conversion factor 1]]/Table_GasToMolecularConversionFactor[[#This Row],[Conversion factor 2]]</f>
        <v>3.6666666666666665</v>
      </c>
    </row>
    <row r="54" spans="1:8" ht="20.100000000000001" customHeight="1" x14ac:dyDescent="0.25">
      <c r="A54"/>
      <c r="D54" s="25" t="str" cm="1">
        <f t="array" ref="D54">Common_InputFunctions.Utility_DisplayArrayInTable(Common_SourceData.Common_SourceData_ConvertGasElementalToMolecular_Data(),Table_GasToMolecularConversionFactor[[#Headers],[Gas]], 0)</f>
        <v>NMVOC</v>
      </c>
      <c r="E54" s="25" t="str" cm="1">
        <f t="array" ref="E54">Common_InputFunctions.Utility_DisplayArrayInTable(Common_SourceData.Common_SourceData_ConvertGasElementalToMolecular_Data(),Table_GasToMolecularConversionFactor[[#Headers],[Gas]], 0)</f>
        <v>14/12</v>
      </c>
      <c r="F54" s="25" cm="1">
        <f t="array" ref="F54">Common_InputFunctions.Utility_DisplayArrayInTable(Common_SourceData.Common_SourceData_ConvertGasElementalToMolecular_Data(),Table_GasToMolecularConversionFactor[[#Headers],[Gas]], 0)</f>
        <v>14</v>
      </c>
      <c r="G54" s="25" cm="1">
        <f t="array" ref="G54">Common_InputFunctions.Utility_DisplayArrayInTable(Common_SourceData.Common_SourceData_ConvertGasElementalToMolecular_Data(),Table_GasToMolecularConversionFactor[[#Headers],[Gas]], 0)</f>
        <v>12</v>
      </c>
      <c r="H54" s="2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8" t="str" cm="1">
        <f t="array" ref="D59:D61">"⚠️" &amp; Common_SourceData.Common_SourceData_WetAndDryZones_Variation()</f>
        <v>⚠️VARIATION OF SOURCE DATA:</v>
      </c>
    </row>
    <row r="60" spans="1:8" ht="20.100000000000001" customHeight="1" x14ac:dyDescent="0.25">
      <c r="A60"/>
      <c r="D60" s="28" t="str">
        <v>⚠️Added warm / cool temperate moist / dry - low frost and high temp classes to accommodate climate scenarios excluded by VEERG criteria.</v>
      </c>
    </row>
    <row r="61" spans="1:8" ht="20.100000000000001" customHeight="1" x14ac:dyDescent="0.25">
      <c r="A61"/>
      <c r="D61" s="28" t="str">
        <v>⚠️Fixed typo - Changed 'Fry' to 'Dry'.</v>
      </c>
    </row>
    <row r="62" spans="1:8" ht="20.100000000000001" customHeight="1" x14ac:dyDescent="0.25">
      <c r="A62"/>
    </row>
    <row r="63" spans="1:8" ht="20.100000000000001" customHeight="1" x14ac:dyDescent="0.25">
      <c r="A63"/>
      <c r="D63" s="25" t="s">
        <v>3</v>
      </c>
      <c r="E63" s="25" t="s">
        <v>30</v>
      </c>
    </row>
    <row r="64" spans="1:8" ht="20.100000000000001" customHeight="1" x14ac:dyDescent="0.25">
      <c r="A64"/>
      <c r="D64" s="25" t="str" cm="1">
        <f t="array" ref="D64">Common_InputFunctions.Utility_DisplayArrayInTable(Common_SourceData.Common_SourceData_WetAndDryZones_Data(), Table_SourceData_WetDryZones[[#Headers],[Climate zone]], 0)</f>
        <v>Tropical montane</v>
      </c>
      <c r="E64" s="2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5" t="str" cm="1">
        <f t="array" ref="D65">Common_InputFunctions.Utility_DisplayArrayInTable(Common_SourceData.Common_SourceData_WetAndDryZones_Data(), Table_SourceData_WetDryZones[[#Headers],[Climate zone]], 0)</f>
        <v>Tropical wet</v>
      </c>
      <c r="E65" s="2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5" t="str" cm="1">
        <f t="array" ref="D66">Common_InputFunctions.Utility_DisplayArrayInTable(Common_SourceData.Common_SourceData_WetAndDryZones_Data(), Table_SourceData_WetDryZones[[#Headers],[Climate zone]], 0)</f>
        <v>Tropical moist</v>
      </c>
      <c r="E66" s="2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5" t="str" cm="1">
        <f t="array" ref="D67">Common_InputFunctions.Utility_DisplayArrayInTable(Common_SourceData.Common_SourceData_WetAndDryZones_Data(), Table_SourceData_WetDryZones[[#Headers],[Climate zone]], 0)</f>
        <v>Tropical dry</v>
      </c>
      <c r="E67" s="2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5" t="str" cm="1">
        <f t="array" ref="D68">Common_InputFunctions.Utility_DisplayArrayInTable(Common_SourceData.Common_SourceData_WetAndDryZones_Data(), Table_SourceData_WetDryZones[[#Headers],[Climate zone]], 0)</f>
        <v>Warm temperate moist</v>
      </c>
      <c r="E68" s="2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5" t="str" cm="1">
        <f t="array" ref="D69">Common_InputFunctions.Utility_DisplayArrayInTable(Common_SourceData.Common_SourceData_WetAndDryZones_Data(), Table_SourceData_WetDryZones[[#Headers],[Climate zone]], 0)</f>
        <v>Warm temperate dry</v>
      </c>
      <c r="E69" s="2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5" t="str" cm="1">
        <f t="array" ref="D70">Common_InputFunctions.Utility_DisplayArrayInTable(Common_SourceData.Common_SourceData_WetAndDryZones_Data(), Table_SourceData_WetDryZones[[#Headers],[Climate zone]], 0)</f>
        <v>Cool temperate moist</v>
      </c>
      <c r="E70" s="2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5" t="str" cm="1">
        <f t="array" ref="D71">Common_InputFunctions.Utility_DisplayArrayInTable(Common_SourceData.Common_SourceData_WetAndDryZones_Data(), Table_SourceData_WetDryZones[[#Headers],[Climate zone]], 0)</f>
        <v>Cool temperate dry</v>
      </c>
      <c r="E71" s="2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5" t="str" cm="1">
        <f t="array" ref="D72">Common_InputFunctions.Utility_DisplayArrayInTable(Common_SourceData.Common_SourceData_WetAndDryZones_Data(), Table_SourceData_WetDryZones[[#Headers],[Climate zone]], 0)</f>
        <v>Warm temperate moist - low frost</v>
      </c>
      <c r="E72" s="2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5" t="str" cm="1">
        <f t="array" ref="D73">Common_InputFunctions.Utility_DisplayArrayInTable(Common_SourceData.Common_SourceData_WetAndDryZones_Data(), Table_SourceData_WetDryZones[[#Headers],[Climate zone]], 0)</f>
        <v>Warm temperate dry - low frost</v>
      </c>
      <c r="E73" s="2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5" t="str" cm="1">
        <f t="array" ref="D74">Common_InputFunctions.Utility_DisplayArrayInTable(Common_SourceData.Common_SourceData_WetAndDryZones_Data(), Table_SourceData_WetDryZones[[#Headers],[Climate zone]], 0)</f>
        <v>Warm temperate moist - high temp</v>
      </c>
      <c r="E74" s="2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5" t="str" cm="1">
        <f t="array" ref="D75">Common_InputFunctions.Utility_DisplayArrayInTable(Common_SourceData.Common_SourceData_WetAndDryZones_Data(), Table_SourceData_WetDryZones[[#Headers],[Climate zone]], 0)</f>
        <v>Warm temperate dry - high temp</v>
      </c>
      <c r="E75" s="2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5" t="str" cm="1">
        <f t="array" ref="D76">Common_InputFunctions.Utility_DisplayArrayInTable(Common_SourceData.Common_SourceData_WetAndDryZones_Data(), Table_SourceData_WetDryZones[[#Headers],[Climate zone]], 0)</f>
        <v>Cool temperate moist - low frost</v>
      </c>
      <c r="E76" s="2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5" t="str" cm="1">
        <f t="array" ref="D77">Common_InputFunctions.Utility_DisplayArrayInTable(Common_SourceData.Common_SourceData_WetAndDryZones_Data(), Table_SourceData_WetDryZones[[#Headers],[Climate zone]], 0)</f>
        <v>Cool temperate dry - low frost</v>
      </c>
      <c r="E77" s="2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8" t="str" cm="1">
        <f t="array" ref="D83:D87">"⚠️" &amp; Common_SourceData.Common_SourceData_ClimateZones_Variation()</f>
        <v>⚠️VARIATION OF SOURCE DATA:</v>
      </c>
    </row>
    <row r="84" spans="1:20" ht="20.100000000000001" customHeight="1" x14ac:dyDescent="0.25">
      <c r="A84"/>
      <c r="D84" s="28" t="str">
        <v>⚠️Added warm / cool temperate moist / dry - low frost and high temp classes to accommodate climate scenarios excluded by VEERG criteria.</v>
      </c>
    </row>
    <row r="85" spans="1:20" ht="20.100000000000001" customHeight="1" x14ac:dyDescent="0.25">
      <c r="A85"/>
      <c r="D85" s="28" t="str">
        <v>⚠️Fixed typo in MAT value for warm temperate dry - changed 10 to 11.</v>
      </c>
    </row>
    <row r="86" spans="1:20" ht="20.100000000000001" customHeight="1" x14ac:dyDescent="0.25">
      <c r="A86"/>
      <c r="D86" s="28" t="str">
        <v>⚠️Added min and max columns for MAT, MAP, frost days per year, elevation, MAP:PET to calculate zones from real climate data.</v>
      </c>
    </row>
    <row r="87" spans="1:20" ht="20.100000000000001" customHeight="1" x14ac:dyDescent="0.25">
      <c r="A87"/>
      <c r="D87" s="28" t="str">
        <v>⚠️GAF accepts rainfall as a proxy for precipitation.</v>
      </c>
    </row>
    <row r="88" spans="1:20" ht="20.100000000000001" customHeight="1" x14ac:dyDescent="0.25">
      <c r="A88"/>
    </row>
    <row r="89" spans="1:20" ht="20.100000000000001" customHeight="1" x14ac:dyDescent="0.25">
      <c r="A89"/>
      <c r="D89" s="25" t="s">
        <v>3</v>
      </c>
      <c r="E89" s="25" t="s">
        <v>18</v>
      </c>
      <c r="F89" s="25" t="s">
        <v>19</v>
      </c>
      <c r="G89" s="25" t="s">
        <v>20</v>
      </c>
      <c r="H89" s="25" t="s">
        <v>21</v>
      </c>
      <c r="I89" s="25" t="s">
        <v>22</v>
      </c>
      <c r="J89" s="25" t="s">
        <v>23</v>
      </c>
      <c r="K89" s="25" t="s">
        <v>24</v>
      </c>
      <c r="L89" s="25" t="s">
        <v>25</v>
      </c>
      <c r="M89" s="25" t="s">
        <v>26</v>
      </c>
      <c r="N89" s="25" t="s">
        <v>27</v>
      </c>
      <c r="O89" s="25" t="s">
        <v>31</v>
      </c>
      <c r="P89" s="25" t="s">
        <v>28</v>
      </c>
      <c r="Q89" s="25" t="s">
        <v>32</v>
      </c>
      <c r="R89" s="25" t="s">
        <v>29</v>
      </c>
      <c r="S89" s="25" t="s">
        <v>33</v>
      </c>
      <c r="T89" s="25"/>
    </row>
    <row r="90" spans="1:20" ht="20.100000000000001" customHeight="1" x14ac:dyDescent="0.25">
      <c r="A90"/>
      <c r="D90" s="25" t="str" cm="1">
        <f t="array" ref="D90">Common_InputFunctions.Utility_DisplayArrayInTable(Common_SourceData.Common_SourceData_ClimateZones_Data(), Table_SourceData_ClimateZones[[#Headers],[Climate zone]], 0)</f>
        <v>Tropical montane</v>
      </c>
      <c r="E90" s="25" t="str" cm="1">
        <f t="array" ref="E90">Common_InputFunctions.Utility_DisplayArrayInTable(Common_SourceData.Common_SourceData_ClimateZones_Data(), Table_SourceData_ClimateZones[[#Headers],[Climate zone]], 0)</f>
        <v>&gt; 18 C</v>
      </c>
      <c r="F90" s="25" t="str" cm="1">
        <f t="array" ref="F90">Common_InputFunctions.Utility_DisplayArrayInTable(Common_SourceData.Common_SourceData_ClimateZones_Data(), Table_SourceData_ClimateZones[[#Headers],[Climate zone]], 0)</f>
        <v>Any</v>
      </c>
      <c r="G90" s="25" t="str" cm="1">
        <f t="array" ref="G90">Common_InputFunctions.Utility_DisplayArrayInTable(Common_SourceData.Common_SourceData_ClimateZones_Data(), Table_SourceData_ClimateZones[[#Headers],[Climate zone]], 0)</f>
        <v>≤ 7</v>
      </c>
      <c r="H90" s="25" t="str" cm="1">
        <f t="array" ref="H90">Common_InputFunctions.Utility_DisplayArrayInTable(Common_SourceData.Common_SourceData_ClimateZones_Data(), Table_SourceData_ClimateZones[[#Headers],[Climate zone]], 0)</f>
        <v>&gt; 1000 m</v>
      </c>
      <c r="I90" s="25" t="str" cm="1">
        <f t="array" ref="I90">Common_InputFunctions.Utility_DisplayArrayInTable(Common_SourceData.Common_SourceData_ClimateZones_Data(), Table_SourceData_ClimateZones[[#Headers],[Climate zone]], 0)</f>
        <v>Any</v>
      </c>
      <c r="J90" s="25" cm="1">
        <f t="array" ref="J90">Common_InputFunctions.Utility_DisplayArrayInTable(Common_SourceData.Common_SourceData_ClimateZones_Data(), Table_SourceData_ClimateZones[[#Headers],[Climate zone]], 0)</f>
        <v>18.001000000000001</v>
      </c>
      <c r="K90" s="25" cm="1">
        <f t="array" ref="K90">Common_InputFunctions.Utility_DisplayArrayInTable(Common_SourceData.Common_SourceData_ClimateZones_Data(), Table_SourceData_ClimateZones[[#Headers],[Climate zone]], 0)</f>
        <v>999999</v>
      </c>
      <c r="L90" s="25" cm="1">
        <f t="array" ref="L90">Common_InputFunctions.Utility_DisplayArrayInTable(Common_SourceData.Common_SourceData_ClimateZones_Data(), Table_SourceData_ClimateZones[[#Headers],[Climate zone]], 0)</f>
        <v>-999999</v>
      </c>
      <c r="M90" s="25" cm="1">
        <f t="array" ref="M90">Common_InputFunctions.Utility_DisplayArrayInTable(Common_SourceData.Common_SourceData_ClimateZones_Data(), Table_SourceData_ClimateZones[[#Headers],[Climate zone]], 0)</f>
        <v>999999</v>
      </c>
      <c r="N90" s="25" cm="1">
        <f t="array" ref="N90">Common_InputFunctions.Utility_DisplayArrayInTable(Common_SourceData.Common_SourceData_ClimateZones_Data(), Table_SourceData_ClimateZones[[#Headers],[Climate zone]], 0)</f>
        <v>-999999</v>
      </c>
      <c r="O90" s="25" cm="1">
        <f t="array" ref="O90">Common_InputFunctions.Utility_DisplayArrayInTable(Common_SourceData.Common_SourceData_ClimateZones_Data(), Table_SourceData_ClimateZones[[#Headers],[Climate zone]], 0)</f>
        <v>7</v>
      </c>
      <c r="P90" s="25" cm="1">
        <f t="array" ref="P90">Common_InputFunctions.Utility_DisplayArrayInTable(Common_SourceData.Common_SourceData_ClimateZones_Data(), Table_SourceData_ClimateZones[[#Headers],[Climate zone]], 0)</f>
        <v>1000</v>
      </c>
      <c r="Q90" s="25" cm="1">
        <f t="array" ref="Q90">Common_InputFunctions.Utility_DisplayArrayInTable(Common_SourceData.Common_SourceData_ClimateZones_Data(), Table_SourceData_ClimateZones[[#Headers],[Climate zone]], 0)</f>
        <v>999999</v>
      </c>
      <c r="R90" s="25" cm="1">
        <f t="array" ref="R90">Common_InputFunctions.Utility_DisplayArrayInTable(Common_SourceData.Common_SourceData_ClimateZones_Data(), Table_SourceData_ClimateZones[[#Headers],[Climate zone]], 0)</f>
        <v>-999999</v>
      </c>
      <c r="S90" s="25" cm="1">
        <f t="array" ref="S90">Common_InputFunctions.Utility_DisplayArrayInTable(Common_SourceData.Common_SourceData_ClimateZones_Data(), Table_SourceData_ClimateZones[[#Headers],[Climate zone]], 0)</f>
        <v>999999</v>
      </c>
      <c r="T90" s="25"/>
    </row>
    <row r="91" spans="1:20" ht="20.100000000000001" customHeight="1" x14ac:dyDescent="0.25">
      <c r="A91"/>
      <c r="D91" s="25" t="str" cm="1">
        <f t="array" ref="D91">Common_InputFunctions.Utility_DisplayArrayInTable(Common_SourceData.Common_SourceData_ClimateZones_Data(), Table_SourceData_ClimateZones[[#Headers],[Climate zone]], 0)</f>
        <v>Tropical wet</v>
      </c>
      <c r="E91" s="25" t="str" cm="1">
        <f t="array" ref="E91">Common_InputFunctions.Utility_DisplayArrayInTable(Common_SourceData.Common_SourceData_ClimateZones_Data(), Table_SourceData_ClimateZones[[#Headers],[Climate zone]], 0)</f>
        <v>&gt; 18 C</v>
      </c>
      <c r="F91" s="25" t="str" cm="1">
        <f t="array" ref="F91">Common_InputFunctions.Utility_DisplayArrayInTable(Common_SourceData.Common_SourceData_ClimateZones_Data(), Table_SourceData_ClimateZones[[#Headers],[Climate zone]], 0)</f>
        <v>&gt; 2000 mm</v>
      </c>
      <c r="G91" s="25" t="str" cm="1">
        <f t="array" ref="G91">Common_InputFunctions.Utility_DisplayArrayInTable(Common_SourceData.Common_SourceData_ClimateZones_Data(), Table_SourceData_ClimateZones[[#Headers],[Climate zone]], 0)</f>
        <v>≤ 7</v>
      </c>
      <c r="H91" s="25" t="str" cm="1">
        <f t="array" ref="H91">Common_InputFunctions.Utility_DisplayArrayInTable(Common_SourceData.Common_SourceData_ClimateZones_Data(), Table_SourceData_ClimateZones[[#Headers],[Climate zone]], 0)</f>
        <v>≤ 1000 m</v>
      </c>
      <c r="I91" s="25" t="str" cm="1">
        <f t="array" ref="I91">Common_InputFunctions.Utility_DisplayArrayInTable(Common_SourceData.Common_SourceData_ClimateZones_Data(), Table_SourceData_ClimateZones[[#Headers],[Climate zone]], 0)</f>
        <v>Any</v>
      </c>
      <c r="J91" s="25" cm="1">
        <f t="array" ref="J91">Common_InputFunctions.Utility_DisplayArrayInTable(Common_SourceData.Common_SourceData_ClimateZones_Data(), Table_SourceData_ClimateZones[[#Headers],[Climate zone]], 0)</f>
        <v>18.001000000000001</v>
      </c>
      <c r="K91" s="25" cm="1">
        <f t="array" ref="K91">Common_InputFunctions.Utility_DisplayArrayInTable(Common_SourceData.Common_SourceData_ClimateZones_Data(), Table_SourceData_ClimateZones[[#Headers],[Climate zone]], 0)</f>
        <v>999999</v>
      </c>
      <c r="L91" s="25" cm="1">
        <f t="array" ref="L91">Common_InputFunctions.Utility_DisplayArrayInTable(Common_SourceData.Common_SourceData_ClimateZones_Data(), Table_SourceData_ClimateZones[[#Headers],[Climate zone]], 0)</f>
        <v>2000.001</v>
      </c>
      <c r="M91" s="25" cm="1">
        <f t="array" ref="M91">Common_InputFunctions.Utility_DisplayArrayInTable(Common_SourceData.Common_SourceData_ClimateZones_Data(), Table_SourceData_ClimateZones[[#Headers],[Climate zone]], 0)</f>
        <v>999999</v>
      </c>
      <c r="N91" s="25" cm="1">
        <f t="array" ref="N91">Common_InputFunctions.Utility_DisplayArrayInTable(Common_SourceData.Common_SourceData_ClimateZones_Data(), Table_SourceData_ClimateZones[[#Headers],[Climate zone]], 0)</f>
        <v>-999999</v>
      </c>
      <c r="O91" s="25" cm="1">
        <f t="array" ref="O91">Common_InputFunctions.Utility_DisplayArrayInTable(Common_SourceData.Common_SourceData_ClimateZones_Data(), Table_SourceData_ClimateZones[[#Headers],[Climate zone]], 0)</f>
        <v>7</v>
      </c>
      <c r="P91" s="25" cm="1">
        <f t="array" ref="P91">Common_InputFunctions.Utility_DisplayArrayInTable(Common_SourceData.Common_SourceData_ClimateZones_Data(), Table_SourceData_ClimateZones[[#Headers],[Climate zone]], 0)</f>
        <v>-999999</v>
      </c>
      <c r="Q91" s="25" cm="1">
        <f t="array" ref="Q91">Common_InputFunctions.Utility_DisplayArrayInTable(Common_SourceData.Common_SourceData_ClimateZones_Data(), Table_SourceData_ClimateZones[[#Headers],[Climate zone]], 0)</f>
        <v>999.99900000000002</v>
      </c>
      <c r="R91" s="25" cm="1">
        <f t="array" ref="R91">Common_InputFunctions.Utility_DisplayArrayInTable(Common_SourceData.Common_SourceData_ClimateZones_Data(), Table_SourceData_ClimateZones[[#Headers],[Climate zone]], 0)</f>
        <v>-999999</v>
      </c>
      <c r="S91" s="25" cm="1">
        <f t="array" ref="S91">Common_InputFunctions.Utility_DisplayArrayInTable(Common_SourceData.Common_SourceData_ClimateZones_Data(), Table_SourceData_ClimateZones[[#Headers],[Climate zone]], 0)</f>
        <v>999999</v>
      </c>
      <c r="T91" s="25"/>
    </row>
    <row r="92" spans="1:20" ht="20.100000000000001" customHeight="1" x14ac:dyDescent="0.25">
      <c r="A92"/>
      <c r="D92" s="25" t="str" cm="1">
        <f t="array" ref="D92">Common_InputFunctions.Utility_DisplayArrayInTable(Common_SourceData.Common_SourceData_ClimateZones_Data(), Table_SourceData_ClimateZones[[#Headers],[Climate zone]], 0)</f>
        <v>Tropical moist</v>
      </c>
      <c r="E92" s="25" t="str" cm="1">
        <f t="array" ref="E92">Common_InputFunctions.Utility_DisplayArrayInTable(Common_SourceData.Common_SourceData_ClimateZones_Data(), Table_SourceData_ClimateZones[[#Headers],[Climate zone]], 0)</f>
        <v>&gt; 18 C</v>
      </c>
      <c r="F92" s="25" t="str" cm="1">
        <f t="array" ref="F92">Common_InputFunctions.Utility_DisplayArrayInTable(Common_SourceData.Common_SourceData_ClimateZones_Data(), Table_SourceData_ClimateZones[[#Headers],[Climate zone]], 0)</f>
        <v>&gt; 1000 mm - ≤ 2000 mm</v>
      </c>
      <c r="G92" s="25" t="str" cm="1">
        <f t="array" ref="G92">Common_InputFunctions.Utility_DisplayArrayInTable(Common_SourceData.Common_SourceData_ClimateZones_Data(), Table_SourceData_ClimateZones[[#Headers],[Climate zone]], 0)</f>
        <v>≤ 7</v>
      </c>
      <c r="H92" s="25" t="str" cm="1">
        <f t="array" ref="H92">Common_InputFunctions.Utility_DisplayArrayInTable(Common_SourceData.Common_SourceData_ClimateZones_Data(), Table_SourceData_ClimateZones[[#Headers],[Climate zone]], 0)</f>
        <v>≤ 1000 m</v>
      </c>
      <c r="I92" s="25" t="str" cm="1">
        <f t="array" ref="I92">Common_InputFunctions.Utility_DisplayArrayInTable(Common_SourceData.Common_SourceData_ClimateZones_Data(), Table_SourceData_ClimateZones[[#Headers],[Climate zone]], 0)</f>
        <v>Any</v>
      </c>
      <c r="J92" s="25" cm="1">
        <f t="array" ref="J92">Common_InputFunctions.Utility_DisplayArrayInTable(Common_SourceData.Common_SourceData_ClimateZones_Data(), Table_SourceData_ClimateZones[[#Headers],[Climate zone]], 0)</f>
        <v>18.001000000000001</v>
      </c>
      <c r="K92" s="25" cm="1">
        <f t="array" ref="K92">Common_InputFunctions.Utility_DisplayArrayInTable(Common_SourceData.Common_SourceData_ClimateZones_Data(), Table_SourceData_ClimateZones[[#Headers],[Climate zone]], 0)</f>
        <v>999999</v>
      </c>
      <c r="L92" s="25" cm="1">
        <f t="array" ref="L92">Common_InputFunctions.Utility_DisplayArrayInTable(Common_SourceData.Common_SourceData_ClimateZones_Data(), Table_SourceData_ClimateZones[[#Headers],[Climate zone]], 0)</f>
        <v>1000.001</v>
      </c>
      <c r="M92" s="25" cm="1">
        <f t="array" ref="M92">Common_InputFunctions.Utility_DisplayArrayInTable(Common_SourceData.Common_SourceData_ClimateZones_Data(), Table_SourceData_ClimateZones[[#Headers],[Climate zone]], 0)</f>
        <v>2000</v>
      </c>
      <c r="N92" s="25" cm="1">
        <f t="array" ref="N92">Common_InputFunctions.Utility_DisplayArrayInTable(Common_SourceData.Common_SourceData_ClimateZones_Data(), Table_SourceData_ClimateZones[[#Headers],[Climate zone]], 0)</f>
        <v>-999999</v>
      </c>
      <c r="O92" s="25" cm="1">
        <f t="array" ref="O92">Common_InputFunctions.Utility_DisplayArrayInTable(Common_SourceData.Common_SourceData_ClimateZones_Data(), Table_SourceData_ClimateZones[[#Headers],[Climate zone]], 0)</f>
        <v>7</v>
      </c>
      <c r="P92" s="25" cm="1">
        <f t="array" ref="P92">Common_InputFunctions.Utility_DisplayArrayInTable(Common_SourceData.Common_SourceData_ClimateZones_Data(), Table_SourceData_ClimateZones[[#Headers],[Climate zone]], 0)</f>
        <v>-999999</v>
      </c>
      <c r="Q92" s="25" cm="1">
        <f t="array" ref="Q92">Common_InputFunctions.Utility_DisplayArrayInTable(Common_SourceData.Common_SourceData_ClimateZones_Data(), Table_SourceData_ClimateZones[[#Headers],[Climate zone]], 0)</f>
        <v>999.99900000000002</v>
      </c>
      <c r="R92" s="25" cm="1">
        <f t="array" ref="R92">Common_InputFunctions.Utility_DisplayArrayInTable(Common_SourceData.Common_SourceData_ClimateZones_Data(), Table_SourceData_ClimateZones[[#Headers],[Climate zone]], 0)</f>
        <v>-999999</v>
      </c>
      <c r="S92" s="25" cm="1">
        <f t="array" ref="S92">Common_InputFunctions.Utility_DisplayArrayInTable(Common_SourceData.Common_SourceData_ClimateZones_Data(), Table_SourceData_ClimateZones[[#Headers],[Climate zone]], 0)</f>
        <v>999999</v>
      </c>
      <c r="T92" s="25"/>
    </row>
    <row r="93" spans="1:20" ht="20.100000000000001" customHeight="1" x14ac:dyDescent="0.25">
      <c r="A93"/>
      <c r="D93" s="25" t="str" cm="1">
        <f t="array" ref="D93">Common_InputFunctions.Utility_DisplayArrayInTable(Common_SourceData.Common_SourceData_ClimateZones_Data(), Table_SourceData_ClimateZones[[#Headers],[Climate zone]], 0)</f>
        <v>Tropical dry</v>
      </c>
      <c r="E93" s="25" t="str" cm="1">
        <f t="array" ref="E93">Common_InputFunctions.Utility_DisplayArrayInTable(Common_SourceData.Common_SourceData_ClimateZones_Data(), Table_SourceData_ClimateZones[[#Headers],[Climate zone]], 0)</f>
        <v>&gt; 18 C</v>
      </c>
      <c r="F93" s="25" t="str" cm="1">
        <f t="array" ref="F93">Common_InputFunctions.Utility_DisplayArrayInTable(Common_SourceData.Common_SourceData_ClimateZones_Data(), Table_SourceData_ClimateZones[[#Headers],[Climate zone]], 0)</f>
        <v>≤ 1000 mm</v>
      </c>
      <c r="G93" s="25" t="str" cm="1">
        <f t="array" ref="G93">Common_InputFunctions.Utility_DisplayArrayInTable(Common_SourceData.Common_SourceData_ClimateZones_Data(), Table_SourceData_ClimateZones[[#Headers],[Climate zone]], 0)</f>
        <v>≤ 7</v>
      </c>
      <c r="H93" s="25" t="str" cm="1">
        <f t="array" ref="H93">Common_InputFunctions.Utility_DisplayArrayInTable(Common_SourceData.Common_SourceData_ClimateZones_Data(), Table_SourceData_ClimateZones[[#Headers],[Climate zone]], 0)</f>
        <v>≤ 1000 m</v>
      </c>
      <c r="I93" s="25" t="str" cm="1">
        <f t="array" ref="I93">Common_InputFunctions.Utility_DisplayArrayInTable(Common_SourceData.Common_SourceData_ClimateZones_Data(), Table_SourceData_ClimateZones[[#Headers],[Climate zone]], 0)</f>
        <v>Any</v>
      </c>
      <c r="J93" s="25" cm="1">
        <f t="array" ref="J93">Common_InputFunctions.Utility_DisplayArrayInTable(Common_SourceData.Common_SourceData_ClimateZones_Data(), Table_SourceData_ClimateZones[[#Headers],[Climate zone]], 0)</f>
        <v>18.001000000000001</v>
      </c>
      <c r="K93" s="25" cm="1">
        <f t="array" ref="K93">Common_InputFunctions.Utility_DisplayArrayInTable(Common_SourceData.Common_SourceData_ClimateZones_Data(), Table_SourceData_ClimateZones[[#Headers],[Climate zone]], 0)</f>
        <v>999999</v>
      </c>
      <c r="L93" s="25" cm="1">
        <f t="array" ref="L93">Common_InputFunctions.Utility_DisplayArrayInTable(Common_SourceData.Common_SourceData_ClimateZones_Data(), Table_SourceData_ClimateZones[[#Headers],[Climate zone]], 0)</f>
        <v>-999999</v>
      </c>
      <c r="M93" s="25" cm="1">
        <f t="array" ref="M93">Common_InputFunctions.Utility_DisplayArrayInTable(Common_SourceData.Common_SourceData_ClimateZones_Data(), Table_SourceData_ClimateZones[[#Headers],[Climate zone]], 0)</f>
        <v>1000</v>
      </c>
      <c r="N93" s="25" cm="1">
        <f t="array" ref="N93">Common_InputFunctions.Utility_DisplayArrayInTable(Common_SourceData.Common_SourceData_ClimateZones_Data(), Table_SourceData_ClimateZones[[#Headers],[Climate zone]], 0)</f>
        <v>-999999</v>
      </c>
      <c r="O93" s="25" cm="1">
        <f t="array" ref="O93">Common_InputFunctions.Utility_DisplayArrayInTable(Common_SourceData.Common_SourceData_ClimateZones_Data(), Table_SourceData_ClimateZones[[#Headers],[Climate zone]], 0)</f>
        <v>7</v>
      </c>
      <c r="P93" s="25" cm="1">
        <f t="array" ref="P93">Common_InputFunctions.Utility_DisplayArrayInTable(Common_SourceData.Common_SourceData_ClimateZones_Data(), Table_SourceData_ClimateZones[[#Headers],[Climate zone]], 0)</f>
        <v>-999999</v>
      </c>
      <c r="Q93" s="25" cm="1">
        <f t="array" ref="Q93">Common_InputFunctions.Utility_DisplayArrayInTable(Common_SourceData.Common_SourceData_ClimateZones_Data(), Table_SourceData_ClimateZones[[#Headers],[Climate zone]], 0)</f>
        <v>999.99900000000002</v>
      </c>
      <c r="R93" s="25" cm="1">
        <f t="array" ref="R93">Common_InputFunctions.Utility_DisplayArrayInTable(Common_SourceData.Common_SourceData_ClimateZones_Data(), Table_SourceData_ClimateZones[[#Headers],[Climate zone]], 0)</f>
        <v>-999999</v>
      </c>
      <c r="S93" s="25" cm="1">
        <f t="array" ref="S93">Common_InputFunctions.Utility_DisplayArrayInTable(Common_SourceData.Common_SourceData_ClimateZones_Data(), Table_SourceData_ClimateZones[[#Headers],[Climate zone]], 0)</f>
        <v>999999</v>
      </c>
      <c r="T93" s="25"/>
    </row>
    <row r="94" spans="1:20" ht="20.100000000000001" customHeight="1" x14ac:dyDescent="0.25">
      <c r="A94"/>
      <c r="D94" s="25" t="str" cm="1">
        <f t="array" ref="D94">Common_InputFunctions.Utility_DisplayArrayInTable(Common_SourceData.Common_SourceData_ClimateZones_Data(), Table_SourceData_ClimateZones[[#Headers],[Climate zone]], 0)</f>
        <v>Warm temperate moist</v>
      </c>
      <c r="E94" s="25" t="str" cm="1">
        <f t="array" ref="E94">Common_InputFunctions.Utility_DisplayArrayInTable(Common_SourceData.Common_SourceData_ClimateZones_Data(), Table_SourceData_ClimateZones[[#Headers],[Climate zone]], 0)</f>
        <v>&gt; 10 C</v>
      </c>
      <c r="F94" s="25" t="str" cm="1">
        <f t="array" ref="F94">Common_InputFunctions.Utility_DisplayArrayInTable(Common_SourceData.Common_SourceData_ClimateZones_Data(), Table_SourceData_ClimateZones[[#Headers],[Climate zone]], 0)</f>
        <v>Any</v>
      </c>
      <c r="G94" s="25" t="str" cm="1">
        <f t="array" ref="G94">Common_InputFunctions.Utility_DisplayArrayInTable(Common_SourceData.Common_SourceData_ClimateZones_Data(), Table_SourceData_ClimateZones[[#Headers],[Climate zone]], 0)</f>
        <v>Any</v>
      </c>
      <c r="H94" s="25" t="str" cm="1">
        <f t="array" ref="H94">Common_InputFunctions.Utility_DisplayArrayInTable(Common_SourceData.Common_SourceData_ClimateZones_Data(), Table_SourceData_ClimateZones[[#Headers],[Climate zone]], 0)</f>
        <v>Any</v>
      </c>
      <c r="I94" s="25" t="str" cm="1">
        <f t="array" ref="I94">Common_InputFunctions.Utility_DisplayArrayInTable(Common_SourceData.Common_SourceData_ClimateZones_Data(), Table_SourceData_ClimateZones[[#Headers],[Climate zone]], 0)</f>
        <v>&gt; 1</v>
      </c>
      <c r="J94" s="25" cm="1">
        <f t="array" ref="J94">Common_InputFunctions.Utility_DisplayArrayInTable(Common_SourceData.Common_SourceData_ClimateZones_Data(), Table_SourceData_ClimateZones[[#Headers],[Climate zone]], 0)</f>
        <v>10.000999999999999</v>
      </c>
      <c r="K94" s="25" cm="1">
        <f t="array" ref="K94">Common_InputFunctions.Utility_DisplayArrayInTable(Common_SourceData.Common_SourceData_ClimateZones_Data(), Table_SourceData_ClimateZones[[#Headers],[Climate zone]], 0)</f>
        <v>999999</v>
      </c>
      <c r="L94" s="25" cm="1">
        <f t="array" ref="L94">Common_InputFunctions.Utility_DisplayArrayInTable(Common_SourceData.Common_SourceData_ClimateZones_Data(), Table_SourceData_ClimateZones[[#Headers],[Climate zone]], 0)</f>
        <v>-999999</v>
      </c>
      <c r="M94" s="25" cm="1">
        <f t="array" ref="M94">Common_InputFunctions.Utility_DisplayArrayInTable(Common_SourceData.Common_SourceData_ClimateZones_Data(), Table_SourceData_ClimateZones[[#Headers],[Climate zone]], 0)</f>
        <v>999999</v>
      </c>
      <c r="N94" s="25" cm="1">
        <f t="array" ref="N94">Common_InputFunctions.Utility_DisplayArrayInTable(Common_SourceData.Common_SourceData_ClimateZones_Data(), Table_SourceData_ClimateZones[[#Headers],[Climate zone]], 0)</f>
        <v>-999999</v>
      </c>
      <c r="O94" s="25" cm="1">
        <f t="array" ref="O94">Common_InputFunctions.Utility_DisplayArrayInTable(Common_SourceData.Common_SourceData_ClimateZones_Data(), Table_SourceData_ClimateZones[[#Headers],[Climate zone]], 0)</f>
        <v>999999</v>
      </c>
      <c r="P94" s="25" cm="1">
        <f t="array" ref="P94">Common_InputFunctions.Utility_DisplayArrayInTable(Common_SourceData.Common_SourceData_ClimateZones_Data(), Table_SourceData_ClimateZones[[#Headers],[Climate zone]], 0)</f>
        <v>-999999</v>
      </c>
      <c r="Q94" s="25" cm="1">
        <f t="array" ref="Q94">Common_InputFunctions.Utility_DisplayArrayInTable(Common_SourceData.Common_SourceData_ClimateZones_Data(), Table_SourceData_ClimateZones[[#Headers],[Climate zone]], 0)</f>
        <v>999999</v>
      </c>
      <c r="R94" s="25" cm="1">
        <f t="array" ref="R94">Common_InputFunctions.Utility_DisplayArrayInTable(Common_SourceData.Common_SourceData_ClimateZones_Data(), Table_SourceData_ClimateZones[[#Headers],[Climate zone]], 0)</f>
        <v>1.0009999999999999</v>
      </c>
      <c r="S94" s="25" cm="1">
        <f t="array" ref="S94">Common_InputFunctions.Utility_DisplayArrayInTable(Common_SourceData.Common_SourceData_ClimateZones_Data(), Table_SourceData_ClimateZones[[#Headers],[Climate zone]], 0)</f>
        <v>999999</v>
      </c>
      <c r="T94" s="25"/>
    </row>
    <row r="95" spans="1:20" ht="20.100000000000001" customHeight="1" x14ac:dyDescent="0.25">
      <c r="A95"/>
      <c r="D95" s="25" t="str" cm="1">
        <f t="array" ref="D95">Common_InputFunctions.Utility_DisplayArrayInTable(Common_SourceData.Common_SourceData_ClimateZones_Data(), Table_SourceData_ClimateZones[[#Headers],[Climate zone]], 0)</f>
        <v>Warm temperate dry</v>
      </c>
      <c r="E95" s="25" t="str" cm="1">
        <f t="array" ref="E95">Common_InputFunctions.Utility_DisplayArrayInTable(Common_SourceData.Common_SourceData_ClimateZones_Data(), Table_SourceData_ClimateZones[[#Headers],[Climate zone]], 0)</f>
        <v>&gt; 10 C</v>
      </c>
      <c r="F95" s="25" t="str" cm="1">
        <f t="array" ref="F95">Common_InputFunctions.Utility_DisplayArrayInTable(Common_SourceData.Common_SourceData_ClimateZones_Data(), Table_SourceData_ClimateZones[[#Headers],[Climate zone]], 0)</f>
        <v>Any</v>
      </c>
      <c r="G95" s="25" t="str" cm="1">
        <f t="array" ref="G95">Common_InputFunctions.Utility_DisplayArrayInTable(Common_SourceData.Common_SourceData_ClimateZones_Data(), Table_SourceData_ClimateZones[[#Headers],[Climate zone]], 0)</f>
        <v>Any</v>
      </c>
      <c r="H95" s="25" t="str" cm="1">
        <f t="array" ref="H95">Common_InputFunctions.Utility_DisplayArrayInTable(Common_SourceData.Common_SourceData_ClimateZones_Data(), Table_SourceData_ClimateZones[[#Headers],[Climate zone]], 0)</f>
        <v>Any</v>
      </c>
      <c r="I95" s="25" t="str" cm="1">
        <f t="array" ref="I95">Common_InputFunctions.Utility_DisplayArrayInTable(Common_SourceData.Common_SourceData_ClimateZones_Data(), Table_SourceData_ClimateZones[[#Headers],[Climate zone]], 0)</f>
        <v>≤ 1</v>
      </c>
      <c r="J95" s="25" cm="1">
        <f t="array" ref="J95">Common_InputFunctions.Utility_DisplayArrayInTable(Common_SourceData.Common_SourceData_ClimateZones_Data(), Table_SourceData_ClimateZones[[#Headers],[Climate zone]], 0)</f>
        <v>10.000999999999999</v>
      </c>
      <c r="K95" s="25" cm="1">
        <f t="array" ref="K95">Common_InputFunctions.Utility_DisplayArrayInTable(Common_SourceData.Common_SourceData_ClimateZones_Data(), Table_SourceData_ClimateZones[[#Headers],[Climate zone]], 0)</f>
        <v>999999</v>
      </c>
      <c r="L95" s="25" cm="1">
        <f t="array" ref="L95">Common_InputFunctions.Utility_DisplayArrayInTable(Common_SourceData.Common_SourceData_ClimateZones_Data(), Table_SourceData_ClimateZones[[#Headers],[Climate zone]], 0)</f>
        <v>-999999</v>
      </c>
      <c r="M95" s="25" cm="1">
        <f t="array" ref="M95">Common_InputFunctions.Utility_DisplayArrayInTable(Common_SourceData.Common_SourceData_ClimateZones_Data(), Table_SourceData_ClimateZones[[#Headers],[Climate zone]], 0)</f>
        <v>999999</v>
      </c>
      <c r="N95" s="25" cm="1">
        <f t="array" ref="N95">Common_InputFunctions.Utility_DisplayArrayInTable(Common_SourceData.Common_SourceData_ClimateZones_Data(), Table_SourceData_ClimateZones[[#Headers],[Climate zone]], 0)</f>
        <v>-999999</v>
      </c>
      <c r="O95" s="25" cm="1">
        <f t="array" ref="O95">Common_InputFunctions.Utility_DisplayArrayInTable(Common_SourceData.Common_SourceData_ClimateZones_Data(), Table_SourceData_ClimateZones[[#Headers],[Climate zone]], 0)</f>
        <v>999999</v>
      </c>
      <c r="P95" s="25" cm="1">
        <f t="array" ref="P95">Common_InputFunctions.Utility_DisplayArrayInTable(Common_SourceData.Common_SourceData_ClimateZones_Data(), Table_SourceData_ClimateZones[[#Headers],[Climate zone]], 0)</f>
        <v>-999999</v>
      </c>
      <c r="Q95" s="25" cm="1">
        <f t="array" ref="Q95">Common_InputFunctions.Utility_DisplayArrayInTable(Common_SourceData.Common_SourceData_ClimateZones_Data(), Table_SourceData_ClimateZones[[#Headers],[Climate zone]], 0)</f>
        <v>999999</v>
      </c>
      <c r="R95" s="25" cm="1">
        <f t="array" ref="R95">Common_InputFunctions.Utility_DisplayArrayInTable(Common_SourceData.Common_SourceData_ClimateZones_Data(), Table_SourceData_ClimateZones[[#Headers],[Climate zone]], 0)</f>
        <v>-999999</v>
      </c>
      <c r="S95" s="25" cm="1">
        <f t="array" ref="S95">Common_InputFunctions.Utility_DisplayArrayInTable(Common_SourceData.Common_SourceData_ClimateZones_Data(), Table_SourceData_ClimateZones[[#Headers],[Climate zone]], 0)</f>
        <v>1</v>
      </c>
      <c r="T95" s="25"/>
    </row>
    <row r="96" spans="1:20" ht="20.100000000000001" customHeight="1" x14ac:dyDescent="0.25">
      <c r="A96"/>
      <c r="D96" s="25" t="str" cm="1">
        <f t="array" ref="D96">Common_InputFunctions.Utility_DisplayArrayInTable(Common_SourceData.Common_SourceData_ClimateZones_Data(), Table_SourceData_ClimateZones[[#Headers],[Climate zone]], 0)</f>
        <v>Cool temperate moist</v>
      </c>
      <c r="E96" s="25" t="str" cm="1">
        <f t="array" ref="E96">Common_InputFunctions.Utility_DisplayArrayInTable(Common_SourceData.Common_SourceData_ClimateZones_Data(), Table_SourceData_ClimateZones[[#Headers],[Climate zone]], 0)</f>
        <v>&gt; 0 C - ≤ 10 C</v>
      </c>
      <c r="F96" s="25" t="str" cm="1">
        <f t="array" ref="F96">Common_InputFunctions.Utility_DisplayArrayInTable(Common_SourceData.Common_SourceData_ClimateZones_Data(), Table_SourceData_ClimateZones[[#Headers],[Climate zone]], 0)</f>
        <v>Any</v>
      </c>
      <c r="G96" s="25" t="str" cm="1">
        <f t="array" ref="G96">Common_InputFunctions.Utility_DisplayArrayInTable(Common_SourceData.Common_SourceData_ClimateZones_Data(), Table_SourceData_ClimateZones[[#Headers],[Climate zone]], 0)</f>
        <v>Any</v>
      </c>
      <c r="H96" s="25" t="str" cm="1">
        <f t="array" ref="H96">Common_InputFunctions.Utility_DisplayArrayInTable(Common_SourceData.Common_SourceData_ClimateZones_Data(), Table_SourceData_ClimateZones[[#Headers],[Climate zone]], 0)</f>
        <v>Any</v>
      </c>
      <c r="I96" s="25" t="str" cm="1">
        <f t="array" ref="I96">Common_InputFunctions.Utility_DisplayArrayInTable(Common_SourceData.Common_SourceData_ClimateZones_Data(), Table_SourceData_ClimateZones[[#Headers],[Climate zone]], 0)</f>
        <v>&gt; 1</v>
      </c>
      <c r="J96" s="25" cm="1">
        <f t="array" ref="J96">Common_InputFunctions.Utility_DisplayArrayInTable(Common_SourceData.Common_SourceData_ClimateZones_Data(), Table_SourceData_ClimateZones[[#Headers],[Climate zone]], 0)</f>
        <v>-999999</v>
      </c>
      <c r="K96" s="25" cm="1">
        <f t="array" ref="K96">Common_InputFunctions.Utility_DisplayArrayInTable(Common_SourceData.Common_SourceData_ClimateZones_Data(), Table_SourceData_ClimateZones[[#Headers],[Climate zone]], 0)</f>
        <v>10</v>
      </c>
      <c r="L96" s="25" cm="1">
        <f t="array" ref="L96">Common_InputFunctions.Utility_DisplayArrayInTable(Common_SourceData.Common_SourceData_ClimateZones_Data(), Table_SourceData_ClimateZones[[#Headers],[Climate zone]], 0)</f>
        <v>-999999</v>
      </c>
      <c r="M96" s="25" cm="1">
        <f t="array" ref="M96">Common_InputFunctions.Utility_DisplayArrayInTable(Common_SourceData.Common_SourceData_ClimateZones_Data(), Table_SourceData_ClimateZones[[#Headers],[Climate zone]], 0)</f>
        <v>999999</v>
      </c>
      <c r="N96" s="25" cm="1">
        <f t="array" ref="N96">Common_InputFunctions.Utility_DisplayArrayInTable(Common_SourceData.Common_SourceData_ClimateZones_Data(), Table_SourceData_ClimateZones[[#Headers],[Climate zone]], 0)</f>
        <v>-999999</v>
      </c>
      <c r="O96" s="25" cm="1">
        <f t="array" ref="O96">Common_InputFunctions.Utility_DisplayArrayInTable(Common_SourceData.Common_SourceData_ClimateZones_Data(), Table_SourceData_ClimateZones[[#Headers],[Climate zone]], 0)</f>
        <v>999999</v>
      </c>
      <c r="P96" s="25" cm="1">
        <f t="array" ref="P96">Common_InputFunctions.Utility_DisplayArrayInTable(Common_SourceData.Common_SourceData_ClimateZones_Data(), Table_SourceData_ClimateZones[[#Headers],[Climate zone]], 0)</f>
        <v>-999999</v>
      </c>
      <c r="Q96" s="25" cm="1">
        <f t="array" ref="Q96">Common_InputFunctions.Utility_DisplayArrayInTable(Common_SourceData.Common_SourceData_ClimateZones_Data(), Table_SourceData_ClimateZones[[#Headers],[Climate zone]], 0)</f>
        <v>999999</v>
      </c>
      <c r="R96" s="25" cm="1">
        <f t="array" ref="R96">Common_InputFunctions.Utility_DisplayArrayInTable(Common_SourceData.Common_SourceData_ClimateZones_Data(), Table_SourceData_ClimateZones[[#Headers],[Climate zone]], 0)</f>
        <v>1.0009999999999999</v>
      </c>
      <c r="S96" s="25" cm="1">
        <f t="array" ref="S96">Common_InputFunctions.Utility_DisplayArrayInTable(Common_SourceData.Common_SourceData_ClimateZones_Data(), Table_SourceData_ClimateZones[[#Headers],[Climate zone]], 0)</f>
        <v>999999</v>
      </c>
      <c r="T96" s="25"/>
    </row>
    <row r="97" spans="1:20" ht="20.100000000000001" customHeight="1" x14ac:dyDescent="0.25">
      <c r="A97"/>
      <c r="D97" s="25" t="str" cm="1">
        <f t="array" ref="D97">Common_InputFunctions.Utility_DisplayArrayInTable(Common_SourceData.Common_SourceData_ClimateZones_Data(), Table_SourceData_ClimateZones[[#Headers],[Climate zone]], 0)</f>
        <v>Cool temperate dry</v>
      </c>
      <c r="E97" s="25" t="str" cm="1">
        <f t="array" ref="E97">Common_InputFunctions.Utility_DisplayArrayInTable(Common_SourceData.Common_SourceData_ClimateZones_Data(), Table_SourceData_ClimateZones[[#Headers],[Climate zone]], 0)</f>
        <v>&gt; 0 C - ≤ 10 C</v>
      </c>
      <c r="F97" s="25" t="str" cm="1">
        <f t="array" ref="F97">Common_InputFunctions.Utility_DisplayArrayInTable(Common_SourceData.Common_SourceData_ClimateZones_Data(), Table_SourceData_ClimateZones[[#Headers],[Climate zone]], 0)</f>
        <v>Any</v>
      </c>
      <c r="G97" s="25" t="str" cm="1">
        <f t="array" ref="G97">Common_InputFunctions.Utility_DisplayArrayInTable(Common_SourceData.Common_SourceData_ClimateZones_Data(), Table_SourceData_ClimateZones[[#Headers],[Climate zone]], 0)</f>
        <v>Any</v>
      </c>
      <c r="H97" s="25" t="str" cm="1">
        <f t="array" ref="H97">Common_InputFunctions.Utility_DisplayArrayInTable(Common_SourceData.Common_SourceData_ClimateZones_Data(), Table_SourceData_ClimateZones[[#Headers],[Climate zone]], 0)</f>
        <v>Any</v>
      </c>
      <c r="I97" s="25" t="str" cm="1">
        <f t="array" ref="I97">Common_InputFunctions.Utility_DisplayArrayInTable(Common_SourceData.Common_SourceData_ClimateZones_Data(), Table_SourceData_ClimateZones[[#Headers],[Climate zone]], 0)</f>
        <v>≤ 1</v>
      </c>
      <c r="J97" s="25" cm="1">
        <f t="array" ref="J97">Common_InputFunctions.Utility_DisplayArrayInTable(Common_SourceData.Common_SourceData_ClimateZones_Data(), Table_SourceData_ClimateZones[[#Headers],[Climate zone]], 0)</f>
        <v>-999999</v>
      </c>
      <c r="K97" s="25" cm="1">
        <f t="array" ref="K97">Common_InputFunctions.Utility_DisplayArrayInTable(Common_SourceData.Common_SourceData_ClimateZones_Data(), Table_SourceData_ClimateZones[[#Headers],[Climate zone]], 0)</f>
        <v>10</v>
      </c>
      <c r="L97" s="25" cm="1">
        <f t="array" ref="L97">Common_InputFunctions.Utility_DisplayArrayInTable(Common_SourceData.Common_SourceData_ClimateZones_Data(), Table_SourceData_ClimateZones[[#Headers],[Climate zone]], 0)</f>
        <v>-999999</v>
      </c>
      <c r="M97" s="25" cm="1">
        <f t="array" ref="M97">Common_InputFunctions.Utility_DisplayArrayInTable(Common_SourceData.Common_SourceData_ClimateZones_Data(), Table_SourceData_ClimateZones[[#Headers],[Climate zone]], 0)</f>
        <v>999999</v>
      </c>
      <c r="N97" s="25" cm="1">
        <f t="array" ref="N97">Common_InputFunctions.Utility_DisplayArrayInTable(Common_SourceData.Common_SourceData_ClimateZones_Data(), Table_SourceData_ClimateZones[[#Headers],[Climate zone]], 0)</f>
        <v>-999999</v>
      </c>
      <c r="O97" s="25" cm="1">
        <f t="array" ref="O97">Common_InputFunctions.Utility_DisplayArrayInTable(Common_SourceData.Common_SourceData_ClimateZones_Data(), Table_SourceData_ClimateZones[[#Headers],[Climate zone]], 0)</f>
        <v>999999</v>
      </c>
      <c r="P97" s="25" cm="1">
        <f t="array" ref="P97">Common_InputFunctions.Utility_DisplayArrayInTable(Common_SourceData.Common_SourceData_ClimateZones_Data(), Table_SourceData_ClimateZones[[#Headers],[Climate zone]], 0)</f>
        <v>-999999</v>
      </c>
      <c r="Q97" s="25" cm="1">
        <f t="array" ref="Q97">Common_InputFunctions.Utility_DisplayArrayInTable(Common_SourceData.Common_SourceData_ClimateZones_Data(), Table_SourceData_ClimateZones[[#Headers],[Climate zone]], 0)</f>
        <v>999999</v>
      </c>
      <c r="R97" s="25" cm="1">
        <f t="array" ref="R97">Common_InputFunctions.Utility_DisplayArrayInTable(Common_SourceData.Common_SourceData_ClimateZones_Data(), Table_SourceData_ClimateZones[[#Headers],[Climate zone]], 0)</f>
        <v>-999999</v>
      </c>
      <c r="S97" s="25" cm="1">
        <f t="array" ref="S97">Common_InputFunctions.Utility_DisplayArrayInTable(Common_SourceData.Common_SourceData_ClimateZones_Data(), Table_SourceData_ClimateZones[[#Headers],[Climate zone]], 0)</f>
        <v>1</v>
      </c>
      <c r="T97" s="25"/>
    </row>
    <row r="98" spans="1:20" ht="20.100000000000001" customHeight="1" x14ac:dyDescent="0.25">
      <c r="A98"/>
    </row>
    <row r="99" spans="1:20" ht="20.100000000000001" customHeight="1" x14ac:dyDescent="0.25">
      <c r="A99"/>
      <c r="D99" s="27" t="str" cm="1">
        <f t="array" ref="D99:D102">Common_SourceData.Common_SourceData_ClimateZones_Appendices()</f>
        <v>Note:</v>
      </c>
    </row>
    <row r="100" spans="1:20" ht="20.100000000000001" customHeight="1" x14ac:dyDescent="0.25">
      <c r="A100"/>
      <c r="D100" s="27" t="str">
        <v>MAT = mean annual temperature</v>
      </c>
    </row>
    <row r="101" spans="1:20" ht="20.100000000000001" customHeight="1" x14ac:dyDescent="0.25">
      <c r="A101"/>
      <c r="D101" s="27" t="str">
        <v>MAP = mean annual precipitation</v>
      </c>
    </row>
    <row r="102" spans="1:20" ht="20.100000000000001" customHeight="1" x14ac:dyDescent="0.25">
      <c r="A102"/>
      <c r="D102" s="27" t="str">
        <v>PET = potential evapotranspiration</v>
      </c>
    </row>
    <row r="103" spans="1:20" ht="20.100000000000001" customHeight="1" x14ac:dyDescent="0.25">
      <c r="A103"/>
      <c r="D103" s="27"/>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5" t="s">
        <v>35</v>
      </c>
      <c r="E109" s="25" t="s">
        <v>18</v>
      </c>
      <c r="F109" s="25" t="s">
        <v>36</v>
      </c>
      <c r="G109" s="25" t="s">
        <v>37</v>
      </c>
    </row>
    <row r="110" spans="1:20" ht="20.100000000000001" customHeight="1" x14ac:dyDescent="0.25">
      <c r="A110"/>
      <c r="D110" s="25" t="str" cm="1">
        <f t="array" ref="D110">Common_InputFunctions.Utility_DisplayArrayInTable(Common_SourceData.Common_SourceData_TemperatureZones_Data(),Table_SourceData_TemperatureZones[[#Headers],[Temperature Zone]],0)</f>
        <v>Warm</v>
      </c>
      <c r="E110" s="25" t="str" cm="1">
        <f t="array" ref="E110">Common_InputFunctions.Utility_DisplayArrayInTable(Common_SourceData.Common_SourceData_TemperatureZones_Data(),Table_SourceData_TemperatureZones[[#Headers],[Temperature Zone]],0)</f>
        <v>≥ 26 C</v>
      </c>
      <c r="F110" s="25" cm="1">
        <f t="array" ref="F110">Common_InputFunctions.Utility_DisplayArrayInTable(Common_SourceData.Common_SourceData_TemperatureZones_Data(),Table_SourceData_TemperatureZones[[#Headers],[Temperature Zone]],0)</f>
        <v>26</v>
      </c>
      <c r="G110" s="2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5" t="str" cm="1">
        <f t="array" ref="D111">Common_InputFunctions.Utility_DisplayArrayInTable(Common_SourceData.Common_SourceData_TemperatureZones_Data(),Table_SourceData_TemperatureZones[[#Headers],[Temperature Zone]],0)</f>
        <v>Temperate</v>
      </c>
      <c r="E111" s="25" t="str" cm="1">
        <f t="array" ref="E111">Common_InputFunctions.Utility_DisplayArrayInTable(Common_SourceData.Common_SourceData_TemperatureZones_Data(),Table_SourceData_TemperatureZones[[#Headers],[Temperature Zone]],0)</f>
        <v>15 - 25 C</v>
      </c>
      <c r="F111" s="25" cm="1">
        <f t="array" ref="F111">Common_InputFunctions.Utility_DisplayArrayInTable(Common_SourceData.Common_SourceData_TemperatureZones_Data(),Table_SourceData_TemperatureZones[[#Headers],[Temperature Zone]],0)</f>
        <v>15</v>
      </c>
      <c r="G111" s="2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5" t="str" cm="1">
        <f t="array" ref="D112">Common_InputFunctions.Utility_DisplayArrayInTable(Common_SourceData.Common_SourceData_TemperatureZones_Data(),Table_SourceData_TemperatureZones[[#Headers],[Temperature Zone]],0)</f>
        <v>Cool</v>
      </c>
      <c r="E112" s="25" t="str" cm="1">
        <f t="array" ref="E112">Common_InputFunctions.Utility_DisplayArrayInTable(Common_SourceData.Common_SourceData_TemperatureZones_Data(),Table_SourceData_TemperatureZones[[#Headers],[Temperature Zone]],0)</f>
        <v>≤ 14 C</v>
      </c>
      <c r="F112" s="25" cm="1">
        <f t="array" ref="F112">Common_InputFunctions.Utility_DisplayArrayInTable(Common_SourceData.Common_SourceData_TemperatureZones_Data(),Table_SourceData_TemperatureZones[[#Headers],[Temperature Zone]],0)</f>
        <v>-999999</v>
      </c>
      <c r="G112" s="2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8"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5" t="s">
        <v>38</v>
      </c>
      <c r="E119" s="25" t="s">
        <v>39</v>
      </c>
      <c r="F119" s="25" t="s">
        <v>25</v>
      </c>
      <c r="G119" s="25" t="s">
        <v>26</v>
      </c>
      <c r="BN119" s="6"/>
    </row>
    <row r="120" spans="1:66" ht="20.100000000000001" customHeight="1" x14ac:dyDescent="0.25">
      <c r="A120"/>
      <c r="D120" s="25" t="str" cm="1">
        <f t="array" ref="D120">Common_InputFunctions.Utility_DisplayArrayInTable(Common_SourceData.Common_SourceData_RainfallZones_Data(),Table_SourceData_RainfallZones[[#Headers],[Rainfall Zone]],0)</f>
        <v>High rainfall</v>
      </c>
      <c r="E120" s="25" t="str" cm="1">
        <f t="array" ref="E120">Common_InputFunctions.Utility_DisplayArrayInTable(Common_SourceData.Common_SourceData_RainfallZones_Data(),Table_SourceData_RainfallZones[[#Headers],[Rainfall Zone]],0)</f>
        <v>Annual rainfall &gt; 600mm</v>
      </c>
      <c r="F120" s="25" cm="1">
        <f t="array" ref="F120">Common_InputFunctions.Utility_DisplayArrayInTable(Common_SourceData.Common_SourceData_RainfallZones_Data(),Table_SourceData_RainfallZones[[#Headers],[Rainfall Zone]],0)</f>
        <v>600.00099999999998</v>
      </c>
      <c r="G120" s="25"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5" t="str" cm="1">
        <f t="array" ref="D121">Common_InputFunctions.Utility_DisplayArrayInTable(Common_SourceData.Common_SourceData_RainfallZones_Data(),Table_SourceData_RainfallZones[[#Headers],[Rainfall Zone]],0)</f>
        <v>Low rainfall</v>
      </c>
      <c r="E121" s="25" t="str" cm="1">
        <f t="array" ref="E121">Common_InputFunctions.Utility_DisplayArrayInTable(Common_SourceData.Common_SourceData_RainfallZones_Data(),Table_SourceData_RainfallZones[[#Headers],[Rainfall Zone]],0)</f>
        <v>Annual rainfall ≤ 600mm</v>
      </c>
      <c r="F121" s="25" cm="1">
        <f t="array" ref="F121">Common_InputFunctions.Utility_DisplayArrayInTable(Common_SourceData.Common_SourceData_RainfallZones_Data(),Table_SourceData_RainfallZones[[#Headers],[Rainfall Zone]],0)</f>
        <v>-999999</v>
      </c>
      <c r="G121" s="25"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5" t="s">
        <v>40</v>
      </c>
      <c r="E127" s="25" t="s">
        <v>41</v>
      </c>
    </row>
    <row r="128" spans="1:66" ht="20.100000000000001" customHeight="1" x14ac:dyDescent="0.25">
      <c r="A128"/>
      <c r="D128" s="25" t="str" cm="1">
        <f t="array" ref="D128">Common_InputFunctions.Utility_DisplayArrayInTable(Common_SourceData.Common_SourceData_LeachingZones_Data(), Table_SourceData_LeachingZones[[#Headers],[Leaching Zone]], 0)</f>
        <v>Leaching occurs</v>
      </c>
      <c r="E128" s="2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5" t="str" cm="1">
        <f t="array" ref="D129">Common_InputFunctions.Utility_DisplayArrayInTable(Common_SourceData.Common_SourceData_LeachingZones_Data(), Table_SourceData_LeachingZones[[#Headers],[Leaching Zone]], 0)</f>
        <v>Leaching does not occur</v>
      </c>
      <c r="E129" s="2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8"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5" t="s">
        <v>57</v>
      </c>
      <c r="E142" s="25" t="s">
        <v>47</v>
      </c>
      <c r="BN142" s="6"/>
    </row>
    <row r="143" spans="1:77" ht="20.100000000000001" customHeight="1" x14ac:dyDescent="0.25">
      <c r="A143"/>
      <c r="D143" s="25" t="str" cm="1">
        <f t="array" ref="D143">Common_InputFunctions.Utility_DisplayArrayInTable(Common_SourceData.Common_SourceData_FracWETIrrigation_Data(), Table_SourceData_FracWETIrrigation[[#Headers],[Irrigation type i]], 0)</f>
        <v>Not irrigated</v>
      </c>
      <c r="E143" s="25"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5"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5"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5"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5"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5" t="s">
        <v>42</v>
      </c>
      <c r="E153" s="25" t="s">
        <v>43</v>
      </c>
      <c r="BC153" s="2"/>
      <c r="BD153" s="2"/>
      <c r="BE153" s="2"/>
      <c r="BF153" s="2"/>
      <c r="BG153" s="2"/>
      <c r="BH153" s="2"/>
      <c r="BI153" s="2"/>
      <c r="BJ153" s="2"/>
      <c r="BK153" s="2"/>
      <c r="BL153" s="2"/>
      <c r="BM153" s="2"/>
    </row>
    <row r="154" spans="1:66" ht="20.100000000000001" customHeight="1" x14ac:dyDescent="0.25">
      <c r="A154"/>
      <c r="D154" s="25" t="str" cm="1">
        <f t="array" ref="D154">Common_InputFunctions.Utility_DisplayArrayInTable(Common_SourceData.Common_SourceData_DataScores_Scope3_Data(), Table_SourceData_DataScores_Scope3[[#Headers],[Data source]], 0)</f>
        <v>International scope 3 database</v>
      </c>
      <c r="E154" s="25"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5" t="str" cm="1">
        <f t="array" ref="D155">Common_InputFunctions.Utility_DisplayArrayInTable(Common_SourceData.Common_SourceData_DataScores_Scope3_Data(), Table_SourceData_DataScores_Scope3[[#Headers],[Data source]], 0)</f>
        <v>Australian scope 3 database</v>
      </c>
      <c r="E155" s="25"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5" t="str" cm="1">
        <f t="array" ref="D156">Common_InputFunctions.Utility_DisplayArrayInTable(Common_SourceData.Common_SourceData_DataScores_Scope3_Data(), Table_SourceData_DataScores_Scope3[[#Headers],[Data source]], 0)</f>
        <v>State or regional scope 3 database</v>
      </c>
      <c r="E156" s="2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5" t="str" cm="1">
        <f t="array" ref="D157">Common_InputFunctions.Utility_DisplayArrayInTable(Common_SourceData.Common_SourceData_DataScores_Scope3_Data(), Table_SourceData_DataScores_Scope3[[#Headers],[Data source]], 0)</f>
        <v>Emissions intensity calculated from approved method</v>
      </c>
      <c r="E157" s="2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5" t="str" cm="1">
        <f t="array" ref="D158">Common_InputFunctions.Utility_DisplayArrayInTable(Common_SourceData.Common_SourceData_DataScores_Scope3_Data(), Table_SourceData_DataScores_Scope3[[#Headers],[Data source]], 0)</f>
        <v>Verified credential matching ISO14067</v>
      </c>
      <c r="E158" s="2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7"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7" t="str" cm="1">
        <f t="array" ref="D180">Common_SourceData.Common_SourceData_EFN2O_Unit()</f>
        <v>(kg N2O-N / kg N</v>
      </c>
    </row>
    <row r="181" spans="4:68" ht="20.100000000000001" customHeight="1" x14ac:dyDescent="0.25">
      <c r="D181" s="28" t="str" cm="1">
        <f t="array" ref="D181:D185">Common_SourceData.Common_SourceData_EFN2O_Variation()</f>
        <v>VARIATION OF SOURCE DATA:</v>
      </c>
    </row>
    <row r="182" spans="4:68" ht="20.100000000000001" customHeight="1" x14ac:dyDescent="0.25">
      <c r="D182" s="28" t="str">
        <v>Removed duplicate 'Aquaculture' row.</v>
      </c>
    </row>
    <row r="183" spans="4:68" ht="20.100000000000001" customHeight="1" x14ac:dyDescent="0.25">
      <c r="D183" s="28" t="str">
        <v>Removed asterisks to aid lookup.</v>
      </c>
    </row>
    <row r="184" spans="4:68" ht="20.100000000000001" customHeight="1" x14ac:dyDescent="0.25">
      <c r="D184" s="28" t="str">
        <v>Added 'production system only', 'rainfall zone' and 'irrigation method' columns to aid lookup.</v>
      </c>
    </row>
    <row r="185" spans="4:68" ht="20.100000000000001" customHeight="1" x14ac:dyDescent="0.25">
      <c r="D185" s="28" t="str">
        <v>Duplicated 'non-irrigated pasture' row with same EF for low and high rainfall zones to aid lookup.</v>
      </c>
    </row>
    <row r="186" spans="4:68" ht="20.100000000000001" customHeight="1" x14ac:dyDescent="0.25">
      <c r="D186" s="25" t="s">
        <v>50</v>
      </c>
      <c r="E186" s="25" t="s">
        <v>51</v>
      </c>
      <c r="F186" s="25" t="s">
        <v>52</v>
      </c>
      <c r="G186" s="25" t="s">
        <v>53</v>
      </c>
      <c r="H186" s="25" t="s">
        <v>17</v>
      </c>
    </row>
    <row r="187" spans="4:68" ht="20.100000000000001" customHeight="1" x14ac:dyDescent="0.25">
      <c r="D187" s="25" t="str" cm="1">
        <f t="array" ref="D187">Common_InputFunctions.Utility_DisplayArrayInTable(Common_SourceData.Common_SourceData_EFN2O_Data(), Table_SourceData_Common_EFN2O[[#Headers],[Production system j]], 0)</f>
        <v>Irrigated pasture</v>
      </c>
      <c r="E187" s="25" cm="1">
        <f t="array" ref="E187">Common_InputFunctions.Utility_DisplayArrayInTable(Common_SourceData.Common_SourceData_EFN2O_Data(), Table_SourceData_Common_EFN2O[[#Headers],[Production system j]], 0)</f>
        <v>5.8999999999999999E-3</v>
      </c>
      <c r="F187" s="25" t="str" cm="1">
        <f t="array" ref="F187">Common_InputFunctions.Utility_DisplayArrayInTable(Common_SourceData.Common_SourceData_EFN2O_Data(), Table_SourceData_Common_EFN2O[[#Headers],[Production system j]], 0)</f>
        <v>Pasture</v>
      </c>
      <c r="G187" s="25" t="str" cm="1">
        <f t="array" ref="G187">Common_InputFunctions.Utility_DisplayArrayInTable(Common_SourceData.Common_SourceData_EFN2O_Data(), Table_SourceData_Common_EFN2O[[#Headers],[Production system j]], 0)</f>
        <v>Any</v>
      </c>
      <c r="H187" s="25" t="str" cm="1">
        <f t="array" ref="H187">Common_InputFunctions.Utility_DisplayArrayInTable(Common_SourceData.Common_SourceData_EFN2O_Data(), Table_SourceData_Common_EFN2O[[#Headers],[Production system j]], 0)</f>
        <v>Any</v>
      </c>
    </row>
    <row r="188" spans="4:68" ht="20.100000000000001" customHeight="1" x14ac:dyDescent="0.25">
      <c r="D188" s="25" t="str" cm="1">
        <f t="array" ref="D188">Common_InputFunctions.Utility_DisplayArrayInTable(Common_SourceData.Common_SourceData_EFN2O_Data(), Table_SourceData_Common_EFN2O[[#Headers],[Production system j]], 0)</f>
        <v>Irrigated crop</v>
      </c>
      <c r="E188" s="25" cm="1">
        <f t="array" ref="E188">Common_InputFunctions.Utility_DisplayArrayInTable(Common_SourceData.Common_SourceData_EFN2O_Data(), Table_SourceData_Common_EFN2O[[#Headers],[Production system j]], 0)</f>
        <v>7.0000000000000001E-3</v>
      </c>
      <c r="F188" s="25" t="str" cm="1">
        <f t="array" ref="F188">Common_InputFunctions.Utility_DisplayArrayInTable(Common_SourceData.Common_SourceData_EFN2O_Data(), Table_SourceData_Common_EFN2O[[#Headers],[Production system j]], 0)</f>
        <v>Crop</v>
      </c>
      <c r="G188" s="25" t="str" cm="1">
        <f t="array" ref="G188">Common_InputFunctions.Utility_DisplayArrayInTable(Common_SourceData.Common_SourceData_EFN2O_Data(), Table_SourceData_Common_EFN2O[[#Headers],[Production system j]], 0)</f>
        <v>Any</v>
      </c>
      <c r="H188" s="25" t="str" cm="1">
        <f t="array" ref="H188">Common_InputFunctions.Utility_DisplayArrayInTable(Common_SourceData.Common_SourceData_EFN2O_Data(), Table_SourceData_Common_EFN2O[[#Headers],[Production system j]], 0)</f>
        <v>Any</v>
      </c>
    </row>
    <row r="189" spans="4:68" ht="20.100000000000001" customHeight="1" x14ac:dyDescent="0.25">
      <c r="D189" s="25" t="str" cm="1">
        <f t="array" ref="D189">Common_InputFunctions.Utility_DisplayArrayInTable(Common_SourceData.Common_SourceData_EFN2O_Data(), Table_SourceData_Common_EFN2O[[#Headers],[Production system j]], 0)</f>
        <v>Non-irrigated pasture</v>
      </c>
      <c r="E189" s="25" cm="1">
        <f t="array" ref="E189">Common_InputFunctions.Utility_DisplayArrayInTable(Common_SourceData.Common_SourceData_EFN2O_Data(), Table_SourceData_Common_EFN2O[[#Headers],[Production system j]], 0)</f>
        <v>1.8E-3</v>
      </c>
      <c r="F189" s="25" t="str" cm="1">
        <f t="array" ref="F189">Common_InputFunctions.Utility_DisplayArrayInTable(Common_SourceData.Common_SourceData_EFN2O_Data(), Table_SourceData_Common_EFN2O[[#Headers],[Production system j]], 0)</f>
        <v>Pasture</v>
      </c>
      <c r="G189" s="25" t="str" cm="1">
        <f t="array" ref="G189">Common_InputFunctions.Utility_DisplayArrayInTable(Common_SourceData.Common_SourceData_EFN2O_Data(), Table_SourceData_Common_EFN2O[[#Headers],[Production system j]], 0)</f>
        <v>Not irrigated</v>
      </c>
      <c r="H189" s="2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5" t="str" cm="1">
        <f t="array" ref="D190">Common_InputFunctions.Utility_DisplayArrayInTable(Common_SourceData.Common_SourceData_EFN2O_Data(), Table_SourceData_Common_EFN2O[[#Headers],[Production system j]], 0)</f>
        <v>Non-irrigated pasture</v>
      </c>
      <c r="E190" s="25" cm="1">
        <f t="array" ref="E190">Common_InputFunctions.Utility_DisplayArrayInTable(Common_SourceData.Common_SourceData_EFN2O_Data(), Table_SourceData_Common_EFN2O[[#Headers],[Production system j]], 0)</f>
        <v>1.8E-3</v>
      </c>
      <c r="F190" s="25" t="str" cm="1">
        <f t="array" ref="F190">Common_InputFunctions.Utility_DisplayArrayInTable(Common_SourceData.Common_SourceData_EFN2O_Data(), Table_SourceData_Common_EFN2O[[#Headers],[Production system j]], 0)</f>
        <v>Pasture</v>
      </c>
      <c r="G190" s="25" t="str" cm="1">
        <f t="array" ref="G190">Common_InputFunctions.Utility_DisplayArrayInTable(Common_SourceData.Common_SourceData_EFN2O_Data(), Table_SourceData_Common_EFN2O[[#Headers],[Production system j]], 0)</f>
        <v>Not irrigated</v>
      </c>
      <c r="H190" s="2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5" t="str" cm="1">
        <f t="array" ref="D191">Common_InputFunctions.Utility_DisplayArrayInTable(Common_SourceData.Common_SourceData_EFN2O_Data(), Table_SourceData_Common_EFN2O[[#Headers],[Production system j]], 0)</f>
        <v>Non-irrigated crop (low rainfall)</v>
      </c>
      <c r="E191" s="25" cm="1">
        <f t="array" ref="E191">Common_InputFunctions.Utility_DisplayArrayInTable(Common_SourceData.Common_SourceData_EFN2O_Data(), Table_SourceData_Common_EFN2O[[#Headers],[Production system j]], 0)</f>
        <v>2.8999999999999998E-3</v>
      </c>
      <c r="F191" s="25" t="str" cm="1">
        <f t="array" ref="F191">Common_InputFunctions.Utility_DisplayArrayInTable(Common_SourceData.Common_SourceData_EFN2O_Data(), Table_SourceData_Common_EFN2O[[#Headers],[Production system j]], 0)</f>
        <v>Crop</v>
      </c>
      <c r="G191" s="25" t="str" cm="1">
        <f t="array" ref="G191">Common_InputFunctions.Utility_DisplayArrayInTable(Common_SourceData.Common_SourceData_EFN2O_Data(), Table_SourceData_Common_EFN2O[[#Headers],[Production system j]], 0)</f>
        <v>Not irrigated</v>
      </c>
      <c r="H191" s="2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5" t="str" cm="1">
        <f t="array" ref="D192">Common_InputFunctions.Utility_DisplayArrayInTable(Common_SourceData.Common_SourceData_EFN2O_Data(), Table_SourceData_Common_EFN2O[[#Headers],[Production system j]], 0)</f>
        <v>Non-irrigated crop (high rainfall)</v>
      </c>
      <c r="E192" s="25" cm="1">
        <f t="array" ref="E192">Common_InputFunctions.Utility_DisplayArrayInTable(Common_SourceData.Common_SourceData_EFN2O_Data(), Table_SourceData_Common_EFN2O[[#Headers],[Production system j]], 0)</f>
        <v>8.0000000000000002E-3</v>
      </c>
      <c r="F192" s="25" t="str" cm="1">
        <f t="array" ref="F192">Common_InputFunctions.Utility_DisplayArrayInTable(Common_SourceData.Common_SourceData_EFN2O_Data(), Table_SourceData_Common_EFN2O[[#Headers],[Production system j]], 0)</f>
        <v>Crop</v>
      </c>
      <c r="G192" s="25" t="str" cm="1">
        <f t="array" ref="G192">Common_InputFunctions.Utility_DisplayArrayInTable(Common_SourceData.Common_SourceData_EFN2O_Data(), Table_SourceData_Common_EFN2O[[#Headers],[Production system j]], 0)</f>
        <v>Not irrigated</v>
      </c>
      <c r="H192" s="2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5" t="str" cm="1">
        <f t="array" ref="D193">Common_InputFunctions.Utility_DisplayArrayInTable(Common_SourceData.Common_SourceData_EFN2O_Data(), Table_SourceData_Common_EFN2O[[#Headers],[Production system j]], 0)</f>
        <v>Sugar</v>
      </c>
      <c r="E193" s="25" cm="1">
        <f t="array" ref="E193">Common_InputFunctions.Utility_DisplayArrayInTable(Common_SourceData.Common_SourceData_EFN2O_Data(), Table_SourceData_Common_EFN2O[[#Headers],[Production system j]], 0)</f>
        <v>1.9900000000000001E-2</v>
      </c>
      <c r="F193" s="25" t="str" cm="1">
        <f t="array" ref="F193">Common_InputFunctions.Utility_DisplayArrayInTable(Common_SourceData.Common_SourceData_EFN2O_Data(), Table_SourceData_Common_EFN2O[[#Headers],[Production system j]], 0)</f>
        <v>Sugar</v>
      </c>
      <c r="G193" s="25" t="str" cm="1">
        <f t="array" ref="G193">Common_InputFunctions.Utility_DisplayArrayInTable(Common_SourceData.Common_SourceData_EFN2O_Data(), Table_SourceData_Common_EFN2O[[#Headers],[Production system j]], 0)</f>
        <v>Any</v>
      </c>
      <c r="H193" s="25" t="str" cm="1">
        <f t="array" ref="H193">Common_InputFunctions.Utility_DisplayArrayInTable(Common_SourceData.Common_SourceData_EFN2O_Data(), Table_SourceData_Common_EFN2O[[#Headers],[Production system j]], 0)</f>
        <v>Any</v>
      </c>
    </row>
    <row r="194" spans="4:8" ht="20.100000000000001" customHeight="1" x14ac:dyDescent="0.25">
      <c r="D194" s="25" t="str" cm="1">
        <f t="array" ref="D194">Common_InputFunctions.Utility_DisplayArrayInTable(Common_SourceData.Common_SourceData_EFN2O_Data(), Table_SourceData_Common_EFN2O[[#Headers],[Production system j]], 0)</f>
        <v>Cotton</v>
      </c>
      <c r="E194" s="25" cm="1">
        <f t="array" ref="E194">Common_InputFunctions.Utility_DisplayArrayInTable(Common_SourceData.Common_SourceData_EFN2O_Data(), Table_SourceData_Common_EFN2O[[#Headers],[Production system j]], 0)</f>
        <v>5.3E-3</v>
      </c>
      <c r="F194" s="25" t="str" cm="1">
        <f t="array" ref="F194">Common_InputFunctions.Utility_DisplayArrayInTable(Common_SourceData.Common_SourceData_EFN2O_Data(), Table_SourceData_Common_EFN2O[[#Headers],[Production system j]], 0)</f>
        <v>Cotton</v>
      </c>
      <c r="G194" s="25" t="str" cm="1">
        <f t="array" ref="G194">Common_InputFunctions.Utility_DisplayArrayInTable(Common_SourceData.Common_SourceData_EFN2O_Data(), Table_SourceData_Common_EFN2O[[#Headers],[Production system j]], 0)</f>
        <v>Any</v>
      </c>
      <c r="H194" s="25" t="str" cm="1">
        <f t="array" ref="H194">Common_InputFunctions.Utility_DisplayArrayInTable(Common_SourceData.Common_SourceData_EFN2O_Data(), Table_SourceData_Common_EFN2O[[#Headers],[Production system j]], 0)</f>
        <v>Any</v>
      </c>
    </row>
    <row r="195" spans="4:8" ht="20.100000000000001" customHeight="1" x14ac:dyDescent="0.25">
      <c r="D195" s="25" t="str" cm="1">
        <f t="array" ref="D195">Common_InputFunctions.Utility_DisplayArrayInTable(Common_SourceData.Common_SourceData_EFN2O_Data(), Table_SourceData_Common_EFN2O[[#Headers],[Production system j]], 0)</f>
        <v>Horticultural crops</v>
      </c>
      <c r="E195" s="25" cm="1">
        <f t="array" ref="E195">Common_InputFunctions.Utility_DisplayArrayInTable(Common_SourceData.Common_SourceData_EFN2O_Data(), Table_SourceData_Common_EFN2O[[#Headers],[Production system j]], 0)</f>
        <v>6.4000000000000003E-3</v>
      </c>
      <c r="F195" s="25" t="str" cm="1">
        <f t="array" ref="F195">Common_InputFunctions.Utility_DisplayArrayInTable(Common_SourceData.Common_SourceData_EFN2O_Data(), Table_SourceData_Common_EFN2O[[#Headers],[Production system j]], 0)</f>
        <v>Horticultural crops</v>
      </c>
      <c r="G195" s="25" t="str" cm="1">
        <f t="array" ref="G195">Common_InputFunctions.Utility_DisplayArrayInTable(Common_SourceData.Common_SourceData_EFN2O_Data(), Table_SourceData_Common_EFN2O[[#Headers],[Production system j]], 0)</f>
        <v>Any</v>
      </c>
      <c r="H195" s="25" t="str" cm="1">
        <f t="array" ref="H195">Common_InputFunctions.Utility_DisplayArrayInTable(Common_SourceData.Common_SourceData_EFN2O_Data(), Table_SourceData_Common_EFN2O[[#Headers],[Production system j]], 0)</f>
        <v>Any</v>
      </c>
    </row>
    <row r="196" spans="4:8" ht="20.100000000000001" customHeight="1" x14ac:dyDescent="0.25">
      <c r="D196" s="25" t="str" cm="1">
        <f t="array" ref="D196">Common_InputFunctions.Utility_DisplayArrayInTable(Common_SourceData.Common_SourceData_EFN2O_Data(), Table_SourceData_Common_EFN2O[[#Headers],[Production system j]], 0)</f>
        <v>Rice (continuous flooding)</v>
      </c>
      <c r="E196" s="25" cm="1">
        <f t="array" ref="E196">Common_InputFunctions.Utility_DisplayArrayInTable(Common_SourceData.Common_SourceData_EFN2O_Data(), Table_SourceData_Common_EFN2O[[#Headers],[Production system j]], 0)</f>
        <v>3.0000000000000001E-3</v>
      </c>
      <c r="F196" s="25" t="str" cm="1">
        <f t="array" ref="F196">Common_InputFunctions.Utility_DisplayArrayInTable(Common_SourceData.Common_SourceData_EFN2O_Data(), Table_SourceData_Common_EFN2O[[#Headers],[Production system j]], 0)</f>
        <v>Rice</v>
      </c>
      <c r="G196" s="25" t="str" cm="1">
        <f t="array" ref="G196">Common_InputFunctions.Utility_DisplayArrayInTable(Common_SourceData.Common_SourceData_EFN2O_Data(), Table_SourceData_Common_EFN2O[[#Headers],[Production system j]], 0)</f>
        <v>Continuous flooding</v>
      </c>
      <c r="H196" s="25" t="str" cm="1">
        <f t="array" ref="H196">Common_InputFunctions.Utility_DisplayArrayInTable(Common_SourceData.Common_SourceData_EFN2O_Data(), Table_SourceData_Common_EFN2O[[#Headers],[Production system j]], 0)</f>
        <v>Any</v>
      </c>
    </row>
    <row r="197" spans="4:8" x14ac:dyDescent="0.25">
      <c r="D197" s="25" t="str" cm="1">
        <f t="array" ref="D197">Common_InputFunctions.Utility_DisplayArrayInTable(Common_SourceData.Common_SourceData_EFN2O_Data(), Table_SourceData_Common_EFN2O[[#Headers],[Production system j]], 0)</f>
        <v>Rice (single and multiple drainage, or alternate wetting and drying)</v>
      </c>
      <c r="E197" s="25" cm="1">
        <f t="array" ref="E197">Common_InputFunctions.Utility_DisplayArrayInTable(Common_SourceData.Common_SourceData_EFN2O_Data(), Table_SourceData_Common_EFN2O[[#Headers],[Production system j]], 0)</f>
        <v>5.0000000000000001E-3</v>
      </c>
      <c r="F197" s="25" t="str" cm="1">
        <f t="array" ref="F197">Common_InputFunctions.Utility_DisplayArrayInTable(Common_SourceData.Common_SourceData_EFN2O_Data(), Table_SourceData_Common_EFN2O[[#Headers],[Production system j]], 0)</f>
        <v>Rice</v>
      </c>
      <c r="G197" s="25" t="str" cm="1">
        <f t="array" ref="G197">Common_InputFunctions.Utility_DisplayArrayInTable(Common_SourceData.Common_SourceData_EFN2O_Data(), Table_SourceData_Common_EFN2O[[#Headers],[Production system j]], 0)</f>
        <v>Single and multiple drainage, or alternate wetting and drying</v>
      </c>
      <c r="H197" s="25" t="str" cm="1">
        <f t="array" ref="H197">Common_InputFunctions.Utility_DisplayArrayInTable(Common_SourceData.Common_SourceData_EFN2O_Data(), Table_SourceData_Common_EFN2O[[#Headers],[Production system j]], 0)</f>
        <v>Any</v>
      </c>
    </row>
    <row r="198" spans="4:8" x14ac:dyDescent="0.25">
      <c r="D198" s="25" t="str" cm="1">
        <f t="array" ref="D198">Common_InputFunctions.Utility_DisplayArrayInTable(Common_SourceData.Common_SourceData_EFN2O_Data(), Table_SourceData_Common_EFN2O[[#Headers],[Production system j]], 0)</f>
        <v>Aquaculture</v>
      </c>
      <c r="E198" s="25" cm="1">
        <f t="array" ref="E198">Common_InputFunctions.Utility_DisplayArrayInTable(Common_SourceData.Common_SourceData_EFN2O_Data(), Table_SourceData_Common_EFN2O[[#Headers],[Production system j]], 0)</f>
        <v>2.5999999999999999E-3</v>
      </c>
      <c r="F198" s="25" t="str" cm="1">
        <f t="array" ref="F198">Common_InputFunctions.Utility_DisplayArrayInTable(Common_SourceData.Common_SourceData_EFN2O_Data(), Table_SourceData_Common_EFN2O[[#Headers],[Production system j]], 0)</f>
        <v>Aquaculture</v>
      </c>
      <c r="G198" s="25" t="str" cm="1">
        <f t="array" ref="G198">Common_InputFunctions.Utility_DisplayArrayInTable(Common_SourceData.Common_SourceData_EFN2O_Data(), Table_SourceData_Common_EFN2O[[#Headers],[Production system j]], 0)</f>
        <v>Any</v>
      </c>
      <c r="H198" s="25" t="str" cm="1">
        <f t="array" ref="H198">Common_InputFunctions.Utility_DisplayArrayInTable(Common_SourceData.Common_SourceData_EFN2O_Data(), Table_SourceData_Common_EFN2O[[#Headers],[Production system j]], 0)</f>
        <v>Any</v>
      </c>
    </row>
    <row r="199" spans="4:8" x14ac:dyDescent="0.25">
      <c r="D199" s="25" t="str" cm="1">
        <f t="array" ref="D199">Common_InputFunctions.Utility_DisplayArrayInTable(Common_SourceData.Common_SourceData_EFN2O_Data(), Table_SourceData_Common_EFN2O[[#Headers],[Production system j]], 0)</f>
        <v>Forestry</v>
      </c>
      <c r="E199" s="25" cm="1">
        <f t="array" ref="E199">Common_InputFunctions.Utility_DisplayArrayInTable(Common_SourceData.Common_SourceData_EFN2O_Data(), Table_SourceData_Common_EFN2O[[#Headers],[Production system j]], 0)</f>
        <v>1.8E-3</v>
      </c>
      <c r="F199" s="25" t="str" cm="1">
        <f t="array" ref="F199">Common_InputFunctions.Utility_DisplayArrayInTable(Common_SourceData.Common_SourceData_EFN2O_Data(), Table_SourceData_Common_EFN2O[[#Headers],[Production system j]], 0)</f>
        <v>Forestry</v>
      </c>
      <c r="G199" s="25" t="str" cm="1">
        <f t="array" ref="G199">Common_InputFunctions.Utility_DisplayArrayInTable(Common_SourceData.Common_SourceData_EFN2O_Data(), Table_SourceData_Common_EFN2O[[#Headers],[Production system j]], 0)</f>
        <v>Any</v>
      </c>
      <c r="H199" s="25"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8" t="str" cm="1">
        <f t="array" ref="D204">Common_SourceData.Common_SourceData_EFPastureRangeAndPaddock_Variation()</f>
        <v>VARIATION FROM SOURCE DATA: Changed 'Dry climate zones' to singular 'Dry climate zone' to aid lookup.</v>
      </c>
    </row>
    <row r="205" spans="4:8" x14ac:dyDescent="0.25">
      <c r="D205" s="27" t="str" cm="1">
        <f t="array" ref="D205">Common_SourceData.Common_SourceData_EFPastureRangeAndPaddock_Unit()</f>
        <v>kg N2O - N / kg N</v>
      </c>
    </row>
    <row r="206" spans="4:8" x14ac:dyDescent="0.25">
      <c r="D206" s="25" t="s">
        <v>3</v>
      </c>
      <c r="E206" s="25" t="s">
        <v>58</v>
      </c>
    </row>
    <row r="207" spans="4:8" x14ac:dyDescent="0.25">
      <c r="D207" s="25" t="str" cm="1">
        <f t="array" ref="D207">Common_InputFunctions.Utility_DisplayArrayInTable(Common_SourceData.Common_SourceData_EFPastureRangeAndPaddock_Data(), Table_SourceData_EFPastureRangeAndPaddock[[#Headers],[Climate zone]], 0)</f>
        <v>Wet climate zone</v>
      </c>
      <c r="E207" s="2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5" t="s">
        <v>56</v>
      </c>
      <c r="E212" s="25" t="s">
        <v>61</v>
      </c>
    </row>
    <row r="213" spans="4:5" x14ac:dyDescent="0.25">
      <c r="D213" s="25" t="str" cm="1">
        <f t="array" ref="D213">Common_InputFunctions.Utility_DisplayArrayInTable(Common_SourceData.Common_SourceData_MonthsToSeasons_Data(), Table_SourceData_Common_MonthToSeason[[#Headers],[Month]], 0)</f>
        <v>January</v>
      </c>
      <c r="E213" s="2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5"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5" t="s">
        <v>34</v>
      </c>
      <c r="E231" s="25" t="s">
        <v>69</v>
      </c>
      <c r="F231" s="24" t="s">
        <v>70</v>
      </c>
      <c r="G231" s="25" t="s">
        <v>65</v>
      </c>
      <c r="H231" s="25" t="s">
        <v>71</v>
      </c>
      <c r="I231" s="25" t="s">
        <v>72</v>
      </c>
      <c r="J231" s="25" t="s">
        <v>64</v>
      </c>
      <c r="K231" s="25" t="s">
        <v>63</v>
      </c>
      <c r="L231" s="25" t="s">
        <v>73</v>
      </c>
      <c r="M231" s="25" t="s">
        <v>74</v>
      </c>
      <c r="N231" s="25" t="s">
        <v>62</v>
      </c>
      <c r="O231" s="25" t="s">
        <v>75</v>
      </c>
      <c r="P231" s="25" t="s">
        <v>67</v>
      </c>
      <c r="Q231" s="25" t="s">
        <v>68</v>
      </c>
      <c r="R231" s="25" t="s">
        <v>66</v>
      </c>
      <c r="S231" s="25" t="s">
        <v>76</v>
      </c>
    </row>
    <row r="232" spans="4:19" x14ac:dyDescent="0.25">
      <c r="D232" s="25" t="str" cm="1">
        <f t="array" ref="D232">Common_InputFunctions.Utility_DisplayArrayInTable(Common_SourceData.Common_SourceData_MCFTemperatureZone_Data(),Table_SourceData_Common_MCFTemperatureZone[[#Headers],[Temperature zone]],0)</f>
        <v>Cool</v>
      </c>
      <c r="E232" s="25" t="str" cm="1">
        <f t="array" ref="E232">Common_InputFunctions.Utility_DisplayArrayInTable(Common_SourceData.Common_SourceData_MCFTemperatureZone_Data(),Table_SourceData_Common_MCFTemperatureZone[[#Headers],[Temperature zone]],0)</f>
        <v>≤10</v>
      </c>
      <c r="F232" s="25" cm="1">
        <f t="array" ref="F232">Common_InputFunctions.Utility_DisplayArrayInTable(Common_SourceData.Common_SourceData_MCFTemperatureZone_Data(),Table_SourceData_Common_MCFTemperatureZone[[#Headers],[Temperature zone]],0)</f>
        <v>0.66</v>
      </c>
      <c r="G232" s="25" cm="1">
        <f t="array" ref="G232">Common_InputFunctions.Utility_DisplayArrayInTable(Common_SourceData.Common_SourceData_MCFTemperatureZone_Data(),Table_SourceData_Common_MCFTemperatureZone[[#Headers],[Temperature zone]],0)</f>
        <v>0.1</v>
      </c>
      <c r="H232" s="25" cm="1">
        <f t="array" ref="H232">Common_InputFunctions.Utility_DisplayArrayInTable(Common_SourceData.Common_SourceData_MCFTemperatureZone_Data(),Table_SourceData_Common_MCFTemperatureZone[[#Headers],[Temperature zone]],0)</f>
        <v>0.1</v>
      </c>
      <c r="I232" s="25" cm="1">
        <f t="array" ref="I232">Common_InputFunctions.Utility_DisplayArrayInTable(Common_SourceData.Common_SourceData_MCFTemperatureZone_Data(),Table_SourceData_Common_MCFTemperatureZone[[#Headers],[Temperature zone]],0)</f>
        <v>1E-3</v>
      </c>
      <c r="J232" s="25" cm="1">
        <f t="array" ref="J232">Common_InputFunctions.Utility_DisplayArrayInTable(Common_SourceData.Common_SourceData_MCFTemperatureZone_Data(),Table_SourceData_Common_MCFTemperatureZone[[#Headers],[Temperature zone]],0)</f>
        <v>5.0000000000000001E-3</v>
      </c>
      <c r="K232" s="25" cm="1">
        <f t="array" ref="K232">Common_InputFunctions.Utility_DisplayArrayInTable(Common_SourceData.Common_SourceData_MCFTemperatureZone_Data(),Table_SourceData_Common_MCFTemperatureZone[[#Headers],[Temperature zone]],0)</f>
        <v>0.02</v>
      </c>
      <c r="L232" s="25" cm="1">
        <f t="array" ref="L232">Common_InputFunctions.Utility_DisplayArrayInTable(Common_SourceData.Common_SourceData_MCFTemperatureZone_Data(),Table_SourceData_Common_MCFTemperatureZone[[#Headers],[Temperature zone]],0)</f>
        <v>0.03</v>
      </c>
      <c r="M232" s="25" cm="1">
        <f t="array" ref="M232">Common_InputFunctions.Utility_DisplayArrayInTable(Common_SourceData.Common_SourceData_MCFTemperatureZone_Data(),Table_SourceData_Common_MCFTemperatureZone[[#Headers],[Temperature zone]],0)</f>
        <v>0.04</v>
      </c>
      <c r="N232" s="25" cm="1">
        <f t="array" ref="N232">Common_InputFunctions.Utility_DisplayArrayInTable(Common_SourceData.Common_SourceData_MCFTemperatureZone_Data(),Table_SourceData_Common_MCFTemperatureZone[[#Headers],[Temperature zone]],0)</f>
        <v>1.4999999999999999E-2</v>
      </c>
      <c r="O232" s="25" cm="1">
        <f t="array" ref="O232">Common_InputFunctions.Utility_DisplayArrayInTable(Common_SourceData.Common_SourceData_MCFTemperatureZone_Data(),Table_SourceData_Common_MCFTemperatureZone[[#Headers],[Temperature zone]],0)</f>
        <v>1.4999999999999999E-2</v>
      </c>
      <c r="P232" s="25" cm="1">
        <f t="array" ref="P232">Common_InputFunctions.Utility_DisplayArrayInTable(Common_SourceData.Common_SourceData_MCFTemperatureZone_Data(),Table_SourceData_Common_MCFTemperatureZone[[#Headers],[Temperature zone]],0)</f>
        <v>0</v>
      </c>
      <c r="Q232" s="25" cm="1">
        <f t="array" ref="Q232">Common_InputFunctions.Utility_DisplayArrayInTable(Common_SourceData.Common_SourceData_MCFTemperatureZone_Data(),Table_SourceData_Common_MCFTemperatureZone[[#Headers],[Temperature zone]],0)</f>
        <v>0</v>
      </c>
      <c r="R232" s="25" cm="1">
        <f t="array" ref="R232">Common_InputFunctions.Utility_DisplayArrayInTable(Common_SourceData.Common_SourceData_MCFTemperatureZone_Data(),Table_SourceData_Common_MCFTemperatureZone[[#Headers],[Temperature zone]],0)</f>
        <v>4.7000000000000002E-3</v>
      </c>
      <c r="S232" s="2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5" cm="1">
        <f t="array" ref="E233">Common_InputFunctions.Utility_DisplayArrayInTable(Common_SourceData.Common_SourceData_MCFTemperatureZone_Data(),Table_SourceData_Common_MCFTemperatureZone[[#Headers],[Temperature zone]],0)</f>
        <v>11</v>
      </c>
      <c r="F233" s="25" cm="1">
        <f t="array" ref="F233">Common_InputFunctions.Utility_DisplayArrayInTable(Common_SourceData.Common_SourceData_MCFTemperatureZone_Data(),Table_SourceData_Common_MCFTemperatureZone[[#Headers],[Temperature zone]],0)</f>
        <v>0.68</v>
      </c>
      <c r="G233" s="25" cm="1">
        <f t="array" ref="G233">Common_InputFunctions.Utility_DisplayArrayInTable(Common_SourceData.Common_SourceData_MCFTemperatureZone_Data(),Table_SourceData_Common_MCFTemperatureZone[[#Headers],[Temperature zone]],0)</f>
        <v>0.1</v>
      </c>
      <c r="H233" s="25" cm="1">
        <f t="array" ref="H233">Common_InputFunctions.Utility_DisplayArrayInTable(Common_SourceData.Common_SourceData_MCFTemperatureZone_Data(),Table_SourceData_Common_MCFTemperatureZone[[#Headers],[Temperature zone]],0)</f>
        <v>0.11</v>
      </c>
      <c r="I233" s="25" cm="1">
        <f t="array" ref="I233">Common_InputFunctions.Utility_DisplayArrayInTable(Common_SourceData.Common_SourceData_MCFTemperatureZone_Data(),Table_SourceData_Common_MCFTemperatureZone[[#Headers],[Temperature zone]],0)</f>
        <v>1E-3</v>
      </c>
      <c r="J233" s="25" cm="1">
        <f t="array" ref="J233">Common_InputFunctions.Utility_DisplayArrayInTable(Common_SourceData.Common_SourceData_MCFTemperatureZone_Data(),Table_SourceData_Common_MCFTemperatureZone[[#Headers],[Temperature zone]],0)</f>
        <v>5.0000000000000001E-3</v>
      </c>
      <c r="K233" s="25" cm="1">
        <f t="array" ref="K233">Common_InputFunctions.Utility_DisplayArrayInTable(Common_SourceData.Common_SourceData_MCFTemperatureZone_Data(),Table_SourceData_Common_MCFTemperatureZone[[#Headers],[Temperature zone]],0)</f>
        <v>0.02</v>
      </c>
      <c r="L233" s="25" cm="1">
        <f t="array" ref="L233">Common_InputFunctions.Utility_DisplayArrayInTable(Common_SourceData.Common_SourceData_MCFTemperatureZone_Data(),Table_SourceData_Common_MCFTemperatureZone[[#Headers],[Temperature zone]],0)</f>
        <v>0.03</v>
      </c>
      <c r="M233" s="25" cm="1">
        <f t="array" ref="M233">Common_InputFunctions.Utility_DisplayArrayInTable(Common_SourceData.Common_SourceData_MCFTemperatureZone_Data(),Table_SourceData_Common_MCFTemperatureZone[[#Headers],[Temperature zone]],0)</f>
        <v>0.04</v>
      </c>
      <c r="N233" s="25" cm="1">
        <f t="array" ref="N233">Common_InputFunctions.Utility_DisplayArrayInTable(Common_SourceData.Common_SourceData_MCFTemperatureZone_Data(),Table_SourceData_Common_MCFTemperatureZone[[#Headers],[Temperature zone]],0)</f>
        <v>1.4999999999999999E-2</v>
      </c>
      <c r="O233" s="25" cm="1">
        <f t="array" ref="O233">Common_InputFunctions.Utility_DisplayArrayInTable(Common_SourceData.Common_SourceData_MCFTemperatureZone_Data(),Table_SourceData_Common_MCFTemperatureZone[[#Headers],[Temperature zone]],0)</f>
        <v>1.4999999999999999E-2</v>
      </c>
      <c r="P233" s="25" cm="1">
        <f t="array" ref="P233">Common_InputFunctions.Utility_DisplayArrayInTable(Common_SourceData.Common_SourceData_MCFTemperatureZone_Data(),Table_SourceData_Common_MCFTemperatureZone[[#Headers],[Temperature zone]],0)</f>
        <v>0</v>
      </c>
      <c r="Q233" s="25" cm="1">
        <f t="array" ref="Q233">Common_InputFunctions.Utility_DisplayArrayInTable(Common_SourceData.Common_SourceData_MCFTemperatureZone_Data(),Table_SourceData_Common_MCFTemperatureZone[[#Headers],[Temperature zone]],0)</f>
        <v>0</v>
      </c>
      <c r="R233" s="25" cm="1">
        <f t="array" ref="R233">Common_InputFunctions.Utility_DisplayArrayInTable(Common_SourceData.Common_SourceData_MCFTemperatureZone_Data(),Table_SourceData_Common_MCFTemperatureZone[[#Headers],[Temperature zone]],0)</f>
        <v>4.7000000000000002E-3</v>
      </c>
      <c r="S233" s="2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5" cm="1">
        <f t="array" ref="E234">Common_InputFunctions.Utility_DisplayArrayInTable(Common_SourceData.Common_SourceData_MCFTemperatureZone_Data(),Table_SourceData_Common_MCFTemperatureZone[[#Headers],[Temperature zone]],0)</f>
        <v>12</v>
      </c>
      <c r="F234" s="25" cm="1">
        <f t="array" ref="F234">Common_InputFunctions.Utility_DisplayArrayInTable(Common_SourceData.Common_SourceData_MCFTemperatureZone_Data(),Table_SourceData_Common_MCFTemperatureZone[[#Headers],[Temperature zone]],0)</f>
        <v>0.7</v>
      </c>
      <c r="G234" s="25" cm="1">
        <f t="array" ref="G234">Common_InputFunctions.Utility_DisplayArrayInTable(Common_SourceData.Common_SourceData_MCFTemperatureZone_Data(),Table_SourceData_Common_MCFTemperatureZone[[#Headers],[Temperature zone]],0)</f>
        <v>0.1</v>
      </c>
      <c r="H234" s="25" cm="1">
        <f t="array" ref="H234">Common_InputFunctions.Utility_DisplayArrayInTable(Common_SourceData.Common_SourceData_MCFTemperatureZone_Data(),Table_SourceData_Common_MCFTemperatureZone[[#Headers],[Temperature zone]],0)</f>
        <v>0.13</v>
      </c>
      <c r="I234" s="25" cm="1">
        <f t="array" ref="I234">Common_InputFunctions.Utility_DisplayArrayInTable(Common_SourceData.Common_SourceData_MCFTemperatureZone_Data(),Table_SourceData_Common_MCFTemperatureZone[[#Headers],[Temperature zone]],0)</f>
        <v>1E-3</v>
      </c>
      <c r="J234" s="25" cm="1">
        <f t="array" ref="J234">Common_InputFunctions.Utility_DisplayArrayInTable(Common_SourceData.Common_SourceData_MCFTemperatureZone_Data(),Table_SourceData_Common_MCFTemperatureZone[[#Headers],[Temperature zone]],0)</f>
        <v>5.0000000000000001E-3</v>
      </c>
      <c r="K234" s="25" cm="1">
        <f t="array" ref="K234">Common_InputFunctions.Utility_DisplayArrayInTable(Common_SourceData.Common_SourceData_MCFTemperatureZone_Data(),Table_SourceData_Common_MCFTemperatureZone[[#Headers],[Temperature zone]],0)</f>
        <v>0.02</v>
      </c>
      <c r="L234" s="25" cm="1">
        <f t="array" ref="L234">Common_InputFunctions.Utility_DisplayArrayInTable(Common_SourceData.Common_SourceData_MCFTemperatureZone_Data(),Table_SourceData_Common_MCFTemperatureZone[[#Headers],[Temperature zone]],0)</f>
        <v>0.03</v>
      </c>
      <c r="M234" s="25" cm="1">
        <f t="array" ref="M234">Common_InputFunctions.Utility_DisplayArrayInTable(Common_SourceData.Common_SourceData_MCFTemperatureZone_Data(),Table_SourceData_Common_MCFTemperatureZone[[#Headers],[Temperature zone]],0)</f>
        <v>0.04</v>
      </c>
      <c r="N234" s="25" cm="1">
        <f t="array" ref="N234">Common_InputFunctions.Utility_DisplayArrayInTable(Common_SourceData.Common_SourceData_MCFTemperatureZone_Data(),Table_SourceData_Common_MCFTemperatureZone[[#Headers],[Temperature zone]],0)</f>
        <v>1.4999999999999999E-2</v>
      </c>
      <c r="O234" s="25" cm="1">
        <f t="array" ref="O234">Common_InputFunctions.Utility_DisplayArrayInTable(Common_SourceData.Common_SourceData_MCFTemperatureZone_Data(),Table_SourceData_Common_MCFTemperatureZone[[#Headers],[Temperature zone]],0)</f>
        <v>1.4999999999999999E-2</v>
      </c>
      <c r="P234" s="25" cm="1">
        <f t="array" ref="P234">Common_InputFunctions.Utility_DisplayArrayInTable(Common_SourceData.Common_SourceData_MCFTemperatureZone_Data(),Table_SourceData_Common_MCFTemperatureZone[[#Headers],[Temperature zone]],0)</f>
        <v>0</v>
      </c>
      <c r="Q234" s="25" cm="1">
        <f t="array" ref="Q234">Common_InputFunctions.Utility_DisplayArrayInTable(Common_SourceData.Common_SourceData_MCFTemperatureZone_Data(),Table_SourceData_Common_MCFTemperatureZone[[#Headers],[Temperature zone]],0)</f>
        <v>0</v>
      </c>
      <c r="R234" s="25" cm="1">
        <f t="array" ref="R234">Common_InputFunctions.Utility_DisplayArrayInTable(Common_SourceData.Common_SourceData_MCFTemperatureZone_Data(),Table_SourceData_Common_MCFTemperatureZone[[#Headers],[Temperature zone]],0)</f>
        <v>4.7000000000000002E-3</v>
      </c>
      <c r="S234" s="2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5" cm="1">
        <f t="array" ref="E235">Common_InputFunctions.Utility_DisplayArrayInTable(Common_SourceData.Common_SourceData_MCFTemperatureZone_Data(),Table_SourceData_Common_MCFTemperatureZone[[#Headers],[Temperature zone]],0)</f>
        <v>13</v>
      </c>
      <c r="F235" s="25" cm="1">
        <f t="array" ref="F235">Common_InputFunctions.Utility_DisplayArrayInTable(Common_SourceData.Common_SourceData_MCFTemperatureZone_Data(),Table_SourceData_Common_MCFTemperatureZone[[#Headers],[Temperature zone]],0)</f>
        <v>0.71</v>
      </c>
      <c r="G235" s="25" cm="1">
        <f t="array" ref="G235">Common_InputFunctions.Utility_DisplayArrayInTable(Common_SourceData.Common_SourceData_MCFTemperatureZone_Data(),Table_SourceData_Common_MCFTemperatureZone[[#Headers],[Temperature zone]],0)</f>
        <v>0.1</v>
      </c>
      <c r="H235" s="25" cm="1">
        <f t="array" ref="H235">Common_InputFunctions.Utility_DisplayArrayInTable(Common_SourceData.Common_SourceData_MCFTemperatureZone_Data(),Table_SourceData_Common_MCFTemperatureZone[[#Headers],[Temperature zone]],0)</f>
        <v>0.14000000000000001</v>
      </c>
      <c r="I235" s="25" cm="1">
        <f t="array" ref="I235">Common_InputFunctions.Utility_DisplayArrayInTable(Common_SourceData.Common_SourceData_MCFTemperatureZone_Data(),Table_SourceData_Common_MCFTemperatureZone[[#Headers],[Temperature zone]],0)</f>
        <v>1E-3</v>
      </c>
      <c r="J235" s="25" cm="1">
        <f t="array" ref="J235">Common_InputFunctions.Utility_DisplayArrayInTable(Common_SourceData.Common_SourceData_MCFTemperatureZone_Data(),Table_SourceData_Common_MCFTemperatureZone[[#Headers],[Temperature zone]],0)</f>
        <v>5.0000000000000001E-3</v>
      </c>
      <c r="K235" s="25" cm="1">
        <f t="array" ref="K235">Common_InputFunctions.Utility_DisplayArrayInTable(Common_SourceData.Common_SourceData_MCFTemperatureZone_Data(),Table_SourceData_Common_MCFTemperatureZone[[#Headers],[Temperature zone]],0)</f>
        <v>0.02</v>
      </c>
      <c r="L235" s="25" cm="1">
        <f t="array" ref="L235">Common_InputFunctions.Utility_DisplayArrayInTable(Common_SourceData.Common_SourceData_MCFTemperatureZone_Data(),Table_SourceData_Common_MCFTemperatureZone[[#Headers],[Temperature zone]],0)</f>
        <v>0.03</v>
      </c>
      <c r="M235" s="25" cm="1">
        <f t="array" ref="M235">Common_InputFunctions.Utility_DisplayArrayInTable(Common_SourceData.Common_SourceData_MCFTemperatureZone_Data(),Table_SourceData_Common_MCFTemperatureZone[[#Headers],[Temperature zone]],0)</f>
        <v>0.04</v>
      </c>
      <c r="N235" s="25" cm="1">
        <f t="array" ref="N235">Common_InputFunctions.Utility_DisplayArrayInTable(Common_SourceData.Common_SourceData_MCFTemperatureZone_Data(),Table_SourceData_Common_MCFTemperatureZone[[#Headers],[Temperature zone]],0)</f>
        <v>1.4999999999999999E-2</v>
      </c>
      <c r="O235" s="25" cm="1">
        <f t="array" ref="O235">Common_InputFunctions.Utility_DisplayArrayInTable(Common_SourceData.Common_SourceData_MCFTemperatureZone_Data(),Table_SourceData_Common_MCFTemperatureZone[[#Headers],[Temperature zone]],0)</f>
        <v>1.4999999999999999E-2</v>
      </c>
      <c r="P235" s="25" cm="1">
        <f t="array" ref="P235">Common_InputFunctions.Utility_DisplayArrayInTable(Common_SourceData.Common_SourceData_MCFTemperatureZone_Data(),Table_SourceData_Common_MCFTemperatureZone[[#Headers],[Temperature zone]],0)</f>
        <v>0</v>
      </c>
      <c r="Q235" s="25" cm="1">
        <f t="array" ref="Q235">Common_InputFunctions.Utility_DisplayArrayInTable(Common_SourceData.Common_SourceData_MCFTemperatureZone_Data(),Table_SourceData_Common_MCFTemperatureZone[[#Headers],[Temperature zone]],0)</f>
        <v>0</v>
      </c>
      <c r="R235" s="25" cm="1">
        <f t="array" ref="R235">Common_InputFunctions.Utility_DisplayArrayInTable(Common_SourceData.Common_SourceData_MCFTemperatureZone_Data(),Table_SourceData_Common_MCFTemperatureZone[[#Headers],[Temperature zone]],0)</f>
        <v>4.7000000000000002E-3</v>
      </c>
      <c r="S235" s="2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5" cm="1">
        <f t="array" ref="E236">Common_InputFunctions.Utility_DisplayArrayInTable(Common_SourceData.Common_SourceData_MCFTemperatureZone_Data(),Table_SourceData_Common_MCFTemperatureZone[[#Headers],[Temperature zone]],0)</f>
        <v>14</v>
      </c>
      <c r="F236" s="25" cm="1">
        <f t="array" ref="F236">Common_InputFunctions.Utility_DisplayArrayInTable(Common_SourceData.Common_SourceData_MCFTemperatureZone_Data(),Table_SourceData_Common_MCFTemperatureZone[[#Headers],[Temperature zone]],0)</f>
        <v>0.73</v>
      </c>
      <c r="G236" s="25" cm="1">
        <f t="array" ref="G236">Common_InputFunctions.Utility_DisplayArrayInTable(Common_SourceData.Common_SourceData_MCFTemperatureZone_Data(),Table_SourceData_Common_MCFTemperatureZone[[#Headers],[Temperature zone]],0)</f>
        <v>0.1</v>
      </c>
      <c r="H236" s="25" cm="1">
        <f t="array" ref="H236">Common_InputFunctions.Utility_DisplayArrayInTable(Common_SourceData.Common_SourceData_MCFTemperatureZone_Data(),Table_SourceData_Common_MCFTemperatureZone[[#Headers],[Temperature zone]],0)</f>
        <v>0.15</v>
      </c>
      <c r="I236" s="25" cm="1">
        <f t="array" ref="I236">Common_InputFunctions.Utility_DisplayArrayInTable(Common_SourceData.Common_SourceData_MCFTemperatureZone_Data(),Table_SourceData_Common_MCFTemperatureZone[[#Headers],[Temperature zone]],0)</f>
        <v>1E-3</v>
      </c>
      <c r="J236" s="25" cm="1">
        <f t="array" ref="J236">Common_InputFunctions.Utility_DisplayArrayInTable(Common_SourceData.Common_SourceData_MCFTemperatureZone_Data(),Table_SourceData_Common_MCFTemperatureZone[[#Headers],[Temperature zone]],0)</f>
        <v>5.0000000000000001E-3</v>
      </c>
      <c r="K236" s="25" cm="1">
        <f t="array" ref="K236">Common_InputFunctions.Utility_DisplayArrayInTable(Common_SourceData.Common_SourceData_MCFTemperatureZone_Data(),Table_SourceData_Common_MCFTemperatureZone[[#Headers],[Temperature zone]],0)</f>
        <v>0.02</v>
      </c>
      <c r="L236" s="25" cm="1">
        <f t="array" ref="L236">Common_InputFunctions.Utility_DisplayArrayInTable(Common_SourceData.Common_SourceData_MCFTemperatureZone_Data(),Table_SourceData_Common_MCFTemperatureZone[[#Headers],[Temperature zone]],0)</f>
        <v>0.03</v>
      </c>
      <c r="M236" s="25" cm="1">
        <f t="array" ref="M236">Common_InputFunctions.Utility_DisplayArrayInTable(Common_SourceData.Common_SourceData_MCFTemperatureZone_Data(),Table_SourceData_Common_MCFTemperatureZone[[#Headers],[Temperature zone]],0)</f>
        <v>0.04</v>
      </c>
      <c r="N236" s="25" cm="1">
        <f t="array" ref="N236">Common_InputFunctions.Utility_DisplayArrayInTable(Common_SourceData.Common_SourceData_MCFTemperatureZone_Data(),Table_SourceData_Common_MCFTemperatureZone[[#Headers],[Temperature zone]],0)</f>
        <v>1.4999999999999999E-2</v>
      </c>
      <c r="O236" s="25" cm="1">
        <f t="array" ref="O236">Common_InputFunctions.Utility_DisplayArrayInTable(Common_SourceData.Common_SourceData_MCFTemperatureZone_Data(),Table_SourceData_Common_MCFTemperatureZone[[#Headers],[Temperature zone]],0)</f>
        <v>1.4999999999999999E-2</v>
      </c>
      <c r="P236" s="25" cm="1">
        <f t="array" ref="P236">Common_InputFunctions.Utility_DisplayArrayInTable(Common_SourceData.Common_SourceData_MCFTemperatureZone_Data(),Table_SourceData_Common_MCFTemperatureZone[[#Headers],[Temperature zone]],0)</f>
        <v>0</v>
      </c>
      <c r="Q236" s="25" cm="1">
        <f t="array" ref="Q236">Common_InputFunctions.Utility_DisplayArrayInTable(Common_SourceData.Common_SourceData_MCFTemperatureZone_Data(),Table_SourceData_Common_MCFTemperatureZone[[#Headers],[Temperature zone]],0)</f>
        <v>0</v>
      </c>
      <c r="R236" s="25" cm="1">
        <f t="array" ref="R236">Common_InputFunctions.Utility_DisplayArrayInTable(Common_SourceData.Common_SourceData_MCFTemperatureZone_Data(),Table_SourceData_Common_MCFTemperatureZone[[#Headers],[Temperature zone]],0)</f>
        <v>4.7000000000000002E-3</v>
      </c>
      <c r="S236" s="2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5" cm="1">
        <f t="array" ref="E237">Common_InputFunctions.Utility_DisplayArrayInTable(Common_SourceData.Common_SourceData_MCFTemperatureZone_Data(),Table_SourceData_Common_MCFTemperatureZone[[#Headers],[Temperature zone]],0)</f>
        <v>15</v>
      </c>
      <c r="F237" s="25" cm="1">
        <f t="array" ref="F237">Common_InputFunctions.Utility_DisplayArrayInTable(Common_SourceData.Common_SourceData_MCFTemperatureZone_Data(),Table_SourceData_Common_MCFTemperatureZone[[#Headers],[Temperature zone]],0)</f>
        <v>0.74</v>
      </c>
      <c r="G237" s="25" cm="1">
        <f t="array" ref="G237">Common_InputFunctions.Utility_DisplayArrayInTable(Common_SourceData.Common_SourceData_MCFTemperatureZone_Data(),Table_SourceData_Common_MCFTemperatureZone[[#Headers],[Temperature zone]],0)</f>
        <v>0.1</v>
      </c>
      <c r="H237" s="25" cm="1">
        <f t="array" ref="H237">Common_InputFunctions.Utility_DisplayArrayInTable(Common_SourceData.Common_SourceData_MCFTemperatureZone_Data(),Table_SourceData_Common_MCFTemperatureZone[[#Headers],[Temperature zone]],0)</f>
        <v>0.17</v>
      </c>
      <c r="I237" s="25" cm="1">
        <f t="array" ref="I237">Common_InputFunctions.Utility_DisplayArrayInTable(Common_SourceData.Common_SourceData_MCFTemperatureZone_Data(),Table_SourceData_Common_MCFTemperatureZone[[#Headers],[Temperature zone]],0)</f>
        <v>5.0000000000000001E-3</v>
      </c>
      <c r="J237" s="25" cm="1">
        <f t="array" ref="J237">Common_InputFunctions.Utility_DisplayArrayInTable(Common_SourceData.Common_SourceData_MCFTemperatureZone_Data(),Table_SourceData_Common_MCFTemperatureZone[[#Headers],[Temperature zone]],0)</f>
        <v>0.01</v>
      </c>
      <c r="K237" s="25" cm="1">
        <f t="array" ref="K237">Common_InputFunctions.Utility_DisplayArrayInTable(Common_SourceData.Common_SourceData_MCFTemperatureZone_Data(),Table_SourceData_Common_MCFTemperatureZone[[#Headers],[Temperature zone]],0)</f>
        <v>0.02</v>
      </c>
      <c r="L237" s="25" cm="1">
        <f t="array" ref="L237">Common_InputFunctions.Utility_DisplayArrayInTable(Common_SourceData.Common_SourceData_MCFTemperatureZone_Data(),Table_SourceData_Common_MCFTemperatureZone[[#Headers],[Temperature zone]],0)</f>
        <v>0.03</v>
      </c>
      <c r="M237" s="25" cm="1">
        <f t="array" ref="M237">Common_InputFunctions.Utility_DisplayArrayInTable(Common_SourceData.Common_SourceData_MCFTemperatureZone_Data(),Table_SourceData_Common_MCFTemperatureZone[[#Headers],[Temperature zone]],0)</f>
        <v>0.04</v>
      </c>
      <c r="N237" s="25" cm="1">
        <f t="array" ref="N237">Common_InputFunctions.Utility_DisplayArrayInTable(Common_SourceData.Common_SourceData_MCFTemperatureZone_Data(),Table_SourceData_Common_MCFTemperatureZone[[#Headers],[Temperature zone]],0)</f>
        <v>1.4999999999999999E-2</v>
      </c>
      <c r="O237" s="25" cm="1">
        <f t="array" ref="O237">Common_InputFunctions.Utility_DisplayArrayInTable(Common_SourceData.Common_SourceData_MCFTemperatureZone_Data(),Table_SourceData_Common_MCFTemperatureZone[[#Headers],[Temperature zone]],0)</f>
        <v>1.4999999999999999E-2</v>
      </c>
      <c r="P237" s="25" cm="1">
        <f t="array" ref="P237">Common_InputFunctions.Utility_DisplayArrayInTable(Common_SourceData.Common_SourceData_MCFTemperatureZone_Data(),Table_SourceData_Common_MCFTemperatureZone[[#Headers],[Temperature zone]],0)</f>
        <v>0</v>
      </c>
      <c r="Q237" s="25" cm="1">
        <f t="array" ref="Q237">Common_InputFunctions.Utility_DisplayArrayInTable(Common_SourceData.Common_SourceData_MCFTemperatureZone_Data(),Table_SourceData_Common_MCFTemperatureZone[[#Headers],[Temperature zone]],0)</f>
        <v>0</v>
      </c>
      <c r="R237" s="25" cm="1">
        <f t="array" ref="R237">Common_InputFunctions.Utility_DisplayArrayInTable(Common_SourceData.Common_SourceData_MCFTemperatureZone_Data(),Table_SourceData_Common_MCFTemperatureZone[[#Headers],[Temperature zone]],0)</f>
        <v>4.7000000000000002E-3</v>
      </c>
      <c r="S237" s="2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5" cm="1">
        <f t="array" ref="E238">Common_InputFunctions.Utility_DisplayArrayInTable(Common_SourceData.Common_SourceData_MCFTemperatureZone_Data(),Table_SourceData_Common_MCFTemperatureZone[[#Headers],[Temperature zone]],0)</f>
        <v>16</v>
      </c>
      <c r="F238" s="25" cm="1">
        <f t="array" ref="F238">Common_InputFunctions.Utility_DisplayArrayInTable(Common_SourceData.Common_SourceData_MCFTemperatureZone_Data(),Table_SourceData_Common_MCFTemperatureZone[[#Headers],[Temperature zone]],0)</f>
        <v>0.75</v>
      </c>
      <c r="G238" s="25" cm="1">
        <f t="array" ref="G238">Common_InputFunctions.Utility_DisplayArrayInTable(Common_SourceData.Common_SourceData_MCFTemperatureZone_Data(),Table_SourceData_Common_MCFTemperatureZone[[#Headers],[Temperature zone]],0)</f>
        <v>0.1</v>
      </c>
      <c r="H238" s="25" cm="1">
        <f t="array" ref="H238">Common_InputFunctions.Utility_DisplayArrayInTable(Common_SourceData.Common_SourceData_MCFTemperatureZone_Data(),Table_SourceData_Common_MCFTemperatureZone[[#Headers],[Temperature zone]],0)</f>
        <v>0.18</v>
      </c>
      <c r="I238" s="25" cm="1">
        <f t="array" ref="I238">Common_InputFunctions.Utility_DisplayArrayInTable(Common_SourceData.Common_SourceData_MCFTemperatureZone_Data(),Table_SourceData_Common_MCFTemperatureZone[[#Headers],[Temperature zone]],0)</f>
        <v>5.0000000000000001E-3</v>
      </c>
      <c r="J238" s="25" cm="1">
        <f t="array" ref="J238">Common_InputFunctions.Utility_DisplayArrayInTable(Common_SourceData.Common_SourceData_MCFTemperatureZone_Data(),Table_SourceData_Common_MCFTemperatureZone[[#Headers],[Temperature zone]],0)</f>
        <v>0.01</v>
      </c>
      <c r="K238" s="25" cm="1">
        <f t="array" ref="K238">Common_InputFunctions.Utility_DisplayArrayInTable(Common_SourceData.Common_SourceData_MCFTemperatureZone_Data(),Table_SourceData_Common_MCFTemperatureZone[[#Headers],[Temperature zone]],0)</f>
        <v>0.02</v>
      </c>
      <c r="L238" s="25" cm="1">
        <f t="array" ref="L238">Common_InputFunctions.Utility_DisplayArrayInTable(Common_SourceData.Common_SourceData_MCFTemperatureZone_Data(),Table_SourceData_Common_MCFTemperatureZone[[#Headers],[Temperature zone]],0)</f>
        <v>0.03</v>
      </c>
      <c r="M238" s="25" cm="1">
        <f t="array" ref="M238">Common_InputFunctions.Utility_DisplayArrayInTable(Common_SourceData.Common_SourceData_MCFTemperatureZone_Data(),Table_SourceData_Common_MCFTemperatureZone[[#Headers],[Temperature zone]],0)</f>
        <v>0.04</v>
      </c>
      <c r="N238" s="25" cm="1">
        <f t="array" ref="N238">Common_InputFunctions.Utility_DisplayArrayInTable(Common_SourceData.Common_SourceData_MCFTemperatureZone_Data(),Table_SourceData_Common_MCFTemperatureZone[[#Headers],[Temperature zone]],0)</f>
        <v>1.4999999999999999E-2</v>
      </c>
      <c r="O238" s="25" cm="1">
        <f t="array" ref="O238">Common_InputFunctions.Utility_DisplayArrayInTable(Common_SourceData.Common_SourceData_MCFTemperatureZone_Data(),Table_SourceData_Common_MCFTemperatureZone[[#Headers],[Temperature zone]],0)</f>
        <v>1.4999999999999999E-2</v>
      </c>
      <c r="P238" s="25" cm="1">
        <f t="array" ref="P238">Common_InputFunctions.Utility_DisplayArrayInTable(Common_SourceData.Common_SourceData_MCFTemperatureZone_Data(),Table_SourceData_Common_MCFTemperatureZone[[#Headers],[Temperature zone]],0)</f>
        <v>0</v>
      </c>
      <c r="Q238" s="25" cm="1">
        <f t="array" ref="Q238">Common_InputFunctions.Utility_DisplayArrayInTable(Common_SourceData.Common_SourceData_MCFTemperatureZone_Data(),Table_SourceData_Common_MCFTemperatureZone[[#Headers],[Temperature zone]],0)</f>
        <v>0</v>
      </c>
      <c r="R238" s="25" cm="1">
        <f t="array" ref="R238">Common_InputFunctions.Utility_DisplayArrayInTable(Common_SourceData.Common_SourceData_MCFTemperatureZone_Data(),Table_SourceData_Common_MCFTemperatureZone[[#Headers],[Temperature zone]],0)</f>
        <v>4.7000000000000002E-3</v>
      </c>
      <c r="S238" s="2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5" cm="1">
        <f t="array" ref="E239">Common_InputFunctions.Utility_DisplayArrayInTable(Common_SourceData.Common_SourceData_MCFTemperatureZone_Data(),Table_SourceData_Common_MCFTemperatureZone[[#Headers],[Temperature zone]],0)</f>
        <v>17</v>
      </c>
      <c r="F239" s="25" cm="1">
        <f t="array" ref="F239">Common_InputFunctions.Utility_DisplayArrayInTable(Common_SourceData.Common_SourceData_MCFTemperatureZone_Data(),Table_SourceData_Common_MCFTemperatureZone[[#Headers],[Temperature zone]],0)</f>
        <v>0.76</v>
      </c>
      <c r="G239" s="25" cm="1">
        <f t="array" ref="G239">Common_InputFunctions.Utility_DisplayArrayInTable(Common_SourceData.Common_SourceData_MCFTemperatureZone_Data(),Table_SourceData_Common_MCFTemperatureZone[[#Headers],[Temperature zone]],0)</f>
        <v>0.1</v>
      </c>
      <c r="H239" s="25" cm="1">
        <f t="array" ref="H239">Common_InputFunctions.Utility_DisplayArrayInTable(Common_SourceData.Common_SourceData_MCFTemperatureZone_Data(),Table_SourceData_Common_MCFTemperatureZone[[#Headers],[Temperature zone]],0)</f>
        <v>0.2</v>
      </c>
      <c r="I239" s="25" cm="1">
        <f t="array" ref="I239">Common_InputFunctions.Utility_DisplayArrayInTable(Common_SourceData.Common_SourceData_MCFTemperatureZone_Data(),Table_SourceData_Common_MCFTemperatureZone[[#Headers],[Temperature zone]],0)</f>
        <v>5.0000000000000001E-3</v>
      </c>
      <c r="J239" s="25" cm="1">
        <f t="array" ref="J239">Common_InputFunctions.Utility_DisplayArrayInTable(Common_SourceData.Common_SourceData_MCFTemperatureZone_Data(),Table_SourceData_Common_MCFTemperatureZone[[#Headers],[Temperature zone]],0)</f>
        <v>0.01</v>
      </c>
      <c r="K239" s="25" cm="1">
        <f t="array" ref="K239">Common_InputFunctions.Utility_DisplayArrayInTable(Common_SourceData.Common_SourceData_MCFTemperatureZone_Data(),Table_SourceData_Common_MCFTemperatureZone[[#Headers],[Temperature zone]],0)</f>
        <v>0.02</v>
      </c>
      <c r="L239" s="25" cm="1">
        <f t="array" ref="L239">Common_InputFunctions.Utility_DisplayArrayInTable(Common_SourceData.Common_SourceData_MCFTemperatureZone_Data(),Table_SourceData_Common_MCFTemperatureZone[[#Headers],[Temperature zone]],0)</f>
        <v>0.03</v>
      </c>
      <c r="M239" s="25" cm="1">
        <f t="array" ref="M239">Common_InputFunctions.Utility_DisplayArrayInTable(Common_SourceData.Common_SourceData_MCFTemperatureZone_Data(),Table_SourceData_Common_MCFTemperatureZone[[#Headers],[Temperature zone]],0)</f>
        <v>0.04</v>
      </c>
      <c r="N239" s="25" cm="1">
        <f t="array" ref="N239">Common_InputFunctions.Utility_DisplayArrayInTable(Common_SourceData.Common_SourceData_MCFTemperatureZone_Data(),Table_SourceData_Common_MCFTemperatureZone[[#Headers],[Temperature zone]],0)</f>
        <v>1.4999999999999999E-2</v>
      </c>
      <c r="O239" s="25" cm="1">
        <f t="array" ref="O239">Common_InputFunctions.Utility_DisplayArrayInTable(Common_SourceData.Common_SourceData_MCFTemperatureZone_Data(),Table_SourceData_Common_MCFTemperatureZone[[#Headers],[Temperature zone]],0)</f>
        <v>1.4999999999999999E-2</v>
      </c>
      <c r="P239" s="25" cm="1">
        <f t="array" ref="P239">Common_InputFunctions.Utility_DisplayArrayInTable(Common_SourceData.Common_SourceData_MCFTemperatureZone_Data(),Table_SourceData_Common_MCFTemperatureZone[[#Headers],[Temperature zone]],0)</f>
        <v>0</v>
      </c>
      <c r="Q239" s="25" cm="1">
        <f t="array" ref="Q239">Common_InputFunctions.Utility_DisplayArrayInTable(Common_SourceData.Common_SourceData_MCFTemperatureZone_Data(),Table_SourceData_Common_MCFTemperatureZone[[#Headers],[Temperature zone]],0)</f>
        <v>0</v>
      </c>
      <c r="R239" s="25" cm="1">
        <f t="array" ref="R239">Common_InputFunctions.Utility_DisplayArrayInTable(Common_SourceData.Common_SourceData_MCFTemperatureZone_Data(),Table_SourceData_Common_MCFTemperatureZone[[#Headers],[Temperature zone]],0)</f>
        <v>4.7000000000000002E-3</v>
      </c>
      <c r="S239" s="2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5" cm="1">
        <f t="array" ref="E240">Common_InputFunctions.Utility_DisplayArrayInTable(Common_SourceData.Common_SourceData_MCFTemperatureZone_Data(),Table_SourceData_Common_MCFTemperatureZone[[#Headers],[Temperature zone]],0)</f>
        <v>18</v>
      </c>
      <c r="F240" s="25" cm="1">
        <f t="array" ref="F240">Common_InputFunctions.Utility_DisplayArrayInTable(Common_SourceData.Common_SourceData_MCFTemperatureZone_Data(),Table_SourceData_Common_MCFTemperatureZone[[#Headers],[Temperature zone]],0)</f>
        <v>0.77</v>
      </c>
      <c r="G240" s="25" cm="1">
        <f t="array" ref="G240">Common_InputFunctions.Utility_DisplayArrayInTable(Common_SourceData.Common_SourceData_MCFTemperatureZone_Data(),Table_SourceData_Common_MCFTemperatureZone[[#Headers],[Temperature zone]],0)</f>
        <v>0.1</v>
      </c>
      <c r="H240" s="25" cm="1">
        <f t="array" ref="H240">Common_InputFunctions.Utility_DisplayArrayInTable(Common_SourceData.Common_SourceData_MCFTemperatureZone_Data(),Table_SourceData_Common_MCFTemperatureZone[[#Headers],[Temperature zone]],0)</f>
        <v>0.22</v>
      </c>
      <c r="I240" s="25" cm="1">
        <f t="array" ref="I240">Common_InputFunctions.Utility_DisplayArrayInTable(Common_SourceData.Common_SourceData_MCFTemperatureZone_Data(),Table_SourceData_Common_MCFTemperatureZone[[#Headers],[Temperature zone]],0)</f>
        <v>5.0000000000000001E-3</v>
      </c>
      <c r="J240" s="25" cm="1">
        <f t="array" ref="J240">Common_InputFunctions.Utility_DisplayArrayInTable(Common_SourceData.Common_SourceData_MCFTemperatureZone_Data(),Table_SourceData_Common_MCFTemperatureZone[[#Headers],[Temperature zone]],0)</f>
        <v>0.01</v>
      </c>
      <c r="K240" s="25" cm="1">
        <f t="array" ref="K240">Common_InputFunctions.Utility_DisplayArrayInTable(Common_SourceData.Common_SourceData_MCFTemperatureZone_Data(),Table_SourceData_Common_MCFTemperatureZone[[#Headers],[Temperature zone]],0)</f>
        <v>0.02</v>
      </c>
      <c r="L240" s="25" cm="1">
        <f t="array" ref="L240">Common_InputFunctions.Utility_DisplayArrayInTable(Common_SourceData.Common_SourceData_MCFTemperatureZone_Data(),Table_SourceData_Common_MCFTemperatureZone[[#Headers],[Temperature zone]],0)</f>
        <v>0.03</v>
      </c>
      <c r="M240" s="25" cm="1">
        <f t="array" ref="M240">Common_InputFunctions.Utility_DisplayArrayInTable(Common_SourceData.Common_SourceData_MCFTemperatureZone_Data(),Table_SourceData_Common_MCFTemperatureZone[[#Headers],[Temperature zone]],0)</f>
        <v>0.04</v>
      </c>
      <c r="N240" s="25" cm="1">
        <f t="array" ref="N240">Common_InputFunctions.Utility_DisplayArrayInTable(Common_SourceData.Common_SourceData_MCFTemperatureZone_Data(),Table_SourceData_Common_MCFTemperatureZone[[#Headers],[Temperature zone]],0)</f>
        <v>1.4999999999999999E-2</v>
      </c>
      <c r="O240" s="25" cm="1">
        <f t="array" ref="O240">Common_InputFunctions.Utility_DisplayArrayInTable(Common_SourceData.Common_SourceData_MCFTemperatureZone_Data(),Table_SourceData_Common_MCFTemperatureZone[[#Headers],[Temperature zone]],0)</f>
        <v>1.4999999999999999E-2</v>
      </c>
      <c r="P240" s="25" cm="1">
        <f t="array" ref="P240">Common_InputFunctions.Utility_DisplayArrayInTable(Common_SourceData.Common_SourceData_MCFTemperatureZone_Data(),Table_SourceData_Common_MCFTemperatureZone[[#Headers],[Temperature zone]],0)</f>
        <v>0</v>
      </c>
      <c r="Q240" s="25" cm="1">
        <f t="array" ref="Q240">Common_InputFunctions.Utility_DisplayArrayInTable(Common_SourceData.Common_SourceData_MCFTemperatureZone_Data(),Table_SourceData_Common_MCFTemperatureZone[[#Headers],[Temperature zone]],0)</f>
        <v>0</v>
      </c>
      <c r="R240" s="25" cm="1">
        <f t="array" ref="R240">Common_InputFunctions.Utility_DisplayArrayInTable(Common_SourceData.Common_SourceData_MCFTemperatureZone_Data(),Table_SourceData_Common_MCFTemperatureZone[[#Headers],[Temperature zone]],0)</f>
        <v>4.7000000000000002E-3</v>
      </c>
      <c r="S240" s="2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5" cm="1">
        <f t="array" ref="E241">Common_InputFunctions.Utility_DisplayArrayInTable(Common_SourceData.Common_SourceData_MCFTemperatureZone_Data(),Table_SourceData_Common_MCFTemperatureZone[[#Headers],[Temperature zone]],0)</f>
        <v>19</v>
      </c>
      <c r="F241" s="25" cm="1">
        <f t="array" ref="F241">Common_InputFunctions.Utility_DisplayArrayInTable(Common_SourceData.Common_SourceData_MCFTemperatureZone_Data(),Table_SourceData_Common_MCFTemperatureZone[[#Headers],[Temperature zone]],0)</f>
        <v>0.77</v>
      </c>
      <c r="G241" s="25" cm="1">
        <f t="array" ref="G241">Common_InputFunctions.Utility_DisplayArrayInTable(Common_SourceData.Common_SourceData_MCFTemperatureZone_Data(),Table_SourceData_Common_MCFTemperatureZone[[#Headers],[Temperature zone]],0)</f>
        <v>0.1</v>
      </c>
      <c r="H241" s="25" cm="1">
        <f t="array" ref="H241">Common_InputFunctions.Utility_DisplayArrayInTable(Common_SourceData.Common_SourceData_MCFTemperatureZone_Data(),Table_SourceData_Common_MCFTemperatureZone[[#Headers],[Temperature zone]],0)</f>
        <v>0.24</v>
      </c>
      <c r="I241" s="25" cm="1">
        <f t="array" ref="I241">Common_InputFunctions.Utility_DisplayArrayInTable(Common_SourceData.Common_SourceData_MCFTemperatureZone_Data(),Table_SourceData_Common_MCFTemperatureZone[[#Headers],[Temperature zone]],0)</f>
        <v>5.0000000000000001E-3</v>
      </c>
      <c r="J241" s="25" cm="1">
        <f t="array" ref="J241">Common_InputFunctions.Utility_DisplayArrayInTable(Common_SourceData.Common_SourceData_MCFTemperatureZone_Data(),Table_SourceData_Common_MCFTemperatureZone[[#Headers],[Temperature zone]],0)</f>
        <v>0.01</v>
      </c>
      <c r="K241" s="25" cm="1">
        <f t="array" ref="K241">Common_InputFunctions.Utility_DisplayArrayInTable(Common_SourceData.Common_SourceData_MCFTemperatureZone_Data(),Table_SourceData_Common_MCFTemperatureZone[[#Headers],[Temperature zone]],0)</f>
        <v>0.02</v>
      </c>
      <c r="L241" s="25" cm="1">
        <f t="array" ref="L241">Common_InputFunctions.Utility_DisplayArrayInTable(Common_SourceData.Common_SourceData_MCFTemperatureZone_Data(),Table_SourceData_Common_MCFTemperatureZone[[#Headers],[Temperature zone]],0)</f>
        <v>0.03</v>
      </c>
      <c r="M241" s="25" cm="1">
        <f t="array" ref="M241">Common_InputFunctions.Utility_DisplayArrayInTable(Common_SourceData.Common_SourceData_MCFTemperatureZone_Data(),Table_SourceData_Common_MCFTemperatureZone[[#Headers],[Temperature zone]],0)</f>
        <v>0.04</v>
      </c>
      <c r="N241" s="25" cm="1">
        <f t="array" ref="N241">Common_InputFunctions.Utility_DisplayArrayInTable(Common_SourceData.Common_SourceData_MCFTemperatureZone_Data(),Table_SourceData_Common_MCFTemperatureZone[[#Headers],[Temperature zone]],0)</f>
        <v>1.4999999999999999E-2</v>
      </c>
      <c r="O241" s="25" cm="1">
        <f t="array" ref="O241">Common_InputFunctions.Utility_DisplayArrayInTable(Common_SourceData.Common_SourceData_MCFTemperatureZone_Data(),Table_SourceData_Common_MCFTemperatureZone[[#Headers],[Temperature zone]],0)</f>
        <v>1.4999999999999999E-2</v>
      </c>
      <c r="P241" s="25" cm="1">
        <f t="array" ref="P241">Common_InputFunctions.Utility_DisplayArrayInTable(Common_SourceData.Common_SourceData_MCFTemperatureZone_Data(),Table_SourceData_Common_MCFTemperatureZone[[#Headers],[Temperature zone]],0)</f>
        <v>0</v>
      </c>
      <c r="Q241" s="25" cm="1">
        <f t="array" ref="Q241">Common_InputFunctions.Utility_DisplayArrayInTable(Common_SourceData.Common_SourceData_MCFTemperatureZone_Data(),Table_SourceData_Common_MCFTemperatureZone[[#Headers],[Temperature zone]],0)</f>
        <v>0</v>
      </c>
      <c r="R241" s="25" cm="1">
        <f t="array" ref="R241">Common_InputFunctions.Utility_DisplayArrayInTable(Common_SourceData.Common_SourceData_MCFTemperatureZone_Data(),Table_SourceData_Common_MCFTemperatureZone[[#Headers],[Temperature zone]],0)</f>
        <v>4.7000000000000002E-3</v>
      </c>
      <c r="S241" s="2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5" cm="1">
        <f t="array" ref="E242">Common_InputFunctions.Utility_DisplayArrayInTable(Common_SourceData.Common_SourceData_MCFTemperatureZone_Data(),Table_SourceData_Common_MCFTemperatureZone[[#Headers],[Temperature zone]],0)</f>
        <v>20</v>
      </c>
      <c r="F242" s="25" cm="1">
        <f t="array" ref="F242">Common_InputFunctions.Utility_DisplayArrayInTable(Common_SourceData.Common_SourceData_MCFTemperatureZone_Data(),Table_SourceData_Common_MCFTemperatureZone[[#Headers],[Temperature zone]],0)</f>
        <v>0.78</v>
      </c>
      <c r="G242" s="25" cm="1">
        <f t="array" ref="G242">Common_InputFunctions.Utility_DisplayArrayInTable(Common_SourceData.Common_SourceData_MCFTemperatureZone_Data(),Table_SourceData_Common_MCFTemperatureZone[[#Headers],[Temperature zone]],0)</f>
        <v>0.1</v>
      </c>
      <c r="H242" s="25" cm="1">
        <f t="array" ref="H242">Common_InputFunctions.Utility_DisplayArrayInTable(Common_SourceData.Common_SourceData_MCFTemperatureZone_Data(),Table_SourceData_Common_MCFTemperatureZone[[#Headers],[Temperature zone]],0)</f>
        <v>0.26</v>
      </c>
      <c r="I242" s="25" cm="1">
        <f t="array" ref="I242">Common_InputFunctions.Utility_DisplayArrayInTable(Common_SourceData.Common_SourceData_MCFTemperatureZone_Data(),Table_SourceData_Common_MCFTemperatureZone[[#Headers],[Temperature zone]],0)</f>
        <v>5.0000000000000001E-3</v>
      </c>
      <c r="J242" s="25" cm="1">
        <f t="array" ref="J242">Common_InputFunctions.Utility_DisplayArrayInTable(Common_SourceData.Common_SourceData_MCFTemperatureZone_Data(),Table_SourceData_Common_MCFTemperatureZone[[#Headers],[Temperature zone]],0)</f>
        <v>0.01</v>
      </c>
      <c r="K242" s="25" cm="1">
        <f t="array" ref="K242">Common_InputFunctions.Utility_DisplayArrayInTable(Common_SourceData.Common_SourceData_MCFTemperatureZone_Data(),Table_SourceData_Common_MCFTemperatureZone[[#Headers],[Temperature zone]],0)</f>
        <v>0.02</v>
      </c>
      <c r="L242" s="25" cm="1">
        <f t="array" ref="L242">Common_InputFunctions.Utility_DisplayArrayInTable(Common_SourceData.Common_SourceData_MCFTemperatureZone_Data(),Table_SourceData_Common_MCFTemperatureZone[[#Headers],[Temperature zone]],0)</f>
        <v>0.03</v>
      </c>
      <c r="M242" s="25" cm="1">
        <f t="array" ref="M242">Common_InputFunctions.Utility_DisplayArrayInTable(Common_SourceData.Common_SourceData_MCFTemperatureZone_Data(),Table_SourceData_Common_MCFTemperatureZone[[#Headers],[Temperature zone]],0)</f>
        <v>0.04</v>
      </c>
      <c r="N242" s="25" cm="1">
        <f t="array" ref="N242">Common_InputFunctions.Utility_DisplayArrayInTable(Common_SourceData.Common_SourceData_MCFTemperatureZone_Data(),Table_SourceData_Common_MCFTemperatureZone[[#Headers],[Temperature zone]],0)</f>
        <v>1.4999999999999999E-2</v>
      </c>
      <c r="O242" s="25" cm="1">
        <f t="array" ref="O242">Common_InputFunctions.Utility_DisplayArrayInTable(Common_SourceData.Common_SourceData_MCFTemperatureZone_Data(),Table_SourceData_Common_MCFTemperatureZone[[#Headers],[Temperature zone]],0)</f>
        <v>1.4999999999999999E-2</v>
      </c>
      <c r="P242" s="25" cm="1">
        <f t="array" ref="P242">Common_InputFunctions.Utility_DisplayArrayInTable(Common_SourceData.Common_SourceData_MCFTemperatureZone_Data(),Table_SourceData_Common_MCFTemperatureZone[[#Headers],[Temperature zone]],0)</f>
        <v>0</v>
      </c>
      <c r="Q242" s="25" cm="1">
        <f t="array" ref="Q242">Common_InputFunctions.Utility_DisplayArrayInTable(Common_SourceData.Common_SourceData_MCFTemperatureZone_Data(),Table_SourceData_Common_MCFTemperatureZone[[#Headers],[Temperature zone]],0)</f>
        <v>0</v>
      </c>
      <c r="R242" s="25" cm="1">
        <f t="array" ref="R242">Common_InputFunctions.Utility_DisplayArrayInTable(Common_SourceData.Common_SourceData_MCFTemperatureZone_Data(),Table_SourceData_Common_MCFTemperatureZone[[#Headers],[Temperature zone]],0)</f>
        <v>4.7000000000000002E-3</v>
      </c>
      <c r="S242" s="2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5" cm="1">
        <f t="array" ref="E243">Common_InputFunctions.Utility_DisplayArrayInTable(Common_SourceData.Common_SourceData_MCFTemperatureZone_Data(),Table_SourceData_Common_MCFTemperatureZone[[#Headers],[Temperature zone]],0)</f>
        <v>21</v>
      </c>
      <c r="F243" s="25" cm="1">
        <f t="array" ref="F243">Common_InputFunctions.Utility_DisplayArrayInTable(Common_SourceData.Common_SourceData_MCFTemperatureZone_Data(),Table_SourceData_Common_MCFTemperatureZone[[#Headers],[Temperature zone]],0)</f>
        <v>0.78</v>
      </c>
      <c r="G243" s="25" cm="1">
        <f t="array" ref="G243">Common_InputFunctions.Utility_DisplayArrayInTable(Common_SourceData.Common_SourceData_MCFTemperatureZone_Data(),Table_SourceData_Common_MCFTemperatureZone[[#Headers],[Temperature zone]],0)</f>
        <v>0.1</v>
      </c>
      <c r="H243" s="25" cm="1">
        <f t="array" ref="H243">Common_InputFunctions.Utility_DisplayArrayInTable(Common_SourceData.Common_SourceData_MCFTemperatureZone_Data(),Table_SourceData_Common_MCFTemperatureZone[[#Headers],[Temperature zone]],0)</f>
        <v>0.28999999999999998</v>
      </c>
      <c r="I243" s="25" cm="1">
        <f t="array" ref="I243">Common_InputFunctions.Utility_DisplayArrayInTable(Common_SourceData.Common_SourceData_MCFTemperatureZone_Data(),Table_SourceData_Common_MCFTemperatureZone[[#Headers],[Temperature zone]],0)</f>
        <v>5.0000000000000001E-3</v>
      </c>
      <c r="J243" s="25" cm="1">
        <f t="array" ref="J243">Common_InputFunctions.Utility_DisplayArrayInTable(Common_SourceData.Common_SourceData_MCFTemperatureZone_Data(),Table_SourceData_Common_MCFTemperatureZone[[#Headers],[Temperature zone]],0)</f>
        <v>0.01</v>
      </c>
      <c r="K243" s="25" cm="1">
        <f t="array" ref="K243">Common_InputFunctions.Utility_DisplayArrayInTable(Common_SourceData.Common_SourceData_MCFTemperatureZone_Data(),Table_SourceData_Common_MCFTemperatureZone[[#Headers],[Temperature zone]],0)</f>
        <v>0.02</v>
      </c>
      <c r="L243" s="25" cm="1">
        <f t="array" ref="L243">Common_InputFunctions.Utility_DisplayArrayInTable(Common_SourceData.Common_SourceData_MCFTemperatureZone_Data(),Table_SourceData_Common_MCFTemperatureZone[[#Headers],[Temperature zone]],0)</f>
        <v>0.03</v>
      </c>
      <c r="M243" s="25" cm="1">
        <f t="array" ref="M243">Common_InputFunctions.Utility_DisplayArrayInTable(Common_SourceData.Common_SourceData_MCFTemperatureZone_Data(),Table_SourceData_Common_MCFTemperatureZone[[#Headers],[Temperature zone]],0)</f>
        <v>0.04</v>
      </c>
      <c r="N243" s="25" cm="1">
        <f t="array" ref="N243">Common_InputFunctions.Utility_DisplayArrayInTable(Common_SourceData.Common_SourceData_MCFTemperatureZone_Data(),Table_SourceData_Common_MCFTemperatureZone[[#Headers],[Temperature zone]],0)</f>
        <v>1.4999999999999999E-2</v>
      </c>
      <c r="O243" s="25" cm="1">
        <f t="array" ref="O243">Common_InputFunctions.Utility_DisplayArrayInTable(Common_SourceData.Common_SourceData_MCFTemperatureZone_Data(),Table_SourceData_Common_MCFTemperatureZone[[#Headers],[Temperature zone]],0)</f>
        <v>1.4999999999999999E-2</v>
      </c>
      <c r="P243" s="25" cm="1">
        <f t="array" ref="P243">Common_InputFunctions.Utility_DisplayArrayInTable(Common_SourceData.Common_SourceData_MCFTemperatureZone_Data(),Table_SourceData_Common_MCFTemperatureZone[[#Headers],[Temperature zone]],0)</f>
        <v>0</v>
      </c>
      <c r="Q243" s="25" cm="1">
        <f t="array" ref="Q243">Common_InputFunctions.Utility_DisplayArrayInTable(Common_SourceData.Common_SourceData_MCFTemperatureZone_Data(),Table_SourceData_Common_MCFTemperatureZone[[#Headers],[Temperature zone]],0)</f>
        <v>0</v>
      </c>
      <c r="R243" s="25" cm="1">
        <f t="array" ref="R243">Common_InputFunctions.Utility_DisplayArrayInTable(Common_SourceData.Common_SourceData_MCFTemperatureZone_Data(),Table_SourceData_Common_MCFTemperatureZone[[#Headers],[Temperature zone]],0)</f>
        <v>4.7000000000000002E-3</v>
      </c>
      <c r="S243" s="2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5" cm="1">
        <f t="array" ref="E244">Common_InputFunctions.Utility_DisplayArrayInTable(Common_SourceData.Common_SourceData_MCFTemperatureZone_Data(),Table_SourceData_Common_MCFTemperatureZone[[#Headers],[Temperature zone]],0)</f>
        <v>22</v>
      </c>
      <c r="F244" s="25" cm="1">
        <f t="array" ref="F244">Common_InputFunctions.Utility_DisplayArrayInTable(Common_SourceData.Common_SourceData_MCFTemperatureZone_Data(),Table_SourceData_Common_MCFTemperatureZone[[#Headers],[Temperature zone]],0)</f>
        <v>0.78</v>
      </c>
      <c r="G244" s="25" cm="1">
        <f t="array" ref="G244">Common_InputFunctions.Utility_DisplayArrayInTable(Common_SourceData.Common_SourceData_MCFTemperatureZone_Data(),Table_SourceData_Common_MCFTemperatureZone[[#Headers],[Temperature zone]],0)</f>
        <v>0.1</v>
      </c>
      <c r="H244" s="25" cm="1">
        <f t="array" ref="H244">Common_InputFunctions.Utility_DisplayArrayInTable(Common_SourceData.Common_SourceData_MCFTemperatureZone_Data(),Table_SourceData_Common_MCFTemperatureZone[[#Headers],[Temperature zone]],0)</f>
        <v>0.31</v>
      </c>
      <c r="I244" s="25" cm="1">
        <f t="array" ref="I244">Common_InputFunctions.Utility_DisplayArrayInTable(Common_SourceData.Common_SourceData_MCFTemperatureZone_Data(),Table_SourceData_Common_MCFTemperatureZone[[#Headers],[Temperature zone]],0)</f>
        <v>5.0000000000000001E-3</v>
      </c>
      <c r="J244" s="25" cm="1">
        <f t="array" ref="J244">Common_InputFunctions.Utility_DisplayArrayInTable(Common_SourceData.Common_SourceData_MCFTemperatureZone_Data(),Table_SourceData_Common_MCFTemperatureZone[[#Headers],[Temperature zone]],0)</f>
        <v>0.01</v>
      </c>
      <c r="K244" s="25" cm="1">
        <f t="array" ref="K244">Common_InputFunctions.Utility_DisplayArrayInTable(Common_SourceData.Common_SourceData_MCFTemperatureZone_Data(),Table_SourceData_Common_MCFTemperatureZone[[#Headers],[Temperature zone]],0)</f>
        <v>0.02</v>
      </c>
      <c r="L244" s="25" cm="1">
        <f t="array" ref="L244">Common_InputFunctions.Utility_DisplayArrayInTable(Common_SourceData.Common_SourceData_MCFTemperatureZone_Data(),Table_SourceData_Common_MCFTemperatureZone[[#Headers],[Temperature zone]],0)</f>
        <v>0.03</v>
      </c>
      <c r="M244" s="25" cm="1">
        <f t="array" ref="M244">Common_InputFunctions.Utility_DisplayArrayInTable(Common_SourceData.Common_SourceData_MCFTemperatureZone_Data(),Table_SourceData_Common_MCFTemperatureZone[[#Headers],[Temperature zone]],0)</f>
        <v>0.04</v>
      </c>
      <c r="N244" s="25" cm="1">
        <f t="array" ref="N244">Common_InputFunctions.Utility_DisplayArrayInTable(Common_SourceData.Common_SourceData_MCFTemperatureZone_Data(),Table_SourceData_Common_MCFTemperatureZone[[#Headers],[Temperature zone]],0)</f>
        <v>1.4999999999999999E-2</v>
      </c>
      <c r="O244" s="25" cm="1">
        <f t="array" ref="O244">Common_InputFunctions.Utility_DisplayArrayInTable(Common_SourceData.Common_SourceData_MCFTemperatureZone_Data(),Table_SourceData_Common_MCFTemperatureZone[[#Headers],[Temperature zone]],0)</f>
        <v>1.4999999999999999E-2</v>
      </c>
      <c r="P244" s="25" cm="1">
        <f t="array" ref="P244">Common_InputFunctions.Utility_DisplayArrayInTable(Common_SourceData.Common_SourceData_MCFTemperatureZone_Data(),Table_SourceData_Common_MCFTemperatureZone[[#Headers],[Temperature zone]],0)</f>
        <v>0</v>
      </c>
      <c r="Q244" s="25" cm="1">
        <f t="array" ref="Q244">Common_InputFunctions.Utility_DisplayArrayInTable(Common_SourceData.Common_SourceData_MCFTemperatureZone_Data(),Table_SourceData_Common_MCFTemperatureZone[[#Headers],[Temperature zone]],0)</f>
        <v>0</v>
      </c>
      <c r="R244" s="25" cm="1">
        <f t="array" ref="R244">Common_InputFunctions.Utility_DisplayArrayInTable(Common_SourceData.Common_SourceData_MCFTemperatureZone_Data(),Table_SourceData_Common_MCFTemperatureZone[[#Headers],[Temperature zone]],0)</f>
        <v>4.7000000000000002E-3</v>
      </c>
      <c r="S244" s="2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5" cm="1">
        <f t="array" ref="E245">Common_InputFunctions.Utility_DisplayArrayInTable(Common_SourceData.Common_SourceData_MCFTemperatureZone_Data(),Table_SourceData_Common_MCFTemperatureZone[[#Headers],[Temperature zone]],0)</f>
        <v>23</v>
      </c>
      <c r="F245" s="25" cm="1">
        <f t="array" ref="F245">Common_InputFunctions.Utility_DisplayArrayInTable(Common_SourceData.Common_SourceData_MCFTemperatureZone_Data(),Table_SourceData_Common_MCFTemperatureZone[[#Headers],[Temperature zone]],0)</f>
        <v>0.79</v>
      </c>
      <c r="G245" s="25" cm="1">
        <f t="array" ref="G245">Common_InputFunctions.Utility_DisplayArrayInTable(Common_SourceData.Common_SourceData_MCFTemperatureZone_Data(),Table_SourceData_Common_MCFTemperatureZone[[#Headers],[Temperature zone]],0)</f>
        <v>0.1</v>
      </c>
      <c r="H245" s="25" cm="1">
        <f t="array" ref="H245">Common_InputFunctions.Utility_DisplayArrayInTable(Common_SourceData.Common_SourceData_MCFTemperatureZone_Data(),Table_SourceData_Common_MCFTemperatureZone[[#Headers],[Temperature zone]],0)</f>
        <v>0.34</v>
      </c>
      <c r="I245" s="25" cm="1">
        <f t="array" ref="I245">Common_InputFunctions.Utility_DisplayArrayInTable(Common_SourceData.Common_SourceData_MCFTemperatureZone_Data(),Table_SourceData_Common_MCFTemperatureZone[[#Headers],[Temperature zone]],0)</f>
        <v>5.0000000000000001E-3</v>
      </c>
      <c r="J245" s="25" cm="1">
        <f t="array" ref="J245">Common_InputFunctions.Utility_DisplayArrayInTable(Common_SourceData.Common_SourceData_MCFTemperatureZone_Data(),Table_SourceData_Common_MCFTemperatureZone[[#Headers],[Temperature zone]],0)</f>
        <v>0.01</v>
      </c>
      <c r="K245" s="25" cm="1">
        <f t="array" ref="K245">Common_InputFunctions.Utility_DisplayArrayInTable(Common_SourceData.Common_SourceData_MCFTemperatureZone_Data(),Table_SourceData_Common_MCFTemperatureZone[[#Headers],[Temperature zone]],0)</f>
        <v>0.02</v>
      </c>
      <c r="L245" s="25" cm="1">
        <f t="array" ref="L245">Common_InputFunctions.Utility_DisplayArrayInTable(Common_SourceData.Common_SourceData_MCFTemperatureZone_Data(),Table_SourceData_Common_MCFTemperatureZone[[#Headers],[Temperature zone]],0)</f>
        <v>0.03</v>
      </c>
      <c r="M245" s="25" cm="1">
        <f t="array" ref="M245">Common_InputFunctions.Utility_DisplayArrayInTable(Common_SourceData.Common_SourceData_MCFTemperatureZone_Data(),Table_SourceData_Common_MCFTemperatureZone[[#Headers],[Temperature zone]],0)</f>
        <v>0.04</v>
      </c>
      <c r="N245" s="25" cm="1">
        <f t="array" ref="N245">Common_InputFunctions.Utility_DisplayArrayInTable(Common_SourceData.Common_SourceData_MCFTemperatureZone_Data(),Table_SourceData_Common_MCFTemperatureZone[[#Headers],[Temperature zone]],0)</f>
        <v>1.4999999999999999E-2</v>
      </c>
      <c r="O245" s="25" cm="1">
        <f t="array" ref="O245">Common_InputFunctions.Utility_DisplayArrayInTable(Common_SourceData.Common_SourceData_MCFTemperatureZone_Data(),Table_SourceData_Common_MCFTemperatureZone[[#Headers],[Temperature zone]],0)</f>
        <v>1.4999999999999999E-2</v>
      </c>
      <c r="P245" s="25" cm="1">
        <f t="array" ref="P245">Common_InputFunctions.Utility_DisplayArrayInTable(Common_SourceData.Common_SourceData_MCFTemperatureZone_Data(),Table_SourceData_Common_MCFTemperatureZone[[#Headers],[Temperature zone]],0)</f>
        <v>0</v>
      </c>
      <c r="Q245" s="25" cm="1">
        <f t="array" ref="Q245">Common_InputFunctions.Utility_DisplayArrayInTable(Common_SourceData.Common_SourceData_MCFTemperatureZone_Data(),Table_SourceData_Common_MCFTemperatureZone[[#Headers],[Temperature zone]],0)</f>
        <v>0</v>
      </c>
      <c r="R245" s="25" cm="1">
        <f t="array" ref="R245">Common_InputFunctions.Utility_DisplayArrayInTable(Common_SourceData.Common_SourceData_MCFTemperatureZone_Data(),Table_SourceData_Common_MCFTemperatureZone[[#Headers],[Temperature zone]],0)</f>
        <v>4.7000000000000002E-3</v>
      </c>
      <c r="S245" s="2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5" cm="1">
        <f t="array" ref="E246">Common_InputFunctions.Utility_DisplayArrayInTable(Common_SourceData.Common_SourceData_MCFTemperatureZone_Data(),Table_SourceData_Common_MCFTemperatureZone[[#Headers],[Temperature zone]],0)</f>
        <v>24</v>
      </c>
      <c r="F246" s="25" cm="1">
        <f t="array" ref="F246">Common_InputFunctions.Utility_DisplayArrayInTable(Common_SourceData.Common_SourceData_MCFTemperatureZone_Data(),Table_SourceData_Common_MCFTemperatureZone[[#Headers],[Temperature zone]],0)</f>
        <v>0.79</v>
      </c>
      <c r="G246" s="25" cm="1">
        <f t="array" ref="G246">Common_InputFunctions.Utility_DisplayArrayInTable(Common_SourceData.Common_SourceData_MCFTemperatureZone_Data(),Table_SourceData_Common_MCFTemperatureZone[[#Headers],[Temperature zone]],0)</f>
        <v>0.1</v>
      </c>
      <c r="H246" s="25" cm="1">
        <f t="array" ref="H246">Common_InputFunctions.Utility_DisplayArrayInTable(Common_SourceData.Common_SourceData_MCFTemperatureZone_Data(),Table_SourceData_Common_MCFTemperatureZone[[#Headers],[Temperature zone]],0)</f>
        <v>0.37</v>
      </c>
      <c r="I246" s="25" cm="1">
        <f t="array" ref="I246">Common_InputFunctions.Utility_DisplayArrayInTable(Common_SourceData.Common_SourceData_MCFTemperatureZone_Data(),Table_SourceData_Common_MCFTemperatureZone[[#Headers],[Temperature zone]],0)</f>
        <v>5.0000000000000001E-3</v>
      </c>
      <c r="J246" s="25" cm="1">
        <f t="array" ref="J246">Common_InputFunctions.Utility_DisplayArrayInTable(Common_SourceData.Common_SourceData_MCFTemperatureZone_Data(),Table_SourceData_Common_MCFTemperatureZone[[#Headers],[Temperature zone]],0)</f>
        <v>0.01</v>
      </c>
      <c r="K246" s="25" cm="1">
        <f t="array" ref="K246">Common_InputFunctions.Utility_DisplayArrayInTable(Common_SourceData.Common_SourceData_MCFTemperatureZone_Data(),Table_SourceData_Common_MCFTemperatureZone[[#Headers],[Temperature zone]],0)</f>
        <v>0.02</v>
      </c>
      <c r="L246" s="25" cm="1">
        <f t="array" ref="L246">Common_InputFunctions.Utility_DisplayArrayInTable(Common_SourceData.Common_SourceData_MCFTemperatureZone_Data(),Table_SourceData_Common_MCFTemperatureZone[[#Headers],[Temperature zone]],0)</f>
        <v>0.03</v>
      </c>
      <c r="M246" s="25" cm="1">
        <f t="array" ref="M246">Common_InputFunctions.Utility_DisplayArrayInTable(Common_SourceData.Common_SourceData_MCFTemperatureZone_Data(),Table_SourceData_Common_MCFTemperatureZone[[#Headers],[Temperature zone]],0)</f>
        <v>0.04</v>
      </c>
      <c r="N246" s="25" cm="1">
        <f t="array" ref="N246">Common_InputFunctions.Utility_DisplayArrayInTable(Common_SourceData.Common_SourceData_MCFTemperatureZone_Data(),Table_SourceData_Common_MCFTemperatureZone[[#Headers],[Temperature zone]],0)</f>
        <v>1.4999999999999999E-2</v>
      </c>
      <c r="O246" s="25" cm="1">
        <f t="array" ref="O246">Common_InputFunctions.Utility_DisplayArrayInTable(Common_SourceData.Common_SourceData_MCFTemperatureZone_Data(),Table_SourceData_Common_MCFTemperatureZone[[#Headers],[Temperature zone]],0)</f>
        <v>1.4999999999999999E-2</v>
      </c>
      <c r="P246" s="25" cm="1">
        <f t="array" ref="P246">Common_InputFunctions.Utility_DisplayArrayInTable(Common_SourceData.Common_SourceData_MCFTemperatureZone_Data(),Table_SourceData_Common_MCFTemperatureZone[[#Headers],[Temperature zone]],0)</f>
        <v>0</v>
      </c>
      <c r="Q246" s="25" cm="1">
        <f t="array" ref="Q246">Common_InputFunctions.Utility_DisplayArrayInTable(Common_SourceData.Common_SourceData_MCFTemperatureZone_Data(),Table_SourceData_Common_MCFTemperatureZone[[#Headers],[Temperature zone]],0)</f>
        <v>0</v>
      </c>
      <c r="R246" s="25" cm="1">
        <f t="array" ref="R246">Common_InputFunctions.Utility_DisplayArrayInTable(Common_SourceData.Common_SourceData_MCFTemperatureZone_Data(),Table_SourceData_Common_MCFTemperatureZone[[#Headers],[Temperature zone]],0)</f>
        <v>4.7000000000000002E-3</v>
      </c>
      <c r="S246" s="2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5" cm="1">
        <f t="array" ref="E247">Common_InputFunctions.Utility_DisplayArrayInTable(Common_SourceData.Common_SourceData_MCFTemperatureZone_Data(),Table_SourceData_Common_MCFTemperatureZone[[#Headers],[Temperature zone]],0)</f>
        <v>25</v>
      </c>
      <c r="F247" s="25" cm="1">
        <f t="array" ref="F247">Common_InputFunctions.Utility_DisplayArrayInTable(Common_SourceData.Common_SourceData_MCFTemperatureZone_Data(),Table_SourceData_Common_MCFTemperatureZone[[#Headers],[Temperature zone]],0)</f>
        <v>0.79</v>
      </c>
      <c r="G247" s="25" cm="1">
        <f t="array" ref="G247">Common_InputFunctions.Utility_DisplayArrayInTable(Common_SourceData.Common_SourceData_MCFTemperatureZone_Data(),Table_SourceData_Common_MCFTemperatureZone[[#Headers],[Temperature zone]],0)</f>
        <v>0.1</v>
      </c>
      <c r="H247" s="25" cm="1">
        <f t="array" ref="H247">Common_InputFunctions.Utility_DisplayArrayInTable(Common_SourceData.Common_SourceData_MCFTemperatureZone_Data(),Table_SourceData_Common_MCFTemperatureZone[[#Headers],[Temperature zone]],0)</f>
        <v>0.41</v>
      </c>
      <c r="I247" s="25" cm="1">
        <f t="array" ref="I247">Common_InputFunctions.Utility_DisplayArrayInTable(Common_SourceData.Common_SourceData_MCFTemperatureZone_Data(),Table_SourceData_Common_MCFTemperatureZone[[#Headers],[Temperature zone]],0)</f>
        <v>5.0000000000000001E-3</v>
      </c>
      <c r="J247" s="25" cm="1">
        <f t="array" ref="J247">Common_InputFunctions.Utility_DisplayArrayInTable(Common_SourceData.Common_SourceData_MCFTemperatureZone_Data(),Table_SourceData_Common_MCFTemperatureZone[[#Headers],[Temperature zone]],0)</f>
        <v>0.01</v>
      </c>
      <c r="K247" s="25" cm="1">
        <f t="array" ref="K247">Common_InputFunctions.Utility_DisplayArrayInTable(Common_SourceData.Common_SourceData_MCFTemperatureZone_Data(),Table_SourceData_Common_MCFTemperatureZone[[#Headers],[Temperature zone]],0)</f>
        <v>0.02</v>
      </c>
      <c r="L247" s="25" cm="1">
        <f t="array" ref="L247">Common_InputFunctions.Utility_DisplayArrayInTable(Common_SourceData.Common_SourceData_MCFTemperatureZone_Data(),Table_SourceData_Common_MCFTemperatureZone[[#Headers],[Temperature zone]],0)</f>
        <v>0.03</v>
      </c>
      <c r="M247" s="25" cm="1">
        <f t="array" ref="M247">Common_InputFunctions.Utility_DisplayArrayInTable(Common_SourceData.Common_SourceData_MCFTemperatureZone_Data(),Table_SourceData_Common_MCFTemperatureZone[[#Headers],[Temperature zone]],0)</f>
        <v>0.04</v>
      </c>
      <c r="N247" s="25" cm="1">
        <f t="array" ref="N247">Common_InputFunctions.Utility_DisplayArrayInTable(Common_SourceData.Common_SourceData_MCFTemperatureZone_Data(),Table_SourceData_Common_MCFTemperatureZone[[#Headers],[Temperature zone]],0)</f>
        <v>1.4999999999999999E-2</v>
      </c>
      <c r="O247" s="25" cm="1">
        <f t="array" ref="O247">Common_InputFunctions.Utility_DisplayArrayInTable(Common_SourceData.Common_SourceData_MCFTemperatureZone_Data(),Table_SourceData_Common_MCFTemperatureZone[[#Headers],[Temperature zone]],0)</f>
        <v>1.4999999999999999E-2</v>
      </c>
      <c r="P247" s="25" cm="1">
        <f t="array" ref="P247">Common_InputFunctions.Utility_DisplayArrayInTable(Common_SourceData.Common_SourceData_MCFTemperatureZone_Data(),Table_SourceData_Common_MCFTemperatureZone[[#Headers],[Temperature zone]],0)</f>
        <v>0</v>
      </c>
      <c r="Q247" s="25" cm="1">
        <f t="array" ref="Q247">Common_InputFunctions.Utility_DisplayArrayInTable(Common_SourceData.Common_SourceData_MCFTemperatureZone_Data(),Table_SourceData_Common_MCFTemperatureZone[[#Headers],[Temperature zone]],0)</f>
        <v>0</v>
      </c>
      <c r="R247" s="25" cm="1">
        <f t="array" ref="R247">Common_InputFunctions.Utility_DisplayArrayInTable(Common_SourceData.Common_SourceData_MCFTemperatureZone_Data(),Table_SourceData_Common_MCFTemperatureZone[[#Headers],[Temperature zone]],0)</f>
        <v>4.7000000000000002E-3</v>
      </c>
      <c r="S247" s="2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5" cm="1">
        <f t="array" ref="E248">Common_InputFunctions.Utility_DisplayArrayInTable(Common_SourceData.Common_SourceData_MCFTemperatureZone_Data(),Table_SourceData_Common_MCFTemperatureZone[[#Headers],[Temperature zone]],0)</f>
        <v>26</v>
      </c>
      <c r="F248" s="25" cm="1">
        <f t="array" ref="F248">Common_InputFunctions.Utility_DisplayArrayInTable(Common_SourceData.Common_SourceData_MCFTemperatureZone_Data(),Table_SourceData_Common_MCFTemperatureZone[[#Headers],[Temperature zone]],0)</f>
        <v>0.79</v>
      </c>
      <c r="G248" s="25" cm="1">
        <f t="array" ref="G248">Common_InputFunctions.Utility_DisplayArrayInTable(Common_SourceData.Common_SourceData_MCFTemperatureZone_Data(),Table_SourceData_Common_MCFTemperatureZone[[#Headers],[Temperature zone]],0)</f>
        <v>0.1</v>
      </c>
      <c r="H248" s="25" cm="1">
        <f t="array" ref="H248">Common_InputFunctions.Utility_DisplayArrayInTable(Common_SourceData.Common_SourceData_MCFTemperatureZone_Data(),Table_SourceData_Common_MCFTemperatureZone[[#Headers],[Temperature zone]],0)</f>
        <v>0.44</v>
      </c>
      <c r="I248" s="25" cm="1">
        <f t="array" ref="I248">Common_InputFunctions.Utility_DisplayArrayInTable(Common_SourceData.Common_SourceData_MCFTemperatureZone_Data(),Table_SourceData_Common_MCFTemperatureZone[[#Headers],[Temperature zone]],0)</f>
        <v>0.01</v>
      </c>
      <c r="J248" s="25" cm="1">
        <f t="array" ref="J248">Common_InputFunctions.Utility_DisplayArrayInTable(Common_SourceData.Common_SourceData_MCFTemperatureZone_Data(),Table_SourceData_Common_MCFTemperatureZone[[#Headers],[Temperature zone]],0)</f>
        <v>1.4999999999999999E-2</v>
      </c>
      <c r="K248" s="25" cm="1">
        <f t="array" ref="K248">Common_InputFunctions.Utility_DisplayArrayInTable(Common_SourceData.Common_SourceData_MCFTemperatureZone_Data(),Table_SourceData_Common_MCFTemperatureZone[[#Headers],[Temperature zone]],0)</f>
        <v>0.02</v>
      </c>
      <c r="L248" s="25" cm="1">
        <f t="array" ref="L248">Common_InputFunctions.Utility_DisplayArrayInTable(Common_SourceData.Common_SourceData_MCFTemperatureZone_Data(),Table_SourceData_Common_MCFTemperatureZone[[#Headers],[Temperature zone]],0)</f>
        <v>0.03</v>
      </c>
      <c r="M248" s="25" cm="1">
        <f t="array" ref="M248">Common_InputFunctions.Utility_DisplayArrayInTable(Common_SourceData.Common_SourceData_MCFTemperatureZone_Data(),Table_SourceData_Common_MCFTemperatureZone[[#Headers],[Temperature zone]],0)</f>
        <v>0.04</v>
      </c>
      <c r="N248" s="25" cm="1">
        <f t="array" ref="N248">Common_InputFunctions.Utility_DisplayArrayInTable(Common_SourceData.Common_SourceData_MCFTemperatureZone_Data(),Table_SourceData_Common_MCFTemperatureZone[[#Headers],[Temperature zone]],0)</f>
        <v>1.4999999999999999E-2</v>
      </c>
      <c r="O248" s="25" cm="1">
        <f t="array" ref="O248">Common_InputFunctions.Utility_DisplayArrayInTable(Common_SourceData.Common_SourceData_MCFTemperatureZone_Data(),Table_SourceData_Common_MCFTemperatureZone[[#Headers],[Temperature zone]],0)</f>
        <v>1.4999999999999999E-2</v>
      </c>
      <c r="P248" s="25" cm="1">
        <f t="array" ref="P248">Common_InputFunctions.Utility_DisplayArrayInTable(Common_SourceData.Common_SourceData_MCFTemperatureZone_Data(),Table_SourceData_Common_MCFTemperatureZone[[#Headers],[Temperature zone]],0)</f>
        <v>0</v>
      </c>
      <c r="Q248" s="25" cm="1">
        <f t="array" ref="Q248">Common_InputFunctions.Utility_DisplayArrayInTable(Common_SourceData.Common_SourceData_MCFTemperatureZone_Data(),Table_SourceData_Common_MCFTemperatureZone[[#Headers],[Temperature zone]],0)</f>
        <v>0</v>
      </c>
      <c r="R248" s="25" cm="1">
        <f t="array" ref="R248">Common_InputFunctions.Utility_DisplayArrayInTable(Common_SourceData.Common_SourceData_MCFTemperatureZone_Data(),Table_SourceData_Common_MCFTemperatureZone[[#Headers],[Temperature zone]],0)</f>
        <v>4.7000000000000002E-3</v>
      </c>
      <c r="S248" s="2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5" cm="1">
        <f t="array" ref="E249">Common_InputFunctions.Utility_DisplayArrayInTable(Common_SourceData.Common_SourceData_MCFTemperatureZone_Data(),Table_SourceData_Common_MCFTemperatureZone[[#Headers],[Temperature zone]],0)</f>
        <v>27</v>
      </c>
      <c r="F249" s="25" cm="1">
        <f t="array" ref="F249">Common_InputFunctions.Utility_DisplayArrayInTable(Common_SourceData.Common_SourceData_MCFTemperatureZone_Data(),Table_SourceData_Common_MCFTemperatureZone[[#Headers],[Temperature zone]],0)</f>
        <v>0.8</v>
      </c>
      <c r="G249" s="25" cm="1">
        <f t="array" ref="G249">Common_InputFunctions.Utility_DisplayArrayInTable(Common_SourceData.Common_SourceData_MCFTemperatureZone_Data(),Table_SourceData_Common_MCFTemperatureZone[[#Headers],[Temperature zone]],0)</f>
        <v>0.1</v>
      </c>
      <c r="H249" s="25" cm="1">
        <f t="array" ref="H249">Common_InputFunctions.Utility_DisplayArrayInTable(Common_SourceData.Common_SourceData_MCFTemperatureZone_Data(),Table_SourceData_Common_MCFTemperatureZone[[#Headers],[Temperature zone]],0)</f>
        <v>0.48</v>
      </c>
      <c r="I249" s="25" cm="1">
        <f t="array" ref="I249">Common_InputFunctions.Utility_DisplayArrayInTable(Common_SourceData.Common_SourceData_MCFTemperatureZone_Data(),Table_SourceData_Common_MCFTemperatureZone[[#Headers],[Temperature zone]],0)</f>
        <v>0.01</v>
      </c>
      <c r="J249" s="25" cm="1">
        <f t="array" ref="J249">Common_InputFunctions.Utility_DisplayArrayInTable(Common_SourceData.Common_SourceData_MCFTemperatureZone_Data(),Table_SourceData_Common_MCFTemperatureZone[[#Headers],[Temperature zone]],0)</f>
        <v>1.4999999999999999E-2</v>
      </c>
      <c r="K249" s="25" cm="1">
        <f t="array" ref="K249">Common_InputFunctions.Utility_DisplayArrayInTable(Common_SourceData.Common_SourceData_MCFTemperatureZone_Data(),Table_SourceData_Common_MCFTemperatureZone[[#Headers],[Temperature zone]],0)</f>
        <v>0.02</v>
      </c>
      <c r="L249" s="25" cm="1">
        <f t="array" ref="L249">Common_InputFunctions.Utility_DisplayArrayInTable(Common_SourceData.Common_SourceData_MCFTemperatureZone_Data(),Table_SourceData_Common_MCFTemperatureZone[[#Headers],[Temperature zone]],0)</f>
        <v>0.03</v>
      </c>
      <c r="M249" s="25" cm="1">
        <f t="array" ref="M249">Common_InputFunctions.Utility_DisplayArrayInTable(Common_SourceData.Common_SourceData_MCFTemperatureZone_Data(),Table_SourceData_Common_MCFTemperatureZone[[#Headers],[Temperature zone]],0)</f>
        <v>0.04</v>
      </c>
      <c r="N249" s="25" cm="1">
        <f t="array" ref="N249">Common_InputFunctions.Utility_DisplayArrayInTable(Common_SourceData.Common_SourceData_MCFTemperatureZone_Data(),Table_SourceData_Common_MCFTemperatureZone[[#Headers],[Temperature zone]],0)</f>
        <v>1.4999999999999999E-2</v>
      </c>
      <c r="O249" s="25" cm="1">
        <f t="array" ref="O249">Common_InputFunctions.Utility_DisplayArrayInTable(Common_SourceData.Common_SourceData_MCFTemperatureZone_Data(),Table_SourceData_Common_MCFTemperatureZone[[#Headers],[Temperature zone]],0)</f>
        <v>1.4999999999999999E-2</v>
      </c>
      <c r="P249" s="25" cm="1">
        <f t="array" ref="P249">Common_InputFunctions.Utility_DisplayArrayInTable(Common_SourceData.Common_SourceData_MCFTemperatureZone_Data(),Table_SourceData_Common_MCFTemperatureZone[[#Headers],[Temperature zone]],0)</f>
        <v>0</v>
      </c>
      <c r="Q249" s="25" cm="1">
        <f t="array" ref="Q249">Common_InputFunctions.Utility_DisplayArrayInTable(Common_SourceData.Common_SourceData_MCFTemperatureZone_Data(),Table_SourceData_Common_MCFTemperatureZone[[#Headers],[Temperature zone]],0)</f>
        <v>0</v>
      </c>
      <c r="R249" s="25" cm="1">
        <f t="array" ref="R249">Common_InputFunctions.Utility_DisplayArrayInTable(Common_SourceData.Common_SourceData_MCFTemperatureZone_Data(),Table_SourceData_Common_MCFTemperatureZone[[#Headers],[Temperature zone]],0)</f>
        <v>4.7000000000000002E-3</v>
      </c>
      <c r="S249" s="2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5" t="str" cm="1">
        <f t="array" ref="E250">Common_InputFunctions.Utility_DisplayArrayInTable(Common_SourceData.Common_SourceData_MCFTemperatureZone_Data(),Table_SourceData_Common_MCFTemperatureZone[[#Headers],[Temperature zone]],0)</f>
        <v>≥28</v>
      </c>
      <c r="F250" s="25" cm="1">
        <f t="array" ref="F250">Common_InputFunctions.Utility_DisplayArrayInTable(Common_SourceData.Common_SourceData_MCFTemperatureZone_Data(),Table_SourceData_Common_MCFTemperatureZone[[#Headers],[Temperature zone]],0)</f>
        <v>0.8</v>
      </c>
      <c r="G250" s="25" cm="1">
        <f t="array" ref="G250">Common_InputFunctions.Utility_DisplayArrayInTable(Common_SourceData.Common_SourceData_MCFTemperatureZone_Data(),Table_SourceData_Common_MCFTemperatureZone[[#Headers],[Temperature zone]],0)</f>
        <v>0.1</v>
      </c>
      <c r="H250" s="25" cm="1">
        <f t="array" ref="H250">Common_InputFunctions.Utility_DisplayArrayInTable(Common_SourceData.Common_SourceData_MCFTemperatureZone_Data(),Table_SourceData_Common_MCFTemperatureZone[[#Headers],[Temperature zone]],0)</f>
        <v>0.5</v>
      </c>
      <c r="I250" s="25" cm="1">
        <f t="array" ref="I250">Common_InputFunctions.Utility_DisplayArrayInTable(Common_SourceData.Common_SourceData_MCFTemperatureZone_Data(),Table_SourceData_Common_MCFTemperatureZone[[#Headers],[Temperature zone]],0)</f>
        <v>0.01</v>
      </c>
      <c r="J250" s="25" cm="1">
        <f t="array" ref="J250">Common_InputFunctions.Utility_DisplayArrayInTable(Common_SourceData.Common_SourceData_MCFTemperatureZone_Data(),Table_SourceData_Common_MCFTemperatureZone[[#Headers],[Temperature zone]],0)</f>
        <v>1.4999999999999999E-2</v>
      </c>
      <c r="K250" s="25" cm="1">
        <f t="array" ref="K250">Common_InputFunctions.Utility_DisplayArrayInTable(Common_SourceData.Common_SourceData_MCFTemperatureZone_Data(),Table_SourceData_Common_MCFTemperatureZone[[#Headers],[Temperature zone]],0)</f>
        <v>0.02</v>
      </c>
      <c r="L250" s="25" cm="1">
        <f t="array" ref="L250">Common_InputFunctions.Utility_DisplayArrayInTable(Common_SourceData.Common_SourceData_MCFTemperatureZone_Data(),Table_SourceData_Common_MCFTemperatureZone[[#Headers],[Temperature zone]],0)</f>
        <v>0.03</v>
      </c>
      <c r="M250" s="25" cm="1">
        <f t="array" ref="M250">Common_InputFunctions.Utility_DisplayArrayInTable(Common_SourceData.Common_SourceData_MCFTemperatureZone_Data(),Table_SourceData_Common_MCFTemperatureZone[[#Headers],[Temperature zone]],0)</f>
        <v>0.04</v>
      </c>
      <c r="N250" s="25" cm="1">
        <f t="array" ref="N250">Common_InputFunctions.Utility_DisplayArrayInTable(Common_SourceData.Common_SourceData_MCFTemperatureZone_Data(),Table_SourceData_Common_MCFTemperatureZone[[#Headers],[Temperature zone]],0)</f>
        <v>1.4999999999999999E-2</v>
      </c>
      <c r="O250" s="25" cm="1">
        <f t="array" ref="O250">Common_InputFunctions.Utility_DisplayArrayInTable(Common_SourceData.Common_SourceData_MCFTemperatureZone_Data(),Table_SourceData_Common_MCFTemperatureZone[[#Headers],[Temperature zone]],0)</f>
        <v>1.4999999999999999E-2</v>
      </c>
      <c r="P250" s="25" cm="1">
        <f t="array" ref="P250">Common_InputFunctions.Utility_DisplayArrayInTable(Common_SourceData.Common_SourceData_MCFTemperatureZone_Data(),Table_SourceData_Common_MCFTemperatureZone[[#Headers],[Temperature zone]],0)</f>
        <v>0</v>
      </c>
      <c r="Q250" s="25" cm="1">
        <f t="array" ref="Q250">Common_InputFunctions.Utility_DisplayArrayInTable(Common_SourceData.Common_SourceData_MCFTemperatureZone_Data(),Table_SourceData_Common_MCFTemperatureZone[[#Headers],[Temperature zone]],0)</f>
        <v>0</v>
      </c>
      <c r="R250" s="25" cm="1">
        <f t="array" ref="R250">Common_InputFunctions.Utility_DisplayArrayInTable(Common_SourceData.Common_SourceData_MCFTemperatureZone_Data(),Table_SourceData_Common_MCFTemperatureZone[[#Headers],[Temperature zone]],0)</f>
        <v>4.7000000000000002E-3</v>
      </c>
      <c r="S250" s="25"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7" t="str" cm="1">
        <f t="array" ref="D256">Common_SourceData.Common_SourceData_EFOrganicFertiliserAndCropResidues_Unit()</f>
        <v>kg N2O - N / kg N</v>
      </c>
    </row>
    <row r="257" spans="4:6" x14ac:dyDescent="0.25">
      <c r="D257" s="25" t="s">
        <v>77</v>
      </c>
      <c r="E257" s="25" t="s">
        <v>78</v>
      </c>
    </row>
    <row r="258" spans="4:6" x14ac:dyDescent="0.25">
      <c r="D258" s="25" t="str" cm="1">
        <f t="array" ref="D258">Common_InputFunctions.Utility_DisplayArrayInTable(Common_SourceData.Common_SourceData_EFOrganicFertiliserAndCropResidues_Data(), Table_SourceData_Common_EFOrganicFertCropResidues[[#Headers],[Climate Zone]], 0)</f>
        <v>Wet climate zone</v>
      </c>
      <c r="E258" s="2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98</v>
      </c>
    </row>
    <row r="264" spans="4:6" x14ac:dyDescent="0.25">
      <c r="D264" s="1" t="s">
        <v>99</v>
      </c>
    </row>
    <row r="265" spans="4:6" x14ac:dyDescent="0.25">
      <c r="D265" s="25" t="s">
        <v>100</v>
      </c>
      <c r="E265" s="25" t="s">
        <v>101</v>
      </c>
      <c r="F265" s="25" t="s">
        <v>102</v>
      </c>
    </row>
    <row r="266" spans="4:6" x14ac:dyDescent="0.25">
      <c r="D266" s="25" t="s">
        <v>103</v>
      </c>
      <c r="E266" s="25" t="s">
        <v>104</v>
      </c>
      <c r="F266" s="25">
        <v>5</v>
      </c>
    </row>
    <row r="267" spans="4:6" x14ac:dyDescent="0.25">
      <c r="D267" s="25" t="s">
        <v>105</v>
      </c>
      <c r="E267" s="25" t="s">
        <v>106</v>
      </c>
      <c r="F267" s="25">
        <v>4</v>
      </c>
    </row>
    <row r="268" spans="4:6" x14ac:dyDescent="0.25">
      <c r="D268" s="25" t="s">
        <v>107</v>
      </c>
      <c r="E268" s="25" t="s">
        <v>108</v>
      </c>
      <c r="F268" s="25">
        <v>3</v>
      </c>
    </row>
    <row r="269" spans="4:6" x14ac:dyDescent="0.25">
      <c r="D269" s="25" t="s">
        <v>109</v>
      </c>
      <c r="E269" s="25" t="s">
        <v>110</v>
      </c>
      <c r="F269" s="25">
        <v>2</v>
      </c>
    </row>
    <row r="270" spans="4:6" x14ac:dyDescent="0.25">
      <c r="D270" s="25" t="s">
        <v>111</v>
      </c>
      <c r="E270" s="25" t="s">
        <v>112</v>
      </c>
      <c r="F270" s="25">
        <v>1</v>
      </c>
    </row>
    <row r="273" spans="4:6" x14ac:dyDescent="0.25">
      <c r="D273" s="1" t="s">
        <v>113</v>
      </c>
    </row>
    <row r="274" spans="4:6" x14ac:dyDescent="0.25">
      <c r="D274" s="25" t="s">
        <v>100</v>
      </c>
      <c r="E274" s="25" t="s">
        <v>101</v>
      </c>
      <c r="F274" s="25" t="s">
        <v>102</v>
      </c>
    </row>
    <row r="275" spans="4:6" x14ac:dyDescent="0.25">
      <c r="D275" s="25" t="s">
        <v>114</v>
      </c>
      <c r="E275" s="25" t="s">
        <v>115</v>
      </c>
      <c r="F275" s="25">
        <v>5</v>
      </c>
    </row>
    <row r="276" spans="4:6" x14ac:dyDescent="0.25">
      <c r="D276" s="25" t="s">
        <v>116</v>
      </c>
      <c r="E276" s="25" t="s">
        <v>117</v>
      </c>
      <c r="F276" s="25">
        <v>4</v>
      </c>
    </row>
    <row r="277" spans="4:6" x14ac:dyDescent="0.25">
      <c r="D277" s="25" t="s">
        <v>118</v>
      </c>
      <c r="E277" s="25" t="s">
        <v>119</v>
      </c>
      <c r="F277" s="25">
        <v>3</v>
      </c>
    </row>
    <row r="278" spans="4:6" x14ac:dyDescent="0.25">
      <c r="D278" s="25" t="s">
        <v>120</v>
      </c>
      <c r="E278" s="25" t="s">
        <v>121</v>
      </c>
      <c r="F278" s="25">
        <v>2</v>
      </c>
    </row>
    <row r="279" spans="4:6" x14ac:dyDescent="0.25">
      <c r="D279" s="25" t="s">
        <v>122</v>
      </c>
      <c r="E279" s="25" t="s">
        <v>123</v>
      </c>
      <c r="F279" s="25">
        <v>1</v>
      </c>
    </row>
    <row r="282" spans="4:6" x14ac:dyDescent="0.25">
      <c r="D282" s="1" t="s">
        <v>124</v>
      </c>
    </row>
    <row r="283" spans="4:6" x14ac:dyDescent="0.25">
      <c r="D283" s="25" t="s">
        <v>100</v>
      </c>
      <c r="E283" s="25" t="s">
        <v>101</v>
      </c>
      <c r="F283" s="25" t="s">
        <v>102</v>
      </c>
    </row>
    <row r="284" spans="4:6" x14ac:dyDescent="0.25">
      <c r="D284" s="25" t="s">
        <v>125</v>
      </c>
      <c r="E284" s="25" t="s">
        <v>126</v>
      </c>
      <c r="F284" s="25">
        <v>5</v>
      </c>
    </row>
    <row r="285" spans="4:6" x14ac:dyDescent="0.25">
      <c r="D285" s="25" t="s">
        <v>127</v>
      </c>
      <c r="E285" s="25" t="s">
        <v>128</v>
      </c>
      <c r="F285" s="25">
        <v>4</v>
      </c>
    </row>
    <row r="286" spans="4:6" x14ac:dyDescent="0.25">
      <c r="D286" s="25" t="s">
        <v>129</v>
      </c>
      <c r="E286" s="25" t="s">
        <v>130</v>
      </c>
      <c r="F286" s="25">
        <v>3</v>
      </c>
    </row>
    <row r="287" spans="4:6" x14ac:dyDescent="0.25">
      <c r="D287" s="25" t="s">
        <v>131</v>
      </c>
      <c r="E287" s="25" t="s">
        <v>132</v>
      </c>
      <c r="F287" s="25">
        <v>2</v>
      </c>
    </row>
    <row r="288" spans="4:6" x14ac:dyDescent="0.25">
      <c r="D288" s="25" t="s">
        <v>133</v>
      </c>
      <c r="E288" s="25" t="s">
        <v>134</v>
      </c>
      <c r="F288" s="25">
        <v>1</v>
      </c>
    </row>
    <row r="291" spans="4:6" x14ac:dyDescent="0.25">
      <c r="D291" s="1" t="s">
        <v>135</v>
      </c>
    </row>
    <row r="292" spans="4:6" x14ac:dyDescent="0.25">
      <c r="D292" s="25" t="s">
        <v>100</v>
      </c>
      <c r="E292" s="25" t="s">
        <v>101</v>
      </c>
      <c r="F292" s="25" t="s">
        <v>102</v>
      </c>
    </row>
    <row r="293" spans="4:6" x14ac:dyDescent="0.25">
      <c r="D293" s="25" t="s">
        <v>136</v>
      </c>
      <c r="E293" s="25" t="s">
        <v>137</v>
      </c>
      <c r="F293" s="25">
        <v>5</v>
      </c>
    </row>
    <row r="294" spans="4:6" x14ac:dyDescent="0.25">
      <c r="D294" s="25" t="s">
        <v>138</v>
      </c>
      <c r="E294" s="25" t="s">
        <v>139</v>
      </c>
      <c r="F294" s="25">
        <v>4</v>
      </c>
    </row>
    <row r="295" spans="4:6" x14ac:dyDescent="0.25">
      <c r="D295" s="25" t="s">
        <v>140</v>
      </c>
      <c r="E295" s="25" t="s">
        <v>141</v>
      </c>
      <c r="F295" s="25">
        <v>3</v>
      </c>
    </row>
    <row r="296" spans="4:6" x14ac:dyDescent="0.25">
      <c r="D296" s="25" t="s">
        <v>142</v>
      </c>
      <c r="E296" s="25" t="s">
        <v>143</v>
      </c>
      <c r="F296" s="25">
        <v>2</v>
      </c>
    </row>
    <row r="297" spans="4:6" x14ac:dyDescent="0.25">
      <c r="D297" s="25" t="s">
        <v>144</v>
      </c>
      <c r="E297" s="25" t="s">
        <v>145</v>
      </c>
      <c r="F297" s="2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