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4C137AC-7454-4E17-BE1C-4BC892D88E58}" xr6:coauthVersionLast="47" xr6:coauthVersionMax="47" xr10:uidLastSave="{00000000-0000-0000-0000-000000000000}"/>
  <bookViews>
    <workbookView xWindow="4290" yWindow="4290" windowWidth="28800" windowHeight="15345" activeTab="5" xr2:uid="{992023F3-CAB7-4E5B-A348-08D563A0EF40}"/>
  </bookViews>
  <sheets>
    <sheet name="Home" sheetId="71" r:id="rId1"/>
    <sheet name="Overview" sheetId="118" r:id="rId2"/>
    <sheet name="Results" sheetId="13" r:id="rId3"/>
    <sheet name="Input - CO2 Use" sheetId="70" r:id="rId4"/>
    <sheet name="12.1.1-2 Supplementary CO2" sheetId="69" r:id="rId5"/>
    <sheet name="Constants - Common" sheetId="123" r:id="rId6"/>
  </sheets>
  <externalReferences>
    <externalReference r:id="rId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SupplementaryCO2_Equations.VEERG_12_1_1_1__1_EmissionsFromSupplementaryCO2">_xlfn.LAMBDA(_xlpm.Q, _xlpm.Q * 10 ^ -3)</definedName>
    <definedName name="SupplementaryCO2_Equations.VEERG_12_1_1_1__1_EmissionsFromSupplementaryCO2_Arguments">_xlfn.LAMBDA(_xlfn.MAKEARRAY(1, 4, _xlfn.LAMBDA(_xlpm.r,_xlpm.c, INDEX({"Q","quantity of supplementary CO2 used within the operations","kg CO2","Input"}, _xlpm.r, _xlpm.c))))</definedName>
    <definedName name="SupplementaryCO2_Equations.VEERG_12_1_1_1__1_EmissionsFromSupplementaryCO2_LatexEquation">_xlfn.LAMBDA("E=Q\times 10^{-3}")</definedName>
    <definedName name="SupplementaryCO2_Equations.VEERG_12_1_1_1__1_EmissionsFromSupplementaryCO2_NIRReference">_xlfn.LAMBDA("")</definedName>
    <definedName name="SupplementaryCO2_Equations.VEERG_12_1_1_1__1_EmissionsFromSupplementaryCO2_Source">_xlfn.LAMBDA("VEERG 2026: 12.1.1.1, Equation (1)")</definedName>
    <definedName name="SupplementaryCO2_Equations.VEERG_12_1_1_1__1_EmissionsFromSupplementaryCO2_Title">_xlfn.LAMBDA("Emissions from the use of supplementary CO2")</definedName>
    <definedName name="SupplementaryCO2_Equations.VEERG_12_1_1_1__1_EmissionsFromSupplementaryCO2_Unit">_xlfn.LAMBDA("t CO2e")</definedName>
    <definedName name="SupplementaryCO2_Equations.VEERG_12_1_1_1__1_EmissionsFromSupplementaryCO2_Variable">_xlfn.LAMBDA("E")</definedName>
    <definedName name="VEERG_12_1_1_1__1_EmissionsFromSupplementaryCO2_Result_Method1">'12.1.1-2 Supplementary CO2'!$E$15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3" l="1" a="1"/>
  <c r="E259" i="123" s="1"/>
  <c r="D259" i="123" a="1"/>
  <c r="D259" i="123" s="1"/>
  <c r="E258" i="123" a="1"/>
  <c r="E258" i="123" s="1"/>
  <c r="D258" i="123" a="1"/>
  <c r="D258" i="123" s="1"/>
  <c r="D256" i="123" a="1"/>
  <c r="D256" i="123" s="1"/>
  <c r="D255" i="123" a="1"/>
  <c r="D255" i="123" s="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a="1"/>
  <c r="D205" i="123" s="1"/>
  <c r="D204" i="123"/>
  <c r="D204" i="123" a="1"/>
  <c r="D203" i="123" a="1"/>
  <c r="D203" i="123" s="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a="1"/>
  <c r="D175" i="123" s="1"/>
  <c r="D174" i="123" a="1"/>
  <c r="D174" i="123" s="1"/>
  <c r="D173" i="123" a="1"/>
  <c r="D173" i="123" s="1"/>
  <c r="D170" i="123" a="1"/>
  <c r="D170" i="123" s="1"/>
  <c r="D169" i="123" a="1"/>
  <c r="D169" i="123" s="1"/>
  <c r="D168" i="123" a="1"/>
  <c r="D168" i="123" s="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a="1"/>
  <c r="D140" i="123" s="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a="1"/>
  <c r="D116" i="123" s="1"/>
  <c r="D115" i="123" a="1"/>
  <c r="D115" i="123" s="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a="1"/>
  <c r="D107" i="123" s="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H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a="1"/>
  <c r="D34" i="123" s="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F7" i="123" a="1"/>
  <c r="F7" i="123" s="1"/>
  <c r="E7" i="123" a="1"/>
  <c r="E7" i="123" s="1"/>
  <c r="D7" i="123" a="1"/>
  <c r="D7" i="123" s="1"/>
  <c r="D5" i="123" a="1"/>
  <c r="D5" i="123" s="1"/>
  <c r="E9" i="13"/>
  <c r="E10" i="13"/>
  <c r="A14" i="69"/>
  <c r="A11" i="69"/>
  <c r="A8" i="69"/>
  <c r="A5" i="69"/>
  <c r="A4" i="69"/>
  <c r="A3" i="69"/>
  <c r="A14" i="70"/>
  <c r="A11" i="70"/>
  <c r="A8" i="70"/>
  <c r="A5" i="70"/>
  <c r="A4" i="70"/>
  <c r="A3" i="70"/>
  <c r="A14" i="13"/>
  <c r="A11" i="13"/>
  <c r="A8" i="13"/>
  <c r="A5" i="13"/>
  <c r="A4" i="13"/>
  <c r="A3" i="13"/>
  <c r="A8" i="118"/>
  <c r="A11" i="118"/>
  <c r="E15" i="69" a="1"/>
  <c r="E15" i="69" s="1"/>
  <c r="I13" i="69"/>
  <c r="G13" i="69" a="1"/>
  <c r="G13" i="69" s="1"/>
  <c r="D13" i="69" a="1"/>
  <c r="D13" i="69" s="1"/>
  <c r="E11" i="69" a="1"/>
  <c r="E11" i="69" s="1"/>
  <c r="F15" i="69" s="1"/>
  <c r="E10" i="69" a="1"/>
  <c r="E10" i="69" s="1"/>
  <c r="D6" i="69" a="1"/>
  <c r="D6" i="69" s="1"/>
  <c r="D5" i="69" a="1"/>
  <c r="D5" i="69" s="1"/>
  <c r="E7" i="69" a="1"/>
  <c r="H54" i="123" l="1"/>
  <c r="H50" i="123"/>
  <c r="H48" i="123"/>
  <c r="H49" i="123"/>
  <c r="H51" i="123"/>
  <c r="H52" i="123"/>
  <c r="E7" i="69"/>
  <c r="F9" i="13" l="1"/>
  <c r="F10" i="13" s="1"/>
  <c r="A14" i="118" l="1"/>
  <c r="A5" i="118"/>
  <c r="A4" i="118"/>
  <c r="A3" i="118"/>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<sst xmlns="http://schemas.openxmlformats.org/spreadsheetml/2006/main" count="116" uniqueCount="98">
  <si>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</si>
  <si>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</si>
  <si>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</si>
  <si>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</si>
  <si>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</si>
  <si>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</si>
  <si>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</si>
  <si>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</si>
  <si>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</si>
  <si>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</si>
  <si>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</si>
  <si>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</si>
  <si>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</si>
  <si>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</si>
  <si>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</si>
  <si>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</si>
  <si>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</si>
  <si>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</si>
  <si>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</si>
  <si>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</si>
  <si>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</si>
  <si>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</si>
  <si>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</si>
  <si>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</si>
  <si>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</si>
  <si>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</si>
  <si>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</si>
  <si>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</si>
  <si>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</si>
  <si>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</si>
  <si>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</si>
  <si>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</si>
  <si>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</si>
  <si>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</si>
  <si>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</si>
  <si>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</si>
  <si>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</si>
  <si>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</si>
  <si>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</si>
  <si>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</si>
  <si>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</si>
  <si>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</si>
  <si>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</si>
  <si>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</si>
  <si>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</si>
  <si>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</si>
  <si>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</si>
  <si>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</si>
  <si>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</si>
  <si>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</si>
  <si>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</si>
  <si>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</si>
  <si>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</si>
  <si>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</si>
  <si>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</si>
  <si>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</si>
  <si>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</si>
  <si>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</si>
  <si>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</si>
  <si>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</si>
  <si>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</si>
  <si>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</si>
  <si>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</si>
  <si>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</si>
  <si>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</si>
  <si>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</si>
  <si>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</si>
  <si>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</si>
  <si>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</si>
  <si>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</si>
  <si>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</si>
  <si>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</si>
  <si>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</si>
  <si>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</si>
  <si>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</si>
  <si>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</si>
  <si>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</si>
  <si>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</si>
  <si>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</si>
  <si>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</si>
  <si>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</si>
  <si>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</si>
  <si>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</si>
  <si>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</si>
  <si>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</si>
  <si>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</si>
  <si>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</si>
  <si>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Input - Supplementary CO2</t>
  </si>
  <si>
    <t>12.1.1-2 Supplementary CO2</t>
  </si>
  <si>
    <t>Amount used (kg)</t>
  </si>
  <si>
    <t>Usage description</t>
  </si>
  <si>
    <t>Carbonating</t>
  </si>
  <si>
    <t>Dry ice usage</t>
  </si>
  <si>
    <t>Supplementary CO2 used in operations orprocessing</t>
  </si>
  <si>
    <t>E</t>
  </si>
  <si>
    <t>t CO2</t>
  </si>
  <si>
    <t>12: Supplementary CO2 Use: Results</t>
  </si>
  <si>
    <t>12: Supplementary CO2 Use: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</si>
</sst>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i/>
      <sz val="16"/>
      <color theme="1" tint="0.34998626667073579"/>
      <name val="Times New Roman"/>
      <family val="1"/>
    </font>
    <font>
      <b/>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0">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0" fillId="0" borderId="0" xfId="7" applyFont="1" applyFill="1" applyAlignment="1">
      <alignment horizontal="center" vertical="center"/>
    </xf>
    <xf numFmtId="0" fontId="36" fillId="13" borderId="15" xfId="39" applyBorder="1">
      <alignment horizontal="left" vertical="center"/>
    </xf>
    <xf numFmtId="0" fontId="36" fillId="13" borderId="14" xfId="39" applyBorder="1">
      <alignment horizontal="left" vertical="center"/>
    </xf>
    <xf numFmtId="0" fontId="36" fillId="13" borderId="16" xfId="39" applyBorder="1">
      <alignment horizontal="left" vertical="center"/>
    </xf>
    <xf numFmtId="0" fontId="2" fillId="0" borderId="2" xfId="14">
      <alignment horizontal="center" vertical="center"/>
    </xf>
    <xf numFmtId="0" fontId="50" fillId="4" borderId="1" xfId="8" applyFont="1" applyBorder="1">
      <alignment horizontal="left" vertical="center"/>
    </xf>
    <xf numFmtId="0" fontId="48" fillId="4" borderId="1" xfId="8" applyFont="1" applyBorder="1">
      <alignment horizontal="left" vertical="center"/>
    </xf>
    <xf numFmtId="0" fontId="49" fillId="4" borderId="1" xfId="53" applyFont="1" applyBorder="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Equation table" pivot="0" count="6" xr9:uid="{B247698E-E41D-4CCD-AA0A-C14817E9DE65}">
      <tableStyleElement type="wholeTable" dxfId="55"/>
      <tableStyleElement type="headerRow" dxfId="54"/>
      <tableStyleElement type="totalRow" dxfId="53"/>
      <tableStyleElement type="firstColumn" dxfId="52"/>
      <tableStyleElement type="firstRowStripe" dxfId="51"/>
      <tableStyleElement type="secondRowStripe" dxfId="50"/>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12.1.1-2 Supplementary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12.1.1-2 Supplementary CO2'!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656D3250-5DC9-4557-91D1-8936CA4BCBE6}" type="TxLink">
            <a:rPr lang="en-US" sz="1400" b="0" i="0" u="none" strike="noStrike">
              <a:solidFill>
                <a:srgbClr val="0C769E"/>
              </a:solidFill>
              <a:latin typeface="Times New Roman"/>
              <a:cs typeface="Times New Roman"/>
            </a:rPr>
            <a:pPr algn="ctr"/>
            <a:t>12.1.1-2 Supplementary CO2</a:t>
          </a:fld>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12.1.1-2 Supplementary CO2'!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BD2FB-7C1B-45AA-B92C-732AA970345B}" type="TxLink">
            <a:rPr lang="en-US" sz="1000" b="1" i="0" u="none" strike="noStrike">
              <a:solidFill>
                <a:srgbClr val="0C769E"/>
              </a:solidFill>
              <a:latin typeface="Times New Roman"/>
              <a:cs typeface="Times New Roman"/>
            </a:rPr>
            <a:pPr algn="ctr"/>
            <a:t>Emissions from the use of supplementary CO2</a:t>
          </a:fld>
          <a:endParaRPr lang="en-AU" sz="1000" b="1">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32961</xdr:colOff>
      <xdr:row>7</xdr:row>
      <xdr:rowOff>136127</xdr:rowOff>
    </xdr:from>
    <xdr:ext cx="872162" cy="16882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𝑄</m:t>
                    </m:r>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𝐸=𝑄×10^(−3)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SupplementaryCO2" displayName="Table_Input_SupplementaryCO2" ref="D9:E11" totalsRowDxfId="49" headerRowCellStyle="Input table column header">
  <autoFilter ref="D9:E11" xr:uid="{6E44059A-C219-4316-A7A0-AD77B0121F06}">
    <filterColumn colId="0" hiddenButton="1"/>
    <filterColumn colId="1" hiddenButton="1"/>
  </autoFilter>
  <tableColumns count="2">
    <tableColumn id="2" xr3:uid="{9540E705-999C-466B-A6B4-24C60E9153AE}" name="Usage description" totalsRowFunction="average" totalsRowDxfId="48" dataCellStyle="Input text" totalsRowCellStyle="Input select"/>
    <tableColumn id="4" xr3:uid="{9DFFE0DC-C289-47FB-8F0C-2D2F480EEE4C}" name="Amount used (kg)" totalsRowDxfId="47" totalsRowCellStyle="Content bol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9D5988-D4EF-4FA9-AD2F-7CE6809EDFC1}"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2551037-9F3E-40CA-8905-613EBF20DB28}" name="State/Territory">
      <calculatedColumnFormula array="1">Common_InputFunctions.Utility_DisplayArrayInTable(Common_SourceData.Common_SourceData_AustralianStatesTerritories_Data(),Table_AustralianStates[[#Headers],[State/Territory]],0)</calculatedColumnFormula>
    </tableColumn>
    <tableColumn id="2" xr3:uid="{B7FFF453-85E6-452D-997C-0C2509DCDDE3}" name="Common Name">
      <calculatedColumnFormula array="1">Common_InputFunctions.Utility_DisplayArrayInTable(Common_SourceData.Common_SourceData_AustralianStatesTerritories_Data(),Table_AustralianStates[[#Headers],[State/Territory]],0)</calculatedColumnFormula>
    </tableColumn>
    <tableColumn id="3" xr3:uid="{99E7FA75-0DC9-4A64-8F09-67032DD4B8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BD482C2-2113-4569-A706-00AE921ED937}" name="Table_WASA4Areas" displayName="Table_WASA4Areas" ref="D20:D30" totalsRowShown="0">
  <autoFilter ref="D20:D30" xr:uid="{5FA81339-C6C8-4D36-BEEA-6C4AEDD9E676}">
    <filterColumn colId="0" hiddenButton="1"/>
  </autoFilter>
  <tableColumns count="1">
    <tableColumn id="1" xr3:uid="{91A099A5-C097-4F07-A2C8-950B961AA2B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F16CDD-F8A2-45EC-8A81-7CD614F61621}" name="Table_GWPData" displayName="Table_GWPData" ref="D36:E43" totalsRowShown="0">
  <autoFilter ref="D36:E43" xr:uid="{B8E87A66-3E41-4AD3-925D-01EE21B43D7A}">
    <filterColumn colId="0" hiddenButton="1"/>
    <filterColumn colId="1" hiddenButton="1"/>
  </autoFilter>
  <tableColumns count="2">
    <tableColumn id="1" xr3:uid="{ED2625C0-E185-4A0A-935E-8967B5B41084}" name="Gas">
      <calculatedColumnFormula array="1">Common_InputFunctions.Utility_DisplayArrayInTable(Common_SourceData.Common_SourceData_GWP_Data(), Table_GWPData[[#Headers],[Gas]], 0)</calculatedColumnFormula>
    </tableColumn>
    <tableColumn id="2" xr3:uid="{F358AFC6-BF6F-45EE-A0E5-FBE2D5E18CC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8E09135-8E20-48BF-B9F9-C4C2095F7DC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FE22ACC-4AAE-4C9B-B5EC-31F585D9F514}" name="Gas">
      <calculatedColumnFormula array="1">Common_InputFunctions.Utility_DisplayArrayInTable(Common_SourceData.Common_SourceData_ConvertGasElementalToMolecular_Data(),Table_GasToMolecularConversionFactor[[#Headers],[Gas]], 0)</calculatedColumnFormula>
    </tableColumn>
    <tableColumn id="5" xr3:uid="{0B973D01-51E4-42EA-A52A-7B370A9818FC}" name="Conversion factor">
      <calculatedColumnFormula array="1">Common_InputFunctions.Utility_DisplayArrayInTable(Common_SourceData.Common_SourceData_ConvertGasElementalToMolecular_Data(),Table_GasToMolecularConversionFactor[[#Headers],[Gas]], 0)</calculatedColumnFormula>
    </tableColumn>
    <tableColumn id="2" xr3:uid="{1F60FF1E-475F-4C25-9951-5CE5CBEF269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A7A8DC6-1820-4468-98B3-8DC8D298768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15569A-614B-4A65-B948-7F3332198BB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C3ED2B-152D-48F1-BD54-D2E7DC0CEC3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9BADEE5-11FA-482B-8555-5701BD405E3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B9180E5-E72F-41EB-8639-876A4B66BD5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FB64BEF6-3E4E-41A2-B49B-B6B5039D2DAF}"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78FC67DC-FA57-436B-9821-A52723702DA2}"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2E77B52E-83BC-4C1B-8C1D-472000219827}"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682EB6DE-3ADC-483A-8C67-11B2C9AD83CF}"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90C582E0-AD24-4ED3-9051-0AF1809B4DB6}"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899D33BD-3A3E-48DB-9B14-F8F785E5EC56}"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D8493FFC-C1C4-428A-AF00-32143804CCAE}"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BB2B90DB-7CFB-481C-9BB1-9F0983BCF825}"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FF6EC65F-302D-4D95-97C2-143526B36E50}"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BD8B3749-226C-46EC-9FAC-9DFD01016A66}"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5CA7B685-E4FF-415B-A071-D0565D4A0EC8}"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703E4251-9F9A-4B5A-BDA7-EAFE87B2C25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4299A7B8-62B9-439D-BE3B-86DDAC9BA7B1}"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C7475492-A172-45FC-9D9B-8A2620899F29}"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5D2B30B-FDE4-4FCB-83C5-CC122F14B9E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BE3A82-F5AB-4601-A9EC-1B58C33B4F9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38CECC6-89F0-48CD-A20C-DEC3B9BF96D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78BFE60-DACD-4546-9B8C-953262FD5EC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561C04F-8337-466E-8CF1-60DEFADEC820}" name="Temperature Zone">
      <calculatedColumnFormula array="1">Common_InputFunctions.Utility_DisplayArrayInTable(Common_SourceData.Common_SourceData_TemperatureZones_Data(),Table_SourceData_TemperatureZones[[#Headers],[Temperature Zone]],0)</calculatedColumnFormula>
    </tableColumn>
    <tableColumn id="2" xr3:uid="{0DE9DF78-83AF-4C11-8570-5EFA5B2B38AA}" name="MAT">
      <calculatedColumnFormula array="1">Common_InputFunctions.Utility_DisplayArrayInTable(Common_SourceData.Common_SourceData_TemperatureZones_Data(),Table_SourceData_TemperatureZones[[#Headers],[Temperature Zone]],0)</calculatedColumnFormula>
    </tableColumn>
    <tableColumn id="3" xr3:uid="{BD531263-84ED-4EF0-853E-FA6AAFCE4568}" name="Min MAT">
      <calculatedColumnFormula array="1">Common_InputFunctions.Utility_DisplayArrayInTable(Common_SourceData.Common_SourceData_TemperatureZones_Data(),Table_SourceData_TemperatureZones[[#Headers],[Temperature Zone]],0)</calculatedColumnFormula>
    </tableColumn>
    <tableColumn id="4" xr3:uid="{14E0F267-CF46-4C14-80CD-850A36B849F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12D0C57-DB6B-472C-8C7A-7B99DE29F70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61F0E55-0124-4ECB-92D6-9F41FB97502B}" name="Rainfall Zone">
      <calculatedColumnFormula array="1">Common_InputFunctions.Utility_DisplayArrayInTable(Common_SourceData.Common_SourceData_RainfallZones_Data(),Table_SourceData_RainfallZones[[#Headers],[Rainfall Zone]],0)</calculatedColumnFormula>
    </tableColumn>
    <tableColumn id="2" xr3:uid="{EC0ED3A6-5140-4267-AAAA-9AF78143F055}" name="Annual rainfall">
      <calculatedColumnFormula array="1">Common_InputFunctions.Utility_DisplayArrayInTable(Common_SourceData.Common_SourceData_RainfallZones_Data(),Table_SourceData_RainfallZones[[#Headers],[Rainfall Zone]],0)</calculatedColumnFormula>
    </tableColumn>
    <tableColumn id="3" xr3:uid="{9E085043-DFE7-447D-9B2E-BDA042A0E18C}" name="Min rainfall">
      <calculatedColumnFormula array="1">Common_InputFunctions.Utility_DisplayArrayInTable(Common_SourceData.Common_SourceData_RainfallZones_Data(),Table_SourceData_RainfallZones[[#Headers],[Rainfall Zone]],0)</calculatedColumnFormula>
    </tableColumn>
    <tableColumn id="4" xr3:uid="{8259155F-58B2-44CC-8787-C0D86256A22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54D8255-E094-4664-9B87-44EA918A739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A8FDCE2-4C01-4CF4-BC13-5E791E7C1B87}" name="Leaching Zone">
      <calculatedColumnFormula array="1">Common_InputFunctions.Utility_DisplayArrayInTable(Common_SourceData.Common_SourceData_LeachingZones_Data(), Table_SourceData_LeachingZones[[#Headers],[Leaching Zone]], 0)</calculatedColumnFormula>
    </tableColumn>
    <tableColumn id="2" xr3:uid="{95C76E72-5256-4725-9123-CF12C4C2C13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513BCC0-3CAF-47DF-9CC1-D10B010D3C2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02B53AD-15AF-47DD-A8DF-8A644E1E62C2}" name="Data source">
      <calculatedColumnFormula array="1">Common_InputFunctions.Utility_DisplayArrayInTable(Common_SourceData.Common_SourceData_DataScores_Scope3_Data(), Table_SourceData_DataScores_Scope3[[#Headers],[Data source]], 0)</calculatedColumnFormula>
    </tableColumn>
    <tableColumn id="2" xr3:uid="{56455D86-FDA2-4D21-AC90-AAB3B6C4A12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DA84CC2-969F-41AE-9031-F99AD7852ABE}" name="Table_SourceData_FracWET" displayName="Table_SourceData_FracWET" ref="D134:E136" totalsRowShown="0">
  <autoFilter ref="D134:E136" xr:uid="{308E99BE-FE1F-47A4-B2CA-97217277C4E9}">
    <filterColumn colId="0" hiddenButton="1"/>
    <filterColumn colId="1" hiddenButton="1"/>
  </autoFilter>
  <tableColumns count="2">
    <tableColumn id="1" xr3:uid="{00A4B6C2-5609-43F5-98E4-4C50DC98E37A}" name="Is in leaching zone">
      <calculatedColumnFormula array="1">Common_InputFunctions.Utility_DisplayArrayInTable(Common_SourceData.Common_SourceData_FracWET_Data(),Table_SourceData_FracWET[[#Headers],[Is in leaching zone]],0)</calculatedColumnFormula>
    </tableColumn>
    <tableColumn id="2" xr3:uid="{536575A5-4C36-45FD-B79B-7400C0B9097C}"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662381A-BA07-49B3-98AC-156A7BC6DB2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C35C0F7-9728-46BB-B8F2-861D1557228C}" name="Production system j">
      <calculatedColumnFormula array="1">Common_InputFunctions.Utility_DisplayArrayInTable(Common_SourceData.Common_SourceData_EFN2O_Data(), Table_SourceData_Common_EFN2O[[#Headers],[Production system j]], 0)</calculatedColumnFormula>
    </tableColumn>
    <tableColumn id="2" xr3:uid="{AF2525F5-AE3A-4F30-A43F-DAEC57F9BBBE}" name="EFN2O">
      <calculatedColumnFormula array="1">Common_InputFunctions.Utility_DisplayArrayInTable(Common_SourceData.Common_SourceData_EFN2O_Data(), Table_SourceData_Common_EFN2O[[#Headers],[Production system j]], 0)</calculatedColumnFormula>
    </tableColumn>
    <tableColumn id="3" xr3:uid="{2D59F631-206A-4B3A-925D-F801963D169B}" name="Production system only">
      <calculatedColumnFormula array="1">Common_InputFunctions.Utility_DisplayArrayInTable(Common_SourceData.Common_SourceData_EFN2O_Data(), Table_SourceData_Common_EFN2O[[#Headers],[Production system j]], 0)</calculatedColumnFormula>
    </tableColumn>
    <tableColumn id="4" xr3:uid="{29AA31B1-70D1-4F51-9B50-B0765353B3A1}" name="Irrigation method">
      <calculatedColumnFormula array="1">Common_InputFunctions.Utility_DisplayArrayInTable(Common_SourceData.Common_SourceData_EFN2O_Data(), Table_SourceData_Common_EFN2O[[#Headers],[Production system j]], 0)</calculatedColumnFormula>
    </tableColumn>
    <tableColumn id="5" xr3:uid="{5A43BDFF-85B3-4F71-847E-5291DB5FB03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17A14E-10C5-4ECB-8834-F42DCFB7B61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431C1A1-DA37-4C90-989F-1D7ECC95BC95}" name="Irrigation type i">
      <calculatedColumnFormula array="1">Common_InputFunctions.Utility_DisplayArrayInTable(Common_SourceData.Common_SourceData_FracWETIrrigation_Data(), Table_SourceData_FracWETIrrigation[[#Headers],[Irrigation type i]], 0)</calculatedColumnFormula>
    </tableColumn>
    <tableColumn id="2" xr3:uid="{32AD751C-A971-4F05-A222-D3ECFF8DEC07}"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0205C5F-34FE-4762-B6E7-EDB665BAFEA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BA23BF7-05DB-42D9-8B63-E3D6685CB1B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0309036-E4B2-49D7-8237-CF8693A73A8D}"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4A964C5-1B1A-4810-B29D-22E4827F6D8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326F2AA-58A8-4340-A737-DF7E207ADBB9}" name="Month">
      <calculatedColumnFormula array="1">Common_InputFunctions.Utility_DisplayArrayInTable(Common_SourceData.Common_SourceData_MonthsToSeasons_Data(), Table_SourceData_Common_MonthToSeason[[#Headers],[Month]], 0)</calculatedColumnFormula>
    </tableColumn>
    <tableColumn id="2" xr3:uid="{A280D67F-3590-45D9-B7A7-DE06E7FC2CFC}"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EFE41F-3966-48A0-AFCE-F4C9333145A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D3EBB1F-CBE3-4F48-943E-A8E5C14B79C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FD734E5-1A08-4F61-857C-89CB6A6BB7A4}"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7E0A5A6-C943-41C8-9125-B0FD838AEEBB}"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A9E2F12-4BC6-4014-8C09-0DC978B3D396}"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3A86789-1D5D-4506-99E5-2CE946C9B935}"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D6BD9E3-A536-4B32-BE04-8B2AA7D476F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8C13AA3-9ACE-4C3B-83E8-ED0D90040928}"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D0A8979-2395-4107-AABD-6CF2A17A937E}"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7E2A6E4-4BFA-48D2-8683-A4E6221F80CC}"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59A797-CF4F-4395-9C5A-5F7D164C0BB9}"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3506916-F6F4-42BB-B3D2-F163A8758B3F}"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9C53F63-61EA-431E-9466-AA55D1C98A41}"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3C68D010-20B5-4E85-AFD0-B6F35C274C96}"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F09420B-372D-4044-9824-6784C359E4FB}"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D96BAF6-C820-4901-8631-684201BD37F1}"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9667774-9497-4E14-AD0B-1966CC5C78DB}"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7B9CC42-DAC1-4C7A-B36D-FFEEA3D0224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F4B9763-3A90-4CCB-BB06-7CB33C37518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86A6947-CC3E-449E-88B5-D3B85478E5FE}"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2" t="e" vm="1">
        <v>#VALUE!</v>
      </c>
      <c r="C1" s="56" t="s">
        <v>97</v>
      </c>
      <c r="D1" s="57"/>
      <c r="E1" s="57"/>
      <c r="F1" s="57"/>
      <c r="G1" s="57"/>
      <c r="H1" s="57"/>
      <c r="I1" s="57"/>
      <c r="J1" s="57"/>
      <c r="K1" s="57"/>
      <c r="L1" s="57"/>
      <c r="M1" s="57"/>
      <c r="N1" s="57"/>
      <c r="O1" s="57"/>
      <c r="P1" s="57"/>
    </row>
    <row r="2" spans="1:17" ht="20.100000000000001" customHeight="1" x14ac:dyDescent="0.25">
      <c r="A2" s="8"/>
      <c r="C2" s="57"/>
      <c r="D2" s="57"/>
      <c r="E2" s="57"/>
      <c r="F2" s="57"/>
      <c r="G2" s="57"/>
      <c r="H2" s="57"/>
      <c r="I2" s="57"/>
      <c r="J2" s="57"/>
      <c r="K2" s="57"/>
      <c r="L2" s="57"/>
      <c r="M2" s="57"/>
      <c r="N2" s="57"/>
      <c r="O2" s="57"/>
      <c r="P2" s="57"/>
      <c r="Q2" s="58"/>
    </row>
    <row r="3" spans="1:17" ht="20.100000000000001" customHeight="1" x14ac:dyDescent="0.25">
      <c r="A3" s="13" t="str">
        <f>HYPERLINK("#'Home'!A1", "Home")</f>
        <v>Home</v>
      </c>
      <c r="C3" s="59"/>
      <c r="D3" s="59"/>
      <c r="E3" s="59"/>
      <c r="F3" s="59"/>
      <c r="G3" s="59"/>
      <c r="H3" s="59"/>
      <c r="I3" s="59"/>
      <c r="J3" s="59"/>
      <c r="K3" s="59"/>
      <c r="L3" s="59"/>
      <c r="M3" s="59"/>
      <c r="N3" s="59"/>
      <c r="O3" s="59"/>
      <c r="P3" s="59"/>
    </row>
    <row r="4" spans="1:17" ht="20.100000000000001" customHeight="1" x14ac:dyDescent="0.25">
      <c r="A4" s="44" t="str">
        <f>HYPERLINK("#'Overview'!A1", "Overview")</f>
        <v>Overview</v>
      </c>
    </row>
    <row r="5" spans="1:17" ht="20.100000000000001" customHeight="1" x14ac:dyDescent="0.25">
      <c r="A5" s="13" t="str">
        <f>HYPERLINK("#'Results'!A1", "Results")</f>
        <v>Results</v>
      </c>
      <c r="D5" s="42" t="s">
        <v>83</v>
      </c>
      <c r="E5" s="36"/>
      <c r="F5" s="36"/>
      <c r="G5" s="36"/>
      <c r="H5" s="36"/>
      <c r="I5" s="36"/>
      <c r="J5" s="36"/>
      <c r="K5" s="36"/>
      <c r="L5" s="36"/>
      <c r="M5" s="36"/>
      <c r="N5" s="36"/>
      <c r="O5" s="33"/>
    </row>
    <row r="6" spans="1:17" ht="20.100000000000001" customHeight="1" x14ac:dyDescent="0.25">
      <c r="A6" s="12"/>
      <c r="D6" s="60" t="s">
        <v>84</v>
      </c>
      <c r="E6" s="35"/>
      <c r="F6" s="35"/>
      <c r="G6" s="35"/>
      <c r="H6" s="35"/>
      <c r="I6" s="35"/>
      <c r="J6" s="35"/>
      <c r="K6" s="35"/>
      <c r="L6" s="35"/>
      <c r="M6" s="35"/>
      <c r="N6" s="35"/>
      <c r="O6" s="34"/>
    </row>
    <row r="7" spans="1:17" ht="20.100000000000001" customHeight="1" x14ac:dyDescent="0.25">
      <c r="A7" s="16" t="s">
        <v>1</v>
      </c>
    </row>
    <row r="8" spans="1:17" ht="20.100000000000001" customHeight="1" x14ac:dyDescent="0.25">
      <c r="A8" s="13" t="str">
        <f>HYPERLINK("#'Input - CO2 Use'!A1", "CO2 Use")</f>
        <v>CO2 Use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HYPERLINK("#'12.1.1-2 Supplementary CO2'!A1", "12.1.1-2 Supplementary CO2")</f>
        <v>12.1.1-2 Supplementary CO2</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Common'!A1", "Constants - Common")</f>
        <v>Constants - Common</v>
      </c>
      <c r="O14" s="1" t="s">
        <v>86</v>
      </c>
    </row>
    <row r="15" spans="1:17" ht="20.100000000000001" customHeight="1" x14ac:dyDescent="0.25"/>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c r="A22" s="13"/>
    </row>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F10" sqref="F10"/>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2" t="e" vm="1">
        <v>#VALUE!</v>
      </c>
      <c r="C1" s="56" t="s">
        <v>96</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4"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CO2 Use'!A1", "CO2 Use")</f>
        <v>CO2 Use</v>
      </c>
      <c r="C8" s="18"/>
      <c r="D8" s="40" t="s">
        <v>50</v>
      </c>
      <c r="E8" s="40" t="s">
        <v>60</v>
      </c>
      <c r="F8" s="40" t="s">
        <v>61</v>
      </c>
      <c r="G8" s="40" t="s">
        <v>56</v>
      </c>
      <c r="H8" s="18"/>
    </row>
    <row r="9" spans="1:8" ht="20.100000000000001" customHeight="1" x14ac:dyDescent="0.25">
      <c r="A9" s="13"/>
      <c r="C9" s="18"/>
      <c r="D9" s="1" t="s">
        <v>88</v>
      </c>
      <c r="E9" s="55">
        <f>VEERG_12_1_1_1__1_EmissionsFromSupplementaryCO2_Result_Method1</f>
        <v>0.2</v>
      </c>
      <c r="F9" s="55">
        <f>E9</f>
        <v>0.2</v>
      </c>
      <c r="G9" s="29" t="s">
        <v>95</v>
      </c>
      <c r="H9" s="18"/>
    </row>
    <row r="10" spans="1:8" ht="20.100000000000001" customHeight="1" x14ac:dyDescent="0.3">
      <c r="A10" s="15" t="s">
        <v>45</v>
      </c>
      <c r="C10" s="18"/>
      <c r="D10" s="24" t="s">
        <v>55</v>
      </c>
      <c r="E10" s="39">
        <f>SUM(E9:E9)</f>
        <v>0.2</v>
      </c>
      <c r="F10" s="39">
        <f>SUM(F9:F9)</f>
        <v>0.2</v>
      </c>
      <c r="G10" s="37" t="s">
        <v>95</v>
      </c>
      <c r="H10" s="18"/>
    </row>
    <row r="11" spans="1:8" ht="20.100000000000001" customHeight="1" x14ac:dyDescent="0.25">
      <c r="A11" s="13" t="str">
        <f>HYPERLINK("#'12.1.1-2 Supplementary CO2'!A1", "12.1.1-2 Supplementary CO2")</f>
        <v>12.1.1-2 Supplementary CO2</v>
      </c>
      <c r="C11" s="18"/>
      <c r="D11" s="1"/>
      <c r="E11" s="1"/>
      <c r="F11" s="1"/>
      <c r="G11" s="1"/>
      <c r="H11" s="18"/>
    </row>
    <row r="12" spans="1:8" ht="20.100000000000001" customHeight="1" x14ac:dyDescent="0.25">
      <c r="A12" s="13"/>
      <c r="C12" s="18"/>
      <c r="D12" s="1"/>
      <c r="E12" s="1"/>
      <c r="F12" s="1"/>
      <c r="G12" s="1"/>
      <c r="H12" s="18"/>
    </row>
    <row r="13" spans="1:8" ht="20.100000000000001" customHeight="1" x14ac:dyDescent="0.25">
      <c r="A13" s="14" t="s">
        <v>2</v>
      </c>
      <c r="C13" s="18"/>
      <c r="D13" s="1"/>
      <c r="E13" s="41"/>
      <c r="F13" s="29"/>
      <c r="G13" s="1"/>
      <c r="H13" s="18"/>
    </row>
    <row r="14" spans="1:8" ht="20.100000000000001" customHeight="1" x14ac:dyDescent="0.25">
      <c r="A14" s="13" t="str">
        <f>HYPERLINK("#'Constants - Common'!A1", "Constants - Common")</f>
        <v>Constants - Common</v>
      </c>
      <c r="C14" s="18"/>
      <c r="D14" s="1"/>
      <c r="E14" s="41"/>
      <c r="F14" s="29"/>
      <c r="G14" s="1"/>
      <c r="H14" s="18"/>
    </row>
    <row r="15" spans="1:8" ht="20.100000000000001" customHeight="1" x14ac:dyDescent="0.25">
      <c r="C15" s="18"/>
      <c r="D15" s="1"/>
      <c r="E15" s="1"/>
      <c r="F15" s="1"/>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41"/>
      <c r="F21" s="29"/>
      <c r="G21" s="1"/>
      <c r="H21" s="18"/>
    </row>
    <row r="22" spans="1:8" ht="20.100000000000001" customHeight="1" x14ac:dyDescent="0.25">
      <c r="C22" s="18"/>
      <c r="D22" s="1"/>
      <c r="E22" s="41"/>
      <c r="F22" s="29"/>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5"/>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G351"/>
  <sheetViews>
    <sheetView showGridLines="0" zoomScaleNormal="100" workbookViewId="0">
      <selection activeCell="D11" sqref="D11"/>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6" width="24.85546875" style="1" customWidth="1"/>
    <col min="7" max="7" width="4.7109375" style="1" customWidth="1"/>
    <col min="8" max="8" width="4.7109375" customWidth="1"/>
  </cols>
  <sheetData>
    <row r="1" spans="1:7" s="32" customFormat="1" ht="30" customHeight="1" x14ac:dyDescent="0.35">
      <c r="A1" s="32" t="e" vm="1">
        <v>#VALUE!</v>
      </c>
      <c r="C1" s="32" t="s">
        <v>87</v>
      </c>
    </row>
    <row r="2" spans="1:7" s="8" customFormat="1" ht="20.100000000000001" customHeight="1" x14ac:dyDescent="0.25"/>
    <row r="3" spans="1:7" ht="20.100000000000001" customHeight="1" x14ac:dyDescent="0.25">
      <c r="A3" s="13" t="str">
        <f>HYPERLINK("#'Home'!A1", "Home")</f>
        <v>Home</v>
      </c>
      <c r="C3" s="11"/>
      <c r="D3" s="11"/>
      <c r="E3" s="11"/>
      <c r="F3" s="11"/>
      <c r="G3" s="11"/>
    </row>
    <row r="4" spans="1:7" ht="20.100000000000001" customHeight="1" x14ac:dyDescent="0.25">
      <c r="A4" s="13" t="str">
        <f>HYPERLINK("#'Overview'!A1", "Overview")</f>
        <v>Overview</v>
      </c>
    </row>
    <row r="5" spans="1:7" ht="20.100000000000001" customHeight="1" x14ac:dyDescent="0.25">
      <c r="A5" s="13" t="str">
        <f>HYPERLINK("#'Results'!A1", "Results")</f>
        <v>Results</v>
      </c>
      <c r="D5" s="5" t="s">
        <v>93</v>
      </c>
      <c r="E5" s="2"/>
      <c r="F5" s="2"/>
    </row>
    <row r="6" spans="1:7" ht="20.100000000000001" customHeight="1" x14ac:dyDescent="0.25">
      <c r="A6" s="12"/>
      <c r="D6" s="18"/>
      <c r="E6" s="18"/>
      <c r="F6" s="18"/>
    </row>
    <row r="7" spans="1:7" ht="20.100000000000001" customHeight="1" x14ac:dyDescent="0.25">
      <c r="A7" s="16" t="s">
        <v>1</v>
      </c>
      <c r="D7" s="64" t="s">
        <v>85</v>
      </c>
      <c r="E7" s="65"/>
      <c r="F7" s="63"/>
    </row>
    <row r="8" spans="1:7" ht="20.100000000000001" customHeight="1" x14ac:dyDescent="0.25">
      <c r="A8" s="43" t="str">
        <f>HYPERLINK("#'Input - CO2 Use'!A1", "CO2 Use")</f>
        <v>CO2 Use</v>
      </c>
      <c r="D8" s="18"/>
      <c r="E8" s="18"/>
      <c r="F8" s="18"/>
    </row>
    <row r="9" spans="1:7" ht="20.100000000000001" customHeight="1" x14ac:dyDescent="0.25">
      <c r="A9" s="13"/>
      <c r="D9" s="46" t="s">
        <v>90</v>
      </c>
      <c r="E9" s="46" t="s">
        <v>89</v>
      </c>
      <c r="F9" s="18"/>
    </row>
    <row r="10" spans="1:7" ht="20.100000000000001" customHeight="1" x14ac:dyDescent="0.25">
      <c r="A10" s="15" t="s">
        <v>45</v>
      </c>
      <c r="D10" s="66" t="s">
        <v>91</v>
      </c>
      <c r="E10" s="62">
        <v>100</v>
      </c>
    </row>
    <row r="11" spans="1:7" ht="20.100000000000001" customHeight="1" x14ac:dyDescent="0.25">
      <c r="A11" s="13" t="str">
        <f>HYPERLINK("#'12.1.1-2 Supplementary CO2'!A1", "12.1.1-2 Supplementary CO2")</f>
        <v>12.1.1-2 Supplementary CO2</v>
      </c>
      <c r="D11" s="66" t="s">
        <v>92</v>
      </c>
      <c r="E11" s="62">
        <v>100</v>
      </c>
    </row>
    <row r="12" spans="1:7" ht="20.100000000000001" customHeight="1" x14ac:dyDescent="0.25">
      <c r="A12" s="13"/>
    </row>
    <row r="13" spans="1:7" ht="20.100000000000001" customHeight="1" x14ac:dyDescent="0.25">
      <c r="A13" s="14" t="s">
        <v>2</v>
      </c>
    </row>
    <row r="14" spans="1:7" ht="20.100000000000001" customHeight="1" x14ac:dyDescent="0.25">
      <c r="A14" s="13" t="str">
        <f>HYPERLINK("#'Constants - Common'!A1", "Constants - Common")</f>
        <v>Constants - Common</v>
      </c>
    </row>
    <row r="15" spans="1:7" ht="20.100000000000001" customHeight="1" x14ac:dyDescent="0.25"/>
    <row r="16" spans="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c r="A29" s="13"/>
    </row>
    <row r="30" spans="1:1" ht="20.100000000000001" customHeight="1" x14ac:dyDescent="0.25">
      <c r="A30" s="13"/>
    </row>
    <row r="31" spans="1:1" ht="20.100000000000001" customHeight="1" x14ac:dyDescent="0.25">
      <c r="A31" s="31"/>
    </row>
    <row r="32" spans="1:1" ht="20.100000000000001" customHeight="1" x14ac:dyDescent="0.25">
      <c r="A32" s="31"/>
    </row>
    <row r="33" spans="1:7" ht="20.100000000000001" customHeight="1" x14ac:dyDescent="0.25">
      <c r="A33" s="13"/>
    </row>
    <row r="34" spans="1:7" ht="20.100000000000001" customHeight="1" x14ac:dyDescent="0.25"/>
    <row r="35" spans="1:7" ht="20.100000000000001" customHeight="1" x14ac:dyDescent="0.25"/>
    <row r="36" spans="1:7" ht="20.100000000000001" customHeight="1" x14ac:dyDescent="0.25"/>
    <row r="37" spans="1:7" ht="20.100000000000001" customHeight="1" x14ac:dyDescent="0.25"/>
    <row r="38" spans="1:7" ht="20.100000000000001" customHeight="1" x14ac:dyDescent="0.25">
      <c r="C38" s="48"/>
      <c r="G38" s="48"/>
    </row>
    <row r="39" spans="1:7" ht="20.100000000000001" customHeight="1" x14ac:dyDescent="0.25">
      <c r="A39" s="13"/>
      <c r="C39" s="48"/>
      <c r="G39" s="48"/>
    </row>
    <row r="40" spans="1:7" s="49" customFormat="1" ht="20.100000000000001" customHeight="1" x14ac:dyDescent="0.25">
      <c r="C40" s="1"/>
      <c r="D40" s="1"/>
      <c r="E40" s="1"/>
      <c r="F40" s="1"/>
      <c r="G40" s="1"/>
    </row>
    <row r="41" spans="1:7" s="49" customFormat="1" ht="20.100000000000001" customHeight="1" x14ac:dyDescent="0.25">
      <c r="A41" s="50"/>
      <c r="C41" s="1"/>
      <c r="D41" s="1"/>
      <c r="E41" s="1"/>
      <c r="F41" s="1"/>
      <c r="G41" s="1"/>
    </row>
    <row r="42" spans="1:7" ht="20.100000000000001" customHeight="1" x14ac:dyDescent="0.25"/>
    <row r="43" spans="1:7" ht="20.100000000000001" customHeight="1" x14ac:dyDescent="0.25"/>
    <row r="44" spans="1:7" ht="20.100000000000001" customHeight="1" x14ac:dyDescent="0.25">
      <c r="A44" s="54"/>
    </row>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1" spans="4:4" x14ac:dyDescent="0.25">
      <c r="D351" s="38"/>
    </row>
  </sheetData>
  <phoneticPr fontId="21" type="noConversion"/>
  <conditionalFormatting sqref="F47 E200 F210">
    <cfRule type="cellIs" dxfId="46" priority="62" operator="lessThan">
      <formula>0</formula>
    </cfRule>
  </conditionalFormatting>
  <conditionalFormatting sqref="F126:F127">
    <cfRule type="cellIs" dxfId="45" priority="21" operator="lessThan">
      <formula>0</formula>
    </cfRule>
  </conditionalFormatting>
  <conditionalFormatting sqref="F138:F139">
    <cfRule type="cellIs" dxfId="44" priority="20" operator="lessThan">
      <formula>0</formula>
    </cfRule>
  </conditionalFormatting>
  <conditionalFormatting sqref="F150:F151">
    <cfRule type="cellIs" dxfId="43" priority="19" operator="lessThan">
      <formula>0</formula>
    </cfRule>
  </conditionalFormatting>
  <conditionalFormatting sqref="F162:F163">
    <cfRule type="cellIs" dxfId="42" priority="18" operator="lessThan">
      <formula>0</formula>
    </cfRule>
  </conditionalFormatting>
  <conditionalFormatting sqref="F250:F251">
    <cfRule type="cellIs" dxfId="41" priority="93" operator="lessThan">
      <formula>0</formula>
    </cfRule>
  </conditionalFormatting>
  <conditionalFormatting sqref="F255:F256">
    <cfRule type="cellIs" dxfId="40" priority="92" operator="lessThan">
      <formula>0</formula>
    </cfRule>
  </conditionalFormatting>
  <conditionalFormatting sqref="F260:F261">
    <cfRule type="cellIs" dxfId="39" priority="91" operator="lessThan">
      <formula>0</formula>
    </cfRule>
  </conditionalFormatting>
  <conditionalFormatting sqref="F284:F285">
    <cfRule type="cellIs" dxfId="38" priority="85" operator="lessThan">
      <formula>0</formula>
    </cfRule>
  </conditionalFormatting>
  <conditionalFormatting sqref="F289:F290">
    <cfRule type="cellIs" dxfId="37" priority="84" operator="lessThan">
      <formula>0</formula>
    </cfRule>
  </conditionalFormatting>
  <conditionalFormatting sqref="F294:F295">
    <cfRule type="cellIs" dxfId="36" priority="83" operator="lessThan">
      <formula>0</formula>
    </cfRule>
  </conditionalFormatting>
  <dataValidations count="6">
    <dataValidation type="list" allowBlank="1" showInputMessage="1" showErrorMessage="1" sqref="D267" xr:uid="{4E913AB3-F90B-4C35-BCE1-5DBB8FC05107}">
      <formula1>INDIRECT("Table_SourceData_PoultryMMSStage1[MMS]")</formula1>
    </dataValidation>
    <dataValidation type="list" allowBlank="1" showInputMessage="1" showErrorMessage="1" sqref="E215" xr:uid="{9FB53635-991F-44AA-A123-E8ABEF9EE0A6}">
      <formula1>INDIRECT("Table_SourceData_Dairy_ProductionSystemTemplates[Area]")</formula1>
    </dataValidation>
    <dataValidation type="list" allowBlank="1" showInputMessage="1" showErrorMessage="1" sqref="E239 E244 E249 E283 E278 E273 E151 E139 E115 E127" xr:uid="{00A4EA4C-90D3-4150-979D-4D71C7F37A31}">
      <formula1>"Yes, No"</formula1>
    </dataValidation>
    <dataValidation type="list" allowBlank="1" showInputMessage="1" showErrorMessage="1" sqref="E55" xr:uid="{DBA884B0-B52E-420E-8FD2-21B082EB75E2}">
      <formula1>INDIRECT("Table_SourceData_Swine_IrrigationMethods[Irrigation method]")</formula1>
    </dataValidation>
    <dataValidation type="list" allowBlank="1" showInputMessage="1" showErrorMessage="1" sqref="E54" xr:uid="{B95E29DC-96D0-4475-A29E-3F3A3B60CEA1}">
      <formula1>INDIRECT("Table_SourceData_Swine_CropProdSystems[Production system]")</formula1>
    </dataValidation>
    <dataValidation type="list" allowBlank="1" showInputMessage="1" showErrorMessage="1" sqref="D34:D35"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P342"/>
  <sheetViews>
    <sheetView showGridLines="0" zoomScaleNormal="100" workbookViewId="0">
      <selection activeCell="E15" sqref="E15"/>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7" customFormat="1" ht="30" customHeight="1" x14ac:dyDescent="0.35">
      <c r="A1" s="32" t="e" vm="1">
        <v>#VALUE!</v>
      </c>
      <c r="C1" s="7" t="s">
        <v>88</v>
      </c>
    </row>
    <row r="2" spans="1:16" s="8" customFormat="1" ht="20.100000000000001" customHeight="1" x14ac:dyDescent="0.25"/>
    <row r="3" spans="1:16" ht="20.100000000000001" customHeight="1" x14ac:dyDescent="0.25">
      <c r="A3" s="13" t="str">
        <f>HYPERLINK("#'Home'!A1", "Home")</f>
        <v>Home</v>
      </c>
      <c r="C3" s="3"/>
      <c r="D3" s="3" t="s">
        <v>49</v>
      </c>
      <c r="E3" s="3"/>
      <c r="F3" s="3"/>
      <c r="G3" s="3"/>
      <c r="H3" s="3"/>
      <c r="I3" s="3"/>
      <c r="J3" s="3"/>
      <c r="K3" s="3"/>
      <c r="L3" s="3"/>
      <c r="M3" s="3"/>
      <c r="N3" s="3"/>
      <c r="O3" s="3"/>
      <c r="P3" s="3"/>
    </row>
    <row r="4" spans="1:16" ht="20.100000000000001" customHeight="1" x14ac:dyDescent="0.25">
      <c r="A4" s="13" t="str">
        <f>HYPERLINK("#'Overview'!A1", "Overview")</f>
        <v>Overview</v>
      </c>
    </row>
    <row r="5" spans="1:16" ht="20.100000000000001" customHeight="1" x14ac:dyDescent="0.25">
      <c r="A5" s="13" t="str">
        <f>HYPERLINK("#'Results'!A1", "Results")</f>
        <v>Results</v>
      </c>
      <c r="D5" s="5" t="str" cm="1">
        <f t="array" ref="D5">SupplementaryCO2_Equations.VEERG_12_1_1_1__1_EmissionsFromSupplementaryCO2_Title()</f>
        <v>Emissions from the use of supplementary CO2</v>
      </c>
      <c r="O5" s="45"/>
    </row>
    <row r="6" spans="1:16" ht="20.100000000000001" customHeight="1" x14ac:dyDescent="0.25">
      <c r="A6" s="12"/>
      <c r="D6" s="4" t="str" cm="1">
        <f t="array" ref="D6">SupplementaryCO2_Equations.VEERG_12_1_1_1__1_EmissionsFromSupplementaryCO2_Source()</f>
        <v>VEERG 2026: 12.1.1.1, Equation (1)</v>
      </c>
      <c r="O6" s="45"/>
    </row>
    <row r="7" spans="1:16" ht="20.100000000000001" customHeight="1" x14ac:dyDescent="0.25">
      <c r="A7" s="16" t="s">
        <v>1</v>
      </c>
      <c r="D7" s="10" t="s">
        <v>10</v>
      </c>
      <c r="E7" s="10" t="str" cm="1">
        <f t="array" aca="1" ref="E7" ca="1">Common_InputFunctions.Utility_DisplayFunctionName(E15)</f>
        <v>=SupplementaryCO2_Equations.VEERG_12_1_1_1__1_EmissionsFromSupplementaryCO2</v>
      </c>
      <c r="O7" s="45"/>
    </row>
    <row r="8" spans="1:16" ht="20.100000000000001" customHeight="1" x14ac:dyDescent="0.25">
      <c r="A8" s="13" t="str">
        <f>HYPERLINK("#'Input - CO2 Use'!A1", "CO2 Use")</f>
        <v>CO2 Use</v>
      </c>
      <c r="O8" s="45"/>
    </row>
    <row r="9" spans="1:16" ht="20.100000000000001" customHeight="1" x14ac:dyDescent="0.25">
      <c r="A9" s="13"/>
      <c r="G9" s="4"/>
      <c r="O9" s="45"/>
    </row>
    <row r="10" spans="1:16" ht="20.100000000000001" customHeight="1" x14ac:dyDescent="0.25">
      <c r="A10" s="15" t="s">
        <v>45</v>
      </c>
      <c r="D10" s="28" t="s">
        <v>13</v>
      </c>
      <c r="E10" s="1" t="str" cm="1">
        <f t="array" ref="E10">SupplementaryCO2_Equations.VEERG_12_1_1_1__1_EmissionsFromSupplementaryCO2_Variable()</f>
        <v>E</v>
      </c>
      <c r="O10" s="45"/>
    </row>
    <row r="11" spans="1:16" ht="20.100000000000001" customHeight="1" x14ac:dyDescent="0.25">
      <c r="A11" s="61" t="str">
        <f>HYPERLINK("#'12.1.1-2 Supplementary CO2'!A1", "12.1.1-2 Supplementary CO2")</f>
        <v>12.1.1-2 Supplementary CO2</v>
      </c>
      <c r="D11" s="28" t="s">
        <v>5</v>
      </c>
      <c r="E11" s="29" t="str" cm="1">
        <f t="array" ref="E11">SupplementaryCO2_Equations.VEERG_12_1_1_1__1_EmissionsFromSupplementaryCO2_Unit()</f>
        <v>t CO2e</v>
      </c>
      <c r="O11" s="45"/>
    </row>
    <row r="12" spans="1:16" ht="20.100000000000001" customHeight="1" x14ac:dyDescent="0.25">
      <c r="A12" s="13"/>
    </row>
    <row r="13" spans="1:16" ht="20.100000000000001" customHeight="1" x14ac:dyDescent="0.25">
      <c r="A13" s="14" t="s">
        <v>2</v>
      </c>
      <c r="D13" s="51" t="str" cm="1">
        <f t="array" ref="D13:E13">_xlfn.CHOOSECOLS(SupplementaryCO2_Equations.VEERG_12_1_1_1__1_EmissionsFromSupplementaryCO2_Arguments(), 1,2)</f>
        <v>Q</v>
      </c>
      <c r="E13" s="53" t="str">
        <v>quantity of supplementary CO2 used within the operations</v>
      </c>
      <c r="F13" s="52"/>
      <c r="G13" s="51" t="str" cm="1">
        <f t="array" ref="G13:H13">_xlfn.CHOOSECOLS(SupplementaryCO2_Equations.VEERG_12_1_1_1__1_EmissionsFromSupplementaryCO2_Arguments(), 3,4)</f>
        <v>kg CO2</v>
      </c>
      <c r="H13" s="47" t="str">
        <v>Input</v>
      </c>
      <c r="I13" s="51">
        <f>SUM(Table_Input_SupplementaryCO2[Amount used (kg)])</f>
        <v>200</v>
      </c>
    </row>
    <row r="14" spans="1:16" ht="20.100000000000001" customHeight="1" x14ac:dyDescent="0.25">
      <c r="A14" s="13" t="str">
        <f>HYPERLINK("#'Constants - Common'!A1", "Constants - Common")</f>
        <v>Constants - Common</v>
      </c>
      <c r="O14" s="45"/>
    </row>
    <row r="15" spans="1:16" ht="20.100000000000001" customHeight="1" x14ac:dyDescent="0.25">
      <c r="D15" s="67" t="s">
        <v>94</v>
      </c>
      <c r="E15" s="68" cm="1">
        <f t="array" ref="E15">SupplementaryCO2_Equations.VEERG_12_1_1_1__1_EmissionsFromSupplementaryCO2(I13)</f>
        <v>0.2</v>
      </c>
      <c r="F15" s="69" t="str">
        <f>E11</f>
        <v>t CO2e</v>
      </c>
      <c r="O15" s="45"/>
    </row>
    <row r="16" spans="1:16" ht="20.100000000000001" customHeight="1" x14ac:dyDescent="0.25">
      <c r="O16" s="45"/>
    </row>
    <row r="17" spans="1:15" ht="20.100000000000001" customHeight="1" x14ac:dyDescent="0.25">
      <c r="L17" s="45"/>
      <c r="M17" s="45"/>
      <c r="N17" s="45"/>
      <c r="O17" s="45"/>
    </row>
    <row r="18" spans="1:15" ht="20.100000000000001" customHeight="1" x14ac:dyDescent="0.25">
      <c r="L18" s="45"/>
      <c r="M18" s="45"/>
      <c r="N18" s="45"/>
      <c r="O18" s="45"/>
    </row>
    <row r="19" spans="1:15" ht="20.100000000000001" customHeight="1" x14ac:dyDescent="0.25">
      <c r="L19" s="45"/>
      <c r="M19" s="45"/>
      <c r="N19" s="45"/>
      <c r="O19" s="45"/>
    </row>
    <row r="20" spans="1:15" ht="20.100000000000001" customHeight="1" x14ac:dyDescent="0.25">
      <c r="A20" s="13"/>
      <c r="L20" s="45"/>
      <c r="M20" s="45"/>
      <c r="N20" s="45"/>
      <c r="O20" s="45"/>
    </row>
    <row r="21" spans="1:15" ht="20.100000000000001" customHeight="1" x14ac:dyDescent="0.25">
      <c r="A21" s="13"/>
      <c r="O21" s="45"/>
    </row>
    <row r="22" spans="1:15" ht="20.100000000000001" customHeight="1" x14ac:dyDescent="0.25"/>
    <row r="23" spans="1:15" ht="20.100000000000001" customHeight="1" x14ac:dyDescent="0.25">
      <c r="A23" s="13"/>
    </row>
    <row r="24" spans="1:15" ht="20.100000000000001" customHeight="1" x14ac:dyDescent="0.25"/>
    <row r="25" spans="1:15" ht="20.100000000000001" customHeight="1" x14ac:dyDescent="0.25"/>
    <row r="26" spans="1:15" ht="20.100000000000001" customHeight="1" x14ac:dyDescent="0.25"/>
    <row r="27" spans="1:15" ht="20.100000000000001" customHeight="1" x14ac:dyDescent="0.25"/>
    <row r="28" spans="1:15" ht="20.100000000000001" customHeight="1" x14ac:dyDescent="0.25"/>
    <row r="29" spans="1:15" ht="20.100000000000001" customHeight="1" x14ac:dyDescent="0.25"/>
    <row r="30" spans="1:15" ht="20.100000000000001" customHeight="1" x14ac:dyDescent="0.25"/>
    <row r="31" spans="1:15" ht="20.100000000000001" customHeight="1" x14ac:dyDescent="0.25"/>
    <row r="32" spans="1:15" ht="20.100000000000001" customHeight="1" x14ac:dyDescent="0.25"/>
    <row r="33" spans="1:1" ht="20.100000000000001" customHeight="1" x14ac:dyDescent="0.25"/>
    <row r="34" spans="1:1" ht="20.100000000000001" customHeight="1" x14ac:dyDescent="0.25"/>
    <row r="35" spans="1:1" ht="20.100000000000001" customHeight="1" x14ac:dyDescent="0.25"/>
    <row r="36" spans="1:1" ht="20.100000000000001" customHeight="1" x14ac:dyDescent="0.25"/>
    <row r="37" spans="1:1" ht="20.100000000000001" customHeight="1" x14ac:dyDescent="0.25">
      <c r="A37" s="54"/>
    </row>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c r="A69" s="54"/>
    </row>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spans="1:1" ht="20.100000000000001" customHeight="1" x14ac:dyDescent="0.25"/>
    <row r="82" spans="1:1" ht="20.100000000000001" customHeight="1" x14ac:dyDescent="0.25"/>
    <row r="83" spans="1:1" ht="20.100000000000001" customHeight="1" x14ac:dyDescent="0.25">
      <c r="A83" s="54"/>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8648A-6E7B-4E65-9D29-0C4DFEC60D23}">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0" t="str" cm="1">
        <f t="array" ref="D59:D61">"⚠️" &amp; Common_SourceData.Common_SourceData_WetAndDryZones_Variation()</f>
        <v>⚠️VARIATION OF SOURCE DATA:</v>
      </c>
    </row>
    <row r="60" spans="4:8" ht="20.100000000000001" customHeight="1" x14ac:dyDescent="0.25">
      <c r="D60" s="30" t="str">
        <v>⚠️Added warm / cool temperate moist / dry - low frost and high temp classes to accommodate climate scenarios excluded by VEERG criteria.</v>
      </c>
    </row>
    <row r="61" spans="4:8" ht="20.100000000000001" customHeight="1" x14ac:dyDescent="0.25">
      <c r="D61" s="30"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0" t="str" cm="1">
        <f t="array" ref="D83:D87">"⚠️" &amp; Common_SourceData.Common_SourceData_ClimateZones_Variation()</f>
        <v>⚠️VARIATION OF SOURCE DATA:</v>
      </c>
    </row>
    <row r="84" spans="4:20" ht="20.100000000000001" customHeight="1" x14ac:dyDescent="0.25">
      <c r="D84" s="30" t="str">
        <v>⚠️Added warm / cool temperate moist / dry - low frost and high temp classes to accommodate climate scenarios excluded by VEERG criteria.</v>
      </c>
    </row>
    <row r="85" spans="4:20" ht="20.100000000000001" customHeight="1" x14ac:dyDescent="0.25">
      <c r="D85" s="30" t="str">
        <v>⚠️Fixed typo in MAT value for warm temperate dry - changed 10 to 11.</v>
      </c>
    </row>
    <row r="86" spans="4:20" ht="20.100000000000001" customHeight="1" x14ac:dyDescent="0.25">
      <c r="D86" s="30" t="str">
        <v>⚠️Added min and max columns for MAT, MAP, frost days per year, elevation, MAP:PET to calculate zones from real climate data.</v>
      </c>
    </row>
    <row r="87" spans="4:20" ht="20.100000000000001" customHeight="1" x14ac:dyDescent="0.25">
      <c r="D87" s="30"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29" t="str" cm="1">
        <f t="array" ref="D99:D102">Common_SourceData.Common_SourceData_ClimateZones_Appendices()</f>
        <v>Note:</v>
      </c>
    </row>
    <row r="100" spans="4:20" ht="20.100000000000001" customHeight="1" x14ac:dyDescent="0.25">
      <c r="D100" s="29" t="str">
        <v>MAT = mean annual temperature</v>
      </c>
    </row>
    <row r="101" spans="4:20" ht="20.100000000000001" customHeight="1" x14ac:dyDescent="0.25">
      <c r="D101" s="29" t="str">
        <v>MAP = mean annual precipitation</v>
      </c>
    </row>
    <row r="102" spans="4:20" ht="20.100000000000001" customHeight="1" x14ac:dyDescent="0.25">
      <c r="D102" s="29" t="str">
        <v>PET = potential evapotranspiration</v>
      </c>
    </row>
    <row r="103" spans="4:20" ht="20.100000000000001" customHeight="1" x14ac:dyDescent="0.25">
      <c r="D103" s="29"/>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0"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7" t="s">
        <v>39</v>
      </c>
      <c r="E119" s="27" t="s">
        <v>40</v>
      </c>
      <c r="F119" s="27" t="s">
        <v>26</v>
      </c>
      <c r="G119" s="27" t="s">
        <v>27</v>
      </c>
      <c r="BN119" s="6"/>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0"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7" t="s">
        <v>58</v>
      </c>
      <c r="E142" s="27" t="s">
        <v>48</v>
      </c>
      <c r="BN142" s="6"/>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7" t="s">
        <v>43</v>
      </c>
      <c r="E153" s="27" t="s">
        <v>44</v>
      </c>
      <c r="BC153" s="2"/>
      <c r="BD153" s="2"/>
      <c r="BE153" s="2"/>
      <c r="BF153" s="2"/>
      <c r="BG153" s="2"/>
      <c r="BH153" s="2"/>
      <c r="BI153" s="2"/>
      <c r="BJ153" s="2"/>
      <c r="BK153" s="2"/>
      <c r="BL153" s="2"/>
      <c r="BM153" s="2"/>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9"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9" t="str" cm="1">
        <f t="array" ref="D180">Common_SourceData.Common_SourceData_EFN2O_Unit()</f>
        <v>(kg N2O-N / kg N</v>
      </c>
    </row>
    <row r="181" spans="4:68" ht="20.100000000000001" customHeight="1" x14ac:dyDescent="0.25">
      <c r="D181" s="30" t="str" cm="1">
        <f t="array" ref="D181:D185">Common_SourceData.Common_SourceData_EFN2O_Variation()</f>
        <v>VARIATION OF SOURCE DATA:</v>
      </c>
    </row>
    <row r="182" spans="4:68" ht="20.100000000000001" customHeight="1" x14ac:dyDescent="0.25">
      <c r="D182" s="30" t="str">
        <v>Removed duplicate 'Aquaculture' row.</v>
      </c>
    </row>
    <row r="183" spans="4:68" ht="20.100000000000001" customHeight="1" x14ac:dyDescent="0.25">
      <c r="D183" s="30" t="str">
        <v>Removed asterisks to aid lookup.</v>
      </c>
    </row>
    <row r="184" spans="4:68" ht="20.100000000000001" customHeight="1" x14ac:dyDescent="0.25">
      <c r="D184" s="30" t="str">
        <v>Added 'production system only', 'rainfall zone' and 'irrigation method' columns to aid lookup.</v>
      </c>
    </row>
    <row r="185" spans="4:68" ht="20.100000000000001" customHeight="1" x14ac:dyDescent="0.25">
      <c r="D185" s="30"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0" t="str" cm="1">
        <f t="array" ref="D204">Common_SourceData.Common_SourceData_EFPastureRangeAndPaddock_Variation()</f>
        <v>VARIATION FROM SOURCE DATA: Changed 'Dry climate zones' to singular 'Dry climate zone' to aid lookup.</v>
      </c>
    </row>
    <row r="205" spans="4:8" x14ac:dyDescent="0.25">
      <c r="D205" s="29"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57</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9"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HUAcABwAGwAZQBtAGUAbgB0AGEAcgB5AEMATwAyAF8ARQBxAHUAYQB0AGkAbwBuAHMAIgAsACIAdABlAHgAdAAiADoAIgAvACoAXABuAD0APQA9AD0APQA9AD0APQA9AD0APQA9AD0APQA9AD0APQA9AD0APQA9AD0APQA9AD0APQA9AD0APQA9AD0APQA9AD0APQA9AD0APQA9AD0APQA9AD0APQA9AD0APQA9AD0APQA9AD0APQA9AD0APQA9AD0APQA9AD0APQA9AD0APQA9AD0APQA9AD0APQA9AD0APQA9AD0AXABuADEAMgAuADEAOgAgAFMAdQBwAHAAbABlAG0AZQBuAHQAYQByAHkAIABDAE8AMgBcAG4APQA9AD0APQA9AD0APQA9AD0APQA9AD0APQA9AD0APQA9AD0APQA9AD0APQA9AD0APQA9AD0APQA9AD0APQA9AD0APQA9AD0APQA9AD0APQA9AD0APQA9AD0APQA9AD0APQA9AD0APQA9AD0APQA9AD0APQA9AD0APQA9AD0APQA9AD0APQA9AD0APQA9AD0APQA9AD0APQBcAG4AMQAyAC4AMQAuADEALgAxACAATQBlAHQAaABvAGQAIAAxACAALQAgAFMAdQBwAHAAbABlAG0AZQBuAHQAYQByAHkAIABDAE8AMg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gBfADEAXwAxAF8AMQBfAF8AMQBfAEUAbQBpAHMAcwBpAG8AbgBzAEYAcgBvAG0AUwB1AHAAcABsAGUAbQBlAG4AdABhAHIAeQBDAE8AMgBcAG4ARQBtAGkAcwBzAGkAbwBuAHMAIABmAHIAbwBtACAAdABoAGUAIAB1AHMAZQAgAG8AZgAgAHMAdQBwAHAAbABlAG0AZQBuAHQAYQByAHkAIABDAE8AMgBcAG4ARQBcAG4AdAAgAEMATwAyAGUAXABuAEUAPQBRAFwAXAB0AGkAbQBlAHMAIAAxADAAXgB7AC0AMwB9AFwAbgBRACAAPQAgAHEAdQBhAG4AdABpAHQAeQAgAG8AZgAgAHMAdQBwAHAAbABlAG0AZQBuAHQAYQByAHkAIABDAE8AMgAgAHUAcwBlAGQAIAB3AGkAdABoAGkAbgAgAHQAaABlACAAbwBwAGUAcgBhAHQAaQBvAG4AcwAgACgAawBnACAAQwBPADIAKQBcAG4ALQAtAC0ALQAtAC0ALQAtAC0ALQAtAC0ALQAtAC0ALQAtAC0ALQAtAC0ALQAtAC0ALQAtAC0ALQAtAC0ALQAtAC0ALQAtAC0ALQAtAFwAbgAqAC8AXABuAFwAbgBWAEUARQBSAEcAXwAxADIAXwAxAF8AMQBfADEAXwBfADEAXwBFAG0AaQBzAHMAaQBvAG4AcwBGAHIAbwBtAFMAdQBwAHAAbABlAG0AZQBuAHQAYQByAHkAQwBPADIAXABuACAAIAA9AEwAQQBNAEIARABBACgAXABuACAAIAAgACAAUQAsAFwAbgAgACAAIAAgAFEAIAAqACAAMQAwACAAXgAgAC0AMwBcAG4AIAAgACkAOwBcAG4AXABuAFYARQBFAFIARwBfADEAMgBfADEAXwAxAF8AMQBfAF8AMQBfAEUAbQBpAHMAcwBpAG8AbgBzAEYAcgBvAG0AUwB1AHAAcABsAGUAbQBlAG4AdABhAHIAeQBDAE8AMgBfAFQAaQB0AGwAZQBcAG4AIAAgAD0ATABBAE0AQgBEAEEAKABcACIARQBtAGkAcwBzAGkAbwBuAHMAIABmAHIAbwBtACAAdABoAGUAIAB1AHMAZQAgAG8AZgAgAHMAdQBwAHAAbABlAG0AZQBuAHQAYQByAHkAIABDAE8AMgBcACIAKQA7AFwAbgBcAG4AVgBFAEUAUgBHAF8AMQAyAF8AMQBfADEAXwAxAF8AXwAxAF8ARQBtAGkAcwBzAGkAbwBuAHMARgByAG8AbQBTAHUAcABwAGwAZQBtAGUAbgB0AGEAcgB5AEMATwAyAF8AVgBhAHIAaQBhAGIAbABlAFwAbgAgACAAPQBMAEEATQBCAEQAQQAoAFwAIgBFAFwAIgApADsAXABuAFwAbgBWAEUARQBSAEcAXwAxADIAXwAxAF8AMQBfADEAXwBfADEAXwBFAG0AaQBzAHMAaQBvAG4AcwBGAHIAbwBtAFMAdQBwAHAAbABlAG0AZQBuAHQAYQByAHkAQwBPADIAXwBVAG4AaQB0AFwAbgAgACAAPQBMAEEATQBCAEQAQQAoAFwAIgB0ACAAQwBPADIAZQBcACIAKQA7AFwAbgBcAG4AVgBFAEUAUgBHAF8AMQAyAF8AMQBfADEAXwAxAF8AXwAxAF8ARQBtAGkAcwBzAGkAbwBuAHMARgByAG8AbQBTAHUAcABwAGwAZQBtAGUAbgB0AGEAcgB5AEMATwAyAF8AUwBvAHUAcgBjAGUAXABuACAAIAA9AEwAQQBNAEIARABBACgAXAAiAFYARQBFAFIARwAgADIAMAAyADYAOgAgADEAMgAuADEALgAxAC4AMQAsACAARQBxAHUAYQB0AGkAbwBuACAAKAAxACkAXAAiACkAOwBcAG4AXABuAFYARQBFAFIARwBfADEAMgBfADEAXwAxAF8AMQBfAF8AMQBfAEUAbQBpAHMAcwBpAG8AbgBzAEYAcgBvAG0AUwB1AHAAcABsAGUAbQBlAG4AdABhAHIAeQBDAE8AMgBfAE4ASQBSAFIAZQBmAGUAcgBlAG4AYwBlAFwAbgAgACAAPQBMAEEATQBCAEQAQQAoAFwAIgBcACIAKQA7AFwAbgBcAG4AVgBFAEUAUgBHAF8AMQAyAF8AMQBfADEAXwAxAF8AXwAxAF8ARQBtAGkAcwBzAGkAbwBuAHMARgByAG8AbQBTAHUAcABwAGwAZQBtAGUAbgB0AGEAcgB5AEMATwAyAF8ATABhAHQAZQB4AEUAcQB1AGEAdABpAG8AbgBcAG4AIAAgAD0ATABBAE0AQgBEAEEAKABcACIARQA9AFEAXABcAHQAaQBtAGUAcwAgADEAMABeAHsALQAzAH0AXAAiACkAOwBcAG4AXABuAFYARQBFAFIARwBfADEAMgBfADEAXwAxAF8AMQBfAF8AMQBfAEUAbQBpAHMAcwBpAG8AbgBzAEYAcgBvAG0AUwB1AHAAcABsAGUAbQBlAG4AdABhAHIAeQBDAE8AMgBfAEEAcgBnAHUAbQBlAG4AdABzAFwAbgAgACAAPQBMAEEATQBCAEQAQQAoAFwAbgAgACAAIAAgAE0AQQBLAEUAQQBSAFIAQQBZACgAMQAsACAANAAsAFwAbgAgACAAIAAgACAAIABMAEEATQBCAEQAQQAoAHIALABjACwAXABuACAAIAAgACAAIAAgACAAIABJAE4ARABFAFgAKAB7AFwAbgAgACAAIAAgACAAIAAgACAAIAAgAFwAIgBRAFwAIgAsACAAXAAiAHEAdQBhAG4AdABpAHQAeQAgAG8AZgAgAHMAdQBwAHAAbABlAG0AZQBuAHQAYQByAHkAIABDAE8AMgAgAHUAcwBlAGQAIAB3AGkAdABoAGkAbgAgAHQAaABlACAAbwBwAGUAcgBhAHQAaQBvAG4AcwBcACIALAAgAFwAIgBrAGcAIABDAE8AMgBcACIALAAgAFwAIgBJAG4AcAB1AHQAXAAiAFwAbgAgACAAIAAgACAAIAAgACAAfQAsACAAcgAsACAAYwApAFwAbgAgACAAIAAgACAAIAApAFwAbgAgACAAIAAgACkAXABuACAAIAApADs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MAdQBwAHAAbABlAG0AZQBuAHQAYQByAHkAQwBPADIAXwBFAHEAdQBhAHQAaQBvAG4AcwAuAFYARQBFAFIARwBfADEAMgBfADEAXwAxAF8AMQBfAF8AMQBfAEUAbQBpAHMAcwBpAG8AbgBzAEYAcgBvAG0AUwB1AHAAcABsAGUAbQBlAG4AdABhAHIAeQBDAE8AMgAiACwAIgBTAHUAcABwAGwAZQBtAGUAbgB0AGEAcgB5AEMATwAyAF8ARQBxAHUAYQB0AGkAbwBuAHMALgBWAEUARQBSAEcAXwAxADIAXwAxAF8AMQBfADEAXwBfADEAXwBFAG0AaQBzAHMAaQBvAG4AcwBGAHIAbwBtAFMAdQBwAHAAbABlAG0AZQBuAHQAYQByAHkAQwBPADIAXwBUAGkAdABsAGUAIgAsACIAUwB1AHAAcABsAGUAbQBlAG4AdABhAHIAeQBDAE8AMgBfAEUAcQB1AGEAdABpAG8AbgBzAC4AVgBFAEUAUgBHAF8AMQAyAF8AMQBfADEAXwAxAF8AXwAxAF8ARQBtAGkAcwBzAGkAbwBuAHMARgByAG8AbQBTAHUAcABwAGwAZQBtAGUAbgB0AGEAcgB5AEMATwAyAF8AVgBhAHIAaQBhAGIAbABlACIALAAiAFMAdQBwAHAAbABlAG0AZQBuAHQAYQByAHkAQwBPADIAXwBFAHEAdQBhAHQAaQBvAG4AcwAuAFYARQBFAFIARwBfADEAMgBfADEAXwAxAF8AMQBfAF8AMQBfAEUAbQBpAHMAcwBpAG8AbgBzAEYAcgBvAG0AUwB1AHAAcABsAGUAbQBlAG4AdABhAHIAeQBDAE8AMgBfAFUAbgBpAHQAIgAsACIAUwB1AHAAcABsAGUAbQBlAG4AdABhAHIAeQBDAE8AMgBfAEUAcQB1AGEAdABpAG8AbgBzAC4AVgBFAEUAUgBHAF8AMQAyAF8AMQBfADEAXwAxAF8AXwAxAF8ARQBtAGkAcwBzAGkAbwBuAHMARgByAG8AbQBTAHUAcABwAGwAZQBtAGUAbgB0AGEAcgB5AEMATwAyAF8AUwBvAHUAcgBjAGUAIgAsACIAUwB1AHAAcABsAGUAbQBlAG4AdABhAHIAeQBDAE8AMgBfAEUAcQB1AGEAdABpAG8AbgBzAC4AVgBFAEUAUgBHAF8AMQAyAF8AMQBfADEAXwAxAF8AXwAxAF8ARQBtAGkAcwBzAGkAbwBuAHMARgByAG8AbQBTAHUAcABwAGwAZQBtAGUAbgB0AGEAcgB5AEMATwAyAF8ATgBJAFIAUgBlAGYAZQByAGUAbgBjAGUAIgAsACIAUwB1AHAAcABsAGUAbQBlAG4AdABhAHIAeQBDAE8AMgBfAEUAcQB1AGEAdABpAG8AbgBzAC4AVgBFAEUAUgBHAF8AMQAyAF8AMQBfADEAXwAxAF8AXwAxAF8ARQBtAGkAcwBzAGkAbwBuAHMARgByAG8AbQBTAHUAcABwAGwAZQBtAGUAbgB0AGEAcgB5AEMATwAyAF8ATABhAHQAZQB4AEUAcQB1AGEAdABpAG8AbgAiACwAIgBTAHUAcABwAGwAZQBtAGUAbgB0AGEAcgB5AEMATwAyAF8ARQBxAHUAYQB0AGkAbwBuAHMALgBWAEUARQBSAEcAXwAxADIAXwAxAF8AMQBfADEAXwBfADEAXwBFAG0AaQBzAHMAaQBvAG4AcwBGAHIAbwBtAFMAdQBwAHAAbABlAG0AZQBuAHQAYQByAHkAQwBPAD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Home</vt:lpstr>
      <vt:lpstr>Overview</vt:lpstr>
      <vt:lpstr>Results</vt:lpstr>
      <vt:lpstr>Input - CO2 Use</vt:lpstr>
      <vt:lpstr>12.1.1-2 Supplementary CO2</vt:lpstr>
      <vt:lpstr>Constants - Common</vt:lpstr>
      <vt:lpstr>Common_SourceData_DensityOfMethane_Data</vt:lpstr>
      <vt:lpstr>VEERG_12_1_1_1__1_EmissionsFromSupplementaryCO2_Result_Method1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