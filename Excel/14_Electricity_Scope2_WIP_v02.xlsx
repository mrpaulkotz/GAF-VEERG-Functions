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BDA4AA0-669D-4B0D-BA79-CA098AA221D3}" xr6:coauthVersionLast="47" xr6:coauthVersionMax="47" xr10:uidLastSave="{00000000-0000-0000-0000-000000000000}"/>
  <bookViews>
    <workbookView xWindow="390" yWindow="390" windowWidth="28800" windowHeight="15345" firstSheet="3"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6"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6" l="1" a="1"/>
  <c r="E259" i="126" s="1"/>
  <c r="D259" i="126" a="1"/>
  <c r="D259" i="126" s="1"/>
  <c r="E258" i="126" a="1"/>
  <c r="E258" i="126" s="1"/>
  <c r="D258" i="126" a="1"/>
  <c r="D258" i="126" s="1"/>
  <c r="D256" i="126" a="1"/>
  <c r="D256" i="126" s="1"/>
  <c r="D255" i="126" a="1"/>
  <c r="D255" i="126" s="1"/>
  <c r="D254" i="126" a="1"/>
  <c r="D254" i="126" s="1"/>
  <c r="D253" i="126" a="1"/>
  <c r="D253" i="126" s="1"/>
  <c r="S250" i="126" a="1"/>
  <c r="S250" i="126" s="1"/>
  <c r="R250" i="126" a="1"/>
  <c r="R250" i="126" s="1"/>
  <c r="Q250" i="126" a="1"/>
  <c r="Q250" i="126" s="1"/>
  <c r="P250" i="126" a="1"/>
  <c r="P250" i="126" s="1"/>
  <c r="O250" i="126" a="1"/>
  <c r="O250" i="126" s="1"/>
  <c r="N250" i="126" a="1"/>
  <c r="N250" i="126" s="1"/>
  <c r="M250" i="126" a="1"/>
  <c r="M250" i="126" s="1"/>
  <c r="L250" i="126" a="1"/>
  <c r="L250" i="126" s="1"/>
  <c r="K250" i="126" a="1"/>
  <c r="K250" i="126" s="1"/>
  <c r="J250" i="126" a="1"/>
  <c r="J250" i="126" s="1"/>
  <c r="I250" i="126" a="1"/>
  <c r="I250" i="126" s="1"/>
  <c r="H250" i="126" a="1"/>
  <c r="H250" i="126" s="1"/>
  <c r="G250" i="126" a="1"/>
  <c r="G250" i="126" s="1"/>
  <c r="F250" i="126" a="1"/>
  <c r="F250" i="126" s="1"/>
  <c r="E250" i="126" a="1"/>
  <c r="E250" i="126" s="1"/>
  <c r="D250" i="126" a="1"/>
  <c r="D250" i="126" s="1"/>
  <c r="S249" i="126" a="1"/>
  <c r="S249" i="126" s="1"/>
  <c r="R249" i="126" a="1"/>
  <c r="R249" i="126" s="1"/>
  <c r="Q249" i="126" a="1"/>
  <c r="Q249" i="126" s="1"/>
  <c r="P249" i="126" a="1"/>
  <c r="P249" i="126" s="1"/>
  <c r="O249" i="126" a="1"/>
  <c r="O249" i="126" s="1"/>
  <c r="N249" i="126" a="1"/>
  <c r="N249" i="126" s="1"/>
  <c r="M249" i="126" a="1"/>
  <c r="M249" i="126" s="1"/>
  <c r="L249" i="126" a="1"/>
  <c r="L249" i="126" s="1"/>
  <c r="K249" i="126" a="1"/>
  <c r="K249" i="126" s="1"/>
  <c r="J249" i="126" a="1"/>
  <c r="J249" i="126" s="1"/>
  <c r="I249" i="126" a="1"/>
  <c r="I249" i="126" s="1"/>
  <c r="H249" i="126" a="1"/>
  <c r="H249" i="126" s="1"/>
  <c r="G249" i="126" a="1"/>
  <c r="G249" i="126" s="1"/>
  <c r="F249" i="126" a="1"/>
  <c r="F249" i="126" s="1"/>
  <c r="E249" i="126" a="1"/>
  <c r="E249" i="126" s="1"/>
  <c r="D249" i="126" a="1"/>
  <c r="D249" i="126" s="1"/>
  <c r="S248" i="126" a="1"/>
  <c r="S248" i="126" s="1"/>
  <c r="R248" i="126" a="1"/>
  <c r="R248" i="126" s="1"/>
  <c r="Q248" i="126" a="1"/>
  <c r="Q248" i="126" s="1"/>
  <c r="P248" i="126" a="1"/>
  <c r="P248" i="126" s="1"/>
  <c r="O248" i="126" a="1"/>
  <c r="O248" i="126" s="1"/>
  <c r="N248" i="126" a="1"/>
  <c r="N248" i="126" s="1"/>
  <c r="M248" i="126" a="1"/>
  <c r="M248" i="126" s="1"/>
  <c r="L248" i="126" a="1"/>
  <c r="L248" i="126" s="1"/>
  <c r="K248" i="126" a="1"/>
  <c r="K248" i="126" s="1"/>
  <c r="J248" i="126" a="1"/>
  <c r="J248" i="126" s="1"/>
  <c r="I248" i="126" a="1"/>
  <c r="I248" i="126" s="1"/>
  <c r="H248" i="126" a="1"/>
  <c r="H248" i="126" s="1"/>
  <c r="G248" i="126" a="1"/>
  <c r="G248" i="126" s="1"/>
  <c r="F248" i="126" a="1"/>
  <c r="F248" i="126" s="1"/>
  <c r="E248" i="126" a="1"/>
  <c r="E248" i="126" s="1"/>
  <c r="D248" i="126" a="1"/>
  <c r="D248" i="126" s="1"/>
  <c r="S247" i="126" a="1"/>
  <c r="S247" i="126" s="1"/>
  <c r="R247" i="126" a="1"/>
  <c r="R247" i="126" s="1"/>
  <c r="Q247" i="126" a="1"/>
  <c r="Q247" i="126" s="1"/>
  <c r="P247" i="126" a="1"/>
  <c r="P247" i="126" s="1"/>
  <c r="O247" i="126" a="1"/>
  <c r="O247" i="126" s="1"/>
  <c r="N247" i="126" a="1"/>
  <c r="N247" i="126" s="1"/>
  <c r="M247" i="126" a="1"/>
  <c r="M247" i="126" s="1"/>
  <c r="L247" i="126" a="1"/>
  <c r="L247" i="126" s="1"/>
  <c r="K247" i="126" a="1"/>
  <c r="K247" i="126" s="1"/>
  <c r="J247" i="126" a="1"/>
  <c r="J247" i="126" s="1"/>
  <c r="I247" i="126" a="1"/>
  <c r="I247" i="126" s="1"/>
  <c r="H247" i="126" a="1"/>
  <c r="H247" i="126" s="1"/>
  <c r="G247" i="126" a="1"/>
  <c r="G247" i="126" s="1"/>
  <c r="F247" i="126" a="1"/>
  <c r="F247" i="126" s="1"/>
  <c r="E247" i="126" a="1"/>
  <c r="E247" i="126" s="1"/>
  <c r="D247" i="126" a="1"/>
  <c r="D247" i="126" s="1"/>
  <c r="S246" i="126" a="1"/>
  <c r="S246" i="126" s="1"/>
  <c r="R246" i="126" a="1"/>
  <c r="R246" i="126" s="1"/>
  <c r="Q246" i="126" a="1"/>
  <c r="Q246" i="126" s="1"/>
  <c r="P246" i="126" a="1"/>
  <c r="P246" i="126" s="1"/>
  <c r="O246" i="126" a="1"/>
  <c r="O246" i="126" s="1"/>
  <c r="N246" i="126" a="1"/>
  <c r="N246" i="126" s="1"/>
  <c r="M246" i="126" a="1"/>
  <c r="M246" i="126" s="1"/>
  <c r="L246" i="126" a="1"/>
  <c r="L246" i="126" s="1"/>
  <c r="K246" i="126" a="1"/>
  <c r="K246" i="126" s="1"/>
  <c r="J246" i="126" a="1"/>
  <c r="J246" i="126" s="1"/>
  <c r="I246" i="126" a="1"/>
  <c r="I246" i="126" s="1"/>
  <c r="H246" i="126" a="1"/>
  <c r="H246" i="126" s="1"/>
  <c r="G246" i="126" a="1"/>
  <c r="G246" i="126" s="1"/>
  <c r="F246" i="126" a="1"/>
  <c r="F246" i="126" s="1"/>
  <c r="E246" i="126" a="1"/>
  <c r="E246" i="126" s="1"/>
  <c r="D246" i="126" a="1"/>
  <c r="D246" i="126" s="1"/>
  <c r="S245" i="126" a="1"/>
  <c r="S245" i="126" s="1"/>
  <c r="R245" i="126" a="1"/>
  <c r="R245" i="126" s="1"/>
  <c r="Q245" i="126" a="1"/>
  <c r="Q245" i="126" s="1"/>
  <c r="P245" i="126" a="1"/>
  <c r="P245" i="126" s="1"/>
  <c r="O245" i="126" a="1"/>
  <c r="O245" i="126" s="1"/>
  <c r="N245" i="126" a="1"/>
  <c r="N245" i="126" s="1"/>
  <c r="M245" i="126" a="1"/>
  <c r="M245" i="126" s="1"/>
  <c r="L245" i="126" a="1"/>
  <c r="L245" i="126" s="1"/>
  <c r="K245" i="126" a="1"/>
  <c r="K245" i="126" s="1"/>
  <c r="J245" i="126" a="1"/>
  <c r="J245" i="126" s="1"/>
  <c r="I245" i="126" a="1"/>
  <c r="I245" i="126" s="1"/>
  <c r="H245" i="126" a="1"/>
  <c r="H245" i="126" s="1"/>
  <c r="G245" i="126" a="1"/>
  <c r="G245" i="126" s="1"/>
  <c r="F245" i="126" a="1"/>
  <c r="F245" i="126" s="1"/>
  <c r="E245" i="126" a="1"/>
  <c r="E245" i="126" s="1"/>
  <c r="D245" i="126" a="1"/>
  <c r="D245" i="126" s="1"/>
  <c r="S244" i="126" a="1"/>
  <c r="S244" i="126" s="1"/>
  <c r="R244" i="126" a="1"/>
  <c r="R244" i="126" s="1"/>
  <c r="Q244" i="126" a="1"/>
  <c r="Q244" i="126" s="1"/>
  <c r="P244" i="126" a="1"/>
  <c r="P244" i="126" s="1"/>
  <c r="O244" i="126" a="1"/>
  <c r="O244" i="126" s="1"/>
  <c r="N244" i="126" a="1"/>
  <c r="N244" i="126" s="1"/>
  <c r="M244" i="126" a="1"/>
  <c r="M244" i="126" s="1"/>
  <c r="L244" i="126" a="1"/>
  <c r="L244" i="126" s="1"/>
  <c r="K244" i="126" a="1"/>
  <c r="K244" i="126" s="1"/>
  <c r="J244" i="126" a="1"/>
  <c r="J244" i="126" s="1"/>
  <c r="I244" i="126" a="1"/>
  <c r="I244" i="126" s="1"/>
  <c r="H244" i="126" a="1"/>
  <c r="H244" i="126" s="1"/>
  <c r="G244" i="126" a="1"/>
  <c r="G244" i="126" s="1"/>
  <c r="F244" i="126" a="1"/>
  <c r="F244" i="126" s="1"/>
  <c r="E244" i="126" a="1"/>
  <c r="E244" i="126" s="1"/>
  <c r="D244" i="126" a="1"/>
  <c r="D244" i="126" s="1"/>
  <c r="S243" i="126" a="1"/>
  <c r="S243" i="126" s="1"/>
  <c r="R243" i="126" a="1"/>
  <c r="R243" i="126" s="1"/>
  <c r="Q243" i="126" a="1"/>
  <c r="Q243" i="126" s="1"/>
  <c r="P243" i="126" a="1"/>
  <c r="P243" i="126" s="1"/>
  <c r="O243" i="126" a="1"/>
  <c r="O243" i="126" s="1"/>
  <c r="N243" i="126" a="1"/>
  <c r="N243" i="126" s="1"/>
  <c r="M243" i="126" a="1"/>
  <c r="M243" i="126" s="1"/>
  <c r="L243" i="126" a="1"/>
  <c r="L243" i="126" s="1"/>
  <c r="K243" i="126" a="1"/>
  <c r="K243" i="126" s="1"/>
  <c r="J243" i="126" a="1"/>
  <c r="J243" i="126" s="1"/>
  <c r="I243" i="126" a="1"/>
  <c r="I243" i="126" s="1"/>
  <c r="H243" i="126" a="1"/>
  <c r="H243" i="126" s="1"/>
  <c r="G243" i="126" a="1"/>
  <c r="G243" i="126" s="1"/>
  <c r="F243" i="126" a="1"/>
  <c r="F243" i="126" s="1"/>
  <c r="E243" i="126" a="1"/>
  <c r="E243" i="126" s="1"/>
  <c r="D243" i="126" a="1"/>
  <c r="D243" i="126" s="1"/>
  <c r="S242" i="126" a="1"/>
  <c r="S242" i="126" s="1"/>
  <c r="R242" i="126" a="1"/>
  <c r="R242" i="126" s="1"/>
  <c r="Q242" i="126" a="1"/>
  <c r="Q242" i="126" s="1"/>
  <c r="P242" i="126" a="1"/>
  <c r="P242" i="126" s="1"/>
  <c r="O242" i="126" a="1"/>
  <c r="O242" i="126" s="1"/>
  <c r="N242" i="126" a="1"/>
  <c r="N242" i="126" s="1"/>
  <c r="M242" i="126" a="1"/>
  <c r="M242" i="126" s="1"/>
  <c r="L242" i="126" a="1"/>
  <c r="L242" i="126" s="1"/>
  <c r="K242" i="126" a="1"/>
  <c r="K242" i="126" s="1"/>
  <c r="J242" i="126" a="1"/>
  <c r="J242" i="126" s="1"/>
  <c r="I242" i="126" a="1"/>
  <c r="I242" i="126" s="1"/>
  <c r="H242" i="126" a="1"/>
  <c r="H242" i="126" s="1"/>
  <c r="G242" i="126" a="1"/>
  <c r="G242" i="126" s="1"/>
  <c r="F242" i="126" a="1"/>
  <c r="F242" i="126" s="1"/>
  <c r="E242" i="126" a="1"/>
  <c r="E242" i="126" s="1"/>
  <c r="D242" i="126" a="1"/>
  <c r="D242" i="126" s="1"/>
  <c r="S241" i="126" a="1"/>
  <c r="S241" i="126" s="1"/>
  <c r="R241" i="126" a="1"/>
  <c r="R241" i="126" s="1"/>
  <c r="Q241" i="126" a="1"/>
  <c r="Q241" i="126" s="1"/>
  <c r="P241" i="126" a="1"/>
  <c r="P241" i="126" s="1"/>
  <c r="O241" i="126" a="1"/>
  <c r="O241" i="126" s="1"/>
  <c r="N241" i="126" a="1"/>
  <c r="N241" i="126" s="1"/>
  <c r="M241" i="126" a="1"/>
  <c r="M241" i="126" s="1"/>
  <c r="L241" i="126" a="1"/>
  <c r="L241" i="126" s="1"/>
  <c r="K241" i="126" a="1"/>
  <c r="K241" i="126" s="1"/>
  <c r="J241" i="126" a="1"/>
  <c r="J241" i="126" s="1"/>
  <c r="I241" i="126" a="1"/>
  <c r="I241" i="126" s="1"/>
  <c r="H241" i="126" a="1"/>
  <c r="H241" i="126" s="1"/>
  <c r="G241" i="126" a="1"/>
  <c r="G241" i="126" s="1"/>
  <c r="F241" i="126" a="1"/>
  <c r="F241" i="126" s="1"/>
  <c r="E241" i="126" a="1"/>
  <c r="E241" i="126" s="1"/>
  <c r="D241" i="126" a="1"/>
  <c r="D241" i="126" s="1"/>
  <c r="S240" i="126" a="1"/>
  <c r="S240" i="126" s="1"/>
  <c r="R240" i="126" a="1"/>
  <c r="R240" i="126" s="1"/>
  <c r="Q240" i="126" a="1"/>
  <c r="Q240" i="126" s="1"/>
  <c r="P240" i="126" a="1"/>
  <c r="P240" i="126" s="1"/>
  <c r="O240" i="126" a="1"/>
  <c r="O240" i="126" s="1"/>
  <c r="N240" i="126" a="1"/>
  <c r="N240" i="126" s="1"/>
  <c r="M240" i="126" a="1"/>
  <c r="M240" i="126" s="1"/>
  <c r="L240" i="126" a="1"/>
  <c r="L240" i="126" s="1"/>
  <c r="K240" i="126" a="1"/>
  <c r="K240" i="126" s="1"/>
  <c r="J240" i="126" a="1"/>
  <c r="J240" i="126" s="1"/>
  <c r="I240" i="126" a="1"/>
  <c r="I240" i="126" s="1"/>
  <c r="H240" i="126" a="1"/>
  <c r="H240" i="126" s="1"/>
  <c r="G240" i="126" a="1"/>
  <c r="G240" i="126" s="1"/>
  <c r="F240" i="126" a="1"/>
  <c r="F240" i="126" s="1"/>
  <c r="E240" i="126" a="1"/>
  <c r="E240" i="126" s="1"/>
  <c r="D240" i="126" a="1"/>
  <c r="D240" i="126" s="1"/>
  <c r="S239" i="126" a="1"/>
  <c r="S239" i="126" s="1"/>
  <c r="R239" i="126" a="1"/>
  <c r="R239" i="126" s="1"/>
  <c r="Q239" i="126" a="1"/>
  <c r="Q239" i="126" s="1"/>
  <c r="P239" i="126" a="1"/>
  <c r="P239" i="126" s="1"/>
  <c r="O239" i="126" a="1"/>
  <c r="O239" i="126" s="1"/>
  <c r="N239" i="126" a="1"/>
  <c r="N239" i="126" s="1"/>
  <c r="M239" i="126" a="1"/>
  <c r="M239" i="126" s="1"/>
  <c r="L239" i="126" a="1"/>
  <c r="L239" i="126" s="1"/>
  <c r="K239" i="126" a="1"/>
  <c r="K239" i="126" s="1"/>
  <c r="J239" i="126" a="1"/>
  <c r="J239" i="126" s="1"/>
  <c r="I239" i="126" a="1"/>
  <c r="I239" i="126" s="1"/>
  <c r="H239" i="126" a="1"/>
  <c r="H239" i="126" s="1"/>
  <c r="G239" i="126" a="1"/>
  <c r="G239" i="126" s="1"/>
  <c r="F239" i="126" a="1"/>
  <c r="F239" i="126" s="1"/>
  <c r="E239" i="126" a="1"/>
  <c r="E239" i="126" s="1"/>
  <c r="D239" i="126" a="1"/>
  <c r="D239" i="126" s="1"/>
  <c r="S238" i="126" a="1"/>
  <c r="S238" i="126" s="1"/>
  <c r="R238" i="126" a="1"/>
  <c r="R238" i="126" s="1"/>
  <c r="Q238" i="126" a="1"/>
  <c r="Q238" i="126" s="1"/>
  <c r="P238" i="126" a="1"/>
  <c r="P238" i="126" s="1"/>
  <c r="O238" i="126" a="1"/>
  <c r="O238" i="126" s="1"/>
  <c r="N238" i="126" a="1"/>
  <c r="N238" i="126" s="1"/>
  <c r="M238" i="126" a="1"/>
  <c r="M238" i="126" s="1"/>
  <c r="L238" i="126" a="1"/>
  <c r="L238" i="126" s="1"/>
  <c r="K238" i="126" a="1"/>
  <c r="K238" i="126" s="1"/>
  <c r="J238" i="126" a="1"/>
  <c r="J238" i="126" s="1"/>
  <c r="I238" i="126" a="1"/>
  <c r="I238" i="126" s="1"/>
  <c r="H238" i="126" a="1"/>
  <c r="H238" i="126" s="1"/>
  <c r="G238" i="126" a="1"/>
  <c r="G238" i="126" s="1"/>
  <c r="F238" i="126" a="1"/>
  <c r="F238" i="126" s="1"/>
  <c r="E238" i="126" a="1"/>
  <c r="E238" i="126" s="1"/>
  <c r="D238" i="126" a="1"/>
  <c r="D238" i="126" s="1"/>
  <c r="S237" i="126" a="1"/>
  <c r="S237" i="126" s="1"/>
  <c r="R237" i="126" a="1"/>
  <c r="R237" i="126" s="1"/>
  <c r="Q237" i="126" a="1"/>
  <c r="Q237" i="126" s="1"/>
  <c r="P237" i="126" a="1"/>
  <c r="P237" i="126" s="1"/>
  <c r="O237" i="126" a="1"/>
  <c r="O237" i="126" s="1"/>
  <c r="N237" i="126" a="1"/>
  <c r="N237" i="126" s="1"/>
  <c r="M237" i="126" a="1"/>
  <c r="M237" i="126" s="1"/>
  <c r="L237" i="126" a="1"/>
  <c r="L237" i="126" s="1"/>
  <c r="K237" i="126" a="1"/>
  <c r="K237" i="126" s="1"/>
  <c r="J237" i="126" a="1"/>
  <c r="J237" i="126" s="1"/>
  <c r="I237" i="126" a="1"/>
  <c r="I237" i="126" s="1"/>
  <c r="H237" i="126" a="1"/>
  <c r="H237" i="126" s="1"/>
  <c r="G237" i="126" a="1"/>
  <c r="G237" i="126" s="1"/>
  <c r="F237" i="126" a="1"/>
  <c r="F237" i="126" s="1"/>
  <c r="E237" i="126" a="1"/>
  <c r="E237" i="126" s="1"/>
  <c r="D237" i="126" a="1"/>
  <c r="D237" i="126" s="1"/>
  <c r="S236" i="126" a="1"/>
  <c r="S236" i="126" s="1"/>
  <c r="R236" i="126" a="1"/>
  <c r="R236" i="126" s="1"/>
  <c r="Q236" i="126" a="1"/>
  <c r="Q236" i="126" s="1"/>
  <c r="P236" i="126" a="1"/>
  <c r="P236" i="126" s="1"/>
  <c r="O236" i="126" a="1"/>
  <c r="O236" i="126" s="1"/>
  <c r="N236" i="126"/>
  <c r="N236" i="126" a="1"/>
  <c r="M236" i="126" a="1"/>
  <c r="M236" i="126" s="1"/>
  <c r="L236" i="126" a="1"/>
  <c r="L236" i="126" s="1"/>
  <c r="K236" i="126" a="1"/>
  <c r="K236" i="126" s="1"/>
  <c r="J236" i="126" a="1"/>
  <c r="J236" i="126" s="1"/>
  <c r="I236" i="126" a="1"/>
  <c r="I236" i="126" s="1"/>
  <c r="H236" i="126" a="1"/>
  <c r="H236" i="126" s="1"/>
  <c r="G236" i="126" a="1"/>
  <c r="G236" i="126" s="1"/>
  <c r="F236" i="126" a="1"/>
  <c r="F236" i="126" s="1"/>
  <c r="E236" i="126" a="1"/>
  <c r="E236" i="126" s="1"/>
  <c r="D236" i="126" a="1"/>
  <c r="D236" i="126" s="1"/>
  <c r="S235" i="126" a="1"/>
  <c r="S235" i="126" s="1"/>
  <c r="R235" i="126" a="1"/>
  <c r="R235" i="126" s="1"/>
  <c r="Q235" i="126" a="1"/>
  <c r="Q235" i="126" s="1"/>
  <c r="P235" i="126" a="1"/>
  <c r="P235" i="126" s="1"/>
  <c r="O235" i="126" a="1"/>
  <c r="O235" i="126" s="1"/>
  <c r="N235" i="126" a="1"/>
  <c r="N235" i="126" s="1"/>
  <c r="M235" i="126" a="1"/>
  <c r="M235" i="126" s="1"/>
  <c r="L235" i="126" a="1"/>
  <c r="L235" i="126" s="1"/>
  <c r="K235" i="126" a="1"/>
  <c r="K235" i="126" s="1"/>
  <c r="J235" i="126" a="1"/>
  <c r="J235" i="126" s="1"/>
  <c r="I235" i="126" a="1"/>
  <c r="I235" i="126" s="1"/>
  <c r="H235" i="126" a="1"/>
  <c r="H235" i="126" s="1"/>
  <c r="G235" i="126" a="1"/>
  <c r="G235" i="126" s="1"/>
  <c r="F235" i="126" a="1"/>
  <c r="F235" i="126" s="1"/>
  <c r="E235" i="126" a="1"/>
  <c r="E235" i="126" s="1"/>
  <c r="D235" i="126" a="1"/>
  <c r="D235" i="126" s="1"/>
  <c r="S234" i="126" a="1"/>
  <c r="S234" i="126" s="1"/>
  <c r="R234" i="126" a="1"/>
  <c r="R234" i="126" s="1"/>
  <c r="Q234" i="126" a="1"/>
  <c r="Q234" i="126" s="1"/>
  <c r="P234" i="126" a="1"/>
  <c r="P234" i="126" s="1"/>
  <c r="O234" i="126" a="1"/>
  <c r="O234" i="126" s="1"/>
  <c r="N234" i="126" a="1"/>
  <c r="N234" i="126" s="1"/>
  <c r="M234" i="126" a="1"/>
  <c r="M234" i="126" s="1"/>
  <c r="L234" i="126" a="1"/>
  <c r="L234" i="126" s="1"/>
  <c r="K234" i="126" a="1"/>
  <c r="K234" i="126" s="1"/>
  <c r="J234" i="126" a="1"/>
  <c r="J234" i="126" s="1"/>
  <c r="I234" i="126" a="1"/>
  <c r="I234" i="126" s="1"/>
  <c r="H234" i="126" a="1"/>
  <c r="H234" i="126" s="1"/>
  <c r="G234" i="126" a="1"/>
  <c r="G234" i="126" s="1"/>
  <c r="F234" i="126" a="1"/>
  <c r="F234" i="126" s="1"/>
  <c r="E234" i="126" a="1"/>
  <c r="E234" i="126" s="1"/>
  <c r="D234" i="126" a="1"/>
  <c r="D234" i="126" s="1"/>
  <c r="S233" i="126" a="1"/>
  <c r="S233" i="126" s="1"/>
  <c r="R233" i="126" a="1"/>
  <c r="R233" i="126" s="1"/>
  <c r="Q233" i="126" a="1"/>
  <c r="Q233" i="126" s="1"/>
  <c r="P233" i="126" a="1"/>
  <c r="P233" i="126" s="1"/>
  <c r="O233" i="126" a="1"/>
  <c r="O233" i="126" s="1"/>
  <c r="N233" i="126" a="1"/>
  <c r="N233" i="126" s="1"/>
  <c r="M233" i="126" a="1"/>
  <c r="M233" i="126" s="1"/>
  <c r="L233" i="126" a="1"/>
  <c r="L233" i="126" s="1"/>
  <c r="K233" i="126" a="1"/>
  <c r="K233" i="126" s="1"/>
  <c r="J233" i="126" a="1"/>
  <c r="J233" i="126" s="1"/>
  <c r="I233" i="126" a="1"/>
  <c r="I233" i="126" s="1"/>
  <c r="H233" i="126" a="1"/>
  <c r="H233" i="126" s="1"/>
  <c r="G233" i="126" a="1"/>
  <c r="G233" i="126" s="1"/>
  <c r="F233" i="126" a="1"/>
  <c r="F233" i="126" s="1"/>
  <c r="E233" i="126" a="1"/>
  <c r="E233" i="126" s="1"/>
  <c r="D233" i="126" a="1"/>
  <c r="D233" i="126" s="1"/>
  <c r="S232" i="126" a="1"/>
  <c r="S232" i="126" s="1"/>
  <c r="R232" i="126" a="1"/>
  <c r="R232" i="126" s="1"/>
  <c r="Q232" i="126" a="1"/>
  <c r="Q232" i="126" s="1"/>
  <c r="P232" i="126" a="1"/>
  <c r="P232" i="126" s="1"/>
  <c r="O232" i="126" a="1"/>
  <c r="O232" i="126" s="1"/>
  <c r="N232" i="126" a="1"/>
  <c r="N232" i="126" s="1"/>
  <c r="M232" i="126" a="1"/>
  <c r="M232" i="126" s="1"/>
  <c r="L232" i="126" a="1"/>
  <c r="L232" i="126" s="1"/>
  <c r="K232" i="126" a="1"/>
  <c r="K232" i="126" s="1"/>
  <c r="J232" i="126" a="1"/>
  <c r="J232" i="126" s="1"/>
  <c r="I232" i="126" a="1"/>
  <c r="I232" i="126" s="1"/>
  <c r="H232" i="126" a="1"/>
  <c r="H232" i="126" s="1"/>
  <c r="G232" i="126" a="1"/>
  <c r="G232" i="126" s="1"/>
  <c r="F232" i="126" a="1"/>
  <c r="F232" i="126" s="1"/>
  <c r="E232" i="126" a="1"/>
  <c r="E232" i="126" s="1"/>
  <c r="D232" i="126" a="1"/>
  <c r="D232" i="126" s="1"/>
  <c r="D229" i="126" a="1"/>
  <c r="D229" i="126" s="1"/>
  <c r="D228" i="126" a="1"/>
  <c r="D228" i="126" s="1"/>
  <c r="D227" i="126" a="1"/>
  <c r="D227" i="126" s="1"/>
  <c r="E224" i="126" a="1"/>
  <c r="E224" i="126" s="1"/>
  <c r="D224" i="126" a="1"/>
  <c r="D224" i="126" s="1"/>
  <c r="E223" i="126" a="1"/>
  <c r="E223" i="126" s="1"/>
  <c r="D223" i="126" a="1"/>
  <c r="D223" i="126" s="1"/>
  <c r="E222" i="126" a="1"/>
  <c r="E222" i="126" s="1"/>
  <c r="D222" i="126" a="1"/>
  <c r="D222" i="126" s="1"/>
  <c r="E221" i="126" a="1"/>
  <c r="E221" i="126" s="1"/>
  <c r="D221" i="126" a="1"/>
  <c r="D221" i="126" s="1"/>
  <c r="E220" i="126" a="1"/>
  <c r="E220" i="126" s="1"/>
  <c r="D220" i="126" a="1"/>
  <c r="D220" i="126" s="1"/>
  <c r="E219" i="126" a="1"/>
  <c r="E219" i="126" s="1"/>
  <c r="D219" i="126" a="1"/>
  <c r="D219" i="126" s="1"/>
  <c r="E218" i="126" a="1"/>
  <c r="E218" i="126" s="1"/>
  <c r="D218" i="126" a="1"/>
  <c r="D218" i="126" s="1"/>
  <c r="E217" i="126" a="1"/>
  <c r="E217" i="126" s="1"/>
  <c r="D217" i="126" a="1"/>
  <c r="D217" i="126" s="1"/>
  <c r="E216" i="126" a="1"/>
  <c r="E216" i="126" s="1"/>
  <c r="D216" i="126" a="1"/>
  <c r="D216" i="126" s="1"/>
  <c r="E215" i="126" a="1"/>
  <c r="E215" i="126" s="1"/>
  <c r="D215" i="126" a="1"/>
  <c r="D215" i="126" s="1"/>
  <c r="E214" i="126" a="1"/>
  <c r="E214" i="126" s="1"/>
  <c r="D214" i="126" a="1"/>
  <c r="D214" i="126" s="1"/>
  <c r="E213" i="126" a="1"/>
  <c r="E213" i="126" s="1"/>
  <c r="D213" i="126" a="1"/>
  <c r="D213" i="126" s="1"/>
  <c r="D211" i="126" a="1"/>
  <c r="D211" i="126" s="1"/>
  <c r="E208" i="126" a="1"/>
  <c r="E208" i="126" s="1"/>
  <c r="D208" i="126" a="1"/>
  <c r="D208" i="126" s="1"/>
  <c r="E207" i="126" a="1"/>
  <c r="E207" i="126" s="1"/>
  <c r="D207" i="126" a="1"/>
  <c r="D207" i="126" s="1"/>
  <c r="D205" i="126" a="1"/>
  <c r="D205" i="126" s="1"/>
  <c r="D204" i="126" a="1"/>
  <c r="D204" i="126" s="1"/>
  <c r="D203" i="126" a="1"/>
  <c r="D203" i="126" s="1"/>
  <c r="D202" i="126" a="1"/>
  <c r="D202" i="126" s="1"/>
  <c r="H199" i="126" a="1"/>
  <c r="H199" i="126" s="1"/>
  <c r="G199" i="126" a="1"/>
  <c r="G199" i="126" s="1"/>
  <c r="F199" i="126" a="1"/>
  <c r="F199" i="126" s="1"/>
  <c r="E199" i="126" a="1"/>
  <c r="E199" i="126" s="1"/>
  <c r="D199" i="126" a="1"/>
  <c r="D199" i="126" s="1"/>
  <c r="H198" i="126" a="1"/>
  <c r="H198" i="126" s="1"/>
  <c r="G198" i="126" a="1"/>
  <c r="G198" i="126" s="1"/>
  <c r="F198" i="126" a="1"/>
  <c r="F198" i="126" s="1"/>
  <c r="E198" i="126" a="1"/>
  <c r="E198" i="126" s="1"/>
  <c r="D198" i="126" a="1"/>
  <c r="D198" i="126" s="1"/>
  <c r="H197" i="126" a="1"/>
  <c r="H197" i="126" s="1"/>
  <c r="G197" i="126" a="1"/>
  <c r="G197" i="126" s="1"/>
  <c r="F197" i="126" a="1"/>
  <c r="F197" i="126" s="1"/>
  <c r="E197" i="126" a="1"/>
  <c r="E197" i="126" s="1"/>
  <c r="D197" i="126" a="1"/>
  <c r="D197" i="126" s="1"/>
  <c r="H196" i="126" a="1"/>
  <c r="H196" i="126" s="1"/>
  <c r="G196" i="126" a="1"/>
  <c r="G196" i="126" s="1"/>
  <c r="F196" i="126" a="1"/>
  <c r="F196" i="126" s="1"/>
  <c r="E196" i="126" a="1"/>
  <c r="E196" i="126" s="1"/>
  <c r="D196" i="126" a="1"/>
  <c r="D196" i="126" s="1"/>
  <c r="H195" i="126" a="1"/>
  <c r="H195" i="126" s="1"/>
  <c r="G195" i="126" a="1"/>
  <c r="G195" i="126" s="1"/>
  <c r="F195" i="126" a="1"/>
  <c r="F195" i="126" s="1"/>
  <c r="E195" i="126" a="1"/>
  <c r="E195" i="126" s="1"/>
  <c r="D195" i="126" a="1"/>
  <c r="D195" i="126" s="1"/>
  <c r="H194" i="126" a="1"/>
  <c r="H194" i="126" s="1"/>
  <c r="G194" i="126" a="1"/>
  <c r="G194" i="126" s="1"/>
  <c r="F194" i="126" a="1"/>
  <c r="F194" i="126" s="1"/>
  <c r="E194" i="126" a="1"/>
  <c r="E194" i="126" s="1"/>
  <c r="D194" i="126" a="1"/>
  <c r="D194" i="126" s="1"/>
  <c r="H193" i="126" a="1"/>
  <c r="H193" i="126" s="1"/>
  <c r="G193" i="126" a="1"/>
  <c r="G193" i="126" s="1"/>
  <c r="F193" i="126" a="1"/>
  <c r="F193" i="126" s="1"/>
  <c r="E193" i="126" a="1"/>
  <c r="E193" i="126" s="1"/>
  <c r="D193" i="126" a="1"/>
  <c r="D193" i="126" s="1"/>
  <c r="H192" i="126" a="1"/>
  <c r="H192" i="126" s="1"/>
  <c r="G192" i="126" a="1"/>
  <c r="G192" i="126" s="1"/>
  <c r="F192" i="126" a="1"/>
  <c r="F192" i="126" s="1"/>
  <c r="E192" i="126" a="1"/>
  <c r="E192" i="126" s="1"/>
  <c r="D192" i="126" a="1"/>
  <c r="D192" i="126" s="1"/>
  <c r="H191" i="126" a="1"/>
  <c r="H191" i="126" s="1"/>
  <c r="G191" i="126" a="1"/>
  <c r="G191" i="126" s="1"/>
  <c r="F191" i="126" a="1"/>
  <c r="F191" i="126" s="1"/>
  <c r="E191" i="126" a="1"/>
  <c r="E191" i="126" s="1"/>
  <c r="D191" i="126" a="1"/>
  <c r="D191" i="126" s="1"/>
  <c r="H190" i="126" a="1"/>
  <c r="H190" i="126" s="1"/>
  <c r="G190" i="126" a="1"/>
  <c r="G190" i="126" s="1"/>
  <c r="F190" i="126" a="1"/>
  <c r="F190" i="126" s="1"/>
  <c r="E190" i="126" a="1"/>
  <c r="E190" i="126" s="1"/>
  <c r="D190" i="126" a="1"/>
  <c r="D190" i="126" s="1"/>
  <c r="H189" i="126" a="1"/>
  <c r="H189" i="126" s="1"/>
  <c r="G189" i="126" a="1"/>
  <c r="G189" i="126" s="1"/>
  <c r="F189" i="126" a="1"/>
  <c r="F189" i="126" s="1"/>
  <c r="E189" i="126" a="1"/>
  <c r="E189" i="126" s="1"/>
  <c r="D189" i="126" a="1"/>
  <c r="D189" i="126" s="1"/>
  <c r="H188" i="126" a="1"/>
  <c r="H188" i="126" s="1"/>
  <c r="G188" i="126" a="1"/>
  <c r="G188" i="126" s="1"/>
  <c r="F188" i="126" a="1"/>
  <c r="F188" i="126" s="1"/>
  <c r="E188" i="126" a="1"/>
  <c r="E188" i="126" s="1"/>
  <c r="D188" i="126" a="1"/>
  <c r="D188" i="126" s="1"/>
  <c r="H187" i="126" a="1"/>
  <c r="H187" i="126" s="1"/>
  <c r="G187" i="126" a="1"/>
  <c r="G187" i="126" s="1"/>
  <c r="F187" i="126" a="1"/>
  <c r="F187" i="126" s="1"/>
  <c r="E187" i="126" a="1"/>
  <c r="E187" i="126" s="1"/>
  <c r="D187" i="126" a="1"/>
  <c r="D187" i="126" s="1"/>
  <c r="D181" i="126" a="1"/>
  <c r="D181" i="126" s="1"/>
  <c r="D180" i="126" a="1"/>
  <c r="D180" i="126" s="1"/>
  <c r="D179" i="126" a="1"/>
  <c r="D179" i="126" s="1"/>
  <c r="D178" i="126" a="1"/>
  <c r="D178" i="126" s="1"/>
  <c r="E175" i="126" a="1"/>
  <c r="E175" i="126" s="1"/>
  <c r="D175" i="126" a="1"/>
  <c r="D175" i="126" s="1"/>
  <c r="D174" i="126" a="1"/>
  <c r="D174" i="126" s="1"/>
  <c r="D173" i="126" a="1"/>
  <c r="D173" i="126" s="1"/>
  <c r="D170" i="126" a="1"/>
  <c r="D170" i="126" s="1"/>
  <c r="D169" i="126" a="1"/>
  <c r="D169" i="126" s="1"/>
  <c r="D168" i="126" a="1"/>
  <c r="D168" i="126" s="1"/>
  <c r="D167" i="126" a="1"/>
  <c r="D167" i="126" s="1"/>
  <c r="D164" i="126" a="1"/>
  <c r="D164" i="126" s="1"/>
  <c r="D163" i="126" a="1"/>
  <c r="D163" i="126" s="1"/>
  <c r="D162" i="126" a="1"/>
  <c r="D162" i="126" s="1"/>
  <c r="D161" i="126" a="1"/>
  <c r="D161" i="126" s="1"/>
  <c r="E158" i="126" a="1"/>
  <c r="E158" i="126" s="1"/>
  <c r="D158" i="126" a="1"/>
  <c r="D158" i="126" s="1"/>
  <c r="E157" i="126" a="1"/>
  <c r="E157" i="126" s="1"/>
  <c r="D157" i="126" a="1"/>
  <c r="D157" i="126" s="1"/>
  <c r="E156" i="126" a="1"/>
  <c r="E156" i="126" s="1"/>
  <c r="D156" i="126" a="1"/>
  <c r="D156" i="126" s="1"/>
  <c r="E155" i="126" a="1"/>
  <c r="E155" i="126" s="1"/>
  <c r="D155" i="126" a="1"/>
  <c r="D155" i="126" s="1"/>
  <c r="E154" i="126" a="1"/>
  <c r="E154" i="126" s="1"/>
  <c r="D154" i="126" a="1"/>
  <c r="D154" i="126" s="1"/>
  <c r="D151" i="126" a="1"/>
  <c r="D151" i="126" s="1"/>
  <c r="D150" i="126" a="1"/>
  <c r="D150" i="126" s="1"/>
  <c r="E147" i="126" a="1"/>
  <c r="E147" i="126" s="1"/>
  <c r="D147" i="126" a="1"/>
  <c r="D147" i="126" s="1"/>
  <c r="E146" i="126" a="1"/>
  <c r="E146" i="126" s="1"/>
  <c r="D146" i="126" a="1"/>
  <c r="D146" i="126" s="1"/>
  <c r="E145" i="126" a="1"/>
  <c r="E145" i="126" s="1"/>
  <c r="D145" i="126" a="1"/>
  <c r="D145" i="126" s="1"/>
  <c r="E144" i="126" a="1"/>
  <c r="E144" i="126" s="1"/>
  <c r="D144" i="126" a="1"/>
  <c r="D144" i="126" s="1"/>
  <c r="E143" i="126" a="1"/>
  <c r="E143" i="126" s="1"/>
  <c r="D143" i="126" a="1"/>
  <c r="D143" i="126" s="1"/>
  <c r="D141" i="126" a="1"/>
  <c r="D141" i="126" s="1"/>
  <c r="D140" i="126" a="1"/>
  <c r="D140" i="126" s="1"/>
  <c r="D139" i="126" a="1"/>
  <c r="D139" i="126" s="1"/>
  <c r="E136" i="126" a="1"/>
  <c r="E136" i="126" s="1"/>
  <c r="D136" i="126" a="1"/>
  <c r="D136" i="126" s="1"/>
  <c r="E135" i="126" a="1"/>
  <c r="E135" i="126" s="1"/>
  <c r="D135" i="126" a="1"/>
  <c r="D135" i="126" s="1"/>
  <c r="D133" i="126" a="1"/>
  <c r="D133" i="126" s="1"/>
  <c r="D132" i="126" a="1"/>
  <c r="D132" i="126" s="1"/>
  <c r="E129" i="126" a="1"/>
  <c r="E129" i="126" s="1"/>
  <c r="D129" i="126" a="1"/>
  <c r="D129" i="126" s="1"/>
  <c r="E128" i="126" a="1"/>
  <c r="E128" i="126" s="1"/>
  <c r="D128" i="126" a="1"/>
  <c r="D128" i="126" s="1"/>
  <c r="D125" i="126" a="1"/>
  <c r="D125" i="126" s="1"/>
  <c r="D124" i="126" a="1"/>
  <c r="D124" i="126" s="1"/>
  <c r="G121" i="126" a="1"/>
  <c r="G121" i="126" s="1"/>
  <c r="F121" i="126" a="1"/>
  <c r="F121" i="126" s="1"/>
  <c r="E121" i="126" a="1"/>
  <c r="E121" i="126" s="1"/>
  <c r="D121" i="126" a="1"/>
  <c r="D121" i="126" s="1"/>
  <c r="G120" i="126" a="1"/>
  <c r="G120" i="126" s="1"/>
  <c r="F120" i="126" a="1"/>
  <c r="F120" i="126" s="1"/>
  <c r="E120" i="126" a="1"/>
  <c r="E120" i="126" s="1"/>
  <c r="D120" i="126" a="1"/>
  <c r="D120" i="126" s="1"/>
  <c r="D117" i="126" a="1"/>
  <c r="D117" i="126" s="1"/>
  <c r="D116" i="126" a="1"/>
  <c r="D116" i="126" s="1"/>
  <c r="D115" i="126" a="1"/>
  <c r="D115" i="126" s="1"/>
  <c r="G112" i="126" a="1"/>
  <c r="G112" i="126" s="1"/>
  <c r="F112" i="126" a="1"/>
  <c r="F112" i="126" s="1"/>
  <c r="E112" i="126" a="1"/>
  <c r="E112" i="126" s="1"/>
  <c r="D112" i="126" a="1"/>
  <c r="D112" i="126" s="1"/>
  <c r="G111" i="126" a="1"/>
  <c r="G111" i="126" s="1"/>
  <c r="F111" i="126" a="1"/>
  <c r="F111" i="126" s="1"/>
  <c r="E111" i="126" a="1"/>
  <c r="E111" i="126" s="1"/>
  <c r="D111" i="126" a="1"/>
  <c r="D111" i="126" s="1"/>
  <c r="G110" i="126" a="1"/>
  <c r="G110" i="126" s="1"/>
  <c r="F110" i="126" a="1"/>
  <c r="F110" i="126" s="1"/>
  <c r="E110" i="126" a="1"/>
  <c r="E110" i="126" s="1"/>
  <c r="D110" i="126" a="1"/>
  <c r="D110" i="126" s="1"/>
  <c r="D107" i="126" a="1"/>
  <c r="D107" i="126" s="1"/>
  <c r="D106" i="126" a="1"/>
  <c r="D106" i="126" s="1"/>
  <c r="D105" i="126" a="1"/>
  <c r="D105" i="126" s="1"/>
  <c r="D99" i="126" a="1"/>
  <c r="D99" i="126" s="1"/>
  <c r="S97" i="126" a="1"/>
  <c r="S97" i="126" s="1"/>
  <c r="R97" i="126" a="1"/>
  <c r="R97" i="126" s="1"/>
  <c r="Q97" i="126" a="1"/>
  <c r="Q97" i="126" s="1"/>
  <c r="P97" i="126" a="1"/>
  <c r="P97" i="126" s="1"/>
  <c r="O97" i="126" a="1"/>
  <c r="O97" i="126" s="1"/>
  <c r="N97" i="126" a="1"/>
  <c r="N97" i="126" s="1"/>
  <c r="M97" i="126" a="1"/>
  <c r="M97" i="126" s="1"/>
  <c r="L97" i="126" a="1"/>
  <c r="L97" i="126" s="1"/>
  <c r="K97" i="126" a="1"/>
  <c r="K97" i="126" s="1"/>
  <c r="J97" i="126" a="1"/>
  <c r="J97" i="126" s="1"/>
  <c r="I97" i="126" a="1"/>
  <c r="I97" i="126" s="1"/>
  <c r="H97" i="126" a="1"/>
  <c r="H97" i="126" s="1"/>
  <c r="G97" i="126" a="1"/>
  <c r="G97" i="126" s="1"/>
  <c r="F97" i="126" a="1"/>
  <c r="F97" i="126" s="1"/>
  <c r="E97" i="126" a="1"/>
  <c r="E97" i="126" s="1"/>
  <c r="D97" i="126" a="1"/>
  <c r="D97" i="126" s="1"/>
  <c r="S96" i="126" a="1"/>
  <c r="S96" i="126" s="1"/>
  <c r="R96" i="126" a="1"/>
  <c r="R96" i="126" s="1"/>
  <c r="Q96" i="126" a="1"/>
  <c r="Q96" i="126" s="1"/>
  <c r="P96" i="126" a="1"/>
  <c r="P96" i="126" s="1"/>
  <c r="O96" i="126" a="1"/>
  <c r="O96" i="126" s="1"/>
  <c r="N96" i="126" a="1"/>
  <c r="N96" i="126" s="1"/>
  <c r="M96" i="126" a="1"/>
  <c r="M96" i="126" s="1"/>
  <c r="L96" i="126" a="1"/>
  <c r="L96" i="126" s="1"/>
  <c r="K96" i="126" a="1"/>
  <c r="K96" i="126" s="1"/>
  <c r="J96" i="126" a="1"/>
  <c r="J96" i="126" s="1"/>
  <c r="I96" i="126" a="1"/>
  <c r="I96" i="126" s="1"/>
  <c r="H96" i="126" a="1"/>
  <c r="H96" i="126" s="1"/>
  <c r="G96" i="126" a="1"/>
  <c r="G96" i="126" s="1"/>
  <c r="F96" i="126" a="1"/>
  <c r="F96" i="126" s="1"/>
  <c r="E96" i="126" a="1"/>
  <c r="E96" i="126" s="1"/>
  <c r="D96" i="126" a="1"/>
  <c r="D96" i="126" s="1"/>
  <c r="S95" i="126" a="1"/>
  <c r="S95" i="126" s="1"/>
  <c r="R95" i="126" a="1"/>
  <c r="R95" i="126" s="1"/>
  <c r="Q95" i="126" a="1"/>
  <c r="Q95" i="126" s="1"/>
  <c r="P95" i="126" a="1"/>
  <c r="P95" i="126" s="1"/>
  <c r="O95" i="126" a="1"/>
  <c r="O95" i="126" s="1"/>
  <c r="N95" i="126" a="1"/>
  <c r="N95" i="126" s="1"/>
  <c r="M95" i="126" a="1"/>
  <c r="M95" i="126" s="1"/>
  <c r="L95" i="126" a="1"/>
  <c r="L95" i="126" s="1"/>
  <c r="K95" i="126" a="1"/>
  <c r="K95" i="126" s="1"/>
  <c r="J95" i="126" a="1"/>
  <c r="J95" i="126" s="1"/>
  <c r="I95" i="126" a="1"/>
  <c r="I95" i="126" s="1"/>
  <c r="H95" i="126" a="1"/>
  <c r="H95" i="126" s="1"/>
  <c r="G95" i="126" a="1"/>
  <c r="G95" i="126" s="1"/>
  <c r="F95" i="126" a="1"/>
  <c r="F95" i="126" s="1"/>
  <c r="E95" i="126" a="1"/>
  <c r="E95" i="126" s="1"/>
  <c r="D95" i="126" a="1"/>
  <c r="D95" i="126" s="1"/>
  <c r="S94" i="126" a="1"/>
  <c r="S94" i="126" s="1"/>
  <c r="R94" i="126" a="1"/>
  <c r="R94" i="126" s="1"/>
  <c r="Q94" i="126" a="1"/>
  <c r="Q94" i="126" s="1"/>
  <c r="P94" i="126" a="1"/>
  <c r="P94" i="126" s="1"/>
  <c r="O94" i="126" a="1"/>
  <c r="O94" i="126" s="1"/>
  <c r="N94" i="126" a="1"/>
  <c r="N94" i="126" s="1"/>
  <c r="M94" i="126" a="1"/>
  <c r="M94" i="126" s="1"/>
  <c r="L94" i="126" a="1"/>
  <c r="L94" i="126" s="1"/>
  <c r="K94" i="126" a="1"/>
  <c r="K94" i="126" s="1"/>
  <c r="J94" i="126" a="1"/>
  <c r="J94" i="126" s="1"/>
  <c r="I94" i="126" a="1"/>
  <c r="I94" i="126" s="1"/>
  <c r="H94" i="126" a="1"/>
  <c r="H94" i="126" s="1"/>
  <c r="G94" i="126" a="1"/>
  <c r="G94" i="126" s="1"/>
  <c r="F94" i="126" a="1"/>
  <c r="F94" i="126" s="1"/>
  <c r="E94" i="126" a="1"/>
  <c r="E94" i="126" s="1"/>
  <c r="D94" i="126" a="1"/>
  <c r="D94" i="126" s="1"/>
  <c r="S93" i="126" a="1"/>
  <c r="S93" i="126" s="1"/>
  <c r="R93" i="126" a="1"/>
  <c r="R93" i="126" s="1"/>
  <c r="Q93" i="126" a="1"/>
  <c r="Q93" i="126" s="1"/>
  <c r="P93" i="126" a="1"/>
  <c r="P93" i="126" s="1"/>
  <c r="O93" i="126" a="1"/>
  <c r="O93" i="126" s="1"/>
  <c r="N93" i="126" a="1"/>
  <c r="N93" i="126" s="1"/>
  <c r="M93" i="126" a="1"/>
  <c r="M93" i="126" s="1"/>
  <c r="L93" i="126" a="1"/>
  <c r="L93" i="126" s="1"/>
  <c r="K93" i="126" a="1"/>
  <c r="K93" i="126" s="1"/>
  <c r="J93" i="126" a="1"/>
  <c r="J93" i="126" s="1"/>
  <c r="I93" i="126" a="1"/>
  <c r="I93" i="126" s="1"/>
  <c r="H93" i="126" a="1"/>
  <c r="H93" i="126" s="1"/>
  <c r="G93" i="126" a="1"/>
  <c r="G93" i="126" s="1"/>
  <c r="F93" i="126" a="1"/>
  <c r="F93" i="126" s="1"/>
  <c r="E93" i="126" a="1"/>
  <c r="E93" i="126" s="1"/>
  <c r="D93" i="126" a="1"/>
  <c r="D93" i="126" s="1"/>
  <c r="S92" i="126" a="1"/>
  <c r="S92" i="126" s="1"/>
  <c r="R92" i="126" a="1"/>
  <c r="R92" i="126" s="1"/>
  <c r="Q92" i="126" a="1"/>
  <c r="Q92" i="126" s="1"/>
  <c r="P92" i="126" a="1"/>
  <c r="P92" i="126" s="1"/>
  <c r="O92" i="126" a="1"/>
  <c r="O92" i="126" s="1"/>
  <c r="N92" i="126" a="1"/>
  <c r="N92" i="126" s="1"/>
  <c r="M92" i="126" a="1"/>
  <c r="M92" i="126" s="1"/>
  <c r="L92" i="126" a="1"/>
  <c r="L92" i="126" s="1"/>
  <c r="K92" i="126" a="1"/>
  <c r="K92" i="126" s="1"/>
  <c r="J92" i="126" a="1"/>
  <c r="J92" i="126" s="1"/>
  <c r="I92" i="126" a="1"/>
  <c r="I92" i="126" s="1"/>
  <c r="H92" i="126" a="1"/>
  <c r="H92" i="126" s="1"/>
  <c r="G92" i="126" a="1"/>
  <c r="G92" i="126" s="1"/>
  <c r="F92" i="126" a="1"/>
  <c r="F92" i="126" s="1"/>
  <c r="E92" i="126" a="1"/>
  <c r="E92" i="126" s="1"/>
  <c r="D92" i="126" a="1"/>
  <c r="D92" i="126" s="1"/>
  <c r="S91" i="126" a="1"/>
  <c r="S91" i="126" s="1"/>
  <c r="R91" i="126" a="1"/>
  <c r="R91" i="126" s="1"/>
  <c r="Q91" i="126" a="1"/>
  <c r="Q91" i="126" s="1"/>
  <c r="P91" i="126" a="1"/>
  <c r="P91" i="126" s="1"/>
  <c r="O91" i="126" a="1"/>
  <c r="O91" i="126" s="1"/>
  <c r="N91" i="126" a="1"/>
  <c r="N91" i="126" s="1"/>
  <c r="M91" i="126" a="1"/>
  <c r="M91" i="126" s="1"/>
  <c r="L91" i="126" a="1"/>
  <c r="L91" i="126" s="1"/>
  <c r="K91" i="126" a="1"/>
  <c r="K91" i="126" s="1"/>
  <c r="J91" i="126" a="1"/>
  <c r="J91" i="126" s="1"/>
  <c r="I91" i="126" a="1"/>
  <c r="I91" i="126" s="1"/>
  <c r="H91" i="126" a="1"/>
  <c r="H91" i="126" s="1"/>
  <c r="G91" i="126" a="1"/>
  <c r="G91" i="126" s="1"/>
  <c r="F91" i="126" a="1"/>
  <c r="F91" i="126" s="1"/>
  <c r="E91" i="126" a="1"/>
  <c r="E91" i="126" s="1"/>
  <c r="D91" i="126" a="1"/>
  <c r="D91" i="126" s="1"/>
  <c r="S90" i="126" a="1"/>
  <c r="S90" i="126" s="1"/>
  <c r="R90" i="126" a="1"/>
  <c r="R90" i="126" s="1"/>
  <c r="Q90" i="126" a="1"/>
  <c r="Q90" i="126" s="1"/>
  <c r="P90" i="126" a="1"/>
  <c r="P90" i="126" s="1"/>
  <c r="O90" i="126" a="1"/>
  <c r="O90" i="126" s="1"/>
  <c r="N90" i="126" a="1"/>
  <c r="N90" i="126" s="1"/>
  <c r="M90" i="126" a="1"/>
  <c r="M90" i="126" s="1"/>
  <c r="L90" i="126" a="1"/>
  <c r="L90" i="126" s="1"/>
  <c r="K90" i="126" a="1"/>
  <c r="K90" i="126" s="1"/>
  <c r="J90" i="126" a="1"/>
  <c r="J90" i="126" s="1"/>
  <c r="I90" i="126" a="1"/>
  <c r="I90" i="126" s="1"/>
  <c r="H90" i="126" a="1"/>
  <c r="H90" i="126" s="1"/>
  <c r="G90" i="126" a="1"/>
  <c r="G90" i="126" s="1"/>
  <c r="F90" i="126" a="1"/>
  <c r="F90" i="126" s="1"/>
  <c r="E90" i="126" a="1"/>
  <c r="E90" i="126" s="1"/>
  <c r="D90" i="126" a="1"/>
  <c r="D90" i="126" s="1"/>
  <c r="D83" i="126" a="1"/>
  <c r="D83" i="126" s="1"/>
  <c r="D82" i="126" a="1"/>
  <c r="D82" i="126" s="1"/>
  <c r="D81" i="126" a="1"/>
  <c r="D81" i="126" s="1"/>
  <c r="E77" i="126" a="1"/>
  <c r="E77" i="126" s="1"/>
  <c r="D77" i="126" a="1"/>
  <c r="D77" i="126" s="1"/>
  <c r="E76" i="126" a="1"/>
  <c r="E76" i="126" s="1"/>
  <c r="D76" i="126" a="1"/>
  <c r="D76" i="126" s="1"/>
  <c r="E75" i="126" a="1"/>
  <c r="E75" i="126" s="1"/>
  <c r="D75" i="126" a="1"/>
  <c r="D75" i="126" s="1"/>
  <c r="E74" i="126" a="1"/>
  <c r="E74" i="126" s="1"/>
  <c r="D74" i="126" a="1"/>
  <c r="D74" i="126" s="1"/>
  <c r="E73" i="126" a="1"/>
  <c r="E73" i="126" s="1"/>
  <c r="D73" i="126" a="1"/>
  <c r="D73" i="126" s="1"/>
  <c r="E72" i="126" a="1"/>
  <c r="E72" i="126" s="1"/>
  <c r="D72" i="126" a="1"/>
  <c r="D72" i="126" s="1"/>
  <c r="E71" i="126" a="1"/>
  <c r="E71" i="126" s="1"/>
  <c r="D71" i="126" a="1"/>
  <c r="D71" i="126" s="1"/>
  <c r="E70" i="126" a="1"/>
  <c r="E70" i="126" s="1"/>
  <c r="D70" i="126" a="1"/>
  <c r="D70" i="126" s="1"/>
  <c r="E69" i="126" a="1"/>
  <c r="E69" i="126" s="1"/>
  <c r="D69" i="126" a="1"/>
  <c r="D69" i="126" s="1"/>
  <c r="E68" i="126" a="1"/>
  <c r="E68" i="126" s="1"/>
  <c r="D68" i="126" a="1"/>
  <c r="D68" i="126" s="1"/>
  <c r="E67" i="126" a="1"/>
  <c r="E67" i="126" s="1"/>
  <c r="D67" i="126" a="1"/>
  <c r="D67" i="126" s="1"/>
  <c r="E66" i="126" a="1"/>
  <c r="E66" i="126" s="1"/>
  <c r="D66" i="126" a="1"/>
  <c r="D66" i="126" s="1"/>
  <c r="E65" i="126" a="1"/>
  <c r="E65" i="126" s="1"/>
  <c r="D65" i="126" a="1"/>
  <c r="D65" i="126" s="1"/>
  <c r="E64" i="126" a="1"/>
  <c r="E64" i="126" s="1"/>
  <c r="D64" i="126" a="1"/>
  <c r="D64" i="126" s="1"/>
  <c r="D59" i="126" a="1"/>
  <c r="D59" i="126" s="1"/>
  <c r="D58" i="126" a="1"/>
  <c r="D58" i="126" s="1"/>
  <c r="D57" i="126" a="1"/>
  <c r="D57" i="126" s="1"/>
  <c r="G54" i="126" a="1"/>
  <c r="G54" i="126" s="1"/>
  <c r="F54" i="126" a="1"/>
  <c r="F54" i="126" s="1"/>
  <c r="E54" i="126" a="1"/>
  <c r="E54" i="126" s="1"/>
  <c r="D54" i="126" a="1"/>
  <c r="D54" i="126" s="1"/>
  <c r="G53" i="126" a="1"/>
  <c r="G53" i="126" s="1"/>
  <c r="F53" i="126" a="1"/>
  <c r="F53" i="126" s="1"/>
  <c r="E53" i="126" a="1"/>
  <c r="E53" i="126" s="1"/>
  <c r="D53" i="126" a="1"/>
  <c r="D53" i="126" s="1"/>
  <c r="G52" i="126" a="1"/>
  <c r="G52" i="126" s="1"/>
  <c r="F52" i="126" a="1"/>
  <c r="F52" i="126" s="1"/>
  <c r="E52" i="126" a="1"/>
  <c r="E52" i="126" s="1"/>
  <c r="D52" i="126" a="1"/>
  <c r="D52" i="126" s="1"/>
  <c r="G51" i="126" a="1"/>
  <c r="G51" i="126" s="1"/>
  <c r="F51" i="126" a="1"/>
  <c r="F51" i="126" s="1"/>
  <c r="E51" i="126" a="1"/>
  <c r="E51" i="126" s="1"/>
  <c r="D51" i="126" a="1"/>
  <c r="D51" i="126" s="1"/>
  <c r="G50" i="126" a="1"/>
  <c r="G50" i="126" s="1"/>
  <c r="F50" i="126" a="1"/>
  <c r="F50" i="126" s="1"/>
  <c r="E50" i="126" a="1"/>
  <c r="E50" i="126" s="1"/>
  <c r="D50" i="126" a="1"/>
  <c r="D50" i="126" s="1"/>
  <c r="G49" i="126" a="1"/>
  <c r="G49" i="126" s="1"/>
  <c r="F49" i="126" a="1"/>
  <c r="F49" i="126" s="1"/>
  <c r="E49" i="126" a="1"/>
  <c r="E49" i="126" s="1"/>
  <c r="D49" i="126" a="1"/>
  <c r="D49" i="126" s="1"/>
  <c r="G48" i="126" a="1"/>
  <c r="G48" i="126" s="1"/>
  <c r="F48" i="126" a="1"/>
  <c r="F48" i="126" s="1"/>
  <c r="E48" i="126" a="1"/>
  <c r="E48" i="126" s="1"/>
  <c r="D48" i="126" a="1"/>
  <c r="D48" i="126" s="1"/>
  <c r="D46" i="126" a="1"/>
  <c r="D46" i="126" s="1"/>
  <c r="D45" i="126" a="1"/>
  <c r="D45" i="126" s="1"/>
  <c r="E43" i="126" a="1"/>
  <c r="E43" i="126" s="1"/>
  <c r="D43" i="126" a="1"/>
  <c r="D43" i="126" s="1"/>
  <c r="E42" i="126" a="1"/>
  <c r="E42" i="126" s="1"/>
  <c r="D42" i="126" a="1"/>
  <c r="D42" i="126" s="1"/>
  <c r="E41" i="126" a="1"/>
  <c r="E41" i="126" s="1"/>
  <c r="D41" i="126" a="1"/>
  <c r="D41" i="126" s="1"/>
  <c r="E40" i="126" a="1"/>
  <c r="E40" i="126" s="1"/>
  <c r="D40" i="126" a="1"/>
  <c r="D40" i="126" s="1"/>
  <c r="E39" i="126" a="1"/>
  <c r="E39" i="126" s="1"/>
  <c r="D39" i="126" a="1"/>
  <c r="D39" i="126" s="1"/>
  <c r="E38" i="126" a="1"/>
  <c r="E38" i="126" s="1"/>
  <c r="D38" i="126" a="1"/>
  <c r="D38" i="126" s="1"/>
  <c r="E37" i="126" a="1"/>
  <c r="E37" i="126" s="1"/>
  <c r="D37" i="126" a="1"/>
  <c r="D37" i="126" s="1"/>
  <c r="D35" i="126" a="1"/>
  <c r="D35" i="126" s="1"/>
  <c r="D34" i="126" a="1"/>
  <c r="D34"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19" i="126"/>
  <c r="D19" i="126" a="1"/>
  <c r="D18" i="126"/>
  <c r="D18" i="126" a="1"/>
  <c r="F14" i="126" a="1"/>
  <c r="F14" i="126" s="1"/>
  <c r="E14" i="126" a="1"/>
  <c r="E14" i="126" s="1"/>
  <c r="D14" i="126" a="1"/>
  <c r="D14" i="126" s="1"/>
  <c r="F13" i="126" a="1"/>
  <c r="F13" i="126" s="1"/>
  <c r="E13" i="126" a="1"/>
  <c r="E13" i="126" s="1"/>
  <c r="D13" i="126" a="1"/>
  <c r="D13" i="126" s="1"/>
  <c r="F12" i="126" a="1"/>
  <c r="F12" i="126" s="1"/>
  <c r="E12" i="126" a="1"/>
  <c r="E12" i="126" s="1"/>
  <c r="D12" i="126" a="1"/>
  <c r="D12" i="126" s="1"/>
  <c r="F11" i="126" a="1"/>
  <c r="F11" i="126" s="1"/>
  <c r="E11" i="126" a="1"/>
  <c r="E11" i="126" s="1"/>
  <c r="D11" i="126" a="1"/>
  <c r="D11" i="126" s="1"/>
  <c r="F10" i="126" a="1"/>
  <c r="F10" i="126" s="1"/>
  <c r="E10" i="126" a="1"/>
  <c r="E10" i="126" s="1"/>
  <c r="D10" i="126" a="1"/>
  <c r="D10" i="126" s="1"/>
  <c r="F9" i="126" a="1"/>
  <c r="F9" i="126" s="1"/>
  <c r="E9" i="126" a="1"/>
  <c r="E9" i="126" s="1"/>
  <c r="D9" i="126" a="1"/>
  <c r="D9" i="126" s="1"/>
  <c r="F8" i="126" a="1"/>
  <c r="F8" i="126" s="1"/>
  <c r="E8" i="126" a="1"/>
  <c r="E8" i="126" s="1"/>
  <c r="D8" i="126" a="1"/>
  <c r="D8" i="126" s="1"/>
  <c r="F7" i="126" a="1"/>
  <c r="F7" i="126" s="1"/>
  <c r="E7" i="126" a="1"/>
  <c r="E7" i="126" s="1"/>
  <c r="D7" i="126" a="1"/>
  <c r="D7" i="126" s="1"/>
  <c r="D5" i="126" a="1"/>
  <c r="D5" i="126" s="1"/>
  <c r="E30" i="70"/>
  <c r="E29" i="70"/>
  <c r="E16" i="70"/>
  <c r="E6" i="70"/>
  <c r="J37" i="69"/>
  <c r="J33" i="69"/>
  <c r="J32" i="69"/>
  <c r="J31" i="69"/>
  <c r="I16" i="69"/>
  <c r="I14" i="69"/>
  <c r="D24" i="69" a="1"/>
  <c r="D24" i="69" s="1"/>
  <c r="H49" i="126" l="1"/>
  <c r="H53" i="126"/>
  <c r="H52" i="126"/>
  <c r="H48" i="126"/>
  <c r="H51" i="126"/>
  <c r="H54" i="126"/>
  <c r="H50" i="126"/>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E25" i="69" a="1"/>
  <c r="E25" i="69" l="1"/>
  <c r="I48" i="70"/>
  <c r="I39" i="70"/>
  <c r="I38" i="70"/>
  <c r="I46"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13" i="121"/>
  <c r="E8" i="69" a="1"/>
  <c r="E41" i="70" l="1"/>
  <c r="J34" i="69" s="1"/>
  <c r="E50" i="70"/>
  <c r="J35" i="69" s="1"/>
  <c r="I15" i="69" a="1"/>
  <c r="I15" i="69" s="1"/>
  <c r="E18" i="69" s="1" a="1"/>
  <c r="E18" i="69" s="1"/>
  <c r="E9" i="13" s="1"/>
  <c r="E8" i="69"/>
  <c r="A15" i="69"/>
  <c r="A5" i="69"/>
  <c r="A4" i="69"/>
  <c r="A3" i="69"/>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<sst xmlns="http://schemas.openxmlformats.org/spreadsheetml/2006/main" count="201" uniqueCount="157">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</sst>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E52A99D-2A16-47C5-B5DE-3E545EB5741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C11A64C-3FBC-468E-B939-F5C855F173A4}" name="State/Territory">
      <calculatedColumnFormula array="1">Common_InputFunctions.Utility_DisplayArrayInTable(Common_SourceData.Common_SourceData_AustralianStatesTerritories_Data(),Table_AustralianStates[[#Headers],[State/Territory]],0)</calculatedColumnFormula>
    </tableColumn>
    <tableColumn id="2" xr3:uid="{B4D0AE9E-DFA6-40F6-B60F-AAB5F1B9ED29}" name="Common Name">
      <calculatedColumnFormula array="1">Common_InputFunctions.Utility_DisplayArrayInTable(Common_SourceData.Common_SourceData_AustralianStatesTerritories_Data(),Table_AustralianStates[[#Headers],[State/Territory]],0)</calculatedColumnFormula>
    </tableColumn>
    <tableColumn id="3" xr3:uid="{BE7DD25E-A7B6-4322-993F-5019FCBF189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4D8F464-425B-4CFB-8157-CE34DB6DC5F7}" name="Table_WASA4Areas" displayName="Table_WASA4Areas" ref="D20:D30" totalsRowShown="0">
  <autoFilter ref="D20:D30" xr:uid="{5FA81339-C6C8-4D36-BEEA-6C4AEDD9E676}">
    <filterColumn colId="0" hiddenButton="1"/>
  </autoFilter>
  <tableColumns count="1">
    <tableColumn id="1" xr3:uid="{39194284-C283-4B1E-B27D-939A14C3665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AA18832-A6CE-4390-AD94-78D0BC0D2ECE}" name="Table_GWPData" displayName="Table_GWPData" ref="D36:E43" totalsRowShown="0">
  <autoFilter ref="D36:E43" xr:uid="{B8E87A66-3E41-4AD3-925D-01EE21B43D7A}">
    <filterColumn colId="0" hiddenButton="1"/>
    <filterColumn colId="1" hiddenButton="1"/>
  </autoFilter>
  <tableColumns count="2">
    <tableColumn id="1" xr3:uid="{98057B67-9734-4328-9236-810DFB4D1014}" name="Gas">
      <calculatedColumnFormula array="1">Common_InputFunctions.Utility_DisplayArrayInTable(Common_SourceData.Common_SourceData_GWP_Data(), Table_GWPData[[#Headers],[Gas]], 0)</calculatedColumnFormula>
    </tableColumn>
    <tableColumn id="2" xr3:uid="{0D614BB9-6CA3-49C5-9DE9-711083A17F5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084481-A30B-47C6-BA75-0A7C8BB676F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D58DF5F-8927-46FF-981D-879830A90573}" name="Gas">
      <calculatedColumnFormula array="1">Common_InputFunctions.Utility_DisplayArrayInTable(Common_SourceData.Common_SourceData_ConvertGasElementalToMolecular_Data(),Table_GasToMolecularConversionFactor[[#Headers],[Gas]], 0)</calculatedColumnFormula>
    </tableColumn>
    <tableColumn id="5" xr3:uid="{02709203-EF59-4CA0-941E-A974D34C1026}" name="Conversion factor">
      <calculatedColumnFormula array="1">Common_InputFunctions.Utility_DisplayArrayInTable(Common_SourceData.Common_SourceData_ConvertGasElementalToMolecular_Data(),Table_GasToMolecularConversionFactor[[#Headers],[Gas]], 0)</calculatedColumnFormula>
    </tableColumn>
    <tableColumn id="2" xr3:uid="{594CF733-99E0-4CB7-A410-882637753ED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E193D03-9BE6-4BE9-A59E-0EBC8657E39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83F510C-6261-4211-86E1-A01986E873C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5DC7FE5-F74F-4D8E-AA1E-C71AA8CFEE7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A3AD44-ACBE-4644-A92F-5FC71FC237E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2F1645A-787D-4145-9FC3-BF4411E19E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E9ABD992-0246-4394-9BF8-1E49E3AE3C0F}"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F171E21B-CC7B-4E49-AC46-757DC8B21A35}"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E7D65B18-7D7B-4118-BEF8-93088B8CBF8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CDFD0BAB-9E03-4B36-B23A-88A5242452D6}"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E1CFFF6-3DB6-4AC5-9C74-9F9D223502CF}"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6F12C6E7-8816-41A2-937F-F82FFCDB9446}"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66E2354-F061-464E-BC29-988BE9BEA0A9}"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DE8304D5-7AC5-49AD-9CF5-0122B9813D35}"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396701DB-621F-41F5-8581-149AF540D3E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FC278AD2-9E30-41DB-83B1-14F92C3BA27C}"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7B3BDA5-B646-43FB-ADA6-A99DA90CC892}"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6DAFF6E8-C962-4332-B4B8-1F011653A00D}"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B7332DDD-FAC4-4C56-A188-03FAA81B2BA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A9ABF7F-9E59-46B2-A502-FCBB6598DDCB}"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91172D-A190-4526-AF81-49F1D42FA3C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6E458F4-4187-4472-BCEB-8259ABB56D9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E9D048F-C654-4327-9D9E-81A9B913B4F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D4D21BD-7160-4BD1-BDC9-AA4D0C6E796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96F4DC-FCCC-40BF-97CF-4B57609D1040}" name="Temperature Zone">
      <calculatedColumnFormula array="1">Common_InputFunctions.Utility_DisplayArrayInTable(Common_SourceData.Common_SourceData_TemperatureZones_Data(),Table_SourceData_TemperatureZones[[#Headers],[Temperature Zone]],0)</calculatedColumnFormula>
    </tableColumn>
    <tableColumn id="2" xr3:uid="{262ADC43-FC39-4A25-AAF7-D481E9FA0633}" name="MAT">
      <calculatedColumnFormula array="1">Common_InputFunctions.Utility_DisplayArrayInTable(Common_SourceData.Common_SourceData_TemperatureZones_Data(),Table_SourceData_TemperatureZones[[#Headers],[Temperature Zone]],0)</calculatedColumnFormula>
    </tableColumn>
    <tableColumn id="3" xr3:uid="{755FDB7D-D062-4201-A414-EB162DDE34C2}" name="Min MAT">
      <calculatedColumnFormula array="1">Common_InputFunctions.Utility_DisplayArrayInTable(Common_SourceData.Common_SourceData_TemperatureZones_Data(),Table_SourceData_TemperatureZones[[#Headers],[Temperature Zone]],0)</calculatedColumnFormula>
    </tableColumn>
    <tableColumn id="4" xr3:uid="{AB291061-0A75-4998-BCAD-AF06CFBF900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15D037-A997-4111-8200-B2CE963839E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38DE9A3-27B5-4162-961C-4DF76768A807}" name="Rainfall Zone">
      <calculatedColumnFormula array="1">Common_InputFunctions.Utility_DisplayArrayInTable(Common_SourceData.Common_SourceData_RainfallZones_Data(),Table_SourceData_RainfallZones[[#Headers],[Rainfall Zone]],0)</calculatedColumnFormula>
    </tableColumn>
    <tableColumn id="2" xr3:uid="{AA0F4A4D-B90D-4532-B6B4-519286B6D5EA}" name="Annual rainfall">
      <calculatedColumnFormula array="1">Common_InputFunctions.Utility_DisplayArrayInTable(Common_SourceData.Common_SourceData_RainfallZones_Data(),Table_SourceData_RainfallZones[[#Headers],[Rainfall Zone]],0)</calculatedColumnFormula>
    </tableColumn>
    <tableColumn id="3" xr3:uid="{55D08CC0-B7A7-4600-B121-C5790D8616D0}" name="Min rainfall">
      <calculatedColumnFormula array="1">Common_InputFunctions.Utility_DisplayArrayInTable(Common_SourceData.Common_SourceData_RainfallZones_Data(),Table_SourceData_RainfallZones[[#Headers],[Rainfall Zone]],0)</calculatedColumnFormula>
    </tableColumn>
    <tableColumn id="4" xr3:uid="{39EC0954-05EE-4353-A4AB-8602A371D94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E9FE68-57AA-4B53-B001-6DDBCD7A787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2F71444-3408-4591-B72F-2319512461FA}" name="Leaching Zone">
      <calculatedColumnFormula array="1">Common_InputFunctions.Utility_DisplayArrayInTable(Common_SourceData.Common_SourceData_LeachingZones_Data(), Table_SourceData_LeachingZones[[#Headers],[Leaching Zone]], 0)</calculatedColumnFormula>
    </tableColumn>
    <tableColumn id="2" xr3:uid="{2A0D501C-ADE8-4FE5-AE61-F36450BE468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D823E7A-0E7A-4D72-B430-F7C185190FF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89C0117-D133-4F2D-81C2-94049D33B129}" name="Data source">
      <calculatedColumnFormula array="1">Common_InputFunctions.Utility_DisplayArrayInTable(Common_SourceData.Common_SourceData_DataScores_Scope3_Data(), Table_SourceData_DataScores_Scope3[[#Headers],[Data source]], 0)</calculatedColumnFormula>
    </tableColumn>
    <tableColumn id="2" xr3:uid="{27B7D1D5-DB8B-414F-BDAC-2EC7FABDDEE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DE7A940-A9C7-4DBE-81E2-39FBA5A0A31C}" name="Table_SourceData_FracWET" displayName="Table_SourceData_FracWET" ref="D134:E136" totalsRowShown="0">
  <autoFilter ref="D134:E136" xr:uid="{308E99BE-FE1F-47A4-B2CA-97217277C4E9}">
    <filterColumn colId="0" hiddenButton="1"/>
    <filterColumn colId="1" hiddenButton="1"/>
  </autoFilter>
  <tableColumns count="2">
    <tableColumn id="1" xr3:uid="{2B569132-4231-4B8D-BF98-593C48D39D92}" name="Is in leaching zone">
      <calculatedColumnFormula array="1">Common_InputFunctions.Utility_DisplayArrayInTable(Common_SourceData.Common_SourceData_FracWET_Data(),Table_SourceData_FracWET[[#Headers],[Is in leaching zone]],0)</calculatedColumnFormula>
    </tableColumn>
    <tableColumn id="2" xr3:uid="{B95425A4-B5DC-4C33-A446-028C6B30D1DB}"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317C109-2EB7-4577-968C-965E5DA4773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912E879-1BEE-4D12-BBED-A4AC1A965A5E}" name="Production system j">
      <calculatedColumnFormula array="1">Common_InputFunctions.Utility_DisplayArrayInTable(Common_SourceData.Common_SourceData_EFN2O_Data(), Table_SourceData_Common_EFN2O[[#Headers],[Production system j]], 0)</calculatedColumnFormula>
    </tableColumn>
    <tableColumn id="2" xr3:uid="{C186B542-E23F-4D37-935E-D2A54A169E5F}" name="EFN2O">
      <calculatedColumnFormula array="1">Common_InputFunctions.Utility_DisplayArrayInTable(Common_SourceData.Common_SourceData_EFN2O_Data(), Table_SourceData_Common_EFN2O[[#Headers],[Production system j]], 0)</calculatedColumnFormula>
    </tableColumn>
    <tableColumn id="3" xr3:uid="{6C010B63-3917-4052-BECE-44F6FC77D23F}" name="Production system only">
      <calculatedColumnFormula array="1">Common_InputFunctions.Utility_DisplayArrayInTable(Common_SourceData.Common_SourceData_EFN2O_Data(), Table_SourceData_Common_EFN2O[[#Headers],[Production system j]], 0)</calculatedColumnFormula>
    </tableColumn>
    <tableColumn id="4" xr3:uid="{AA018E8B-CB7C-4242-8400-7B9C8365520D}" name="Irrigation method">
      <calculatedColumnFormula array="1">Common_InputFunctions.Utility_DisplayArrayInTable(Common_SourceData.Common_SourceData_EFN2O_Data(), Table_SourceData_Common_EFN2O[[#Headers],[Production system j]], 0)</calculatedColumnFormula>
    </tableColumn>
    <tableColumn id="5" xr3:uid="{88B10D39-94B9-433A-B409-429FFD31D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442E8BA-BA2C-4E11-A1F1-E6B0087384D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FFF1876-91BC-4BAB-9FBB-63E0CCEB55E0}" name="Irrigation type i">
      <calculatedColumnFormula array="1">Common_InputFunctions.Utility_DisplayArrayInTable(Common_SourceData.Common_SourceData_FracWETIrrigation_Data(), Table_SourceData_FracWETIrrigation[[#Headers],[Irrigation type i]], 0)</calculatedColumnFormula>
    </tableColumn>
    <tableColumn id="2" xr3:uid="{7C216B29-7E6F-4AB3-98EE-7C90F65C313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FC4D39D-F4F0-4387-8981-56E2D578990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25F428E-97D1-4236-9B8F-2900CECE4B3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179DE71-AFD0-4000-9BDE-481D62EAEFB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7077460-6158-4309-AE1E-0A17D6C4927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2195ADF-B33E-43A2-AA19-1C520E4F2E62}" name="Month">
      <calculatedColumnFormula array="1">Common_InputFunctions.Utility_DisplayArrayInTable(Common_SourceData.Common_SourceData_MonthsToSeasons_Data(), Table_SourceData_Common_MonthToSeason[[#Headers],[Month]], 0)</calculatedColumnFormula>
    </tableColumn>
    <tableColumn id="2" xr3:uid="{D68D1EB5-6320-45AF-97CE-7027A3EC8A6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F87E03A-C267-4420-9EDD-58F98BBA322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7087C7-B462-43D9-A7A1-4EAECE4EF69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F8127CC-4664-4427-8B89-7D784FFAC935}"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1251917-8371-488F-9B02-6A8141CC2E0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9D84C04-2296-4E4F-AC89-675E82A48195}"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D4EA1C5B-F74C-4A77-A4A9-779B718C8E32}"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65080C0-AAE6-4CC7-BD40-FB3899CF8CC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0CC931F-0E69-43D1-8612-1F3448C3660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69E6777-05FE-4211-A01B-967BAFC01452}"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47A4AAA-B1DD-47BB-B7A0-9A28F8A057CA}"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0C66CEB-A9FB-4865-BDC8-D7786B07A8D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C8FB01D-DA3B-45BB-9F54-B6B382D5385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DC81F35-B339-46F6-8582-8BABE491E7D3}"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A72AC50-786C-4789-9830-9CB81B43FBF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ADA3FCD-CE52-430C-8897-8B2F5379EBA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679F4BF-5B38-4C96-ACF2-E6AD5E082465}"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B1C9779-B465-4B56-A215-28D214F650F1}"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0A1C1B7-6151-446F-BC07-E4CA929B278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97E74B0-21EF-4C6A-81C8-F36204B57AE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7BF67D8-D719-4D0B-A6AD-1E171A212315}"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VEERG_14_1_1__1_LocationBasedScopeElectricityEmissions_Result_Method1</f>
        <v>16.8</v>
      </c>
      <c r="F9" s="55">
        <f>E9</f>
        <v>16.8</v>
      </c>
      <c r="G9" s="31" t="s">
        <v>58</v>
      </c>
      <c r="H9" s="19"/>
    </row>
    <row r="10" spans="1:8" ht="20.100000000000001" customHeight="1" x14ac:dyDescent="0.25">
      <c r="A10" s="16" t="s">
        <v>45</v>
      </c>
      <c r="C10" s="19"/>
      <c r="D10" s="1" t="s">
        <v>149</v>
      </c>
      <c r="E10" s="55">
        <f>VEERG_14_1_2__1_MarketBasedScopeElectricityEmissionsVariation_Result_Method1</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24"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155</v>
      </c>
      <c r="E5" s="28" t="s">
        <v>156</v>
      </c>
      <c r="F5" s="2" t="s">
        <v>94</v>
      </c>
    </row>
    <row r="6" spans="1:10" ht="20.100000000000001" customHeight="1" x14ac:dyDescent="0.25">
      <c r="A6" s="13"/>
      <c r="E6" s="4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7" t="s">
        <v>1</v>
      </c>
    </row>
    <row r="8" spans="1:10" ht="20.100000000000001" customHeight="1" x14ac:dyDescent="0.25">
      <c r="A8" s="44" t="str">
        <f>HYPERLINK("#'Input - Electricity'!A1", "Electricity")</f>
        <v>Electricity</v>
      </c>
      <c r="C8" s="109"/>
      <c r="D8" s="109"/>
      <c r="E8" s="109"/>
      <c r="F8" s="109"/>
      <c r="G8" s="109"/>
      <c r="H8" s="109"/>
      <c r="I8" s="109"/>
      <c r="J8" s="109"/>
    </row>
    <row r="9" spans="1:10" ht="20.100000000000001" customHeight="1" x14ac:dyDescent="0.25">
      <c r="A9" s="14"/>
      <c r="D9" s="6" t="s">
        <v>135</v>
      </c>
    </row>
    <row r="10" spans="1:10" ht="20.100000000000001" customHeight="1" x14ac:dyDescent="0.25">
      <c r="A10" s="16" t="s">
        <v>45</v>
      </c>
    </row>
    <row r="11" spans="1:10" ht="20.100000000000001" customHeight="1" x14ac:dyDescent="0.25">
      <c r="A11" s="14" t="str">
        <f>HYPERLINK("#'14.1.1-2 Purchased electricity'!A1", "14.1.1-2 Purchased electricity")</f>
        <v>14.1.1-2 Purchased electricity</v>
      </c>
      <c r="D11" s="63" t="s">
        <v>87</v>
      </c>
    </row>
    <row r="12" spans="1:10" ht="20.100000000000001" customHeight="1" x14ac:dyDescent="0.25">
      <c r="A12" s="14"/>
    </row>
    <row r="13" spans="1:10" ht="20.100000000000001" customHeight="1" x14ac:dyDescent="0.25">
      <c r="A13" s="15" t="s">
        <v>2</v>
      </c>
      <c r="D13" s="64" t="s">
        <v>88</v>
      </c>
      <c r="E13" s="65"/>
      <c r="F13" s="19"/>
    </row>
    <row r="14" spans="1:10" ht="20.100000000000001" customHeight="1" x14ac:dyDescent="0.25">
      <c r="A14" s="14" t="str">
        <f>HYPERLINK("#'Constants - Electricity'!A1", "Constants - Electricity")</f>
        <v>Constants - Electricity</v>
      </c>
      <c r="D14" s="19"/>
      <c r="E14" s="19"/>
      <c r="F14" s="19"/>
    </row>
    <row r="15" spans="1:10" ht="20.100000000000001" customHeight="1" x14ac:dyDescent="0.25">
      <c r="A15" s="14" t="str">
        <f>HYPERLINK("#'Constants - Common'!A1", "Constants - Common")</f>
        <v>Constants - Common</v>
      </c>
      <c r="D15" s="1" t="s">
        <v>89</v>
      </c>
      <c r="E15" s="66">
        <v>30000</v>
      </c>
      <c r="F15" s="2" t="s">
        <v>90</v>
      </c>
    </row>
    <row r="16" spans="1:10" ht="20.100000000000001" customHeight="1" x14ac:dyDescent="0.25">
      <c r="D16" s="1" t="s">
        <v>91</v>
      </c>
      <c r="E16" s="29" t="str">
        <f>IF(X_Cell_Site_State="Western Australia", X_Cell_Site_Region, X_Cell_Site_State)</f>
        <v>Western Australia - Outback (South)</v>
      </c>
      <c r="F16" s="19"/>
    </row>
    <row r="17" spans="1:11" ht="20.100000000000001" customHeight="1" x14ac:dyDescent="0.25">
      <c r="D17" s="1" t="s">
        <v>92</v>
      </c>
      <c r="E17" s="28" t="s">
        <v>93</v>
      </c>
      <c r="F17" s="2" t="s">
        <v>94</v>
      </c>
    </row>
    <row r="18" spans="1:11" ht="20.100000000000001" customHeight="1" x14ac:dyDescent="0.25"/>
    <row r="19" spans="1:11" ht="20.100000000000001" customHeight="1" x14ac:dyDescent="0.25"/>
    <row r="20" spans="1:11" ht="20.100000000000001" customHeight="1" x14ac:dyDescent="0.25">
      <c r="A20" s="14"/>
      <c r="C20" s="109"/>
      <c r="D20" s="109"/>
      <c r="E20" s="109"/>
      <c r="F20" s="109"/>
      <c r="G20" s="109"/>
      <c r="H20" s="109"/>
      <c r="I20" s="109"/>
      <c r="J20" s="109"/>
    </row>
    <row r="21" spans="1:11" ht="20.100000000000001" customHeight="1" x14ac:dyDescent="0.25">
      <c r="A21" s="14"/>
      <c r="D21" s="6" t="s">
        <v>136</v>
      </c>
    </row>
    <row r="22" spans="1:11" ht="20.100000000000001" customHeight="1" x14ac:dyDescent="0.25">
      <c r="E22" s="40" t="str">
        <f>IF(E16="ACT", "", "ALERT: Your farm is not in the ACT, so the JRPP is not applicable")</f>
        <v>ALERT: Your farm is not in the ACT, so the JRPP is not applicable</v>
      </c>
    </row>
    <row r="23" spans="1:11" ht="20.100000000000001" customHeight="1" x14ac:dyDescent="0.25">
      <c r="A23" s="14"/>
      <c r="D23" s="1" t="s">
        <v>129</v>
      </c>
      <c r="E23" s="66">
        <v>30000</v>
      </c>
      <c r="F23" s="2" t="s">
        <v>90</v>
      </c>
    </row>
    <row r="24" spans="1:11" ht="20.100000000000001" customHeight="1" x14ac:dyDescent="0.25">
      <c r="D24" s="1" t="s">
        <v>119</v>
      </c>
      <c r="E24" s="112">
        <v>0.1</v>
      </c>
      <c r="F24" s="2" t="s">
        <v>120</v>
      </c>
    </row>
    <row r="25" spans="1:11" ht="20.100000000000001" customHeight="1" x14ac:dyDescent="0.25">
      <c r="D25" s="1" t="s">
        <v>121</v>
      </c>
      <c r="E25" s="112">
        <v>0.1</v>
      </c>
      <c r="F25" s="2" t="s">
        <v>120</v>
      </c>
    </row>
    <row r="26" spans="1:11" ht="20.100000000000001" customHeight="1" x14ac:dyDescent="0.25"/>
    <row r="27" spans="1:11" ht="20.100000000000001" customHeight="1" x14ac:dyDescent="0.25">
      <c r="D27" s="1" t="s">
        <v>128</v>
      </c>
      <c r="E27" s="66">
        <v>10000</v>
      </c>
      <c r="F27" s="2" t="s">
        <v>90</v>
      </c>
    </row>
    <row r="28" spans="1:11" ht="20.100000000000001" customHeight="1" x14ac:dyDescent="0.25"/>
    <row r="29" spans="1:11" ht="20.100000000000001" customHeight="1" x14ac:dyDescent="0.25">
      <c r="A29" s="14"/>
      <c r="D29" s="1" t="s">
        <v>142</v>
      </c>
      <c r="E29" s="116" t="str">
        <f>TEXT('Input - Site'!E12, "dd mmm yyyy")</f>
        <v>01 Jan 2024</v>
      </c>
      <c r="K29" s="49"/>
    </row>
    <row r="30" spans="1:11" ht="20.100000000000001" customHeight="1" x14ac:dyDescent="0.25">
      <c r="A30" s="14"/>
      <c r="D30" s="1" t="s">
        <v>127</v>
      </c>
      <c r="E30" s="116" t="str">
        <f>TEXT('Input - Site'!E13, "dd mmm yyyy")</f>
        <v>31 Dec 2024</v>
      </c>
      <c r="K30" s="49"/>
    </row>
    <row r="31" spans="1:11" ht="20.100000000000001" customHeight="1" x14ac:dyDescent="0.25">
      <c r="A31" s="33"/>
      <c r="K31" s="49"/>
    </row>
    <row r="32" spans="1:11" ht="20.100000000000001" customHeight="1" x14ac:dyDescent="0.25">
      <c r="A32" s="33"/>
      <c r="D32" s="63" t="s">
        <v>126</v>
      </c>
      <c r="K32" s="49"/>
    </row>
    <row r="33" spans="1:12" ht="20.100000000000001" customHeight="1" x14ac:dyDescent="0.25">
      <c r="A33" s="14"/>
      <c r="K33" s="49"/>
    </row>
    <row r="34" spans="1:12" ht="20.100000000000001" customHeight="1" x14ac:dyDescent="0.25">
      <c r="D34" s="64" t="s">
        <v>150</v>
      </c>
      <c r="E34" s="65"/>
      <c r="K34" s="49"/>
    </row>
    <row r="35" spans="1:12" ht="20.100000000000001" customHeight="1" x14ac:dyDescent="0.25"/>
    <row r="36" spans="1:12" ht="20.100000000000001" customHeight="1" x14ac:dyDescent="0.25">
      <c r="D36" s="114" t="s">
        <v>123</v>
      </c>
      <c r="E36" s="114" t="s">
        <v>132</v>
      </c>
      <c r="F36" s="114" t="s">
        <v>124</v>
      </c>
      <c r="G36" s="114" t="s">
        <v>125</v>
      </c>
      <c r="H36" s="114" t="s">
        <v>122</v>
      </c>
      <c r="I36" s="114" t="s">
        <v>143</v>
      </c>
      <c r="L36" s="49"/>
    </row>
    <row r="37" spans="1:12" ht="20.100000000000001" customHeight="1" x14ac:dyDescent="0.25">
      <c r="D37" s="27" t="s">
        <v>154</v>
      </c>
      <c r="E37" s="28" t="s">
        <v>133</v>
      </c>
      <c r="F37" s="115">
        <v>44185</v>
      </c>
      <c r="G37" s="27">
        <v>12</v>
      </c>
      <c r="H37" s="29">
        <f>Table_Input_RECSurrendered[[#This Row],[Number of certificates]]</f>
        <v>12</v>
      </c>
      <c r="I37" s="29" t="str">
        <f>IF(DATEDIF(Table_Input_RECSurrendered[[#This Row],[Generation date]],DATEVALUE($E$30),"M")&gt;36,"Ineligible - older than 36 months","Elegible")</f>
        <v>Ineligible - older than 36 months</v>
      </c>
      <c r="L37" s="49"/>
    </row>
    <row r="38" spans="1:12" ht="20.100000000000001" customHeight="1" x14ac:dyDescent="0.25">
      <c r="D38" s="27" t="s">
        <v>151</v>
      </c>
      <c r="E38" s="28" t="s">
        <v>134</v>
      </c>
      <c r="F38" s="115">
        <v>44575</v>
      </c>
      <c r="G38" s="27">
        <v>5</v>
      </c>
      <c r="H38" s="29">
        <f>Table_Input_RECSurrendered[[#This Row],[Number of certificates]]</f>
        <v>5</v>
      </c>
      <c r="I38" s="29" t="str">
        <f>IF(DATEDIF(Table_Input_RECSurrendered[[#This Row],[Generation date]],DATEVALUE($E$30),"M")&gt;36,"Ineligible - older than 36 months","Elegible")</f>
        <v>Elegible</v>
      </c>
    </row>
    <row r="39" spans="1:12" ht="20.100000000000001" customHeight="1" x14ac:dyDescent="0.25">
      <c r="A39" s="14"/>
      <c r="D39" s="27" t="s">
        <v>152</v>
      </c>
      <c r="E39" s="28" t="s">
        <v>133</v>
      </c>
      <c r="F39" s="115">
        <v>45438</v>
      </c>
      <c r="G39" s="27">
        <v>5</v>
      </c>
      <c r="H39" s="29">
        <f>Table_Input_RECSurrendered[[#This Row],[Number of certificates]]</f>
        <v>5</v>
      </c>
      <c r="I39" s="29" t="str">
        <f>IF(DATEDIF(Table_Input_RECSurrendered[[#This Row],[Generation date]],DATEVALUE($E$30),"M")&gt;36,"Ineligible - older than 36 months","Elegible")</f>
        <v>Elegible</v>
      </c>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 t="s">
        <v>144</v>
      </c>
      <c r="E41" s="29">
        <f>SUMIF(Table_Input_RECSurrendered[Elegibility], "Elegible", Table_Input_RECSurrendered[MWh])</f>
        <v>10</v>
      </c>
      <c r="F41" s="2" t="s">
        <v>122</v>
      </c>
      <c r="G41" s="1"/>
      <c r="H41" s="1"/>
      <c r="I41" s="1"/>
      <c r="J41" s="1"/>
      <c r="L41" s="49" t="s">
        <v>85</v>
      </c>
    </row>
    <row r="42" spans="1:12" ht="20.100000000000001" customHeight="1" x14ac:dyDescent="0.25">
      <c r="C42" s="48"/>
    </row>
    <row r="43" spans="1:12" ht="20.100000000000001" customHeight="1" x14ac:dyDescent="0.25">
      <c r="C43" s="48"/>
      <c r="D43" s="63" t="s">
        <v>130</v>
      </c>
      <c r="J43" s="48"/>
    </row>
    <row r="44" spans="1:12" ht="20.100000000000001" customHeight="1" x14ac:dyDescent="0.25">
      <c r="A44" s="54"/>
    </row>
    <row r="45" spans="1:12" ht="20.100000000000001" customHeight="1" x14ac:dyDescent="0.25">
      <c r="D45" s="114" t="s">
        <v>123</v>
      </c>
      <c r="E45" s="114" t="s">
        <v>131</v>
      </c>
      <c r="F45" s="114" t="s">
        <v>124</v>
      </c>
      <c r="G45" s="114" t="s">
        <v>125</v>
      </c>
      <c r="H45" s="114" t="s">
        <v>122</v>
      </c>
      <c r="I45" s="114" t="s">
        <v>143</v>
      </c>
    </row>
    <row r="46" spans="1:12" ht="20.100000000000001" customHeight="1" x14ac:dyDescent="0.25">
      <c r="D46" s="27" t="s">
        <v>141</v>
      </c>
      <c r="E46" s="117" t="str">
        <f>"Issued for generated electricity"</f>
        <v>Issued for generated electricity</v>
      </c>
      <c r="F46" s="115">
        <v>44697</v>
      </c>
      <c r="G46" s="27">
        <v>10</v>
      </c>
      <c r="H46" s="29">
        <f>Table_Input_RECConsumedByEntity[[#This Row],[Number of certificates]]</f>
        <v>10</v>
      </c>
      <c r="I46" s="2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7" t="s">
        <v>153</v>
      </c>
      <c r="E47" s="117" t="str">
        <f>"Issued for generated electricity"</f>
        <v>Issued for generated electricity</v>
      </c>
      <c r="F47" s="115">
        <v>45483</v>
      </c>
      <c r="G47" s="27">
        <v>4</v>
      </c>
      <c r="H47" s="29">
        <f>Table_Input_RECConsumedByEntity[[#This Row],[Number of certificates]]</f>
        <v>4</v>
      </c>
      <c r="I47" s="2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22">
        <v>45597</v>
      </c>
      <c r="E48" s="117" t="str">
        <f>"Issued for generated electricity"</f>
        <v>Issued for generated electricity</v>
      </c>
      <c r="F48" s="115">
        <v>45607</v>
      </c>
      <c r="G48" s="27">
        <v>7</v>
      </c>
      <c r="H48" s="29">
        <f>Table_Input_RECConsumedByEntity[[#This Row],[Number of certificates]]</f>
        <v>7</v>
      </c>
      <c r="I48" s="29"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145</v>
      </c>
      <c r="E50" s="29">
        <f>SUMIF(Table_Input_RECConsumedByEntity[Elegibility], "Elegible", Table_Input_RECConsumedByEntity[Number of certificates])</f>
        <v>11</v>
      </c>
      <c r="F50" s="2" t="s">
        <v>122</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13"/>
    </row>
    <row r="56" spans="4:6" ht="20.100000000000001" customHeight="1" x14ac:dyDescent="0.25">
      <c r="D56" s="11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52" priority="21" operator="lessThan">
      <formula>0</formula>
    </cfRule>
  </conditionalFormatting>
  <conditionalFormatting sqref="F142:F143">
    <cfRule type="cellIs" dxfId="51" priority="20" operator="lessThan">
      <formula>0</formula>
    </cfRule>
  </conditionalFormatting>
  <conditionalFormatting sqref="F154:F155">
    <cfRule type="cellIs" dxfId="50" priority="19" operator="lessThan">
      <formula>0</formula>
    </cfRule>
  </conditionalFormatting>
  <conditionalFormatting sqref="F166:F167">
    <cfRule type="cellIs" dxfId="49" priority="18" operator="lessThan">
      <formula>0</formula>
    </cfRule>
  </conditionalFormatting>
  <conditionalFormatting sqref="F254:F255">
    <cfRule type="cellIs" dxfId="48" priority="93" operator="lessThan">
      <formula>0</formula>
    </cfRule>
  </conditionalFormatting>
  <conditionalFormatting sqref="F259:F260">
    <cfRule type="cellIs" dxfId="47" priority="92" operator="lessThan">
      <formula>0</formula>
    </cfRule>
  </conditionalFormatting>
  <conditionalFormatting sqref="F264:F265">
    <cfRule type="cellIs" dxfId="46" priority="91" operator="lessThan">
      <formula>0</formula>
    </cfRule>
  </conditionalFormatting>
  <conditionalFormatting sqref="F288:F289">
    <cfRule type="cellIs" dxfId="45" priority="85" operator="lessThan">
      <formula>0</formula>
    </cfRule>
  </conditionalFormatting>
  <conditionalFormatting sqref="F293:F294">
    <cfRule type="cellIs" dxfId="44" priority="84" operator="lessThan">
      <formula>0</formula>
    </cfRule>
  </conditionalFormatting>
  <conditionalFormatting sqref="F298:F299">
    <cfRule type="cellIs" dxfId="43" priority="83" operator="lessThan">
      <formula>0</formula>
    </cfRule>
  </conditionalFormatting>
  <conditionalFormatting sqref="I59:I63">
    <cfRule type="cellIs" dxfId="42" priority="5" operator="lessThan">
      <formula>0</formula>
    </cfRule>
  </conditionalFormatting>
  <conditionalFormatting sqref="I67 I126">
    <cfRule type="cellIs" dxfId="41" priority="74" operator="lessThan">
      <formula>0</formula>
    </cfRule>
  </conditionalFormatting>
  <conditionalFormatting sqref="I78:I80">
    <cfRule type="cellIs" dxfId="40" priority="4" operator="lessThan">
      <formula>0</formula>
    </cfRule>
  </conditionalFormatting>
  <conditionalFormatting sqref="I84:I87">
    <cfRule type="cellIs" dxfId="39" priority="3" operator="lessThan">
      <formula>0</formula>
    </cfRule>
  </conditionalFormatting>
  <conditionalFormatting sqref="I91:I95">
    <cfRule type="cellIs" dxfId="38" priority="1" operator="lessThan">
      <formula>0</formula>
    </cfRule>
  </conditionalFormatting>
  <conditionalFormatting sqref="J35 I49:I50 H51:H53 I52 I54:I55 I206 I212 E214:G214">
    <cfRule type="cellIs" dxfId="37" priority="79" operator="lessThan">
      <formula>0</formula>
    </cfRule>
  </conditionalFormatting>
  <conditionalFormatting sqref="J39 I40 J41 I43">
    <cfRule type="cellIs" dxfId="36"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9A772-9457-4A76-B2C2-E44B01198C50}">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