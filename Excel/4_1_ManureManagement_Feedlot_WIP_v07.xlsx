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BD6BB4E2-147E-4A00-B5EA-392DB952B84A}" xr6:coauthVersionLast="47" xr6:coauthVersionMax="47" xr10:uidLastSave="{00000000-0000-0000-0000-000000000000}"/>
  <bookViews>
    <workbookView xWindow="105" yWindow="270" windowWidth="37350" windowHeight="19740" firstSheet="1" activeTab="1"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98"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1" i="43" l="1"/>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I140" i="69" l="1" a="1"/>
  <c r="I140" i="69" s="1"/>
  <c r="I139" i="69" a="1"/>
  <c r="I139" i="69" s="1"/>
  <c r="I138" i="69" a="1"/>
  <c r="I138" i="69" s="1"/>
  <c r="R150" i="69"/>
  <c r="I150" i="69"/>
  <c r="G159" i="69"/>
  <c r="G145" i="69"/>
  <c r="G138" i="69" a="1"/>
  <c r="G138" i="69" s="1"/>
  <c r="D138" i="69" a="1"/>
  <c r="D138" i="69" s="1"/>
  <c r="R115" i="69"/>
  <c r="P110" i="69" a="1"/>
  <c r="P110" i="69" s="1"/>
  <c r="M110" i="69" a="1"/>
  <c r="M110" i="69" s="1"/>
  <c r="H120" i="69"/>
  <c r="I112" i="69" a="1"/>
  <c r="I112" i="69" s="1"/>
  <c r="I110" i="69" a="1"/>
  <c r="I110" i="69" s="1"/>
  <c r="G110" i="69" a="1"/>
  <c r="G110" i="69" s="1"/>
  <c r="D110" i="69" a="1"/>
  <c r="D110" i="69" s="1"/>
  <c r="I80" i="69"/>
  <c r="G87" i="69"/>
  <c r="P87" i="69"/>
  <c r="R73" i="69" a="1"/>
  <c r="R73" i="69" s="1"/>
  <c r="O89" i="69" a="1"/>
  <c r="O89" i="69" s="1"/>
  <c r="O88" i="69" a="1"/>
  <c r="O88" i="69" s="1"/>
  <c r="O87" i="69" a="1"/>
  <c r="O87" i="69" s="1"/>
  <c r="R75" i="69"/>
  <c r="P69" i="69" a="1"/>
  <c r="P69" i="69" s="1"/>
  <c r="M69" i="69" a="1"/>
  <c r="M69" i="69" s="1"/>
  <c r="I73" i="69" a="1"/>
  <c r="I73" i="69" s="1"/>
  <c r="I72" i="69" a="1"/>
  <c r="I72" i="69" s="1"/>
  <c r="I70" i="69" a="1"/>
  <c r="I70" i="69" s="1"/>
  <c r="G69" i="69" a="1"/>
  <c r="G69" i="69" s="1"/>
  <c r="D69" i="69" a="1"/>
  <c r="D69" i="69" s="1"/>
  <c r="N89" i="69"/>
  <c r="M89" i="69"/>
  <c r="N88" i="69"/>
  <c r="M88" i="69"/>
  <c r="N87" i="69"/>
  <c r="M87" i="69"/>
  <c r="R45" i="69"/>
  <c r="R47" i="69"/>
  <c r="P42" i="69" l="1" a="1"/>
  <c r="P42" i="69" s="1"/>
  <c r="M42" i="69" a="1"/>
  <c r="M42" i="69" s="1"/>
  <c r="R46" i="69"/>
  <c r="R44" i="69" a="1"/>
  <c r="R44" i="69" s="1"/>
  <c r="R43" i="69"/>
  <c r="R42" i="69" a="1"/>
  <c r="R42" i="69" s="1"/>
  <c r="I44" i="69" a="1"/>
  <c r="I44" i="69" s="1"/>
  <c r="I42" i="69" a="1"/>
  <c r="I42" i="69" s="1"/>
  <c r="G42" i="69" a="1"/>
  <c r="G42" i="69" s="1"/>
  <c r="D42" i="69" a="1"/>
  <c r="D42" i="69" s="1"/>
  <c r="H14" i="69" a="1"/>
  <c r="H14" i="69" s="1"/>
  <c r="H13" i="69" a="1"/>
  <c r="H13" i="69" s="1"/>
  <c r="E89" i="69"/>
  <c r="D89" i="69"/>
  <c r="H82" i="69"/>
  <c r="G82" i="69"/>
  <c r="F82" i="69"/>
  <c r="H81" i="69"/>
  <c r="G81" i="69"/>
  <c r="F81" i="69"/>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I114" i="69"/>
  <c r="I74" i="69"/>
  <c r="I46" i="69"/>
  <c r="S250" i="98" a="1"/>
  <c r="S250" i="98" s="1"/>
  <c r="R250" i="98" a="1"/>
  <c r="R250" i="98" s="1"/>
  <c r="Q250" i="98" a="1"/>
  <c r="Q250" i="98" s="1"/>
  <c r="P250" i="98" a="1"/>
  <c r="P250" i="98" s="1"/>
  <c r="O250" i="98" a="1"/>
  <c r="O250" i="98" s="1"/>
  <c r="N250" i="98" a="1"/>
  <c r="N250" i="98" s="1"/>
  <c r="M250" i="98" a="1"/>
  <c r="M250" i="98" s="1"/>
  <c r="L250" i="98" a="1"/>
  <c r="L250" i="98" s="1"/>
  <c r="K250" i="98" a="1"/>
  <c r="K250" i="98" s="1"/>
  <c r="J250" i="98" a="1"/>
  <c r="J250" i="98" s="1"/>
  <c r="I250" i="98" a="1"/>
  <c r="I250" i="98" s="1"/>
  <c r="H250" i="98" a="1"/>
  <c r="H250" i="98" s="1"/>
  <c r="G250" i="98" a="1"/>
  <c r="G250" i="98" s="1"/>
  <c r="F250" i="98" a="1"/>
  <c r="F250" i="98" s="1"/>
  <c r="E250" i="98" a="1"/>
  <c r="E250" i="98" s="1"/>
  <c r="D250" i="98" a="1"/>
  <c r="D250" i="98" s="1"/>
  <c r="S249" i="98" a="1"/>
  <c r="S249" i="98" s="1"/>
  <c r="R249" i="98" a="1"/>
  <c r="R249" i="98" s="1"/>
  <c r="Q249" i="98" a="1"/>
  <c r="Q249" i="98" s="1"/>
  <c r="P249" i="98" a="1"/>
  <c r="P249" i="98" s="1"/>
  <c r="O249" i="98" a="1"/>
  <c r="O249" i="98" s="1"/>
  <c r="N249" i="98" a="1"/>
  <c r="N249" i="98" s="1"/>
  <c r="M249" i="98" a="1"/>
  <c r="M249" i="98" s="1"/>
  <c r="L249" i="98" a="1"/>
  <c r="L249" i="98" s="1"/>
  <c r="K249" i="98" a="1"/>
  <c r="K249" i="98" s="1"/>
  <c r="J249" i="98" a="1"/>
  <c r="J249" i="98" s="1"/>
  <c r="I249" i="98" a="1"/>
  <c r="I249" i="98" s="1"/>
  <c r="H249" i="98" a="1"/>
  <c r="H249" i="98" s="1"/>
  <c r="G249" i="98" a="1"/>
  <c r="G249" i="98" s="1"/>
  <c r="F249" i="98" a="1"/>
  <c r="F249" i="98" s="1"/>
  <c r="E249" i="98" a="1"/>
  <c r="E249" i="98" s="1"/>
  <c r="D249" i="98" a="1"/>
  <c r="D249" i="98" s="1"/>
  <c r="S248" i="98" a="1"/>
  <c r="S248" i="98" s="1"/>
  <c r="R248" i="98" a="1"/>
  <c r="R248" i="98" s="1"/>
  <c r="Q248" i="98" a="1"/>
  <c r="Q248" i="98" s="1"/>
  <c r="P248" i="98" a="1"/>
  <c r="P248" i="98" s="1"/>
  <c r="O248" i="98" a="1"/>
  <c r="O248" i="98" s="1"/>
  <c r="N248" i="98" a="1"/>
  <c r="N248" i="98" s="1"/>
  <c r="M248" i="98" a="1"/>
  <c r="M248" i="98" s="1"/>
  <c r="L248" i="98" a="1"/>
  <c r="L248" i="98" s="1"/>
  <c r="K248" i="98" a="1"/>
  <c r="K248" i="98" s="1"/>
  <c r="J248" i="98" a="1"/>
  <c r="J248" i="98" s="1"/>
  <c r="I248" i="98" a="1"/>
  <c r="I248" i="98" s="1"/>
  <c r="H248" i="98" a="1"/>
  <c r="H248" i="98" s="1"/>
  <c r="G248" i="98" a="1"/>
  <c r="G248" i="98" s="1"/>
  <c r="F248" i="98" a="1"/>
  <c r="F248" i="98" s="1"/>
  <c r="E248" i="98" a="1"/>
  <c r="E248" i="98" s="1"/>
  <c r="D248" i="98" a="1"/>
  <c r="D248" i="98" s="1"/>
  <c r="S247" i="98" a="1"/>
  <c r="S247" i="98" s="1"/>
  <c r="R247" i="98" a="1"/>
  <c r="R247" i="98" s="1"/>
  <c r="Q247" i="98" a="1"/>
  <c r="Q247" i="98" s="1"/>
  <c r="P247" i="98" a="1"/>
  <c r="P247" i="98" s="1"/>
  <c r="O247" i="98" a="1"/>
  <c r="O247" i="98" s="1"/>
  <c r="N247" i="98" a="1"/>
  <c r="N247" i="98" s="1"/>
  <c r="M247" i="98" a="1"/>
  <c r="M247" i="98" s="1"/>
  <c r="L247" i="98" a="1"/>
  <c r="L247" i="98" s="1"/>
  <c r="K247" i="98" a="1"/>
  <c r="K247" i="98" s="1"/>
  <c r="J247" i="98" a="1"/>
  <c r="J247" i="98" s="1"/>
  <c r="I247" i="98" a="1"/>
  <c r="I247" i="98" s="1"/>
  <c r="H247" i="98" a="1"/>
  <c r="H247" i="98" s="1"/>
  <c r="G247" i="98" a="1"/>
  <c r="G247" i="98" s="1"/>
  <c r="F247" i="98" a="1"/>
  <c r="F247" i="98" s="1"/>
  <c r="E247" i="98" a="1"/>
  <c r="E247" i="98" s="1"/>
  <c r="D247" i="98" a="1"/>
  <c r="D247" i="98" s="1"/>
  <c r="S246" i="98" a="1"/>
  <c r="S246" i="98" s="1"/>
  <c r="R246" i="98" a="1"/>
  <c r="R246" i="98" s="1"/>
  <c r="Q246" i="98" a="1"/>
  <c r="Q246" i="98" s="1"/>
  <c r="P246" i="98" a="1"/>
  <c r="P246" i="98" s="1"/>
  <c r="O246" i="98" a="1"/>
  <c r="O246" i="98" s="1"/>
  <c r="N246" i="98" a="1"/>
  <c r="N246" i="98" s="1"/>
  <c r="M246" i="98" a="1"/>
  <c r="M246" i="98" s="1"/>
  <c r="L246" i="98" a="1"/>
  <c r="L246" i="98" s="1"/>
  <c r="K246" i="98" a="1"/>
  <c r="K246" i="98" s="1"/>
  <c r="J246" i="98" a="1"/>
  <c r="J246" i="98" s="1"/>
  <c r="I246" i="98" a="1"/>
  <c r="I246" i="98" s="1"/>
  <c r="H246" i="98" a="1"/>
  <c r="H246" i="98" s="1"/>
  <c r="G246" i="98" a="1"/>
  <c r="G246" i="98" s="1"/>
  <c r="F246" i="98" a="1"/>
  <c r="F246" i="98" s="1"/>
  <c r="E246" i="98" a="1"/>
  <c r="E246" i="98" s="1"/>
  <c r="D246" i="98" a="1"/>
  <c r="D246" i="98" s="1"/>
  <c r="S245" i="98" a="1"/>
  <c r="S245" i="98" s="1"/>
  <c r="R245" i="98" a="1"/>
  <c r="R245" i="98" s="1"/>
  <c r="Q245" i="98" a="1"/>
  <c r="Q245" i="98" s="1"/>
  <c r="P245" i="98" a="1"/>
  <c r="P245" i="98" s="1"/>
  <c r="O245" i="98" a="1"/>
  <c r="O245" i="98" s="1"/>
  <c r="N245" i="98" a="1"/>
  <c r="N245" i="98" s="1"/>
  <c r="M245" i="98" a="1"/>
  <c r="M245" i="98" s="1"/>
  <c r="L245" i="98" a="1"/>
  <c r="L245" i="98" s="1"/>
  <c r="K245" i="98" a="1"/>
  <c r="K245" i="98" s="1"/>
  <c r="J245" i="98" a="1"/>
  <c r="J245" i="98" s="1"/>
  <c r="I245" i="98" a="1"/>
  <c r="I245" i="98" s="1"/>
  <c r="H245" i="98" a="1"/>
  <c r="H245" i="98" s="1"/>
  <c r="G245" i="98" a="1"/>
  <c r="G245" i="98" s="1"/>
  <c r="F245" i="98" a="1"/>
  <c r="F245" i="98" s="1"/>
  <c r="E245" i="98" a="1"/>
  <c r="E245" i="98" s="1"/>
  <c r="D245" i="98" a="1"/>
  <c r="D245" i="98" s="1"/>
  <c r="S244" i="98" a="1"/>
  <c r="S244" i="98" s="1"/>
  <c r="R244" i="98" a="1"/>
  <c r="R244" i="98" s="1"/>
  <c r="Q244" i="98" a="1"/>
  <c r="Q244" i="98" s="1"/>
  <c r="P244" i="98" a="1"/>
  <c r="P244" i="98" s="1"/>
  <c r="O244" i="98" a="1"/>
  <c r="O244" i="98" s="1"/>
  <c r="N244" i="98" a="1"/>
  <c r="N244" i="98" s="1"/>
  <c r="M244" i="98" a="1"/>
  <c r="M244" i="98" s="1"/>
  <c r="L244" i="98" a="1"/>
  <c r="L244" i="98" s="1"/>
  <c r="K244" i="98" a="1"/>
  <c r="K244" i="98" s="1"/>
  <c r="J244" i="98" a="1"/>
  <c r="J244" i="98" s="1"/>
  <c r="I244" i="98" a="1"/>
  <c r="I244" i="98" s="1"/>
  <c r="H244" i="98" a="1"/>
  <c r="H244" i="98" s="1"/>
  <c r="G244" i="98" a="1"/>
  <c r="G244" i="98" s="1"/>
  <c r="F244" i="98" a="1"/>
  <c r="F244" i="98" s="1"/>
  <c r="E244" i="98" a="1"/>
  <c r="E244" i="98" s="1"/>
  <c r="D244" i="98" a="1"/>
  <c r="D244" i="98" s="1"/>
  <c r="S243" i="98" a="1"/>
  <c r="S243" i="98" s="1"/>
  <c r="R243" i="98" a="1"/>
  <c r="R243" i="98" s="1"/>
  <c r="Q243" i="98" a="1"/>
  <c r="Q243" i="98" s="1"/>
  <c r="P243" i="98" a="1"/>
  <c r="P243" i="98" s="1"/>
  <c r="O243" i="98" a="1"/>
  <c r="O243" i="98" s="1"/>
  <c r="N243" i="98" a="1"/>
  <c r="N243" i="98" s="1"/>
  <c r="M243" i="98" a="1"/>
  <c r="M243" i="98" s="1"/>
  <c r="L243" i="98" a="1"/>
  <c r="L243" i="98" s="1"/>
  <c r="K243" i="98" a="1"/>
  <c r="K243" i="98" s="1"/>
  <c r="J243" i="98" a="1"/>
  <c r="J243" i="98" s="1"/>
  <c r="I243" i="98" a="1"/>
  <c r="I243" i="98" s="1"/>
  <c r="H243" i="98" a="1"/>
  <c r="H243" i="98" s="1"/>
  <c r="G243" i="98" a="1"/>
  <c r="G243" i="98" s="1"/>
  <c r="F243" i="98" a="1"/>
  <c r="F243" i="98" s="1"/>
  <c r="E243" i="98" a="1"/>
  <c r="E243" i="98" s="1"/>
  <c r="D243" i="98" a="1"/>
  <c r="D243" i="98" s="1"/>
  <c r="S242" i="98" a="1"/>
  <c r="S242" i="98" s="1"/>
  <c r="R242" i="98" a="1"/>
  <c r="R242" i="98" s="1"/>
  <c r="Q242" i="98" a="1"/>
  <c r="Q242" i="98" s="1"/>
  <c r="P242" i="98" a="1"/>
  <c r="P242" i="98" s="1"/>
  <c r="O242" i="98" a="1"/>
  <c r="O242" i="98" s="1"/>
  <c r="N242" i="98" a="1"/>
  <c r="N242" i="98" s="1"/>
  <c r="M242" i="98" a="1"/>
  <c r="M242" i="98" s="1"/>
  <c r="L242" i="98" a="1"/>
  <c r="L242" i="98" s="1"/>
  <c r="K242" i="98" a="1"/>
  <c r="K242" i="98" s="1"/>
  <c r="J242" i="98" a="1"/>
  <c r="J242" i="98" s="1"/>
  <c r="I242" i="98" a="1"/>
  <c r="I242" i="98" s="1"/>
  <c r="H242" i="98" a="1"/>
  <c r="H242" i="98" s="1"/>
  <c r="G242" i="98" a="1"/>
  <c r="G242" i="98" s="1"/>
  <c r="F242" i="98" a="1"/>
  <c r="F242" i="98" s="1"/>
  <c r="E242" i="98" a="1"/>
  <c r="E242" i="98" s="1"/>
  <c r="D242" i="98" a="1"/>
  <c r="D242" i="98" s="1"/>
  <c r="S241" i="98" a="1"/>
  <c r="S241" i="98" s="1"/>
  <c r="R241" i="98" a="1"/>
  <c r="R241" i="98" s="1"/>
  <c r="Q241" i="98" a="1"/>
  <c r="Q241" i="98" s="1"/>
  <c r="P241" i="98" a="1"/>
  <c r="P241" i="98" s="1"/>
  <c r="O241" i="98" a="1"/>
  <c r="O241" i="98" s="1"/>
  <c r="N241" i="98" a="1"/>
  <c r="N241" i="98" s="1"/>
  <c r="M241" i="98" a="1"/>
  <c r="M241" i="98" s="1"/>
  <c r="L241" i="98" a="1"/>
  <c r="L241" i="98" s="1"/>
  <c r="K241" i="98" a="1"/>
  <c r="K241" i="98" s="1"/>
  <c r="J241" i="98" a="1"/>
  <c r="J241" i="98" s="1"/>
  <c r="I241" i="98" a="1"/>
  <c r="I241" i="98" s="1"/>
  <c r="H241" i="98" a="1"/>
  <c r="H241" i="98" s="1"/>
  <c r="G241" i="98" a="1"/>
  <c r="G241" i="98" s="1"/>
  <c r="F241" i="98" a="1"/>
  <c r="F241" i="98" s="1"/>
  <c r="E241" i="98" a="1"/>
  <c r="E241" i="98" s="1"/>
  <c r="D241" i="98" a="1"/>
  <c r="D241" i="98" s="1"/>
  <c r="S240" i="98" a="1"/>
  <c r="S240" i="98" s="1"/>
  <c r="R240" i="98" a="1"/>
  <c r="R240" i="98" s="1"/>
  <c r="Q240" i="98" a="1"/>
  <c r="Q240" i="98" s="1"/>
  <c r="P240" i="98" a="1"/>
  <c r="P240" i="98" s="1"/>
  <c r="O240" i="98" a="1"/>
  <c r="O240" i="98" s="1"/>
  <c r="N240" i="98" a="1"/>
  <c r="N240" i="98" s="1"/>
  <c r="M240" i="98" a="1"/>
  <c r="M240" i="98" s="1"/>
  <c r="L240" i="98" a="1"/>
  <c r="L240" i="98" s="1"/>
  <c r="K240" i="98" a="1"/>
  <c r="K240" i="98" s="1"/>
  <c r="J240" i="98" a="1"/>
  <c r="J240" i="98" s="1"/>
  <c r="I240" i="98" a="1"/>
  <c r="I240" i="98" s="1"/>
  <c r="H240" i="98" a="1"/>
  <c r="H240" i="98" s="1"/>
  <c r="G240" i="98" a="1"/>
  <c r="G240" i="98" s="1"/>
  <c r="F240" i="98" a="1"/>
  <c r="F240" i="98" s="1"/>
  <c r="E240" i="98" a="1"/>
  <c r="E240" i="98" s="1"/>
  <c r="D240" i="98" a="1"/>
  <c r="D240" i="98" s="1"/>
  <c r="S239" i="98" a="1"/>
  <c r="S239" i="98" s="1"/>
  <c r="R239" i="98" a="1"/>
  <c r="R239" i="98" s="1"/>
  <c r="Q239" i="98" a="1"/>
  <c r="Q239" i="98" s="1"/>
  <c r="P239" i="98" a="1"/>
  <c r="P239" i="98" s="1"/>
  <c r="O239" i="98" a="1"/>
  <c r="O239" i="98" s="1"/>
  <c r="N239" i="98" a="1"/>
  <c r="N239" i="98" s="1"/>
  <c r="M239" i="98" a="1"/>
  <c r="M239" i="98" s="1"/>
  <c r="L239" i="98" a="1"/>
  <c r="L239" i="98" s="1"/>
  <c r="K239" i="98" a="1"/>
  <c r="K239" i="98" s="1"/>
  <c r="J239" i="98" a="1"/>
  <c r="J239" i="98" s="1"/>
  <c r="I239" i="98" a="1"/>
  <c r="I239" i="98" s="1"/>
  <c r="H239" i="98" a="1"/>
  <c r="H239" i="98" s="1"/>
  <c r="G239" i="98" a="1"/>
  <c r="G239" i="98" s="1"/>
  <c r="F239" i="98" a="1"/>
  <c r="F239" i="98" s="1"/>
  <c r="E239" i="98" a="1"/>
  <c r="E239" i="98" s="1"/>
  <c r="D239" i="98" a="1"/>
  <c r="D239" i="98" s="1"/>
  <c r="S238" i="98" a="1"/>
  <c r="S238" i="98" s="1"/>
  <c r="R238" i="98" a="1"/>
  <c r="R238" i="98" s="1"/>
  <c r="Q238" i="98" a="1"/>
  <c r="Q238" i="98" s="1"/>
  <c r="P238" i="98" a="1"/>
  <c r="P238" i="98" s="1"/>
  <c r="O238" i="98" a="1"/>
  <c r="O238" i="98" s="1"/>
  <c r="N238" i="98" a="1"/>
  <c r="N238" i="98" s="1"/>
  <c r="M238" i="98" a="1"/>
  <c r="M238" i="98" s="1"/>
  <c r="L238" i="98" a="1"/>
  <c r="L238" i="98" s="1"/>
  <c r="K238" i="98" a="1"/>
  <c r="K238" i="98" s="1"/>
  <c r="J238" i="98" a="1"/>
  <c r="J238" i="98" s="1"/>
  <c r="I238" i="98" a="1"/>
  <c r="I238" i="98" s="1"/>
  <c r="H238" i="98" a="1"/>
  <c r="H238" i="98" s="1"/>
  <c r="G238" i="98" a="1"/>
  <c r="G238" i="98" s="1"/>
  <c r="F238" i="98" a="1"/>
  <c r="F238" i="98" s="1"/>
  <c r="E238" i="98" a="1"/>
  <c r="E238" i="98" s="1"/>
  <c r="D238" i="98" a="1"/>
  <c r="D238" i="98" s="1"/>
  <c r="S237" i="98" a="1"/>
  <c r="S237" i="98" s="1"/>
  <c r="R237" i="98" a="1"/>
  <c r="R237" i="98" s="1"/>
  <c r="Q237" i="98" a="1"/>
  <c r="Q237" i="98" s="1"/>
  <c r="P237" i="98" a="1"/>
  <c r="P237" i="98" s="1"/>
  <c r="O237" i="98" a="1"/>
  <c r="O237" i="98" s="1"/>
  <c r="N237" i="98" a="1"/>
  <c r="N237" i="98" s="1"/>
  <c r="M237" i="98" a="1"/>
  <c r="M237" i="98" s="1"/>
  <c r="L237" i="98" a="1"/>
  <c r="L237" i="98" s="1"/>
  <c r="K237" i="98" a="1"/>
  <c r="K237" i="98" s="1"/>
  <c r="J237" i="98" a="1"/>
  <c r="J237" i="98" s="1"/>
  <c r="I237" i="98" a="1"/>
  <c r="I237" i="98" s="1"/>
  <c r="H237" i="98" a="1"/>
  <c r="H237" i="98" s="1"/>
  <c r="G237" i="98" a="1"/>
  <c r="G237" i="98" s="1"/>
  <c r="F237" i="98" a="1"/>
  <c r="F237" i="98" s="1"/>
  <c r="E237" i="98" a="1"/>
  <c r="E237" i="98" s="1"/>
  <c r="D237" i="98" a="1"/>
  <c r="D237" i="98" s="1"/>
  <c r="S236" i="98" a="1"/>
  <c r="S236" i="98" s="1"/>
  <c r="R236" i="98" a="1"/>
  <c r="R236" i="98" s="1"/>
  <c r="Q236" i="98" a="1"/>
  <c r="Q236" i="98" s="1"/>
  <c r="P236" i="98" a="1"/>
  <c r="P236" i="98" s="1"/>
  <c r="O236" i="98" a="1"/>
  <c r="O236" i="98" s="1"/>
  <c r="N236" i="98" a="1"/>
  <c r="N236" i="98" s="1"/>
  <c r="M236" i="98" a="1"/>
  <c r="M236" i="98" s="1"/>
  <c r="L236" i="98" a="1"/>
  <c r="L236" i="98" s="1"/>
  <c r="K236" i="98" a="1"/>
  <c r="K236" i="98" s="1"/>
  <c r="J236" i="98" a="1"/>
  <c r="J236" i="98" s="1"/>
  <c r="I236" i="98" a="1"/>
  <c r="I236" i="98" s="1"/>
  <c r="H236" i="98" a="1"/>
  <c r="H236" i="98" s="1"/>
  <c r="G236" i="98" a="1"/>
  <c r="G236" i="98" s="1"/>
  <c r="F236" i="98" a="1"/>
  <c r="F236" i="98" s="1"/>
  <c r="E236" i="98" a="1"/>
  <c r="E236" i="98" s="1"/>
  <c r="D236" i="98" a="1"/>
  <c r="D236" i="98" s="1"/>
  <c r="S235" i="98" a="1"/>
  <c r="S235" i="98" s="1"/>
  <c r="R235" i="98" a="1"/>
  <c r="R235" i="98" s="1"/>
  <c r="Q235" i="98" a="1"/>
  <c r="Q235" i="98" s="1"/>
  <c r="P235" i="98" a="1"/>
  <c r="P235" i="98" s="1"/>
  <c r="O235" i="98" a="1"/>
  <c r="O235" i="98" s="1"/>
  <c r="N235" i="98" a="1"/>
  <c r="N235" i="98" s="1"/>
  <c r="M235" i="98" a="1"/>
  <c r="M235" i="98" s="1"/>
  <c r="L235" i="98" a="1"/>
  <c r="L235" i="98" s="1"/>
  <c r="K235" i="98" a="1"/>
  <c r="K235" i="98" s="1"/>
  <c r="J235" i="98" a="1"/>
  <c r="J235" i="98" s="1"/>
  <c r="I235" i="98" a="1"/>
  <c r="I235" i="98" s="1"/>
  <c r="H235" i="98" a="1"/>
  <c r="H235" i="98" s="1"/>
  <c r="G235" i="98" a="1"/>
  <c r="G235" i="98" s="1"/>
  <c r="F235" i="98" a="1"/>
  <c r="F235" i="98" s="1"/>
  <c r="E235" i="98" a="1"/>
  <c r="E235" i="98" s="1"/>
  <c r="D235" i="98" a="1"/>
  <c r="D235" i="98" s="1"/>
  <c r="S234" i="98" a="1"/>
  <c r="S234" i="98" s="1"/>
  <c r="R234" i="98" a="1"/>
  <c r="R234" i="98" s="1"/>
  <c r="Q234" i="98" a="1"/>
  <c r="Q234" i="98" s="1"/>
  <c r="P234" i="98" a="1"/>
  <c r="P234" i="98" s="1"/>
  <c r="O234" i="98" a="1"/>
  <c r="O234" i="98" s="1"/>
  <c r="N234" i="98" a="1"/>
  <c r="N234" i="98" s="1"/>
  <c r="M234" i="98" a="1"/>
  <c r="M234" i="98" s="1"/>
  <c r="L234" i="98" a="1"/>
  <c r="L234" i="98" s="1"/>
  <c r="K234" i="98" a="1"/>
  <c r="K234" i="98" s="1"/>
  <c r="J234" i="98" a="1"/>
  <c r="J234" i="98" s="1"/>
  <c r="I234" i="98" a="1"/>
  <c r="I234" i="98" s="1"/>
  <c r="H234" i="98" a="1"/>
  <c r="H234" i="98" s="1"/>
  <c r="G234" i="98" a="1"/>
  <c r="G234" i="98" s="1"/>
  <c r="F234" i="98" a="1"/>
  <c r="F234" i="98" s="1"/>
  <c r="E234" i="98" a="1"/>
  <c r="E234" i="98" s="1"/>
  <c r="D234" i="98" a="1"/>
  <c r="D234" i="98" s="1"/>
  <c r="S233" i="98" a="1"/>
  <c r="S233" i="98" s="1"/>
  <c r="R233" i="98" a="1"/>
  <c r="R233" i="98" s="1"/>
  <c r="Q233" i="98" a="1"/>
  <c r="Q233" i="98" s="1"/>
  <c r="P233" i="98" a="1"/>
  <c r="P233" i="98" s="1"/>
  <c r="O233" i="98" a="1"/>
  <c r="O233" i="98" s="1"/>
  <c r="N233" i="98" a="1"/>
  <c r="N233" i="98" s="1"/>
  <c r="M233" i="98" a="1"/>
  <c r="M233" i="98" s="1"/>
  <c r="L233" i="98" a="1"/>
  <c r="L233" i="98" s="1"/>
  <c r="K233" i="98" a="1"/>
  <c r="K233" i="98" s="1"/>
  <c r="J233" i="98" a="1"/>
  <c r="J233" i="98" s="1"/>
  <c r="I233" i="98" a="1"/>
  <c r="I233" i="98" s="1"/>
  <c r="H233" i="98" a="1"/>
  <c r="H233" i="98" s="1"/>
  <c r="G233" i="98" a="1"/>
  <c r="G233" i="98" s="1"/>
  <c r="F233" i="98" a="1"/>
  <c r="F233" i="98" s="1"/>
  <c r="E233" i="98" a="1"/>
  <c r="E233" i="98" s="1"/>
  <c r="D233" i="98" a="1"/>
  <c r="D233" i="98" s="1"/>
  <c r="S232" i="98" a="1"/>
  <c r="S232" i="98" s="1"/>
  <c r="R232" i="98" a="1"/>
  <c r="R232" i="98" s="1"/>
  <c r="Q232" i="98" a="1"/>
  <c r="Q232" i="98" s="1"/>
  <c r="P232" i="98" a="1"/>
  <c r="P232" i="98" s="1"/>
  <c r="O232" i="98" a="1"/>
  <c r="O232" i="98" s="1"/>
  <c r="N232" i="98" a="1"/>
  <c r="N232" i="98" s="1"/>
  <c r="M232" i="98" a="1"/>
  <c r="M232" i="98" s="1"/>
  <c r="L232" i="98" a="1"/>
  <c r="L232" i="98" s="1"/>
  <c r="K232" i="98" a="1"/>
  <c r="K232" i="98" s="1"/>
  <c r="J232" i="98" a="1"/>
  <c r="J232" i="98" s="1"/>
  <c r="I232" i="98" a="1"/>
  <c r="I232" i="98" s="1"/>
  <c r="H232" i="98" a="1"/>
  <c r="H232" i="98" s="1"/>
  <c r="G232" i="98" a="1"/>
  <c r="G232" i="98" s="1"/>
  <c r="F232" i="98" a="1"/>
  <c r="F232" i="98" s="1"/>
  <c r="E232" i="98" a="1"/>
  <c r="E232" i="98" s="1"/>
  <c r="D232" i="98" a="1"/>
  <c r="D232" i="98" s="1"/>
  <c r="D229" i="98" a="1"/>
  <c r="D229" i="98" s="1"/>
  <c r="D228" i="98" a="1"/>
  <c r="D228" i="98" s="1"/>
  <c r="D227" i="98" a="1"/>
  <c r="D227" i="98" s="1"/>
  <c r="E224" i="98" a="1"/>
  <c r="E224" i="98" s="1"/>
  <c r="D224" i="98" a="1"/>
  <c r="D224" i="98" s="1"/>
  <c r="E223" i="98" a="1"/>
  <c r="E223" i="98" s="1"/>
  <c r="D223" i="98" a="1"/>
  <c r="D223" i="98" s="1"/>
  <c r="E222" i="98" a="1"/>
  <c r="E222" i="98" s="1"/>
  <c r="D222" i="98" a="1"/>
  <c r="D222" i="98" s="1"/>
  <c r="E221" i="98" a="1"/>
  <c r="E221" i="98" s="1"/>
  <c r="D221" i="98" a="1"/>
  <c r="D221" i="98" s="1"/>
  <c r="E220" i="98" a="1"/>
  <c r="E220" i="98" s="1"/>
  <c r="D220" i="98" a="1"/>
  <c r="D220" i="98" s="1"/>
  <c r="E219" i="98" a="1"/>
  <c r="E219" i="98" s="1"/>
  <c r="D219" i="98" a="1"/>
  <c r="D219" i="98" s="1"/>
  <c r="E218" i="98" a="1"/>
  <c r="E218" i="98" s="1"/>
  <c r="D218" i="98" a="1"/>
  <c r="D218" i="98" s="1"/>
  <c r="E217" i="98" a="1"/>
  <c r="E217" i="98" s="1"/>
  <c r="D217" i="98" a="1"/>
  <c r="D217" i="98" s="1"/>
  <c r="E216" i="98" a="1"/>
  <c r="E216" i="98" s="1"/>
  <c r="D216" i="98" a="1"/>
  <c r="D216" i="98" s="1"/>
  <c r="E215" i="98" a="1"/>
  <c r="E215" i="98" s="1"/>
  <c r="D215" i="98" a="1"/>
  <c r="D215" i="98" s="1"/>
  <c r="E214" i="98" a="1"/>
  <c r="E214" i="98" s="1"/>
  <c r="D214" i="98" a="1"/>
  <c r="D214" i="98" s="1"/>
  <c r="E213" i="98" a="1"/>
  <c r="E213" i="98" s="1"/>
  <c r="D213" i="98" a="1"/>
  <c r="D213" i="98" s="1"/>
  <c r="D211" i="98" a="1"/>
  <c r="D211" i="98" s="1"/>
  <c r="E208" i="98" a="1"/>
  <c r="E208" i="98" s="1"/>
  <c r="D208" i="98" a="1"/>
  <c r="D208" i="98" s="1"/>
  <c r="E207" i="98" a="1"/>
  <c r="E207" i="98" s="1"/>
  <c r="D207" i="98" a="1"/>
  <c r="D207" i="98" s="1"/>
  <c r="D205" i="98" a="1"/>
  <c r="D205" i="98" s="1"/>
  <c r="D204" i="98" a="1"/>
  <c r="D204" i="98" s="1"/>
  <c r="D203" i="98"/>
  <c r="D203" i="98" a="1"/>
  <c r="D202" i="98" a="1"/>
  <c r="D202" i="98" s="1"/>
  <c r="H199" i="98" a="1"/>
  <c r="H199" i="98" s="1"/>
  <c r="G199" i="98" a="1"/>
  <c r="G199" i="98" s="1"/>
  <c r="F199" i="98" a="1"/>
  <c r="F199" i="98" s="1"/>
  <c r="E199" i="98" a="1"/>
  <c r="E199" i="98" s="1"/>
  <c r="D199" i="98" a="1"/>
  <c r="D199" i="98" s="1"/>
  <c r="H198" i="98" a="1"/>
  <c r="H198" i="98" s="1"/>
  <c r="G198" i="98" a="1"/>
  <c r="G198" i="98" s="1"/>
  <c r="F198" i="98" a="1"/>
  <c r="F198" i="98" s="1"/>
  <c r="E198" i="98" a="1"/>
  <c r="E198" i="98" s="1"/>
  <c r="D198" i="98" a="1"/>
  <c r="D198" i="98" s="1"/>
  <c r="H197" i="98" a="1"/>
  <c r="H197" i="98" s="1"/>
  <c r="G197" i="98" a="1"/>
  <c r="G197" i="98" s="1"/>
  <c r="F197" i="98" a="1"/>
  <c r="F197" i="98" s="1"/>
  <c r="E197" i="98" a="1"/>
  <c r="E197" i="98" s="1"/>
  <c r="D197" i="98" a="1"/>
  <c r="D197" i="98" s="1"/>
  <c r="H196" i="98" a="1"/>
  <c r="H196" i="98" s="1"/>
  <c r="G196" i="98" a="1"/>
  <c r="G196" i="98" s="1"/>
  <c r="F196" i="98" a="1"/>
  <c r="F196" i="98" s="1"/>
  <c r="E196" i="98" a="1"/>
  <c r="E196" i="98" s="1"/>
  <c r="D196" i="98" a="1"/>
  <c r="D196" i="98" s="1"/>
  <c r="H195" i="98" a="1"/>
  <c r="H195" i="98" s="1"/>
  <c r="G195" i="98" a="1"/>
  <c r="G195" i="98" s="1"/>
  <c r="F195" i="98" a="1"/>
  <c r="F195" i="98" s="1"/>
  <c r="E195" i="98" a="1"/>
  <c r="E195" i="98" s="1"/>
  <c r="D195" i="98" a="1"/>
  <c r="D195" i="98" s="1"/>
  <c r="H194" i="98" a="1"/>
  <c r="H194" i="98" s="1"/>
  <c r="G194" i="98" a="1"/>
  <c r="G194" i="98" s="1"/>
  <c r="F194" i="98" a="1"/>
  <c r="F194" i="98" s="1"/>
  <c r="E194" i="98" a="1"/>
  <c r="E194" i="98" s="1"/>
  <c r="D194" i="98" a="1"/>
  <c r="D194" i="98" s="1"/>
  <c r="H193" i="98" a="1"/>
  <c r="H193" i="98" s="1"/>
  <c r="G193" i="98" a="1"/>
  <c r="G193" i="98" s="1"/>
  <c r="F193" i="98" a="1"/>
  <c r="F193" i="98" s="1"/>
  <c r="E193" i="98" a="1"/>
  <c r="E193" i="98" s="1"/>
  <c r="D193" i="98" a="1"/>
  <c r="D193" i="98" s="1"/>
  <c r="H192" i="98" a="1"/>
  <c r="H192" i="98" s="1"/>
  <c r="G192" i="98" a="1"/>
  <c r="G192" i="98" s="1"/>
  <c r="F192" i="98" a="1"/>
  <c r="F192" i="98" s="1"/>
  <c r="E192" i="98" a="1"/>
  <c r="E192" i="98" s="1"/>
  <c r="D192" i="98" a="1"/>
  <c r="D192" i="98" s="1"/>
  <c r="H191" i="98" a="1"/>
  <c r="H191" i="98" s="1"/>
  <c r="G191" i="98" a="1"/>
  <c r="G191" i="98" s="1"/>
  <c r="F191" i="98" a="1"/>
  <c r="F191" i="98" s="1"/>
  <c r="E191" i="98" a="1"/>
  <c r="E191" i="98" s="1"/>
  <c r="D191" i="98" a="1"/>
  <c r="D191" i="98" s="1"/>
  <c r="H190" i="98" a="1"/>
  <c r="H190" i="98" s="1"/>
  <c r="G190" i="98" a="1"/>
  <c r="G190" i="98" s="1"/>
  <c r="F190" i="98" a="1"/>
  <c r="F190" i="98" s="1"/>
  <c r="E190" i="98" a="1"/>
  <c r="E190" i="98" s="1"/>
  <c r="D190" i="98" a="1"/>
  <c r="D190" i="98" s="1"/>
  <c r="H189" i="98" a="1"/>
  <c r="H189" i="98" s="1"/>
  <c r="G189" i="98" a="1"/>
  <c r="G189" i="98" s="1"/>
  <c r="F189" i="98" a="1"/>
  <c r="F189" i="98" s="1"/>
  <c r="E189" i="98" a="1"/>
  <c r="E189" i="98" s="1"/>
  <c r="D189" i="98" a="1"/>
  <c r="D189" i="98" s="1"/>
  <c r="H188" i="98" a="1"/>
  <c r="H188" i="98" s="1"/>
  <c r="G188" i="98" a="1"/>
  <c r="G188" i="98" s="1"/>
  <c r="F188" i="98" a="1"/>
  <c r="F188" i="98" s="1"/>
  <c r="G28" i="79" s="1"/>
  <c r="E188" i="98" a="1"/>
  <c r="E188" i="98" s="1"/>
  <c r="D188" i="98" a="1"/>
  <c r="D188" i="98" s="1"/>
  <c r="H187" i="98" a="1"/>
  <c r="H187" i="98" s="1"/>
  <c r="G187" i="98" a="1"/>
  <c r="G187" i="98" s="1"/>
  <c r="F187" i="98" a="1"/>
  <c r="F187" i="98" s="1"/>
  <c r="G29" i="79" s="1"/>
  <c r="E187" i="98" a="1"/>
  <c r="E187" i="98" s="1"/>
  <c r="D187" i="98" a="1"/>
  <c r="D187" i="98" s="1"/>
  <c r="D181" i="98" a="1"/>
  <c r="D181" i="98" s="1"/>
  <c r="D180" i="98" a="1"/>
  <c r="D180" i="98" s="1"/>
  <c r="D179" i="98" a="1"/>
  <c r="D179" i="98" s="1"/>
  <c r="D178" i="98"/>
  <c r="D178" i="98" a="1"/>
  <c r="E175" i="98" a="1"/>
  <c r="E175" i="98" s="1"/>
  <c r="D175" i="98" a="1"/>
  <c r="D175" i="98" s="1"/>
  <c r="D174" i="98" a="1"/>
  <c r="D174" i="98" s="1"/>
  <c r="D173" i="98" a="1"/>
  <c r="D173" i="98" s="1"/>
  <c r="D170" i="98" a="1"/>
  <c r="D170" i="98" s="1"/>
  <c r="D169" i="98" a="1"/>
  <c r="D169" i="98" s="1"/>
  <c r="D168" i="98" a="1"/>
  <c r="D168" i="98" s="1"/>
  <c r="D167" i="98" a="1"/>
  <c r="D167" i="98" s="1"/>
  <c r="D164" i="98" a="1"/>
  <c r="D164" i="98" s="1"/>
  <c r="D163" i="98" a="1"/>
  <c r="D163" i="98" s="1"/>
  <c r="D162" i="98" a="1"/>
  <c r="D162" i="98" s="1"/>
  <c r="D161" i="98" a="1"/>
  <c r="D161" i="98" s="1"/>
  <c r="E158" i="98" a="1"/>
  <c r="E158" i="98" s="1"/>
  <c r="D158" i="98" a="1"/>
  <c r="D158" i="98" s="1"/>
  <c r="E157" i="98" a="1"/>
  <c r="E157" i="98" s="1"/>
  <c r="D157" i="98" a="1"/>
  <c r="D157" i="98" s="1"/>
  <c r="E156" i="98" a="1"/>
  <c r="E156" i="98" s="1"/>
  <c r="D156" i="98" a="1"/>
  <c r="D156" i="98" s="1"/>
  <c r="E155" i="98" a="1"/>
  <c r="E155" i="98" s="1"/>
  <c r="D155" i="98" a="1"/>
  <c r="D155" i="98" s="1"/>
  <c r="E154" i="98" a="1"/>
  <c r="E154" i="98" s="1"/>
  <c r="D154" i="98" a="1"/>
  <c r="D154" i="98" s="1"/>
  <c r="D151" i="98" a="1"/>
  <c r="D151" i="98" s="1"/>
  <c r="D150" i="98" a="1"/>
  <c r="D150" i="98" s="1"/>
  <c r="E147" i="98" a="1"/>
  <c r="E147" i="98" s="1"/>
  <c r="D147" i="98" a="1"/>
  <c r="D147" i="98" s="1"/>
  <c r="E146" i="98" a="1"/>
  <c r="E146" i="98" s="1"/>
  <c r="D146" i="98" a="1"/>
  <c r="D146" i="98" s="1"/>
  <c r="E145" i="98" a="1"/>
  <c r="E145" i="98" s="1"/>
  <c r="D145" i="98" a="1"/>
  <c r="D145" i="98" s="1"/>
  <c r="E144" i="98" a="1"/>
  <c r="E144" i="98" s="1"/>
  <c r="D144" i="98" a="1"/>
  <c r="D144" i="98" s="1"/>
  <c r="E143" i="98" a="1"/>
  <c r="E143" i="98" s="1"/>
  <c r="D143" i="98" a="1"/>
  <c r="D143" i="98" s="1"/>
  <c r="D141" i="98" a="1"/>
  <c r="D141" i="98" s="1"/>
  <c r="D140" i="98" a="1"/>
  <c r="D140" i="98" s="1"/>
  <c r="D139" i="98" a="1"/>
  <c r="D139" i="98" s="1"/>
  <c r="E136" i="98" a="1"/>
  <c r="E136" i="98" s="1"/>
  <c r="D136" i="98" a="1"/>
  <c r="D136" i="98" s="1"/>
  <c r="E135" i="98" a="1"/>
  <c r="E135" i="98" s="1"/>
  <c r="D135" i="98" a="1"/>
  <c r="D135" i="98" s="1"/>
  <c r="D133" i="98" a="1"/>
  <c r="D133" i="98" s="1"/>
  <c r="D132" i="98" a="1"/>
  <c r="D132" i="98" s="1"/>
  <c r="E129" i="98" a="1"/>
  <c r="E129" i="98" s="1"/>
  <c r="D129" i="98" a="1"/>
  <c r="D129" i="98" s="1"/>
  <c r="E128" i="98" a="1"/>
  <c r="E128" i="98" s="1"/>
  <c r="D128" i="98" a="1"/>
  <c r="D128" i="98" s="1"/>
  <c r="D125" i="98" a="1"/>
  <c r="D125" i="98" s="1"/>
  <c r="D124" i="98" a="1"/>
  <c r="D124" i="98" s="1"/>
  <c r="G121" i="98" a="1"/>
  <c r="G121" i="98" s="1"/>
  <c r="F121" i="98" a="1"/>
  <c r="F121" i="98" s="1"/>
  <c r="E121" i="98" a="1"/>
  <c r="E121" i="98" s="1"/>
  <c r="D121" i="98" a="1"/>
  <c r="D121" i="98" s="1"/>
  <c r="G120" i="98" a="1"/>
  <c r="G120" i="98" s="1"/>
  <c r="F120" i="98" a="1"/>
  <c r="F120" i="98" s="1"/>
  <c r="E30" i="15" s="1"/>
  <c r="E120" i="98" a="1"/>
  <c r="E120" i="98" s="1"/>
  <c r="D120" i="98" a="1"/>
  <c r="D120" i="98" s="1"/>
  <c r="D117" i="98"/>
  <c r="D117" i="98" a="1"/>
  <c r="D116" i="98" a="1"/>
  <c r="D116" i="98" s="1"/>
  <c r="D115" i="98" a="1"/>
  <c r="D115" i="98" s="1"/>
  <c r="G112" i="98" a="1"/>
  <c r="G112" i="98" s="1"/>
  <c r="F112" i="98" a="1"/>
  <c r="F112" i="98" s="1"/>
  <c r="E112" i="98" a="1"/>
  <c r="E112" i="98" s="1"/>
  <c r="D112" i="98" a="1"/>
  <c r="D112" i="98" s="1"/>
  <c r="G111" i="98" a="1"/>
  <c r="G111" i="98" s="1"/>
  <c r="F111" i="98" a="1"/>
  <c r="F111" i="98" s="1"/>
  <c r="E111" i="98" a="1"/>
  <c r="E111" i="98" s="1"/>
  <c r="D111" i="98" a="1"/>
  <c r="D111" i="98" s="1"/>
  <c r="G110" i="98" a="1"/>
  <c r="G110" i="98" s="1"/>
  <c r="F110" i="98" a="1"/>
  <c r="F110" i="98" s="1"/>
  <c r="E33" i="15" s="1"/>
  <c r="E110" i="98" a="1"/>
  <c r="E110" i="98" s="1"/>
  <c r="D110" i="98" a="1"/>
  <c r="D110" i="98" s="1"/>
  <c r="D107" i="98" a="1"/>
  <c r="D107" i="98" s="1"/>
  <c r="D106" i="98" a="1"/>
  <c r="D106" i="98" s="1"/>
  <c r="D105" i="98" a="1"/>
  <c r="D105" i="98" s="1"/>
  <c r="D98" i="98" a="1"/>
  <c r="D98" i="98" s="1"/>
  <c r="S97" i="98" a="1"/>
  <c r="S97" i="98" s="1"/>
  <c r="R97" i="98" a="1"/>
  <c r="R97" i="98" s="1"/>
  <c r="Q97" i="98" a="1"/>
  <c r="Q97" i="98" s="1"/>
  <c r="P97" i="98" a="1"/>
  <c r="P97" i="98" s="1"/>
  <c r="O97" i="98" a="1"/>
  <c r="O97" i="98" s="1"/>
  <c r="N97" i="98" a="1"/>
  <c r="N97" i="98" s="1"/>
  <c r="M97" i="98" a="1"/>
  <c r="M97" i="98" s="1"/>
  <c r="L97" i="98" a="1"/>
  <c r="L97" i="98" s="1"/>
  <c r="K97" i="98" a="1"/>
  <c r="K97" i="98" s="1"/>
  <c r="J97" i="98" a="1"/>
  <c r="J97" i="98" s="1"/>
  <c r="I97" i="98" a="1"/>
  <c r="I97" i="98" s="1"/>
  <c r="H97" i="98" a="1"/>
  <c r="H97" i="98" s="1"/>
  <c r="G97" i="98" a="1"/>
  <c r="G97" i="98" s="1"/>
  <c r="F97" i="98" a="1"/>
  <c r="F97" i="98" s="1"/>
  <c r="E97" i="98" a="1"/>
  <c r="E97" i="98" s="1"/>
  <c r="D97" i="98" a="1"/>
  <c r="D97" i="98" s="1"/>
  <c r="S96" i="98" a="1"/>
  <c r="S96" i="98" s="1"/>
  <c r="R96" i="98" a="1"/>
  <c r="R96" i="98" s="1"/>
  <c r="Q96" i="98" a="1"/>
  <c r="Q96" i="98" s="1"/>
  <c r="P96" i="98" a="1"/>
  <c r="P96" i="98" s="1"/>
  <c r="O96" i="98" a="1"/>
  <c r="O96" i="98" s="1"/>
  <c r="N96" i="98" a="1"/>
  <c r="N96" i="98" s="1"/>
  <c r="M96" i="98" a="1"/>
  <c r="M96" i="98" s="1"/>
  <c r="L96" i="98" a="1"/>
  <c r="L96" i="98" s="1"/>
  <c r="K96" i="98" a="1"/>
  <c r="K96" i="98" s="1"/>
  <c r="J96" i="98" a="1"/>
  <c r="J96" i="98" s="1"/>
  <c r="I96" i="98" a="1"/>
  <c r="I96" i="98" s="1"/>
  <c r="H96" i="98" a="1"/>
  <c r="H96" i="98" s="1"/>
  <c r="G96" i="98" a="1"/>
  <c r="G96" i="98" s="1"/>
  <c r="F96" i="98" a="1"/>
  <c r="F96" i="98" s="1"/>
  <c r="E96" i="98" a="1"/>
  <c r="E96" i="98" s="1"/>
  <c r="D96" i="98" a="1"/>
  <c r="D96" i="98" s="1"/>
  <c r="S95" i="98" a="1"/>
  <c r="S95" i="98" s="1"/>
  <c r="R95" i="98" a="1"/>
  <c r="R95" i="98" s="1"/>
  <c r="Q95" i="98" a="1"/>
  <c r="Q95" i="98" s="1"/>
  <c r="P95" i="98" a="1"/>
  <c r="P95" i="98" s="1"/>
  <c r="O95" i="98" a="1"/>
  <c r="O95" i="98" s="1"/>
  <c r="N95" i="98" a="1"/>
  <c r="N95" i="98" s="1"/>
  <c r="M95" i="98" a="1"/>
  <c r="M95" i="98" s="1"/>
  <c r="L95" i="98" a="1"/>
  <c r="L95" i="98" s="1"/>
  <c r="K95" i="98" a="1"/>
  <c r="K95" i="98" s="1"/>
  <c r="J95" i="98" a="1"/>
  <c r="J95" i="98" s="1"/>
  <c r="I95" i="98" a="1"/>
  <c r="I95" i="98" s="1"/>
  <c r="H95" i="98" a="1"/>
  <c r="H95" i="98" s="1"/>
  <c r="G95" i="98" a="1"/>
  <c r="G95" i="98" s="1"/>
  <c r="F95" i="98" a="1"/>
  <c r="F95" i="98" s="1"/>
  <c r="E95" i="98" a="1"/>
  <c r="E95" i="98" s="1"/>
  <c r="D95" i="98" a="1"/>
  <c r="D95" i="98" s="1"/>
  <c r="S94" i="98" a="1"/>
  <c r="S94" i="98" s="1"/>
  <c r="R94" i="98" a="1"/>
  <c r="R94" i="98" s="1"/>
  <c r="Q94" i="98" a="1"/>
  <c r="Q94" i="98" s="1"/>
  <c r="P94" i="98" a="1"/>
  <c r="P94" i="98" s="1"/>
  <c r="O94" i="98" a="1"/>
  <c r="O94" i="98" s="1"/>
  <c r="N94" i="98" a="1"/>
  <c r="N94" i="98" s="1"/>
  <c r="M94" i="98" a="1"/>
  <c r="M94" i="98" s="1"/>
  <c r="L94" i="98" a="1"/>
  <c r="L94" i="98" s="1"/>
  <c r="K94" i="98" a="1"/>
  <c r="K94" i="98" s="1"/>
  <c r="J94" i="98" a="1"/>
  <c r="J94" i="98" s="1"/>
  <c r="I94" i="98" a="1"/>
  <c r="I94" i="98" s="1"/>
  <c r="H94" i="98" a="1"/>
  <c r="H94" i="98" s="1"/>
  <c r="G94" i="98" a="1"/>
  <c r="G94" i="98" s="1"/>
  <c r="F94" i="98" a="1"/>
  <c r="F94" i="98" s="1"/>
  <c r="E94" i="98" a="1"/>
  <c r="E94" i="98" s="1"/>
  <c r="D94" i="98" a="1"/>
  <c r="D94" i="98" s="1"/>
  <c r="S93" i="98" a="1"/>
  <c r="S93" i="98" s="1"/>
  <c r="R93" i="98" a="1"/>
  <c r="R93" i="98" s="1"/>
  <c r="Q93" i="98" a="1"/>
  <c r="Q93" i="98" s="1"/>
  <c r="P93" i="98" a="1"/>
  <c r="P93" i="98" s="1"/>
  <c r="O93" i="98" a="1"/>
  <c r="O93" i="98" s="1"/>
  <c r="N93" i="98" a="1"/>
  <c r="N93" i="98" s="1"/>
  <c r="M93" i="98" a="1"/>
  <c r="M93" i="98" s="1"/>
  <c r="L93" i="98" a="1"/>
  <c r="L93" i="98" s="1"/>
  <c r="K93" i="98" a="1"/>
  <c r="K93" i="98" s="1"/>
  <c r="J93" i="98" a="1"/>
  <c r="J93" i="98" s="1"/>
  <c r="I93" i="98" a="1"/>
  <c r="I93" i="98" s="1"/>
  <c r="H93" i="98" a="1"/>
  <c r="H93" i="98" s="1"/>
  <c r="G93" i="98" a="1"/>
  <c r="G93" i="98" s="1"/>
  <c r="F93" i="98" a="1"/>
  <c r="F93" i="98" s="1"/>
  <c r="E93" i="98" a="1"/>
  <c r="E93" i="98" s="1"/>
  <c r="D93" i="98" a="1"/>
  <c r="D93" i="98" s="1"/>
  <c r="S92" i="98" a="1"/>
  <c r="S92" i="98" s="1"/>
  <c r="R92" i="98" a="1"/>
  <c r="R92" i="98" s="1"/>
  <c r="Q92" i="98" a="1"/>
  <c r="Q92" i="98" s="1"/>
  <c r="P92" i="98" a="1"/>
  <c r="P92" i="98" s="1"/>
  <c r="O92" i="98" a="1"/>
  <c r="O92" i="98" s="1"/>
  <c r="N92" i="98" a="1"/>
  <c r="N92" i="98" s="1"/>
  <c r="M92" i="98" a="1"/>
  <c r="M92" i="98" s="1"/>
  <c r="L92" i="98" a="1"/>
  <c r="L92" i="98" s="1"/>
  <c r="K92" i="98" a="1"/>
  <c r="K92" i="98" s="1"/>
  <c r="J92" i="98" a="1"/>
  <c r="J92" i="98" s="1"/>
  <c r="I92" i="98" a="1"/>
  <c r="I92" i="98" s="1"/>
  <c r="H92" i="98" a="1"/>
  <c r="H92" i="98" s="1"/>
  <c r="G92" i="98" a="1"/>
  <c r="G92" i="98" s="1"/>
  <c r="F92" i="98" a="1"/>
  <c r="F92" i="98" s="1"/>
  <c r="E92" i="98" a="1"/>
  <c r="E92" i="98" s="1"/>
  <c r="D92" i="98" a="1"/>
  <c r="D92" i="98" s="1"/>
  <c r="S91" i="98" a="1"/>
  <c r="S91" i="98" s="1"/>
  <c r="R91" i="98" a="1"/>
  <c r="R91" i="98" s="1"/>
  <c r="Q91" i="98" a="1"/>
  <c r="Q91" i="98" s="1"/>
  <c r="P91" i="98" a="1"/>
  <c r="P91" i="98" s="1"/>
  <c r="O91" i="98" a="1"/>
  <c r="O91" i="98" s="1"/>
  <c r="N91" i="98" a="1"/>
  <c r="N91" i="98" s="1"/>
  <c r="M91" i="98" a="1"/>
  <c r="M91" i="98" s="1"/>
  <c r="L91" i="98" a="1"/>
  <c r="L91" i="98" s="1"/>
  <c r="K91" i="98" a="1"/>
  <c r="K91" i="98" s="1"/>
  <c r="J91" i="98" a="1"/>
  <c r="J91" i="98" s="1"/>
  <c r="I91" i="98" a="1"/>
  <c r="I91" i="98" s="1"/>
  <c r="H91" i="98" a="1"/>
  <c r="H91" i="98" s="1"/>
  <c r="G91" i="98" a="1"/>
  <c r="G91" i="98" s="1"/>
  <c r="F91" i="98" a="1"/>
  <c r="F91" i="98" s="1"/>
  <c r="E91" i="98" a="1"/>
  <c r="E91" i="98" s="1"/>
  <c r="D91" i="98" a="1"/>
  <c r="D91" i="98" s="1"/>
  <c r="S90" i="98" a="1"/>
  <c r="S90" i="98" s="1"/>
  <c r="R90" i="98" a="1"/>
  <c r="R90" i="98" s="1"/>
  <c r="Q90" i="98" a="1"/>
  <c r="Q90" i="98" s="1"/>
  <c r="P90" i="98" a="1"/>
  <c r="P90" i="98" s="1"/>
  <c r="O90" i="98" a="1"/>
  <c r="O90" i="98" s="1"/>
  <c r="N90" i="98" a="1"/>
  <c r="N90" i="98" s="1"/>
  <c r="M90" i="98" a="1"/>
  <c r="M90" i="98" s="1"/>
  <c r="L90" i="98" a="1"/>
  <c r="L90" i="98" s="1"/>
  <c r="K90" i="98" a="1"/>
  <c r="K90" i="98" s="1"/>
  <c r="J90" i="98" a="1"/>
  <c r="J90" i="98" s="1"/>
  <c r="E31" i="15" s="1"/>
  <c r="E32" i="15" s="1"/>
  <c r="I90" i="98" a="1"/>
  <c r="I90" i="98" s="1"/>
  <c r="H90" i="98" a="1"/>
  <c r="H90" i="98" s="1"/>
  <c r="G90" i="98" a="1"/>
  <c r="G90" i="98" s="1"/>
  <c r="F90" i="98" a="1"/>
  <c r="F90" i="98" s="1"/>
  <c r="E90" i="98" a="1"/>
  <c r="E90" i="98" s="1"/>
  <c r="D90" i="98" a="1"/>
  <c r="D90" i="98" s="1"/>
  <c r="D83" i="98" a="1"/>
  <c r="D83" i="98" s="1"/>
  <c r="D82" i="98" a="1"/>
  <c r="D82" i="98" s="1"/>
  <c r="D81" i="98" a="1"/>
  <c r="D81" i="98" s="1"/>
  <c r="E77" i="98" a="1"/>
  <c r="E77" i="98" s="1"/>
  <c r="D77" i="98" a="1"/>
  <c r="D77" i="98" s="1"/>
  <c r="E76" i="98" a="1"/>
  <c r="E76" i="98" s="1"/>
  <c r="D76" i="98" a="1"/>
  <c r="D76" i="98" s="1"/>
  <c r="E75" i="98" a="1"/>
  <c r="E75" i="98" s="1"/>
  <c r="D75" i="98" a="1"/>
  <c r="D75" i="98" s="1"/>
  <c r="E74" i="98" a="1"/>
  <c r="E74" i="98" s="1"/>
  <c r="D74" i="98" a="1"/>
  <c r="D74" i="98" s="1"/>
  <c r="E73" i="98" a="1"/>
  <c r="E73" i="98" s="1"/>
  <c r="D73" i="98" a="1"/>
  <c r="D73" i="98" s="1"/>
  <c r="E72" i="98" a="1"/>
  <c r="E72" i="98" s="1"/>
  <c r="D72" i="98" a="1"/>
  <c r="D72" i="98" s="1"/>
  <c r="E71" i="98" a="1"/>
  <c r="E71" i="98" s="1"/>
  <c r="D71" i="98" a="1"/>
  <c r="D71" i="98" s="1"/>
  <c r="E70" i="98" a="1"/>
  <c r="E70" i="98" s="1"/>
  <c r="D70" i="98" a="1"/>
  <c r="D70" i="98" s="1"/>
  <c r="E69" i="98" a="1"/>
  <c r="E69" i="98" s="1"/>
  <c r="D69" i="98" a="1"/>
  <c r="D69" i="98" s="1"/>
  <c r="E68" i="98" a="1"/>
  <c r="E68" i="98" s="1"/>
  <c r="D68" i="98" a="1"/>
  <c r="D68" i="98" s="1"/>
  <c r="E67" i="98" a="1"/>
  <c r="E67" i="98" s="1"/>
  <c r="D67" i="98" a="1"/>
  <c r="D67" i="98" s="1"/>
  <c r="E66" i="98" a="1"/>
  <c r="E66" i="98" s="1"/>
  <c r="D66" i="98" a="1"/>
  <c r="D66" i="98" s="1"/>
  <c r="E65" i="98" a="1"/>
  <c r="E65" i="98" s="1"/>
  <c r="D65" i="98" a="1"/>
  <c r="D65" i="98" s="1"/>
  <c r="E64" i="98" a="1"/>
  <c r="E64" i="98" s="1"/>
  <c r="D64" i="98" a="1"/>
  <c r="D64" i="98" s="1"/>
  <c r="D59" i="98" a="1"/>
  <c r="D59" i="98" s="1"/>
  <c r="D58" i="98"/>
  <c r="D58" i="98" a="1"/>
  <c r="D57" i="98" a="1"/>
  <c r="D57" i="98" s="1"/>
  <c r="G54" i="98" a="1"/>
  <c r="G54" i="98" s="1"/>
  <c r="F54" i="98" a="1"/>
  <c r="F54" i="98" s="1"/>
  <c r="E54" i="98" a="1"/>
  <c r="E54" i="98" s="1"/>
  <c r="D54" i="98" a="1"/>
  <c r="D54" i="98" s="1"/>
  <c r="G53" i="98" a="1"/>
  <c r="G53" i="98" s="1"/>
  <c r="F53" i="98" a="1"/>
  <c r="F53" i="98" s="1"/>
  <c r="E53" i="98" a="1"/>
  <c r="E53" i="98" s="1"/>
  <c r="D53" i="98" a="1"/>
  <c r="D53" i="98" s="1"/>
  <c r="G52" i="98" a="1"/>
  <c r="G52" i="98" s="1"/>
  <c r="F52" i="98" a="1"/>
  <c r="F52" i="98" s="1"/>
  <c r="E52" i="98" a="1"/>
  <c r="E52" i="98" s="1"/>
  <c r="D52" i="98" a="1"/>
  <c r="D52" i="98" s="1"/>
  <c r="G51" i="98" a="1"/>
  <c r="G51" i="98" s="1"/>
  <c r="F51" i="98" a="1"/>
  <c r="F51" i="98" s="1"/>
  <c r="E51" i="98" a="1"/>
  <c r="E51" i="98" s="1"/>
  <c r="D51" i="98" a="1"/>
  <c r="D51" i="98" s="1"/>
  <c r="G50" i="98" a="1"/>
  <c r="G50" i="98" s="1"/>
  <c r="F50" i="98" a="1"/>
  <c r="F50" i="98" s="1"/>
  <c r="E50" i="98" a="1"/>
  <c r="E50" i="98" s="1"/>
  <c r="D50" i="98" a="1"/>
  <c r="D50" i="98" s="1"/>
  <c r="G49" i="98" a="1"/>
  <c r="G49" i="98" s="1"/>
  <c r="F49" i="98" a="1"/>
  <c r="F49" i="98" s="1"/>
  <c r="E49" i="98" a="1"/>
  <c r="E49" i="98" s="1"/>
  <c r="D49" i="98" a="1"/>
  <c r="D49" i="98" s="1"/>
  <c r="G48" i="98" a="1"/>
  <c r="G48" i="98" s="1"/>
  <c r="F48" i="98" a="1"/>
  <c r="F48" i="98" s="1"/>
  <c r="E48" i="98" a="1"/>
  <c r="E48" i="98" s="1"/>
  <c r="D48" i="98" a="1"/>
  <c r="D48" i="98" s="1"/>
  <c r="D46" i="98" a="1"/>
  <c r="D46" i="98" s="1"/>
  <c r="D45" i="98" a="1"/>
  <c r="D45" i="98" s="1"/>
  <c r="E43" i="98" a="1"/>
  <c r="E43" i="98" s="1"/>
  <c r="D43" i="98" a="1"/>
  <c r="D43" i="98" s="1"/>
  <c r="E42" i="98" a="1"/>
  <c r="E42" i="98" s="1"/>
  <c r="D42" i="98" a="1"/>
  <c r="D42" i="98" s="1"/>
  <c r="E41" i="98" a="1"/>
  <c r="E41" i="98" s="1"/>
  <c r="D41" i="98" a="1"/>
  <c r="D41" i="98" s="1"/>
  <c r="E40" i="98" a="1"/>
  <c r="E40" i="98" s="1"/>
  <c r="D40" i="98" a="1"/>
  <c r="D40" i="98" s="1"/>
  <c r="E39" i="98" a="1"/>
  <c r="E39" i="98" s="1"/>
  <c r="D39" i="98" a="1"/>
  <c r="D39" i="98" s="1"/>
  <c r="E38" i="98" a="1"/>
  <c r="E38" i="98" s="1"/>
  <c r="D38" i="98" a="1"/>
  <c r="D38" i="98" s="1"/>
  <c r="E37" i="98" a="1"/>
  <c r="E37" i="98" s="1"/>
  <c r="D37" i="98" a="1"/>
  <c r="D37" i="98" s="1"/>
  <c r="R215" i="76" s="1"/>
  <c r="D35" i="98" a="1"/>
  <c r="D35" i="98" s="1"/>
  <c r="D34" i="98" a="1"/>
  <c r="D34" i="98" s="1"/>
  <c r="D30" i="98" a="1"/>
  <c r="D30" i="98" s="1"/>
  <c r="D29" i="98" a="1"/>
  <c r="D29" i="98" s="1"/>
  <c r="D28" i="98" a="1"/>
  <c r="D28" i="98" s="1"/>
  <c r="D27" i="98" a="1"/>
  <c r="D27" i="98" s="1"/>
  <c r="D26" i="98" a="1"/>
  <c r="D26" i="98" s="1"/>
  <c r="D25" i="98" a="1"/>
  <c r="D25" i="98" s="1"/>
  <c r="D24" i="98" a="1"/>
  <c r="D24" i="98" s="1"/>
  <c r="D23" i="98" a="1"/>
  <c r="D23" i="98" s="1"/>
  <c r="D22" i="98" a="1"/>
  <c r="D22" i="98" s="1"/>
  <c r="D21" i="98" a="1"/>
  <c r="D21" i="98" s="1"/>
  <c r="D19" i="98" a="1"/>
  <c r="D19" i="98" s="1"/>
  <c r="D18" i="98" a="1"/>
  <c r="D18" i="98" s="1"/>
  <c r="F14" i="98" a="1"/>
  <c r="F14" i="98" s="1"/>
  <c r="E14" i="98" a="1"/>
  <c r="E14" i="98" s="1"/>
  <c r="D14" i="98" a="1"/>
  <c r="D14" i="98" s="1"/>
  <c r="F13" i="98" a="1"/>
  <c r="F13" i="98" s="1"/>
  <c r="E13" i="98" a="1"/>
  <c r="E13" i="98" s="1"/>
  <c r="D13" i="98" a="1"/>
  <c r="D13" i="98" s="1"/>
  <c r="F12" i="98" a="1"/>
  <c r="F12" i="98" s="1"/>
  <c r="E12" i="98" a="1"/>
  <c r="E12" i="98" s="1"/>
  <c r="D12" i="98" a="1"/>
  <c r="D12" i="98" s="1"/>
  <c r="F11" i="98" a="1"/>
  <c r="F11" i="98" s="1"/>
  <c r="E11" i="98" a="1"/>
  <c r="E11" i="98" s="1"/>
  <c r="D11" i="98" a="1"/>
  <c r="D11" i="98" s="1"/>
  <c r="F10" i="98" a="1"/>
  <c r="F10" i="98" s="1"/>
  <c r="E10" i="98" a="1"/>
  <c r="E10" i="98" s="1"/>
  <c r="D10" i="98" a="1"/>
  <c r="D10" i="98" s="1"/>
  <c r="F9" i="98" a="1"/>
  <c r="F9" i="98" s="1"/>
  <c r="E9" i="98" a="1"/>
  <c r="E9" i="98" s="1"/>
  <c r="D9" i="98" a="1"/>
  <c r="D9" i="98" s="1"/>
  <c r="F8" i="98" a="1"/>
  <c r="F8" i="98" s="1"/>
  <c r="E8" i="98" a="1"/>
  <c r="E8" i="98" s="1"/>
  <c r="D8" i="98" a="1"/>
  <c r="D8" i="98" s="1"/>
  <c r="F7" i="98" a="1"/>
  <c r="F7" i="98" s="1"/>
  <c r="E7" i="98" a="1"/>
  <c r="E7" i="98" s="1"/>
  <c r="I115" i="69" s="1"/>
  <c r="D7" i="98" a="1"/>
  <c r="D7" i="98" s="1"/>
  <c r="D5" i="98" a="1"/>
  <c r="D5" i="98" s="1"/>
  <c r="E50" i="81"/>
  <c r="K34" i="70"/>
  <c r="N108" i="81"/>
  <c r="D108" i="81"/>
  <c r="D100" i="81"/>
  <c r="N84" i="81"/>
  <c r="D84" i="81"/>
  <c r="E101" i="81"/>
  <c r="E99" i="81"/>
  <c r="E98" i="81"/>
  <c r="D42" i="81"/>
  <c r="E51" i="81"/>
  <c r="K33" i="70"/>
  <c r="E49" i="81" s="1"/>
  <c r="K32" i="70"/>
  <c r="E48" i="81" s="1"/>
  <c r="K38" i="70"/>
  <c r="D37" i="70"/>
  <c r="D31" i="70"/>
  <c r="M43" i="82"/>
  <c r="D43" i="82"/>
  <c r="M26" i="82"/>
  <c r="D26" i="82"/>
  <c r="N58" i="81"/>
  <c r="D58" i="81"/>
  <c r="D50" i="81"/>
  <c r="D24" i="81"/>
  <c r="N24" i="81"/>
  <c r="O209" i="76"/>
  <c r="D209" i="76"/>
  <c r="N167" i="69"/>
  <c r="E167" i="69"/>
  <c r="N153" i="69"/>
  <c r="E153" i="69"/>
  <c r="M98" i="69"/>
  <c r="D98" i="69"/>
  <c r="E82" i="69"/>
  <c r="D82" i="69"/>
  <c r="O176" i="76"/>
  <c r="D176" i="76"/>
  <c r="G168" i="76"/>
  <c r="F168" i="76"/>
  <c r="E168" i="76"/>
  <c r="D169" i="76"/>
  <c r="G34" i="70"/>
  <c r="G169" i="76" s="1"/>
  <c r="F34" i="70"/>
  <c r="F169" i="76" s="1"/>
  <c r="E34" i="70"/>
  <c r="E169" i="76" s="1"/>
  <c r="I60" i="82" l="1"/>
  <c r="G68" i="82"/>
  <c r="P68" i="82"/>
  <c r="I47" i="69"/>
  <c r="I75" i="69"/>
  <c r="G174" i="69"/>
  <c r="P174" i="69"/>
  <c r="G215" i="76"/>
  <c r="G14" i="82"/>
  <c r="F32" i="82"/>
  <c r="H51" i="98"/>
  <c r="H48" i="98"/>
  <c r="H54" i="98"/>
  <c r="H52" i="98"/>
  <c r="H53" i="98"/>
  <c r="H50" i="98"/>
  <c r="I190" i="76" s="1"/>
  <c r="H49" i="98"/>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D51" i="82" a="1"/>
  <c r="D51" i="82" s="1"/>
  <c r="I61" i="82"/>
  <c r="I62" i="82"/>
  <c r="E52" i="82" a="1"/>
  <c r="E52" i="82" l="1"/>
  <c r="E56" i="82" a="1"/>
  <c r="E56" i="82" s="1"/>
  <c r="E55" i="82" a="1"/>
  <c r="E55" i="82" s="1"/>
  <c r="D50" i="82" a="1"/>
  <c r="D50" i="82" s="1"/>
  <c r="M40" i="82"/>
  <c r="M23" i="82"/>
  <c r="D40" i="82"/>
  <c r="D32" i="82"/>
  <c r="D23" i="82"/>
  <c r="D6" i="82" a="1"/>
  <c r="D6" i="82" s="1"/>
  <c r="E11" i="82" a="1"/>
  <c r="E11" i="82" s="1"/>
  <c r="E12" i="82" a="1"/>
  <c r="E12" i="82" s="1"/>
  <c r="Q40" i="82" s="1"/>
  <c r="D5" i="82" a="1"/>
  <c r="D5" i="82" s="1"/>
  <c r="D66" i="81" a="1"/>
  <c r="D66" i="81" s="1"/>
  <c r="E71" i="81" a="1"/>
  <c r="E71" i="81" s="1"/>
  <c r="E72" i="81" a="1"/>
  <c r="E72" i="81" s="1"/>
  <c r="D65" i="81" a="1"/>
  <c r="D65" i="81" s="1"/>
  <c r="D6" i="81" a="1"/>
  <c r="D6" i="81" s="1"/>
  <c r="D91" i="81" s="1"/>
  <c r="D39" i="81"/>
  <c r="D30" i="81"/>
  <c r="E11" i="81" a="1"/>
  <c r="E11" i="81" s="1"/>
  <c r="E12" i="81" a="1"/>
  <c r="E12" i="81" s="1"/>
  <c r="D5" i="81" a="1"/>
  <c r="D5" i="81" s="1"/>
  <c r="O176" i="69" a="1"/>
  <c r="O176" i="69" s="1"/>
  <c r="M173" i="69" a="1"/>
  <c r="M173" i="69" s="1"/>
  <c r="N164" i="69"/>
  <c r="N150" i="69"/>
  <c r="M57" i="69"/>
  <c r="Q217" i="76" a="1"/>
  <c r="Q217" i="76" s="1"/>
  <c r="O214" i="76" a="1"/>
  <c r="O214" i="76" s="1"/>
  <c r="O206" i="76"/>
  <c r="D214" i="76" a="1"/>
  <c r="D214" i="76" s="1"/>
  <c r="F217" i="76" a="1"/>
  <c r="F217" i="76" s="1"/>
  <c r="D206" i="76"/>
  <c r="D195" i="76"/>
  <c r="E7" i="81" a="1"/>
  <c r="E7" i="82" a="1"/>
  <c r="E67" i="81" a="1"/>
  <c r="E181" i="76" a="1"/>
  <c r="R84" i="81" l="1"/>
  <c r="H84" i="81"/>
  <c r="R108" i="81"/>
  <c r="H108" i="81"/>
  <c r="F46" i="82"/>
  <c r="F87" i="81"/>
  <c r="F18" i="13" s="1"/>
  <c r="H58" i="81"/>
  <c r="R58" i="81"/>
  <c r="I63" i="82"/>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F17" i="13" s="1"/>
  <c r="P111" i="81"/>
  <c r="F61" i="81"/>
  <c r="F16" i="13" s="1"/>
  <c r="E181" i="76"/>
  <c r="I59" i="82" l="1"/>
  <c r="G149" i="76"/>
  <c r="G167" i="76"/>
  <c r="F167" i="76"/>
  <c r="E167" i="76"/>
  <c r="H80" i="69"/>
  <c r="G80" i="69"/>
  <c r="F80" i="69"/>
  <c r="O106" i="76"/>
  <c r="E101" i="76"/>
  <c r="D106" i="76"/>
  <c r="G101" i="76"/>
  <c r="F101" i="76"/>
  <c r="D101" i="76"/>
  <c r="S106" i="76"/>
  <c r="F73" i="76"/>
  <c r="E73" i="76"/>
  <c r="D73" i="76"/>
  <c r="F78" i="76"/>
  <c r="E78" i="76"/>
  <c r="D78"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E89" i="79" a="1"/>
  <c r="E89" i="79" s="1"/>
  <c r="D89" i="79" a="1"/>
  <c r="D89" i="79" s="1"/>
  <c r="D83" i="79" a="1"/>
  <c r="D83" i="79" s="1"/>
  <c r="D82" i="79" a="1"/>
  <c r="D82" i="79" s="1"/>
  <c r="D81" i="79" a="1"/>
  <c r="D81" i="79" s="1"/>
  <c r="F22" i="79" a="1"/>
  <c r="F22" i="79" s="1"/>
  <c r="E22" i="79" a="1"/>
  <c r="E22" i="7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R30" i="76"/>
  <c r="A39" i="74"/>
  <c r="A38" i="74"/>
  <c r="A37" i="74"/>
  <c r="A36" i="74"/>
  <c r="A33" i="74"/>
  <c r="A30" i="74"/>
  <c r="A29" i="74"/>
  <c r="A28" i="74"/>
  <c r="A27" i="74"/>
  <c r="A26" i="74"/>
  <c r="A25" i="74"/>
  <c r="A24" i="74"/>
  <c r="A19" i="74"/>
  <c r="A18" i="74"/>
  <c r="A15" i="74"/>
  <c r="A14" i="74"/>
  <c r="A13" i="74"/>
  <c r="A12" i="74"/>
  <c r="A11" i="74"/>
  <c r="A10" i="74"/>
  <c r="A9" i="74"/>
  <c r="A8" i="74"/>
  <c r="A7" i="74"/>
  <c r="A4" i="74"/>
  <c r="E112" i="76" a="1"/>
  <c r="E155" i="76" a="1"/>
  <c r="E89" i="76" a="1"/>
  <c r="E36" i="76" a="1"/>
  <c r="E60" i="76" a="1"/>
  <c r="E7" i="76" a="1"/>
  <c r="E135" i="76" a="1"/>
  <c r="F89" i="69" l="1" a="1"/>
  <c r="F89" i="69" s="1"/>
  <c r="E33" i="81"/>
  <c r="E42" i="81"/>
  <c r="H129" i="76"/>
  <c r="E32" i="82"/>
  <c r="E195" i="76"/>
  <c r="E30" i="81"/>
  <c r="G17" i="70" a="1"/>
  <c r="G17" i="70" s="1"/>
  <c r="F49" i="76" s="1"/>
  <c r="E20" i="70" a="1"/>
  <c r="E20" i="70" s="1"/>
  <c r="E39" i="81"/>
  <c r="E23" i="70" a="1"/>
  <c r="E23" i="70" s="1"/>
  <c r="O49" i="76" s="1"/>
  <c r="F23" i="70" a="1"/>
  <c r="F23" i="70" s="1"/>
  <c r="P49" i="76" s="1"/>
  <c r="G23" i="70" a="1"/>
  <c r="G23" i="70" s="1"/>
  <c r="Q49" i="76" s="1"/>
  <c r="E17" i="70" a="1"/>
  <c r="E17" i="70" s="1"/>
  <c r="D49" i="76" s="1"/>
  <c r="F17" i="70" a="1"/>
  <c r="F17" i="70" s="1"/>
  <c r="E49" i="76" s="1"/>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G14" i="70" a="1"/>
  <c r="G14" i="70" s="1"/>
  <c r="F20" i="76" s="1"/>
  <c r="F30" i="76" s="1" a="1"/>
  <c r="F30" i="76" s="1"/>
  <c r="F54" i="76" s="1" a="1"/>
  <c r="F54" i="76" s="1"/>
  <c r="F83" i="76" s="1" a="1"/>
  <c r="F83" i="76" s="1"/>
  <c r="E15" i="70" a="1"/>
  <c r="E15" i="70" s="1"/>
  <c r="F14" i="70" a="1"/>
  <c r="F14" i="70" s="1"/>
  <c r="E20" i="76" s="1"/>
  <c r="E14" i="70" a="1"/>
  <c r="E14" i="70" s="1"/>
  <c r="D20" i="76" s="1"/>
  <c r="G22" i="70" a="1"/>
  <c r="G22" i="70" s="1"/>
  <c r="Q25" i="76" s="1"/>
  <c r="F20" i="70" a="1"/>
  <c r="F20" i="70" s="1"/>
  <c r="G20" i="70" a="1"/>
  <c r="G20" i="70" s="1"/>
  <c r="G15" i="70" a="1"/>
  <c r="G15" i="70" s="1"/>
  <c r="E16" i="70" a="1"/>
  <c r="E16" i="70" s="1"/>
  <c r="D25" i="76" s="1"/>
  <c r="F16" i="70" a="1"/>
  <c r="F16" i="70" s="1"/>
  <c r="E25" i="76" s="1"/>
  <c r="G16" i="70" a="1"/>
  <c r="G16" i="70" s="1"/>
  <c r="F25" i="76" s="1"/>
  <c r="E21" i="70" a="1"/>
  <c r="E21" i="70" s="1"/>
  <c r="M25" i="69" s="1"/>
  <c r="E22" i="70" a="1"/>
  <c r="E22" i="70" s="1"/>
  <c r="O25" i="76" s="1"/>
  <c r="F22" i="70" a="1"/>
  <c r="F22" i="70" s="1"/>
  <c r="P25" i="76" s="1"/>
  <c r="F15" i="70" a="1"/>
  <c r="F15" i="70" s="1"/>
  <c r="F21" i="70" a="1"/>
  <c r="F21" i="70" s="1"/>
  <c r="N25" i="69" s="1"/>
  <c r="G21" i="70" a="1"/>
  <c r="G21" i="70" s="1"/>
  <c r="O25" i="69" s="1"/>
  <c r="I15" i="76"/>
  <c r="E164" i="69"/>
  <c r="D173" i="69" a="1"/>
  <c r="D173" i="69" s="1"/>
  <c r="F176" i="69" a="1"/>
  <c r="F176" i="69" s="1"/>
  <c r="E131" i="69" a="1"/>
  <c r="E30" i="76" l="1" a="1"/>
  <c r="E30" i="76" s="1"/>
  <c r="E54" i="76" s="1" a="1"/>
  <c r="E54" i="76" s="1"/>
  <c r="E83" i="76" s="1" a="1"/>
  <c r="E83" i="76" s="1"/>
  <c r="F106" i="76" s="1" a="1"/>
  <c r="F106" i="76" s="1"/>
  <c r="G106" i="76" a="1"/>
  <c r="G106" i="76" s="1"/>
  <c r="D30" i="76" a="1"/>
  <c r="D30" i="76" s="1"/>
  <c r="D54" i="76" s="1" a="1"/>
  <c r="D54" i="76" s="1"/>
  <c r="D83" i="76" s="1" a="1"/>
  <c r="D83" i="76" s="1"/>
  <c r="M20" i="69"/>
  <c r="O20" i="76"/>
  <c r="N20" i="69"/>
  <c r="P20" i="76"/>
  <c r="O20" i="69"/>
  <c r="Q20" i="76"/>
  <c r="E131" i="69"/>
  <c r="F206" i="76" l="1" a="1"/>
  <c r="F206" i="76" s="1"/>
  <c r="Q30" i="76" a="1"/>
  <c r="Q30" i="76" s="1"/>
  <c r="Q54" i="76" s="1" a="1"/>
  <c r="Q54" i="76" s="1"/>
  <c r="Q83" i="76" s="1" a="1"/>
  <c r="Q83" i="76" s="1"/>
  <c r="P30" i="76" a="1"/>
  <c r="P30" i="76" s="1"/>
  <c r="P54" i="76" s="1" a="1"/>
  <c r="P54" i="76" s="1"/>
  <c r="P83" i="76" s="1" a="1"/>
  <c r="P83" i="76" s="1"/>
  <c r="O30" i="76" a="1"/>
  <c r="O30" i="76" s="1"/>
  <c r="O54" i="76" s="1" a="1"/>
  <c r="O54" i="76" s="1"/>
  <c r="O83" i="76" s="1" a="1"/>
  <c r="O83" i="76" s="1"/>
  <c r="E106" i="76" a="1"/>
  <c r="E106" i="76" s="1"/>
  <c r="G206" i="76" a="1"/>
  <c r="G206" i="76" s="1"/>
  <c r="G23" i="82"/>
  <c r="G40" i="82" s="1" a="1"/>
  <c r="G40" i="82" s="1"/>
  <c r="F23" i="82"/>
  <c r="F40" i="82" s="1" a="1"/>
  <c r="F40" i="82" s="1"/>
  <c r="E150" i="69"/>
  <c r="F159" i="69"/>
  <c r="E159" i="69"/>
  <c r="D159" i="69"/>
  <c r="F145" i="69"/>
  <c r="E145" i="69"/>
  <c r="D145" i="69"/>
  <c r="D8" i="70"/>
  <c r="D9" i="70"/>
  <c r="P106" i="76" l="1" a="1"/>
  <c r="P106" i="76" s="1"/>
  <c r="Q106" i="76" a="1"/>
  <c r="Q106" i="76" s="1"/>
  <c r="E206" i="76" a="1"/>
  <c r="E206" i="76" s="1"/>
  <c r="R106" i="76" a="1"/>
  <c r="R106" i="76" s="1"/>
  <c r="E23" i="82"/>
  <c r="E40" i="82" s="1"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D88" i="69"/>
  <c r="D87" i="69"/>
  <c r="E104" i="69" a="1"/>
  <c r="E63" i="69" a="1"/>
  <c r="P206" i="76" l="1" a="1"/>
  <c r="P206" i="76" s="1"/>
  <c r="N23" i="82"/>
  <c r="N40" i="82" s="1" a="1"/>
  <c r="N40" i="82" s="1"/>
  <c r="Q206" i="76" a="1"/>
  <c r="Q206" i="76" s="1"/>
  <c r="O23" i="82"/>
  <c r="O40" i="82" s="1" a="1"/>
  <c r="O40" i="82" s="1"/>
  <c r="R206" i="76" a="1"/>
  <c r="R206" i="76" s="1"/>
  <c r="P23" i="82"/>
  <c r="P40" i="82" s="1" a="1"/>
  <c r="P40" i="82" s="1"/>
  <c r="G30" i="69"/>
  <c r="P30" i="69"/>
  <c r="I45" i="69"/>
  <c r="R164" i="69"/>
  <c r="H173" i="69"/>
  <c r="Q173" i="69"/>
  <c r="I164" i="69"/>
  <c r="O171" i="69"/>
  <c r="F171" i="69"/>
  <c r="G7" i="13" s="1"/>
  <c r="H125" i="69"/>
  <c r="Q125" i="69"/>
  <c r="H96" i="69"/>
  <c r="Q96" i="69"/>
  <c r="H57" i="69"/>
  <c r="Q57" i="69"/>
  <c r="E63" i="69"/>
  <c r="E104" i="69"/>
  <c r="D81" i="69"/>
  <c r="D80" i="69"/>
  <c r="D57" i="69"/>
  <c r="G52" i="69"/>
  <c r="F52" i="69"/>
  <c r="E52" i="69"/>
  <c r="D52" i="69"/>
  <c r="F25" i="69"/>
  <c r="E25" i="69"/>
  <c r="D25" i="69"/>
  <c r="F20" i="69"/>
  <c r="E20" i="69"/>
  <c r="D20" i="69"/>
  <c r="H15" i="69"/>
  <c r="I69" i="69"/>
  <c r="E7" i="69" a="1"/>
  <c r="E36" i="69" a="1"/>
  <c r="D30" i="69" l="1" a="1"/>
  <c r="D30" i="69" s="1"/>
  <c r="M30" i="69" a="1"/>
  <c r="M30" i="69" s="1"/>
  <c r="O30" i="69" a="1"/>
  <c r="O30" i="69" s="1"/>
  <c r="N30" i="69" a="1"/>
  <c r="N30" i="69" s="1"/>
  <c r="G38" i="70"/>
  <c r="F38" i="70"/>
  <c r="E38" i="70"/>
  <c r="E30" i="69" a="1"/>
  <c r="E30" i="69" s="1"/>
  <c r="I43" i="69"/>
  <c r="I111" i="69"/>
  <c r="F30" i="69" a="1"/>
  <c r="F30" i="69" s="1"/>
  <c r="I113" i="69"/>
  <c r="I71" i="69"/>
  <c r="D58" i="69"/>
  <c r="E36" i="69"/>
  <c r="E7" i="69"/>
  <c r="O98" i="69" l="1" a="1"/>
  <c r="O98" i="69" s="1"/>
  <c r="P98" i="69" a="1"/>
  <c r="P98" i="69" s="1"/>
  <c r="N98" i="69" a="1"/>
  <c r="N98" i="69" s="1"/>
  <c r="O57" i="69" a="1"/>
  <c r="O57" i="69" s="1"/>
  <c r="P150" i="69" s="1"/>
  <c r="P164" i="69" s="1" a="1"/>
  <c r="P164" i="69" s="1"/>
  <c r="P57" i="69" a="1"/>
  <c r="P57" i="69" s="1"/>
  <c r="Q150" i="69" s="1"/>
  <c r="Q164" i="69" s="1" a="1"/>
  <c r="Q164" i="69" s="1"/>
  <c r="N57" i="69" a="1"/>
  <c r="N57" i="69" s="1"/>
  <c r="O150" i="69" s="1"/>
  <c r="O164" i="69" s="1" a="1"/>
  <c r="O164" i="69" s="1"/>
  <c r="E120" i="69"/>
  <c r="E124" i="76"/>
  <c r="F120" i="69"/>
  <c r="F124" i="76"/>
  <c r="G120" i="69"/>
  <c r="G125" i="69" s="1" a="1"/>
  <c r="G125" i="69" s="1"/>
  <c r="H154" i="69" s="1"/>
  <c r="H168" i="69" s="1" a="1"/>
  <c r="H168" i="69" s="1"/>
  <c r="G124" i="76"/>
  <c r="G57" i="69" a="1"/>
  <c r="G57" i="69" s="1"/>
  <c r="H150" i="69" s="1"/>
  <c r="H164" i="69" s="1" a="1"/>
  <c r="H164" i="69" s="1"/>
  <c r="E57" i="69" a="1"/>
  <c r="E57" i="69" s="1"/>
  <c r="F57" i="69" a="1"/>
  <c r="F57" i="69" s="1"/>
  <c r="G150" i="69" s="1"/>
  <c r="G164" i="69" s="1" a="1"/>
  <c r="G164" i="69" s="1"/>
  <c r="G129" i="76" l="1" a="1"/>
  <c r="G129" i="76" s="1"/>
  <c r="F149" i="76" s="1" a="1"/>
  <c r="F149" i="76" s="1"/>
  <c r="G176" i="76" s="1" a="1"/>
  <c r="G176" i="76" s="1"/>
  <c r="G24" i="81" s="1"/>
  <c r="R129" i="76" a="1"/>
  <c r="R129" i="76" s="1"/>
  <c r="Q149" i="76" s="1" a="1"/>
  <c r="Q149" i="76" s="1"/>
  <c r="R176" i="76" s="1" a="1"/>
  <c r="R176" i="76" s="1"/>
  <c r="Q24" i="81" s="1"/>
  <c r="F129" i="76" a="1"/>
  <c r="F129" i="76" s="1"/>
  <c r="E149" i="76" s="1" a="1"/>
  <c r="E149" i="76" s="1"/>
  <c r="F176" i="76" s="1" a="1"/>
  <c r="F176" i="76" s="1"/>
  <c r="F24" i="81" s="1"/>
  <c r="Q129" i="76" a="1"/>
  <c r="Q129" i="76" s="1"/>
  <c r="P149" i="76" s="1" a="1"/>
  <c r="P149" i="76" s="1"/>
  <c r="Q176" i="76" s="1" a="1"/>
  <c r="Q176" i="76" s="1"/>
  <c r="P24" i="81" s="1"/>
  <c r="E129" i="76" a="1"/>
  <c r="E129" i="76" s="1"/>
  <c r="D149" i="76" s="1" a="1"/>
  <c r="D149" i="76" s="1"/>
  <c r="E176" i="76" s="1" a="1"/>
  <c r="E176" i="76" s="1"/>
  <c r="E24" i="81" s="1"/>
  <c r="P129" i="76" a="1"/>
  <c r="P129" i="76" s="1"/>
  <c r="O149" i="76" s="1" a="1"/>
  <c r="O149" i="76" s="1"/>
  <c r="P176" i="76" s="1" a="1"/>
  <c r="P176" i="76" s="1"/>
  <c r="O24" i="81" s="1"/>
  <c r="E125" i="69" a="1"/>
  <c r="E125" i="69" s="1"/>
  <c r="F154" i="69" s="1"/>
  <c r="F168" i="69" s="1" a="1"/>
  <c r="F168" i="69" s="1"/>
  <c r="F125" i="69" a="1"/>
  <c r="F125" i="69" s="1"/>
  <c r="G154" i="69" s="1"/>
  <c r="G168" i="69" s="1" a="1"/>
  <c r="G168" i="69" s="1"/>
  <c r="F150" i="69"/>
  <c r="F164" i="69" s="1" a="1"/>
  <c r="F164" i="69" s="1"/>
  <c r="G27" i="82" l="1"/>
  <c r="F27" i="82"/>
  <c r="P174" i="76" a="1"/>
  <c r="P174" i="76" s="1"/>
  <c r="P175" i="76" a="1"/>
  <c r="P175" i="76" s="1"/>
  <c r="E174" i="76" a="1"/>
  <c r="E174" i="76" s="1"/>
  <c r="E175" i="76" a="1"/>
  <c r="E175" i="76" s="1"/>
  <c r="Q174" i="76" a="1"/>
  <c r="Q174" i="76" s="1"/>
  <c r="Q175" i="76" a="1"/>
  <c r="Q175" i="76" s="1"/>
  <c r="E27" i="82"/>
  <c r="F175" i="76" a="1"/>
  <c r="F175" i="76" s="1"/>
  <c r="F174" i="76" a="1"/>
  <c r="F174" i="76" s="1"/>
  <c r="R174" i="76" a="1"/>
  <c r="R174" i="76" s="1"/>
  <c r="R175" i="76" a="1"/>
  <c r="R175" i="76" s="1"/>
  <c r="G174" i="76" a="1"/>
  <c r="G174" i="76" s="1"/>
  <c r="G175" i="76" a="1"/>
  <c r="G175" i="76" s="1"/>
  <c r="O25" i="81"/>
  <c r="N27" i="82"/>
  <c r="Q25" i="81"/>
  <c r="P27" i="82"/>
  <c r="P25" i="81"/>
  <c r="O27" i="82"/>
  <c r="E25" i="81"/>
  <c r="F25" i="81"/>
  <c r="G25" i="81"/>
  <c r="F27" i="43"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F25" i="82" l="1"/>
  <c r="D29" i="79"/>
  <c r="D32" i="70" s="1"/>
  <c r="G25" i="82"/>
  <c r="D30" i="79"/>
  <c r="D33" i="70" s="1"/>
  <c r="E25" i="82"/>
  <c r="D38" i="70"/>
  <c r="M41" i="82" l="1"/>
  <c r="D24" i="82"/>
  <c r="D33" i="82"/>
  <c r="E33" i="82" s="1"/>
  <c r="M24" i="82"/>
  <c r="D41" i="82"/>
  <c r="G22" i="81"/>
  <c r="G24" i="82"/>
  <c r="F22" i="81"/>
  <c r="F24" i="82"/>
  <c r="P23" i="81"/>
  <c r="O25" i="82"/>
  <c r="O22" i="81"/>
  <c r="N24" i="82"/>
  <c r="Q22" i="81"/>
  <c r="P24" i="82"/>
  <c r="P22" i="81"/>
  <c r="O24" i="82"/>
  <c r="E22" i="81"/>
  <c r="E24" i="82"/>
  <c r="O23" i="81"/>
  <c r="N25" i="82"/>
  <c r="Q23" i="81"/>
  <c r="P25" i="82"/>
  <c r="M27" i="82"/>
  <c r="D44" i="82"/>
  <c r="D27" i="82"/>
  <c r="M44" i="82"/>
  <c r="D35" i="82"/>
  <c r="E35" i="82" s="1"/>
  <c r="M25" i="82"/>
  <c r="D42" i="82"/>
  <c r="D34" i="82"/>
  <c r="E34" i="82" s="1"/>
  <c r="G42" i="82" s="1" a="1"/>
  <c r="G42" i="82" s="1"/>
  <c r="M42" i="82"/>
  <c r="D25" i="82"/>
  <c r="N106" i="81"/>
  <c r="N56" i="81"/>
  <c r="D56" i="81"/>
  <c r="N82" i="81"/>
  <c r="D106" i="81"/>
  <c r="D98" i="81"/>
  <c r="D82" i="81"/>
  <c r="N22" i="81"/>
  <c r="N85" i="81"/>
  <c r="D109" i="81"/>
  <c r="N59" i="81"/>
  <c r="D85" i="81"/>
  <c r="D101" i="81"/>
  <c r="N25" i="81"/>
  <c r="N109" i="81"/>
  <c r="D59" i="81"/>
  <c r="D107" i="81"/>
  <c r="D99" i="81"/>
  <c r="N83" i="81"/>
  <c r="N57" i="81"/>
  <c r="D57" i="81"/>
  <c r="D83" i="81"/>
  <c r="N23" i="81"/>
  <c r="N107" i="81"/>
  <c r="D23" i="81"/>
  <c r="D49" i="81"/>
  <c r="D41" i="81"/>
  <c r="E41" i="81" s="1"/>
  <c r="D32" i="81"/>
  <c r="E32" i="81" s="1"/>
  <c r="D31" i="81"/>
  <c r="D22" i="81"/>
  <c r="D48" i="81"/>
  <c r="D40" i="81"/>
  <c r="E40" i="81" s="1"/>
  <c r="D34" i="81"/>
  <c r="E34" i="81" s="1"/>
  <c r="D25" i="81"/>
  <c r="D51" i="81"/>
  <c r="D43" i="81"/>
  <c r="E43" i="81" s="1"/>
  <c r="G23" i="81"/>
  <c r="F23" i="81"/>
  <c r="E23" i="81"/>
  <c r="O208" i="76"/>
  <c r="O175" i="76"/>
  <c r="N152" i="69"/>
  <c r="D197" i="76"/>
  <c r="E197" i="76" s="1"/>
  <c r="M97" i="69"/>
  <c r="D208" i="76"/>
  <c r="N166" i="69"/>
  <c r="D175" i="76"/>
  <c r="D168" i="76"/>
  <c r="D97" i="69"/>
  <c r="E166" i="69"/>
  <c r="E152" i="69"/>
  <c r="E88" i="69"/>
  <c r="F88" i="69" s="1" a="1"/>
  <c r="F88" i="69" s="1"/>
  <c r="E81" i="69"/>
  <c r="O207" i="76"/>
  <c r="O174" i="76"/>
  <c r="N151" i="69"/>
  <c r="D196" i="76"/>
  <c r="D207" i="76"/>
  <c r="N165" i="69"/>
  <c r="M96" i="69"/>
  <c r="D167" i="76"/>
  <c r="D174" i="76"/>
  <c r="D96" i="69"/>
  <c r="E151" i="69"/>
  <c r="E87" i="69"/>
  <c r="E80" i="69"/>
  <c r="E165" i="69"/>
  <c r="O210" i="76"/>
  <c r="M125" i="69"/>
  <c r="R113" i="69" s="1" a="1"/>
  <c r="R113" i="69" s="1"/>
  <c r="D125" i="69"/>
  <c r="D120" i="69"/>
  <c r="N154" i="69"/>
  <c r="D198" i="76"/>
  <c r="E198" i="76" s="1"/>
  <c r="O129" i="76"/>
  <c r="D210" i="76"/>
  <c r="N168" i="69"/>
  <c r="D129" i="76"/>
  <c r="D124" i="76"/>
  <c r="E168" i="69"/>
  <c r="E154" i="69"/>
  <c r="F87" i="69" l="1" a="1"/>
  <c r="F87" i="69" s="1"/>
  <c r="E98" i="69" a="1"/>
  <c r="E98" i="69" s="1"/>
  <c r="G98" i="69" a="1"/>
  <c r="G98" i="69" s="1"/>
  <c r="F98" i="69" a="1"/>
  <c r="F98" i="69" s="1"/>
  <c r="G96" i="69" a="1"/>
  <c r="G96" i="69" s="1"/>
  <c r="F96" i="69" a="1"/>
  <c r="F96" i="69" s="1"/>
  <c r="E96" i="69" a="1"/>
  <c r="E96" i="69" s="1"/>
  <c r="E97" i="69" a="1"/>
  <c r="E97" i="69" s="1"/>
  <c r="G97" i="69" a="1"/>
  <c r="G97" i="69" s="1"/>
  <c r="H152" i="69" s="1"/>
  <c r="H166" i="69" s="1" a="1"/>
  <c r="H166" i="69" s="1"/>
  <c r="F97" i="69" a="1"/>
  <c r="F97" i="69" s="1"/>
  <c r="P97" i="69" a="1"/>
  <c r="P97" i="69" s="1"/>
  <c r="O97" i="69" a="1"/>
  <c r="O97" i="69" s="1"/>
  <c r="P152" i="69" s="1"/>
  <c r="P166" i="69" s="1" a="1"/>
  <c r="P166" i="69" s="1"/>
  <c r="N97" i="69" a="1"/>
  <c r="N97" i="69" s="1"/>
  <c r="N125" i="69" a="1"/>
  <c r="N125" i="69" s="1"/>
  <c r="O154" i="69" s="1"/>
  <c r="O168" i="69" s="1" a="1"/>
  <c r="O168" i="69" s="1"/>
  <c r="O125" i="69" a="1"/>
  <c r="O125" i="69" s="1"/>
  <c r="P154" i="69" s="1"/>
  <c r="P168" i="69" s="1" a="1"/>
  <c r="P168" i="69" s="1"/>
  <c r="P125" i="69" a="1"/>
  <c r="P125" i="69" s="1"/>
  <c r="Q154" i="69" s="1"/>
  <c r="Q168" i="69" s="1" a="1"/>
  <c r="Q168" i="69" s="1"/>
  <c r="O96" i="69" a="1"/>
  <c r="O96" i="69" s="1"/>
  <c r="N96" i="69" a="1"/>
  <c r="N96" i="69" s="1"/>
  <c r="P96" i="69" a="1"/>
  <c r="P96" i="69" s="1"/>
  <c r="F57" i="81" a="1"/>
  <c r="F57" i="81" s="1"/>
  <c r="E57" i="81" a="1"/>
  <c r="E57" i="81" s="1"/>
  <c r="G57" i="81" a="1"/>
  <c r="G57" i="81" s="1"/>
  <c r="P57" i="81" a="1"/>
  <c r="P57" i="81" s="1"/>
  <c r="O57" i="81" a="1"/>
  <c r="O57" i="81" s="1"/>
  <c r="Q57" i="81" a="1"/>
  <c r="Q57" i="81" s="1"/>
  <c r="F107" i="81" a="1"/>
  <c r="F107" i="81" s="1"/>
  <c r="G107" i="81" a="1"/>
  <c r="G107" i="81" s="1"/>
  <c r="E107" i="81" a="1"/>
  <c r="E107" i="81" s="1"/>
  <c r="G59" i="81" a="1"/>
  <c r="G59" i="81" s="1"/>
  <c r="F59" i="81" a="1"/>
  <c r="F59" i="81" s="1"/>
  <c r="E59" i="81" a="1"/>
  <c r="E59" i="81" s="1"/>
  <c r="E31" i="81"/>
  <c r="E56" i="81" s="1" a="1"/>
  <c r="E56" i="81" s="1"/>
  <c r="O84" i="81" a="1"/>
  <c r="O84" i="81" s="1"/>
  <c r="E58" i="81" a="1"/>
  <c r="E58" i="81" s="1"/>
  <c r="P108" i="81" a="1"/>
  <c r="P108" i="81" s="1"/>
  <c r="F108" i="81" a="1"/>
  <c r="F108" i="81" s="1"/>
  <c r="O108" i="81" a="1"/>
  <c r="O108" i="81" s="1"/>
  <c r="E84" i="81" a="1"/>
  <c r="E84" i="81" s="1"/>
  <c r="P58" i="81" a="1"/>
  <c r="P58" i="81" s="1"/>
  <c r="E108" i="81" a="1"/>
  <c r="E108" i="81" s="1"/>
  <c r="G58" i="81" a="1"/>
  <c r="G58" i="81" s="1"/>
  <c r="G84" i="81" a="1"/>
  <c r="G84" i="81" s="1"/>
  <c r="Q84" i="81" a="1"/>
  <c r="Q84" i="81" s="1"/>
  <c r="Q58" i="81" a="1"/>
  <c r="Q58" i="81" s="1"/>
  <c r="Q108" i="81" a="1"/>
  <c r="Q108" i="81" s="1"/>
  <c r="P84" i="81" a="1"/>
  <c r="P84" i="81" s="1"/>
  <c r="F84" i="81" a="1"/>
  <c r="F84" i="81" s="1"/>
  <c r="G108" i="81" a="1"/>
  <c r="G108" i="81" s="1"/>
  <c r="O58" i="81" a="1"/>
  <c r="O58" i="81" s="1"/>
  <c r="F58" i="81" a="1"/>
  <c r="F58" i="81" s="1"/>
  <c r="P109" i="81" a="1"/>
  <c r="P109" i="81" s="1"/>
  <c r="O109" i="81" a="1"/>
  <c r="O109" i="81" s="1"/>
  <c r="Q109" i="81" a="1"/>
  <c r="Q109" i="81" s="1"/>
  <c r="O85" i="81" a="1"/>
  <c r="O85" i="81" s="1"/>
  <c r="Q85" i="81" a="1"/>
  <c r="Q85" i="81" s="1"/>
  <c r="P85" i="81" a="1"/>
  <c r="P85" i="81" s="1"/>
  <c r="F83" i="81" a="1"/>
  <c r="F83" i="81" s="1"/>
  <c r="E83" i="81" a="1"/>
  <c r="E83" i="81" s="1"/>
  <c r="G83" i="81" a="1"/>
  <c r="G83" i="81" s="1"/>
  <c r="Q83" i="81" a="1"/>
  <c r="Q83" i="81" s="1"/>
  <c r="P83" i="81" a="1"/>
  <c r="P83" i="81" s="1"/>
  <c r="O83" i="81" a="1"/>
  <c r="O83" i="81" s="1"/>
  <c r="G85" i="81" a="1"/>
  <c r="G85" i="81" s="1"/>
  <c r="E85" i="81" a="1"/>
  <c r="E85" i="81" s="1"/>
  <c r="F85" i="81" a="1"/>
  <c r="F85" i="81" s="1"/>
  <c r="Q59" i="81" a="1"/>
  <c r="Q59" i="81" s="1"/>
  <c r="P59" i="81" a="1"/>
  <c r="P59" i="81" s="1"/>
  <c r="O59" i="81" a="1"/>
  <c r="O59" i="81" s="1"/>
  <c r="Q107" i="81" a="1"/>
  <c r="Q107" i="81" s="1"/>
  <c r="P107" i="81" a="1"/>
  <c r="P107" i="81" s="1"/>
  <c r="O107" i="81" a="1"/>
  <c r="O107" i="81" s="1"/>
  <c r="G109" i="81" a="1"/>
  <c r="G109" i="81" s="1"/>
  <c r="E109" i="81" a="1"/>
  <c r="E109" i="81" s="1"/>
  <c r="F109" i="81" a="1"/>
  <c r="F109" i="81" s="1"/>
  <c r="G210" i="76" a="1"/>
  <c r="G210" i="76" s="1"/>
  <c r="F210" i="76" a="1"/>
  <c r="F210" i="76" s="1"/>
  <c r="E210" i="76" a="1"/>
  <c r="E210" i="76" s="1"/>
  <c r="R210" i="76" a="1"/>
  <c r="R210" i="76" s="1"/>
  <c r="P210" i="76" a="1"/>
  <c r="P210" i="76" s="1"/>
  <c r="Q210" i="76" a="1"/>
  <c r="Q210" i="76" s="1"/>
  <c r="G208" i="76" a="1"/>
  <c r="G208" i="76" s="1"/>
  <c r="F208" i="76" a="1"/>
  <c r="F208" i="76" s="1"/>
  <c r="E208" i="76" a="1"/>
  <c r="E208" i="76" s="1"/>
  <c r="R208" i="76" a="1"/>
  <c r="R208" i="76" s="1"/>
  <c r="P208" i="76" a="1"/>
  <c r="P208" i="76" s="1"/>
  <c r="Q208" i="76" a="1"/>
  <c r="Q208" i="76" s="1"/>
  <c r="N41" i="82" a="1"/>
  <c r="N41" i="82" s="1"/>
  <c r="O41" i="82" a="1"/>
  <c r="O41" i="82" s="1"/>
  <c r="O42" i="82" a="1"/>
  <c r="O42" i="82" s="1"/>
  <c r="P42" i="82" a="1"/>
  <c r="P42" i="82" s="1"/>
  <c r="G41" i="82" a="1"/>
  <c r="G41" i="82" s="1"/>
  <c r="E41" i="82" a="1"/>
  <c r="E41" i="82" s="1"/>
  <c r="N42" i="82" a="1"/>
  <c r="N42" i="82" s="1"/>
  <c r="E42" i="82" a="1"/>
  <c r="E42" i="82" s="1"/>
  <c r="F42" i="82" a="1"/>
  <c r="F42" i="82" s="1"/>
  <c r="F41" i="82" a="1"/>
  <c r="F41" i="82" s="1"/>
  <c r="E44" i="82" a="1"/>
  <c r="E44" i="82" s="1"/>
  <c r="G44" i="82" a="1"/>
  <c r="G44" i="82" s="1"/>
  <c r="F44" i="82" a="1"/>
  <c r="F44" i="82" s="1"/>
  <c r="P44" i="82" a="1"/>
  <c r="P44" i="82" s="1"/>
  <c r="O44" i="82" a="1"/>
  <c r="O44" i="82" s="1"/>
  <c r="N44" i="82" a="1"/>
  <c r="N44" i="82" s="1"/>
  <c r="P41" i="82" a="1"/>
  <c r="P41" i="82" s="1"/>
  <c r="E196" i="76"/>
  <c r="G152" i="69"/>
  <c r="G166" i="69" s="1" a="1"/>
  <c r="G166" i="69" s="1"/>
  <c r="F152" i="69"/>
  <c r="F166" i="69" s="1" a="1"/>
  <c r="F166" i="69" s="1"/>
  <c r="H151" i="69"/>
  <c r="H165" i="69" s="1" a="1"/>
  <c r="H165" i="69" s="1"/>
  <c r="F151" i="69"/>
  <c r="F165" i="69" s="1" a="1"/>
  <c r="F165" i="69" s="1"/>
  <c r="P151" i="69"/>
  <c r="P165" i="69" s="1" a="1"/>
  <c r="P165" i="69" s="1"/>
  <c r="O151" i="69"/>
  <c r="O165" i="69" s="1" a="1"/>
  <c r="O165" i="69" s="1"/>
  <c r="Q151" i="69"/>
  <c r="Q165" i="69" s="1" a="1"/>
  <c r="Q165" i="69" s="1"/>
  <c r="O152" i="69"/>
  <c r="O166" i="69" s="1" a="1"/>
  <c r="O166" i="69" s="1"/>
  <c r="Q152" i="69"/>
  <c r="Q166" i="69" s="1" a="1"/>
  <c r="Q166" i="69" s="1"/>
  <c r="G153" i="69" l="1"/>
  <c r="G167" i="69" s="1" a="1"/>
  <c r="G167" i="69" s="1"/>
  <c r="H153" i="69"/>
  <c r="H167" i="69" s="1" a="1"/>
  <c r="H167" i="69" s="1"/>
  <c r="F153" i="69"/>
  <c r="F167" i="69" s="1" a="1"/>
  <c r="F167" i="69" s="1"/>
  <c r="O153" i="69"/>
  <c r="O167" i="69" s="1" a="1"/>
  <c r="O167" i="69" s="1"/>
  <c r="Q153" i="69"/>
  <c r="Q167" i="69" s="1" a="1"/>
  <c r="Q167" i="69" s="1"/>
  <c r="P153" i="69"/>
  <c r="P167" i="69" s="1" a="1"/>
  <c r="P167" i="69" s="1"/>
  <c r="G151" i="69"/>
  <c r="G165" i="69" s="1" a="1"/>
  <c r="G165" i="69" s="1"/>
  <c r="O56" i="81" a="1"/>
  <c r="O56" i="81" s="1"/>
  <c r="E106" i="81" a="1"/>
  <c r="E106" i="81" s="1"/>
  <c r="P82" i="81" a="1"/>
  <c r="P82" i="81" s="1"/>
  <c r="Q56" i="81" a="1"/>
  <c r="Q56" i="81" s="1"/>
  <c r="P56" i="81" a="1"/>
  <c r="P56" i="81" s="1"/>
  <c r="G56" i="81" a="1"/>
  <c r="G56" i="81" s="1"/>
  <c r="Q106" i="81" a="1"/>
  <c r="Q106" i="81" s="1"/>
  <c r="F56" i="81" a="1"/>
  <c r="F56" i="81" s="1"/>
  <c r="O106" i="81" a="1"/>
  <c r="O106" i="81" s="1"/>
  <c r="F106" i="81" a="1"/>
  <c r="F106" i="81" s="1"/>
  <c r="E82" i="81" a="1"/>
  <c r="E82" i="81" s="1"/>
  <c r="F82" i="81" a="1"/>
  <c r="F82" i="81" s="1"/>
  <c r="G82" i="81" a="1"/>
  <c r="G82" i="81" s="1"/>
  <c r="G106" i="81" a="1"/>
  <c r="G106" i="81" s="1"/>
  <c r="Q82" i="81" a="1"/>
  <c r="Q82" i="81" s="1"/>
  <c r="O82" i="81" a="1"/>
  <c r="O82" i="81" s="1"/>
  <c r="P106" i="81" a="1"/>
  <c r="P106" i="81" s="1"/>
  <c r="F207" i="76" a="1"/>
  <c r="F207" i="76" s="1"/>
  <c r="G207" i="76" a="1"/>
  <c r="G207" i="76" s="1"/>
  <c r="E207" i="76" a="1"/>
  <c r="E207" i="76" s="1"/>
  <c r="P207" i="76" a="1"/>
  <c r="P207" i="76" s="1"/>
  <c r="R207" i="76" a="1"/>
  <c r="R207" i="76" s="1"/>
  <c r="Q207" i="76" a="1"/>
  <c r="Q207" i="76" s="1"/>
  <c r="N46" i="82"/>
  <c r="R58" i="82" s="1"/>
  <c r="N65" i="82" s="1" a="1"/>
  <c r="N65" i="82" s="1"/>
  <c r="E46" i="82"/>
  <c r="I58" i="82" s="1"/>
  <c r="E65" i="82" s="1" a="1"/>
  <c r="E65" i="82" s="1"/>
  <c r="E171" i="69"/>
  <c r="N171" i="69"/>
  <c r="E29" i="15"/>
  <c r="E61" i="81" l="1"/>
  <c r="E16" i="13" s="1"/>
  <c r="O61" i="81"/>
  <c r="O111" i="81"/>
  <c r="E111" i="81"/>
  <c r="E17" i="13" s="1"/>
  <c r="E87" i="81"/>
  <c r="E18" i="13" s="1"/>
  <c r="O87" i="81"/>
  <c r="E9" i="13"/>
  <c r="G67" i="82"/>
  <c r="E70" i="82" s="1" a="1"/>
  <c r="E70" i="82" s="1"/>
  <c r="H9" i="13" s="1"/>
  <c r="F9" i="13"/>
  <c r="P67" i="82"/>
  <c r="N70" i="82" s="1" a="1"/>
  <c r="N70" i="82" s="1"/>
  <c r="I9" i="13" s="1"/>
  <c r="P173" i="69"/>
  <c r="N176" i="69" s="1" a="1"/>
  <c r="N176" i="69" s="1"/>
  <c r="I7" i="13" s="1"/>
  <c r="F7" i="13"/>
  <c r="G173" i="69"/>
  <c r="E176" i="69" s="1" a="1"/>
  <c r="E176" i="69" s="1"/>
  <c r="H7" i="13" s="1"/>
  <c r="E7" i="13"/>
  <c r="P212" i="76"/>
  <c r="E212" i="76"/>
  <c r="G214" i="76" l="1"/>
  <c r="E217" i="76" s="1" a="1"/>
  <c r="E217" i="76" s="1"/>
  <c r="H8" i="13" s="1"/>
  <c r="H10" i="13" s="1"/>
  <c r="E8" i="13"/>
  <c r="R214" i="76"/>
  <c r="P217" i="76" s="1" a="1"/>
  <c r="P217" i="76" s="1"/>
  <c r="I8" i="13" s="1"/>
  <c r="I10" i="13" s="1"/>
  <c r="F8" i="13"/>
  <c r="E13"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<sst xmlns="http://schemas.openxmlformats.org/spreadsheetml/2006/main" count="839" uniqueCount="359">
  <si>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</si>
  <si>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</si>
  <si>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</si>
  <si>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</si>
  <si>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</si>
  <si>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</si>
  <si>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</si>
  <si>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</si>
  <si>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</si>
  <si>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</si>
  <si>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</si>
  <si>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</si>
  <si>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</si>
  <si>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</si>
  <si>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</si>
  <si>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</si>
  <si>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</si>
  <si>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</si>
  <si>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</si>
  <si>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</si>
  <si>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</si>
  <si>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</si>
  <si>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</si>
  <si>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</si>
  <si>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</si>
  <si>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</si>
  <si>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</si>
  <si>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</si>
  <si>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</si>
  <si>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</si>
  <si>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</si>
  <si>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</si>
  <si>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</si>
  <si>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</si>
  <si>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</si>
  <si>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</si>
  <si>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</si>
  <si>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</si>
  <si>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</si>
  <si>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</si>
  <si>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</si>
  <si>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</si>
  <si>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</si>
  <si>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</si>
  <si>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</si>
  <si>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</si>
  <si>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</si>
  <si>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</si>
  <si>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</si>
  <si>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</si>
  <si>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</si>
  <si>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</si>
  <si>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</si>
  <si>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</si>
  <si>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</si>
  <si>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</si>
  <si>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</si>
  <si>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</si>
  <si>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</si>
  <si>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</si>
  <si>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</si>
  <si>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</si>
  <si>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</si>
  <si>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</si>
  <si>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</si>
  <si>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</si>
  <si>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</si>
  <si>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</si>
  <si>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</si>
  <si>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</si>
  <si>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</si>
  <si>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</si>
  <si>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</si>
  <si>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</si>
  <si>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</si>
  <si>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</si>
  <si>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</si>
  <si>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</si>
  <si>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</si>
  <si>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</si>
  <si>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</si>
  <si>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</si>
  <si>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</si>
  <si>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</si>
  <si>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</si>
  <si>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</si>
  <si>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</si>
  <si>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</si>
  <si>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</si>
  <si>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</si>
  <si>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</si>
  <si>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</si>
  <si>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</si>
  <si>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</si>
  <si>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</si>
  <si>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</si>
  <si>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</si>
  <si>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</si>
  <si>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</si>
  <si>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</si>
  <si>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Table_MCF_i_m</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</si>
  <si>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</si>
  <si>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</si>
  <si>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</si>
  <si>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</si>
  <si>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</si>
  <si>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</si>
  <si>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</si>
  <si>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</si>
  <si>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</si>
  <si>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</si>
  <si>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</si>
  <si>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</si>
  <si>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</si>
  <si>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</si>
  <si>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</si>
  <si>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Methane conversion factor for state and MMS</t>
  </si>
  <si>
    <t>New South Wales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</si>
  <si>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</si>
  <si>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</si>
  <si>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</si>
  <si>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</si>
  <si>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</si>
  <si>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</si>
  <si>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</si>
  <si>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</si>
  <si>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</si>
  <si>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</si>
  <si>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</si>
  <si>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</si>
  <si>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</si>
  <si>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</si>
  <si>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</si>
  <si>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</si>
  <si>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</si>
  <si>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</si>
  <si>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</si>
  <si>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</si>
  <si>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</si>
  <si>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</si>
  <si>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</si>
  <si>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</si>
  <si>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</si>
  <si>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</si>
  <si>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</si>
  <si>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</si>
  <si>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</si>
  <si>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</si>
  <si>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</si>
  <si>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</si>
  <si>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</si>
  <si>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</si>
  <si>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</si>
  <si>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</si>
  <si>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</si>
  <si>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</si>
  <si>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</si>
  <si>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</si>
  <si>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</si>
  <si>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</si>
  <si>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</si>
  <si>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</si>
  <si>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</si>
  <si>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</si>
  <si>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</si>
  <si>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</si>
  <si>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</si>
  <si>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</si>
  <si>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</si>
  <si>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</si>
  <si>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</si>
  <si>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</si>
  <si>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</si>
  <si>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</si>
  <si>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</si>
  <si>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</si>
  <si>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</si>
  <si>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</si>
  <si>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</si>
  <si>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</si>
  <si>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</si>
  <si>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</si>
  <si>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</si>
  <si>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</si>
  <si>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</si>
  <si>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</si>
  <si>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</si>
  <si>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</si>
  <si>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</si>
  <si>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</si>
  <si>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</si>
  <si>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</si>
  <si>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</si>
  <si>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</si>
  <si>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</si>
  <si>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</si>
  <si>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</si>
  <si>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</si>
  <si>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</si>
  <si>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</si>
  <si>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</si>
  <si>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</si>
  <si>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</si>
  <si>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</si>
  <si>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</si>
  <si>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</si>
  <si>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</si>
  <si>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</si>
  <si>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</si>
  <si>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</si>
  <si>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</si>
  <si>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</si>
  <si>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</si>
  <si>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</si>
  <si>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</si>
  <si>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</si>
  <si>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</si>
  <si>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</si>
  <si>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</si>
  <si>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</si>
  <si>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</si>
  <si>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</si>
  <si>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</si>
  <si>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</si>
  <si>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</si>
  <si>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</si>
  <si>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</si>
  <si>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</si>
  <si>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</si>
  <si>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</si>
  <si>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</si>
  <si>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</si>
  <si>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</si>
  <si>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</si>
  <si>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</si>
  <si>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</si>
  <si>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</si>
  <si>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</si>
  <si>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</si>
  <si>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</si>
  <si>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</si>
  <si>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</si>
  <si>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</si>
  <si>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</si>
  <si>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</si>
  <si>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</si>
  <si>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</si>
  <si>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</si>
  <si>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</si>
  <si>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</si>
  <si>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</si>
  <si>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</si>
  <si>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</si>
  <si>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</si>
  <si>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</si>
  <si>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</si>
  <si>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</si>
  <si>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</si>
  <si>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</si>
  <si>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</si>
  <si>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</si>
  <si>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</si>
  <si>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</si>
  <si>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</si>
  <si>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</si>
  <si>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</si>
  <si>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</si>
  <si>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</si>
  <si>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</si>
  <si>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</si>
  <si>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</si>
  <si>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</si>
  <si>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</si>
  <si>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</si>
  <si>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</si>
  <si>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</si>
  <si>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</si>
  <si>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</si>
  <si>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</si>
  <si>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</si>
  <si>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</si>
  <si>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</si>
  <si>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</si>
  <si>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</si>
  <si>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</si>
  <si>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</si>
  <si>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</si>
  <si>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</si>
  <si>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</si>
  <si>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</si>
  <si>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</si>
  <si>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</si>
  <si>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</si>
  <si>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</si>
  <si>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</si>
  <si>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</si>
  <si>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</si>
  <si>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</si>
  <si>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</si>
  <si>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</si>
  <si>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</si>
  <si>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</si>
  <si>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</si>
  <si>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</si>
  <si>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apply queensland</t>
  </si>
  <si>
    <t>use vic</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</si>
  <si>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</si>
  <si>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</si>
  <si>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</si>
  <si>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</si>
  <si>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</si>
  <si>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</si>
  <si>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</si>
  <si>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</si>
  <si>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</si>
  <si>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</si>
  <si>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</si>
  <si>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</si>
  <si>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</si>
  <si>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</si>
  <si>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</si>
  <si>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</si>
  <si>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</si>
  <si>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</si>
  <si>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</si>
  <si>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</si>
  <si>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</si>
  <si>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</si>
  <si>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</si>
  <si>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</si>
  <si>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</si>
  <si>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</si>
  <si>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</si>
  <si>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</si>
  <si>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</si>
  <si>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</si>
  <si>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</si>
  <si>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</si>
  <si>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</si>
  <si>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</si>
  <si>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</si>
  <si>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</si>
  <si>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</si>
  <si>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</si>
  <si>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</si>
  <si>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</si>
  <si>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</si>
  <si>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</si>
  <si>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</si>
  <si>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</si>
  <si>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</si>
  <si>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</si>
  <si>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</si>
  <si>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t>Do method 2 MCF</t>
  </si>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</sst>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5" borderId="2">
      <alignment horizontal="center" vertical="center"/>
    </xf>
    <xf numFmtId="0" fontId="65" fillId="16" borderId="2">
      <alignment horizontal="center" vertical="center"/>
    </xf>
    <xf numFmtId="0" fontId="35" fillId="4" borderId="2">
      <alignment horizontal="left" vertical="center"/>
    </xf>
    <xf numFmtId="0" fontId="68" fillId="4" borderId="2">
      <alignment horizontal="left" vertical="center"/>
    </xf>
  </cellStyleXfs>
  <cellXfs count="15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40" fillId="14" borderId="0" xfId="8"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0" fillId="14" borderId="0" xfId="8" applyFont="1" applyFill="1">
      <alignment horizontal="left" vertical="center"/>
    </xf>
    <xf numFmtId="0" fontId="64" fillId="15" borderId="2" xfId="65">
      <alignment horizontal="center" vertical="center"/>
    </xf>
    <xf numFmtId="0" fontId="65" fillId="16"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5">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solid">
          <fgColor indexed="64"/>
          <bgColor rgb="FFFFFF00"/>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solid">
          <fgColor indexed="64"/>
          <bgColor rgb="FFFFFF00"/>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4"/>
      <tableStyleElement type="headerRow" dxfId="73"/>
      <tableStyleElement type="totalRow" dxfId="72"/>
      <tableStyleElement type="firstColumn" dxfId="71"/>
      <tableStyleElement type="firstRowStripe" dxfId="70"/>
      <tableStyleElement type="secondRowStripe" dxfId="69"/>
    </tableStyle>
    <tableStyle name="Equation table" pivot="0" count="6" xr9:uid="{B247698E-E41D-4CCD-AA0A-C14817E9DE65}">
      <tableStyleElement type="wholeTable" dxfId="68"/>
      <tableStyleElement type="headerRow" dxfId="67"/>
      <tableStyleElement type="totalRow" dxfId="66"/>
      <tableStyleElement type="firstColumn" dxfId="65"/>
      <tableStyleElement type="firstRowStripe" dxfId="64"/>
      <tableStyleElement type="secondRowStripe" dxfId="63"/>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mc:Choice xmlns:a14="http://schemas.microsoft.com/office/drawing/2010/main"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mc:Choice xmlns:a14="http://schemas.microsoft.com/office/drawing/2010/main"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27"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26"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25"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24"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23"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22"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21"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20"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19"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18"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17"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16"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15"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14"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13"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12"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11"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10"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9"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8"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7"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2"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1"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0"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19F82E1-8BFB-49BB-A84C-1541D2694B39}"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0652AFC-F3E8-4421-AFD1-2D686D40D22D}" name="State/Territory">
      <calculatedColumnFormula array="1">Common_InputFunctions.Utility_DisplayArrayInTable(Common_SourceData.Common_SourceData_AustralianStatesTerritories_Data(),Table_AustralianStates[[#Headers],[State/Territory]],0)</calculatedColumnFormula>
    </tableColumn>
    <tableColumn id="2" xr3:uid="{1FA7E548-C0EA-432C-8E8B-704642D10B8B}" name="Common Name">
      <calculatedColumnFormula array="1">Common_InputFunctions.Utility_DisplayArrayInTable(Common_SourceData.Common_SourceData_AustralianStatesTerritories_Data(),Table_AustralianStates[[#Headers],[State/Territory]],0)</calculatedColumnFormula>
    </tableColumn>
    <tableColumn id="3" xr3:uid="{EBC3E112-1444-44E8-96B3-3CA9BA6303FD}"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E187021-E65C-4405-B076-51664A260F70}" name="Table_WASA4Areas" displayName="Table_WASA4Areas" ref="D20:D30" totalsRowShown="0">
  <autoFilter ref="D20:D30" xr:uid="{5FA81339-C6C8-4D36-BEEA-6C4AEDD9E676}">
    <filterColumn colId="0" hiddenButton="1"/>
  </autoFilter>
  <tableColumns count="1">
    <tableColumn id="1" xr3:uid="{BE8A74F0-502F-4C09-B30D-79967B1CA4B3}"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185DEA7-0F0B-4043-8184-02AAE04CE1D3}" name="Table_GWPData" displayName="Table_GWPData" ref="D36:E43" totalsRowShown="0">
  <autoFilter ref="D36:E43" xr:uid="{B8E87A66-3E41-4AD3-925D-01EE21B43D7A}">
    <filterColumn colId="0" hiddenButton="1"/>
    <filterColumn colId="1" hiddenButton="1"/>
  </autoFilter>
  <tableColumns count="2">
    <tableColumn id="1" xr3:uid="{969FB6F5-5748-416A-B0E7-0FA856E9228D}" name="Gas">
      <calculatedColumnFormula array="1">Common_InputFunctions.Utility_DisplayArrayInTable(Common_SourceData.Common_SourceData_GWP_Data(), Table_GWPData[[#Headers],[Gas]], 0)</calculatedColumnFormula>
    </tableColumn>
    <tableColumn id="2" xr3:uid="{D288383E-5A93-48FA-8608-CEA132940F23}"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C1E3F9B-244C-4BDB-9EAA-280B1B88DFD0}"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9107412D-787D-4251-B022-2C951856B5CC}" name="Gas">
      <calculatedColumnFormula array="1">Common_InputFunctions.Utility_DisplayArrayInTable(Common_SourceData.Common_SourceData_ConvertGasElementalToMolecular_Data(),Table_GasToMolecularConversionFactor[[#Headers],[Gas]], 0)</calculatedColumnFormula>
    </tableColumn>
    <tableColumn id="5" xr3:uid="{EDAE218C-BED9-4F30-BC1A-BDA604C52911}" name="Conversion factor">
      <calculatedColumnFormula array="1">Common_InputFunctions.Utility_DisplayArrayInTable(Common_SourceData.Common_SourceData_ConvertGasElementalToMolecular_Data(),Table_GasToMolecularConversionFactor[[#Headers],[Gas]], 0)</calculatedColumnFormula>
    </tableColumn>
    <tableColumn id="2" xr3:uid="{7B252330-4D09-4BE1-91E1-8F007E37DA8F}"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B2A94A6-B09F-44FC-92A1-CCB07CD838C7}" name="Conversion factor 2">
      <calculatedColumnFormula array="1">Common_InputFunctions.Utility_DisplayArrayInTable(Common_SourceData.Common_SourceData_ConvertGasElementalToMolecular_Data(),Table_GasToMolecularConversionFactor[[#Headers],[Gas]], 0)</calculatedColumnFormula>
    </tableColumn>
    <tableColumn id="4" xr3:uid="{F2DB3A9E-EA47-4626-8AA6-4142F2BE5B34}"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C639B46-F2B6-417E-849A-4051D3B16B01}"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5162FA7-7F7F-4C9C-8231-8FC51C581FD1}"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6E2C0A27-43A1-4D92-B3A8-944DC7691E0A}" name="MAT"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3" xr3:uid="{BCEE406F-741C-4AB5-8347-FD3CEB5D1690}" name="MAP"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4" xr3:uid="{BF112A88-84E8-4D38-B54C-79713ED69470}" name="Frost days per year"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5" xr3:uid="{DEDF2179-1AFD-46AA-97FF-2C7CC2C8F0A0}" name="Elevation"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6" xr3:uid="{517703E3-C0ED-43E3-909F-4C1979577D3C}" name="MAP:PET"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7" xr3:uid="{666A24A7-650A-4B3E-982A-50311730DB7C}" name="Min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8" xr3:uid="{5604EDD5-66DF-4ECC-BCE6-DD11FD6DB4D6}" name="Max tem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9" xr3:uid="{6DA99F2D-CE18-432C-AB0D-72F425C17C5E}" name="Min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0" xr3:uid="{BC2916D3-A7D1-4722-A9DC-991CB2F62BD8}" name="Max rainfall"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1" xr3:uid="{1E64F234-4E02-4B45-A3A1-B18E3FFCFC37}" name="Min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5" xr3:uid="{70F03B18-1155-4824-8E62-AE5F3FA2A39C}" name="Max frost days"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2" xr3:uid="{C3AD9C66-0836-47F7-A64C-E903E6DAF5EE}" name="Min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6" xr3:uid="{ED33ED06-8D20-47FE-B0B6-650FCDD420E2}" name="Max 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3" xr3:uid="{3C28BB66-16DC-4BC9-BE53-61187001ECC2}" name="Min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7" xr3:uid="{FFF015AD-8516-434B-A94C-11CB9D62F62D}" name="Max 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975CFAC-C9D3-4E10-914B-A74776502697}"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2BBE1D44-5D3C-421E-B886-5F058BD82B23}"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C3E0B2F3-1F7B-4FCF-B0F4-658087312975}" name="Wet or Dry Zone" totalsRowDxfId="4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F86B9BF-70ED-46B9-A712-EA42AC73454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5BB3355-DBBC-43C3-9C8D-BC097471993C}" name="Temperature Zone">
      <calculatedColumnFormula array="1">Common_InputFunctions.Utility_DisplayArrayInTable(Common_SourceData.Common_SourceData_TemperatureZones_Data(),Table_SourceData_TemperatureZones[[#Headers],[Temperature Zone]],0)</calculatedColumnFormula>
    </tableColumn>
    <tableColumn id="2" xr3:uid="{15DB6AA7-91D7-4725-9AA9-D1055AF7678C}" name="MAT">
      <calculatedColumnFormula array="1">Common_InputFunctions.Utility_DisplayArrayInTable(Common_SourceData.Common_SourceData_TemperatureZones_Data(),Table_SourceData_TemperatureZones[[#Headers],[Temperature Zone]],0)</calculatedColumnFormula>
    </tableColumn>
    <tableColumn id="3" xr3:uid="{0AD7766B-F917-4247-BA12-141E5E455D92}" name="Min MAT">
      <calculatedColumnFormula array="1">Common_InputFunctions.Utility_DisplayArrayInTable(Common_SourceData.Common_SourceData_TemperatureZones_Data(),Table_SourceData_TemperatureZones[[#Headers],[Temperature Zone]],0)</calculatedColumnFormula>
    </tableColumn>
    <tableColumn id="4" xr3:uid="{BEC491C5-29B7-47D8-92E3-A6B4AA3DF904}"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FF94A906-91DA-4FAF-A89B-CEF60B0D1275}"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3D6E0C09-0BD8-471F-8A53-A12A9E178BF7}" name="Rainfall Zone">
      <calculatedColumnFormula array="1">Common_InputFunctions.Utility_DisplayArrayInTable(Common_SourceData.Common_SourceData_RainfallZones_Data(),Table_SourceData_RainfallZones[[#Headers],[Rainfall Zone]],0)</calculatedColumnFormula>
    </tableColumn>
    <tableColumn id="2" xr3:uid="{13B32985-837D-4685-9D0B-839BCC352710}" name="Annual rainfall">
      <calculatedColumnFormula array="1">Common_InputFunctions.Utility_DisplayArrayInTable(Common_SourceData.Common_SourceData_RainfallZones_Data(),Table_SourceData_RainfallZones[[#Headers],[Rainfall Zone]],0)</calculatedColumnFormula>
    </tableColumn>
    <tableColumn id="3" xr3:uid="{81010191-F2A6-4E17-8104-721B45E9D660}" name="Min rainfall">
      <calculatedColumnFormula array="1">Common_InputFunctions.Utility_DisplayArrayInTable(Common_SourceData.Common_SourceData_RainfallZones_Data(),Table_SourceData_RainfallZones[[#Headers],[Rainfall Zone]],0)</calculatedColumnFormula>
    </tableColumn>
    <tableColumn id="4" xr3:uid="{AD6D3163-2840-4E3F-896D-5DF709C34D97}"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A2C3C00-7D5E-482F-8CA2-A213D7DF8D38}"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4167ABF-B475-4336-9AEE-96008ED98E6B}" name="Leaching Zone">
      <calculatedColumnFormula array="1">Common_InputFunctions.Utility_DisplayArrayInTable(Common_SourceData.Common_SourceData_LeachingZones_Data(), Table_SourceData_LeachingZones[[#Headers],[Leaching Zone]], 0)</calculatedColumnFormula>
    </tableColumn>
    <tableColumn id="2" xr3:uid="{75B56258-627E-484F-9B94-6FD90490B5C5}"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B10AEB1-ABAB-4497-8F48-0C15CDA46026}"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48FCAEBE-8FA0-4664-B3AE-973A3E77EF02}" name="Data source">
      <calculatedColumnFormula array="1">Common_InputFunctions.Utility_DisplayArrayInTable(Common_SourceData.Common_SourceData_DataScores_Scope3_Data(), Table_SourceData_DataScores_Scope3[[#Headers],[Data source]], 0)</calculatedColumnFormula>
    </tableColumn>
    <tableColumn id="2" xr3:uid="{F269D724-DA61-40DD-B1DD-62089B53A254}"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5FE08A5-0001-4080-8F90-757F959BAB2B}" name="Table_SourceData_FracWET" displayName="Table_SourceData_FracWET" ref="D134:E136" totalsRowShown="0">
  <autoFilter ref="D134:E136" xr:uid="{308E99BE-FE1F-47A4-B2CA-97217277C4E9}">
    <filterColumn colId="0" hiddenButton="1"/>
    <filterColumn colId="1" hiddenButton="1"/>
  </autoFilter>
  <tableColumns count="2">
    <tableColumn id="1" xr3:uid="{ACC4E2B3-A6FC-4D50-BE90-6D711BFC3B97}" name="Is in leaching zone">
      <calculatedColumnFormula array="1">Common_InputFunctions.Utility_DisplayArrayInTable(Common_SourceData.Common_SourceData_FracWET_Data(),Table_SourceData_FracWET[[#Headers],[Is in leaching zone]],0)</calculatedColumnFormula>
    </tableColumn>
    <tableColumn id="2" xr3:uid="{35F8284C-32FA-4320-AF32-3F44CCB77CF7}" name="FracWET" dataDxfId="4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985452B-55AC-4EB5-AA25-EAD220463DA8}"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D74A144B-9F75-433D-BE41-D183AF51F2BB}" name="Production system j">
      <calculatedColumnFormula array="1">Common_InputFunctions.Utility_DisplayArrayInTable(Common_SourceData.Common_SourceData_EFN2O_Data(), Table_SourceData_Common_EFN2O[[#Headers],[Production system j]], 0)</calculatedColumnFormula>
    </tableColumn>
    <tableColumn id="2" xr3:uid="{87B0476D-5F45-43A5-9823-48327AFBBFC0}" name="EFN2O">
      <calculatedColumnFormula array="1">Common_InputFunctions.Utility_DisplayArrayInTable(Common_SourceData.Common_SourceData_EFN2O_Data(), Table_SourceData_Common_EFN2O[[#Headers],[Production system j]], 0)</calculatedColumnFormula>
    </tableColumn>
    <tableColumn id="3" xr3:uid="{A580C8EE-E9FD-4201-94D1-F99A9BC27373}" name="Production system only">
      <calculatedColumnFormula array="1">Common_InputFunctions.Utility_DisplayArrayInTable(Common_SourceData.Common_SourceData_EFN2O_Data(), Table_SourceData_Common_EFN2O[[#Headers],[Production system j]], 0)</calculatedColumnFormula>
    </tableColumn>
    <tableColumn id="4" xr3:uid="{50C2C17E-A21C-4FDA-82A8-EF761C0E6BF7}" name="Irrigation method">
      <calculatedColumnFormula array="1">Common_InputFunctions.Utility_DisplayArrayInTable(Common_SourceData.Common_SourceData_EFN2O_Data(), Table_SourceData_Common_EFN2O[[#Headers],[Production system j]], 0)</calculatedColumnFormula>
    </tableColumn>
    <tableColumn id="5" xr3:uid="{7F2E249C-6080-446E-8674-6F29CE0873E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1D7CB04-0839-425A-B673-CEA7A9C3FB8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6328C683-420D-4EA6-AF9D-245995DC8FD1}" name="Irrigation type i">
      <calculatedColumnFormula array="1">Common_InputFunctions.Utility_DisplayArrayInTable(Common_SourceData.Common_SourceData_FracWETIrrigation_Data(), Table_SourceData_FracWETIrrigation[[#Headers],[Irrigation type i]], 0)</calculatedColumnFormula>
    </tableColumn>
    <tableColumn id="2" xr3:uid="{9E5FEA9D-8FB5-494C-9D24-0E6BFC0C6057}" name="FracWET" dataDxfId="4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E9AFCB04-6C42-4BD7-84F4-CB502355AF0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FB787692-FEAA-422C-9A68-A116E1C1D839}"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AFBB6C89-F456-4C86-80FD-B734DEFDFF30}" name="EFPRP" dataDxfId="4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A23F6973-616E-44B9-9455-AEC834A8AADB}"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E0DBFFCC-335E-4C29-BC47-5C2A3243CFF0}" name="Month">
      <calculatedColumnFormula array="1">Common_InputFunctions.Utility_DisplayArrayInTable(Common_SourceData.Common_SourceData_MonthsToSeasons_Data(), Table_SourceData_Common_MonthToSeason[[#Headers],[Month]], 0)</calculatedColumnFormula>
    </tableColumn>
    <tableColumn id="2" xr3:uid="{AC3827EF-FE9E-4E81-A7C7-95A7165D62C5}" name="Season" dataDxfId="4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88FD98D7-E5DB-4B28-9E47-A6481BEC137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C0CBC0D-B831-4C7E-9F24-0EE0037F3E6B}"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6E0D171-2FBE-46A9-9B1F-1269E55C1B38}" name="MAT (ºC)"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7FF50BBA-30EE-4E1A-9449-9265A1067683}" name="Anaerobic lagoon"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3654E61-5BB1-44D1-A97F-E38B4117F28F}" name="Digester / covered lagoon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736C277-B619-4577-BE61-C6F2CFEBBDF4}" name="Liquid systems"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A4F5FCA7-77C5-40B2-BAC9-EBF849F5559B}" name="Daily spread"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D7CABD47-531A-49AF-865F-934434068DEC}" name="Composting (passive windrow)"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5B3C335A-BC58-40E9-8E75-96ED6CCF795D}" name="Solid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2D3901FD-AFED-45CA-9E32-1204AF6D4874}" name="Pit storage"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343A0FE7-0AA0-43C9-9A4F-02E9C242020A}" name="Deep litter"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AF69A1E-4587-4DCD-9535-2ECADB3A8A73}" name="Poultry manure with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D86AF5D-FDC1-4EE1-9D47-BA4BE96F619F}" name="Poultry manure without bedd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C15483D8-6A7E-4D26-B81F-096629F52A98}" name="Direct process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F82A14FE-E6A5-4C72-AE16-87CCAF66B3DB}" name="Direct application"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BBFE03E-A035-4E39-B68B-F044C4B1E37F}" name="Pasture range and paddock"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EE478F66-8602-4161-AB22-52FED9A026F5}" name="MAT raw"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86"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5.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tabSelected="1"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5" t="s">
        <v>358</v>
      </c>
      <c r="D1" s="146"/>
      <c r="E1" s="146"/>
      <c r="F1" s="146"/>
      <c r="G1" s="146"/>
      <c r="H1" s="146"/>
      <c r="I1" s="146"/>
      <c r="J1" s="146"/>
      <c r="K1" s="146"/>
      <c r="L1" s="146"/>
      <c r="M1" s="146"/>
      <c r="N1" s="146"/>
      <c r="O1" s="146"/>
      <c r="P1" s="146"/>
      <c r="Q1" s="146"/>
      <c r="R1" s="146"/>
      <c r="S1" s="146"/>
      <c r="T1" s="146"/>
      <c r="U1" s="146"/>
      <c r="V1" s="146"/>
      <c r="W1" s="146"/>
      <c r="X1" s="146"/>
      <c r="Y1" s="146"/>
      <c r="Z1" s="146"/>
      <c r="AA1" s="146"/>
      <c r="AB1" s="146"/>
      <c r="AC1" s="146"/>
      <c r="AD1" s="146"/>
      <c r="AE1" s="146"/>
      <c r="AF1" s="146"/>
      <c r="AG1" s="146"/>
    </row>
    <row r="2" spans="1:64" ht="20.100000000000001" customHeight="1" x14ac:dyDescent="0.25">
      <c r="A2" s="9"/>
      <c r="C2" s="146"/>
      <c r="D2" s="146"/>
      <c r="E2" s="146"/>
      <c r="F2" s="146"/>
      <c r="G2" s="146"/>
      <c r="H2" s="146"/>
      <c r="I2" s="146"/>
      <c r="J2" s="146"/>
      <c r="K2" s="146"/>
      <c r="L2" s="146"/>
      <c r="M2" s="146"/>
      <c r="N2" s="146"/>
      <c r="O2" s="146"/>
      <c r="P2" s="146"/>
      <c r="Q2" s="146"/>
      <c r="R2" s="146"/>
      <c r="S2" s="146"/>
      <c r="T2" s="146"/>
      <c r="U2" s="146"/>
      <c r="V2" s="146"/>
      <c r="W2" s="146"/>
      <c r="X2" s="146"/>
      <c r="Y2" s="146"/>
      <c r="Z2" s="146"/>
      <c r="AA2" s="146"/>
      <c r="AB2" s="146"/>
      <c r="AC2" s="146"/>
      <c r="AD2" s="146"/>
      <c r="AE2" s="146"/>
      <c r="AF2" s="146"/>
      <c r="AG2" s="146"/>
    </row>
    <row r="3" spans="1:64" ht="20.100000000000001" customHeight="1" x14ac:dyDescent="0.25">
      <c r="A3" s="17" t="str">
        <f>HYPERLINK("#'Home'!A1", "Home")</f>
        <v>Home</v>
      </c>
      <c r="C3" s="147"/>
      <c r="D3" s="147"/>
      <c r="E3" s="147"/>
      <c r="F3" s="147"/>
      <c r="G3" s="147"/>
      <c r="H3" s="147"/>
      <c r="I3" s="147"/>
      <c r="J3" s="147"/>
      <c r="K3" s="147"/>
      <c r="L3" s="147"/>
      <c r="M3" s="147"/>
      <c r="N3" s="147"/>
      <c r="O3" s="147"/>
      <c r="P3" s="147"/>
      <c r="Q3" s="147"/>
      <c r="R3" s="147"/>
      <c r="S3" s="147"/>
      <c r="T3" s="147"/>
      <c r="U3" s="147"/>
      <c r="V3" s="147"/>
      <c r="W3" s="147"/>
      <c r="X3" s="147"/>
      <c r="Y3" s="147"/>
      <c r="Z3" s="147"/>
      <c r="AA3" s="147"/>
      <c r="AB3" s="147"/>
      <c r="AC3" s="147"/>
      <c r="AD3" s="147"/>
      <c r="AE3" s="147"/>
      <c r="AF3" s="147"/>
      <c r="AG3" s="147"/>
      <c r="AH3" s="147"/>
      <c r="AI3" s="147"/>
      <c r="AJ3" s="147"/>
      <c r="AK3" s="147"/>
      <c r="AL3" s="147"/>
      <c r="AM3" s="147"/>
      <c r="AN3" s="147"/>
      <c r="AO3" s="147"/>
      <c r="AP3" s="147"/>
      <c r="AQ3" s="147"/>
      <c r="AR3" s="147"/>
      <c r="AS3" s="147"/>
      <c r="AT3" s="147"/>
      <c r="AU3" s="147"/>
      <c r="AV3" s="147"/>
      <c r="AW3" s="147"/>
      <c r="AX3" s="147"/>
      <c r="AY3" s="147"/>
      <c r="AZ3" s="147"/>
      <c r="BA3" s="147"/>
      <c r="BB3" s="147"/>
      <c r="BC3" s="147"/>
      <c r="BD3" s="147"/>
      <c r="BE3" s="147"/>
      <c r="BF3" s="147"/>
      <c r="BG3" s="147"/>
      <c r="BH3" s="147"/>
      <c r="BI3" s="147"/>
      <c r="BJ3" s="147"/>
      <c r="BK3" s="147"/>
      <c r="BL3" s="147"/>
    </row>
    <row r="4" spans="1:64" ht="20.100000000000001" customHeight="1" x14ac:dyDescent="0.25">
      <c r="A4" s="128"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8" t="s">
        <v>356</v>
      </c>
      <c r="E5" s="148"/>
      <c r="F5" s="148"/>
      <c r="G5" s="148"/>
      <c r="H5" s="148"/>
      <c r="I5" s="117"/>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9" t="s">
        <v>357</v>
      </c>
      <c r="E6" s="150"/>
      <c r="F6" s="150"/>
      <c r="G6" s="150"/>
      <c r="H6" s="150"/>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76</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A4" sqref="A4"/>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9" t="s">
        <v>299</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8" t="str">
        <f>HYPERLINK("#'Results'!A1", "Results")</f>
        <v>Results</v>
      </c>
      <c r="C5" s="24"/>
      <c r="D5" s="28"/>
      <c r="E5" s="29"/>
      <c r="F5" s="29"/>
      <c r="G5" s="29"/>
      <c r="H5" s="26"/>
      <c r="I5" s="24"/>
      <c r="J5" s="24"/>
      <c r="K5" s="24"/>
      <c r="L5" s="24"/>
    </row>
    <row r="6" spans="1:12" ht="20.100000000000001" customHeight="1" x14ac:dyDescent="0.25">
      <c r="A6" s="16"/>
      <c r="C6" s="24"/>
      <c r="D6" s="127" t="s">
        <v>260</v>
      </c>
      <c r="E6" s="127" t="s">
        <v>316</v>
      </c>
      <c r="F6" s="127" t="s">
        <v>317</v>
      </c>
      <c r="G6" s="127" t="s">
        <v>286</v>
      </c>
      <c r="H6" s="127" t="s">
        <v>318</v>
      </c>
      <c r="I6" s="127" t="s">
        <v>320</v>
      </c>
      <c r="J6" s="127" t="s">
        <v>287</v>
      </c>
      <c r="K6" s="24"/>
      <c r="L6" s="24"/>
    </row>
    <row r="7" spans="1:12" ht="20.100000000000001" customHeight="1" x14ac:dyDescent="0.25">
      <c r="A7" s="20" t="s">
        <v>3</v>
      </c>
      <c r="C7" s="24"/>
      <c r="D7" s="1" t="s">
        <v>313</v>
      </c>
      <c r="E7" s="120">
        <f>'4.1.1.1-2 Methane'!E171</f>
        <v>2.5235017586687993</v>
      </c>
      <c r="F7" s="120">
        <f>'4.1.1.1-2 Methane'!N171</f>
        <v>2.5595517837926396</v>
      </c>
      <c r="G7" s="57" t="str">
        <f>'4.1.1.1-2 Methane'!F171</f>
        <v>t CH4</v>
      </c>
      <c r="H7" s="120">
        <f>'4.1.1.1-2 Methane'!E176</f>
        <v>70.658049242726378</v>
      </c>
      <c r="I7" s="120">
        <f>'4.1.1.1-2 Methane'!N176</f>
        <v>71.667449946193912</v>
      </c>
      <c r="J7" s="57" t="s">
        <v>319</v>
      </c>
      <c r="K7" s="24"/>
      <c r="L7" s="24"/>
    </row>
    <row r="8" spans="1:12" ht="20.100000000000001" customHeight="1" x14ac:dyDescent="0.25">
      <c r="A8" s="17" t="str">
        <f>HYPERLINK("#'Input - Site'!A1", "Site")</f>
        <v>Site</v>
      </c>
      <c r="C8" s="24"/>
      <c r="D8" s="1" t="s">
        <v>314</v>
      </c>
      <c r="E8" s="120">
        <f>'4.1.1.3-4 Direct N20'!E212</f>
        <v>0.79920735133264487</v>
      </c>
      <c r="F8" s="120">
        <f>'4.1.1.3-4 Direct N20'!P212</f>
        <v>0.79920735133264487</v>
      </c>
      <c r="G8" s="57" t="str">
        <f>'4.1.1.3-4 Direct N20'!F212</f>
        <v>t N2O</v>
      </c>
      <c r="H8" s="120">
        <f>'4.1.1.3-4 Direct N20'!E217</f>
        <v>211.78994810315089</v>
      </c>
      <c r="I8" s="120">
        <f>'4.1.1.3-4 Direct N20'!P217</f>
        <v>211.78994810315089</v>
      </c>
      <c r="J8" s="57" t="s">
        <v>319</v>
      </c>
      <c r="K8" s="24"/>
      <c r="L8" s="24"/>
    </row>
    <row r="9" spans="1:12" ht="20.100000000000001" customHeight="1" x14ac:dyDescent="0.25">
      <c r="A9" s="17" t="str">
        <f>HYPERLINK("#'Input - Feedlot'!A1", "Feedlot")</f>
        <v>Feedlot</v>
      </c>
      <c r="C9" s="24"/>
      <c r="D9" s="1" t="s">
        <v>315</v>
      </c>
      <c r="E9" s="120">
        <f>'4.1.1.5-6 Atmos Deposition'!$E$65</f>
        <v>0.14458898055388003</v>
      </c>
      <c r="F9" s="120">
        <f>'4.1.1.5-6 Atmos Deposition'!$N$65</f>
        <v>0.14458898055388003</v>
      </c>
      <c r="G9" s="57" t="str">
        <f>'4.1.1.5-6 Atmos Deposition'!$F$65</f>
        <v>t N2O</v>
      </c>
      <c r="H9" s="120">
        <f>'4.1.1.5-6 Atmos Deposition'!$E$70</f>
        <v>38.316079846778209</v>
      </c>
      <c r="I9" s="120">
        <f>'4.1.1.5-6 Atmos Deposition'!$N$70</f>
        <v>38.316079846778209</v>
      </c>
      <c r="J9" s="57" t="s">
        <v>319</v>
      </c>
      <c r="K9" s="24"/>
      <c r="L9" s="24"/>
    </row>
    <row r="10" spans="1:12" ht="20.100000000000001" customHeight="1" x14ac:dyDescent="0.3">
      <c r="A10" s="17"/>
      <c r="C10" s="24"/>
      <c r="D10" s="31" t="s">
        <v>284</v>
      </c>
      <c r="E10" s="25"/>
      <c r="F10" s="31"/>
      <c r="G10" s="31"/>
      <c r="H10" s="124">
        <f>SUM(H7:H8)</f>
        <v>282.4479973458773</v>
      </c>
      <c r="I10" s="124">
        <f>SUM(I7:I8)</f>
        <v>283.45739804934482</v>
      </c>
      <c r="J10" s="112" t="s">
        <v>319</v>
      </c>
      <c r="K10" s="24"/>
      <c r="L10" s="24"/>
    </row>
    <row r="11" spans="1:12" ht="20.100000000000001" customHeight="1" x14ac:dyDescent="0.25">
      <c r="A11" s="19" t="s">
        <v>76</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229</v>
      </c>
      <c r="E12" s="1"/>
      <c r="F12" s="1"/>
      <c r="G12" s="1"/>
      <c r="H12" s="26"/>
      <c r="I12" s="24"/>
      <c r="J12" s="24"/>
      <c r="K12" s="24"/>
      <c r="L12" s="24"/>
    </row>
    <row r="13" spans="1:12" ht="20.100000000000001" customHeight="1" x14ac:dyDescent="0.25">
      <c r="A13" s="17" t="str">
        <f>HYPERLINK("#'4.1.1.3-4 Direct N20'!A1", "4.1.1.3-4 Direct N2O")</f>
        <v>4.1.1.3-4 Direct N2O</v>
      </c>
      <c r="C13" s="24"/>
      <c r="D13" s="113" t="s">
        <v>292</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5" t="s">
        <v>298</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7" t="s">
        <v>293</v>
      </c>
      <c r="E15" s="127" t="s">
        <v>290</v>
      </c>
      <c r="F15" s="127" t="s">
        <v>291</v>
      </c>
      <c r="G15" s="127" t="s">
        <v>285</v>
      </c>
      <c r="H15" s="127" t="s">
        <v>297</v>
      </c>
      <c r="I15" s="1"/>
      <c r="J15" s="1"/>
      <c r="K15" s="24"/>
      <c r="L15" s="24"/>
    </row>
    <row r="16" spans="1:12" ht="20.100000000000001" customHeight="1" x14ac:dyDescent="0.25">
      <c r="C16" s="24"/>
      <c r="D16" s="1" t="s">
        <v>312</v>
      </c>
      <c r="E16" s="126">
        <f>'4.1.1.9 Manure applied to soils'!$E$61</f>
        <v>24130.039038028423</v>
      </c>
      <c r="F16" s="57" t="str">
        <f>'4.1.1.9 Manure applied to soils'!$F$61</f>
        <v>kg N</v>
      </c>
      <c r="G16" s="1" t="s">
        <v>306</v>
      </c>
      <c r="H16" s="1" t="s">
        <v>296</v>
      </c>
      <c r="I16" s="1"/>
      <c r="J16" s="1"/>
      <c r="K16" s="24"/>
      <c r="L16" s="24"/>
    </row>
    <row r="17" spans="1:12" ht="20.100000000000001" customHeight="1" x14ac:dyDescent="0.25">
      <c r="A17" s="18" t="s">
        <v>4</v>
      </c>
      <c r="C17" s="24"/>
      <c r="D17" s="1" t="s">
        <v>294</v>
      </c>
      <c r="E17" s="126">
        <f>'4.1.1.9 Manure applied to soils'!$E$111</f>
        <v>2202.6859482366731</v>
      </c>
      <c r="F17" s="57" t="str">
        <f>'4.1.1.9 Manure applied to soils'!$F$111</f>
        <v>kg N</v>
      </c>
      <c r="G17" s="1" t="s">
        <v>306</v>
      </c>
      <c r="H17" s="1" t="s">
        <v>296</v>
      </c>
      <c r="I17" s="1"/>
      <c r="J17" s="1"/>
      <c r="K17" s="24"/>
      <c r="L17" s="24"/>
    </row>
    <row r="18" spans="1:12" ht="20.100000000000001" customHeight="1" x14ac:dyDescent="0.25">
      <c r="A18" s="17" t="str">
        <f>HYPERLINK("#'Constants - Feedlot'!A1", "Constants - Feedlot")</f>
        <v>Constants - Feedlot</v>
      </c>
      <c r="C18" s="24"/>
      <c r="D18" s="1" t="s">
        <v>288</v>
      </c>
      <c r="E18" s="126">
        <f>'4.1.1.9 Manure applied to soils'!E87</f>
        <v>2202.6859482366731</v>
      </c>
      <c r="F18" s="57" t="str">
        <f>'4.1.1.9 Manure applied to soils'!F87</f>
        <v>kg N</v>
      </c>
      <c r="G18" s="1" t="s">
        <v>289</v>
      </c>
      <c r="H18" s="1" t="s">
        <v>295</v>
      </c>
      <c r="I18" s="1"/>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9"/>
      <c r="J38" s="119"/>
      <c r="K38" s="119"/>
      <c r="L38" s="24"/>
    </row>
    <row r="39" spans="3:12" ht="20.100000000000001" customHeight="1" x14ac:dyDescent="0.25">
      <c r="C39" s="24"/>
      <c r="D39" s="1"/>
      <c r="E39" s="1"/>
      <c r="F39" s="1"/>
      <c r="G39" s="1"/>
      <c r="H39" s="1"/>
      <c r="I39" s="119"/>
      <c r="J39" s="119"/>
      <c r="K39" s="119"/>
      <c r="L39" s="24"/>
    </row>
    <row r="40" spans="3:12" ht="20.100000000000001" customHeight="1" x14ac:dyDescent="0.25">
      <c r="C40" s="24"/>
      <c r="D40" s="1"/>
      <c r="E40" s="1"/>
      <c r="F40" s="1"/>
      <c r="G40" s="1"/>
      <c r="H40" s="1"/>
      <c r="I40" s="119"/>
      <c r="J40" s="119"/>
      <c r="K40" s="119"/>
      <c r="L40" s="24"/>
    </row>
    <row r="41" spans="3:12" ht="20.100000000000001" customHeight="1" x14ac:dyDescent="0.25">
      <c r="C41" s="24"/>
      <c r="D41" s="1"/>
      <c r="E41" s="1"/>
      <c r="F41" s="1"/>
      <c r="G41" s="1"/>
      <c r="H41" s="1"/>
      <c r="I41" s="119"/>
      <c r="J41" s="119"/>
      <c r="K41" s="119"/>
      <c r="L41" s="24"/>
    </row>
    <row r="42" spans="3:12" ht="20.100000000000001" customHeight="1" x14ac:dyDescent="0.25">
      <c r="C42" s="24"/>
      <c r="D42" s="1"/>
      <c r="E42" s="1"/>
      <c r="F42" s="1"/>
      <c r="G42" s="1"/>
      <c r="H42" s="1"/>
      <c r="I42" s="119"/>
      <c r="J42" s="119"/>
      <c r="K42" s="119"/>
      <c r="L42" s="24"/>
    </row>
    <row r="43" spans="3:12" ht="20.100000000000001" customHeight="1" x14ac:dyDescent="0.25">
      <c r="C43" s="24"/>
      <c r="D43" s="1"/>
      <c r="E43" s="1"/>
      <c r="F43" s="1"/>
      <c r="G43" s="1"/>
      <c r="H43" s="1"/>
      <c r="I43" s="119"/>
      <c r="J43" s="119"/>
      <c r="K43" s="119"/>
      <c r="L43" s="24"/>
    </row>
    <row r="44" spans="3:12" ht="20.100000000000001" customHeight="1" x14ac:dyDescent="0.25">
      <c r="C44" s="24"/>
      <c r="D44" s="1"/>
      <c r="E44" s="1"/>
      <c r="F44" s="1"/>
      <c r="G44" s="1"/>
      <c r="H44" s="1"/>
      <c r="I44" s="119"/>
      <c r="J44" s="119"/>
      <c r="K44" s="119"/>
      <c r="L44" s="24"/>
    </row>
    <row r="45" spans="3:12" ht="20.100000000000001" customHeight="1" x14ac:dyDescent="0.25">
      <c r="C45" s="24"/>
      <c r="D45" s="1"/>
      <c r="E45" s="1"/>
      <c r="F45" s="1"/>
      <c r="G45" s="1"/>
      <c r="H45" s="1"/>
      <c r="I45" s="119"/>
      <c r="J45" s="119"/>
      <c r="K45" s="119"/>
      <c r="L45" s="24"/>
    </row>
    <row r="46" spans="3:12" ht="20.100000000000001" customHeight="1" x14ac:dyDescent="0.25">
      <c r="C46" s="24"/>
      <c r="D46" s="1"/>
      <c r="E46" s="1"/>
      <c r="F46" s="1"/>
      <c r="G46" s="1"/>
      <c r="H46" s="1"/>
      <c r="I46" s="119"/>
      <c r="J46" s="119"/>
      <c r="K46" s="119"/>
      <c r="L46" s="24"/>
    </row>
    <row r="47" spans="3:12" ht="20.100000000000001" customHeight="1" x14ac:dyDescent="0.25">
      <c r="C47" s="24"/>
      <c r="D47" s="1"/>
      <c r="E47" s="1"/>
      <c r="F47" s="1"/>
      <c r="G47" s="1"/>
      <c r="H47" s="1"/>
      <c r="I47" s="119"/>
      <c r="J47" s="119"/>
      <c r="K47" s="119"/>
      <c r="L47" s="24"/>
    </row>
    <row r="48" spans="3:12" ht="20.100000000000001" customHeight="1" x14ac:dyDescent="0.25">
      <c r="C48" s="24"/>
      <c r="D48" s="1"/>
      <c r="E48" s="1"/>
      <c r="F48" s="1"/>
      <c r="G48" s="1"/>
      <c r="H48" s="1"/>
      <c r="I48" s="119"/>
      <c r="J48" s="119"/>
      <c r="K48" s="119"/>
      <c r="L48" s="24"/>
    </row>
    <row r="49" spans="3:12" ht="20.100000000000001" customHeight="1" x14ac:dyDescent="0.25">
      <c r="C49" s="24"/>
      <c r="D49" s="1"/>
      <c r="E49" s="1"/>
      <c r="F49" s="1"/>
      <c r="G49" s="1"/>
      <c r="H49" s="119"/>
      <c r="I49" s="119"/>
      <c r="J49" s="119"/>
      <c r="K49" s="119"/>
      <c r="L49" s="24"/>
    </row>
    <row r="50" spans="3:12" ht="20.100000000000001" customHeight="1" x14ac:dyDescent="0.25">
      <c r="C50" s="24"/>
      <c r="D50" s="1"/>
      <c r="E50" s="1"/>
      <c r="F50" s="1"/>
      <c r="G50" s="1"/>
      <c r="H50" s="119"/>
      <c r="I50" s="119"/>
      <c r="J50" s="119"/>
      <c r="K50" s="119"/>
      <c r="L50" s="24"/>
    </row>
    <row r="51" spans="3:12" ht="20.100000000000001" customHeight="1" x14ac:dyDescent="0.25">
      <c r="C51" s="24"/>
      <c r="D51" s="1"/>
      <c r="E51" s="1"/>
      <c r="F51" s="1"/>
      <c r="G51" s="1"/>
      <c r="H51" s="119"/>
      <c r="I51" s="119"/>
      <c r="J51" s="119"/>
      <c r="K51" s="119"/>
      <c r="L51" s="24"/>
    </row>
    <row r="52" spans="3:12" ht="20.100000000000001" customHeight="1" x14ac:dyDescent="0.25">
      <c r="C52" s="24"/>
      <c r="D52" s="1"/>
      <c r="E52" s="1"/>
      <c r="F52" s="1"/>
      <c r="G52" s="1"/>
      <c r="H52" s="119"/>
      <c r="I52" s="119"/>
      <c r="J52" s="119"/>
      <c r="K52" s="119"/>
      <c r="L52" s="24"/>
    </row>
    <row r="53" spans="3:12" ht="20.100000000000001" customHeight="1" x14ac:dyDescent="0.25">
      <c r="C53" s="24"/>
      <c r="D53" s="1"/>
      <c r="E53" s="1"/>
      <c r="F53" s="1"/>
      <c r="G53" s="1"/>
      <c r="H53" s="119"/>
      <c r="I53" s="119"/>
      <c r="J53" s="119"/>
      <c r="K53" s="119"/>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91</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72</v>
      </c>
      <c r="E8" s="35" t="s">
        <v>73</v>
      </c>
    </row>
    <row r="9" spans="1:24" ht="20.100000000000001" customHeight="1" x14ac:dyDescent="0.25">
      <c r="A9" s="17" t="str">
        <f>HYPERLINK("#'Input - Feedlot'!A1", "Feedlot")</f>
        <v>Feedlot</v>
      </c>
      <c r="N9" s="45"/>
    </row>
    <row r="10" spans="1:24" ht="20.100000000000001" customHeight="1" x14ac:dyDescent="0.25">
      <c r="A10" s="17"/>
      <c r="D10" s="97" t="s">
        <v>90</v>
      </c>
      <c r="E10" s="95"/>
      <c r="F10" s="98"/>
      <c r="G10" s="92"/>
      <c r="N10" s="45"/>
    </row>
    <row r="11" spans="1:24" ht="20.100000000000001" customHeight="1" x14ac:dyDescent="0.25">
      <c r="A11" s="19" t="s">
        <v>76</v>
      </c>
      <c r="N11" s="46"/>
    </row>
    <row r="12" spans="1:24" ht="20.100000000000001" customHeight="1" x14ac:dyDescent="0.25">
      <c r="A12" s="17" t="str">
        <f>HYPERLINK("#'4.1.1.1-2 Methane'!A1", "4.1.1.1-2 Methane")</f>
        <v>4.1.1.1-2 Methane</v>
      </c>
      <c r="D12" s="10" t="s">
        <v>96</v>
      </c>
      <c r="E12" s="66">
        <v>45292</v>
      </c>
      <c r="F12" s="2" t="s">
        <v>70</v>
      </c>
    </row>
    <row r="13" spans="1:24" ht="20.100000000000001" customHeight="1" x14ac:dyDescent="0.25">
      <c r="A13" s="17" t="str">
        <f>HYPERLINK("#'4.1.1.3-4 Direct N20'!A1", "4.1.1.3-4 Direct N2O")</f>
        <v>4.1.1.3-4 Direct N2O</v>
      </c>
      <c r="D13" s="10" t="s">
        <v>97</v>
      </c>
      <c r="E13" s="73">
        <f>DATE(YEAR(E12)+1,MONTH(E12),DAY(E12))-1</f>
        <v>45657</v>
      </c>
      <c r="F13" s="2" t="s">
        <v>17</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14</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16</v>
      </c>
      <c r="E18" s="94"/>
      <c r="F18" s="94"/>
      <c r="G18" s="90"/>
    </row>
    <row r="19" spans="1:25" ht="20.100000000000001" customHeight="1" x14ac:dyDescent="0.25">
      <c r="A19" s="17" t="str">
        <f>HYPERLINK("#'Constants - Livestock'!A1", "Constants - Livestock")</f>
        <v>Constants - Livestock</v>
      </c>
      <c r="D19" s="96" t="s">
        <v>71</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8</v>
      </c>
      <c r="E21" s="42" t="s">
        <v>117</v>
      </c>
      <c r="F21" s="2" t="s">
        <v>11</v>
      </c>
    </row>
    <row r="22" spans="1:25" ht="20.100000000000001" customHeight="1" x14ac:dyDescent="0.25">
      <c r="A22"/>
      <c r="D22" s="1" t="s">
        <v>25</v>
      </c>
      <c r="E22" s="42" t="s">
        <v>34</v>
      </c>
      <c r="F22" s="2" t="s">
        <v>11</v>
      </c>
      <c r="G22" s="1"/>
    </row>
    <row r="23" spans="1:25" ht="20.100000000000001" customHeight="1" x14ac:dyDescent="0.25">
      <c r="A23"/>
      <c r="D23" s="1" t="s">
        <v>9</v>
      </c>
      <c r="E23" s="42" t="s">
        <v>95</v>
      </c>
      <c r="F23" s="2" t="s">
        <v>11</v>
      </c>
    </row>
    <row r="24" spans="1:25" ht="20.100000000000001" customHeight="1" x14ac:dyDescent="0.25">
      <c r="A24"/>
      <c r="D24" s="1" t="s">
        <v>39</v>
      </c>
      <c r="E24" s="35">
        <v>307.7</v>
      </c>
      <c r="F24" s="2" t="s">
        <v>53</v>
      </c>
    </row>
    <row r="25" spans="1:25" ht="20.100000000000001" customHeight="1" x14ac:dyDescent="0.25">
      <c r="A25"/>
      <c r="D25" s="1" t="s">
        <v>61</v>
      </c>
      <c r="E25" s="35">
        <v>18</v>
      </c>
      <c r="F25" s="2" t="s">
        <v>12</v>
      </c>
      <c r="N25" s="44"/>
    </row>
    <row r="26" spans="1:25" ht="20.100000000000001" customHeight="1" x14ac:dyDescent="0.25">
      <c r="A26"/>
      <c r="D26" s="1" t="s">
        <v>62</v>
      </c>
      <c r="E26" s="35">
        <v>601</v>
      </c>
      <c r="F26" s="2" t="s">
        <v>13</v>
      </c>
    </row>
    <row r="27" spans="1:25" ht="20.100000000000001" customHeight="1" x14ac:dyDescent="0.25">
      <c r="A27"/>
      <c r="D27" s="10" t="s">
        <v>63</v>
      </c>
      <c r="E27" s="35">
        <v>1326</v>
      </c>
      <c r="F27" s="2" t="s">
        <v>13</v>
      </c>
    </row>
    <row r="28" spans="1:25" ht="20.100000000000001" customHeight="1" x14ac:dyDescent="0.25">
      <c r="A28"/>
      <c r="D28" s="1" t="s">
        <v>64</v>
      </c>
      <c r="E28" s="35">
        <v>7</v>
      </c>
      <c r="F28" s="2" t="s">
        <v>54</v>
      </c>
    </row>
    <row r="29" spans="1:25" ht="20.100000000000001" customHeight="1" x14ac:dyDescent="0.25">
      <c r="A29"/>
      <c r="D29" s="10" t="s">
        <v>60</v>
      </c>
      <c r="E29" s="55">
        <f>E26/E27</f>
        <v>0.45324283559577677</v>
      </c>
      <c r="F29" s="2"/>
    </row>
    <row r="30" spans="1:25" ht="20.100000000000001" customHeight="1" x14ac:dyDescent="0.25">
      <c r="A30"/>
      <c r="D30" s="10" t="s">
        <v>35</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92</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52</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A8" sqref="A8"/>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107</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121</v>
      </c>
    </row>
    <row r="6" spans="1:21" ht="20.100000000000001" customHeight="1" x14ac:dyDescent="0.25">
      <c r="A6" s="16"/>
    </row>
    <row r="7" spans="1:21" ht="20.100000000000001" customHeight="1" x14ac:dyDescent="0.25">
      <c r="A7" s="20" t="s">
        <v>3</v>
      </c>
      <c r="D7" s="65"/>
      <c r="E7" s="41" t="s">
        <v>140</v>
      </c>
      <c r="F7" s="41" t="s">
        <v>141</v>
      </c>
      <c r="G7" s="41" t="s">
        <v>142</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24 and 31 Dec 24</v>
      </c>
      <c r="E8" s="106">
        <v>4300</v>
      </c>
      <c r="F8" s="106">
        <v>100</v>
      </c>
      <c r="G8" s="106">
        <v>100</v>
      </c>
      <c r="H8" s="2" t="s">
        <v>123</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24 and 31 Dec 24</v>
      </c>
      <c r="E9" s="106">
        <v>90</v>
      </c>
      <c r="F9" s="106">
        <v>140</v>
      </c>
      <c r="G9" s="106">
        <v>250</v>
      </c>
      <c r="H9" s="2" t="s">
        <v>329</v>
      </c>
      <c r="I9" s="2"/>
      <c r="J9" s="2"/>
      <c r="K9" s="2"/>
    </row>
    <row r="10" spans="1:21" ht="20.100000000000001" customHeight="1" x14ac:dyDescent="0.25">
      <c r="A10" s="17"/>
    </row>
    <row r="11" spans="1:21" ht="20.100000000000001" customHeight="1" x14ac:dyDescent="0.25">
      <c r="A11" s="19" t="s">
        <v>76</v>
      </c>
      <c r="D11" s="6" t="s">
        <v>103</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300</v>
      </c>
      <c r="E13" s="41" t="s">
        <v>140</v>
      </c>
      <c r="F13" s="41" t="s">
        <v>141</v>
      </c>
      <c r="G13" s="41" t="s">
        <v>142</v>
      </c>
    </row>
    <row r="14" spans="1:21" ht="20.100000000000001" customHeight="1" x14ac:dyDescent="0.25">
      <c r="A14" s="17" t="str">
        <f>HYPERLINK("#'4.1.1.5-6 Atmos Deposition'!A1", "4.1.1.5-6 Atmospheric deposition")</f>
        <v>4.1.1.5-6 Atmospheric deposition</v>
      </c>
      <c r="D14" s="1" t="s">
        <v>146</v>
      </c>
      <c r="E14" s="55" cm="1">
        <f t="array" ref="E14">_xlfn.XLOOKUP(1, (Table_SourceData_Feedlot_AnimalCharacteristics[Feedlot type] = E$13) * (Table_SourceData_Feedlot_AnimalCharacteristics[Characteristic] = $D$14), Table_SourceData_Feedlot_AnimalCharacteristics[2020-2023], "Not Found")</f>
        <v>10.4</v>
      </c>
      <c r="F14" s="55" cm="1">
        <f t="array" ref="F14">_xlfn.XLOOKUP(1, (Table_SourceData_Feedlot_AnimalCharacteristics[Feedlot type] = F$13) * (Table_SourceData_Feedlot_AnimalCharacteristics[Characteristic] = $D$14), Table_SourceData_Feedlot_AnimalCharacteristics[2020-2023], "Not Found")</f>
        <v>10.8</v>
      </c>
      <c r="G14" s="55" cm="1">
        <f t="array" ref="G14">_xlfn.XLOOKUP(1, (Table_SourceData_Feedlot_AnimalCharacteristics[Feedlot type] = G$13) * (Table_SourceData_Feedlot_AnimalCharacteristics[Characteristic] = $D$14), Table_SourceData_Feedlot_AnimalCharacteristics[2020-2023], "Not Found")</f>
        <v>8.1999999999999993</v>
      </c>
      <c r="H14" s="2" t="s">
        <v>108</v>
      </c>
      <c r="I14" s="2"/>
      <c r="J14" s="2"/>
      <c r="K14" s="2"/>
    </row>
    <row r="15" spans="1:21" ht="20.100000000000001" customHeight="1" x14ac:dyDescent="0.25">
      <c r="A15" s="17" t="str">
        <f>HYPERLINK("#'4.1.1.9 Manure applied to soils'!A1", "4.1.1.9 Manure applied to soils")</f>
        <v>4.1.1.9 Manure applied to soils</v>
      </c>
      <c r="D15" s="1" t="s">
        <v>18</v>
      </c>
      <c r="E15" s="55" cm="1">
        <f t="array" ref="E15">_xlfn.XLOOKUP(1, (Table_SourceData_Feedlot_DietProperties[Feedlot type] = E$13) * (Table_SourceData_Feedlot_DietProperties[Nutrient analysis] = $D$15), Table_SourceData_Feedlot_DietProperties[2020-2023 Converted to fraction], "Not Found")</f>
        <v>0.81</v>
      </c>
      <c r="F15" s="55" cm="1">
        <f t="array" ref="F15">_xlfn.XLOOKUP(1, (Table_SourceData_Feedlot_DietProperties[Feedlot type] = F$13) * (Table_SourceData_Feedlot_DietProperties[Nutrient analysis] = $D$15), Table_SourceData_Feedlot_DietProperties[2020-2023 Converted to fraction], "Not Found")</f>
        <v>0.81</v>
      </c>
      <c r="G15" s="55" cm="1">
        <f t="array" ref="G15">_xlfn.XLOOKUP(1, (Table_SourceData_Feedlot_DietProperties[Feedlot type] = G$13) * (Table_SourceData_Feedlot_DietProperties[Nutrient analysis] = $D$15), Table_SourceData_Feedlot_DietProperties[2020-2023 Converted to fraction], "Not Found")</f>
        <v>0.81</v>
      </c>
      <c r="H15" s="2" t="s">
        <v>330</v>
      </c>
      <c r="I15" s="2"/>
      <c r="J15" s="2"/>
      <c r="K15" s="2"/>
    </row>
    <row r="16" spans="1:21" ht="20.100000000000001" customHeight="1" x14ac:dyDescent="0.25">
      <c r="D16" s="1" t="s">
        <v>133</v>
      </c>
      <c r="E16" s="55" cm="1">
        <f t="array" ref="E16">_xlfn.XLOOKUP(1, (Table_SourceData_Feedlot_DietProperties[Feedlot type] = E$13) * (Table_SourceData_Feedlot_DietProperties[Nutrient analysis] = $D$16), Table_SourceData_Feedlot_DietProperties[2020-2023 Converted to fraction], "Not Found")</f>
        <v>0.14000000000000001</v>
      </c>
      <c r="F16" s="55" cm="1">
        <f t="array" ref="F16">_xlfn.XLOOKUP(1, (Table_SourceData_Feedlot_DietProperties[Feedlot type] = F$13) * (Table_SourceData_Feedlot_DietProperties[Nutrient analysis] = $D$16), Table_SourceData_Feedlot_DietProperties[2020-2023 Converted to fraction], "Not Found")</f>
        <v>0.12</v>
      </c>
      <c r="G16" s="55" cm="1">
        <f t="array" ref="G16">_xlfn.XLOOKUP(1, (Table_SourceData_Feedlot_DietProperties[Feedlot type] = G$13) * (Table_SourceData_Feedlot_DietProperties[Nutrient analysis] = $D$16), Table_SourceData_Feedlot_DietProperties[2020-2023 Converted to fraction], "Not Found")</f>
        <v>0.12</v>
      </c>
      <c r="H16" s="2" t="s">
        <v>330</v>
      </c>
      <c r="I16" s="2"/>
      <c r="J16" s="2"/>
      <c r="K16" s="2"/>
    </row>
    <row r="17" spans="1:11" ht="20.100000000000001" customHeight="1" x14ac:dyDescent="0.25">
      <c r="A17" s="18" t="s">
        <v>4</v>
      </c>
      <c r="D17" s="1" t="s">
        <v>150</v>
      </c>
      <c r="E17" s="55" cm="1">
        <f t="array" ref="E17">_xlfn.XLOOKUP(1, (Table_SourceData_Feedlot_AnimalCharacteristics[Feedlot type] = E$13) * (Table_SourceData_Feedlot_AnimalCharacteristics[Characteristic] = $D$17), Table_SourceData_Feedlot_AnimalCharacteristics[2020-2023], "Not Found")</f>
        <v>20.399999999999999</v>
      </c>
      <c r="F17" s="55" cm="1">
        <f t="array" ref="F17">_xlfn.XLOOKUP(1, (Table_SourceData_Feedlot_AnimalCharacteristics[Feedlot type] = F$13) * (Table_SourceData_Feedlot_AnimalCharacteristics[Characteristic] = $D$17), Table_SourceData_Feedlot_AnimalCharacteristics[2020-2023], "Not Found")</f>
        <v>12.7</v>
      </c>
      <c r="G17" s="55" cm="1">
        <f t="array" ref="G17">_xlfn.XLOOKUP(1, (Table_SourceData_Feedlot_AnimalCharacteristics[Feedlot type] = G$13) * (Table_SourceData_Feedlot_AnimalCharacteristics[Characteristic] = $D$17), Table_SourceData_Feedlot_AnimalCharacteristics[2020-2023], "Not Found")</f>
        <v>7</v>
      </c>
      <c r="H17" s="2" t="s">
        <v>332</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301</v>
      </c>
      <c r="E19" s="41" t="s">
        <v>140</v>
      </c>
      <c r="F19" s="41" t="s">
        <v>141</v>
      </c>
      <c r="G19" s="41" t="s">
        <v>142</v>
      </c>
    </row>
    <row r="20" spans="1:11" ht="20.100000000000001" customHeight="1" x14ac:dyDescent="0.25">
      <c r="A20" s="17" t="str">
        <f>HYPERLINK("#'Constants - Common'!A1", "Constants - Common")</f>
        <v>Constants - Common</v>
      </c>
      <c r="D20" s="1" t="s">
        <v>146</v>
      </c>
      <c r="E20" s="68" cm="1">
        <f t="array" ref="E20">_xlfn.XLOOKUP(1, (Table_SourceData_Feedlot_AnimalCharacteristics[Feedlot type] = E$19) * (Table_SourceData_Feedlot_AnimalCharacteristics[Characteristic] = $D$20), Table_SourceData_Feedlot_AnimalCharacteristics[2020-2023], "Not Found")</f>
        <v>10.4</v>
      </c>
      <c r="F20" s="68" cm="1">
        <f t="array" ref="F20">_xlfn.XLOOKUP(1, (Table_SourceData_Feedlot_AnimalCharacteristics[Feedlot type] = F$19) * (Table_SourceData_Feedlot_AnimalCharacteristics[Characteristic] = $D$20), Table_SourceData_Feedlot_AnimalCharacteristics[2020-2023], "Not Found")</f>
        <v>10.8</v>
      </c>
      <c r="G20" s="68" cm="1">
        <f t="array" ref="G20">_xlfn.XLOOKUP(1, (Table_SourceData_Feedlot_AnimalCharacteristics[Feedlot type] = G$19) * (Table_SourceData_Feedlot_AnimalCharacteristics[Characteristic] = $D$20), Table_SourceData_Feedlot_AnimalCharacteristics[2020-2023], "Not Found")</f>
        <v>8.1999999999999993</v>
      </c>
      <c r="H20" s="2" t="s">
        <v>108</v>
      </c>
      <c r="I20" s="2"/>
      <c r="J20" s="2"/>
      <c r="K20" s="2"/>
    </row>
    <row r="21" spans="1:11" ht="20.100000000000001" customHeight="1" x14ac:dyDescent="0.25">
      <c r="A21" s="17" t="str">
        <f>HYPERLINK("#'Acknowledgements'!A1", "Acknowledgements")</f>
        <v>Acknowledgements</v>
      </c>
      <c r="D21" s="1" t="s">
        <v>18</v>
      </c>
      <c r="E21" s="68" cm="1">
        <f t="array" ref="E21">_xlfn.XLOOKUP(1, (Table_SourceData_Feedlot_DietProperties[Feedlot type] = E$19) * (Table_SourceData_Feedlot_DietProperties[Nutrient analysis] = $D$21), Table_SourceData_Feedlot_DietProperties[2020-2023 Converted to fraction], "Not Found")</f>
        <v>0.81</v>
      </c>
      <c r="F21" s="68" cm="1">
        <f t="array" ref="F21">_xlfn.XLOOKUP(1, (Table_SourceData_Feedlot_DietProperties[Feedlot type] = F$19) * (Table_SourceData_Feedlot_DietProperties[Nutrient analysis] = $D$21), Table_SourceData_Feedlot_DietProperties[2020-2023 Converted to fraction], "Not Found")</f>
        <v>0.81</v>
      </c>
      <c r="G21" s="68" cm="1">
        <f t="array" ref="G21">_xlfn.XLOOKUP(1, (Table_SourceData_Feedlot_DietProperties[Feedlot type] = G$19) * (Table_SourceData_Feedlot_DietProperties[Nutrient analysis] = $D$21), Table_SourceData_Feedlot_DietProperties[2020-2023 Converted to fraction], "Not Found")</f>
        <v>0.81</v>
      </c>
      <c r="H21" s="2" t="s">
        <v>330</v>
      </c>
      <c r="I21" s="2"/>
      <c r="J21" s="2"/>
      <c r="K21" s="2"/>
    </row>
    <row r="22" spans="1:11" ht="20.100000000000001" customHeight="1" x14ac:dyDescent="0.25">
      <c r="D22" s="1" t="s">
        <v>133</v>
      </c>
      <c r="E22" s="68" cm="1">
        <f t="array" ref="E22">_xlfn.XLOOKUP(1, (Table_SourceData_Feedlot_DietProperties[Feedlot type] = E$19) * (Table_SourceData_Feedlot_DietProperties[Nutrient analysis] = $D$22), Table_SourceData_Feedlot_DietProperties[2020-2023 Converted to fraction], "Not Found")</f>
        <v>0.14000000000000001</v>
      </c>
      <c r="F22" s="68" cm="1">
        <f t="array" ref="F22">_xlfn.XLOOKUP(1, (Table_SourceData_Feedlot_DietProperties[Feedlot type] = F$19) * (Table_SourceData_Feedlot_DietProperties[Nutrient analysis] = $D$22), Table_SourceData_Feedlot_DietProperties[2020-2023 Converted to fraction], "Not Found")</f>
        <v>0.12</v>
      </c>
      <c r="G22" s="68" cm="1">
        <f t="array" ref="G22">_xlfn.XLOOKUP(1, (Table_SourceData_Feedlot_DietProperties[Feedlot type] = G$19) * (Table_SourceData_Feedlot_DietProperties[Nutrient analysis] = $D$22), Table_SourceData_Feedlot_DietProperties[2020-2023 Converted to fraction], "Not Found")</f>
        <v>0.12</v>
      </c>
      <c r="H22" s="2" t="s">
        <v>330</v>
      </c>
      <c r="I22" s="2"/>
      <c r="J22" s="2"/>
      <c r="K22" s="2"/>
    </row>
    <row r="23" spans="1:11" ht="20.100000000000001" customHeight="1" x14ac:dyDescent="0.25">
      <c r="D23" s="1" t="s">
        <v>150</v>
      </c>
      <c r="E23" s="68" cm="1">
        <f t="array" ref="E23">_xlfn.XLOOKUP(1, (Table_SourceData_Feedlot_AnimalCharacteristics[Feedlot type] = E$19) * (Table_SourceData_Feedlot_AnimalCharacteristics[Characteristic] = $D$23), Table_SourceData_Feedlot_AnimalCharacteristics[2020-2023], "Not Found")</f>
        <v>20.399999999999999</v>
      </c>
      <c r="F23" s="68" cm="1">
        <f t="array" ref="F23">_xlfn.XLOOKUP(1, (Table_SourceData_Feedlot_AnimalCharacteristics[Feedlot type] = F$19) * (Table_SourceData_Feedlot_AnimalCharacteristics[Characteristic] = $D$23), Table_SourceData_Feedlot_AnimalCharacteristics[2020-2023], "Not Found")</f>
        <v>12.7</v>
      </c>
      <c r="G23" s="68" cm="1">
        <f t="array" ref="G23">_xlfn.XLOOKUP(1, (Table_SourceData_Feedlot_AnimalCharacteristics[Feedlot type] = G$19) * (Table_SourceData_Feedlot_AnimalCharacteristics[Characteristic] = $D$23), Table_SourceData_Feedlot_AnimalCharacteristics[2020-2023], "Not Found")</f>
        <v>7</v>
      </c>
      <c r="H23" s="2" t="s">
        <v>332</v>
      </c>
      <c r="I23" s="2"/>
      <c r="J23" s="2"/>
      <c r="K23" s="2"/>
    </row>
    <row r="24" spans="1:11" ht="20.100000000000001" customHeight="1" x14ac:dyDescent="0.25"/>
    <row r="25" spans="1:11" ht="20.100000000000001" customHeight="1" x14ac:dyDescent="0.25">
      <c r="A25" s="17"/>
      <c r="D25" s="6" t="s">
        <v>112</v>
      </c>
    </row>
    <row r="26" spans="1:11" ht="20.100000000000001" customHeight="1" x14ac:dyDescent="0.25">
      <c r="A26" s="17"/>
    </row>
    <row r="27" spans="1:11" ht="20.100000000000001" customHeight="1" x14ac:dyDescent="0.25">
      <c r="A27" s="17"/>
      <c r="D27" s="65" t="s">
        <v>106</v>
      </c>
      <c r="E27" s="100" t="s">
        <v>140</v>
      </c>
      <c r="F27" s="100" t="s">
        <v>141</v>
      </c>
      <c r="G27" s="100" t="s">
        <v>142</v>
      </c>
    </row>
    <row r="28" spans="1:11" ht="20.100000000000001" customHeight="1" x14ac:dyDescent="0.25">
      <c r="A28" s="17"/>
      <c r="D28" s="136" t="s">
        <v>101</v>
      </c>
      <c r="E28" s="101">
        <v>1</v>
      </c>
      <c r="F28" s="101">
        <v>1</v>
      </c>
      <c r="G28" s="101">
        <v>1</v>
      </c>
      <c r="H28" s="2" t="s">
        <v>331</v>
      </c>
      <c r="I28" s="2"/>
      <c r="J28" s="2"/>
      <c r="K28" s="2"/>
    </row>
    <row r="29" spans="1:11" ht="20.100000000000001" customHeight="1" x14ac:dyDescent="0.25">
      <c r="A29" s="17"/>
      <c r="D29" s="133" t="s">
        <v>323</v>
      </c>
    </row>
    <row r="30" spans="1:11" ht="20.100000000000001" customHeight="1" x14ac:dyDescent="0.25">
      <c r="A30" s="17"/>
      <c r="D30" s="134" t="s">
        <v>102</v>
      </c>
      <c r="E30" s="100" t="s">
        <v>140</v>
      </c>
      <c r="F30" s="100" t="s">
        <v>141</v>
      </c>
      <c r="G30" s="100" t="s">
        <v>142</v>
      </c>
      <c r="H30" s="139" t="s">
        <v>327</v>
      </c>
      <c r="I30" s="65" t="s">
        <v>334</v>
      </c>
      <c r="J30" s="65"/>
      <c r="K30" s="65"/>
    </row>
    <row r="31" spans="1:11" ht="20.100000000000001" customHeight="1" x14ac:dyDescent="0.25">
      <c r="A31" s="69"/>
      <c r="D31" s="137" t="str">
        <f>"From Stage 1: " &amp; $D$28 &amp; " to:"</f>
        <v>From Stage 1: Drylot (feed pad) to:</v>
      </c>
      <c r="E31" s="58"/>
      <c r="I31" s="126" t="s">
        <v>324</v>
      </c>
      <c r="J31" s="126" t="s">
        <v>325</v>
      </c>
      <c r="K31" s="126" t="s">
        <v>326</v>
      </c>
    </row>
    <row r="32" spans="1:11" ht="20.100000000000001" customHeight="1" x14ac:dyDescent="0.25">
      <c r="A32" s="69"/>
      <c r="D32" s="138" t="str">
        <f>'Constants - Feedlot'!D29</f>
        <v>Solid storage</v>
      </c>
      <c r="E32" s="49">
        <v>0.2</v>
      </c>
      <c r="F32" s="49">
        <v>0.2</v>
      </c>
      <c r="G32" s="49">
        <v>0.2</v>
      </c>
      <c r="H32" s="2" t="s">
        <v>331</v>
      </c>
      <c r="I32" s="49">
        <v>0.25</v>
      </c>
      <c r="J32" s="49">
        <v>0.25</v>
      </c>
      <c r="K32" s="101">
        <f t="shared" ref="K32:K34" si="0">1-SUM(I32:J32)</f>
        <v>0.5</v>
      </c>
    </row>
    <row r="33" spans="1:11" ht="20.100000000000001" customHeight="1" x14ac:dyDescent="0.25">
      <c r="A33" s="17"/>
      <c r="D33" s="138" t="str">
        <f>'Constants - Feedlot'!D30</f>
        <v>Composting (passive windrow)</v>
      </c>
      <c r="E33" s="49">
        <v>0.2</v>
      </c>
      <c r="F33" s="49">
        <v>0.2</v>
      </c>
      <c r="G33" s="49">
        <v>0.2</v>
      </c>
      <c r="H33" s="2" t="s">
        <v>331</v>
      </c>
      <c r="I33" s="49">
        <v>0.25</v>
      </c>
      <c r="J33" s="49">
        <v>0.25</v>
      </c>
      <c r="K33" s="101">
        <f t="shared" si="0"/>
        <v>0.5</v>
      </c>
    </row>
    <row r="34" spans="1:11" ht="20.100000000000001" customHeight="1" x14ac:dyDescent="0.25">
      <c r="D34" s="138" t="s">
        <v>322</v>
      </c>
      <c r="E34" s="101">
        <f>1-SUM(E32, E33)</f>
        <v>0.6</v>
      </c>
      <c r="F34" s="101">
        <f t="shared" ref="F34:G34" si="1">1-SUM(F32, F33)</f>
        <v>0.6</v>
      </c>
      <c r="G34" s="101">
        <f t="shared" si="1"/>
        <v>0.6</v>
      </c>
      <c r="H34" s="2" t="s">
        <v>331</v>
      </c>
      <c r="I34" s="101">
        <v>0</v>
      </c>
      <c r="J34" s="101">
        <v>0</v>
      </c>
      <c r="K34" s="101">
        <f t="shared" si="0"/>
        <v>1</v>
      </c>
    </row>
    <row r="35" spans="1:11" ht="20.100000000000001" customHeight="1" x14ac:dyDescent="0.25"/>
    <row r="36" spans="1:11" ht="20.100000000000001" customHeight="1" x14ac:dyDescent="0.25">
      <c r="D36" s="135" t="s">
        <v>119</v>
      </c>
      <c r="E36" s="100" t="s">
        <v>140</v>
      </c>
      <c r="F36" s="100" t="s">
        <v>141</v>
      </c>
      <c r="G36" s="100" t="s">
        <v>142</v>
      </c>
      <c r="H36" s="139" t="s">
        <v>327</v>
      </c>
      <c r="I36" s="65" t="s">
        <v>333</v>
      </c>
      <c r="J36" s="65"/>
      <c r="K36" s="65"/>
    </row>
    <row r="37" spans="1:11" ht="20.100000000000001" customHeight="1" x14ac:dyDescent="0.25">
      <c r="D37" s="137" t="str">
        <f>"From Stage 1: " &amp; $D$28 &amp; " to:"</f>
        <v>From Stage 1: Drylot (feed pad) to:</v>
      </c>
      <c r="I37" s="126" t="s">
        <v>324</v>
      </c>
      <c r="J37" s="126" t="s">
        <v>325</v>
      </c>
      <c r="K37" s="126" t="s">
        <v>326</v>
      </c>
    </row>
    <row r="38" spans="1:11" ht="20.100000000000001" customHeight="1" x14ac:dyDescent="0.25">
      <c r="D38" s="138" t="str">
        <f>'Constants - Feedlot'!$D$32</f>
        <v>Anaerobic lagoon</v>
      </c>
      <c r="E38" s="101">
        <f>'Constants - Feedlot'!$E$12</f>
        <v>0.02</v>
      </c>
      <c r="F38" s="101">
        <f>'Constants - Feedlot'!$E$12</f>
        <v>0.02</v>
      </c>
      <c r="G38" s="101">
        <f>'Constants - Feedlot'!$E$12</f>
        <v>0.02</v>
      </c>
      <c r="H38" s="2" t="s">
        <v>331</v>
      </c>
      <c r="I38" s="49">
        <v>0.25</v>
      </c>
      <c r="J38" s="49">
        <v>0.25</v>
      </c>
      <c r="K38" s="101">
        <f>1-SUM(I38:J38)</f>
        <v>0.5</v>
      </c>
    </row>
    <row r="39" spans="1:11" ht="20.100000000000001" customHeight="1" x14ac:dyDescent="0.25">
      <c r="A39" s="17"/>
    </row>
    <row r="40" spans="1:11" ht="20.100000000000001" customHeight="1" x14ac:dyDescent="0.25"/>
    <row r="41" spans="1:11" ht="20.100000000000001" customHeight="1" x14ac:dyDescent="0.25">
      <c r="A41" s="47"/>
      <c r="D41" s="1" t="s">
        <v>310</v>
      </c>
      <c r="E41" s="42" t="s">
        <v>274</v>
      </c>
      <c r="F41" s="2" t="s">
        <v>11</v>
      </c>
    </row>
    <row r="42" spans="1:11" ht="20.100000000000001" customHeight="1" x14ac:dyDescent="0.25">
      <c r="E42" s="42" t="s">
        <v>278</v>
      </c>
      <c r="F42" s="2" t="s">
        <v>11</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zoomScaleNormal="100" workbookViewId="0">
      <selection activeCell="A9" sqref="A9"/>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261</v>
      </c>
    </row>
    <row r="2" spans="1:19" s="9" customFormat="1" ht="20.100000000000001" customHeight="1" x14ac:dyDescent="0.25"/>
    <row r="3" spans="1:19" ht="20.100000000000001" customHeight="1" x14ac:dyDescent="0.25">
      <c r="A3" s="17" t="str">
        <f>HYPERLINK("#'Home'!A1", "Home")</f>
        <v>Home</v>
      </c>
      <c r="C3" s="4"/>
      <c r="D3" s="4" t="s">
        <v>161</v>
      </c>
      <c r="E3" s="4"/>
      <c r="F3" s="4"/>
      <c r="G3" s="4"/>
      <c r="H3" s="4"/>
      <c r="I3" s="4"/>
      <c r="J3" s="4"/>
      <c r="L3" s="4"/>
      <c r="M3" s="4" t="s">
        <v>162</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A6" s="16"/>
      <c r="D6" s="5" t="str" cm="1">
        <f t="array" ref="D6">MMS_Feedlot_Methane_Equations.VEERG_4_1_1_1__5_VolatileSolidProduction_Source()</f>
        <v>VEERG 2026: 4.1.1.1, Equation (5)</v>
      </c>
    </row>
    <row r="7" spans="1:19" ht="20.100000000000001" customHeight="1" x14ac:dyDescent="0.25">
      <c r="A7" s="20" t="s">
        <v>3</v>
      </c>
      <c r="D7" s="13" t="s">
        <v>26</v>
      </c>
      <c r="E7" s="13" t="str" cm="1">
        <f t="array" aca="1" ref="E7" ca="1">Common_InputFunctions.Utility_DisplayFunctionName(D30)</f>
        <v>=MMS_Feedlot_Methane_Equations.VEERG_4_1_1_1__5_VolatileSolidProduction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29</v>
      </c>
      <c r="E10" s="1" t="str" cm="1">
        <f t="array" ref="E10">MMS_Feedlot_Methane_Equations.VEERG_4_1_1_1__5_VolatileSolidProduction_Variable()</f>
        <v>VS_j</v>
      </c>
    </row>
    <row r="11" spans="1:19" ht="20.100000000000001" customHeight="1" x14ac:dyDescent="0.25">
      <c r="A11" s="19" t="s">
        <v>76</v>
      </c>
      <c r="D11" s="56" t="s">
        <v>19</v>
      </c>
      <c r="E11" s="57" t="str" cm="1">
        <f t="array" ref="E11">MMS_Feedlot_Methane_Equations.VEERG_4_1_1_1__5_VolatileSolidProduction_Unit()</f>
        <v>kg/head/day</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40" t="str" cm="1">
        <f t="array" ref="D13:G15">MMS_Feedlot_Methane_Equations.VEERG_4_1_1_1__5_VolatileSolidProduction_Arguments()</f>
        <v>I_j</v>
      </c>
      <c r="E13" s="140" t="str">
        <v>dry matter intake for each group j</v>
      </c>
      <c r="F13" s="140" t="str">
        <v>kg DM/head/day</v>
      </c>
      <c r="G13" s="131" t="str">
        <v>Input</v>
      </c>
      <c r="H13" s="141"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40" t="str">
        <v>DMD_j</v>
      </c>
      <c r="E14" s="140" t="str">
        <v>dry matter digestibility for each group j</v>
      </c>
      <c r="F14" s="140" t="str">
        <v>fraction</v>
      </c>
      <c r="G14" s="131" t="str">
        <v>Input</v>
      </c>
      <c r="H14" s="141"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40" t="str">
        <v>A</v>
      </c>
      <c r="E15" s="140" t="str">
        <v>ash content of manure</v>
      </c>
      <c r="F15" s="140" t="str">
        <v>fraction</v>
      </c>
      <c r="G15" s="132" t="str">
        <v>Constant</v>
      </c>
      <c r="H15" s="140">
        <f>'Constants - Feedlot'!$E$17</f>
        <v>0.16</v>
      </c>
    </row>
    <row r="16" spans="1:19" ht="20.100000000000001" customHeight="1" x14ac:dyDescent="0.25"/>
    <row r="17" spans="1:16" ht="20.100000000000001" customHeight="1" x14ac:dyDescent="0.25">
      <c r="A17" s="18" t="s">
        <v>4</v>
      </c>
      <c r="D17" s="104" t="s">
        <v>151</v>
      </c>
      <c r="M17" s="104" t="s">
        <v>154</v>
      </c>
    </row>
    <row r="18" spans="1:16" ht="20.100000000000001" customHeight="1" x14ac:dyDescent="0.25">
      <c r="A18" s="17" t="str">
        <f>HYPERLINK("#'Constants - Feedlot'!A1", "Constants - Feedlot")</f>
        <v>Constants - Feedlot</v>
      </c>
      <c r="D18" s="103" t="s">
        <v>198</v>
      </c>
      <c r="M18" s="103" t="s">
        <v>199</v>
      </c>
    </row>
    <row r="19" spans="1:16" ht="20.100000000000001" customHeight="1" x14ac:dyDescent="0.25">
      <c r="A19" s="17" t="str">
        <f>HYPERLINK("#'Constants - Livestock'!A1", "Constants - Livestock")</f>
        <v>Constants - Livestock</v>
      </c>
      <c r="D19" s="41" t="s">
        <v>140</v>
      </c>
      <c r="E19" s="41" t="s">
        <v>141</v>
      </c>
      <c r="F19" s="41" t="s">
        <v>142</v>
      </c>
      <c r="M19" s="41" t="s">
        <v>140</v>
      </c>
      <c r="N19" s="41" t="s">
        <v>141</v>
      </c>
      <c r="O19" s="41" t="s">
        <v>142</v>
      </c>
    </row>
    <row r="20" spans="1:16"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104</v>
      </c>
      <c r="M20" s="55">
        <f>'Input - Feedlot'!$E$20</f>
        <v>10.4</v>
      </c>
      <c r="N20" s="55">
        <f>'Input - Feedlot'!$F$20</f>
        <v>10.8</v>
      </c>
      <c r="O20" s="55">
        <f>'Input - Feedlot'!$G$20</f>
        <v>8.1999999999999993</v>
      </c>
      <c r="P20" s="2" t="s">
        <v>104</v>
      </c>
    </row>
    <row r="21" spans="1:16" ht="20.100000000000001" customHeight="1" x14ac:dyDescent="0.25">
      <c r="A21" s="17" t="str">
        <f>HYPERLINK("#'Acknowledgements'!A1", "Acknowledgements")</f>
        <v>Acknowledgements</v>
      </c>
    </row>
    <row r="22" spans="1:16" ht="20.100000000000001" customHeight="1" x14ac:dyDescent="0.25">
      <c r="D22" s="104" t="s">
        <v>202</v>
      </c>
      <c r="M22" s="104" t="s">
        <v>206</v>
      </c>
    </row>
    <row r="23" spans="1:16" ht="20.100000000000001" customHeight="1" x14ac:dyDescent="0.25">
      <c r="D23" s="103" t="s">
        <v>205</v>
      </c>
      <c r="M23" s="103" t="s">
        <v>205</v>
      </c>
    </row>
    <row r="24" spans="1:16" ht="20.100000000000001" customHeight="1" x14ac:dyDescent="0.25">
      <c r="A24" s="17"/>
      <c r="D24" s="41" t="s">
        <v>140</v>
      </c>
      <c r="E24" s="41" t="s">
        <v>141</v>
      </c>
      <c r="F24" s="41" t="s">
        <v>142</v>
      </c>
      <c r="M24" s="41" t="s">
        <v>140</v>
      </c>
      <c r="N24" s="41" t="s">
        <v>141</v>
      </c>
      <c r="O24" s="41" t="s">
        <v>142</v>
      </c>
    </row>
    <row r="25" spans="1:16" ht="20.100000000000001" customHeight="1" x14ac:dyDescent="0.25">
      <c r="A25" s="17"/>
      <c r="D25" s="55">
        <f>'Input - Feedlot'!$E$15</f>
        <v>0.81</v>
      </c>
      <c r="E25" s="55">
        <f>'Input - Feedlot'!$F$15</f>
        <v>0.81</v>
      </c>
      <c r="F25" s="55">
        <f>'Input - Feedlot'!$G$15</f>
        <v>0.81</v>
      </c>
      <c r="G25" s="2" t="s">
        <v>330</v>
      </c>
      <c r="M25" s="55">
        <f>'Input - Feedlot'!$E$21</f>
        <v>0.81</v>
      </c>
      <c r="N25" s="55">
        <f>'Input - Feedlot'!$F$21</f>
        <v>0.81</v>
      </c>
      <c r="O25" s="55">
        <f>'Input - Feedlot'!$G$21</f>
        <v>0.81</v>
      </c>
      <c r="P25" s="2" t="s">
        <v>330</v>
      </c>
    </row>
    <row r="26" spans="1:16" ht="20.100000000000001" customHeight="1" x14ac:dyDescent="0.25"/>
    <row r="27" spans="1:16" ht="20.100000000000001" customHeight="1" x14ac:dyDescent="0.25">
      <c r="D27" s="104" t="s">
        <v>203</v>
      </c>
      <c r="M27" s="104" t="s">
        <v>207</v>
      </c>
    </row>
    <row r="28" spans="1:16" ht="20.100000000000001" customHeight="1" x14ac:dyDescent="0.25">
      <c r="D28" s="103" t="s">
        <v>204</v>
      </c>
      <c r="M28" s="103" t="s">
        <v>208</v>
      </c>
    </row>
    <row r="29" spans="1:16" ht="20.100000000000001" customHeight="1" x14ac:dyDescent="0.25">
      <c r="D29" s="54" t="s">
        <v>140</v>
      </c>
      <c r="E29" s="54" t="s">
        <v>141</v>
      </c>
      <c r="F29" s="54" t="s">
        <v>142</v>
      </c>
      <c r="M29" s="54" t="s">
        <v>140</v>
      </c>
      <c r="N29" s="54" t="s">
        <v>141</v>
      </c>
      <c r="O29" s="54" t="s">
        <v>142</v>
      </c>
    </row>
    <row r="30" spans="1:16" ht="20.100000000000001" customHeight="1" x14ac:dyDescent="0.25">
      <c r="D30" s="55" cm="1">
        <f t="array" ref="D30">MMS_Feedlot_Methane_Equations.VEERG_4_1_1_1__5_VolatileSolidProduction(D20,D25,$H$15)</f>
        <v>1.6598399999999995</v>
      </c>
      <c r="E30" s="55" cm="1">
        <f t="array" ref="E30">MMS_Feedlot_Methane_Equations.VEERG_4_1_1_1__5_VolatileSolidProduction(E20,E25,$H$15)</f>
        <v>1.7236799999999997</v>
      </c>
      <c r="F30" s="55" cm="1">
        <f t="array" ref="F30">MMS_Feedlot_Methane_Equations.VEERG_4_1_1_1__5_VolatileSolidProduction(F20,F25,$H$15)</f>
        <v>1.3087199999999994</v>
      </c>
      <c r="G30" s="2" t="str">
        <f>$E$11</f>
        <v>kg/head/day</v>
      </c>
      <c r="M30" s="55" cm="1">
        <f t="array" ref="M30">MMS_Feedlot_Methane_Equations.VEERG_4_1_1_1__5_VolatileSolidProduction(M20,M25,$H$15)</f>
        <v>1.6598399999999995</v>
      </c>
      <c r="N30" s="55" cm="1">
        <f t="array" ref="N30">MMS_Feedlot_Methane_Equations.VEERG_4_1_1_1__5_VolatileSolidProduction(N20,N25,$H$15)</f>
        <v>1.7236799999999997</v>
      </c>
      <c r="O30" s="55" cm="1">
        <f t="array" ref="O30">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26</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6" t="s">
        <v>29</v>
      </c>
      <c r="E39" s="1" t="str" cm="1">
        <f t="array" ref="E39">MMS_Feedlot_Methane_Equations.VEERG_4_1_1_1__2_Stage1MethaneProductionDrylot_Variable()</f>
        <v>M_jm5T1</v>
      </c>
    </row>
    <row r="40" spans="3:18" ht="20.100000000000001" customHeight="1" x14ac:dyDescent="0.25">
      <c r="D40" s="56" t="s">
        <v>19</v>
      </c>
      <c r="E40" s="57" t="str" cm="1">
        <f t="array" ref="E40">MMS_Feedlot_Methane_Equations.VEERG_4_1_1_1__2_Stage1MethaneProductionDrylot_Unit()</f>
        <v>kg CH4/head/day</v>
      </c>
      <c r="M40" s="97" t="s">
        <v>355</v>
      </c>
      <c r="N40" s="92"/>
    </row>
    <row r="41" spans="3:18" ht="20.100000000000001" customHeight="1" x14ac:dyDescent="0.25"/>
    <row r="42" spans="3:18" ht="20.100000000000001" customHeight="1" x14ac:dyDescent="0.25">
      <c r="D42" s="140" t="str" cm="1">
        <f t="array" ref="D42:E47">_xlfn.CHOOSECOLS(MMS_Feedlot_Methane_Equations.VEERG_4_1_1_1__2_Stage1MethaneProductionDrylot_Arguments(),1,2)</f>
        <v>VS_j</v>
      </c>
      <c r="E42" s="143" t="str">
        <v>volatile solid production from feedlot cattle in each group</v>
      </c>
      <c r="F42" s="142"/>
      <c r="G42" s="140" t="str" cm="1">
        <f t="array" ref="G42:H47">_xlfn.CHOOSECOLS(MMS_Feedlot_Methane_Equations.VEERG_4_1_1_1__2_Stage1MethaneProductionDrylot_Arguments(),3,4)</f>
        <v>kg/head/day</v>
      </c>
      <c r="H42" s="132" t="str">
        <v>Calculated from 4.1.1.1 (5)</v>
      </c>
      <c r="I42" s="141" t="str" cm="1">
        <f t="array" aca="1" ref="I42" ca="1">HYPERLINK(Common_InputFunctions.Utility_SourceHyperlink($D$27),$D$27)</f>
        <v>M1_Table_VS_j</v>
      </c>
      <c r="M42" s="140" t="str" cm="1">
        <f t="array" ref="M42:N47">_xlfn.CHOOSECOLS(MMS_Feedlot_Methane_Equations.VEERG_4_1_1_1__2_Stage1MethaneProductionDrylot_Arguments_Method2(),1,2)</f>
        <v>VS_j</v>
      </c>
      <c r="N42" s="143" t="str">
        <v>volatile solid production from feedlot cattle in each group</v>
      </c>
      <c r="O42" s="142"/>
      <c r="P42" s="140" t="str" cm="1">
        <f t="array" ref="P42:Q47">_xlfn.CHOOSECOLS(MMS_Feedlot_Methane_Equations.VEERG_4_1_1_1__2_Stage1MethaneProductionDrylot_Arguments_Method2(),3,4)</f>
        <v>kg/head/day</v>
      </c>
      <c r="Q42" s="132" t="str">
        <v>Calculated from 4.1.1.1 (5)</v>
      </c>
      <c r="R42" s="141" t="str" cm="1">
        <f t="array" aca="1" ref="R42" ca="1">HYPERLINK(Common_InputFunctions.Utility_SourceHyperlink($D$27),$D$27)</f>
        <v>M1_Table_VS_j</v>
      </c>
    </row>
    <row r="43" spans="3:18" ht="20.100000000000001" customHeight="1" x14ac:dyDescent="0.25">
      <c r="D43" s="140" t="str">
        <v>BO</v>
      </c>
      <c r="E43" s="143" t="str">
        <v>emissions potential</v>
      </c>
      <c r="F43" s="142"/>
      <c r="G43" s="140" t="str">
        <v>m3 CH4/kg VS</v>
      </c>
      <c r="H43" s="132" t="str">
        <v>Constant</v>
      </c>
      <c r="I43" s="140">
        <f>'Constants - Feedlot'!$E$22</f>
        <v>0.19</v>
      </c>
      <c r="M43" s="140" t="str">
        <v>BO</v>
      </c>
      <c r="N43" s="143" t="str">
        <v>emissions potential</v>
      </c>
      <c r="O43" s="142"/>
      <c r="P43" s="140" t="str">
        <v>m3 CH4/kg VS</v>
      </c>
      <c r="Q43" s="132" t="str">
        <v>Constant</v>
      </c>
      <c r="R43" s="140">
        <f>'Constants - Feedlot'!$E$22</f>
        <v>0.19</v>
      </c>
    </row>
    <row r="44" spans="3:18" ht="20.100000000000001" customHeight="1" x14ac:dyDescent="0.25">
      <c r="D44" s="140" t="str">
        <v>MMS_m5T1</v>
      </c>
      <c r="E44" s="143" t="str">
        <v>fraction of manure in primary system drylot MMS</v>
      </c>
      <c r="F44" s="142"/>
      <c r="G44" s="140" t="str">
        <v>fraction</v>
      </c>
      <c r="H44" s="131" t="str">
        <v>Input</v>
      </c>
      <c r="I44" s="141" t="str" cm="1">
        <f t="array" aca="1" ref="I44" ca="1">HYPERLINK(Common_InputFunctions.Utility_SourceHyperlink($D$49),$D$49)</f>
        <v>Table_MMS_m-5_T-1</v>
      </c>
      <c r="M44" s="140" t="str">
        <v>MMS_m5T1</v>
      </c>
      <c r="N44" s="143" t="str">
        <v>fraction of manure in primary system drylot MMS</v>
      </c>
      <c r="O44" s="142"/>
      <c r="P44" s="140" t="str">
        <v>fraction</v>
      </c>
      <c r="Q44" s="131" t="str">
        <v>Input</v>
      </c>
      <c r="R44" s="141" t="str" cm="1">
        <f t="array" aca="1" ref="R44" ca="1">HYPERLINK(Common_InputFunctions.Utility_SourceHyperlink($D$49),$D$49)</f>
        <v>Table_MMS_m-5_T-1</v>
      </c>
    </row>
    <row r="45" spans="3:18" ht="20.100000000000001" customHeight="1" x14ac:dyDescent="0.25">
      <c r="D45" s="140" t="str">
        <v>MCF_im5</v>
      </c>
      <c r="E45" s="143" t="str">
        <v>methane conversion factor for state and drylot system</v>
      </c>
      <c r="F45" s="142"/>
      <c r="G45" s="140" t="str">
        <v>fraction</v>
      </c>
      <c r="H45" s="132" t="str">
        <v>Constant</v>
      </c>
      <c r="I45" s="140">
        <f>HLOOKUP(I47, Table_SourceData_Feedlot_MCF[#All], 2, FALSE)</f>
        <v>0.01</v>
      </c>
      <c r="M45" s="140" t="str">
        <v>MCF_im5</v>
      </c>
      <c r="N45" s="143" t="str">
        <v>methane conversion factor for state and drylot system</v>
      </c>
      <c r="O45" s="142"/>
      <c r="P45" s="140" t="str">
        <v>fraction</v>
      </c>
      <c r="Q45" s="132" t="str">
        <v>Constant</v>
      </c>
      <c r="R45" s="140">
        <f>HLOOKUP(I47, Table_SourceData_Feedlot_MCF[#All], 2, FALSE)</f>
        <v>0.01</v>
      </c>
    </row>
    <row r="46" spans="3:18" ht="20.100000000000001" customHeight="1" x14ac:dyDescent="0.25">
      <c r="D46" s="140" t="str">
        <v>rho</v>
      </c>
      <c r="E46" s="143" t="str">
        <v>density of methane</v>
      </c>
      <c r="F46" s="142"/>
      <c r="G46" s="140" t="str">
        <v>kg/m3</v>
      </c>
      <c r="H46" s="132" t="str">
        <v>Constant</v>
      </c>
      <c r="I46" s="140">
        <f>'Constants - Common'!$D$175</f>
        <v>0.6784</v>
      </c>
      <c r="M46" s="140" t="str">
        <v>rho</v>
      </c>
      <c r="N46" s="143" t="str">
        <v>density of methane</v>
      </c>
      <c r="O46" s="142"/>
      <c r="P46" s="140" t="str">
        <v>kg/m3</v>
      </c>
      <c r="Q46" s="132" t="str">
        <v>Constant</v>
      </c>
      <c r="R46" s="140">
        <f>'Constants - Common'!$D$175</f>
        <v>0.6784</v>
      </c>
    </row>
    <row r="47" spans="3:18" ht="20.100000000000001" customHeight="1" x14ac:dyDescent="0.25">
      <c r="D47" s="140" t="str">
        <v>i</v>
      </c>
      <c r="E47" s="143" t="str">
        <v>state</v>
      </c>
      <c r="F47" s="142"/>
      <c r="G47" s="140" t="str">
        <v/>
      </c>
      <c r="H47" s="131" t="str">
        <v>Input</v>
      </c>
      <c r="I47" s="140" t="str">
        <f>Common_InputFunctions.Utility_LookupValueInTable('Input - Site'!$E$21,Table_AustralianStates[Common Name],Table_AustralianStates[Abbreviation])</f>
        <v>NSW</v>
      </c>
      <c r="M47" s="140" t="str">
        <v>i</v>
      </c>
      <c r="N47" s="143" t="str">
        <v>state</v>
      </c>
      <c r="O47" s="142"/>
      <c r="P47" s="140" t="str">
        <v/>
      </c>
      <c r="Q47" s="131" t="str">
        <v>Input</v>
      </c>
      <c r="R47" s="140" t="str">
        <f>Common_InputFunctions.Utility_LookupValueInTable('Input - Site'!$E$21,Table_AustralianStates[Common Name],Table_AustralianStates[Abbreviation])</f>
        <v>NSW</v>
      </c>
    </row>
    <row r="48" spans="3:18" ht="20.100000000000001" customHeight="1" x14ac:dyDescent="0.25"/>
    <row r="49" spans="3:18" ht="20.100000000000001" customHeight="1" x14ac:dyDescent="0.25">
      <c r="D49" s="104" t="s">
        <v>111</v>
      </c>
    </row>
    <row r="50" spans="3:18" ht="20.100000000000001" customHeight="1" x14ac:dyDescent="0.25">
      <c r="D50" s="103" t="s">
        <v>109</v>
      </c>
    </row>
    <row r="51" spans="3:18" ht="20.100000000000001" customHeight="1" x14ac:dyDescent="0.25">
      <c r="D51" s="41" t="s">
        <v>106</v>
      </c>
      <c r="E51" s="41" t="s">
        <v>140</v>
      </c>
      <c r="F51" s="41" t="s">
        <v>141</v>
      </c>
      <c r="G51" s="41" t="s">
        <v>142</v>
      </c>
    </row>
    <row r="52" spans="3:18" ht="20.100000000000001" customHeight="1" x14ac:dyDescent="0.25">
      <c r="D52" s="55" t="str">
        <f>'Input - Feedlot'!$D$28</f>
        <v>Drylot (feed pad)</v>
      </c>
      <c r="E52" s="55">
        <f>'Input - Feedlot'!$E$28</f>
        <v>1</v>
      </c>
      <c r="F52" s="55">
        <f>'Input - Feedlot'!$F$28</f>
        <v>1</v>
      </c>
      <c r="G52" s="55">
        <f>'Input - Feedlot'!$G$28</f>
        <v>1</v>
      </c>
      <c r="H52" s="2" t="s">
        <v>330</v>
      </c>
    </row>
    <row r="53" spans="3:18" ht="20.100000000000001" customHeight="1" x14ac:dyDescent="0.25"/>
    <row r="54" spans="3:18" ht="20.100000000000001" customHeight="1" x14ac:dyDescent="0.25">
      <c r="D54" s="104" t="s">
        <v>209</v>
      </c>
      <c r="M54" s="104" t="s">
        <v>211</v>
      </c>
    </row>
    <row r="55" spans="3:18" ht="20.100000000000001" customHeight="1" x14ac:dyDescent="0.25">
      <c r="D55" s="103" t="s">
        <v>210</v>
      </c>
      <c r="M55" s="103" t="s">
        <v>212</v>
      </c>
    </row>
    <row r="56" spans="3:18" ht="20.100000000000001" customHeight="1" x14ac:dyDescent="0.25">
      <c r="D56" s="54" t="s">
        <v>106</v>
      </c>
      <c r="E56" s="54" t="s">
        <v>140</v>
      </c>
      <c r="F56" s="54" t="s">
        <v>141</v>
      </c>
      <c r="G56" s="54" t="s">
        <v>142</v>
      </c>
      <c r="M56" s="54" t="s">
        <v>106</v>
      </c>
      <c r="N56" s="54" t="s">
        <v>140</v>
      </c>
      <c r="O56" s="54" t="s">
        <v>141</v>
      </c>
      <c r="P56" s="54" t="s">
        <v>142</v>
      </c>
    </row>
    <row r="57" spans="3:18" ht="20.100000000000001" customHeight="1" x14ac:dyDescent="0.25">
      <c r="D57" s="55" t="str">
        <f>'Input - Feedlot'!$D$28</f>
        <v>Drylot (feed pad)</v>
      </c>
      <c r="E57" s="55" cm="1">
        <f t="array" ref="E57">MMS_Feedlot_Methane_Equations.VEERG_4_1_1_1__2_Stage1MethaneProductionDrylot(D30,$I$43,E52,$I$45,$I$46)</f>
        <v>2.1394673663999997E-3</v>
      </c>
      <c r="F57" s="55" cm="1">
        <f t="array" ref="F57">MMS_Feedlot_Methane_Equations.VEERG_4_1_1_1__2_Stage1MethaneProductionDrylot(E30,$I$43,F52,$I$45,$I$46)</f>
        <v>2.2217545727999995E-3</v>
      </c>
      <c r="G57" s="55" cm="1">
        <f t="array" ref="G57">MMS_Feedlot_Methane_Equations.VEERG_4_1_1_1__2_Stage1MethaneProductionDrylot(F30,$I$43,G52,$I$45,$I$46)</f>
        <v>1.6868877311999992E-3</v>
      </c>
      <c r="H57" s="2" t="str">
        <f>$E$40</f>
        <v>kg CH4/head/day</v>
      </c>
      <c r="M57" s="55" t="str">
        <f>'Input - Feedlot'!$D$28</f>
        <v>Drylot (feed pad)</v>
      </c>
      <c r="N57" s="55" cm="1">
        <f t="array" ref="N57">MMS_Feedlot_Methane_Equations.VEERG_4_1_1_1__2_Stage1MethaneProductionDrylot(M30,$I$43,E52,$I$45,$I$46)</f>
        <v>2.1394673663999997E-3</v>
      </c>
      <c r="O57" s="55" cm="1">
        <f t="array" ref="O57">MMS_Feedlot_Methane_Equations.VEERG_4_1_1_1__2_Stage1MethaneProductionDrylot(N30,$I$43,F52,$I$45,$I$46)</f>
        <v>2.2217545727999995E-3</v>
      </c>
      <c r="P57" s="55" cm="1">
        <f t="array" ref="P57">MMS_Feedlot_Methane_Equations.VEERG_4_1_1_1__2_Stage1MethaneProductionDrylot(O30,$I$43,G52,$I$45,$I$46)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26</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6" t="s">
        <v>29</v>
      </c>
      <c r="E66" s="1" t="str" cm="1">
        <f t="array" ref="E66">MMS_Feedlot_Methane_Equations.VEERG_4_1_1_1__3_Stage2MethaneProduction_Variable()</f>
        <v>M_jmT2</v>
      </c>
    </row>
    <row r="67" spans="4:18" ht="20.100000000000001" customHeight="1" x14ac:dyDescent="0.25">
      <c r="D67" s="56" t="s">
        <v>19</v>
      </c>
      <c r="E67" s="57" t="str" cm="1">
        <f t="array" ref="E67">MMS_Feedlot_Methane_Equations.VEERG_4_1_1_1__3_Stage2MethaneProduction_Unit()</f>
        <v>kg CH4/head/day</v>
      </c>
      <c r="M67" s="115" t="s">
        <v>353</v>
      </c>
    </row>
    <row r="68" spans="4:18" ht="20.100000000000001" customHeight="1" x14ac:dyDescent="0.25"/>
    <row r="69" spans="4:18" ht="20.100000000000001" customHeight="1" x14ac:dyDescent="0.25">
      <c r="D69" s="140" t="str" cm="1">
        <f t="array" ref="D69:E75">_xlfn.CHOOSECOLS(MMS_Feedlot_Methane_Equations.VEERG_4_1_1_1__3_Stage2MethaneProduction_Arguments(),1,2)</f>
        <v>VSL</v>
      </c>
      <c r="E69" s="143" t="str">
        <v>fraction of volatile solids lost during storage in the primary system</v>
      </c>
      <c r="F69" s="142"/>
      <c r="G69" s="140" t="str" cm="1">
        <f t="array" ref="G69:H75">_xlfn.CHOOSECOLS(MMS_Feedlot_Methane_Equations.VEERG_4_1_1_1__3_Stage2MethaneProduction_Arguments(),3,4)</f>
        <v>fraction</v>
      </c>
      <c r="H69" s="132" t="str">
        <v>Constant</v>
      </c>
      <c r="I69" s="60">
        <f>'Constants - Feedlot'!$E$7</f>
        <v>0.5</v>
      </c>
      <c r="M69" s="140" t="str" cm="1">
        <f t="array" ref="M69:N75">_xlfn.CHOOSECOLS(MMS_Feedlot_Methane_Equations.VEERG_4_1_1_1__3_Stage2MethaneProduction_Arguments_Method2(),1,2)</f>
        <v>VSL</v>
      </c>
      <c r="N69" s="143" t="str">
        <v>fraction of volatile solids lost during storage in the primary system</v>
      </c>
      <c r="O69" s="142"/>
      <c r="P69" s="140" t="str" cm="1">
        <f t="array" ref="P69:Q75">_xlfn.CHOOSECOLS(MMS_Feedlot_Methane_Equations.VEERG_4_1_1_1__3_Stage2MethaneProduction_Arguments_Method2(),3,4)</f>
        <v>fraction</v>
      </c>
      <c r="Q69" s="132" t="str">
        <v>Constant</v>
      </c>
      <c r="R69" s="60"/>
    </row>
    <row r="70" spans="4:18" ht="20.100000000000001" customHeight="1" x14ac:dyDescent="0.25">
      <c r="D70" s="140" t="str">
        <v>VS_j</v>
      </c>
      <c r="E70" s="143" t="str">
        <v>volatile solid production from feedlot cattle in each group</v>
      </c>
      <c r="F70" s="142"/>
      <c r="G70" s="140" t="str">
        <v>kg/head/day</v>
      </c>
      <c r="H70" s="132" t="str">
        <v>Calculated from 4.1.1.1 (5)</v>
      </c>
      <c r="I70" s="141" t="str" cm="1">
        <f t="array" aca="1" ref="I70" ca="1">HYPERLINK(Common_InputFunctions.Utility_SourceHyperlink($D$27),$D$27)</f>
        <v>M1_Table_VS_j</v>
      </c>
      <c r="M70" s="140" t="str">
        <v>VS_j</v>
      </c>
      <c r="N70" s="143" t="str">
        <v>volatile solid production from feedlot cattle in each group</v>
      </c>
      <c r="O70" s="142"/>
      <c r="P70" s="140" t="str">
        <v>kg/head/day</v>
      </c>
      <c r="Q70" s="132" t="str">
        <v>Calculated from 4.1.1.1 (5)</v>
      </c>
      <c r="R70" s="141"/>
    </row>
    <row r="71" spans="4:18" ht="20.100000000000001" customHeight="1" x14ac:dyDescent="0.25">
      <c r="D71" s="140" t="str">
        <v>BO</v>
      </c>
      <c r="E71" s="143" t="str">
        <v>emissions potential</v>
      </c>
      <c r="F71" s="142"/>
      <c r="G71" s="140" t="str">
        <v>m3 CH4/kg VS</v>
      </c>
      <c r="H71" s="132" t="str">
        <v>Constant</v>
      </c>
      <c r="I71" s="60">
        <f>'Constants - Feedlot'!$E$22</f>
        <v>0.19</v>
      </c>
      <c r="M71" s="140" t="str">
        <v>BO</v>
      </c>
      <c r="N71" s="143" t="str">
        <v>emissions potential</v>
      </c>
      <c r="O71" s="142"/>
      <c r="P71" s="140" t="str">
        <v>m3 CH4/kg VS</v>
      </c>
      <c r="Q71" s="132" t="str">
        <v>Constant</v>
      </c>
      <c r="R71" s="60"/>
    </row>
    <row r="72" spans="4:18" ht="20.100000000000001" customHeight="1" x14ac:dyDescent="0.25">
      <c r="D72" s="140" t="str">
        <v>MMS_mT2</v>
      </c>
      <c r="E72" s="143" t="str">
        <v>fraction of manure in each secondary system</v>
      </c>
      <c r="F72" s="142"/>
      <c r="G72" s="140" t="str">
        <v>fraction</v>
      </c>
      <c r="H72" s="131" t="str">
        <v>Input</v>
      </c>
      <c r="I72" s="141" t="str" cm="1">
        <f t="array" aca="1" ref="I72" ca="1">HYPERLINK(Common_InputFunctions.Utility_SourceHyperlink($D$77),$D$77)</f>
        <v>Table_MMS_m_T-2</v>
      </c>
      <c r="M72" s="140" t="str">
        <v>MMS_mT2</v>
      </c>
      <c r="N72" s="143" t="str">
        <v>fraction of manure in each secondary system</v>
      </c>
      <c r="O72" s="142"/>
      <c r="P72" s="140" t="str">
        <v>fraction</v>
      </c>
      <c r="Q72" s="131" t="str">
        <v>Input</v>
      </c>
      <c r="R72" s="141"/>
    </row>
    <row r="73" spans="4:18" ht="20.100000000000001" customHeight="1" x14ac:dyDescent="0.25">
      <c r="D73" s="140" t="str">
        <v>MCF_im</v>
      </c>
      <c r="E73" s="143" t="str">
        <v>methane conversion factor for state and MMS</v>
      </c>
      <c r="F73" s="142"/>
      <c r="G73" s="140" t="str">
        <v>fraction</v>
      </c>
      <c r="H73" s="132" t="str">
        <v>Constant</v>
      </c>
      <c r="I73" s="141" t="str" cm="1">
        <f t="array" aca="1" ref="I73" ca="1">HYPERLINK(Common_InputFunctions.Utility_SourceHyperlink($D$84),$D$84)</f>
        <v>Table_MCF_i_m</v>
      </c>
      <c r="M73" s="140" t="str">
        <v>MCF_im</v>
      </c>
      <c r="N73" s="143" t="str">
        <v>methane conversion factor for mean annual temperature and MMS</v>
      </c>
      <c r="O73" s="142"/>
      <c r="P73" s="140" t="str">
        <v>fraction</v>
      </c>
      <c r="Q73" s="132" t="str">
        <v>Constant</v>
      </c>
      <c r="R73" s="141" t="str" cm="1">
        <f t="array" aca="1" ref="R73" ca="1">HYPERLINK(Common_InputFunctions.Utility_SourceHyperlink($M$84),$M$84)</f>
        <v>Table_MCF_i_m</v>
      </c>
    </row>
    <row r="74" spans="4:18" ht="20.100000000000001" customHeight="1" x14ac:dyDescent="0.25">
      <c r="D74" s="140" t="str">
        <v>rho</v>
      </c>
      <c r="E74" s="143" t="str">
        <v>density of methane</v>
      </c>
      <c r="F74" s="142"/>
      <c r="G74" s="140" t="str">
        <v>kg/m3</v>
      </c>
      <c r="H74" s="132" t="str">
        <v>Constant</v>
      </c>
      <c r="I74" s="60">
        <f>'Constants - Common'!$D$175</f>
        <v>0.6784</v>
      </c>
      <c r="M74" s="140" t="str">
        <v>rho</v>
      </c>
      <c r="N74" s="143" t="str">
        <v>density of methane</v>
      </c>
      <c r="O74" s="142"/>
      <c r="P74" s="140" t="str">
        <v>kg/m3</v>
      </c>
      <c r="Q74" s="132" t="str">
        <v>Constant</v>
      </c>
      <c r="R74" s="60"/>
    </row>
    <row r="75" spans="4:18" ht="20.100000000000001" customHeight="1" x14ac:dyDescent="0.25">
      <c r="D75" s="140" t="str">
        <v>i</v>
      </c>
      <c r="E75" s="143" t="str">
        <v>state</v>
      </c>
      <c r="F75" s="142"/>
      <c r="G75" s="140" t="str">
        <v/>
      </c>
      <c r="H75" s="131" t="str">
        <v>Input</v>
      </c>
      <c r="I75" s="60" t="str">
        <f>Common_InputFunctions.Utility_LookupValueInTable('Input - Site'!$E$21,Table_AustralianStates[Common Name],Table_AustralianStates[Abbreviation])</f>
        <v>NSW</v>
      </c>
      <c r="M75" s="140" t="str">
        <v>i</v>
      </c>
      <c r="N75" s="143" t="str">
        <v>Mean annual temperature</v>
      </c>
      <c r="O75" s="142"/>
      <c r="P75" s="140" t="str">
        <v/>
      </c>
      <c r="Q75" s="131" t="str">
        <v>Input</v>
      </c>
      <c r="R75" s="60">
        <f>'Input - Site'!$E$25</f>
        <v>18</v>
      </c>
    </row>
    <row r="76" spans="4:18" ht="20.100000000000001" customHeight="1" x14ac:dyDescent="0.25"/>
    <row r="77" spans="4:18" ht="20.100000000000001" customHeight="1" x14ac:dyDescent="0.25">
      <c r="D77" s="104" t="s">
        <v>113</v>
      </c>
    </row>
    <row r="78" spans="4:18" ht="20.100000000000001" customHeight="1" x14ac:dyDescent="0.25">
      <c r="D78" s="103" t="s">
        <v>114</v>
      </c>
    </row>
    <row r="79" spans="4:18" ht="20.100000000000001" customHeight="1" x14ac:dyDescent="0.25">
      <c r="D79" s="41" t="s">
        <v>106</v>
      </c>
      <c r="E79" s="41" t="s">
        <v>102</v>
      </c>
      <c r="F79" s="41" t="s">
        <v>140</v>
      </c>
      <c r="G79" s="41" t="s">
        <v>141</v>
      </c>
      <c r="H79" s="41" t="s">
        <v>142</v>
      </c>
    </row>
    <row r="80" spans="4:18" ht="20.100000000000001" customHeight="1" x14ac:dyDescent="0.25">
      <c r="D80" s="55" t="str">
        <f>'Input - Feedlot'!$D$28</f>
        <v>Drylot (feed pad)</v>
      </c>
      <c r="E80" s="55" t="str">
        <f>'Input - Feedlot'!$D$32</f>
        <v>Solid storage</v>
      </c>
      <c r="F80" s="55">
        <f>'Input - Feedlot'!$E$32</f>
        <v>0.2</v>
      </c>
      <c r="G80" s="55">
        <f>'Input - Feedlot'!$F$32</f>
        <v>0.2</v>
      </c>
      <c r="H80" s="55">
        <f>'Input - Feedlot'!$G$32</f>
        <v>0.2</v>
      </c>
      <c r="I80" s="2" t="str">
        <f>G72</f>
        <v>fraction</v>
      </c>
    </row>
    <row r="81" spans="4:17" ht="20.100000000000001" customHeight="1" x14ac:dyDescent="0.25">
      <c r="D81" s="55" t="str">
        <f>'Input - Feedlot'!$D$28</f>
        <v>Drylot (feed pad)</v>
      </c>
      <c r="E81" s="55" t="str">
        <f>'Input - Feedlot'!$D$33</f>
        <v>Composting (passive windrow)</v>
      </c>
      <c r="F81" s="55">
        <f>'Input - Feedlot'!$E$33</f>
        <v>0.2</v>
      </c>
      <c r="G81" s="55">
        <f>'Input - Feedlot'!$F$33</f>
        <v>0.2</v>
      </c>
      <c r="H81" s="55">
        <f>'Input - Feedlot'!$G$33</f>
        <v>0.2</v>
      </c>
      <c r="I81" s="2"/>
    </row>
    <row r="82" spans="4:17" ht="20.100000000000001" customHeight="1" x14ac:dyDescent="0.25">
      <c r="D82" s="55" t="str">
        <f>'Input - Feedlot'!$D$28</f>
        <v>Drylot (feed pad)</v>
      </c>
      <c r="E82" s="55" t="str">
        <f>'Input - Feedlot'!$D$34</f>
        <v>Direct application</v>
      </c>
      <c r="F82" s="55">
        <f>'Input - Feedlot'!$E$34</f>
        <v>0.6</v>
      </c>
      <c r="G82" s="55">
        <f>'Input - Feedlot'!$F$34</f>
        <v>0.6</v>
      </c>
      <c r="H82" s="55">
        <f>'Input - Feedlot'!$G$34</f>
        <v>0.6</v>
      </c>
      <c r="I82" s="2"/>
    </row>
    <row r="83" spans="4:17" ht="20.100000000000001" customHeight="1" x14ac:dyDescent="0.25"/>
    <row r="84" spans="4:17" ht="20.100000000000001" customHeight="1" x14ac:dyDescent="0.25">
      <c r="D84" s="104" t="s">
        <v>100</v>
      </c>
      <c r="M84" s="104" t="s">
        <v>100</v>
      </c>
    </row>
    <row r="85" spans="4:17" ht="20.100000000000001" customHeight="1" x14ac:dyDescent="0.25">
      <c r="D85" s="103" t="s">
        <v>116</v>
      </c>
      <c r="M85" s="103" t="s">
        <v>116</v>
      </c>
    </row>
    <row r="86" spans="4:17" ht="20.100000000000001" customHeight="1" x14ac:dyDescent="0.25">
      <c r="D86" s="54" t="s">
        <v>106</v>
      </c>
      <c r="E86" s="54" t="s">
        <v>102</v>
      </c>
      <c r="F86" s="54" t="s">
        <v>98</v>
      </c>
      <c r="M86" s="54" t="s">
        <v>106</v>
      </c>
      <c r="N86" s="54" t="s">
        <v>102</v>
      </c>
      <c r="O86" s="54" t="s">
        <v>98</v>
      </c>
    </row>
    <row r="87" spans="4:17" ht="20.100000000000001" customHeight="1" x14ac:dyDescent="0.25">
      <c r="D87" s="55" t="str">
        <f>'Input - Feedlot'!$D$28</f>
        <v>Drylot (feed pad)</v>
      </c>
      <c r="E87" s="55" t="str">
        <f>'Input - Feedlot'!$D$32</f>
        <v>Solid storage</v>
      </c>
      <c r="F87" s="55" cm="1">
        <f t="array" ref="F87">_xlfn.XLOOKUP($I$75, Table_SourceData_Feedlot_MCF[#Headers], _xlfn.XLOOKUP(E87, Table_SourceData_Feedlot_MCF[NIR definition], Table_SourceData_Feedlot_MCF[]))</f>
        <v>0.02</v>
      </c>
      <c r="G87" s="2" t="str">
        <f>G73</f>
        <v>fraction</v>
      </c>
      <c r="M87" s="55" t="str">
        <f>'Input - Feedlot'!$D$28</f>
        <v>Drylot (feed pad)</v>
      </c>
      <c r="N87" s="55" t="str">
        <f>'Input - Feedlot'!$D$32</f>
        <v>Solid storage</v>
      </c>
      <c r="O87" s="55" cm="1">
        <f t="array" ref="O87">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tr">
        <f>'Input - Feedlot'!$D$28</f>
        <v>Drylot (feed pad)</v>
      </c>
      <c r="E88" s="55" t="str">
        <f>'Input - Feedlot'!$D$33</f>
        <v>Composting (passive windrow)</v>
      </c>
      <c r="F88" s="55" cm="1">
        <f t="array" ref="F88">_xlfn.XLOOKUP($I$75, Table_SourceData_Feedlot_MCF[#Headers], _xlfn.XLOOKUP(E88, Table_SourceData_Feedlot_MCF[NIR definition], Table_SourceData_Feedlot_MCF[]))</f>
        <v>0.01</v>
      </c>
      <c r="G88" s="2"/>
      <c r="M88" s="55" t="str">
        <f>'Input - Feedlot'!$D$28</f>
        <v>Drylot (feed pad)</v>
      </c>
      <c r="N88" s="55" t="str">
        <f>'Input - Feedlot'!$D$33</f>
        <v>Composting (passive windrow)</v>
      </c>
      <c r="O88" s="55" cm="1">
        <f t="array" ref="O88">Common_InputFunctions.Common_GetMCFTemperatureZone(R76,N88,Table_SourceData_Common_MCFTemperatureZone[MAT (ºC)],Table_SourceData_Common_MCFTemperatureZone[#Headers],Table_SourceData_Common_MCFTemperatureZone[])</f>
        <v>0.01</v>
      </c>
      <c r="P88" s="2"/>
    </row>
    <row r="89" spans="4:17" ht="20.100000000000001" customHeight="1" x14ac:dyDescent="0.25">
      <c r="D89" s="55" t="str">
        <f>'Input - Feedlot'!$D$28</f>
        <v>Drylot (feed pad)</v>
      </c>
      <c r="E89" s="55" t="str">
        <f>'Input - Feedlot'!$D$34</f>
        <v>Direct application</v>
      </c>
      <c r="F89" s="55" cm="1">
        <f t="array" ref="F89">_xlfn.XLOOKUP($I$75, Table_SourceData_Feedlot_MCF[#Headers], _xlfn.XLOOKUP(E89, Table_SourceData_Feedlot_MCF[NIR definition], Table_SourceData_Feedlot_MCF[]))</f>
        <v>0</v>
      </c>
      <c r="M89" s="55" t="str">
        <f>'Input - Feedlot'!$D$28</f>
        <v>Drylot (feed pad)</v>
      </c>
      <c r="N89" s="55" t="str">
        <f>'Input - Feedlot'!$D$34</f>
        <v>Direct application</v>
      </c>
      <c r="O89" s="55" cm="1">
        <f t="array" ref="O89">Common_InputFunctions.Common_GetMCFTemperatureZone(R77,N89,Table_SourceData_Common_MCFTemperatureZone[MAT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354</v>
      </c>
      <c r="E91" s="98"/>
      <c r="F91" s="98"/>
      <c r="G91" s="98"/>
      <c r="H91" s="92"/>
    </row>
    <row r="92" spans="4:17" ht="20.100000000000001" customHeight="1" x14ac:dyDescent="0.25"/>
    <row r="93" spans="4:17" ht="20.100000000000001" customHeight="1" x14ac:dyDescent="0.25">
      <c r="D93" s="104" t="s">
        <v>213</v>
      </c>
      <c r="M93" s="104" t="s">
        <v>215</v>
      </c>
    </row>
    <row r="94" spans="4:17" ht="20.100000000000001" customHeight="1" x14ac:dyDescent="0.25">
      <c r="D94" s="103" t="s">
        <v>214</v>
      </c>
      <c r="M94" s="103" t="s">
        <v>216</v>
      </c>
    </row>
    <row r="95" spans="4:17" ht="20.100000000000001" customHeight="1" x14ac:dyDescent="0.25">
      <c r="D95" s="54" t="s">
        <v>102</v>
      </c>
      <c r="E95" s="54" t="s">
        <v>140</v>
      </c>
      <c r="F95" s="54" t="s">
        <v>141</v>
      </c>
      <c r="G95" s="54" t="s">
        <v>142</v>
      </c>
      <c r="M95" s="54" t="s">
        <v>102</v>
      </c>
      <c r="N95" s="54" t="s">
        <v>140</v>
      </c>
      <c r="O95" s="54" t="s">
        <v>141</v>
      </c>
      <c r="P95" s="54" t="s">
        <v>142</v>
      </c>
    </row>
    <row r="96" spans="4:17" ht="20.100000000000001" customHeight="1" x14ac:dyDescent="0.25">
      <c r="D96" s="55" t="str">
        <f>'Input - Feedlot'!$D$32</f>
        <v>Solid storage</v>
      </c>
      <c r="E96" s="55" cm="1">
        <f t="array" ref="E96">MMS_Feedlot_Methane_Equations.VEERG_4_1_1_1__3_Stage2MethaneProduction($I$69,D$30,$I$71,F80,_xlfn.XLOOKUP($D96,$E$87:$E$89,$F$87:$F$89),$I$74)</f>
        <v>4.2789347327999993E-4</v>
      </c>
      <c r="F96" s="55" cm="1">
        <f t="array" ref="F96">MMS_Feedlot_Methane_Equations.VEERG_4_1_1_1__3_Stage2MethaneProduction($I$69,E$30,$I$71,G80,_xlfn.XLOOKUP($D96,$E$87:$E$89,$F$87:$F$89),$I$74)</f>
        <v>4.4435091455999993E-4</v>
      </c>
      <c r="G96" s="55" cm="1">
        <f t="array" ref="G96">MMS_Feedlot_Methane_Equations.VEERG_4_1_1_1__3_Stage2MethaneProduction($I$69,F$30,$I$71,H80,_xlfn.XLOOKUP($D96,$E$87:$E$89,$F$87:$F$89),$I$74)</f>
        <v>3.3737754623999993E-4</v>
      </c>
      <c r="H96" s="2" t="str">
        <f>$E$67</f>
        <v>kg CH4/head/day</v>
      </c>
      <c r="M96" s="55" t="str">
        <f>'Input - Feedlot'!$D$32</f>
        <v>Solid storage</v>
      </c>
      <c r="N96" s="55" cm="1">
        <f t="array" ref="N96">MMS_Feedlot_Methane_Equations.VEERG_4_1_1_1__3_Stage2MethaneProduction($I$69,M$30,$I$71,F80,_xlfn.XLOOKUP($M96,$N$87:$N$89,$O$87:$O$89),$I$74)</f>
        <v>4.2789347327999993E-4</v>
      </c>
      <c r="O96" s="55" cm="1">
        <f t="array" ref="O96">MMS_Feedlot_Methane_Equations.VEERG_4_1_1_1__3_Stage2MethaneProduction($I$69,N$30,$I$71,G80,_xlfn.XLOOKUP($M96,$N$87:$N$89,$O$87:$O$89),$I$74)</f>
        <v>4.4435091455999993E-4</v>
      </c>
      <c r="P96" s="55" cm="1">
        <f t="array" ref="P96">MMS_Feedlot_Methane_Equations.VEERG_4_1_1_1__3_Stage2MethaneProduction($I$69,O$30,$I$71,H80,_xlfn.XLOOKUP($M96,$N$87:$N$89,$O$87:$O$89),$I$74)</f>
        <v>3.3737754623999993E-4</v>
      </c>
      <c r="Q96" s="2" t="str">
        <f>$E$67</f>
        <v>kg CH4/head/day</v>
      </c>
    </row>
    <row r="97" spans="3:18" ht="20.100000000000001" customHeight="1" x14ac:dyDescent="0.25">
      <c r="D97" s="55" t="str">
        <f>'Input - Feedlot'!$D$33</f>
        <v>Composting (passive windrow)</v>
      </c>
      <c r="E97" s="55" cm="1">
        <f t="array" ref="E97">MMS_Feedlot_Methane_Equations.VEERG_4_1_1_1__3_Stage2MethaneProduction($I$69,D$30,$I$71,F81,_xlfn.XLOOKUP($D97,$E$87:$E$89,$F$87:$F$89),$I$74)</f>
        <v>2.1394673663999996E-4</v>
      </c>
      <c r="F97" s="55" cm="1">
        <f t="array" ref="F97">MMS_Feedlot_Methane_Equations.VEERG_4_1_1_1__3_Stage2MethaneProduction($I$69,E$30,$I$71,G81,_xlfn.XLOOKUP($D97,$E$87:$E$89,$F$87:$F$89),$I$74)</f>
        <v>2.2217545727999996E-4</v>
      </c>
      <c r="G97" s="55" cm="1">
        <f t="array" ref="G97">MMS_Feedlot_Methane_Equations.VEERG_4_1_1_1__3_Stage2MethaneProduction($I$69,F$30,$I$71,H81,_xlfn.XLOOKUP($D97,$E$87:$E$89,$F$87:$F$89),$I$74)</f>
        <v>1.6868877311999997E-4</v>
      </c>
      <c r="H97" s="2"/>
      <c r="M97" s="55" t="str">
        <f>'Input - Feedlot'!$D$33</f>
        <v>Composting (passive windrow)</v>
      </c>
      <c r="N97" s="55" cm="1">
        <f t="array" ref="N97">MMS_Feedlot_Methane_Equations.VEERG_4_1_1_1__3_Stage2MethaneProduction($I$69,M$30,$I$71,F81,_xlfn.XLOOKUP($M97,$N$87:$N$89,$O$87:$O$89),$I$74)</f>
        <v>2.1394673663999996E-4</v>
      </c>
      <c r="O97" s="55" cm="1">
        <f t="array" ref="O97">MMS_Feedlot_Methane_Equations.VEERG_4_1_1_1__3_Stage2MethaneProduction($I$69,N$30,$I$71,G81,_xlfn.XLOOKUP($M97,$N$87:$N$89,$O$87:$O$89),$I$74)</f>
        <v>2.2217545727999996E-4</v>
      </c>
      <c r="P97" s="55" cm="1">
        <f t="array" ref="P97">MMS_Feedlot_Methane_Equations.VEERG_4_1_1_1__3_Stage2MethaneProduction($I$69,O$30,$I$71,H81,_xlfn.XLOOKUP($M97,$N$87:$N$89,$O$87:$O$89),$I$74)</f>
        <v>1.6868877311999997E-4</v>
      </c>
      <c r="Q97" s="2"/>
    </row>
    <row r="98" spans="3:18" ht="20.100000000000001" customHeight="1" x14ac:dyDescent="0.25">
      <c r="D98" s="55" t="str">
        <f>'Input - Feedlot'!$D$34</f>
        <v>Direct application</v>
      </c>
      <c r="E98" s="55" cm="1">
        <f t="array" ref="E98">MMS_Feedlot_Methane_Equations.VEERG_4_1_1_1__3_Stage2MethaneProduction($I$69,D$30,$I$71,F82,_xlfn.XLOOKUP($D98,$E$87:$E$89,$F$87:$F$89),$I$74)</f>
        <v>0</v>
      </c>
      <c r="F98" s="55" cm="1">
        <f t="array" ref="F98">MMS_Feedlot_Methane_Equations.VEERG_4_1_1_1__3_Stage2MethaneProduction($I$69,E$30,$I$71,G82,_xlfn.XLOOKUP($D98,$E$87:$E$89,$F$87:$F$89),$I$74)</f>
        <v>0</v>
      </c>
      <c r="G98" s="55" cm="1">
        <f t="array" ref="G98">MMS_Feedlot_Methane_Equations.VEERG_4_1_1_1__3_Stage2MethaneProduction($I$69,F$30,$I$71,H82,_xlfn.XLOOKUP($D98,$E$87:$E$89,$F$87:$F$89),$I$74)</f>
        <v>0</v>
      </c>
      <c r="H98" s="2"/>
      <c r="M98" s="55" t="str">
        <f>'Input - Feedlot'!$D$34</f>
        <v>Direct application</v>
      </c>
      <c r="N98" s="55" cm="1">
        <f t="array" ref="N98">MMS_Feedlot_Methane_Equations.VEERG_4_1_1_1__3_Stage2MethaneProduction($I$69,M$30,$I$71,F82,_xlfn.XLOOKUP($M98,$N$87:$N$89,$O$87:$O$89),$I$74)</f>
        <v>0</v>
      </c>
      <c r="O98" s="55" cm="1">
        <f t="array" ref="O98">MMS_Feedlot_Methane_Equations.VEERG_4_1_1_1__3_Stage2MethaneProduction($I$69,N$30,$I$71,G82,_xlfn.XLOOKUP($M98,$N$87:$N$89,$O$87:$O$89),$I$74)</f>
        <v>0</v>
      </c>
      <c r="P98" s="55" cm="1">
        <f t="array" ref="P98">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26</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6" t="s">
        <v>29</v>
      </c>
      <c r="E107" s="1" t="str" cm="1">
        <f t="array" ref="E107">MMS_Feedlot_Methane_Equations.VEERG_4_1_1_1__4_Stage3MethaneProductionAnaerobicLagoon_Variable()</f>
        <v>M_jm1T3</v>
      </c>
    </row>
    <row r="108" spans="3:18" ht="20.100000000000001" customHeight="1" x14ac:dyDescent="0.25">
      <c r="D108" s="56" t="s">
        <v>19</v>
      </c>
      <c r="E108" s="57"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40" t="str" cm="1">
        <f t="array" ref="D110:E115">_xlfn.CHOOSECOLS(MMS_Feedlot_Methane_Equations.VEERG_4_1_1_1__4_Stage3MethaneProductionAnaerobicLagoon_Arguments(),1,2)</f>
        <v>VS_j</v>
      </c>
      <c r="E110" s="143" t="str">
        <v>volatile solid production from feedlot cattle in each group j</v>
      </c>
      <c r="F110" s="142"/>
      <c r="G110" s="140" t="str" cm="1">
        <f t="array" ref="G110:H115">_xlfn.CHOOSECOLS(MMS_Feedlot_Methane_Equations.VEERG_4_1_1_1__4_Stage3MethaneProductionAnaerobicLagoon_Arguments(),3,4)</f>
        <v>kg/head/day</v>
      </c>
      <c r="H110" s="132" t="str">
        <v>Calculated from 4.1.1.1 (5)</v>
      </c>
      <c r="I110" s="141" t="str" cm="1">
        <f t="array" aca="1" ref="I110" ca="1">HYPERLINK(Common_InputFunctions.Utility_SourceHyperlink($D$27),$D$27)</f>
        <v>M1_Table_VS_j</v>
      </c>
      <c r="M110" s="140" t="str" cm="1">
        <f t="array" ref="M110:N115">_xlfn.CHOOSECOLS(MMS_Feedlot_Methane_Equations.VEERG_4_1_1_1__4_Stage3MethaneProductionAnaerobicLagoon_Arguments_Method2(),1,2)</f>
        <v>VS_j</v>
      </c>
      <c r="N110" s="143" t="str">
        <v>volatile solid production from feedlot cattle in each group j</v>
      </c>
      <c r="O110" s="142"/>
      <c r="P110" s="140" t="str" cm="1">
        <f t="array" ref="P110:Q115">_xlfn.CHOOSECOLS(MMS_Feedlot_Methane_Equations.VEERG_4_1_1_1__4_Stage3MethaneProductionAnaerobicLagoon_Arguments_Method2(),3,4)</f>
        <v>kg/head/day</v>
      </c>
      <c r="Q110" s="132" t="str">
        <v>Calculated from 4.1.1.1 (5)</v>
      </c>
      <c r="R110" s="141"/>
    </row>
    <row r="111" spans="3:18" ht="20.100000000000001" customHeight="1" x14ac:dyDescent="0.25">
      <c r="D111" s="140" t="str">
        <v>BO</v>
      </c>
      <c r="E111" s="143" t="str">
        <v>emissions potential</v>
      </c>
      <c r="F111" s="142"/>
      <c r="G111" s="140" t="str">
        <v>m3 CH4/kg VS</v>
      </c>
      <c r="H111" s="132" t="str">
        <v>Constant</v>
      </c>
      <c r="I111" s="140">
        <f>'Constants - Feedlot'!$E$22</f>
        <v>0.19</v>
      </c>
      <c r="M111" s="140" t="str">
        <v>BO</v>
      </c>
      <c r="N111" s="143" t="str">
        <v>emissions potential</v>
      </c>
      <c r="O111" s="142"/>
      <c r="P111" s="140" t="str">
        <v>m3 CH4/kg VS</v>
      </c>
      <c r="Q111" s="132" t="str">
        <v>Constant</v>
      </c>
      <c r="R111" s="140"/>
    </row>
    <row r="112" spans="3:18" ht="20.100000000000001" customHeight="1" x14ac:dyDescent="0.25">
      <c r="D112" s="140" t="str">
        <v>MMS_m1T3</v>
      </c>
      <c r="E112" s="143" t="str">
        <v>fraction of manure to tertiary anaerobic lagoon system</v>
      </c>
      <c r="F112" s="142"/>
      <c r="G112" s="140" t="str">
        <v>fraction</v>
      </c>
      <c r="H112" s="131" t="str">
        <v>Input</v>
      </c>
      <c r="I112" s="141" t="str" cm="1">
        <f t="array" aca="1" ref="I112" ca="1">HYPERLINK(Common_InputFunctions.Utility_SourceHyperlink($D$117),$D$117)</f>
        <v>Table_MMS_m-1_T-3</v>
      </c>
      <c r="M112" s="140" t="str">
        <v>MMS_m1T3</v>
      </c>
      <c r="N112" s="143" t="str">
        <v>fraction of manure to tertiary anaerobic lagoon system</v>
      </c>
      <c r="O112" s="142"/>
      <c r="P112" s="140" t="str">
        <v>fraction</v>
      </c>
      <c r="Q112" s="131" t="str">
        <v>Input</v>
      </c>
      <c r="R112" s="141"/>
    </row>
    <row r="113" spans="3:18" ht="20.100000000000001" customHeight="1" x14ac:dyDescent="0.25">
      <c r="D113" s="140" t="str">
        <v>MCF_im1</v>
      </c>
      <c r="E113" s="143" t="str">
        <v>methane conversion factor for state and anaerobic lagoon system</v>
      </c>
      <c r="F113" s="142"/>
      <c r="G113" s="140" t="str">
        <v>fraction</v>
      </c>
      <c r="H113" s="132" t="str">
        <v>Constant</v>
      </c>
      <c r="I113" s="140">
        <f>HLOOKUP(I115, Table_SourceData_Feedlot_MCF[#All], 6, FALSE)</f>
        <v>0.75</v>
      </c>
      <c r="M113" s="140" t="str">
        <v>MCF_im1</v>
      </c>
      <c r="N113" s="143" t="str">
        <v>methane conversion factor for mean annual temperature and anaerobic lagoon system</v>
      </c>
      <c r="O113" s="142"/>
      <c r="P113" s="140" t="str">
        <v>fraction</v>
      </c>
      <c r="Q113" s="132" t="str">
        <v>Constant</v>
      </c>
      <c r="R113" s="140" cm="1">
        <f t="array" ref="R113">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40" t="str">
        <v>rho</v>
      </c>
      <c r="E114" s="143" t="str">
        <v>density of methane</v>
      </c>
      <c r="F114" s="142"/>
      <c r="G114" s="140" t="str">
        <v>kg/m3</v>
      </c>
      <c r="H114" s="132" t="str">
        <v>Constant</v>
      </c>
      <c r="I114" s="140">
        <f>'Constants - Common'!$D$175</f>
        <v>0.6784</v>
      </c>
      <c r="M114" s="140" t="str">
        <v>rho</v>
      </c>
      <c r="N114" s="143" t="str">
        <v>density of methane</v>
      </c>
      <c r="O114" s="142"/>
      <c r="P114" s="140" t="str">
        <v>kg/m3</v>
      </c>
      <c r="Q114" s="132" t="str">
        <v>Constant</v>
      </c>
      <c r="R114" s="140"/>
    </row>
    <row r="115" spans="3:18" ht="20.100000000000001" customHeight="1" x14ac:dyDescent="0.25">
      <c r="D115" s="140" t="str">
        <v>i</v>
      </c>
      <c r="E115" s="143" t="str">
        <v>state</v>
      </c>
      <c r="F115" s="142"/>
      <c r="G115" s="140" t="str">
        <v/>
      </c>
      <c r="H115" s="131" t="str">
        <v>Input</v>
      </c>
      <c r="I115" s="140" t="str">
        <f>Common_InputFunctions.Utility_LookupValueInTable('Input - Site'!$E$21,Table_AustralianStates[Common Name],Table_AustralianStates[Abbreviation])</f>
        <v>NSW</v>
      </c>
      <c r="M115" s="140" t="str">
        <v>i</v>
      </c>
      <c r="N115" s="143" t="str">
        <v>Mean annual temperature</v>
      </c>
      <c r="O115" s="142"/>
      <c r="P115" s="140" t="str">
        <v/>
      </c>
      <c r="Q115" s="131" t="str">
        <v>Input</v>
      </c>
      <c r="R115" s="60">
        <f>'Input - Site'!$E$25</f>
        <v>18</v>
      </c>
    </row>
    <row r="116" spans="3:18" ht="20.100000000000001" customHeight="1" x14ac:dyDescent="0.25"/>
    <row r="117" spans="3:18" ht="20.100000000000001" customHeight="1" x14ac:dyDescent="0.25">
      <c r="D117" s="104" t="s">
        <v>118</v>
      </c>
    </row>
    <row r="118" spans="3:18" ht="20.100000000000001" customHeight="1" x14ac:dyDescent="0.25">
      <c r="D118" s="103" t="s">
        <v>120</v>
      </c>
    </row>
    <row r="119" spans="3:18" ht="20.100000000000001" customHeight="1" x14ac:dyDescent="0.25">
      <c r="D119" s="41" t="s">
        <v>119</v>
      </c>
      <c r="E119" s="41" t="s">
        <v>140</v>
      </c>
      <c r="F119" s="41" t="s">
        <v>141</v>
      </c>
      <c r="G119" s="41" t="s">
        <v>142</v>
      </c>
    </row>
    <row r="120" spans="3:18" ht="20.100000000000001" customHeight="1" x14ac:dyDescent="0.25">
      <c r="D120" s="55" t="str">
        <f>'Input - Feedlot'!$D$38</f>
        <v>Anaerobic lagoon</v>
      </c>
      <c r="E120" s="55">
        <f>'Input - Feedlot'!E38</f>
        <v>0.02</v>
      </c>
      <c r="F120" s="55">
        <f>'Input - Feedlot'!F38</f>
        <v>0.02</v>
      </c>
      <c r="G120" s="55">
        <f>'Input - Feedlot'!G38</f>
        <v>0.02</v>
      </c>
      <c r="H120" s="2" t="str">
        <f>G112</f>
        <v>fraction</v>
      </c>
    </row>
    <row r="121" spans="3:18" ht="20.100000000000001" customHeight="1" x14ac:dyDescent="0.25"/>
    <row r="122" spans="3:18" ht="20.100000000000001" customHeight="1" x14ac:dyDescent="0.25">
      <c r="D122" s="104" t="s">
        <v>217</v>
      </c>
      <c r="M122" s="104" t="s">
        <v>219</v>
      </c>
    </row>
    <row r="123" spans="3:18" ht="20.100000000000001" customHeight="1" x14ac:dyDescent="0.25">
      <c r="D123" s="103" t="s">
        <v>218</v>
      </c>
      <c r="M123" s="103" t="s">
        <v>220</v>
      </c>
    </row>
    <row r="124" spans="3:18" ht="20.100000000000001" customHeight="1" x14ac:dyDescent="0.25">
      <c r="D124" s="54" t="s">
        <v>119</v>
      </c>
      <c r="E124" s="54" t="s">
        <v>140</v>
      </c>
      <c r="F124" s="54" t="s">
        <v>141</v>
      </c>
      <c r="G124" s="54" t="s">
        <v>142</v>
      </c>
      <c r="M124" s="54" t="s">
        <v>119</v>
      </c>
      <c r="N124" s="54" t="s">
        <v>140</v>
      </c>
      <c r="O124" s="54" t="s">
        <v>141</v>
      </c>
      <c r="P124" s="54" t="s">
        <v>142</v>
      </c>
    </row>
    <row r="125" spans="3:18" ht="20.100000000000001" customHeight="1" x14ac:dyDescent="0.25">
      <c r="D125" s="55" t="str">
        <f>'Input - Feedlot'!$D$38</f>
        <v>Anaerobic lagoon</v>
      </c>
      <c r="E125" s="55" cm="1">
        <f t="array" ref="E125">MMS_Feedlot_Methane_Equations.VEERG_4_1_1_1__4_Stage3MethaneProductionAnaerobicLagoon(D$30, $I$111,E120,$I$113,$I$114)</f>
        <v>3.2092010495999991E-3</v>
      </c>
      <c r="F125" s="55" cm="1">
        <f t="array" ref="F125">MMS_Feedlot_Methane_Equations.VEERG_4_1_1_1__4_Stage3MethaneProductionAnaerobicLagoon(E$30, $I$111,F120,$I$113,$I$114)</f>
        <v>3.3326318591999997E-3</v>
      </c>
      <c r="G125" s="55" cm="1">
        <f t="array" ref="G125">MMS_Feedlot_Methane_Equations.VEERG_4_1_1_1__4_Stage3MethaneProductionAnaerobicLagoon(F$30, $I$111,G120,$I$113,$I$114)</f>
        <v>2.530331596799999E-3</v>
      </c>
      <c r="H125" s="2" t="str">
        <f>$E$108</f>
        <v>kg CH4/head/day</v>
      </c>
      <c r="M125" s="55" t="str">
        <f>'Input - Feedlot'!$D$38</f>
        <v>Anaerobic lagoon</v>
      </c>
      <c r="N125" s="55" cm="1">
        <f t="array" ref="N125">MMS_Feedlot_Methane_Equations.VEERG_4_1_1_1__4_Stage3MethaneProductionAnaerobicLagoon(M$30, $I$111,E120,$R$113,$I$114)</f>
        <v>3.2947797442559996E-3</v>
      </c>
      <c r="O125" s="55" cm="1">
        <f t="array" ref="O125">MMS_Feedlot_Methane_Equations.VEERG_4_1_1_1__4_Stage3MethaneProductionAnaerobicLagoon(N$30, $I$111,F120,$R$113,$I$114)</f>
        <v>3.4215020421119995E-3</v>
      </c>
      <c r="P125" s="55" cm="1">
        <f t="array" ref="P125">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26</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29</v>
      </c>
      <c r="E135" s="1" t="str" cm="1">
        <f t="array" ref="E135">MMS_Feedlot_Methane_Equations.VEERG_4_1_1_1__1_TotalAnnualMethaneEmissions_Variable()</f>
        <v>E_CH4</v>
      </c>
    </row>
    <row r="136" spans="4:9" ht="20.100000000000001" customHeight="1" x14ac:dyDescent="0.25">
      <c r="D136" s="56" t="s">
        <v>19</v>
      </c>
      <c r="E136" s="57" t="str" cm="1">
        <f t="array" ref="E136">MMS_Feedlot_Methane_Equations.VEERG_4_1_1_1__1_TotalAnnualMethaneEmissions_Unit()</f>
        <v>t CH4</v>
      </c>
    </row>
    <row r="137" spans="4:9" ht="20.100000000000001" customHeight="1" x14ac:dyDescent="0.25"/>
    <row r="138" spans="4:9" ht="20.100000000000001" customHeight="1" x14ac:dyDescent="0.25">
      <c r="D138" s="140" t="str" cm="1">
        <f t="array" ref="D138:E140">_xlfn.CHOOSECOLS(MMS_Feedlot_Methane_Equations.VEERG_4_1_1_1__1_TotalAnnualMethaneEmissions_Arguments(),1,2)</f>
        <v>D_j</v>
      </c>
      <c r="E138" s="143" t="str">
        <v>length of stay of each cattle group</v>
      </c>
      <c r="F138" s="142"/>
      <c r="G138" s="140" t="str" cm="1">
        <f t="array" ref="G138:H140">_xlfn.CHOOSECOLS(MMS_Feedlot_Methane_Equations.VEERG_4_1_1_1__1_TotalAnnualMethaneEmissions_Arguments(),3,4)</f>
        <v>days</v>
      </c>
      <c r="H138" s="131" t="str">
        <v>Input</v>
      </c>
      <c r="I138" s="141" t="str" cm="1">
        <f t="array" aca="1" ref="I138" ca="1">HYPERLINK(Common_InputFunctions.Utility_SourceHyperlink($D$142),$D$142)</f>
        <v>Table_D_j</v>
      </c>
    </row>
    <row r="139" spans="4:9" ht="20.100000000000001" customHeight="1" x14ac:dyDescent="0.25">
      <c r="D139" s="140" t="str">
        <v>M_jmT</v>
      </c>
      <c r="E139" s="143" t="str">
        <v>methane production from manure per cattle group, MMS, and treatment stage</v>
      </c>
      <c r="F139" s="142"/>
      <c r="G139" s="140" t="str">
        <v>kg CH4/head/day</v>
      </c>
      <c r="H139" s="132" t="str">
        <v>Calculated from 4.1.1.1 (2)(3)(4)</v>
      </c>
      <c r="I139" s="141" t="str" cm="1">
        <f t="array" aca="1" ref="I139" ca="1">HYPERLINK(Common_InputFunctions.Utility_SourceHyperlink($D$147),$D$147)</f>
        <v>M1_Table_M_j_m_T</v>
      </c>
    </row>
    <row r="140" spans="4:9" ht="20.100000000000001" customHeight="1" x14ac:dyDescent="0.25">
      <c r="D140" s="140" t="str">
        <v>N_j</v>
      </c>
      <c r="E140" s="143" t="str">
        <v>numbers of beef cattle in each group</v>
      </c>
      <c r="F140" s="142"/>
      <c r="G140" s="140" t="str">
        <v>head</v>
      </c>
      <c r="H140" s="131" t="str">
        <v>Input</v>
      </c>
      <c r="I140" s="141" t="str" cm="1">
        <f t="array" aca="1" ref="I140" ca="1">HYPERLINK(Common_InputFunctions.Utility_SourceHyperlink($D$156),$D$156)</f>
        <v>Table_N_j</v>
      </c>
    </row>
    <row r="141" spans="4:9" ht="20.100000000000001" customHeight="1" x14ac:dyDescent="0.25"/>
    <row r="142" spans="4:9" ht="20.100000000000001" customHeight="1" x14ac:dyDescent="0.25">
      <c r="D142" s="104" t="s">
        <v>124</v>
      </c>
    </row>
    <row r="143" spans="4:9" ht="20.100000000000001" customHeight="1" x14ac:dyDescent="0.25">
      <c r="D143" s="103" t="s">
        <v>122</v>
      </c>
    </row>
    <row r="144" spans="4:9" ht="20.100000000000001" customHeight="1" x14ac:dyDescent="0.25">
      <c r="D144" s="41" t="s">
        <v>140</v>
      </c>
      <c r="E144" s="41" t="s">
        <v>141</v>
      </c>
      <c r="F144" s="41" t="s">
        <v>142</v>
      </c>
    </row>
    <row r="145" spans="4:18" ht="20.100000000000001" customHeight="1" x14ac:dyDescent="0.25">
      <c r="D145" s="107">
        <f>'Input - Feedlot'!$E$9</f>
        <v>90</v>
      </c>
      <c r="E145" s="107">
        <f>'Input - Feedlot'!$F$9</f>
        <v>140</v>
      </c>
      <c r="F145" s="107">
        <f>'Input - Feedlot'!$G$9</f>
        <v>250</v>
      </c>
      <c r="G145" s="2" t="str">
        <f>G138</f>
        <v>days</v>
      </c>
    </row>
    <row r="146" spans="4:18" ht="20.100000000000001" customHeight="1" x14ac:dyDescent="0.25"/>
    <row r="147" spans="4:18" ht="20.100000000000001" customHeight="1" x14ac:dyDescent="0.25">
      <c r="D147" s="104" t="s">
        <v>221</v>
      </c>
      <c r="M147" s="104" t="s">
        <v>223</v>
      </c>
    </row>
    <row r="148" spans="4:18" ht="20.100000000000001" customHeight="1" x14ac:dyDescent="0.25">
      <c r="D148" s="103" t="s">
        <v>222</v>
      </c>
      <c r="M148" s="103" t="s">
        <v>224</v>
      </c>
    </row>
    <row r="149" spans="4:18" ht="20.100000000000001" customHeight="1" x14ac:dyDescent="0.25">
      <c r="D149" s="54" t="s">
        <v>128</v>
      </c>
      <c r="E149" s="54" t="s">
        <v>67</v>
      </c>
      <c r="F149" s="54" t="s">
        <v>140</v>
      </c>
      <c r="G149" s="54" t="s">
        <v>141</v>
      </c>
      <c r="H149" s="54" t="s">
        <v>142</v>
      </c>
      <c r="M149" s="54" t="s">
        <v>128</v>
      </c>
      <c r="N149" s="54" t="s">
        <v>67</v>
      </c>
      <c r="O149" s="54" t="s">
        <v>140</v>
      </c>
      <c r="P149" s="54" t="s">
        <v>141</v>
      </c>
      <c r="Q149" s="54" t="s">
        <v>142</v>
      </c>
    </row>
    <row r="150" spans="4:18" ht="20.100000000000001" customHeight="1" x14ac:dyDescent="0.25">
      <c r="D150" s="55">
        <v>1</v>
      </c>
      <c r="E150" s="55" t="str">
        <f>'Input - Feedlot'!$D$28</f>
        <v>Drylot (feed pad)</v>
      </c>
      <c r="F150" s="55">
        <f>$E$57</f>
        <v>2.1394673663999997E-3</v>
      </c>
      <c r="G150" s="55">
        <f>$F$57</f>
        <v>2.2217545727999995E-3</v>
      </c>
      <c r="H150" s="55">
        <f>$G$57</f>
        <v>1.6868877311999992E-3</v>
      </c>
      <c r="I150" s="2" t="str">
        <f>$G$139</f>
        <v>kg CH4/head/day</v>
      </c>
      <c r="M150" s="55">
        <v>1</v>
      </c>
      <c r="N150" s="55" t="str">
        <f>'Input - Feedlot'!$D$28</f>
        <v>Drylot (feed pad)</v>
      </c>
      <c r="O150" s="55">
        <f>$N$57</f>
        <v>2.1394673663999997E-3</v>
      </c>
      <c r="P150" s="55">
        <f>$O$57</f>
        <v>2.2217545727999995E-3</v>
      </c>
      <c r="Q150" s="55">
        <f>$P$57</f>
        <v>1.6868877311999992E-3</v>
      </c>
      <c r="R150" s="2" t="str">
        <f>$G$139</f>
        <v>kg CH4/head/day</v>
      </c>
    </row>
    <row r="151" spans="4:18" ht="20.100000000000001" customHeight="1" x14ac:dyDescent="0.25">
      <c r="D151" s="55">
        <v>2</v>
      </c>
      <c r="E151" s="55" t="str">
        <f>'Input - Feedlot'!$D$32</f>
        <v>Solid storage</v>
      </c>
      <c r="F151" s="55">
        <f>$E$96</f>
        <v>4.2789347327999993E-4</v>
      </c>
      <c r="G151" s="55">
        <f>$F$96</f>
        <v>4.4435091455999993E-4</v>
      </c>
      <c r="H151" s="55">
        <f>$G$96</f>
        <v>3.3737754623999993E-4</v>
      </c>
      <c r="I151" s="2"/>
      <c r="M151" s="55">
        <v>2</v>
      </c>
      <c r="N151" s="55" t="str">
        <f>'Input - Feedlot'!$D$32</f>
        <v>Solid storage</v>
      </c>
      <c r="O151" s="55">
        <f>$N$96</f>
        <v>4.2789347327999993E-4</v>
      </c>
      <c r="P151" s="55">
        <f>$O$96</f>
        <v>4.4435091455999993E-4</v>
      </c>
      <c r="Q151" s="55">
        <f>$P$96</f>
        <v>3.3737754623999993E-4</v>
      </c>
      <c r="R151" s="2"/>
    </row>
    <row r="152" spans="4:18" ht="20.100000000000001" customHeight="1" x14ac:dyDescent="0.25">
      <c r="D152" s="55">
        <v>2</v>
      </c>
      <c r="E152" s="55" t="str">
        <f>'Input - Feedlot'!$D$33</f>
        <v>Composting (passive windrow)</v>
      </c>
      <c r="F152" s="55">
        <f>$E$97</f>
        <v>2.1394673663999996E-4</v>
      </c>
      <c r="G152" s="55">
        <f>$F$97</f>
        <v>2.2217545727999996E-4</v>
      </c>
      <c r="H152" s="55">
        <f>$G$97</f>
        <v>1.6868877311999997E-4</v>
      </c>
      <c r="I152" s="2"/>
      <c r="M152" s="55">
        <v>2</v>
      </c>
      <c r="N152" s="55" t="str">
        <f>'Input - Feedlot'!$D$33</f>
        <v>Composting (passive windrow)</v>
      </c>
      <c r="O152" s="55">
        <f>$N$97</f>
        <v>2.1394673663999996E-4</v>
      </c>
      <c r="P152" s="55">
        <f>$O$97</f>
        <v>2.2217545727999996E-4</v>
      </c>
      <c r="Q152" s="55">
        <f>$P$97</f>
        <v>1.6868877311999997E-4</v>
      </c>
      <c r="R152" s="2"/>
    </row>
    <row r="153" spans="4:18" ht="20.100000000000001" customHeight="1" x14ac:dyDescent="0.25">
      <c r="D153" s="55">
        <v>2</v>
      </c>
      <c r="E153" s="55" t="str">
        <f>'Input - Feedlot'!$D$34</f>
        <v>Direct application</v>
      </c>
      <c r="F153" s="55">
        <f>$E$98</f>
        <v>0</v>
      </c>
      <c r="G153" s="55">
        <f>$E$98</f>
        <v>0</v>
      </c>
      <c r="H153" s="55">
        <f>$E$98</f>
        <v>0</v>
      </c>
      <c r="I153" s="2"/>
      <c r="M153" s="55">
        <v>2</v>
      </c>
      <c r="N153" s="55" t="str">
        <f>'Input - Feedlot'!$D$34</f>
        <v>Direct application</v>
      </c>
      <c r="O153" s="55">
        <f>$E$98</f>
        <v>0</v>
      </c>
      <c r="P153" s="55">
        <f>$E$98</f>
        <v>0</v>
      </c>
      <c r="Q153" s="55">
        <f>$E$98</f>
        <v>0</v>
      </c>
      <c r="R153" s="2"/>
    </row>
    <row r="154" spans="4:18" ht="20.100000000000001" customHeight="1" x14ac:dyDescent="0.25">
      <c r="D154" s="55">
        <v>3</v>
      </c>
      <c r="E154" s="55" t="str">
        <f>'Input - Feedlot'!$D$38</f>
        <v>Anaerobic lagoon</v>
      </c>
      <c r="F154" s="55">
        <f>$E$125</f>
        <v>3.2092010495999991E-3</v>
      </c>
      <c r="G154" s="55">
        <f>$F$125</f>
        <v>3.3326318591999997E-3</v>
      </c>
      <c r="H154" s="55">
        <f>$G$125</f>
        <v>2.530331596799999E-3</v>
      </c>
      <c r="I154" s="2"/>
      <c r="M154" s="55">
        <v>3</v>
      </c>
      <c r="N154" s="55" t="str">
        <f>'Input - Feedlot'!$D$38</f>
        <v>Anaerobic lagoon</v>
      </c>
      <c r="O154" s="55">
        <f>$N$125</f>
        <v>3.2947797442559996E-3</v>
      </c>
      <c r="P154" s="55">
        <f>$O$125</f>
        <v>3.4215020421119995E-3</v>
      </c>
      <c r="Q154" s="55">
        <f>$P$125</f>
        <v>2.5978071060479987E-3</v>
      </c>
      <c r="R154" s="2"/>
    </row>
    <row r="155" spans="4:18" ht="20.100000000000001" customHeight="1" x14ac:dyDescent="0.25"/>
    <row r="156" spans="4:18" ht="20.100000000000001" customHeight="1" x14ac:dyDescent="0.25">
      <c r="D156" s="104" t="s">
        <v>125</v>
      </c>
    </row>
    <row r="157" spans="4:18" ht="20.100000000000001" customHeight="1" x14ac:dyDescent="0.25">
      <c r="D157" s="103" t="s">
        <v>126</v>
      </c>
    </row>
    <row r="158" spans="4:18" ht="20.100000000000001" customHeight="1" x14ac:dyDescent="0.25">
      <c r="D158" s="41" t="s">
        <v>140</v>
      </c>
      <c r="E158" s="41" t="s">
        <v>141</v>
      </c>
      <c r="F158" s="41" t="s">
        <v>142</v>
      </c>
    </row>
    <row r="159" spans="4:18" ht="20.100000000000001" customHeight="1" x14ac:dyDescent="0.25">
      <c r="D159" s="107">
        <f>'Input - Feedlot'!$E$8</f>
        <v>4300</v>
      </c>
      <c r="E159" s="107">
        <f>'Input - Feedlot'!$F$8</f>
        <v>100</v>
      </c>
      <c r="F159" s="107">
        <f>'Input - Feedlot'!$G$8</f>
        <v>100</v>
      </c>
      <c r="G159" s="2" t="str">
        <f>G140</f>
        <v>head</v>
      </c>
    </row>
    <row r="160" spans="4:18" ht="20.100000000000001" customHeight="1" x14ac:dyDescent="0.25"/>
    <row r="161" spans="4:18" ht="20.100000000000001" customHeight="1" x14ac:dyDescent="0.25">
      <c r="D161" s="104" t="s">
        <v>130</v>
      </c>
      <c r="M161" s="104" t="s">
        <v>130</v>
      </c>
    </row>
    <row r="162" spans="4:18" ht="20.100000000000001" customHeight="1" x14ac:dyDescent="0.25">
      <c r="D162" s="103" t="s">
        <v>131</v>
      </c>
      <c r="M162" s="103" t="s">
        <v>131</v>
      </c>
    </row>
    <row r="163" spans="4:18" ht="20.100000000000001" customHeight="1" x14ac:dyDescent="0.25">
      <c r="D163" s="54" t="s">
        <v>128</v>
      </c>
      <c r="E163" s="54" t="s">
        <v>67</v>
      </c>
      <c r="F163" s="54" t="s">
        <v>140</v>
      </c>
      <c r="G163" s="54" t="s">
        <v>141</v>
      </c>
      <c r="H163" s="54" t="s">
        <v>142</v>
      </c>
      <c r="M163" s="54" t="s">
        <v>128</v>
      </c>
      <c r="N163" s="54" t="s">
        <v>67</v>
      </c>
      <c r="O163" s="54" t="s">
        <v>140</v>
      </c>
      <c r="P163" s="54" t="s">
        <v>141</v>
      </c>
      <c r="Q163" s="54" t="s">
        <v>142</v>
      </c>
    </row>
    <row r="164" spans="4:18" ht="20.100000000000001" customHeight="1" x14ac:dyDescent="0.25">
      <c r="D164" s="55">
        <v>1</v>
      </c>
      <c r="E164" s="55" t="str">
        <f>'Input - Feedlot'!$D$28</f>
        <v>Drylot (feed pad)</v>
      </c>
      <c r="F164" s="55" cm="1">
        <f t="array" ref="F164">MMS_Feedlot_Methane_Equations.VEERG_4_1_1_1__1_TotalAnnualMethaneEmissions(D$145, F150, D$159)</f>
        <v>0.82797387079679996</v>
      </c>
      <c r="G164" s="55" cm="1">
        <f t="array" ref="G164">MMS_Feedlot_Methane_Equations.VEERG_4_1_1_1__1_TotalAnnualMethaneEmissions(E$145, G150, E$159)</f>
        <v>3.1104564019199994E-2</v>
      </c>
      <c r="H164" s="55" cm="1">
        <f t="array" ref="H164">MMS_Feedlot_Methane_Equations.VEERG_4_1_1_1__1_TotalAnnualMethaneEmissions(F$145, H150, F$159)</f>
        <v>4.2172193279999978E-2</v>
      </c>
      <c r="I164" s="2" t="str">
        <f>$E$136</f>
        <v>t CH4</v>
      </c>
      <c r="M164" s="55">
        <v>1</v>
      </c>
      <c r="N164" s="55" t="str">
        <f>'Input - Feedlot'!$D$28</f>
        <v>Drylot (feed pad)</v>
      </c>
      <c r="O164" s="55" cm="1">
        <f t="array" ref="O164">MMS_Feedlot_Methane_Equations.VEERG_4_1_1_1__1_TotalAnnualMethaneEmissions(D$145, O150, D$159)</f>
        <v>0.82797387079679996</v>
      </c>
      <c r="P164" s="55" cm="1">
        <f t="array" ref="P164">MMS_Feedlot_Methane_Equations.VEERG_4_1_1_1__1_TotalAnnualMethaneEmissions(E$145, P150, E$159)</f>
        <v>3.1104564019199994E-2</v>
      </c>
      <c r="Q164" s="55" cm="1">
        <f t="array" ref="Q164">MMS_Feedlot_Methane_Equations.VEERG_4_1_1_1__1_TotalAnnualMethaneEmissions(F$145, Q150, F$159)</f>
        <v>4.2172193279999978E-2</v>
      </c>
      <c r="R164" s="2" t="str">
        <f>$E$136</f>
        <v>t CH4</v>
      </c>
    </row>
    <row r="165" spans="4:18" ht="20.100000000000001" customHeight="1" x14ac:dyDescent="0.25">
      <c r="D165" s="55">
        <v>2</v>
      </c>
      <c r="E165" s="55" t="str">
        <f>'Input - Feedlot'!$D$32</f>
        <v>Solid storage</v>
      </c>
      <c r="F165" s="55" cm="1">
        <f t="array" ref="F165">MMS_Feedlot_Methane_Equations.VEERG_4_1_1_1__1_TotalAnnualMethaneEmissions(D$145, F151, D$159)</f>
        <v>0.16559477415936</v>
      </c>
      <c r="G165" s="55" cm="1">
        <f t="array" ref="G165">MMS_Feedlot_Methane_Equations.VEERG_4_1_1_1__1_TotalAnnualMethaneEmissions(E$145, G151, E$159)</f>
        <v>6.2209128038399984E-3</v>
      </c>
      <c r="H165" s="55" cm="1">
        <f t="array" ref="H165">MMS_Feedlot_Methane_Equations.VEERG_4_1_1_1__1_TotalAnnualMethaneEmissions(F$145, H151, F$159)</f>
        <v>8.4344386559999981E-3</v>
      </c>
      <c r="I165" s="2"/>
      <c r="M165" s="55">
        <v>2</v>
      </c>
      <c r="N165" s="55" t="str">
        <f>'Input - Feedlot'!$D$32</f>
        <v>Solid storage</v>
      </c>
      <c r="O165" s="55" cm="1">
        <f t="array" ref="O165">MMS_Feedlot_Methane_Equations.VEERG_4_1_1_1__1_TotalAnnualMethaneEmissions(D$145, O151, D$159)</f>
        <v>0.16559477415936</v>
      </c>
      <c r="P165" s="55" cm="1">
        <f t="array" ref="P165">MMS_Feedlot_Methane_Equations.VEERG_4_1_1_1__1_TotalAnnualMethaneEmissions(E$145, P151, E$159)</f>
        <v>6.2209128038399984E-3</v>
      </c>
      <c r="Q165" s="55" cm="1">
        <f t="array" ref="Q165">MMS_Feedlot_Methane_Equations.VEERG_4_1_1_1__1_TotalAnnualMethaneEmissions(F$145, Q151, F$159)</f>
        <v>8.4344386559999981E-3</v>
      </c>
      <c r="R165" s="2"/>
    </row>
    <row r="166" spans="4:18" ht="20.100000000000001" customHeight="1" x14ac:dyDescent="0.25">
      <c r="D166" s="55">
        <v>2</v>
      </c>
      <c r="E166" s="55" t="str">
        <f>'Input - Feedlot'!$D$33</f>
        <v>Composting (passive windrow)</v>
      </c>
      <c r="F166" s="55" cm="1">
        <f t="array" ref="F166">MMS_Feedlot_Methane_Equations.VEERG_4_1_1_1__1_TotalAnnualMethaneEmissions(D$145, F152, D$159)</f>
        <v>8.2797387079679999E-2</v>
      </c>
      <c r="G166" s="55" cm="1">
        <f t="array" ref="G166">MMS_Feedlot_Methane_Equations.VEERG_4_1_1_1__1_TotalAnnualMethaneEmissions(E$145, G152, E$159)</f>
        <v>3.1104564019199992E-3</v>
      </c>
      <c r="H166" s="55" cm="1">
        <f t="array" ref="H166">MMS_Feedlot_Methane_Equations.VEERG_4_1_1_1__1_TotalAnnualMethaneEmissions(F$145, H152, F$159)</f>
        <v>4.217219327999999E-3</v>
      </c>
      <c r="I166" s="2"/>
      <c r="M166" s="55">
        <v>2</v>
      </c>
      <c r="N166" s="55" t="str">
        <f>'Input - Feedlot'!$D$33</f>
        <v>Composting (passive windrow)</v>
      </c>
      <c r="O166" s="55" cm="1">
        <f t="array" ref="O166">MMS_Feedlot_Methane_Equations.VEERG_4_1_1_1__1_TotalAnnualMethaneEmissions(D$145, O152, D$159)</f>
        <v>8.2797387079679999E-2</v>
      </c>
      <c r="P166" s="55" cm="1">
        <f t="array" ref="P166">MMS_Feedlot_Methane_Equations.VEERG_4_1_1_1__1_TotalAnnualMethaneEmissions(E$145, P152, E$159)</f>
        <v>3.1104564019199992E-3</v>
      </c>
      <c r="Q166" s="55" cm="1">
        <f t="array" ref="Q166">MMS_Feedlot_Methane_Equations.VEERG_4_1_1_1__1_TotalAnnualMethaneEmissions(F$145, Q152, F$159)</f>
        <v>4.217219327999999E-3</v>
      </c>
      <c r="R166" s="2"/>
    </row>
    <row r="167" spans="4:18" ht="20.100000000000001" customHeight="1" x14ac:dyDescent="0.25">
      <c r="D167" s="55">
        <v>2</v>
      </c>
      <c r="E167" s="55" t="str">
        <f>'Input - Feedlot'!$D$34</f>
        <v>Direct application</v>
      </c>
      <c r="F167" s="55" cm="1">
        <f t="array" ref="F167">MMS_Feedlot_Methane_Equations.VEERG_4_1_1_1__1_TotalAnnualMethaneEmissions(D$145, F153, D$159)</f>
        <v>0</v>
      </c>
      <c r="G167" s="55" cm="1">
        <f t="array" ref="G167">MMS_Feedlot_Methane_Equations.VEERG_4_1_1_1__1_TotalAnnualMethaneEmissions(E$145, G153, E$159)</f>
        <v>0</v>
      </c>
      <c r="H167" s="55" cm="1">
        <f t="array" ref="H167">MMS_Feedlot_Methane_Equations.VEERG_4_1_1_1__1_TotalAnnualMethaneEmissions(F$145, H153, F$159)</f>
        <v>0</v>
      </c>
      <c r="I167" s="2"/>
      <c r="M167" s="55">
        <v>2</v>
      </c>
      <c r="N167" s="55" t="str">
        <f>'Input - Feedlot'!$D$34</f>
        <v>Direct application</v>
      </c>
      <c r="O167" s="55" cm="1">
        <f t="array" ref="O167">MMS_Feedlot_Methane_Equations.VEERG_4_1_1_1__1_TotalAnnualMethaneEmissions(D$145, O153, D$159)</f>
        <v>0</v>
      </c>
      <c r="P167" s="55" cm="1">
        <f t="array" ref="P167">MMS_Feedlot_Methane_Equations.VEERG_4_1_1_1__1_TotalAnnualMethaneEmissions(E$145, P153, E$159)</f>
        <v>0</v>
      </c>
      <c r="Q167" s="55" cm="1">
        <f t="array" ref="Q167">MMS_Feedlot_Methane_Equations.VEERG_4_1_1_1__1_TotalAnnualMethaneEmissions(F$145, Q153, F$159)</f>
        <v>0</v>
      </c>
      <c r="R167" s="2"/>
    </row>
    <row r="168" spans="4:18" ht="20.100000000000001" customHeight="1" x14ac:dyDescent="0.25">
      <c r="D168" s="55">
        <v>3</v>
      </c>
      <c r="E168" s="55" t="str">
        <f>'Input - Feedlot'!$D$38</f>
        <v>Anaerobic lagoon</v>
      </c>
      <c r="F168" s="55" cm="1">
        <f t="array" ref="F168">MMS_Feedlot_Methane_Equations.VEERG_4_1_1_1__1_TotalAnnualMethaneEmissions(D$145, F154, D$159)</f>
        <v>1.2419608061951997</v>
      </c>
      <c r="G168" s="55" cm="1">
        <f t="array" ref="G168">MMS_Feedlot_Methane_Equations.VEERG_4_1_1_1__1_TotalAnnualMethaneEmissions(E$145, G154, E$159)</f>
        <v>4.6656846028799999E-2</v>
      </c>
      <c r="H168" s="55" cm="1">
        <f t="array" ref="H168">MMS_Feedlot_Methane_Equations.VEERG_4_1_1_1__1_TotalAnnualMethaneEmissions(F$145, H154, F$159)</f>
        <v>6.3258289919999974E-2</v>
      </c>
      <c r="I168" s="2"/>
      <c r="M168" s="55">
        <v>3</v>
      </c>
      <c r="N168" s="55" t="str">
        <f>'Input - Feedlot'!$D$38</f>
        <v>Anaerobic lagoon</v>
      </c>
      <c r="O168" s="55" cm="1">
        <f t="array" ref="O168">MMS_Feedlot_Methane_Equations.VEERG_4_1_1_1__1_TotalAnnualMethaneEmissions(D$145, O154, D$159)</f>
        <v>1.2750797610270719</v>
      </c>
      <c r="P168" s="55" cm="1">
        <f t="array" ref="P168">MMS_Feedlot_Methane_Equations.VEERG_4_1_1_1__1_TotalAnnualMethaneEmissions(E$145, P154, E$159)</f>
        <v>4.7901028589567997E-2</v>
      </c>
      <c r="Q168" s="55" cm="1">
        <f t="array" ref="Q168">MMS_Feedlot_Methane_Equations.VEERG_4_1_1_1__1_TotalAnnualMethaneEmissions(F$145, Q154, F$159)</f>
        <v>6.4945177651199976E-2</v>
      </c>
      <c r="R168" s="2"/>
    </row>
    <row r="169" spans="4:18" ht="20.100000000000001" customHeight="1" x14ac:dyDescent="0.25"/>
    <row r="170" spans="4:18" ht="20.100000000000001" customHeight="1" x14ac:dyDescent="0.25"/>
    <row r="171" spans="4:18" ht="20.100000000000001" customHeight="1" x14ac:dyDescent="0.25">
      <c r="D171" s="108" t="s">
        <v>225</v>
      </c>
      <c r="E171" s="109">
        <f>SUM(F164:H168)</f>
        <v>2.5235017586687993</v>
      </c>
      <c r="F171" s="110" t="str">
        <f>$E$136</f>
        <v>t CH4</v>
      </c>
      <c r="M171" s="108" t="s">
        <v>226</v>
      </c>
      <c r="N171" s="109">
        <f>SUM(O164:Q168)</f>
        <v>2.5595517837926396</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E171</f>
        <v>2.5235017586687993</v>
      </c>
      <c r="H173" s="2" t="str">
        <f>$E$136</f>
        <v>t CH4</v>
      </c>
      <c r="M173" s="60" t="str" cm="1">
        <f t="array" ref="M173:N174">Common_Equations.Common_ConvertCH4ToCO2e_Arguments()</f>
        <v>ECH4</v>
      </c>
      <c r="N173" s="61" t="str">
        <v>Methane emissions (t CH4)</v>
      </c>
      <c r="O173" s="111"/>
      <c r="P173" s="55">
        <f>N171</f>
        <v>2.5595517837926396</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227</v>
      </c>
      <c r="E176" s="48" cm="1">
        <f t="array" ref="E176">Common_Equations.Common_ConvertCH4ToCO2e(G173,G174)</f>
        <v>70.658049242726378</v>
      </c>
      <c r="F176" s="112" t="str" cm="1">
        <f t="array" ref="F176">Common_Equations.Common_ConvertN2OToCO2e_Unit()</f>
        <v>t CO2e</v>
      </c>
      <c r="M176" s="48" t="s">
        <v>228</v>
      </c>
      <c r="N176" s="48" cm="1">
        <f t="array" ref="N176">Common_Equations.Common_ConvertCH4ToCO2e(P173,P174)</f>
        <v>71.667449946193912</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disablePrompts="1" count="1">
    <dataValidation operator="equal" allowBlank="1" showInputMessage="1" showErrorMessage="1" sqref="E52:G52 E57:G57 E120:G120 E125:G125 D145:F145 D159:F159 N57:P57 N125:P125"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zoomScaleNormal="100" workbookViewId="0">
      <selection activeCell="A12" sqref="A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262</v>
      </c>
    </row>
    <row r="2" spans="1:20" s="9" customFormat="1" ht="20.100000000000001" customHeight="1" x14ac:dyDescent="0.25"/>
    <row r="3" spans="1:20" ht="20.100000000000001" customHeight="1" x14ac:dyDescent="0.25">
      <c r="A3" s="17" t="str">
        <f>HYPERLINK("#'Home'!A1", "Home")</f>
        <v>Home</v>
      </c>
      <c r="C3" s="4"/>
      <c r="D3" s="4" t="s">
        <v>161</v>
      </c>
      <c r="E3" s="4"/>
      <c r="F3" s="4"/>
      <c r="G3" s="4"/>
      <c r="H3" s="4"/>
      <c r="I3" s="4"/>
      <c r="J3" s="4"/>
      <c r="K3" s="4"/>
      <c r="L3" s="4"/>
      <c r="N3" s="4"/>
      <c r="O3" s="4" t="s">
        <v>162</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A6" s="16"/>
      <c r="D6" s="5" t="str" cm="1">
        <f t="array" ref="D6">MMS_Feedlot_N2ODirect_Equations.VEERG_4_1_1_3__5_NitrogenIntake_Source()</f>
        <v>VEERG 2026: 4.1.1.3, Equation (5)</v>
      </c>
    </row>
    <row r="7" spans="1:20" ht="20.100000000000001" customHeight="1" x14ac:dyDescent="0.25">
      <c r="A7" s="20" t="s">
        <v>3</v>
      </c>
      <c r="D7" s="13" t="s">
        <v>132</v>
      </c>
      <c r="E7" s="13" t="str" cm="1">
        <f t="array" aca="1" ref="E7" ca="1">Common_InputFunctions.Utility_DisplayFunctionName(D30)</f>
        <v>=MMS_Feedlot_N2ODirect_Equations.VEERG_4_1_1_3__5_NitrogenIntake</v>
      </c>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29</v>
      </c>
      <c r="E10" s="1" t="str" cm="1">
        <f t="array" ref="E10">MMS_Feedlot_N2ODirect_Equations.VEERG_4_1_1_3__5_NitrogenIntake_Variable()</f>
        <v>NI_j</v>
      </c>
    </row>
    <row r="11" spans="1:20" ht="20.100000000000001" customHeight="1" x14ac:dyDescent="0.25">
      <c r="A11" s="19" t="s">
        <v>76</v>
      </c>
      <c r="D11" s="56" t="s">
        <v>19</v>
      </c>
      <c r="E11" s="57" t="str" cm="1">
        <f t="array" ref="E11">MMS_Feedlot_N2ODirect_Equations.VEERG_4_1_1_3__5_NitrogenIntake_Unit()</f>
        <v>kg N/head/day</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40" t="str" cm="1">
        <f t="array" ref="D13:E15">_xlfn.CHOOSECOLS(MMS_Feedlot_N2ODirect_Equations.VEERG_4_1_1_3__5_NitrogenIntake_Arguments(),1,2)</f>
        <v>I_j</v>
      </c>
      <c r="E13" s="143" t="str">
        <v>dry matter intake</v>
      </c>
      <c r="F13" s="142"/>
      <c r="G13" s="140" t="str" cm="1">
        <f t="array" ref="G13:H15">_xlfn.CHOOSECOLS(MMS_Feedlot_N2ODirect_Equations.VEERG_4_1_1_3__5_NitrogenIntake_Arguments(),3,4)</f>
        <v>kg DM/head/day</v>
      </c>
      <c r="H13" s="131" t="str">
        <v>Input</v>
      </c>
      <c r="I13" s="141"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40" t="str">
        <v>CP_j</v>
      </c>
      <c r="E14" s="143" t="str">
        <v>crude protein content of feed</v>
      </c>
      <c r="F14" s="142"/>
      <c r="G14" s="140" t="str">
        <v>fraction</v>
      </c>
      <c r="H14" s="131" t="str">
        <v>Input</v>
      </c>
      <c r="I14" s="141"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40" t="str">
        <v>6.25</v>
      </c>
      <c r="E15" s="143" t="str">
        <v>factor for converting crude protein into nitrogen</v>
      </c>
      <c r="F15" s="142"/>
      <c r="G15" s="140" t="str">
        <v>ratio</v>
      </c>
      <c r="H15" s="132" t="str">
        <v>Constant</v>
      </c>
      <c r="I15" s="140" t="str">
        <f>D15</f>
        <v>6.25</v>
      </c>
    </row>
    <row r="16" spans="1:20" ht="20.100000000000001" customHeight="1" x14ac:dyDescent="0.25"/>
    <row r="17" spans="1:19" ht="20.100000000000001" customHeight="1" x14ac:dyDescent="0.25">
      <c r="A17" s="18" t="s">
        <v>4</v>
      </c>
      <c r="D17" s="104" t="s">
        <v>151</v>
      </c>
      <c r="O17" s="104" t="s">
        <v>154</v>
      </c>
    </row>
    <row r="18" spans="1:19" ht="20.100000000000001" customHeight="1" x14ac:dyDescent="0.25">
      <c r="A18" s="17" t="str">
        <f>HYPERLINK("#'Constants - Feedlot'!A1", "Constants - Feedlot")</f>
        <v>Constants - Feedlot</v>
      </c>
      <c r="D18" s="103" t="s">
        <v>198</v>
      </c>
      <c r="O18" s="103" t="s">
        <v>199</v>
      </c>
    </row>
    <row r="19" spans="1:19" ht="20.100000000000001" customHeight="1" x14ac:dyDescent="0.25">
      <c r="A19" s="17" t="str">
        <f>HYPERLINK("#'Constants - Livestock'!A1", "Constants - Livestock")</f>
        <v>Constants - Livestock</v>
      </c>
      <c r="D19" s="41" t="s">
        <v>140</v>
      </c>
      <c r="E19" s="41" t="s">
        <v>141</v>
      </c>
      <c r="F19" s="41" t="s">
        <v>142</v>
      </c>
      <c r="O19" s="41" t="s">
        <v>140</v>
      </c>
      <c r="P19" s="41" t="s">
        <v>141</v>
      </c>
      <c r="Q19" s="41" t="s">
        <v>142</v>
      </c>
    </row>
    <row r="20" spans="1:19"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104</v>
      </c>
      <c r="H20" s="2"/>
      <c r="I20" s="2"/>
      <c r="J20" s="2"/>
      <c r="K20" s="2"/>
      <c r="O20" s="55">
        <f>'Input - Feedlot'!$E$20</f>
        <v>10.4</v>
      </c>
      <c r="P20" s="55">
        <f>'Input - Feedlot'!$F$20</f>
        <v>10.8</v>
      </c>
      <c r="Q20" s="55">
        <f>'Input - Feedlot'!$G$20</f>
        <v>8.1999999999999993</v>
      </c>
      <c r="R20" s="2" t="s">
        <v>104</v>
      </c>
      <c r="S20" s="2"/>
    </row>
    <row r="21" spans="1:19" ht="20.100000000000001" customHeight="1" x14ac:dyDescent="0.25">
      <c r="A21" s="17" t="str">
        <f>HYPERLINK("#'Acknowledgements'!A1", "Acknowledgements")</f>
        <v>Acknowledgements</v>
      </c>
    </row>
    <row r="22" spans="1:19" ht="20.100000000000001" customHeight="1" x14ac:dyDescent="0.25">
      <c r="D22" s="104" t="s">
        <v>152</v>
      </c>
      <c r="O22" s="104" t="s">
        <v>155</v>
      </c>
    </row>
    <row r="23" spans="1:19" ht="20.100000000000001" customHeight="1" x14ac:dyDescent="0.25">
      <c r="D23" s="103" t="s">
        <v>197</v>
      </c>
      <c r="O23" s="103" t="s">
        <v>200</v>
      </c>
    </row>
    <row r="24" spans="1:19" ht="20.100000000000001" customHeight="1" x14ac:dyDescent="0.25">
      <c r="A24" s="17"/>
      <c r="D24" s="41" t="s">
        <v>140</v>
      </c>
      <c r="E24" s="41" t="s">
        <v>141</v>
      </c>
      <c r="F24" s="41" t="s">
        <v>142</v>
      </c>
      <c r="O24" s="41" t="s">
        <v>140</v>
      </c>
      <c r="P24" s="41" t="s">
        <v>141</v>
      </c>
      <c r="Q24" s="41" t="s">
        <v>142</v>
      </c>
    </row>
    <row r="25" spans="1:19" ht="20.100000000000001" customHeight="1" x14ac:dyDescent="0.25">
      <c r="A25" s="17"/>
      <c r="D25" s="55">
        <f>'Input - Feedlot'!$E$16</f>
        <v>0.14000000000000001</v>
      </c>
      <c r="E25" s="55">
        <f>'Input - Feedlot'!$F$16</f>
        <v>0.12</v>
      </c>
      <c r="F25" s="55">
        <f>'Input - Feedlot'!$G$16</f>
        <v>0.12</v>
      </c>
      <c r="G25" s="2" t="s">
        <v>330</v>
      </c>
      <c r="H25" s="2"/>
      <c r="I25" s="2"/>
      <c r="J25" s="2"/>
      <c r="K25" s="2"/>
      <c r="O25" s="55">
        <f>'Input - Feedlot'!$E$22</f>
        <v>0.14000000000000001</v>
      </c>
      <c r="P25" s="55">
        <f>'Input - Feedlot'!$F$22</f>
        <v>0.12</v>
      </c>
      <c r="Q25" s="55">
        <f>'Input - Feedlot'!$G$22</f>
        <v>0.12</v>
      </c>
      <c r="R25" s="2" t="s">
        <v>330</v>
      </c>
      <c r="S25" s="2"/>
    </row>
    <row r="26" spans="1:19" ht="20.100000000000001" customHeight="1" x14ac:dyDescent="0.25"/>
    <row r="27" spans="1:19" ht="20.100000000000001" customHeight="1" x14ac:dyDescent="0.25">
      <c r="D27" s="104" t="s">
        <v>153</v>
      </c>
      <c r="O27" s="104" t="s">
        <v>156</v>
      </c>
    </row>
    <row r="28" spans="1:19" ht="20.100000000000001" customHeight="1" x14ac:dyDescent="0.25">
      <c r="D28" s="103" t="s">
        <v>196</v>
      </c>
      <c r="O28" s="103" t="s">
        <v>201</v>
      </c>
    </row>
    <row r="29" spans="1:19" ht="20.100000000000001" customHeight="1" x14ac:dyDescent="0.25">
      <c r="D29" s="54" t="s">
        <v>140</v>
      </c>
      <c r="E29" s="54" t="s">
        <v>141</v>
      </c>
      <c r="F29" s="54" t="s">
        <v>142</v>
      </c>
      <c r="O29" s="54" t="s">
        <v>140</v>
      </c>
      <c r="P29" s="54" t="s">
        <v>141</v>
      </c>
      <c r="Q29" s="54" t="s">
        <v>142</v>
      </c>
    </row>
    <row r="30" spans="1:19" ht="20.100000000000001" customHeight="1" x14ac:dyDescent="0.25">
      <c r="D30" s="55" cm="1">
        <f t="array" ref="D30">MMS_Feedlot_N2ODirect_Equations.VEERG_4_1_1_3__5_NitrogenIntake(D20,D25)</f>
        <v>0.23296000000000003</v>
      </c>
      <c r="E30" s="55" cm="1">
        <f t="array" ref="E30">MMS_Feedlot_N2ODirect_Equations.VEERG_4_1_1_3__5_NitrogenIntake(E20,E25)</f>
        <v>0.20736000000000002</v>
      </c>
      <c r="F30" s="55" cm="1">
        <f t="array" ref="F30">MMS_Feedlot_N2ODirect_Equations.VEERG_4_1_1_3__5_NitrogenIntake(F20,F25)</f>
        <v>0.15743999999999997</v>
      </c>
      <c r="G30" s="2" t="str">
        <f>$E$11</f>
        <v>kg N/head/day</v>
      </c>
      <c r="H30" s="2"/>
      <c r="I30" s="2"/>
      <c r="J30" s="2"/>
      <c r="K30" s="2"/>
      <c r="O30" s="55" cm="1">
        <f t="array" ref="O30">MMS_Feedlot_N2ODirect_Equations.VEERG_4_1_1_3__5_NitrogenIntake(O20,O25)</f>
        <v>0.23296000000000003</v>
      </c>
      <c r="P30" s="55" cm="1">
        <f t="array" ref="P30">MMS_Feedlot_N2ODirect_Equations.VEERG_4_1_1_3__5_NitrogenIntake(P20,P25)</f>
        <v>0.20736000000000002</v>
      </c>
      <c r="Q30" s="55" cm="1">
        <f t="array" ref="Q30">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26</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29</v>
      </c>
      <c r="E40" s="1" t="str" cm="1">
        <f t="array" ref="E40">MMS_Feedlot_N2ODirect_Equations.VEERG_4_1_1_3__4_NitrogenExcretionPerHead_Variable()</f>
        <v>NE_j</v>
      </c>
    </row>
    <row r="41" spans="3:20" ht="20.100000000000001" customHeight="1" x14ac:dyDescent="0.25">
      <c r="D41" s="56" t="s">
        <v>19</v>
      </c>
      <c r="E41" s="57" t="str" cm="1">
        <f t="array" ref="E41">MMS_Feedlot_N2ODirect_Equations.VEERG_4_1_1_3__4_NitrogenExcretionPerHead_Unit()</f>
        <v>kg N/head/day</v>
      </c>
    </row>
    <row r="42" spans="3:20" ht="20.100000000000001" customHeight="1" x14ac:dyDescent="0.25"/>
    <row r="43" spans="3:20" ht="20.100000000000001" customHeight="1" x14ac:dyDescent="0.25">
      <c r="D43" s="140" t="str" cm="1">
        <f t="array" ref="D43:E44">_xlfn.CHOOSECOLS(MMS_Feedlot_N2ODirect_Equations.VEERG_4_1_1_3__4_NitrogenExcretionPerHead_Arguments(),1,2)</f>
        <v>NI_j</v>
      </c>
      <c r="E43" s="143" t="str">
        <v>nitrogen intake</v>
      </c>
      <c r="F43" s="142"/>
      <c r="G43" s="140" t="str" cm="1">
        <f t="array" ref="G43:H44">_xlfn.CHOOSECOLS(MMS_Feedlot_N2ODirect_Equations.VEERG_4_1_1_3__4_NitrogenExcretionPerHead_Arguments(),3,4)</f>
        <v>kg N/head/day</v>
      </c>
      <c r="H43" s="132" t="str">
        <v>Calculated from 4.1.1.3 (5)</v>
      </c>
      <c r="I43" s="141" t="str" cm="1">
        <f t="array" aca="1" ref="I43" ca="1">HYPERLINK(Common_InputFunctions.Utility_SourceHyperlink($D$27),$D$27)</f>
        <v>M1_Table_NI_j</v>
      </c>
    </row>
    <row r="44" spans="3:20" ht="20.100000000000001" customHeight="1" x14ac:dyDescent="0.25">
      <c r="D44" s="140" t="str">
        <v>NR_j</v>
      </c>
      <c r="E44" s="143" t="str">
        <v>nitrogen retention expressed as a fraction of intake</v>
      </c>
      <c r="F44" s="142"/>
      <c r="G44" s="140" t="str">
        <v>fraction</v>
      </c>
      <c r="H44" s="131" t="str">
        <v>Input</v>
      </c>
      <c r="I44" s="141" t="str" cm="1">
        <f t="array" aca="1" ref="I44" ca="1">HYPERLINK(Common_InputFunctions.Utility_SourceHyperlink($D$46),$D$46)</f>
        <v>M1_Table_NR_j</v>
      </c>
    </row>
    <row r="45" spans="3:20" ht="20.100000000000001" customHeight="1" x14ac:dyDescent="0.25"/>
    <row r="46" spans="3:20" ht="20.100000000000001" customHeight="1" x14ac:dyDescent="0.25">
      <c r="D46" s="104" t="s">
        <v>157</v>
      </c>
      <c r="E46" s="2"/>
      <c r="F46" s="2"/>
      <c r="O46" s="104" t="s">
        <v>158</v>
      </c>
      <c r="P46" s="2"/>
      <c r="Q46" s="2"/>
    </row>
    <row r="47" spans="3:20" ht="20.100000000000001" customHeight="1" x14ac:dyDescent="0.25">
      <c r="D47" s="103" t="s">
        <v>194</v>
      </c>
      <c r="O47" s="103" t="s">
        <v>195</v>
      </c>
    </row>
    <row r="48" spans="3:20" ht="20.100000000000001" customHeight="1" x14ac:dyDescent="0.25">
      <c r="D48" s="41" t="s">
        <v>140</v>
      </c>
      <c r="E48" s="41" t="s">
        <v>141</v>
      </c>
      <c r="F48" s="41" t="s">
        <v>142</v>
      </c>
      <c r="O48" s="41" t="s">
        <v>140</v>
      </c>
      <c r="P48" s="41" t="s">
        <v>141</v>
      </c>
      <c r="Q48" s="41" t="s">
        <v>142</v>
      </c>
    </row>
    <row r="49" spans="3:20" ht="20.100000000000001" customHeight="1" x14ac:dyDescent="0.25">
      <c r="D49" s="55">
        <f>'Input - Feedlot'!$E$17/100</f>
        <v>0.20399999999999999</v>
      </c>
      <c r="E49" s="55">
        <f>'Input - Feedlot'!$F$17/100</f>
        <v>0.127</v>
      </c>
      <c r="F49" s="55">
        <f>'Input - Feedlot'!$G$17/100</f>
        <v>7.0000000000000007E-2</v>
      </c>
      <c r="G49" s="2" t="s">
        <v>163</v>
      </c>
      <c r="H49" s="2"/>
      <c r="I49" s="2"/>
      <c r="J49" s="2"/>
      <c r="K49" s="2"/>
      <c r="O49" s="55">
        <f>'Input - Feedlot'!$E$23/100</f>
        <v>0.20399999999999999</v>
      </c>
      <c r="P49" s="55">
        <f>'Input - Feedlot'!$F$23/100</f>
        <v>0.127</v>
      </c>
      <c r="Q49" s="55">
        <f>'Input - Feedlot'!$G$23/100</f>
        <v>7.0000000000000007E-2</v>
      </c>
      <c r="R49" s="2" t="s">
        <v>330</v>
      </c>
      <c r="S49" s="2"/>
    </row>
    <row r="50" spans="3:20" ht="20.100000000000001" customHeight="1" x14ac:dyDescent="0.25"/>
    <row r="51" spans="3:20" ht="20.100000000000001" customHeight="1" x14ac:dyDescent="0.25">
      <c r="D51" s="104" t="s">
        <v>159</v>
      </c>
      <c r="O51" s="104" t="s">
        <v>160</v>
      </c>
    </row>
    <row r="52" spans="3:20" ht="20.100000000000001" customHeight="1" x14ac:dyDescent="0.25">
      <c r="D52" s="103" t="s">
        <v>194</v>
      </c>
      <c r="O52" s="103" t="s">
        <v>195</v>
      </c>
    </row>
    <row r="53" spans="3:20" ht="20.100000000000001" customHeight="1" x14ac:dyDescent="0.25">
      <c r="D53" s="54" t="s">
        <v>140</v>
      </c>
      <c r="E53" s="54" t="s">
        <v>141</v>
      </c>
      <c r="F53" s="54" t="s">
        <v>142</v>
      </c>
      <c r="O53" s="54" t="s">
        <v>140</v>
      </c>
      <c r="P53" s="54" t="s">
        <v>141</v>
      </c>
      <c r="Q53" s="54" t="s">
        <v>142</v>
      </c>
    </row>
    <row r="54" spans="3:20" ht="20.100000000000001" customHeight="1" x14ac:dyDescent="0.25">
      <c r="D54" s="55" cm="1">
        <f t="array" ref="D54">MMS_Feedlot_N2ODirect_Equations.VEERG_4_1_1_3__4_NitrogenExcretionPerHead(D30,D49)</f>
        <v>0.18543616000000004</v>
      </c>
      <c r="E54" s="55" cm="1">
        <f t="array" ref="E54">MMS_Feedlot_N2ODirect_Equations.VEERG_4_1_1_3__4_NitrogenExcretionPerHead(E30,E49)</f>
        <v>0.18102528000000001</v>
      </c>
      <c r="F54" s="55" cm="1">
        <f t="array" ref="F54">MMS_Feedlot_N2ODirect_Equations.VEERG_4_1_1_3__4_NitrogenExcretionPerHead(F30,F49)</f>
        <v>0.14641919999999997</v>
      </c>
      <c r="G54" s="2" t="str">
        <f>$E$41</f>
        <v>kg N/head/day</v>
      </c>
      <c r="H54" s="2"/>
      <c r="I54" s="2"/>
      <c r="J54" s="2"/>
      <c r="K54" s="2"/>
      <c r="O54" s="55" cm="1">
        <f t="array" ref="O54">MMS_Feedlot_N2ODirect_Equations.VEERG_4_1_1_3__4_NitrogenExcretionPerHead(O30,O49)</f>
        <v>0.18543616000000004</v>
      </c>
      <c r="P54" s="55" cm="1">
        <f t="array" ref="P54">MMS_Feedlot_N2ODirect_Equations.VEERG_4_1_1_3__4_NitrogenExcretionPerHead(P30,P49)</f>
        <v>0.18102528000000001</v>
      </c>
      <c r="Q54" s="55" cm="1">
        <f t="array" ref="Q54">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26</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6" t="s">
        <v>29</v>
      </c>
      <c r="E63" s="1" t="str" cm="1">
        <f t="array" ref="E63">MMS_Feedlot_N2ODirect_Equations.VEERG_4_1_1_3__3_AnnualNitrogenExcretion_Variable()</f>
        <v>AE_j</v>
      </c>
    </row>
    <row r="64" spans="3:20" ht="20.100000000000001" customHeight="1" x14ac:dyDescent="0.25">
      <c r="D64" s="56" t="s">
        <v>19</v>
      </c>
      <c r="E64" s="57" t="str" cm="1">
        <f t="array" ref="E64">MMS_Feedlot_N2ODirect_Equations.VEERG_4_1_1_3__3_AnnualNitrogenExcretion_Unit()</f>
        <v>kg N</v>
      </c>
    </row>
    <row r="65" spans="4:15" ht="20.100000000000001" customHeight="1" x14ac:dyDescent="0.25"/>
    <row r="66" spans="4:15" ht="20.100000000000001" customHeight="1" x14ac:dyDescent="0.25">
      <c r="D66" s="140" t="str" cm="1">
        <f t="array" ref="D66:G68">MMS_Feedlot_N2ODirect_Equations.VEERG_4_1_1_3__3_AnnualNitrogenExcretion_Arguments()</f>
        <v>N_j</v>
      </c>
      <c r="E66" s="140" t="str">
        <v>number of cattle in each group</v>
      </c>
      <c r="F66" s="140" t="str">
        <v>head</v>
      </c>
      <c r="G66" s="131" t="str">
        <v>Input</v>
      </c>
      <c r="H66" s="141" t="str" cm="1">
        <f t="array" aca="1" ref="H66" ca="1">HYPERLINK(Common_InputFunctions.Utility_SourceHyperlink($D$70),$D$70)</f>
        <v>Table_N_j</v>
      </c>
    </row>
    <row r="67" spans="4:15" ht="20.100000000000001" customHeight="1" x14ac:dyDescent="0.25">
      <c r="D67" s="140" t="str">
        <v>NE_j</v>
      </c>
      <c r="E67" s="140" t="str">
        <v>nitrogen excretion</v>
      </c>
      <c r="F67" s="140" t="str">
        <v>kg N/head/day</v>
      </c>
      <c r="G67" s="132" t="str">
        <v>Calculated from 4.1.1.3 (4)</v>
      </c>
      <c r="H67" s="141" t="str" cm="1">
        <f t="array" aca="1" ref="H67" ca="1">HYPERLINK(Common_InputFunctions.Utility_SourceHyperlink($D$51),$D$51)</f>
        <v>M1_Table_NE_j</v>
      </c>
    </row>
    <row r="68" spans="4:15" ht="20.100000000000001" customHeight="1" x14ac:dyDescent="0.25">
      <c r="D68" s="140" t="str">
        <v>D_j</v>
      </c>
      <c r="E68" s="140" t="str">
        <v>duration of stay of cattle group</v>
      </c>
      <c r="F68" s="140" t="str">
        <v>days</v>
      </c>
      <c r="G68" s="131" t="str">
        <v>Input</v>
      </c>
      <c r="H68" s="141" t="str" cm="1">
        <f t="array" aca="1" ref="H68" ca="1">HYPERLINK(Common_InputFunctions.Utility_SourceHyperlink($D$75),$D$75)</f>
        <v>Table_D_j</v>
      </c>
    </row>
    <row r="69" spans="4:15" ht="20.100000000000001" customHeight="1" x14ac:dyDescent="0.25"/>
    <row r="70" spans="4:15" ht="20.100000000000001" customHeight="1" x14ac:dyDescent="0.25">
      <c r="D70" s="104" t="s">
        <v>125</v>
      </c>
    </row>
    <row r="71" spans="4:15" ht="20.100000000000001" customHeight="1" x14ac:dyDescent="0.25">
      <c r="D71" s="103" t="s">
        <v>126</v>
      </c>
    </row>
    <row r="72" spans="4:15" ht="20.100000000000001" customHeight="1" x14ac:dyDescent="0.25">
      <c r="D72" s="41" t="s">
        <v>140</v>
      </c>
      <c r="E72" s="41" t="s">
        <v>141</v>
      </c>
      <c r="F72" s="41" t="s">
        <v>142</v>
      </c>
    </row>
    <row r="73" spans="4:15" ht="20.100000000000001" customHeight="1" x14ac:dyDescent="0.25">
      <c r="D73" s="107">
        <f>'Input - Feedlot'!$E$8</f>
        <v>4300</v>
      </c>
      <c r="E73" s="107">
        <f>'Input - Feedlot'!$F$8</f>
        <v>100</v>
      </c>
      <c r="F73" s="107">
        <f>'Input - Feedlot'!$G$8</f>
        <v>100</v>
      </c>
      <c r="G73" s="2" t="s">
        <v>127</v>
      </c>
      <c r="H73" s="2"/>
      <c r="I73" s="2"/>
      <c r="J73" s="2"/>
      <c r="K73" s="2"/>
    </row>
    <row r="74" spans="4:15" ht="20.100000000000001" customHeight="1" x14ac:dyDescent="0.25"/>
    <row r="75" spans="4:15" ht="20.100000000000001" customHeight="1" x14ac:dyDescent="0.25">
      <c r="D75" s="104" t="s">
        <v>124</v>
      </c>
    </row>
    <row r="76" spans="4:15" ht="20.100000000000001" customHeight="1" x14ac:dyDescent="0.25">
      <c r="D76" s="103" t="s">
        <v>122</v>
      </c>
    </row>
    <row r="77" spans="4:15" ht="20.100000000000001" customHeight="1" x14ac:dyDescent="0.25">
      <c r="D77" s="41" t="s">
        <v>140</v>
      </c>
      <c r="E77" s="41" t="s">
        <v>141</v>
      </c>
      <c r="F77" s="41" t="s">
        <v>142</v>
      </c>
    </row>
    <row r="78" spans="4:15" ht="20.100000000000001" customHeight="1" x14ac:dyDescent="0.25">
      <c r="D78" s="107">
        <f>'Input - Feedlot'!$E$9</f>
        <v>90</v>
      </c>
      <c r="E78" s="107">
        <f>'Input - Feedlot'!$F$9</f>
        <v>140</v>
      </c>
      <c r="F78" s="107">
        <f>'Input - Feedlot'!$G$9</f>
        <v>250</v>
      </c>
      <c r="G78" s="2" t="s">
        <v>54</v>
      </c>
      <c r="H78" s="2"/>
      <c r="I78" s="2"/>
      <c r="J78" s="2"/>
      <c r="K78" s="2"/>
    </row>
    <row r="79" spans="4:15" ht="20.100000000000001" customHeight="1" x14ac:dyDescent="0.25"/>
    <row r="80" spans="4:15" ht="20.100000000000001" customHeight="1" x14ac:dyDescent="0.25">
      <c r="D80" s="104" t="s">
        <v>164</v>
      </c>
      <c r="O80" s="104" t="s">
        <v>165</v>
      </c>
    </row>
    <row r="81" spans="3:20" ht="20.100000000000001" customHeight="1" x14ac:dyDescent="0.25">
      <c r="D81" s="103" t="s">
        <v>192</v>
      </c>
      <c r="O81" s="103" t="s">
        <v>193</v>
      </c>
    </row>
    <row r="82" spans="3:20" ht="20.100000000000001" customHeight="1" x14ac:dyDescent="0.25">
      <c r="D82" s="54" t="s">
        <v>140</v>
      </c>
      <c r="E82" s="54" t="s">
        <v>141</v>
      </c>
      <c r="F82" s="54" t="s">
        <v>142</v>
      </c>
      <c r="O82" s="54" t="s">
        <v>140</v>
      </c>
      <c r="P82" s="54" t="s">
        <v>141</v>
      </c>
      <c r="Q82" s="54" t="s">
        <v>142</v>
      </c>
    </row>
    <row r="83" spans="3:20" ht="20.100000000000001" customHeight="1" x14ac:dyDescent="0.25">
      <c r="D83" s="107" cm="1">
        <f t="array" ref="D83">MMS_Feedlot_N2ODirect_Equations.VEERG_4_1_1_3__3_AnnualNitrogenExcretion(D73,D54,D78)</f>
        <v>71763.793920000026</v>
      </c>
      <c r="E83" s="107" cm="1">
        <f t="array" ref="E83">MMS_Feedlot_N2ODirect_Equations.VEERG_4_1_1_3__3_AnnualNitrogenExcretion(E73,E54,E78)</f>
        <v>2534.35392</v>
      </c>
      <c r="F83" s="107" cm="1">
        <f t="array" ref="F83">MMS_Feedlot_N2ODirect_Equations.VEERG_4_1_1_3__3_AnnualNitrogenExcretion(F73,F54,F78)</f>
        <v>3660.4799999999991</v>
      </c>
      <c r="G83" s="2" t="str">
        <f>$E$64</f>
        <v>kg N</v>
      </c>
      <c r="H83" s="2"/>
      <c r="I83" s="2"/>
      <c r="J83" s="2"/>
      <c r="K83" s="2"/>
      <c r="O83" s="107" cm="1">
        <f t="array" ref="O83">MMS_Feedlot_N2ODirect_Equations.VEERG_4_1_1_3__3_AnnualNitrogenExcretion(D73,O54,D78)</f>
        <v>71763.793920000026</v>
      </c>
      <c r="P83" s="107" cm="1">
        <f t="array" ref="P83">MMS_Feedlot_N2ODirect_Equations.VEERG_4_1_1_3__3_AnnualNitrogenExcretion(E73,P54,E78)</f>
        <v>2534.35392</v>
      </c>
      <c r="Q83" s="107" cm="1">
        <f t="array" ref="Q83">MMS_Feedlot_N2ODirect_Equations.VEERG_4_1_1_3__3_AnnualNitrogenExcretion(F73,Q54,F78)</f>
        <v>3660.4799999999991</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26</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6" t="s">
        <v>29</v>
      </c>
      <c r="E92" s="1" t="str" cm="1">
        <f t="array" ref="E92">MMS_Feedlot_N2ODirect_Equations.VEERG_4_1_1_3__2_Stage1NitrogenInMMSDrylot_Variable()</f>
        <v>MN_jm5T1</v>
      </c>
    </row>
    <row r="93" spans="3:20" ht="20.100000000000001" customHeight="1" x14ac:dyDescent="0.25">
      <c r="D93" s="56" t="s">
        <v>19</v>
      </c>
      <c r="E93" s="57" t="str" cm="1">
        <f t="array" ref="E93">MMS_Feedlot_N2ODirect_Equations.VEERG_4_1_1_3__2_Stage1NitrogenInMMSDrylot_Unit()</f>
        <v>kg N</v>
      </c>
    </row>
    <row r="94" spans="3:20" ht="20.100000000000001" customHeight="1" x14ac:dyDescent="0.25"/>
    <row r="95" spans="3:20" ht="20.100000000000001" customHeight="1" x14ac:dyDescent="0.25">
      <c r="D95" s="140" t="str" cm="1">
        <f t="array" ref="D95:E96">_xlfn.CHOOSECOLS(MMS_Feedlot_N2ODirect_Equations.VEERG_4_1_1_3__2_Stage1NitrogenInMMSDrylot_Arguments(),1,2)</f>
        <v>AE_j</v>
      </c>
      <c r="E95" s="143" t="str">
        <v>total nitrogen excreted by each cattle group</v>
      </c>
      <c r="F95" s="142"/>
      <c r="G95" s="140" t="str" cm="1">
        <f t="array" ref="G95:H96">_xlfn.CHOOSECOLS(MMS_Feedlot_N2ODirect_Equations.VEERG_4_1_1_3__2_Stage1NitrogenInMMSDrylot_Arguments(),3,4)</f>
        <v>kg N</v>
      </c>
      <c r="H95" s="132" t="str">
        <v>Calculated from 4.1.1.3 (3)</v>
      </c>
      <c r="I95" s="141" t="str" cm="1">
        <f t="array" aca="1" ref="I95" ca="1">HYPERLINK(Common_InputFunctions.Utility_SourceHyperlink($D$80),$D$80)</f>
        <v>M1_Table_AE_j</v>
      </c>
    </row>
    <row r="96" spans="3:20" ht="20.100000000000001" customHeight="1" x14ac:dyDescent="0.25">
      <c r="D96" s="140" t="str">
        <v>MMS_jm5T1</v>
      </c>
      <c r="E96" s="143" t="str">
        <v>fraction of manure in primary system drylot MMS</v>
      </c>
      <c r="F96" s="142"/>
      <c r="G96" s="140" t="str">
        <v>fraction</v>
      </c>
      <c r="H96" s="131" t="str">
        <v>Input</v>
      </c>
      <c r="I96" s="141" t="str" cm="1">
        <f t="array" aca="1" ref="I96" ca="1">HYPERLINK(Common_InputFunctions.Utility_SourceHyperlink($D$98),$D$98)</f>
        <v>Table_MMS_j_m-5_T-1</v>
      </c>
    </row>
    <row r="97" spans="3:20" ht="20.100000000000001" customHeight="1" x14ac:dyDescent="0.25"/>
    <row r="98" spans="3:20" ht="20.100000000000001" customHeight="1" x14ac:dyDescent="0.25">
      <c r="D98" s="104" t="s">
        <v>166</v>
      </c>
    </row>
    <row r="99" spans="3:20" ht="20.100000000000001" customHeight="1" x14ac:dyDescent="0.25">
      <c r="D99" s="103" t="s">
        <v>109</v>
      </c>
    </row>
    <row r="100" spans="3:20" ht="20.100000000000001" customHeight="1" x14ac:dyDescent="0.25">
      <c r="D100" s="41" t="s">
        <v>106</v>
      </c>
      <c r="E100" s="41" t="s">
        <v>140</v>
      </c>
      <c r="F100" s="41" t="s">
        <v>141</v>
      </c>
      <c r="G100" s="41" t="s">
        <v>142</v>
      </c>
    </row>
    <row r="101" spans="3:20" ht="20.100000000000001" customHeight="1" x14ac:dyDescent="0.25">
      <c r="D101" s="55" t="str">
        <f>'Input - Feedlot'!$D$28</f>
        <v>Drylot (feed pad)</v>
      </c>
      <c r="E101" s="55">
        <f>'Input - Feedlot'!$E$28</f>
        <v>1</v>
      </c>
      <c r="F101" s="55">
        <f>'Input - Feedlot'!$F$28</f>
        <v>1</v>
      </c>
      <c r="G101" s="55">
        <f>'Input - Feedlot'!$G$28</f>
        <v>1</v>
      </c>
      <c r="H101" s="2" t="s">
        <v>330</v>
      </c>
      <c r="I101" s="2"/>
      <c r="J101" s="2"/>
      <c r="K101" s="2"/>
    </row>
    <row r="102" spans="3:20" ht="20.100000000000001" customHeight="1" x14ac:dyDescent="0.25"/>
    <row r="103" spans="3:20" ht="20.100000000000001" customHeight="1" x14ac:dyDescent="0.25">
      <c r="D103" s="104" t="s">
        <v>167</v>
      </c>
      <c r="O103" s="104" t="s">
        <v>168</v>
      </c>
    </row>
    <row r="104" spans="3:20" ht="20.100000000000001" customHeight="1" x14ac:dyDescent="0.25">
      <c r="D104" s="103" t="s">
        <v>190</v>
      </c>
      <c r="O104" s="103" t="s">
        <v>191</v>
      </c>
    </row>
    <row r="105" spans="3:20" ht="20.100000000000001" customHeight="1" x14ac:dyDescent="0.25">
      <c r="D105" s="54" t="s">
        <v>106</v>
      </c>
      <c r="E105" s="54" t="s">
        <v>140</v>
      </c>
      <c r="F105" s="54" t="s">
        <v>141</v>
      </c>
      <c r="G105" s="54" t="s">
        <v>142</v>
      </c>
      <c r="O105" s="54" t="s">
        <v>106</v>
      </c>
      <c r="P105" s="54" t="s">
        <v>140</v>
      </c>
      <c r="Q105" s="54" t="s">
        <v>141</v>
      </c>
      <c r="R105" s="54" t="s">
        <v>142</v>
      </c>
    </row>
    <row r="106" spans="3:20" ht="20.100000000000001" customHeight="1" x14ac:dyDescent="0.25">
      <c r="D106" s="55" t="str">
        <f>'Input - Feedlot'!$D$28</f>
        <v>Drylot (feed pad)</v>
      </c>
      <c r="E106" s="55" cm="1">
        <f t="array" ref="E106">MMS_Feedlot_N2ODirect_Equations.VEERG_4_1_1_3__2_Stage1NitrogenInMMSDrylot(D83,E101)</f>
        <v>71763.793920000026</v>
      </c>
      <c r="F106" s="55" cm="1">
        <f t="array" ref="F106">MMS_Feedlot_N2ODirect_Equations.VEERG_4_1_1_3__2_Stage1NitrogenInMMSDrylot(E83,F101)</f>
        <v>2534.35392</v>
      </c>
      <c r="G106" s="55" cm="1">
        <f t="array" ref="G106">MMS_Feedlot_N2ODirect_Equations.VEERG_4_1_1_3__2_Stage1NitrogenInMMSDrylot(F83,G101)</f>
        <v>3660.4799999999991</v>
      </c>
      <c r="H106" s="2" t="str">
        <f>$E$93</f>
        <v>kg N</v>
      </c>
      <c r="I106" s="2"/>
      <c r="J106" s="2"/>
      <c r="K106" s="2"/>
      <c r="O106" s="55" t="str">
        <f>'Input - Feedlot'!$D$28</f>
        <v>Drylot (feed pad)</v>
      </c>
      <c r="P106" s="55" cm="1">
        <f t="array" ref="P106">MMS_Feedlot_N2ODirect_Equations.VEERG_4_1_1_3__2_Stage1NitrogenInMMSDrylot(O83,E101)</f>
        <v>71763.793920000026</v>
      </c>
      <c r="Q106" s="55" cm="1">
        <f t="array" ref="Q106">MMS_Feedlot_N2ODirect_Equations.VEERG_4_1_1_3__2_Stage1NitrogenInMMSDrylot(P83,F101)</f>
        <v>2534.35392</v>
      </c>
      <c r="R106" s="55" cm="1">
        <f t="array" ref="R106">MMS_Feedlot_N2ODirect_Equations.VEERG_4_1_1_3__2_Stage1NitrogenInMMSDrylot(Q83,G101)</f>
        <v>3660.4799999999991</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26</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6" t="s">
        <v>29</v>
      </c>
      <c r="E115" s="1" t="str" cm="1">
        <f t="array" ref="E115">MMS_Feedlot_N2ODirect_Equations.VEERG_4_1_1_3__8_Stage3NitrogenInMMSAnaerobicLagoon_Variable()</f>
        <v>MN_jm1T3</v>
      </c>
    </row>
    <row r="116" spans="4:18" ht="20.100000000000001" customHeight="1" x14ac:dyDescent="0.25">
      <c r="D116" s="56" t="s">
        <v>19</v>
      </c>
      <c r="E116" s="57" t="str" cm="1">
        <f t="array" ref="E116">MMS_Feedlot_N2ODirect_Equations.VEERG_4_1_1_3__8_Stage3NitrogenInMMSAnaerobicLagoon_Unit()</f>
        <v>kg N</v>
      </c>
    </row>
    <row r="117" spans="4:18" ht="20.100000000000001" customHeight="1" x14ac:dyDescent="0.25"/>
    <row r="118" spans="4:18" ht="20.100000000000001" customHeight="1" x14ac:dyDescent="0.25">
      <c r="D118" s="140" t="str" cm="1">
        <f t="array" ref="D118:E119">_xlfn.CHOOSECOLS(MMS_Feedlot_N2ODirect_Equations.VEERG_4_1_1_3__8_Stage3NitrogenInMMSAnaerobicLagoon_Arguments(),1,2)</f>
        <v>AE_j</v>
      </c>
      <c r="E118" s="143" t="str">
        <v>total nitrogen excreted by each cattle group</v>
      </c>
      <c r="F118" s="142"/>
      <c r="G118" s="140" t="str" cm="1">
        <f t="array" ref="G118:H119">_xlfn.CHOOSECOLS(MMS_Feedlot_N2ODirect_Equations.VEERG_4_1_1_3__8_Stage3NitrogenInMMSAnaerobicLagoon_Arguments(),3,4)</f>
        <v>kg N</v>
      </c>
      <c r="H118" s="132" t="str">
        <v>Calculated from 4.1.1.3 (3)</v>
      </c>
      <c r="I118" s="141" t="str" cm="1">
        <f t="array" aca="1" ref="I118" ca="1">HYPERLINK(Common_InputFunctions.Utility_SourceHyperlink($D$80),$D$80)</f>
        <v>M1_Table_AE_j</v>
      </c>
    </row>
    <row r="119" spans="4:18" ht="20.100000000000001" customHeight="1" x14ac:dyDescent="0.25">
      <c r="D119" s="140" t="str">
        <v>MMS_jm1T3</v>
      </c>
      <c r="E119" s="143" t="str">
        <v>fraction of manure to tertiary anaerobic lagoon system</v>
      </c>
      <c r="F119" s="142"/>
      <c r="G119" s="140" t="str">
        <v>fraction</v>
      </c>
      <c r="H119" s="131" t="str">
        <v>Input</v>
      </c>
      <c r="I119" s="141"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171</v>
      </c>
    </row>
    <row r="122" spans="4:18" ht="20.100000000000001" customHeight="1" x14ac:dyDescent="0.25">
      <c r="D122" s="103" t="s">
        <v>170</v>
      </c>
    </row>
    <row r="123" spans="4:18" ht="20.100000000000001" customHeight="1" x14ac:dyDescent="0.25">
      <c r="D123" s="41" t="s">
        <v>119</v>
      </c>
      <c r="E123" s="41" t="s">
        <v>140</v>
      </c>
      <c r="F123" s="41" t="s">
        <v>141</v>
      </c>
      <c r="G123" s="41" t="s">
        <v>142</v>
      </c>
    </row>
    <row r="124" spans="4:18" ht="20.100000000000001" customHeight="1" x14ac:dyDescent="0.25">
      <c r="D124" s="55" t="str">
        <f>'Input - Feedlot'!$D$38</f>
        <v>Anaerobic lagoon</v>
      </c>
      <c r="E124" s="55">
        <f>'Input - Feedlot'!$E$38</f>
        <v>0.02</v>
      </c>
      <c r="F124" s="55">
        <f>'Input - Feedlot'!$F$38</f>
        <v>0.02</v>
      </c>
      <c r="G124" s="55">
        <f>'Input - Feedlot'!$G$38</f>
        <v>0.02</v>
      </c>
      <c r="H124" s="2" t="s">
        <v>330</v>
      </c>
      <c r="I124" s="2"/>
      <c r="J124" s="2"/>
      <c r="K124" s="2"/>
    </row>
    <row r="125" spans="4:18" ht="20.100000000000001" customHeight="1" x14ac:dyDescent="0.25"/>
    <row r="126" spans="4:18" ht="20.100000000000001" customHeight="1" x14ac:dyDescent="0.25">
      <c r="D126" s="104" t="s">
        <v>176</v>
      </c>
      <c r="O126" s="104" t="s">
        <v>177</v>
      </c>
    </row>
    <row r="127" spans="4:18" ht="20.100000000000001" customHeight="1" x14ac:dyDescent="0.25">
      <c r="D127" s="103" t="s">
        <v>188</v>
      </c>
      <c r="O127" s="103" t="s">
        <v>189</v>
      </c>
    </row>
    <row r="128" spans="4:18" ht="20.100000000000001" customHeight="1" x14ac:dyDescent="0.25">
      <c r="D128" s="54" t="s">
        <v>119</v>
      </c>
      <c r="E128" s="54" t="s">
        <v>140</v>
      </c>
      <c r="F128" s="54" t="s">
        <v>141</v>
      </c>
      <c r="G128" s="54" t="s">
        <v>142</v>
      </c>
      <c r="O128" s="54" t="s">
        <v>119</v>
      </c>
      <c r="P128" s="54" t="s">
        <v>140</v>
      </c>
      <c r="Q128" s="54" t="s">
        <v>141</v>
      </c>
      <c r="R128" s="54" t="s">
        <v>142</v>
      </c>
    </row>
    <row r="129" spans="3:20" ht="20.100000000000001" customHeight="1" x14ac:dyDescent="0.25">
      <c r="D129" s="55" t="str">
        <f>'Input - Feedlot'!$D$38</f>
        <v>Anaerobic lagoon</v>
      </c>
      <c r="E129" s="55" cm="1">
        <f t="array" ref="E129">MMS_Feedlot_N2ODirect_Equations.VEERG_4_1_1_3__8_Stage3NitrogenInMMSAnaerobicLagoon(D83,E124)</f>
        <v>1435.2758784000005</v>
      </c>
      <c r="F129" s="55" cm="1">
        <f t="array" ref="F129">MMS_Feedlot_N2ODirect_Equations.VEERG_4_1_1_3__8_Stage3NitrogenInMMSAnaerobicLagoon(E83,F124)</f>
        <v>50.687078400000004</v>
      </c>
      <c r="G129" s="55" cm="1">
        <f t="array" ref="G129">MMS_Feedlot_N2ODirect_Equations.VEERG_4_1_1_3__8_Stage3NitrogenInMMSAnaerobicLagoon(F83,G124)</f>
        <v>73.20959999999998</v>
      </c>
      <c r="H129" s="2" t="str">
        <f>$E$116</f>
        <v>kg N</v>
      </c>
      <c r="I129" s="2"/>
      <c r="J129" s="2"/>
      <c r="K129" s="2"/>
      <c r="O129" s="55" t="str">
        <f>'Input - Feedlot'!$D$38</f>
        <v>Anaerobic lagoon</v>
      </c>
      <c r="P129" s="55" cm="1">
        <f t="array" ref="P129">MMS_Feedlot_N2ODirect_Equations.VEERG_4_1_1_3__8_Stage3NitrogenInMMSAnaerobicLagoon(O83,E124)</f>
        <v>1435.2758784000005</v>
      </c>
      <c r="Q129" s="55" cm="1">
        <f t="array" ref="Q129">MMS_Feedlot_N2ODirect_Equations.VEERG_4_1_1_3__8_Stage3NitrogenInMMSAnaerobicLagoon(P83,F124)</f>
        <v>50.687078400000004</v>
      </c>
      <c r="R129" s="55" cm="1">
        <f t="array" ref="R129">MMS_Feedlot_N2ODirect_Equations.VEERG_4_1_1_3__8_Stage3NitrogenInMMSAnaerobicLagoon(Q83,G124)</f>
        <v>73.20959999999998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26</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6" t="s">
        <v>29</v>
      </c>
      <c r="E138" s="1" t="str" cm="1">
        <f t="array" ref="E138">MMS_Feedlot_N2ODirect_Equations.VEERG_4_1_1_3__7_NitrogenTransferredToStage2_Variable()</f>
        <v>NT_jmT2</v>
      </c>
    </row>
    <row r="139" spans="3:20" ht="20.100000000000001" customHeight="1" x14ac:dyDescent="0.25">
      <c r="D139" s="56" t="s">
        <v>19</v>
      </c>
      <c r="E139" s="57" t="str" cm="1">
        <f t="array" ref="E139">MMS_Feedlot_N2ODirect_Equations.VEERG_4_1_1_3__7_NitrogenTransferredToStage2_Unit()</f>
        <v>kg N</v>
      </c>
    </row>
    <row r="140" spans="3:20" ht="20.100000000000001" customHeight="1" x14ac:dyDescent="0.25"/>
    <row r="141" spans="3:20" ht="20.100000000000001" customHeight="1" x14ac:dyDescent="0.25">
      <c r="D141" s="140" t="str" cm="1">
        <f t="array" ref="D141:E144">_xlfn.CHOOSECOLS(MMS_Feedlot_N2ODirect_Equations.VEERG_4_1_1_3__7_NitrogenTransferredToStage2_Arguments(),1,2)</f>
        <v>MN_jm5T1</v>
      </c>
      <c r="E141" s="143" t="str">
        <v>nitrogen in MMS treatment stage 1</v>
      </c>
      <c r="F141" s="142"/>
      <c r="G141" s="140" t="str" cm="1">
        <f t="array" ref="G141:H144">_xlfn.CHOOSECOLS(MMS_Feedlot_N2ODirect_Equations.VEERG_4_1_1_3__7_NitrogenTransferredToStage2_Arguments(),3,4)</f>
        <v>kg N</v>
      </c>
      <c r="H141" s="132" t="str">
        <v>Calculated from 4.1.1.3 (2)</v>
      </c>
      <c r="I141" s="141" t="str" cm="1">
        <f t="array" aca="1" ref="I141" ca="1">HYPERLINK(Common_InputFunctions.Utility_SourceHyperlink($D$103),$D$103)</f>
        <v>M1_Table_MN_j_m-5_T-1</v>
      </c>
    </row>
    <row r="142" spans="3:20" ht="20.100000000000001" customHeight="1" x14ac:dyDescent="0.25">
      <c r="D142" s="140" t="str">
        <v>FracGASM_m5</v>
      </c>
      <c r="E142" s="143" t="str">
        <v>fraction of N volatilised from drylot MMS</v>
      </c>
      <c r="F142" s="142"/>
      <c r="G142" s="140" t="str">
        <v>fraction</v>
      </c>
      <c r="H142" s="132" t="str">
        <v>Constant</v>
      </c>
      <c r="I142" s="140">
        <f>'Constants - Feedlot'!$F$113</f>
        <v>0.6</v>
      </c>
    </row>
    <row r="143" spans="3:20" ht="20.100000000000001" customHeight="1" x14ac:dyDescent="0.25">
      <c r="D143" s="140" t="str">
        <v>EF_m5</v>
      </c>
      <c r="E143" s="143" t="str">
        <v>nitrous oxide emission factor for drylot MMS</v>
      </c>
      <c r="F143" s="142"/>
      <c r="G143" s="140" t="str">
        <v>kg N2O-N/kg N deposited</v>
      </c>
      <c r="H143" s="132" t="str">
        <v>Constant</v>
      </c>
      <c r="I143" s="140">
        <f>'Constants - Feedlot'!$F$101</f>
        <v>5.4000000000000003E-3</v>
      </c>
    </row>
    <row r="144" spans="3:20" ht="20.100000000000001" customHeight="1" x14ac:dyDescent="0.25">
      <c r="D144" s="140" t="str">
        <v>MN_jmT3</v>
      </c>
      <c r="E144" s="143" t="str">
        <v>nitrogen in MMS treatment stage 3</v>
      </c>
      <c r="F144" s="142"/>
      <c r="G144" s="140" t="str">
        <v>kg N</v>
      </c>
      <c r="H144" s="132" t="str">
        <v>Calculated from 4.1.1.3 (8)</v>
      </c>
      <c r="I144" s="141"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178</v>
      </c>
      <c r="O146" s="104" t="s">
        <v>179</v>
      </c>
    </row>
    <row r="147" spans="3:20" ht="20.100000000000001" customHeight="1" x14ac:dyDescent="0.25">
      <c r="D147" s="103" t="s">
        <v>186</v>
      </c>
      <c r="O147" s="103" t="s">
        <v>187</v>
      </c>
    </row>
    <row r="148" spans="3:20" ht="20.100000000000001" customHeight="1" x14ac:dyDescent="0.25">
      <c r="D148" s="54" t="s">
        <v>140</v>
      </c>
      <c r="E148" s="54" t="s">
        <v>141</v>
      </c>
      <c r="F148" s="54" t="s">
        <v>142</v>
      </c>
      <c r="O148" s="54" t="s">
        <v>140</v>
      </c>
      <c r="P148" s="54" t="s">
        <v>141</v>
      </c>
      <c r="Q148" s="54" t="s">
        <v>142</v>
      </c>
    </row>
    <row r="149" spans="3:20" ht="20.100000000000001" customHeight="1" x14ac:dyDescent="0.25">
      <c r="D149" s="55" cm="1">
        <f t="array" ref="D149">MMS_Feedlot_N2ODirect_Equations.VEERG_4_1_1_3__7_NitrogenTransferredToStage2(E106,$I$142,$I$143,E129)</f>
        <v>26882.71720243201</v>
      </c>
      <c r="E149" s="55" cm="1">
        <f t="array" ref="E149">MMS_Feedlot_N2ODirect_Equations.VEERG_4_1_1_3__7_NitrogenTransferredToStage2(F106,$I$142,$I$143,F129)</f>
        <v>949.36897843199995</v>
      </c>
      <c r="F149" s="55" cm="1">
        <f t="array" ref="F149">MMS_Feedlot_N2ODirect_Equations.VEERG_4_1_1_3__7_NitrogenTransferredToStage2(G106,$I$142,$I$143,G129)</f>
        <v>1371.2158079999997</v>
      </c>
      <c r="G149" s="2" t="str">
        <f>$E$116</f>
        <v>kg N</v>
      </c>
      <c r="O149" s="55" cm="1">
        <f t="array" ref="O149">MMS_Feedlot_N2ODirect_Equations.VEERG_4_1_1_3__7_NitrogenTransferredToStage2(P106,$I$142,$I$143,P129)</f>
        <v>26882.71720243201</v>
      </c>
      <c r="P149" s="55" cm="1">
        <f t="array" ref="P149">MMS_Feedlot_N2ODirect_Equations.VEERG_4_1_1_3__7_NitrogenTransferredToStage2(Q106,$I$142,$I$143,Q129)</f>
        <v>949.36897843199995</v>
      </c>
      <c r="Q149" s="55" cm="1">
        <f t="array" ref="Q149">MMS_Feedlot_N2ODirect_Equations.VEERG_4_1_1_3__7_NitrogenTransferredToStage2(R106,$I$142,$I$143,R129)</f>
        <v>1371.2158079999997</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26</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6" t="s">
        <v>29</v>
      </c>
      <c r="E158" s="1" t="str" cm="1">
        <f t="array" ref="E158">MMS_Feedlot_N2ODirect_Equations.VEERG_4_1_1_3__6_Stage2NitrogenInMMS_Variable()</f>
        <v>MN_jmT2</v>
      </c>
    </row>
    <row r="159" spans="3:20" ht="20.100000000000001" customHeight="1" x14ac:dyDescent="0.25">
      <c r="D159" s="56" t="s">
        <v>19</v>
      </c>
      <c r="E159" s="57" t="str" cm="1">
        <f t="array" ref="E159">MMS_Feedlot_N2ODirect_Equations.VEERG_4_1_1_3__6_Stage2NitrogenInMMS_Unit()</f>
        <v>kg N</v>
      </c>
    </row>
    <row r="160" spans="3:20" ht="20.100000000000001" customHeight="1" x14ac:dyDescent="0.25"/>
    <row r="161" spans="4:19" ht="20.100000000000001" customHeight="1" x14ac:dyDescent="0.25">
      <c r="D161" s="140" t="str" cm="1">
        <f t="array" ref="D161:E162">_xlfn.CHOOSECOLS(MMS_Feedlot_N2ODirect_Equations.VEERG_4_1_1_3__6_Stage2NitrogenInMMS_Arguments(),1,2)</f>
        <v>NT_jmT2</v>
      </c>
      <c r="E161" s="143" t="str">
        <v>nitrogen transferred to secondary treatment MMS</v>
      </c>
      <c r="F161" s="142"/>
      <c r="G161" s="140" t="str" cm="1">
        <f t="array" ref="G161:H162">_xlfn.CHOOSECOLS(MMS_Feedlot_N2ODirect_Equations.VEERG_4_1_1_3__6_Stage2NitrogenInMMS_Arguments(),3,4)</f>
        <v>kg N</v>
      </c>
      <c r="H161" s="132" t="str">
        <v>Calculated from 4.1.1.3 (7)</v>
      </c>
      <c r="I161" s="141" t="str" cm="1">
        <f t="array" aca="1" ref="I161" ca="1">HYPERLINK(Common_InputFunctions.Utility_SourceHyperlink($D$146),$D$146)</f>
        <v>M1_Table_NT_j_m-_T-2</v>
      </c>
    </row>
    <row r="162" spans="4:19" ht="20.100000000000001" customHeight="1" x14ac:dyDescent="0.25">
      <c r="D162" s="140" t="str">
        <v>MMS_jmT2</v>
      </c>
      <c r="E162" s="143" t="str">
        <v>fraction of manure in each secondary system</v>
      </c>
      <c r="F162" s="142"/>
      <c r="G162" s="140" t="str">
        <v>fraction</v>
      </c>
      <c r="H162" s="131" t="str">
        <v>Input</v>
      </c>
      <c r="I162" s="141"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169</v>
      </c>
      <c r="L164" s="2"/>
    </row>
    <row r="165" spans="4:19" ht="20.100000000000001" customHeight="1" x14ac:dyDescent="0.25">
      <c r="D165" s="103" t="s">
        <v>114</v>
      </c>
    </row>
    <row r="166" spans="4:19" ht="20.100000000000001" customHeight="1" x14ac:dyDescent="0.25">
      <c r="D166" s="41" t="s">
        <v>102</v>
      </c>
      <c r="E166" s="41" t="s">
        <v>140</v>
      </c>
      <c r="F166" s="41" t="s">
        <v>141</v>
      </c>
      <c r="G166" s="41" t="s">
        <v>142</v>
      </c>
    </row>
    <row r="167" spans="4:19" ht="20.100000000000001" customHeight="1" x14ac:dyDescent="0.25">
      <c r="D167" s="55" t="str">
        <f>'Input - Feedlot'!$D$32</f>
        <v>Solid storage</v>
      </c>
      <c r="E167" s="55">
        <f>'Input - Feedlot'!$E$32</f>
        <v>0.2</v>
      </c>
      <c r="F167" s="55">
        <f>'Input - Feedlot'!$F$32</f>
        <v>0.2</v>
      </c>
      <c r="G167" s="55">
        <f>'Input - Feedlot'!$G$32</f>
        <v>0.2</v>
      </c>
      <c r="H167" s="2" t="s">
        <v>330</v>
      </c>
      <c r="I167" s="2"/>
      <c r="J167" s="2"/>
      <c r="K167" s="2"/>
    </row>
    <row r="168" spans="4:19" ht="20.100000000000001" customHeight="1" x14ac:dyDescent="0.25">
      <c r="D168" s="55" t="str">
        <f>'Input - Feedlot'!$D$33</f>
        <v>Composting (passive windrow)</v>
      </c>
      <c r="E168" s="55">
        <f>'Input - Feedlot'!$E$33</f>
        <v>0.2</v>
      </c>
      <c r="F168" s="55">
        <f>'Input - Feedlot'!$F$33</f>
        <v>0.2</v>
      </c>
      <c r="G168" s="55">
        <f>'Input - Feedlot'!$G$33</f>
        <v>0.2</v>
      </c>
      <c r="H168" s="2" t="s">
        <v>330</v>
      </c>
      <c r="I168" s="2"/>
      <c r="J168" s="2"/>
      <c r="K168" s="2"/>
    </row>
    <row r="169" spans="4:19" ht="20.100000000000001" customHeight="1" x14ac:dyDescent="0.25">
      <c r="D169" s="55" t="str">
        <f>'Input - Feedlot'!$D$34</f>
        <v>Direct application</v>
      </c>
      <c r="E169" s="55">
        <f>'Input - Feedlot'!$E$34</f>
        <v>0.6</v>
      </c>
      <c r="F169" s="55">
        <f>'Input - Feedlot'!$F$34</f>
        <v>0.6</v>
      </c>
      <c r="G169" s="55">
        <f>'Input - Feedlot'!$G$34</f>
        <v>0.6</v>
      </c>
    </row>
    <row r="170" spans="4:19" ht="20.100000000000001" customHeight="1" x14ac:dyDescent="0.25"/>
    <row r="171" spans="4:19" ht="20.100000000000001" customHeight="1" x14ac:dyDescent="0.25">
      <c r="D171" s="104" t="s">
        <v>180</v>
      </c>
      <c r="O171" s="104" t="s">
        <v>180</v>
      </c>
    </row>
    <row r="172" spans="4:19" ht="20.100000000000001" customHeight="1" x14ac:dyDescent="0.25">
      <c r="D172" s="103" t="s">
        <v>184</v>
      </c>
      <c r="O172" s="103" t="s">
        <v>185</v>
      </c>
    </row>
    <row r="173" spans="4:19" ht="20.100000000000001" customHeight="1" x14ac:dyDescent="0.25">
      <c r="D173" s="54" t="s">
        <v>102</v>
      </c>
      <c r="E173" s="54" t="s">
        <v>140</v>
      </c>
      <c r="F173" s="54" t="s">
        <v>141</v>
      </c>
      <c r="G173" s="54" t="s">
        <v>142</v>
      </c>
      <c r="O173" s="54" t="s">
        <v>102</v>
      </c>
      <c r="P173" s="54" t="s">
        <v>140</v>
      </c>
      <c r="Q173" s="54" t="s">
        <v>141</v>
      </c>
      <c r="R173" s="54" t="s">
        <v>142</v>
      </c>
    </row>
    <row r="174" spans="4:19" ht="20.100000000000001" customHeight="1" x14ac:dyDescent="0.25">
      <c r="D174" s="55" t="str">
        <f>'Input - Feedlot'!$D$32</f>
        <v>Solid storage</v>
      </c>
      <c r="E174" s="55" cm="1">
        <f t="array" ref="E174">MMS_Feedlot_N2ODirect_Equations.VEERG_4_1_1_3__6_Stage2NitrogenInMMS(D$149,E167)</f>
        <v>5376.5434404864027</v>
      </c>
      <c r="F174" s="55" cm="1">
        <f t="array" ref="F174">MMS_Feedlot_N2ODirect_Equations.VEERG_4_1_1_3__6_Stage2NitrogenInMMS(E$149,F167)</f>
        <v>189.8737956864</v>
      </c>
      <c r="G174" s="55" cm="1">
        <f t="array" ref="G174">MMS_Feedlot_N2ODirect_Equations.VEERG_4_1_1_3__6_Stage2NitrogenInMMS(F$149,G167)</f>
        <v>274.24316159999995</v>
      </c>
      <c r="H174" s="2" t="str">
        <f>$E$159</f>
        <v>kg N</v>
      </c>
      <c r="I174" s="2"/>
      <c r="J174" s="2"/>
      <c r="K174" s="2"/>
      <c r="O174" s="55" t="str">
        <f>'Input - Feedlot'!$D$32</f>
        <v>Solid storage</v>
      </c>
      <c r="P174" s="55" cm="1">
        <f t="array" ref="P174">MMS_Feedlot_N2ODirect_Equations.VEERG_4_1_1_3__6_Stage2NitrogenInMMS(O$149,E167)</f>
        <v>5376.5434404864027</v>
      </c>
      <c r="Q174" s="55" cm="1">
        <f t="array" ref="Q174">MMS_Feedlot_N2ODirect_Equations.VEERG_4_1_1_3__6_Stage2NitrogenInMMS(P$149,F167)</f>
        <v>189.8737956864</v>
      </c>
      <c r="R174" s="55" cm="1">
        <f t="array" ref="R174">MMS_Feedlot_N2ODirect_Equations.VEERG_4_1_1_3__6_Stage2NitrogenInMMS(Q$149,G167)</f>
        <v>274.24316159999995</v>
      </c>
      <c r="S174" s="2" t="str">
        <f>$E$159</f>
        <v>kg N</v>
      </c>
    </row>
    <row r="175" spans="4:19" ht="20.100000000000001" customHeight="1" x14ac:dyDescent="0.25">
      <c r="D175" s="55" t="str">
        <f>'Input - Feedlot'!$D$33</f>
        <v>Composting (passive windrow)</v>
      </c>
      <c r="E175" s="55" cm="1">
        <f t="array" ref="E175">MMS_Feedlot_N2ODirect_Equations.VEERG_4_1_1_3__6_Stage2NitrogenInMMS(D$149,E168)</f>
        <v>5376.5434404864027</v>
      </c>
      <c r="F175" s="55" cm="1">
        <f t="array" ref="F175">MMS_Feedlot_N2ODirect_Equations.VEERG_4_1_1_3__6_Stage2NitrogenInMMS(E$149,F168)</f>
        <v>189.8737956864</v>
      </c>
      <c r="G175" s="55" cm="1">
        <f t="array" ref="G175">MMS_Feedlot_N2ODirect_Equations.VEERG_4_1_1_3__6_Stage2NitrogenInMMS(F$149,G168)</f>
        <v>274.24316159999995</v>
      </c>
      <c r="H175" s="2" t="str">
        <f>$E$159</f>
        <v>kg N</v>
      </c>
      <c r="I175" s="2"/>
      <c r="J175" s="2"/>
      <c r="K175" s="2"/>
      <c r="O175" s="55" t="str">
        <f>'Input - Feedlot'!$D$33</f>
        <v>Composting (passive windrow)</v>
      </c>
      <c r="P175" s="55" cm="1">
        <f t="array" ref="P175">MMS_Feedlot_N2ODirect_Equations.VEERG_4_1_1_3__6_Stage2NitrogenInMMS(O$149,E168)</f>
        <v>5376.5434404864027</v>
      </c>
      <c r="Q175" s="55" cm="1">
        <f t="array" ref="Q175">MMS_Feedlot_N2ODirect_Equations.VEERG_4_1_1_3__6_Stage2NitrogenInMMS(P$149,F168)</f>
        <v>189.8737956864</v>
      </c>
      <c r="R175" s="55" cm="1">
        <f t="array" ref="R175">MMS_Feedlot_N2ODirect_Equations.VEERG_4_1_1_3__6_Stage2NitrogenInMMS(Q$149,G168)</f>
        <v>274.24316159999995</v>
      </c>
      <c r="S175" s="2" t="str">
        <f>$E$159</f>
        <v>kg N</v>
      </c>
    </row>
    <row r="176" spans="4:19" ht="20.100000000000001" customHeight="1" x14ac:dyDescent="0.25">
      <c r="D176" s="55" t="str">
        <f>'Input - Feedlot'!$D$34</f>
        <v>Direct application</v>
      </c>
      <c r="E176" s="55" cm="1">
        <f t="array" ref="E176">MMS_Feedlot_N2ODirect_Equations.VEERG_4_1_1_3__6_Stage2NitrogenInMMS(D$149,E169)</f>
        <v>16129.630321459204</v>
      </c>
      <c r="F176" s="55" cm="1">
        <f t="array" ref="F176">MMS_Feedlot_N2ODirect_Equations.VEERG_4_1_1_3__6_Stage2NitrogenInMMS(E$149,F169)</f>
        <v>569.62138705919995</v>
      </c>
      <c r="G176" s="55" cm="1">
        <f t="array" ref="G176">MMS_Feedlot_N2ODirect_Equations.VEERG_4_1_1_3__6_Stage2NitrogenInMMS(F$149,G169)</f>
        <v>822.7294847999998</v>
      </c>
      <c r="H176" s="2" t="str">
        <f>$E$159</f>
        <v>kg N</v>
      </c>
      <c r="I176" s="2"/>
      <c r="J176" s="2"/>
      <c r="K176" s="2"/>
      <c r="O176" s="55" t="str">
        <f>'Input - Feedlot'!$D$34</f>
        <v>Direct application</v>
      </c>
      <c r="P176" s="55" cm="1">
        <f t="array" ref="P176">MMS_Feedlot_N2ODirect_Equations.VEERG_4_1_1_3__6_Stage2NitrogenInMMS(O$149,E169)</f>
        <v>16129.630321459204</v>
      </c>
      <c r="Q176" s="55" cm="1">
        <f t="array" ref="Q176">MMS_Feedlot_N2ODirect_Equations.VEERG_4_1_1_3__6_Stage2NitrogenInMMS(P$149,F169)</f>
        <v>569.62138705919995</v>
      </c>
      <c r="R176" s="55" cm="1">
        <f t="array" ref="R176">MMS_Feedlot_N2ODirect_Equations.VEERG_4_1_1_3__6_Stage2NitrogenInMMS(Q$149,G169)</f>
        <v>822.7294847999998</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26</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29</v>
      </c>
      <c r="E185" s="1" t="str" cm="1">
        <f t="array" ref="E185">MMS_Feedlot_N2ODirect_Equations.VEERG_4_1_1_3__1_TotalAnnualDirectNitrousOxideEmissions_Variable()</f>
        <v>E_N2Odir</v>
      </c>
    </row>
    <row r="186" spans="3:20" ht="20.100000000000001" customHeight="1" x14ac:dyDescent="0.25">
      <c r="D186" s="56" t="s">
        <v>19</v>
      </c>
      <c r="E186" s="57"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40" t="str" cm="1">
        <f t="array" ref="D188:E190">_xlfn.CHOOSECOLS(MMS_Feedlot_N2ODirect_Equations.VEERG_4_1_1_3__1_TotalAnnualDirectNitrousOxideEmissions_Arguments(),1,2)</f>
        <v>MN_jmT</v>
      </c>
      <c r="E188" s="143" t="str">
        <v>nitrogen per cattle group, MMS and treatment stage</v>
      </c>
      <c r="F188" s="142"/>
      <c r="G188" s="140" t="str" cm="1">
        <f t="array" ref="G188:H190">_xlfn.CHOOSECOLS(MMS_Feedlot_N2ODirect_Equations.VEERG_4_1_1_3__1_TotalAnnualDirectNitrousOxideEmissions_Arguments(),3,4)</f>
        <v>kg N</v>
      </c>
      <c r="H188" s="132" t="str">
        <v>Calculated from 4.1.1.3 (2)(6)(8)</v>
      </c>
      <c r="I188" s="141" t="str" cm="1">
        <f t="array" aca="1" ref="I188" ca="1">HYPERLINK(Common_InputFunctions.Utility_SourceHyperlink($D$103),$D$103)</f>
        <v>M1_Table_MN_j_m-5_T-1</v>
      </c>
      <c r="J188" s="141" t="str" cm="1">
        <f t="array" aca="1" ref="J188" ca="1">HYPERLINK(Common_InputFunctions.Utility_SourceHyperlink($D$171),$D$171)</f>
        <v>M1_Table_MN_j_m_T-2</v>
      </c>
      <c r="K188" s="141" t="str" cm="1">
        <f t="array" aca="1" ref="K188" ca="1">HYPERLINK(Common_InputFunctions.Utility_SourceHyperlink($D$126),$D$126)</f>
        <v>M1_Table_MN_j_m-1_T-3</v>
      </c>
    </row>
    <row r="189" spans="3:20" ht="20.100000000000001" customHeight="1" x14ac:dyDescent="0.25">
      <c r="D189" s="140" t="str">
        <v>EF_jm</v>
      </c>
      <c r="E189" s="143" t="str">
        <v>nitrous oxide emission factor for MMS</v>
      </c>
      <c r="F189" s="142"/>
      <c r="G189" s="140" t="str">
        <v>kg N2O-N/kg N</v>
      </c>
      <c r="H189" s="132" t="str">
        <v>Constant</v>
      </c>
      <c r="I189" s="141" t="str" cm="1">
        <f t="array" aca="1" ref="I189" ca="1">HYPERLINK(Common_InputFunctions.Utility_SourceHyperlink($D$192),$D$192)</f>
        <v>Table_EF_j_m</v>
      </c>
      <c r="J189" s="140"/>
      <c r="K189" s="140"/>
    </row>
    <row r="190" spans="3:20" ht="20.100000000000001" customHeight="1" x14ac:dyDescent="0.25">
      <c r="D190" s="140" t="str">
        <v>C_N2O</v>
      </c>
      <c r="E190" s="143" t="str">
        <v>factor to convert elemental mass of nitrous oxide to molecular mass</v>
      </c>
      <c r="F190" s="142"/>
      <c r="G190" s="140" t="str">
        <v>ratio</v>
      </c>
      <c r="H190" s="132" t="str">
        <v>Constant</v>
      </c>
      <c r="I190" s="140">
        <f>Common_InputFunctions.Utility_LookupValueInTableNumber("N2O",Table_GasToMolecularConversionFactor[Gas],Table_GasToMolecularConversionFactor[Conversion factor combined])</f>
        <v>1.5714285714285714</v>
      </c>
      <c r="J190" s="140"/>
      <c r="K190" s="140"/>
    </row>
    <row r="191" spans="3:20" ht="20.100000000000001" customHeight="1" x14ac:dyDescent="0.25"/>
    <row r="192" spans="3:20" ht="20.100000000000001" customHeight="1" x14ac:dyDescent="0.25">
      <c r="D192" s="104" t="s">
        <v>172</v>
      </c>
    </row>
    <row r="193" spans="4:19" ht="20.100000000000001" customHeight="1" x14ac:dyDescent="0.25">
      <c r="D193" s="103" t="s">
        <v>173</v>
      </c>
    </row>
    <row r="194" spans="4:19" ht="20.100000000000001" customHeight="1" x14ac:dyDescent="0.25">
      <c r="D194" s="116" t="s">
        <v>67</v>
      </c>
      <c r="E194" s="116" t="s">
        <v>174</v>
      </c>
    </row>
    <row r="195" spans="4:19" ht="20.100000000000001" customHeight="1" x14ac:dyDescent="0.25">
      <c r="D195" s="55" t="str">
        <f>'Input - Feedlot'!$D$28</f>
        <v>Drylot (feed pad)</v>
      </c>
      <c r="E195" s="55">
        <f>_xlfn.XLOOKUP($D$195, Table_SourceData_Feedlot_NO2EFs[NIR definition], Table_SourceData_Feedlot_NO2EFs[EF mT])</f>
        <v>5.4000000000000003E-3</v>
      </c>
    </row>
    <row r="196" spans="4:19" ht="20.100000000000001" customHeight="1" x14ac:dyDescent="0.25">
      <c r="D196" s="55" t="str">
        <f>'Input - Feedlot'!$D$32</f>
        <v>Solid storage</v>
      </c>
      <c r="E196" s="55">
        <f>_xlfn.XLOOKUP($D$196, Table_SourceData_Feedlot_NO2EFs[NIR definition], Table_SourceData_Feedlot_NO2EFs[EF mT])</f>
        <v>5.0000000000000001E-3</v>
      </c>
    </row>
    <row r="197" spans="4:19" ht="20.100000000000001" customHeight="1" x14ac:dyDescent="0.25">
      <c r="D197" s="55" t="str">
        <f>'Input - Feedlot'!$D$33</f>
        <v>Composting (passive windrow)</v>
      </c>
      <c r="E197" s="55">
        <f>_xlfn.XLOOKUP($D$197, Table_SourceData_Feedlot_NO2EFs[NIR definition], Table_SourceData_Feedlot_NO2EFs[EF mT])</f>
        <v>0.01</v>
      </c>
    </row>
    <row r="198" spans="4:19" ht="20.100000000000001" customHeight="1" x14ac:dyDescent="0.25">
      <c r="D198" s="55" t="str">
        <f>'Input - Feedlot'!$D$38</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7" t="s">
        <v>352</v>
      </c>
      <c r="E200" s="94"/>
      <c r="F200" s="94"/>
      <c r="G200" s="90"/>
    </row>
    <row r="201" spans="4:19" ht="20.100000000000001" customHeight="1" x14ac:dyDescent="0.25">
      <c r="D201" s="96" t="s">
        <v>335</v>
      </c>
      <c r="E201" s="93"/>
      <c r="F201" s="93"/>
      <c r="G201" s="91"/>
    </row>
    <row r="202" spans="4:19" ht="20.100000000000001" customHeight="1" x14ac:dyDescent="0.25"/>
    <row r="203" spans="4:19" ht="20.100000000000001" customHeight="1" x14ac:dyDescent="0.25">
      <c r="D203" s="104" t="s">
        <v>181</v>
      </c>
      <c r="O203" s="104" t="s">
        <v>181</v>
      </c>
    </row>
    <row r="204" spans="4:19" ht="20.100000000000001" customHeight="1" x14ac:dyDescent="0.25">
      <c r="D204" s="103" t="s">
        <v>182</v>
      </c>
      <c r="O204" s="103" t="s">
        <v>183</v>
      </c>
    </row>
    <row r="205" spans="4:19" ht="20.100000000000001" customHeight="1" x14ac:dyDescent="0.25">
      <c r="D205" s="116" t="s">
        <v>67</v>
      </c>
      <c r="E205" s="54" t="s">
        <v>140</v>
      </c>
      <c r="F205" s="54" t="s">
        <v>141</v>
      </c>
      <c r="G205" s="54" t="s">
        <v>142</v>
      </c>
      <c r="O205" s="116" t="s">
        <v>67</v>
      </c>
      <c r="P205" s="54" t="s">
        <v>140</v>
      </c>
      <c r="Q205" s="54" t="s">
        <v>141</v>
      </c>
      <c r="R205" s="54" t="s">
        <v>142</v>
      </c>
    </row>
    <row r="206" spans="4:19" ht="20.100000000000001" customHeight="1" x14ac:dyDescent="0.25">
      <c r="D206" s="55" t="str">
        <f>'Input - Feedlot'!$D$28</f>
        <v>Drylot (feed pad)</v>
      </c>
      <c r="E206" s="55" cm="1">
        <f t="array" ref="E206">MMS_Feedlot_N2ODirect_Equations.VEERG_4_1_1_3__1_TotalAnnualDirectNitrousOxideEmissions(E$106,$E195,$I$190)</f>
        <v>0.6089670512640003</v>
      </c>
      <c r="F206" s="55" cm="1">
        <f t="array" ref="F206">MMS_Feedlot_N2ODirect_Equations.VEERG_4_1_1_3__1_TotalAnnualDirectNitrousOxideEmissions(F$106,$E195,$I$190)</f>
        <v>2.1505803264000003E-2</v>
      </c>
      <c r="G206" s="55" cm="1">
        <f t="array" ref="G206">MMS_Feedlot_N2ODirect_Equations.VEERG_4_1_1_3__1_TotalAnnualDirectNitrousOxideEmissions(G$106,$E195,$I$190)</f>
        <v>3.1061787428571422E-2</v>
      </c>
      <c r="H206" s="2" t="str">
        <f>$E$186</f>
        <v>t N2O</v>
      </c>
      <c r="I206" s="2"/>
      <c r="J206" s="2"/>
      <c r="K206" s="2"/>
      <c r="O206" s="55" t="str">
        <f>'Input - Feedlot'!$D$28</f>
        <v>Drylot (feed pad)</v>
      </c>
      <c r="P206" s="55" cm="1">
        <f t="array" ref="P206">MMS_Feedlot_N2ODirect_Equations.VEERG_4_1_1_3__1_TotalAnnualDirectNitrousOxideEmissions(P$106,$E195,$I$190)</f>
        <v>0.6089670512640003</v>
      </c>
      <c r="Q206" s="55" cm="1">
        <f t="array" ref="Q206">MMS_Feedlot_N2ODirect_Equations.VEERG_4_1_1_3__1_TotalAnnualDirectNitrousOxideEmissions(Q$106,$E195,$I$190)</f>
        <v>2.1505803264000003E-2</v>
      </c>
      <c r="R206" s="55" cm="1">
        <f t="array" ref="R206">MMS_Feedlot_N2ODirect_Equations.VEERG_4_1_1_3__1_TotalAnnualDirectNitrousOxideEmissions(R$106,$E195,$I$190)</f>
        <v>3.1061787428571422E-2</v>
      </c>
      <c r="S206" s="2" t="str">
        <f>$E$186</f>
        <v>t N2O</v>
      </c>
    </row>
    <row r="207" spans="4:19" ht="20.100000000000001" customHeight="1" x14ac:dyDescent="0.25">
      <c r="D207" s="55" t="str">
        <f>'Input - Feedlot'!$D$32</f>
        <v>Solid storage</v>
      </c>
      <c r="E207" s="55" cm="1">
        <f t="array" ref="E207">MMS_Feedlot_N2ODirect_Equations.VEERG_4_1_1_3__1_TotalAnnualDirectNitrousOxideEmissions(E$174,$E196,$I$190)</f>
        <v>4.2244269889536022E-2</v>
      </c>
      <c r="F207" s="55" cm="1">
        <f t="array" ref="F207">MMS_Feedlot_N2ODirect_Equations.VEERG_4_1_1_3__1_TotalAnnualDirectNitrousOxideEmissions(F$174,$E196,$I$190)</f>
        <v>1.4918655375360003E-3</v>
      </c>
      <c r="G207" s="55" cm="1">
        <f t="array" ref="G207">MMS_Feedlot_N2ODirect_Equations.VEERG_4_1_1_3__1_TotalAnnualDirectNitrousOxideEmissions(G$174,$E196,$I$190)</f>
        <v>2.1547676982857141E-3</v>
      </c>
      <c r="H207" s="2" t="str">
        <f>$E$186</f>
        <v>t N2O</v>
      </c>
      <c r="I207" s="2"/>
      <c r="J207" s="2"/>
      <c r="K207" s="2"/>
      <c r="O207" s="55" t="str">
        <f>'Input - Feedlot'!$D$32</f>
        <v>Solid storage</v>
      </c>
      <c r="P207" s="55" cm="1">
        <f t="array" ref="P207">MMS_Feedlot_N2ODirect_Equations.VEERG_4_1_1_3__1_TotalAnnualDirectNitrousOxideEmissions(P$174,$E196,$I$190)</f>
        <v>4.2244269889536022E-2</v>
      </c>
      <c r="Q207" s="55" cm="1">
        <f t="array" ref="Q207">MMS_Feedlot_N2ODirect_Equations.VEERG_4_1_1_3__1_TotalAnnualDirectNitrousOxideEmissions(Q$174,$E196,$I$190)</f>
        <v>1.4918655375360003E-3</v>
      </c>
      <c r="R207" s="55" cm="1">
        <f t="array" ref="R207">MMS_Feedlot_N2ODirect_Equations.VEERG_4_1_1_3__1_TotalAnnualDirectNitrousOxideEmissions(R$174,$E196,$I$190)</f>
        <v>2.1547676982857141E-3</v>
      </c>
      <c r="S207" s="2" t="str">
        <f>$E$186</f>
        <v>t N2O</v>
      </c>
    </row>
    <row r="208" spans="4:19" ht="20.100000000000001" customHeight="1" x14ac:dyDescent="0.25">
      <c r="D208" s="55" t="str">
        <f>'Input - Feedlot'!$D$33</f>
        <v>Composting (passive windrow)</v>
      </c>
      <c r="E208" s="55" cm="1">
        <f t="array" ref="E208">MMS_Feedlot_N2ODirect_Equations.VEERG_4_1_1_3__1_TotalAnnualDirectNitrousOxideEmissions(E$175,$E197,$I$190)</f>
        <v>8.4488539779072044E-2</v>
      </c>
      <c r="F208" s="55" cm="1">
        <f t="array" ref="F208">MMS_Feedlot_N2ODirect_Equations.VEERG_4_1_1_3__1_TotalAnnualDirectNitrousOxideEmissions(F$175,$E197,$I$190)</f>
        <v>2.9837310750720006E-3</v>
      </c>
      <c r="G208" s="55" cm="1">
        <f t="array" ref="G208">MMS_Feedlot_N2ODirect_Equations.VEERG_4_1_1_3__1_TotalAnnualDirectNitrousOxideEmissions(G$175,$E197,$I$190)</f>
        <v>4.3095353965714282E-3</v>
      </c>
      <c r="H208" s="2" t="str">
        <f>$E$186</f>
        <v>t N2O</v>
      </c>
      <c r="I208" s="2"/>
      <c r="J208" s="2"/>
      <c r="K208" s="2"/>
      <c r="O208" s="55" t="str">
        <f>'Input - Feedlot'!$D$33</f>
        <v>Composting (passive windrow)</v>
      </c>
      <c r="P208" s="55" cm="1">
        <f t="array" ref="P208">MMS_Feedlot_N2ODirect_Equations.VEERG_4_1_1_3__1_TotalAnnualDirectNitrousOxideEmissions(P$175,$E197,$I$190)</f>
        <v>8.4488539779072044E-2</v>
      </c>
      <c r="Q208" s="55" cm="1">
        <f t="array" ref="Q208">MMS_Feedlot_N2ODirect_Equations.VEERG_4_1_1_3__1_TotalAnnualDirectNitrousOxideEmissions(Q$175,$E197,$I$190)</f>
        <v>2.9837310750720006E-3</v>
      </c>
      <c r="R208" s="55" cm="1">
        <f t="array" ref="R208">MMS_Feedlot_N2ODirect_Equations.VEERG_4_1_1_3__1_TotalAnnualDirectNitrousOxideEmissions(R$175,$E197,$I$190)</f>
        <v>4.3095353965714282E-3</v>
      </c>
      <c r="S208" s="2" t="str">
        <f>$E$186</f>
        <v>t N2O</v>
      </c>
    </row>
    <row r="209" spans="4:19" ht="20.100000000000001" customHeight="1" x14ac:dyDescent="0.25">
      <c r="D209" s="55" t="str">
        <f>'Input - Feedlot'!$D$34</f>
        <v>Direct application</v>
      </c>
      <c r="E209" s="55" t="s">
        <v>321</v>
      </c>
      <c r="F209" s="55" t="s">
        <v>321</v>
      </c>
      <c r="G209" s="55" t="s">
        <v>321</v>
      </c>
      <c r="H209" s="2" t="str">
        <f>$E$186</f>
        <v>t N2O</v>
      </c>
      <c r="I209" s="2"/>
      <c r="J209" s="2"/>
      <c r="K209" s="2"/>
      <c r="O209" s="55" t="str">
        <f>'Input - Feedlot'!$D$34</f>
        <v>Direct application</v>
      </c>
      <c r="P209" s="55" t="s">
        <v>321</v>
      </c>
      <c r="Q209" s="55" t="s">
        <v>321</v>
      </c>
      <c r="R209" s="55" t="s">
        <v>321</v>
      </c>
      <c r="S209" s="2" t="str">
        <f>$E$186</f>
        <v>t N2O</v>
      </c>
    </row>
    <row r="210" spans="4:19" ht="20.100000000000001" customHeight="1" x14ac:dyDescent="0.25">
      <c r="D210" s="55" t="str">
        <f>'Input - Feedlot'!$D$38</f>
        <v>Anaerobic lagoon</v>
      </c>
      <c r="E210" s="55" cm="1">
        <f t="array" ref="E210">MMS_Feedlot_N2ODirect_Equations.VEERG_4_1_1_3__1_TotalAnnualDirectNitrousOxideEmissions(E$129,$E198,$I$190)</f>
        <v>0</v>
      </c>
      <c r="F210" s="55" cm="1">
        <f t="array" ref="F210">MMS_Feedlot_N2ODirect_Equations.VEERG_4_1_1_3__1_TotalAnnualDirectNitrousOxideEmissions(F$129,$E198,$I$190)</f>
        <v>0</v>
      </c>
      <c r="G210" s="55" cm="1">
        <f t="array" ref="G210">MMS_Feedlot_N2ODirect_Equations.VEERG_4_1_1_3__1_TotalAnnualDirectNitrousOxideEmissions(G$129,$E198,$I$190)</f>
        <v>0</v>
      </c>
      <c r="H210" s="2" t="str">
        <f>$E$186</f>
        <v>t N2O</v>
      </c>
      <c r="I210" s="2"/>
      <c r="J210" s="2"/>
      <c r="K210" s="2"/>
      <c r="O210" s="55" t="str">
        <f>'Input - Feedlot'!$D$38</f>
        <v>Anaerobic lagoon</v>
      </c>
      <c r="P210" s="55" cm="1">
        <f t="array" ref="P210">MMS_Feedlot_N2ODirect_Equations.VEERG_4_1_1_3__1_TotalAnnualDirectNitrousOxideEmissions(P$129,$E198,$I$190)</f>
        <v>0</v>
      </c>
      <c r="Q210" s="55" cm="1">
        <f t="array" ref="Q210">MMS_Feedlot_N2ODirect_Equations.VEERG_4_1_1_3__1_TotalAnnualDirectNitrousOxideEmissions(Q$129,$E198,$I$190)</f>
        <v>0</v>
      </c>
      <c r="R210" s="55" cm="1">
        <f t="array" ref="R210">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8" t="s">
        <v>175</v>
      </c>
      <c r="E212" s="109">
        <f>SUM(E206:G210)</f>
        <v>0.79920735133264487</v>
      </c>
      <c r="F212" s="110" t="str">
        <f>$E$186</f>
        <v>t N2O</v>
      </c>
      <c r="O212" s="108" t="s">
        <v>175</v>
      </c>
      <c r="P212" s="109">
        <f>SUM(P206:R210)</f>
        <v>0.79920735133264487</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E212</f>
        <v>0.79920735133264487</v>
      </c>
      <c r="O214" s="60" t="str" cm="1">
        <f t="array" ref="O214:P215">Common_Equations.Common_ConvertN2OToCO2e_Arguments()</f>
        <v>EN2O</v>
      </c>
      <c r="P214" s="61" t="str">
        <v>Nitrous oxide emissions (t N2O)</v>
      </c>
      <c r="Q214" s="111"/>
      <c r="R214" s="55">
        <f>P212</f>
        <v>0.79920735133264487</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129</v>
      </c>
      <c r="E217" s="48" cm="1">
        <f t="array" ref="E217">Common_Equations.Common_ConvertN2OToCO2e(G214,G215)</f>
        <v>211.78994810315089</v>
      </c>
      <c r="F217" s="112" t="str" cm="1">
        <f t="array" ref="F217">Common_Equations.Common_ConvertN2OToCO2e_Unit()</f>
        <v>t CO2e</v>
      </c>
      <c r="O217" s="48" t="s">
        <v>129</v>
      </c>
      <c r="P217" s="48" cm="1">
        <f t="array" ref="P217">Common_Equations.Common_ConvertN2OToCO2e(R214,R215)</f>
        <v>211.78994810315089</v>
      </c>
      <c r="Q217" s="112" t="str" cm="1">
        <f t="array" ref="Q217">Common_Equations.Common_ConvertN2OToCO2e_Unit()</f>
        <v>t CO2e</v>
      </c>
    </row>
  </sheetData>
  <dataValidations disablePrompts="1" count="1">
    <dataValidation operator="equal" allowBlank="1" showInputMessage="1" showErrorMessage="1" sqref="D78:F78 D73:F73 D83:F83 O83:Q83 E106:K106 E101:K101 P106:S1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zoomScale="85" zoomScaleNormal="85" workbookViewId="0">
      <selection activeCell="A13" sqref="A13"/>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263</v>
      </c>
    </row>
    <row r="2" spans="1:19" s="9" customFormat="1" ht="20.100000000000001" customHeight="1" x14ac:dyDescent="0.25"/>
    <row r="3" spans="1:19" ht="20.100000000000001" customHeight="1" x14ac:dyDescent="0.25">
      <c r="A3" s="17" t="str">
        <f>HYPERLINK("#'Home'!A1", "Home")</f>
        <v>Home</v>
      </c>
      <c r="C3" s="4"/>
      <c r="D3" s="4" t="s">
        <v>161</v>
      </c>
      <c r="E3" s="4"/>
      <c r="F3" s="4"/>
      <c r="G3" s="4"/>
      <c r="H3" s="4"/>
      <c r="I3" s="4"/>
      <c r="J3" s="4"/>
      <c r="L3" s="4"/>
      <c r="M3" s="4" t="s">
        <v>162</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A6" s="16"/>
      <c r="D6" s="5" t="str" cm="1">
        <f t="array" ref="D6">MMS_Feedlot_AtmosphericDeposition_Equations.VEERG_4_1_1_5__2_VolatilisedNitrogenFromManureManagement_Source()</f>
        <v>VEERG 2026: 4.1.1.5, Equation (2)</v>
      </c>
    </row>
    <row r="7" spans="1:19" ht="20.100000000000001" customHeight="1" x14ac:dyDescent="0.25">
      <c r="A7" s="20" t="s">
        <v>3</v>
      </c>
      <c r="D7" s="13" t="s">
        <v>26</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76</v>
      </c>
      <c r="D11" s="56" t="s">
        <v>29</v>
      </c>
      <c r="E11" s="1" t="str" cm="1">
        <f t="array" ref="E11">MMS_Feedlot_AtmosphericDeposition_Equations.VEERG_4_1_1_5__2_VolatilisedNitrogenFromManureManagement_Variable()</f>
        <v>MMS_ATMOS</v>
      </c>
    </row>
    <row r="12" spans="1:19" ht="20.100000000000001" customHeight="1" x14ac:dyDescent="0.25">
      <c r="A12" s="17" t="str">
        <f>HYPERLINK("#'4.1.1.1-2 Methane'!A1", "4.1.1.1-2 Methane")</f>
        <v>4.1.1.1-2 Methane</v>
      </c>
      <c r="D12" s="56" t="s">
        <v>19</v>
      </c>
      <c r="E12" s="57" t="str" cm="1">
        <f t="array" ref="E12">MMS_Feedlot_AtmosphericDeposition_Equations.VEERG_4_1_1_5__2_VolatilisedNitrogenFromManureManagement_Unit()</f>
        <v>kg N</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40" t="str" cm="1">
        <f t="array" ref="D14:E15">_xlfn.CHOOSECOLS(MMS_Feedlot_AtmosphericDeposition_Equations.VEERG_4_1_1_5__2_VolatilisedNitrogenFromManureManagement_Arguments(),1,2)</f>
        <v>MN_jmT</v>
      </c>
      <c r="E14" s="140" t="str">
        <v>nitrogen in each treatment stage MMS (excluding MN_ijm13T2)</v>
      </c>
      <c r="F14" s="140"/>
      <c r="G14" s="140" t="str" cm="1">
        <f t="array" ref="G14:H15">_xlfn.CHOOSECOLS(MMS_Feedlot_AtmosphericDeposition_Equations.VEERG_4_1_1_5__2_VolatilisedNitrogenFromManureManagement_Arguments(),3,4)</f>
        <v>kg N</v>
      </c>
      <c r="H14" s="132" t="str">
        <v>Calculated from 4.1.1.3 (2)(6)(8)</v>
      </c>
      <c r="I14" s="141"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40" t="str">
        <v>FracGASM_mT</v>
      </c>
      <c r="E15" s="140" t="str">
        <v>fraction of N volatilised in each MMS</v>
      </c>
      <c r="F15" s="140"/>
      <c r="G15" s="140" t="str">
        <v>(kg NH3-N + NOx-N)/kg N</v>
      </c>
      <c r="H15" s="132" t="str">
        <v>Constant</v>
      </c>
      <c r="I15" s="141"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7" t="s">
        <v>336</v>
      </c>
      <c r="E17" s="94"/>
      <c r="F17" s="94"/>
      <c r="G17" s="90"/>
    </row>
    <row r="18" spans="1:18" ht="20.100000000000001" customHeight="1" x14ac:dyDescent="0.25">
      <c r="A18" s="17" t="str">
        <f>HYPERLINK("#'Constants - Feedlot'!A1", "Constants - Feedlot")</f>
        <v>Constants - Feedlot</v>
      </c>
      <c r="D18" s="96" t="s">
        <v>335</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264</v>
      </c>
      <c r="M20" s="104" t="s">
        <v>267</v>
      </c>
    </row>
    <row r="21" spans="1:18" ht="20.100000000000001" customHeight="1" x14ac:dyDescent="0.25">
      <c r="A21" s="17" t="str">
        <f>HYPERLINK("#'Acknowledgements'!A1", "Acknowledgements")</f>
        <v>Acknowledgements</v>
      </c>
      <c r="D21" s="103" t="s">
        <v>266</v>
      </c>
      <c r="M21" s="103" t="s">
        <v>268</v>
      </c>
    </row>
    <row r="22" spans="1:18" ht="20.100000000000001" customHeight="1" x14ac:dyDescent="0.25">
      <c r="D22" s="116" t="s">
        <v>67</v>
      </c>
      <c r="E22" s="54" t="s">
        <v>140</v>
      </c>
      <c r="F22" s="54" t="s">
        <v>141</v>
      </c>
      <c r="G22" s="54" t="s">
        <v>142</v>
      </c>
      <c r="M22" s="116" t="s">
        <v>67</v>
      </c>
      <c r="N22" s="54" t="s">
        <v>140</v>
      </c>
      <c r="O22" s="54" t="s">
        <v>141</v>
      </c>
      <c r="P22" s="54" t="s">
        <v>142</v>
      </c>
    </row>
    <row r="23" spans="1:18" ht="20.100000000000001" customHeight="1" x14ac:dyDescent="0.25">
      <c r="D23" s="55" t="str">
        <f>'Input - Feedlot'!$D$28</f>
        <v>Drylot (feed pad)</v>
      </c>
      <c r="E23" s="55">
        <f>'4.1.1.3-4 Direct N20'!$E$106</f>
        <v>71763.793920000026</v>
      </c>
      <c r="F23" s="55">
        <f>'4.1.1.3-4 Direct N20'!$F$106</f>
        <v>2534.35392</v>
      </c>
      <c r="G23" s="55">
        <f>'4.1.1.3-4 Direct N20'!$G$106</f>
        <v>3660.4799999999991</v>
      </c>
      <c r="H23" s="2" t="str">
        <f>$G$14</f>
        <v>kg N</v>
      </c>
      <c r="I23" s="2"/>
      <c r="M23" s="55" t="str">
        <f>'Input - Feedlot'!$D$28</f>
        <v>Drylot (feed pad)</v>
      </c>
      <c r="N23" s="55">
        <f>'4.1.1.3-4 Direct N20'!$P$106</f>
        <v>71763.793920000026</v>
      </c>
      <c r="O23" s="55">
        <f>'4.1.1.3-4 Direct N20'!$Q$106</f>
        <v>2534.35392</v>
      </c>
      <c r="P23" s="55">
        <f>'4.1.1.3-4 Direct N20'!$R$106</f>
        <v>3660.4799999999991</v>
      </c>
      <c r="Q23" s="2" t="str">
        <f>$G$14</f>
        <v>kg N</v>
      </c>
      <c r="R23" s="2"/>
    </row>
    <row r="24" spans="1:18" ht="20.100000000000001" customHeight="1" x14ac:dyDescent="0.25">
      <c r="A24" s="17"/>
      <c r="D24" s="55" t="str">
        <f>'Input - Feedlot'!$D$32</f>
        <v>Solid storage</v>
      </c>
      <c r="E24" s="55">
        <f>'4.1.1.3-4 Direct N20'!$E$174</f>
        <v>5376.5434404864027</v>
      </c>
      <c r="F24" s="55">
        <f>'4.1.1.3-4 Direct N20'!$F$174</f>
        <v>189.8737956864</v>
      </c>
      <c r="G24" s="55">
        <f>'4.1.1.3-4 Direct N20'!$G$174</f>
        <v>274.24316159999995</v>
      </c>
      <c r="H24" s="2"/>
      <c r="I24" s="2"/>
      <c r="M24" s="55" t="str">
        <f>'Input - Feedlot'!$D$32</f>
        <v>Solid storage</v>
      </c>
      <c r="N24" s="55">
        <f>'4.1.1.3-4 Direct N20'!$P$174</f>
        <v>5376.5434404864027</v>
      </c>
      <c r="O24" s="55">
        <f>'4.1.1.3-4 Direct N20'!$Q$174</f>
        <v>189.8737956864</v>
      </c>
      <c r="P24" s="55">
        <f>'4.1.1.3-4 Direct N20'!$R$174</f>
        <v>274.24316159999995</v>
      </c>
      <c r="Q24" s="2"/>
      <c r="R24" s="2"/>
    </row>
    <row r="25" spans="1:18" ht="20.100000000000001" customHeight="1" x14ac:dyDescent="0.25">
      <c r="A25" s="17"/>
      <c r="D25" s="55" t="str">
        <f>'Input - Feedlot'!$D$33</f>
        <v>Composting (passive windrow)</v>
      </c>
      <c r="E25" s="55">
        <f>'4.1.1.3-4 Direct N20'!$E$175</f>
        <v>5376.5434404864027</v>
      </c>
      <c r="F25" s="55">
        <f>'4.1.1.3-4 Direct N20'!$F$175</f>
        <v>189.8737956864</v>
      </c>
      <c r="G25" s="55">
        <f>'4.1.1.3-4 Direct N20'!$G$175</f>
        <v>274.24316159999995</v>
      </c>
      <c r="H25" s="2"/>
      <c r="I25" s="2"/>
      <c r="M25" s="55" t="str">
        <f>'Input - Feedlot'!$D$33</f>
        <v>Composting (passive windrow)</v>
      </c>
      <c r="N25" s="55">
        <f>'4.1.1.3-4 Direct N20'!$P$175</f>
        <v>5376.5434404864027</v>
      </c>
      <c r="O25" s="55">
        <f>'4.1.1.3-4 Direct N20'!$Q$175</f>
        <v>189.8737956864</v>
      </c>
      <c r="P25" s="55">
        <f>'4.1.1.3-4 Direct N20'!$R$175</f>
        <v>274.24316159999995</v>
      </c>
      <c r="Q25" s="2"/>
      <c r="R25" s="2"/>
    </row>
    <row r="26" spans="1:18" ht="20.100000000000001" customHeight="1" x14ac:dyDescent="0.25">
      <c r="D26" s="55" t="str">
        <f>'Input - Feedlot'!$D$34</f>
        <v>Direct application</v>
      </c>
      <c r="E26" s="55" t="s">
        <v>321</v>
      </c>
      <c r="F26" s="55" t="s">
        <v>321</v>
      </c>
      <c r="G26" s="55" t="s">
        <v>321</v>
      </c>
      <c r="H26" s="2"/>
      <c r="I26" s="2"/>
      <c r="M26" s="55" t="str">
        <f>'Input - Feedlot'!$D$34</f>
        <v>Direct application</v>
      </c>
      <c r="N26" s="55" t="s">
        <v>321</v>
      </c>
      <c r="O26" s="55" t="s">
        <v>321</v>
      </c>
      <c r="P26" s="55" t="s">
        <v>321</v>
      </c>
      <c r="Q26" s="2"/>
      <c r="R26" s="2"/>
    </row>
    <row r="27" spans="1:18" ht="20.100000000000001" customHeight="1" x14ac:dyDescent="0.25">
      <c r="D27" s="55" t="str">
        <f>'Input - Feedlot'!$D$38</f>
        <v>Anaerobic lagoon</v>
      </c>
      <c r="E27" s="55">
        <f>'4.1.1.3-4 Direct N20'!$E$129</f>
        <v>1435.2758784000005</v>
      </c>
      <c r="F27" s="55">
        <f>'4.1.1.3-4 Direct N20'!$F$129</f>
        <v>50.687078400000004</v>
      </c>
      <c r="G27" s="55">
        <f>'4.1.1.3-4 Direct N20'!$G$129</f>
        <v>73.20959999999998</v>
      </c>
      <c r="H27" s="2"/>
      <c r="I27" s="2"/>
      <c r="M27" s="55" t="str">
        <f>'Input - Feedlot'!$D$38</f>
        <v>Anaerobic lagoon</v>
      </c>
      <c r="N27" s="55">
        <f>'4.1.1.3-4 Direct N20'!$P$129</f>
        <v>1435.2758784000005</v>
      </c>
      <c r="O27" s="55">
        <f>'4.1.1.3-4 Direct N20'!$Q$129</f>
        <v>50.687078400000004</v>
      </c>
      <c r="P27" s="55">
        <f>'4.1.1.3-4 Direct N20'!$R$129</f>
        <v>73.20959999999998</v>
      </c>
      <c r="Q27" s="2"/>
      <c r="R27" s="2"/>
    </row>
    <row r="28" spans="1:18" ht="20.100000000000001" customHeight="1" x14ac:dyDescent="0.25"/>
    <row r="29" spans="1:18" ht="20.100000000000001" customHeight="1" x14ac:dyDescent="0.25">
      <c r="D29" s="104" t="s">
        <v>232</v>
      </c>
    </row>
    <row r="30" spans="1:18" ht="20.100000000000001" customHeight="1" x14ac:dyDescent="0.25">
      <c r="D30" s="103" t="s">
        <v>234</v>
      </c>
    </row>
    <row r="31" spans="1:18" ht="20.100000000000001" customHeight="1" x14ac:dyDescent="0.25">
      <c r="D31" s="116" t="s">
        <v>67</v>
      </c>
      <c r="E31" s="116" t="s">
        <v>174</v>
      </c>
    </row>
    <row r="32" spans="1:18" ht="20.100000000000001" customHeight="1" x14ac:dyDescent="0.25">
      <c r="D32" s="55" t="str">
        <f>'Input - Feedlot'!$D$28</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'Input - Feedlot'!$D$32</f>
        <v>Solid storage</v>
      </c>
      <c r="E33" s="55">
        <f>_xlfn.XLOOKUP(D33, Table_SourceData_Feedlot_FracGASMmT[NIR definition], Table_SourceData_Feedlot_FracGASMmT[FracGASMmT])</f>
        <v>0.25</v>
      </c>
      <c r="F33" s="2"/>
    </row>
    <row r="34" spans="3:19" ht="20.100000000000001" customHeight="1" x14ac:dyDescent="0.25">
      <c r="D34" s="55" t="str">
        <f>'Input - Feedlot'!$D$33</f>
        <v>Composting (passive windrow)</v>
      </c>
      <c r="E34" s="55">
        <f>_xlfn.XLOOKUP(D34, Table_SourceData_Feedlot_FracGASMmT[NIR definition], Table_SourceData_Feedlot_FracGASMmT[FracGASMmT])</f>
        <v>0.4</v>
      </c>
      <c r="F34" s="2"/>
    </row>
    <row r="35" spans="3:19" ht="20.100000000000001" customHeight="1" x14ac:dyDescent="0.25">
      <c r="D35" s="55" t="str">
        <f>'Input - Feedlot'!$D$38</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265</v>
      </c>
      <c r="M37" s="104" t="s">
        <v>265</v>
      </c>
    </row>
    <row r="38" spans="3:19" ht="20.100000000000001" customHeight="1" x14ac:dyDescent="0.25">
      <c r="D38" s="103" t="s">
        <v>266</v>
      </c>
      <c r="M38" s="103" t="s">
        <v>266</v>
      </c>
    </row>
    <row r="39" spans="3:19" ht="20.100000000000001" customHeight="1" x14ac:dyDescent="0.25">
      <c r="D39" s="116" t="s">
        <v>67</v>
      </c>
      <c r="E39" s="54" t="s">
        <v>140</v>
      </c>
      <c r="F39" s="54" t="s">
        <v>141</v>
      </c>
      <c r="G39" s="54" t="s">
        <v>142</v>
      </c>
      <c r="M39" s="116" t="s">
        <v>67</v>
      </c>
      <c r="N39" s="54" t="s">
        <v>140</v>
      </c>
      <c r="O39" s="54" t="s">
        <v>141</v>
      </c>
      <c r="P39" s="54" t="s">
        <v>142</v>
      </c>
    </row>
    <row r="40" spans="3:19" ht="20.100000000000001" customHeight="1" x14ac:dyDescent="0.25">
      <c r="D40" s="55" t="str">
        <f>'Input - Feedlot'!$D$28</f>
        <v>Drylot (feed pad)</v>
      </c>
      <c r="E40" s="55" cm="1">
        <f t="array" ref="E40">MMS_Feedlot_AtmosphericDeposition_Equations.VEERG_4_1_1_5__2_VolatilisedNitrogenFromManureManagement(E23,$E32)</f>
        <v>43058.276352000015</v>
      </c>
      <c r="F40" s="55" cm="1">
        <f t="array" ref="F40">MMS_Feedlot_AtmosphericDeposition_Equations.VEERG_4_1_1_5__2_VolatilisedNitrogenFromManureManagement(F23,$E32)</f>
        <v>1520.6123519999999</v>
      </c>
      <c r="G40" s="55" cm="1">
        <f t="array" ref="G40">MMS_Feedlot_AtmosphericDeposition_Equations.VEERG_4_1_1_5__2_VolatilisedNitrogenFromManureManagement(G23,$E32)</f>
        <v>2196.2879999999996</v>
      </c>
      <c r="H40" s="2" t="str">
        <f>$E$12</f>
        <v>kg N</v>
      </c>
      <c r="I40" s="2"/>
      <c r="M40" s="55" t="str">
        <f>'Input - Feedlot'!$D$28</f>
        <v>Drylot (feed pad)</v>
      </c>
      <c r="N40" s="55" cm="1">
        <f t="array" ref="N40">MMS_Feedlot_AtmosphericDeposition_Equations.VEERG_4_1_1_5__2_VolatilisedNitrogenFromManureManagement(N23,$E32)</f>
        <v>43058.276352000015</v>
      </c>
      <c r="O40" s="55" cm="1">
        <f t="array" ref="O40">MMS_Feedlot_AtmosphericDeposition_Equations.VEERG_4_1_1_5__2_VolatilisedNitrogenFromManureManagement(O23,$E32)</f>
        <v>1520.6123519999999</v>
      </c>
      <c r="P40" s="55" cm="1">
        <f t="array" ref="P40">MMS_Feedlot_AtmosphericDeposition_Equations.VEERG_4_1_1_5__2_VolatilisedNitrogenFromManureManagement(P23,$E32)</f>
        <v>2196.2879999999996</v>
      </c>
      <c r="Q40" s="2" t="str">
        <f>$E$12</f>
        <v>kg N</v>
      </c>
      <c r="R40" s="2"/>
    </row>
    <row r="41" spans="3:19" ht="20.100000000000001" customHeight="1" x14ac:dyDescent="0.25">
      <c r="D41" s="55" t="str">
        <f>'Input - Feedlot'!$D$32</f>
        <v>Solid storage</v>
      </c>
      <c r="E41" s="55" cm="1">
        <f t="array" ref="E41">MMS_Feedlot_AtmosphericDeposition_Equations.VEERG_4_1_1_5__2_VolatilisedNitrogenFromManureManagement(E24,$E33)</f>
        <v>1344.1358601216007</v>
      </c>
      <c r="F41" s="55" cm="1">
        <f t="array" ref="F41">MMS_Feedlot_AtmosphericDeposition_Equations.VEERG_4_1_1_5__2_VolatilisedNitrogenFromManureManagement(F24,$E33)</f>
        <v>47.4684489216</v>
      </c>
      <c r="G41" s="55" cm="1">
        <f t="array" ref="G41">MMS_Feedlot_AtmosphericDeposition_Equations.VEERG_4_1_1_5__2_VolatilisedNitrogenFromManureManagement(G24,$E33)</f>
        <v>68.560790399999988</v>
      </c>
      <c r="H41" s="2"/>
      <c r="I41" s="2"/>
      <c r="M41" s="55" t="str">
        <f>'Input - Feedlot'!$D$32</f>
        <v>Solid storage</v>
      </c>
      <c r="N41" s="55" cm="1">
        <f t="array" ref="N41">MMS_Feedlot_AtmosphericDeposition_Equations.VEERG_4_1_1_5__2_VolatilisedNitrogenFromManureManagement(N24,$E33)</f>
        <v>1344.1358601216007</v>
      </c>
      <c r="O41" s="55" cm="1">
        <f t="array" ref="O41">MMS_Feedlot_AtmosphericDeposition_Equations.VEERG_4_1_1_5__2_VolatilisedNitrogenFromManureManagement(O24,$E33)</f>
        <v>47.4684489216</v>
      </c>
      <c r="P41" s="55" cm="1">
        <f t="array" ref="P41">MMS_Feedlot_AtmosphericDeposition_Equations.VEERG_4_1_1_5__2_VolatilisedNitrogenFromManureManagement(P24,$E33)</f>
        <v>68.560790399999988</v>
      </c>
    </row>
    <row r="42" spans="3:19" ht="20.100000000000001" customHeight="1" x14ac:dyDescent="0.25">
      <c r="D42" s="55" t="str">
        <f>'Input - Feedlot'!$D$33</f>
        <v>Composting (passive windrow)</v>
      </c>
      <c r="E42" s="55" cm="1">
        <f t="array" ref="E42">MMS_Feedlot_AtmosphericDeposition_Equations.VEERG_4_1_1_5__2_VolatilisedNitrogenFromManureManagement(E25,$E34)</f>
        <v>2150.6173761945611</v>
      </c>
      <c r="F42" s="55" cm="1">
        <f t="array" ref="F42">MMS_Feedlot_AtmosphericDeposition_Equations.VEERG_4_1_1_5__2_VolatilisedNitrogenFromManureManagement(F25,$E34)</f>
        <v>75.949518274560006</v>
      </c>
      <c r="G42" s="55" cm="1">
        <f t="array" ref="G42">MMS_Feedlot_AtmosphericDeposition_Equations.VEERG_4_1_1_5__2_VolatilisedNitrogenFromManureManagement(G25,$E34)</f>
        <v>109.69726463999999</v>
      </c>
      <c r="H42" s="2"/>
      <c r="I42" s="2"/>
      <c r="M42" s="55" t="str">
        <f>'Input - Feedlot'!$D$33</f>
        <v>Composting (passive windrow)</v>
      </c>
      <c r="N42" s="55" cm="1">
        <f t="array" ref="N42">MMS_Feedlot_AtmosphericDeposition_Equations.VEERG_4_1_1_5__2_VolatilisedNitrogenFromManureManagement(N25,$E34)</f>
        <v>2150.6173761945611</v>
      </c>
      <c r="O42" s="55" cm="1">
        <f t="array" ref="O42">MMS_Feedlot_AtmosphericDeposition_Equations.VEERG_4_1_1_5__2_VolatilisedNitrogenFromManureManagement(O25,$E34)</f>
        <v>75.949518274560006</v>
      </c>
      <c r="P42" s="55" cm="1">
        <f t="array" ref="P42">MMS_Feedlot_AtmosphericDeposition_Equations.VEERG_4_1_1_5__2_VolatilisedNitrogenFromManureManagement(P25,$E34)</f>
        <v>109.69726463999999</v>
      </c>
    </row>
    <row r="43" spans="3:19" ht="20.100000000000001" customHeight="1" x14ac:dyDescent="0.25">
      <c r="D43" s="55" t="str">
        <f>'Input - Feedlot'!$D$34</f>
        <v>Direct application</v>
      </c>
      <c r="E43" s="55" t="s">
        <v>321</v>
      </c>
      <c r="F43" s="55" t="s">
        <v>321</v>
      </c>
      <c r="G43" s="55" t="s">
        <v>321</v>
      </c>
      <c r="H43" s="2"/>
      <c r="I43" s="2"/>
      <c r="M43" s="55" t="str">
        <f>'Input - Feedlot'!$D$34</f>
        <v>Direct application</v>
      </c>
      <c r="N43" s="55" t="s">
        <v>321</v>
      </c>
      <c r="O43" s="55" t="s">
        <v>321</v>
      </c>
      <c r="P43" s="55" t="s">
        <v>321</v>
      </c>
    </row>
    <row r="44" spans="3:19" ht="20.100000000000001" customHeight="1" x14ac:dyDescent="0.25">
      <c r="D44" s="55" t="str">
        <f>'Input - Feedlot'!$D$38</f>
        <v>Anaerobic lagoon</v>
      </c>
      <c r="E44" s="55" cm="1">
        <f t="array" ref="E44">MMS_Feedlot_AtmosphericDeposition_Equations.VEERG_4_1_1_5__2_VolatilisedNitrogenFromManureManagement(E27,$E35)</f>
        <v>502.34655744000014</v>
      </c>
      <c r="F44" s="55" cm="1">
        <f t="array" ref="F44">MMS_Feedlot_AtmosphericDeposition_Equations.VEERG_4_1_1_5__2_VolatilisedNitrogenFromManureManagement(F27,$E35)</f>
        <v>17.740477439999999</v>
      </c>
      <c r="G44" s="55" cm="1">
        <f t="array" ref="G44">MMS_Feedlot_AtmosphericDeposition_Equations.VEERG_4_1_1_5__2_VolatilisedNitrogenFromManureManagement(G27,$E35)</f>
        <v>25.623359999999991</v>
      </c>
      <c r="H44" s="2"/>
      <c r="I44" s="2"/>
      <c r="M44" s="55" t="str">
        <f>'Input - Feedlot'!$D$38</f>
        <v>Anaerobic lagoon</v>
      </c>
      <c r="N44" s="55" cm="1">
        <f t="array" ref="N44">MMS_Feedlot_AtmosphericDeposition_Equations.VEERG_4_1_1_5__2_VolatilisedNitrogenFromManureManagement(N27,$E35)</f>
        <v>502.34655744000014</v>
      </c>
      <c r="O44" s="55" cm="1">
        <f t="array" ref="O44">MMS_Feedlot_AtmosphericDeposition_Equations.VEERG_4_1_1_5__2_VolatilisedNitrogenFromManureManagement(O27,$E35)</f>
        <v>17.740477439999999</v>
      </c>
      <c r="P44" s="55" cm="1">
        <f t="array" ref="P44">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23" t="s">
        <v>269</v>
      </c>
      <c r="E46" s="48">
        <f>SUM(E40:G44)</f>
        <v>51117.316357432333</v>
      </c>
      <c r="F46" s="121" t="str">
        <f>$E$12</f>
        <v>kg N</v>
      </c>
      <c r="M46" s="123" t="s">
        <v>269</v>
      </c>
      <c r="N46" s="48">
        <f>SUM(N40:P44)</f>
        <v>51117.316357432333</v>
      </c>
      <c r="O46" s="121" t="str">
        <f>$E$12</f>
        <v>kg N</v>
      </c>
    </row>
    <row r="47" spans="3:19" ht="20.100000000000001" customHeight="1" x14ac:dyDescent="0.25"/>
    <row r="48" spans="3:19" ht="20.100000000000001" customHeight="1" x14ac:dyDescent="0.25">
      <c r="C48" s="122"/>
      <c r="D48" s="122"/>
      <c r="E48" s="122"/>
      <c r="F48" s="122"/>
      <c r="G48" s="122"/>
      <c r="H48" s="122"/>
      <c r="I48" s="122"/>
      <c r="J48" s="122"/>
      <c r="L48" s="122"/>
      <c r="M48" s="122"/>
      <c r="N48" s="122"/>
      <c r="O48" s="122"/>
      <c r="P48" s="122"/>
      <c r="Q48" s="122"/>
      <c r="R48" s="122"/>
      <c r="S48" s="122"/>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26</v>
      </c>
      <c r="E52" s="13" t="str" cm="1">
        <f t="array" aca="1" ref="E52" ca="1">Common_InputFunctions.Utility_DisplayFunctionName(E65)</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6" t="s">
        <v>29</v>
      </c>
      <c r="E55" s="1" t="str" cm="1">
        <f t="array" ref="E55">MMS_Feedlot_AtmosphericDeposition_Equations.VEERG_4_1_1_5__1_TotalAnnualAtmosphericDepositionEmissions_Variable()</f>
        <v>E_N2Oad</v>
      </c>
    </row>
    <row r="56" spans="4:18" ht="20.100000000000001" customHeight="1" x14ac:dyDescent="0.25">
      <c r="D56" s="56" t="s">
        <v>19</v>
      </c>
      <c r="E56" s="57"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40" t="str" cm="1">
        <f t="array" ref="D58:E63">_xlfn.CHOOSECOLS(MMS_Feedlot_AtmosphericDeposition_Equations.VEERG_4_1_1_5__1_TotalAnnualAtmosphericDepositionEmissions_Arguments(),1,2)</f>
        <v>MMS_ATMOS</v>
      </c>
      <c r="E58" s="143" t="str">
        <v>mass of N volatilised from MMS</v>
      </c>
      <c r="F58" s="142"/>
      <c r="G58" s="140" t="str" cm="1">
        <f t="array" ref="G58:H63">_xlfn.CHOOSECOLS(MMS_Feedlot_AtmosphericDeposition_Equations.VEERG_4_1_1_5__1_TotalAnnualAtmosphericDepositionEmissions_Arguments(),3,4)</f>
        <v>kg N</v>
      </c>
      <c r="H58" s="132" t="str">
        <v>Calculated from 4.1.1.5 (2)</v>
      </c>
      <c r="I58" s="140">
        <f>$E$46</f>
        <v>51117.316357432333</v>
      </c>
      <c r="M58" s="140" t="str" cm="1">
        <f t="array" ref="M58:N63">_xlfn.CHOOSECOLS(MMS_Feedlot_AtmosphericDeposition_Equations.VEERG_4_1_1_5__1_TotalAnnualAtmosphericDepositionEmissions_Arguments(),1,2)</f>
        <v>MMS_ATMOS</v>
      </c>
      <c r="N58" s="143" t="str">
        <v>mass of N volatilised from MMS</v>
      </c>
      <c r="O58" s="142"/>
      <c r="P58" s="140" t="str" cm="1">
        <f t="array" ref="P58:Q63">_xlfn.CHOOSECOLS(MMS_Feedlot_AtmosphericDeposition_Equations.VEERG_4_1_1_5__1_TotalAnnualAtmosphericDepositionEmissions_Arguments(),3,4)</f>
        <v>kg N</v>
      </c>
      <c r="Q58" s="132" t="str">
        <v>Calculated from 4.1.1.5 (2)</v>
      </c>
      <c r="R58" s="60">
        <f>$N$46</f>
        <v>51117.316357432333</v>
      </c>
    </row>
    <row r="59" spans="4:18" ht="20.100000000000001" customHeight="1" x14ac:dyDescent="0.25">
      <c r="D59" s="140" t="str">
        <v>EF_N2O</v>
      </c>
      <c r="E59" s="143" t="str">
        <v>nitrous oxide emission factor for atmospheric deposition</v>
      </c>
      <c r="F59" s="142"/>
      <c r="G59" s="140" t="str">
        <v>kg N2O-N/kg N</v>
      </c>
      <c r="H59" s="132" t="str">
        <v>Constant</v>
      </c>
      <c r="I59" s="140">
        <f>Common_InputFunctions.Utility_LookupN2OEFFromProdIrrigationRainfall($I$61,$I$62,$I$63,Table_SourceData_Common_EFN2O[Production system only],Table_SourceData_Common_EFN2O[Irrigation method],Table_SourceData_Common_EFN2O[Rainfall zone],Table_SourceData_Common_EFN2O[EFN2O])</f>
        <v>1.8E-3</v>
      </c>
      <c r="M59" s="140" t="str">
        <v>EF_N2O</v>
      </c>
      <c r="N59" s="143" t="str">
        <v>nitrous oxide emission factor for atmospheric deposition</v>
      </c>
      <c r="O59" s="142"/>
      <c r="P59" s="140" t="str">
        <v>kg N2O-N/kg N</v>
      </c>
      <c r="Q59" s="132" t="str">
        <v>Constant</v>
      </c>
      <c r="R59" s="60"/>
    </row>
    <row r="60" spans="4:18" ht="20.100000000000001" customHeight="1" x14ac:dyDescent="0.25">
      <c r="D60" s="140" t="str">
        <v>C_N2O</v>
      </c>
      <c r="E60" s="143" t="str">
        <v>factor to convert elemental mass of nitrous oxide to molecular mass</v>
      </c>
      <c r="F60" s="142"/>
      <c r="G60" s="140" t="str">
        <v/>
      </c>
      <c r="H60" s="132" t="str">
        <v>Constant</v>
      </c>
      <c r="I60" s="140">
        <f>Common_InputFunctions.Utility_LookupValueInTableNumber("N2O",Table_GasToMolecularConversionFactor[Gas],Table_GasToMolecularConversionFactor[Conversion factor combined])</f>
        <v>1.5714285714285714</v>
      </c>
      <c r="M60" s="140" t="str">
        <v>C_N2O</v>
      </c>
      <c r="N60" s="143" t="str">
        <v>factor to convert elemental mass of nitrous oxide to molecular mass</v>
      </c>
      <c r="O60" s="142"/>
      <c r="P60" s="140" t="str">
        <v/>
      </c>
      <c r="Q60" s="132" t="str">
        <v>Constant</v>
      </c>
      <c r="R60" s="60"/>
    </row>
    <row r="61" spans="4:18" ht="20.100000000000001" customHeight="1" x14ac:dyDescent="0.25">
      <c r="D61" s="140" t="str">
        <v>j</v>
      </c>
      <c r="E61" s="143" t="str">
        <v>production system</v>
      </c>
      <c r="F61" s="142"/>
      <c r="G61" s="140" t="str">
        <v/>
      </c>
      <c r="H61" s="131" t="str">
        <v>Input</v>
      </c>
      <c r="I61" s="140" t="str">
        <f>'Input - Feedlot'!$E$41</f>
        <v>Pasture</v>
      </c>
      <c r="M61" s="140" t="str">
        <v>j</v>
      </c>
      <c r="N61" s="143" t="str">
        <v>production system</v>
      </c>
      <c r="O61" s="142"/>
      <c r="P61" s="140" t="str">
        <v/>
      </c>
      <c r="Q61" s="131" t="str">
        <v>Input</v>
      </c>
      <c r="R61" s="60"/>
    </row>
    <row r="62" spans="4:18" ht="20.100000000000001" customHeight="1" x14ac:dyDescent="0.25">
      <c r="D62" s="140" t="str">
        <v>i</v>
      </c>
      <c r="E62" s="143" t="str">
        <v>irrigation method</v>
      </c>
      <c r="F62" s="142"/>
      <c r="G62" s="140" t="str">
        <v/>
      </c>
      <c r="H62" s="131" t="str">
        <v>Input</v>
      </c>
      <c r="I62" s="140" t="str">
        <f>'Input - Feedlot'!$E$42</f>
        <v>Not irrigated</v>
      </c>
      <c r="M62" s="140" t="str">
        <v>i</v>
      </c>
      <c r="N62" s="143" t="str">
        <v>irrigation method</v>
      </c>
      <c r="O62" s="142"/>
      <c r="P62" s="140" t="str">
        <v/>
      </c>
      <c r="Q62" s="131" t="str">
        <v>Input</v>
      </c>
      <c r="R62" s="60"/>
    </row>
    <row r="63" spans="4:18" ht="20.100000000000001" customHeight="1" x14ac:dyDescent="0.25">
      <c r="D63" s="140" t="str">
        <v>r</v>
      </c>
      <c r="E63" s="143" t="str">
        <v>rainfall zone</v>
      </c>
      <c r="F63" s="142"/>
      <c r="G63" s="140" t="str">
        <v/>
      </c>
      <c r="H63" s="131" t="str">
        <v>Input</v>
      </c>
      <c r="I63" s="140" t="str">
        <f>'Input - Site'!$E$30</f>
        <v>High rainfall</v>
      </c>
      <c r="M63" s="140" t="str">
        <v>r</v>
      </c>
      <c r="N63" s="143" t="str">
        <v>rainfall zone</v>
      </c>
      <c r="O63" s="142"/>
      <c r="P63" s="140" t="str">
        <v/>
      </c>
      <c r="Q63" s="131" t="str">
        <v>Input</v>
      </c>
      <c r="R63" s="60"/>
    </row>
    <row r="64" spans="4:18" ht="20.100000000000001" customHeight="1" x14ac:dyDescent="0.25"/>
    <row r="65" spans="4:16" ht="20.100000000000001" customHeight="1" x14ac:dyDescent="0.25">
      <c r="D65" s="108" t="s">
        <v>283</v>
      </c>
      <c r="E65" s="109" cm="1">
        <f t="array" ref="E65">MMS_Feedlot_AtmosphericDeposition_Equations.VEERG_4_1_1_5__1_TotalAnnualAtmosphericDepositionEmissions(I58,I59,I60)</f>
        <v>0.14458898055388003</v>
      </c>
      <c r="F65" s="110" t="str">
        <f>$E$56</f>
        <v>t N2O</v>
      </c>
      <c r="M65" s="108" t="s">
        <v>283</v>
      </c>
      <c r="N65" s="109" cm="1">
        <f t="array" ref="N65">MMS_Feedlot_AtmosphericDeposition_Equations.VEERG_4_1_1_5__1_TotalAnnualAtmosphericDepositionEmissions(R58,I59,I60)</f>
        <v>0.14458898055388003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E65</f>
        <v>0.14458898055388003</v>
      </c>
      <c r="M67" s="60" t="str" cm="1">
        <f t="array" ref="M67:N68">Common_Equations.Common_ConvertN2OToCO2e_Arguments()</f>
        <v>EN2O</v>
      </c>
      <c r="N67" s="61" t="str">
        <v>Nitrous oxide emissions (t N2O)</v>
      </c>
      <c r="O67" s="111"/>
      <c r="P67" s="55">
        <f>N65</f>
        <v>0.14458898055388003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129</v>
      </c>
      <c r="E70" s="48" cm="1">
        <f t="array" ref="E70">Common_Equations.Common_ConvertN2OToCO2e(G67,G68)</f>
        <v>38.316079846778209</v>
      </c>
      <c r="F70" s="112" t="str" cm="1">
        <f t="array" ref="F70">Common_Equations.Common_ConvertN2OToCO2e_Unit()</f>
        <v>t CO2e</v>
      </c>
      <c r="M70" s="48" t="s">
        <v>129</v>
      </c>
      <c r="N70" s="48" cm="1">
        <f t="array" ref="N70">Common_Equations.Common_ConvertN2OToCO2e(P67,P68)</f>
        <v>38.316079846778209</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zoomScaleNormal="100" workbookViewId="0">
      <selection activeCell="A14" sqref="A1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229</v>
      </c>
    </row>
    <row r="2" spans="1:19" s="9" customFormat="1" ht="20.100000000000001" customHeight="1" x14ac:dyDescent="0.25"/>
    <row r="3" spans="1:19" ht="20.100000000000001" customHeight="1" x14ac:dyDescent="0.25">
      <c r="A3" s="17" t="str">
        <f>HYPERLINK("#'Home'!A1", "Home")</f>
        <v>Home</v>
      </c>
      <c r="C3" s="4"/>
      <c r="D3" s="4" t="s">
        <v>161</v>
      </c>
      <c r="E3" s="4"/>
      <c r="F3" s="4"/>
      <c r="G3" s="4"/>
      <c r="H3" s="4"/>
      <c r="I3" s="4"/>
      <c r="J3" s="4"/>
      <c r="K3" s="4"/>
      <c r="M3" s="4"/>
      <c r="N3" s="4" t="s">
        <v>162</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A6" s="16"/>
      <c r="D6" s="5" t="str" cm="1">
        <f t="array" ref="D6">MMS_Feedlot_ManureAppliedToSoils_Equations.VEERG_4_1_1_9__1_MassOfNitrogenAppliedToSoilsScope1_Source()</f>
        <v>VEERG 2026: 4.1.1.9, Equation (1)</v>
      </c>
    </row>
    <row r="7" spans="1:19" ht="20.100000000000001" customHeight="1" x14ac:dyDescent="0.25">
      <c r="A7" s="20" t="s">
        <v>3</v>
      </c>
      <c r="D7" s="13" t="s">
        <v>26</v>
      </c>
      <c r="E7" s="13" t="str" cm="1">
        <f t="array" aca="1" ref="E7" ca="1">Common_InputFunctions.Utility_DisplayFunctionName(E56)</f>
        <v>=MMS_Feedlot_ManureAppliedToSoils_Equations.VEERG_4_1_1_9__1_MassOfNitrogenAppliedToSoilsScope1</v>
      </c>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76</v>
      </c>
      <c r="D11" s="56" t="s">
        <v>29</v>
      </c>
      <c r="E11" s="1" t="str" cm="1">
        <f t="array" ref="E11">MMS_Feedlot_ManureAppliedToSoils_Equations.VEERG_4_1_1_9__1_MassOfNitrogenAppliedToSoilsScope1_Variable()</f>
        <v>MNSoil_scope1</v>
      </c>
    </row>
    <row r="12" spans="1:19" ht="20.100000000000001" customHeight="1" x14ac:dyDescent="0.25">
      <c r="A12" s="17" t="str">
        <f>HYPERLINK("#'4.1.1.1-2 Methane'!A1", "4.1.1.1-2 Methane")</f>
        <v>4.1.1.1-2 Methane</v>
      </c>
      <c r="D12" s="56" t="s">
        <v>19</v>
      </c>
      <c r="E12" s="57" t="str" cm="1">
        <f t="array" ref="E12">MMS_Feedlot_ManureAppliedToSoils_Equations.VEERG_4_1_1_9__1_MassOfNitrogenAppliedToSoilsScope1_Unit()</f>
        <v>kg N</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40" t="str" cm="1">
        <f t="array" ref="D14:E17">_xlfn.CHOOSECOLS(MMS_Feedlot_ManureAppliedToSoils_Equations.VEERG_4_1_1_9__1_MassOfNitrogenAppliedToSoilsScope1_Arguments(),1,2)</f>
        <v>MN_jmT23</v>
      </c>
      <c r="E14" s="143" t="str">
        <v>mass of N in secondary and tertiary treatment MMS stages as calculated for manure management</v>
      </c>
      <c r="F14" s="144"/>
      <c r="G14" s="142"/>
      <c r="H14" s="140" t="str" cm="1">
        <f t="array" ref="H14:I17">_xlfn.CHOOSECOLS(MMS_Feedlot_ManureAppliedToSoils_Equations.VEERG_4_1_1_9__1_MassOfNitrogenAppliedToSoilsScope1_Arguments(),3,4)</f>
        <v>kg N</v>
      </c>
      <c r="I14" s="132" t="str">
        <v>Calculated from 4.1.1.3 (6)(8)</v>
      </c>
      <c r="J14" s="141"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40" t="str">
        <v>EF_mT23</v>
      </c>
      <c r="E15" s="143" t="str">
        <v>nitrous oxide emission factor for each MMS</v>
      </c>
      <c r="F15" s="144"/>
      <c r="G15" s="142"/>
      <c r="H15" s="140" t="str">
        <v>kg N2O-N/kg N</v>
      </c>
      <c r="I15" s="132" t="str">
        <v>Constant</v>
      </c>
      <c r="J15" s="141" t="str" cm="1">
        <f t="array" aca="1" ref="J15" ca="1">HYPERLINK(Common_InputFunctions.Utility_SourceHyperlink($D$27),$D$27)</f>
        <v>Table_EF_j_m_T-2-3</v>
      </c>
    </row>
    <row r="16" spans="1:19" ht="20.100000000000001" customHeight="1" x14ac:dyDescent="0.25">
      <c r="D16" s="140" t="str">
        <v>FracGASM_mT23</v>
      </c>
      <c r="E16" s="143" t="str">
        <v>fraction of animal waste N volatilised in each MMS for each cattle group</v>
      </c>
      <c r="F16" s="144"/>
      <c r="G16" s="142"/>
      <c r="H16" s="140" t="str">
        <v>(kg NH3-N + NOx-N)/kg N</v>
      </c>
      <c r="I16" s="132" t="str">
        <v>Constant</v>
      </c>
      <c r="J16" s="141" t="str" cm="1">
        <f t="array" aca="1" ref="J16" ca="1">HYPERLINK(Common_InputFunctions.Utility_SourceHyperlink($D$36),$D$36)</f>
        <v>Table_FracGASM_m_T-2-3</v>
      </c>
    </row>
    <row r="17" spans="1:18" ht="20.100000000000001" customHeight="1" x14ac:dyDescent="0.25">
      <c r="A17" s="18" t="s">
        <v>4</v>
      </c>
      <c r="D17" s="140" t="str">
        <v>PF</v>
      </c>
      <c r="E17" s="143" t="str">
        <v>fraction of manure applied to soil within the feedlot boundary</v>
      </c>
      <c r="F17" s="144"/>
      <c r="G17" s="142"/>
      <c r="H17" s="140" t="str">
        <v>fraction</v>
      </c>
      <c r="I17" s="131" t="str">
        <v>Input</v>
      </c>
      <c r="J17" s="141"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231</v>
      </c>
      <c r="N19" s="104" t="s">
        <v>239</v>
      </c>
    </row>
    <row r="20" spans="1:18" ht="20.100000000000001" customHeight="1" x14ac:dyDescent="0.25">
      <c r="A20" s="17" t="str">
        <f>HYPERLINK("#'Constants - Common'!A1", "Constants - Common")</f>
        <v>Constants - Common</v>
      </c>
      <c r="D20" s="103" t="s">
        <v>241</v>
      </c>
      <c r="N20" s="103" t="s">
        <v>240</v>
      </c>
    </row>
    <row r="21" spans="1:18" ht="20.100000000000001" customHeight="1" x14ac:dyDescent="0.25">
      <c r="A21" s="17" t="str">
        <f>HYPERLINK("#'Acknowledgements'!A1", "Acknowledgements")</f>
        <v>Acknowledgements</v>
      </c>
      <c r="D21" s="54" t="s">
        <v>67</v>
      </c>
      <c r="E21" s="54" t="s">
        <v>140</v>
      </c>
      <c r="F21" s="54" t="s">
        <v>141</v>
      </c>
      <c r="G21" s="54" t="s">
        <v>142</v>
      </c>
      <c r="N21" s="54" t="s">
        <v>67</v>
      </c>
      <c r="O21" s="54" t="s">
        <v>140</v>
      </c>
      <c r="P21" s="54" t="s">
        <v>141</v>
      </c>
      <c r="Q21" s="54" t="s">
        <v>142</v>
      </c>
    </row>
    <row r="22" spans="1:18" ht="20.100000000000001" customHeight="1" x14ac:dyDescent="0.25">
      <c r="D22" s="55" t="str">
        <f>'Input - Feedlot'!$D$32</f>
        <v>Solid storage</v>
      </c>
      <c r="E22" s="55">
        <f>'4.1.1.3-4 Direct N20'!$E$174</f>
        <v>5376.5434404864027</v>
      </c>
      <c r="F22" s="55">
        <f>'4.1.1.3-4 Direct N20'!$F$174</f>
        <v>189.8737956864</v>
      </c>
      <c r="G22" s="55">
        <f>'4.1.1.3-4 Direct N20'!$G$174</f>
        <v>274.24316159999995</v>
      </c>
      <c r="H22" s="2" t="s">
        <v>230</v>
      </c>
      <c r="I22" s="2"/>
      <c r="J22" s="2"/>
      <c r="N22" s="55" t="str">
        <f>'Input - Feedlot'!$D$32</f>
        <v>Solid storage</v>
      </c>
      <c r="O22" s="55">
        <f>'4.1.1.3-4 Direct N20'!$P$174</f>
        <v>5376.5434404864027</v>
      </c>
      <c r="P22" s="55">
        <f>'4.1.1.3-4 Direct N20'!$Q$174</f>
        <v>189.8737956864</v>
      </c>
      <c r="Q22" s="55">
        <f>'4.1.1.3-4 Direct N20'!$R$174</f>
        <v>274.24316159999995</v>
      </c>
      <c r="R22" s="2" t="s">
        <v>230</v>
      </c>
    </row>
    <row r="23" spans="1:18" ht="20.100000000000001" customHeight="1" x14ac:dyDescent="0.25">
      <c r="D23" s="55" t="str">
        <f>'Input - Feedlot'!$D$33</f>
        <v>Composting (passive windrow)</v>
      </c>
      <c r="E23" s="55">
        <f>'4.1.1.3-4 Direct N20'!$E$175</f>
        <v>5376.5434404864027</v>
      </c>
      <c r="F23" s="55">
        <f>'4.1.1.3-4 Direct N20'!$F$175</f>
        <v>189.8737956864</v>
      </c>
      <c r="G23" s="55">
        <f>'4.1.1.3-4 Direct N20'!$G$175</f>
        <v>274.24316159999995</v>
      </c>
      <c r="H23" s="2" t="s">
        <v>230</v>
      </c>
      <c r="I23" s="2"/>
      <c r="J23" s="2"/>
      <c r="N23" s="55" t="str">
        <f>'Input - Feedlot'!$D$33</f>
        <v>Composting (passive windrow)</v>
      </c>
      <c r="O23" s="55">
        <f>'4.1.1.3-4 Direct N20'!$P$175</f>
        <v>5376.5434404864027</v>
      </c>
      <c r="P23" s="55">
        <f>'4.1.1.3-4 Direct N20'!$Q$175</f>
        <v>189.8737956864</v>
      </c>
      <c r="Q23" s="55">
        <f>'4.1.1.3-4 Direct N20'!$R$175</f>
        <v>274.24316159999995</v>
      </c>
      <c r="R23" s="2" t="s">
        <v>230</v>
      </c>
    </row>
    <row r="24" spans="1:18" ht="20.100000000000001" customHeight="1" x14ac:dyDescent="0.25">
      <c r="A24" s="17"/>
      <c r="D24" s="55" t="str">
        <f>'Input - Feedlot'!$D$34</f>
        <v>Direct application</v>
      </c>
      <c r="E24" s="55">
        <f>'4.1.1.3-4 Direct N20'!$E$176</f>
        <v>16129.630321459204</v>
      </c>
      <c r="F24" s="55">
        <f>'4.1.1.3-4 Direct N20'!$F$176</f>
        <v>569.62138705919995</v>
      </c>
      <c r="G24" s="55">
        <f>'4.1.1.3-4 Direct N20'!$G$176</f>
        <v>822.7294847999998</v>
      </c>
      <c r="N24" s="55" t="str">
        <f>'Input - Feedlot'!$D$34</f>
        <v>Direct application</v>
      </c>
      <c r="O24" s="55">
        <f>'4.1.1.3-4 Direct N20'!$P$176</f>
        <v>16129.630321459204</v>
      </c>
      <c r="P24" s="55">
        <f>'4.1.1.3-4 Direct N20'!$Q$176</f>
        <v>569.62138705919995</v>
      </c>
      <c r="Q24" s="55">
        <f>'4.1.1.3-4 Direct N20'!$R$176</f>
        <v>822.7294847999998</v>
      </c>
      <c r="R24" s="2" t="s">
        <v>230</v>
      </c>
    </row>
    <row r="25" spans="1:18" ht="20.100000000000001" customHeight="1" x14ac:dyDescent="0.25">
      <c r="A25" s="17"/>
      <c r="D25" s="55" t="str">
        <f>'Input - Feedlot'!$D$38</f>
        <v>Anaerobic lagoon</v>
      </c>
      <c r="E25" s="55">
        <f>'4.1.1.3-4 Direct N20'!$E$129</f>
        <v>1435.2758784000005</v>
      </c>
      <c r="F25" s="55">
        <f>'4.1.1.3-4 Direct N20'!$F$129</f>
        <v>50.687078400000004</v>
      </c>
      <c r="G25" s="55">
        <f>'4.1.1.3-4 Direct N20'!$G$129</f>
        <v>73.20959999999998</v>
      </c>
      <c r="H25" s="2" t="s">
        <v>230</v>
      </c>
      <c r="I25" s="2"/>
      <c r="J25" s="2"/>
      <c r="N25" s="55" t="str">
        <f>'Input - Feedlot'!$D$38</f>
        <v>Anaerobic lagoon</v>
      </c>
      <c r="O25" s="55">
        <f>'4.1.1.3-4 Direct N20'!$P$129</f>
        <v>1435.2758784000005</v>
      </c>
      <c r="P25" s="55">
        <f>'4.1.1.3-4 Direct N20'!$Q$129</f>
        <v>50.687078400000004</v>
      </c>
      <c r="Q25" s="55">
        <f>'4.1.1.3-4 Direct N20'!$R$129</f>
        <v>73.20959999999998</v>
      </c>
      <c r="R25" s="2" t="s">
        <v>230</v>
      </c>
    </row>
    <row r="26" spans="1:18" ht="20.100000000000001" customHeight="1" x14ac:dyDescent="0.25"/>
    <row r="27" spans="1:18" ht="20.100000000000001" customHeight="1" x14ac:dyDescent="0.25">
      <c r="D27" s="104" t="s">
        <v>233</v>
      </c>
    </row>
    <row r="28" spans="1:18" ht="20.100000000000001" customHeight="1" x14ac:dyDescent="0.25">
      <c r="D28" s="103" t="s">
        <v>173</v>
      </c>
    </row>
    <row r="29" spans="1:18" ht="20.100000000000001" customHeight="1" x14ac:dyDescent="0.25">
      <c r="D29" s="116" t="s">
        <v>67</v>
      </c>
      <c r="E29" s="116" t="s">
        <v>174</v>
      </c>
    </row>
    <row r="30" spans="1:18" ht="20.100000000000001" customHeight="1" x14ac:dyDescent="0.25">
      <c r="D30" s="55" t="str">
        <f>'Input - Feedlot'!$D$28</f>
        <v>Drylot (feed pad)</v>
      </c>
      <c r="E30" s="55">
        <f>_xlfn.XLOOKUP(D30, Table_SourceData_Feedlot_NO2EFs[NIR definition], Table_SourceData_Feedlot_NO2EFs[EF mT])</f>
        <v>5.4000000000000003E-3</v>
      </c>
      <c r="F30" s="2" t="s">
        <v>237</v>
      </c>
    </row>
    <row r="31" spans="1:18" ht="20.100000000000001" customHeight="1" x14ac:dyDescent="0.25">
      <c r="D31" s="55" t="str">
        <f>'Input - Feedlot'!$D$32</f>
        <v>Solid storage</v>
      </c>
      <c r="E31" s="55">
        <f>_xlfn.XLOOKUP($D$31, Table_SourceData_Feedlot_NO2EFs[NIR definition], Table_SourceData_Feedlot_NO2EFs[EF mT])</f>
        <v>5.0000000000000001E-3</v>
      </c>
      <c r="F31" s="2" t="s">
        <v>237</v>
      </c>
    </row>
    <row r="32" spans="1:18" ht="20.100000000000001" customHeight="1" x14ac:dyDescent="0.25">
      <c r="D32" s="55" t="str">
        <f>'Input - Feedlot'!$D$33</f>
        <v>Composting (passive windrow)</v>
      </c>
      <c r="E32" s="55">
        <f>_xlfn.XLOOKUP($D$32, Table_SourceData_Feedlot_NO2EFs[NIR definition], Table_SourceData_Feedlot_NO2EFs[EF mT])</f>
        <v>0.01</v>
      </c>
      <c r="F32" s="2" t="s">
        <v>237</v>
      </c>
    </row>
    <row r="33" spans="4:10" ht="20.100000000000001" customHeight="1" x14ac:dyDescent="0.25">
      <c r="D33" s="55" t="s">
        <v>322</v>
      </c>
      <c r="E33" s="55">
        <f>_xlfn.XLOOKUP($D$33, Table_SourceData_Feedlot_NO2EFs[NIR definition], Table_SourceData_Feedlot_NO2EFs[EF mT])</f>
        <v>0</v>
      </c>
      <c r="F33" s="2" t="s">
        <v>237</v>
      </c>
    </row>
    <row r="34" spans="4:10" ht="20.100000000000001" customHeight="1" x14ac:dyDescent="0.25">
      <c r="D34" s="55" t="str">
        <f>'Input - Feedlot'!$D$38</f>
        <v>Anaerobic lagoon</v>
      </c>
      <c r="E34" s="55">
        <f>_xlfn.XLOOKUP($D$34, Table_SourceData_Feedlot_NO2EFs[NIR definition], Table_SourceData_Feedlot_NO2EFs[EF mT])</f>
        <v>0</v>
      </c>
      <c r="F34" s="2" t="s">
        <v>237</v>
      </c>
    </row>
    <row r="35" spans="4:10" ht="20.100000000000001" customHeight="1" x14ac:dyDescent="0.25"/>
    <row r="36" spans="4:10" ht="20.100000000000001" customHeight="1" x14ac:dyDescent="0.25">
      <c r="D36" s="104" t="s">
        <v>232</v>
      </c>
    </row>
    <row r="37" spans="4:10" ht="20.100000000000001" customHeight="1" x14ac:dyDescent="0.25">
      <c r="D37" s="103" t="s">
        <v>234</v>
      </c>
    </row>
    <row r="38" spans="4:10" ht="20.100000000000001" customHeight="1" x14ac:dyDescent="0.25">
      <c r="D38" s="116" t="s">
        <v>67</v>
      </c>
      <c r="E38" s="116" t="s">
        <v>174</v>
      </c>
    </row>
    <row r="39" spans="4:10" ht="20.100000000000001" customHeight="1" x14ac:dyDescent="0.25">
      <c r="D39" s="55" t="str">
        <f>'Input - Feedlot'!$D$28</f>
        <v>Drylot (feed pad)</v>
      </c>
      <c r="E39" s="55">
        <f>_xlfn.XLOOKUP(D39, Table_SourceData_Feedlot_FracGASMmT[NIR definition], Table_SourceData_Feedlot_FracGASMmT[FracGASMmT])</f>
        <v>0.6</v>
      </c>
      <c r="F39" s="2" t="s">
        <v>238</v>
      </c>
    </row>
    <row r="40" spans="4:10" ht="20.100000000000001" customHeight="1" x14ac:dyDescent="0.25">
      <c r="D40" s="55" t="str">
        <f>'Input - Feedlot'!$D$32</f>
        <v>Solid storage</v>
      </c>
      <c r="E40" s="55">
        <f>_xlfn.XLOOKUP(D40, Table_SourceData_Feedlot_FracGASMmT[NIR definition], Table_SourceData_Feedlot_FracGASMmT[FracGASMmT])</f>
        <v>0.25</v>
      </c>
      <c r="F40" s="2" t="s">
        <v>238</v>
      </c>
    </row>
    <row r="41" spans="4:10" ht="20.100000000000001" customHeight="1" x14ac:dyDescent="0.25">
      <c r="D41" s="55" t="str">
        <f>'Input - Feedlot'!$D$33</f>
        <v>Composting (passive windrow)</v>
      </c>
      <c r="E41" s="55">
        <f>_xlfn.XLOOKUP(D41, Table_SourceData_Feedlot_FracGASMmT[NIR definition], Table_SourceData_Feedlot_FracGASMmT[FracGASMmT])</f>
        <v>0.4</v>
      </c>
      <c r="F41" s="2" t="s">
        <v>238</v>
      </c>
    </row>
    <row r="42" spans="4:10" ht="20.100000000000001" customHeight="1" x14ac:dyDescent="0.25">
      <c r="D42" s="55" t="str">
        <f>'Input - Feedlot'!$D$34</f>
        <v>Direct application</v>
      </c>
      <c r="E42" s="55">
        <f>_xlfn.XLOOKUP(D42, Table_SourceData_Feedlot_FracGASMmT[NIR definition], Table_SourceData_Feedlot_FracGASMmT[FracGASMmT])</f>
        <v>0</v>
      </c>
      <c r="F42" s="2" t="s">
        <v>238</v>
      </c>
    </row>
    <row r="43" spans="4:10" ht="20.100000000000001" customHeight="1" x14ac:dyDescent="0.25">
      <c r="D43" s="55" t="str">
        <f>'Input - Feedlot'!$D$38</f>
        <v>Anaerobic lagoon</v>
      </c>
      <c r="E43" s="55">
        <f>_xlfn.XLOOKUP(D43, Table_SourceData_Feedlot_FracGASMmT[NIR definition], Table_SourceData_Feedlot_FracGASMmT[FracGASMmT])</f>
        <v>0.35</v>
      </c>
      <c r="F43" s="2" t="s">
        <v>238</v>
      </c>
    </row>
    <row r="44" spans="4:10" ht="20.100000000000001" customHeight="1" x14ac:dyDescent="0.25"/>
    <row r="45" spans="4:10" ht="20.100000000000001" customHeight="1" x14ac:dyDescent="0.25">
      <c r="D45" s="104" t="s">
        <v>235</v>
      </c>
    </row>
    <row r="46" spans="4:10" ht="20.100000000000001" customHeight="1" x14ac:dyDescent="0.25">
      <c r="D46" s="103" t="s">
        <v>236</v>
      </c>
    </row>
    <row r="47" spans="4:10" ht="20.100000000000001" customHeight="1" x14ac:dyDescent="0.25">
      <c r="D47" s="65" t="s">
        <v>67</v>
      </c>
      <c r="E47" s="65" t="s">
        <v>328</v>
      </c>
    </row>
    <row r="48" spans="4:10" ht="20.100000000000001" customHeight="1" x14ac:dyDescent="0.25">
      <c r="D48" s="55" t="str">
        <f>'Input - Feedlot'!$D$32</f>
        <v>Solid storage</v>
      </c>
      <c r="E48" s="55">
        <f>'Input - Feedlot'!J32+'Input - Feedlot'!K32</f>
        <v>0.75</v>
      </c>
      <c r="F48" s="2" t="s">
        <v>330</v>
      </c>
      <c r="H48" s="2"/>
      <c r="I48" s="2"/>
      <c r="J48" s="2"/>
    </row>
    <row r="49" spans="3:19" ht="20.100000000000001" customHeight="1" x14ac:dyDescent="0.25">
      <c r="D49" s="55" t="str">
        <f>'Input - Feedlot'!$D$33</f>
        <v>Composting (passive windrow)</v>
      </c>
      <c r="E49" s="55">
        <f>'Input - Feedlot'!J33+'Input - Feedlot'!K33</f>
        <v>0.75</v>
      </c>
      <c r="F49" s="2" t="s">
        <v>330</v>
      </c>
      <c r="H49" s="2"/>
      <c r="I49" s="2"/>
      <c r="J49" s="2"/>
    </row>
    <row r="50" spans="3:19" ht="20.100000000000001" customHeight="1" x14ac:dyDescent="0.25">
      <c r="D50" s="55" t="str">
        <f>'Input - Feedlot'!$D$34</f>
        <v>Direct application</v>
      </c>
      <c r="E50" s="55">
        <f>'Input - Feedlot'!J34+'Input - Feedlot'!K34</f>
        <v>1</v>
      </c>
      <c r="F50" s="2" t="s">
        <v>330</v>
      </c>
      <c r="H50" s="2"/>
      <c r="I50" s="2"/>
      <c r="J50" s="2"/>
    </row>
    <row r="51" spans="3:19" ht="20.100000000000001" customHeight="1" x14ac:dyDescent="0.25">
      <c r="D51" s="55" t="str">
        <f>'Input - Feedlot'!$D$38</f>
        <v>Anaerobic lagoon</v>
      </c>
      <c r="E51" s="55">
        <f>'Input - Feedlot'!J38+'Input - Feedlot'!K38</f>
        <v>0.75</v>
      </c>
      <c r="F51" s="2" t="s">
        <v>330</v>
      </c>
      <c r="H51" s="2"/>
      <c r="I51" s="2"/>
      <c r="J51" s="2"/>
    </row>
    <row r="52" spans="3:19" ht="20.100000000000001" customHeight="1" x14ac:dyDescent="0.25"/>
    <row r="53" spans="3:19" ht="20.100000000000001" customHeight="1" x14ac:dyDescent="0.25">
      <c r="D53" s="104" t="s">
        <v>242</v>
      </c>
      <c r="N53" s="104" t="s">
        <v>255</v>
      </c>
    </row>
    <row r="54" spans="3:19" ht="20.100000000000001" customHeight="1" x14ac:dyDescent="0.25">
      <c r="D54" s="103" t="s">
        <v>257</v>
      </c>
      <c r="N54" s="103" t="s">
        <v>256</v>
      </c>
    </row>
    <row r="55" spans="3:19" ht="20.100000000000001" customHeight="1" x14ac:dyDescent="0.25">
      <c r="D55" s="54" t="s">
        <v>67</v>
      </c>
      <c r="E55" s="54" t="s">
        <v>140</v>
      </c>
      <c r="F55" s="54" t="s">
        <v>141</v>
      </c>
      <c r="G55" s="54" t="s">
        <v>142</v>
      </c>
      <c r="N55" s="54" t="s">
        <v>67</v>
      </c>
      <c r="O55" s="54" t="s">
        <v>140</v>
      </c>
      <c r="P55" s="54" t="s">
        <v>141</v>
      </c>
      <c r="Q55" s="54" t="s">
        <v>142</v>
      </c>
    </row>
    <row r="56" spans="3:19" ht="20.100000000000001" customHeight="1" x14ac:dyDescent="0.25">
      <c r="D56" s="55" t="str">
        <f>'Input - Feedlot'!$D$32</f>
        <v>Solid storage</v>
      </c>
      <c r="E56" s="55" cm="1">
        <f t="array" ref="E56">MMS_Feedlot_ManureAppliedToSoils_Equations.VEERG_4_1_1_9__1_MassOfNitrogenAppliedToSoilsScope1(E22,_xlfn.XLOOKUP($D56,$D$30:$D$34,$E$30:$E$34),_xlfn.XLOOKUP($D56,$D$39:$D$43,$E$39:$E$43),$E48)</f>
        <v>3004.1436473717777</v>
      </c>
      <c r="F56" s="55" cm="1">
        <f t="array" ref="F56">MMS_Feedlot_ManureAppliedToSoils_Equations.VEERG_4_1_1_9__1_MassOfNitrogenAppliedToSoilsScope1(F22,_xlfn.XLOOKUP($D56,$D$30:$D$34,$E$30:$E$34),_xlfn.XLOOKUP($D56,$D$39:$D$43,$E$39:$E$43),$E48)</f>
        <v>106.09198333977601</v>
      </c>
      <c r="G56" s="55" cm="1">
        <f t="array" ref="G56">MMS_Feedlot_ManureAppliedToSoils_Equations.VEERG_4_1_1_9__1_MassOfNitrogenAppliedToSoilsScope1(G22,_xlfn.XLOOKUP($D56,$D$30:$D$34,$E$30:$E$34),_xlfn.XLOOKUP($D56,$D$39:$D$43,$E$39:$E$43),$E48)</f>
        <v>153.23336654399998</v>
      </c>
      <c r="H56" s="2" t="str">
        <f>$E$12</f>
        <v>kg N</v>
      </c>
      <c r="I56" s="2"/>
      <c r="J56" s="2"/>
      <c r="N56" s="55" t="str">
        <f>'Input - Feedlot'!$D$32</f>
        <v>Solid storage</v>
      </c>
      <c r="O56" s="55" cm="1">
        <f t="array" ref="O56">MMS_Feedlot_ManureAppliedToSoils_Equations.VEERG_4_1_1_9__1_MassOfNitrogenAppliedToSoilsScope1(O22,_xlfn.XLOOKUP($N56,$D$30:$D$34,$E$30:$E$34),_xlfn.XLOOKUP($N56,$D$39:$D$43,$E$39:$E$43),$E48)</f>
        <v>3004.1436473717777</v>
      </c>
      <c r="P56" s="55" cm="1">
        <f t="array" ref="P56">MMS_Feedlot_ManureAppliedToSoils_Equations.VEERG_4_1_1_9__1_MassOfNitrogenAppliedToSoilsScope1(P22,_xlfn.XLOOKUP($N56,$D$30:$D$34,$E$30:$E$34),_xlfn.XLOOKUP($N56,$D$39:$D$43,$E$39:$E$43),$E48)</f>
        <v>106.09198333977601</v>
      </c>
      <c r="Q56" s="55" cm="1">
        <f t="array" ref="Q56">MMS_Feedlot_ManureAppliedToSoils_Equations.VEERG_4_1_1_9__1_MassOfNitrogenAppliedToSoilsScope1(Q22,_xlfn.XLOOKUP($N56,$D$30:$D$34,$E$30:$E$34),_xlfn.XLOOKUP($N56,$D$39:$D$43,$E$39:$E$43),$E48)</f>
        <v>153.23336654399998</v>
      </c>
      <c r="R56" s="2" t="str">
        <f>$E$12</f>
        <v>kg N</v>
      </c>
    </row>
    <row r="57" spans="3:19" ht="20.100000000000001" customHeight="1" x14ac:dyDescent="0.25">
      <c r="D57" s="55" t="str">
        <f>'Input - Feedlot'!$D$33</f>
        <v>Composting (passive windrow)</v>
      </c>
      <c r="E57" s="55" cm="1">
        <f t="array" ref="E57">MMS_Feedlot_ManureAppliedToSoils_Equations.VEERG_4_1_1_9__1_MassOfNitrogenAppliedToSoilsScope1(E23,_xlfn.XLOOKUP($D57,$D$30:$D$34,$E$30:$E$34),_xlfn.XLOOKUP($D57,$D$39:$D$43,$E$39:$E$43),$E49)</f>
        <v>2379.1204724152331</v>
      </c>
      <c r="F57" s="55" cm="1">
        <f t="array" ref="F57">MMS_Feedlot_ManureAppliedToSoils_Equations.VEERG_4_1_1_9__1_MassOfNitrogenAppliedToSoilsScope1(F23,_xlfn.XLOOKUP($D57,$D$30:$D$34,$E$30:$E$34),_xlfn.XLOOKUP($D57,$D$39:$D$43,$E$39:$E$43),$E49)</f>
        <v>84.019154591231995</v>
      </c>
      <c r="G57" s="55" cm="1">
        <f t="array" ref="G57">MMS_Feedlot_ManureAppliedToSoils_Equations.VEERG_4_1_1_9__1_MassOfNitrogenAppliedToSoilsScope1(G23,_xlfn.XLOOKUP($D57,$D$30:$D$34,$E$30:$E$34),_xlfn.XLOOKUP($D57,$D$39:$D$43,$E$39:$E$43),$E49)</f>
        <v>121.35259900799997</v>
      </c>
      <c r="H57" s="2" t="str">
        <f>$E$12</f>
        <v>kg N</v>
      </c>
      <c r="I57" s="2"/>
      <c r="J57" s="2"/>
      <c r="N57" s="55" t="str">
        <f>'Input - Feedlot'!$D$33</f>
        <v>Composting (passive windrow)</v>
      </c>
      <c r="O57" s="55" cm="1">
        <f t="array" ref="O57">MMS_Feedlot_ManureAppliedToSoils_Equations.VEERG_4_1_1_9__1_MassOfNitrogenAppliedToSoilsScope1(O23,_xlfn.XLOOKUP($N57,$D$30:$D$34,$E$30:$E$34),_xlfn.XLOOKUP($N57,$D$39:$D$43,$E$39:$E$43),$E49)</f>
        <v>2379.1204724152331</v>
      </c>
      <c r="P57" s="55" cm="1">
        <f t="array" ref="P57">MMS_Feedlot_ManureAppliedToSoils_Equations.VEERG_4_1_1_9__1_MassOfNitrogenAppliedToSoilsScope1(P23,_xlfn.XLOOKUP($N57,$D$30:$D$34,$E$30:$E$34),_xlfn.XLOOKUP($N57,$D$39:$D$43,$E$39:$E$43),$E49)</f>
        <v>84.019154591231995</v>
      </c>
      <c r="Q57" s="55" cm="1">
        <f t="array" ref="Q57">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5" t="str">
        <f>'Input - Feedlot'!$D$34</f>
        <v>Direct application</v>
      </c>
      <c r="E58" s="55" cm="1">
        <f t="array" ref="E58">MMS_Feedlot_ManureAppliedToSoils_Equations.VEERG_4_1_1_9__1_MassOfNitrogenAppliedToSoilsScope1(E24,_xlfn.XLOOKUP($D58,$D$30:$D$34,$E$30:$E$34),_xlfn.XLOOKUP($D58,$D$39:$D$43,$E$39:$E$43),$E50)</f>
        <v>16129.630321459204</v>
      </c>
      <c r="F58" s="55" cm="1">
        <f t="array" ref="F58">MMS_Feedlot_ManureAppliedToSoils_Equations.VEERG_4_1_1_9__1_MassOfNitrogenAppliedToSoilsScope1(F24,_xlfn.XLOOKUP($D58,$D$30:$D$34,$E$30:$E$34),_xlfn.XLOOKUP($D58,$D$39:$D$43,$E$39:$E$43),$E50)</f>
        <v>569.62138705919995</v>
      </c>
      <c r="G58" s="55" cm="1">
        <f t="array" ref="G58">MMS_Feedlot_ManureAppliedToSoils_Equations.VEERG_4_1_1_9__1_MassOfNitrogenAppliedToSoilsScope1(G24,_xlfn.XLOOKUP($D58,$D$30:$D$34,$E$30:$E$34),_xlfn.XLOOKUP($D58,$D$39:$D$43,$E$39:$E$43),$E50)</f>
        <v>822.7294847999998</v>
      </c>
      <c r="H58" s="2" t="str">
        <f>$E$12</f>
        <v>kg N</v>
      </c>
      <c r="I58" s="2"/>
      <c r="J58" s="2"/>
      <c r="N58" s="55" t="str">
        <f>'Input - Feedlot'!$D$34</f>
        <v>Direct application</v>
      </c>
      <c r="O58" s="55" cm="1">
        <f t="array" ref="O58">MMS_Feedlot_ManureAppliedToSoils_Equations.VEERG_4_1_1_9__1_MassOfNitrogenAppliedToSoilsScope1(O24,_xlfn.XLOOKUP($N58,$D$30:$D$34,$E$30:$E$34),_xlfn.XLOOKUP($N58,$D$39:$D$43,$E$39:$E$43),$E50)</f>
        <v>16129.630321459204</v>
      </c>
      <c r="P58" s="55" cm="1">
        <f t="array" ref="P58">MMS_Feedlot_ManureAppliedToSoils_Equations.VEERG_4_1_1_9__1_MassOfNitrogenAppliedToSoilsScope1(P24,_xlfn.XLOOKUP($N58,$D$30:$D$34,$E$30:$E$34),_xlfn.XLOOKUP($N58,$D$39:$D$43,$E$39:$E$43),$E50)</f>
        <v>569.62138705919995</v>
      </c>
      <c r="Q58" s="55" cm="1">
        <f t="array" ref="Q58">MMS_Feedlot_ManureAppliedToSoils_Equations.VEERG_4_1_1_9__1_MassOfNitrogenAppliedToSoilsScope1(Q24,_xlfn.XLOOKUP($N58,$D$30:$D$34,$E$30:$E$34),_xlfn.XLOOKUP($N58,$D$39:$D$43,$E$39:$E$43),$E50)</f>
        <v>822.7294847999998</v>
      </c>
      <c r="R58" s="2" t="str">
        <f>$E$12</f>
        <v>kg N</v>
      </c>
    </row>
    <row r="59" spans="3:19" ht="20.100000000000001" customHeight="1" x14ac:dyDescent="0.25">
      <c r="D59" s="55" t="str">
        <f>'Input - Feedlot'!$D$38</f>
        <v>Anaerobic lagoon</v>
      </c>
      <c r="E59" s="55" cm="1">
        <f t="array" ref="E59">MMS_Feedlot_ManureAppliedToSoils_Equations.VEERG_4_1_1_9__1_MassOfNitrogenAppliedToSoilsScope1(E25,_xlfn.XLOOKUP($D59,$D$30:$D$34,$E$30:$E$34),_xlfn.XLOOKUP($D59,$D$39:$D$43,$E$39:$E$43),$E51)</f>
        <v>699.69699072000026</v>
      </c>
      <c r="F59" s="55" cm="1">
        <f t="array" ref="F59">MMS_Feedlot_ManureAppliedToSoils_Equations.VEERG_4_1_1_9__1_MassOfNitrogenAppliedToSoilsScope1(F25,_xlfn.XLOOKUP($D59,$D$30:$D$34,$E$30:$E$34),_xlfn.XLOOKUP($D59,$D$39:$D$43,$E$39:$E$43),$E51)</f>
        <v>24.709950720000002</v>
      </c>
      <c r="G59" s="55" cm="1">
        <f t="array" ref="G59">MMS_Feedlot_ManureAppliedToSoils_Equations.VEERG_4_1_1_9__1_MassOfNitrogenAppliedToSoilsScope1(G25,_xlfn.XLOOKUP($D59,$D$30:$D$34,$E$30:$E$34),_xlfn.XLOOKUP($D59,$D$39:$D$43,$E$39:$E$43),$E51)</f>
        <v>35.689679999999996</v>
      </c>
      <c r="H59" s="2" t="str">
        <f>$E$12</f>
        <v>kg N</v>
      </c>
      <c r="I59" s="2"/>
      <c r="J59" s="2"/>
      <c r="N59" s="55" t="str">
        <f>'Input - Feedlot'!$D$38</f>
        <v>Anaerobic lagoon</v>
      </c>
      <c r="O59" s="55" cm="1">
        <f t="array" ref="O59">MMS_Feedlot_ManureAppliedToSoils_Equations.VEERG_4_1_1_9__1_MassOfNitrogenAppliedToSoilsScope1(O25,_xlfn.XLOOKUP($N59,$D$30:$D$34,$E$30:$E$34),_xlfn.XLOOKUP($N59,$D$39:$D$43,$E$39:$E$43),$E51)</f>
        <v>699.69699072000026</v>
      </c>
      <c r="P59" s="55" cm="1">
        <f t="array" ref="P59">MMS_Feedlot_ManureAppliedToSoils_Equations.VEERG_4_1_1_9__1_MassOfNitrogenAppliedToSoilsScope1(P25,_xlfn.XLOOKUP($N59,$D$30:$D$34,$E$30:$E$34),_xlfn.XLOOKUP($N59,$D$39:$D$43,$E$39:$E$43),$E51)</f>
        <v>24.709950720000002</v>
      </c>
      <c r="Q59" s="55" cm="1">
        <f t="array" ref="Q59">MMS_Feedlot_ManureAppliedToSoils_Equations.VEERG_4_1_1_9__1_MassOfNitrogenAppliedToSoilsScope1(Q25,_xlfn.XLOOKUP($N59,$D$30:$D$34,$E$30:$E$34),_xlfn.XLOOKUP($N59,$D$39:$D$43,$E$39:$E$43),$E51)</f>
        <v>35.689679999999996</v>
      </c>
      <c r="R59" s="2" t="str">
        <f>$E$12</f>
        <v>kg N</v>
      </c>
    </row>
    <row r="60" spans="3:19" ht="20.100000000000001" customHeight="1" x14ac:dyDescent="0.25"/>
    <row r="61" spans="3:19" ht="20.100000000000001" customHeight="1" x14ac:dyDescent="0.25">
      <c r="D61" s="108" t="s">
        <v>243</v>
      </c>
      <c r="E61" s="109">
        <f>SUM(E56:G59)</f>
        <v>24130.039038028423</v>
      </c>
      <c r="F61" s="110" t="str">
        <f>$E$12</f>
        <v>kg N</v>
      </c>
      <c r="N61" s="108" t="s">
        <v>243</v>
      </c>
      <c r="O61" s="109">
        <f>SUM(O56:Q59)</f>
        <v>24130.039038028423</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26</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29</v>
      </c>
      <c r="E71" s="1" t="str" cm="1">
        <f t="array" ref="E71">MMS_Feedlot_ManureAppliedToSoils_Equations.VEERG_4_1_1_9__2_MassOfNitrogenAppliedToSoilsScope3_Variable()</f>
        <v>MNSoil_scope3</v>
      </c>
    </row>
    <row r="72" spans="4:14" ht="20.100000000000001" customHeight="1" x14ac:dyDescent="0.25">
      <c r="D72" s="56" t="s">
        <v>19</v>
      </c>
      <c r="E72" s="57"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40" t="str" cm="1">
        <f t="array" ref="D74:E77">_xlfn.CHOOSECOLS(MMS_Feedlot_ManureAppliedToSoils_Equations.VEERG_4_1_1_9__2_MassOfNitrogenAppliedToSoilsScope3_Arguments(),1,2)</f>
        <v>MN_jmT23</v>
      </c>
      <c r="E74" s="143" t="str">
        <v>mass of N in secondary and tertiary treatment MMS stages as calculated for manure management</v>
      </c>
      <c r="F74" s="144"/>
      <c r="G74" s="142"/>
      <c r="H74" s="140" t="str" cm="1">
        <f t="array" ref="H74:I77">_xlfn.CHOOSECOLS(MMS_Feedlot_ManureAppliedToSoils_Equations.VEERG_4_1_1_9__2_MassOfNitrogenAppliedToSoilsScope3_Arguments(),3,4)</f>
        <v>kg N</v>
      </c>
      <c r="I74" s="132" t="str">
        <v>Calculated from 4.1.1.3 (6)(8)</v>
      </c>
      <c r="J74" s="141" t="str" cm="1">
        <f t="array" aca="1" ref="J74" ca="1">HYPERLINK(Common_InputFunctions.Utility_SourceHyperlink($D$19),$D$19)</f>
        <v>M1_Table_MN_j_m_T-2-3</v>
      </c>
    </row>
    <row r="75" spans="4:14" ht="20.100000000000001" customHeight="1" x14ac:dyDescent="0.25">
      <c r="D75" s="140" t="str">
        <v>EF_mT23</v>
      </c>
      <c r="E75" s="143" t="str">
        <v>nitrous oxide emission factor for each MMS</v>
      </c>
      <c r="F75" s="144"/>
      <c r="G75" s="142"/>
      <c r="H75" s="140" t="str">
        <v>kg N2O-N/kg N</v>
      </c>
      <c r="I75" s="132" t="str">
        <v>Constant</v>
      </c>
      <c r="J75" s="141" t="str" cm="1">
        <f t="array" aca="1" ref="J75" ca="1">HYPERLINK(Common_InputFunctions.Utility_SourceHyperlink($D$27),$D$27)</f>
        <v>Table_EF_j_m_T-2-3</v>
      </c>
    </row>
    <row r="76" spans="4:14" ht="20.100000000000001" customHeight="1" x14ac:dyDescent="0.25">
      <c r="D76" s="140" t="str">
        <v>FracGASM_mT23</v>
      </c>
      <c r="E76" s="143" t="str">
        <v>fraction of animal waste N volatilised in each MMS for each cattle group</v>
      </c>
      <c r="F76" s="144"/>
      <c r="G76" s="142"/>
      <c r="H76" s="140" t="str">
        <v>(kg NH3-N + NOx-N)/kg N</v>
      </c>
      <c r="I76" s="132" t="str">
        <v>Constant</v>
      </c>
      <c r="J76" s="141" t="str" cm="1">
        <f t="array" aca="1" ref="J76" ca="1">HYPERLINK(Common_InputFunctions.Utility_SourceHyperlink($D$36),$D$36)</f>
        <v>Table_FracGASM_m_T-2-3</v>
      </c>
    </row>
    <row r="77" spans="4:14" ht="20.100000000000001" customHeight="1" x14ac:dyDescent="0.25">
      <c r="D77" s="140" t="str">
        <v>PF</v>
      </c>
      <c r="E77" s="143" t="str">
        <v>fraction of manure applied to soil within the feedlot boundary</v>
      </c>
      <c r="F77" s="144"/>
      <c r="G77" s="142"/>
      <c r="H77" s="140" t="str">
        <v>fraction</v>
      </c>
      <c r="I77" s="131" t="str">
        <v>Input</v>
      </c>
      <c r="J77" s="141" t="str" cm="1">
        <f t="array" aca="1" ref="J77" ca="1">HYPERLINK(Common_InputFunctions.Utility_SourceHyperlink($D$45),$D$45)</f>
        <v>Table_PF</v>
      </c>
    </row>
    <row r="78" spans="4:14" ht="20.100000000000001" customHeight="1" x14ac:dyDescent="0.25"/>
    <row r="79" spans="4:14" ht="20.100000000000001" customHeight="1" x14ac:dyDescent="0.25">
      <c r="D79" s="104" t="s">
        <v>246</v>
      </c>
      <c r="N79" s="104" t="s">
        <v>251</v>
      </c>
    </row>
    <row r="80" spans="4:14" ht="20.100000000000001" customHeight="1" x14ac:dyDescent="0.25">
      <c r="D80" s="103" t="s">
        <v>254</v>
      </c>
      <c r="N80" s="103" t="s">
        <v>252</v>
      </c>
    </row>
    <row r="81" spans="3:19" ht="20.100000000000001" customHeight="1" x14ac:dyDescent="0.25">
      <c r="D81" s="54" t="s">
        <v>67</v>
      </c>
      <c r="E81" s="54" t="s">
        <v>140</v>
      </c>
      <c r="F81" s="54" t="s">
        <v>141</v>
      </c>
      <c r="G81" s="54" t="s">
        <v>142</v>
      </c>
      <c r="N81" s="54" t="s">
        <v>67</v>
      </c>
      <c r="O81" s="54" t="s">
        <v>140</v>
      </c>
      <c r="P81" s="54" t="s">
        <v>141</v>
      </c>
      <c r="Q81" s="54" t="s">
        <v>142</v>
      </c>
    </row>
    <row r="82" spans="3:19" ht="20.100000000000001" customHeight="1" x14ac:dyDescent="0.25">
      <c r="D82" s="55" t="str">
        <f>'Input - Feedlot'!$D$32</f>
        <v>Solid storage</v>
      </c>
      <c r="E82" s="55" cm="1">
        <f t="array" ref="E82">MMS_Feedlot_ManureAppliedToSoils_Equations.VEERG_4_1_1_9__2_MassOfNitrogenAppliedToSoilsScope3(E22,_xlfn.XLOOKUP($D82, $D$30:$D$34,$E$30:$E$34),_xlfn.XLOOKUP($D82,$D$39:$D$43,$E$39:$E$43),$E48)</f>
        <v>1001.3812157905925</v>
      </c>
      <c r="F82" s="55" cm="1">
        <f t="array" ref="F82">MMS_Feedlot_ManureAppliedToSoils_Equations.VEERG_4_1_1_9__2_MassOfNitrogenAppliedToSoilsScope3(F22,_xlfn.XLOOKUP($D82, $D$30:$D$34,$E$30:$E$34),_xlfn.XLOOKUP($D82,$D$39:$D$43,$E$39:$E$43),$E48)</f>
        <v>35.363994446592002</v>
      </c>
      <c r="G82" s="55" cm="1">
        <f t="array" ref="G82">MMS_Feedlot_ManureAppliedToSoils_Equations.VEERG_4_1_1_9__2_MassOfNitrogenAppliedToSoilsScope3(G22,_xlfn.XLOOKUP($D82, $D$30:$D$34,$E$30:$E$34),_xlfn.XLOOKUP($D82,$D$39:$D$43,$E$39:$E$43),$E48)</f>
        <v>51.07778884799999</v>
      </c>
      <c r="H82" s="2" t="str">
        <f>$E$12</f>
        <v>kg N</v>
      </c>
      <c r="I82" s="2"/>
      <c r="J82" s="2"/>
      <c r="N82" s="55" t="str">
        <f>'Input - Feedlot'!$D$32</f>
        <v>Solid storage</v>
      </c>
      <c r="O82" s="55" cm="1">
        <f t="array" ref="O82">MMS_Feedlot_ManureAppliedToSoils_Equations.VEERG_4_1_1_9__2_MassOfNitrogenAppliedToSoilsScope3(O22,_xlfn.XLOOKUP($N82, $D$30:$D$34,$E$30:$E$34),_xlfn.XLOOKUP($N82,$D$39:$D$43,$E$39:$E$43),$E48)</f>
        <v>1001.3812157905925</v>
      </c>
      <c r="P82" s="55" cm="1">
        <f t="array" ref="P82">MMS_Feedlot_ManureAppliedToSoils_Equations.VEERG_4_1_1_9__2_MassOfNitrogenAppliedToSoilsScope3(P22,_xlfn.XLOOKUP($N82, $D$30:$D$34,$E$30:$E$34),_xlfn.XLOOKUP($N82,$D$39:$D$43,$E$39:$E$43),$E48)</f>
        <v>35.363994446592002</v>
      </c>
      <c r="Q82" s="55" cm="1">
        <f t="array" ref="Q82">MMS_Feedlot_ManureAppliedToSoils_Equations.VEERG_4_1_1_9__2_MassOfNitrogenAppliedToSoilsScope3(Q22,_xlfn.XLOOKUP($N82, $D$30:$D$34,$E$30:$E$34),_xlfn.XLOOKUP($N82,$D$39:$D$43,$E$39:$E$43),$E48)</f>
        <v>51.07778884799999</v>
      </c>
      <c r="R82" s="2" t="str">
        <f>$E$12</f>
        <v>kg N</v>
      </c>
    </row>
    <row r="83" spans="3:19" ht="20.100000000000001" customHeight="1" x14ac:dyDescent="0.25">
      <c r="D83" s="55" t="str">
        <f>'Input - Feedlot'!$D$33</f>
        <v>Composting (passive windrow)</v>
      </c>
      <c r="E83" s="55" cm="1">
        <f t="array" ref="E83">MMS_Feedlot_ManureAppliedToSoils_Equations.VEERG_4_1_1_9__2_MassOfNitrogenAppliedToSoilsScope3(E23,_xlfn.XLOOKUP($D83, $D$30:$D$34,$E$30:$E$34),_xlfn.XLOOKUP($D83,$D$39:$D$43,$E$39:$E$43),$E49)</f>
        <v>793.04015747174435</v>
      </c>
      <c r="F83" s="55" cm="1">
        <f t="array" ref="F83">MMS_Feedlot_ManureAppliedToSoils_Equations.VEERG_4_1_1_9__2_MassOfNitrogenAppliedToSoilsScope3(F23,_xlfn.XLOOKUP($D83, $D$30:$D$34,$E$30:$E$34),_xlfn.XLOOKUP($D83,$D$39:$D$43,$E$39:$E$43),$E49)</f>
        <v>28.006384863744</v>
      </c>
      <c r="G83" s="55" cm="1">
        <f t="array" ref="G83">MMS_Feedlot_ManureAppliedToSoils_Equations.VEERG_4_1_1_9__2_MassOfNitrogenAppliedToSoilsScope3(G23,_xlfn.XLOOKUP($D83, $D$30:$D$34,$E$30:$E$34),_xlfn.XLOOKUP($D83,$D$39:$D$43,$E$39:$E$43),$E49)</f>
        <v>40.45086633599999</v>
      </c>
      <c r="H83" s="2" t="str">
        <f>$E$12</f>
        <v>kg N</v>
      </c>
      <c r="I83" s="2"/>
      <c r="J83" s="2"/>
      <c r="N83" s="55" t="str">
        <f>'Input - Feedlot'!$D$33</f>
        <v>Composting (passive windrow)</v>
      </c>
      <c r="O83" s="55" cm="1">
        <f t="array" ref="O83">MMS_Feedlot_ManureAppliedToSoils_Equations.VEERG_4_1_1_9__2_MassOfNitrogenAppliedToSoilsScope3(O23,_xlfn.XLOOKUP($N83, $D$30:$D$34,$E$30:$E$34),_xlfn.XLOOKUP($N83,$D$39:$D$43,$E$39:$E$43),$E49)</f>
        <v>793.04015747174435</v>
      </c>
      <c r="P83" s="55" cm="1">
        <f t="array" ref="P83">MMS_Feedlot_ManureAppliedToSoils_Equations.VEERG_4_1_1_9__2_MassOfNitrogenAppliedToSoilsScope3(P23,_xlfn.XLOOKUP($N83, $D$30:$D$34,$E$30:$E$34),_xlfn.XLOOKUP($N83,$D$39:$D$43,$E$39:$E$43),$E49)</f>
        <v>28.006384863744</v>
      </c>
      <c r="Q83" s="55" cm="1">
        <f t="array" ref="Q83">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5" t="str">
        <f>'Input - Feedlot'!$D$34</f>
        <v>Direct application</v>
      </c>
      <c r="E84" s="55" cm="1">
        <f t="array" ref="E84">MMS_Feedlot_ManureAppliedToSoils_Equations.VEERG_4_1_1_9__2_MassOfNitrogenAppliedToSoilsScope3(E24,_xlfn.XLOOKUP($D84, $D$30:$D$34,$E$30:$E$34),_xlfn.XLOOKUP($D84,$D$39:$D$43,$E$39:$E$43),$E50)</f>
        <v>0</v>
      </c>
      <c r="F84" s="55" cm="1">
        <f t="array" ref="F84">MMS_Feedlot_ManureAppliedToSoils_Equations.VEERG_4_1_1_9__2_MassOfNitrogenAppliedToSoilsScope3(F24,_xlfn.XLOOKUP($D84, $D$30:$D$34,$E$30:$E$34),_xlfn.XLOOKUP($D84,$D$39:$D$43,$E$39:$E$43),$E50)</f>
        <v>0</v>
      </c>
      <c r="G84" s="55" cm="1">
        <f t="array" ref="G84">MMS_Feedlot_ManureAppliedToSoils_Equations.VEERG_4_1_1_9__2_MassOfNitrogenAppliedToSoilsScope3(G24,_xlfn.XLOOKUP($D84, $D$30:$D$34,$E$30:$E$34),_xlfn.XLOOKUP($D84,$D$39:$D$43,$E$39:$E$43),$E50)</f>
        <v>0</v>
      </c>
      <c r="H84" s="2" t="str">
        <f>$E$12</f>
        <v>kg N</v>
      </c>
      <c r="I84" s="2"/>
      <c r="J84" s="2"/>
      <c r="N84" s="55" t="str">
        <f>'Input - Feedlot'!$D$34</f>
        <v>Direct application</v>
      </c>
      <c r="O84" s="55" cm="1">
        <f t="array" ref="O84">MMS_Feedlot_ManureAppliedToSoils_Equations.VEERG_4_1_1_9__2_MassOfNitrogenAppliedToSoilsScope3(O24,_xlfn.XLOOKUP($N84, $D$30:$D$34,$E$30:$E$34),_xlfn.XLOOKUP($N84,$D$39:$D$43,$E$39:$E$43),$E50)</f>
        <v>0</v>
      </c>
      <c r="P84" s="55" cm="1">
        <f t="array" ref="P84">MMS_Feedlot_ManureAppliedToSoils_Equations.VEERG_4_1_1_9__2_MassOfNitrogenAppliedToSoilsScope3(P24,_xlfn.XLOOKUP($N84, $D$30:$D$34,$E$30:$E$34),_xlfn.XLOOKUP($N84,$D$39:$D$43,$E$39:$E$43),$E50)</f>
        <v>0</v>
      </c>
      <c r="Q84" s="55" cm="1">
        <f t="array" ref="Q84">MMS_Feedlot_ManureAppliedToSoils_Equations.VEERG_4_1_1_9__2_MassOfNitrogenAppliedToSoilsScope3(Q24,_xlfn.XLOOKUP($N84, $D$30:$D$34,$E$30:$E$34),_xlfn.XLOOKUP($N84,$D$39:$D$43,$E$39:$E$43),$E50)</f>
        <v>0</v>
      </c>
      <c r="R84" s="2" t="str">
        <f>$E$12</f>
        <v>kg N</v>
      </c>
    </row>
    <row r="85" spans="3:19" ht="20.100000000000001" customHeight="1" x14ac:dyDescent="0.25">
      <c r="D85" s="55" t="str">
        <f>'Input - Feedlot'!$D$38</f>
        <v>Anaerobic lagoon</v>
      </c>
      <c r="E85" s="55" cm="1">
        <f t="array" ref="E85">MMS_Feedlot_ManureAppliedToSoils_Equations.VEERG_4_1_1_9__2_MassOfNitrogenAppliedToSoilsScope3(E25,_xlfn.XLOOKUP($D85, $D$30:$D$34,$E$30:$E$34),_xlfn.XLOOKUP($D85,$D$39:$D$43,$E$39:$E$43),$E51)</f>
        <v>233.2323302400001</v>
      </c>
      <c r="F85" s="55" cm="1">
        <f t="array" ref="F85">MMS_Feedlot_ManureAppliedToSoils_Equations.VEERG_4_1_1_9__2_MassOfNitrogenAppliedToSoilsScope3(F25,_xlfn.XLOOKUP($D85, $D$30:$D$34,$E$30:$E$34),_xlfn.XLOOKUP($D85,$D$39:$D$43,$E$39:$E$43),$E51)</f>
        <v>8.2366502400000012</v>
      </c>
      <c r="G85" s="55" cm="1">
        <f t="array" ref="G85">MMS_Feedlot_ManureAppliedToSoils_Equations.VEERG_4_1_1_9__2_MassOfNitrogenAppliedToSoilsScope3(G25,_xlfn.XLOOKUP($D85, $D$30:$D$34,$E$30:$E$34),_xlfn.XLOOKUP($D85,$D$39:$D$43,$E$39:$E$43),$E51)</f>
        <v>11.896559999999997</v>
      </c>
      <c r="H85" s="2" t="str">
        <f>$E$12</f>
        <v>kg N</v>
      </c>
      <c r="I85" s="2"/>
      <c r="J85" s="2"/>
      <c r="N85" s="55" t="str">
        <f>'Input - Feedlot'!$D$38</f>
        <v>Anaerobic lagoon</v>
      </c>
      <c r="O85" s="55" cm="1">
        <f t="array" ref="O85">MMS_Feedlot_ManureAppliedToSoils_Equations.VEERG_4_1_1_9__2_MassOfNitrogenAppliedToSoilsScope3(O25,_xlfn.XLOOKUP($N85, $D$30:$D$34,$E$30:$E$34),_xlfn.XLOOKUP($N85,$D$39:$D$43,$E$39:$E$43),$E51)</f>
        <v>233.2323302400001</v>
      </c>
      <c r="P85" s="55" cm="1">
        <f t="array" ref="P85">MMS_Feedlot_ManureAppliedToSoils_Equations.VEERG_4_1_1_9__2_MassOfNitrogenAppliedToSoilsScope3(P25,_xlfn.XLOOKUP($N85, $D$30:$D$34,$E$30:$E$34),_xlfn.XLOOKUP($N85,$D$39:$D$43,$E$39:$E$43),$E51)</f>
        <v>8.2366502400000012</v>
      </c>
      <c r="Q85" s="55" cm="1">
        <f t="array" ref="Q85">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8" t="s">
        <v>248</v>
      </c>
      <c r="E87" s="109">
        <f>SUM(E82:G85)</f>
        <v>2202.6859482366731</v>
      </c>
      <c r="F87" s="110" t="str">
        <f>$E$12</f>
        <v>kg N</v>
      </c>
      <c r="N87" s="108" t="s">
        <v>248</v>
      </c>
      <c r="O87" s="109">
        <f>SUM(O82:Q85)</f>
        <v>2202.6859482366731</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8"/>
      <c r="M90" s="48"/>
      <c r="N90" s="48"/>
      <c r="O90" s="48"/>
      <c r="P90" s="48"/>
      <c r="Q90" s="48"/>
      <c r="R90" s="48"/>
      <c r="S90" s="48"/>
    </row>
    <row r="91" spans="3:19" ht="20.100000000000001" customHeight="1" x14ac:dyDescent="0.25">
      <c r="D91" s="117"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258</v>
      </c>
      <c r="E92" s="93"/>
      <c r="F92" s="93"/>
      <c r="G92" s="93"/>
      <c r="H92" s="91"/>
    </row>
    <row r="93" spans="3:19" ht="20.100000000000001" customHeight="1" x14ac:dyDescent="0.25"/>
    <row r="94" spans="3:19" ht="20.100000000000001" customHeight="1" x14ac:dyDescent="0.25">
      <c r="D94" s="6" t="s">
        <v>311</v>
      </c>
    </row>
    <row r="95" spans="3:19" ht="20.100000000000001" customHeight="1" x14ac:dyDescent="0.25">
      <c r="D95" s="104" t="s">
        <v>244</v>
      </c>
    </row>
    <row r="96" spans="3:19" ht="20.100000000000001" customHeight="1" x14ac:dyDescent="0.25">
      <c r="D96" s="103" t="s">
        <v>245</v>
      </c>
    </row>
    <row r="97" spans="4:18" ht="20.100000000000001" customHeight="1" x14ac:dyDescent="0.25">
      <c r="D97" s="65" t="s">
        <v>67</v>
      </c>
      <c r="E97" s="65" t="s">
        <v>351</v>
      </c>
    </row>
    <row r="98" spans="4:18" ht="20.100000000000001" customHeight="1" x14ac:dyDescent="0.25">
      <c r="D98" s="55" t="str">
        <f>'Input - Feedlot'!$D$32</f>
        <v>Solid storage</v>
      </c>
      <c r="E98" s="55">
        <f>'Input - Feedlot'!J32</f>
        <v>0.25</v>
      </c>
      <c r="F98" s="2" t="s">
        <v>330</v>
      </c>
    </row>
    <row r="99" spans="4:18" ht="20.100000000000001" customHeight="1" x14ac:dyDescent="0.25">
      <c r="D99" s="55" t="str">
        <f>'Input - Feedlot'!$D$33</f>
        <v>Composting (passive windrow)</v>
      </c>
      <c r="E99" s="55">
        <f>'Input - Feedlot'!J33</f>
        <v>0.25</v>
      </c>
      <c r="F99" s="2" t="s">
        <v>330</v>
      </c>
    </row>
    <row r="100" spans="4:18" ht="20.100000000000001" customHeight="1" x14ac:dyDescent="0.25">
      <c r="D100" s="55" t="str">
        <f>'Input - Feedlot'!$D$34</f>
        <v>Direct application</v>
      </c>
      <c r="E100" s="55">
        <v>0</v>
      </c>
      <c r="F100" s="2" t="s">
        <v>330</v>
      </c>
    </row>
    <row r="101" spans="4:18" ht="20.100000000000001" customHeight="1" x14ac:dyDescent="0.25">
      <c r="D101" s="55" t="str">
        <f>'Input - Feedlot'!$D$38</f>
        <v>Anaerobic lagoon</v>
      </c>
      <c r="E101" s="55">
        <f>'Input - Feedlot'!J38</f>
        <v>0.25</v>
      </c>
      <c r="F101" s="2" t="s">
        <v>330</v>
      </c>
    </row>
    <row r="102" spans="4:18" ht="20.100000000000001" customHeight="1" x14ac:dyDescent="0.25"/>
    <row r="103" spans="4:18" ht="20.100000000000001" customHeight="1" x14ac:dyDescent="0.25">
      <c r="D103" s="104" t="s">
        <v>247</v>
      </c>
      <c r="N103" s="104" t="s">
        <v>249</v>
      </c>
    </row>
    <row r="104" spans="4:18" ht="20.100000000000001" customHeight="1" x14ac:dyDescent="0.25">
      <c r="D104" s="103" t="s">
        <v>253</v>
      </c>
      <c r="N104" s="103" t="s">
        <v>250</v>
      </c>
    </row>
    <row r="105" spans="4:18" ht="20.100000000000001" customHeight="1" x14ac:dyDescent="0.25">
      <c r="D105" s="54" t="s">
        <v>67</v>
      </c>
      <c r="E105" s="54" t="s">
        <v>140</v>
      </c>
      <c r="F105" s="54" t="s">
        <v>141</v>
      </c>
      <c r="G105" s="54" t="s">
        <v>142</v>
      </c>
      <c r="N105" s="54" t="s">
        <v>67</v>
      </c>
      <c r="O105" s="54" t="s">
        <v>140</v>
      </c>
      <c r="P105" s="54" t="s">
        <v>141</v>
      </c>
      <c r="Q105" s="54" t="s">
        <v>142</v>
      </c>
    </row>
    <row r="106" spans="4:18" ht="20.100000000000001" customHeight="1" x14ac:dyDescent="0.25">
      <c r="D106" s="55" t="str">
        <f>'Input - Feedlot'!$D$32</f>
        <v>Solid storage</v>
      </c>
      <c r="E106" s="55" cm="1">
        <f t="array" ref="E106">MMS_Feedlot_ManureAppliedToSoils_Equations.VEERG_4_1_1_9__1_MassOfNitrogenAppliedToSoilsScope1(E22,_xlfn.XLOOKUP($D106,$D$30:$D$34,$E$30:$E$34),_xlfn.XLOOKUP($D106,$D$39:$D$43,$E$39:$E$43),$E98)</f>
        <v>1001.3812157905925</v>
      </c>
      <c r="F106" s="55" cm="1">
        <f t="array" ref="F106">MMS_Feedlot_ManureAppliedToSoils_Equations.VEERG_4_1_1_9__1_MassOfNitrogenAppliedToSoilsScope1(F22,_xlfn.XLOOKUP($D106,$D$30:$D$34,$E$30:$E$34),_xlfn.XLOOKUP($D106,$D$39:$D$43,$E$39:$E$43),$E98)</f>
        <v>35.363994446592002</v>
      </c>
      <c r="G106" s="55" cm="1">
        <f t="array" ref="G106">MMS_Feedlot_ManureAppliedToSoils_Equations.VEERG_4_1_1_9__1_MassOfNitrogenAppliedToSoilsScope1(G22,_xlfn.XLOOKUP($D106,$D$30:$D$34,$E$30:$E$34),_xlfn.XLOOKUP($D106,$D$39:$D$43,$E$39:$E$43),$E98)</f>
        <v>51.07778884799999</v>
      </c>
      <c r="H106" s="2" t="str">
        <f>$E$12</f>
        <v>kg N</v>
      </c>
      <c r="I106" s="2"/>
      <c r="J106" s="2"/>
      <c r="N106" s="55" t="str">
        <f>'Input - Feedlot'!$D$32</f>
        <v>Solid storage</v>
      </c>
      <c r="O106" s="55" cm="1">
        <f t="array" ref="O106">MMS_Feedlot_ManureAppliedToSoils_Equations.VEERG_4_1_1_9__1_MassOfNitrogenAppliedToSoilsScope1(O22,_xlfn.XLOOKUP($N106,$D$30:$D$34,$E$30:$E$34),_xlfn.XLOOKUP($N106,$D$39:$D$43,$E$39:$E$43),$E98)</f>
        <v>1001.3812157905925</v>
      </c>
      <c r="P106" s="55" cm="1">
        <f t="array" ref="P106">MMS_Feedlot_ManureAppliedToSoils_Equations.VEERG_4_1_1_9__1_MassOfNitrogenAppliedToSoilsScope1(P22,_xlfn.XLOOKUP($N106,$D$30:$D$34,$E$30:$E$34),_xlfn.XLOOKUP($N106,$D$39:$D$43,$E$39:$E$43),$E98)</f>
        <v>35.363994446592002</v>
      </c>
      <c r="Q106" s="55" cm="1">
        <f t="array" ref="Q106">MMS_Feedlot_ManureAppliedToSoils_Equations.VEERG_4_1_1_9__1_MassOfNitrogenAppliedToSoilsScope1(Q22,_xlfn.XLOOKUP($N106,$D$30:$D$34,$E$30:$E$34),_xlfn.XLOOKUP($N106,$D$39:$D$43,$E$39:$E$43),$E98)</f>
        <v>51.07778884799999</v>
      </c>
      <c r="R106" s="2" t="str">
        <f>$E$12</f>
        <v>kg N</v>
      </c>
    </row>
    <row r="107" spans="4:18" ht="20.100000000000001" customHeight="1" x14ac:dyDescent="0.25">
      <c r="D107" s="55" t="str">
        <f>'Input - Feedlot'!$D$33</f>
        <v>Composting (passive windrow)</v>
      </c>
      <c r="E107" s="55" cm="1">
        <f t="array" ref="E107">MMS_Feedlot_ManureAppliedToSoils_Equations.VEERG_4_1_1_9__1_MassOfNitrogenAppliedToSoilsScope1(E23,_xlfn.XLOOKUP($D107,$D$30:$D$34,$E$30:$E$34),_xlfn.XLOOKUP($D107,$D$39:$D$43,$E$39:$E$43),$E99)</f>
        <v>793.04015747174435</v>
      </c>
      <c r="F107" s="55" cm="1">
        <f t="array" ref="F107">MMS_Feedlot_ManureAppliedToSoils_Equations.VEERG_4_1_1_9__1_MassOfNitrogenAppliedToSoilsScope1(F23,_xlfn.XLOOKUP($D107,$D$30:$D$34,$E$30:$E$34),_xlfn.XLOOKUP($D107,$D$39:$D$43,$E$39:$E$43),$E99)</f>
        <v>28.006384863744</v>
      </c>
      <c r="G107" s="55" cm="1">
        <f t="array" ref="G107">MMS_Feedlot_ManureAppliedToSoils_Equations.VEERG_4_1_1_9__1_MassOfNitrogenAppliedToSoilsScope1(G23,_xlfn.XLOOKUP($D107,$D$30:$D$34,$E$30:$E$34),_xlfn.XLOOKUP($D107,$D$39:$D$43,$E$39:$E$43),$E99)</f>
        <v>40.45086633599999</v>
      </c>
      <c r="H107" s="2" t="str">
        <f>$E$12</f>
        <v>kg N</v>
      </c>
      <c r="I107" s="2"/>
      <c r="J107" s="2"/>
      <c r="N107" s="55" t="str">
        <f>'Input - Feedlot'!$D$33</f>
        <v>Composting (passive windrow)</v>
      </c>
      <c r="O107" s="55" cm="1">
        <f t="array" ref="O107">MMS_Feedlot_ManureAppliedToSoils_Equations.VEERG_4_1_1_9__1_MassOfNitrogenAppliedToSoilsScope1(O23,_xlfn.XLOOKUP($N107,$D$30:$D$34,$E$30:$E$34),_xlfn.XLOOKUP($N107,$D$39:$D$43,$E$39:$E$43),$E99)</f>
        <v>793.04015747174435</v>
      </c>
      <c r="P107" s="55" cm="1">
        <f t="array" ref="P107">MMS_Feedlot_ManureAppliedToSoils_Equations.VEERG_4_1_1_9__1_MassOfNitrogenAppliedToSoilsScope1(P23,_xlfn.XLOOKUP($N107,$D$30:$D$34,$E$30:$E$34),_xlfn.XLOOKUP($N107,$D$39:$D$43,$E$39:$E$43),$E99)</f>
        <v>28.006384863744</v>
      </c>
      <c r="Q107" s="55" cm="1">
        <f t="array" ref="Q107">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5" t="str">
        <f>'Input - Feedlot'!$D$34</f>
        <v>Direct application</v>
      </c>
      <c r="E108" s="55" cm="1">
        <f t="array" ref="E108">MMS_Feedlot_ManureAppliedToSoils_Equations.VEERG_4_1_1_9__1_MassOfNitrogenAppliedToSoilsScope1(E24,_xlfn.XLOOKUP($D108,$D$30:$D$34,$E$30:$E$34),_xlfn.XLOOKUP($D108,$D$39:$D$43,$E$39:$E$43),$E100)</f>
        <v>0</v>
      </c>
      <c r="F108" s="55" cm="1">
        <f t="array" ref="F108">MMS_Feedlot_ManureAppliedToSoils_Equations.VEERG_4_1_1_9__1_MassOfNitrogenAppliedToSoilsScope1(F24,_xlfn.XLOOKUP($D108,$D$30:$D$34,$E$30:$E$34),_xlfn.XLOOKUP($D108,$D$39:$D$43,$E$39:$E$43),$E100)</f>
        <v>0</v>
      </c>
      <c r="G108" s="55" cm="1">
        <f t="array" ref="G108">MMS_Feedlot_ManureAppliedToSoils_Equations.VEERG_4_1_1_9__1_MassOfNitrogenAppliedToSoilsScope1(G24,_xlfn.XLOOKUP($D108,$D$30:$D$34,$E$30:$E$34),_xlfn.XLOOKUP($D108,$D$39:$D$43,$E$39:$E$43),$E100)</f>
        <v>0</v>
      </c>
      <c r="H108" s="2" t="str">
        <f>$E$12</f>
        <v>kg N</v>
      </c>
      <c r="I108" s="2"/>
      <c r="J108" s="2"/>
      <c r="N108" s="55" t="str">
        <f>'Input - Feedlot'!$D$34</f>
        <v>Direct application</v>
      </c>
      <c r="O108" s="55" cm="1">
        <f t="array" ref="O108">MMS_Feedlot_ManureAppliedToSoils_Equations.VEERG_4_1_1_9__1_MassOfNitrogenAppliedToSoilsScope1(O24,_xlfn.XLOOKUP($N108,$D$30:$D$34,$E$30:$E$34),_xlfn.XLOOKUP($N108,$D$39:$D$43,$E$39:$E$43),$E100)</f>
        <v>0</v>
      </c>
      <c r="P108" s="55" cm="1">
        <f t="array" ref="P108">MMS_Feedlot_ManureAppliedToSoils_Equations.VEERG_4_1_1_9__1_MassOfNitrogenAppliedToSoilsScope1(P24,_xlfn.XLOOKUP($N108,$D$30:$D$34,$E$30:$E$34),_xlfn.XLOOKUP($N108,$D$39:$D$43,$E$39:$E$43),$E100)</f>
        <v>0</v>
      </c>
      <c r="Q108" s="55" cm="1">
        <f t="array" ref="Q108">MMS_Feedlot_ManureAppliedToSoils_Equations.VEERG_4_1_1_9__1_MassOfNitrogenAppliedToSoilsScope1(Q24,_xlfn.XLOOKUP($N108,$D$30:$D$34,$E$30:$E$34),_xlfn.XLOOKUP($N108,$D$39:$D$43,$E$39:$E$43),$E100)</f>
        <v>0</v>
      </c>
      <c r="R108" s="2" t="str">
        <f>$E$12</f>
        <v>kg N</v>
      </c>
    </row>
    <row r="109" spans="4:18" ht="20.100000000000001" customHeight="1" x14ac:dyDescent="0.25">
      <c r="D109" s="55" t="str">
        <f>'Input - Feedlot'!$D$38</f>
        <v>Anaerobic lagoon</v>
      </c>
      <c r="E109" s="55" cm="1">
        <f t="array" ref="E109">MMS_Feedlot_ManureAppliedToSoils_Equations.VEERG_4_1_1_9__1_MassOfNitrogenAppliedToSoilsScope1(E25,_xlfn.XLOOKUP($D109,$D$30:$D$34,$E$30:$E$34),_xlfn.XLOOKUP($D109,$D$39:$D$43,$E$39:$E$43),$E101)</f>
        <v>233.2323302400001</v>
      </c>
      <c r="F109" s="55" cm="1">
        <f t="array" ref="F109">MMS_Feedlot_ManureAppliedToSoils_Equations.VEERG_4_1_1_9__1_MassOfNitrogenAppliedToSoilsScope1(F25,_xlfn.XLOOKUP($D109,$D$30:$D$34,$E$30:$E$34),_xlfn.XLOOKUP($D109,$D$39:$D$43,$E$39:$E$43),$E101)</f>
        <v>8.2366502400000012</v>
      </c>
      <c r="G109" s="55" cm="1">
        <f t="array" ref="G109">MMS_Feedlot_ManureAppliedToSoils_Equations.VEERG_4_1_1_9__1_MassOfNitrogenAppliedToSoilsScope1(G25,_xlfn.XLOOKUP($D109,$D$30:$D$34,$E$30:$E$34),_xlfn.XLOOKUP($D109,$D$39:$D$43,$E$39:$E$43),$E101)</f>
        <v>11.896559999999997</v>
      </c>
      <c r="H109" s="2" t="str">
        <f>$E$12</f>
        <v>kg N</v>
      </c>
      <c r="I109" s="2"/>
      <c r="J109" s="2"/>
      <c r="N109" s="55" t="str">
        <f>'Input - Feedlot'!$D$38</f>
        <v>Anaerobic lagoon</v>
      </c>
      <c r="O109" s="55" cm="1">
        <f t="array" ref="O109">MMS_Feedlot_ManureAppliedToSoils_Equations.VEERG_4_1_1_9__1_MassOfNitrogenAppliedToSoilsScope1(O25,_xlfn.XLOOKUP($N109,$D$30:$D$34,$E$30:$E$34),_xlfn.XLOOKUP($N109,$D$39:$D$43,$E$39:$E$43),$E101)</f>
        <v>233.2323302400001</v>
      </c>
      <c r="P109" s="55" cm="1">
        <f t="array" ref="P109">MMS_Feedlot_ManureAppliedToSoils_Equations.VEERG_4_1_1_9__1_MassOfNitrogenAppliedToSoilsScope1(P25,_xlfn.XLOOKUP($N109,$D$30:$D$34,$E$30:$E$34),_xlfn.XLOOKUP($N109,$D$39:$D$43,$E$39:$E$43),$E101)</f>
        <v>8.2366502400000012</v>
      </c>
      <c r="Q109" s="55" cm="1">
        <f t="array" ref="Q109">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8" t="s">
        <v>259</v>
      </c>
      <c r="E111" s="109">
        <f>SUM(E106:G109)</f>
        <v>2202.6859482366731</v>
      </c>
      <c r="F111" s="110" t="str">
        <f>$E$12</f>
        <v>kg N</v>
      </c>
      <c r="N111" s="108" t="s">
        <v>259</v>
      </c>
      <c r="O111" s="109">
        <f>SUM(O106:Q109)</f>
        <v>2202.6859482366731</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workbookViewId="0">
      <selection activeCell="A15" sqref="A15"/>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139</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6" t="str" cm="1">
        <f t="array" ref="D7">SourceData_Feedlot.SourceData_Feedlot_VSL_Variable()</f>
        <v>VSL</v>
      </c>
      <c r="E7" s="1" cm="1">
        <f t="array" ref="E7">SourceData_Feedlot.SourceData_Feedlot_VSL_Data()</f>
        <v>0.5</v>
      </c>
      <c r="F7" s="57"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76</v>
      </c>
      <c r="D11" s="5" t="str" cm="1">
        <f t="array" ref="D11">SourceData_Feedlot.SourceData_Feedlot_MMSm1T3_Source()</f>
        <v>VEERG 2026: 4.1.2.3 CONSTANTS</v>
      </c>
      <c r="M11" s="1"/>
    </row>
    <row r="12" spans="1:21" ht="20.100000000000001" customHeight="1" x14ac:dyDescent="0.25">
      <c r="A12" s="17" t="str">
        <f>HYPERLINK("#'4.1.1.1-2 Methane'!A1", "4.1.1.1-2 Methane")</f>
        <v>4.1.1.1-2 Methane</v>
      </c>
      <c r="D12" s="56" t="str" cm="1">
        <f t="array" ref="D12">SourceData_Feedlot.SourceData_Feedlot_MMSm1T3_Variable()</f>
        <v>MMSm1T3</v>
      </c>
      <c r="E12" s="1" cm="1">
        <f t="array" ref="E12">SourceData_Feedlot.SourceData_Feedlot_MMSm1T3_Data()</f>
        <v>0.02</v>
      </c>
      <c r="F12" s="57" t="str" cm="1">
        <f t="array" ref="F12">SourceData_Feedlot.SourceData_Feedlot_MMSm1T3_Unit()</f>
        <v>Fraction</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8" t="s">
        <v>4</v>
      </c>
      <c r="D17" s="56" t="str" cm="1">
        <f t="array" ref="D17">SourceData_Feedlot.SourceData_Feedlot_AshContent_Variable()</f>
        <v>A</v>
      </c>
      <c r="E17" s="1" cm="1">
        <f t="array" ref="E17">SourceData_Feedlot.SourceData_Feedlot_AshContent_Data()</f>
        <v>0.16</v>
      </c>
      <c r="F17" s="57" t="str" cm="1">
        <f t="array" ref="F17">SourceData_Feedlot.SourceData_Feedlot_AshContent_Unit()</f>
        <v>Fraction</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D22" s="56" t="str" cm="1">
        <f t="array" ref="D22">SourceData_Feedlot.SourceData_Feedlot_MethaneEmissionsPotential_Variable()</f>
        <v>B0</v>
      </c>
      <c r="E22" s="1" cm="1">
        <f t="array" ref="E22">SourceData_Feedlot.SourceData_Feedlot_MethaneEmissionsPotential_Data()</f>
        <v>0.19</v>
      </c>
      <c r="F22" s="57"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115</v>
      </c>
      <c r="G25" s="6" t="s">
        <v>275</v>
      </c>
      <c r="J25" s="6" t="s">
        <v>277</v>
      </c>
      <c r="M25" s="1"/>
    </row>
    <row r="26" spans="1:13" ht="20.100000000000001" customHeight="1" x14ac:dyDescent="0.25">
      <c r="M26" s="1"/>
    </row>
    <row r="27" spans="1:13" ht="20.100000000000001" customHeight="1" x14ac:dyDescent="0.25">
      <c r="D27" s="102" t="s">
        <v>67</v>
      </c>
      <c r="E27" s="39" t="s">
        <v>81</v>
      </c>
      <c r="G27" s="39" t="s">
        <v>276</v>
      </c>
      <c r="J27" s="39" t="s">
        <v>273</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278</v>
      </c>
      <c r="M28" s="1"/>
    </row>
    <row r="29" spans="1:13" ht="20.100000000000001" customHeight="1" x14ac:dyDescent="0.25">
      <c r="D29" s="39" t="str">
        <f>'Constants - Livestock'!$E$15</f>
        <v>Solid storage</v>
      </c>
      <c r="E29" s="39" t="str">
        <f>'Constants - Livestock'!$F$15</f>
        <v>Solid storage (m=4)</v>
      </c>
      <c r="G29" s="1" t="str">
        <f>'Constants - Common'!$F$187</f>
        <v>Pasture</v>
      </c>
      <c r="J29" s="39" t="s">
        <v>279</v>
      </c>
      <c r="M29" s="1"/>
    </row>
    <row r="30" spans="1:13" ht="20.100000000000001" customHeight="1" x14ac:dyDescent="0.25">
      <c r="D30" s="39" t="str">
        <f>'Constants - Livestock'!$E$17</f>
        <v>Composting (passive windrow)</v>
      </c>
      <c r="E30" s="39" t="str">
        <f>'Constants - Livestock'!$F$17</f>
        <v>Composting (passive windrow) (m=6)</v>
      </c>
      <c r="J30" s="1" t="s">
        <v>280</v>
      </c>
      <c r="M30" s="1"/>
    </row>
    <row r="31" spans="1:13" ht="20.100000000000001" customHeight="1" x14ac:dyDescent="0.25">
      <c r="D31" s="39" t="str">
        <f>'Constants - Livestock'!$E$26</f>
        <v>Direct application</v>
      </c>
      <c r="E31" s="39" t="str">
        <f>'Constants - Livestock'!$F$26</f>
        <v>Direct application (m=13)</v>
      </c>
      <c r="J31" s="1" t="s">
        <v>281</v>
      </c>
      <c r="M31" s="1"/>
    </row>
    <row r="32" spans="1:13" ht="20.100000000000001" customHeight="1" x14ac:dyDescent="0.25">
      <c r="D32" s="1" t="str">
        <f>'Constants - Livestock'!$E$10</f>
        <v>Anaerobic lagoon</v>
      </c>
      <c r="E32" s="1" t="str">
        <f>'Constants - Livestock'!$F$10</f>
        <v>Anaerobic lagoon (m=1)</v>
      </c>
      <c r="J32" s="1" t="s">
        <v>282</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9" t="s">
        <v>134</v>
      </c>
      <c r="E38" s="39" t="s">
        <v>147</v>
      </c>
      <c r="M38" s="1"/>
    </row>
    <row r="39" spans="4:13" ht="20.100000000000001" customHeight="1" x14ac:dyDescent="0.25">
      <c r="D39" s="39" t="str" cm="1">
        <f t="array" ref="D39">Common_InputFunctions.Utility_DisplayArrayInTable(SourceData_Feedlot.SourceData_Feedlot_DurationOfStay_Data(), Table_SourceData_Feedlot_LengthOfStay[[#Headers],[Feedlot type]], 0)</f>
        <v>Domestic</v>
      </c>
      <c r="E39" s="39"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9"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9"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8" t="str" cm="1">
        <f t="array" ref="D46:D48">SourceData_Feedlot.SourceData_Feedlot_AnimalCharacteristics_Variation()</f>
        <v>VARIATION ON SOURCE:</v>
      </c>
      <c r="M46" s="24"/>
    </row>
    <row r="47" spans="4:13" ht="20.100000000000001" customHeight="1" x14ac:dyDescent="0.25">
      <c r="D47" s="58" t="str">
        <v>Moved feedlot types to a separate column to aid lookup.</v>
      </c>
      <c r="M47" s="24"/>
    </row>
    <row r="48" spans="4:13" ht="20.100000000000001" customHeight="1" x14ac:dyDescent="0.25">
      <c r="D48" s="58" t="str">
        <v>Named 'characteristic' column - original has header 'Unit' which covers two columns)</v>
      </c>
      <c r="M48" s="24"/>
    </row>
    <row r="49" spans="4:13" ht="20.100000000000001" customHeight="1" x14ac:dyDescent="0.25">
      <c r="D49" s="39" t="s">
        <v>134</v>
      </c>
      <c r="E49" s="39" t="s">
        <v>144</v>
      </c>
      <c r="F49" s="39" t="s">
        <v>19</v>
      </c>
      <c r="G49" s="39" t="s">
        <v>145</v>
      </c>
      <c r="H49" s="39" t="s">
        <v>136</v>
      </c>
      <c r="I49" s="39" t="s">
        <v>137</v>
      </c>
      <c r="J49" s="39" t="s">
        <v>138</v>
      </c>
      <c r="M49" s="24"/>
    </row>
    <row r="50" spans="4:13" ht="20.100000000000001" customHeight="1" x14ac:dyDescent="0.25">
      <c r="D50" s="39" t="str" cm="1">
        <f t="array" ref="D50">Common_InputFunctions.Utility_DisplayArrayInTable(SourceData_Feedlot.SourceData_Feedlot_AnimalCharacteristics_Data(), Table_SourceData_Feedlot_AnimalCharacteristics[[#Headers],[Feedlot type]], 0)</f>
        <v>Domestic</v>
      </c>
      <c r="E50" s="39" t="str" cm="1">
        <f t="array" ref="E50">Common_InputFunctions.Utility_DisplayArrayInTable(SourceData_Feedlot.SourceData_Feedlot_AnimalCharacteristics_Data(), Table_SourceData_Feedlot_AnimalCharacteristics[[#Headers],[Feedlot type]], 0)</f>
        <v>Days on feed</v>
      </c>
      <c r="F50" s="39" t="str" cm="1">
        <f t="array" ref="F50">Common_InputFunctions.Utility_DisplayArrayInTable(SourceData_Feedlot.SourceData_Feedlot_AnimalCharacteristics_Data(), Table_SourceData_Feedlot_AnimalCharacteristics[[#Headers],[Feedlot type]], 0)</f>
        <v>days</v>
      </c>
      <c r="G50" s="39" cm="1">
        <f t="array" ref="G50">Common_InputFunctions.Utility_DisplayArrayInTable(SourceData_Feedlot.SourceData_Feedlot_AnimalCharacteristics_Data(), Table_SourceData_Feedlot_AnimalCharacteristics[[#Headers],[Feedlot type]], 0)</f>
        <v>70</v>
      </c>
      <c r="H50" s="39" cm="1">
        <f t="array" ref="H50">Common_InputFunctions.Utility_DisplayArrayInTable(SourceData_Feedlot.SourceData_Feedlot_AnimalCharacteristics_Data(), Table_SourceData_Feedlot_AnimalCharacteristics[[#Headers],[Feedlot type]], 0)</f>
        <v>70</v>
      </c>
      <c r="I50" s="39" cm="1">
        <f t="array" ref="I50">Common_InputFunctions.Utility_DisplayArrayInTable(SourceData_Feedlot.SourceData_Feedlot_AnimalCharacteristics_Data(), Table_SourceData_Feedlot_AnimalCharacteristics[[#Headers],[Feedlot type]], 0)</f>
        <v>70</v>
      </c>
      <c r="J50" s="39"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9" t="str" cm="1">
        <f t="array" ref="E51">Common_InputFunctions.Utility_DisplayArrayInTable(SourceData_Feedlot.SourceData_Feedlot_AnimalCharacteristics_Data(), Table_SourceData_Feedlot_AnimalCharacteristics[[#Headers],[Feedlot type]], 0)</f>
        <v>Feed intake</v>
      </c>
      <c r="F51" s="39" t="str" cm="1">
        <f t="array" ref="F51">Common_InputFunctions.Utility_DisplayArrayInTable(SourceData_Feedlot.SourceData_Feedlot_AnimalCharacteristics_Data(), Table_SourceData_Feedlot_AnimalCharacteristics[[#Headers],[Feedlot type]], 0)</f>
        <v>kg DM/day</v>
      </c>
      <c r="G51" s="39" cm="1">
        <f t="array" ref="G51">Common_InputFunctions.Utility_DisplayArrayInTable(SourceData_Feedlot.SourceData_Feedlot_AnimalCharacteristics_Data(), Table_SourceData_Feedlot_AnimalCharacteristics[[#Headers],[Feedlot type]], 0)</f>
        <v>10</v>
      </c>
      <c r="H51" s="39" cm="1">
        <f t="array" ref="H51">Common_InputFunctions.Utility_DisplayArrayInTable(SourceData_Feedlot.SourceData_Feedlot_AnimalCharacteristics_Data(), Table_SourceData_Feedlot_AnimalCharacteristics[[#Headers],[Feedlot type]], 0)</f>
        <v>10</v>
      </c>
      <c r="I51" s="39" cm="1">
        <f t="array" ref="I51">Common_InputFunctions.Utility_DisplayArrayInTable(SourceData_Feedlot.SourceData_Feedlot_AnimalCharacteristics_Data(), Table_SourceData_Feedlot_AnimalCharacteristics[[#Headers],[Feedlot type]], 0)</f>
        <v>10.4</v>
      </c>
      <c r="J51" s="39"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9" t="str" cm="1">
        <f t="array" ref="E52">Common_InputFunctions.Utility_DisplayArrayInTable(SourceData_Feedlot.SourceData_Feedlot_AnimalCharacteristics_Data(), Table_SourceData_Feedlot_AnimalCharacteristics[[#Headers],[Feedlot type]], 0)</f>
        <v>N retention</v>
      </c>
      <c r="F52" s="39" t="str" cm="1">
        <f t="array" ref="F52">Common_InputFunctions.Utility_DisplayArrayInTable(SourceData_Feedlot.SourceData_Feedlot_AnimalCharacteristics_Data(), Table_SourceData_Feedlot_AnimalCharacteristics[[#Headers],[Feedlot type]], 0)</f>
        <v>per cent of intake</v>
      </c>
      <c r="G52" s="39" cm="1">
        <f t="array" ref="G52">Common_InputFunctions.Utility_DisplayArrayInTable(SourceData_Feedlot.SourceData_Feedlot_AnimalCharacteristics_Data(), Table_SourceData_Feedlot_AnimalCharacteristics[[#Headers],[Feedlot type]], 0)</f>
        <v>21.1</v>
      </c>
      <c r="H52" s="39" cm="1">
        <f t="array" ref="H52">Common_InputFunctions.Utility_DisplayArrayInTable(SourceData_Feedlot.SourceData_Feedlot_AnimalCharacteristics_Data(), Table_SourceData_Feedlot_AnimalCharacteristics[[#Headers],[Feedlot type]], 0)</f>
        <v>20.399999999999999</v>
      </c>
      <c r="I52" s="39" cm="1">
        <f t="array" ref="I52">Common_InputFunctions.Utility_DisplayArrayInTable(SourceData_Feedlot.SourceData_Feedlot_AnimalCharacteristics_Data(), Table_SourceData_Feedlot_AnimalCharacteristics[[#Headers],[Feedlot type]], 0)</f>
        <v>20.399999999999999</v>
      </c>
      <c r="J52" s="39"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9" t="str" cm="1">
        <f t="array" ref="E53">Common_InputFunctions.Utility_DisplayArrayInTable(SourceData_Feedlot.SourceData_Feedlot_AnimalCharacteristics_Data(), Table_SourceData_Feedlot_AnimalCharacteristics[[#Headers],[Feedlot type]], 0)</f>
        <v>Days on feed</v>
      </c>
      <c r="F53" s="39" t="str" cm="1">
        <f t="array" ref="F53">Common_InputFunctions.Utility_DisplayArrayInTable(SourceData_Feedlot.SourceData_Feedlot_AnimalCharacteristics_Data(), Table_SourceData_Feedlot_AnimalCharacteristics[[#Headers],[Feedlot type]], 0)</f>
        <v>days</v>
      </c>
      <c r="G53" s="39" cm="1">
        <f t="array" ref="G53">Common_InputFunctions.Utility_DisplayArrayInTable(SourceData_Feedlot.SourceData_Feedlot_AnimalCharacteristics_Data(), Table_SourceData_Feedlot_AnimalCharacteristics[[#Headers],[Feedlot type]], 0)</f>
        <v>115</v>
      </c>
      <c r="H53" s="39" cm="1">
        <f t="array" ref="H53">Common_InputFunctions.Utility_DisplayArrayInTable(SourceData_Feedlot.SourceData_Feedlot_AnimalCharacteristics_Data(), Table_SourceData_Feedlot_AnimalCharacteristics[[#Headers],[Feedlot type]], 0)</f>
        <v>115</v>
      </c>
      <c r="I53" s="39" cm="1">
        <f t="array" ref="I53">Common_InputFunctions.Utility_DisplayArrayInTable(SourceData_Feedlot.SourceData_Feedlot_AnimalCharacteristics_Data(), Table_SourceData_Feedlot_AnimalCharacteristics[[#Headers],[Feedlot type]], 0)</f>
        <v>120</v>
      </c>
      <c r="J53" s="39"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9" t="str" cm="1">
        <f t="array" ref="E54">Common_InputFunctions.Utility_DisplayArrayInTable(SourceData_Feedlot.SourceData_Feedlot_AnimalCharacteristics_Data(), Table_SourceData_Feedlot_AnimalCharacteristics[[#Headers],[Feedlot type]], 0)</f>
        <v>Feed intake</v>
      </c>
      <c r="F54" s="39" t="str" cm="1">
        <f t="array" ref="F54">Common_InputFunctions.Utility_DisplayArrayInTable(SourceData_Feedlot.SourceData_Feedlot_AnimalCharacteristics_Data(), Table_SourceData_Feedlot_AnimalCharacteristics[[#Headers],[Feedlot type]], 0)</f>
        <v>kg DM/day</v>
      </c>
      <c r="G54" s="39" cm="1">
        <f t="array" ref="G54">Common_InputFunctions.Utility_DisplayArrayInTable(SourceData_Feedlot.SourceData_Feedlot_AnimalCharacteristics_Data(), Table_SourceData_Feedlot_AnimalCharacteristics[[#Headers],[Feedlot type]], 0)</f>
        <v>11.2</v>
      </c>
      <c r="H54" s="39" cm="1">
        <f t="array" ref="H54">Common_InputFunctions.Utility_DisplayArrayInTable(SourceData_Feedlot.SourceData_Feedlot_AnimalCharacteristics_Data(), Table_SourceData_Feedlot_AnimalCharacteristics[[#Headers],[Feedlot type]], 0)</f>
        <v>10.8</v>
      </c>
      <c r="I54" s="39" cm="1">
        <f t="array" ref="I54">Common_InputFunctions.Utility_DisplayArrayInTable(SourceData_Feedlot.SourceData_Feedlot_AnimalCharacteristics_Data(), Table_SourceData_Feedlot_AnimalCharacteristics[[#Headers],[Feedlot type]], 0)</f>
        <v>10.8</v>
      </c>
      <c r="J54" s="39"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9" t="str" cm="1">
        <f t="array" ref="E55">Common_InputFunctions.Utility_DisplayArrayInTable(SourceData_Feedlot.SourceData_Feedlot_AnimalCharacteristics_Data(), Table_SourceData_Feedlot_AnimalCharacteristics[[#Headers],[Feedlot type]], 0)</f>
        <v>N retention</v>
      </c>
      <c r="F55" s="39" t="str" cm="1">
        <f t="array" ref="F55">Common_InputFunctions.Utility_DisplayArrayInTable(SourceData_Feedlot.SourceData_Feedlot_AnimalCharacteristics_Data(), Table_SourceData_Feedlot_AnimalCharacteristics[[#Headers],[Feedlot type]], 0)</f>
        <v>per cent of intake</v>
      </c>
      <c r="G55" s="39" cm="1">
        <f t="array" ref="G55">Common_InputFunctions.Utility_DisplayArrayInTable(SourceData_Feedlot.SourceData_Feedlot_AnimalCharacteristics_Data(), Table_SourceData_Feedlot_AnimalCharacteristics[[#Headers],[Feedlot type]], 0)</f>
        <v>12.5</v>
      </c>
      <c r="H55" s="39" cm="1">
        <f t="array" ref="H55">Common_InputFunctions.Utility_DisplayArrayInTable(SourceData_Feedlot.SourceData_Feedlot_AnimalCharacteristics_Data(), Table_SourceData_Feedlot_AnimalCharacteristics[[#Headers],[Feedlot type]], 0)</f>
        <v>12.7</v>
      </c>
      <c r="I55" s="39" cm="1">
        <f t="array" ref="I55">Common_InputFunctions.Utility_DisplayArrayInTable(SourceData_Feedlot.SourceData_Feedlot_AnimalCharacteristics_Data(), Table_SourceData_Feedlot_AnimalCharacteristics[[#Headers],[Feedlot type]], 0)</f>
        <v>12.7</v>
      </c>
      <c r="J55" s="39"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9" t="str" cm="1">
        <f t="array" ref="E56">Common_InputFunctions.Utility_DisplayArrayInTable(SourceData_Feedlot.SourceData_Feedlot_AnimalCharacteristics_Data(), Table_SourceData_Feedlot_AnimalCharacteristics[[#Headers],[Feedlot type]], 0)</f>
        <v>Days on feed</v>
      </c>
      <c r="F56" s="39" t="str" cm="1">
        <f t="array" ref="F56">Common_InputFunctions.Utility_DisplayArrayInTable(SourceData_Feedlot.SourceData_Feedlot_AnimalCharacteristics_Data(), Table_SourceData_Feedlot_AnimalCharacteristics[[#Headers],[Feedlot type]], 0)</f>
        <v>days</v>
      </c>
      <c r="G56" s="39" cm="1">
        <f t="array" ref="G56">Common_InputFunctions.Utility_DisplayArrayInTable(SourceData_Feedlot.SourceData_Feedlot_AnimalCharacteristics_Data(), Table_SourceData_Feedlot_AnimalCharacteristics[[#Headers],[Feedlot type]], 0)</f>
        <v>250</v>
      </c>
      <c r="H56" s="39" cm="1">
        <f t="array" ref="H56">Common_InputFunctions.Utility_DisplayArrayInTable(SourceData_Feedlot.SourceData_Feedlot_AnimalCharacteristics_Data(), Table_SourceData_Feedlot_AnimalCharacteristics[[#Headers],[Feedlot type]], 0)</f>
        <v>250</v>
      </c>
      <c r="I56" s="39" cm="1">
        <f t="array" ref="I56">Common_InputFunctions.Utility_DisplayArrayInTable(SourceData_Feedlot.SourceData_Feedlot_AnimalCharacteristics_Data(), Table_SourceData_Feedlot_AnimalCharacteristics[[#Headers],[Feedlot type]], 0)</f>
        <v>250</v>
      </c>
      <c r="J56" s="39"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9" t="str" cm="1">
        <f t="array" ref="E57">Common_InputFunctions.Utility_DisplayArrayInTable(SourceData_Feedlot.SourceData_Feedlot_AnimalCharacteristics_Data(), Table_SourceData_Feedlot_AnimalCharacteristics[[#Headers],[Feedlot type]], 0)</f>
        <v>Feed intake</v>
      </c>
      <c r="F57" s="39" t="str" cm="1">
        <f t="array" ref="F57">Common_InputFunctions.Utility_DisplayArrayInTable(SourceData_Feedlot.SourceData_Feedlot_AnimalCharacteristics_Data(), Table_SourceData_Feedlot_AnimalCharacteristics[[#Headers],[Feedlot type]], 0)</f>
        <v>kg DM/day</v>
      </c>
      <c r="G57" s="39" cm="1">
        <f t="array" ref="G57">Common_InputFunctions.Utility_DisplayArrayInTable(SourceData_Feedlot.SourceData_Feedlot_AnimalCharacteristics_Data(), Table_SourceData_Feedlot_AnimalCharacteristics[[#Headers],[Feedlot type]], 0)</f>
        <v>9</v>
      </c>
      <c r="H57" s="39" cm="1">
        <f t="array" ref="H57">Common_InputFunctions.Utility_DisplayArrayInTable(SourceData_Feedlot.SourceData_Feedlot_AnimalCharacteristics_Data(), Table_SourceData_Feedlot_AnimalCharacteristics[[#Headers],[Feedlot type]], 0)</f>
        <v>8.5</v>
      </c>
      <c r="I57" s="39" cm="1">
        <f t="array" ref="I57">Common_InputFunctions.Utility_DisplayArrayInTable(SourceData_Feedlot.SourceData_Feedlot_AnimalCharacteristics_Data(), Table_SourceData_Feedlot_AnimalCharacteristics[[#Headers],[Feedlot type]], 0)</f>
        <v>8.1999999999999993</v>
      </c>
      <c r="J57" s="39"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9" t="str" cm="1">
        <f t="array" ref="E58">Common_InputFunctions.Utility_DisplayArrayInTable(SourceData_Feedlot.SourceData_Feedlot_AnimalCharacteristics_Data(), Table_SourceData_Feedlot_AnimalCharacteristics[[#Headers],[Feedlot type]], 0)</f>
        <v>N retention</v>
      </c>
      <c r="F58" s="39" t="str" cm="1">
        <f t="array" ref="F58">Common_InputFunctions.Utility_DisplayArrayInTable(SourceData_Feedlot.SourceData_Feedlot_AnimalCharacteristics_Data(), Table_SourceData_Feedlot_AnimalCharacteristics[[#Headers],[Feedlot type]], 0)</f>
        <v>per cent of intake</v>
      </c>
      <c r="G58" s="39" cm="1">
        <f t="array" ref="G58">Common_InputFunctions.Utility_DisplayArrayInTable(SourceData_Feedlot.SourceData_Feedlot_AnimalCharacteristics_Data(), Table_SourceData_Feedlot_AnimalCharacteristics[[#Headers],[Feedlot type]], 0)</f>
        <v>6.6</v>
      </c>
      <c r="H58" s="39" cm="1">
        <f t="array" ref="H58">Common_InputFunctions.Utility_DisplayArrayInTable(SourceData_Feedlot.SourceData_Feedlot_AnimalCharacteristics_Data(), Table_SourceData_Feedlot_AnimalCharacteristics[[#Headers],[Feedlot type]], 0)</f>
        <v>7</v>
      </c>
      <c r="I58" s="39" cm="1">
        <f t="array" ref="I58">Common_InputFunctions.Utility_DisplayArrayInTable(SourceData_Feedlot.SourceData_Feedlot_AnimalCharacteristics_Data(), Table_SourceData_Feedlot_AnimalCharacteristics[[#Headers],[Feedlot type]], 0)</f>
        <v>7</v>
      </c>
      <c r="J58" s="39"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8" t="str" cm="1">
        <f t="array" ref="D63:D65">SourceData_Feedlot.SourceData_Feedlot_DietProperties_Variation()</f>
        <v>VARIATION ON SOURCE:</v>
      </c>
      <c r="M63" s="24"/>
    </row>
    <row r="64" spans="4:13" ht="20.100000000000001" customHeight="1" x14ac:dyDescent="0.25">
      <c r="D64" s="58" t="str">
        <v>Added 'Converted to fraction column and converted NDF and Ether extract values to fractions.</v>
      </c>
      <c r="M64" s="24"/>
    </row>
    <row r="65" spans="4:13" ht="20.100000000000001" customHeight="1" x14ac:dyDescent="0.25">
      <c r="D65" s="58" t="str">
        <v>Moved feedlot types to a separate column to aid lookup.</v>
      </c>
      <c r="M65" s="24"/>
    </row>
    <row r="66" spans="4:13" ht="20.100000000000001" customHeight="1" x14ac:dyDescent="0.25">
      <c r="D66" s="39" t="s">
        <v>134</v>
      </c>
      <c r="E66" s="39" t="s">
        <v>135</v>
      </c>
      <c r="F66" s="39" t="s">
        <v>19</v>
      </c>
      <c r="G66" s="39" t="s">
        <v>136</v>
      </c>
      <c r="H66" s="39" t="s">
        <v>137</v>
      </c>
      <c r="I66" s="39" t="s">
        <v>138</v>
      </c>
      <c r="J66" s="39" t="s">
        <v>143</v>
      </c>
      <c r="M66" s="24"/>
    </row>
    <row r="67" spans="4:13" ht="20.100000000000001" customHeight="1" x14ac:dyDescent="0.25">
      <c r="D67" s="39" t="str" cm="1">
        <f t="array" ref="D67">Common_InputFunctions.Utility_DisplayArrayInTable(SourceData_Feedlot.SourceData_Feedlot_DietProperties_Data(), Table_SourceData_Feedlot_DietProperties[[#Headers],[Feedlot type]], 0)</f>
        <v>Domestic</v>
      </c>
      <c r="E67" s="39" t="str" cm="1">
        <f t="array" ref="E67">Common_InputFunctions.Utility_DisplayArrayInTable(SourceData_Feedlot.SourceData_Feedlot_DietProperties_Data(), Table_SourceData_Feedlot_DietProperties[[#Headers],[Feedlot type]], 0)</f>
        <v>Dry matter digestibility</v>
      </c>
      <c r="F67" s="39" t="str" cm="1">
        <f t="array" ref="F67">Common_InputFunctions.Utility_DisplayArrayInTable(SourceData_Feedlot.SourceData_Feedlot_DietProperties_Data(), Table_SourceData_Feedlot_DietProperties[[#Headers],[Feedlot type]], 0)</f>
        <v>fraction</v>
      </c>
      <c r="G67" s="39" cm="1">
        <f t="array" ref="G67">Common_InputFunctions.Utility_DisplayArrayInTable(SourceData_Feedlot.SourceData_Feedlot_DietProperties_Data(), Table_SourceData_Feedlot_DietProperties[[#Headers],[Feedlot type]], 0)</f>
        <v>0.81</v>
      </c>
      <c r="H67" s="39" cm="1">
        <f t="array" ref="H67">Common_InputFunctions.Utility_DisplayArrayInTable(SourceData_Feedlot.SourceData_Feedlot_DietProperties_Data(), Table_SourceData_Feedlot_DietProperties[[#Headers],[Feedlot type]], 0)</f>
        <v>0.81</v>
      </c>
      <c r="I67" s="39" cm="1">
        <f t="array" ref="I67">Common_InputFunctions.Utility_DisplayArrayInTable(SourceData_Feedlot.SourceData_Feedlot_DietProperties_Data(), Table_SourceData_Feedlot_DietProperties[[#Headers],[Feedlot type]], 0)</f>
        <v>0.81</v>
      </c>
      <c r="J67" s="39"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9" t="str" cm="1">
        <f t="array" ref="E68">Common_InputFunctions.Utility_DisplayArrayInTable(SourceData_Feedlot.SourceData_Feedlot_DietProperties_Data(), Table_SourceData_Feedlot_DietProperties[[#Headers],[Feedlot type]], 0)</f>
        <v>Crude protein</v>
      </c>
      <c r="F68" s="39" t="str" cm="1">
        <f t="array" ref="F68">Common_InputFunctions.Utility_DisplayArrayInTable(SourceData_Feedlot.SourceData_Feedlot_DietProperties_Data(), Table_SourceData_Feedlot_DietProperties[[#Headers],[Feedlot type]], 0)</f>
        <v>fraction</v>
      </c>
      <c r="G68" s="39" cm="1">
        <f t="array" ref="G68">Common_InputFunctions.Utility_DisplayArrayInTable(SourceData_Feedlot.SourceData_Feedlot_DietProperties_Data(), Table_SourceData_Feedlot_DietProperties[[#Headers],[Feedlot type]], 0)</f>
        <v>0.14000000000000001</v>
      </c>
      <c r="H68" s="39" cm="1">
        <f t="array" ref="H68">Common_InputFunctions.Utility_DisplayArrayInTable(SourceData_Feedlot.SourceData_Feedlot_DietProperties_Data(), Table_SourceData_Feedlot_DietProperties[[#Headers],[Feedlot type]], 0)</f>
        <v>0.14000000000000001</v>
      </c>
      <c r="I68" s="39" cm="1">
        <f t="array" ref="I68">Common_InputFunctions.Utility_DisplayArrayInTable(SourceData_Feedlot.SourceData_Feedlot_DietProperties_Data(), Table_SourceData_Feedlot_DietProperties[[#Headers],[Feedlot type]], 0)</f>
        <v>0.14000000000000001</v>
      </c>
      <c r="J68" s="39"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9" t="str" cm="1">
        <f t="array" ref="E69">Common_InputFunctions.Utility_DisplayArrayInTable(SourceData_Feedlot.SourceData_Feedlot_DietProperties_Data(), Table_SourceData_Feedlot_DietProperties[[#Headers],[Feedlot type]], 0)</f>
        <v>NDF</v>
      </c>
      <c r="F69" s="39" t="str" cm="1">
        <f t="array" ref="F69">Common_InputFunctions.Utility_DisplayArrayInTable(SourceData_Feedlot.SourceData_Feedlot_DietProperties_Data(), Table_SourceData_Feedlot_DietProperties[[#Headers],[Feedlot type]], 0)</f>
        <v>per cent</v>
      </c>
      <c r="G69" s="39" cm="1">
        <f t="array" ref="G69">Common_InputFunctions.Utility_DisplayArrayInTable(SourceData_Feedlot.SourceData_Feedlot_DietProperties_Data(), Table_SourceData_Feedlot_DietProperties[[#Headers],[Feedlot type]], 0)</f>
        <v>23</v>
      </c>
      <c r="H69" s="39" cm="1">
        <f t="array" ref="H69">Common_InputFunctions.Utility_DisplayArrayInTable(SourceData_Feedlot.SourceData_Feedlot_DietProperties_Data(), Table_SourceData_Feedlot_DietProperties[[#Headers],[Feedlot type]], 0)</f>
        <v>22</v>
      </c>
      <c r="I69" s="39" cm="1">
        <f t="array" ref="I69">Common_InputFunctions.Utility_DisplayArrayInTable(SourceData_Feedlot.SourceData_Feedlot_DietProperties_Data(), Table_SourceData_Feedlot_DietProperties[[#Headers],[Feedlot type]], 0)</f>
        <v>22</v>
      </c>
      <c r="J69" s="39"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9" t="str" cm="1">
        <f t="array" ref="E70">Common_InputFunctions.Utility_DisplayArrayInTable(SourceData_Feedlot.SourceData_Feedlot_DietProperties_Data(), Table_SourceData_Feedlot_DietProperties[[#Headers],[Feedlot type]], 0)</f>
        <v>Ether Extract</v>
      </c>
      <c r="F70" s="39" t="str" cm="1">
        <f t="array" ref="F70">Common_InputFunctions.Utility_DisplayArrayInTable(SourceData_Feedlot.SourceData_Feedlot_DietProperties_Data(), Table_SourceData_Feedlot_DietProperties[[#Headers],[Feedlot type]], 0)</f>
        <v>per cent</v>
      </c>
      <c r="G70" s="39" cm="1">
        <f t="array" ref="G70">Common_InputFunctions.Utility_DisplayArrayInTable(SourceData_Feedlot.SourceData_Feedlot_DietProperties_Data(), Table_SourceData_Feedlot_DietProperties[[#Headers],[Feedlot type]], 0)</f>
        <v>4.5</v>
      </c>
      <c r="H70" s="39" cm="1">
        <f t="array" ref="H70">Common_InputFunctions.Utility_DisplayArrayInTable(SourceData_Feedlot.SourceData_Feedlot_DietProperties_Data(), Table_SourceData_Feedlot_DietProperties[[#Headers],[Feedlot type]], 0)</f>
        <v>4.5</v>
      </c>
      <c r="I70" s="39" cm="1">
        <f t="array" ref="I70">Common_InputFunctions.Utility_DisplayArrayInTable(SourceData_Feedlot.SourceData_Feedlot_DietProperties_Data(), Table_SourceData_Feedlot_DietProperties[[#Headers],[Feedlot type]], 0)</f>
        <v>4.8</v>
      </c>
      <c r="J70" s="39"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9" t="str" cm="1">
        <f t="array" ref="E71">Common_InputFunctions.Utility_DisplayArrayInTable(SourceData_Feedlot.SourceData_Feedlot_DietProperties_Data(), Table_SourceData_Feedlot_DietProperties[[#Headers],[Feedlot type]], 0)</f>
        <v>Dry matter digestibility</v>
      </c>
      <c r="F71" s="39" t="str" cm="1">
        <f t="array" ref="F71">Common_InputFunctions.Utility_DisplayArrayInTable(SourceData_Feedlot.SourceData_Feedlot_DietProperties_Data(), Table_SourceData_Feedlot_DietProperties[[#Headers],[Feedlot type]], 0)</f>
        <v>fraction</v>
      </c>
      <c r="G71" s="39" cm="1">
        <f t="array" ref="G71">Common_InputFunctions.Utility_DisplayArrayInTable(SourceData_Feedlot.SourceData_Feedlot_DietProperties_Data(), Table_SourceData_Feedlot_DietProperties[[#Headers],[Feedlot type]], 0)</f>
        <v>0.81</v>
      </c>
      <c r="H71" s="39" cm="1">
        <f t="array" ref="H71">Common_InputFunctions.Utility_DisplayArrayInTable(SourceData_Feedlot.SourceData_Feedlot_DietProperties_Data(), Table_SourceData_Feedlot_DietProperties[[#Headers],[Feedlot type]], 0)</f>
        <v>0.81</v>
      </c>
      <c r="I71" s="39" cm="1">
        <f t="array" ref="I71">Common_InputFunctions.Utility_DisplayArrayInTable(SourceData_Feedlot.SourceData_Feedlot_DietProperties_Data(), Table_SourceData_Feedlot_DietProperties[[#Headers],[Feedlot type]], 0)</f>
        <v>0.81</v>
      </c>
      <c r="J71" s="39"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9" t="str" cm="1">
        <f t="array" ref="E72">Common_InputFunctions.Utility_DisplayArrayInTable(SourceData_Feedlot.SourceData_Feedlot_DietProperties_Data(), Table_SourceData_Feedlot_DietProperties[[#Headers],[Feedlot type]], 0)</f>
        <v>Crude protein</v>
      </c>
      <c r="F72" s="39" t="str" cm="1">
        <f t="array" ref="F72">Common_InputFunctions.Utility_DisplayArrayInTable(SourceData_Feedlot.SourceData_Feedlot_DietProperties_Data(), Table_SourceData_Feedlot_DietProperties[[#Headers],[Feedlot type]], 0)</f>
        <v>fraction</v>
      </c>
      <c r="G72" s="39" cm="1">
        <f t="array" ref="G72">Common_InputFunctions.Utility_DisplayArrayInTable(SourceData_Feedlot.SourceData_Feedlot_DietProperties_Data(), Table_SourceData_Feedlot_DietProperties[[#Headers],[Feedlot type]], 0)</f>
        <v>0.13</v>
      </c>
      <c r="H72" s="39" cm="1">
        <f t="array" ref="H72">Common_InputFunctions.Utility_DisplayArrayInTable(SourceData_Feedlot.SourceData_Feedlot_DietProperties_Data(), Table_SourceData_Feedlot_DietProperties[[#Headers],[Feedlot type]], 0)</f>
        <v>0.125</v>
      </c>
      <c r="I72" s="39" cm="1">
        <f t="array" ref="I72">Common_InputFunctions.Utility_DisplayArrayInTable(SourceData_Feedlot.SourceData_Feedlot_DietProperties_Data(), Table_SourceData_Feedlot_DietProperties[[#Headers],[Feedlot type]], 0)</f>
        <v>0.12</v>
      </c>
      <c r="J72" s="39"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9" t="str" cm="1">
        <f t="array" ref="E73">Common_InputFunctions.Utility_DisplayArrayInTable(SourceData_Feedlot.SourceData_Feedlot_DietProperties_Data(), Table_SourceData_Feedlot_DietProperties[[#Headers],[Feedlot type]], 0)</f>
        <v>NDF</v>
      </c>
      <c r="F73" s="39" t="str" cm="1">
        <f t="array" ref="F73">Common_InputFunctions.Utility_DisplayArrayInTable(SourceData_Feedlot.SourceData_Feedlot_DietProperties_Data(), Table_SourceData_Feedlot_DietProperties[[#Headers],[Feedlot type]], 0)</f>
        <v>per cent</v>
      </c>
      <c r="G73" s="39" cm="1">
        <f t="array" ref="G73">Common_InputFunctions.Utility_DisplayArrayInTable(SourceData_Feedlot.SourceData_Feedlot_DietProperties_Data(), Table_SourceData_Feedlot_DietProperties[[#Headers],[Feedlot type]], 0)</f>
        <v>24</v>
      </c>
      <c r="H73" s="39" cm="1">
        <f t="array" ref="H73">Common_InputFunctions.Utility_DisplayArrayInTable(SourceData_Feedlot.SourceData_Feedlot_DietProperties_Data(), Table_SourceData_Feedlot_DietProperties[[#Headers],[Feedlot type]], 0)</f>
        <v>22</v>
      </c>
      <c r="I73" s="39" cm="1">
        <f t="array" ref="I73">Common_InputFunctions.Utility_DisplayArrayInTable(SourceData_Feedlot.SourceData_Feedlot_DietProperties_Data(), Table_SourceData_Feedlot_DietProperties[[#Headers],[Feedlot type]], 0)</f>
        <v>22</v>
      </c>
      <c r="J73" s="39"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9" t="str" cm="1">
        <f t="array" ref="E74">Common_InputFunctions.Utility_DisplayArrayInTable(SourceData_Feedlot.SourceData_Feedlot_DietProperties_Data(), Table_SourceData_Feedlot_DietProperties[[#Headers],[Feedlot type]], 0)</f>
        <v>Ether Extract</v>
      </c>
      <c r="F74" s="39" t="str" cm="1">
        <f t="array" ref="F74">Common_InputFunctions.Utility_DisplayArrayInTable(SourceData_Feedlot.SourceData_Feedlot_DietProperties_Data(), Table_SourceData_Feedlot_DietProperties[[#Headers],[Feedlot type]], 0)</f>
        <v>per cent</v>
      </c>
      <c r="G74" s="39" cm="1">
        <f t="array" ref="G74">Common_InputFunctions.Utility_DisplayArrayInTable(SourceData_Feedlot.SourceData_Feedlot_DietProperties_Data(), Table_SourceData_Feedlot_DietProperties[[#Headers],[Feedlot type]], 0)</f>
        <v>5</v>
      </c>
      <c r="H74" s="39" cm="1">
        <f t="array" ref="H74">Common_InputFunctions.Utility_DisplayArrayInTable(SourceData_Feedlot.SourceData_Feedlot_DietProperties_Data(), Table_SourceData_Feedlot_DietProperties[[#Headers],[Feedlot type]], 0)</f>
        <v>5</v>
      </c>
      <c r="I74" s="39" cm="1">
        <f t="array" ref="I74">Common_InputFunctions.Utility_DisplayArrayInTable(SourceData_Feedlot.SourceData_Feedlot_DietProperties_Data(), Table_SourceData_Feedlot_DietProperties[[#Headers],[Feedlot type]], 0)</f>
        <v>5</v>
      </c>
      <c r="J74" s="39"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9" t="str" cm="1">
        <f t="array" ref="E75">Common_InputFunctions.Utility_DisplayArrayInTable(SourceData_Feedlot.SourceData_Feedlot_DietProperties_Data(), Table_SourceData_Feedlot_DietProperties[[#Headers],[Feedlot type]], 0)</f>
        <v>Dry matter digestibility</v>
      </c>
      <c r="F75" s="39" t="str" cm="1">
        <f t="array" ref="F75">Common_InputFunctions.Utility_DisplayArrayInTable(SourceData_Feedlot.SourceData_Feedlot_DietProperties_Data(), Table_SourceData_Feedlot_DietProperties[[#Headers],[Feedlot type]], 0)</f>
        <v>fraction</v>
      </c>
      <c r="G75" s="39" cm="1">
        <f t="array" ref="G75">Common_InputFunctions.Utility_DisplayArrayInTable(SourceData_Feedlot.SourceData_Feedlot_DietProperties_Data(), Table_SourceData_Feedlot_DietProperties[[#Headers],[Feedlot type]], 0)</f>
        <v>0.81</v>
      </c>
      <c r="H75" s="39" cm="1">
        <f t="array" ref="H75">Common_InputFunctions.Utility_DisplayArrayInTable(SourceData_Feedlot.SourceData_Feedlot_DietProperties_Data(), Table_SourceData_Feedlot_DietProperties[[#Headers],[Feedlot type]], 0)</f>
        <v>0.81</v>
      </c>
      <c r="I75" s="39" cm="1">
        <f t="array" ref="I75">Common_InputFunctions.Utility_DisplayArrayInTable(SourceData_Feedlot.SourceData_Feedlot_DietProperties_Data(), Table_SourceData_Feedlot_DietProperties[[#Headers],[Feedlot type]], 0)</f>
        <v>0.81</v>
      </c>
      <c r="J75" s="39"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9" t="str" cm="1">
        <f t="array" ref="E76">Common_InputFunctions.Utility_DisplayArrayInTable(SourceData_Feedlot.SourceData_Feedlot_DietProperties_Data(), Table_SourceData_Feedlot_DietProperties[[#Headers],[Feedlot type]], 0)</f>
        <v>Crude protein</v>
      </c>
      <c r="F76" s="39" t="str" cm="1">
        <f t="array" ref="F76">Common_InputFunctions.Utility_DisplayArrayInTable(SourceData_Feedlot.SourceData_Feedlot_DietProperties_Data(), Table_SourceData_Feedlot_DietProperties[[#Headers],[Feedlot type]], 0)</f>
        <v>fraction</v>
      </c>
      <c r="G76" s="39" cm="1">
        <f t="array" ref="G76">Common_InputFunctions.Utility_DisplayArrayInTable(SourceData_Feedlot.SourceData_Feedlot_DietProperties_Data(), Table_SourceData_Feedlot_DietProperties[[#Headers],[Feedlot type]], 0)</f>
        <v>0.13</v>
      </c>
      <c r="H76" s="39" cm="1">
        <f t="array" ref="H76">Common_InputFunctions.Utility_DisplayArrayInTable(SourceData_Feedlot.SourceData_Feedlot_DietProperties_Data(), Table_SourceData_Feedlot_DietProperties[[#Headers],[Feedlot type]], 0)</f>
        <v>0.125</v>
      </c>
      <c r="I76" s="39" cm="1">
        <f t="array" ref="I76">Common_InputFunctions.Utility_DisplayArrayInTable(SourceData_Feedlot.SourceData_Feedlot_DietProperties_Data(), Table_SourceData_Feedlot_DietProperties[[#Headers],[Feedlot type]], 0)</f>
        <v>0.12</v>
      </c>
      <c r="J76" s="39"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9" t="str" cm="1">
        <f t="array" ref="E77">Common_InputFunctions.Utility_DisplayArrayInTable(SourceData_Feedlot.SourceData_Feedlot_DietProperties_Data(), Table_SourceData_Feedlot_DietProperties[[#Headers],[Feedlot type]], 0)</f>
        <v>NDF</v>
      </c>
      <c r="F77" s="39" t="str" cm="1">
        <f t="array" ref="F77">Common_InputFunctions.Utility_DisplayArrayInTable(SourceData_Feedlot.SourceData_Feedlot_DietProperties_Data(), Table_SourceData_Feedlot_DietProperties[[#Headers],[Feedlot type]], 0)</f>
        <v>per cent</v>
      </c>
      <c r="G77" s="39" cm="1">
        <f t="array" ref="G77">Common_InputFunctions.Utility_DisplayArrayInTable(SourceData_Feedlot.SourceData_Feedlot_DietProperties_Data(), Table_SourceData_Feedlot_DietProperties[[#Headers],[Feedlot type]], 0)</f>
        <v>24</v>
      </c>
      <c r="H77" s="39" cm="1">
        <f t="array" ref="H77">Common_InputFunctions.Utility_DisplayArrayInTable(SourceData_Feedlot.SourceData_Feedlot_DietProperties_Data(), Table_SourceData_Feedlot_DietProperties[[#Headers],[Feedlot type]], 0)</f>
        <v>24</v>
      </c>
      <c r="I77" s="39" cm="1">
        <f t="array" ref="I77">Common_InputFunctions.Utility_DisplayArrayInTable(SourceData_Feedlot.SourceData_Feedlot_DietProperties_Data(), Table_SourceData_Feedlot_DietProperties[[#Headers],[Feedlot type]], 0)</f>
        <v>24</v>
      </c>
      <c r="J77" s="39"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9" t="str" cm="1">
        <f t="array" ref="E78">Common_InputFunctions.Utility_DisplayArrayInTable(SourceData_Feedlot.SourceData_Feedlot_DietProperties_Data(), Table_SourceData_Feedlot_DietProperties[[#Headers],[Feedlot type]], 0)</f>
        <v>Ether Extract</v>
      </c>
      <c r="F78" s="39" t="str" cm="1">
        <f t="array" ref="F78">Common_InputFunctions.Utility_DisplayArrayInTable(SourceData_Feedlot.SourceData_Feedlot_DietProperties_Data(), Table_SourceData_Feedlot_DietProperties[[#Headers],[Feedlot type]], 0)</f>
        <v>per cent</v>
      </c>
      <c r="G78" s="39" cm="1">
        <f t="array" ref="G78">Common_InputFunctions.Utility_DisplayArrayInTable(SourceData_Feedlot.SourceData_Feedlot_DietProperties_Data(), Table_SourceData_Feedlot_DietProperties[[#Headers],[Feedlot type]], 0)</f>
        <v>5</v>
      </c>
      <c r="H78" s="39" cm="1">
        <f t="array" ref="H78">Common_InputFunctions.Utility_DisplayArrayInTable(SourceData_Feedlot.SourceData_Feedlot_DietProperties_Data(), Table_SourceData_Feedlot_DietProperties[[#Headers],[Feedlot type]], 0)</f>
        <v>5</v>
      </c>
      <c r="I78" s="39" cm="1">
        <f t="array" ref="I78">Common_InputFunctions.Utility_DisplayArrayInTable(SourceData_Feedlot.SourceData_Feedlot_DietProperties_Data(), Table_SourceData_Feedlot_DietProperties[[#Headers],[Feedlot type]], 0)</f>
        <v>5.5</v>
      </c>
      <c r="J78" s="39"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8" t="str" cm="1">
        <f t="array" ref="D83:D86">SourceData_Feedlot.SourceData_Feedlot_MCF_Variation()</f>
        <v>VARIATION ON SOURCE:</v>
      </c>
      <c r="M83" s="1"/>
    </row>
    <row r="84" spans="4:14" ht="20.100000000000001" customHeight="1" x14ac:dyDescent="0.25">
      <c r="D84" s="58" t="str">
        <v>Duplicated NSW values for ACT</v>
      </c>
      <c r="M84" s="1"/>
    </row>
    <row r="85" spans="4:14" ht="20.100000000000001" customHeight="1" x14ac:dyDescent="0.25">
      <c r="D85" s="58" t="str">
        <v>Added NT and TAS columns with 'no data' values</v>
      </c>
      <c r="M85" s="1"/>
    </row>
    <row r="86" spans="4:14" ht="20.100000000000001" customHeight="1" x14ac:dyDescent="0.25">
      <c r="D86" s="58" t="str">
        <v>Added 'NIR definition' column with MMS names that match NIR definitions.</v>
      </c>
      <c r="M86" s="1"/>
    </row>
    <row r="87" spans="4:14" ht="20.100000000000001" customHeight="1" x14ac:dyDescent="0.25">
      <c r="M87" s="1"/>
    </row>
    <row r="88" spans="4:14" ht="20.100000000000001" customHeight="1" x14ac:dyDescent="0.25">
      <c r="D88" s="39" t="s">
        <v>110</v>
      </c>
      <c r="E88" s="39" t="s">
        <v>105</v>
      </c>
      <c r="F88" s="39" t="s">
        <v>83</v>
      </c>
      <c r="G88" s="39" t="s">
        <v>82</v>
      </c>
      <c r="H88" s="39" t="s">
        <v>85</v>
      </c>
      <c r="I88" s="39" t="s">
        <v>84</v>
      </c>
      <c r="J88" s="39" t="s">
        <v>86</v>
      </c>
      <c r="K88" s="39" t="s">
        <v>88</v>
      </c>
      <c r="L88" s="39" t="s">
        <v>89</v>
      </c>
      <c r="M88" s="39" t="s">
        <v>87</v>
      </c>
      <c r="N88" s="39" t="s">
        <v>99</v>
      </c>
    </row>
    <row r="89" spans="4:14" ht="20.100000000000001" customHeight="1" x14ac:dyDescent="0.25">
      <c r="D89" s="39" t="str" cm="1">
        <f t="array" ref="D89">Common_InputFunctions.Utility_DisplayArrayInTable(SourceData_Feedlot.SourceData_Feedlot_MCF_Data(), Table_SourceData_Feedlot_MCF[[#Headers],[Treatment stage T]], 0)</f>
        <v>Primary</v>
      </c>
      <c r="E89" s="39" t="str" cm="1">
        <f t="array" ref="E89">Common_InputFunctions.Utility_DisplayArrayInTable(SourceData_Feedlot.SourceData_Feedlot_MCF_Data(), Table_SourceData_Feedlot_MCF[[#Headers],[Treatment stage T]], 0)</f>
        <v>Dry lot (Feedpad)</v>
      </c>
      <c r="F89" s="39" cm="1">
        <f t="array" ref="F89">Common_InputFunctions.Utility_DisplayArrayInTable(SourceData_Feedlot.SourceData_Feedlot_MCF_Data(), Table_SourceData_Feedlot_MCF[[#Headers],[Treatment stage T]], 0)</f>
        <v>0.01</v>
      </c>
      <c r="G89" s="39" cm="1">
        <f t="array" ref="G89">Common_InputFunctions.Utility_DisplayArrayInTable(SourceData_Feedlot.SourceData_Feedlot_MCF_Data(), Table_SourceData_Feedlot_MCF[[#Headers],[Treatment stage T]], 0)</f>
        <v>0.01</v>
      </c>
      <c r="H89" s="39" cm="1">
        <f t="array" ref="H89">Common_InputFunctions.Utility_DisplayArrayInTable(SourceData_Feedlot.SourceData_Feedlot_MCF_Data(), Table_SourceData_Feedlot_MCF[[#Headers],[Treatment stage T]], 0)</f>
        <v>0.03</v>
      </c>
      <c r="I89" s="130" t="str" cm="1">
        <f t="array" ref="I89">Common_InputFunctions.Utility_DisplayArrayInTable(SourceData_Feedlot.SourceData_Feedlot_MCF_Data(), Table_SourceData_Feedlot_MCF[[#Headers],[Treatment stage T]], 0)</f>
        <v>No data</v>
      </c>
      <c r="J89" s="39" cm="1">
        <f t="array" ref="J89">Common_InputFunctions.Utility_DisplayArrayInTable(SourceData_Feedlot.SourceData_Feedlot_MCF_Data(), Table_SourceData_Feedlot_MCF[[#Headers],[Treatment stage T]], 0)</f>
        <v>0.01</v>
      </c>
      <c r="K89" s="39" cm="1">
        <f t="array" ref="K89">Common_InputFunctions.Utility_DisplayArrayInTable(SourceData_Feedlot.SourceData_Feedlot_MCF_Data(), Table_SourceData_Feedlot_MCF[[#Headers],[Treatment stage T]], 0)</f>
        <v>0.01</v>
      </c>
      <c r="L89" s="39" cm="1">
        <f t="array" ref="L89">Common_InputFunctions.Utility_DisplayArrayInTable(SourceData_Feedlot.SourceData_Feedlot_MCF_Data(), Table_SourceData_Feedlot_MCF[[#Headers],[Treatment stage T]], 0)</f>
        <v>0.01</v>
      </c>
      <c r="M89" s="130" t="str" cm="1">
        <f t="array" ref="M89">Common_InputFunctions.Utility_DisplayArrayInTable(SourceData_Feedlot.SourceData_Feedlot_MCF_Data(), Table_SourceData_Feedlot_MCF[[#Headers],[Treatment stage T]], 0)</f>
        <v>No data</v>
      </c>
      <c r="N89" s="39"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9" t="str" cm="1">
        <f t="array" ref="E90">Common_InputFunctions.Utility_DisplayArrayInTable(SourceData_Feedlot.SourceData_Feedlot_MCF_Data(), Table_SourceData_Feedlot_MCF[[#Headers],[Treatment stage T]], 0)</f>
        <v>Solid Storage (Stockpile)</v>
      </c>
      <c r="F90" s="39" cm="1">
        <f t="array" ref="F90">Common_InputFunctions.Utility_DisplayArrayInTable(SourceData_Feedlot.SourceData_Feedlot_MCF_Data(), Table_SourceData_Feedlot_MCF[[#Headers],[Treatment stage T]], 0)</f>
        <v>0.02</v>
      </c>
      <c r="G90" s="39" cm="1">
        <f t="array" ref="G90">Common_InputFunctions.Utility_DisplayArrayInTable(SourceData_Feedlot.SourceData_Feedlot_MCF_Data(), Table_SourceData_Feedlot_MCF[[#Headers],[Treatment stage T]], 0)</f>
        <v>0.02</v>
      </c>
      <c r="H90" s="39" cm="1">
        <f t="array" ref="H90">Common_InputFunctions.Utility_DisplayArrayInTable(SourceData_Feedlot.SourceData_Feedlot_MCF_Data(), Table_SourceData_Feedlot_MCF[[#Headers],[Treatment stage T]], 0)</f>
        <v>0.02</v>
      </c>
      <c r="I90" s="130" t="str" cm="1">
        <f t="array" ref="I90">Common_InputFunctions.Utility_DisplayArrayInTable(SourceData_Feedlot.SourceData_Feedlot_MCF_Data(), Table_SourceData_Feedlot_MCF[[#Headers],[Treatment stage T]], 0)</f>
        <v>No data</v>
      </c>
      <c r="J90" s="39" cm="1">
        <f t="array" ref="J90">Common_InputFunctions.Utility_DisplayArrayInTable(SourceData_Feedlot.SourceData_Feedlot_MCF_Data(), Table_SourceData_Feedlot_MCF[[#Headers],[Treatment stage T]], 0)</f>
        <v>0.02</v>
      </c>
      <c r="K90" s="39" cm="1">
        <f t="array" ref="K90">Common_InputFunctions.Utility_DisplayArrayInTable(SourceData_Feedlot.SourceData_Feedlot_MCF_Data(), Table_SourceData_Feedlot_MCF[[#Headers],[Treatment stage T]], 0)</f>
        <v>0.02</v>
      </c>
      <c r="L90" s="39" cm="1">
        <f t="array" ref="L90">Common_InputFunctions.Utility_DisplayArrayInTable(SourceData_Feedlot.SourceData_Feedlot_MCF_Data(), Table_SourceData_Feedlot_MCF[[#Headers],[Treatment stage T]], 0)</f>
        <v>0.02</v>
      </c>
      <c r="M90" s="130" t="str" cm="1">
        <f t="array" ref="M90">Common_InputFunctions.Utility_DisplayArrayInTable(SourceData_Feedlot.SourceData_Feedlot_MCF_Data(), Table_SourceData_Feedlot_MCF[[#Headers],[Treatment stage T]], 0)</f>
        <v>No data</v>
      </c>
      <c r="N90" s="39"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9" t="str" cm="1">
        <f t="array" ref="E91">Common_InputFunctions.Utility_DisplayArrayInTable(SourceData_Feedlot.SourceData_Feedlot_MCF_Data(), Table_SourceData_Feedlot_MCF[[#Headers],[Treatment stage T]], 0)</f>
        <v>Composting (Passive Windrow)</v>
      </c>
      <c r="F91" s="39" cm="1">
        <f t="array" ref="F91">Common_InputFunctions.Utility_DisplayArrayInTable(SourceData_Feedlot.SourceData_Feedlot_MCF_Data(), Table_SourceData_Feedlot_MCF[[#Headers],[Treatment stage T]], 0)</f>
        <v>0.01</v>
      </c>
      <c r="G91" s="39" cm="1">
        <f t="array" ref="G91">Common_InputFunctions.Utility_DisplayArrayInTable(SourceData_Feedlot.SourceData_Feedlot_MCF_Data(), Table_SourceData_Feedlot_MCF[[#Headers],[Treatment stage T]], 0)</f>
        <v>0.01</v>
      </c>
      <c r="H91" s="39" cm="1">
        <f t="array" ref="H91">Common_InputFunctions.Utility_DisplayArrayInTable(SourceData_Feedlot.SourceData_Feedlot_MCF_Data(), Table_SourceData_Feedlot_MCF[[#Headers],[Treatment stage T]], 0)</f>
        <v>0.01</v>
      </c>
      <c r="I91" s="130" t="str" cm="1">
        <f t="array" ref="I91">Common_InputFunctions.Utility_DisplayArrayInTable(SourceData_Feedlot.SourceData_Feedlot_MCF_Data(), Table_SourceData_Feedlot_MCF[[#Headers],[Treatment stage T]], 0)</f>
        <v>No data</v>
      </c>
      <c r="J91" s="39" cm="1">
        <f t="array" ref="J91">Common_InputFunctions.Utility_DisplayArrayInTable(SourceData_Feedlot.SourceData_Feedlot_MCF_Data(), Table_SourceData_Feedlot_MCF[[#Headers],[Treatment stage T]], 0)</f>
        <v>0.01</v>
      </c>
      <c r="K91" s="39" cm="1">
        <f t="array" ref="K91">Common_InputFunctions.Utility_DisplayArrayInTable(SourceData_Feedlot.SourceData_Feedlot_MCF_Data(), Table_SourceData_Feedlot_MCF[[#Headers],[Treatment stage T]], 0)</f>
        <v>0.01</v>
      </c>
      <c r="L91" s="39" cm="1">
        <f t="array" ref="L91">Common_InputFunctions.Utility_DisplayArrayInTable(SourceData_Feedlot.SourceData_Feedlot_MCF_Data(), Table_SourceData_Feedlot_MCF[[#Headers],[Treatment stage T]], 0)</f>
        <v>0.01</v>
      </c>
      <c r="M91" s="130" t="str" cm="1">
        <f t="array" ref="M91">Common_InputFunctions.Utility_DisplayArrayInTable(SourceData_Feedlot.SourceData_Feedlot_MCF_Data(), Table_SourceData_Feedlot_MCF[[#Headers],[Treatment stage T]], 0)</f>
        <v>No data</v>
      </c>
      <c r="N91" s="39"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9" t="str" cm="1">
        <f t="array" ref="E92">Common_InputFunctions.Utility_DisplayArrayInTable(SourceData_Feedlot.SourceData_Feedlot_MCF_Data(), Table_SourceData_Feedlot_MCF[[#Headers],[Treatment stage T]], 0)</f>
        <v>Direct Application to soil</v>
      </c>
      <c r="F92" s="39" cm="1">
        <f t="array" ref="F92">Common_InputFunctions.Utility_DisplayArrayInTable(SourceData_Feedlot.SourceData_Feedlot_MCF_Data(), Table_SourceData_Feedlot_MCF[[#Headers],[Treatment stage T]], 0)</f>
        <v>0</v>
      </c>
      <c r="G92" s="39" cm="1">
        <f t="array" ref="G92">Common_InputFunctions.Utility_DisplayArrayInTable(SourceData_Feedlot.SourceData_Feedlot_MCF_Data(), Table_SourceData_Feedlot_MCF[[#Headers],[Treatment stage T]], 0)</f>
        <v>0</v>
      </c>
      <c r="H92" s="39" cm="1">
        <f t="array" ref="H92">Common_InputFunctions.Utility_DisplayArrayInTable(SourceData_Feedlot.SourceData_Feedlot_MCF_Data(), Table_SourceData_Feedlot_MCF[[#Headers],[Treatment stage T]], 0)</f>
        <v>0</v>
      </c>
      <c r="I92" s="130" t="str" cm="1">
        <f t="array" ref="I92">Common_InputFunctions.Utility_DisplayArrayInTable(SourceData_Feedlot.SourceData_Feedlot_MCF_Data(), Table_SourceData_Feedlot_MCF[[#Headers],[Treatment stage T]], 0)</f>
        <v>No data</v>
      </c>
      <c r="J92" s="39" cm="1">
        <f t="array" ref="J92">Common_InputFunctions.Utility_DisplayArrayInTable(SourceData_Feedlot.SourceData_Feedlot_MCF_Data(), Table_SourceData_Feedlot_MCF[[#Headers],[Treatment stage T]], 0)</f>
        <v>0</v>
      </c>
      <c r="K92" s="39" cm="1">
        <f t="array" ref="K92">Common_InputFunctions.Utility_DisplayArrayInTable(SourceData_Feedlot.SourceData_Feedlot_MCF_Data(), Table_SourceData_Feedlot_MCF[[#Headers],[Treatment stage T]], 0)</f>
        <v>0</v>
      </c>
      <c r="L92" s="39" cm="1">
        <f t="array" ref="L92">Common_InputFunctions.Utility_DisplayArrayInTable(SourceData_Feedlot.SourceData_Feedlot_MCF_Data(), Table_SourceData_Feedlot_MCF[[#Headers],[Treatment stage T]], 0)</f>
        <v>0</v>
      </c>
      <c r="M92" s="130" t="str" cm="1">
        <f t="array" ref="M92">Common_InputFunctions.Utility_DisplayArrayInTable(SourceData_Feedlot.SourceData_Feedlot_MCF_Data(), Table_SourceData_Feedlot_MCF[[#Headers],[Treatment stage T]], 0)</f>
        <v>No data</v>
      </c>
      <c r="N92" s="39"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9" t="str" cm="1">
        <f t="array" ref="E93">Common_InputFunctions.Utility_DisplayArrayInTable(SourceData_Feedlot.SourceData_Feedlot_MCF_Data(), Table_SourceData_Feedlot_MCF[[#Headers],[Treatment stage T]], 0)</f>
        <v>Uncovered anaerobic lagoon (Effluent pond)</v>
      </c>
      <c r="F93" s="39" cm="1">
        <f t="array" ref="F93">Common_InputFunctions.Utility_DisplayArrayInTable(SourceData_Feedlot.SourceData_Feedlot_MCF_Data(), Table_SourceData_Feedlot_MCF[[#Headers],[Treatment stage T]], 0)</f>
        <v>0.75</v>
      </c>
      <c r="G93" s="39" cm="1">
        <f t="array" ref="G93">Common_InputFunctions.Utility_DisplayArrayInTable(SourceData_Feedlot.SourceData_Feedlot_MCF_Data(), Table_SourceData_Feedlot_MCF[[#Headers],[Treatment stage T]], 0)</f>
        <v>0.75</v>
      </c>
      <c r="H93" s="39" cm="1">
        <f t="array" ref="H93">Common_InputFunctions.Utility_DisplayArrayInTable(SourceData_Feedlot.SourceData_Feedlot_MCF_Data(), Table_SourceData_Feedlot_MCF[[#Headers],[Treatment stage T]], 0)</f>
        <v>0.77</v>
      </c>
      <c r="I93" s="130" t="str" cm="1">
        <f t="array" ref="I93">Common_InputFunctions.Utility_DisplayArrayInTable(SourceData_Feedlot.SourceData_Feedlot_MCF_Data(), Table_SourceData_Feedlot_MCF[[#Headers],[Treatment stage T]], 0)</f>
        <v>No data</v>
      </c>
      <c r="J93" s="39" cm="1">
        <f t="array" ref="J93">Common_InputFunctions.Utility_DisplayArrayInTable(SourceData_Feedlot.SourceData_Feedlot_MCF_Data(), Table_SourceData_Feedlot_MCF[[#Headers],[Treatment stage T]], 0)</f>
        <v>0.75</v>
      </c>
      <c r="K93" s="39" cm="1">
        <f t="array" ref="K93">Common_InputFunctions.Utility_DisplayArrayInTable(SourceData_Feedlot.SourceData_Feedlot_MCF_Data(), Table_SourceData_Feedlot_MCF[[#Headers],[Treatment stage T]], 0)</f>
        <v>0.75</v>
      </c>
      <c r="L93" s="39" cm="1">
        <f t="array" ref="L93">Common_InputFunctions.Utility_DisplayArrayInTable(SourceData_Feedlot.SourceData_Feedlot_MCF_Data(), Table_SourceData_Feedlot_MCF[[#Headers],[Treatment stage T]], 0)</f>
        <v>0.77</v>
      </c>
      <c r="M93" s="130" t="str" cm="1">
        <f t="array" ref="M93">Common_InputFunctions.Utility_DisplayArrayInTable(SourceData_Feedlot.SourceData_Feedlot_MCF_Data(), Table_SourceData_Feedlot_MCF[[#Headers],[Treatment stage T]], 0)</f>
        <v>No data</v>
      </c>
      <c r="N93" s="39" t="str" cm="1">
        <f t="array" ref="N93">Common_InputFunctions.Utility_DisplayArrayInTable(SourceData_Feedlot.SourceData_Feedlot_MCF_Data(), Table_SourceData_Feedlot_MCF[[#Headers],[Treatment stage T]], 0)</f>
        <v>Anaerobic lagoon</v>
      </c>
    </row>
    <row r="94" spans="4:14" ht="20.100000000000001" customHeight="1" x14ac:dyDescent="0.25">
      <c r="I94" s="1" t="s">
        <v>304</v>
      </c>
      <c r="M94" s="24" t="s">
        <v>305</v>
      </c>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8" t="str" cm="1">
        <f t="array" ref="D98:D99">SourceData_Feedlot.SourceData_Feedlot_NitrousOxideEFs_Variation()</f>
        <v>VARIATION ON SOURCE:</v>
      </c>
      <c r="M98" s="24"/>
    </row>
    <row r="99" spans="4:14" ht="20.100000000000001" customHeight="1" x14ac:dyDescent="0.25">
      <c r="D99" s="58" t="str">
        <v>Added 'NIR definition' column with MMS names that match NIR definitions.</v>
      </c>
      <c r="M99" s="24"/>
    </row>
    <row r="100" spans="4:14" ht="20.100000000000001" customHeight="1" x14ac:dyDescent="0.25">
      <c r="D100" s="39" t="s">
        <v>110</v>
      </c>
      <c r="E100" s="39" t="s">
        <v>105</v>
      </c>
      <c r="F100" s="39" t="s">
        <v>148</v>
      </c>
      <c r="G100" s="39" t="s">
        <v>99</v>
      </c>
      <c r="M100" s="1"/>
      <c r="N100" s="24"/>
    </row>
    <row r="101" spans="4:14" ht="20.100000000000001" customHeight="1" x14ac:dyDescent="0.25">
      <c r="D101" s="39" t="str" cm="1">
        <f t="array" ref="D101">Common_InputFunctions.Utility_DisplayArrayInTable(SourceData_Feedlot.SourceData_Feedlot_NitrousOxideEFs_Data(), Table_SourceData_Feedlot_NO2EFs[[#Headers],[Treatment stage T]], 0)</f>
        <v>Primary</v>
      </c>
      <c r="E101" s="39" t="str" cm="1">
        <f t="array" ref="E101">Common_InputFunctions.Utility_DisplayArrayInTable(SourceData_Feedlot.SourceData_Feedlot_NitrousOxideEFs_Data(), Table_SourceData_Feedlot_NO2EFs[[#Headers],[Treatment stage T]], 0)</f>
        <v>Dry lot (Feedpad)</v>
      </c>
      <c r="F101" s="39" cm="1">
        <f t="array" ref="F101">Common_InputFunctions.Utility_DisplayArrayInTable(SourceData_Feedlot.SourceData_Feedlot_NitrousOxideEFs_Data(), Table_SourceData_Feedlot_NO2EFs[[#Headers],[Treatment stage T]], 0)</f>
        <v>5.4000000000000003E-3</v>
      </c>
      <c r="G101" s="39"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9" t="str" cm="1">
        <f t="array" ref="E102">Common_InputFunctions.Utility_DisplayArrayInTable(SourceData_Feedlot.SourceData_Feedlot_NitrousOxideEFs_Data(), Table_SourceData_Feedlot_NO2EFs[[#Headers],[Treatment stage T]], 0)</f>
        <v>Solid Storage (Stockpile)</v>
      </c>
      <c r="F102" s="39" cm="1">
        <f t="array" ref="F102">Common_InputFunctions.Utility_DisplayArrayInTable(SourceData_Feedlot.SourceData_Feedlot_NitrousOxideEFs_Data(), Table_SourceData_Feedlot_NO2EFs[[#Headers],[Treatment stage T]], 0)</f>
        <v>5.0000000000000001E-3</v>
      </c>
      <c r="G102" s="39"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9" t="str" cm="1">
        <f t="array" ref="E103">Common_InputFunctions.Utility_DisplayArrayInTable(SourceData_Feedlot.SourceData_Feedlot_NitrousOxideEFs_Data(), Table_SourceData_Feedlot_NO2EFs[[#Headers],[Treatment stage T]], 0)</f>
        <v>Composting (Passive Windrow)</v>
      </c>
      <c r="F103" s="39" cm="1">
        <f t="array" ref="F103">Common_InputFunctions.Utility_DisplayArrayInTable(SourceData_Feedlot.SourceData_Feedlot_NitrousOxideEFs_Data(), Table_SourceData_Feedlot_NO2EFs[[#Headers],[Treatment stage T]], 0)</f>
        <v>0.01</v>
      </c>
      <c r="G103" s="39"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9" t="str" cm="1">
        <f t="array" ref="E104">Common_InputFunctions.Utility_DisplayArrayInTable(SourceData_Feedlot.SourceData_Feedlot_NitrousOxideEFs_Data(), Table_SourceData_Feedlot_NO2EFs[[#Headers],[Treatment stage T]], 0)</f>
        <v>Direct Application to soil</v>
      </c>
      <c r="F104" s="39" cm="1">
        <f t="array" ref="F104">Common_InputFunctions.Utility_DisplayArrayInTable(SourceData_Feedlot.SourceData_Feedlot_NitrousOxideEFs_Data(), Table_SourceData_Feedlot_NO2EFs[[#Headers],[Treatment stage T]], 0)</f>
        <v>0</v>
      </c>
      <c r="G104" s="39"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9" t="str" cm="1">
        <f t="array" ref="E105">Common_InputFunctions.Utility_DisplayArrayInTable(SourceData_Feedlot.SourceData_Feedlot_NitrousOxideEFs_Data(), Table_SourceData_Feedlot_NO2EFs[[#Headers],[Treatment stage T]], 0)</f>
        <v>Uncovered anaerobic lagoon (Effluent Pond)</v>
      </c>
      <c r="F105" s="39" cm="1">
        <f t="array" ref="F105">Common_InputFunctions.Utility_DisplayArrayInTable(SourceData_Feedlot.SourceData_Feedlot_NitrousOxideEFs_Data(), Table_SourceData_Feedlot_NO2EFs[[#Headers],[Treatment stage T]], 0)</f>
        <v>0</v>
      </c>
      <c r="G105" s="39"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8" t="str" cm="1">
        <f t="array" ref="D110:D111">SourceData_Feedlot.SourceData_Feedlot_FracNVolatilised_Variation()</f>
        <v>VARIATION ON SOURCE:</v>
      </c>
      <c r="M110" s="24"/>
    </row>
    <row r="111" spans="4:14" ht="20.100000000000001" customHeight="1" x14ac:dyDescent="0.25">
      <c r="D111" s="58" t="str">
        <v>Added 'NIR definition' column with MMS names that match NIR definitions.</v>
      </c>
      <c r="M111" s="24"/>
    </row>
    <row r="112" spans="4:14" ht="20.100000000000001" customHeight="1" x14ac:dyDescent="0.25">
      <c r="D112" s="114" t="s">
        <v>110</v>
      </c>
      <c r="E112" s="114" t="s">
        <v>105</v>
      </c>
      <c r="F112" s="114" t="s">
        <v>149</v>
      </c>
      <c r="G112" s="114" t="s">
        <v>99</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8F5C8-4326-4B87-AF98-B62783E0FF5C}">
  <dimension ref="A1:BY250"/>
  <sheetViews>
    <sheetView showGridLines="0" topLeftCell="C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77</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21</v>
      </c>
      <c r="E6" s="39" t="s">
        <v>22</v>
      </c>
      <c r="F6" s="39" t="s">
        <v>23</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24</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27</v>
      </c>
      <c r="E36" s="39" t="s">
        <v>28</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27</v>
      </c>
      <c r="E47" s="39" t="s">
        <v>30</v>
      </c>
      <c r="F47" s="39" t="s">
        <v>31</v>
      </c>
      <c r="G47" s="39" t="s">
        <v>32</v>
      </c>
      <c r="H47" s="39" t="s">
        <v>33</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48</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36</v>
      </c>
      <c r="F89" s="39" t="s">
        <v>37</v>
      </c>
      <c r="G89" s="39" t="s">
        <v>38</v>
      </c>
      <c r="H89" s="39" t="s">
        <v>39</v>
      </c>
      <c r="I89" s="39" t="s">
        <v>40</v>
      </c>
      <c r="J89" s="39" t="s">
        <v>41</v>
      </c>
      <c r="K89" s="39" t="s">
        <v>42</v>
      </c>
      <c r="L89" s="39" t="s">
        <v>43</v>
      </c>
      <c r="M89" s="39" t="s">
        <v>44</v>
      </c>
      <c r="N89" s="39" t="s">
        <v>45</v>
      </c>
      <c r="O89" s="39" t="s">
        <v>49</v>
      </c>
      <c r="P89" s="39" t="s">
        <v>46</v>
      </c>
      <c r="Q89" s="39" t="s">
        <v>50</v>
      </c>
      <c r="R89" s="39" t="s">
        <v>47</v>
      </c>
      <c r="S89" s="39" t="s">
        <v>51</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c r="D98" s="57" t="str" cm="1">
        <f t="array" ref="D98:D101">Common_SourceData.Common_SourceData_ClimateZones_Appendices()</f>
        <v>Note:</v>
      </c>
    </row>
    <row r="99" spans="4:20" ht="20.100000000000001" customHeight="1" x14ac:dyDescent="0.25">
      <c r="D99" s="57" t="str">
        <v>MAT = mean annual temperature</v>
      </c>
    </row>
    <row r="100" spans="4:20" ht="20.100000000000001" customHeight="1" x14ac:dyDescent="0.25">
      <c r="D100" s="57" t="str">
        <v>MAP = mean annual precipitation</v>
      </c>
    </row>
    <row r="101" spans="4:20" ht="20.100000000000001" customHeight="1" x14ac:dyDescent="0.25">
      <c r="D101" s="57" t="str">
        <v>PET = potential evapotranspiration</v>
      </c>
    </row>
    <row r="102" spans="4:20" ht="20.100000000000001" customHeight="1" x14ac:dyDescent="0.25">
      <c r="D102" s="57"/>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55</v>
      </c>
      <c r="E109" s="39" t="s">
        <v>36</v>
      </c>
      <c r="F109" s="39" t="s">
        <v>56</v>
      </c>
      <c r="G109" s="39" t="s">
        <v>57</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58</v>
      </c>
      <c r="E119" s="39" t="s">
        <v>59</v>
      </c>
      <c r="F119" s="39" t="s">
        <v>43</v>
      </c>
      <c r="G119" s="39" t="s">
        <v>44</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65</v>
      </c>
      <c r="E127" s="39" t="s">
        <v>66</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93</v>
      </c>
      <c r="E134" t="s">
        <v>94</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302</v>
      </c>
      <c r="E142" s="39" t="s">
        <v>94</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68</v>
      </c>
      <c r="E153" s="39" t="s">
        <v>69</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270</v>
      </c>
      <c r="E186" s="39" t="s">
        <v>271</v>
      </c>
      <c r="F186" s="39" t="s">
        <v>272</v>
      </c>
      <c r="G186" s="39" t="s">
        <v>273</v>
      </c>
      <c r="H186" s="39" t="s">
        <v>35</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303</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307</v>
      </c>
      <c r="E212" s="39" t="s">
        <v>308</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52</v>
      </c>
      <c r="E231" s="39" t="s">
        <v>337</v>
      </c>
      <c r="F231" s="38" t="s">
        <v>338</v>
      </c>
      <c r="G231" s="39" t="s">
        <v>339</v>
      </c>
      <c r="H231" s="39" t="s">
        <v>340</v>
      </c>
      <c r="I231" s="39" t="s">
        <v>341</v>
      </c>
      <c r="J231" s="39" t="s">
        <v>342</v>
      </c>
      <c r="K231" s="39" t="s">
        <v>343</v>
      </c>
      <c r="L231" s="39" t="s">
        <v>344</v>
      </c>
      <c r="M231" s="39" t="s">
        <v>345</v>
      </c>
      <c r="N231" s="39" t="s">
        <v>346</v>
      </c>
      <c r="O231" s="39" t="s">
        <v>347</v>
      </c>
      <c r="P231" s="39" t="s">
        <v>348</v>
      </c>
      <c r="Q231" s="39" t="s">
        <v>322</v>
      </c>
      <c r="R231" s="39" t="s">
        <v>349</v>
      </c>
      <c r="S231" s="39" t="s">
        <v>350</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79</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8" t="s">
        <v>80</v>
      </c>
      <c r="E9" s="39" t="s">
        <v>20</v>
      </c>
      <c r="F9" s="39" t="s">
        <v>81</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76</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HYPERLINK("#'4.1.1.1-2 Methane'!A1", "4.1.1.1-2 Methane")</f>
        <v>4.1.1.1-2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HYPERLINK("#'4.1.1.3-4 Direct N20'!A1", "4.1.1.3-4 Direct N2O")</f>
        <v>4.1.1.3-4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HYPERLINK("#'4.1.1.5-6 Atmos Deposition'!A1", "4.1.1.5-6 Atmospheric deposition")</f>
        <v>4.1.1.5-6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HYPERLINK("#'4.1.1.9 Manure applied to soils'!A1", "4.1.1.9 Manure applied to soils")</f>
        <v>4.1.1.9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4</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71"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78</v>
      </c>
    </row>
    <row r="17" spans="1:1" ht="20.100000000000001" customHeight="1" x14ac:dyDescent="0.25">
      <c r="A17" s="69" t="s">
        <v>74</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76</v>
      </c>
    </row>
    <row r="22" spans="1:1" ht="20.100000000000001" customHeight="1" x14ac:dyDescent="0.25">
      <c r="A22" s="69" t="s">
        <v>1</v>
      </c>
    </row>
    <row r="23" spans="1:1" ht="20.100000000000001" customHeight="1" x14ac:dyDescent="0.25">
      <c r="A23" s="69" t="s">
        <v>75</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78</v>
      </c>
    </row>
    <row r="32" spans="1:1" ht="20.100000000000001" customHeight="1" x14ac:dyDescent="0.25">
      <c r="A32" s="69" t="s">
        <v>74</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YAZQBlAGQAbABvAHQAIgAsACIAdABlAHgAdAAiADoAIgAvACoAIABcAG4ALQAtAC0ALQAtAC0ALQAtAC0ALQAtAC0ALQAtAC0ALQAtAC0ALQAtAC0ALQAtAC0ALQAtAC0ALQAtAC0ALQAtAC0ALQAtAC0ALQAtAFwAbgBTAG8AdQByAGMAZQBEAGEAdABhAF8ARgBlAGUAZABsAG8AdABfAFYAUwBMAFwAbgBGAHIAYQBjAHQAaQBvAG4AIABvAGYAIAB2AG8AbABhAHQAaQBsAGUAIABzAG8AbABpAGQAcwAgAGwAbwBzAHQAIABpAG4AIAB0AGgAZQAgAHAAcgBpAG0AYQByAHkAIABNAE0AUwBcAG4ALQAtAC0ALQAtAC0ALQAtAC0ALQAtAC0ALQAtAC0ALQAtAC0ALQAtAC0ALQAtAC0ALQAtAC0ALQAtAC0ALQAtAC0ALQAtAC0ALQAtAFwAbgAqAC8AXABuAFwAbgBTAG8AdQByAGMAZQBEAGEAdABhAF8ARgBlAGUAZABsAG8AdABfAFYAUwBMAF8AVABpAHQAbABlAFwAbgAgACAAPQBMAEEATQBCAEQAQQAoAFwAIgBGAGUAZQBkAGwAbwB0ACAALQAgAEYAcgBhAGMAdABpAG8AbgAgAG8AZgAgAHYAbwBsAGEAdABpAGwAZQAgAHMAbwBsAGkAZABzACAAbABvAHMAdAAgAGQAdQByAGkAbgBnACAAcwB0AG8AcgBhAGcAZQAgAGkAbgAgAHQAaABlACAAcAByAGkAbQBhAHIAeQAgAHMAeQBzAHQAZQBtAFwAIgApADsAXABuAFwAbgBTAG8AdQByAGMAZQBEAGEAdABhAF8ARgBlAGUAZABsAG8AdABfAFYAUwBMAF8AVgBhAHIAaQBhAGIAbABlAFwAbgAgACAAPQBMAEEATQBCAEQAQQAoAFwAIgBWAFMATABcACIAKQA7AFwAbgBcAG4AUwBvAHUAcgBjAGUARABhAHQAYQBfAEYAZQBlAGQAbABvAHQAXwBWAFMATABfAFUAbgBpAHQAXABuACAAIAA9AEwAQQBNAEIARABBACgAXAAiAEYAcgBhAGMAdABpAG8AbgBcACIAKQA7AFwAbgBcAG4AUwBvAHUAcgBjAGUARABhAHQAYQBfAEYAZQBlAGQAbABvAHQAXwBWAFMATABfAFMAbwB1AHIAYwBlAFwAbgAgACAAPQBMAEEATQBCAEQAQQAoAFwAIgBWAEUARQBSAEcAIAAyADAAMgA2ADoAIAA0AC4AMQAuADIALgAzACAAQwBPAE4AUwBUAEEATgBUAFMAXAAiACkAOwBcAG4AXABuAFMAbwB1AHIAYwBlAEQAYQB0AGEAXwBGAGUAZQBkAGwAbwB0AF8AVgBTAEwAXwBWAGEAcgBpAGEAdABpAG8AbgBcAG4AIAAgAD0ATABBAE0AQgBEAEEAKABcACIAXAAiACkAOwBcAG4AXABuAFMAbwB1AHIAYwBlAEQAYQB0AGEAXwBGAGUAZQBkAGwAbwB0AF8AVgBTAEwAXwBEAGEAdABhAFwAbgAgACAAPQBMAEEATQBCAEQAQQAoADAALgA1ACkAOwBcAG4AXABuAC8AKgAgAFwAbgAtAC0ALQAtAC0ALQAtAC0ALQAtAC0ALQAtAC0ALQAtAC0ALQAtAC0ALQAtAC0ALQAtAC0ALQAtAC0ALQAtAC0ALQAtAC0ALQAtAC0AXABuAFMAbwB1AHIAYwBlAEQAYQB0AGEAXwBGAGUAZQBkAGwAbwB0AF8ATQBNAFMAbQAxAFQAMwBcAG4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bgAtAC0ALQAtAC0ALQAtAC0ALQAtAC0ALQAtAC0ALQAtAC0ALQAtAC0ALQAtAC0ALQAtAC0ALQAtAC0ALQAtAC0ALQAtAC0ALQAtAC0AXABuACoALwBcAG4AXABuAFMAbwB1AHIAYwBlAEQAYQB0AGEAXwBGAGUAZQBkAGwAbwB0AF8ATQBNAFMAbQAxAFQAMwBfAFQAaQB0AGwAZQBcAG4AIAAgAD0ATABBAE0AQgBEAEEAKABcACIARgByAGEAYwB0AGkAbwBuACAAbwBmACAAdgBvAGwAYQB0AGkAbABlACAAcwBvAGwAaQBkAHMAIAB0AG8AIABlAGEAYwBoACAAdABlAHIAdABpAGEAcgB5ACAAcwB5AHMAdABlAG0AIABhAHMAcwB1AG0AZQBkACAAdABoAGEAdAAgADIAIABwAGUAcgAgAGMAZQBuAHQAIABpAHMAIAByAHUAbgAgAC0AIABvAGYAZgAgAGYAcgBvAG0AIAB0AGgAZQAgAGYAZQBlAGQAIABwAGEAZAAuAFwAIgApADsAXABuAFwAbgBTAG8AdQByAGMAZQBEAGEAdABhAF8ARgBlAGUAZABsAG8AdABfAE0ATQBTAG0AMQBUADMAXwBWAGEAcgBpAGEAYgBsAGUAXABuACAAIAA9AEwAQQBNAEIARABBACgAXAAiAE0ATQBTAG0AMQBUADMAXAAiACkAOwBcAG4AXABuAFMAbwB1AHIAYwBlAEQAYQB0AGEAXwBGAGUAZQBkAGwAbwB0AF8ATQBNAFMAbQAxAFQAMwBfAFUAbgBpAHQAXABuACAAIAA9AEwAQQBNAEIARABBACgAXAAiAEYAcgBhAGMAdABpAG8AbgBcACIAKQA7AFwAbgBcAG4AUwBvAHUAcgBjAGUARABhAHQAYQBfAEYAZQBlAGQAbABvAHQAXwBNAE0AUwBtADEAVAAzAF8AUwBvAHUAcgBjAGUAXABuACAAIAA9AEwAQQBNAEIARABBACgAXAAiAFYARQBFAFIARwAgADIAMAAyADYAOgAgADQALgAxAC4AMgAuADMAIABDAE8ATgBTAFQAQQBOAFQAUwBcACIAKQA7AFwAbgBcAG4AUwBvAHUAcgBjAGUARABhAHQAYQBfAEYAZQBlAGQAbABvAHQAXwBNAE0AUwBtADEAVAAzAF8AVgBhAHIAaQBhAHQAaQBvAG4AXABuACAAIAA9AEwAQQBNAEIARABBACgAXAAiAFwAIgApADsAXABuAFwAbgBTAG8AdQByAGMAZQBEAGEAdABhAF8ARgBlAGUAZABsAG8AdABfAE0ATQBTAG0AMQBUADMAXwBEAGEAdABhAFwAbgAgACAAPQBMAEEATQBCAEQAQQAoADAALgAwADIAKQA7AFwAbgBcAG4ALwAqACAAXABuAC0ALQAtAC0ALQAtAC0ALQAtAC0ALQAtAC0ALQAtAC0ALQAtAC0ALQAtAC0ALQAtAC0ALQAtAC0ALQAtAC0ALQAtAC0ALQAtAC0ALQBcAG4AUwBvAHUAcgBjAGUARABhAHQAYQBfAEYAZQBlAGQAbABvAHQAXwBBAHMAaABDAG8AbgB0AGUAbgB0AFwAbgBBAHMAaAAgAGMAbwBuAHQAZQBuAHQAIABvAGYAIABtAGEAbgB1AHIAZQAuAFwAbgAtAC0ALQAtAC0ALQAtAC0ALQAtAC0ALQAtAC0ALQAtAC0ALQAtAC0ALQAtAC0ALQAtAC0ALQAtAC0ALQAtAC0ALQAtAC0ALQAtAC0AXABuACoALwBcAG4AXABuAFMAbwB1AHIAYwBlAEQAYQB0AGEAXwBGAGUAZQBkAGwAbwB0AF8AQQBzAGgAQwBvAG4AdABlAG4AdABfAFQAaQB0AGwAZQBcAG4AIAAgAD0ATABBAE0AQgBEAEEAKABcACIAQQBzAGgAIABjAG8AbgB0AGUAbgB0ACAAbwBmACAAbQBhAG4AdQByAGUALgBcACIAKQA7AFwAbgBcAG4AUwBvAHUAcgBjAGUARABhAHQAYQBfAEYAZQBlAGQAbABvAHQAXwBBAHMAaABDAG8AbgB0AGUAbgB0AF8AVgBhAHIAaQBhAGIAbABlAFwAbgAgACAAPQBMAEEATQBCAEQAQQAoAFwAIgBBAFwAIgApADsAXABuAFwAbgBTAG8AdQByAGMAZQBEAGEAdABhAF8ARgBlAGUAZABsAG8AdABfAEEAcwBoAEMAbwBuAHQAZQBuAHQAXwBVAG4AaQB0AFwAbgAgACAAPQBMAEEATQBCAEQAQQAoAFwAIgBGAHIAYQBjAHQAaQBvAG4AXAAiACkAOwBcAG4AXABuAFMAbwB1AHIAYwBlAEQAYQB0AGEAXwBGAGUAZQBkAGwAbwB0AF8AQQBzAGgAQwBvAG4AdABlAG4AdABfAFMAbwB1AHIAYwBlAFwAbgAgACAAPQBMAEEATQBCAEQAQQAoAFwAIgBWAEUARQBSAEcAIAAyADAAMgA2ADoAIAA0AC4AMQAuADIALgAzACAAQwBPAE4AUwBUAEEATgBUAFMAXAAiACkAOwBcAG4AXABuAFMAbwB1AHIAYwBlAEQAYQB0AGEAXwBGAGUAZQBkAGwAbwB0AF8AQQBzAGgAQwBvAG4AdABlAG4AdABfAFYAYQByAGkAYQB0AGkAbwBuAFwAbgAgACAAPQBMAEEATQBCAEQAQQAoAFwAIgBcACIAKQA7AFwAbgBcAG4AUwBvAHUAcgBjAGUARABhAHQAYQBfAEYAZQBlAGQAbABvAHQAXwBBAHMAaABDAG8AbgB0AGUAbgB0AF8ARABhAHQAYQBcAG4AIAAgAD0ATABBAE0AQgBEAEEAKAAwAC4AMQA2ACkAOwBcAG4AXABuAC8AKgAgAFwAbgAtAC0ALQAtAC0ALQAtAC0ALQAtAC0ALQAtAC0ALQAtAC0ALQAtAC0ALQAtAC0ALQAtAC0ALQAtAC0ALQAtAC0ALQAtAC0ALQAtAC0AXABuAFMAbwB1AHIAYwBlAEQAYQB0AGEAXwBGAGUAZQBkAGwAbwB0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RgBlAGUAZABsAG8AdABfAE0AZQB0AGgAYQBuAGUARQBtAGkAcwBzAGkAbwBuAHMAUABvAHQAZQBuAHQAaQBhAGwAXwBUAGkAdABsAGUAXABuACAAIAA9AEwAQQBNAEIARABBACgAXAAiAE0AZQB0AGgAYQBuAGUAIABlAG0AaQBzAHMAaQBvAG4AcwAgAHAAbwB0AGUAbgB0AGkAYQBsAC4AXAAiACkAOwBcAG4AXABuAFMAbwB1AHIAYwBlAEQAYQB0AGEAXwBGAGUAZQBkAGwAbwB0AF8ATQBlAHQAaABhAG4AZQBFAG0AaQBzAHMAaQBvAG4AcwBQAG8AdABlAG4AdABpAGEAbABfAFYAYQByAGkAYQBiAGwAZQBcAG4AIAAgAD0ATABBAE0AQgBEAEEAKABcACIAQgAwAFwAIgApADsAXABuAFwAbgBTAG8AdQByAGMAZQBEAGEAdABhAF8ARgBlAGUAZABsAG8AdABfAE0AZQB0AGgAYQBuAGUARQBtAGkAcwBzAGkAbwBuAHMAUABvAHQAZQBuAHQAaQBhAGwAXwBVAG4AaQB0AFwAbgAgACAAPQBMAEEATQBCAEQAQQAoAFwAIgBtADMAIABDAEgANAAgAC8AIABrAGcAIABWAFMAXAAiACkAOwBcAG4AXABuAFMAbwB1AHIAYwBlAEQAYQB0AGEAXwBGAGUAZQBkAGwAbwB0AF8ATQBlAHQAaABhAG4AZQBFAG0AaQBzAHMAaQBvAG4AcwBQAG8AdABlAG4AdABpAGEAbABfAFMAbwB1AHIAYwBlAFwAbgAgACAAPQBMAEEATQBCAEQAQQAoAFwAIgBWAEUARQBSAEcAIAAyADAAMgA2ADoAIAA0AC4AMQAuADIALgAzACAAQwBPAE4AUwBUAEEATgBUAFMAXAAiACkAOwBcAG4AXABuAFMAbwB1AHIAYwBlAEQAYQB0AGEAXwBGAGUAZQBkAGwAbwB0AF8ATQBlAHQAaABhAG4AZQBFAG0AaQBzAHMAaQBvAG4AcwBQAG8AdABlAG4AdABpAGEAbABfAFYAYQByAGkAYQB0AGkAbwBuAFwAbgAgACAAPQBMAEEATQBCAEQAQQAoAFwAIgBcACIAKQA7AFwAbgBcAG4AUwBvAHUAcgBjAGUARABhAHQAYQBfAEYAZQBlAGQAbABvAHQAXwBNAGUAdABoAGEAbgBlAEUAbQBpAHMAcwBpAG8AbgBzAFAAbwB0AGUAbgB0AGkAYQBsAF8ARABhAHQAYQBcAG4AIAAgAD0ATABBAE0AQgBEAEEAKAAwAC4AMQA5ACkAOwBcAG4AXABuAFwAbgBTAG8AdQByAGMAZQBEAGEAdABhAF8ARgBlAGUAZABsAG8AdABfAFMAdABhAGcAZQAxAE0ATQBTAE8AcAB0AGkAbwBuAHMAXABuACAAIAA9AEwAQQBNAEIARABBACgAXABuACAAIAAgACAATQBBAEsARQBBAFIAUgBBAFkAKAAxACwAIAAxACwAXABuACAAIAAgACAAIAAgAEwAQQBNAEIARABBACgAcgAsAGMALABcAG4AIAAgACAAIAAgACAAIAAgAEkATgBEAEUAWAAoAHsAXABuACAAIAAgACAAIAAgACAAIAAgACAAXAAiAEQAcgB5AGwAbwB0ACAAKABmAGUAZQBkACAAcABhAGQAKQBcACIAXABuACAAIAAgACAAIAAgACAAIAB9ACwAIAByACwAIABjACkAXABuACAAIAAgACAAIAAgACkAXABuACAAIAAgACAAKQBcAG4AIAAgACkAOwBcAG4AXABuAFMAbwB1AHIAYwBlAEQAYQB0AGEAXwBGAGUAZQBkAGwAbwB0AF8AUwB0AGEAZwBlADIATQBNAFMATwBwAHQAaQBvAG4AcwBcAG4AIAAgAD0ATABBAE0AQgBEAEEAKABcAG4AIAAgACAAIABNAEEASwBFAEEAUgBSAEEAWQAoADQALAAgADEALABcAG4AIAAgACAAIAAgACAATABBAE0AQgBEAEEAKAByACwAYwAsAFwAbgAgACAAIAAgACAAIAAgACAASQBOAEQARQBYACgAewBcAG4AIAAgACAAIAAgACAAIAAgACAAIABcACIAUwBvAGwAaQBkACAAcwB0AG8AcgBhAGcAZQBcACIAOwBcAG4AIAAgACAAIAAgACAAIAAgACAAIABcACIAQwBvAG0AcABvAHMAdABpAG4AZwAgACgAcABhAHMAcwBpAHYAZQAgAHcAaQBuAGQAcgBvAHcAKQBcACIAOwBcAG4AIAAgACAAIAAgACAAIAAgACAAIABcACIARABpAHIAZQBjAHQAIABhAHAAcABsAGkAYwBhAHQAaQBvAG4AXAAiADsAXABuACAAIAAgACAAIAAgACAAIAAgACAAXAAiAE4AbwAgAE0ATQBTAFwAIgBcAG4AIAAgACAAIAAgACAAIAAgAH0ALAAgAHIALAAgAGMAKQBcAG4AIAAgACAAIAAgACAAKQBcAG4AIAAgACAAIAApAFwAbgAgACAAKQA7AFwAbgBcAG4AUwBvAHUAcgBjAGUARABhAHQAYQBfAEYAZQBlAGQAbABvAHQAXwBTAHQAYQBnAGUAMwBNAE0AUwBPAHAAdABpAG8AbgBzAFwAbgAgACAAPQBMAEEATQBCAEQAQQAoAFwAbgAgACAAIAAgAE0AQQBLAEUAQQBSAFIAQQBZACgAMQAsACAAMQAsAFwAbgAgACAAIAAgACAAIABMAEEATQBCAEQAQQAoAHIALABjACwAXABuACAAIAAgACAAIAAgACAAIABJAE4ARABFAFgAKAB7AFwAbgAgACAAIAAgACAAIAAgACAAIAAgAFwAIgBBAG4AYQBlAHIAbwBiAGkAYwAgAGwAYQBnAG8AbwBuAFwAIgBcAG4AIAAgACAAIAAgACAAIAAgAH0ALAAgAHIALAAgAGMAKQBcAG4AIAAgACAAIAAgACAAKQBcAG4AIAAgACAAIAApAFwAbgAgACAAKQA7AFwAbgBcAG4AUwBvAHUAcgBjAGUARABhAHQAYQBfAEYAZQBlAGQAbABvAHQAXwBMAGkAdgBlAHMAdABvAGMAawBDAGwAYQBzAHMAZQBzAFwAbgAgACAAPQBMAEEATQBCAEQAQQAoAFwAbgAgACAAIAAgAE0AQQBLAEUAQQBSAFIAQQBZACgAMwAsACAAMQAsAFwAbgAgACAAIAAgACAAIABMAEEATQBCAEQAQQAoAHIALABjACwAXABuACAAIAAgACAAIAAgACAAIABJAE4ARABFAFgAKAB7AFwAbgAgACAAIAAgACAAIAAgACAAIAAgAFwAIgBEAG8AbQBlAHMAdABpAGMAXAAiADsAIABcAG4AIAAgACAAIAAgACAAIAAgACAAIABcACIARQB4AHAAbwByAHQAIABtAGkAZAAgAGYAZQBkAFwAIgA7ACAAXABuACAAIAAgACAAIAAgACAAIAAgACAAXAAiAEUAeABwAG8AcgB0ACAAbABvAG4AZwAgAGYAZQBkAFwAIgBcAG4AIAAgACAAIAAgACAAIAAgAH0ALAAgAHIALAAgAGMAKQBcAG4AIAAgACAAIAAgACAAKQBcAG4AIAAgACAAIAApAFwAbgAgACAAKQA7AFwAbgBcAG4AXABuAC8AKgAgAFwAbgAtAC0ALQAtAC0ALQAtAC0ALQAtAC0ALQAtAC0ALQAtAC0ALQAtAC0ALQAtAC0ALQAtAC0ALQAtAC0ALQAtAC0ALQAtAC0ALQAtAC0AXABuAFMAbwB1AHIAYwBlAEQAYQB0AGEAXwBGAGUAZQBkAGwAbwB0AF8ARAB1AHIAYQB0AGkAbwBuAE8AZgBTAHQAYQB5AFwAbgBUAGEAYgBsAGUAIABBAC4AMQAuADEALgAxADoAIABCAGUAZQBmACAAZgBlAGUAZABsAG8AdAAgAGMAYQB0AHQAbABlACAALQAgAEQAdQByAGEAdABpAG8AbgAgAG8AZgAgAHMAdABhAHkAIAAoAGQAYQB5AHMAKQBcAG4ALQAtAC0ALQAtAC0ALQAtAC0ALQAtAC0ALQAtAC0ALQAtAC0ALQAtAC0ALQAtAC0ALQAtAC0ALQAtAC0ALQAtAC0ALQAtAC0ALQAtAFwAbgAqAC8AXABuAFwAbgBTAG8AdQByAGMAZQBEAGEAdABhAF8ARgBlAGUAZABsAG8AdABfAEQAdQByAGEAdABpAG8AbgBPAGYAUwB0AGEAeQBfAFQAaQB0AGwAZQBcAG4AIAAgAD0ATABBAE0AQgBEAEEAKABcACIAQgBlAGUAZgAgAGYAZQBlAGQAbABvAHQAIABjAGEAdAB0AGwAZQAgAC0AIABEAHUAcgBhAHQAaQBvAG4AIABvAGYAIABzAHQAYQB5ACAAKABkAGEAeQBzACkAXAAiACkAOwBcAG4AXABuAFMAbwB1AHIAYwBlAEQAYQB0AGEAXwBGAGUAZQBkAGwAbwB0AF8ARAB1AHIAYQB0AGkAbwBuAE8AZgBTAHQAYQB5AF8AVQBuAGkAdABcAG4AIAAgAD0ATABBAE0AQgBEAEEAKABcACIAXAAiACkAOwBcAG4AXABuAFMAbwB1AHIAYwBlAEQAYQB0AGEAXwBGAGUAZQBkAGwAbwB0AF8ARAB1AHIAYQB0AGkAbwBuAE8AZgBTAHQAYQB5AF8AUwBvAHUAcgBjAGUAXABuACAAIAA9AEwAQQBNAEIARABBACgAXAAiAFYARQBFAFIARwAgADIAMAAyADYAOgAgAFQAYQBiAGwAZQAgAEEALgAxAC4AMQAuADEAOgAgAEIAZQBlAGYAIABmAGUAZQBkAGwAbwB0ACAAYwBhAHQAdABsAGUAIAAtACAARAB1AHIAYQB0AGkAbwBuACAAbwBmACAAcwB0AGEAeQAgACgAZABhAHkAcwApAFwAIgApADsAXABuAFwAbgBTAG8AdQByAGMAZQBEAGEAdABhAF8ARgBlAGUAZABsAG8AdABfAEQAdQByAGEAdABpAG8AbgBPAGYAUwB0AGEAeQBfAFYAYQByAGkAYQB0AGkAbwBuAFwAbgAgACAAPQBMAEEATQBCAEQAQQAoAFwAIgBcACIAKQA7AFwAbgBcAG4AUwBvAHUAcgBjAGUARABhAHQAYQBfAEYAZQBlAGQAbABvAHQAXwBEAHUAcgBhAHQAaQBvAG4ATwBmAFMAdABhAHkAXwBEAGEAdABhAFwAbgAgACAAPQBMAEEATQBCAEQAQQAoAFwAbgAgACAAIAAgAE0AQQBLAEUAQQBSAFIAQQBZACgANAAsACAAMgAsACAAXABuACAAIAAgACAAIAAgAEwAQQBNAEIARABBACgAcgAsAGMALAAgAFwAbgAgACAAIAAgACAAIAAgACAASQBOAEQARQBYACgAewBcAG4AIAAgACAAIAAgACAAIAAgACAAIABcACIARgBlAGUAZABsAG8AdAAgAHQAeQBwAGUAXAAiACwAIABcACIATABlAG4AZwB0AGgAIABvAGYAIABTAHQAYQB5AFwAIgA7AFwAbgAgACAAIAAgACAAIAAgACAAIAAgAFwAIgBEAG8AbQBlAHMAdABpAGMAXAAiACwAIABcACIAMQAtADgAMAAgAGQAYQB5AHMAXAAiADsAXABuACAAIAAgACAAIAAgACAAIAAgACAAXAAiAE0AaQBkAC0AZgBlAGQAXAAiACwAIABcACIAOAAxAC0AMgAwADAAIABkAGEAeQBzAFwAIgA7AFwAbgAgACAAIAAgACAAIAAgACAAIAAgAFwAIgBMAG8AbgBnAC0AZgBlAGQAXAAiACwAIABcACIAMgAwADEAKwAgAGQAYQB5AHM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QQBuAGkAbQBhAGwAQwBoAGEAcgBhAGMAdABlAHIAaQBzAHQAaQBjAHMAXABuAFQAYQBiAGwAZQAgAEEALgAxAC4AMQAuADIAOgAgAEIAZQBlAGYAIABmAGUAZQBkAGwAbwB0ACAAYwBhAHQAdABsAGUAIAAtACAAQQBuAGkAbQBhAGwAIABjAGgAYQByAGEAYwB0AGUAcgBpAHMAdABpAGMAcwBcAG4ALQAtAC0ALQAtAC0ALQAtAC0ALQAtAC0ALQAtAC0ALQAtAC0ALQAtAC0ALQAtAC0ALQAtAC0ALQAtAC0ALQAtAC0ALQAtAC0ALQAtAFwAbgAqAC8AXABuAFwAbgBTAG8AdQByAGMAZQBEAGEAdABhAF8ARgBlAGUAZABsAG8AdABfAEEAbgBpAG0AYQBsAEMAaABhAHIAYQBjAHQAZQByAGkAcwB0AGkAYwBzAF8AVABpAHQAbABlAFwAbgAgACAAPQBMAEEATQBCAEQAQQAoAFwAIgBCAGUAZQBmACAAZgBlAGUAZABsAG8AdAAgAGMAYQB0AHQAbABlACAALQAgAEEAbgBpAG0AYQBsACAAYwBoAGEAcgBhAGMAdABlAHIAaQBzAHQAaQBjAHMAXAAiACkAOwBcAG4AXABuAFMAbwB1AHIAYwBlAEQAYQB0AGEAXwBGAGUAZQBkAGwAbwB0AF8AQQBuAGkAbQBhAGwAQwBoAGEAcgBhAGMAdABlAHIAaQBzAHQAaQBjAHMAXwBVAG4AaQB0AFwAbgAgACAAPQBMAEEATQBCAEQAQQAoAFwAIgBcACIAKQA7AFwAbgBcAG4AUwBvAHUAcgBjAGUARABhAHQAYQBfAEYAZQBlAGQAbABvAHQAXwBBAG4AaQBtAGEAbABDAGgAYQByAGEAYwB0AGUAcgBpAHMAdABpAGMAcwBfAFMAbwB1AHIAYwBlAFwAbgAgACAAPQBMAEEATQBCAEQAQQAoAFwAIgBWAEUARQBSAEcAIAAyADAAMgA2ADoAIABUAGEAYgBsAGUAIABBAC4AMQAuADEALgAyADoAIABCAGUAZQBmACAAZgBlAGUAZABsAG8AdAAgAGMAYQB0AHQAbABlACAALQAgAEEAbgBpAG0AYQBsACAAYwBoAGEAcgBhAGMAdABlAHIAaQBzAHQAaQBjAHMAXAAiACkAOwBcAG4AXABuAFMAbwB1AHIAYwBlAEQAYQB0AGEAXwBGAGUAZQBkAGwAbwB0AF8AQQBuAGkAbQBhAGwAQwBoAGEAcgBhAGMAdABlAHIAaQBzAHQAaQBj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TQBvAHYAZQBkACAAZgBlAGUAZABsAG8AdAAgAHQAeQBwAGUAcwAgAHQAbwAgAGEAIABzAGUAcABhAHIAYQB0AGUAIABjAG8AbAB1AG0AbgAgAHQAbwAgAGEAaQBkACAAbABvAG8AawB1AHAALgBcACIAOwBcAG4AIAAgACAAIAAgACAAIAAgACAAIABcACIATgBhAG0AZQBkACAAJwBjAGgAYQByAGEAYwB0AGUAcgBpAHMAdABpAGMAJwAgAGMAbwBsAHUAbQBuACAALQAgAG8AcgBpAGcAaQBuAGEAbAAgAGgAYQBzACAAaABlAGEAZABlAHIAIAAnAFUAbgBpAHQAJwAgAHcAaABpAGMAaAAgAGMAbwB2AGUAcgBzACAAdAB3AG8AIABjAG8AbAB1AG0AbgBzACkAXAAiAFwAbgAgACAAIAAgACAAIAAgACAAfQAsACAAcgAsACAAYwApAFwAbgAgACAAIAAgACAAIAApAFwAbgAgACAAIAAgACkAXABuACAAIAApADsAXABuAFwAbgBTAG8AdQByAGMAZQBEAGEAdABhAF8ARgBlAGUAZABsAG8AdABfAEEAbgBpAG0AYQBsAEMAaABhAHIAYQBjAHQAZQByAGkAcwB0AGkAYwBzAF8ARABhAHQAYQBcAG4AIAAgAD0ATABBAE0AQgBEAEEAKABcAG4AIAAgACAAIABNAEEASwBFAEEAUgBSAEEAWQAoADEAMAAsACAANwAsACAAXABuACAAIAAgACAAIAAgAEwAQQBNAEIARABBACgAcgAsAGMALAAgAFwAbgAgACAAIAAgACAAIAAgACAASQBOAEQARQBYACgAewBcAG4AIAAgACAAIAAgACAAIAAgACAAIABcACIARgBlAGUAZABsAG8AdAAgAHQAeQBwAGUAXAAiACwAIABcACIAQwBoAGEAcgBhAGMAdABlAHIAaQBzAHQAaQBjAFwAIgAsACAAXAAiAFUAbgBpAHQAXAAiACwAIABcACIAMgAwADAANQAtADIAMAAwADkAXAAiACwAIABcACIAMgAwADEAMAAtADIAMAAxADQAXAAiACwAIABcACIAMgAwADEANQAtADIAMAAxADkAXAAiACwAIABcACIAMgAwADIAMAAtADIAMAAyADMAXAAiADsAXABuACAAIAAgACAAIAAgACAAIAAgACAAXAAiAEQAbwBtAGUAcwB0AGkAYwBcACIALAAgAFwAIgBEAGEAeQBzACAAbwBuACAAZgBlAGUAZABcACIALAAgAFwAIgBkAGEAeQBzAFwAIgAsACAANwAwACwAIAA3ADAALAAgADcAMAAsACAANwA1ADsAXABuACAAIAAgACAAIAAgACAAIAAgACAAXAAiAEQAbwBtAGUAcwB0AGkAYwBcACIALAAgAFwAIgBGAGUAZQBkACAAaQBuAHQAYQBrAGUAXAAiACwAIABcACIAawBnACAARABNAC8AZABhAHkAXAAiACwAIAAxADAALgAwACwAIAAxADAALgAwACwAIAAxADAALgA0ACwAIAAxADAALgA0ADsAXABuACAAIAAgACAAIAAgACAAIAAgACAAXAAiAEQAbwBtAGUAcwB0AGkAYwBcACIALAAgAFwAIgBOACAAcgBlAHQAZQBuAHQAaQBvAG4AXAAiACwAIABcACIAcABlAHIAIABjAGUAbgB0ACAAbwBmACAAaQBuAHQAYQBrAGUAXAAiACwAIAAyADEALgAxACwAIAAyADAALgA0ACwAIAAyADAALgA0ACwAIAAyADAALgA0ADsAXABuACAAIAAgACAAIAAgACAAIAAgACAAXAAiAE0AaQBkAC0AZgBlAGQAXAAiACwAIABcACIARABhAHkAcwAgAG8AbgAgAGYAZQBlAGQAXAAiACwAIABcACIAZABhAHkAcwBcACIALAAgADEAMQA1ACwAIAAxADEANQAsACAAMQAyADAALAAgADEANQAwADsAXABuACAAIAAgACAAIAAgACAAIAAgACAAXAAiAE0AaQBkAC0AZgBlAGQAXAAiACwAIABcACIARgBlAGUAZAAgAGkAbgB0AGEAawBlAFwAIgAsACAAXAAiAGsAZwAgAEQATQAvAGQAYQB5AFwAIgAsACAAMQAxAC4AMgAsACAAMQAwAC4AOAAsACAAMQAwAC4AOAAsACAAMQAwAC4AOAA7AFwAbgAgACAAIAAgACAAIAAgACAAIAAgAFwAIgBNAGkAZAAtAGYAZQBkAFwAIgAsACAAXAAiAE4AIAByAGUAdABlAG4AdABpAG8AbgBcACIALAAgAFwAIgBwAGUAcgAgAGMAZQBuAHQAIABvAGYAIABpAG4AdABhAGsAZQBcACIALAAgADEAMgAuADUALAAgADEAMgAuADcALAAgADEAMgAuADcALAAgADEAMgAuADcAOwBcAG4AIAAgACAAIAAgACAAIAAgACAAIABcACIATABvAG4AZwAtAGYAZQBkAFwAIgAsACAAXAAiAEQAYQB5AHMAIABvAG4AIABmAGUAZQBkAFwAIgAsACAAXAAiAGQAYQB5AHMAXAAiACwAIAAyADUAMAAsACAAMgA1ADAALAAgADIANQAwACwAIAAyADUAMAA7AFwAbgAgACAAIAAgACAAIAAgACAAIAAgAFwAIgBMAG8AbgBnAC0AZgBlAGQAXAAiACwAIABcACIARgBlAGUAZAAgAGkAbgB0AGEAawBlAFwAIgAsACAAXAAiAGsAZwAgAEQATQAvAGQAYQB5AFwAIgAsACAAOQAuADAALAAgADgALgA1ACwAIAA4AC4AMgAsACAAOAAuADIAOwBcAG4AIAAgACAAIAAgACAAIAAgACAAIABcACIATABvAG4AZwAtAGYAZQBkAFwAIgAsACAAXAAiAE4AIAByAGUAdABlAG4AdABpAG8AbgBcACIALAAgAFwAIgBwAGUAcgAgAGMAZQBuAHQAIABvAGYAIABpAG4AdABhAGsAZQBcACIALAAgADYALgA2ACwAIAA3AC4AMAAsACAANwAuADAALAAgADcALgAwAFwAbgAgACAAIAAgACAAIAAgACAAfQAsACAAcgAsACAAYwApAFwAbgAgACAAIAAgACAAIAApAFwAbgAgACAAIAAgACkAXABuACAAIAApADsAXABuAFwAbgBcAG4AXABuAFwAbgBcAG4AXABuAFwAbgAvACoAIABcAG4ALQAtAC0ALQAtAC0ALQAtAC0ALQAtAC0ALQAtAC0ALQAtAC0ALQAtAC0ALQAtAC0ALQAtAC0ALQAtAC0ALQAtAC0ALQAtAC0ALQAtAFwAbgBTAG8AdQByAGMAZQBEAGEAdABhAF8ARgBlAGUAZABsAG8AdABfAEQAaQBlAHQAUAByAG8AcABlAHIAdABpAGUAcwBcAG4AVABhAGIAbABlACAAQQAuADEALgAxAC4AMwA6ACAAQgBlAGUAZgAgAGYAZQBlAGQAbABvAHQAIABjAGEAdAB0AGwAZQAgAC0AIABEAGkAZQB0ACAAcAByAG8AcABlAHIAdABpAGUAcwBcAG4ALQAtAC0ALQAtAC0ALQAtAC0ALQAtAC0ALQAtAC0ALQAtAC0ALQAtAC0ALQAtAC0ALQAtAC0ALQAtAC0ALQAtAC0ALQAtAC0ALQAtAFwAbgAqAC8AXABuAFwAbgBTAG8AdQByAGMAZQBEAGEAdABhAF8ARgBlAGUAZABsAG8AdABfAEQAaQBlAHQAUAByAG8AcABlAHIAdABpAGUAcwBfAFQAaQB0AGwAZQBcAG4AIAAgAD0ATABBAE0AQgBEAEEAKABcACIAQgBlAGUAZgAgAGYAZQBlAGQAbABvAHQAIABjAGEAdAB0AGwAZQAgAC0AIABEAGkAZQB0ACAAcAByAG8AcABlAHIAdABpAGUAcwBcACIAKQA7AFwAbgBcAG4AUwBvAHUAcgBjAGUARABhAHQAYQBfAEYAZQBlAGQAbABvAHQAXwBEAGkAZQB0AFAAcgBvAHAAZQByAHQAaQBlAHMAXwBVAG4AaQB0AFwAbgAgACAAPQBMAEEATQBCAEQAQQAoAFwAIgBcACIAKQA7AFwAbgBcAG4AUwBvAHUAcgBjAGUARABhAHQAYQBfAEYAZQBlAGQAbABvAHQAXwBEAGkAZQB0AFAAcgBvAHAAZQByAHQAaQBlAHMAXwBTAG8AdQByAGMAZQBcAG4AIAAgAD0ATABBAE0AQgBEAEEAKABcACIAVgBFAEUAUgBHACAAMgAwADIANgA6ACAAVABhAGIAbABlACAAQQAuADEALgAxAC4AMwA6ACAAQgBlAGUAZgAgAGYAZQBlAGQAbABvAHQAIABjAGEAdAB0AGwAZQAgAC0AIABEAGkAZQB0ACAAcAByAG8AcABlAHIAdABpAGUAcwBcACIAKQA7AFwAbgBcAG4AUwBvAHUAcgBjAGUARABhAHQAYQBfAEYAZQBlAGQAbABvAHQAXwBEAGkAZQB0AFAAcgBvAHAAZQByAHQAaQBlAHMAXwBWAGEAcgBpAGEAdABpAG8AbgBcAG4AIAAgAD0ATABBAE0AQgBEAEEAKABcAG4AIAAgACAAIABNAEEASwBFAEEAUgBSAEEAWQAoADMALAAgADEALAAgAFwAbgAgACAAIAAgACAAIABMAEEATQBCAEQAQQAoAHIALABjACwAIABcAG4AIAAgACAAIAAgACAAIAAgAEkATgBEAEUAWAAoAHsAXABuACAAIAAgACAAIAAgACAAIAAgACAAXAAiAFYAQQBSAEkAQQBUAEkATwBOACAATwBOACAAUwBPAFUAUgBDAEUAOgBcACIAOwBcAG4AIAAgACAAIAAgACAAIAAgACAAIABcACIAQQBkAGQAZQBkACAAJ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hAG4AZAAgAFQAQQBTACAAYwBvAGwAdQBtAG4AcwAgAHcAaQB0AGgAIAAnAG4AbwAgAGQAYQB0AGEAJwAgAHYAYQBsAHUAZQBzAFwAIgA7AFwAbgAgACAAIAAgACAAIAAgACAAIAAgAFwAIgBBAGQAZABlAGQAIAAnAE4ASQBSACAAZABlAGYAaQBuAGkAdABpAG8AbgAn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TQBDAEYAXwBEAGEAdABhAFwAbgAgACAAPQBMAEEATQBCAEQAQQAoAFwAbgAgACAAIAAgAE0AQQBLAEUAQQBSAFIAQQBZACgANgAsACAAMQAxACwAIABcAG4AIAAgACAAIAAgACAATABBAE0AQgBEAEEAKAByACwAYwAsACAAXABuACAAIAAgACAAIAAgACAAIABJAE4ARABFAFgAKAB7AFwAbgAgACAAIAAgACAAIAAgACAAIAAgAFwAIgBUAHIAZQBhAHQAbQBlAG4AdAAgAHMAdABhAGcAZQAgAFQAXAAiACwAIABcACIATQBNAFMAIABtAFwAIgAsACAAXAAiAE4AUwBXAFwAIgAsACAAXAAiAEEAQwBUAFwAIgAsACAAXAAiAFEATABEAFwAIgAsACAAXAAiAE4AVABcACIALAAgAFwAIgBTAEEAXAAiACwAIABcACIAVgBJAEMAXAAiACwAIABcACIAVwBBAFwAIgAsACAAXAAiAFQAQQBTAFwAIgAsACAAXAAiAE4ASQBSACAAZABlAGYAaQBuAGkAdABpAG8AbgBcACIAOwBcAG4AIAAgACAAIAAgACAAIAAgACAAIABcACIAUAByAGkAbQBhAHIAeQBcACIALAAgAFwAIgBEAHIAeQAgAGwAbwB0ACAAKABGAGUAZQBkAHAAYQBkACkAXAAiACwAIAAwAC4AMAAxACwAIAAwAC4AMAAxACwAIAAwAC4AMAAzACwAIABcACIATgBvACAAZABhAHQAYQBcACIALAAgADAALgAwADEALAAgADAALgAwADEALAAgADAALgAwADEALAAgAFwAIgBOAG8AIABkAGEAdABhAFwAIgAsACAAXAAiAEQAcgB5AGwAbwB0ACAAKABmAGUAZQBkACAAcABhAGQAKQBcACIAOwAgAFwAbgAgACAAIAAgACAAIAAgACAAIAAgAFwAIgBTAGUAYwBvAG4AZABhAHIAeQBcACIALAAgAFwAIgBTAG8AbABpAGQAIABTAHQAbwByAGEAZwBlACAAKABTAHQAbwBjAGsAcABpAGwAZQApAFwAIgAsACAAMAAuADAAMgAsACAAMAAuADAAMgAsACAAMAAuADAAMgAsACAAXAAiAE4AbwAgAGQAYQB0AGEAXAAiACwAIAAwAC4AMAAyACwAIAAwAC4AMAAyACwAIAAwAC4AMAAyACwAIABcACIATgBvACAAZABhAHQAYQBcACIALAAgAFwAIgBTAG8AbABpAGQAIABzAHQAbwByAGEAZwBlAFwAIgA7ACAAXABuACAAIAAgACAAIAAgACAAIAAgACAAXAAiAFMAZQBjAG8AbgBkAGEAcgB5AFwAIgAsACAAXAAiAEMAbwBtAHAAbwBzAHQAaQBuAGcAIAAoAFAAYQBzAHMAaQB2AGUAIABXAGkAbgBkAHIAbwB3ACkAXAAiACwAIAAwAC4AMAAxACwAIAAwAC4AMAAxACwAIAAwAC4AMAAxACwAIABcACIATgBvACAAZABhAHQAYQBcACIALAAgADAALgAwADEALAAgADAALgAwADEALAAgADAALgAwADEALAAgAFwAIgBOAG8AIABkAGEAdABhAFwAIgAsACAAXAAiAEMAbwBtAHAAbwBzAHQAaQBuAGcAIAAoAHAAYQBzAHMAaQB2AGUAIAB3AGkAbgBkAHIAbwB3ACkAXAAiADsAIABcAG4AIAAgACAAIAAgACAAIAAgACAAIABcACIAUwBlAGMAbwBuAGQAYQByAHkAXAAiACwAIABcACIARABpAHIAZQBjAHQAIABBAHAAcABsAGkAYwBhAHQAaQBvAG4AIAB0AG8AIABzAG8AaQBsAFwAIgAsACAAMAAsACAAMAAsACAAMAAsACAAXAAiAE4AbwAgAGQAYQB0AGEAXAAiACwAIAAwACwAIAAwACwAIAAwACwAIABcACIATgBvACAAZABhAHQAYQBcACIALAAgAFwAIgBEAGkAcgBlAGMAdAAgAGEAcABwAGwAaQBjAGEAdABpAG8AbgBcACIAOwAgAFwAbgAgACAAIAAgACAAIAAgACAAIAAgAFwAIgBUAGUAcgB0AGkAYQByAHkAXAAiACwAIABcACIAVQBuAGMAbwB2AGUAcgBlAGQAIABhAG4AYQBlAHIAbwBiAGkAYwAgAGwAYQBnAG8AbwBuACAAKABFAGYAZgBsAHUAZQBuAHQAIABwAG8AbgBkACkAXAAiACwAIAAwAC4ANwA1ACwAIAAwAC4ANwA1ACwAIAAwAC4ANwA3ACwAIABcACIATgBvACAAZABhAHQAYQBcACIALAAgADAALgA3ADUALAAgADAALgA3ADUALAAgADAALgA3ADcALAAgAFwAIgBOAG8AIABkAGEAdABhAFwAIg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CcATgBJAFIAIABkAGUAZgBpAG4AaQB0AGkAbwBuAC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OAGkAdAByAG8AdQBzAE8AeABpAGQAZQBFAEYAcw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UARgBtAFQAIAAoAGsAZwAgAE4AMgBPAC0ATgAvAGsAZwAgAE4AKQBcACIALAAgAFwAIgBOAEkAUgAgAGQAZQBmAGkAbgBpAHQAaQBvAG4AXAAiADsAXABuACAAIAAgACAAIAAgACAAIAAgACAAXAAiAFAAcgBpAG0AYQByAHkAXAAiACwAIABcACIARAByAHkAIABsAG8AdAAgACgARgBlAGUAZABwAGEAZAApAFwAIgAsACAAMAAuADAAMAA1ADQALAAgAFwAIgBEAHIAeQBsAG8AdAAgACgAZgBlAGUAZAAgAHAAYQBkACkAXAAiADsAXABuACAAIAAgACAAIAAgACAAIAAgACAAXAAiAFMAZQBjAG8AbgBkAGEAcgB5AFwAIgAsACAAXAAiAFMAbwBsAGkAZAAgAFMAdABvAHIAYQBnAGUAIAAoAFMAdABvAGMAawBwAGkAbABlACkAXAAiACwAIAAwAC4AMAAwADUALAAgAFwAIgBTAG8AbABpAGQAIABzAHQAbwByAGEAZwBlAFwAIgA7AFwAbgAgACAAIAAgACAAIAAgACAAIAAgAFwAIgBTAGUAYwBvAG4AZABhAHIAeQBcACIALAAgAFwAIgBDAG8AbQBwAG8AcwB0AGkAbgBnACAAKABQAGEAcwBzAGkAdgBlACAAVwBpAG4AZAByAG8AdwApAFwAIgAsACAAMAAuADAAMQ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UABvAG4AZAApAFwAIgAsACAAMA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RgByAGEAYwBOAFYAbwBsAGEAdABpAGwAaQBzAGUAZABcAG4AVABhAGIAbABlACAAQQAuADEALgAxAC4ANgA6ACAAQgBlAGUAZgAgAGYAZQBlAGQAbABvAHQAIABjAGEAdAB0AGwAZQAgAC0AIABGAHIAYQBjAHQAaQBvAG4AIABvAGYAIABOACAAdgBvAGwAYQB0AGkAbABpAHMAZQBkACAAYgB5ACAATQBNAFMAIAAoAEYAcgBhAGMARwBBAFMATQBtAFQAKQBcAG4ALQAtAC0ALQAtAC0ALQAtAC0ALQAtAC0ALQAtAC0ALQAtAC0ALQAtAC0ALQAtAC0ALQAtAC0ALQAtAC0ALQAtAC0ALQAtAC0ALQAtAFwAbgAqAC8AXABuAFwAbgBTAG8AdQByAGMAZQBEAGEAdABhAF8ARgBlAGUAZABsAG8AdABfAEYAcgBhAGMATgBWAG8AbABhAHQAaQBsAGkAcwBlAGQAXwBUAGkAdABsAGUAXABuACAAIAA9AEwAQQBNAEIARABBACgAXAAiAEYAZQBlAGQAbABvAHQAIAAtACAARgByAGEAYwB0AGkAbwBuACAAbwBmACAATgAgAHYAbwBsAGEAdABpAGwAaQBzAGUAZAAgAGIAeQAgAE0ATQBTACAAKABGAHIAYQBjAEcAQQBTAE0AbQBUACkAXAAiACkAOwBcAG4AXABuAFMAbwB1AHIAYwBlAEQAYQB0AGEAXwBGAGUAZQBkAGwAbwB0AF8ARgByAGEAYwBOAFYAbwBsAGEAdABpAGwAaQBzAGUAZABfAFUAbgBpAHQAXABuACAAIAA9AEwAQQBNAEIARABBACgAXAAiAFwAIgApADsAXABuAFwAbgBTAG8AdQByAGMAZQBEAGEAdABhAF8ARgBlAGUAZABsAG8AdABfAEYAcgBhAGMATgBWAG8AbABhAHQAaQBsAGkAcwBlAGQAXwBTAG8AdQByAGMAZQBcAG4AIAAgAD0ATABBAE0AQgBEAEEAKABcACIAVgBFAEUAUgBHACAAMgAwADIANgA6ACAAVABhAGIAbABlACAAQQAuADEALgAxAC4ANgA6ACAAQgBlAGUAZgAgAGYAZQBlAGQAbABvAHQAIABjAGEAdAB0AGwAZQAgAC0AIABGAHIAYQBjAHQAaQBvAG4AIABvAGYAIABOACAAdgBvAGwAYQB0AGkAbABpAHMAZQBkACAAYgB5ACAATQBNAFMAIAAoAEYAcgBhAGMARwBBAFMATQBtAFQAKQBcACIAKQA7AFwAbgBcAG4AUwBvAHUAcgBjAGUARABhAHQAYQBfAEYAZQBlAGQAbABvAHQAXwBGAHIAYQBjAE4AVgBvAGwAYQB0AGkAbABpAHMAZQBk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CcATgBJAFIAIABkAGUAZgBpAG4AaQB0AGkAbwBuAC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GAHIAYQBjAE4AVgBvAGwAYQB0AGkAbABpAHMAZQBk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gByAGEAYwBHAEEAUwBNAG0AVAAgACgAawBnACAATgBIADMALQBOACAAKwAgAE4ATwB4AC0ATgApAC8AawBnACAATgBcACIALAAgAFwAIgBOAEkAUgAgAGQAZQBmAGkAbgBpAHQAaQBvAG4AXAAiADsAXABuACAAIAAgACAAIAAgACAAIAAgACAAXAAiAFAAcgBpAG0AYQByAHkAXAAiACwAIABcACIARAByAHkAIABsAG8AdAAgACgARgBlAGUAZABwAGEAZAApAFwAIgAsACAAMAAuADYALAAgAFwAIgBEAHIAeQBsAG8AdAAgACgAZgBlAGUAZAAgAHAAYQBkACkAXAAiADsAXABuACAAIAAgACAAIAAgACAAIAAgACAAXAAiAFMAZQBjAG8AbgBkAGEAcgB5AFwAIgAsACAAXAAiAFMAbwBsAGkAZAAgAFMAdABvAHIAYQBnAGUAIAAoAFMAdABvAGMAawBwAGkAbABlACkAXAAiACwAIAAwAC4AMgA1ACwAIABcACIAUwBvAGwAaQBkACAAcwB0AG8AcgBhAGcAZQBcACIAOwBcAG4AIAAgACAAIAAgACAAIAAgACAAIABcACIAUwBlAGMAbwBuAGQAYQByAHkAXAAiACwAIABcACIAQwBvAG0AcABvAHMAdABpAG4AZwAgACgAUABhAHMAcwBpAHYAZQAgAFcAaQBuAGQAcgBvAHcAKQBcACIALAAgADAALgA0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wAG8AbgBkACkAXAAiACwAIAAwAC4AMwA1ACwAIABcACIAQQBuAGEAZQByAG8AYgBpAGMAIABsAGEAZwBvAG8AbgBcACIAXABuACAAIAAgACAAIAAgACAAIAB9ACwAIAByACwAIABjACkAXABuACAAIAAgACAAIAAgACkAXABuACAAIAAgACAAKQBcAG4AIAAgACkAOwBcAG4AXABuACIAfQAsAHsAIgBwAGEAdABoACIAOgAiAC8AcAByAG8AagBlAGMAdABzAC8ATQBNAFMAXwBGAGUAZQBkAGwAbwB0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EAIABNAGUAdABoAG8AZAAgADEAIAAtACAATQBhAG4AdQByAGUAIABNAGUAdABoAGEAbgBl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xAF8AXwAxAF8AVABvAHQAYQBsAEEAbgBuAHUAYQBsAE0AZQB0AGgAYQBuAGUARQBtAGkAcwBzAGkAbwBuAHMAXABuAFQAbwB0AGEAbAAgAGEAbgBuAHUAYQBsACAAbQBlAHQAaABhAG4AZQAgAGUAbQBpAHMAcwBpAG8AbgBzACAAZgByAG8AbQAgAG0AYQBuAHUAcgBlACAAbQBhAG4AYQBnAGUAbQBlAG4AdABcAG4ARQBfAEMASAA0AFwAbgB0ACAAQwBIADQAXABuAHsARQB9AF8AewBDAEgANAB9AD0AXABcAHMAdQBtAF8AewBqAH0AXABcAHMAdQBtAF8AewBtAH0AXABcAHMAdQBtAF8AewBUAH0AKABEAF8AewBqAH0AXABcAHQAaQBtAGUAcwAgAE0AXwB7AGoAbQBUAH0AXABcAHQAaQBtAGUAcwAgAE4AXwB7AGoAfQApAFwAXAB0AGkAbQBlAHMAMQAwAF4AewAtADMAfQBcAG4ARABfAGoAIAA9ACAAbABlAG4AZwB0AGgAIABvAGYAIABzAHQAYQB5ACAAbwBmACAAZQBhAGMAaAAgAGMAYQB0AHQAbABlACAAZwByAG8AdQBwACAAOgAgAGQAYQB5AHMAXABuAE0AXwBqAG0AVAAgAD0AIABtAGUAdABoAGEAbgBlACAAcAByAG8AZAB1AGMAdABpAG8AbgAgAGYAcgBvAG0AIABtAGEAbgB1AHIAZQAgAHAAZQByACAAYwBhAHQAdABsAGUAIABnAHIAbwB1AHAALAAgAE0ATQBTACwAIABhAG4AZAAgAHQAcgBlAGEAdABtAGUAbgB0ACAAcwB0AGEAZwBlACAAOgAgAGsAZwAgAEMASAA0AC8AaABlAGEAZAAvAGQAYQB5AFwAbgBOAF8AagAgAD0AIABuAHUAbQBiAGUAcgBzACAAbwBmACAAYgBlAGUAZgAgAGMAYQB0AHQAbABlACAAaQBuACAAZQBhAGMAaAAgAGcAcgBvAHUAcAAgADoAIABoAGUAYQBkAFwAbgAtAC0ALQAtAC0ALQAtAC0ALQAtAC0ALQAtAC0ALQAtAC0ALQAtAC0ALQAtAC0ALQAtAC0ALQAtAC0ALQAtAC0ALQAtAC0ALQAtAC0AXABuACoALwBcAG4AXABuAFYARQBFAFIARwBfADQAXwAxAF8AMQBfADEAXwBfADEAXwBUAG8AdABhAGwAQQBuAG4AdQBhAGwATQBlAHQAaABhAG4AZQBFAG0AaQBzAHMAaQBvAG4AcwBcAG4AIAAgAD0ATABBAE0AQgBEAEEAKABcAG4AIAAgACAAIABEAF8AagAsACAATQBfAGoAbQBUACwAIABOAF8AagAsAFwAbgAgACAAIAAgACgARABfAGoAIAAqACAATQBfAGoAbQBUACAAKgAgAE4AXwBqACkAIAAqACAAMQAwACAAXgAgAC0AMwBcAG4AIAAgACkAOwBcAG4AXABuAFYARQBFAFIARwBfADQAXwAxAF8AMQBfADEAXwBfADEAXwBUAG8AdABhAGwAQQBuAG4AdQBhAGwATQBlAHQAaABhAG4AZQBFAG0AaQBzAHMAaQBvAG4AcwBfAFQAaQB0AGwAZQBcAG4AIAAgAD0ATABBAE0AQgBEAEEAKABcACIAVABvAHQAYQBsACAAYQBuAG4AdQBhAGwAIABtAGUAdABoAGEAbgBlACAAZQBtAGkAcwBzAGkAbwBuAHMAIABmAHIAbwBtACAAbQBhAG4AdQByAGUAIABtAGEAbgBhAGcAZQBtAGUAbgB0AFwAIgApADsAXABuAFwAbgBWAEUARQBSAEcAXwA0AF8AMQBfADEAXwAxAF8AXwAxAF8AVABvAHQAYQBsAEEAbgBuAHUAYQBsAE0AZQB0AGgAYQBuAGUARQBtAGkAcwBzAGkAbwBuAHMAXwBWAGEAcgBpAGEAYgBsAGUAXABuACAAIAA9AEwAQQBNAEIARABBACgAXAAiAEUAXwBDAEgANABcACIAKQA7AFwAbgBcAG4AVgBFAEUAUgBHAF8ANABfADEAXwAxAF8AMQBfAF8AMQBfAFQAbwB0AGEAbABBAG4AbgB1AGEAbABNAGUAdABoAGEAbgBlAEUAbQBpAHMAcwBpAG8AbgBzAF8AVQBuAGkAdABcAG4AIAAgAD0ATABBAE0AQgBEAEEAKABcACIAdAAgAEMASAA0AFwAIgApADsAXABuAFwAbgBWAEUARQBSAEcAXwA0AF8AMQBfADEAXwAxAF8AXwAxAF8AVABvAHQAYQBsAEEAbgBuAHUAYQBsAE0AZQB0AGgAYQBuAGUARQBtAGkAcwBzAGkAbwBuAHMAXwBTAG8AdQByAGMAZQBcAG4AIAAgAD0ATABBAE0AQgBEAEEAKABcACIAVgBFAEUAUgBHACAAMgAwADIANgA6ACAANAAuADEALgAxAC4AMQAsACAARQBxAHUAYQB0AGkAbwBuACAAKAAxACkAXAAiACkAOwBcAG4AXABuAFYARQBFAFIARwBfADQAXwAxAF8AMQBfADEAXwBfADEAXwBUAG8AdABhAGwAQQBuAG4AdQBhAGwATQBlAHQAaABhAG4AZQBFAG0AaQBzAHMAaQBvAG4AcwBfAE4ASQBSAFIAZQBmAGUAcgBlAG4AYwBlAFwAbgAgACAAPQBMAEEATQBCAEQAQQAoAFwAIgBcACIAKQA7AFwAbgBcAG4AVgBFAEUAUgBHAF8ANABfADEAXwAxAF8AMQBfAF8AMQBfAFQAbwB0AGEAbABBAG4AbgB1AGEAbABNAGUAdABoAGEAbgBlAEUAbQBpAHMAcwBpAG8AbgBzAF8ATABhAHQAZQB4AEUAcQB1AGEAdABpAG8AbgBcAG4AIAAgAD0ATABBAE0AQgBEAEEAKABcACIAewBFAH0AXwB7AEMASAA0AH0APQBcAFwAcwB1AG0AXwB7AGoAfQBcAFwAcwB1AG0AXwB7AG0AfQBcAFwAcwB1AG0AXwB7AFQAfQAoAEQAXwB7AGoAfQBcAFwAdABpAG0AZQBzACAATQBfAHsAagBtAFQAfQBcAFwAdABpAG0AZQBzACAATgBfAHsAagB9ACkAXABcAHQAaQBtAGUAcwAxADAAXgB7AC0AMwB9AFwAIgApADsAXABuAFwAbgBWAEUARQBSAEcAXwA0AF8AMQBfADEAXwAxAF8AXwAxAF8AVABvAHQAYQBsAEEAbgBuAHUAYQBsAE0AZQB0AGgAYQBuAGUARQBtAGkAcwBzAGkAbwBuAHMAXwBBAHIAZwB1AG0AZQBuAHQAcwBcAG4AIAAgAD0ATABBAE0AQgBEAEEAKABcAG4AIAAgACAAIABNAEEASwBFAEEAUgBSAEEAWQAoADMALAAgADQALABcAG4AIAAgACAAIAAgACAATABBAE0AQgBEAEEAKAByACwAYwAsAFwAbgAgACAAIAAgACAAIAAgACAASQBOAEQARQBYACgAewBcAG4AIAAgACAAIAAgACAAIAAgACAAIABcACIARABfAGoAXAAiACwAXAAiAGwAZQBuAGcAdABoACAAbwBmACAAcwB0AGEAeQAgAG8AZgAgAGUAYQBjAGgAIABjAGEAdAB0AGwAZQAgAGcAcgBvAHUAcABcACIALAAgAFwAIgBkAGEAeQBzAFwAIgAsACAAXAAiAEkAbgBwAHUAdABcACIAOwBcAG4AIAAgACAAIAAgACAAIAAgACAAIABcACIATQBfAGoAbQBUAFwAIgAsAFwAIgBtAGUAdABoAGEAbgBlACAAcAByAG8AZAB1AGMAdABpAG8AbgAgAGYAcgBvAG0AIABtAGEAbgB1AHIAZQAgAHAAZQByACAAYwBhAHQAdABsAGUAIABnAHIAbwB1AHAALAAgAE0ATQBTACwAIABhAG4AZAAgAHQAcgBlAGEAdABtAGUAbgB0ACAAcwB0AGEAZwBlAFwAIgAsACAAXAAiAGsAZwAgAEMASAA0AC8AaABlAGEAZAAvAGQAYQB5AFwAIgAsACAAXAAiAEMAYQBsAGMAdQBsAGEAdABlAGQAIABmAHIAbwBtACAANAAuADEALgAxAC4AMQAgACgAMgApACgAMwApACgANAApAFwAIgA7AFwAbgAgACAAIAAgACAAIAAgACAAIAAgAFwAIgBOAF8AagBcACIALABcACIAbgB1AG0AYgBlAHIAcwAgAG8AZgAgAGIAZQBlAGYAIABjAGEAdAB0AGwAZQAgAGkAbgAgAGUAYQBjAGgAIABnAHIAbwB1AHA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gBfAFMAdABhAGcAZQAxAE0AZQB0AGgAYQBuAGUAUAByAG8AZAB1AGMAdABpAG8AbgBEAHIAeQBsAG8AdABcAG4AUAByAG8AZAB1AGMAdABpAG8AbgAgAG8AZgAgAG0AZQB0AGgAYQBuAGUAIABpAG4AIAB0AHIAZQBhAHQAbQBlAG4AdAAgAHMAdABhAGcAZQAgADEAIABNAE0AUwBcAG4ATQBfAGoAbQA1AFQAMQBcAG4AawBnACAAQwBIADQALwBoAGUAYQBkAC8AZABhAHkAXABuAE0AXwB7AGoAbQA9ADUALABUAD0AMQB9AD0AVgBTAF8AewBqAH0AXABcAHQAaQBtAGUAcwAgAEIATwBcAFwAdABpAG0AZQBzACAATQBNAFMAXwB7AG0APQA1ACwAVAA9ADEAfQBcAFwAdABpAG0AZQBzACAATQBDAEYAXwB7AGkAbQA9ADU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NQBUADEAIAA9ACAAZgByAGEAYwB0AGkAbwBuACAAbwBmACAAbQBhAG4AdQByAGUAIABpAG4AIABwAHIAaQBtAGEAcgB5ACAAcwB5AHMAdABlAG0AIABkAHIAeQBsAG8AdAAgAE0ATQBTACAAOgAgAGYAcgBhAGMAdABpAG8AbgBcAG4ATQBDAEYAXwBpAG0ANQAgAD0AIABtAGUAdABoAGEAbgBlACAAYwBvAG4AdgBlAHIAcwBpAG8AbgAgAGYAYQBjAHQAbwByACAAZgBvAHIAIABtAGUAYQBuACAAYQBuAG4AdQBhAGwAIAB0AGUAbQBwAGUAcgBhAHQAdQByAGUAIABhAG4AZAAgAGQAcgB5AGwAbwB0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gBfAFMAdABhAGcAZQAxAE0AZQB0AGgAYQBuAGUAUAByAG8AZAB1AGMAdABpAG8AbgBEAHIAeQBsAG8AdABcAG4AIAAgAD0ATABBAE0AQgBEAEEAKABcAG4AIAAgACAAIABWAFMAXwBqACwAIABCAE8ALAAgAE0ATQBTAF8AbQA1AFQAMQAsACAATQBDAEYAXwBpAG0ANQAsACAAcgBoAG8ALABcAG4AIAAgACAAIABMAEUAVAAoAFwAbgAgACAAIAAgACAAIABNAEMARgBfAGkAbQA1ACwAIABJAEYAKABJAFMATgBVAE0AQgBFAFIAKABNAEMARgBfAGkAbQA1ACkALAAgAE0AQwBGAF8AaQBtADUALAAgADAAKQAsAFwAbgAgACAAIAAgACAAIABWAFMAXwBqACAAKgAgAEIATwAgACoAIABNAE0AUwBfAG0ANQBUADEAIAAqACAATQBDAEYAXwBpAG0ANQAgACoAIAByAGgAbwBcAG4AIAAgACAAIAApAFwAbgAgACAAKQA7AFwAbgBcAG4AVgBFAEUAUgBHAF8ANABfADEAXwAxAF8AMQBfAF8AMgBfAFMAdABhAGcAZQAxAE0AZQB0AGgAYQBuAGUAUAByAG8AZAB1AGMAdABpAG8AbgBEAHIAeQBsAG8AdABfAFQAaQB0AGwAZQBcAG4AIAAgAD0ATABBAE0AQgBEAEEAKABcACIAUAByAG8AZAB1AGMAdABpAG8AbgAgAG8AZgAgAG0AZQB0AGgAYQBuAGUAIABpAG4AIAB0AHIAZQBhAHQAbQBlAG4AdAAgAHMAdABhAGcAZQAgADEAIABNAE0AUwBcACIAKQA7AFwAbgBcAG4AVgBFAEUAUgBHAF8ANABfADEAXwAxAF8AMQBfAF8AMgBfAFMAdABhAGcAZQAxAE0AZQB0AGgAYQBuAGUAUAByAG8AZAB1AGMAdABpAG8AbgBEAHIAeQBsAG8AdABfAFYAYQByAGkAYQBiAGwAZQBcAG4AIAAgAD0ATABBAE0AQgBEAEEAKABcACIATQBfAGoAbQA1AFQAMQBcACIAKQA7AFwAbgBcAG4AVgBFAEUAUgBHAF8ANABfADEAXwAxAF8AMQBfAF8AMgBfAFMAdABhAGcAZQAxAE0AZQB0AGgAYQBuAGUAUAByAG8AZAB1AGMAdABpAG8AbgBEAHIAeQBsAG8AdABfAFUAbgBpAHQAXABuACAAIAA9AEwAQQBNAEIARABBACgAXAAiAGsAZwAgAEMASAA0AC8AaABlAGEAZAAvAGQAYQB5AFwAIgApADsAXABuAFwAbgBWAEUARQBSAEcAXwA0AF8AMQBfADEAXwAxAF8AXwAyAF8AUwB0AGEAZwBlADEATQBlAHQAaABhAG4AZQBQAHIAbwBkAHUAYwB0AGkAbwBuAEQAcgB5AGwAbwB0AF8AUwBvAHUAcgBjAGUAXABuACAAIAA9AEwAQQBNAEIARABBACgAXAAiAFYARQBFAFIARwAgADIAMAAyADYAOgAgADQALgAxAC4AMQAuADEALAAgAEUAcQB1AGEAdABpAG8AbgAgACgAMgApAFwAIgApADsAXABuAFwAbgBWAEUARQBSAEcAXwA0AF8AMQBfADEAXwAxAF8AXwAyAF8AUwB0AGEAZwBlADEATQBlAHQAaABhAG4AZQBQAHIAbwBkAHUAYwB0AGkAbwBuAEQAcgB5AGwAbwB0AF8ATgBJAFIAUgBlAGYAZQByAGUAbgBjAGUAXABuACAAIAA9AEwAQQBNAEIARABBACgAXAAiAFwAIgApADsAXABuAFwAbgBWAEUARQBSAEcAXwA0AF8AMQBfADEAXwAxAF8AXwAyAF8AUwB0AGEAZwBlADEATQBlAHQAaABhAG4AZQBQAHIAbwBkAHUAYwB0AGkAbwBuAEQAcgB5AGwAbwB0AF8ATABhAHQAZQB4AEUAcQB1AGEAdABpAG8AbgBcAG4AIAAgAD0ATABBAE0AQgBEAEEAKABcACIATQBfAHsAagBtAD0ANQAsAFQAPQAxAH0APQBWAFMAXwB7AGoAfQBcAFwAdABpAG0AZQBzACAAQgBPAFwAXAB0AGkAbQBlAHMAIABNAE0AUwBfAHsAbQA9ADUALABUAD0AMQB9AFwAXAB0AGkAbQBlAHMAIABNAEMARgBfAHsAaQBtAD0ANQB9AFwAXAB0AGkAbQBlAHMAIABcAFwAcgBoAG8AXAAiACkAOwBcAG4AXABuAFYARQBFAFIARwBfADQAXwAxAF8AMQBfADEAXwBfADIAXwBTAHQAYQBnAGUAMQBNAGUAdABoAGEAbgBlAFAAcgBvAGQAdQBjAHQAaQBvAG4ARAByAHkAbABvAHQAXwBBAHIAZwB1AG0AZQBuAHQAcw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yAF8AUwB0AGEAZwBlADEATQBlAHQAaABhAG4AZQBQAHIAbwBkAHUAYwB0AGkAbwBuAEQAcgB5AGwAbwB0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NQBUADEAXAAiACwAXAAiAGYAcgBhAGMAdABpAG8AbgAgAG8AZgAgAG0AYQBuAHUAcgBlACAAaQBuACAAcAByAGkAbQBhAHIAeQAgAHMAeQBzAHQAZQBtACAAZAByAHkAbABvAHQAIABNAE0AUwBcACIALAAgAFwAIgBmAHIAYQBjAHQAaQBvAG4AXAAiACwAIABcACIASQBuAHAAdQB0AFwAIgA7AFwAbgAgACAAIAAgACAAIAAgACAAIAAgAFwAIgBNAEMARgBfAGkAbQA1AFwAIgAsAFwAIgBtAGUAdABoAGEAbgBlACAAYwBvAG4AdgBlAHIAcwBpAG8AbgAgAGYAYQBjAHQAbwByACAAZgBvAHIAIABzAHQAYQB0AGUAIABhAG4AZAAgAGQAcgB5AGwAbwB0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zAF8AUwB0AGEAZwBlADIATQBlAHQAaABhAG4AZQBQAHIAbwBkAHUAYwB0AGkAbwBuAFwAbgBQAHIAbwBkAHUAYwB0AGkAbwBuACAAbwBmACAAbQBlAHQAaABhAG4AZQAgAGkAbgAgAHQAcgBlAGEAdABtAGUAbgB0ACAAcwB0AGEAZwBlACAAMgAgAE0ATQBTAFwAbgBNAF8AagBtAFQAMgBcAG4AawBnACAAQwBIADQALwBoAGUAYQBkAC8AZABhAHkAXABuAE0AXwB7AGoAbQBUAD0AMgB9AD0AKAAxAC0AVgBTAEwAKQBcAFwAdABpAG0AZQBzACAAVgBTAF8AewBqAH0AXABcAHQAaQBtAGUAcwAgAEIATwBcAFwAdABpAG0AZQBzACAATQBNAFMAXwB7AG0AVAA9ADIAfQBcAFwAdABpAG0AZQBzACAATQBDAEYAXwB7AGkAbQB9AFwAXAB0AGkAbQBlAHMAIABcAFwAcgBoAG8AXABuAFYAUwBMACAAPQAgAGYAcgBhAGMAdABpAG8AbgAgAG8AZgAgAHYAbwBsAGEAdABpAGwAZQAgAHMAbwBsAGkAZABzACAAbABvAHMAdAAgAGQAdQByAGkAbgBnACAAcwB0AG8AcgBhAGcAZQAgAGkAbgAgAHQAaABlACAAcAByAGkAbQBhAHIAeQAgAHMAeQBzAHQAZQBtACAAOgAgAGYAcgBhAGMAdABpAG8Abg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FQAMgAgAD0AIABmAHIAYQBjAHQAaQBvAG4AIABvAGYAIABtAGEAbgB1AHIAZQAgAGkAbgAgAGUAYQBjAGgAIABzAGUAYwBvAG4AZABhAHIAeQAgAHMAeQBzAHQAZQBtACAAOgAgAGYAcgBhAGMAdABpAG8AbgBcAG4ATQBDAEYAXwBpAG0AIAA9ACAAbQBlAHQAaABhAG4AZQAgAGMAbwBuAHYAZQByAHMAaQBvAG4AIABmAGEAYwB0AG8AcgAgAGYAbwByACAAbQBlAGEAbgAgAGEAbgBuAHUAYQBsACAAdABlAG0AcABlAHIAYQB0AHUAcgBlACAAYQBuAGQAIABNAE0AUwAgADoAIABmAHIAYQBjAHQAaQBvAG4AXABuAHIAaABvACAAPQAgAGQAZQBuAHMAaQB0AHkAIABvAGYAIABtAGUAdABoAGEAbgBlACAAOgAgAGsAZwAvAG0AMwBcAG4ALQAtAC0ALQAtAC0ALQAtAC0ALQAtAC0ALQAtAC0ALQAtAC0ALQAtAC0ALQAtAC0ALQAtAC0ALQAtAC0ALQAtAC0ALQAtAC0ALQAtAFwAbgAqAC8AXABuAFwAbgBWAEUARQBSAEcAXwA0AF8AMQBfADEAXwAxAF8AXwAzAF8AUwB0AGEAZwBlADIATQBlAHQAaABhAG4AZQBQAHIAbwBkAHUAYwB0AGkAbwBuAFwAbgAgACAAPQBMAEEATQBCAEQAQQAoAFwAbgAgACAAIAAgAFYAUwBMACwAIABWAFMAXwBqACwAIABCAE8ALAAgAE0ATQBTAF8AbQBUADIALAAgAE0AQwBGAF8AaQBtACwAIAByAGgAbwAsAFwAbgAgACAAIAAgACgAMQAgAC0AIABWAFMATAApACAAKgAgAFYAUwBfAGoAIAAqACAAQgBPACAAKgAgAE0ATQBTAF8AbQBUADIAIAAqACAATQBDAEYAXwBpAG0AIAAqACAAcgBoAG8AXABuACAAIAApADsAXABuAFwAbgBWAEUARQBSAEcAXwA0AF8AMQBfADEAXwAxAF8AXwAzAF8AUwB0AGEAZwBlADIATQBlAHQAaABhAG4AZQBQAHIAbwBkAHUAYwB0AGkAbwBuAF8AVABpAHQAbABlAFwAbgAgACAAPQBMAEEATQBCAEQAQQAoAFwAIgBQAHIAbwBkAHUAYwB0AGkAbwBuACAAbwBmACAAbQBlAHQAaABhAG4AZQAgAGkAbgAgAHQAcgBlAGEAdABtAGUAbgB0ACAAcwB0AGEAZwBlACAAMgAgAE0ATQBTAFwAIgApADsAXABuAFwAbgBWAEUARQBSAEcAXwA0AF8AMQBfADEAXwAxAF8AXwAzAF8AUwB0AGEAZwBlADIATQBlAHQAaABhAG4AZQBQAHIAbwBkAHUAYwB0AGkAbwBuAF8AVgBhAHIAaQBhAGIAbABlAFwAbgAgACAAPQBMAEEATQBCAEQAQQAoAFwAIgBNAF8AagBtAFQAMgBcACIAKQA7AFwAbgBcAG4AVgBFAEUAUgBHAF8ANABfADEAXwAxAF8AMQBfAF8AMwBfAFMAdABhAGcAZQAyAE0AZQB0AGgAYQBuAGUAUAByAG8AZAB1AGMAdABpAG8AbgBfAFUAbgBpAHQAXABuACAAIAA9AEwAQQBNAEIARABBACgAXAAiAGsAZwAgAEMASAA0AC8AaABlAGEAZAAvAGQAYQB5AFwAIgApADsAXABuAFwAbgBWAEUARQBSAEcAXwA0AF8AMQBfADEAXwAxAF8AXwAzAF8AUwB0AGEAZwBlADIATQBlAHQAaABhAG4AZQBQAHIAbwBkAHUAYwB0AGkAbwBuAF8AUwBvAHUAcgBjAGUAXABuACAAIAA9AEwAQQBNAEIARABBACgAXAAiAFYARQBFAFIARwAgADIAMAAyADYAOgAgADQALgAxAC4AMQAuADEALAAgAEUAcQB1AGEAdABpAG8AbgAgACgAMwApAFwAIgApADsAXABuAFwAbgBWAEUARQBSAEcAXwA0AF8AMQBfADEAXwAxAF8AXwAzAF8AUwB0AGEAZwBlADIATQBlAHQAaABhAG4AZQBQAHIAbwBkAHUAYwB0AGkAbwBuAF8ATgBJAFIAUgBlAGYAZQByAGUAbgBjAGUAXABuACAAIAA9AEwAQQBNAEIARABBACgAXAAiAFwAIgApADsAXABuAFwAbgBWAEUARQBSAEcAXwA0AF8AMQBfADEAXwAxAF8AXwAzAF8AUwB0AGEAZwBlADIATQBlAHQAaABhAG4AZQBQAHIAbwBkAHUAYwB0AGkAbwBuAF8ATABhAHQAZQB4AEUAcQB1AGEAdABpAG8AbgBcAG4AIAAgAD0ATABBAE0AQgBEAEEAKABcACIATQBfAHsAagBtAFQAPQAyAH0APQAoADEALQBWAFMATAApAFwAXAB0AGkAbQBlAHMAIABWAFMAXwB7AGoAfQBcAFwAdABpAG0AZQBzACAAQgBPAFwAXAB0AGkAbQBlAHMAIABNAE0AUwBfAHsAbQBUAD0AMgB9AFwAXAB0AGkAbQBlAHMAIABNAEMARgBfAHsAaQBtAH0AXABcAHQAaQBtAGUAcwAgAFwAXAByAGgAbwBcACIAKQA7AFwAbgBcAG4AVgBFAEUAUgBHAF8ANABfADEAXwAxAF8AMQBfAF8AMwBfAFMAdABhAGcAZQAyAE0AZQB0AGgAYQBuAGUAUAByAG8AZAB1AGMAdABpAG8AbgBfAEEAcgBnAHUAbQBlAG4AdABzAFwAbgAgACAAPQBMAEEATQBCAEQAQQAoAFwAbgAgACAAIAAgAE0AQQBLAEUAQQBSAFIAQQBZACgANwAsACAANAAsAFwAbgAgACAAIAAgACAAIABMAEEATQBCAEQAQQAoAHIALABjACwAXABuACAAIAAgACAAIAAgACAAIABJAE4ARABFAFgAKAB7AFwAbgAgACAAIAAgACAAIAAgACAAIAAgAFwAIgBWAFMATABcACIALABcACIAZgByAGEAYwB0AGkAbwBuACAAbwBmACAAdgBvAGwAYQB0AGkAbABlACAAcwBvAGwAaQBkAHMAIABsAG8AcwB0ACAAZAB1AHIAaQBuAGcAIABzAHQAbwByAGEAZwBlACAAaQBuACAAdABoAGUAIABwAHIAaQBtAGEAcgB5ACAAcwB5AHMAdABlAG0AXAAiACwAIABcACIAZgByAGEAYwB0AGkAbwBuAFwAIgAsACAAXAAiAEMAbwBuAHMAdABhAG4AdABcACIAO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FQAMgBcACIALABcACIAZgByAGEAYwB0AGkAbwBuACAAbwBmACAAbQBhAG4AdQByAGUAIABpAG4AIABlAGEAYwBoACAAcwBlAGMAbwBuAGQAYQByAHkAIABzAHkAcwB0AGUAbQBcACIALAAgAFwAIgBmAHIAYQBjAHQAaQBvAG4AXAAiACwAIABcACIASQBuAHAAdQB0AFwAIgA7AFwAbgAgACAAIAAgACAAIAAgACAAIAAgAFwAIgBNAEMARgBfAGkAbQBcACIALABcACIAbQBlAHQAaABhAG4AZQAgAGMAbwBuAHYAZQByAHMAaQBvAG4AIABmAGEAYwB0AG8AcgAgAGYAbwByACAAcwB0AGEAdABlACAAYQBuAGQAIABNAE0AUw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wBfAFMAdABhAGcAZQAyAE0AZQB0AGgAYQBuAGUAUAByAG8AZAB1AGMAdABpAG8AbgBfAEEAcgBnAHUAbQBlAG4AdABzAF8ATQBlAHQAaABvAGQAMg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G0AZQBhAG4AIABhAG4AbgB1AGEAbAAgAHQAZQBtAHAAZQByAGEAdAB1AHI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0AF8AUwB0AGEAZwBlADMATQBlAHQAaABhAG4AZQBQAHIAbwBkAHUAYwB0AGkAbwBuAEEAbgBhAGUAcgBvAGIAaQBjAEwAYQBnAG8AbwBuAFwAbgBQAHIAbwBkAHUAYwB0AGkAbwBuACAAbwBmACAAbQBlAHQAaABhAG4AZQAgAGkAbgAgAHQAcgBlAGEAdABtAGUAbgB0ACAAcwB0AGEAZwBlACAAMwAgAE0ATQBTAFwAbgBNAF8AagBtADEAVAAzAFwAbgBrAGcAIABDAEgANAAvAGgAZQBhAGQALwBkAGEAeQBcAG4ATQBfAHsAagBtAD0AMQAsAFQAPQAzAH0APQBWAFMAXwB7AGoAfQBcAFwAdABpAG0AZQBzACAAQgBPAFwAXAB0AGkAbQBlAHMAIABNAE0AUwBfAHsAbQA9ADEALABUAD0AMwB9AFwAXAB0AGkAbQBlAHMAIABNAEMARgBfAHsAaQBtAD0AMQB9AFwAXAB0AGkAbQBlAHMAIABcAFwAcgBoAG8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AxAFQAMwAgAD0AIABmAHIAYQBjAHQAaQBvAG4AIABvAGYAIABtAGEAbgB1AHIAZQAgAHQAbwAgAHQAZQByAHQAaQBhAHIAeQAgAGEAbgBhAGUAcgBvAGIAaQBjACAAbABhAGcAbwBvAG4AIABzAHkAcwB0AGUAbQAgADoAIABmAHIAYQBjAHQAaQBvAG4AXABuAE0AQwBGAF8AaQBtADEAIAA9ACAAbQBlAHQAaABhAG4AZQAgAGMAbwBuAHYAZQByAHMAaQBvAG4AIABmAGEAYwB0AG8AcgAgAGYAbwByACAAbQBlAGEAbgAgAGEAbgBuAHUAYQBsACAAdABlAG0AcABlAHIAYQB0AHUAcgBlACAAYQBuAGQAIABhAG4AYQBlAHIAbwBiAGkAYwAgAGwAYQBnAG8AbwBuACAAcwB5AHMAdABlAG0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NABfAFMAdABhAGcAZQAzAE0AZQB0AGgAYQBuAGUAUAByAG8AZAB1AGMAdABpAG8AbgBBAG4AYQBlAHIAbwBiAGkAYwBMAGEAZwBvAG8AbgBcAG4AIAAgAD0ATABBAE0AQgBEAEEAKABcAG4AIAAgACAAIABWAFMAXwBqACwAIABCAE8ALAAgAE0ATQBTAF8AbQAxAFQAMwAsACAATQBDAEYAXwBpAG0AMQAsACAAcgBoAG8ALABcAG4AIAAgACAAIABWAFMAXwBqACAAKgAgAEIATwAgACoAIABNAE0AUwBfAG0AMQBUADMAIAAqACAATQBDAEYAXwBpAG0AMQAgACoAIAByAGgAbwBcAG4AIAAgACkAOwBcAG4AXABuAFYARQBFAFIARwBfADQAXwAxAF8AMQBfADEAXwBfADQAXwBTAHQAYQBnAGUAMwBNAGUAdABoAGEAbgBlAFAAcgBvAGQAdQBjAHQAaQBvAG4AQQBuAGEAZQByAG8AYgBpAGMATABhAGcAbwBvAG4AXwBUAGkAdABsAGUAXABuACAAIAA9AEwAQQBNAEIARABBACgAXAAiAFAAcgBvAGQAdQBjAHQAaQBvAG4AIABvAGYAIABtAGUAdABoAGEAbgBlACAAaQBuACAAdAByAGUAYQB0AG0AZQBuAHQAIABzAHQAYQBnAGUAIAAzACAATQBNAFMAXAAiACkAOwBcAG4AXABuAFYARQBFAFIARwBfADQAXwAxAF8AMQBfADEAXwBfADQAXwBTAHQAYQBnAGUAMwBNAGUAdABoAGEAbgBlAFAAcgBvAGQAdQBjAHQAaQBvAG4AQQBuAGEAZQByAG8AYgBpAGMATABhAGcAbwBvAG4AXwBWAGEAcgBpAGEAYgBsAGUAXABuACAAIAA9AEwAQQBNAEIARABBACgAXAAiAE0AXwBqAG0AMQBUADMAXAAiACkAOwBcAG4AXABuAFYARQBFAFIARwBfADQAXwAxAF8AMQBfADEAXwBfADQAXwBTAHQAYQBnAGUAMwBNAGUAdABoAGEAbgBlAFAAcgBvAGQAdQBjAHQAaQBvAG4AQQBuAGEAZQByAG8AYgBpAGMATABhAGcAbwBvAG4AXwBVAG4AaQB0AFwAbgAgACAAPQBMAEEATQBCAEQAQQAoAFwAIgBrAGcAIABDAEgANAAvAGgAZQBhAGQALwBkAGEAeQBcACIAKQA7AFwAbgBcAG4AVgBFAEUAUgBHAF8ANABfADEAXwAxAF8AMQBfAF8ANABfAFMAdABhAGcAZQAzAE0AZQB0AGgAYQBuAGUAUAByAG8AZAB1AGMAdABpAG8AbgBBAG4AYQBlAHIAbwBiAGkAYwBMAGEAZwBvAG8AbgBfAFMAbwB1AHIAYwBlAFwAbgAgACAAPQBMAEEATQBCAEQAQQAoAFwAIgBWAEUARQBSAEcAIAAyADAAMgA2ADoAIAA0AC4AMQAuADEALgAxACwAIABFAHEAdQBhAHQAaQBvAG4AIAAoADQAKQBcACIAKQA7AFwAbgBcAG4AVgBFAEUAUgBHAF8ANABfADEAXwAxAF8AMQBfAF8ANABfAFMAdABhAGcAZQAzAE0AZQB0AGgAYQBuAGUAUAByAG8AZAB1AGMAdABpAG8AbgBBAG4AYQBlAHIAbwBiAGkAYwBMAGEAZwBvAG8AbgBfAE4ASQBSAFIAZQBmAGUAcgBlAG4AYwBlAFwAbgAgACAAPQBMAEEATQBCAEQAQQAoAFwAIgBcACIAKQA7AFwAbgBcAG4AVgBFAEUAUgBHAF8ANABfADEAXwAxAF8AMQBfAF8ANABfAFMAdABhAGcAZQAzAE0AZQB0AGgAYQBuAGUAUAByAG8AZAB1AGMAdABpAG8AbgBBAG4AYQBlAHIAbwBiAGkAYwBMAGEAZwBvAG8AbgBfAEwAYQB0AGUAeABFAHEAdQBhAHQAaQBvAG4AXABuACAAIAA9AEwAQQBNAEIARABBACgAXAAiAE0AXwB7AGoAbQA9ADEALABUAD0AMwB9AD0AVgBTAF8AewBqAH0AXABcAHQAaQBtAGUAcwAgAEIATwBcAFwAdABpAG0AZQBzACAATQBNAFMAXwB7AG0APQAxACwAVAA9ADMAfQBcAFwAdABpAG0AZQBzACAATQBDAEYAXwB7AGkAbQA9ADEAfQBcAFwAdABpAG0AZQBzACAAXABcAHIAaABvAFwAIgApADsAXABuAFwAbgBWAEUARQBSAEcAXwA0AF8AMQBfADEAXwAxAF8AXwA0AF8AUwB0AGEAZwBlADMATQBlAHQAaABhAG4AZQBQAHIAbwBkAHUAYwB0AGkAbwBuAEEAbgBhAGUAcgBvAGIAaQBjAEwAYQBnAG8AbwBu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AgAGo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MQBUADMAXAAiACwAXAAiAGYAcgBhAGMAdABpAG8AbgAgAG8AZgAgAG0AYQBuAHUAcgBlACAAdABvACAAdABlAHIAdABpAGEAcgB5ACAAYQBuAGEAZQByAG8AYgBpAGMAIABsAGEAZwBvAG8AbgAgAHMAeQBzAHQAZQBtAFwAIgAsACAAXAAiAGYAcgBhAGMAdABpAG8AbgBcACIALAAgAFwAIgBJAG4AcAB1AHQAXAAiADsAXABuACAAIAAgACAAIAAgACAAIAAgACAAXAAiAE0AQwBGAF8AaQBtADEAXAAiACwAXAAiAG0AZQB0AGgAYQBuAGUAIABjAG8AbgB2AGUAcgBzAGkAbwBuACAAZgBhAGMAdABvAHIAIABmAG8AcgAgAHMAdABhAHQAZQAgAGEAbgBkACAAYQBuAGEAZQByAG8AYgBpAGMAIABsAGEAZwBvAG8Abg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BWAEUARQBSAEcAXwA0AF8AMQBfADEAXwAxAF8AXwA0AF8AUwB0AGEAZwBlADMATQBlAHQAaABhAG4AZQBQAHIAbwBkAHUAYwB0AGkAbwBuAEEAbgBhAGUAcgBvAGIAaQBjAEwAYQBnAG8AbwBu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tAGUAYQBuACAAYQBuAG4AdQBhAGwAIAB0AGUAbQBwAGUAcgBhAHQAdQBy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NAGUAYQBuACAAYQBuAG4AdQBhAGwAIAB0AGUAbQBwAGUAcgBhAHQAdQBy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UAXwBWAG8AbABhAHQAaQBsAGUAUwBvAGwAaQBkAFAAcgBvAGQAdQBjAHQAaQBvAG4AXABuAFYAbwBsAGEAdABpAGwAZQAgAHMAbwBsAGkAZAAgAHAAcgBvAGQAdQBjAHQAaQBvAG4AXABuAFYAUwBfAGoAXABuAGsAZwAvAGgAZQBhAGQALwBkAGEAeQBcAG4AVgBTAF8AewBqAH0APQBJAF8AewBqAH0AXABcAHQAaQBtAGUAcwAoADEALQBEAE0ARABfAHsAagB9ACkAXABcAHQAaQBtAGUAcwAoADEALQBBACkAXABuAEkAXwBqACAAPQAgAGQAcgB5ACAAbQBhAHQAdABlAHIAIABpAG4AdABhAGsAZQAgAGYAbwByACAAZQBhAGMAaAAgAGcAcgBvAHUAcAAgADoAIABrAGcAIABEAE0ALwBoAGUAYQBkAC8AZABhAHkAXABuAEQATQBEAF8AagAgAD0AIABkAHIAeQAgAG0AYQB0AHQAZQByACAAZABpAGcAZQBzAHQAaQBiAGkAbABpAHQAeQAgAGYAbwByACAAZQBhAGMAaAAgAGcAcgBvAHUAcAAgADoAIABmAHIAYQBjAHQAaQBvAG4AXABuAEEAIAA9ACAAYQBzAGgAIABjAG8AbgB0AGUAbgB0ACAAbwBmACAAbQBhAG4AdQByAGUAIAA6ACAAZgByAGEAYwB0AGkAbwBuAFwAbgAtAC0ALQAtAC0ALQAtAC0ALQAtAC0ALQAtAC0ALQAtAC0ALQAtAC0ALQAtAC0ALQAtAC0ALQAtAC0ALQAtAC0ALQAtAC0ALQAtAC0AXABuACoALwBcAG4AXABuAFYARQBFAFIARwBfADQAXwAxAF8AMQBfADEAXwBfADUAXwBWAG8AbABhAHQAaQBsAGUAUwBvAGwAaQBkAFAAcgBvAGQAdQBjAHQAaQBvAG4AXABuACAAIAA9AEwAQQBNAEIARABBACgAXABuACAAIAAgACAASQBfAGoALAAgAEQATQBEAF8AagAsACAAQQAsAFwAbgAgACAAIAAgAEkAXwBqACAAKgAgACgAMQAgAC0AIABEAE0ARABfAGoAKQAgACoAIAAoADEAIAAtACAAQQApAFwAbgAgACAAKQA7AFwAbgBcAG4AVgBFAEUAUgBHAF8ANABfADEAXwAxAF8AMQBfAF8ANQBfAFYAbwBsAGEAdABpAGwAZQBTAG8AbABpAGQAUAByAG8AZAB1AGMAdABpAG8AbgBfAFQAaQB0AGwAZQBcAG4AIAAgAD0ATABBAE0AQgBEAEEAKABcACIAVgBvAGwAYQB0AGkAbABlACAAcwBvAGwAaQBkACAAcAByAG8AZAB1AGMAdABpAG8AbgBcACIAKQA7AFwAbgBcAG4AVgBFAEUAUgBHAF8ANABfADEAXwAxAF8AMQBfAF8ANQBfAFYAbwBsAGEAdABpAGwAZQBTAG8AbABpAGQAUAByAG8AZAB1AGMAdABpAG8AbgBfAFYAYQByAGkAYQBiAGwAZQBcAG4AIAAgAD0ATABBAE0AQgBEAEEAKABcACIAVgBTAF8AagBcACIAKQA7AFwAbgBcAG4AVgBFAEUAUgBHAF8ANABfADEAXwAxAF8AMQBfAF8ANQBfAFYAbwBsAGEAdABpAGwAZQBTAG8AbABpAGQAUAByAG8AZAB1AGMAdABpAG8AbgBfAFUAbgBpAHQAXABuACAAIAA9AEwAQQBNAEIARABBACgAXAAiAGsAZwAvAGgAZQBhAGQALwBkAGEAeQBcACIAKQA7AFwAbgBcAG4AVgBFAEUAUgBHAF8ANABfADEAXwAxAF8AMQBfAF8ANQBfAFYAbwBsAGEAdABpAGwAZQBTAG8AbABpAGQAUAByAG8AZAB1AGMAdABpAG8AbgBfAFMAbwB1AHIAYwBlAFwAbgAgACAAPQBMAEEATQBCAEQAQQAoAFwAIgBWAEUARQBSAEcAIAAyADAAMgA2ADoAIAA0AC4AMQAuADEALgAxACwAIABFAHEAdQBhAHQAaQBvAG4AIAAoADUAKQBcACIAKQA7AFwAbgBcAG4AVgBFAEUAUgBHAF8ANABfADEAXwAxAF8AMQBfAF8ANQBfAFYAbwBsAGEAdABpAGwAZQBTAG8AbABpAGQAUAByAG8AZAB1AGMAdABpAG8AbgBfAE4ASQBSAFIAZQBmAGUAcgBlAG4AYwBlAFwAbgAgACAAPQBMAEEATQBCAEQAQQAoAFwAIgBcACIAKQA7AFwAbgBcAG4AVgBFAEUAUgBHAF8ANABfADEAXwAxAF8AMQBfAF8ANQBfAFYAbwBsAGEAdABpAGwAZQBTAG8AbABpAGQAUAByAG8AZAB1AGMAdABpAG8AbgBfAEwAYQB0AGUAeABFAHEAdQBhAHQAaQBvAG4AXABuACAAIAA9AEwAQQBNAEIARABBACgAXAAiAFYAUwBfAHsAagB9AD0ASQBfAHsAagB9AFwAXAB0AGkAbQBlAHMAKAAxAC0ARABNAEQAXwB7AGoAfQApAFwAXAB0AGkAbQBlAHMAKAAxAC0AQQApAFwAIgApADsAXABuAFwAbgBWAEUARQBSAEcAXwA0AF8AMQBfADEAXwAxAF8AXwA1AF8AVgBvAGwAYQB0AGkAbABlAFMAbwBsAGkAZABQAHIAbwBkAHUAYwB0AGkAbwBu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IABmAG8AcgAgAGUAYQBjAGgAIABnAHIAbwB1AHAAIABqAFwAIgAsACAAXAAiAGsAZwAgAEQATQAvAGgAZQBhAGQALwBkAGEAeQBcACIALAAgAFwAIgBJAG4AcAB1AHQAXAAiADsAXABuACAAIAAgACAAIAAgACAAIAAgACAAXAAiAEQATQBEAF8AagBcACIALABcACIAZAByAHkAIABtAGEAdAB0AGUAcgAgAGQAaQBnAGUAcwB0AGkAYgBpAGwAaQB0AHkAIABmAG8AcgAgAGUAYQBjAGgAIABnAHIAbwB1AHAAIABqAFwAIgAsACAAXAAiAGYAcgBhAGMAdABpAG8AbgBcACIALAAgAFwAIgBJAG4AcAB1AHQAXAAiADsAXABuACAAIAAgACAAIAAgACAAIAAgACAAXAAiAEEAXAAiACwAXAAiAGEAcwBoACAAYwBvAG4AdABlAG4AdAAgAG8AZgAgAG0AYQBuAHUAcgBlAFwAIgAsACAAXAAiAGYAcgBhAGMAdABpAG8AbgBcACIALAAgAFwAIgBDAG8AbgBzAHQAYQBuAHQAXAAiAFwAbgAgACAAIAAgACAAIAAgACAAfQAsACAAcgAsACAAYwApAFwAbgAgACAAIAAgACAAIAApAFwAbgAgACAAIAAgACkAXABuACAAIAApADsAXABuAFwAbgBcAG4AXABuAFwAbgBcAG4AXABuACIAfQAsAHsAIgBwAGEAdABoACIAOgAiAC8AcAByAG8AagBlAGMAdABzAC8ATQBNAFMAXwBGAGUAZQBkAGwAbwB0AF8ATQBhAG4AdQByAGUAQQBwAHAAbABpAGUAZABUAG8AUwBvAGkAbABz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OQAgAE0AYQBuAHUAcgBlACAAQQBwAHAAbABpAGUAZAAgAHQAbwAgAFMAbwBpAGw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kAXwBfADEAXwBNAGEAcwBzAE8AZgBOAGkAdAByAG8AZwBlAG4AQQBwAHAAbABpAGUAZABUAG8AUwBvAGkAbABzAFMAYwBvAHAAZQAxAFwAbgBNAGEAcwBzACAAbwBmACAAbgBpAHQAcgBvAGcAZQBuACAAYQBwAHAAbABpAGUAZAAgAHQAbwAgAHMAbwBpAGwAcwAgAGYAbwByACAAcwBjAG8AcABlACAAMQAgAGUAbQBpAHMAcwBpAG8AbgBzAFwAbgBNAE4AUwBvAGkAbABfAHMAYwBvAHAAZQAxAFwAbgBrAGcAIABOAFwAb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QBfAE0AYQBzAHMATwBmAE4AaQB0AHIAbwBnAGUAbgBBAHAAcABsAGkAZQBkAFQAbwBTAG8AaQBsAHMAUwBjAG8AcABlADE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BQAEYAXABuACAAIAApADsAXABuAFwAbgBWAEUARQBSAEcAXwA0AF8AMQBfADEAXwA5AF8AXwAxAF8ATQBhAHMAcwBPAGYATgBpAHQAcgBvAGcAZQBuAEEAcABwAGwAaQBlAGQAVABvAFMAbwBpAGwAcwBTAGMAbwBwAGUAMQBfAFQAaQB0AGwAZQBcAG4AIAAgAD0ATABBAE0AQgBEAEEAKABcACIATQBhAHMAcwAgAG8AZgAgAG4AaQB0AHIAbwBnAGUAbgAgAGEAcABwAGwAaQBlAGQAIAB0AG8AIABzAG8AaQBsAHMAIABmAG8AcgAgAHMAYwBvAHAAZQAgADEAIABlAG0AaQBzAHMAaQBvAG4AcwBcACIAKQA7AFwAbgBcAG4AVgBFAEUAUgBHAF8ANABfADEAXwAxAF8AOQBfAF8AMQBfAE0AYQBzAHMATwBmAE4AaQB0AHIAbwBnAGUAbgBBAHAAcABsAGkAZQBkAFQAbwBTAG8AaQBsAHMAUwBjAG8AcABlADEAXwBWAGEAcgBpAGEAYgBsAGUAXABuACAAIAA9AEwAQQBNAEIARABBACgAXAAiAE0ATgBTAG8AaQBsAF8AcwBjAG8AcABlADEAXAAiACkAOwBcAG4AXABuAFYARQBFAFIARwBfADQAXwAxAF8AMQBfADkAXwBfADEAXwBNAGEAcwBzAE8AZgBOAGkAdAByAG8AZwBlAG4AQQBwAHAAbABpAGUAZABUAG8AUwBvAGkAbABzAFMAYwBvAHAAZQAxAF8AVQBuAGkAdABcAG4AIAAgAD0ATABBAE0AQgBEAEEAKABcACIAawBnACAATgBcACIAKQA7AFwAbgBcAG4AVgBFAEUAUgBHAF8ANABfADEAXwAxAF8AOQBfAF8AMQBfAE0AYQBzAHMATwBmAE4AaQB0AHIAbwBnAGUAbgBBAHAAcABsAGkAZQBkAFQAbwBTAG8AaQBsAHMAUwBjAG8AcABlADEAXwBTAG8AdQByAGMAZQBcAG4AIAAgAD0ATABBAE0AQgBEAEEAKABcACIAVgBFAEUAUgBHACAAMgAwADIANgA6ACAANAAuADEALgAxAC4AOQAsACAARQBxAHUAYQB0AGkAbwBuACAAKAAxACkAXAAiACkAOwBcAG4AXABuAFYARQBFAFIARwBfADQAXwAxAF8AMQBfADkAXwBfADEAXwBNAGEAcwBzAE8AZgBOAGkAdAByAG8AZwBlAG4AQQBwAHAAbABpAGUAZABUAG8AUwBvAGkAbABzAFMAYwBvAHAAZQAxAF8ATgBJAFIAUgBlAGYAZQByAGUAbgBjAGUAXABuACAAIAA9AEwAQQBNAEIARABBACgAXAAiAFwAIgApADsAXABuAFwAbgBWAEUARQBSAEcAXwA0AF8AMQBfADEAXwA5AF8AXwAxAF8ATQBhAHMAcwBPAGYATgBpAHQAcgBvAGcAZQBuAEEAcABwAGwAaQBlAGQAVABvAFMAbwBpAGwAcwBTAGMAbwBwAGUAMQBfAEwAYQB0AGUAeABFAHEAdQBhAHQAaQBvAG4AXABuACAAIAA9AEwAQQBNAEIARABBACgAXAAiAE0ATgBTAG8AaQBsAF8AewBzAGMAbwBwAGUAMQB9AD0AXABcAHMAdQBtAF8AewBqAH0AXABcAHMAdQBtAF8AewBtAH0AXABcAHMAdQBtAF8AewBUAH0AKABNAE4AXwB7AGoAbQBUAD0AMgAsADMAfQBcAFwAdABpAG0AZQBzACgAMQAtAEUARgBfAHsAbQBUAD0AMgAsADMAfQAtAEYAcgBhAGMARwBBAFMATQBfAHsAbQBUAD0AMgAsADMAfQApACkAXABcAHQAaQBtAGUAcwAgAFAARgBcACIAKQA7AFwAbgBcAG4AVgBFAEUAUgBHAF8ANABfADEAXwAxAF8AOQBfAF8AMQBfAE0AYQBzAHMATwBmAE4AaQB0AHIAbwBnAGUAbgBBAHAAcABsAGkAZQBkAFQAbwBTAG8AaQBsAHMAUwBjAG8AcABlADEAXwBBAHIAZwB1AG0AZQBuAHQAcwBcAG4AIAAgAD0ATABBAE0AQgBEAEEAKABcAG4AIAAgACAAIABNAEEASwBFAEEAUgBSAEEAWQAoADQALAAgADQ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XAAiACwAXAAiAGsAZwAgAE4AXAAiACwAIABcACIAQwBhAGwAYwB1AGwAYQB0AGUAZAAgAGYAcgBvAG0AIAA0AC4AMQAuADEALgAzACAAKAA2ACkAKAA4ACkAXAAiADsAXABuACAAIAAgACAAIAAgACAAIAAgACAAXAAiAEUARgBfAG0AVAAyADMAXAAiACwAXAAiAG4AaQB0AHIAbwB1AHMAIABvAHgAaQBkAGUAIABlAG0AaQBzAHMAaQBvAG4AIABmAGEAYwB0AG8AcgAgAGYAbwByACAAZQBhAGMAaAAgAE0ATQBTAFwAIgAsAFwAIgBrAGcAIABOADIATwAtAE4ALwBrAGcAIABOAFwAIgAsACAAXAAiAEMAbwBuAHMAdABhAG4AdA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XAAiACwAXAAiACgAawBnACAATgBIADMALQBOACAAKwAgAE4ATwB4AC0ATgApAC8AawBnACAATgBcACIALAAgAFwAIgBDAG8AbgBzAHQAYQBuAHQAXAAiADsAXABuACAAIAAgACAAIAAgACAAIAAgACAAXAAiAFAARgBcACIALABcACIAZgByAGEAYwB0AGkAbwBuACAAbwBmACAAbQBhAG4AdQByAGUAIABhAHAAcABsAGkAZQBkACAAdABvACAAcwBvAGkAbAAgAHcAaQB0AGgAaQBuACAAdABoAGUAIABmAGUAZQBkAGwAbwB0ACAAYgBvAHUAbgBkAGEAcgB5AFwAIgAs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kAXwBfADIAXwBNAGEAcwBzAE8AZgBOAGkAdAByAG8AZwBlAG4AQQBwAHAAbABpAGUAZABUAG8AUwBvAGkAbABzAFMAYwBvAHAAZQAzAFwAbgBNAGEAcwBzACAAbwBmACAAbgBpAHQAcgBvAGcAZQBuACAAYQBwAHAAbABpAGUAZAAgAHQAbwAgAHMAbwBpAGwAcwAgAGYAbwByACAAcwBjAG8AcABlACAAMwAgAGUAbQBpAHMAcwBpAG8AbgBzAFwAbgBNAE4AUwBvAGkAbABfAHMAYwBvAHAAZQAzAFwAbgBrAGcAIABOAFwAb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BuAE0ATgBfAGoAbQBUADIAMwAgAD0AIABtAGEAcwBzACAAbwBmACAATgAgAGkAbgAgAHMAZQBjAG8AbgBkAGEAcgB5ACAAYQBuAGQAIAB0AGUAcgB0AGkAYQByAHkAIAB0AHIAZQBhAHQAbQBlAG4AdAAgAE0ATQBTACAAcwB0AGEAZwBlAHMAIABhAHMAIABjAGEAbABjAHUAbABhAHQAZQBkACAAZgBvAHIAIABtAGEAbgB1AHIAZQAgAG0AYQBuAGEAZwBlAG0AZQBuAHQAIAA6ACAAawBnACAATgBcAG4ARQBGAF8AbQBUADIAMwAgAD0AIABuAGkAdAByAG8AdQBzACAAbwB4AGkAZABlACAAZQBtAGkAcwBzAGkAbwBuACAAZgBhAGMAdABvAHIAIABmAG8AcgAgAGUAYQBjAGgAIABNAE0AUwAgADoAIABrAGcAIABOADIATwAtAE4ALwBrAGcAIABOAFwAbgBGAHIAYQBjAEcAQQBTAE0AXwBtAFQAMgAzACAAPQAgAGYAcgBhAGMAdABpAG8AbgAgAG8AZgAgAGEAbgBpAG0AYQBsACAAdwBhAHMAdABlACAATgAgAHYAbwBsAGEAdABpAGwAaQBzAGUAZAAgAGkAbgAgAGUAYQBjAGgAIABNAE0AUwAgAGYAbwByACAAZQBhAGMAaAAgAGMAYQB0AHQAbABlACAAZwByAG8AdQBwACAAOgAgACgAawBnACAATgBIADMALQBOACAAKwAgAE4ATwB4AC0ATgApAC8AawBnACAATgBcAG4AUABGACAAPQAgAGYAcgBhAGMAdABpAG8AbgAgAG8AZgAgAG0AYQBuAHUAcgBlACAAYQBwAHAAbABpAGUAZAAgAHQAbwAgAHMAbwBpAGwAIAB3AGkAdABoAGkAbgAgAHQAaABlACAAZgBlAGUAZABsAG8AdAAgAGIAbwB1AG4AZABhAHIAeQAgADoAIABmAHIAYQBjAHQAaQBvAG4AXABuAC0ALQAtAC0ALQAtAC0ALQAtAC0ALQAtAC0ALQAtAC0ALQAtAC0ALQAtAC0ALQAtAC0ALQAtAC0ALQAtAC0ALQAtAC0ALQAtAC0ALQBcAG4AKgAvAFwAbgBcAG4AVgBFAEUAUgBHAF8ANABfADEAXwAxAF8AOQBfAF8AMgBfAE0AYQBzAHMATwBmAE4AaQB0AHIAbwBnAGUAbgBBAHAAcABsAGkAZQBkAFQAbwBTAG8AaQBsAHMAUwBjAG8AcABlADMAXABuACAAIAA9AEwAQQBNAEIARABBACgAXABuACAAIAAgACAATQBOAF8AagBtAFQAMgAzACwAIABFAEYAXwBtAFQAMgAzACwAIABGAHIAYQBjAEcAQQBTAE0AXwBtAFQAMgAzACwAIABQAEYALABcAG4AIAAgACAAIAAoAE0ATgBfAGoAbQBUADIAMwAgACoAIAAoADEAIAAtACAARQBGAF8AbQBUADIAMwAgAC0AIABGAHIAYQBjAEcAQQBTAE0AXwBtAFQAMgAzACkAKQAgACoAIAAoADEAIAAtACAAUABGACkAXABuACAAIAApADsAXABuAFwAbgBWAEUARQBSAEcAXwA0AF8AMQBfADEAXwA5AF8AXwAyAF8ATQBhAHMAcwBPAGYATgBpAHQAcgBvAGcAZQBuAEEAcABwAGwAaQBlAGQAVABvAFMAbwBpAGwAcwBTAGMAbwBwAGUAMwBfAFQAaQB0AGwAZQBcAG4AIAAgAD0ATABBAE0AQgBEAEEAKABcACIATQBhAHMAcwAgAG8AZgAgAG4AaQB0AHIAbwBnAGUAbgAgAGEAcABwAGwAaQBlAGQAIAB0AG8AIABzAG8AaQBsAHMAIABmAG8AcgAgAHMAYwBvAHAAZQAgADMAIABlAG0AaQBzAHMAaQBvAG4AcwBcACIAKQA7AFwAbgBcAG4AVgBFAEUAUgBHAF8ANABfADEAXwAxAF8AOQBfAF8AMgBfAE0AYQBzAHMATwBmAE4AaQB0AHIAbwBnAGUAbgBBAHAAcABsAGkAZQBkAFQAbwBTAG8AaQBsAHMAUwBjAG8AcABlADMAXwBWAGEAcgBpAGEAYgBsAGUAXABuACAAIAA9AEwAQQBNAEIARABBACgAXAAiAE0ATgBTAG8AaQBsAF8AcwBjAG8AcABlADMAXAAiACkAOwBcAG4AXABuAFYARQBFAFIARwBfADQAXwAxAF8AMQBfADkAXwBfADIAXwBNAGEAcwBzAE8AZgBOAGkAdAByAG8AZwBlAG4AQQBwAHAAbABpAGUAZABUAG8AUwBvAGkAbABzAFMAYwBvAHAAZQAzAF8AVQBuAGkAdABcAG4AIAAgAD0ATABBAE0AQgBEAEEAKABcACIAawBnACAATgBcACIAKQA7AFwAbgBcAG4AVgBFAEUAUgBHAF8ANABfADEAXwAxAF8AOQBfAF8AMgBfAE0AYQBzAHMATwBmAE4AaQB0AHIAbwBnAGUAbgBBAHAAcABsAGkAZQBkAFQAbwBTAG8AaQBsAHMAUwBjAG8AcABlADMAXwBTAG8AdQByAGMAZQBcAG4AIAAgAD0ATABBAE0AQgBEAEEAKABcACIAVgBFAEUAUgBHACAAMgAwADIANgA6ACAANAAuADEALgAxAC4AOQAsACAARQBxAHUAYQB0AGkAbwBuACAAKAAyACkAXAAiACkAOwBcAG4AXABuAFYARQBFAFIARwBfADQAXwAxAF8AMQBfADkAXwBfADIAXwBNAGEAcwBzAE8AZgBOAGkAdAByAG8AZwBlAG4AQQBwAHAAbABpAGUAZABUAG8AUwBvAGkAbABzAFMAYwBvAHAAZQAzAF8ATgBJAFIAUgBlAGYAZQByAGUAbgBjAGUAXABuACAAIAA9AEwAQQBNAEIARABBACgAXAAiAFwAIgApADsAXABuAFwAbgBWAEUARQBSAEcAXwA0AF8AMQBfADEAXwA5AF8AXwAyAF8ATQBhAHMAcwBPAGYATgBpAHQAcgBvAGcAZQBuAEEAcABwAGwAaQBlAGQAVABvAFMAbwBpAGwAcwBTAGMAbwBwAGUAMwBfAEwAYQB0AGUAeABFAHEAdQBhAHQAaQBvAG4AXABuACAAIAA9AEwAQQBNAEIARABBACgAXAAiAE0ATgBTAG8AaQBsAF8AewBzAGMAbwBwAGUAMwB9AD0AXABcAHMAdQBtAF8AewBqAH0AXABcAHMAdQBtAF8AewBtAH0AXABcAHMAdQBtAF8AewBUAH0AKABNAE4AXwB7AGoAbQBUAD0AMgAsADMAfQBcAFwAdABpAG0AZQBzACgAMQAtAEUARgBfAHsAbQBUAD0AMgAsADMAfQAtAEYAcgBhAGMARwBBAFMATQBfAHsAbQBUAD0AMgAsADMAfQApACkAXABcAHQAaQBtAGUAcwAoADEALQBQAEYAKQBcACIAKQA7AFwAbgBcAG4AVgBFAEUAUgBHAF8ANABfADEAXwAxAF8AOQBfAF8AMgBfAE0AYQBzAHMATwBmAE4AaQB0AHIAbwBnAGUAbgBBAHAAcABsAGkAZQBkAFQAbwBTAG8AaQBsAHMAUwBjAG8AcABlADMAXwBBAHIAZwB1AG0AZQBuAHQAcwBcAG4AIAAgAD0ATABBAE0AQgBEAEEAKABcAG4AIAAgACAAIABNAEEASwBFAEEAUgBSAEEAWQAoADQALAAgADQALABcAG4AIAAgACAAIAAgACAATABBAE0AQgBEAEEAKAByACwAYwAsAFwAbgAgACAAIAAgACAAIAAgACAASQBOAEQARQBYACgAewBcAG4AIAAgACAAIAAgACAAIAAgACAAIABcACIATQBOAF8AagBtAFQAMgAzAFwAIgAsAFwAIgBtAGEAcwBzACAAbwBmACAATgAgAGkAbgAgAHMAZQBjAG8AbgBkAGEAcgB5ACAAYQBuAGQAIAB0AGUAcgB0AGkAYQByAHkAIAB0AHIAZQBhAHQAbQBlAG4AdAAgAE0ATQBTACAAcwB0AGEAZwBlAHMAIABhAHMAIABjAGEAbABjAHUAbABhAHQAZQBkACAAZgBvAHIAIABtAGEAbgB1AHIAZQAgAG0AYQBuAGEAZwBlAG0AZQBuAHQAXAAiACwAXAAiAGsAZwAgAE4AXAAiACwAIABcACIAQwBhAGwAYwB1AGwAYQB0AGUAZAAgAGYAcgBvAG0AIAA0AC4AMQAuADEALgAzACAAKAA2ACkAKAA4ACkAXAAiADsAXABuACAAIAAgACAAIAAgACAAIAAgACAAXAAiAEUARgBfAG0AVAAyADMAXAAiACwAXAAiAG4AaQB0AHIAbwB1AHMAIABvAHgAaQBkAGUAIABlAG0AaQBzAHMAaQBvAG4AIABmAGEAYwB0AG8AcgAgAGYAbwByACAAZQBhAGMAaAAgAE0ATQBTAFwAIgAsAFwAIgBrAGcAIABOADIATwAtAE4ALwBrAGcAIABOAFwAIgAsACAAXAAiAEMAbwBuAHMAdABhAG4AdABcACIAOwBcAG4AIAAgACAAIAAgACAAIAAgACAAIABcACIARgByAGEAYwBHAEEAUwBNAF8AbQBUADIAMwBcACIALABcACIAZgByAGEAYwB0AGkAbwBuACAAbwBmACAAYQBuAGkAbQBhAGwAIAB3AGEAcwB0AGUAIABOACAAdgBvAGwAYQB0AGkAbABpAHMAZQBkACAAaQBuACAAZQBhAGMAaAAgAE0ATQBTACAAZgBvAHIAIABlAGEAYwBoACAAYwBhAHQAdABsAGUAIABnAHIAbwB1AHAAXAAiACwAXAAiACgAawBnACAATgBIADMALQBOACAAKwAgAE4ATwB4AC0ATgApAC8AawBnACAATgBcACIALAAgAFwAIgBDAG8AbgBzAHQAYQBuAHQAXAAiADsAXABuACAAIAAgACAAIAAgACAAIAAgACAAXAAiAFAARgBcACIALABcACIAZgByAGEAYwB0AGkAbwBuACAAbwBmACAAbQBhAG4AdQByAGUAIABhAHAAcABsAGkAZQBkACAAdABvACAAcwBvAGkAbAAgAHcAaQB0AGgAaQBuACAAdABoAGUAIABmAGUAZQBkAGwAbwB0ACAAYgBvAHUAbgBkAGEAcgB5AFwAIgAsAFwAIgBmAHIAYQBjAHQAaQBvAG4AXAAiACwAIABcACIASQBuAHAAdQB0AFwAIgBcAG4AIAAgACAAIAAgACAAIAAgAH0ALAAgAHIALAAgAGMAKQBcAG4AIAAgACAAIAAgACAAKQBcAG4AIAAgACAAIAApAFwAbgAgACAAKQA7AFwAbgBcAG4AXABuACIAfQAsAHsAIgBwAGEAdABoACIAOgAiAC8AcAByAG8AagBlAGMAdABzAC8ATQBNAFMAXwBGAGUAZQBkAGwAbwB0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1ACAATQBlAHQAaABvAGQAIAAxACAALQAgAE0AYQBuAHUAcgBlACAAQQB0AG0AbwBzAHAAaABlAHIAaQBjACAARABlAHAAbwBzAGkAdABpAG8Abg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NQBfAF8AMQBfAFQAbwB0AGEAbABBAG4AbgB1AGEAbABBAHQAbQBvAHMAcABoAGUAcgBpAGMARABlAHAAbwBzAGkAdABpAG8AbgBFAG0AaQBzAHMAaQBvAG4AcwBcAG4AVABvAHQAYQBsACAAYQBuAG4AdQBhAGwAIABhAHQAbQBvAHMAcABoAGUAcgBpAGMAIABkAGUAcABvAHMAaQB0AGkAbwBuACAAZQBtAGkAcwBzAGkAbwBuAHMAIABmAHIAbwBtACAAbQBhAG4AdQByAGUAIABtAGEAbgBhAGcAZQBtAGUAbgB0AFwAbgBFAF8ATgAyAE8AYQBkAFwAbgB0ACAATgAyAE8AXABuAEUAXwB7AE4AMgBPACwAYQBkAH0APQAoAE0ATQBTAF8AewBBAFQATQBPAFMAfQBcAFwAdABpAG0AZQBzACAARQBGAF8AewBOADIATwB9AFwAXAB0AGkAbQBlAHMAIABDAF8AewBOADIATwB9ACkAXABcAHQAaQBtAGUAcwAxADAAXgB7AC0AMwB9AFwAbgBNAE0AUwBfAEEAVABNAE8AUwAgAD0AIABtAGEAcwBzACAAbwBmACAATgAgAHYAbwBsAGEAdABpAGwAaQBzAGUAZAAgAGYAcgBvAG0AIABNAE0AUwAgADoAIABrAGcAIABOAFwAbgBFAEYAXwBOADIATwAgAD0AIABuAGkAdAByAG8AdQBzACAAbwB4AGkAZABlACAAZQBtAGkAcwBzAGkAbwBuACAAZgBhAGMAdABvAHIAIABmAG8AcgAgAGEAdABtAG8AcwBwAGgAZQByAGkAYwAgAGQAZQBwAG8AcwBpAHQAaQBvAG4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UAXwBfADEAXwBUAG8AdABhAGwAQQBuAG4AdQBhAGwAQQB0AG0AbwBzAHAAaABlAHIAaQBjAEQAZQBwAG8AcwBpAHQAaQBvAG4ARQBtAGkAcwBzAGkAbwBuAHMAXABuACAAIAA9AEwAQQBNAEIARABBACgAXABuACAAIAAgACAATQBNAFMAXwBBAFQATQBPAFMALAAgAEUARgBfAE4AMgBPACwAIABDAF8ATgAyAE8ALABcAG4AIAAgACAAIAAoAE0ATQBTAF8AQQBUAE0ATwBTACAAKgAgAEUARgBfAE4AMgBPACAAKgAgAEMAXwBOADIATwApACAAKgAgADEAMAAgAF4AIAAtADMAXABuACAAIAApADsAXABuAFwAbgBWAEUARQBSAEcAXwA0AF8AMQBfADEAXwA1AF8AXwAxAF8AVABvAHQAYQBsAEEAbgBuAHUAYQBsAEEAdABtAG8AcwBwAGgAZQByAGkAYwBEAGUAcABvAHMAaQB0AGkAbwBuAEUAbQBpAHMAcwBpAG8AbgBzAF8AVABpAHQAbABlAFwAbgAgACAAPQBMAEEATQBCAEQAQQAoAFwAIgBUAG8AdABhAGwAIABhAG4AbgB1AGEAbAAgAGEAdABtAG8AcwBwAGgAZQByAGkAYwAgAGQAZQBwAG8AcwBpAHQAaQBvAG4AIABlAG0AaQBzAHMAaQBvAG4AcwAgAGYAcgBvAG0AIABtAGEAbgB1AHIAZQAgAG0AYQBuAGEAZwBlAG0AZQBuAHQAXAAiACkAOwBcAG4AXABuAFYARQBFAFIARwBfADQAXwAxAF8AMQBfADUAXwBfADEAXwBUAG8AdABhAGwAQQBuAG4AdQBhAGwAQQB0AG0AbwBzAHAAaABlAHIAaQBjAEQAZQBwAG8AcwBpAHQAaQBvAG4ARQBtAGkAcwBzAGkAbwBuAHMAXwBWAGEAcgBpAGEAYgBsAGUAXABuACAAIAA9AEwAQQBNAEIARABBACgAXAAiAEUAXwBOADIATwBhAGQAXAAiACkAOwBcAG4AXABuAFYARQBFAFIARwBfADQAXwAxAF8AMQBfADUAXwBfADEAXwBUAG8AdABhAGwAQQBuAG4AdQBhAGwAQQB0AG0AbwBzAHAAaABlAHIAaQBjAEQAZQBwAG8AcwBpAHQAaQBvAG4ARQBtAGkAcwBzAGkAbwBuAHMAXwBVAG4AaQB0AFwAbgAgACAAPQBMAEEATQBCAEQAQQAoAFwAIgB0ACAATgAyAE8AXAAiACkAOwBcAG4AXABuAFYARQBFAFIARwBfADQAXwAxAF8AMQBfADUAXwBfADEAXwBUAG8AdABhAGwAQQBuAG4AdQBhAGwAQQB0AG0AbwBzAHAAaABlAHIAaQBjAEQAZQBwAG8AcwBpAHQAaQBvAG4ARQBtAGkAcwBzAGkAbwBuAHMAXwBTAG8AdQByAGMAZQBcAG4AIAAgAD0ATABBAE0AQgBEAEEAKABcACIAVgBFAEUAUgBHACAAMgAwADIANgA6ACAANAAuADEALgAxAC4ANQAsACAARQBxAHUAYQB0AGkAbwBuACAAKAAxACkAXAAiACkAOwBcAG4AXABuAFYARQBFAFIARwBfADQAXwAxAF8AMQBfADUAXwBfADEAXwBUAG8AdABhAGwAQQBuAG4AdQBhAGwAQQB0AG0AbwBzAHAAaABlAHIAaQBjAEQAZQBwAG8AcwBpAHQAaQBvAG4ARQBtAGkAcwBzAGkAbwBuAHMAXwBOAEkAUgBSAGUAZgBlAHIAZQBuAGMAZQBcAG4AIAAgAD0ATABBAE0AQgBEAEEAKABcACIAXAAiACkAOwBcAG4AXABuAFYARQBFAFIARwBfADQAXwAxAF8AMQBfADUAXwBfADEAXwBUAG8AdABhAGwAQQBuAG4AdQBhAGwAQQB0AG0AbwBzAHAAaABlAHIAaQBjAEQAZQBwAG8AcwBpAHQAaQBvAG4ARQBtAGkAcwBzAGkAbwBuAHMAXwBMAGEAdABlAHgARQBxAHUAYQB0AGkAbwBuAFwAbgAgACAAPQBMAEEATQBCAEQAQQAoAFwAIgBFAF8AewBOADIATwAsAGEAZAB9AD0AKABNAE0AUwBfAHsAQQBUAE0ATwBTAH0AXABcAHQAaQBtAGUAcwAgAEUARgBfAHsATgAyAE8AfQBcAFwAdABpAG0AZQBzACAAQwBfAHsATgAyAE8AfQApAFwAXAB0AGkAbQBlAHMAMQAwAF4AewAtADMAfQBcACIAKQA7AFwAbgBcAG4AVgBFAEUAUgBHAF8ANABfADEAXwAxAF8ANQBfAF8AMQBfAFQAbwB0AGEAbABBAG4AbgB1AGEAbABBAHQAbQBvAHMAcABoAGUAcgBpAGMARABlAHAAbwBzAGkAdABpAG8AbgBFAG0AaQBzAHMAaQBvAG4AcwBfAEEAcgBnAHUAbQBlAG4AdABzAFwAbgAgACAAPQBMAEEATQBCAEQAQQAoAFwAbgAgACAAIAAgAE0AQQBLAEUAQQBSAFIAQQBZACgANgAsACAANAAsAFwAbgAgACAAIAAgACAAIABMAEEATQBCAEQAQQAoAHIALABjACwAXABuACAAIAAgACAAIAAgACAAIABJAE4ARABFAFgAKAB7AFwAbgAgACAAIAAgACAAIAAgACAAIAAgAFwAIgBNAE0AUwBfAEEAVABNAE8AUwBcACIALABcACIAbQBhAHMAcwAgAG8AZgAgAE4AIAB2AG8AbABhAHQAaQBsAGkAcwBlAGQAIABmAHIAbwBtACAATQBNAFMAXAAiACwAIABcACIAawBnACAATgBcACIALAAgAFwAIgBDAGEAbABjAHUAbABhAHQAZQBkACAAZgByAG8AbQAgADQALgAxAC4AMQAuADUAIAAoADIAKQBcACIAOwBcAG4AIAAgACAAIAAgACAAIAAgACAAIABcACIARQBGAF8ATgAyAE8AXAAiACw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NQBfAF8AMgBfAFYAbwBsAGEAdABpAGwAaQBzAGUAZABOAGkAdAByAG8AZwBlAG4ARgByAG8AbQBNAGEAbgB1AHIAZQBNAGEAbgBhAGcAZQBtAGUAbgB0AFwAbgBWAG8AbABhAHQAaQBsAGkAcwBlAGQAIABuAGkAdAByAG8AZwBlAG4AIABmAHIAbwBtACAAbQBhAG4AdQByAGUAIABtAGEAbgBhAGcAZQBtAGUAbgB0AFwAbgBNAE0AUwBfAEEAVABNAE8AUwBcAG4AawBnACAATgBcAG4ATQBNAFMAXwB7AEEAVABNAE8AUwB9AD0AXABcAHMAdQBtAF8AewBqAH0AXABcAHMAdQBtAF8AewBtAH0AXABcAHMAdQBtAF8AewBUAH0AKABNAE4AXwB7AGoAbQBUAH0AXABcAHQAaQBtAGUAcwAgAEYAcgBhAGMARwBBAFMATQBfAHsAbQBUAH0AKQBcAG4ATQBOAF8AagBtAFQAIAA9ACAAbgBpAHQAcgBvAGcAZQBuACAAaQBuACAAZQBhAGMAaAAgAHQAcgBlAGEAdABtAGUAbgB0ACAAcwB0AGEAZwBlACAATQBNAFMAIAAoAGUAeABjAGwAdQBkAGkAbgBnACAATQBOAF8AaQBqAG0AMQAzAFQAMgApACAAOgAgAGsAZwAgAE4AXABuAEYAcgBhAGMARwBBAFMATQBfAG0AVAAgAD0AIABmAHIAYQBjAHQAaQBvAG4AIABvAGYAIABOACAAdgBvAGwAYQB0AGkAbABpAHMAZQBkACAAaQBuACAAZQBhAGMAaAAgAE0ATQBTACAAOgAgACgAawBnACAATgBIADMALQBOACAAKwAgAE4ATwB4AC0ATgApAC8AawBnACAATgBcAG4ALQAtAC0ALQAtAC0ALQAtAC0ALQAtAC0ALQAtAC0ALQAtAC0ALQAtAC0ALQAtAC0ALQAtAC0ALQAtAC0ALQAtAC0ALQAtAC0ALQAtAFwAbgAqAC8AXABuAFwAbgBWAEUARQBSAEcAXwA0AF8AMQBfADEAXwA1AF8AXwAyAF8AVgBvAGwAYQB0AGkAbABpAHMAZQBkAE4AaQB0AHIAbwBnAGUAbgBGAHIAbwBtAE0AYQBuAHUAcgBlAE0AYQBuAGEAZwBlAG0AZQBuAHQAXABuACAAIAA9AEwAQQBNAEIARABBACgAXABuACAAIAAgACAATQBOAF8AagBtAFQALAAgAEYAcgBhAGMARwBBAFMATQBfAG0AVAAsAFwAbgAgACAAIAAgAE0ATgBfAGoAbQBUACAAKgAgAEYAcgBhAGMARwBBAFMATQBfAG0AVABcAG4AIAAgACkAOwBcAG4AXABuAFYARQBFAFIARwBfADQAXwAxAF8AMQBfADUAXwBfADIAXwBWAG8AbABhAHQAaQBsAGkAcwBlAGQATgBpAHQAcgBvAGcAZQBuAEYAcgBvAG0ATQBhAG4AdQByAGUATQBhAG4AYQBnAGUAbQBlAG4AdABfAFQAaQB0AGwAZQBcAG4AIAAgAD0ATABBAE0AQgBEAEEAKABcACIAVgBvAGwAYQB0AGkAbABpAHMAZQBkACAAbgBpAHQAcgBvAGcAZQBuACAAZgByAG8AbQAgAG0AYQBuAHUAcgBlACAAbQBhAG4AYQBnAGUAbQBlAG4AdABcACIAKQA7AFwAbgBcAG4AVgBFAEUAUgBHAF8ANABfADEAXwAxAF8ANQBfAF8AMgBfAFYAbwBsAGEAdABpAGwAaQBzAGUAZABOAGkAdAByAG8AZwBlAG4ARgByAG8AbQBNAGEAbgB1AHIAZQBNAGEAbgBhAGcAZQBtAGUAbgB0AF8AVgBhAHIAaQBhAGIAbABlAFwAbgAgACAAPQBMAEEATQBCAEQAQQAoAFwAIgBNAE0AUwBfAEEAVABNAE8AUwBcACIAKQA7AFwAbgBcAG4AVgBFAEUAUgBHAF8ANABfADEAXwAxAF8ANQBfAF8AMgBfAFYAbwBsAGEAdABpAGwAaQBzAGUAZABOAGkAdAByAG8AZwBlAG4ARgByAG8AbQBNAGEAbgB1AHIAZQBNAGEAbgBhAGcAZQBtAGUAbgB0AF8AVQBuAGkAdABcAG4AIAAgAD0ATABBAE0AQgBEAEEAKABcACIAawBnACAATgBcACIAKQA7AFwAbgBcAG4AVgBFAEUAUgBHAF8ANABfADEAXwAxAF8ANQBfAF8AMgBfAFYAbwBsAGEAdABpAGwAaQBzAGUAZABOAGkAdAByAG8AZwBlAG4ARgByAG8AbQBNAGEAbgB1AHIAZQBNAGEAbgBhAGcAZQBtAGUAbgB0AF8AUwBvAHUAcgBjAGUAXABuACAAIAA9AEwAQQBNAEIARABBACgAXAAiAFYARQBFAFIARwAgADIAMAAyADYAOgAgADQALgAxAC4AMQAuADUALAAgAEUAcQB1AGEAdABpAG8AbgAgACgAMgApAFwAIgApADsAXABuAFwAbgBWAEUARQBSAEcAXwA0AF8AMQBfADEAXwA1AF8AXwAyAF8AVgBvAGwAYQB0AGkAbABpAHMAZQBkAE4AaQB0AHIAbwBnAGUAbgBGAHIAbwBtAE0AYQBuAHUAcgBlAE0AYQBuAGEAZwBlAG0AZQBuAHQAXwBOAEkAUgBSAGUAZgBlAHIAZQBuAGMAZQBcAG4AIAAgAD0ATABBAE0AQgBEAEEAKABcACIAXAAiACkAOwBcAG4AXABuAFYARQBFAFIARwBfADQAXwAxAF8AMQBfADUAXwBfADIAXwBWAG8AbABhAHQAaQBsAGkAcwBlAGQATgBpAHQAcgBvAGcAZQBuAEYAcgBvAG0ATQBhAG4AdQByAGUATQBhAG4AYQBnAGUAbQBlAG4AdABfAEwAYQB0AGUAeABFAHEAdQBhAHQAaQBvAG4AXABuACAAIAA9AEwAQQBNAEIARABBACgAXAAiAE0ATQBTAF8AewBBAFQATQBPAFMAfQA9AFwAXABzAHUAbQBfAHsAagB9AFwAXABzAHUAbQBfAHsAbQB9AFwAXABzAHUAbQBfAHsAVAB9ACgATQBOAF8AewBqAG0AVAB9AFwAXAB0AGkAbQBlAHMAIABGAHIAYQBjAEcAQQBTAE0AXwB7AG0AVAB9ACkAXAAiACkAOwBcAG4AXABuAFYARQBFAFIARwBfADQAXwAxAF8AMQBfADUAXwBfADIAXwBWAG8AbABhAHQAaQBsAGkAcwBlAGQATgBpAHQAcgBvAGcAZQBuAEYAcgBvAG0ATQBhAG4AdQByAGUATQBhAG4AYQBnAGUAbQBlAG4AdABfAEEAcgBnAHUAbQBlAG4AdABzAFwAbgAgACAAPQBMAEEATQBCAEQAQQAoAFwAbgAgACAAIAAgAE0AQQBLAEUAQQBSAFIAQQBZACgAMgAsACAANAAsAFwAbgAgACAAIAAgACAAIABMAEEATQBCAEQAQQAoAHIALABjACwAXABuACAAIAAgACAAIAAgACAAIABJAE4ARABFAFgAKAB7AFwAbgAgACAAIAAgACAAIAAgACAAIAAgAFwAIgBNAE4AXwBqAG0AVABcACIALABcACIAbgBpAHQAcgBvAGcAZQBuACAAaQBuACAAZQBhAGMAaAAgAHQAcgBlAGEAdABtAGUAbgB0ACAAcwB0AGEAZwBlACAATQBNAFMAIAAoAGUAeABjAGwAdQBkAGkAbgBnACAATQBOAF8AaQBqAG0AMQAzAFQAMgApAFwAIgAsACAAXAAiAGsAZwAgAE4AXAAiACwAIABcACIAQwBhAGwAYwB1AGwAYQB0AGUAZAAgAGYAcgBvAG0AIAA0AC4AMQAuADEALgAzACAAKAAyACkAKAA2ACkAKAA4ACkAXAAiADsAXABuACAAIAAgACAAIAAgACAAIAAgACAAXAAiAEYAcgBhAGMARwBBAFMATQBfAG0AVABcACIALABcACIAZgByAGEAYwB0AGkAbwBuACAAbwBmACAATgAgAHYAbwBsAGEAdABpAGwAaQBzAGUAZAAgAGkAbgAgAGUAYQBjAGgAIABNAE0AU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0ATQBTAF8ARgBlAGUAZABsAG8Ad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MwAgAE0AZQB0AGgAbwBkACAAMQAgAC0AIABNAGEAbgB1AHIAZQAgAEQAaQByAGUAYwB0ACAATgAyAE8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MAXwBfADEAXwBUAG8AdABhAGwAQQBuAG4AdQBhAGwARABpAHIAZQBjAHQATgBpAHQAcgBvAHUAcwBPAHgAaQBkAGUARQBtAGkAcwBzAGkAbwBuAHMAXABuAFQAbwB0AGEAbAAgAGEAbgBuAHUAYQBsACAAZABpAHIAZQBjAHQAIABuAGkAdAByAG8AdQBzACAAbwB4AGkAZABlACAAZQBtAGkAcwBzAGkAbwBuAHMAIABmAHIAbwBtACAAbQBhAG4AdQByAGUAIABtAGEAbgBhAGcAZQBtAGUAbgB0ACAAcwB5AHMAdABlAG0AcwBcAG4ARQBfAE4AMgBPAGQAaQByAFwAbgB0ACAATgAyAE8AXABuAEUAXwB7AE4AMgBPACwAZABpAHIAfQA9AFwAXABzAHUAbQBfAHsAagB9AFwAXABzAHUAbQBfAHsAbQB9AFwAXABzAHUAbQBfAHsAVAB9ACgATQBOAF8AewBqAG0AVAB9AFwAXAB0AGkAbQBlAHMAIABFAEYAXwB7AGoAbQB9AFwAXAB0AGkAbQBlAHMAIABDAF8AewBOADIATwB9ACkAXABcAHQAaQBtAGUAcwAxADAAXgB7AC0AMwB9AFwAbgBNAE4AXwBqAG0AVAAgAD0AIABuAGkAdAByAG8AZwBlAG4AIABwAGUAcgAgAGMAYQB0AHQAbABlACAAZwByAG8AdQBwACwAIABNAE0AUwAgAGEAbgBkACAAdAByAGUAYQB0AG0AZQBuAHQAIABzAHQAYQBnAGUAIAA6ACAAawBnACAATgBcAG4ARQBGAF8AagBtACAAPQAgAG4AaQB0AHIAbwB1AHMAIABvAHgAaQBkAGUAIABlAG0AaQBzAHMAaQBvAG4AIABmAGEAYwB0AG8AcgAgAGYAbwByACAATQBNAFMAIAA6ACAAawBnACAATgAyAE8ALQBOAC8AawBnACAATgBcAG4AQwBfAE4AMgBPACAAPQAgAGYAYQBjAHQAbwByACAAdABvACAAYwBvAG4AdgBlAHIAdAAgAGUAbABlAG0AZQBuAHQAYQBsACAAbQBhAHMAcwAgAG8AZgAgAG4AaQB0AHIAbwB1AHMAIABvAHgAaQBkAGUAIAB0AG8AIABtAG8AbABlAGMAdQBsAGEAcgAgAG0AYQBzAHMAIAA6ACAAcgBhAHQAaQBvAFwAbgAtAC0ALQAtAC0ALQAtAC0ALQAtAC0ALQAtAC0ALQAtAC0ALQAtAC0ALQAtAC0ALQAtAC0ALQAtAC0ALQAtAC0ALQAtAC0ALQAtAC0AXABuACoALwBcAG4AXABuAFYARQBFAFIARwBfADQAXwAxAF8AMQBfADMAXwBfADEAXwBUAG8AdABhAGwAQQBuAG4AdQBhAGwARABpAHIAZQBjAHQATgBpAHQAcgBvAHUAcwBPAHgAaQBkAGUARQBtAGkAcwBzAGkAbwBuAHMAXABuACAAIAA9AEwAQQBNAEIARABBACgAXABuACAAIAAgACAATQBOAF8AagBtAFQALAAgAEUARgBfAGoAbQAsACAAQwBfAE4AMgBPACwAXABuACAAIAAgACAAUwBVAE0AUABSAE8ARABVAEMAVAAoAE0ATgBfAGoAbQBUACwAIABFAEYAXwBqAG0ALAAgAEMAXwBOADIATwApACAAKgAgADEAMAAgAF4AIAAtADMAXABuACAAIAApADsAXABuAFwAbgBWAEUARQBSAEcAXwA0AF8AMQBfADEAXwAzAF8AXwAxAF8AVABvAHQAYQBsAEEAbgBuAHUAYQBsAEQAaQByAGUAYwB0AE4AaQB0AHIAbwB1AHMATwB4AGkAZABlAEUAbQBpAHMAcwBpAG8AbgBzAF8AVABpAHQAbABlAFwAbgAgACAAPQBMAEEATQBCAEQAQQAoAFwAIgBUAG8AdABhAGwAIABhAG4AbgB1AGEAbAAgAGQAaQByAGUAYwB0ACAAbgBpAHQAcgBvAHUAcwAgAG8AeABpAGQAZQAgAGUAbQBpAHMAcwBpAG8AbgBzACAAZgByAG8AbQAgAG0AYQBuAHUAcgBlACAAbQBhAG4AYQBnAGUAbQBlAG4AdAAgAHMAeQBzAHQAZQBtAHMAXAAiACkAOwBcAG4AXABuAFYARQBFAFIARwBfADQAXwAxAF8AMQBfADMAXwBfADEAXwBUAG8AdABhAGwAQQBuAG4AdQBhAGwARABpAHIAZQBjAHQATgBpAHQAcgBvAHUAcwBPAHgAaQBkAGUARQBtAGkAcwBzAGkAbwBuAHMAXwBWAGEAcgBpAGEAYgBsAGUAXABuACAAIAA9AEwAQQBNAEIARABBACgAXAAiAEUAXwBOADIATwBkAGkAcgBcACIAKQA7AFwAbgBcAG4AVgBFAEUAUgBHAF8ANABfADEAXwAxAF8AMwBfAF8AMQBfAFQAbwB0AGEAbABBAG4AbgB1AGEAbABEAGkAcgBlAGMAdABOAGkAdAByAG8AdQBzAE8AeABpAGQAZQBFAG0AaQBzAHMAaQBvAG4AcwBfAFUAbgBpAHQAXABuACAAIAA9AEwAQQBNAEIARABBACgAXAAiAHQAIABOADIATwBcACIAKQA7AFwAbgBcAG4AVgBFAEUAUgBHAF8ANABfADEAXwAxAF8AMwBfAF8AMQBfAFQAbwB0AGEAbABBAG4AbgB1AGEAbABEAGkAcgBlAGMAdABOAGkAdAByAG8AdQBzAE8AeABpAGQAZQBFAG0AaQBzAHMAaQBvAG4AcwBfAFMAbwB1AHIAYwBlAFwAbgAgACAAPQBMAEEATQBCAEQAQQAoAFwAIgBWAEUARQBSAEcAIAAyADAAMgA2ADoAIAA0AC4AMQAuADEALgAzACwAIABFAHEAdQBhAHQAaQBvAG4AIAAoADEAKQBcACIAKQA7AFwAbgBcAG4AVgBFAEUAUgBHAF8ANABfADEAXwAxAF8AMwBfAF8AMQBfAFQAbwB0AGEAbABBAG4AbgB1AGEAbABEAGkAcgBlAGMAdABOAGkAdAByAG8AdQBzAE8AeABpAGQAZQBFAG0AaQBzAHMAaQBvAG4AcwBfAE4ASQBSAFIAZQBmAGUAcgBlAG4AYwBlAFwAbgAgACAAPQBMAEEATQBCAEQAQQAoAFwAIgBcACIAKQA7AFwAbgBcAG4AVgBFAEUAUgBHAF8ANABfADEAXwAxAF8AMwBfAF8AMQBfAFQAbwB0AGEAbABBAG4AbgB1AGEAbABEAGkAcgBlAGMAdABOAGkAdAByAG8AdQBzAE8AeABpAGQAZQBFAG0AaQBzAHMAaQBvAG4AcwBfAEwAYQB0AGUAeABFAHEAdQBhAHQAaQBvAG4AXABuACAAIAA9AEwAQQBNAEIARABBACgAXAAiAEUAXwB7AE4AMgBPACwAZABpAHIAfQA9AFwAXABzAHUAbQBfAHsAagB9AFwAXABzAHUAbQBfAHsAbQB9AFwAXABzAHUAbQBfAHsAVAB9ACgATQBOAF8AewBqAG0AVAB9AFwAXAB0AGkAbQBlAHMAIABFAEYAXwB7AGoAbQB9AFwAXAB0AGkAbQBlAHMAIABDAF8AewBOADIATwB9ACkAXABcAHQAaQBtAGUAcwAxADAAXgB7AC0AMwB9AFwAIgApADsAXABuAFwAbgBWAEUARQBSAEcAXwA0AF8AMQBfADEAXwAzAF8AXwAxAF8AVABvAHQAYQBsAEEAbgBuAHUAYQBsAEQAaQByAGUAYwB0AE4AaQB0AHIAbwB1AHMATwB4AGkAZABlAEUAbQBpAHMAcwBpAG8AbgBzAF8AQQByAGcAdQBtAGUAbgB0AHMAXABuACAAIAA9AEwAQQBNAEIARABBACgAXABuACAAIAAgACAATQBBAEsARQBBAFIAUgBBAFkAKAAzACwAIAA0ACwAXABuACAAIAAgACAAIAAgAEwAQQBNAEIARABBACgAcgAsAGMALABcAG4AIAAgACAAIAAgACAAIAAgAEkATgBEAEUAWAAoAHsAXABuACAAIAAgACAAIAAgACAAIAAgACAAXAAiAE0ATgBfAGoAbQBUAFwAIgAsAFwAIgBuAGkAdAByAG8AZwBlAG4AIABwAGUAcgAgAGMAYQB0AHQAbABlACAAZwByAG8AdQBwACwAIABNAE0AUwAgAGEAbgBkACAAdAByAGUAYQB0AG0AZQBuAHQAIABzAHQAYQBnAGUAXAAiACwAIABcACIAawBnACAATgBcACIALAAgAFwAIgBDAGEAbABjAHUAbABhAHQAZQBkACAAZgByAG8AbQAgADQALgAxAC4AMQAuADMAIAAoADIAKQAoADYAKQAoADgAKQBcACIAOwBcAG4AIAAgACAAIAAgACAAIAAgACAAIABcACIARQBGAF8AagBtAFwAIgAsAFwAIgBuAGkAdAByAG8AdQBzACAAbwB4AGkAZABlACAAZQBtAGkAcwBzAGkAbwBuACAAZgBhAGMAdABvAHIAIABmAG8AcgAgAE0ATQBTAFwAIgAs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IAXwBTAHQAYQBnAGUAMQBOAGkAdAByAG8AZwBlAG4ASQBuAE0ATQBTAEQAcgB5AGwAbwB0AFwAbgBOAGkAdAByAG8AZwBlAG4AIABpAG4AIAB0AHIAZQBhAHQAbQBlAG4AdAAgAHMAdABhAGcAZQAgADEAIABNAE0AUwBcAG4ATQBOAF8AagBtADUAVAAxAFwAbgBrAGcAIABOAFwAbgBNAE4AXwB7AGoAbQA9ADUALABUAD0AMQB9AD0AQQBFAF8AewBqAH0AXABcAHQAaQBtAGUAcwAgAE0ATQBTAF8AewBqAG0APQA1ACwAVAA9ADEAfQBcAG4AQQBFAF8AagAgAD0AIAB0AG8AdABhAGwAIABuAGkAdAByAG8AZwBlAG4AIABlAHgAYwByAGUAdABlAGQAIABiAHkAIABlAGEAYwBoACAAYwBhAHQAdABsAGUAIABnAHIAbwB1AHAAIAA6ACAAawBnACAATgBcAG4ATQBNAFMAXwBqAG0ANQBUADEAIAA9ACAAZgByAGEAYwB0AGkAbwBuACAAbwBmACAAbQBhAG4AdQByAGUAIABpAG4AIABwAHIAaQBtAGEAcgB5ACAAcwB5AHMAdABlAG0AIABkAHIAeQBsAG8AdAAgAE0ATQBTACAAOgAgAGYAcgBhAGMAdABpAG8AbgBcAG4ALQAtAC0ALQAtAC0ALQAtAC0ALQAtAC0ALQAtAC0ALQAtAC0ALQAtAC0ALQAtAC0ALQAtAC0ALQAtAC0ALQAtAC0ALQAtAC0ALQAtAFwAbgAqAC8AXABuAFwAbgBWAEUARQBSAEcAXwA0AF8AMQBfADEAXwAzAF8AXwAyAF8AUwB0AGEAZwBlADEATgBpAHQAcgBvAGcAZQBuAEkAbgBNAE0AUwBEAHIAeQBsAG8AdABcAG4AIAAgAD0ATABBAE0AQgBEAEEAKABcAG4AIAAgACAAIABBAEUAXwBqACwAIABNAE0AUwBfAGoAbQA1AFQAMQAsAFwAbgAgACAAIAAgAEEARQBfAGoAIAAqACAATQBNAFMAXwBqAG0ANQBUADEAXABuACAAIAApADsAXABuAFwAbgBWAEUARQBSAEcAXwA0AF8AMQBfADEAXwAzAF8AXwAyAF8AUwB0AGEAZwBlADEATgBpAHQAcgBvAGcAZQBuAEkAbgBNAE0AUwBEAHIAeQBsAG8AdABfAFQAaQB0AGwAZQBcAG4AIAAgAD0ATABBAE0AQgBEAEEAKABcACIATgBpAHQAcgBvAGcAZQBuACAAaQBuACAAdAByAGUAYQB0AG0AZQBuAHQAIABzAHQAYQBnAGUAIAAxACAATQBNAFMAXAAiACkAOwBcAG4AXABuAFYARQBFAFIARwBfADQAXwAxAF8AMQBfADMAXwBfADIAXwBTAHQAYQBnAGUAMQBOAGkAdAByAG8AZwBlAG4ASQBuAE0ATQBTAEQAcgB5AGwAbwB0AF8AVgBhAHIAaQBhAGIAbABlAFwAbgAgACAAPQBMAEEATQBCAEQAQQAoAFwAIgBNAE4AXwBqAG0ANQBUADEAXAAiACkAOwBcAG4AXABuAFYARQBFAFIARwBfADQAXwAxAF8AMQBfADMAXwBfADIAXwBTAHQAYQBnAGUAMQBOAGkAdAByAG8AZwBlAG4ASQBuAE0ATQBTAEQAcgB5AGwAbwB0AF8AVQBuAGkAdABcAG4AIAAgAD0ATABBAE0AQgBEAEEAKABcACIAawBnACAATgBcACIAKQA7AFwAbgBcAG4AVgBFAEUAUgBHAF8ANABfADEAXwAxAF8AMwBfAF8AMgBfAFMAdABhAGcAZQAxAE4AaQB0AHIAbwBnAGUAbgBJAG4ATQBNAFMARAByAHkAbABvAHQAXwBTAG8AdQByAGMAZQBcAG4AIAAgAD0ATABBAE0AQgBEAEEAKABcACIAVgBFAEUAUgBHACAAMgAwADIANgA6ACAANAAuADEALgAxAC4AMwAsACAARQBxAHUAYQB0AGkAbwBuACAAKAAyACkAXAAiACkAOwBcAG4AXABuAFYARQBFAFIARwBfADQAXwAxAF8AMQBfADMAXwBfADIAXwBTAHQAYQBnAGUAMQBOAGkAdAByAG8AZwBlAG4ASQBuAE0ATQBTAEQAcgB5AGwAbwB0AF8ATgBJAFIAUgBlAGYAZQByAGUAbgBjAGUAXABuACAAIAA9AEwAQQBNAEIARABBACgAXAAiAFwAIgApADsAXABuAFwAbgBWAEUARQBSAEcAXwA0AF8AMQBfADEAXwAzAF8AXwAyAF8AUwB0AGEAZwBlADEATgBpAHQAcgBvAGcAZQBuAEkAbgBNAE0AUwBEAHIAeQBsAG8AdABfAEwAYQB0AGUAeABFAHEAdQBhAHQAaQBvAG4AXABuACAAIAA9AEwAQQBNAEIARABBACgAXAAiAE0ATgBfAHsAagBtAD0ANQAsAFQAPQAxAH0APQBBAEUAXwB7AGoAfQBcAFwAdABpAG0AZQBzACAATQBNAFMAXwB7AGoAbQA9ADUALABUAD0AMQB9AFwAIgApADsAXABuAFwAbgBWAEUARQBSAEcAXwA0AF8AMQBfADEAXwAzAF8AXwAyAF8AUwB0AGEAZwBlADEATgBpAHQAcgBvAGcAZQBuAEkAbgBNAE0AUwBEAHIAeQBsAG8AdABfAEEAcgBnAHUAbQBlAG4AdABzAFwAbgAgACAAPQBMAEEATQBCAEQAQQAoAFwAbgAgACAAIAAgAE0AQQBLAEUAQQBSAFIAQQBZACgAMgAsACAANAAsAFwAbgAgACAAIAAgACAAIABMAEEATQBCAEQAQQAoAHIALABjACwAXABuACAAIAAgACAAIAAgACAAIABJAE4ARABFAFgAKAB7AFwAbgAgACAAIAAgACAAIAAgACAAIAAgAFwAIgBBAEUAXwBqAFwAIgAsAFwAIgB0AG8AdABhAGwAIABuAGkAdAByAG8AZwBlAG4AIABlAHgAYwByAGUAdABlAGQAIABiAHkAIABlAGEAYwBoACAAYwBhAHQAdABsAGUAIABnAHIAbwB1AHAAXAAiACwAIABcACIAawBnACAATgBcACIALAAgAFwAIgBDAGEAbABjAHUAbABhAHQAZQBkACAAZgByAG8AbQAgADQALgAxAC4AMQAuADMAIAAoADMAKQBcACIAOwBcAG4AIAAgACAAIAAgACAAIAAgACAAIABcACIATQBNAFMAXwBqAG0ANQBUADEAXAAiACwAXAAiAGYAcgBhAGMAdABpAG8AbgAgAG8AZgAgAG0AYQBuAHUAcgBlACAAaQBuACAAcAByAGkAbQBhAHIAeQAgAHMAeQBzAHQAZQBtACAAZAByAHkAbABvAHQAIABNAE0AUw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MAXwBBAG4AbgB1AGEAbABOAGkAdAByAG8AZwBlAG4ARQB4AGMAcgBlAHQAaQBvAG4AXABuAEEAbgBuAHUAYQBsACAAbgBpAHQAcgBvAGcAZQBuACAAZQB4AGMAcgBlAHQAaQBvAG4AIABmAHIAbwBtACAAZQBhAGMAaAAgAGYAZQBlAGQAbABvAHQAIABjAGEAdAB0AGwAZQAgAGcAcgBvAHUAcABcAG4AQQBFAF8AagBcAG4AawBnACAATgBcAG4AQQBFAF8AewBqAH0APQBOAF8AewBqAH0AXABcAHQAaQBtAGUAcwAgAE4ARQBfAHsAagB9AFwAXAB0AGkAbQBlAHMAIABEAF8AewBqAH0AXABuAE4AXwBqACAAPQAgAG4AdQBtAGIAZQByACAAbwBmACAAYwBhAHQAdABsAGUAIABpAG4AIABlAGEAYwBoACAAZwByAG8AdQBwACAAOgAgAGgAZQBhAGQAXABuAE4ARQBfAGoAIAA9ACAAbgBpAHQAcgBvAGcAZQBuACAAZQB4AGMAcgBlAHQAaQBvAG4AIAA6ACAAawBnACAATgAvAGgAZQBhAGQALwBkAGEAeQBcAG4ARABfAGoAIAA9ACAAZAB1AHIAYQB0AGkAbwBuACAAbwBmACAAcwB0AGEAeQAgAG8AZgAgAGMAYQB0AHQAbABlACAAZwByAG8AdQBwACAAOgAgAGQAYQB5AHMAXABuAC0ALQAtAC0ALQAtAC0ALQAtAC0ALQAtAC0ALQAtAC0ALQAtAC0ALQAtAC0ALQAtAC0ALQAtAC0ALQAtAC0ALQAtAC0ALQAtAC0ALQBcAG4AKgAvAFwAbgBcAG4AVgBFAEUAUgBHAF8ANABfADEAXwAxAF8AMwBfAF8AMwBfAEEAbgBuAHUAYQBsAE4AaQB0AHIAbwBnAGUAbgBFAHgAYwByAGUAdABpAG8AbgBcAG4AIAAgAD0ATABBAE0AQgBEAEEAKABcAG4AIAAgACAAIABOAF8AagAsACAATgBFAF8AagAsACAARABfAGoALABcAG4AIAAgACAAIABOAF8AagAgACoAIABOAEUAXwBqACAAKgAgAEQAXwBqAFwAbgAgACAAKQA7AFwAbgBcAG4AVgBFAEUAUgBHAF8ANABfADEAXwAxAF8AMwBfAF8AMwBfAEEAbgBuAHUAYQBsAE4AaQB0AHIAbwBnAGUAbgBFAHgAYwByAGUAdABpAG8AbgBfAFQAaQB0AGwAZQBcAG4AIAAgAD0ATABBAE0AQgBEAEEAKABcACIAQQBuAG4AdQBhAGwAIABuAGkAdAByAG8AZwBlAG4AIABlAHgAYwByAGUAdABpAG8AbgAgAGYAcgBvAG0AIABlAGEAYwBoACAAZgBlAGUAZABsAG8AdAAgAGMAYQB0AHQAbABlACAAZwByAG8AdQBwAFwAIgApADsAXABuAFwAbgBWAEUARQBSAEcAXwA0AF8AMQBfADEAXwAzAF8AXwAzAF8AQQBuAG4AdQBhAGwATgBpAHQAcgBvAGcAZQBuAEUAeABjAHIAZQB0AGkAbwBuAF8AVgBhAHIAaQBhAGIAbABlAFwAbgAgACAAPQBMAEEATQBCAEQAQQAoAFwAIgBBAEUAXwBqAFwAIgApADsAXABuAFwAbgBWAEUARQBSAEcAXwA0AF8AMQBfADEAXwAzAF8AXwAzAF8AQQBuAG4AdQBhAGwATgBpAHQAcgBvAGcAZQBuAEUAeABjAHIAZQB0AGkAbwBuAF8AVQBuAGkAdABcAG4AIAAgAD0ATABBAE0AQgBEAEEAKABcACIAawBnACAATgBcACIAKQA7AFwAbgBcAG4AVgBFAEUAUgBHAF8ANABfADEAXwAxAF8AMwBfAF8AMwBfAEEAbgBuAHUAYQBsAE4AaQB0AHIAbwBnAGUAbgBFAHgAYwByAGUAdABpAG8AbgBfAFMAbwB1AHIAYwBlAFwAbgAgACAAPQBMAEEATQBCAEQAQQAoAFwAIgBWAEUARQBSAEcAIAAyADAAMgA2ADoAIAA0AC4AMQAuADEALgAzACwAIABFAHEAdQBhAHQAaQBvAG4AIAAoADMAKQBcACIAKQA7AFwAbgBcAG4AVgBFAEUAUgBHAF8ANABfADEAXwAxAF8AMwBfAF8AMwBfAEEAbgBuAHUAYQBsAE4AaQB0AHIAbwBnAGUAbgBFAHgAYwByAGUAdABpAG8AbgBfAE4ASQBSAFIAZQBmAGUAcgBlAG4AYwBlAFwAbgAgACAAPQBMAEEATQBCAEQAQQAoAFwAIgBcACIAKQA7AFwAbgBcAG4AVgBFAEUAUgBHAF8ANABfADEAXwAxAF8AMwBfAF8AMwBfAEEAbgBuAHUAYQBsAE4AaQB0AHIAbwBnAGUAbgBFAHgAYwByAGUAdABpAG8AbgBfAEwAYQB0AGUAeABFAHEAdQBhAHQAaQBvAG4AXABuACAAIAA9AEwAQQBNAEIARABBACgAXAAiAEEARQBfAHsAagB9AD0ATgBfAHsAagB9AFwAXAB0AGkAbQBlAHMAIABOAEUAXwB7AGoAfQBcAFwAdABpAG0AZQBzACAARABfAHsAagB9AFwAIgApADsAXABuAFwAbgBWAEUARQBSAEcAXwA0AF8AMQBfADEAXwAzAF8AXwAzAF8AQQBuAG4AdQBhAGwATgBpAHQAcgBvAGcAZQBuAEUAeABjAHIAZQB0AGkAbwBuAF8AQQByAGcAdQBtAGUAbgB0AHMAXABuACAAIAA9AEwAQQBNAEIARABBACgAXABuACAAIAAgACAATQBBAEsARQBBAFIAUgBBAFkAKAAzACwAIAA0ACwAXABuACAAIAAgACAAIAAgAEwAQQBNAEIARABBACgAcgAsAGMALABcAG4AIAAgACAAIAAgACAAIAAgAEkATgBEAEUAWAAoAHsAXABuACAAIAAgACAAIAAgACAAIAAgACAAXAAiAE4AXwBqAFwAIgAsAFwAIgBuAHUAbQBiAGUAcgAgAG8AZgAgAGMAYQB0AHQAbABlACAAaQBuACAAZQBhAGMAaAAgAGcAcgBvAHUAcABcACIALAAgAFwAIgBoAGUAYQBkAFwAIgAsACAAXAAiAEkAbgBwAHUAdABcACIAOwBcAG4AIAAgACAAIAAgACAAIAAgACAAIABcACIATgBFAF8AagBcACIALABcACIAbgBpAHQAcgBvAGcAZQBuACAAZQB4AGMAcgBlAHQAaQBvAG4AXAAiACwAIABcACIAawBnACAATgAvAGgAZQBhAGQALwBkAGEAeQBcACIALAAgAFwAIgBDAGEAbABjAHUAbABhAHQAZQBkACAAZgByAG8AbQAgADQALgAxAC4AMQAuADMAIAAoADQAKQBcACIAOwBcAG4AIAAgACAAIAAgACAAIAAgACAAIABcACIARABfAGoAXAAiACwAXAAiAGQAdQByAGEAdABpAG8AbgAgAG8AZgAgAHMAdABhAHkAIABvAGYAIABjAGEAdAB0AGwAZQAgAGcAcgBvAHUAcA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0AF8ATgBpAHQAcgBvAGcAZQBuAEUAeABjAHIAZQB0AGkAbwBuAFAAZQByAEgAZQBhAGQAXABuAE4AaQB0AHIAbwBnAGUAbgAgAGUAeABjAHIAZQB0AGkAbwBuACAAcABlAHIAIABoAGUAYQBkACAAcABlAHIAIABkAGEAeQBcAG4ATgBFAF8AagBcAG4AawBnACAATgAvAGgAZQBhAGQALwBkAGEAeQBcAG4ATgBFAF8AewBqAH0APQBOAEkAXwB7AGoAfQBcAFwAdABpAG0AZQBzACgAMQAtAE4AUgBfAHsAagB9ACkAXABuAE4ASQBfAGoAIAA9ACAAbgBpAHQAcgBvAGcAZQBuACAAaQBuAHQAYQBrAGUAIAA6ACAAawBnACAATgAvAGgAZQBhAGQALwBkAGEAeQBcAG4ATgBSAF8AagAgAD0AIABuAGkAdAByAG8AZwBlAG4AIAByAGUAdABlAG4AdABpAG8AbgAgAGUAeABwAHIAZQBzAHMAZQBkACAAYQBzACAAYQAgAGYAcgBhAGMAdABpAG8AbgAgAG8AZgAgAGkAbgB0AGEAawBlACAAOgAgAGYAcgBhAGMAdABpAG8AbgBcAG4ALQAtAC0ALQAtAC0ALQAtAC0ALQAtAC0ALQAtAC0ALQAtAC0ALQAtAC0ALQAtAC0ALQAtAC0ALQAtAC0ALQAtAC0ALQAtAC0ALQAtAFwAbgAqAC8AXABuAFwAbgBWAEUARQBSAEcAXwA0AF8AMQBfADEAXwAzAF8AXwA0AF8ATgBpAHQAcgBvAGcAZQBuAEUAeABjAHIAZQB0AGkAbwBuAFAAZQByAEgAZQBhAGQAXABuACAAIAA9AEwAQQBNAEIARABBACgAXABuACAAIAAgACAATgBJAF8AagAsACAATgBSAF8AagAsAFwAbgAgACAAIAAgAE4ASQBfAGoAIAAqACAAKAAxACAALQAgAE4AUgBfAGoAKQBcAG4AIAAgACkAOwBcAG4AXABuAFYARQBFAFIARwBfADQAXwAxAF8AMQBfADMAXwBfADQAXwBOAGkAdAByAG8AZwBlAG4ARQB4AGMAcgBlAHQAaQBvAG4AUABlAHIASABlAGEAZABfAFQAaQB0AGwAZQBcAG4AIAAgAD0ATABBAE0AQgBEAEEAKABcACIATgBpAHQAcgBvAGcAZQBuACAAZQB4AGMAcgBlAHQAaQBvAG4AIABwAGUAcgAgAGgAZQBhAGQAIABwAGUAcgAgAGQAYQB5AFwAIgApADsAXABuAFwAbgBWAEUARQBSAEcAXwA0AF8AMQBfADEAXwAzAF8AXwA0AF8ATgBpAHQAcgBvAGcAZQBuAEUAeABjAHIAZQB0AGkAbwBuAFAAZQByAEgAZQBhAGQAXwBWAGEAcgBpAGEAYgBsAGUAXABuACAAIAA9AEwAQQBNAEIARABBACgAXAAiAE4ARQBfAGoAXAAiACkAOwBcAG4AXABuAFYARQBFAFIARwBfADQAXwAxAF8AMQBfADMAXwBfADQAXwBOAGkAdAByAG8AZwBlAG4ARQB4AGMAcgBlAHQAaQBvAG4AUABlAHIASABlAGEAZABfAFUAbgBpAHQAXABuACAAIAA9AEwAQQBNAEIARABBACgAXAAiAGsAZwAgAE4ALwBoAGUAYQBkAC8AZABhAHkAXAAiACkAOwBcAG4AXABuAFYARQBFAFIARwBfADQAXwAxAF8AMQBfADMAXwBfADQAXwBOAGkAdAByAG8AZwBlAG4ARQB4AGMAcgBlAHQAaQBvAG4AUABlAHIASABlAGEAZABfAFMAbwB1AHIAYwBlAFwAbgAgACAAPQBMAEEATQBCAEQAQQAoAFwAIgBWAEUARQBSAEcAIAAyADAAMgA2ADoAIAA0AC4AMQAuADEALgAzACwAIABFAHEAdQBhAHQAaQBvAG4AIAAoADQAKQBcACIAKQA7AFwAbgBcAG4AVgBFAEUAUgBHAF8ANABfADEAXwAxAF8AMwBfAF8ANABfAE4AaQB0AHIAbwBnAGUAbgBFAHgAYwByAGUAdABpAG8AbgBQAGUAcgBIAGUAYQBkAF8ATgBJAFIAUgBlAGYAZQByAGUAbgBjAGUAXABuACAAIAA9AEwAQQBNAEIARABBACgAXAAiAFwAIgApADsAXABuAFwAbgBWAEUARQBSAEcAXwA0AF8AMQBfADEAXwAzAF8AXwA0AF8ATgBpAHQAcgBvAGcAZQBuAEUAeABjAHIAZQB0AGkAbwBuAFAAZQByAEgAZQBhAGQAXwBMAGEAdABlAHgARQBxAHUAYQB0AGkAbwBuAFwAbgAgACAAPQBMAEEATQBCAEQAQQAoAFwAIgBOAEUAXwB7AGoAfQA9AE4ASQBfAHsAagB9AFwAXAB0AGkAbQBlAHMAKAAxAC0ATgBSAF8AewBqAH0AKQBcACIAKQA7AFwAbgBcAG4AVgBFAEUAUgBHAF8ANABfADEAXwAxAF8AMwBfAF8ANABfAE4AaQB0AHIAbwBnAGUAbgBFAHgAYwByAGUAdABpAG8AbgBQAGUAcgBIAGUAYQBkAF8AQQByAGcAdQBtAGUAbgB0AHMAXABuACAAIAA9AEwAQQBNAEIARABBACgAXABuACAAIAAgACAATQBBAEsARQBBAFIAUgBBAFkAKAAyACwAIAA0ACwAXABuACAAIAAgACAAIAAgAEwAQQBNAEIARABBACgAcgAsAGMALABcAG4AIAAgACAAIAAgACAAIAAgAEkATgBEAEUAWAAoAHsAXABuACAAIAAgACAAIAAgACAAIAAgACAAXAAiAE4ASQBfAGoAXAAiACwAXAAiAG4AaQB0AHIAbwBnAGUAbgAgAGkAbgB0AGEAawBlAFwAIgAsACAAXAAiAGsAZwAgAE4ALwBoAGUAYQBkAC8AZABhAHkAXAAiACwAIABcACIAQwBhAGwAYwB1AGwAYQB0AGUAZAAgAGYAcgBvAG0AIAA0AC4AMQAuADEALgAzACAAKAA1ACkAXAAiADsAXABuACAAIAAgACAAIAAgACAAIAAgACAAXAAiAE4AUgBfAGoAXAAiACwAXAAiAG4AaQB0AHIAbwBnAGUAbgAgAHIAZQB0AGUAbgB0AGkAbwBuACAAZQB4AHAAcgBlAHMAcwBlAGQAIABhAHMAIABhACAAZgByAGEAYwB0AGkAbwBuACAAbwBm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1AF8ATgBpAHQAcgBvAGcAZQBuAEkAbgB0AGEAawBlAFwAbgBOAGkAdAByAG8AZwBlAG4AIABpAG4AdABhAGsAZQAgAG8AZgAgAGYAZQBlAGQAbABvAHQAIABjAGEAdAB0AGwAZQBcAG4ATgBJAF8AagBcAG4AawBnACAATgAvAGgAZQBhAGQALwBkAGEAeQBcAG4ATgBJAF8AewBqAH0APQBJAF8AewBqAH0AXABcAHQAaQBtAGUAcwAgAEMAUABfAHsAagB9AFwAXABkAGkAdgAgADYALgAyADUAXABuAEkAXwBqACAAPQAgAGQAcgB5ACAAbQBhAHQAdABlAHIAIABpAG4AdABhAGsAZQAgADoAIABrAGcAIABEAE0ALwBoAGUAYQBkAC8AZABhAHkAXABuAEMAUABfAGoAIAA9ACAAYwByAHUAZABlACAAcAByAG8AdABlAGkAbgAgAGMAbwBuAHQAZQBuAHQAIABvAGYAIABmAGUAZQBkACAAOgAgAGYAcgBhAGMAdABpAG8AbgBcAG4ANgAuADIANQAgAD0AIABmAGEAYwB0AG8AcgAgAGYAbwByACAAYwBvAG4AdgBlAHIAdABpAG4AZwAgAGMAcgB1AGQAZQAgAHAAcgBvAHQAZQBpAG4AIABpAG4AdABvACAAbgBpAHQAcgBvAGcAZQBuACAAOgAgAHIAYQB0AGkAbwBcAG4ALQAtAC0ALQAtAC0ALQAtAC0ALQAtAC0ALQAtAC0ALQAtAC0ALQAtAC0ALQAtAC0ALQAtAC0ALQAtAC0ALQAtAC0ALQAtAC0ALQAtAFwAbgAqAC8AXABuAFwAbgBWAEUARQBSAEcAXwA0AF8AMQBfADEAXwAzAF8AXwA1AF8ATgBpAHQAcgBvAGcAZQBuAEkAbgB0AGEAawBlAFwAbgAgACAAPQBMAEEATQBCAEQAQQAoAFwAbgAgACAAIAAgAEkAXwBqACwAIABDAFAAXwBqACwAXABuACAAIAAgACAASQBfAGoAIAAqACAAQwBQAF8AagAgAC8AIAA2AC4AMgA1AFwAbgAgACAAKQA7AFwAbgBcAG4AVgBFAEUAUgBHAF8ANABfADEAXwAxAF8AMwBfAF8ANQBfAE4AaQB0AHIAbwBnAGUAbgBJAG4AdABhAGsAZQBfAFQAaQB0AGwAZQBcAG4AIAAgAD0ATABBAE0AQgBEAEEAKABcACIATgBpAHQAcgBvAGcAZQBuACAAaQBuAHQAYQBrAGUAIABvAGYAIABmAGUAZQBkAGwAbwB0ACAAYwBhAHQAdABsAGUAXAAiACkAOwBcAG4AXABuAFYARQBFAFIARwBfADQAXwAxAF8AMQBfADMAXwBfADUAXwBOAGkAdAByAG8AZwBlAG4ASQBuAHQAYQBrAGUAXwBWAGEAcgBpAGEAYgBsAGUAXABuACAAIAA9AEwAQQBNAEIARABBACgAXAAiAE4ASQBfAGoAXAAiACkAOwBcAG4AXABuAFYARQBFAFIARwBfADQAXwAxAF8AMQBfADMAXwBfADUAXwBOAGkAdAByAG8AZwBlAG4ASQBuAHQAYQBrAGUAXwBVAG4AaQB0AFwAbgAgACAAPQBMAEEATQBCAEQAQQAoAFwAIgBrAGcAIABOAC8AaABlAGEAZAAvAGQAYQB5AFwAIgApADsAXABuAFwAbgBWAEUARQBSAEcAXwA0AF8AMQBfADEAXwAzAF8AXwA1AF8ATgBpAHQAcgBvAGcAZQBuAEkAbgB0AGEAawBlAF8AUwBvAHUAcgBjAGUAXABuACAAIAA9AEwAQQBNAEIARABBACgAXAAiAFYARQBFAFIARwAgADIAMAAyADYAOgAgADQALgAxAC4AMQAuADMALAAgAEUAcQB1AGEAdABpAG8AbgAgACgANQApAFwAIgApADsAXABuAFwAbgBWAEUARQBSAEcAXwA0AF8AMQBfADEAXwAzAF8AXwA1AF8ATgBpAHQAcgBvAGcAZQBuAEkAbgB0AGEAawBlAF8ATgBJAFIAUgBlAGYAZQByAGUAbgBjAGUAXABuACAAIAA9AEwAQQBNAEIARABBACgAXAAiAFwAIgApADsAXABuAFwAbgBWAEUARQBSAEcAXwA0AF8AMQBfADEAXwAzAF8AXwA1AF8ATgBpAHQAcgBvAGcAZQBuAEkAbgB0AGEAawBlAF8ATABhAHQAZQB4AEUAcQB1AGEAdABpAG8AbgBcAG4AIAAgAD0ATABBAE0AQgBEAEEAKABcACIATgBJAF8AewBqAH0APQBJAF8AewBqAH0AXABcAHQAaQBtAGUAcwAgAEMAUABfAHsAagB9AFwAXABkAGkAdgAgADYALgAyADUAXAAiACkAOwBcAG4AXABuAFYARQBFAFIARwBfADQAXwAxAF8AMQBfADMAXwBfADUAXwBOAGkAdAByAG8AZwBlAG4ASQBuAHQAYQBrAGUAXwBBAHIAZwB1AG0AZQBuAHQAcwBcAG4AIAAgAD0ATABBAE0AQgBEAEEAKABcAG4AIAAgACAAIABNAEEASwBFAEEAUgBSAEEAWQAoADMALAAgADQALABcAG4AIAAgACAAIAAgACAATABBAE0AQgBEAEEAKAByACwAYwAsAFwAbgAgACAAIAAgACAAIAAgACAASQBOAEQARQBYACgAewBcAG4AIAAgACAAIAAgACAAIAAgACAAIABcACIASQBfAGoAXAAiACwAXAAiAGQAcgB5ACAAbQBhAHQAdABlAHIAIABpAG4AdABhAGsAZQBcACIALAAgAFwAIgBrAGcAIABEAE0ALwBoAGUAYQBkAC8AZABhAHkAXAAiACwAIABcACIASQBuAHAAdQB0AFwAIgA7AFwAbgAgACAAIAAgACAAIAAgACAAIAAgAFwAIgBDAFAAXwBqAFwAIgAsAFwAIgBjAHIAdQBkAGUAIABwAHIAbwB0AGUAaQBuACAAYwBvAG4AdABlAG4AdAAgAG8AZgAgAGYAZQBlAGQAXAAiACwAIABcACIAZgByAGEAYwB0AGkAbwBuAFwAIgAsACAAXAAiAEkAbgBwAHUAdABcACIAOwBcAG4AIAAgACAAIAAgACAAIAAgACAAIABcACIANgAuADIANQBcACIALABcACIAZgBhAGMAdABvAHIAIABmAG8AcgAgAGMAbwBuAHYAZQByAHQAaQBuAGcAIABjAHIAdQBkAGUAIABwAHIAbwB0AGUAaQBuACAAaQBuAHQAbwAgAG4AaQB0AHIAbwBnAGUAbgBcACIALAAgAFwAIgByAGEAdABpAG8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YAXwBTAHQAYQBnAGUAMgBOAGkAdAByAG8AZwBlAG4ASQBuAE0ATQBTAFwAbgBOAGkAdAByAG8AZwBlAG4AIABpAG4AIAB0AHIAZQBhAHQAbQBlAG4AdAAgAHMAdABhAGcAZQAgADIAIABNAE0AUwBcAG4ATQBOAF8AagBtAFQAMgBcAG4AawBnACAATgBcAG4ATQBOAF8AewBqAG0ALABUAD0AMgB9AD0ATgBUAF8AewBqAG0ALABUAD0AMgB9AFwAXAB0AGkAbQBlAHMAIABNAE0AUwBfAHsAagBtACwAVAA9ADIAfQBcAG4ATgBUAF8AagBtAFQAMgAgAD0AIABuAGkAdAByAG8AZwBlAG4AIAB0AHIAYQBuAHMAZgBlAHIAcgBlAGQAIAB0AG8AIABzAGUAYwBvAG4AZABhAHIAeQAgAHQAcgBlAGEAdABtAGUAbgB0ACAATQBNAFMAIAA6ACAAawBnACAATgBcAG4ATQBNAFMAXwBqAG0AVAAyACAAPQAgAGYAcgBhAGMAdABpAG8AbgAgAG8AZgAgAG0AYQBuAHUAcgBlACAAaQBuACAAZQBhAGMAaAAgAHMAZQBjAG8AbgBkAGEAcgB5ACAAcwB5AHMAdABlAG0AIAA6ACAAZgByAGEAYwB0AGkAbwBuAFwAbgAtAC0ALQAtAC0ALQAtAC0ALQAtAC0ALQAtAC0ALQAtAC0ALQAtAC0ALQAtAC0ALQAtAC0ALQAtAC0ALQAtAC0ALQAtAC0ALQAtAC0AXABuACoALwBcAG4AXABuAFYARQBFAFIARwBfADQAXwAxAF8AMQBfADMAXwBfADYAXwBTAHQAYQBnAGUAMgBOAGkAdAByAG8AZwBlAG4ASQBuAE0ATQBTAFwAbgAgACAAPQBMAEEATQBCAEQAQQAoAFwAbgAgACAAIAAgAE4AVABfAGoAbQBUADIALAAgAE0ATQBTAF8AagBtAFQAMgAsAFwAbgAgACAAIAAgAE4AVABfAGoAbQBUADIAIAAqACAATQBNAFMAXwBqAG0AVAAyAFwAbgAgACAAKQA7AFwAbgBcAG4AVgBFAEUAUgBHAF8ANABfADEAXwAxAF8AMwBfAF8ANgBfAFMAdABhAGcAZQAyAE4AaQB0AHIAbwBnAGUAbgBJAG4ATQBNAFMAXwBUAGkAdABsAGUAXABuACAAIAA9AEwAQQBNAEIARABBACgAXAAiAE4AaQB0AHIAbwBnAGUAbgAgAGkAbgAgAHQAcgBlAGEAdABtAGUAbgB0ACAAcwB0AGEAZwBlACAAMgAgAE0ATQBTAFwAIgApADsAXABuAFwAbgBWAEUARQBSAEcAXwA0AF8AMQBfADEAXwAzAF8AXwA2AF8AUwB0AGEAZwBlADIATgBpAHQAcgBvAGcAZQBuAEkAbgBNAE0AUwBfAFYAYQByAGkAYQBiAGwAZQBcAG4AIAAgAD0ATABBAE0AQgBEAEEAKABcACIATQBOAF8AagBtAFQAMgBcACIAKQA7AFwAbgBcAG4AVgBFAEUAUgBHAF8ANABfADEAXwAxAF8AMwBfAF8ANgBfAFMAdABhAGcAZQAyAE4AaQB0AHIAbwBnAGUAbgBJAG4ATQBNAFMAXwBVAG4AaQB0AFwAbgAgACAAPQBMAEEATQBCAEQAQQAoAFwAIgBrAGcAIABOAFwAIgApADsAXABuAFwAbgBWAEUARQBSAEcAXwA0AF8AMQBfADEAXwAzAF8AXwA2AF8AUwB0AGEAZwBlADIATgBpAHQAcgBvAGcAZQBuAEkAbgBNAE0AUwBfAFMAbwB1AHIAYwBlAFwAbgAgACAAPQBMAEEATQBCAEQAQQAoAFwAIgBWAEUARQBSAEcAIAAyADAAMgA2ADoAIAA0AC4AMQAuADEALgAzACwAIABFAHEAdQBhAHQAaQBvAG4AIAAoADYAKQBcACIAKQA7AFwAbgBcAG4AVgBFAEUAUgBHAF8ANABfADEAXwAxAF8AMwBfAF8ANgBfAFMAdABhAGcAZQAyAE4AaQB0AHIAbwBnAGUAbgBJAG4ATQBNAFMAXwBOAEkAUgBSAGUAZgBlAHIAZQBuAGMAZQBcAG4AIAAgAD0ATABBAE0AQgBEAEEAKABcACIAXAAiACkAOwBcAG4AXABuAFYARQBFAFIARwBfADQAXwAxAF8AMQBfADMAXwBfADYAXwBTAHQAYQBnAGUAMgBOAGkAdAByAG8AZwBlAG4ASQBuAE0ATQBTAF8ATABhAHQAZQB4AEUAcQB1AGEAdABpAG8AbgBcAG4AIAAgAD0ATABBAE0AQgBEAEEAKABcACIATQBOAF8AewBqAG0ALABUAD0AMgB9AD0ATgBUAF8AewBqAG0ALABUAD0AMgB9AFwAXAB0AGkAbQBlAHMAIABNAE0AUwBfAHsAagBtACwAVAA9ADIAfQBcACIAKQA7AFwAbgBcAG4AVgBFAEUAUgBHAF8ANABfADEAXwAxAF8AMwBfAF8ANgBfAFMAdABhAGcAZQAyAE4AaQB0AHIAbwBnAGUAbgBJAG4ATQBNAFMAXwBBAHIAZwB1AG0AZQBuAHQAcwBcAG4AIAAgAD0ATABBAE0AQgBEAEEAKABcAG4AIAAgACAAIABNAEEASwBFAEEAUgBSAEEAWQAoADIALAAgADQALABcAG4AIAAgACAAIAAgACAATABBAE0AQgBEAEEAKAByACwAYwAsAFwAbgAgACAAIAAgACAAIAAgACAASQBOAEQARQBYACgAewBcAG4AIAAgACAAIAAgACAAIAAgACAAIABcACIATgBUAF8AagBtAFQAMgBcACIALABcACIAbgBpAHQAcgBvAGcAZQBuACAAdAByAGEAbgBzAGYAZQByAHIAZQBkACAAdABvACAAcwBlAGMAbwBuAGQAYQByAHkAIAB0AHIAZQBhAHQAbQBlAG4AdAAgAE0ATQBTAFwAIgAsACAAXAAiAGsAZwAgAE4AXAAiACwAIABcACIAQwBhAGwAYwB1AGwAYQB0AGUAZAAgAGYAcgBvAG0AIAA0AC4AMQAuADEALgAzACAAKAA3ACkAXAAiADsAXABuACAAIAAgACAAIAAgACAAIAAgACAAXAAiAE0ATQBTAF8AagBtAFQAMgBcACIALABcACIAZgByAGEAYwB0AGkAbwBuACAAbwBmACAAbQBhAG4AdQByAGUAIABpAG4AIABlAGEAYwBoACAAcwBlAGMAbwBuAGQAYQByAHkAIABzAHkAcwB0AGUAb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MAXwBfADcAXwBOAGkAdAByAG8AZwBlAG4AVAByAGEAbgBzAGYAZQByAHIAZQBkAFQAbwBTAHQAYQBnAGUAMgBcAG4ATgBpAHQAcgBvAGcAZQBuACAAdAByAGEAbgBzAGYAZQByAHIAZQBkACAAdABvACAAdAByAGUAYQB0AG0AZQBuAHQAIABzAHQAYQBnAGUAIAAyACAATQBNAFMAXABuAE4AVABfAGoAbQBUADIAXABuAGsAZwAgAE4AXABuAE4AVABfAHsAagBtACwAVAA9ADIAfQA9ACgATQBOAF8AewBqAG0APQA1ACwAVAA9ADEAfQBcAFwAdABpAG0AZQBzACgAMQAtAEYAcgBhAGMARwBBAFMATQBfAHsAbQA9ADUAfQAtAEUARgBfAHsAbQA9ADUAfQApACkALQBNAE4AXwB7AGoAbQAsAFQAPQAzAH0AXABuAE0ATgBfAGoAbQA1AFQAMQAgAD0AIABuAGkAdAByAG8AZwBlAG4AIABpAG4AIABNAE0AUwAgAHQAcgBlAGEAdABtAGUAbgB0ACAAcwB0AGEAZwBlACAAMQAgADoAIABrAGcAIABOAFwAbgBGAHIAYQBjAEcAQQBTAE0AXwBtADUAIAA9ACAAZgByAGEAYwB0AGkAbwBuACAAbwBmACAATgAgAHYAbwBsAGEAdABpAGwAaQBzAGUAZAAgAGYAcgBvAG0AIABkAHIAeQBsAG8AdAAgAE0ATQBTACAAOgAgAGYAcgBhAGMAdABpAG8AbgBcAG4ARQBGAF8AbQA1ACAAPQAgAG4AaQB0AHIAbwB1AHMAIABvAHgAaQBkAGUAIABlAG0AaQBzAHMAaQBvAG4AIABmAGEAYwB0AG8AcgAgAGYAbwByACAAZAByAHkAbABvAHQAIABNAE0AUwAgADoAIABrAGcAIABOADIATwAtAE4ALwBrAGcAIABOACAAZABlAHAAbwBzAGkAdABlAGQAXABuAE0ATgBfAGoAbQBUADMAIAA9ACAAbgBpAHQAcgBvAGcAZQBuACAAaQBuACAATQBNAFMAIAB0AHIAZQBhAHQAbQBlAG4AdAAgAHMAdABhAGcAZQAgADMAIAA6ACAAawBnACAATgBcAG4ALQAtAC0ALQAtAC0ALQAtAC0ALQAtAC0ALQAtAC0ALQAtAC0ALQAtAC0ALQAtAC0ALQAtAC0ALQAtAC0ALQAtAC0ALQAtAC0ALQAtAFwAbgAqAC8AXABuAFwAbgBWAEUARQBSAEcAXwA0AF8AMQBfADEAXwAzAF8AXwA3AF8ATgBpAHQAcgBvAGcAZQBuAFQAcgBhAG4AcwBmAGUAcgByAGUAZABUAG8AUwB0AGEAZwBlADIAXABuACAAIAA9AEwAQQBNAEIARABBACgAXABuACAAIAAgACAATQBOAF8AagBtADUAVAAxACwAIABGAHIAYQBjAEcAQQBTAE0AXwBtADUALAAgAEUARgBfAG0ANQAsACAATQBOAF8AagBtAFQAMwAsAFwAbgAgACAAIAAgACgATQBOAF8AagBtADUAVAAxACAAKgAgACgAMQAgAC0AIABGAHIAYQBjAEcAQQBTAE0AXwBtADUAIAAtACAARQBGAF8AbQA1ACkAKQAgAC0AIABNAE4AXwBqAG0AVAAzAFwAbgAgACAAKQA7AFwAbgBcAG4AVgBFAEUAUgBHAF8ANABfADEAXwAxAF8AMwBfAF8ANwBfAE4AaQB0AHIAbwBnAGUAbgBUAHIAYQBuAHMAZgBlAHIAcgBlAGQAVABvAFMAdABhAGcAZQAyAF8AVABpAHQAbABlAFwAbgAgACAAPQBMAEEATQBCAEQAQQAoAFwAIgBOAGkAdAByAG8AZwBlAG4AIAB0AHIAYQBuAHMAZgBlAHIAcgBlAGQAIAB0AG8AIAB0AHIAZQBhAHQAbQBlAG4AdAAgAHMAdABhAGcAZQAgADIAIABNAE0AUwBcACIAKQA7AFwAbgBcAG4AVgBFAEUAUgBHAF8ANABfADEAXwAxAF8AMwBfAF8ANwBfAE4AaQB0AHIAbwBnAGUAbgBUAHIAYQBuAHMAZgBlAHIAcgBlAGQAVABvAFMAdABhAGcAZQAyAF8AVgBhAHIAaQBhAGIAbABlAFwAbgAgACAAPQBMAEEATQBCAEQAQQAoAFwAIgBOAFQAXwBqAG0AVAAyAFwAIgApADsAXABuAFwAbgBWAEUARQBSAEcAXwA0AF8AMQBfADEAXwAzAF8AXwA3AF8ATgBpAHQAcgBvAGcAZQBuAFQAcgBhAG4AcwBmAGUAcgByAGUAZABUAG8AUwB0AGEAZwBlADIAXwBVAG4AaQB0AFwAbgAgACAAPQBMAEEATQBCAEQAQQAoAFwAIgBrAGcAIABOAFwAIgApADsAXABuAFwAbgBWAEUARQBSAEcAXwA0AF8AMQBfADEAXwAzAF8AXwA3AF8ATgBpAHQAcgBvAGcAZQBuAFQAcgBhAG4AcwBmAGUAcgByAGUAZABUAG8AUwB0AGEAZwBlADIAXwBTAG8AdQByAGMAZQBcAG4AIAAgAD0ATABBAE0AQgBEAEEAKABcACIAVgBFAEUAUgBHACAAMgAwADIANgA6ACAANAAuADEALgAxAC4AMwAsACAARQBxAHUAYQB0AGkAbwBuACAAKAA3ACkAXAAiACkAOwBcAG4AXABuAFYARQBFAFIARwBfADQAXwAxAF8AMQBfADMAXwBfADcAXwBOAGkAdAByAG8AZwBlAG4AVAByAGEAbgBzAGYAZQByAHIAZQBkAFQAbwBTAHQAYQBnAGUAMgBfAE4ASQBSAFIAZQBmAGUAcgBlAG4AYwBlAFwAbgAgACAAPQBMAEEATQBCAEQAQQAoAFwAIgBcACIAKQA7AFwAbgBcAG4AVgBFAEUAUgBHAF8ANABfADEAXwAxAF8AMwBfAF8ANwBfAE4AaQB0AHIAbwBnAGUAbgBUAHIAYQBuAHMAZgBlAHIAcgBlAGQAVABvAFMAdABhAGcAZQAyAF8ATABhAHQAZQB4AEUAcQB1AGEAdABpAG8AbgBcAG4AIAAgAD0ATABBAE0AQgBEAEEAKABcACIATgBUAF8AewBqAG0ALABUAD0AMgB9AD0AKABNAE4AXwB7AGoAbQA9ADUALABUAD0AMQB9AFwAXAB0AGkAbQBlAHMAKAAxAC0ARgByAGEAYwBHAEEAUwBNAF8AewBtAD0ANQB9AC0ARQBGAF8AewBtAD0ANQB9ACkAKQAtAE0ATgBfAHsAagBtACwAVAA9ADMAfQBcACIAKQA7AFwAbgBcAG4AVgBFAEUAUgBHAF8ANABfADEAXwAxAF8AMwBfAF8ANwBfAE4AaQB0AHIAbwBnAGUAbgBUAHIAYQBuAHMAZgBlAHIAcgBlAGQAVABvAFMAdABhAGcAZQAyAF8AQQByAGcAdQBtAGUAbgB0AHMAXABuACAAIAA9AEwAQQBNAEIARABBACgAXABuACAAIAAgACAATQBBAEsARQBBAFIAUgBBAFkAKAA0ACwAIAA0ACwAXABuACAAIAAgACAAIAAgAEwAQQBNAEIARABBACgAcgAsAGMALABcAG4AIAAgACAAIAAgACAAIAAgAEkATgBEAEUAWAAoAHsAXABuACAAIAAgACAAIAAgACAAIAAgACAAXAAiAE0ATgBfAGoAbQA1AFQAMQBcACIALABcACIAbgBpAHQAcgBvAGcAZQBuACAAaQBuACAATQBNAFMAIAB0AHIAZQBhAHQAbQBlAG4AdAAgAHMAdABhAGcAZQAgADEAXAAiACwAIABcACIAawBnACAATgBcACIALAAgAFwAIgBDAGEAbABjAHUAbABhAHQAZQBkACAAZgByAG8AbQAgADQALgAxAC4AMQAuADMAIAAoADIAKQBcACIAOwBcAG4AIAAgACAAIAAgACAAIAAgACAAIABcACIARgByAGEAYwBHAEEAUwBNAF8AbQA1AFwAIgAsAFwAIgBmAHIAYQBjAHQAaQBvAG4AIABvAGYAIABOACAAdgBvAGwAYQB0AGkAbABpAHMAZQBkACAAZgByAG8AbQAgAGQAcgB5AGwAbwB0ACAATQBNAFMAXAAiACwAIABcACIAZgByAGEAYwB0AGkAbwBuAFwAIgAsACAAXAAiAEMAbwBuAHMAdABhAG4AdABcACIAOwBcAG4AIAAgACAAIAAgACAAIAAgACAAIABcACIARQBGAF8AbQA1AFwAIgAsAFwAIgBuAGkAdAByAG8AdQBzACAAbwB4AGkAZABlACAAZQBtAGkAcwBzAGkAbwBuACAAZgBhAGMAdABvAHIAIABmAG8AcgAgAGQAcgB5AGwAbwB0ACAATQBNAFMAXAAiACwAIABcACIAawBnACAATgAyAE8ALQBOAC8AawBnACAATgAgAGQAZQBwAG8AcwBpAHQAZQBkAFwAIgAsACAAXAAiAEMAbwBuAHMAdABhAG4AdABcACIAOwBcAG4AIAAgACAAIAAgACAAIAAgACAAIABcACIATQBOAF8AagBtAFQAMwBcACIALABcACIAbgBpAHQAcgBvAGcAZQBuACAAaQBuACAATQBNAFMAIAB0AHIAZQBhAHQAbQBlAG4AdAAgAHMAdABhAGcAZQAgADMAXAAiACwAIABcACIAawBnACAATgBcACIALAAgAFwAIgBDAGEAbABjAHUAbABhAHQAZQBkACAAZgByAG8AbQAgADQALgAxAC4AMQAuADMAIAAoADgAKQ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4AF8AUwB0AGEAZwBlADMATgBpAHQAcgBvAGcAZQBuAEkAbgBNAE0AUwBBAG4AYQBlAHIAbwBiAGkAYwBMAGEAZwBvAG8AbgBcAG4ATgBpAHQAcgBvAGcAZQBuACAAaQBuACAAdAByAGUAYQB0AG0AZQBuAHQAIABzAHQAYQBnAGUAIAAzACAATQBNAFMAXABuAE0ATgBfAGoAbQAxAFQAMwBcAG4AawBnACAATgBcAG4ATQBOAF8AewBqAG0APQAxACwAVAA9ADMAfQA9AEEARQBfAHsAagB9AFwAXAB0AGkAbQBlAHMAIABNAE0AUwBfAHsAagBtAD0AMQAsAFQAPQAzAH0AXABuAEEARQBfAGoAIAA9ACAAdABvAHQAYQBsACAAbgBpAHQAcgBvAGcAZQBuACAAZQB4AGMAcgBlAHQAZQBkACAAYgB5ACAAZQBhAGMAaAAgAGMAYQB0AHQAbABlACAAZwByAG8AdQBwACAAOgAgAGsAZwAgAE4AXABuAE0ATQBTAF8AagBtADEAVAAzACAAPQAgAGYAcgBhAGMAdABpAG8AbgAgAG8AZgAgAG0AYQBuAHUAcgBlACAAdABvACAAdABlAHIAdABpAGEAcgB5ACAAYQBuAGEAZQByAG8AYgBpAGMAIABsAGEAZwBvAG8AbgAgAHMAeQBzAHQAZQBtACAAOgAgAGYAcgBhAGMAdABpAG8AbgBcAG4ALQAtAC0ALQAtAC0ALQAtAC0ALQAtAC0ALQAtAC0ALQAtAC0ALQAtAC0ALQAtAC0ALQAtAC0ALQAtAC0ALQAtAC0ALQAtAC0ALQAtAFwAbgAqAC8AXABuAFwAbgBWAEUARQBSAEcAXwA0AF8AMQBfADEAXwAzAF8AXwA4AF8AUwB0AGEAZwBlADMATgBpAHQAcgBvAGcAZQBuAEkAbgBNAE0AUwBBAG4AYQBlAHIAbwBiAGkAYwBMAGEAZwBvAG8AbgBcAG4AIAAgAD0ATABBAE0AQgBEAEEAKABcAG4AIAAgACAAIABBAEUAXwBqACwAIABNAE0AUwBfAGoAbQAxAFQAMwAsAFwAbgAgACAAIAAgAEEARQBfAGoAIAAqACAATQBNAFMAXwBqAG0AMQBUADMAXABuACAAIAApADsAXABuAFwAbgBWAEUARQBSAEcAXwA0AF8AMQBfADEAXwAzAF8AXwA4AF8AUwB0AGEAZwBlADMATgBpAHQAcgBvAGcAZQBuAEkAbgBNAE0AUwBBAG4AYQBlAHIAbwBiAGkAYwBMAGEAZwBvAG8AbgBfAFQAaQB0AGwAZQBcAG4AIAAgAD0ATABBAE0AQgBEAEEAKABcACIATgBpAHQAcgBvAGcAZQBuACAAaQBuACAAdAByAGUAYQB0AG0AZQBuAHQAIABzAHQAYQBnAGUAIAAzACAATQBNAFMAXAAiACkAOwBcAG4AXABuAFYARQBFAFIARwBfADQAXwAxAF8AMQBfADMAXwBfADgAXwBTAHQAYQBnAGUAMwBOAGkAdAByAG8AZwBlAG4ASQBuAE0ATQBTAEEAbgBhAGUAcgBvAGIAaQBjAEwAYQBnAG8AbwBuAF8AVgBhAHIAaQBhAGIAbABlAFwAbgAgACAAPQBMAEEATQBCAEQAQQAoAFwAIgBNAE4AXwBqAG0AMQBUADMAXAAiACkAOwBcAG4AXABuAFYARQBFAFIARwBfADQAXwAxAF8AMQBfADMAXwBfADgAXwBTAHQAYQBnAGUAMwBOAGkAdAByAG8AZwBlAG4ASQBuAE0ATQBTAEEAbgBhAGUAcgBvAGIAaQBjAEwAYQBnAG8AbwBuAF8AVQBuAGkAdABcAG4AIAAgAD0ATABBAE0AQgBEAEEAKABcACIAawBnACAATgBcACIAKQA7AFwAbgBcAG4AVgBFAEUAUgBHAF8ANABfADEAXwAxAF8AMwBfAF8AOABfAFMAdABhAGcAZQAzAE4AaQB0AHIAbwBnAGUAbgBJAG4ATQBNAFMAQQBuAGEAZQByAG8AYgBpAGMATABhAGcAbwBvAG4AXwBTAG8AdQByAGMAZQBcAG4AIAAgAD0ATABBAE0AQgBEAEEAKABcACIAVgBFAEUAUgBHACAAMgAwADIANgA6ACAANAAuADEALgAxAC4AMwAsACAARQBxAHUAYQB0AGkAbwBuACAAKAA4ACkAXAAiACkAOwBcAG4AXABuAFYARQBFAFIARwBfADQAXwAxAF8AMQBfADMAXwBfADgAXwBTAHQAYQBnAGUAMwBOAGkAdAByAG8AZwBlAG4ASQBuAE0ATQBTAEEAbgBhAGUAcgBvAGIAaQBjAEwAYQBnAG8AbwBuAF8ATgBJAFIAUgBlAGYAZQByAGUAbgBjAGUAXABuACAAIAA9AEwAQQBNAEIARABBACgAXAAiAFwAIgApADsAXABuAFwAbgBWAEUARQBSAEcAXwA0AF8AMQBfADEAXwAzAF8AXwA4AF8AUwB0AGEAZwBlADMATgBpAHQAcgBvAGcAZQBuAEkAbgBNAE0AUwBBAG4AYQBlAHIAbwBiAGkAYwBMAGEAZwBvAG8AbgBfAEwAYQB0AGUAeABFAHEAdQBhAHQAaQBvAG4AXABuACAAIAA9AEwAQQBNAEIARABBACgAXAAiAE0ATgBfAHsAagBtAD0AMQAsAFQAPQAzAH0APQBBAEUAXwB7AGoAfQBcAFwAdABpAG0AZQBzACAATQBNAFMAXwB7AGoAbQA9ADEALABUAD0AMwB9AFwAIgApADsAXABuAFwAbgBWAEUARQBSAEcAXwA0AF8AMQBfADEAXwAzAF8AXwA4AF8AUwB0AGEAZwBlADMATgBpAHQAcgBvAGcAZQBuAEkAbgBNAE0AUwBBAG4AYQBlAHIAbwBiAGkAYwBMAGEAZwBvAG8AbgBfAEEAcgBnAHUAbQBlAG4AdABzAFwAbgAgACAAPQBMAEEATQBCAEQAQQAoAFwAbgAgACAAIAAgAE0AQQBLAEUAQQBSAFIAQQBZACgAMgAsACAANAAsAFwAbgAgACAAIAAgACAAIABMAEEATQBCAEQAQQAoAHIALABjACwAXABuACAAIAAgACAAIAAgACAAIABJAE4ARABFAFgAKAB7AFwAbgAgACAAIAAgACAAIAAgACAAIAAgAFwAIgBBAEUAXwBqAFwAIgAsAFwAIgB0AG8AdABhAGwAIABuAGkAdAByAG8AZwBlAG4AIABlAHgAYwByAGUAdABlAGQAIABiAHkAIABlAGEAYwBoACAAYwBhAHQAdABsAGUAIABnAHIAbwB1AHAAXAAiACwAIABcACIAawBnACAATgBcACIALAAgAFwAIgBDAGEAbABjAHUAbABhAHQAZQBkACAAZgByAG8AbQAgADQALgAxAC4AMQAuADMAIAAoADMAKQBcACIAOwBcAG4AIAAgACAAIAAgACAAIAAgACAAIABcACIATQBNAFMAXwBqAG0AMQBUADMAXAAiACwAXAAiAGYAcgBhAGMAdABpAG8AbgAgAG8AZgAgAG0AYQBuAHUAcgBlACAAdABvACAAdABlAHIAdABpAGEAcgB5ACAAYQBuAGEAZQByAG8AYgBpAGMAIABsAGEAZwBvAG8AbgAgAHMAeQBzAHQAZQBtAFwAIgAsACAAXAAiAGYAcgBhAGMAdABpAG8AbgBcACIALAAgAFwAIgBJAG4AcAB1AH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EwAbwBvAGsAdQBwAFYAYQBsAHUAZQBJAG4AVABhAGIAbABlAFQAdwBvAEMAbwBsAHUAbQBuAHMAIgAsACIAQwBvAG0AbQBvAG4AXwBJAG4AcAB1AHQARgB1AG4AYwB0AGkAbwBuAHMALgBVAHQAaQBsAGkAdAB5AF8ATABvAG8AawB1AHAAVgBhAGwAdQBlAEkAbgBUAGEAYgBsAGUATwBuAGUAQwBvAGwAdQBtAG4AQQBuAGQASABlAGEAZABlAHIAIgAsACIAQwBvAG0AbQBvAG4AXwBJAG4AcAB1AHQARgB1AG4AYwB0AGkAbwBuAHMALgBVAHQAaQBsAGkAdAB5AF8AUwBwAGwAaQB0AFMAdAByAGkAbgBnAEkAbgB0AG8AQQByAHIAYQB5ACIALAAiAEMAbwBtAG0AbwBuAF8ASQBuAHAAdQB0AEYAdQBuAGMAdABpAG8AbgBzAC4AVQB0AGkAbABpAHQAeQBfAEcAZQB0AEMAbABpAG0AYQB0AGUAWgBvAG4AZQAiACwAIgBDAG8AbQBtAG8AbgBfAEkAbgBwAHUAdABGAHUAbgBjAHQAaQBvAG4AcwAuAFUAdABpAGwAaQB0AHkAXwBMAG8AbwBrAHUAcABJAHQAZQBtAEYAcgBvAG0ATQBpAG4ATQBhAHgAIgAsACIAQwBvAG0AbQBvAG4AXwBJAG4AcAB1AHQARgB1AG4AYwB0AGkAbwBuAHMALgBVAHQAaQBsAGkAdAB5AF8AUwB1AG0AUQB1AGEAbgB0AGkAdAB5AEYAcgBvAG0AQwByAGkAdABlAHIAaQBhACIALAAiAEMAbwBtAG0AbwBuAF8ASQBuAHAAdQB0AEYAdQBuAGMAdABpAG8AbgBzAC4AZwBlAHQATwB2AGUAcgBsAGEAcABwAGkAbgBnAFIAZQBwAG8AcgB0AGkAbgBnAEMAeQBjAGwAZQBzACIALAAiAEMAbwBtAG0AbwBuAF8ASQBuAHAAdQB0AEYAdQBuAGMAdABpAG8AbgBzAC4AZwBlAHQATwB2AGUAcgBsAGEAcABwAGkAbgBnAFIAZQBwAG8AcgB0AGkAbgBnAFAAZQByAGkAbwBkAHMAIgAsACIAQwBvAG0AbQBvAG4AXwBJAG4AcAB1AHQARgB1AG4AYwB0AGkAbwBuAHMALgBVAHQAaQBsAGkAdAB5AF8ARABpAHMAcABsAGEAeQBGAHUAbgBjAHQAaQBvAG4ATgBhAG0AZQAiACwAIgBDAG8AbQBtAG8AbgBfAEkAbgBwAHUAdABGAHUAbgBjAHQAaQBvAG4AcwAuAFUAdABpAGwAaQB0AHkAXwBMAG8AbwBrAHUAcABOADIATwBFAEYARgByAG8AbQBQAHIAbwBkAEkAcgByAGkAZwBhAHQAaQBvAG4AUgBhAGkAbgBmAGEAbABsACIALAAiAEMAbwBtAG0AbwBuAF8ASQBuAHAAdQB0AEYAdQBuAGMAdABpAG8AbgBzAC4AQwBvAG0AbQBvAG4AQwByAG8AcABwAGkAbgBnAF8ARwBlAHQARgByAGEAYwBXAEUAVAAiACwAIgBDAG8AbQBtAG8AbgBfAEkAbgBwAHUAdABGAHUAbgBjAHQAaQBvAG4AcwAuAFUAdABpAGwAaQB0AHkAXwBDAG8AbgB2AGUAcgB0AFMAdABhAHQAZQBDAG8AbQBtAG8AbgBOAGEAbQBlAFQAbwBBAGIAYgByAGUAdgBpAGEAdABpAG8AbgAiACwAIgBDAG8AbQBtAG8AbgBfAEkAbgBwAHUAdABGAHUAbgBjAHQAaQBvAG4AcwAuAFUAdABpAGwAaQB0AHkAXwBTAG8AdQByAGMAZQBIAHkAcABlAHIAbABpAG4AawAiACwAIgBDAG8AbQBtAG8AbgBfAEkAbgBwAHUAdABGAHUAbgBjAHQAaQBvAG4AcwAuAFUAdABpAGwAaQB0AHkAXwBEAGkAcwBwAGwAYQB5AEEAcgBnAHUAbQBlAG4AdABzAF8AMQBfADIAIgAsACIAQwBvAG0AbQBvAG4AXwBJAG4AcAB1AHQARgB1AG4AYwB0AGkAbwBuAHMALgBVAHQAaQBsAGkAdAB5AF8ARABpAHMAcABsAGEAeQBBAHIAZwB1AG0AZQBuAHQAcwBfADMAXwA0ACIALAAiAEMAbwBtAG0AbwBuAF8ASQBuAHAAdQB0AEYAdQBuAGMAdABpAG8AbgBzAC4AQwBvAG0AbQBvAG4AXwBHAGUAdABNAEMARgBUAGUAbQBwAGUAcgBhAHQAdQByAGUAWgBvAG4AZQAiACwAIgBDAG8AbQBtAG8AbgBDAHIAbwBwAHAAaQBuAGcAXwBJAG4AcAB1AHQARgB1AG4AYwB0AGkAbwBuAHMALgBDAG8AbQBtAG8AbgBDAHIAbwBwAHAAaQBuAGcAXwBHAGUAdABGAHIAYQBjAFcARQBUACIALAAiAEMAbwBtAG0AbwBuAEMAcgBvAHAAcABpAG4AZwBfAEkAbgBwAHUAdABGAHUAbgBjAHQAaQBvAG4AcwAuAEMAbwBtAG0AbwBuAEMAcgBvAHAAcABpAG4AZwBfAEMAYQBsAGMAdQBsAGEAdABlAEgAYQByAHYAZQBzAHQASQBuAGQAZQB4ACIALAAiAEMAbwBtAG0AbwBuAEMAcgBvAHAAcABpAG4AZwBfAEkAbgBwAHUAdABGAHUAbgBjAHQAaQBvAG4AcwAuAEMAbwBtAG0AbwBuAEMAcgBvAHAAcABpAG4AZwBfAEMAYQBsAGMAdQBsAGEAdABlAFIAZQBzAGkAZAB1AGUAQwByAG8AcABSAGEAdABpAG8AIgAsACIAQwBvAG0AbQBvAG4AQwByAG8AcABwAGkAbgBnAF8ASQBuAHAAdQB0AEYAdQBuAGMAdABpAG8AbgBzAC4AQwBvAG0AbQBvAG4AQwByAG8AcABwAGkAbgBnAF8AQwBhAGwAYwB1AGwAYQB0AGUARgByAGEAYwB0AGkAbwBuAFIAZQBzAGkAZAB1AGUAUgBlAG0AbwB2AGUAZAAiACwAIgBTAG8AdQByAGMAZQBEAGEAdABhAF8ARgBlAGUAZABsAG8AdAAuAFMAbwB1AHIAYwBlAEQAYQB0AGEAXwBGAGUAZQBkAGwAbwB0AF8AVgBTAEwAXwBUAGkAdABsAGUAIgAsACIAUwBvAHUAcgBjAGUARABhAHQAYQBfAEYAZQBlAGQAbABvAHQALgBTAG8AdQByAGMAZQBEAGEAdABhAF8ARgBlAGUAZABsAG8AdABfAFYAUwBMAF8AVgBhAHIAaQBhAGIAbABlACIALAAiAFMAbwB1AHIAYwBlAEQAYQB0AGEAXwBGAGUAZQBkAGwAbwB0AC4AUwBvAHUAcgBjAGUARABhAHQAYQBfAEYAZQBlAGQAbABvAHQAXwBWAFMATABfAFUAbgBpAHQAIgAsACIAUwBvAHUAcgBjAGUARABhAHQAYQBfAEYAZQBlAGQAbABvAHQALgBTAG8AdQByAGMAZQBEAGEAdABhAF8ARgBlAGUAZABsAG8AdABfAFYAUwBMAF8AUwBvAHUAcgBjAGUAIgAsACIAUwBvAHUAcgBjAGUARABhAHQAYQBfAEYAZQBlAGQAbABvAHQALgBTAG8AdQByAGMAZQBEAGEAdABhAF8ARgBlAGUAZABsAG8AdABfAFYAUwBMAF8AVgBhAHIAaQBhAHQAaQBvAG4AIgAsACIAUwBvAHUAcgBjAGUARABhAHQAYQBfAEYAZQBlAGQAbABvAHQALgBTAG8AdQByAGMAZQBEAGEAdABhAF8ARgBlAGUAZABsAG8AdABfAFYAUwBMAF8ARABhAHQAYQAiACwAIgBTAG8AdQByAGMAZQBEAGEAdABhAF8ARgBlAGUAZABsAG8AdAAuAFMAbwB1AHIAYwBlAEQAYQB0AGEAXwBGAGUAZQBkAGwAbwB0AF8ATQBNAFMAbQAxAFQAMwBfAFQAaQB0AGwAZQAiACwAIgBTAG8AdQByAGMAZQBEAGEAdABhAF8ARgBlAGUAZABsAG8AdAAuAFMAbwB1AHIAYwBlAEQAYQB0AGEAXwBGAGUAZQBkAGwAbwB0AF8ATQBNAFMAbQAxAFQAMwBfAFYAYQByAGkAYQBiAGwAZQAiACwAIgBTAG8AdQByAGMAZQBEAGEAdABhAF8ARgBlAGUAZABsAG8AdAAuAFMAbwB1AHIAYwBlAEQAYQB0AGEAXwBGAGUAZQBkAGwAbwB0AF8ATQBNAFMAbQAxAFQAMwBfAFUAbgBpAHQAIgAsACIAUwBvAHUAcgBjAGUARABhAHQAYQBfAEYAZQBlAGQAbABvAHQALgBTAG8AdQByAGMAZQBEAGEAdABhAF8ARgBlAGUAZABsAG8AdABfAE0ATQBTAG0AMQBUADMAXwBTAG8AdQByAGMAZQAiACwAIgBTAG8AdQByAGMAZQBEAGEAdABhAF8ARgBlAGUAZABsAG8AdAAuAFMAbwB1AHIAYwBlAEQAYQB0AGEAXwBGAGUAZQBkAGwAbwB0AF8ATQBNAFMAbQAxAFQAMwBfAFYAYQByAGkAYQB0AGkAbwBuACIALAAiAFMAbwB1AHIAYwBlAEQAYQB0AGEAXwBGAGUAZQBkAGwAbwB0AC4AUwBvAHUAcgBjAGUARABhAHQAYQBfAEYAZQBlAGQAbABvAHQAXwBNAE0AUwBtADEAVAAzAF8ARABhAHQAYQAiACwAIgBTAG8AdQByAGMAZQBEAGEAdABhAF8ARgBlAGUAZABsAG8AdAAuAFMAbwB1AHIAYwBlAEQAYQB0AGEAXwBGAGUAZQBkAGwAbwB0AF8AQQBzAGgAQwBvAG4AdABlAG4AdABfAFQAaQB0AGwAZQAiACwAIgBTAG8AdQByAGMAZQBEAGEAdABhAF8ARgBlAGUAZABsAG8AdAAuAFMAbwB1AHIAYwBlAEQAYQB0AGEAXwBGAGUAZQBkAGwAbwB0AF8AQQBzAGgAQwBvAG4AdABlAG4AdABfAFYAYQByAGkAYQBiAGwAZQAiACwAIgBTAG8AdQByAGMAZQBEAGEAdABhAF8ARgBlAGUAZABsAG8AdAAuAFMAbwB1AHIAYwBlAEQAYQB0AGEAXwBGAGUAZQBkAGwAbwB0AF8AQQBzAGgAQwBvAG4AdABlAG4AdABfAFUAbgBpAHQAIgAsACIAUwBvAHUAcgBjAGUARABhAHQAYQBfAEYAZQBlAGQAbABvAHQALgBTAG8AdQByAGMAZQBEAGEAdABhAF8ARgBlAGUAZABsAG8AdABfAEEAcwBoAEMAbwBuAHQAZQBuAHQAXwBTAG8AdQByAGMAZQAiACwAIgBTAG8AdQByAGMAZQBEAGEAdABhAF8ARgBlAGUAZABsAG8AdAAuAFMAbwB1AHIAYwBlAEQAYQB0AGEAXwBGAGUAZQBkAGwAbwB0AF8AQQBzAGgAQwBvAG4AdABlAG4AdABfAFYAYQByAGkAYQB0AGkAbwBuACIALAAiAFMAbwB1AHIAYwBlAEQAYQB0AGEAXwBGAGUAZQBkAGwAbwB0AC4AUwBvAHUAcgBjAGUARABhAHQAYQBfAEYAZQBlAGQAbABvAHQAXwBBAHMAaABDAG8AbgB0AGUAbgB0AF8ARABhAHQAYQAiACwAIgBTAG8AdQByAGMAZQBEAGEAdABhAF8ARgBlAGUAZABsAG8AdAAuAFMAbwB1AHIAYwBlAEQAYQB0AGEAXwBGAGUAZQBkAGwAbwB0AF8ATQBlAHQAaABhAG4AZQBFAG0AaQBzAHMAaQBvAG4AcwBQAG8AdABlAG4AdABpAGEAbABfAFQAaQB0AGwAZQAiACwAIgBTAG8AdQByAGMAZQBEAGEAdABhAF8ARgBlAGUAZABsAG8AdAAuAFMAbwB1AHIAYwBlAEQAYQB0AGEAXwBGAGUAZQBkAGwAbwB0AF8ATQBlAHQAaABhAG4AZQBFAG0AaQBzAHMAaQBvAG4AcwBQAG8AdABlAG4AdABpAGEAbABfAFYAYQByAGkAYQBiAGwAZQAiACwAIgBTAG8AdQByAGMAZQBEAGEAdABhAF8ARgBlAGUAZABsAG8AdAAuAFMAbwB1AHIAYwBlAEQAYQB0AGEAXwBGAGUAZQBkAGwAbwB0AF8ATQBlAHQAaABhAG4AZQBFAG0AaQBzAHMAaQBvAG4AcwBQAG8AdABlAG4AdABpAGEAbABfAFUAbgBpAHQAIgAsACIAUwBvAHUAcgBjAGUARABhAHQAYQBfAEYAZQBlAGQAbABvAHQALgBTAG8AdQByAGMAZQBEAGEAdABhAF8ARgBlAGUAZABsAG8AdABfAE0AZQB0AGgAYQBuAGUARQBtAGkAcwBzAGkAbwBuAHMAUABvAHQAZQBuAHQAaQBhAGwAXwBTAG8AdQByAGMAZQAiACwAIgBTAG8AdQByAGMAZQBEAGEAdABhAF8ARgBlAGUAZABsAG8AdAAuAFMAbwB1AHIAYwBlAEQAYQB0AGEAXwBGAGUAZQBkAGwAbwB0AF8ATQBlAHQAaABhAG4AZQBFAG0AaQBzAHMAaQBvAG4AcwBQAG8AdABlAG4AdABpAGEAbABfAFYAYQByAGkAYQB0AGkAbwBuACIALAAiAFMAbwB1AHIAYwBlAEQAYQB0AGEAXwBGAGUAZQBkAGwAbwB0AC4AUwBvAHUAcgBjAGUARABhAHQAYQBfAEYAZQBlAGQAbABvAHQAXwBNAGUAdABoAGEAbgBlAEUAbQBpAHMAcwBpAG8AbgBzAFAAbwB0AGUAbgB0AGkAYQBsAF8ARABhAHQAYQAiACwAIgBTAG8AdQByAGMAZQBEAGEAdABhAF8ARgBlAGUAZABsAG8AdAAuAFMAbwB1AHIAYwBlAEQAYQB0AGEAXwBGAGUAZQBkAGwAbwB0AF8AUwB0AGEAZwBlADEATQBNAFMATwBwAHQAaQBvAG4AcwAiACwAIgBTAG8AdQByAGMAZQBEAGEAdABhAF8ARgBlAGUAZABsAG8AdAAuAFMAbwB1AHIAYwBlAEQAYQB0AGEAXwBGAGUAZQBkAGwAbwB0AF8AUwB0AGEAZwBlADIATQBNAFMATwBwAHQAaQBvAG4AcwAiACwAIgBTAG8AdQByAGMAZQBEAGEAdABhAF8ARgBlAGUAZABsAG8AdAAuAFMAbwB1AHIAYwBlAEQAYQB0AGEAXwBGAGUAZQBkAGwAbwB0AF8AUwB0AGEAZwBlADMATQBNAFMATwBwAHQAaQBvAG4AcwAiACwAIgBTAG8AdQByAGMAZQBEAGEAdABhAF8ARgBlAGUAZABsAG8AdAAuAFMAbwB1AHIAYwBlAEQAYQB0AGEAXwBGAGUAZQBkAGwAbwB0AF8ATABpAHYAZQBzAHQAbwBjAGsAQwBsAGEAcwBzAGUAcwAiACwAIgBTAG8AdQByAGMAZQBEAGEAdABhAF8ARgBlAGUAZABsAG8AdAAuAFMAbwB1AHIAYwBlAEQAYQB0AGEAXwBGAGUAZQBkAGwAbwB0AF8ARAB1AHIAYQB0AGkAbwBuAE8AZgBTAHQAYQB5AF8AVABpAHQAbABlACIALAAiAFMAbwB1AHIAYwBlAEQAYQB0AGEAXwBGAGUAZQBkAGwAbwB0AC4AUwBvAHUAcgBjAGUARABhAHQAYQBfAEYAZQBlAGQAbABvAHQAXwBEAHUAcgBhAHQAaQBvAG4ATwBmAFMAdABhAHkAXwBVAG4AaQB0ACIALAAiAFMAbwB1AHIAYwBlAEQAYQB0AGEAXwBGAGUAZQBkAGwAbwB0AC4AUwBvAHUAcgBjAGUARABhAHQAYQBfAEYAZQBlAGQAbABvAHQAXwBEAHUAcgBhAHQAaQBvAG4ATwBmAFMAdABhAHkAXwBTAG8AdQByAGMAZQAiACwAIgBTAG8AdQByAGMAZQBEAGEAdABhAF8ARgBlAGUAZABsAG8AdAAuAFMAbwB1AHIAYwBlAEQAYQB0AGEAXwBGAGUAZQBkAGwAbwB0AF8ARAB1AHIAYQB0AGkAbwBuAE8AZgBTAHQAYQB5AF8AVgBhAHIAaQBhAHQAaQBvAG4AIgAsACIAUwBvAHUAcgBjAGUARABhAHQAYQBfAEYAZQBlAGQAbABvAHQALgBTAG8AdQByAGMAZQBEAGEAdABhAF8ARgBlAGUAZABsAG8AdABfAEQAdQByAGEAdABpAG8AbgBPAGYAUwB0AGEAeQBfAEQAYQB0AGEAIgAsACIAUwBvAHUAcgBjAGUARABhAHQAYQBfAEYAZQBlAGQAbABvAHQALgBTAG8AdQByAGMAZQBEAGEAdABhAF8ARgBlAGUAZABsAG8AdABfAEEAbgBpAG0AYQBsAEMAaABhAHIAYQBjAHQAZQByAGkAcwB0AGkAYwBzAF8AVABpAHQAbABlACIALAAiAFMAbwB1AHIAYwBlAEQAYQB0AGEAXwBGAGUAZQBkAGwAbwB0AC4AUwBvAHUAcgBjAGUARABhAHQAYQBfAEYAZQBlAGQAbABvAHQAXwBBAG4AaQBtAGEAbABDAGgAYQByAGEAYwB0AGUAcgBpAHMAdABpAGMAcwBfAFUAbgBpAHQAIgAsACIAUwBvAHUAcgBjAGUARABhAHQAYQBfAEYAZQBlAGQAbABvAHQALgBTAG8AdQByAGMAZQBEAGEAdABhAF8ARgBlAGUAZABsAG8AdABfAEEAbgBpAG0AYQBsAEMAaABhAHIAYQBjAHQAZQByAGkAcwB0AGkAYwBzAF8AUwBvAHUAcgBjAGUAIgAsACIAUwBvAHUAcgBjAGUARABhAHQAYQBfAEYAZQBlAGQAbABvAHQALgBTAG8AdQByAGMAZQBEAGEAdABhAF8ARgBlAGUAZABsAG8AdABfAEEAbgBpAG0AYQBsAEMAaABhAHIAYQBjAHQAZQByAGkAcwB0AGkAYwBzAF8AVgBhAHIAaQBhAHQAaQBvAG4AIgAsACIAUwBvAHUAcgBjAGUARABhAHQAYQBfAEYAZQBlAGQAbABvAHQALgBTAG8AdQByAGMAZQBEAGEAdABhAF8ARgBlAGUAZABsAG8AdABfAEEAbgBpAG0AYQBsAEMAaABhAHIAYQBjAHQAZQByAGkAcwB0AGkAYwBzAF8ARABhAHQAYQAiACwAIgBTAG8AdQByAGMAZQBEAGEAdABhAF8ARgBlAGUAZABsAG8AdAAuAFMAbwB1AHIAYwBlAEQAYQB0AGEAXwBGAGUAZQBkAGwAbwB0AF8ARABpAGUAdABQAHIAbwBwAGUAcgB0AGkAZQBzAF8AVABpAHQAbABlACIALAAiAFMAbwB1AHIAYwBlAEQAYQB0AGEAXwBGAGUAZQBkAGwAbwB0AC4AUwBvAHUAcgBjAGUARABhAHQAYQBfAEYAZQBlAGQAbABvAHQAXwBEAGkAZQB0AFAAcgBvAHAAZQByAHQAaQBlAHMAXwBVAG4AaQB0ACIALAAiAFMAbwB1AHIAYwBlAEQAYQB0AGEAXwBGAGUAZQBkAGwAbwB0AC4AUwBvAHUAcgBjAGUARABhAHQAYQBfAEYAZQBlAGQAbABvAHQAXwBEAGkAZQB0AFAAcgBvAHAAZQByAHQAaQBlAHMAXwBTAG8AdQByAGMAZQAiACwAIgBTAG8AdQByAGMAZQBEAGEAdABhAF8ARgBlAGUAZABsAG8AdAAuAFMAbwB1AHIAYwBlAEQAYQB0AGEAXwBGAGUAZQBkAGwAbwB0AF8ARABpAGUAdABQAHIAbwBwAGUAcgB0AGkAZQBzAF8AVgBhAHIAaQBhAHQAaQBvAG4AIgAsACIAUwBvAHUAcgBjAGUARABhAHQAYQBfAEYAZQBlAGQAbABvAHQALgBTAG8AdQByAGMAZQBEAGEAdABhAF8ARgBlAGUAZABsAG8AdABfAEQAaQBlAHQAUAByAG8AcABlAHIAdABpAGUAcwBfAEQAYQB0AGEAIgAsACIAUwBvAHUAcgBjAGUARABhAHQAYQBfAEYAZQBlAGQAbABvAHQALgBTAG8AdQByAGMAZQBEAGEAdABhAF8ARgBlAGUAZABsAG8AdABfAE0AQwBGAF8AVABpAHQAbABlACIALAAiAFMAbwB1AHIAYwBlAEQAYQB0AGEAXwBGAGUAZQBkAGwAbwB0AC4AUwBvAHUAcgBjAGUARABhAHQAYQBfAEYAZQBlAGQAbABvAHQAXwBNAEMARgBfAFUAbgBpAHQAIgAsACIAUwBvAHUAcgBjAGUARABhAHQAYQBfAEYAZQBlAGQAbABvAHQALgBTAG8AdQByAGMAZQBEAGEAdABhAF8ARgBlAGUAZABsAG8AdABfAE0AQwBGAF8AUwBvAHUAcgBjAGUAIgAsACIAUwBvAHUAcgBjAGUARABhAHQAYQBfAEYAZQBlAGQAbABvAHQALgBTAG8AdQByAGMAZQBEAGEAdABhAF8ARgBlAGUAZABsAG8AdABfAE0AQwBGAF8AVgBhAHIAaQBhAHQAaQBvAG4AIgAsACIAUwBvAHUAcgBjAGUARABhAHQAYQBfAEYAZQBlAGQAbABvAHQALgBTAG8AdQByAGMAZQBEAGEAdABhAF8ARgBlAGUAZABsAG8AdABfAE0AQwBGAF8ARABhAHQAYQAiACwAIgBTAG8AdQByAGMAZQBEAGEAdABhAF8ARgBlAGUAZABsAG8AdAAuAFMAbwB1AHIAYwBlAEQAYQB0AGEAXwBGAGUAZQBkAGwAbwB0AF8ATgBpAHQAcgBvAHUAcwBPAHgAaQBkAGUARQBGAHMAXwBUAGkAdABsAGUAIgAsACIAUwBvAHUAcgBjAGUARABhAHQAYQBfAEYAZQBlAGQAbABvAHQALgBTAG8AdQByAGMAZQBEAGEAdABhAF8ARgBlAGUAZABsAG8AdABfAE4AaQB0AHIAbwB1AHMATwB4AGkAZABlAEUARgBzAF8AVQBuAGkAdAAiACwAIgBTAG8AdQByAGMAZQBEAGEAdABhAF8ARgBlAGUAZABsAG8AdAAuAFMAbwB1AHIAYwBlAEQAYQB0AGEAXwBGAGUAZQBkAGwAbwB0AF8ATgBpAHQAcgBvAHUAcwBPAHgAaQBkAGUARQBGAHMAXwBTAG8AdQByAGMAZQAiACwAIgBTAG8AdQByAGMAZQBEAGEAdABhAF8ARgBlAGUAZABsAG8AdAAuAFMAbwB1AHIAYwBlAEQAYQB0AGEAXwBGAGUAZQBkAGwAbwB0AF8ATgBpAHQAcgBvAHUAcwBPAHgAaQBkAGUARQBGAHMAXwBWAGEAcgBpAGEAdABpAG8AbgAiACwAIgBTAG8AdQByAGMAZQBEAGEAdABhAF8ARgBlAGUAZABsAG8AdAAuAFMAbwB1AHIAYwBlAEQAYQB0AGEAXwBGAGUAZQBkAGwAbwB0AF8ATgBpAHQAcgBvAHUAcwBPAHgAaQBkAGUARQBGAHMAXwBEAGEAdABhACIALAAiAFMAbwB1AHIAYwBlAEQAYQB0AGEAXwBGAGUAZQBkAGwAbwB0AC4AUwBvAHUAcgBjAGUARABhAHQAYQBfAEYAZQBlAGQAbABvAHQAXwBGAHIAYQBjAE4AVgBvAGwAYQB0AGkAbABpAHMAZQBkAF8AVABpAHQAbABlACIALAAiAFMAbwB1AHIAYwBlAEQAYQB0AGEAXwBGAGUAZQBkAGwAbwB0AC4AUwBvAHUAcgBjAGUARABhAHQAYQBfAEYAZQBlAGQAbABvAHQAXwBGAHIAYQBjAE4AVgBvAGwAYQB0AGkAbABpAHMAZQBkAF8AVQBuAGkAdAAiACwAIgBTAG8AdQByAGMAZQBEAGEAdABhAF8ARgBlAGUAZABsAG8AdAAuAFMAbwB1AHIAYwBlAEQAYQB0AGEAXwBGAGUAZQBkAGwAbwB0AF8ARgByAGEAYwBOAFYAbwBsAGEAdABpAGwAaQBzAGUAZABfAFMAbwB1AHIAYwBlACIALAAiAFMAbwB1AHIAYwBlAEQAYQB0AGEAXwBGAGUAZQBkAGwAbwB0AC4AUwBvAHUAcgBjAGUARABhAHQAYQBfAEYAZQBlAGQAbABvAHQAXwBGAHIAYQBjAE4AVgBvAGwAYQB0AGkAbABpAHMAZQBkAF8AVgBhAHIAaQBhAHQAaQBvAG4AIgAsACIAUwBvAHUAcgBjAGUARABhAHQAYQBfAEYAZQBlAGQAbABvAHQALgBTAG8AdQByAGMAZQBEAGEAdABhAF8ARgBlAGUAZABsAG8AdABfAEYAcgBhAGMATgBWAG8AbABhAHQAaQBsAGkAcwBlAGQAXwBEAGEAdABhACIALAAiAE0ATQBTAF8ARgBlAGUAZABsAG8AdABfAE0AZQB0AGgAYQBuAGUAXwBFAHEAdQBhAHQAaQBvAG4AcwAuAFYARQBFAFIARwBfADQAXwAxAF8AMQBfADEAXwBfADEAXwBUAG8AdABhAGwAQQBuAG4AdQBhAGwATQBlAHQAaABhAG4AZQBFAG0AaQBzAHMAaQBvAG4AcwAiACwAIgBNAE0AUwBfAEYAZQBlAGQAbABvAHQAXwBNAGUAdABoAGEAbgBlAF8ARQBxAHUAYQB0AGkAbwBuAHMALgBWAEUARQBSAEcAXwA0AF8AMQBfADEAXwAxAF8AXwAxAF8AVABvAHQAYQBsAEEAbgBuAHUAYQBsAE0AZQB0AGgAYQBuAGUARQBtAGkAcwBzAGkAbwBuAHMAXwBUAGkAdABsAGUAIgAsACIATQBNAFMAXwBGAGUAZQBkAGwAbwB0AF8ATQBlAHQAaABhAG4AZQBfAEUAcQB1AGEAdABpAG8AbgBzAC4AVgBFAEUAUgBHAF8ANABfADEAXwAxAF8AMQBfAF8AMQBfAFQAbwB0AGEAbABBAG4AbgB1AGEAbABNAGUAdABoAGEAbgBlAEUAbQBpAHMAcwBpAG8AbgBzAF8AVgBhAHIAaQBhAGIAbABlACIALAAiAE0ATQBTAF8ARgBlAGUAZABsAG8AdABfAE0AZQB0AGgAYQBuAGUAXwBFAHEAdQBhAHQAaQBvAG4AcwAuAFYARQBFAFIARwBfADQAXwAxAF8AMQBfADEAXwBfADEAXwBUAG8AdABhAGwAQQBuAG4AdQBhAGwATQBlAHQAaABhAG4AZQBFAG0AaQBzAHMAaQBvAG4AcwBfAFUAbgBpAHQAIgAsACIATQBNAFMAXwBGAGUAZQBkAGwAbwB0AF8ATQBlAHQAaABhAG4AZQBfAEUAcQB1AGEAdABpAG8AbgBzAC4AVgBFAEUAUgBHAF8ANABfADEAXwAxAF8AMQBfAF8AMQBfAFQAbwB0AGEAbABBAG4AbgB1AGEAbABNAGUAdABoAGEAbgBlAEUAbQBpAHMAcwBpAG8AbgBzAF8AUwBvAHUAcgBjAGUAIgAsACIATQBNAFMAXwBGAGUAZQBkAGwAbwB0AF8ATQBlAHQAaABhAG4AZQBfAEUAcQB1AGEAdABpAG8AbgBzAC4AVgBFAEUAUgBHAF8ANABfADEAXwAxAF8AMQBfAF8AMQBfAFQAbwB0AGEAbABBAG4AbgB1AGEAbABNAGUAdABoAGEAbgBlAEUAbQBpAHMAcwBpAG8AbgBzAF8ATgBJAFIAUgBlAGYAZQByAGUAbgBjAGUAIgAsACIATQBNAFMAXwBGAGUAZQBkAGwAbwB0AF8ATQBlAHQAaABhAG4AZQBfAEUAcQB1AGEAdABpAG8AbgBzAC4AVgBFAEUAUgBHAF8ANABfADEAXwAxAF8AMQBfAF8AMQBfAFQAbwB0AGEAbABBAG4AbgB1AGEAbABNAGUAdABoAGEAbgBlAEUAbQBpAHMAcwBpAG8AbgBzAF8ATABhAHQAZQB4AEUAcQB1AGEAdABpAG8AbgAiACwAIgBNAE0AUwBfAEYAZQBlAGQAbABvAHQAXwBNAGUAdABoAGEAbgBlAF8ARQBxAHUAYQB0AGkAbwBuAHMALgBWAEUARQBSAEcAXwA0AF8AMQBfADEAXwAxAF8AXwAxAF8AVABvAHQAYQBsAEEAbgBuAHUAYQBsAE0AZQB0AGgAYQBuAGUARQBtAGkAcwBzAGkAbwBuAHMAXwBBAHIAZwB1AG0AZQBuAHQAcwAiACwAIgBNAE0AUwBfAEYAZQBlAGQAbABvAHQAXwBNAGUAdABoAGEAbgBlAF8ARQBxAHUAYQB0AGkAbwBuAHMALgBWAEUARQBSAEcAXwA0AF8AMQBfADEAXwAxAF8AXwAyAF8AUwB0AGEAZwBlADEATQBlAHQAaABhAG4AZQBQAHIAbwBkAHUAYwB0AGkAbwBuAEQAcgB5AGwAbwB0ACIALAAiAE0ATQBTAF8ARgBlAGUAZABsAG8AdABfAE0AZQB0AGgAYQBuAGUAXwBFAHEAdQBhAHQAaQBvAG4AcwAuAFYARQBFAFIARwBfADQAXwAxAF8AMQBfADEAXwBfADIAXwBTAHQAYQBnAGUAMQBNAGUAdABoAGEAbgBlAFAAcgBvAGQAdQBjAHQAaQBvAG4ARAByAHkAbABvAHQAXwBUAGkAdABsAGUAIgAsACIATQBNAFMAXwBGAGUAZQBkAGwAbwB0AF8ATQBlAHQAaABhAG4AZQBfAEUAcQB1AGEAdABpAG8AbgBzAC4AVgBFAEUAUgBHAF8ANABfADEAXwAxAF8AMQBfAF8AMgBfAFMAdABhAGcAZQAxAE0AZQB0AGgAYQBuAGUAUAByAG8AZAB1AGMAdABpAG8AbgBEAHIAeQBsAG8AdABfAFYAYQByAGkAYQBiAGwAZQAiACwAIgBNAE0AUwBfAEYAZQBlAGQAbABvAHQAXwBNAGUAdABoAGEAbgBlAF8ARQBxAHUAYQB0AGkAbwBuAHMALgBWAEUARQBSAEcAXwA0AF8AMQBfADEAXwAxAF8AXwAyAF8AUwB0AGEAZwBlADEATQBlAHQAaABhAG4AZQBQAHIAbwBkAHUAYwB0AGkAbwBuAEQAcgB5AGwAbwB0AF8AVQBuAGkAdAAiACwAIgBNAE0AUwBfAEYAZQBlAGQAbABvAHQAXwBNAGUAdABoAGEAbgBlAF8ARQBxAHUAYQB0AGkAbwBuAHMALgBWAEUARQBSAEcAXwA0AF8AMQBfADEAXwAxAF8AXwAyAF8AUwB0AGEAZwBlADEATQBlAHQAaABhAG4AZQBQAHIAbwBkAHUAYwB0AGkAbwBuAEQAcgB5AGwAbwB0AF8AUwBvAHUAcgBjAGUAIgAsACIATQBNAFMAXwBGAGUAZQBkAGwAbwB0AF8ATQBlAHQAaABhAG4AZQBfAEUAcQB1AGEAdABpAG8AbgBzAC4AVgBFAEUAUgBHAF8ANABfADEAXwAxAF8AMQBfAF8AMgBfAFMAdABhAGcAZQAxAE0AZQB0AGgAYQBuAGUAUAByAG8AZAB1AGMAdABpAG8AbgBEAHIAeQBsAG8AdABfAE4ASQBSAFIAZQBmAGUAcgBlAG4AYwBlACIALAAiAE0ATQBTAF8ARgBlAGUAZABsAG8AdABfAE0AZQB0AGgAYQBuAGUAXwBFAHEAdQBhAHQAaQBvAG4AcwAuAFYARQBFAFIARwBfADQAXwAxAF8AMQBfADEAXwBfADIAXwBTAHQAYQBnAGUAMQBNAGUAdABoAGEAbgBlAFAAcgBvAGQAdQBjAHQAaQBvAG4ARAByAHkAbABvAHQAXwBMAGEAdABlAHgARQBxAHUAYQB0AGkAbwBuACIALAAiAE0ATQBTAF8ARgBlAGUAZABsAG8AdABfAE0AZQB0AGgAYQBuAGUAXwBFAHEAdQBhAHQAaQBvAG4AcwAuAFYARQBFAFIARwBfADQAXwAxAF8AMQBfADEAXwBfADIAXwBTAHQAYQBnAGUAMQBNAGUAdABoAGEAbgBlAFAAcgBvAGQAdQBjAHQAaQBvAG4ARAByAHkAbABvAHQAXwBBAHIAZwB1AG0AZQBuAHQAcwAiACwAIgBNAE0AUwBfAEYAZQBlAGQAbABvAHQAXwBNAGUAdABoAGEAbgBlAF8ARQBxAHUAYQB0AGkAbwBuAHMALgBWAEUARQBSAEcAXwA0AF8AMQBfADEAXwAxAF8AXwAyAF8AUwB0AGEAZwBlADEATQBlAHQAaABhAG4AZQBQAHIAbwBkAHUAYwB0AGkAbwBuAEQAcgB5AGwAbwB0AF8AQQByAGcAdQBtAGUAbgB0AHMAXwBNAGUAdABoAG8AZAAyACIALAAiAE0ATQBTAF8ARgBlAGUAZABsAG8AdABfAE0AZQB0AGgAYQBuAGUAXwBFAHEAdQBhAHQAaQBvAG4AcwAuAFYARQBFAFIARwBfADQAXwAxAF8AMQBfADEAXwBfADMAXwBTAHQAYQBnAGUAMgBNAGUAdABoAGEAbgBlAFAAcgBvAGQAdQBjAHQAaQBvAG4AIgAsACIATQBNAFMAXwBGAGUAZQBkAGwAbwB0AF8ATQBlAHQAaABhAG4AZQBfAEUAcQB1AGEAdABpAG8AbgBzAC4AVgBFAEUAUgBHAF8ANABfADEAXwAxAF8AMQBfAF8AMwBfAFMAdABhAGcAZQAyAE0AZQB0AGgAYQBuAGUAUAByAG8AZAB1AGMAdABpAG8AbgBfAFQAaQB0AGwAZQAiACwAIgBNAE0AUwBfAEYAZQBlAGQAbABvAHQAXwBNAGUAdABoAGEAbgBlAF8ARQBxAHUAYQB0AGkAbwBuAHMALgBWAEUARQBSAEcAXwA0AF8AMQBfADEAXwAxAF8AXwAzAF8AUwB0AGEAZwBlADIATQBlAHQAaABhAG4AZQBQAHIAbwBkAHUAYwB0AGkAbwBuAF8AVgBhAHIAaQBhAGIAbABlACIALAAiAE0ATQBTAF8ARgBlAGUAZABsAG8AdABfAE0AZQB0AGgAYQBuAGUAXwBFAHEAdQBhAHQAaQBvAG4AcwAuAFYARQBFAFIARwBfADQAXwAxAF8AMQBfADEAXwBfADMAXwBTAHQAYQBnAGUAMgBNAGUAdABoAGEAbgBlAFAAcgBvAGQAdQBjAHQAaQBvAG4AXwBVAG4AaQB0ACIALAAiAE0ATQBTAF8ARgBlAGUAZABsAG8AdABfAE0AZQB0AGgAYQBuAGUAXwBFAHEAdQBhAHQAaQBvAG4AcwAuAFYARQBFAFIARwBfADQAXwAxAF8AMQBfADEAXwBfADMAXwBTAHQAYQBnAGUAMgBNAGUAdABoAGEAbgBlAFAAcgBvAGQAdQBjAHQAaQBvAG4AXwBTAG8AdQByAGMAZQAiACwAIgBNAE0AUwBfAEYAZQBlAGQAbABvAHQAXwBNAGUAdABoAGEAbgBlAF8ARQBxAHUAYQB0AGkAbwBuAHMALgBWAEUARQBSAEcAXwA0AF8AMQBfADEAXwAxAF8AXwAzAF8AUwB0AGEAZwBlADIATQBlAHQAaABhAG4AZQBQAHIAbwBkAHUAYwB0AGkAbwBuAF8ATgBJAFIAUgBlAGYAZQByAGUAbgBjAGUAIgAsACIATQBNAFMAXwBGAGUAZQBkAGwAbwB0AF8ATQBlAHQAaABhAG4AZQBfAEUAcQB1AGEAdABpAG8AbgBzAC4AVgBFAEUAUgBHAF8ANABfADEAXwAxAF8AMQBfAF8AMwBfAFMAdABhAGcAZQAyAE0AZQB0AGgAYQBuAGUAUAByAG8AZAB1AGMAdABpAG8AbgBfAEwAYQB0AGUAeABFAHEAdQBhAHQAaQBvAG4AIgAsACIATQBNAFMAXwBGAGUAZQBkAGwAbwB0AF8ATQBlAHQAaABhAG4AZQBfAEUAcQB1AGEAdABpAG8AbgBzAC4AVgBFAEUAUgBHAF8ANABfADEAXwAxAF8AMQBfAF8AMwBfAFMAdABhAGcAZQAyAE0AZQB0AGgAYQBuAGUAUAByAG8AZAB1AGMAdABpAG8AbgBfAEEAcgBnAHUAbQBlAG4AdABzACIALAAiAE0ATQBTAF8ARgBlAGUAZABsAG8AdABfAE0AZQB0AGgAYQBuAGUAXwBFAHEAdQBhAHQAaQBvAG4AcwAuAFYARQBFAFIARwBfADQAXwAxAF8AMQBfADEAXwBfADMAXwBTAHQAYQBnAGUAMgBNAGUAdABoAGEAbgBlAFAAcgBvAGQAdQBjAHQAaQBvAG4AXwBBAHIAZwB1AG0AZQBuAHQAcwBfAE0AZQB0AGgAbwBkADIAIgAsACIATQBNAFMAXwBGAGUAZQBkAGwAbwB0AF8ATQBlAHQAaABhAG4AZQBfAEUAcQB1AGEAdABpAG8AbgBzAC4AVgBFAEUAUgBHAF8ANABfADEAXwAxAF8AMQBfAF8ANABfAFMAdABhAGcAZQAzAE0AZQB0AGgAYQBuAGUAUAByAG8AZAB1AGMAdABpAG8AbgBBAG4AYQBlAHIAbwBiAGkAYwBMAGEAZwBvAG8AbgAiACwAIgBNAE0AUwBfAEYAZQBlAGQAbABvAHQAXwBNAGUAdABoAGEAbgBlAF8ARQBxAHUAYQB0AGkAbwBuAHMALgBWAEUARQBSAEcAXwA0AF8AMQBfADEAXwAxAF8AXwA0AF8AUwB0AGEAZwBlADMATQBlAHQAaABhAG4AZQBQAHIAbwBkAHUAYwB0AGkAbwBuAEEAbgBhAGUAcgBvAGIAaQBjAEwAYQBnAG8AbwBuAF8AVABpAHQAbABlACIALAAiAE0ATQBTAF8ARgBlAGUAZABsAG8AdABfAE0AZQB0AGgAYQBuAGUAXwBFAHEAdQBhAHQAaQBvAG4AcwAuAFYARQBFAFIARwBfADQAXwAxAF8AMQBfADEAXwBfADQAXwBTAHQAYQBnAGUAMwBNAGUAdABoAGEAbgBlAFAAcgBvAGQAdQBjAHQAaQBvAG4AQQBuAGEAZQByAG8AYgBpAGMATABhAGcAbwBvAG4AXwBWAGEAcgBpAGEAYgBsAGUAIgAsACIATQBNAFMAXwBGAGUAZQBkAGwAbwB0AF8ATQBlAHQAaABhAG4AZQBfAEUAcQB1AGEAdABpAG8AbgBzAC4AVgBFAEUAUgBHAF8ANABfADEAXwAxAF8AMQBfAF8ANABfAFMAdABhAGcAZQAzAE0AZQB0AGgAYQBuAGUAUAByAG8AZAB1AGMAdABpAG8AbgBBAG4AYQBlAHIAbwBiAGkAYwBMAGEAZwBvAG8AbgBfAFUAbgBpAHQAIgAsACIATQBNAFMAXwBGAGUAZQBkAGwAbwB0AF8ATQBlAHQAaABhAG4AZQBfAEUAcQB1AGEAdABpAG8AbgBzAC4AVgBFAEUAUgBHAF8ANABfADEAXwAxAF8AMQBfAF8ANABfAFMAdABhAGcAZQAzAE0AZQB0AGgAYQBuAGUAUAByAG8AZAB1AGMAdABpAG8AbgBBAG4AYQBlAHIAbwBiAGkAYwBMAGEAZwBvAG8AbgBfAFMAbwB1AHIAYwBlACIALAAiAE0ATQBTAF8ARgBlAGUAZABsAG8AdABfAE0AZQB0AGgAYQBuAGUAXwBFAHEAdQBhAHQAaQBvAG4AcwAuAFYARQBFAFIARwBfADQAXwAxAF8AMQBfADEAXwBfADQAXwBTAHQAYQBnAGUAMwBNAGUAdABoAGEAbgBlAFAAcgBvAGQAdQBjAHQAaQBvAG4AQQBuAGEAZQByAG8AYgBpAGMATABhAGcAbwBvAG4AXwBOAEkAUgBSAGUAZgBlAHIAZQBuAGMAZQAiACwAIgBNAE0AUwBfAEYAZQBlAGQAbABvAHQAXwBNAGUAdABoAGEAbgBlAF8ARQBxAHUAYQB0AGkAbwBuAHMALgBWAEUARQBSAEcAXwA0AF8AMQBfADEAXwAxAF8AXwA0AF8AUwB0AGEAZwBlADMATQBlAHQAaABhAG4AZQBQAHIAbwBkAHUAYwB0AGkAbwBuAEEAbgBhAGUAcgBvAGIAaQBjAEwAYQBnAG8AbwBuAF8ATABhAHQAZQB4AEUAcQB1AGEAdABpAG8AbgAiACwAIgBNAE0AUwBfAEYAZQBlAGQAbABvAHQAXwBNAGUAdABoAGEAbgBlAF8ARQBxAHUAYQB0AGkAbwBuAHMALgBWAEUARQBSAEcAXwA0AF8AMQBfADEAXwAxAF8AXwA0AF8AUwB0AGEAZwBlADMATQBlAHQAaABhAG4AZQBQAHIAbwBkAHUAYwB0AGkAbwBuAEEAbgBhAGUAcgBvAGIAaQBjAEwAYQBnAG8AbwBuAF8AQQByAGcAdQBtAGUAbgB0AHMAIgAsACIATQBNAFMAXwBGAGUAZQBkAGwAbwB0AF8ATQBlAHQAaABhAG4AZQBfAEUAcQB1AGEAdABpAG8AbgBzAC4AVgBFAEUAUgBHAF8ANABfADEAXwAxAF8AMQBfAF8ANABfAFMAdABhAGcAZQAzAE0AZQB0AGgAYQBuAGUAUAByAG8AZAB1AGMAdABpAG8AbgBBAG4AYQBlAHIAbwBiAGkAYwBMAGEAZwBvAG8AbgBfAEEAcgBnAHUAbQBlAG4AdABzAF8ATQBlAHQAaABvAGQAMgAiACwAIgBNAE0AUwBfAEYAZQBlAGQAbABvAHQAXwBNAGUAdABoAGEAbgBlAF8ARQBxAHUAYQB0AGkAbwBuAHMALgBWAEUARQBSAEcAXwA0AF8AMQBfADEAXwAxAF8AXwA1AF8AVgBvAGwAYQB0AGkAbABlAFMAbwBsAGkAZABQAHIAbwBkAHUAYwB0AGkAbwBuACIALAAiAE0ATQBTAF8ARgBlAGUAZABsAG8AdABfAE0AZQB0AGgAYQBuAGUAXwBFAHEAdQBhAHQAaQBvAG4AcwAuAFYARQBFAFIARwBfADQAXwAxAF8AMQBfADEAXwBfADUAXwBWAG8AbABhAHQAaQBsAGUAUwBvAGwAaQBkAFAAcgBvAGQAdQBjAHQAaQBvAG4AXwBUAGkAdABsAGUAIgAsACIATQBNAFMAXwBGAGUAZQBkAGwAbwB0AF8ATQBlAHQAaABhAG4AZQBfAEUAcQB1AGEAdABpAG8AbgBzAC4AVgBFAEUAUgBHAF8ANABfADEAXwAxAF8AMQBfAF8ANQBfAFYAbwBsAGEAdABpAGwAZQBTAG8AbABpAGQAUAByAG8AZAB1AGMAdABpAG8AbgBfAFYAYQByAGkAYQBiAGwAZQAiACwAIgBNAE0AUwBfAEYAZQBlAGQAbABvAHQAXwBNAGUAdABoAGEAbgBlAF8ARQBxAHUAYQB0AGkAbwBuAHMALgBWAEUARQBSAEcAXwA0AF8AMQBfADEAXwAxAF8AXwA1AF8AVgBvAGwAYQB0AGkAbABlAFMAbwBsAGkAZABQAHIAbwBkAHUAYwB0AGkAbwBuAF8AVQBuAGkAdAAiACwAIgBNAE0AUwBfAEYAZQBlAGQAbABvAHQAXwBNAGUAdABoAGEAbgBlAF8ARQBxAHUAYQB0AGkAbwBuAHMALgBWAEUARQBSAEcAXwA0AF8AMQBfADEAXwAxAF8AXwA1AF8AVgBvAGwAYQB0AGkAbABlAFMAbwBsAGkAZABQAHIAbwBkAHUAYwB0AGkAbwBuAF8AUwBvAHUAcgBjAGUAIgAsACIATQBNAFMAXwBGAGUAZQBkAGwAbwB0AF8ATQBlAHQAaABhAG4AZQBfAEUAcQB1AGEAdABpAG8AbgBzAC4AVgBFAEUAUgBHAF8ANABfADEAXwAxAF8AMQBfAF8ANQBfAFYAbwBsAGEAdABpAGwAZQBTAG8AbABpAGQAUAByAG8AZAB1AGMAdABpAG8AbgBfAE4ASQBSAFIAZQBmAGUAcgBlAG4AYwBlACIALAAiAE0ATQBTAF8ARgBlAGUAZABsAG8AdABfAE0AZQB0AGgAYQBuAGUAXwBFAHEAdQBhAHQAaQBvAG4AcwAuAFYARQBFAFIARwBfADQAXwAxAF8AMQBfADEAXwBfADUAXwBWAG8AbABhAHQAaQBsAGUAUwBvAGwAaQBkAFAAcgBvAGQAdQBjAHQAaQBvAG4AXwBMAGEAdABlAHgARQBxAHUAYQB0AGkAbwBuACIALAAiAE0ATQBTAF8ARgBlAGUAZABsAG8AdABfAE0AZQB0AGgAYQBuAGUAXwBFAHEAdQBhAHQAaQBvAG4AcwAuAFYARQBFAFIARwBfADQAXwAxAF8AMQBfADEAXwBfADUAXwBWAG8AbABhAHQAaQBsAGUAUwBvAGwAaQBkAFAAcgBvAGQAdQBjAHQAaQBvAG4AXwBBAHIAZwB1AG0AZQBuAHQAcwAiACwAIgBNAE0AUwBfAEYAZQBlAGQAbABvAHQAXwBNAGEAbgB1AHIAZQBBAHAAcABsAGkAZQBkAFQAbwBTAG8AaQBsAHMAXwBFAHEAdQBhAHQAaQBvAG4AcwAuAFYARQBFAFIARwBfADQAXwAxAF8AMQBfADkAXwBfADEAXwBNAGEAcwBzAE8AZgBOAGkAdAByAG8AZwBlAG4AQQBwAHAAbABpAGUAZABUAG8AUwBvAGkAbABzAFMAYwBvAHAAZQAxACIALAAiAE0ATQBTAF8ARgBlAGUAZABsAG8AdABfAE0AYQBuAHUAcgBlAEEAcABwAGwAaQBlAGQAVABvAFMAbwBpAGwAcwBfAEUAcQB1AGEAdABpAG8AbgBzAC4AVgBFAEUAUgBHAF8ANABfADEAXwAxAF8AOQBfAF8AMQBfAE0AYQBzAHMATwBmAE4AaQB0AHIAbwBnAGUAbgBBAHAAcABsAGkAZQBkAFQAbwBTAG8AaQBsAHMAUwBjAG8AcABlADEAXwBUAGkAdABsAGUAIgAsACIATQBNAFMAXwBGAGUAZQBkAGwAbwB0AF8ATQBhAG4AdQByAGUAQQBwAHAAbABpAGUAZABUAG8AUwBvAGkAbABzAF8ARQBxAHUAYQB0AGkAbwBuAHMALgBWAEUARQBSAEcAXwA0AF8AMQBfADEAXwA5AF8AXwAxAF8ATQBhAHMAcwBPAGYATgBpAHQAcgBvAGcAZQBuAEEAcABwAGwAaQBlAGQAVABvAFMAbwBpAGwAcwBTAGMAbwBwAGUAMQBfAFYAYQByAGkAYQBiAGwAZQAiACwAIgBNAE0AUwBfAEYAZQBlAGQAbABvAHQAXwBNAGEAbgB1AHIAZQBBAHAAcABsAGkAZQBkAFQAbwBTAG8AaQBsAHMAXwBFAHEAdQBhAHQAaQBvAG4AcwAuAFYARQBFAFIARwBfADQAXwAxAF8AMQBfADkAXwBfADEAXwBNAGEAcwBzAE8AZgBOAGkAdAByAG8AZwBlAG4AQQBwAHAAbABpAGUAZABUAG8AUwBvAGkAbABzAFMAYwBvAHAAZQAxAF8AVQBuAGkAdAAiACwAIgBNAE0AUwBfAEYAZQBlAGQAbABvAHQAXwBNAGEAbgB1AHIAZQBBAHAAcABsAGkAZQBkAFQAbwBTAG8AaQBsAHMAXwBFAHEAdQBhAHQAaQBvAG4AcwAuAFYARQBFAFIARwBfADQAXwAxAF8AMQBfADkAXwBfADEAXwBNAGEAcwBzAE8AZgBOAGkAdAByAG8AZwBlAG4AQQBwAHAAbABpAGUAZABUAG8AUwBvAGkAbABzAFMAYwBvAHAAZQAxAF8AUwBvAHUAcgBjAGUAIgAsACIATQBNAFMAXwBGAGUAZQBkAGwAbwB0AF8ATQBhAG4AdQByAGUAQQBwAHAAbABpAGUAZABUAG8AUwBvAGkAbABzAF8ARQBxAHUAYQB0AGkAbwBuAHMALgBWAEUARQBSAEcAXwA0AF8AMQBfADEAXwA5AF8AXwAxAF8ATQBhAHMAcwBPAGYATgBpAHQAcgBvAGcAZQBuAEEAcABwAGwAaQBlAGQAVABvAFMAbwBpAGwAcwBTAGMAbwBwAGUAMQBfAE4ASQBSAFIAZQBmAGUAcgBlAG4AYwBlACIALAAiAE0ATQBTAF8ARgBlAGUAZABsAG8AdABfAE0AYQBuAHUAcgBlAEEAcABwAGwAaQBlAGQAVABvAFMAbwBpAGwAcwBfAEUAcQB1AGEAdABpAG8AbgBzAC4AVgBFAEUAUgBHAF8ANABfADEAXwAxAF8AOQBfAF8AMQBfAE0AYQBzAHMATwBmAE4AaQB0AHIAbwBnAGUAbgBBAHAAcABsAGkAZQBkAFQAbwBTAG8AaQBsAHMAUwBjAG8AcABlADEAXwBMAGEAdABlAHgARQBxAHUAYQB0AGkAbwBuACIALAAiAE0ATQBTAF8ARgBlAGUAZABsAG8AdABfAE0AYQBuAHUAcgBlAEEAcABwAGwAaQBlAGQAVABvAFMAbwBpAGwAcwBfAEUAcQB1AGEAdABpAG8AbgBzAC4AVgBFAEUAUgBHAF8ANABfADEAXwAxAF8AOQBfAF8AMQBfAE0AYQBzAHMATwBmAE4AaQB0AHIAbwBnAGUAbgBBAHAAcABsAGkAZQBkAFQAbwBTAG8AaQBsAHMAUwBjAG8AcABlADEAXwBBAHIAZwB1AG0AZQBuAHQAcwAiACwAIgBNAE0AUwBfAEYAZQBlAGQAbABvAHQAXwBNAGEAbgB1AHIAZQBBAHAAcABsAGkAZQBkAFQAbwBTAG8AaQBsAHMAXwBFAHEAdQBhAHQAaQBvAG4AcwAuAFYARQBFAFIARwBfADQAXwAxAF8AMQBfADkAXwBfADIAXwBNAGEAcwBzAE8AZgBOAGkAdAByAG8AZwBlAG4AQQBwAHAAbABpAGUAZABUAG8AUwBvAGkAbABzAFMAYwBvAHAAZQAzACIALAAiAE0ATQBTAF8ARgBlAGUAZABsAG8AdABfAE0AYQBuAHUAcgBlAEEAcABwAGwAaQBlAGQAVABvAFMAbwBpAGwAcwBfAEUAcQB1AGEAdABpAG8AbgBzAC4AVgBFAEUAUgBHAF8ANABfADEAXwAxAF8AOQBfAF8AMgBfAE0AYQBzAHMATwBmAE4AaQB0AHIAbwBnAGUAbgBBAHAAcABsAGkAZQBkAFQAbwBTAG8AaQBsAHMAUwBjAG8AcABlADMAXwBUAGkAdABsAGUAIgAsACIATQBNAFMAXwBGAGUAZQBkAGwAbwB0AF8ATQBhAG4AdQByAGUAQQBwAHAAbABpAGUAZABUAG8AUwBvAGkAbABzAF8ARQBxAHUAYQB0AGkAbwBuAHMALgBWAEUARQBSAEcAXwA0AF8AMQBfADEAXwA5AF8AXwAyAF8ATQBhAHMAcwBPAGYATgBpAHQAcgBvAGcAZQBuAEEAcABwAGwAaQBlAGQAVABvAFMAbwBpAGwAcwBTAGMAbwBwAGUAMwBfAFYAYQByAGkAYQBiAGwAZQAiACwAIgBNAE0AUwBfAEYAZQBlAGQAbABvAHQAXwBNAGEAbgB1AHIAZQBBAHAAcABsAGkAZQBkAFQAbwBTAG8AaQBsAHMAXwBFAHEAdQBhAHQAaQBvAG4AcwAuAFYARQBFAFIARwBfADQAXwAxAF8AMQBfADkAXwBfADIAXwBNAGEAcwBzAE8AZgBOAGkAdAByAG8AZwBlAG4AQQBwAHAAbABpAGUAZABUAG8AUwBvAGkAbABzAFMAYwBvAHAAZQAzAF8AVQBuAGkAdAAiACwAIgBNAE0AUwBfAEYAZQBlAGQAbABvAHQAXwBNAGEAbgB1AHIAZQBBAHAAcABsAGkAZQBkAFQAbwBTAG8AaQBsAHMAXwBFAHEAdQBhAHQAaQBvAG4AcwAuAFYARQBFAFIARwBfADQAXwAxAF8AMQBfADkAXwBfADIAXwBNAGEAcwBzAE8AZgBOAGkAdAByAG8AZwBlAG4AQQBwAHAAbABpAGUAZABUAG8AUwBvAGkAbABzAFMAYwBvAHAAZQAzAF8AUwBvAHUAcgBjAGUAIgAsACIATQBNAFMAXwBGAGUAZQBkAGwAbwB0AF8ATQBhAG4AdQByAGUAQQBwAHAAbABpAGUAZABUAG8AUwBvAGkAbABzAF8ARQBxAHUAYQB0AGkAbwBuAHMALgBWAEUARQBSAEcAXwA0AF8AMQBfADEAXwA5AF8AXwAyAF8ATQBhAHMAcwBPAGYATgBpAHQAcgBvAGcAZQBuAEEAcABwAGwAaQBlAGQAVABvAFMAbwBpAGwAcwBTAGMAbwBwAGUAMwBfAE4ASQBSAFIAZQBmAGUAcgBlAG4AYwBlACIALAAiAE0ATQBTAF8ARgBlAGUAZABsAG8AdABfAE0AYQBuAHUAcgBlAEEAcABwAGwAaQBlAGQAVABvAFMAbwBpAGwAcwBfAEUAcQB1AGEAdABpAG8AbgBzAC4AVgBFAEUAUgBHAF8ANABfADEAXwAxAF8AOQBfAF8AMgBfAE0AYQBzAHMATwBmAE4AaQB0AHIAbwBnAGUAbgBBAHAAcABsAGkAZQBkAFQAbwBTAG8AaQBsAHMAUwBjAG8AcABlADMAXwBMAGEAdABlAHgARQBxAHUAYQB0AGkAbwBuACIALAAiAE0ATQBTAF8ARgBlAGUAZABsAG8AdABfAE0AYQBuAHUAcgBlAEEAcABwAGwAaQBlAGQAVABvAFMAbwBpAGwAcwBfAEUAcQB1AGEAdABpAG8AbgBzAC4AVgBFAEUAUgBHAF8ANABfADEAXwAxAF8AOQBfAF8AMgBfAE0AYQBzAHMATwBmAE4AaQB0AHIAbwBnAGUAbgBBAHAAcABsAGkAZQBkAFQAbwBTAG8AaQBsAHMAUwBjAG8AcABlADMAXwBBAHIAZwB1AG0AZQBuAHQ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QAaQB0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YAYQByAGkAYQBiAGw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FUAbgBpAHQ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TAG8AdQBy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4ASQBSAFIAZQBmAGUAcgBlAG4AYwBl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TABhAHQAZQB4AEUAcQB1AGEAdABpAG8Abg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EAcgBnAHUAbQBlAG4AdABzACIALAAiAE0ATQBTAF8ARgBlAGUAZABsAG8AdABfAEEAdABtAG8AcwBwAGgAZQByAGkAYwBEAGUAcABvAHMAaQB0AGkAbwBuAF8ARQBxAHUAYQB0AGkAbwBuAHMALgBWAEUARQBSAEcAXwA0AF8AMQBfADEAXwA1AF8AXwAyAF8AVgBvAGwAYQB0AGkAbABpAHMAZQBkAE4AaQB0AHIAbwBnAGUAbgBGAHIAbwBtAE0AYQBuAHUAcgBlAE0AYQBuAGEAZwBlAG0AZQBuAHQAIgAsACIATQBNAFMAXwBGAGUAZQBkAGwAbwB0AF8AQQB0AG0AbwBzAHAAaABlAHIAaQBjAEQAZQBwAG8AcwBpAHQAaQBvAG4AXwBFAHEAdQBhAHQAaQBvAG4AcwAuAFYARQBFAFIARwBfADQAXwAxAF8AMQBfADUAXwBfADIAXwBWAG8AbABhAHQAaQBsAGkAcwBlAGQATgBpAHQAcgBvAGcAZQBuAEYAcgBvAG0ATQBhAG4AdQByAGUATQBhAG4AYQBnAGUAbQBlAG4AdABfAFQAaQB0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gBhAHIAaQBhAGIAbA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VAG4AaQ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TAG8AdQByAGM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TgBJAFIAUgBlAGYAZQByAGUAb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wAYQB0AGUAeABFAHEAdQBhAHQAaQBvAG4AIgAsACIATQBNAFMAXwBGAGUAZQBkAGwAbwB0AF8AQQB0AG0AbwBzAHAAaABlAHIAaQBjAEQAZQBwAG8AcwBpAHQAaQBvAG4AXwBFAHEAdQBhAHQAaQBvAG4AcwAuAFYARQBFAFIARwBfADQAXwAxAF8AMQBfADUAXwBfADIAXwBWAG8AbABhAHQAaQBsAGkAcwBlAGQATgBpAHQAcgBvAGcAZQBuAEYAcgBvAG0ATQBhAG4AdQByAGUATQBhAG4AYQBnAGUAbQBlAG4AdABfAEEAcgBnAHUAbQBlAG4AdABzACIALAAiAE0ATQBTAF8ARgBlAGUAZABsAG8AdABfAE4AMgBPAEQAaQByAGUAYwB0AF8ARQBxAHUAYQB0AGkAbwBuAHMALgBWAEUARQBSAEcAXwA0AF8AMQBfADEAXwAzAF8AXwAxAF8AVABvAHQAYQBsAEEAbgBuAHUAYQBsAEQAaQByAGUAYwB0AE4AaQB0AHIAbwB1AHMATwB4AGkAZABlAEUAbQBpAHMAcwBpAG8AbgBzACIALAAiAE0ATQBTAF8ARgBlAGUAZABsAG8AdABfAE4AMgBPAEQAaQByAGUAYwB0AF8ARQBxAHUAYQB0AGkAbwBuAHMALgBWAEUARQBSAEcAXwA0AF8AMQBfADEAXwAzAF8AXwAxAF8AVABvAHQAYQBsAEEAbgBuAHUAYQBsAEQAaQByAGUAYwB0AE4AaQB0AHIAbwB1AHMATwB4AGkAZABlAEUAbQBpAHMAcwBpAG8AbgBzAF8AVABpAHQAbABlACIALAAiAE0ATQBTAF8ARgBlAGUAZABsAG8AdABfAE4AMgBPAEQAaQByAGUAYwB0AF8ARQBxAHUAYQB0AGkAbwBuAHMALgBWAEUARQBSAEcAXwA0AF8AMQBfADEAXwAzAF8AXwAxAF8AVABvAHQAYQBsAEEAbgBuAHUAYQBsAEQAaQByAGUAYwB0AE4AaQB0AHIAbwB1AHMATwB4AGkAZABlAEUAbQBpAHMAcwBpAG8AbgBzAF8AVgBhAHIAaQBhAGIAbABlACIALAAiAE0ATQBTAF8ARgBlAGUAZABsAG8AdABfAE4AMgBPAEQAaQByAGUAYwB0AF8ARQBxAHUAYQB0AGkAbwBuAHMALgBWAEUARQBSAEcAXwA0AF8AMQBfADEAXwAzAF8AXwAxAF8AVABvAHQAYQBsAEEAbgBuAHUAYQBsAEQAaQByAGUAYwB0AE4AaQB0AHIAbwB1AHMATwB4AGkAZABlAEUAbQBpAHMAcwBpAG8AbgBzAF8AVQBuAGkAdAAiACwAIgBNAE0AUwBfAEYAZQBlAGQAbABvAHQAXwBOADIATwBEAGkAcgBlAGMAdABfAEUAcQB1AGEAdABpAG8AbgBzAC4AVgBFAEUAUgBHAF8ANABfADEAXwAxAF8AMwBfAF8AMQBfAFQAbwB0AGEAbABBAG4AbgB1AGEAbABEAGkAcgBlAGMAdABOAGkAdAByAG8AdQBzAE8AeABpAGQAZQBFAG0AaQBzAHMAaQBvAG4AcwBfAFMAbwB1AHIAYwBlACIALAAiAE0ATQBTAF8ARgBlAGUAZABsAG8AdABfAE4AMgBPAEQAaQByAGUAYwB0AF8ARQBxAHUAYQB0AGkAbwBuAHMALgBWAEUARQBSAEcAXwA0AF8AMQBfADEAXwAzAF8AXwAxAF8AVABvAHQAYQBsAEEAbgBuAHUAYQBsAEQAaQByAGUAYwB0AE4AaQB0AHIAbwB1AHMATwB4AGkAZABlAEUAbQBpAHMAcwBpAG8AbgBzAF8ATgBJAFIAUgBlAGYAZQByAGUAbgBjAGUAIgAsACIATQBNAFMAXwBGAGUAZQBkAGwAbwB0AF8ATgAyAE8ARABpAHIAZQBjAHQAXwBFAHEAdQBhAHQAaQBvAG4AcwAuAFYARQBFAFIARwBfADQAXwAxAF8AMQBfADMAXwBfADEAXwBUAG8AdABhAGwAQQBuAG4AdQBhAGwARABpAHIAZQBjAHQATgBpAHQAcgBvAHUAcwBPAHgAaQBkAGUARQBtAGkAcwBzAGkAbwBuAHMAXwBMAGEAdABlAHgARQBxAHUAYQB0AGkAbwBuACIALAAiAE0ATQBTAF8ARgBlAGUAZABsAG8AdABfAE4AMgBPAEQAaQByAGUAYwB0AF8ARQBxAHUAYQB0AGkAbwBuAHMALgBWAEUARQBSAEcAXwA0AF8AMQBfADEAXwAzAF8AXwAxAF8AVABvAHQAYQBsAEEAbgBuAHUAYQBsAEQAaQByAGUAYwB0AE4AaQB0AHIAbwB1AHMATwB4AGkAZABlAEUAbQBpAHMAcwBpAG8AbgBzAF8AQQByAGcAdQBtAGUAbgB0AHMAIgAsACIATQBNAFMAXwBGAGUAZQBkAGwAbwB0AF8ATgAyAE8ARABpAHIAZQBjAHQAXwBFAHEAdQBhAHQAaQBvAG4AcwAuAFYARQBFAFIARwBfADQAXwAxAF8AMQBfADMAXwBfADIAXwBTAHQAYQBnAGUAMQBOAGkAdAByAG8AZwBlAG4ASQBuAE0ATQBTAEQAcgB5AGwAbwB0ACIALAAiAE0ATQBTAF8ARgBlAGUAZABsAG8AdABfAE4AMgBPAEQAaQByAGUAYwB0AF8ARQBxAHUAYQB0AGkAbwBuAHMALgBWAEUARQBSAEcAXwA0AF8AMQBfADEAXwAzAF8AXwAyAF8AUwB0AGEAZwBlADEATgBpAHQAcgBvAGcAZQBuAEkAbgBNAE0AUwBEAHIAeQBsAG8AdABfAFQAaQB0AGwAZQAiACwAIgBNAE0AUwBfAEYAZQBlAGQAbABvAHQAXwBOADIATwBEAGkAcgBlAGMAdABfAEUAcQB1AGEAdABpAG8AbgBzAC4AVgBFAEUAUgBHAF8ANABfADEAXwAxAF8AMwBfAF8AMgBfAFMAdABhAGcAZQAxAE4AaQB0AHIAbwBnAGUAbgBJAG4ATQBNAFMARAByAHkAbABvAHQAXwBWAGEAcgBpAGEAYgBsAGUAIgAsACIATQBNAFMAXwBGAGUAZQBkAGwAbwB0AF8ATgAyAE8ARABpAHIAZQBjAHQAXwBFAHEAdQBhAHQAaQBvAG4AcwAuAFYARQBFAFIARwBfADQAXwAxAF8AMQBfADMAXwBfADIAXwBTAHQAYQBnAGUAMQBOAGkAdAByAG8AZwBlAG4ASQBuAE0ATQBTAEQAcgB5AGwAbwB0AF8AVQBuAGkAdAAiACwAIgBNAE0AUwBfAEYAZQBlAGQAbABvAHQAXwBOADIATwBEAGkAcgBlAGMAdABfAEUAcQB1AGEAdABpAG8AbgBzAC4AVgBFAEUAUgBHAF8ANABfADEAXwAxAF8AMwBfAF8AMgBfAFMAdABhAGcAZQAxAE4AaQB0AHIAbwBnAGUAbgBJAG4ATQBNAFMARAByAHkAbABvAHQAXwBTAG8AdQByAGMAZQAiACwAIgBNAE0AUwBfAEYAZQBlAGQAbABvAHQAXwBOADIATwBEAGkAcgBlAGMAdABfAEUAcQB1AGEAdABpAG8AbgBzAC4AVgBFAEUAUgBHAF8ANABfADEAXwAxAF8AMwBfAF8AMgBfAFMAdABhAGcAZQAxAE4AaQB0AHIAbwBnAGUAbgBJAG4ATQBNAFMARAByAHkAbABvAHQAXwBOAEkAUgBSAGUAZgBlAHIAZQBuAGMAZQAiACwAIgBNAE0AUwBfAEYAZQBlAGQAbABvAHQAXwBOADIATwBEAGkAcgBlAGMAdABfAEUAcQB1AGEAdABpAG8AbgBzAC4AVgBFAEUAUgBHAF8ANABfADEAXwAxAF8AMwBfAF8AMgBfAFMAdABhAGcAZQAxAE4AaQB0AHIAbwBnAGUAbgBJAG4ATQBNAFMARAByAHkAbABvAHQAXwBMAGEAdABlAHgARQBxAHUAYQB0AGkAbwBuACIALAAiAE0ATQBTAF8ARgBlAGUAZABsAG8AdABfAE4AMgBPAEQAaQByAGUAYwB0AF8ARQBxAHUAYQB0AGkAbwBuAHMALgBWAEUARQBSAEcAXwA0AF8AMQBfADEAXwAzAF8AXwAyAF8AUwB0AGEAZwBlADEATgBpAHQAcgBvAGcAZQBuAEkAbgBNAE0AUwBEAHIAeQBsAG8AdABfAEEAcgBnAHUAbQBlAG4AdABzACIALAAiAE0ATQBTAF8ARgBlAGUAZABsAG8AdABfAE4AMgBPAEQAaQByAGUAYwB0AF8ARQBxAHUAYQB0AGkAbwBuAHMALgBWAEUARQBSAEcAXwA0AF8AMQBfADEAXwAzAF8AXwAzAF8AQQBuAG4AdQBhAGwATgBpAHQAcgBvAGcAZQBuAEUAeABjAHIAZQB0AGkAbwBuACIALAAiAE0ATQBTAF8ARgBlAGUAZABsAG8AdABfAE4AMgBPAEQAaQByAGUAYwB0AF8ARQBxAHUAYQB0AGkAbwBuAHMALgBWAEUARQBSAEcAXwA0AF8AMQBfADEAXwAzAF8AXwAzAF8AQQBuAG4AdQBhAGwATgBpAHQAcgBvAGcAZQBuAEUAeABjAHIAZQB0AGkAbwBuAF8AVABpAHQAbABlACIALAAiAE0ATQBTAF8ARgBlAGUAZABsAG8AdABfAE4AMgBPAEQAaQByAGUAYwB0AF8ARQBxAHUAYQB0AGkAbwBuAHMALgBWAEUARQBSAEcAXwA0AF8AMQBfADEAXwAzAF8AXwAzAF8AQQBuAG4AdQBhAGwATgBpAHQAcgBvAGcAZQBuAEUAeABjAHIAZQB0AGkAbwBuAF8AVgBhAHIAaQBhAGIAbABlACIALAAiAE0ATQBTAF8ARgBlAGUAZABsAG8AdABfAE4AMgBPAEQAaQByAGUAYwB0AF8ARQBxAHUAYQB0AGkAbwBuAHMALgBWAEUARQBSAEcAXwA0AF8AMQBfADEAXwAzAF8AXwAzAF8AQQBuAG4AdQBhAGwATgBpAHQAcgBvAGcAZQBuAEUAeABjAHIAZQB0AGkAbwBuAF8AVQBuAGkAdAAiACwAIgBNAE0AUwBfAEYAZQBlAGQAbABvAHQAXwBOADIATwBEAGkAcgBlAGMAdABfAEUAcQB1AGEAdABpAG8AbgBzAC4AVgBFAEUAUgBHAF8ANABfADEAXwAxAF8AMwBfAF8AMwBfAEEAbgBuAHUAYQBsAE4AaQB0AHIAbwBnAGUAbgBFAHgAYwByAGUAdABpAG8AbgBfAFMAbwB1AHIAYwBlACIALAAiAE0ATQBTAF8ARgBlAGUAZABsAG8AdABfAE4AMgBPAEQAaQByAGUAYwB0AF8ARQBxAHUAYQB0AGkAbwBuAHMALgBWAEUARQBSAEcAXwA0AF8AMQBfADEAXwAzAF8AXwAzAF8AQQBuAG4AdQBhAGwATgBpAHQAcgBvAGcAZQBuAEUAeABjAHIAZQB0AGkAbwBuAF8ATgBJAFIAUgBlAGYAZQByAGUAbgBjAGUAIgAsACIATQBNAFMAXwBGAGUAZQBkAGwAbwB0AF8ATgAyAE8ARABpAHIAZQBjAHQAXwBFAHEAdQBhAHQAaQBvAG4AcwAuAFYARQBFAFIARwBfADQAXwAxAF8AMQBfADMAXwBfADMAXwBBAG4AbgB1AGEAbABOAGkAdAByAG8AZwBlAG4ARQB4AGMAcgBlAHQAaQBvAG4AXwBMAGEAdABlAHgARQBxAHUAYQB0AGkAbwBuACIALAAiAE0ATQBTAF8ARgBlAGUAZABsAG8AdABfAE4AMgBPAEQAaQByAGUAYwB0AF8ARQBxAHUAYQB0AGkAbwBuAHMALgBWAEUARQBSAEcAXwA0AF8AMQBfADEAXwAzAF8AXwAzAF8AQQBuAG4AdQBhAGwATgBpAHQAcgBvAGcAZQBuAEUAeABjAHIAZQB0AGkAbwBuAF8AQQByAGcAdQBtAGUAbgB0AHMAIgAsACIATQBNAFMAXwBGAGUAZQBkAGwAbwB0AF8ATgAyAE8ARABpAHIAZQBjAHQAXwBFAHEAdQBhAHQAaQBvAG4AcwAuAFYARQBFAFIARwBfADQAXwAxAF8AMQBfADMAXwBfADQAXwBOAGkAdAByAG8AZwBlAG4ARQB4AGMAcgBlAHQAaQBvAG4AUABlAHIASABlAGEAZAAiACwAIgBNAE0AUwBfAEYAZQBlAGQAbABvAHQAXwBOADIATwBEAGkAcgBlAGMAdABfAEUAcQB1AGEAdABpAG8AbgBzAC4AVgBFAEUAUgBHAF8ANABfADEAXwAxAF8AMwBfAF8ANABfAE4AaQB0AHIAbwBnAGUAbgBFAHgAYwByAGUAdABpAG8AbgBQAGUAcgBIAGUAYQBkAF8AVABpAHQAbABlACIALAAiAE0ATQBTAF8ARgBlAGUAZABsAG8AdABfAE4AMgBPAEQAaQByAGUAYwB0AF8ARQBxAHUAYQB0AGkAbwBuAHMALgBWAEUARQBSAEcAXwA0AF8AMQBfADEAXwAzAF8AXwA0AF8ATgBpAHQAcgBvAGcAZQBuAEUAeABjAHIAZQB0AGkAbwBuAFAAZQByAEgAZQBhAGQAXwBWAGEAcgBpAGEAYgBsAGUAIgAsACIATQBNAFMAXwBGAGUAZQBkAGwAbwB0AF8ATgAyAE8ARABpAHIAZQBjAHQAXwBFAHEAdQBhAHQAaQBvAG4AcwAuAFYARQBFAFIARwBfADQAXwAxAF8AMQBfADMAXwBfADQAXwBOAGkAdAByAG8AZwBlAG4ARQB4AGMAcgBlAHQAaQBvAG4AUABlAHIASABlAGEAZABfAFUAbgBpAHQAIgAsACIATQBNAFMAXwBGAGUAZQBkAGwAbwB0AF8ATgAyAE8ARABpAHIAZQBjAHQAXwBFAHEAdQBhAHQAaQBvAG4AcwAuAFYARQBFAFIARwBfADQAXwAxAF8AMQBfADMAXwBfADQAXwBOAGkAdAByAG8AZwBlAG4ARQB4AGMAcgBlAHQAaQBvAG4AUABlAHIASABlAGEAZABfAFMAbwB1AHIAYwBlACIALAAiAE0ATQBTAF8ARgBlAGUAZABsAG8AdABfAE4AMgBPAEQAaQByAGUAYwB0AF8ARQBxAHUAYQB0AGkAbwBuAHMALgBWAEUARQBSAEcAXwA0AF8AMQBfADEAXwAzAF8AXwA0AF8ATgBpAHQAcgBvAGcAZQBuAEUAeABjAHIAZQB0AGkAbwBuAFAAZQByAEgAZQBhAGQAXwBOAEkAUgBSAGUAZgBlAHIAZQBuAGMAZQAiACwAIgBNAE0AUwBfAEYAZQBlAGQAbABvAHQAXwBOADIATwBEAGkAcgBlAGMAdABfAEUAcQB1AGEAdABpAG8AbgBzAC4AVgBFAEUAUgBHAF8ANABfADEAXwAxAF8AMwBfAF8ANABfAE4AaQB0AHIAbwBnAGUAbgBFAHgAYwByAGUAdABpAG8AbgBQAGUAcgBIAGUAYQBkAF8ATABhAHQAZQB4AEUAcQB1AGEAdABpAG8AbgAiACwAIgBNAE0AUwBfAEYAZQBlAGQAbABvAHQAXwBOADIATwBEAGkAcgBlAGMAdABfAEUAcQB1AGEAdABpAG8AbgBzAC4AVgBFAEUAUgBHAF8ANABfADEAXwAxAF8AMwBfAF8ANABfAE4AaQB0AHIAbwBnAGUAbgBFAHgAYwByAGUAdABpAG8AbgBQAGUAcgBIAGUAYQBkAF8AQQByAGcAdQBtAGUAbgB0AHMAIgAsACIATQBNAFMAXwBGAGUAZQBkAGwAbwB0AF8ATgAyAE8ARABpAHIAZQBjAHQAXwBFAHEAdQBhAHQAaQBvAG4AcwAuAFYARQBFAFIARwBfADQAXwAxAF8AMQBfADMAXwBfADUAXwBOAGkAdAByAG8AZwBlAG4ASQBuAHQAYQBrAGUAIgAsACIATQBNAFMAXwBGAGUAZQBkAGwAbwB0AF8ATgAyAE8ARABpAHIAZQBjAHQAXwBFAHEAdQBhAHQAaQBvAG4AcwAuAFYARQBFAFIARwBfADQAXwAxAF8AMQBfADMAXwBfADUAXwBOAGkAdAByAG8AZwBlAG4ASQBuAHQAYQBrAGUAXwBUAGkAdABsAGUAIgAsACIATQBNAFMAXwBGAGUAZQBkAGwAbwB0AF8ATgAyAE8ARABpAHIAZQBjAHQAXwBFAHEAdQBhAHQAaQBvAG4AcwAuAFYARQBFAFIARwBfADQAXwAxAF8AMQBfADMAXwBfADUAXwBOAGkAdAByAG8AZwBlAG4ASQBuAHQAYQBrAGUAXwBWAGEAcgBpAGEAYgBsAGUAIgAsACIATQBNAFMAXwBGAGUAZQBkAGwAbwB0AF8ATgAyAE8ARABpAHIAZQBjAHQAXwBFAHEAdQBhAHQAaQBvAG4AcwAuAFYARQBFAFIARwBfADQAXwAxAF8AMQBfADMAXwBfADUAXwBOAGkAdAByAG8AZwBlAG4ASQBuAHQAYQBrAGUAXwBVAG4AaQB0ACIALAAiAE0ATQBTAF8ARgBlAGUAZABsAG8AdABfAE4AMgBPAEQAaQByAGUAYwB0AF8ARQBxAHUAYQB0AGkAbwBuAHMALgBWAEUARQBSAEcAXwA0AF8AMQBfADEAXwAzAF8AXwA1AF8ATgBpAHQAcgBvAGcAZQBuAEkAbgB0AGEAawBlAF8AUwBvAHUAcgBjAGUAIgAsACIATQBNAFMAXwBGAGUAZQBkAGwAbwB0AF8ATgAyAE8ARABpAHIAZQBjAHQAXwBFAHEAdQBhAHQAaQBvAG4AcwAuAFYARQBFAFIARwBfADQAXwAxAF8AMQBfADMAXwBfADUAXwBOAGkAdAByAG8AZwBlAG4ASQBuAHQAYQBrAGUAXwBOAEkAUgBSAGUAZgBlAHIAZQBuAGMAZQAiACwAIgBNAE0AUwBfAEYAZQBlAGQAbABvAHQAXwBOADIATwBEAGkAcgBlAGMAdABfAEUAcQB1AGEAdABpAG8AbgBzAC4AVgBFAEUAUgBHAF8ANABfADEAXwAxAF8AMwBfAF8ANQBfAE4AaQB0AHIAbwBnAGUAbgBJAG4AdABhAGsAZQBfAEwAYQB0AGUAeABFAHEAdQBhAHQAaQBvAG4AIgAsACIATQBNAFMAXwBGAGUAZQBkAGwAbwB0AF8ATgAyAE8ARABpAHIAZQBjAHQAXwBFAHEAdQBhAHQAaQBvAG4AcwAuAFYARQBFAFIARwBfADQAXwAxAF8AMQBfADMAXwBfADUAXwBOAGkAdAByAG8AZwBlAG4ASQBuAHQAYQBrAGUAXwBBAHIAZwB1AG0AZQBuAHQAcwAiACwAIgBNAE0AUwBfAEYAZQBlAGQAbABvAHQAXwBOADIATwBEAGkAcgBlAGMAdABfAEUAcQB1AGEAdABpAG8AbgBzAC4AVgBFAEUAUgBHAF8ANABfADEAXwAxAF8AMwBfAF8ANgBfAFMAdABhAGcAZQAyAE4AaQB0AHIAbwBnAGUAbgBJAG4ATQBNAFMAIgAsACIATQBNAFMAXwBGAGUAZQBkAGwAbwB0AF8ATgAyAE8ARABpAHIAZQBjAHQAXwBFAHEAdQBhAHQAaQBvAG4AcwAuAFYARQBFAFIARwBfADQAXwAxAF8AMQBfADMAXwBfADYAXwBTAHQAYQBnAGUAMgBOAGkAdAByAG8AZwBlAG4ASQBuAE0ATQBTAF8AVABpAHQAbABlACIALAAiAE0ATQBTAF8ARgBlAGUAZABsAG8AdABfAE4AMgBPAEQAaQByAGUAYwB0AF8ARQBxAHUAYQB0AGkAbwBuAHMALgBWAEUARQBSAEcAXwA0AF8AMQBfADEAXwAzAF8AXwA2AF8AUwB0AGEAZwBlADIATgBpAHQAcgBvAGcAZQBuAEkAbgBNAE0AUwBfAFYAYQByAGkAYQBiAGwAZQAiACwAIgBNAE0AUwBfAEYAZQBlAGQAbABvAHQAXwBOADIATwBEAGkAcgBlAGMAdABfAEUAcQB1AGEAdABpAG8AbgBzAC4AVgBFAEUAUgBHAF8ANABfADEAXwAxAF8AMwBfAF8ANgBfAFMAdABhAGcAZQAyAE4AaQB0AHIAbwBnAGUAbgBJAG4ATQBNAFMAXwBVAG4AaQB0ACIALAAiAE0ATQBTAF8ARgBlAGUAZABsAG8AdABfAE4AMgBPAEQAaQByAGUAYwB0AF8ARQBxAHUAYQB0AGkAbwBuAHMALgBWAEUARQBSAEcAXwA0AF8AMQBfADEAXwAzAF8AXwA2AF8AUwB0AGEAZwBlADIATgBpAHQAcgBvAGcAZQBuAEkAbgBNAE0AUwBfAFMAbwB1AHIAYwBlACIALAAiAE0ATQBTAF8ARgBlAGUAZABsAG8AdABfAE4AMgBPAEQAaQByAGUAYwB0AF8ARQBxAHUAYQB0AGkAbwBuAHMALgBWAEUARQBSAEcAXwA0AF8AMQBfADEAXwAzAF8AXwA2AF8AUwB0AGEAZwBlADIATgBpAHQAcgBvAGcAZQBuAEkAbgBNAE0AUwBfAE4ASQBSAFIAZQBmAGUAcgBlAG4AYwBlACIALAAiAE0ATQBTAF8ARgBlAGUAZABsAG8AdABfAE4AMgBPAEQAaQByAGUAYwB0AF8ARQBxAHUAYQB0AGkAbwBuAHMALgBWAEUARQBSAEcAXwA0AF8AMQBfADEAXwAzAF8AXwA2AF8AUwB0AGEAZwBlADIATgBpAHQAcgBvAGcAZQBuAEkAbgBNAE0AUwBfAEwAYQB0AGUAeABFAHEAdQBhAHQAaQBvAG4AIgAsACIATQBNAFMAXwBGAGUAZQBkAGwAbwB0AF8ATgAyAE8ARABpAHIAZQBjAHQAXwBFAHEAdQBhAHQAaQBvAG4AcwAuAFYARQBFAFIARwBfADQAXwAxAF8AMQBfADMAXwBfADYAXwBTAHQAYQBnAGUAMgBOAGkAdAByAG8AZwBlAG4ASQBuAE0ATQBTAF8AQQByAGcAdQBtAGUAbgB0AHMAIgAsACIATQBNAFMAXwBGAGUAZQBkAGwAbwB0AF8ATgAyAE8ARABpAHIAZQBjAHQAXwBFAHEAdQBhAHQAaQBvAG4AcwAuAFYARQBFAFIARwBfADQAXwAxAF8AMQBfADMAXwBfADcAXwBOAGkAdAByAG8AZwBlAG4AVAByAGEAbgBzAGYAZQByAHIAZQBkAFQAbwBTAHQAYQBnAGUAMgAiACwAIgBNAE0AUwBfAEYAZQBlAGQAbABvAHQAXwBOADIATwBEAGkAcgBlAGMAdABfAEUAcQB1AGEAdABpAG8AbgBzAC4AVgBFAEUAUgBHAF8ANABfADEAXwAxAF8AMwBfAF8ANwBfAE4AaQB0AHIAbwBnAGUAbgBUAHIAYQBuAHMAZgBlAHIAcgBlAGQAVABvAFMAdABhAGcAZQAyAF8AVABpAHQAbABlACIALAAiAE0ATQBTAF8ARgBlAGUAZABsAG8AdABfAE4AMgBPAEQAaQByAGUAYwB0AF8ARQBxAHUAYQB0AGkAbwBuAHMALgBWAEUARQBSAEcAXwA0AF8AMQBfADEAXwAzAF8AXwA3AF8ATgBpAHQAcgBvAGcAZQBuAFQAcgBhAG4AcwBmAGUAcgByAGUAZABUAG8AUwB0AGEAZwBlADIAXwBWAGEAcgBpAGEAYgBsAGUAIgAsACIATQBNAFMAXwBGAGUAZQBkAGwAbwB0AF8ATgAyAE8ARABpAHIAZQBjAHQAXwBFAHEAdQBhAHQAaQBvAG4AcwAuAFYARQBFAFIARwBfADQAXwAxAF8AMQBfADMAXwBfADcAXwBOAGkAdAByAG8AZwBlAG4AVAByAGEAbgBzAGYAZQByAHIAZQBkAFQAbwBTAHQAYQBnAGUAMgBfAFUAbgBpAHQAIgAsACIATQBNAFMAXwBGAGUAZQBkAGwAbwB0AF8ATgAyAE8ARABpAHIAZQBjAHQAXwBFAHEAdQBhAHQAaQBvAG4AcwAuAFYARQBFAFIARwBfADQAXwAxAF8AMQBfADMAXwBfADcAXwBOAGkAdAByAG8AZwBlAG4AVAByAGEAbgBzAGYAZQByAHIAZQBkAFQAbwBTAHQAYQBnAGUAMgBfAFMAbwB1AHIAYwBlACIALAAiAE0ATQBTAF8ARgBlAGUAZABsAG8AdABfAE4AMgBPAEQAaQByAGUAYwB0AF8ARQBxAHUAYQB0AGkAbwBuAHMALgBWAEUARQBSAEcAXwA0AF8AMQBfADEAXwAzAF8AXwA3AF8ATgBpAHQAcgBvAGcAZQBuAFQAcgBhAG4AcwBmAGUAcgByAGUAZABUAG8AUwB0AGEAZwBlADIAXwBOAEkAUgBSAGUAZgBlAHIAZQBuAGMAZQAiACwAIgBNAE0AUwBfAEYAZQBlAGQAbABvAHQAXwBOADIATwBEAGkAcgBlAGMAdABfAEUAcQB1AGEAdABpAG8AbgBzAC4AVgBFAEUAUgBHAF8ANABfADEAXwAxAF8AMwBfAF8ANwBfAE4AaQB0AHIAbwBnAGUAbgBUAHIAYQBuAHMAZgBlAHIAcgBlAGQAVABvAFMAdABhAGcAZQAyAF8ATABhAHQAZQB4AEUAcQB1AGEAdABpAG8AbgAiACwAIgBNAE0AUwBfAEYAZQBlAGQAbABvAHQAXwBOADIATwBEAGkAcgBlAGMAdABfAEUAcQB1AGEAdABpAG8AbgBzAC4AVgBFAEUAUgBHAF8ANABfADEAXwAxAF8AMwBfAF8ANwBfAE4AaQB0AHIAbwBnAGUAbgBUAHIAYQBuAHMAZgBlAHIAcgBlAGQAVABvAFMAdABhAGcAZQAyAF8AQQByAGcAdQBtAGUAbgB0AHMAIgAsACIATQBNAFMAXwBGAGUAZQBkAGwAbwB0AF8ATgAyAE8ARABpAHIAZQBjAHQAXwBFAHEAdQBhAHQAaQBvAG4AcwAuAFYARQBFAFIARwBfADQAXwAxAF8AMQBfADMAXwBfADgAXwBTAHQAYQBnAGUAMwBOAGkAdAByAG8AZwBlAG4ASQBuAE0ATQBTAEEAbgBhAGUAcgBvAGIAaQBjAEwAYQBnAG8AbwBuACIALAAiAE0ATQBTAF8ARgBlAGUAZABsAG8AdABfAE4AMgBPAEQAaQByAGUAYwB0AF8ARQBxAHUAYQB0AGkAbwBuAHMALgBWAEUARQBSAEcAXwA0AF8AMQBfADEAXwAzAF8AXwA4AF8AUwB0AGEAZwBlADMATgBpAHQAcgBvAGcAZQBuAEkAbgBNAE0AUwBBAG4AYQBlAHIAbwBiAGkAYwBMAGEAZwBvAG8AbgBfAFQAaQB0AGwAZQAiACwAIgBNAE0AUwBfAEYAZQBlAGQAbABvAHQAXwBOADIATwBEAGkAcgBlAGMAdABfAEUAcQB1AGEAdABpAG8AbgBzAC4AVgBFAEUAUgBHAF8ANABfADEAXwAxAF8AMwBfAF8AOABfAFMAdABhAGcAZQAzAE4AaQB0AHIAbwBnAGUAbgBJAG4ATQBNAFMAQQBuAGEAZQByAG8AYgBpAGMATABhAGcAbwBvAG4AXwBWAGEAcgBpAGEAYgBsAGUAIgAsACIATQBNAFMAXwBGAGUAZQBkAGwAbwB0AF8ATgAyAE8ARABpAHIAZQBjAHQAXwBFAHEAdQBhAHQAaQBvAG4AcwAuAFYARQBFAFIARwBfADQAXwAxAF8AMQBfADMAXwBfADgAXwBTAHQAYQBnAGUAMwBOAGkAdAByAG8AZwBlAG4ASQBuAE0ATQBTAEEAbgBhAGUAcgBvAGIAaQBjAEwAYQBnAG8AbwBuAF8AVQBuAGkAdAAiACwAIgBNAE0AUwBfAEYAZQBlAGQAbABvAHQAXwBOADIATwBEAGkAcgBlAGMAdABfAEUAcQB1AGEAdABpAG8AbgBzAC4AVgBFAEUAUgBHAF8ANABfADEAXwAxAF8AMwBfAF8AOABfAFMAdABhAGcAZQAzAE4AaQB0AHIAbwBnAGUAbgBJAG4ATQBNAFMAQQBuAGEAZQByAG8AYgBpAGMATABhAGcAbwBvAG4AXwBTAG8AdQByAGMAZQAiACwAIgBNAE0AUwBfAEYAZQBlAGQAbABvAHQAXwBOADIATwBEAGkAcgBlAGMAdABfAEUAcQB1AGEAdABpAG8AbgBzAC4AVgBFAEUAUgBHAF8ANABfADEAXwAxAF8AMwBfAF8AOABfAFMAdABhAGcAZQAzAE4AaQB0AHIAbwBnAGUAbgBJAG4ATQBNAFMAQQBuAGEAZQByAG8AYgBpAGMATABhAGcAbwBvAG4AXwBOAEkAUgBSAGUAZgBlAHIAZQBuAGMAZQAiACwAIgBNAE0AUwBfAEYAZQBlAGQAbABvAHQAXwBOADIATwBEAGkAcgBlAGMAdABfAEUAcQB1AGEAdABpAG8AbgBzAC4AVgBFAEUAUgBHAF8ANABfADEAXwAxAF8AMwBfAF8AOABfAFMAdABhAGcAZQAzAE4AaQB0AHIAbwBnAGUAbgBJAG4ATQBNAFMAQQBuAGEAZQByAG8AYgBpAGMATABhAGcAbwBvAG4AXwBMAGEAdABlAHgARQBxAHUAYQB0AGkAbwBuACIALAAiAE0ATQBTAF8ARgBlAGUAZABsAG8AdABfAE4AMgBPAEQAaQByAGUAYwB0AF8ARQBxAHUAYQB0AGkAbwBuAHMALgBWAEUARQBSAEcAXwA0AF8AMQBfADEAXwAzAF8AXwA4AF8AUwB0AGEAZwBlADMATgBpAHQAcgBvAGcAZQBuAEkAbgBNAE0AUwBBAG4AYQBlAHIAbwBiAGkAYwBMAGEAZwBvAG8Ab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2026-05-13T04:20:34Z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