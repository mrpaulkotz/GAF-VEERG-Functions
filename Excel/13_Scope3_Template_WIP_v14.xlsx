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EFCC419-8F9A-4258-B9E6-CE7699144CAD}" xr6:coauthVersionLast="47" xr6:coauthVersionMax="47" xr10:uidLastSave="{00000000-0000-0000-0000-000000000000}"/>
  <bookViews>
    <workbookView xWindow="420" yWindow="150" windowWidth="37845" windowHeight="20490" firstSheet="5" activeTab="6" xr2:uid="{D37248E2-1193-4B5E-BE4F-D7532AB14CA0}"/>
  </bookViews>
  <sheets>
    <sheet name="Overview" sheetId="40" r:id="rId1"/>
    <sheet name="Results" sheetId="41" r:id="rId2"/>
    <sheet name="Input - Site" sheetId="10" r:id="rId3"/>
    <sheet name="Input - Fuel" sheetId="30" r:id="rId4"/>
    <sheet name="Input - Fertiliser" sheetId="7" r:id="rId5"/>
    <sheet name="Input - Common Farm Inputs" sheetId="13" r:id="rId6"/>
    <sheet name="Input - Crop Pasture Farm Input" sheetId="58" r:id="rId7"/>
    <sheet name="Input - Hort Farm Inputs" sheetId="57" r:id="rId8"/>
    <sheet name="Input - Livestock Farm Inputs" sheetId="55" r:id="rId9"/>
    <sheet name="Input - Aquaculture Inputs" sheetId="56" r:id="rId10"/>
    <sheet name="Input - Beef cattle purchases" sheetId="48" r:id="rId11"/>
    <sheet name="Input - Dairy cattle purchases" sheetId="52" r:id="rId12"/>
    <sheet name="Input - Pig purchases" sheetId="53" r:id="rId13"/>
    <sheet name="Input - Poultry purchases" sheetId="54" r:id="rId14"/>
    <sheet name="Input - Freight" sheetId="39" r:id="rId15"/>
    <sheet name="Input - Solid waste" sheetId="33" r:id="rId16"/>
    <sheet name="Input - Manure sent off-site" sheetId="50" r:id="rId17"/>
    <sheet name="Input - Electricity" sheetId="9" r:id="rId18"/>
    <sheet name="15 Scope 3" sheetId="19" r:id="rId19"/>
    <sheet name="10.1.1-2 Solid waste treatment" sheetId="38" r:id="rId20"/>
    <sheet name="Calcs - Manure sent off-site" sheetId="34" r:id="rId21"/>
    <sheet name="8.1.1.1-2 Transport fuel" sheetId="31" r:id="rId22"/>
    <sheet name="8.2.1.1-2 Stationary fuel" sheetId="32" r:id="rId23"/>
    <sheet name="Constants - Scope 3" sheetId="20" r:id="rId24"/>
    <sheet name="Constants - Solid Waste" sheetId="36" r:id="rId25"/>
    <sheet name="Constants - Fuel" sheetId="29" r:id="rId26"/>
    <sheet name="Constants - Poultry" sheetId="26" r:id="rId27"/>
    <sheet name="Constants - Swine" sheetId="25" r:id="rId28"/>
    <sheet name="Constants - Dairy" sheetId="23" r:id="rId29"/>
    <sheet name="Constants - Pasture Beef" sheetId="22" r:id="rId30"/>
    <sheet name="Constants - Common Livestock" sheetId="18" r:id="rId31"/>
    <sheet name="Constants - Fertiliser" sheetId="6" r:id="rId32"/>
    <sheet name="Constants - Electricity" sheetId="8" r:id="rId33"/>
    <sheet name="Constants - Common" sheetId="51" r:id="rId34"/>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Common Farm Inputs'!$E$121</definedName>
    <definedName name="X_Cell_FarmInputs_Seed_MaizeGrain">'Input - Common Farm Inputs'!$E$122</definedName>
    <definedName name="X_Cell_FarmInputs_Seed_OatGrain">'Input - Common Farm Inputs'!$E$123</definedName>
    <definedName name="X_Cell_FarmInputs_Seed_SorghumGrain">'Input - Common Farm Inputs'!$E$124</definedName>
    <definedName name="X_Cell_FarmInputs_Seed_WheatGrain">'Input - Common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5" i="57" l="1"/>
  <c r="D48" i="55"/>
  <c r="D47" i="55"/>
  <c r="D12" i="55" a="1"/>
  <c r="D12" i="55" s="1"/>
  <c r="D7" i="55" a="1"/>
  <c r="D7" i="55" s="1"/>
  <c r="I68" i="34"/>
  <c r="O237" i="19" a="1"/>
  <c r="O237" i="19" s="1"/>
  <c r="J87" i="34"/>
  <c r="I69" i="34"/>
  <c r="I33" i="34"/>
  <c r="P18" i="32"/>
  <c r="P17" i="32"/>
  <c r="E642" i="19"/>
  <c r="F35" i="7"/>
  <c r="F34" i="7"/>
  <c r="F25" i="7"/>
  <c r="F24" i="7"/>
  <c r="H20" i="7"/>
  <c r="H19" i="7"/>
  <c r="H18" i="7"/>
  <c r="E33" i="10"/>
  <c r="E32" i="10"/>
  <c r="E31" i="10"/>
  <c r="E30" i="10"/>
  <c r="E29" i="10"/>
  <c r="E13" i="10"/>
  <c r="A15" i="48"/>
  <c r="A14" i="48"/>
  <c r="A13" i="48"/>
  <c r="A12" i="48"/>
  <c r="G16" i="54" a="1"/>
  <c r="G16" i="54" s="1"/>
  <c r="G15" i="54" a="1"/>
  <c r="G15" i="54" s="1"/>
  <c r="G14" i="54" a="1"/>
  <c r="G14" i="54" s="1"/>
  <c r="G13" i="54" a="1"/>
  <c r="G13" i="54"/>
  <c r="G12" i="54" a="1"/>
  <c r="G12" i="54"/>
  <c r="G11" i="54" a="1"/>
  <c r="G11" i="54" s="1"/>
  <c r="G10" i="54" a="1"/>
  <c r="G10" i="54"/>
  <c r="G9" i="54" a="1"/>
  <c r="G9" i="54" s="1"/>
  <c r="G8" i="54" a="1"/>
  <c r="G8" i="54" s="1"/>
  <c r="G7" i="54" a="1"/>
  <c r="G7" i="54" s="1"/>
  <c r="G16" i="53" a="1"/>
  <c r="G16" i="53" s="1"/>
  <c r="G15" i="53" a="1"/>
  <c r="G15" i="53" s="1"/>
  <c r="G14" i="53" a="1"/>
  <c r="G14" i="53" s="1"/>
  <c r="G13" i="53" a="1"/>
  <c r="G13" i="53" s="1"/>
  <c r="G12" i="53" a="1"/>
  <c r="G12" i="53" s="1"/>
  <c r="G11" i="53" a="1"/>
  <c r="G11" i="53" s="1"/>
  <c r="G10" i="53" a="1"/>
  <c r="G10" i="53" s="1"/>
  <c r="G9" i="53" a="1"/>
  <c r="G9" i="53" s="1"/>
  <c r="G8" i="53" a="1"/>
  <c r="G8" i="53" s="1"/>
  <c r="G7" i="53" a="1"/>
  <c r="G7" i="53" s="1"/>
  <c r="H16" i="52" a="1"/>
  <c r="H16" i="52" s="1"/>
  <c r="H15" i="52" a="1"/>
  <c r="H15" i="52" s="1"/>
  <c r="H14" i="52" a="1"/>
  <c r="H14" i="52"/>
  <c r="H13" i="52" a="1"/>
  <c r="H13" i="52"/>
  <c r="H12" i="52" a="1"/>
  <c r="H12" i="52"/>
  <c r="H11" i="52" a="1"/>
  <c r="H11" i="52" s="1"/>
  <c r="H10" i="52" a="1"/>
  <c r="H10" i="52"/>
  <c r="H9" i="52" a="1"/>
  <c r="H9" i="52" s="1"/>
  <c r="H8" i="52" a="1"/>
  <c r="H8" i="52" s="1"/>
  <c r="H7" i="52" a="1"/>
  <c r="H7" i="52"/>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22"/>
  <c r="D8" i="22"/>
  <c r="G9" i="23"/>
  <c r="G8" i="23"/>
  <c r="I49" i="34"/>
  <c r="J88" i="34"/>
  <c r="I50" i="34"/>
  <c r="J15" i="34"/>
  <c r="O576" i="19"/>
  <c r="G576" i="19"/>
  <c r="E259" i="51" a="1"/>
  <c r="E259" i="51" s="1"/>
  <c r="D259" i="51" a="1"/>
  <c r="D259" i="51" s="1"/>
  <c r="E258" i="51" a="1"/>
  <c r="E258" i="51" s="1"/>
  <c r="D258" i="51" a="1"/>
  <c r="D258" i="51" s="1"/>
  <c r="D256" i="51" a="1"/>
  <c r="D256" i="51" s="1"/>
  <c r="D255" i="51"/>
  <c r="D255" i="51" a="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c r="D227" i="51" a="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E188" i="51" a="1"/>
  <c r="E188" i="51" s="1"/>
  <c r="D188" i="51" a="1"/>
  <c r="D188" i="51" s="1"/>
  <c r="H187" i="51" a="1"/>
  <c r="H187" i="51" s="1"/>
  <c r="G187" i="51" a="1"/>
  <c r="G187" i="51" s="1"/>
  <c r="F187" i="51" a="1"/>
  <c r="F187" i="51"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c r="D163" i="51" a="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c r="D105" i="51" a="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H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H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E540" i="19"/>
  <c r="E7" i="34"/>
  <c r="E42" i="34"/>
  <c r="O42" i="34"/>
  <c r="O79" i="34"/>
  <c r="O7" i="34"/>
  <c r="E508" i="19"/>
  <c r="E79" i="34"/>
  <c r="E523" i="19"/>
  <c r="H54" i="51" l="1"/>
  <c r="H48" i="51"/>
  <c r="H51" i="51"/>
  <c r="H53" i="51"/>
  <c r="H50" i="5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P35" i="34"/>
  <c r="Q32" i="34" a="1"/>
  <c r="Q32" i="34" s="1"/>
  <c r="N32" i="34" a="1"/>
  <c r="N32" i="34" s="1"/>
  <c r="O30" i="34"/>
  <c r="O30" i="34" a="1"/>
  <c r="O29" i="34" a="1"/>
  <c r="O29" i="34" s="1"/>
  <c r="N25" i="34" a="1"/>
  <c r="N25" i="34" s="1"/>
  <c r="N24" i="34" a="1"/>
  <c r="N24" i="34" s="1"/>
  <c r="R13" i="34" a="1"/>
  <c r="R13" i="34" s="1"/>
  <c r="N13" i="34" a="1"/>
  <c r="N13" i="34" s="1"/>
  <c r="O11" i="34" a="1"/>
  <c r="O11" i="34" s="1"/>
  <c r="O10" i="34"/>
  <c r="O10" i="34" a="1"/>
  <c r="N6" i="34" a="1"/>
  <c r="N6" i="34" s="1"/>
  <c r="N5" i="34"/>
  <c r="N5" i="34" a="1"/>
  <c r="I67" i="34"/>
  <c r="I32" i="34"/>
  <c r="J13" i="34"/>
  <c r="H185" i="38"/>
  <c r="H179" i="38"/>
  <c r="H168" i="38"/>
  <c r="H144" i="38"/>
  <c r="H138" i="38"/>
  <c r="H127" i="38"/>
  <c r="H105" i="38" a="1"/>
  <c r="H105" i="38" s="1"/>
  <c r="D105" i="38" a="1"/>
  <c r="D105" i="38" s="1"/>
  <c r="E103" i="38" a="1"/>
  <c r="E103" i="38" s="1"/>
  <c r="E102" i="38" a="1"/>
  <c r="E102" i="38" s="1"/>
  <c r="D98" i="38"/>
  <c r="D98" i="38" a="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O26" i="34" a="1"/>
  <c r="E7" i="38" a="1"/>
  <c r="E99" i="38" a="1"/>
  <c r="O61" i="34"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c r="D15" i="36" a="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I68" i="38" s="1" a="1"/>
  <c r="I68" i="38" s="1"/>
  <c r="H166" i="38" s="1"/>
  <c r="G66" i="38" a="1"/>
  <c r="G66" i="38" s="1"/>
  <c r="I66" i="38" s="1" a="1"/>
  <c r="I66" i="38" s="1"/>
  <c r="H164" i="38" s="1"/>
  <c r="G64" i="38" a="1"/>
  <c r="G64" i="38" s="1"/>
  <c r="I64" i="38" s="1" a="1"/>
  <c r="I64" i="38" s="1"/>
  <c r="H162"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I75" i="38" s="1" a="1"/>
  <c r="I75" i="38" s="1"/>
  <c r="H173" i="38" s="1"/>
  <c r="G62" i="38" a="1"/>
  <c r="G62" i="38" s="1"/>
  <c r="G92" i="38" a="1"/>
  <c r="G92" i="38" s="1"/>
  <c r="G91" i="38" a="1"/>
  <c r="G91" i="38" s="1"/>
  <c r="I91" i="38" s="1" a="1"/>
  <c r="I91" i="38" s="1"/>
  <c r="H189"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78" i="38" l="1" a="1"/>
  <c r="I78" i="38" s="1"/>
  <c r="H176" i="38" s="1"/>
  <c r="I176" i="38" s="1"/>
  <c r="K176" i="38" s="1" a="1"/>
  <c r="K176" i="38" s="1"/>
  <c r="I79" i="38" a="1"/>
  <c r="I79" i="38" s="1"/>
  <c r="H177" i="38" s="1"/>
  <c r="I89" i="38" a="1"/>
  <c r="I89" i="38" s="1"/>
  <c r="H187" i="38" s="1"/>
  <c r="I76" i="38" a="1"/>
  <c r="I76" i="38" s="1"/>
  <c r="H174" i="38" s="1"/>
  <c r="I174" i="38" s="1"/>
  <c r="K174" i="38" s="1" a="1"/>
  <c r="K174" i="38" s="1"/>
  <c r="I83" i="38" a="1"/>
  <c r="I83" i="38" s="1"/>
  <c r="H181" i="38" s="1"/>
  <c r="I41" i="38" a="1"/>
  <c r="I41" i="38" s="1"/>
  <c r="H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177" i="38"/>
  <c r="K177" i="38" s="1" a="1"/>
  <c r="K177"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136" i="38"/>
  <c r="K136" i="38" s="1" a="1"/>
  <c r="K136"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151" i="38"/>
  <c r="E639" i="19"/>
  <c r="F36" i="41" s="1"/>
  <c r="E588" i="19"/>
  <c r="E33" i="41"/>
  <c r="E621" i="19"/>
  <c r="F35" i="41" s="1"/>
  <c r="D33" i="41" a="1"/>
  <c r="D33" i="41" s="1"/>
  <c r="F33" i="41" l="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E7" i="32" a="1"/>
  <c r="L7" i="31" a="1"/>
  <c r="L8" i="32" a="1"/>
  <c r="E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I516" i="19" s="1"/>
  <c r="E63" i="31"/>
  <c r="E50" i="32"/>
  <c r="E49" i="32"/>
  <c r="E55" i="32" s="1"/>
  <c r="E64" i="31"/>
  <c r="E68"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258" i="19" a="1"/>
  <c r="E100" i="19" a="1"/>
  <c r="E323" i="19" a="1"/>
  <c r="E385" i="19" a="1"/>
  <c r="E188" i="19" a="1"/>
  <c r="E290" i="19" a="1"/>
  <c r="E418" i="19" a="1"/>
  <c r="E355" i="19" a="1"/>
  <c r="E174" i="19" a="1"/>
  <c r="E20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T128" i="19" l="1" a="1"/>
  <c r="T128" i="19" s="1"/>
  <c r="T127" i="19" a="1"/>
  <c r="T127" i="19" s="1"/>
  <c r="T126" i="19" a="1"/>
  <c r="T126" i="19" s="1"/>
  <c r="T125" i="19" a="1"/>
  <c r="T125" i="19" s="1"/>
  <c r="T124" i="19" a="1"/>
  <c r="T124" i="19" s="1"/>
  <c r="T123" i="19" a="1"/>
  <c r="T123" i="19" s="1"/>
  <c r="T122" i="19" a="1"/>
  <c r="T122" i="19" s="1"/>
  <c r="T121" i="19" a="1"/>
  <c r="T121" i="19" s="1"/>
  <c r="T120" i="19" a="1"/>
  <c r="T120" i="19" s="1"/>
  <c r="X128" i="19" a="1"/>
  <c r="X128" i="19" s="1"/>
  <c r="X127" i="19" a="1"/>
  <c r="X127" i="19" s="1"/>
  <c r="X126" i="19" a="1"/>
  <c r="X126" i="19" s="1"/>
  <c r="X125" i="19" a="1"/>
  <c r="X125" i="19" s="1"/>
  <c r="X124" i="19" a="1"/>
  <c r="X124" i="19" s="1"/>
  <c r="X123" i="19" a="1"/>
  <c r="X123" i="19" s="1"/>
  <c r="X122" i="19" a="1"/>
  <c r="X122" i="19" s="1"/>
  <c r="X121" i="19" a="1"/>
  <c r="X121" i="19" s="1"/>
  <c r="X120" i="19" a="1"/>
  <c r="X120" i="19" s="1"/>
  <c r="Y119" i="19"/>
  <c r="AB119" i="19" s="1" a="1"/>
  <c r="AB119" i="19" s="1"/>
  <c r="AB122" i="19" a="1"/>
  <c r="AB122" i="19" s="1"/>
  <c r="AB121" i="19" a="1"/>
  <c r="AB121" i="19" s="1"/>
  <c r="AB120" i="19" a="1"/>
  <c r="AB120" i="19" s="1"/>
  <c r="AB128" i="19" a="1"/>
  <c r="AB128" i="19" s="1"/>
  <c r="AB127" i="19" a="1"/>
  <c r="AB127" i="19" s="1"/>
  <c r="AB126" i="19" a="1"/>
  <c r="AB126" i="19" s="1"/>
  <c r="AB125" i="19" a="1"/>
  <c r="AB125" i="19" s="1"/>
  <c r="AB124" i="19" a="1"/>
  <c r="AB124" i="19" s="1"/>
  <c r="AB123" i="19" a="1"/>
  <c r="AB123" i="19" s="1"/>
  <c r="F621" i="19"/>
  <c r="F620" i="19"/>
  <c r="F642" i="19"/>
  <c r="F638" i="19"/>
  <c r="F641" i="19"/>
  <c r="F639" i="19"/>
  <c r="E411" i="19"/>
  <c r="F22" i="41" s="1"/>
  <c r="U119" i="19"/>
  <c r="X119" i="19" s="1" a="1"/>
  <c r="X119" i="19" s="1"/>
  <c r="F141" i="19"/>
  <c r="F130" i="19"/>
  <c r="F142" i="19"/>
  <c r="F144" i="19"/>
  <c r="F145" i="19"/>
  <c r="F131" i="19"/>
  <c r="M119" i="19"/>
  <c r="E119" i="19"/>
  <c r="Q119" i="19"/>
  <c r="T119" i="19" s="1" a="1"/>
  <c r="T119" i="19" s="1"/>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D61" i="19" l="1"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F79" i="19" l="1"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G35" i="7"/>
  <c r="K35" i="7"/>
  <c r="K34" i="7"/>
  <c r="G34" i="7"/>
  <c r="E305" i="19" s="1"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162" i="19"/>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479" i="19" s="1"/>
  <c r="F202" i="20" a="1"/>
  <c r="F202" i="20" s="1"/>
  <c r="G202" i="20" a="1"/>
  <c r="G202" i="20" s="1"/>
  <c r="H202" i="20" a="1"/>
  <c r="H202" i="20" s="1"/>
  <c r="I202" i="20" a="1"/>
  <c r="I202" i="20" s="1"/>
  <c r="D203" i="20" a="1"/>
  <c r="D203" i="20" s="1"/>
  <c r="E203" i="20" a="1"/>
  <c r="E203" i="20"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D83" i="6" a="1"/>
  <c r="D83" i="6" s="1"/>
  <c r="D82" i="6" a="1"/>
  <c r="D82" i="6" s="1"/>
  <c r="D81" i="6" a="1"/>
  <c r="D81" i="6" s="1"/>
  <c r="F78" i="6" a="1"/>
  <c r="F78" i="6" s="1"/>
  <c r="E78" i="6" a="1"/>
  <c r="E78" i="6" s="1"/>
  <c r="O74" i="34" s="1" a="1"/>
  <c r="O74" i="34" s="1"/>
  <c r="T86" i="34" s="1"/>
  <c r="O90" i="34" s="1" a="1"/>
  <c r="O90" i="34" s="1"/>
  <c r="R571" i="19"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35" i="34" l="1" a="1"/>
  <c r="E35" i="34" s="1"/>
  <c r="I48" i="34" s="1"/>
  <c r="O35" i="34" a="1"/>
  <c r="O35" i="34" s="1"/>
  <c r="S48" i="34" s="1"/>
  <c r="O55" i="34" s="1" a="1"/>
  <c r="O55" i="34" s="1"/>
  <c r="R570" i="19" s="1"/>
  <c r="M573" i="19" s="1" a="1"/>
  <c r="M573" i="19" s="1"/>
  <c r="O575" i="19" s="1"/>
  <c r="M578" i="19" s="1" a="1"/>
  <c r="M578" i="19" s="1"/>
  <c r="F32" i="41"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<sst xmlns="http://schemas.openxmlformats.org/spreadsheetml/2006/main" count="2395" uniqueCount="878">
  <si>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</si>
  <si>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</si>
  <si>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</si>
  <si>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</si>
  <si>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</si>
  <si>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</si>
  <si>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</si>
  <si>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</si>
  <si>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</si>
  <si>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</si>
  <si>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</si>
  <si>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</si>
  <si>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</si>
  <si>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</si>
  <si>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</si>
  <si>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</si>
  <si>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</si>
  <si>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</si>
  <si>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</si>
  <si>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</si>
  <si>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</si>
  <si>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</si>
  <si>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</si>
  <si>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</si>
  <si>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</si>
  <si>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</si>
  <si>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</si>
  <si>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</si>
  <si>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</si>
  <si>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</si>
  <si>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</si>
  <si>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</si>
  <si>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</si>
  <si>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</si>
  <si>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</si>
  <si>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</si>
  <si>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</si>
  <si>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</si>
  <si>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</si>
  <si>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</si>
  <si>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</si>
  <si>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</si>
  <si>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</si>
  <si>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</si>
  <si>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</si>
  <si>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</si>
  <si>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</si>
  <si>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</si>
  <si>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</si>
  <si>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</si>
  <si>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</si>
  <si>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</si>
  <si>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</si>
  <si>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</si>
  <si>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</si>
  <si>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</si>
  <si>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</si>
  <si>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</si>
  <si>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</si>
  <si>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</si>
  <si>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</si>
  <si>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</si>
  <si>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</si>
  <si>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</si>
  <si>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</si>
  <si>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</si>
  <si>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</si>
  <si>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</si>
  <si>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</si>
  <si>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</si>
  <si>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</si>
  <si>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</si>
  <si>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</si>
  <si>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</si>
  <si>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</si>
  <si>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</si>
  <si>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</si>
  <si>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</si>
  <si>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</si>
  <si>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</si>
  <si>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</si>
  <si>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</si>
  <si>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</si>
  <si>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</si>
  <si>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</si>
  <si>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</si>
  <si>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</si>
  <si>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</si>
  <si>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</si>
  <si>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</si>
  <si>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</si>
  <si>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</si>
  <si>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</si>
  <si>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</si>
  <si>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</si>
  <si>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</si>
  <si>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</si>
  <si>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</si>
  <si>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</si>
  <si>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</si>
  <si>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</si>
  <si>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</si>
  <si>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</si>
  <si>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</si>
  <si>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</si>
  <si>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</si>
  <si>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</si>
  <si>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</si>
  <si>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</si>
  <si>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</si>
  <si>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</si>
  <si>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</si>
  <si>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</si>
  <si>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</si>
  <si>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</si>
  <si>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</si>
  <si>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</si>
  <si>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</si>
  <si>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</si>
  <si>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</si>
  <si>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</si>
  <si>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</si>
  <si>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</si>
  <si>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</si>
  <si>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</si>
  <si>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</si>
  <si>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</si>
  <si>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</si>
  <si>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</si>
  <si>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</si>
  <si>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</si>
  <si>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</si>
  <si>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</si>
  <si>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</si>
  <si>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</si>
  <si>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</si>
  <si>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</si>
  <si>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</si>
  <si>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</si>
  <si>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</si>
  <si>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</si>
  <si>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</si>
  <si>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</si>
  <si>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</si>
  <si>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</si>
  <si>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</si>
  <si>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</si>
  <si>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</si>
  <si>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</si>
  <si>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</si>
  <si>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</si>
  <si>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</si>
  <si>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</si>
  <si>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</si>
  <si>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</si>
  <si>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</si>
  <si>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</si>
  <si>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</si>
  <si>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</si>
  <si>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</si>
  <si>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</si>
  <si>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</si>
  <si>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</si>
  <si>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</si>
  <si>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</si>
  <si>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</si>
  <si>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</si>
  <si>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</si>
  <si>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</si>
  <si>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</si>
  <si>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</si>
  <si>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</si>
  <si>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</si>
  <si>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</si>
  <si>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</si>
  <si>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</si>
  <si>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</si>
  <si>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</si>
  <si>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</si>
  <si>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</si>
  <si>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</si>
  <si>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</si>
  <si>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</si>
  <si>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</si>
  <si>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</si>
  <si>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</si>
  <si>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</si>
  <si>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</si>
  <si>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</si>
  <si>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</si>
  <si>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</si>
  <si>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</si>
  <si>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</si>
  <si>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</si>
  <si>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</si>
  <si>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</si>
  <si>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</si>
  <si>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</si>
  <si>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</si>
  <si>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</si>
  <si>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</si>
  <si>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</si>
  <si>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</si>
  <si>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</si>
  <si>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</si>
  <si>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</si>
  <si>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</si>
  <si>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</si>
  <si>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</si>
  <si>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</si>
  <si>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</si>
  <si>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</si>
  <si>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</si>
  <si>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</si>
  <si>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</si>
  <si>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</si>
  <si>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</si>
  <si>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</si>
  <si>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</si>
  <si>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</si>
  <si>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</si>
  <si>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</si>
  <si>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</si>
  <si>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</si>
  <si>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</si>
  <si>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</si>
  <si>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</si>
  <si>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</si>
  <si>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</si>
  <si>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</si>
  <si>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</si>
  <si>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</si>
  <si>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</si>
  <si>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</si>
  <si>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</si>
  <si>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</si>
  <si>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</si>
  <si>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</si>
  <si>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</si>
  <si>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</si>
  <si>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</si>
  <si>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</si>
  <si>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</si>
  <si>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</si>
  <si>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</si>
  <si>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</si>
  <si>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</si>
  <si>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</si>
  <si>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</si>
  <si>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</si>
  <si>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</si>
  <si>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</si>
  <si>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</si>
  <si>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</si>
  <si>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</si>
  <si>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</si>
  <si>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</si>
  <si>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</si>
  <si>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</si>
  <si>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</si>
  <si>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</si>
  <si>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</si>
  <si>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</si>
  <si>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</si>
  <si>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</si>
  <si>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</si>
  <si>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</si>
  <si>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</si>
  <si>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</si>
  <si>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</si>
  <si>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</si>
  <si>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</si>
  <si>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</si>
  <si>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</si>
  <si>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</si>
  <si>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</si>
  <si>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</si>
  <si>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</si>
  <si>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</si>
  <si>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</si>
  <si>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</si>
  <si>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</si>
  <si>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</si>
  <si>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</si>
  <si>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</si>
  <si>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</si>
  <si>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</si>
  <si>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</si>
  <si>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</si>
  <si>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</si>
  <si>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</si>
  <si>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</si>
  <si>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</si>
  <si>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</si>
  <si>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</si>
  <si>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</si>
  <si>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</si>
  <si>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</si>
  <si>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</si>
  <si>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</si>
  <si>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</si>
  <si>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</si>
  <si>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</si>
  <si>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</si>
  <si>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</si>
  <si>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</si>
  <si>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</si>
  <si>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</si>
  <si>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</si>
  <si>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</si>
  <si>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</si>
  <si>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</si>
  <si>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</si>
  <si>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</si>
  <si>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</si>
  <si>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</si>
  <si>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</si>
  <si>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</si>
  <si>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</si>
  <si>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</si>
  <si>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</si>
  <si>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</si>
  <si>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</si>
  <si>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</si>
  <si>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</si>
  <si>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</si>
  <si>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</si>
  <si>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</si>
  <si>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</si>
  <si>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</si>
  <si>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</si>
  <si>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</si>
  <si>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</si>
  <si>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</si>
  <si>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</si>
  <si>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</si>
  <si>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</si>
  <si>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</si>
  <si>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</si>
  <si>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</si>
  <si>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</si>
  <si>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</si>
  <si>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</si>
  <si>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</si>
  <si>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</si>
  <si>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</si>
  <si>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</si>
  <si>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</si>
  <si>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</si>
  <si>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</si>
  <si>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</si>
  <si>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</si>
  <si>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</si>
  <si>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</si>
  <si>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</si>
  <si>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</si>
  <si>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</si>
  <si>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</si>
  <si>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</si>
  <si>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</si>
  <si>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</si>
  <si>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</si>
  <si>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</si>
  <si>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</si>
  <si>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</si>
  <si>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</si>
  <si>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</si>
  <si>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</si>
  <si>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</si>
  <si>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</si>
  <si>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</si>
  <si>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</si>
  <si>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</si>
  <si>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</si>
  <si>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</si>
  <si>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</si>
  <si>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</si>
  <si>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</si>
  <si>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</si>
  <si>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</si>
  <si>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</si>
  <si>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</si>
  <si>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</si>
  <si>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</si>
  <si>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</si>
  <si>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</si>
  <si>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</si>
  <si>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</si>
  <si>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</si>
  <si>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</si>
  <si>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</si>
  <si>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</si>
  <si>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</si>
  <si>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</si>
  <si>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</si>
  <si>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</si>
  <si>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</si>
  <si>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</si>
  <si>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</si>
  <si>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</si>
  <si>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</si>
  <si>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</si>
  <si>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</si>
  <si>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</si>
  <si>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</si>
  <si>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</si>
  <si>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</si>
  <si>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</si>
  <si>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</si>
  <si>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</si>
  <si>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</si>
  <si>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</si>
  <si>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</si>
  <si>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</si>
  <si>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</si>
  <si>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</si>
  <si>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</si>
  <si>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</si>
  <si>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</si>
  <si>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</si>
  <si>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</si>
  <si>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</si>
  <si>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</si>
  <si>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</si>
  <si>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</si>
  <si>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</si>
  <si>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</si>
  <si>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</si>
  <si>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</si>
  <si>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</si>
  <si>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</si>
  <si>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</si>
  <si>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</si>
  <si>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</si>
  <si>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</si>
  <si>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</si>
  <si>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</si>
  <si>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</si>
  <si>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</si>
  <si>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</si>
  <si>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</si>
  <si>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</si>
  <si>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</si>
  <si>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</si>
  <si>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</si>
  <si>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</si>
  <si>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</si>
  <si>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</si>
  <si>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</si>
  <si>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</si>
  <si>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</si>
  <si>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</si>
  <si>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</si>
  <si>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</si>
  <si>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</si>
  <si>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</si>
  <si>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</si>
  <si>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</si>
  <si>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</si>
  <si>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</si>
  <si>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</si>
  <si>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</si>
  <si>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</si>
  <si>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</si>
  <si>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</si>
  <si>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</si>
  <si>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</si>
  <si>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</si>
  <si>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</si>
  <si>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</si>
  <si>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</si>
  <si>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</si>
  <si>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</si>
  <si>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</si>
  <si>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</si>
  <si>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</si>
  <si>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</si>
  <si>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</si>
  <si>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</si>
  <si>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</si>
  <si>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</si>
  <si>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</si>
  <si>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</si>
  <si>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</si>
  <si>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</si>
  <si>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</si>
  <si>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</si>
  <si>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</si>
  <si>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</si>
  <si>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</si>
  <si>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</si>
  <si>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</si>
  <si>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</si>
  <si>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</si>
  <si>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</si>
  <si>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</si>
  <si>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</si>
  <si>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</si>
  <si>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</si>
  <si>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</si>
  <si>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</si>
  <si>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</si>
  <si>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</si>
  <si>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</si>
  <si>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</si>
  <si>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</si>
  <si>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</si>
  <si>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</si>
  <si>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</si>
  <si>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</si>
  <si>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</si>
  <si>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</si>
  <si>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</si>
  <si>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</si>
  <si>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</si>
  <si>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</si>
  <si>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</si>
  <si>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</si>
  <si>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</si>
  <si>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</si>
  <si>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</si>
  <si>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</si>
  <si>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</si>
  <si>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</si>
  <si>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</si>
  <si>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</si>
  <si>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</si>
  <si>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</si>
  <si>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</si>
  <si>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</si>
  <si>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</si>
  <si>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</si>
  <si>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</si>
  <si>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</si>
  <si>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</si>
  <si>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</si>
  <si>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</si>
  <si>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</si>
  <si>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</si>
  <si>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</si>
  <si>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</si>
  <si>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</si>
  <si>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</si>
  <si>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</si>
  <si>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</si>
  <si>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</si>
  <si>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</si>
  <si>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</si>
  <si>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</si>
  <si>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</si>
  <si>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</si>
  <si>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</si>
  <si>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</si>
  <si>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</si>
  <si>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</si>
  <si>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</si>
  <si>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</si>
  <si>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</si>
  <si>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</si>
  <si>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</si>
  <si>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</si>
  <si>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</si>
  <si>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</si>
  <si>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</si>
  <si>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</si>
  <si>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</si>
  <si>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</si>
  <si>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</si>
  <si>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</si>
  <si>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</si>
  <si>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</si>
  <si>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</si>
  <si>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</si>
  <si>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</si>
  <si>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</si>
  <si>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</si>
  <si>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</si>
  <si>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</si>
  <si>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</si>
  <si>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</si>
  <si>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</si>
  <si>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</si>
  <si>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</si>
  <si>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</si>
  <si>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</si>
  <si>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</si>
  <si>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</si>
  <si>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</si>
  <si>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</si>
  <si>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</si>
  <si>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</si>
  <si>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</si>
  <si>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</si>
  <si>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</si>
  <si>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</si>
  <si>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</si>
  <si>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</si>
  <si>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</si>
  <si>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</si>
  <si>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</si>
  <si>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</si>
  <si>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</si>
  <si>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</si>
  <si>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</si>
  <si>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</si>
  <si>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</si>
  <si>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</si>
  <si>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</si>
  <si>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</si>
  <si>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</si>
  <si>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</si>
  <si>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</si>
  <si>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</si>
  <si>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</si>
  <si>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</si>
  <si>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</si>
  <si>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</si>
  <si>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</si>
  <si>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</si>
  <si>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</si>
  <si>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</si>
  <si>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</si>
  <si>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</si>
  <si>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</si>
  <si>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</si>
  <si>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</si>
  <si>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</si>
  <si>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</si>
  <si>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</si>
  <si>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</si>
  <si>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</si>
  <si>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</si>
  <si>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</si>
  <si>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</si>
  <si>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</si>
  <si>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</si>
  <si>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</si>
  <si>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</si>
  <si>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</si>
  <si>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</si>
  <si>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</si>
  <si>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</si>
  <si>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</si>
  <si>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</si>
  <si>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</si>
  <si>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</si>
  <si>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</si>
  <si>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</si>
  <si>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</si>
  <si>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</si>
  <si>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</si>
  <si>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</si>
  <si>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</si>
  <si>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</si>
  <si>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</si>
  <si>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</si>
  <si>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</si>
  <si>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</si>
  <si>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</si>
  <si>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</si>
  <si>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</si>
  <si>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</si>
  <si>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</si>
  <si>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</si>
  <si>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</si>
  <si>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</si>
  <si>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</si>
  <si>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</si>
  <si>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</si>
  <si>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</si>
  <si>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</si>
  <si>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</si>
  <si>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</si>
  <si>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</si>
  <si>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</si>
  <si>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</si>
  <si>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</si>
  <si>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</si>
  <si>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</si>
  <si>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</si>
  <si>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</si>
  <si>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</si>
  <si>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</si>
  <si>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</si>
  <si>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</si>
  <si>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</si>
  <si>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</si>
  <si>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</si>
  <si>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</si>
  <si>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</si>
  <si>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</si>
  <si>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</si>
  <si>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</si>
  <si>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</si>
  <si>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</si>
  <si>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</si>
  <si>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</si>
  <si>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</si>
  <si>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</si>
  <si>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</si>
  <si>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</si>
  <si>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</si>
  <si>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</si>
  <si>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</si>
  <si>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</si>
  <si>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</si>
  <si>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</si>
  <si>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</si>
  <si>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</si>
  <si>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</si>
  <si>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</si>
  <si>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</si>
  <si>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</si>
  <si>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</si>
  <si>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</si>
  <si>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</si>
  <si>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</si>
  <si>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</si>
  <si>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</si>
  <si>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</si>
  <si>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</si>
  <si>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</si>
  <si>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</si>
  <si>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</si>
  <si>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</si>
  <si>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</si>
  <si>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</si>
  <si>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</si>
  <si>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</si>
  <si>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</si>
  <si>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</si>
  <si>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</si>
  <si>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</si>
  <si>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</si>
  <si>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</si>
  <si>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</si>
  <si>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</si>
  <si>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</si>
  <si>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</si>
  <si>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</si>
  <si>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</si>
  <si>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</si>
  <si>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</si>
  <si>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</si>
  <si>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</si>
  <si>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</si>
  <si>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</si>
  <si>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</si>
  <si>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</si>
  <si>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</si>
  <si>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</si>
  <si>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</si>
  <si>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</si>
  <si>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</si>
  <si>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</si>
  <si>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</si>
  <si>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</si>
  <si>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</si>
  <si>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</si>
  <si>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</si>
  <si>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</si>
  <si>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</si>
  <si>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</si>
  <si>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</si>
  <si>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</si>
  <si>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</si>
  <si>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</si>
  <si>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</si>
  <si>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</si>
  <si>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</si>
  <si>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</si>
  <si>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</si>
  <si>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</si>
  <si>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</si>
  <si>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</si>
  <si>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</si>
  <si>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</si>
  <si>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</si>
  <si>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</si>
  <si>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</si>
  <si>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</si>
  <si>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</si>
  <si>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</si>
  <si>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</si>
  <si>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</si>
  <si>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</si>
  <si>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</si>
  <si>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</si>
  <si>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</si>
  <si>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</si>
  <si>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</si>
  <si>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</si>
  <si>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</si>
  <si>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</si>
  <si>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</si>
  <si>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</si>
  <si>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</si>
  <si>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</si>
  <si>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</si>
  <si>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</si>
  <si>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</si>
  <si>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</si>
  <si>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</si>
  <si>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</si>
  <si>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</si>
  <si>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</si>
  <si>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</si>
  <si>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</si>
  <si>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</si>
  <si>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</si>
  <si>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</si>
  <si>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</si>
  <si>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</si>
  <si>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</si>
  <si>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</si>
  <si>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</si>
  <si>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</si>
  <si>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</si>
  <si>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</si>
  <si>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</si>
  <si>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</si>
  <si>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</si>
  <si>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</si>
  <si>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</si>
  <si>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</si>
  <si>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</si>
  <si>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</si>
  <si>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</si>
  <si>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</si>
  <si>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</si>
  <si>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</si>
  <si>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</si>
  <si>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</si>
  <si>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</si>
  <si>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</si>
  <si>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</si>
  <si>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</si>
  <si>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</si>
  <si>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</si>
  <si>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</si>
  <si>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</si>
  <si>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</si>
  <si>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</si>
  <si>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</si>
  <si>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</si>
  <si>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</si>
  <si>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</si>
  <si>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</si>
  <si>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</si>
  <si>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</si>
  <si>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</si>
  <si>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</si>
  <si>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</si>
  <si>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</si>
  <si>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</si>
  <si>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</si>
  <si>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</si>
  <si>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</si>
  <si>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</si>
  <si>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</si>
  <si>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</si>
  <si>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</si>
  <si>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</si>
  <si>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</si>
  <si>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</si>
  <si>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</si>
  <si>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</si>
  <si>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</si>
  <si>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</si>
  <si>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</si>
  <si>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</si>
  <si>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</si>
  <si>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generic</t>
  </si>
  <si>
    <t>horticulture, wine, processing</t>
  </si>
  <si>
    <t>grain cropping</t>
  </si>
  <si>
    <t>Purchased feed blends for livestock</t>
  </si>
  <si>
    <t>Input - Livestock inputs</t>
  </si>
  <si>
    <t>Input - Horticulture Farm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</si>
</sst>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22/10/relationships/richValueRel" Target="richData/richValueRel.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microsoft.com/office/2017/06/relationships/rdRichValue" Target="richData/rdrichvalue.xml"/><Relationship Id="rId45" Type="http://schemas.microsoft.com/office/2023/09/relationships/Python" Target="pyth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 Id="rId20" Type="http://schemas.openxmlformats.org/officeDocument/2006/relationships/worksheet" Target="worksheets/sheet20.xml"/><Relationship Id="rId41" Type="http://schemas.microsoft.com/office/2017/06/relationships/rdRichValueStructure" Target="richData/rdrichvaluestructur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9"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8" dataCellStyle="Input select" totalsRowCellStyle="Input select"/>
    <tableColumn id="3" xr3:uid="{E03C244F-B016-4373-8F29-F863250A309B}" name="Fuel type (select)" totalsRowDxfId="527" dataCellStyle="Input select" totalsRowCellStyle="Input select"/>
    <tableColumn id="4" xr3:uid="{70536E5B-E617-4814-BA37-CAE5E35162C6}" name="Amount purchased" totalsRowDxfId="526" totalsRowCellStyle="Content bold"/>
    <tableColumn id="6" xr3:uid="{9F12A1DD-B701-47BF-A99D-DAA4D26B1EB3}" name="Amount unit" totalsRowDxfId="525"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4" totalsRowCellStyle="Input percent">
      <calculatedColumnFormula>1</calculatedColumnFormula>
    </tableColumn>
    <tableColumn id="1" xr3:uid="{54C850E9-3FE0-4B86-92C1-58D2275B9FA5}" name="Amount consumed" totalsRowFunction="custom" totalsRowDxfId="523"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2" dataDxfId="521" totalsRowDxfId="520"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9" totalsRowDxfId="518" dataCellStyle="Input select"/>
    <tableColumn id="23" xr3:uid="{F727E370-72E8-46CC-9F10-18494CAC017E}" name="Amount applied per hectare" totalsRowFunction="custom" dataDxfId="517" totalsRowDxfId="516">
      <totalsRowFormula>SUM(Table_Input_InorganicFertiliser_Brands[[#Headers],[#Data],[Amount applied per hectare]])</totalsRowFormula>
    </tableColumn>
    <tableColumn id="18" xr3:uid="{2253738D-C34B-45FC-A347-3594DD12A0FD}" name="Application unit" totalsRowDxfId="515"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4"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3" totalsRowDxfId="512">
      <calculatedColumnFormula>$E$9</calculatedColumnFormula>
    </tableColumn>
    <tableColumn id="1" xr3:uid="{DE25213C-DDD2-412A-85A4-29987D633B72}" name="Total applied (kg)" dataDxfId="511" totalsRowDxfId="51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9" totalsRowDxfId="50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4" totalsRowDxfId="50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1" totalsRowDxfId="49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9" totalsRowDxfId="488"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7" totalsRowDxfId="48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5" dataDxfId="484"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3"/>
    <tableColumn id="3" xr3:uid="{9EAF254B-17DE-4675-8AF9-F68B80BF582C}" name="Application area (ha)" dataDxfId="482" dataCellStyle="Input number 2 decimal places">
      <calculatedColumnFormula>$E$9</calculatedColumnFormula>
    </tableColumn>
    <tableColumn id="4" xr3:uid="{CFA5CCED-3BC5-4DD2-AC3F-E4DC58D9B605}"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0" dataCellStyle="Input select"/>
    <tableColumn id="6" xr3:uid="{3F30B499-2152-42DE-8F13-8F97800C0F82}" name="Ingredient 1 percent" dataDxfId="479"/>
    <tableColumn id="8" xr3:uid="{81DBD2AF-CE79-4DFA-ABE1-18247069D1B2}" name="Ingredient 2" dataDxfId="478" dataCellStyle="Input select"/>
    <tableColumn id="9" xr3:uid="{1CF7EE6F-57DF-414D-AEE5-FBCA6348094D}" name="Ingredient 2 percent" dataDxfId="477"/>
    <tableColumn id="11" xr3:uid="{A18D28AA-C181-4552-8786-2ECF509C16C8}" name="Ingredient 3" dataDxfId="476" dataCellStyle="Input select"/>
    <tableColumn id="12" xr3:uid="{B6A6831A-C9EE-4F80-B87F-A0C4C20DFCFD}" name="Ingredient 3 percent" dataDxfId="475"/>
    <tableColumn id="14" xr3:uid="{4467B432-BBEC-488F-912D-5D7123AE260A}" name="Ingredient 4" dataDxfId="474" dataCellStyle="Input select"/>
    <tableColumn id="15" xr3:uid="{0FA01265-32D2-4FC6-BCD7-17164873ADC9}" name="Ingredient 4 percent" dataCellStyle="Input percent"/>
    <tableColumn id="7" xr3:uid="{BF8B607F-8C2E-4E2B-B89D-E699723F771C}" name="N application rate (kg/ha)" dataDxfId="47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Select)" dataDxfId="472"/>
    <tableColumn id="13" xr3:uid="{CA785B69-1D00-4D4E-954C-77FAF8F67EDB}" name="Ammonia source (select)" dataDxfId="47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70" dataDxfId="46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8"/>
    <tableColumn id="2" xr3:uid="{BBD9A28E-9144-4A75-B4E2-101A86320BD7}" name="Amount applied (t/hectare)" dataDxfId="467"/>
    <tableColumn id="4" xr3:uid="{28D6DB55-F183-4018-A8CF-F5EECD3B6F14}" name="Application area (ha)" dataDxfId="466">
      <calculatedColumnFormula>$E$9</calculatedColumnFormula>
    </tableColumn>
    <tableColumn id="3" xr3:uid="{A873C277-F431-4770-984D-50E37F5B322A}" name="Total amount applied (t)" dataDxfId="465"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63"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2"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61">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38:G48" totalsRowShown="0">
  <autoFilter ref="D38:G48"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64" dataCellStyle="Input select"/>
    <tableColumn id="2" xr3:uid="{5B0AEBA4-AB33-4382-8634-3F4C8D3B2A9B}" name="Number of head treated" dataDxfId="63"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60" dataCellStyle="Input select"/>
    <tableColumn id="2" xr3:uid="{FA43F52A-7609-4014-A6D3-CAC2C970F57C}" name="Purchase class (select)" dataDxfId="459" dataCellStyle="Input select"/>
    <tableColumn id="6" xr3:uid="{41EDEC1E-1793-4BBD-B0C8-66DE9A0925D5}" name="Source region (Select)" dataDxfId="458"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57">
  <autoFilter ref="D6:I16" xr:uid="{E938BFB3-949A-45DE-8033-0682BC494B81}"/>
  <tableColumns count="6">
    <tableColumn id="9" xr3:uid="{9915AEA9-40DA-4CFD-B08A-11FBE10BE9CF}" name="Transaction name" dataCellStyle="Input text"/>
    <tableColumn id="11" xr3:uid="{7A96FDED-4DC0-48EE-B346-DC4E5D93138D}" name="Class (select)" dataDxfId="456"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55">
  <autoFilter ref="D6:H16" xr:uid="{14ED7533-62DD-410F-8832-CD98B0CD652B}"/>
  <tableColumns count="5">
    <tableColumn id="9" xr3:uid="{FC1CEF00-A0CC-4545-ADAB-9F52D190F90C}" name="Transaction name" dataCellStyle="Input text"/>
    <tableColumn id="11" xr3:uid="{45625588-179B-4EE3-98B4-2E94FA489CC5}" name="Class (select)" dataDxfId="454"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53"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2"/>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51"/>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50"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9"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8"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7"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6"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5"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4"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3"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2"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41"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40"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7"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6"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5"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4"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3"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3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3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9"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8"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7"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6"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5"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2"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21"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20"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9"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8"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5"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4"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3"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2"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11"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1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8"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7"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6"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5"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4"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01"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00"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9"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8"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7"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4"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3"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2"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91"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90"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7"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6"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5"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4"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3"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81"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80"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9"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8"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4"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3"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2" headerRowCellStyle="Content normal" dataCellStyle="Content normal">
  <autoFilter ref="M16:M21" xr:uid="{8B016CBB-C518-4F44-8DA5-22BFEF05C8F4}"/>
  <tableColumns count="1">
    <tableColumn id="1" xr3:uid="{529CBAE6-9FC8-4C67-86C3-EAFEE2218DCF}" name="Waste type w" totalsRowDxfId="371"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70" headerRowCellStyle="Content normal" dataCellStyle="Content normal">
  <autoFilter ref="O16:O21" xr:uid="{A29F6F0E-2A01-4D24-9251-51FC9A4458D0}"/>
  <tableColumns count="1">
    <tableColumn id="1" xr3:uid="{64CBF66F-F07B-4051-8F15-1DD91E5BCBEF}" name="Waste type w" totalsRowDxfId="369"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8" dataDxfId="36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6">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5">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4">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3">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2">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61">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60">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8" dataDxfId="35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6">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5">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4">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3">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2">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51">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50">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9">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7" dataDxfId="346">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5"/>
    <tableColumn id="2" xr3:uid="{3CFB3B0E-6A3D-4336-A2F5-7D46AE54C335}" name="Power standalone machinery or heating" dataDxfId="344"/>
    <tableColumn id="3" xr3:uid="{5AAA1831-5C5E-4C84-BCC2-2E78A9B5258B}" name="Aviation" dataDxfId="343"/>
    <tableColumn id="5" xr3:uid="{F1BD91A4-832F-462E-8EB0-A84767662BE4}" name="Cars and light commercial vehicles" dataDxfId="342"/>
    <tableColumn id="7" xr3:uid="{E9B8BAAB-717E-44AB-B2F8-3E5C76D4FFB0}" name="Off-road Agriculture and forestry equipment" dataDxfId="341" dataCellStyle="Content bold"/>
    <tableColumn id="8" xr3:uid="{63E9DB80-5FD4-4E13-BBFC-A35B40E9C88C}" name="Vessels" dataDxfId="340" dataCellStyle="Content bold"/>
    <tableColumn id="6" xr3:uid="{EF6CDD99-C67B-4B96-AB3B-8313822AD3CF}" name="General use" dataDxfId="339"/>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8" dataDxfId="3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6">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5">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4">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3">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2">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31">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9" totalsRowDxfId="328">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7">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6">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4"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3"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2"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11"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10"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9"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8"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7"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6"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5"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4"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3"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2"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0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00"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9"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8"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7"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6"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5"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4"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2"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91"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90"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9"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8"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7"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6"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5"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3"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2"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81"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80"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9"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8"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7"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6" dataCellStyle="Content normal">
  <autoFilter ref="D78:E82" xr:uid="{E34928EB-73E5-43B2-830B-089F30DA4EF0}">
    <filterColumn colId="0" hiddenButton="1"/>
    <filterColumn colId="1" hiddenButton="1"/>
  </autoFilter>
  <tableColumns count="2">
    <tableColumn id="1" xr3:uid="{CAD0F086-96AD-478F-9F97-BB910BCF2E2C}" name="Class" dataDxfId="275"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4"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3"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2"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71"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70"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9"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8"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4"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2"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61"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60"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7"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2"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51"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50"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9"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8"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7"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6"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5"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4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5"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4"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6" dataCellStyle="Content normal">
      <calculatedColumnFormula>D351</calculatedColumnFormula>
    </tableColumn>
    <tableColumn id="2" xr3:uid="{3A500914-DEBE-4A5B-9EFF-C566204ADAFE}" name="Bulls &lt; 1 year" dataDxfId="165" dataCellStyle="Content normal">
      <calculatedColumnFormula>E351</calculatedColumnFormula>
    </tableColumn>
    <tableColumn id="3" xr3:uid="{B874FEE3-562E-454F-BDBC-45043393C99C}" name="Bulls &gt; 1 year" dataDxfId="164" dataCellStyle="Content normal">
      <calculatedColumnFormula>F351</calculatedColumnFormula>
    </tableColumn>
    <tableColumn id="4" xr3:uid="{B5355347-A1F0-4973-A512-0D2CAACA96EE}" name="Cows &lt; 1 year" dataDxfId="163" dataCellStyle="Content normal">
      <calculatedColumnFormula>G351</calculatedColumnFormula>
    </tableColumn>
    <tableColumn id="5" xr3:uid="{77A191F8-38C3-4F24-9EFF-980D069BC04A}" name="Cows 1-2 years" dataDxfId="162" dataCellStyle="Content normal">
      <calculatedColumnFormula>H351</calculatedColumnFormula>
    </tableColumn>
    <tableColumn id="6" xr3:uid="{C27A0FE8-EB36-45AD-85CC-54422EECF9D4}" name="Cows 2-3 years" dataDxfId="161" dataCellStyle="Content normal">
      <calculatedColumnFormula>I351</calculatedColumnFormula>
    </tableColumn>
    <tableColumn id="7" xr3:uid="{E45A02BC-2BD9-40C3-AA1C-086EE1B3CF4E}" name="Cows &gt; 3 years" dataDxfId="160" dataCellStyle="Content normal">
      <calculatedColumnFormula>I351</calculatedColumnFormula>
    </tableColumn>
    <tableColumn id="8" xr3:uid="{64BCADE5-A30C-422D-95A6-F7AB897FB775}" name="Steers &lt; 1 year" dataDxfId="159" dataCellStyle="Content normal">
      <calculatedColumnFormula>J351</calculatedColumnFormula>
    </tableColumn>
    <tableColumn id="9" xr3:uid="{A3AA722E-C9A8-476C-9FE8-DC46C3A6D9FA}" name="Steers 1-2 years" dataDxfId="158" dataCellStyle="Content normal">
      <calculatedColumnFormula>K351</calculatedColumnFormula>
    </tableColumn>
    <tableColumn id="10" xr3:uid="{CC7AE6BD-32DE-43F2-B3D8-F334FC0BA640}" name="Steers 2-3 years" dataDxfId="157" dataCellStyle="Content normal">
      <calculatedColumnFormula>K351</calculatedColumnFormula>
    </tableColumn>
    <tableColumn id="11" xr3:uid="{B364C281-70AB-4253-BEE3-56EAB88390C8}" name="Steers &gt;3 years" dataDxfId="156" dataCellStyle="Content normal">
      <calculatedColumnFormula>K351</calculatedColumnFormula>
    </tableColumn>
    <tableColumn id="12" xr3:uid="{1B567087-DFFB-45A9-97B9-5D55DA59D657}" name="State abbreviation" dataDxfId="155"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51"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2" dataCellStyle="Content normal">
  <autoFilter ref="D40:E47" xr:uid="{879A0650-599F-46E3-BDCA-CF804D191F3B}">
    <filterColumn colId="0" hiddenButton="1"/>
    <filterColumn colId="1" hiddenButton="1"/>
  </autoFilter>
  <tableColumns count="2">
    <tableColumn id="1" xr3:uid="{F237F8B2-5CE9-4094-A201-E708B82BA8BF}" name="Product" dataDxfId="14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4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9" dataCellStyle="Content normal">
  <autoFilter ref="D51:E52" xr:uid="{5D161BB1-95E1-405D-861A-B4883D49A51C}">
    <filterColumn colId="0" hiddenButton="1"/>
    <filterColumn colId="1" hiddenButton="1"/>
  </autoFilter>
  <tableColumns count="2">
    <tableColumn id="1" xr3:uid="{44557688-3D5A-45A6-818D-F1328BB9ECC9}" name="Product" dataDxfId="138"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7"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6" dataCellStyle="Content normal">
  <autoFilter ref="D56:E57" xr:uid="{91542D18-4304-4E66-85EA-4F5A2B9391FE}">
    <filterColumn colId="0" hiddenButton="1"/>
    <filterColumn colId="1" hiddenButton="1"/>
  </autoFilter>
  <tableColumns count="2">
    <tableColumn id="1" xr3:uid="{B414FDE1-8B5E-4532-8C69-A9C006972E91}" name="Product" dataDxfId="1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3" dataCellStyle="Content normal">
  <autoFilter ref="D61:E62" xr:uid="{4B96D517-47DA-49C8-8030-0D501D458198}">
    <filterColumn colId="0" hiddenButton="1"/>
    <filterColumn colId="1" hiddenButton="1"/>
  </autoFilter>
  <tableColumns count="2">
    <tableColumn id="1" xr3:uid="{20B25AB9-804F-4D21-9C93-F44C0DAF008F}" name="Product" dataDxfId="13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3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30"/>
    <tableColumn id="2" xr3:uid="{B4717C55-1B95-4E74-B4A0-5CE7A609A36B}" name="Notes" totalsRowDxfId="129"/>
    <tableColumn id="3" xr3:uid="{D976AB1A-52FF-4FBD-9860-B9717ABA5514}" name="Company" totalsRowDxfId="128"/>
    <tableColumn id="4" xr3:uid="{D8F5EA32-4865-44AD-B9C7-F91CA2638E8B}" name="Product name" totalsRowDxfId="127"/>
    <tableColumn id="5" xr3:uid="{D241BEEC-C636-4A92-9BDB-FA8FAA1CAFB2}" name="Unit" totalsRowDxfId="126"/>
    <tableColumn id="6" xr3:uid="{78DBDBE9-27C7-4A0D-B9DA-9F57440C9DE9}" name="Density / gravity" totalsRowDxfId="125"/>
    <tableColumn id="7" xr3:uid="{A50CBE27-EC38-4A34-A2CE-1002E6BA3DD3}" name="Urea source" totalsRowDxfId="124"/>
    <tableColumn id="8" xr3:uid="{16B5D74A-9810-4E92-A540-3E051DC2151D}" name="Ammonia source" totalsRowDxfId="123"/>
    <tableColumn id="9" xr3:uid="{DA7A3BF5-8B40-4495-AD97-6B95B429B465}" name="Ingredient 1" totalsRowDxfId="122"/>
    <tableColumn id="10" xr3:uid="{2A0B8472-D8FF-4086-BE70-2E8BCA80080B}" name="Ingredient 1 percent" totalsRowDxfId="121"/>
    <tableColumn id="11" xr3:uid="{F12415FE-ED65-47A4-AFBE-CEA738CED011}" name="Ingredient 2" totalsRowDxfId="120"/>
    <tableColumn id="12" xr3:uid="{26500CB3-2A36-4020-8DCD-96905995028A}" name="Ingredient 2 percent" totalsRowDxfId="119"/>
    <tableColumn id="13" xr3:uid="{8F8E6FFC-24C1-4EC1-A491-92E852D1C21B}" name="Ingredient 3" totalsRowDxfId="118"/>
    <tableColumn id="14" xr3:uid="{0D08C50E-A1D4-4D59-8D20-E9C72FE59C88}" name="Ingredient 3 percent" totalsRowDxfId="117"/>
    <tableColumn id="15" xr3:uid="{E71FD370-71A1-4861-8573-8E095564A6C6}" name="Ingredient 4" totalsRowDxfId="116"/>
    <tableColumn id="16" xr3:uid="{05524065-59E0-4732-9D5C-80182402ACED}" name="Ingredient 4 percent" totalsRowDxfId="115"/>
    <tableColumn id="17" xr3:uid="{E73E9DAE-88FE-451C-83BB-46CE2CD11EAC}" name="Ingredient 5" totalsRowDxfId="114"/>
    <tableColumn id="18" xr3:uid="{E43B92CC-872A-4D81-AE03-F2A3A1AA9B65}" name="Ingredient 5 percent" totalsRowDxfId="113"/>
    <tableColumn id="19" xr3:uid="{877362A6-7696-4C2B-9AC9-A50CEF0951B6}" name="Ingredient 6" totalsRowDxfId="112"/>
    <tableColumn id="37" xr3:uid="{22756E59-4033-405C-B6C2-0A2E122D072F}" name="Ingredient 6 percent" totalsRowDxfId="111"/>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7" dataCellStyle="Content normal">
  <autoFilter ref="K19:L28" xr:uid="{27B93029-EB1F-4C4A-A946-CD673A8A6C46}">
    <filterColumn colId="0" hiddenButton="1"/>
    <filterColumn colId="1" hiddenButton="1"/>
  </autoFilter>
  <tableColumns count="2">
    <tableColumn id="1" xr3:uid="{D0F0FE53-48EF-4C1D-923D-46B182A1D219}" name="Fertiliser type f" dataDxfId="106"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4" dataCellStyle="Content normal">
  <autoFilter ref="Q19:R28" xr:uid="{791CEA59-796C-47AB-86BC-41E8F699030C}">
    <filterColumn colId="0" hiddenButton="1"/>
    <filterColumn colId="1" hiddenButton="1"/>
  </autoFilter>
  <tableColumns count="2">
    <tableColumn id="1" xr3:uid="{8D461AD8-9C85-4218-9322-36C1AD6A4022}" name="Fertiliser type f" dataDxfId="103"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1">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8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8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8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8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8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6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33.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838</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839</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840</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841</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842</v>
      </c>
      <c r="E9" s="215" t="s">
        <v>843</v>
      </c>
      <c r="F9" s="215" t="s">
        <v>844</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858</v>
      </c>
      <c r="F10" s="216" t="s">
        <v>858</v>
      </c>
      <c r="G10" s="13" t="s">
        <v>845</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845</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845</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845</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845</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845</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845</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845</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845</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845</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845</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845</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845</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858</v>
      </c>
      <c r="F23" s="216" t="s">
        <v>858</v>
      </c>
      <c r="G23" s="13" t="s">
        <v>845</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845</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845</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845</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845</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845</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845</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845</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845</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845</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845</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858</v>
      </c>
      <c r="F34" s="216" t="s">
        <v>858</v>
      </c>
      <c r="G34" s="13" t="s">
        <v>845</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845</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845</v>
      </c>
    </row>
    <row r="37" spans="1:7" ht="20.100000000000001" customHeight="1" x14ac:dyDescent="0.25">
      <c r="A37" s="16" t="str">
        <f>HYPERLINK("#'Constants - Electricity'!A1", "Constants - Electricity")</f>
        <v>Constants - Electricity</v>
      </c>
      <c r="D37" s="60" t="s">
        <v>223</v>
      </c>
      <c r="E37" s="219" t="e">
        <f>SUM(E10:E36)</f>
        <v>#VALUE!</v>
      </c>
      <c r="F37" s="219" t="e">
        <f>SUM(F10:F36)</f>
        <v>#VALUE!</v>
      </c>
      <c r="G37" s="175" t="s">
        <v>845</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266</v>
      </c>
      <c r="N5" s="104"/>
    </row>
    <row r="6" spans="1:24" ht="20.100000000000001" customHeight="1" x14ac:dyDescent="0.25">
      <c r="A6"/>
      <c r="D6" s="105"/>
      <c r="N6" s="106"/>
    </row>
    <row r="7" spans="1:24" ht="20.100000000000001" customHeight="1" x14ac:dyDescent="0.25">
      <c r="A7" s="19" t="s">
        <v>67</v>
      </c>
      <c r="D7" s="8" t="s">
        <v>267</v>
      </c>
      <c r="E7" s="82" t="s">
        <v>268</v>
      </c>
      <c r="F7" s="65"/>
    </row>
    <row r="8" spans="1:24" ht="20.100000000000001" customHeight="1" x14ac:dyDescent="0.25">
      <c r="A8" s="42" t="str">
        <f>HYPERLINK("#'Input - Site'!A1", "Site")</f>
        <v>Site</v>
      </c>
      <c r="D8" s="107" t="s">
        <v>269</v>
      </c>
      <c r="E8" s="82" t="s">
        <v>270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271</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272</v>
      </c>
      <c r="E12" s="112">
        <v>45292</v>
      </c>
      <c r="F12" s="65" t="s">
        <v>273</v>
      </c>
    </row>
    <row r="13" spans="1:24" ht="20.100000000000001" customHeight="1" x14ac:dyDescent="0.25">
      <c r="A13" s="16" t="str">
        <f>HYPERLINK("#'Input - Freight'!A1", "Freight")</f>
        <v>Freight</v>
      </c>
      <c r="D13" s="107" t="s">
        <v>274</v>
      </c>
      <c r="E13" s="113">
        <f>DATE(YEAR(X_Cell_Site_StartDate)+1,MONTH(X_Cell_Site_StartDate),DAY(X_Cell_Site_StartDate))-1</f>
        <v>45657</v>
      </c>
      <c r="F13" s="65" t="s">
        <v>275</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276</v>
      </c>
      <c r="N16" s="114"/>
      <c r="O16" s="114"/>
    </row>
    <row r="17" spans="1:25" ht="20.100000000000001" customHeight="1" x14ac:dyDescent="0.25">
      <c r="A17"/>
    </row>
    <row r="18" spans="1:25" ht="20.100000000000001" customHeight="1" x14ac:dyDescent="0.25">
      <c r="A18"/>
      <c r="D18" s="115" t="s">
        <v>277</v>
      </c>
      <c r="E18" s="40"/>
      <c r="F18" s="40"/>
      <c r="G18" s="41"/>
    </row>
    <row r="19" spans="1:25" ht="20.100000000000001" customHeight="1" x14ac:dyDescent="0.25">
      <c r="A19" s="21" t="s">
        <v>77</v>
      </c>
      <c r="D19" s="43" t="s">
        <v>278</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279</v>
      </c>
      <c r="E21" s="47" t="s">
        <v>314</v>
      </c>
      <c r="F21" s="65" t="s">
        <v>195</v>
      </c>
    </row>
    <row r="22" spans="1:25" ht="20.100000000000001" customHeight="1" x14ac:dyDescent="0.25">
      <c r="A22" s="16" t="str">
        <f>HYPERLINK("#'Calcs - Manure sent off-site'!A1", "Calcs - Manure sent off-site")</f>
        <v>Calcs - Manure sent off-site</v>
      </c>
      <c r="D22" s="8" t="s">
        <v>280</v>
      </c>
      <c r="E22" s="47" t="s">
        <v>281</v>
      </c>
      <c r="F22" s="65" t="s">
        <v>195</v>
      </c>
      <c r="G22" s="8"/>
    </row>
    <row r="23" spans="1:25" ht="20.100000000000001" customHeight="1" x14ac:dyDescent="0.25">
      <c r="A23" s="16" t="str">
        <f>HYPERLINK("#'8.1.1.1-2 Transport fuel'!A1", "8.1.1.1-2 Transport fuel")</f>
        <v>8.1.1.1-2 Transport fuel</v>
      </c>
      <c r="D23" s="8" t="s">
        <v>755</v>
      </c>
      <c r="E23" s="47" t="s">
        <v>756</v>
      </c>
      <c r="F23" s="65" t="s">
        <v>195</v>
      </c>
    </row>
    <row r="24" spans="1:25" ht="20.100000000000001" customHeight="1" x14ac:dyDescent="0.25">
      <c r="A24" s="16" t="str">
        <f>HYPERLINK("#'8.2.1.1-2 Stationary fuel'!A1", "8.2.1.1-2 Stationary fuel")</f>
        <v>8.2.1.1-2 Stationary fuel</v>
      </c>
      <c r="D24" s="8" t="s">
        <v>16</v>
      </c>
      <c r="E24" s="82">
        <v>307.7</v>
      </c>
      <c r="F24" s="65" t="s">
        <v>757</v>
      </c>
    </row>
    <row r="25" spans="1:25" ht="20.100000000000001" customHeight="1" x14ac:dyDescent="0.25">
      <c r="A25"/>
      <c r="D25" s="8" t="s">
        <v>758</v>
      </c>
      <c r="E25" s="82">
        <v>18</v>
      </c>
      <c r="F25" s="65" t="s">
        <v>759</v>
      </c>
      <c r="N25" s="106"/>
    </row>
    <row r="26" spans="1:25" ht="20.100000000000001" customHeight="1" x14ac:dyDescent="0.25">
      <c r="A26"/>
      <c r="D26" s="8" t="s">
        <v>760</v>
      </c>
      <c r="E26" s="82">
        <v>599</v>
      </c>
      <c r="F26" s="65" t="s">
        <v>761</v>
      </c>
    </row>
    <row r="27" spans="1:25" ht="20.100000000000001" customHeight="1" x14ac:dyDescent="0.25">
      <c r="A27" s="222" t="s">
        <v>78</v>
      </c>
      <c r="D27" s="107" t="s">
        <v>762</v>
      </c>
      <c r="E27" s="82">
        <v>1326</v>
      </c>
      <c r="F27" s="65" t="s">
        <v>761</v>
      </c>
    </row>
    <row r="28" spans="1:25" ht="20.100000000000001" customHeight="1" x14ac:dyDescent="0.25">
      <c r="A28" s="16" t="str">
        <f>HYPERLINK("#'Constants - Scope 3'!A1", "Constants - Scope 3")</f>
        <v>Constants - Scope 3</v>
      </c>
      <c r="D28" s="8" t="s">
        <v>763</v>
      </c>
      <c r="E28" s="82">
        <v>7</v>
      </c>
      <c r="F28" s="65" t="s">
        <v>764</v>
      </c>
    </row>
    <row r="29" spans="1:25" ht="20.100000000000001" customHeight="1" x14ac:dyDescent="0.25">
      <c r="A29" s="16" t="str">
        <f>HYPERLINK("#'Constants - Solid Waste'!A1", "Constants - Solid Waste")</f>
        <v>Constants - Solid Waste</v>
      </c>
      <c r="D29" s="107" t="s">
        <v>765</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766</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742</v>
      </c>
    </row>
    <row r="8" spans="1:10" ht="20.100000000000001" customHeight="1" x14ac:dyDescent="0.25">
      <c r="A8" s="16" t="str">
        <f>HYPERLINK("#'Input - Site'!A1", "Site")</f>
        <v>Site</v>
      </c>
      <c r="D8" s="8" t="s">
        <v>743</v>
      </c>
    </row>
    <row r="9" spans="1:10" ht="20.100000000000001" customHeight="1" x14ac:dyDescent="0.25">
      <c r="A9" s="42" t="str">
        <f>HYPERLINK("#'Input - Fuel'!A1", "Fuel")</f>
        <v>Fuel</v>
      </c>
      <c r="D9" s="8" t="s">
        <v>744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745</v>
      </c>
      <c r="E11" s="47" t="s">
        <v>713</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2" zoomScaleNormal="100" workbookViewId="0">
      <selection activeCell="A20" sqref="A20"/>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323</v>
      </c>
      <c r="F17" s="91" t="s">
        <v>316</v>
      </c>
      <c r="G17" s="91" t="s">
        <v>317</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207</v>
      </c>
      <c r="E18" s="73">
        <v>100</v>
      </c>
      <c r="F18" s="49" t="e">
        <f>_xlfn.XLOOKUP(Table_Input_InorganicFertiliser_Brands[[#This Row],[Product (select)]],FertiliserProducts[Product name],FertiliserProducts[Unit])</f>
        <v>#N/A</v>
      </c>
      <c r="G18" s="49" t="e">
        <f>_xlfn.XLOOKUP(Table_Input_InorganicFertiliser_Brands[[#This Row],[Product (select)]],FertiliserProducts[Product name],FertiliserProducts[Density / gravity])</f>
        <v>#N/A</v>
      </c>
      <c r="H18" s="73">
        <f>X_Cell_Fertiliser_AreaUnderCropping</f>
        <v>100</v>
      </c>
      <c r="I18" s="74" t="e">
        <f>(Table_Input_InorganicFertiliser_Brands[[#This Row],[Amount applied per hectare]]*Table_Input_InorganicFertiliser_Brands[[#This Row],[Density]])*Table_Input_InorganicFertiliser_Brands[[#This Row],[Application area (ha)]]</f>
        <v>#N/A</v>
      </c>
      <c r="J18" s="7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
      </c>
      <c r="N18" s="7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
      </c>
      <c r="P18" s="7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18" s="74" t="e">
        <f>_xlfn.XLOOKUP(Table_Input_InorganicFertiliser_Brands[[#This Row],[Product (select)]],FertiliserProducts[Product name],FertiliserProducts[Urea source])</f>
        <v>#N/A</v>
      </c>
      <c r="X18" s="74" t="e">
        <f>_xlfn.XLOOKUP(Table_Input_InorganicFertiliser_Brands[[#This Row],[Product (select)]],FertiliserProducts[Product name],FertiliserProducts[Ammonia source])</f>
        <v>#N/A</v>
      </c>
    </row>
    <row r="19" spans="1:24" ht="36" customHeight="1" x14ac:dyDescent="0.25">
      <c r="A19" s="21" t="s">
        <v>77</v>
      </c>
      <c r="D19" s="72" t="s">
        <v>359</v>
      </c>
      <c r="E19" s="73">
        <v>200</v>
      </c>
      <c r="F19" s="49" t="str">
        <f>_xlfn.XLOOKUP(Table_Input_InorganicFertiliser_Brands[[#This Row],[Product (select)]],FertiliserProducts[Product name],FertiliserProducts[Unit])</f>
        <v>Boost-It - Campbells Fertilisers Australasia</v>
      </c>
      <c r="G19" s="49" t="str">
        <f>_xlfn.XLOOKUP(Table_Input_InorganicFertiliser_Brands[[#This Row],[Product (select)]],FertiliserProducts[Product name],FertiliserProducts[Density / gravity])</f>
        <v>Website SDS</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Urea</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0.52173913000000005</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Potassium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0.08</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Sulfur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5.2999999999999999E-2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Phosphorus - Generic</v>
      </c>
      <c r="T19" s="74"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5.1999999999999998E-2</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Magnesium</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kg</v>
      </c>
    </row>
    <row r="20" spans="1:24" ht="36" customHeight="1" x14ac:dyDescent="0.25">
      <c r="A20" s="16" t="str">
        <f>HYPERLINK("#'15 Scope 3'!A1", "15 Scope 3")</f>
        <v>15 Scope 3</v>
      </c>
      <c r="D20" s="72" t="s">
        <v>207</v>
      </c>
      <c r="E20" s="73">
        <v>100</v>
      </c>
      <c r="F20" s="49" t="e">
        <f>_xlfn.XLOOKUP(Table_Input_InorganicFertiliser_Brands[[#This Row],[Product (select)]],FertiliserProducts[Product name],FertiliserProducts[Unit])</f>
        <v>#N/A</v>
      </c>
      <c r="G20" s="49" t="e">
        <f>_xlfn.XLOOKUP(Table_Input_InorganicFertiliser_Brands[[#This Row],[Product (select)]],FertiliserProducts[Product name],FertiliserProducts[Density / gravity])</f>
        <v>#N/A</v>
      </c>
      <c r="H20" s="73">
        <f>X_Cell_Fertiliser_AreaUnderCropping</f>
        <v>100</v>
      </c>
      <c r="I20" s="74" t="e">
        <f>(Table_Input_InorganicFertiliser_Brands[[#This Row],[Amount applied per hectare]]*Table_Input_InorganicFertiliser_Brands[[#This Row],[Density]])*Table_Input_InorganicFertiliser_Brands[[#This Row],[Application area (ha)]]</f>
        <v>#N/A</v>
      </c>
      <c r="J20" s="7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
      </c>
      <c r="N20" s="7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20" s="74" t="e">
        <f>_xlfn.XLOOKUP(Table_Input_InorganicFertiliser_Brands[[#This Row],[Product (select)]],FertiliserProducts[Product name],FertiliserProducts[Urea source])</f>
        <v>#N/A</v>
      </c>
      <c r="X20" s="74" t="e">
        <f>_xlfn.XLOOKUP(Table_Input_InorganicFertiliser_Brands[[#This Row],[Product (select)]],FertiliserProducts[Product name],FertiliserProducts[Ammonia source])</f>
        <v>#N/A</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208</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209</v>
      </c>
      <c r="E23" s="91" t="s">
        <v>846</v>
      </c>
      <c r="F23" s="91" t="s">
        <v>204</v>
      </c>
      <c r="G23" s="91" t="s">
        <v>205</v>
      </c>
      <c r="H23" s="91" t="s">
        <v>210</v>
      </c>
      <c r="I23" s="91" t="s">
        <v>175</v>
      </c>
      <c r="J23" s="91" t="s">
        <v>176</v>
      </c>
      <c r="K23" s="91" t="s">
        <v>177</v>
      </c>
      <c r="L23" s="91" t="s">
        <v>178</v>
      </c>
      <c r="M23" s="91" t="s">
        <v>179</v>
      </c>
      <c r="N23" s="91" t="s">
        <v>180</v>
      </c>
      <c r="O23" s="91" t="s">
        <v>181</v>
      </c>
      <c r="P23" s="91" t="s">
        <v>206</v>
      </c>
      <c r="Q23" s="91" t="s">
        <v>869</v>
      </c>
      <c r="R23" s="91" t="s">
        <v>870</v>
      </c>
      <c r="S23" s="51"/>
      <c r="T23" s="51"/>
      <c r="U23" s="51"/>
      <c r="V23" s="51"/>
      <c r="W23" s="51"/>
      <c r="X23" s="51"/>
    </row>
    <row r="24" spans="1:24" ht="36" customHeight="1" x14ac:dyDescent="0.25">
      <c r="A24" s="16" t="str">
        <f>HYPERLINK("#'8.2.1.1-2 Stationary fuel'!A1", "8.2.1.1-2 Stationary fuel")</f>
        <v>8.2.1.1-2 Stationary fuel</v>
      </c>
      <c r="D24" s="82" t="s">
        <v>211</v>
      </c>
      <c r="E24" s="64">
        <v>100</v>
      </c>
      <c r="F24" s="73">
        <f>X_Cell_Fertiliser_AreaUnderCropping</f>
        <v>100</v>
      </c>
      <c r="G24" s="74">
        <f>Table_Input_InorganicFertiliser_Custom[[#This Row],[Amount applied (kg / ha)]]*Table_Input_InorganicFertiliser_Custom[[#This Row],[Application area (ha)]]</f>
        <v>10000</v>
      </c>
      <c r="H24" s="83" t="s">
        <v>322</v>
      </c>
      <c r="I24" s="84">
        <v>0.45</v>
      </c>
      <c r="J24" s="83" t="s">
        <v>321</v>
      </c>
      <c r="K24" s="84">
        <v>0.3</v>
      </c>
      <c r="L24" s="83" t="s">
        <v>213</v>
      </c>
      <c r="M24" s="84">
        <v>0.1</v>
      </c>
      <c r="N24" s="85" t="s">
        <v>214</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318</v>
      </c>
      <c r="R24" s="47" t="s">
        <v>352</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212</v>
      </c>
      <c r="I25" s="87">
        <v>0.9</v>
      </c>
      <c r="J25" s="83" t="s">
        <v>322</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318</v>
      </c>
      <c r="R25" s="72" t="s">
        <v>318</v>
      </c>
    </row>
    <row r="26" spans="1:24" ht="36" customHeight="1" x14ac:dyDescent="0.25">
      <c r="A26"/>
    </row>
    <row r="27" spans="1:24" ht="20.100000000000001" customHeight="1" x14ac:dyDescent="0.25">
      <c r="A27" s="222" t="s">
        <v>78</v>
      </c>
      <c r="D27" s="9" t="s">
        <v>836</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215</v>
      </c>
      <c r="E29" s="40"/>
      <c r="F29" s="41"/>
      <c r="G29" s="39"/>
      <c r="H29" s="41"/>
      <c r="I29" s="7"/>
      <c r="J29" s="7"/>
      <c r="K29" s="14"/>
      <c r="L29" s="14"/>
      <c r="M29" s="14"/>
    </row>
    <row r="30" spans="1:24" ht="20.100000000000001" customHeight="1" x14ac:dyDescent="0.25">
      <c r="A30" s="16" t="str">
        <f>HYPERLINK("#'Constants - Fuel'!A1", "Constants - Fuel")</f>
        <v>Constants - Fuel</v>
      </c>
      <c r="D30" s="88" t="s">
        <v>216</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217</v>
      </c>
      <c r="E33" s="91" t="s">
        <v>218</v>
      </c>
      <c r="F33" s="91" t="s">
        <v>204</v>
      </c>
      <c r="G33" s="91" t="s">
        <v>219</v>
      </c>
      <c r="H33" s="91" t="s">
        <v>220</v>
      </c>
      <c r="I33" s="91" t="s">
        <v>221</v>
      </c>
      <c r="J33" s="91" t="s">
        <v>222</v>
      </c>
      <c r="K33" s="91" t="s">
        <v>223</v>
      </c>
      <c r="Y33" s="3"/>
    </row>
    <row r="34" spans="1:25" ht="36" customHeight="1" x14ac:dyDescent="0.25">
      <c r="A34" s="16" t="str">
        <f>HYPERLINK("#'Constants - Pasture Beef'!A1", "Constants - Pasture Beef")</f>
        <v>Constants - Pasture Beef</v>
      </c>
      <c r="D34" s="92" t="s">
        <v>224</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225</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J2" zoomScaleNormal="100" workbookViewId="0">
      <selection activeCell="D6" sqref="D6:R20"/>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834</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367</v>
      </c>
      <c r="E5" s="7"/>
      <c r="F5" s="7"/>
      <c r="G5" s="7"/>
      <c r="H5" s="7"/>
      <c r="I5" s="7"/>
      <c r="J5" s="7"/>
    </row>
    <row r="6" spans="1:19" ht="20.100000000000001" customHeight="1" x14ac:dyDescent="0.25">
      <c r="A6"/>
      <c r="C6" s="8"/>
      <c r="D6" s="144" t="s">
        <v>371</v>
      </c>
      <c r="E6" s="147"/>
      <c r="F6" s="147"/>
      <c r="G6" s="147"/>
      <c r="H6" s="147"/>
      <c r="I6" s="147"/>
      <c r="J6" s="147"/>
    </row>
    <row r="7" spans="1:19" ht="20.100000000000001" customHeight="1" x14ac:dyDescent="0.25">
      <c r="A7" s="19" t="s">
        <v>67</v>
      </c>
      <c r="C7" s="8"/>
      <c r="D7" s="173" t="s">
        <v>302</v>
      </c>
      <c r="E7" s="173"/>
      <c r="F7" s="39"/>
      <c r="G7" s="41"/>
      <c r="H7" s="7"/>
      <c r="I7" s="7"/>
      <c r="J7" s="7"/>
    </row>
    <row r="8" spans="1:19" ht="20.100000000000001" customHeight="1" x14ac:dyDescent="0.25">
      <c r="A8" s="16" t="str">
        <f>HYPERLINK("#'Input - Site'!A1", "Site")</f>
        <v>Site</v>
      </c>
      <c r="C8" s="8"/>
      <c r="D8" s="43" t="s">
        <v>303</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4" t="s">
        <v>170</v>
      </c>
      <c r="E10" s="154" t="s">
        <v>304</v>
      </c>
      <c r="F10" s="154" t="s">
        <v>305</v>
      </c>
      <c r="G10" s="154" t="s">
        <v>204</v>
      </c>
      <c r="H10" s="154" t="s">
        <v>306</v>
      </c>
      <c r="I10" s="154" t="s">
        <v>428</v>
      </c>
      <c r="J10" s="154" t="s">
        <v>307</v>
      </c>
      <c r="K10" s="162" t="s">
        <v>308</v>
      </c>
      <c r="L10" s="162" t="s">
        <v>424</v>
      </c>
      <c r="M10" s="162" t="s">
        <v>309</v>
      </c>
      <c r="N10" s="162" t="s">
        <v>310</v>
      </c>
      <c r="O10" s="162" t="s">
        <v>425</v>
      </c>
      <c r="P10" s="162" t="s">
        <v>311</v>
      </c>
      <c r="Q10" s="162" t="s">
        <v>312</v>
      </c>
      <c r="R10" s="162" t="s">
        <v>426</v>
      </c>
    </row>
    <row r="11" spans="1:19" ht="20.100000000000001" customHeight="1" x14ac:dyDescent="0.25">
      <c r="A11" s="42" t="str">
        <f>HYPERLINK("#'Input - Farm Inputs'!A1", "Farm Inputs")</f>
        <v>Farm Inputs</v>
      </c>
      <c r="D11" s="143" t="s">
        <v>430</v>
      </c>
      <c r="E11" s="155">
        <v>10</v>
      </c>
      <c r="F11" s="47" t="s">
        <v>420</v>
      </c>
      <c r="G11" s="66">
        <v>100</v>
      </c>
      <c r="H11" s="49">
        <f>Table_Input_Pesticides[[#This Row],[Amount applied per ha]]*Table_Input_Pesticides[[#This Row],[Application area (ha)]]</f>
        <v>1000</v>
      </c>
      <c r="I11" s="47" t="s">
        <v>419</v>
      </c>
      <c r="J11" s="47" t="s">
        <v>418</v>
      </c>
      <c r="K11" s="66">
        <v>100</v>
      </c>
      <c r="L11" s="49">
        <f>Table_Input_Pesticides[[#This Row],[Total applied]]*Table_Input_Pesticides[[#This Row],[Active ingredient 1 amount]]*IF(Table_Input_Pesticides[[#This Row],[Constituent unit (select)]]="fraction of product", 1, 10^-3)</f>
        <v>100</v>
      </c>
      <c r="M11" s="47" t="s">
        <v>418</v>
      </c>
      <c r="N11" s="66">
        <v>100</v>
      </c>
      <c r="O11" s="49">
        <f>Table_Input_Pesticides[[#This Row],[Total applied]]*Table_Input_Pesticides[[#This Row],[Active ingredient 2 amount]]*IF(Table_Input_Pesticides[[#This Row],[Constituent unit (select)]]="fraction of product", 1, 10^-3)</f>
        <v>100</v>
      </c>
      <c r="P11" s="47" t="s">
        <v>682</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Livestock purchases'!A1", "Livestock purchases")</f>
        <v>Livestock purchases</v>
      </c>
      <c r="C12" s="8"/>
      <c r="D12" s="143" t="s">
        <v>429</v>
      </c>
      <c r="E12" s="155">
        <v>10</v>
      </c>
      <c r="F12" s="47" t="s">
        <v>313</v>
      </c>
      <c r="G12" s="66">
        <v>100</v>
      </c>
      <c r="H12" s="49">
        <f>Table_Input_Pesticides[[#This Row],[Amount applied per ha]]*Table_Input_Pesticides[[#This Row],[Application area (ha)]]</f>
        <v>1000</v>
      </c>
      <c r="I12" s="47" t="s">
        <v>419</v>
      </c>
      <c r="J12" s="47" t="s">
        <v>418</v>
      </c>
      <c r="K12" s="66">
        <v>100</v>
      </c>
      <c r="L12" s="49">
        <f>Table_Input_Pesticides[[#This Row],[Total applied]]*Table_Input_Pesticides[[#This Row],[Active ingredient 1 amount]]*IF(Table_Input_Pesticides[[#This Row],[Constituent unit (select)]]="fraction of product", 1, 10^-3)</f>
        <v>100</v>
      </c>
      <c r="M12" s="47" t="s">
        <v>680</v>
      </c>
      <c r="N12" s="66">
        <v>100</v>
      </c>
      <c r="O12" s="49">
        <f>Table_Input_Pesticides[[#This Row],[Total applied]]*Table_Input_Pesticides[[#This Row],[Active ingredient 2 amount]]*IF(Table_Input_Pesticides[[#This Row],[Constituent unit (select)]]="fraction of product", 1, 10^-3)</f>
        <v>100</v>
      </c>
      <c r="P12" s="47" t="s">
        <v>683</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Freight'!A1", "Freight")</f>
        <v>Freight</v>
      </c>
      <c r="C13" s="8"/>
      <c r="D13" s="143" t="s">
        <v>427</v>
      </c>
      <c r="E13" s="155">
        <v>10</v>
      </c>
      <c r="F13" s="47" t="s">
        <v>420</v>
      </c>
      <c r="G13" s="66">
        <v>100</v>
      </c>
      <c r="H13" s="49">
        <f>Table_Input_Pesticides[[#This Row],[Amount applied per ha]]*Table_Input_Pesticides[[#This Row],[Application area (ha)]]</f>
        <v>1000</v>
      </c>
      <c r="I13" s="47" t="s">
        <v>419</v>
      </c>
      <c r="J13" s="47" t="s">
        <v>418</v>
      </c>
      <c r="K13" s="66">
        <v>100</v>
      </c>
      <c r="L13" s="49">
        <f>Table_Input_Pesticides[[#This Row],[Total applied]]*Table_Input_Pesticides[[#This Row],[Active ingredient 1 amount]]*IF(Table_Input_Pesticides[[#This Row],[Constituent unit (select)]]="fraction of product", 1, 10^-3)</f>
        <v>100</v>
      </c>
      <c r="M13" s="47" t="s">
        <v>681</v>
      </c>
      <c r="N13" s="66">
        <v>100</v>
      </c>
      <c r="O13" s="49">
        <f>Table_Input_Pesticides[[#This Row],[Total applied]]*Table_Input_Pesticides[[#This Row],[Active ingredient 2 amount]]*IF(Table_Input_Pesticides[[#This Row],[Constituent unit (select)]]="fraction of product", 1, 10^-3)</f>
        <v>100</v>
      </c>
      <c r="P13" s="47" t="s">
        <v>684</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Solid waste'!A1", "Solid waste")</f>
        <v>Solid waste</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Manure sent off-site'!A1", "Manure sent off-site")</f>
        <v>Manure sent off-site</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Electricity'!A1", "Electricity")</f>
        <v>Electricity</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c r="C17" s="8"/>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c r="C18" s="8"/>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21" t="s">
        <v>77</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s="16" t="str">
        <f>HYPERLINK("#'15 Scope 3'!A1", "15 Scope 3")</f>
        <v>15 Scope 3</v>
      </c>
      <c r="D20" s="143"/>
      <c r="E20" s="155"/>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s="16" t="str">
        <f>HYPERLINK("#'10.1.1-2 Solid waste treatment'!A1", "10.1.1-2 Solid waste treatment")</f>
        <v>10.1.1-2 Solid waste treatment</v>
      </c>
      <c r="D21" s="7"/>
      <c r="E21" s="7"/>
      <c r="F21" s="7"/>
      <c r="G21" s="7"/>
      <c r="H21" s="7"/>
      <c r="I21" s="7"/>
      <c r="J21" s="7"/>
    </row>
    <row r="22" spans="1:18" ht="20.100000000000001" customHeight="1" x14ac:dyDescent="0.25">
      <c r="A22" s="16" t="str">
        <f>HYPERLINK("#'Calcs - Manure sent off-site'!A1", "Calcs - Manure sent off-site")</f>
        <v>Calcs - Manure sent off-site</v>
      </c>
      <c r="D22" s="144" t="s">
        <v>290</v>
      </c>
      <c r="E22" s="8"/>
      <c r="F22" s="8"/>
    </row>
    <row r="23" spans="1:18" ht="20.100000000000001" customHeight="1" x14ac:dyDescent="0.25">
      <c r="A23" s="16" t="str">
        <f>HYPERLINK("#'8.1.1.1-2 Transport fuel'!A1", "8.1.1.1-2 Transport fuel")</f>
        <v>8.1.1.1-2 Transport fuel</v>
      </c>
      <c r="D23" s="46" t="s">
        <v>170</v>
      </c>
      <c r="E23" s="46" t="s">
        <v>346</v>
      </c>
      <c r="F23" s="46" t="s">
        <v>349</v>
      </c>
    </row>
    <row r="24" spans="1:18" ht="20.100000000000001" customHeight="1" x14ac:dyDescent="0.25">
      <c r="A24" s="16" t="str">
        <f>HYPERLINK("#'8.2.1.1-2 Stationary fuel'!A1", "8.2.1.1-2 Stationary fuel")</f>
        <v>8.2.1.1-2 Stationary fuel</v>
      </c>
      <c r="D24" s="82" t="s">
        <v>388</v>
      </c>
      <c r="E24" s="47" t="s">
        <v>348</v>
      </c>
      <c r="F24" s="66">
        <v>100</v>
      </c>
    </row>
    <row r="25" spans="1:18" ht="20.100000000000001" customHeight="1" x14ac:dyDescent="0.25">
      <c r="A25"/>
      <c r="C25" s="8"/>
      <c r="D25" s="82" t="s">
        <v>387</v>
      </c>
      <c r="E25" s="149" t="s">
        <v>347</v>
      </c>
      <c r="F25" s="150">
        <v>100</v>
      </c>
    </row>
    <row r="26" spans="1:18" ht="20.100000000000001" customHeight="1" x14ac:dyDescent="0.25">
      <c r="A26"/>
      <c r="C26" s="8"/>
      <c r="D26" s="82" t="s">
        <v>291</v>
      </c>
      <c r="E26" s="149" t="s">
        <v>292</v>
      </c>
      <c r="F26" s="150">
        <v>100</v>
      </c>
    </row>
    <row r="27" spans="1:18" ht="20.100000000000001" customHeight="1" x14ac:dyDescent="0.25">
      <c r="A27" s="222" t="s">
        <v>78</v>
      </c>
      <c r="C27" s="8"/>
      <c r="D27" s="82" t="s">
        <v>291</v>
      </c>
      <c r="E27" s="149" t="s">
        <v>292</v>
      </c>
      <c r="F27" s="150">
        <v>100</v>
      </c>
    </row>
    <row r="28" spans="1:18" ht="20.100000000000001" customHeight="1" x14ac:dyDescent="0.25">
      <c r="A28" s="16" t="str">
        <f>HYPERLINK("#'Constants - Scope 3'!A1", "Constants - Scope 3")</f>
        <v>Constants - Scope 3</v>
      </c>
      <c r="D28" s="82" t="s">
        <v>388</v>
      </c>
      <c r="E28" s="149" t="s">
        <v>348</v>
      </c>
      <c r="F28" s="150">
        <v>100</v>
      </c>
    </row>
    <row r="29" spans="1:18" ht="20.100000000000001" customHeight="1" x14ac:dyDescent="0.25">
      <c r="A29" s="16" t="str">
        <f>HYPERLINK("#'Constants - Solid Waste'!A1", "Constants - Solid Waste")</f>
        <v>Constants - Solid Waste</v>
      </c>
      <c r="D29" s="82" t="s">
        <v>388</v>
      </c>
      <c r="E29" s="149" t="s">
        <v>348</v>
      </c>
      <c r="F29" s="150">
        <v>100</v>
      </c>
    </row>
    <row r="30" spans="1:18" ht="20.100000000000001" customHeight="1" x14ac:dyDescent="0.25">
      <c r="A30" s="16" t="str">
        <f>HYPERLINK("#'Constants - Fuel'!A1", "Constants - Fuel")</f>
        <v>Constants - Fuel</v>
      </c>
      <c r="D30" s="82"/>
      <c r="E30" s="47"/>
      <c r="F30" s="66"/>
    </row>
    <row r="31" spans="1:18" ht="20.100000000000001" customHeight="1" x14ac:dyDescent="0.25">
      <c r="A31" s="16" t="str">
        <f>HYPERLINK("#'Constants - Poultry'!A1", "Constants - Poultry")</f>
        <v>Constants - Poultry</v>
      </c>
      <c r="D31" s="82"/>
      <c r="E31" s="47"/>
      <c r="F31" s="66"/>
    </row>
    <row r="32" spans="1:18" ht="20.100000000000001" customHeight="1" x14ac:dyDescent="0.25">
      <c r="A32" s="16" t="str">
        <f>HYPERLINK("#'Constants - Swine'!A1", "Constants - Swine")</f>
        <v>Constants - Swine</v>
      </c>
      <c r="D32" s="82"/>
      <c r="E32" s="47"/>
      <c r="F32" s="66"/>
    </row>
    <row r="33" spans="1:7" ht="20.100000000000001" customHeight="1" x14ac:dyDescent="0.25">
      <c r="A33" s="16" t="str">
        <f>HYPERLINK("#'Constants - Dairy'!A1", "Constants - Dairy")</f>
        <v>Constants - Dairy</v>
      </c>
      <c r="D33" s="82"/>
      <c r="E33" s="47"/>
      <c r="F33" s="66"/>
    </row>
    <row r="34" spans="1:7" ht="20.100000000000001" customHeight="1" x14ac:dyDescent="0.25">
      <c r="A34" s="16" t="str">
        <f>HYPERLINK("#'Constants - Pasture Beef'!A1", "Constants - Pasture Beef")</f>
        <v>Constants - Pasture Beef</v>
      </c>
    </row>
    <row r="35" spans="1:7" ht="20.100000000000001" customHeight="1" x14ac:dyDescent="0.25">
      <c r="A35" s="16" t="str">
        <f>HYPERLINK("#'Constants - Common Livestock'!A1", "Constants - Common Livestock")</f>
        <v>Constants - Common Livestock</v>
      </c>
    </row>
    <row r="36" spans="1:7" ht="20.100000000000001" customHeight="1" x14ac:dyDescent="0.25">
      <c r="A36" s="16" t="str">
        <f>HYPERLINK("#'Constants - Fertiliser'!A1", "Constants - Fertiliser")</f>
        <v>Constants - Fertiliser</v>
      </c>
      <c r="D36" s="9" t="s">
        <v>611</v>
      </c>
    </row>
    <row r="37" spans="1:7" ht="20.100000000000001" customHeight="1" x14ac:dyDescent="0.25">
      <c r="A37" s="16" t="str">
        <f>HYPERLINK("#'Constants - Electricity'!A1", "Constants - Electricity")</f>
        <v>Constants - Electricity</v>
      </c>
      <c r="D37" s="12"/>
    </row>
    <row r="38" spans="1:7" ht="20.100000000000001" customHeight="1" x14ac:dyDescent="0.25">
      <c r="A38" s="16" t="str">
        <f>HYPERLINK("#'Constants - Common'!A1", "Constants - Common")</f>
        <v>Constants - Common</v>
      </c>
      <c r="D38" s="164" t="s">
        <v>612</v>
      </c>
      <c r="E38" s="164" t="s">
        <v>621</v>
      </c>
      <c r="F38" s="164" t="s">
        <v>616</v>
      </c>
      <c r="G38" s="164" t="s">
        <v>126</v>
      </c>
    </row>
    <row r="39" spans="1:7" ht="20.100000000000001" customHeight="1" x14ac:dyDescent="0.25">
      <c r="A39"/>
      <c r="D39" s="82" t="s">
        <v>613</v>
      </c>
      <c r="E39" s="82" t="s">
        <v>614</v>
      </c>
      <c r="F39" s="66">
        <v>10000</v>
      </c>
      <c r="G39" s="47" t="s">
        <v>618</v>
      </c>
    </row>
    <row r="40" spans="1:7" ht="20.100000000000001" customHeight="1" x14ac:dyDescent="0.25">
      <c r="A40"/>
      <c r="D40" s="82" t="s">
        <v>615</v>
      </c>
      <c r="E40" s="82" t="s">
        <v>620</v>
      </c>
      <c r="F40" s="66">
        <v>1000</v>
      </c>
      <c r="G40" s="47" t="s">
        <v>619</v>
      </c>
    </row>
    <row r="41" spans="1:7" ht="20.100000000000001" customHeight="1" x14ac:dyDescent="0.25">
      <c r="A41"/>
      <c r="D41" s="82"/>
      <c r="E41" s="82"/>
      <c r="F41" s="66"/>
      <c r="G41" s="47"/>
    </row>
    <row r="42" spans="1:7" ht="20.100000000000001" customHeight="1" x14ac:dyDescent="0.25">
      <c r="A42"/>
      <c r="D42" s="82"/>
      <c r="E42" s="82"/>
      <c r="F42" s="66"/>
      <c r="G42" s="47"/>
    </row>
    <row r="43" spans="1:7" ht="20.100000000000001" customHeight="1" x14ac:dyDescent="0.25">
      <c r="A43"/>
      <c r="D43" s="82"/>
      <c r="E43" s="82"/>
      <c r="F43" s="66"/>
      <c r="G43" s="47"/>
    </row>
    <row r="44" spans="1:7" ht="20.100000000000001" customHeight="1" x14ac:dyDescent="0.25">
      <c r="A44"/>
      <c r="C44" s="8"/>
      <c r="D44" s="82"/>
      <c r="E44" s="82"/>
      <c r="F44" s="66"/>
      <c r="G44" s="47"/>
    </row>
    <row r="45" spans="1:7" ht="20.100000000000001" customHeight="1" x14ac:dyDescent="0.25">
      <c r="A45"/>
      <c r="C45" s="8"/>
      <c r="D45" s="82"/>
      <c r="E45" s="82"/>
      <c r="F45" s="66"/>
      <c r="G45" s="47"/>
    </row>
    <row r="46" spans="1:7" ht="20.100000000000001" customHeight="1" x14ac:dyDescent="0.25">
      <c r="A46"/>
      <c r="C46" s="8"/>
      <c r="D46" s="82"/>
      <c r="E46" s="82"/>
      <c r="F46" s="66"/>
      <c r="G46" s="47"/>
    </row>
    <row r="47" spans="1:7" ht="20.100000000000001" customHeight="1" x14ac:dyDescent="0.25">
      <c r="A47"/>
      <c r="C47" s="8"/>
      <c r="D47" s="82"/>
      <c r="E47" s="82"/>
      <c r="F47" s="66"/>
      <c r="G47" s="47"/>
    </row>
    <row r="48" spans="1:7" ht="20.100000000000001" customHeight="1" x14ac:dyDescent="0.25">
      <c r="A48"/>
      <c r="C48" s="8"/>
      <c r="D48" s="82"/>
      <c r="E48" s="82"/>
      <c r="F48" s="66"/>
      <c r="G48" s="47"/>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c r="D90" s="9" t="s">
        <v>370</v>
      </c>
      <c r="F90" s="14" t="s">
        <v>873</v>
      </c>
    </row>
    <row r="91" spans="1:10" ht="20.100000000000001" customHeight="1" x14ac:dyDescent="0.25">
      <c r="A91"/>
    </row>
    <row r="92" spans="1:10" ht="20.100000000000001" customHeight="1" x14ac:dyDescent="0.25">
      <c r="A92"/>
      <c r="D92" s="91" t="s">
        <v>288</v>
      </c>
      <c r="E92" s="91" t="s">
        <v>289</v>
      </c>
      <c r="F92" s="91" t="s">
        <v>411</v>
      </c>
      <c r="G92" s="91" t="s">
        <v>412</v>
      </c>
      <c r="H92" s="91" t="s">
        <v>606</v>
      </c>
      <c r="J92" s="7"/>
    </row>
    <row r="93" spans="1:10" ht="20.100000000000001" customHeight="1" x14ac:dyDescent="0.25">
      <c r="A93"/>
      <c r="D93" s="143" t="s">
        <v>413</v>
      </c>
      <c r="E93" s="66">
        <v>100000</v>
      </c>
      <c r="F93" s="47" t="s">
        <v>414</v>
      </c>
      <c r="G93" s="66">
        <v>0.02</v>
      </c>
      <c r="H93" s="49">
        <f>Table_Input_Packaging[[#This Row],[Quantity purchased]]*Table_Input_Packaging[[#This Row],[Weight per unit (kg)]]</f>
        <v>2000</v>
      </c>
      <c r="J93" s="7"/>
    </row>
    <row r="94" spans="1:10" ht="20.100000000000001" customHeight="1" x14ac:dyDescent="0.25">
      <c r="A94"/>
      <c r="D94" s="143"/>
      <c r="E94" s="165"/>
      <c r="F94" s="47"/>
      <c r="G94" s="66"/>
      <c r="H94" s="49">
        <f>Table_Input_Packaging[[#This Row],[Quantity purchased]]*Table_Input_Packaging[[#This Row],[Weight per unit (kg)]]</f>
        <v>0</v>
      </c>
      <c r="J94" s="7"/>
    </row>
    <row r="95" spans="1:10" ht="20.100000000000001" customHeight="1" x14ac:dyDescent="0.25">
      <c r="A95"/>
      <c r="D95" s="143"/>
      <c r="E95" s="165"/>
      <c r="F95" s="47"/>
      <c r="G95" s="66"/>
      <c r="H95" s="49">
        <f>Table_Input_Packaging[[#This Row],[Quantity purchased]]*Table_Input_Packaging[[#This Row],[Weight per unit (kg)]]</f>
        <v>0</v>
      </c>
      <c r="J95" s="7"/>
    </row>
    <row r="96" spans="1:10" ht="20.100000000000001" customHeight="1" x14ac:dyDescent="0.25">
      <c r="A96"/>
      <c r="D96" s="143"/>
      <c r="E96" s="165"/>
      <c r="F96" s="47"/>
      <c r="G96" s="66"/>
      <c r="H96" s="49">
        <f>Table_Input_Packaging[[#This Row],[Quantity purchased]]*Table_Input_Packaging[[#This Row],[Weight per unit (kg)]]</f>
        <v>0</v>
      </c>
      <c r="J96" s="7"/>
    </row>
    <row r="97" spans="1:10" ht="20.100000000000001" customHeight="1" x14ac:dyDescent="0.25">
      <c r="A97"/>
      <c r="D97" s="143"/>
      <c r="E97" s="165"/>
      <c r="F97" s="47"/>
      <c r="G97" s="66"/>
      <c r="H97" s="49">
        <f>Table_Input_Packaging[[#This Row],[Quantity purchased]]*Table_Input_Packaging[[#This Row],[Weight per unit (kg)]]</f>
        <v>0</v>
      </c>
      <c r="J97" s="9"/>
    </row>
    <row r="98" spans="1:10" ht="20.100000000000001" customHeight="1" x14ac:dyDescent="0.25">
      <c r="A98"/>
      <c r="D98" s="143"/>
      <c r="E98" s="165"/>
      <c r="F98" s="47"/>
      <c r="G98" s="66"/>
      <c r="H98" s="49">
        <f>Table_Input_Packaging[[#This Row],[Quantity purchased]]*Table_Input_Packaging[[#This Row],[Weight per unit (kg)]]</f>
        <v>0</v>
      </c>
      <c r="J98" s="8"/>
    </row>
    <row r="99" spans="1:10" ht="20.100000000000001" customHeight="1" x14ac:dyDescent="0.25">
      <c r="A99"/>
      <c r="D99" s="143"/>
      <c r="E99" s="165"/>
      <c r="F99" s="47"/>
      <c r="G99" s="66"/>
      <c r="H99" s="49">
        <f>Table_Input_Packaging[[#This Row],[Quantity purchased]]*Table_Input_Packaging[[#This Row],[Weight per unit (kg)]]</f>
        <v>0</v>
      </c>
      <c r="J99" s="8"/>
    </row>
    <row r="100" spans="1:10" ht="20.100000000000001" customHeight="1" x14ac:dyDescent="0.25">
      <c r="A100"/>
      <c r="D100" s="143"/>
      <c r="E100" s="165"/>
      <c r="F100" s="47"/>
      <c r="G100" s="66"/>
      <c r="H100" s="49">
        <f>Table_Input_Packaging[[#This Row],[Quantity purchased]]*Table_Input_Packaging[[#This Row],[Weight per unit (kg)]]</f>
        <v>0</v>
      </c>
      <c r="J100" s="8"/>
    </row>
    <row r="101" spans="1:10" ht="20.100000000000001" customHeight="1" x14ac:dyDescent="0.25">
      <c r="A101"/>
      <c r="D101" s="143"/>
      <c r="E101" s="165"/>
      <c r="F101" s="47"/>
      <c r="G101" s="66"/>
      <c r="H101" s="49">
        <f>Table_Input_Packaging[[#This Row],[Quantity purchased]]*Table_Input_Packaging[[#This Row],[Weight per unit (kg)]]</f>
        <v>0</v>
      </c>
      <c r="J101" s="8"/>
    </row>
    <row r="102" spans="1:10" ht="20.100000000000001" customHeight="1" x14ac:dyDescent="0.25">
      <c r="A102"/>
      <c r="D102" s="143"/>
      <c r="E102" s="165"/>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417</v>
      </c>
      <c r="F120" s="14" t="s">
        <v>874</v>
      </c>
      <c r="J120" s="7"/>
      <c r="P120" s="147"/>
    </row>
    <row r="121" spans="1:16" ht="20.100000000000001" customHeight="1" x14ac:dyDescent="0.25">
      <c r="A121"/>
      <c r="D121" s="8" t="str">
        <f>'Constants - Scope 3'!E204</f>
        <v>Barley grain (for seed)</v>
      </c>
      <c r="E121" s="66">
        <v>500</v>
      </c>
      <c r="F121" s="65" t="s">
        <v>353</v>
      </c>
      <c r="J121" s="9"/>
      <c r="P121" s="147"/>
    </row>
    <row r="122" spans="1:16" ht="20.100000000000001" customHeight="1" x14ac:dyDescent="0.25">
      <c r="A122"/>
      <c r="D122" s="8" t="str">
        <f>'Constants - Scope 3'!E205</f>
        <v>Maize grain (for seed)</v>
      </c>
      <c r="E122" s="66">
        <v>600</v>
      </c>
      <c r="F122" s="65" t="s">
        <v>353</v>
      </c>
      <c r="G122" s="7"/>
      <c r="H122" s="8"/>
      <c r="J122" s="8"/>
      <c r="P122" s="147"/>
    </row>
    <row r="123" spans="1:16" ht="20.100000000000001" customHeight="1" x14ac:dyDescent="0.25">
      <c r="A123"/>
      <c r="D123" s="8" t="str">
        <f>'Constants - Scope 3'!E207</f>
        <v>Oat grain (for seed)</v>
      </c>
      <c r="E123" s="66">
        <v>700</v>
      </c>
      <c r="F123" s="65" t="s">
        <v>353</v>
      </c>
      <c r="G123" s="7"/>
      <c r="H123" s="8"/>
      <c r="J123" s="8"/>
      <c r="P123" s="147"/>
    </row>
    <row r="124" spans="1:16" ht="20.100000000000001" customHeight="1" x14ac:dyDescent="0.25">
      <c r="A124"/>
      <c r="D124" s="8" t="str">
        <f>'Constants - Scope 3'!E208</f>
        <v>Sorghum grain (for seed)</v>
      </c>
      <c r="E124" s="66">
        <v>800</v>
      </c>
      <c r="F124" s="65" t="s">
        <v>353</v>
      </c>
      <c r="G124" s="7"/>
      <c r="H124" s="7"/>
      <c r="J124" s="8"/>
      <c r="N124" s="7"/>
      <c r="O124" s="7"/>
      <c r="P124" s="7"/>
    </row>
    <row r="125" spans="1:16" ht="20.100000000000001" customHeight="1" x14ac:dyDescent="0.25">
      <c r="A125"/>
      <c r="D125" s="8" t="str">
        <f>'Constants - Scope 3'!E209</f>
        <v>Wheat grain (for seed)</v>
      </c>
      <c r="E125" s="66">
        <v>900</v>
      </c>
      <c r="F125" s="65" t="s">
        <v>353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610</v>
      </c>
      <c r="G133" s="7"/>
      <c r="I133" s="8"/>
    </row>
    <row r="134" spans="1:13" ht="20.100000000000001" customHeight="1" x14ac:dyDescent="0.25">
      <c r="A134"/>
      <c r="D134" s="12"/>
      <c r="G134" s="14" t="s">
        <v>872</v>
      </c>
      <c r="I134" s="8"/>
    </row>
    <row r="135" spans="1:13" ht="20.100000000000001" customHeight="1" x14ac:dyDescent="0.25">
      <c r="A135"/>
      <c r="D135" s="46" t="s">
        <v>605</v>
      </c>
      <c r="E135" s="46" t="s">
        <v>604</v>
      </c>
      <c r="F135" s="46" t="s">
        <v>126</v>
      </c>
      <c r="I135" s="8"/>
    </row>
    <row r="136" spans="1:13" ht="20.100000000000001" customHeight="1" x14ac:dyDescent="0.25">
      <c r="A136"/>
      <c r="D136" s="82" t="s">
        <v>706</v>
      </c>
      <c r="E136" s="66">
        <v>1000</v>
      </c>
      <c r="F136" s="82" t="s">
        <v>353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7">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G39:G48"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3"/>
  <sheetViews>
    <sheetView tabSelected="1" workbookViewId="0">
      <selection activeCell="D12" sqref="D12"/>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row r="2" spans="3:19" s="2" customFormat="1" x14ac:dyDescent="0.25"/>
    <row r="3" spans="3:19" ht="20.25" x14ac:dyDescent="0.25">
      <c r="C3" s="38"/>
      <c r="D3" s="38"/>
      <c r="E3" s="38"/>
      <c r="F3" s="38"/>
      <c r="G3" s="38"/>
      <c r="H3" s="38"/>
      <c r="I3" s="38"/>
      <c r="J3" s="38"/>
      <c r="K3" s="38"/>
      <c r="L3" s="38"/>
      <c r="M3" s="38"/>
      <c r="N3" s="38"/>
      <c r="O3" s="38"/>
      <c r="P3" s="38"/>
      <c r="Q3" s="38"/>
      <c r="R3" s="38"/>
      <c r="S3" s="3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workbookViewId="0">
      <selection activeCell="E30" sqref="E3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877</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6">
        <v>300</v>
      </c>
      <c r="F5" s="65" t="s">
        <v>353</v>
      </c>
    </row>
    <row r="8" spans="3:11" ht="23.25" x14ac:dyDescent="0.25">
      <c r="D8" s="9" t="s">
        <v>700</v>
      </c>
      <c r="E8" s="14"/>
      <c r="F8" s="14"/>
    </row>
    <row r="9" spans="3:11" x14ac:dyDescent="0.25">
      <c r="D9" s="12"/>
      <c r="E9" s="14"/>
      <c r="F9" s="14"/>
    </row>
    <row r="10" spans="3:11" x14ac:dyDescent="0.25">
      <c r="D10" s="164" t="s">
        <v>701</v>
      </c>
      <c r="E10" s="164" t="s">
        <v>616</v>
      </c>
      <c r="F10" s="164" t="s">
        <v>126</v>
      </c>
    </row>
    <row r="11" spans="3:11" x14ac:dyDescent="0.25">
      <c r="D11" s="82" t="s">
        <v>703</v>
      </c>
      <c r="E11" s="66">
        <v>10000</v>
      </c>
      <c r="F11" s="47" t="s">
        <v>353</v>
      </c>
    </row>
    <row r="12" spans="3:11" x14ac:dyDescent="0.25">
      <c r="D12" s="82" t="s">
        <v>704</v>
      </c>
      <c r="E12" s="66">
        <v>100</v>
      </c>
      <c r="F12" s="47" t="s">
        <v>702</v>
      </c>
    </row>
    <row r="13" spans="3:11" x14ac:dyDescent="0.25">
      <c r="D13" s="82" t="s">
        <v>705</v>
      </c>
      <c r="E13" s="66">
        <v>10000</v>
      </c>
      <c r="F13" s="47" t="s">
        <v>353</v>
      </c>
    </row>
    <row r="14" spans="3:11" x14ac:dyDescent="0.25">
      <c r="D14" s="82"/>
      <c r="E14" s="66"/>
      <c r="F14" s="47"/>
    </row>
    <row r="15" spans="3:11" x14ac:dyDescent="0.25">
      <c r="D15" s="82"/>
      <c r="E15" s="66"/>
      <c r="F15" s="47"/>
    </row>
    <row r="16" spans="3:11" x14ac:dyDescent="0.25">
      <c r="D16" s="82"/>
      <c r="E16" s="66"/>
      <c r="F16" s="47"/>
    </row>
    <row r="17" spans="4:6" x14ac:dyDescent="0.25">
      <c r="D17" s="82"/>
      <c r="E17" s="66"/>
      <c r="F17" s="47"/>
    </row>
    <row r="18" spans="4:6" x14ac:dyDescent="0.25">
      <c r="D18" s="82"/>
      <c r="E18" s="66"/>
      <c r="F18" s="47"/>
    </row>
    <row r="19" spans="4:6" x14ac:dyDescent="0.25">
      <c r="D19" s="82"/>
      <c r="E19" s="66"/>
      <c r="F19" s="47"/>
    </row>
    <row r="20" spans="4:6" x14ac:dyDescent="0.25">
      <c r="D20" s="82"/>
      <c r="E20" s="66"/>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24" workbookViewId="0">
      <selection activeCell="A22" sqref="A22"/>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876</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368</v>
      </c>
      <c r="E5" s="14"/>
      <c r="F5" s="14"/>
      <c r="G5" s="14"/>
      <c r="H5" s="14"/>
      <c r="I5" s="14"/>
      <c r="J5" s="14"/>
    </row>
    <row r="6" spans="3:18" ht="20.100000000000001" customHeight="1" x14ac:dyDescent="0.25">
      <c r="D6" s="144" t="s">
        <v>293</v>
      </c>
      <c r="E6" s="145"/>
      <c r="F6" s="67"/>
      <c r="G6" s="14"/>
      <c r="H6" s="14"/>
      <c r="I6" s="14"/>
      <c r="J6" s="14"/>
    </row>
    <row r="7" spans="3:18" ht="20.100000000000001" customHeight="1" x14ac:dyDescent="0.25">
      <c r="D7" s="8" t="str" cm="1">
        <f t="array" ref="D7:D9">Table_SourceData_Scope3_LickBlocks[Product]</f>
        <v>Lick block, dry season mix</v>
      </c>
      <c r="E7" s="66">
        <v>100</v>
      </c>
      <c r="F7" s="65" t="s">
        <v>353</v>
      </c>
      <c r="G7" s="14"/>
      <c r="H7" s="14"/>
      <c r="I7" s="14"/>
      <c r="J7" s="14"/>
    </row>
    <row r="8" spans="3:18" ht="20.100000000000001" customHeight="1" x14ac:dyDescent="0.25">
      <c r="D8" s="8" t="str">
        <v>Lick block, mineral</v>
      </c>
      <c r="E8" s="66">
        <v>100</v>
      </c>
      <c r="F8" s="65" t="s">
        <v>353</v>
      </c>
      <c r="G8" s="14"/>
      <c r="H8" s="14"/>
      <c r="I8" s="14"/>
      <c r="J8" s="14"/>
    </row>
    <row r="9" spans="3:18" ht="20.100000000000001" customHeight="1" x14ac:dyDescent="0.25">
      <c r="D9" s="8" t="str">
        <v>Lick block, weaner</v>
      </c>
      <c r="E9" s="66">
        <v>100</v>
      </c>
      <c r="F9" s="65" t="s">
        <v>353</v>
      </c>
      <c r="G9" s="14"/>
      <c r="H9" s="14"/>
      <c r="I9" s="14"/>
      <c r="J9" s="14"/>
    </row>
    <row r="10" spans="3:18" ht="20.100000000000001" customHeight="1" x14ac:dyDescent="0.25">
      <c r="G10" s="14"/>
      <c r="H10" s="14"/>
      <c r="I10" s="14"/>
      <c r="J10" s="14"/>
    </row>
    <row r="11" spans="3:18" ht="20.100000000000001" customHeight="1" x14ac:dyDescent="0.25">
      <c r="D11" s="144" t="s">
        <v>403</v>
      </c>
      <c r="E11" s="7"/>
      <c r="F11" s="7"/>
      <c r="G11" s="14"/>
      <c r="H11" s="14"/>
      <c r="I11" s="14"/>
      <c r="J11" s="14"/>
    </row>
    <row r="12" spans="3:18" ht="20.100000000000001" customHeight="1" x14ac:dyDescent="0.25">
      <c r="D12" s="8" t="str" cm="1">
        <f t="array" ref="D12:D15">Table_SourceData_Scope3_MixedRations[Product]</f>
        <v>Feed for chickens</v>
      </c>
      <c r="E12" s="66">
        <v>100</v>
      </c>
      <c r="F12" s="65" t="s">
        <v>353</v>
      </c>
      <c r="G12" s="14"/>
      <c r="H12" s="14"/>
      <c r="I12" s="14"/>
      <c r="J12" s="14"/>
    </row>
    <row r="13" spans="3:18" ht="20.100000000000001" customHeight="1" x14ac:dyDescent="0.25">
      <c r="D13" s="8" t="str">
        <v>Feed for dairy calves</v>
      </c>
      <c r="E13" s="66">
        <v>100</v>
      </c>
      <c r="F13" s="65" t="s">
        <v>353</v>
      </c>
      <c r="G13" s="14"/>
      <c r="H13" s="14"/>
      <c r="I13" s="14"/>
      <c r="J13" s="14"/>
    </row>
    <row r="14" spans="3:18" ht="20.100000000000001" customHeight="1" x14ac:dyDescent="0.25">
      <c r="D14" s="8" t="str">
        <v>Feed for dairy cows</v>
      </c>
      <c r="E14" s="66">
        <v>100</v>
      </c>
      <c r="F14" s="65" t="s">
        <v>353</v>
      </c>
      <c r="G14" s="14"/>
      <c r="H14" s="14"/>
      <c r="I14" s="14"/>
      <c r="J14" s="14"/>
    </row>
    <row r="15" spans="3:18" ht="20.100000000000001" customHeight="1" x14ac:dyDescent="0.25">
      <c r="D15" s="8" t="str">
        <v>Feed for pigs</v>
      </c>
      <c r="E15" s="66">
        <v>100</v>
      </c>
      <c r="F15" s="65" t="s">
        <v>353</v>
      </c>
      <c r="G15" s="14"/>
      <c r="H15" s="14"/>
      <c r="I15" s="14"/>
      <c r="J15" s="14"/>
    </row>
    <row r="16" spans="3:18" ht="20.100000000000001" customHeight="1" x14ac:dyDescent="0.25">
      <c r="D16" s="7"/>
      <c r="E16" s="7"/>
      <c r="F16" s="7"/>
      <c r="G16" s="14"/>
      <c r="H16" s="14"/>
      <c r="I16" s="14"/>
      <c r="J16" s="14"/>
    </row>
    <row r="17" spans="4:17" ht="20.100000000000001" customHeight="1" x14ac:dyDescent="0.25">
      <c r="D17" s="144" t="s">
        <v>875</v>
      </c>
      <c r="E17" s="7"/>
      <c r="F17" s="7"/>
      <c r="G17" s="14"/>
      <c r="H17" s="14" t="s">
        <v>871</v>
      </c>
      <c r="I17" s="14"/>
      <c r="J17" s="14"/>
    </row>
    <row r="18" spans="4:17" ht="20.100000000000001" customHeight="1" x14ac:dyDescent="0.25">
      <c r="D18" s="48" t="s">
        <v>295</v>
      </c>
      <c r="E18" s="48" t="s">
        <v>296</v>
      </c>
      <c r="F18" s="48" t="s">
        <v>210</v>
      </c>
      <c r="G18" s="48" t="s">
        <v>394</v>
      </c>
      <c r="H18" s="48" t="s">
        <v>175</v>
      </c>
      <c r="I18" s="48" t="s">
        <v>297</v>
      </c>
      <c r="J18" s="48" t="s">
        <v>399</v>
      </c>
      <c r="K18" s="48" t="s">
        <v>177</v>
      </c>
      <c r="L18" s="48" t="s">
        <v>298</v>
      </c>
      <c r="M18" s="48" t="s">
        <v>400</v>
      </c>
      <c r="N18" s="48" t="s">
        <v>179</v>
      </c>
      <c r="O18" s="48" t="s">
        <v>299</v>
      </c>
      <c r="P18" s="48" t="s">
        <v>401</v>
      </c>
      <c r="Q18" s="48" t="s">
        <v>181</v>
      </c>
    </row>
    <row r="19" spans="4:17" ht="20.100000000000001" customHeight="1" x14ac:dyDescent="0.25">
      <c r="D19" s="15"/>
      <c r="E19" s="146">
        <v>1200</v>
      </c>
      <c r="F19" s="47" t="s">
        <v>851</v>
      </c>
      <c r="G19" s="47" t="s">
        <v>396</v>
      </c>
      <c r="H19" s="50">
        <v>0.35</v>
      </c>
      <c r="I19" s="47" t="s">
        <v>391</v>
      </c>
      <c r="J19" s="47" t="s">
        <v>396</v>
      </c>
      <c r="K19" s="50">
        <v>0.22</v>
      </c>
      <c r="L19" s="47" t="s">
        <v>300</v>
      </c>
      <c r="M19" s="47" t="s">
        <v>337</v>
      </c>
      <c r="N19" s="50">
        <v>0.12</v>
      </c>
      <c r="O19" s="47" t="s">
        <v>402</v>
      </c>
      <c r="P19" s="47" t="s">
        <v>339</v>
      </c>
      <c r="Q19" s="50">
        <v>0.05</v>
      </c>
    </row>
    <row r="20" spans="4:17" ht="20.100000000000001" customHeight="1" x14ac:dyDescent="0.25">
      <c r="D20" s="15"/>
      <c r="E20" s="146">
        <v>3456</v>
      </c>
      <c r="F20" s="47" t="s">
        <v>397</v>
      </c>
      <c r="G20" s="47" t="s">
        <v>345</v>
      </c>
      <c r="H20" s="50">
        <v>0.2</v>
      </c>
      <c r="I20" s="47" t="s">
        <v>397</v>
      </c>
      <c r="J20" s="47" t="s">
        <v>338</v>
      </c>
      <c r="K20" s="50">
        <v>0.2</v>
      </c>
      <c r="L20" s="47"/>
      <c r="M20" s="47"/>
      <c r="N20" s="50"/>
      <c r="O20" s="47"/>
      <c r="P20" s="47"/>
      <c r="Q20" s="50"/>
    </row>
    <row r="21" spans="4:17" ht="20.100000000000001" customHeight="1" x14ac:dyDescent="0.25">
      <c r="D21" s="15" t="s">
        <v>301</v>
      </c>
      <c r="E21" s="146">
        <v>300</v>
      </c>
      <c r="F21" s="47" t="s">
        <v>395</v>
      </c>
      <c r="G21" s="47" t="s">
        <v>344</v>
      </c>
      <c r="H21" s="50">
        <v>0.8</v>
      </c>
      <c r="I21" s="47" t="s">
        <v>392</v>
      </c>
      <c r="J21" s="47" t="s">
        <v>398</v>
      </c>
      <c r="K21" s="50">
        <v>0.2</v>
      </c>
      <c r="L21" s="47"/>
      <c r="M21" s="47"/>
      <c r="N21" s="50"/>
      <c r="O21" s="47"/>
      <c r="P21" s="47"/>
      <c r="Q21" s="50"/>
    </row>
    <row r="22" spans="4:17" ht="20.100000000000001" customHeight="1" x14ac:dyDescent="0.25">
      <c r="D22" s="15"/>
      <c r="E22" s="146">
        <v>500</v>
      </c>
      <c r="F22" s="47" t="s">
        <v>404</v>
      </c>
      <c r="G22" s="47" t="s">
        <v>344</v>
      </c>
      <c r="H22" s="50">
        <v>1</v>
      </c>
      <c r="I22" s="47"/>
      <c r="J22" s="47"/>
      <c r="K22" s="50"/>
      <c r="L22" s="47"/>
      <c r="M22" s="47"/>
      <c r="N22" s="50"/>
      <c r="O22" s="47"/>
      <c r="P22" s="47"/>
      <c r="Q22" s="50"/>
    </row>
    <row r="23" spans="4:17" ht="20.100000000000001" customHeight="1" x14ac:dyDescent="0.25">
      <c r="D23" s="15"/>
      <c r="E23" s="146"/>
      <c r="F23" s="47"/>
      <c r="G23" s="47"/>
      <c r="H23" s="50"/>
      <c r="I23" s="47"/>
      <c r="J23" s="47"/>
      <c r="K23" s="50"/>
      <c r="L23" s="47"/>
      <c r="M23" s="47"/>
      <c r="N23" s="50"/>
      <c r="O23" s="47"/>
      <c r="P23" s="47"/>
      <c r="Q23" s="50"/>
    </row>
    <row r="24" spans="4:17" ht="20.100000000000001" customHeight="1" x14ac:dyDescent="0.25">
      <c r="D24" s="15"/>
      <c r="E24" s="146"/>
      <c r="F24" s="47"/>
      <c r="G24" s="47"/>
      <c r="H24" s="50"/>
      <c r="I24" s="47"/>
      <c r="J24" s="47"/>
      <c r="K24" s="50"/>
      <c r="L24" s="47"/>
      <c r="M24" s="47"/>
      <c r="N24" s="50"/>
      <c r="O24" s="47"/>
      <c r="P24" s="47"/>
      <c r="Q24" s="50"/>
    </row>
    <row r="25" spans="4:17" ht="20.100000000000001" customHeight="1" x14ac:dyDescent="0.25">
      <c r="D25" s="15"/>
      <c r="E25" s="146"/>
      <c r="F25" s="47"/>
      <c r="G25" s="47"/>
      <c r="H25" s="50"/>
      <c r="I25" s="47"/>
      <c r="J25" s="47"/>
      <c r="K25" s="50"/>
      <c r="L25" s="47"/>
      <c r="M25" s="47"/>
      <c r="N25" s="50"/>
      <c r="O25" s="47"/>
      <c r="P25" s="47"/>
      <c r="Q25" s="50"/>
    </row>
    <row r="26" spans="4:17" ht="20.100000000000001" customHeight="1" x14ac:dyDescent="0.25">
      <c r="D26" s="15"/>
      <c r="E26" s="146"/>
      <c r="F26" s="47"/>
      <c r="G26" s="47"/>
      <c r="H26" s="50"/>
      <c r="I26" s="47"/>
      <c r="J26" s="47"/>
      <c r="K26" s="50"/>
      <c r="L26" s="47"/>
      <c r="M26" s="47"/>
      <c r="N26" s="50"/>
      <c r="O26" s="47"/>
      <c r="P26" s="47"/>
      <c r="Q26" s="50"/>
    </row>
    <row r="27" spans="4:17" ht="20.100000000000001" customHeight="1" x14ac:dyDescent="0.25">
      <c r="D27" s="15"/>
      <c r="E27" s="146"/>
      <c r="F27" s="47"/>
      <c r="G27" s="47"/>
      <c r="H27" s="50"/>
      <c r="I27" s="47"/>
      <c r="J27" s="47"/>
      <c r="K27" s="50"/>
      <c r="L27" s="47"/>
      <c r="M27" s="47"/>
      <c r="N27" s="50"/>
      <c r="O27" s="47"/>
      <c r="P27" s="47"/>
      <c r="Q27" s="50"/>
    </row>
    <row r="28" spans="4:17" ht="20.100000000000001" customHeight="1" x14ac:dyDescent="0.25">
      <c r="D28" s="15"/>
      <c r="E28" s="146"/>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44" t="s">
        <v>832</v>
      </c>
    </row>
    <row r="32" spans="4:17" ht="20.100000000000001" customHeight="1" x14ac:dyDescent="0.25">
      <c r="D32" s="46" t="s">
        <v>170</v>
      </c>
      <c r="E32" s="46" t="s">
        <v>346</v>
      </c>
      <c r="F32" s="46" t="s">
        <v>379</v>
      </c>
    </row>
    <row r="33" spans="4:6" ht="20.100000000000001" customHeight="1" x14ac:dyDescent="0.25">
      <c r="D33" s="82" t="s">
        <v>383</v>
      </c>
      <c r="E33" s="72" t="s">
        <v>375</v>
      </c>
      <c r="F33" s="66">
        <v>100</v>
      </c>
    </row>
    <row r="34" spans="4:6" ht="20.100000000000001" customHeight="1" x14ac:dyDescent="0.25">
      <c r="D34" s="82" t="s">
        <v>384</v>
      </c>
      <c r="E34" s="163" t="s">
        <v>376</v>
      </c>
      <c r="F34" s="150">
        <v>100</v>
      </c>
    </row>
    <row r="35" spans="4:6" ht="20.100000000000001" customHeight="1" x14ac:dyDescent="0.25">
      <c r="D35" s="82" t="s">
        <v>385</v>
      </c>
      <c r="E35" s="163" t="s">
        <v>377</v>
      </c>
      <c r="F35" s="150">
        <v>100</v>
      </c>
    </row>
    <row r="36" spans="4:6" ht="20.100000000000001" customHeight="1" x14ac:dyDescent="0.25">
      <c r="D36" s="82" t="s">
        <v>386</v>
      </c>
      <c r="E36" s="163" t="s">
        <v>378</v>
      </c>
      <c r="F36" s="150">
        <v>100</v>
      </c>
    </row>
    <row r="37" spans="4:6" ht="20.100000000000001" customHeight="1" x14ac:dyDescent="0.25">
      <c r="D37" s="82" t="s">
        <v>383</v>
      </c>
      <c r="E37" s="163" t="s">
        <v>375</v>
      </c>
      <c r="F37" s="150">
        <v>100</v>
      </c>
    </row>
    <row r="38" spans="4:6" ht="20.100000000000001" customHeight="1" x14ac:dyDescent="0.25">
      <c r="D38" s="82" t="s">
        <v>384</v>
      </c>
      <c r="E38" s="163" t="s">
        <v>376</v>
      </c>
      <c r="F38" s="150">
        <v>100</v>
      </c>
    </row>
    <row r="39" spans="4:6" ht="20.100000000000001" customHeight="1" x14ac:dyDescent="0.25">
      <c r="D39" s="82"/>
      <c r="E39" s="72"/>
      <c r="F39" s="66"/>
    </row>
    <row r="40" spans="4:6" ht="20.100000000000001" customHeight="1" x14ac:dyDescent="0.25">
      <c r="D40" s="82"/>
      <c r="E40" s="72"/>
      <c r="F40" s="66"/>
    </row>
    <row r="41" spans="4:6" ht="20.100000000000001" customHeight="1" x14ac:dyDescent="0.25">
      <c r="D41" s="82"/>
      <c r="E41" s="72"/>
      <c r="F41" s="66"/>
    </row>
    <row r="42" spans="4:6" ht="20.100000000000001" customHeight="1" x14ac:dyDescent="0.25">
      <c r="D42" s="82"/>
      <c r="E42" s="72"/>
      <c r="F42" s="66"/>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423</v>
      </c>
      <c r="E46" s="14"/>
      <c r="F46" s="14"/>
    </row>
    <row r="47" spans="4:6" ht="20.100000000000001" customHeight="1" x14ac:dyDescent="0.25">
      <c r="D47" s="8" t="str">
        <f>'Constants - Scope 3'!E202</f>
        <v>Animal ear tags (large)</v>
      </c>
      <c r="E47" s="66">
        <v>100</v>
      </c>
      <c r="F47" s="65" t="s">
        <v>410</v>
      </c>
    </row>
    <row r="48" spans="4:6" ht="20.100000000000001" customHeight="1" x14ac:dyDescent="0.25">
      <c r="D48" s="8" t="str">
        <f>'Constants - Scope 3'!E203</f>
        <v>Animal ear tags (small)</v>
      </c>
      <c r="E48" s="66">
        <v>200</v>
      </c>
      <c r="F48" s="65" t="s">
        <v>410</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
  <sheetViews>
    <sheetView workbookViewId="0"/>
  </sheetViews>
  <sheetFormatPr defaultRowHeight="15.7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867</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868</v>
      </c>
      <c r="E5" s="14"/>
      <c r="F5" s="14"/>
      <c r="G5" s="14"/>
      <c r="H5" s="14"/>
      <c r="I5" s="14"/>
      <c r="J5" s="14"/>
    </row>
    <row r="6" spans="1:12" x14ac:dyDescent="0.25">
      <c r="D6" s="10" t="s">
        <v>362</v>
      </c>
      <c r="E6" s="10" t="s">
        <v>434</v>
      </c>
      <c r="F6" s="10" t="s">
        <v>325</v>
      </c>
      <c r="G6" s="10" t="s">
        <v>431</v>
      </c>
      <c r="H6" s="10" t="s">
        <v>328</v>
      </c>
      <c r="I6" s="10" t="s">
        <v>326</v>
      </c>
      <c r="J6" s="162" t="s">
        <v>432</v>
      </c>
      <c r="K6" s="162" t="s">
        <v>433</v>
      </c>
    </row>
    <row r="7" spans="1:12" x14ac:dyDescent="0.25">
      <c r="A7" s="19" t="s">
        <v>67</v>
      </c>
      <c r="D7" s="82" t="s">
        <v>521</v>
      </c>
      <c r="E7" s="158">
        <v>45547</v>
      </c>
      <c r="F7" s="47" t="s">
        <v>492</v>
      </c>
      <c r="G7" s="72" t="s">
        <v>336</v>
      </c>
      <c r="H7" s="47" t="s">
        <v>440</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493</v>
      </c>
      <c r="G8" s="72" t="s">
        <v>335</v>
      </c>
      <c r="H8" s="47" t="s">
        <v>439</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866</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868</v>
      </c>
      <c r="E5" s="14"/>
      <c r="F5" s="14"/>
      <c r="G5" s="14"/>
      <c r="H5" s="14"/>
      <c r="I5" s="14"/>
    </row>
    <row r="6" spans="3:10" x14ac:dyDescent="0.25">
      <c r="D6" s="162" t="s">
        <v>362</v>
      </c>
      <c r="E6" s="162" t="s">
        <v>325</v>
      </c>
      <c r="F6" s="162" t="s">
        <v>523</v>
      </c>
      <c r="G6" s="162" t="s">
        <v>326</v>
      </c>
      <c r="H6" s="162" t="s">
        <v>432</v>
      </c>
      <c r="I6" s="162" t="s">
        <v>433</v>
      </c>
    </row>
    <row r="7" spans="3:10" x14ac:dyDescent="0.25">
      <c r="D7" s="82" t="s">
        <v>522</v>
      </c>
      <c r="E7" s="47" t="s">
        <v>520</v>
      </c>
      <c r="F7" s="47" t="s">
        <v>849</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519</v>
      </c>
      <c r="F8" s="47" t="s">
        <v>850</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528</v>
      </c>
      <c r="F9" s="47" t="s">
        <v>849</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865</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868</v>
      </c>
      <c r="E5" s="14"/>
      <c r="F5" s="14"/>
      <c r="G5" s="14"/>
      <c r="H5" s="14"/>
    </row>
    <row r="6" spans="3:10" x14ac:dyDescent="0.25">
      <c r="D6" s="162" t="s">
        <v>362</v>
      </c>
      <c r="E6" s="162" t="s">
        <v>325</v>
      </c>
      <c r="F6" s="162" t="s">
        <v>326</v>
      </c>
      <c r="G6" s="162" t="s">
        <v>432</v>
      </c>
      <c r="H6" s="162" t="s">
        <v>433</v>
      </c>
    </row>
    <row r="7" spans="3:10" x14ac:dyDescent="0.25">
      <c r="D7" s="82" t="s">
        <v>569</v>
      </c>
      <c r="E7" s="47" t="s">
        <v>570</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571</v>
      </c>
      <c r="E8" s="149" t="s">
        <v>570</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864</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868</v>
      </c>
      <c r="E5" s="14"/>
      <c r="F5" s="14"/>
      <c r="G5" s="14"/>
      <c r="H5" s="14"/>
    </row>
    <row r="6" spans="3:10" x14ac:dyDescent="0.25">
      <c r="D6" s="162" t="s">
        <v>362</v>
      </c>
      <c r="E6" s="162" t="s">
        <v>325</v>
      </c>
      <c r="F6" s="162" t="s">
        <v>326</v>
      </c>
      <c r="G6" s="162" t="s">
        <v>432</v>
      </c>
      <c r="H6" s="162" t="s">
        <v>433</v>
      </c>
    </row>
    <row r="7" spans="3:10" x14ac:dyDescent="0.25">
      <c r="D7" s="82" t="s">
        <v>574</v>
      </c>
      <c r="E7" s="47" t="s">
        <v>602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575</v>
      </c>
      <c r="E8" s="149" t="s">
        <v>603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811</v>
      </c>
    </row>
    <row r="7" spans="1:10" ht="20.100000000000001" customHeight="1" x14ac:dyDescent="0.25">
      <c r="A7" s="19" t="s">
        <v>67</v>
      </c>
    </row>
    <row r="8" spans="1:10" ht="20.100000000000001" customHeight="1" x14ac:dyDescent="0.25">
      <c r="A8" s="16" t="str">
        <f>HYPERLINK("#'Input - Site'!A1", "Site")</f>
        <v>Site</v>
      </c>
      <c r="D8" s="10" t="s">
        <v>813</v>
      </c>
      <c r="E8" s="10" t="s">
        <v>816</v>
      </c>
      <c r="F8" s="10" t="s">
        <v>817</v>
      </c>
      <c r="G8" s="10" t="s">
        <v>814</v>
      </c>
      <c r="H8" s="10" t="s">
        <v>815</v>
      </c>
    </row>
    <row r="9" spans="1:10" ht="20.100000000000001" customHeight="1" x14ac:dyDescent="0.25">
      <c r="A9" s="16" t="str">
        <f>HYPERLINK("#'Input - Fuel'!A1", "Fuel")</f>
        <v>Fuel</v>
      </c>
      <c r="D9" s="10" t="s">
        <v>820</v>
      </c>
      <c r="E9" s="47" t="s">
        <v>818</v>
      </c>
      <c r="F9" s="10">
        <v>986</v>
      </c>
      <c r="G9" s="10">
        <v>10</v>
      </c>
      <c r="H9" s="10">
        <v>52</v>
      </c>
    </row>
    <row r="10" spans="1:10" ht="20.100000000000001" customHeight="1" x14ac:dyDescent="0.25">
      <c r="A10" s="16" t="str">
        <f>HYPERLINK("#'Input - Fertiliser'!A1", "Fertiliser")</f>
        <v>Fertiliser</v>
      </c>
      <c r="D10" s="10" t="s">
        <v>822</v>
      </c>
      <c r="E10" s="47" t="s">
        <v>823</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819</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813</v>
      </c>
      <c r="E24" s="10" t="s">
        <v>816</v>
      </c>
      <c r="F24" s="10" t="s">
        <v>817</v>
      </c>
      <c r="G24" s="10" t="s">
        <v>814</v>
      </c>
      <c r="H24" s="10" t="s">
        <v>815</v>
      </c>
    </row>
    <row r="25" spans="1:8" ht="20.100000000000001" customHeight="1" x14ac:dyDescent="0.25">
      <c r="D25" s="10" t="s">
        <v>821</v>
      </c>
      <c r="E25" s="47" t="s">
        <v>818</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770</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795</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251</v>
      </c>
      <c r="E9" s="46" t="s">
        <v>783</v>
      </c>
      <c r="F9" s="46" t="s">
        <v>784</v>
      </c>
      <c r="G9" s="46" t="s">
        <v>785</v>
      </c>
      <c r="H9" s="46" t="s">
        <v>604</v>
      </c>
      <c r="I9" s="46" t="s">
        <v>786</v>
      </c>
    </row>
    <row r="10" spans="1:11" ht="20.100000000000001" customHeight="1" x14ac:dyDescent="0.25">
      <c r="A10" s="16" t="str">
        <f>HYPERLINK("#'Input - Fertiliser'!A1", "Fertiliser")</f>
        <v>Fertiliser</v>
      </c>
      <c r="D10" s="10" t="s">
        <v>787</v>
      </c>
      <c r="E10" s="47" t="s">
        <v>788</v>
      </c>
      <c r="F10" s="47" t="s">
        <v>789</v>
      </c>
      <c r="G10" s="49" t="s">
        <v>790</v>
      </c>
      <c r="H10" s="66">
        <v>50</v>
      </c>
      <c r="I10" s="47" t="s">
        <v>791</v>
      </c>
    </row>
    <row r="11" spans="1:11" ht="20.100000000000001" customHeight="1" x14ac:dyDescent="0.25">
      <c r="A11" s="16" t="str">
        <f>HYPERLINK("#'Input - Farm Inputs'!A1", "Farm Inputs")</f>
        <v>Farm Inputs</v>
      </c>
      <c r="D11" s="10"/>
      <c r="E11" s="47" t="s">
        <v>788</v>
      </c>
      <c r="F11" s="47" t="s">
        <v>789</v>
      </c>
      <c r="G11" s="49" t="s">
        <v>790</v>
      </c>
      <c r="H11" s="66">
        <v>50</v>
      </c>
      <c r="I11" s="47" t="s">
        <v>791</v>
      </c>
    </row>
    <row r="12" spans="1:11" ht="20.100000000000001" customHeight="1" x14ac:dyDescent="0.25">
      <c r="A12" s="16" t="str">
        <f>HYPERLINK("#'Input - Livestock purchases'!A1", "Livestock purchases")</f>
        <v>Livestock purchases</v>
      </c>
      <c r="D12" s="10"/>
      <c r="E12" s="47" t="s">
        <v>788</v>
      </c>
      <c r="F12" s="47" t="s">
        <v>789</v>
      </c>
      <c r="G12" s="49" t="s">
        <v>790</v>
      </c>
      <c r="H12" s="66">
        <v>50</v>
      </c>
      <c r="I12" s="47" t="s">
        <v>792</v>
      </c>
    </row>
    <row r="13" spans="1:11" ht="20.100000000000001" customHeight="1" x14ac:dyDescent="0.25">
      <c r="A13" s="16" t="str">
        <f>HYPERLINK("#'Input - Freight'!A1", "Freight")</f>
        <v>Freight</v>
      </c>
      <c r="D13" s="10"/>
      <c r="E13" s="47" t="s">
        <v>788</v>
      </c>
      <c r="F13" s="47" t="s">
        <v>789</v>
      </c>
      <c r="G13" s="49" t="s">
        <v>790</v>
      </c>
      <c r="H13" s="66">
        <v>50</v>
      </c>
      <c r="I13" s="47" t="s">
        <v>792</v>
      </c>
    </row>
    <row r="14" spans="1:11" ht="20.100000000000001" customHeight="1" x14ac:dyDescent="0.25">
      <c r="A14" s="42" t="str">
        <f>HYPERLINK("#'Input - Solid waste'!A1", "Solid waste")</f>
        <v>Solid waste</v>
      </c>
      <c r="D14" s="10"/>
      <c r="E14" s="47" t="s">
        <v>793</v>
      </c>
      <c r="F14" s="47" t="s">
        <v>833</v>
      </c>
      <c r="G14" s="49" t="s">
        <v>790</v>
      </c>
      <c r="H14" s="66">
        <v>50</v>
      </c>
      <c r="I14" s="47" t="s">
        <v>791</v>
      </c>
    </row>
    <row r="15" spans="1:11" ht="20.100000000000001" customHeight="1" x14ac:dyDescent="0.25">
      <c r="A15" s="16" t="str">
        <f>HYPERLINK("#'Input - Manure sent off-site'!A1", "Manure sent off-site")</f>
        <v>Manure sent off-site</v>
      </c>
      <c r="D15" s="10"/>
      <c r="E15" s="47" t="s">
        <v>793</v>
      </c>
      <c r="F15" s="47" t="s">
        <v>794</v>
      </c>
      <c r="G15" s="49" t="s">
        <v>790</v>
      </c>
      <c r="H15" s="66">
        <v>50</v>
      </c>
      <c r="I15" s="47" t="s">
        <v>791</v>
      </c>
    </row>
    <row r="16" spans="1:11" ht="20.100000000000001" customHeight="1" x14ac:dyDescent="0.25">
      <c r="A16" s="16" t="str">
        <f>HYPERLINK("#'Input - Electricity'!A1", "Electricity")</f>
        <v>Electricity</v>
      </c>
      <c r="D16" s="10"/>
      <c r="E16" s="47" t="s">
        <v>793</v>
      </c>
      <c r="F16" s="47" t="s">
        <v>794</v>
      </c>
      <c r="G16" s="49" t="s">
        <v>790</v>
      </c>
      <c r="H16" s="66">
        <v>50</v>
      </c>
      <c r="I16" s="47" t="s">
        <v>792</v>
      </c>
    </row>
    <row r="17" spans="1:9" ht="20.100000000000001" customHeight="1" x14ac:dyDescent="0.25">
      <c r="D17" s="10"/>
      <c r="E17" s="47" t="s">
        <v>793</v>
      </c>
      <c r="F17" s="47" t="s">
        <v>794</v>
      </c>
      <c r="G17" s="49" t="s">
        <v>790</v>
      </c>
      <c r="H17" s="66">
        <v>50</v>
      </c>
      <c r="I17" s="47" t="s">
        <v>792</v>
      </c>
    </row>
    <row r="18" spans="1:9" ht="20.100000000000001" customHeight="1" x14ac:dyDescent="0.25">
      <c r="D18" s="10"/>
      <c r="E18" s="47" t="s">
        <v>793</v>
      </c>
      <c r="F18" s="47" t="s">
        <v>794</v>
      </c>
      <c r="G18" s="49" t="s">
        <v>790</v>
      </c>
      <c r="H18" s="66">
        <v>50</v>
      </c>
      <c r="I18" s="47" t="s">
        <v>791</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859</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748</v>
      </c>
    </row>
    <row r="7" spans="1:11" x14ac:dyDescent="0.25">
      <c r="A7" s="19" t="s">
        <v>67</v>
      </c>
      <c r="D7" s="8" t="s">
        <v>771</v>
      </c>
    </row>
    <row r="8" spans="1:11" ht="18.75" x14ac:dyDescent="0.25">
      <c r="A8" s="16" t="str">
        <f>HYPERLINK("#'Input - Site'!A1", "Site")</f>
        <v>Site</v>
      </c>
      <c r="D8" s="8" t="s">
        <v>772</v>
      </c>
    </row>
    <row r="9" spans="1:11" x14ac:dyDescent="0.25">
      <c r="A9" s="16" t="str">
        <f>HYPERLINK("#'Input - Fuel'!A1", "Fuel")</f>
        <v>Fuel</v>
      </c>
    </row>
    <row r="10" spans="1:11" x14ac:dyDescent="0.25">
      <c r="A10" s="16" t="str">
        <f>HYPERLINK("#'Input - Fertiliser'!A1", "Fertiliser")</f>
        <v>Fertiliser</v>
      </c>
      <c r="D10" s="8" t="s">
        <v>860</v>
      </c>
      <c r="F10" s="66">
        <v>1000</v>
      </c>
      <c r="G10" s="65" t="s">
        <v>749</v>
      </c>
    </row>
    <row r="11" spans="1:11" x14ac:dyDescent="0.25">
      <c r="A11" s="16" t="str">
        <f>HYPERLINK("#'Input - Farm Inputs'!A1", "Farm Inputs")</f>
        <v>Farm Inputs</v>
      </c>
      <c r="D11" s="8" t="s">
        <v>861</v>
      </c>
      <c r="F11" s="66">
        <v>2000</v>
      </c>
      <c r="G11" s="65" t="s">
        <v>749</v>
      </c>
    </row>
    <row r="12" spans="1:11" x14ac:dyDescent="0.25">
      <c r="A12" s="16" t="str">
        <f>HYPERLINK("#'Input - Livestock purchases'!A1", "Livestock purchases")</f>
        <v>Livestock purchases</v>
      </c>
    </row>
    <row r="13" spans="1:11" x14ac:dyDescent="0.25">
      <c r="A13" s="16" t="str">
        <f>HYPERLINK("#'Input - Freight'!A1", "Freight")</f>
        <v>Freight</v>
      </c>
      <c r="D13" s="8" t="s">
        <v>750</v>
      </c>
      <c r="F13" s="47" t="s">
        <v>150</v>
      </c>
      <c r="G13" s="65" t="s">
        <v>195</v>
      </c>
    </row>
    <row r="14" spans="1:11" x14ac:dyDescent="0.25">
      <c r="A14" s="16" t="str">
        <f>HYPERLINK("#'Input - Solid waste'!A1", "Solid waste")</f>
        <v>Solid waste</v>
      </c>
      <c r="D14" s="8" t="s">
        <v>754</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847</v>
      </c>
      <c r="E5" s="47" t="s">
        <v>848</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236</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237</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238</v>
      </c>
      <c r="E15" s="97">
        <v>500</v>
      </c>
      <c r="F15" s="65" t="s">
        <v>239</v>
      </c>
    </row>
    <row r="16" spans="1:10" ht="20.100000000000001" customHeight="1" x14ac:dyDescent="0.25">
      <c r="A16" s="42" t="str">
        <f>HYPERLINK("#'Input - Electricity'!A1", "Electricity")</f>
        <v>Electricity</v>
      </c>
      <c r="D16" s="8" t="s">
        <v>240</v>
      </c>
      <c r="E16" s="49" t="str">
        <f>IF(X_Cell_Site_State="Western Australia", X_Cell_Site_Region, X_Cell_Site_State)</f>
        <v>ACT</v>
      </c>
      <c r="F16" s="14"/>
    </row>
    <row r="17" spans="1:11" ht="20.100000000000001" customHeight="1" x14ac:dyDescent="0.25">
      <c r="A17"/>
      <c r="D17" s="8" t="s">
        <v>241</v>
      </c>
      <c r="E17" s="47" t="s">
        <v>315</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242</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243</v>
      </c>
      <c r="E23" s="97">
        <v>30000</v>
      </c>
      <c r="F23" s="65" t="s">
        <v>239</v>
      </c>
    </row>
    <row r="24" spans="1:11" ht="20.100000000000001" customHeight="1" x14ac:dyDescent="0.25">
      <c r="A24" s="16" t="str">
        <f>HYPERLINK("#'8.2.1.1-2 Stationary fuel'!A1", "8.2.1.1-2 Stationary fuel")</f>
        <v>8.2.1.1-2 Stationary fuel</v>
      </c>
      <c r="D24" s="8" t="s">
        <v>244</v>
      </c>
      <c r="E24" s="86">
        <v>0.1</v>
      </c>
      <c r="F24" s="65" t="s">
        <v>245</v>
      </c>
    </row>
    <row r="25" spans="1:11" ht="20.100000000000001" customHeight="1" x14ac:dyDescent="0.25">
      <c r="A25"/>
      <c r="D25" s="8" t="s">
        <v>246</v>
      </c>
      <c r="E25" s="86">
        <v>0.1</v>
      </c>
      <c r="F25" s="65" t="s">
        <v>245</v>
      </c>
    </row>
    <row r="26" spans="1:11" ht="20.100000000000001" customHeight="1" x14ac:dyDescent="0.25">
      <c r="A26"/>
    </row>
    <row r="27" spans="1:11" ht="20.100000000000001" customHeight="1" x14ac:dyDescent="0.25">
      <c r="A27" s="222" t="s">
        <v>78</v>
      </c>
      <c r="D27" s="8" t="s">
        <v>247</v>
      </c>
      <c r="E27" s="97">
        <v>10000</v>
      </c>
      <c r="F27" s="65" t="s">
        <v>239</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248</v>
      </c>
      <c r="E29" s="99" t="str">
        <f>TEXT(X_Cell_Site_StartDate, "dd mmm yyyy")</f>
        <v>01 Jan 2024</v>
      </c>
      <c r="K29" s="52"/>
    </row>
    <row r="30" spans="1:11" ht="20.100000000000001" customHeight="1" x14ac:dyDescent="0.25">
      <c r="A30" s="16" t="str">
        <f>HYPERLINK("#'Constants - Fuel'!A1", "Constants - Fuel")</f>
        <v>Constants - Fuel</v>
      </c>
      <c r="D30" s="8" t="s">
        <v>249</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250</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251</v>
      </c>
      <c r="E36" s="46" t="s">
        <v>252</v>
      </c>
      <c r="F36" s="46" t="s">
        <v>253</v>
      </c>
      <c r="G36" s="46" t="s">
        <v>254</v>
      </c>
      <c r="H36" s="46" t="s">
        <v>255</v>
      </c>
      <c r="I36" s="46" t="s">
        <v>256</v>
      </c>
      <c r="L36" s="52"/>
    </row>
    <row r="37" spans="1:12" ht="20.100000000000001" customHeight="1" x14ac:dyDescent="0.25">
      <c r="A37" s="16" t="str">
        <f>HYPERLINK("#'Constants - Electricity'!A1", "Constants - Electricity")</f>
        <v>Constants - Electricity</v>
      </c>
      <c r="D37" s="10" t="s">
        <v>257</v>
      </c>
      <c r="E37" s="47" t="s">
        <v>258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260</v>
      </c>
      <c r="E41" s="49">
        <f>SUMIF(Table_Input_RECSurrendered[Elegibility], "Elegible", Table_Input_RECSurrendered[MWh])</f>
        <v>10</v>
      </c>
      <c r="F41" s="65" t="s">
        <v>255</v>
      </c>
      <c r="G41" s="8"/>
      <c r="H41" s="8"/>
      <c r="I41" s="8"/>
      <c r="J41" s="8"/>
      <c r="L41" s="52" t="s">
        <v>262</v>
      </c>
    </row>
    <row r="42" spans="1:12" ht="20.100000000000001" customHeight="1" x14ac:dyDescent="0.25">
      <c r="A42"/>
      <c r="C42" s="51"/>
    </row>
    <row r="43" spans="1:12" ht="20.100000000000001" customHeight="1" x14ac:dyDescent="0.25">
      <c r="A43"/>
      <c r="C43" s="51"/>
      <c r="D43" s="71" t="s">
        <v>261</v>
      </c>
      <c r="J43" s="51"/>
    </row>
    <row r="44" spans="1:12" ht="20.100000000000001" customHeight="1" x14ac:dyDescent="0.25">
      <c r="A44"/>
    </row>
    <row r="45" spans="1:12" ht="20.100000000000001" customHeight="1" x14ac:dyDescent="0.25">
      <c r="A45"/>
      <c r="D45" s="46" t="s">
        <v>251</v>
      </c>
      <c r="E45" s="46" t="s">
        <v>140</v>
      </c>
      <c r="F45" s="46" t="s">
        <v>253</v>
      </c>
      <c r="G45" s="46" t="s">
        <v>254</v>
      </c>
      <c r="H45" s="46" t="s">
        <v>255</v>
      </c>
      <c r="I45" s="46" t="s">
        <v>256</v>
      </c>
    </row>
    <row r="46" spans="1:12" ht="20.100000000000001" customHeight="1" x14ac:dyDescent="0.25">
      <c r="A46"/>
      <c r="D46" s="10" t="s">
        <v>263</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264</v>
      </c>
      <c r="E50" s="49">
        <f>SUMIF(Table_Input_RECConsumedByEntity[Elegibility], "Elegible", Table_Input_RECConsumedByEntity[Number of certificates])</f>
        <v>11</v>
      </c>
      <c r="F50" s="65" t="s">
        <v>255</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97" zoomScaleNormal="100" workbookViewId="0">
      <selection activeCell="P237" sqref="P237"/>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837</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631</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632</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572</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327</v>
      </c>
    </row>
    <row r="22" spans="1:16" ht="20.100000000000001" customHeight="1" x14ac:dyDescent="0.25">
      <c r="A22" s="16" t="str">
        <f>HYPERLINK("#'Calcs - Manure sent off-site'!A1", "Calcs - Manure sent off-site")</f>
        <v>Calcs - Manure sent off-site</v>
      </c>
      <c r="D22" s="46" t="s">
        <v>366</v>
      </c>
      <c r="E22" s="152" t="s">
        <v>625</v>
      </c>
      <c r="F22" s="152" t="s">
        <v>624</v>
      </c>
      <c r="G22" s="152" t="s">
        <v>626</v>
      </c>
      <c r="H22" s="152" t="s">
        <v>627</v>
      </c>
      <c r="I22" s="57" t="s">
        <v>629</v>
      </c>
      <c r="J22" s="57" t="s">
        <v>638</v>
      </c>
      <c r="K22" s="152" t="s">
        <v>628</v>
      </c>
      <c r="L22" s="46" t="s">
        <v>630</v>
      </c>
      <c r="M22" s="57" t="s">
        <v>640</v>
      </c>
      <c r="N22" s="46" t="s">
        <v>634</v>
      </c>
      <c r="O22" s="46" t="s">
        <v>635</v>
      </c>
      <c r="P22" s="46" t="s">
        <v>636</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608</v>
      </c>
      <c r="O23" s="47" t="s">
        <v>607</v>
      </c>
      <c r="P23" t="s">
        <v>609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654</v>
      </c>
      <c r="E34" s="98">
        <f>SUM(J23:J32)</f>
        <v>1052.5</v>
      </c>
      <c r="F34" s="175" t="str">
        <f>$E$11</f>
        <v>t CO2e</v>
      </c>
    </row>
    <row r="35" spans="1:13" ht="20.100000000000001" customHeight="1" x14ac:dyDescent="0.25">
      <c r="A35" s="16" t="str">
        <f>HYPERLINK("#'Constants - Common Livestock'!A1", "Constants - Common Livestock")</f>
        <v>Constants - Common Livestock</v>
      </c>
      <c r="D35" s="174" t="s">
        <v>655</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343</v>
      </c>
    </row>
    <row r="39" spans="1:13" ht="20.100000000000001" customHeight="1" x14ac:dyDescent="0.25">
      <c r="D39" s="167" t="s">
        <v>633</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366</v>
      </c>
      <c r="E41" s="152" t="s">
        <v>626</v>
      </c>
      <c r="F41" s="152" t="s">
        <v>627</v>
      </c>
      <c r="G41" s="57" t="s">
        <v>638</v>
      </c>
      <c r="H41" s="152" t="s">
        <v>628</v>
      </c>
      <c r="I41" s="46" t="s">
        <v>630</v>
      </c>
      <c r="J41" s="57" t="s">
        <v>640</v>
      </c>
      <c r="K41" s="46" t="s">
        <v>634</v>
      </c>
      <c r="L41" s="46" t="s">
        <v>635</v>
      </c>
      <c r="M41" s="46" t="s">
        <v>636</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608</v>
      </c>
      <c r="L42" s="47" t="s">
        <v>607</v>
      </c>
      <c r="M42" t="s">
        <v>609</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652</v>
      </c>
      <c r="E53" s="98">
        <f>SUM(G42:G51)</f>
        <v>295.47000000000003</v>
      </c>
      <c r="F53" s="175" t="str">
        <f>$E$11</f>
        <v>t CO2e</v>
      </c>
    </row>
    <row r="54" spans="4:13" ht="20.100000000000001" customHeight="1" x14ac:dyDescent="0.25">
      <c r="D54" s="174" t="s">
        <v>653</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547</v>
      </c>
    </row>
    <row r="58" spans="4:13" ht="20.100000000000001" customHeight="1" x14ac:dyDescent="0.25">
      <c r="D58" s="167" t="s">
        <v>633</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366</v>
      </c>
      <c r="E60" s="152" t="s">
        <v>626</v>
      </c>
      <c r="F60" s="152" t="s">
        <v>627</v>
      </c>
      <c r="G60" s="57" t="s">
        <v>638</v>
      </c>
      <c r="H60" s="152" t="s">
        <v>628</v>
      </c>
      <c r="I60" s="46" t="s">
        <v>630</v>
      </c>
      <c r="J60" s="57" t="s">
        <v>640</v>
      </c>
      <c r="K60" s="46" t="s">
        <v>634</v>
      </c>
      <c r="L60" s="46" t="s">
        <v>635</v>
      </c>
      <c r="M60" s="46" t="s">
        <v>636</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650</v>
      </c>
      <c r="E72" s="98">
        <f>SUM(G61:G70)</f>
        <v>127.08800000000001</v>
      </c>
      <c r="F72" s="175" t="str">
        <f>$E$11</f>
        <v>t CO2e</v>
      </c>
    </row>
    <row r="73" spans="4:13" ht="20.100000000000001" customHeight="1" x14ac:dyDescent="0.25">
      <c r="D73" s="174" t="s">
        <v>651</v>
      </c>
      <c r="E73" s="98">
        <f>SUM(J61:J70)</f>
        <v>73.38000000000001</v>
      </c>
      <c r="F73" s="175" t="str">
        <f>$E$11</f>
        <v>t CO2e</v>
      </c>
    </row>
    <row r="74" spans="4:13" ht="20.100000000000001" customHeight="1" x14ac:dyDescent="0.25"/>
    <row r="75" spans="4:13" ht="20.100000000000001" customHeight="1" x14ac:dyDescent="0.25">
      <c r="D75" s="144" t="s">
        <v>573</v>
      </c>
    </row>
    <row r="76" spans="4:13" ht="20.100000000000001" customHeight="1" x14ac:dyDescent="0.25">
      <c r="D76" s="167" t="s">
        <v>633</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366</v>
      </c>
      <c r="E78" s="152" t="s">
        <v>626</v>
      </c>
      <c r="F78" s="152" t="s">
        <v>627</v>
      </c>
      <c r="G78" s="57" t="s">
        <v>638</v>
      </c>
      <c r="H78" s="152" t="s">
        <v>628</v>
      </c>
      <c r="I78" s="46" t="s">
        <v>630</v>
      </c>
      <c r="J78" s="57" t="s">
        <v>640</v>
      </c>
      <c r="K78" s="46" t="s">
        <v>634</v>
      </c>
      <c r="L78" s="46" t="s">
        <v>635</v>
      </c>
      <c r="M78" s="46" t="s">
        <v>636</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648</v>
      </c>
      <c r="E90" s="98">
        <f>SUM(G79:G88)</f>
        <v>0.36720000000000003</v>
      </c>
      <c r="F90" s="175" t="str">
        <f>$E$11</f>
        <v>t CO2e</v>
      </c>
    </row>
    <row r="91" spans="4:13" ht="20.100000000000001" customHeight="1" x14ac:dyDescent="0.25">
      <c r="D91" s="174" t="s">
        <v>649</v>
      </c>
      <c r="E91" s="98">
        <f>SUM(J79:J88)</f>
        <v>0.35940000000000005</v>
      </c>
      <c r="F91" s="175" t="str">
        <f>$E$11</f>
        <v>t CO2e</v>
      </c>
    </row>
    <row r="92" spans="4:13" ht="20.100000000000001" customHeight="1" x14ac:dyDescent="0.25"/>
    <row r="93" spans="4:13" ht="20.100000000000001" customHeight="1" x14ac:dyDescent="0.25">
      <c r="D93" s="176" t="s">
        <v>638</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640</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631</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632</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294</v>
      </c>
    </row>
    <row r="111" spans="3:41" ht="20.100000000000001" customHeight="1" x14ac:dyDescent="0.25"/>
    <row r="112" spans="3:41" ht="20.100000000000001" customHeight="1" x14ac:dyDescent="0.25">
      <c r="D112" s="39" t="s">
        <v>642</v>
      </c>
      <c r="E112" s="41"/>
      <c r="F112" s="39"/>
      <c r="G112" s="40"/>
      <c r="H112" s="41"/>
    </row>
    <row r="113" spans="4:28" ht="20.100000000000001" customHeight="1" x14ac:dyDescent="0.25">
      <c r="D113" s="88" t="s">
        <v>643</v>
      </c>
      <c r="E113" s="90"/>
      <c r="F113" s="88"/>
      <c r="G113" s="89"/>
      <c r="H113" s="90"/>
    </row>
    <row r="114" spans="4:28" ht="20.100000000000001" customHeight="1" x14ac:dyDescent="0.25">
      <c r="D114" s="43" t="s">
        <v>644</v>
      </c>
      <c r="E114" s="45"/>
      <c r="F114" s="43"/>
      <c r="G114" s="44"/>
      <c r="H114" s="45"/>
    </row>
    <row r="115" spans="4:28" ht="20.100000000000001" customHeight="1" x14ac:dyDescent="0.25"/>
    <row r="116" spans="4:28" ht="20.100000000000001" customHeight="1" x14ac:dyDescent="0.25">
      <c r="D116" s="95" t="s">
        <v>405</v>
      </c>
      <c r="E116" s="110"/>
      <c r="F116" s="96"/>
    </row>
    <row r="117" spans="4:28" ht="20.100000000000001" customHeight="1" x14ac:dyDescent="0.25"/>
    <row r="118" spans="4:28" ht="20.100000000000001" customHeight="1" x14ac:dyDescent="0.25">
      <c r="D118" s="46" t="s">
        <v>409</v>
      </c>
      <c r="E118" s="46" t="s">
        <v>637</v>
      </c>
      <c r="F118" s="57" t="s">
        <v>641</v>
      </c>
      <c r="G118" s="57" t="s">
        <v>638</v>
      </c>
      <c r="H118" s="46" t="s">
        <v>639</v>
      </c>
      <c r="I118" s="57" t="s">
        <v>640</v>
      </c>
      <c r="J118" s="46" t="s">
        <v>634</v>
      </c>
      <c r="K118" s="46" t="s">
        <v>635</v>
      </c>
      <c r="L118" s="46" t="s">
        <v>636</v>
      </c>
      <c r="M118" s="57" t="s">
        <v>174</v>
      </c>
      <c r="N118" s="57" t="s">
        <v>390</v>
      </c>
      <c r="O118" s="57" t="s">
        <v>175</v>
      </c>
      <c r="P118" s="57" t="s">
        <v>350</v>
      </c>
      <c r="Q118" s="57" t="s">
        <v>176</v>
      </c>
      <c r="R118" s="57" t="s">
        <v>406</v>
      </c>
      <c r="S118" s="57" t="s">
        <v>177</v>
      </c>
      <c r="T118" s="57" t="s">
        <v>354</v>
      </c>
      <c r="U118" s="57" t="s">
        <v>178</v>
      </c>
      <c r="V118" s="57" t="s">
        <v>407</v>
      </c>
      <c r="W118" s="57" t="s">
        <v>179</v>
      </c>
      <c r="X118" s="57" t="s">
        <v>355</v>
      </c>
      <c r="Y118" s="57" t="s">
        <v>180</v>
      </c>
      <c r="Z118" s="57" t="s">
        <v>408</v>
      </c>
      <c r="AA118" s="57" t="s">
        <v>181</v>
      </c>
      <c r="AB118" s="57" t="s">
        <v>356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638</v>
      </c>
      <c r="E130" s="98">
        <f>SUM(G119:G128)</f>
        <v>471.44159999999999</v>
      </c>
      <c r="F130" s="175" t="str">
        <f>$E$104</f>
        <v>t CO2e</v>
      </c>
    </row>
    <row r="131" spans="4:12" ht="20.100000000000001" customHeight="1" x14ac:dyDescent="0.25">
      <c r="D131" s="174" t="s">
        <v>640</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403</v>
      </c>
    </row>
    <row r="135" spans="4:12" ht="20.100000000000001" customHeight="1" x14ac:dyDescent="0.25">
      <c r="D135" s="46" t="s">
        <v>217</v>
      </c>
      <c r="E135" s="46" t="s">
        <v>637</v>
      </c>
      <c r="F135" s="57" t="s">
        <v>641</v>
      </c>
      <c r="G135" s="57" t="s">
        <v>638</v>
      </c>
      <c r="H135" s="46" t="s">
        <v>639</v>
      </c>
      <c r="I135" s="57" t="s">
        <v>640</v>
      </c>
      <c r="J135" s="46" t="s">
        <v>634</v>
      </c>
      <c r="K135" s="46" t="s">
        <v>635</v>
      </c>
      <c r="L135" s="46" t="s">
        <v>636</v>
      </c>
    </row>
    <row r="136" spans="4:12" ht="20.100000000000001" customHeight="1" x14ac:dyDescent="0.25">
      <c r="D136" s="49" t="str">
        <f>'Input - Livestock Farm Inputs'!D12</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638</v>
      </c>
      <c r="E141" s="98">
        <f>SUM(G136:G139)</f>
        <v>174.9</v>
      </c>
      <c r="F141" s="175" t="str">
        <f>$E$104</f>
        <v>t CO2e</v>
      </c>
    </row>
    <row r="142" spans="4:12" ht="20.100000000000001" customHeight="1" x14ac:dyDescent="0.25">
      <c r="D142" s="174" t="s">
        <v>640</v>
      </c>
      <c r="E142" s="98">
        <f>SUM(I136:I139)</f>
        <v>163.60000000000002</v>
      </c>
      <c r="F142" s="175" t="str">
        <f>$E$104</f>
        <v>t CO2e</v>
      </c>
    </row>
    <row r="143" spans="4:12" ht="20.100000000000001" customHeight="1" x14ac:dyDescent="0.25"/>
    <row r="144" spans="4:12" ht="20.100000000000001" customHeight="1" x14ac:dyDescent="0.25">
      <c r="D144" s="176" t="s">
        <v>638</v>
      </c>
      <c r="E144" s="177">
        <f>E130+E141</f>
        <v>646.34159999999997</v>
      </c>
      <c r="F144" s="178" t="str">
        <f>$E$104</f>
        <v>t CO2e</v>
      </c>
    </row>
    <row r="145" spans="3:41" ht="20.100000000000001" customHeight="1" x14ac:dyDescent="0.25">
      <c r="D145" s="176" t="s">
        <v>640</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631</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632</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217</v>
      </c>
      <c r="E161" s="46" t="s">
        <v>645</v>
      </c>
      <c r="F161" s="57" t="s">
        <v>646</v>
      </c>
      <c r="G161" s="57" t="s">
        <v>638</v>
      </c>
      <c r="H161" s="46" t="s">
        <v>647</v>
      </c>
      <c r="I161" s="57" t="s">
        <v>640</v>
      </c>
      <c r="J161" s="46" t="s">
        <v>634</v>
      </c>
      <c r="K161" s="46" t="s">
        <v>635</v>
      </c>
      <c r="L161" s="46" t="s">
        <v>636</v>
      </c>
    </row>
    <row r="162" spans="3:41" ht="20.100000000000001" customHeight="1" x14ac:dyDescent="0.25">
      <c r="D162" s="49" t="str">
        <f>'Input - Livestock Farm Inputs'!D7</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638</v>
      </c>
      <c r="E166" s="177">
        <f>SUM(G162:G164)</f>
        <v>178.9</v>
      </c>
      <c r="F166" s="178" t="str">
        <f>$E$155</f>
        <v>t CO2e</v>
      </c>
    </row>
    <row r="167" spans="3:41" ht="20.100000000000001" customHeight="1" x14ac:dyDescent="0.25">
      <c r="D167" s="176" t="s">
        <v>640</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631</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632</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631</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632</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631</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632</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374</v>
      </c>
    </row>
    <row r="217" spans="4:40" ht="20.100000000000001" customHeight="1" x14ac:dyDescent="0.25"/>
    <row r="218" spans="4:40" ht="20.100000000000001" customHeight="1" x14ac:dyDescent="0.25">
      <c r="D218" s="95" t="s">
        <v>373</v>
      </c>
      <c r="E218" s="110"/>
      <c r="F218" s="96"/>
    </row>
    <row r="219" spans="4:40" ht="20.100000000000001" customHeight="1" x14ac:dyDescent="0.25"/>
    <row r="220" spans="4:40" ht="20.100000000000001" customHeight="1" x14ac:dyDescent="0.25">
      <c r="D220" s="46" t="s">
        <v>217</v>
      </c>
      <c r="E220" s="46" t="s">
        <v>361</v>
      </c>
      <c r="F220" s="57" t="s">
        <v>673</v>
      </c>
      <c r="G220" s="57" t="s">
        <v>657</v>
      </c>
      <c r="H220" s="57" t="s">
        <v>656</v>
      </c>
      <c r="I220" s="46" t="s">
        <v>674</v>
      </c>
      <c r="J220" s="57" t="s">
        <v>658</v>
      </c>
      <c r="K220" s="57" t="s">
        <v>659</v>
      </c>
      <c r="L220" s="46" t="s">
        <v>634</v>
      </c>
      <c r="M220" s="46" t="s">
        <v>635</v>
      </c>
      <c r="N220" s="46" t="s">
        <v>636</v>
      </c>
      <c r="O220" s="57" t="s">
        <v>172</v>
      </c>
      <c r="P220" s="57" t="s">
        <v>173</v>
      </c>
      <c r="Q220" s="57" t="s">
        <v>174</v>
      </c>
      <c r="R220" s="57" t="s">
        <v>175</v>
      </c>
      <c r="S220" s="57" t="s">
        <v>661</v>
      </c>
      <c r="T220" s="46" t="s">
        <v>662</v>
      </c>
      <c r="U220" s="57" t="s">
        <v>176</v>
      </c>
      <c r="V220" s="57" t="s">
        <v>177</v>
      </c>
      <c r="W220" s="57" t="s">
        <v>663</v>
      </c>
      <c r="X220" s="46" t="s">
        <v>664</v>
      </c>
      <c r="Y220" s="57" t="s">
        <v>178</v>
      </c>
      <c r="Z220" s="57" t="s">
        <v>179</v>
      </c>
      <c r="AA220" s="57" t="s">
        <v>665</v>
      </c>
      <c r="AB220" s="46" t="s">
        <v>666</v>
      </c>
      <c r="AC220" s="57" t="s">
        <v>180</v>
      </c>
      <c r="AD220" s="57" t="s">
        <v>181</v>
      </c>
      <c r="AE220" s="57" t="s">
        <v>667</v>
      </c>
      <c r="AF220" s="46" t="s">
        <v>668</v>
      </c>
      <c r="AG220" s="57" t="s">
        <v>182</v>
      </c>
      <c r="AH220" s="57" t="s">
        <v>183</v>
      </c>
      <c r="AI220" s="57" t="s">
        <v>669</v>
      </c>
      <c r="AJ220" s="46" t="s">
        <v>670</v>
      </c>
      <c r="AK220" s="57" t="s">
        <v>184</v>
      </c>
      <c r="AL220" s="57" t="s">
        <v>185</v>
      </c>
      <c r="AM220" s="57" t="s">
        <v>671</v>
      </c>
      <c r="AN220" s="46" t="s">
        <v>672</v>
      </c>
    </row>
    <row r="221" spans="4:40" ht="20.100000000000001" customHeight="1" x14ac:dyDescent="0.25">
      <c r="D221" s="49" t="str" cm="1">
        <f t="array" ref="D221:D230">IFERROR(INDEX(Table_Input_InorganicFertiliser_Brands[Product (select)], _xlfn.SEQUENCE(10)), "")</f>
        <v>CoRoN 12-0-10</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kg</v>
      </c>
      <c r="Q222" s="49">
        <v>1</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Urea</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0.52173913000000005</v>
      </c>
      <c r="Z222" s="49" t="str">
        <v>Potassium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0.08</v>
      </c>
      <c r="AD222" s="49" t="str">
        <v>Sulfur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5.2999999999999999E-2</v>
      </c>
      <c r="AH222" s="49" t="str">
        <v>Phosphorus - Generic</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v>5.1999999999999998E-2</v>
      </c>
      <c r="AL222" s="49" t="str">
        <v>Magnesium</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CoRoN 12-0-10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660</v>
      </c>
    </row>
    <row r="233" spans="4:40" ht="20.100000000000001" customHeight="1" x14ac:dyDescent="0.25"/>
    <row r="234" spans="4:40" ht="20.100000000000001" customHeight="1" x14ac:dyDescent="0.25">
      <c r="D234" s="95" t="s">
        <v>675</v>
      </c>
      <c r="E234" s="110"/>
      <c r="F234" s="96"/>
    </row>
    <row r="235" spans="4:40" ht="20.100000000000001" customHeight="1" x14ac:dyDescent="0.25"/>
    <row r="236" spans="4:40" ht="20.100000000000001" customHeight="1" x14ac:dyDescent="0.25">
      <c r="D236" s="46" t="s">
        <v>409</v>
      </c>
      <c r="E236" s="46" t="s">
        <v>361</v>
      </c>
      <c r="F236" s="57" t="s">
        <v>673</v>
      </c>
      <c r="G236" s="57" t="s">
        <v>657</v>
      </c>
      <c r="H236" s="57" t="s">
        <v>656</v>
      </c>
      <c r="I236" s="46" t="s">
        <v>674</v>
      </c>
      <c r="J236" s="57" t="s">
        <v>658</v>
      </c>
      <c r="K236" s="57" t="s">
        <v>659</v>
      </c>
      <c r="L236" s="46" t="s">
        <v>634</v>
      </c>
      <c r="M236" s="46" t="s">
        <v>635</v>
      </c>
      <c r="N236" s="46" t="s">
        <v>636</v>
      </c>
      <c r="O236" s="57" t="s">
        <v>172</v>
      </c>
      <c r="P236" s="57" t="s">
        <v>173</v>
      </c>
      <c r="Q236" s="57" t="s">
        <v>174</v>
      </c>
      <c r="R236" s="57" t="s">
        <v>175</v>
      </c>
      <c r="S236" s="57" t="s">
        <v>661</v>
      </c>
      <c r="T236" s="46" t="s">
        <v>662</v>
      </c>
      <c r="U236" s="57" t="s">
        <v>176</v>
      </c>
      <c r="V236" s="57" t="s">
        <v>177</v>
      </c>
      <c r="W236" s="57" t="s">
        <v>663</v>
      </c>
      <c r="X236" s="46" t="s">
        <v>664</v>
      </c>
      <c r="Y236" s="57" t="s">
        <v>178</v>
      </c>
      <c r="Z236" s="57" t="s">
        <v>179</v>
      </c>
      <c r="AA236" s="57" t="s">
        <v>665</v>
      </c>
      <c r="AB236" s="46" t="s">
        <v>666</v>
      </c>
      <c r="AC236" s="57" t="s">
        <v>180</v>
      </c>
      <c r="AD236" s="57" t="s">
        <v>181</v>
      </c>
      <c r="AE236" s="57" t="s">
        <v>667</v>
      </c>
      <c r="AF236" s="46" t="s">
        <v>668</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(Select)], _xlfn.SEQUENCE(10)), "")</f>
        <v>Canada</v>
      </c>
      <c r="P237" s="49" t="str" cm="1">
        <f t="array" ref="P237:P246">IFERROR(INDEX(Table_Input_InorganicFertiliser_Custom[Ammonia source (select)],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676</v>
      </c>
      <c r="E248" s="177" t="e">
        <f>SUM(G221:G230)+SUM(G237:G246)</f>
        <v>#VALUE!</v>
      </c>
      <c r="F248" s="178" t="str">
        <f>$E$155</f>
        <v>t CO2e</v>
      </c>
    </row>
    <row r="249" spans="3:41" ht="20.100000000000001" customHeight="1" x14ac:dyDescent="0.25">
      <c r="D249" s="179" t="s">
        <v>677</v>
      </c>
      <c r="E249" s="177">
        <f>SUM(J221:J230)+SUM(J237:J246)</f>
        <v>13</v>
      </c>
      <c r="F249" s="178" t="str">
        <f>$E$155</f>
        <v>t CO2e</v>
      </c>
    </row>
    <row r="250" spans="3:41" ht="20.100000000000001" customHeight="1" x14ac:dyDescent="0.25"/>
    <row r="251" spans="3:41" ht="20.100000000000001" customHeight="1" x14ac:dyDescent="0.25">
      <c r="D251" s="179" t="s">
        <v>678</v>
      </c>
      <c r="E251" s="177" t="e">
        <f>SUM(H221:H230)+SUM(H237:H246)</f>
        <v>#VALUE!</v>
      </c>
      <c r="F251" s="178" t="str">
        <f>$E$155</f>
        <v>t CO2e</v>
      </c>
    </row>
    <row r="252" spans="3:41" ht="20.100000000000001" customHeight="1" x14ac:dyDescent="0.25">
      <c r="D252" s="179" t="s">
        <v>679</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631</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632</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685</v>
      </c>
      <c r="E269" s="46" t="s">
        <v>205</v>
      </c>
      <c r="F269" s="57" t="s">
        <v>686</v>
      </c>
      <c r="G269" s="57" t="s">
        <v>638</v>
      </c>
      <c r="H269" s="46" t="s">
        <v>687</v>
      </c>
      <c r="I269" s="57" t="s">
        <v>640</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638</v>
      </c>
      <c r="E283" s="177">
        <f>SUM(G270:G281)</f>
        <v>7.5159999999999991</v>
      </c>
      <c r="F283" s="178" t="str">
        <f>$E$155</f>
        <v>t CO2e</v>
      </c>
    </row>
    <row r="284" spans="3:41" ht="20.25" x14ac:dyDescent="0.25">
      <c r="D284" s="179" t="s">
        <v>640</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631</v>
      </c>
      <c r="E290" s="172" t="str" cm="1">
        <f t="array" aca="1" ref="E290" ca="1">Common_InputFunctions.Utility_DisplayFunctionName(I305)</f>
        <v>=Scope3_Equations.VEERG_15_6_1_1__1_EmissionsFromPurchasedLime</v>
      </c>
    </row>
    <row r="293" spans="4:13" x14ac:dyDescent="0.25">
      <c r="D293" s="27" t="s">
        <v>632</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415</v>
      </c>
      <c r="F299" s="46" t="s">
        <v>416</v>
      </c>
    </row>
    <row r="300" spans="4:13" ht="18.75" x14ac:dyDescent="0.25">
      <c r="D300" s="8" t="s">
        <v>690</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691</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692</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688</v>
      </c>
      <c r="F304" s="46" t="s">
        <v>693</v>
      </c>
      <c r="G304" s="46" t="s">
        <v>694</v>
      </c>
      <c r="H304" s="46" t="s">
        <v>695</v>
      </c>
      <c r="I304" s="57" t="s">
        <v>638</v>
      </c>
      <c r="J304" s="57" t="s">
        <v>689</v>
      </c>
      <c r="K304" s="46" t="s">
        <v>634</v>
      </c>
      <c r="L304" s="46" t="s">
        <v>635</v>
      </c>
      <c r="M304" s="46" t="s">
        <v>636</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638</v>
      </c>
      <c r="E316" s="177">
        <f>SUM(I305:I314)</f>
        <v>1.0375999999999999</v>
      </c>
      <c r="F316" s="178" t="str">
        <f>$E$155</f>
        <v>t CO2e</v>
      </c>
    </row>
    <row r="317" spans="3:41" ht="20.25" x14ac:dyDescent="0.25">
      <c r="D317" s="179" t="s">
        <v>640</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631</v>
      </c>
      <c r="E323" s="172" t="str" cm="1">
        <f t="array" aca="1" ref="E323" ca="1">Common_InputFunctions.Utility_DisplayFunctionName(K336)</f>
        <v>=Scope3_Equations.VEERG_15_7_1_1__1_EmissionsFromPurchasedServices</v>
      </c>
    </row>
    <row r="325" spans="4:15" x14ac:dyDescent="0.25">
      <c r="H325" s="8" t="s">
        <v>863</v>
      </c>
    </row>
    <row r="326" spans="4:15" x14ac:dyDescent="0.25">
      <c r="D326" s="27" t="s">
        <v>632</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696</v>
      </c>
    </row>
    <row r="335" spans="4:15" x14ac:dyDescent="0.25">
      <c r="D335" s="46" t="s">
        <v>612</v>
      </c>
      <c r="E335" s="46" t="s">
        <v>621</v>
      </c>
      <c r="F335" s="46" t="s">
        <v>616</v>
      </c>
      <c r="G335" s="46" t="s">
        <v>126</v>
      </c>
      <c r="H335" s="57" t="s">
        <v>421</v>
      </c>
      <c r="I335" s="57" t="s">
        <v>357</v>
      </c>
      <c r="J335" s="46" t="s">
        <v>422</v>
      </c>
      <c r="K335" s="57" t="s">
        <v>358</v>
      </c>
      <c r="L335" s="57" t="s">
        <v>617</v>
      </c>
      <c r="M335" s="46" t="s">
        <v>634</v>
      </c>
      <c r="N335" s="46" t="s">
        <v>635</v>
      </c>
      <c r="O335" s="46" t="s">
        <v>636</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827</v>
      </c>
      <c r="I336" s="49" t="s">
        <v>827</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827</v>
      </c>
      <c r="I337" s="49" t="s">
        <v>827</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827</v>
      </c>
      <c r="I338" s="49" t="s">
        <v>827</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827</v>
      </c>
      <c r="I339" s="49" t="s">
        <v>827</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827</v>
      </c>
      <c r="I340" s="49" t="s">
        <v>827</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827</v>
      </c>
      <c r="I341" s="49" t="s">
        <v>827</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827</v>
      </c>
      <c r="I342" s="49" t="s">
        <v>827</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827</v>
      </c>
      <c r="I343" s="49" t="s">
        <v>827</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827</v>
      </c>
      <c r="I344" s="49" t="s">
        <v>827</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827</v>
      </c>
      <c r="I345" s="49" t="s">
        <v>827</v>
      </c>
      <c r="J345" s="66"/>
      <c r="K345" s="151" cm="1">
        <f t="array" ref="K345">Scope3_Equations.VEERG_15_7_1_1__1_EmissionsFromPurchasedServices(F345,J345)</f>
        <v>0</v>
      </c>
      <c r="L345" s="49" t="str">
        <f t="shared" si="1"/>
        <v>t CO2e / 0</v>
      </c>
      <c r="M345" s="82"/>
      <c r="N345" s="47"/>
      <c r="O345" s="82"/>
    </row>
    <row r="347" spans="3:41" ht="20.25" x14ac:dyDescent="0.25">
      <c r="D347" s="179" t="s">
        <v>638</v>
      </c>
      <c r="E347" s="177" t="s">
        <v>827</v>
      </c>
      <c r="F347" s="178" t="str">
        <f>$E$155</f>
        <v>t CO2e</v>
      </c>
    </row>
    <row r="348" spans="3:41" ht="20.25" x14ac:dyDescent="0.25">
      <c r="D348" s="179" t="s">
        <v>640</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631</v>
      </c>
      <c r="E355" s="172" t="str" cm="1">
        <f t="array" aca="1" ref="E355" ca="1">Common_InputFunctions.Utility_DisplayFunctionName(H367)</f>
        <v>=Scope3_Equations.VEERG_15_8_1_1__1_EmissionsFromPurchasedPackaging</v>
      </c>
    </row>
    <row r="359" spans="4:13" x14ac:dyDescent="0.25">
      <c r="D359" s="27" t="s">
        <v>632</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366</v>
      </c>
      <c r="E366" s="152" t="s">
        <v>411</v>
      </c>
      <c r="F366" s="152" t="s">
        <v>697</v>
      </c>
      <c r="G366" s="57" t="s">
        <v>698</v>
      </c>
      <c r="H366" s="57" t="s">
        <v>638</v>
      </c>
      <c r="I366" s="46" t="s">
        <v>699</v>
      </c>
      <c r="J366" s="57" t="s">
        <v>640</v>
      </c>
      <c r="K366" s="46" t="s">
        <v>634</v>
      </c>
      <c r="L366" s="46" t="s">
        <v>635</v>
      </c>
      <c r="M366" s="46" t="s">
        <v>636</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638</v>
      </c>
      <c r="E378" s="177">
        <f>SUM(H367:H376)</f>
        <v>7.44</v>
      </c>
      <c r="F378" s="178" t="str">
        <f>$E$155</f>
        <v>t CO2e</v>
      </c>
    </row>
    <row r="379" spans="3:41" ht="20.25" x14ac:dyDescent="0.25">
      <c r="D379" s="179" t="s">
        <v>640</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631</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632</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696</v>
      </c>
    </row>
    <row r="398" spans="4:14" x14ac:dyDescent="0.25">
      <c r="D398" s="46" t="s">
        <v>701</v>
      </c>
      <c r="E398" s="46" t="s">
        <v>616</v>
      </c>
      <c r="F398" s="46" t="s">
        <v>126</v>
      </c>
      <c r="G398" s="57" t="s">
        <v>421</v>
      </c>
      <c r="H398" s="57" t="s">
        <v>357</v>
      </c>
      <c r="I398" s="46" t="s">
        <v>422</v>
      </c>
      <c r="J398" s="57" t="s">
        <v>358</v>
      </c>
      <c r="K398" s="57" t="s">
        <v>617</v>
      </c>
      <c r="L398" s="46" t="s">
        <v>634</v>
      </c>
      <c r="M398" s="46" t="s">
        <v>635</v>
      </c>
      <c r="N398" s="46" t="s">
        <v>636</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827</v>
      </c>
      <c r="H399" s="49" t="s">
        <v>827</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827</v>
      </c>
      <c r="H400" s="49" t="s">
        <v>827</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827</v>
      </c>
      <c r="H401" s="49" t="s">
        <v>827</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827</v>
      </c>
      <c r="H402" s="49" t="s">
        <v>827</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827</v>
      </c>
      <c r="H403" s="49" t="s">
        <v>827</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827</v>
      </c>
      <c r="H404" s="49" t="s">
        <v>827</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827</v>
      </c>
      <c r="H405" s="49" t="s">
        <v>827</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827</v>
      </c>
      <c r="H406" s="49" t="s">
        <v>827</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827</v>
      </c>
      <c r="H407" s="49" t="s">
        <v>827</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827</v>
      </c>
      <c r="H408" s="49" t="s">
        <v>827</v>
      </c>
      <c r="I408" s="66"/>
      <c r="J408" s="151" cm="1">
        <f t="array" ref="J408">Scope3_Equations.VEERG_15_9_1_1__1_EmissionsFromPurchasedGrowMedia(E408,I408)</f>
        <v>0</v>
      </c>
      <c r="K408" s="49" t="str">
        <f t="shared" si="2"/>
        <v>t CO2e / 0</v>
      </c>
      <c r="L408" s="82"/>
      <c r="M408" s="47"/>
      <c r="N408" s="82"/>
    </row>
    <row r="410" spans="3:41" ht="20.25" x14ac:dyDescent="0.25">
      <c r="D410" s="179" t="s">
        <v>638</v>
      </c>
      <c r="E410" s="177" t="s">
        <v>827</v>
      </c>
      <c r="F410" s="178" t="str">
        <f>$E$155</f>
        <v>t CO2e</v>
      </c>
    </row>
    <row r="411" spans="3:41" ht="20.25" x14ac:dyDescent="0.25">
      <c r="D411" s="179" t="s">
        <v>640</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709</v>
      </c>
    </row>
    <row r="418" spans="4:13" x14ac:dyDescent="0.25">
      <c r="D418" s="172" t="s">
        <v>631</v>
      </c>
      <c r="E418" s="172" t="str" cm="1">
        <f t="array" aca="1" ref="E418" ca="1">Common_InputFunctions.Utility_DisplayFunctionName(H430)</f>
        <v>=Scope3_Equations.VEERG_15_10_1_1__1_OtherPurchasedGoodsAndServices</v>
      </c>
    </row>
    <row r="421" spans="4:13" x14ac:dyDescent="0.25">
      <c r="D421" s="27" t="s">
        <v>632</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380</v>
      </c>
    </row>
    <row r="429" spans="4:13" x14ac:dyDescent="0.25">
      <c r="D429" s="46" t="s">
        <v>366</v>
      </c>
      <c r="E429" s="152" t="s">
        <v>287</v>
      </c>
      <c r="F429" s="152" t="s">
        <v>382</v>
      </c>
      <c r="G429" s="57" t="s">
        <v>360</v>
      </c>
      <c r="H429" s="57" t="s">
        <v>638</v>
      </c>
      <c r="I429" s="46" t="s">
        <v>363</v>
      </c>
      <c r="J429" s="57" t="s">
        <v>640</v>
      </c>
      <c r="K429" s="46" t="s">
        <v>634</v>
      </c>
      <c r="L429" s="46" t="s">
        <v>635</v>
      </c>
      <c r="M429" s="46" t="s">
        <v>636</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638</v>
      </c>
      <c r="E441" s="177">
        <f>SUM(H430:H439)</f>
        <v>0.50509999999999999</v>
      </c>
      <c r="F441" s="178" t="str">
        <f>$E$155</f>
        <v>t CO2e</v>
      </c>
    </row>
    <row r="442" spans="4:13" ht="20.25" x14ac:dyDescent="0.25">
      <c r="D442" s="179" t="s">
        <v>640</v>
      </c>
      <c r="E442" s="177">
        <f>SUM(J430:J439)</f>
        <v>2.73</v>
      </c>
      <c r="F442" s="178" t="str">
        <f>$E$155</f>
        <v>t CO2e</v>
      </c>
    </row>
    <row r="445" spans="4:13" ht="18.75" x14ac:dyDescent="0.25">
      <c r="D445" s="144" t="s">
        <v>381</v>
      </c>
    </row>
    <row r="447" spans="4:13" x14ac:dyDescent="0.25">
      <c r="D447" s="46" t="s">
        <v>366</v>
      </c>
      <c r="E447" s="152" t="s">
        <v>287</v>
      </c>
      <c r="F447" s="152" t="s">
        <v>379</v>
      </c>
      <c r="G447" s="57" t="s">
        <v>622</v>
      </c>
      <c r="H447" s="57" t="s">
        <v>638</v>
      </c>
      <c r="I447" s="46" t="s">
        <v>623</v>
      </c>
      <c r="J447" s="57" t="s">
        <v>640</v>
      </c>
      <c r="K447" s="46" t="s">
        <v>634</v>
      </c>
      <c r="L447" s="46" t="s">
        <v>635</v>
      </c>
      <c r="M447" s="46" t="s">
        <v>636</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638</v>
      </c>
      <c r="E459" s="177">
        <f>SUM(H448:H457)</f>
        <v>1.5636000000000001E-2</v>
      </c>
      <c r="F459" s="178" t="str">
        <f>$E$155</f>
        <v>t CO2e</v>
      </c>
    </row>
    <row r="460" spans="4:13" ht="20.25" x14ac:dyDescent="0.25">
      <c r="D460" s="179" t="s">
        <v>640</v>
      </c>
      <c r="E460" s="177">
        <f>SUM(J448:J457)</f>
        <v>1.3400000000000002E-2</v>
      </c>
      <c r="F460" s="178" t="str">
        <f>$E$155</f>
        <v>t CO2e</v>
      </c>
    </row>
    <row r="463" spans="4:13" ht="18.75" x14ac:dyDescent="0.25">
      <c r="D463" s="144" t="s">
        <v>417</v>
      </c>
    </row>
    <row r="465" spans="4:12" x14ac:dyDescent="0.25">
      <c r="D465" s="46" t="s">
        <v>170</v>
      </c>
      <c r="E465" s="46" t="s">
        <v>710</v>
      </c>
      <c r="F465" s="57" t="s">
        <v>622</v>
      </c>
      <c r="G465" s="57" t="s">
        <v>638</v>
      </c>
      <c r="H465" s="46" t="s">
        <v>623</v>
      </c>
      <c r="I465" s="57" t="s">
        <v>640</v>
      </c>
      <c r="J465" s="46" t="s">
        <v>634</v>
      </c>
      <c r="K465" s="46" t="s">
        <v>635</v>
      </c>
      <c r="L465" s="46" t="s">
        <v>636</v>
      </c>
    </row>
    <row r="466" spans="4:12" x14ac:dyDescent="0.25">
      <c r="D466" s="49" t="str">
        <f>'Input - Common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Common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Common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Common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Common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638</v>
      </c>
      <c r="E472" s="177">
        <f>SUM(G466:G470)</f>
        <v>0.84389999999999998</v>
      </c>
      <c r="F472" s="178" t="str">
        <f>$E$155</f>
        <v>t CO2e</v>
      </c>
    </row>
    <row r="473" spans="4:12" ht="20.25" x14ac:dyDescent="0.25">
      <c r="D473" s="179" t="s">
        <v>640</v>
      </c>
      <c r="E473" s="177">
        <f>SUM(I466:I470)</f>
        <v>0.71420000000000006</v>
      </c>
      <c r="F473" s="178" t="str">
        <f>$E$155</f>
        <v>t CO2e</v>
      </c>
    </row>
    <row r="476" spans="4:12" ht="18.75" x14ac:dyDescent="0.25">
      <c r="D476" s="144" t="s">
        <v>711</v>
      </c>
    </row>
    <row r="478" spans="4:12" x14ac:dyDescent="0.25">
      <c r="D478" s="46" t="s">
        <v>170</v>
      </c>
      <c r="E478" s="46" t="s">
        <v>710</v>
      </c>
      <c r="F478" s="57" t="s">
        <v>622</v>
      </c>
      <c r="G478" s="57" t="s">
        <v>638</v>
      </c>
      <c r="H478" s="46" t="s">
        <v>623</v>
      </c>
      <c r="I478" s="57" t="s">
        <v>640</v>
      </c>
      <c r="J478" s="46" t="s">
        <v>634</v>
      </c>
      <c r="K478" s="46" t="s">
        <v>635</v>
      </c>
      <c r="L478" s="46" t="s">
        <v>636</v>
      </c>
    </row>
    <row r="479" spans="4:12" x14ac:dyDescent="0.25">
      <c r="D479" s="49" t="str">
        <f>'Input - Livestock Farm Inputs'!D47</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638</v>
      </c>
      <c r="E483" s="177">
        <f>SUM(G479:G481)</f>
        <v>2.9531000000000005</v>
      </c>
      <c r="F483" s="178" t="str">
        <f>$E$155</f>
        <v>t CO2e</v>
      </c>
    </row>
    <row r="484" spans="4:14" ht="20.25" x14ac:dyDescent="0.25">
      <c r="D484" s="179" t="s">
        <v>640</v>
      </c>
      <c r="E484" s="177">
        <f>SUM(I479:I481)</f>
        <v>8.5860000000000006E-2</v>
      </c>
      <c r="F484" s="178" t="str">
        <f>$E$155</f>
        <v>t CO2e</v>
      </c>
    </row>
    <row r="487" spans="4:14" ht="18.75" x14ac:dyDescent="0.25">
      <c r="D487" s="144" t="s">
        <v>712</v>
      </c>
    </row>
    <row r="489" spans="4:14" x14ac:dyDescent="0.25">
      <c r="D489" s="46" t="s">
        <v>170</v>
      </c>
      <c r="E489" s="46" t="s">
        <v>604</v>
      </c>
      <c r="F489" s="46" t="s">
        <v>126</v>
      </c>
      <c r="G489" s="57" t="s">
        <v>421</v>
      </c>
      <c r="H489" s="57" t="s">
        <v>357</v>
      </c>
      <c r="I489" s="46" t="s">
        <v>422</v>
      </c>
      <c r="J489" s="46" t="s">
        <v>707</v>
      </c>
      <c r="K489" s="57" t="s">
        <v>358</v>
      </c>
      <c r="L489" s="46" t="s">
        <v>634</v>
      </c>
      <c r="M489" s="46" t="s">
        <v>635</v>
      </c>
      <c r="N489" s="46" t="s">
        <v>636</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827</v>
      </c>
      <c r="H490" s="49" t="s">
        <v>827</v>
      </c>
      <c r="I490" s="66">
        <v>4</v>
      </c>
      <c r="J490" s="47" t="s">
        <v>708</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827</v>
      </c>
      <c r="H491" s="49" t="s">
        <v>827</v>
      </c>
      <c r="I491" s="66">
        <v>2</v>
      </c>
      <c r="J491" s="47" t="s">
        <v>708</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827</v>
      </c>
      <c r="H492" s="49" t="s">
        <v>827</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827</v>
      </c>
      <c r="H493" s="49" t="s">
        <v>827</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827</v>
      </c>
      <c r="H494" s="49" t="s">
        <v>827</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827</v>
      </c>
      <c r="H495" s="49" t="s">
        <v>827</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827</v>
      </c>
      <c r="H496" s="49" t="s">
        <v>827</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827</v>
      </c>
      <c r="H497" s="49" t="s">
        <v>827</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827</v>
      </c>
      <c r="H498" s="49" t="s">
        <v>827</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827</v>
      </c>
      <c r="H499" s="49" t="s">
        <v>827</v>
      </c>
      <c r="I499" s="66"/>
      <c r="J499" s="47"/>
      <c r="K499" s="151" cm="1">
        <f t="array" ref="K499">Scope3_Equations.VEERG_15_10_1_1__1_OtherPurchasedGoodsAndServices(E499,IF(J499="kg / amount unit", I499*10^-3, I499))</f>
        <v>0</v>
      </c>
      <c r="L499" s="82"/>
      <c r="M499" s="47"/>
      <c r="N499" s="82"/>
    </row>
    <row r="501" spans="3:41" ht="20.25" x14ac:dyDescent="0.25">
      <c r="D501" s="179" t="s">
        <v>638</v>
      </c>
      <c r="E501" s="177" t="s">
        <v>827</v>
      </c>
      <c r="F501" s="178" t="str">
        <f>$E$155</f>
        <v>t CO2e</v>
      </c>
    </row>
    <row r="502" spans="3:41" ht="20.25" x14ac:dyDescent="0.25">
      <c r="D502" s="179" t="s">
        <v>640</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631</v>
      </c>
      <c r="E508" s="172" t="str">
        <f ca="1">Common_InputFunctions.Utility_DisplayFunctionName(VEERG_15_11_1_1__1_TotalUpstreamEmissionsFromFuel_Result)</f>
        <v>=Scope3_Equations.VEERG_15_11_1_1__1_TotalUpstreamEmissionsFromFuel</v>
      </c>
    </row>
    <row r="512" spans="3:41" x14ac:dyDescent="0.25">
      <c r="D512" s="27" t="s">
        <v>632</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746</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631</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632</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747</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631</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632</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747</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631</v>
      </c>
      <c r="E561" s="172" t="str" cm="1">
        <f t="array" aca="1" ref="E561" ca="1">Common_InputFunctions.Utility_DisplayFunctionName(E573)</f>
        <v>=Scope3_Equations.VEERG_15_13_1_1__1_EmissionsFromManureSentOffSite</v>
      </c>
    </row>
    <row r="564" spans="4:18" x14ac:dyDescent="0.25">
      <c r="D564" s="27" t="s">
        <v>632</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415</v>
      </c>
      <c r="L567" s="7" t="s">
        <v>416</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747</v>
      </c>
      <c r="E573" s="177" cm="1">
        <f t="array" ref="E573">Scope3_Equations.VEERG_15_13_1_1__1_EmissionsFromManureSentOffSite(J569,J570,J571)</f>
        <v>1.4315714285714286E-2</v>
      </c>
      <c r="F573" s="178" t="str">
        <f>$E$565</f>
        <v>t N2O</v>
      </c>
      <c r="L573" s="179" t="s">
        <v>747</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752</v>
      </c>
      <c r="E578" s="98" cm="1">
        <f t="array" ref="E578">Common_Equations.Common_ConvertN2OToCO2e(G575,G576)</f>
        <v>3.7936642857142857</v>
      </c>
      <c r="F578" s="175" t="str" cm="1">
        <f t="array" ref="F578">Common_Equations.Common_ConvertN2OToCO2e_Unit()</f>
        <v>t CO2e</v>
      </c>
      <c r="L578" s="98" t="s">
        <v>752</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632</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747</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631</v>
      </c>
      <c r="E594" s="172" t="str" cm="1">
        <f t="array" aca="1" ref="E594" ca="1">Common_InputFunctions.Utility_DisplayFunctionName(J609)</f>
        <v>=Scope3_Equations.VEERG_15_14_1_1__1_EmbeddedEmissionsFromUpstreamFreight</v>
      </c>
    </row>
    <row r="598" spans="4:13" x14ac:dyDescent="0.25">
      <c r="D598" s="27" t="s">
        <v>632</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811</v>
      </c>
    </row>
    <row r="608" spans="4:13" ht="17.25" x14ac:dyDescent="0.25">
      <c r="D608" s="46" t="s">
        <v>812</v>
      </c>
      <c r="E608" s="46" t="s">
        <v>824</v>
      </c>
      <c r="F608" s="46" t="s">
        <v>825</v>
      </c>
      <c r="G608" s="57" t="s">
        <v>826</v>
      </c>
      <c r="H608" s="57" t="s">
        <v>638</v>
      </c>
      <c r="I608" s="46" t="s">
        <v>674</v>
      </c>
      <c r="J608" s="57" t="s">
        <v>640</v>
      </c>
      <c r="K608" s="46" t="s">
        <v>634</v>
      </c>
      <c r="L608" s="46" t="s">
        <v>635</v>
      </c>
      <c r="M608" s="46" t="s">
        <v>636</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827</v>
      </c>
      <c r="H609" s="49" t="s">
        <v>827</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827</v>
      </c>
      <c r="H610" s="49" t="s">
        <v>827</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827</v>
      </c>
      <c r="H611" s="49" t="s">
        <v>827</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827</v>
      </c>
      <c r="H612" s="49" t="s">
        <v>827</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827</v>
      </c>
      <c r="H613" s="49" t="s">
        <v>827</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827</v>
      </c>
      <c r="H614" s="49" t="s">
        <v>827</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827</v>
      </c>
      <c r="H615" s="49" t="s">
        <v>827</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827</v>
      </c>
      <c r="H616" s="49" t="s">
        <v>827</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827</v>
      </c>
      <c r="H617" s="49" t="s">
        <v>827</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827</v>
      </c>
      <c r="H618" s="49" t="s">
        <v>827</v>
      </c>
      <c r="I618" s="66"/>
      <c r="J618" s="49" cm="1">
        <f t="array" ref="J618">Scope3_Equations.VEERG_15_14_1_1__1_EmbeddedEmissionsFromUpstreamFreight(E618,F618,I618)</f>
        <v>0</v>
      </c>
      <c r="K618" s="82"/>
      <c r="L618" s="47"/>
      <c r="M618" s="82"/>
    </row>
    <row r="620" spans="4:13" x14ac:dyDescent="0.25">
      <c r="D620" s="174" t="s">
        <v>830</v>
      </c>
      <c r="E620" s="98" t="s">
        <v>827</v>
      </c>
      <c r="F620" s="175" t="str">
        <f>$E$104</f>
        <v>t CO2e</v>
      </c>
    </row>
    <row r="621" spans="4:13" x14ac:dyDescent="0.25">
      <c r="D621" s="174" t="s">
        <v>831</v>
      </c>
      <c r="E621" s="98">
        <f>SUM(J609:J618)</f>
        <v>5146700</v>
      </c>
      <c r="F621" s="175" t="str">
        <f>$E$104</f>
        <v>t CO2e</v>
      </c>
    </row>
    <row r="624" spans="4:13" ht="18.75" x14ac:dyDescent="0.25">
      <c r="D624" s="144" t="s">
        <v>819</v>
      </c>
    </row>
    <row r="626" spans="4:13" ht="17.25" x14ac:dyDescent="0.25">
      <c r="D626" s="46" t="s">
        <v>812</v>
      </c>
      <c r="E626" s="46" t="s">
        <v>824</v>
      </c>
      <c r="F626" s="46" t="s">
        <v>825</v>
      </c>
      <c r="G626" s="57" t="s">
        <v>826</v>
      </c>
      <c r="H626" s="57" t="s">
        <v>638</v>
      </c>
      <c r="I626" s="46" t="s">
        <v>674</v>
      </c>
      <c r="J626" s="57" t="s">
        <v>640</v>
      </c>
      <c r="K626" s="46" t="s">
        <v>634</v>
      </c>
      <c r="L626" s="46" t="s">
        <v>635</v>
      </c>
      <c r="M626" s="46" t="s">
        <v>636</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827</v>
      </c>
      <c r="H627" s="49" t="s">
        <v>827</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827</v>
      </c>
      <c r="H628" s="49" t="s">
        <v>827</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827</v>
      </c>
      <c r="H629" s="49" t="s">
        <v>827</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827</v>
      </c>
      <c r="H630" s="49" t="s">
        <v>827</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827</v>
      </c>
      <c r="H631" s="49" t="s">
        <v>827</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827</v>
      </c>
      <c r="H632" s="49" t="s">
        <v>827</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827</v>
      </c>
      <c r="H633" s="49" t="s">
        <v>827</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827</v>
      </c>
      <c r="H634" s="49" t="s">
        <v>827</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827</v>
      </c>
      <c r="H635" s="49" t="s">
        <v>827</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827</v>
      </c>
      <c r="H636" s="49" t="s">
        <v>827</v>
      </c>
      <c r="I636" s="66"/>
      <c r="J636" s="49" cm="1">
        <f t="array" ref="J636">Scope3_Equations.VEERG_15_14_1_1__1_EmbeddedEmissionsFromUpstreamFreight(E636,F636,I636)</f>
        <v>0</v>
      </c>
      <c r="K636" s="82"/>
      <c r="L636" s="47"/>
      <c r="M636" s="82"/>
    </row>
    <row r="638" spans="4:13" x14ac:dyDescent="0.25">
      <c r="D638" s="174" t="s">
        <v>828</v>
      </c>
      <c r="E638" s="98" t="s">
        <v>827</v>
      </c>
      <c r="F638" s="175" t="str">
        <f>$E$104</f>
        <v>t CO2e</v>
      </c>
    </row>
    <row r="639" spans="4:13" x14ac:dyDescent="0.25">
      <c r="D639" s="174" t="s">
        <v>829</v>
      </c>
      <c r="E639" s="98">
        <f>SUM(J627:J636)</f>
        <v>432640</v>
      </c>
      <c r="F639" s="175" t="str">
        <f>$E$104</f>
        <v>t CO2e</v>
      </c>
    </row>
    <row r="641" spans="4:6" ht="20.25" x14ac:dyDescent="0.25">
      <c r="D641" s="176" t="s">
        <v>638</v>
      </c>
      <c r="E641" s="177" t="s">
        <v>827</v>
      </c>
      <c r="F641" s="178" t="str">
        <f>$E$104</f>
        <v>t CO2e</v>
      </c>
    </row>
    <row r="642" spans="4:6" ht="20.25" x14ac:dyDescent="0.25">
      <c r="D642" s="176" t="s">
        <v>640</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796</v>
      </c>
    </row>
    <row r="2" spans="1:12" s="2" customFormat="1" ht="20.100000000000001" customHeight="1" x14ac:dyDescent="0.25">
      <c r="A2"/>
    </row>
    <row r="3" spans="1:12" ht="20.100000000000001" customHeight="1" x14ac:dyDescent="0.25">
      <c r="A3" s="16" t="str">
        <f>HYPERLINK("#'Overview'!A1", "Overview")</f>
        <v>Overview</v>
      </c>
      <c r="C3" s="5"/>
      <c r="D3" s="5" t="s">
        <v>415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631</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632</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797</v>
      </c>
    </row>
    <row r="19" spans="1:9" ht="20.100000000000001" customHeight="1" x14ac:dyDescent="0.25">
      <c r="A19" s="21" t="s">
        <v>77</v>
      </c>
      <c r="D19" s="56" t="s">
        <v>798</v>
      </c>
    </row>
    <row r="20" spans="1:9" ht="20.100000000000001" customHeight="1" x14ac:dyDescent="0.25">
      <c r="A20" s="16" t="str">
        <f>HYPERLINK("#'15 Scope 3'!A1", "15 Scope 3")</f>
        <v>15 Scope 3</v>
      </c>
      <c r="D20" s="46" t="s">
        <v>799</v>
      </c>
      <c r="E20" s="46" t="s">
        <v>800</v>
      </c>
      <c r="F20" s="46"/>
      <c r="G20" s="46" t="s">
        <v>801</v>
      </c>
      <c r="H20" s="57" t="s">
        <v>802</v>
      </c>
      <c r="I20" s="57" t="s">
        <v>803</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852</v>
      </c>
      <c r="H32" s="49" t="s">
        <v>852</v>
      </c>
      <c r="I32" s="49" t="s">
        <v>852</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852</v>
      </c>
      <c r="H43" s="49" t="s">
        <v>852</v>
      </c>
      <c r="I43" s="49" t="s">
        <v>852</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852</v>
      </c>
      <c r="H49" s="49" t="s">
        <v>852</v>
      </c>
      <c r="I49" s="49" t="s">
        <v>852</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804</v>
      </c>
    </row>
    <row r="57" spans="4:9" ht="20.100000000000001" customHeight="1" x14ac:dyDescent="0.25">
      <c r="D57" s="56" t="s">
        <v>805</v>
      </c>
    </row>
    <row r="58" spans="4:9" ht="20.100000000000001" customHeight="1" x14ac:dyDescent="0.25">
      <c r="D58" s="46" t="s">
        <v>799</v>
      </c>
      <c r="E58" s="46" t="s">
        <v>800</v>
      </c>
      <c r="F58" s="46"/>
      <c r="G58" s="46" t="s">
        <v>801</v>
      </c>
      <c r="H58" s="57" t="s">
        <v>802</v>
      </c>
      <c r="I58" s="57" t="s">
        <v>803</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852</v>
      </c>
      <c r="H70" s="49" t="s">
        <v>852</v>
      </c>
      <c r="I70" s="49" t="s">
        <v>852</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852</v>
      </c>
      <c r="H81" s="49" t="s">
        <v>852</v>
      </c>
      <c r="I81" s="49" t="s">
        <v>852</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852</v>
      </c>
      <c r="H87" s="49" t="s">
        <v>852</v>
      </c>
      <c r="I87" s="49" t="s">
        <v>852</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631</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632</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806</v>
      </c>
    </row>
    <row r="114" spans="4:11" ht="20.100000000000001" customHeight="1" x14ac:dyDescent="0.25">
      <c r="D114" s="56" t="s">
        <v>807</v>
      </c>
    </row>
    <row r="115" spans="4:11" ht="20.100000000000001" customHeight="1" x14ac:dyDescent="0.25">
      <c r="D115" s="46" t="s">
        <v>799</v>
      </c>
      <c r="E115" s="46" t="s">
        <v>800</v>
      </c>
      <c r="F115" s="46"/>
      <c r="G115" s="46" t="s">
        <v>853</v>
      </c>
      <c r="H115" s="57" t="s">
        <v>854</v>
      </c>
      <c r="I115" s="57" t="s">
        <v>803</v>
      </c>
      <c r="J115" s="57" t="s">
        <v>855</v>
      </c>
      <c r="K115" s="57" t="s">
        <v>856</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852</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857</v>
      </c>
      <c r="J128" s="49" t="s">
        <v>852</v>
      </c>
      <c r="K128" s="49" t="s">
        <v>852</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857</v>
      </c>
      <c r="J129" s="49" t="s">
        <v>852</v>
      </c>
      <c r="K129" s="49" t="s">
        <v>852</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857</v>
      </c>
      <c r="J130" s="49" t="s">
        <v>852</v>
      </c>
      <c r="K130" s="49" t="s">
        <v>852</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857</v>
      </c>
      <c r="J131" s="49" t="s">
        <v>852</v>
      </c>
      <c r="K131" s="49" t="s">
        <v>852</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852</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857</v>
      </c>
      <c r="J139" s="49" t="s">
        <v>852</v>
      </c>
      <c r="K139" s="49" t="s">
        <v>852</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857</v>
      </c>
      <c r="J140" s="49" t="s">
        <v>852</v>
      </c>
      <c r="K140" s="49" t="s">
        <v>852</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857</v>
      </c>
      <c r="J141" s="49" t="s">
        <v>852</v>
      </c>
      <c r="K141" s="49" t="s">
        <v>852</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857</v>
      </c>
      <c r="J142" s="49" t="s">
        <v>852</v>
      </c>
      <c r="K142" s="49" t="s">
        <v>852</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857</v>
      </c>
      <c r="J143" s="49" t="s">
        <v>852</v>
      </c>
      <c r="K143" s="49" t="s">
        <v>852</v>
      </c>
    </row>
    <row r="144" spans="4:11" ht="20.100000000000001" customHeight="1" x14ac:dyDescent="0.25">
      <c r="D144" s="167" t="str">
        <v>Anaerobic digestion</v>
      </c>
      <c r="E144" s="171" t="str">
        <v>All organic waste</v>
      </c>
      <c r="F144" s="166"/>
      <c r="G144" s="49" t="s">
        <v>852</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857</v>
      </c>
      <c r="J145" s="49" t="s">
        <v>852</v>
      </c>
      <c r="K145" s="49" t="s">
        <v>852</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857</v>
      </c>
      <c r="J146" s="49" t="s">
        <v>852</v>
      </c>
      <c r="K146" s="49" t="s">
        <v>852</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857</v>
      </c>
      <c r="J147" s="49" t="s">
        <v>852</v>
      </c>
      <c r="K147" s="49" t="s">
        <v>852</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857</v>
      </c>
      <c r="J148" s="49" t="s">
        <v>852</v>
      </c>
      <c r="K148" s="49" t="s">
        <v>852</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857</v>
      </c>
      <c r="J149" s="49" t="s">
        <v>852</v>
      </c>
      <c r="K149" s="49" t="s">
        <v>852</v>
      </c>
    </row>
    <row r="150" spans="4:11" ht="20.100000000000001" customHeight="1" x14ac:dyDescent="0.25"/>
    <row r="151" spans="4:11" ht="20.100000000000001" customHeight="1" x14ac:dyDescent="0.25">
      <c r="D151" s="176" t="s">
        <v>808</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809</v>
      </c>
    </row>
    <row r="155" spans="4:11" ht="20.100000000000001" customHeight="1" x14ac:dyDescent="0.25">
      <c r="D155" s="56" t="s">
        <v>810</v>
      </c>
    </row>
    <row r="156" spans="4:11" ht="20.100000000000001" customHeight="1" x14ac:dyDescent="0.25">
      <c r="D156" s="46" t="s">
        <v>799</v>
      </c>
      <c r="E156" s="46" t="s">
        <v>800</v>
      </c>
      <c r="F156" s="46"/>
      <c r="G156" s="46" t="s">
        <v>853</v>
      </c>
      <c r="H156" s="57" t="s">
        <v>854</v>
      </c>
      <c r="I156" s="57" t="s">
        <v>803</v>
      </c>
      <c r="J156" s="57" t="s">
        <v>855</v>
      </c>
      <c r="K156" s="57" t="s">
        <v>856</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852</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857</v>
      </c>
      <c r="J169" s="49" t="s">
        <v>852</v>
      </c>
      <c r="K169" s="49" t="s">
        <v>852</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857</v>
      </c>
      <c r="J170" s="49" t="s">
        <v>852</v>
      </c>
      <c r="K170" s="49" t="s">
        <v>852</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857</v>
      </c>
      <c r="J171" s="49" t="s">
        <v>852</v>
      </c>
      <c r="K171" s="49" t="s">
        <v>852</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857</v>
      </c>
      <c r="J172" s="49" t="s">
        <v>852</v>
      </c>
      <c r="K172" s="49" t="s">
        <v>852</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852</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857</v>
      </c>
      <c r="J180" s="49" t="s">
        <v>852</v>
      </c>
      <c r="K180" s="49" t="s">
        <v>852</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857</v>
      </c>
      <c r="J181" s="49" t="s">
        <v>852</v>
      </c>
      <c r="K181" s="49" t="s">
        <v>852</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857</v>
      </c>
      <c r="J182" s="49" t="s">
        <v>852</v>
      </c>
      <c r="K182" s="49" t="s">
        <v>852</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857</v>
      </c>
      <c r="J183" s="49" t="s">
        <v>852</v>
      </c>
      <c r="K183" s="49" t="s">
        <v>852</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857</v>
      </c>
      <c r="J184" s="49" t="s">
        <v>852</v>
      </c>
      <c r="K184" s="49" t="s">
        <v>852</v>
      </c>
    </row>
    <row r="185" spans="4:11" ht="20.100000000000001" customHeight="1" x14ac:dyDescent="0.25">
      <c r="D185" s="167" t="str">
        <v>Anaerobic digestion</v>
      </c>
      <c r="E185" s="171" t="str">
        <v>All organic waste</v>
      </c>
      <c r="F185" s="166"/>
      <c r="G185" s="49" t="s">
        <v>852</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857</v>
      </c>
      <c r="J186" s="49" t="s">
        <v>852</v>
      </c>
      <c r="K186" s="49" t="s">
        <v>852</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857</v>
      </c>
      <c r="J187" s="49" t="s">
        <v>852</v>
      </c>
      <c r="K187" s="49" t="s">
        <v>852</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857</v>
      </c>
      <c r="J188" s="49" t="s">
        <v>852</v>
      </c>
      <c r="K188" s="49" t="s">
        <v>852</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857</v>
      </c>
      <c r="J189" s="49" t="s">
        <v>852</v>
      </c>
      <c r="K189" s="49" t="s">
        <v>852</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857</v>
      </c>
      <c r="J190" s="49" t="s">
        <v>852</v>
      </c>
      <c r="K190" s="49" t="s">
        <v>852</v>
      </c>
    </row>
    <row r="191" spans="4:11" ht="20.100000000000001" customHeight="1" x14ac:dyDescent="0.25"/>
    <row r="192" spans="4:11" ht="20.100000000000001" customHeight="1" x14ac:dyDescent="0.25">
      <c r="D192" s="176" t="s">
        <v>808</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862</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415</v>
      </c>
      <c r="E3" s="5"/>
      <c r="F3" s="5"/>
      <c r="G3" s="5"/>
      <c r="H3" s="5"/>
      <c r="I3" s="5"/>
      <c r="J3" s="5"/>
      <c r="K3" s="5"/>
      <c r="M3" s="5"/>
      <c r="N3" s="5" t="s">
        <v>416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631</v>
      </c>
      <c r="E7" s="172" t="str">
        <f ca="1">Common_InputFunctions.Utility_DisplayFunctionName(VEERG_5_2_1_1__1_OrganicFertiliserApplicationN2OEmissions_Result_Method1)</f>
        <v>=Fertiliser_Equations_OrganicN2O.VEERG_5_2_1_1__1_OrganicFertiliserApplicationN2OEmissions</v>
      </c>
      <c r="N7" s="172" t="s">
        <v>631</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632</v>
      </c>
      <c r="E10" s="8" t="str" cm="1">
        <f t="array" ref="E10">Fertiliser_Equations_OrganicN2O.VEERG_5_2_1_1__1_OrganicFertiliserApplicationN2OEmissions_Variable()</f>
        <v>E_N2O</v>
      </c>
      <c r="N10" s="27" t="s">
        <v>632</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751</v>
      </c>
      <c r="E19" s="177" cm="1">
        <f t="array" ref="E19">Fertiliser_Equations_OrganicN2O.VEERG_5_2_1_1__1_OrganicFertiliserApplicationN2OEmissions(J13,J14,J15)</f>
        <v>7.8571428571428577E-3</v>
      </c>
      <c r="F19" s="178" t="str">
        <f>$E$11</f>
        <v>t N2O</v>
      </c>
      <c r="N19" s="176" t="s">
        <v>751</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631</v>
      </c>
      <c r="E26" s="172" t="str" cm="1">
        <f t="array" aca="1" ref="E26" ca="1">Common_InputFunctions.Utility_DisplayFunctionName(E35)</f>
        <v>=Fertiliser_Equations_AtmosphericDeposition.VEERG_5_4_1_3__2_MassOfNitrogenVolatilisedFromOrganicFertiliser</v>
      </c>
      <c r="N26" s="172" t="s">
        <v>631</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632</v>
      </c>
      <c r="E29" s="8" t="str" cm="1">
        <f t="array" ref="E29">Fertiliser_Equations_AtmosphericDeposition.VEERG_5_4_1_3__2_MassOfNitrogenVolatilisedFromOrganicFertiliser_Variable()</f>
        <v>M_volorganicjf</v>
      </c>
      <c r="N29" s="27" t="s">
        <v>632</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753</v>
      </c>
      <c r="E35" s="98" cm="1">
        <f t="array" ref="E35">Fertiliser_Equations_AtmosphericDeposition.VEERG_5_4_1_3__2_MassOfNitrogenVolatilisedFromOrganicFertiliser(I32,I33)</f>
        <v>210</v>
      </c>
      <c r="F35" s="175" t="str">
        <f>E30</f>
        <v>kg N</v>
      </c>
      <c r="N35" s="174" t="s">
        <v>753</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631</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631</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632</v>
      </c>
      <c r="E45" s="8" t="str" cm="1">
        <f t="array" ref="E45">Fertiliser_Equations_AtmosphericDeposition.VEERG_5_4_1_3__1_OrganicFertiliserAtmosphericDepositionN2OEmissions_Variable()</f>
        <v>E_adorganic</v>
      </c>
      <c r="N45" s="27" t="s">
        <v>632</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767</v>
      </c>
      <c r="E55" s="177" cm="1">
        <f t="array" ref="E55">Fertiliser_Equations_AtmosphericDeposition.VEERG_5_4_1_3__1_OrganicFertiliserAtmosphericDepositionN2OEmissions(I48,I49,I50)</f>
        <v>2.31E-3</v>
      </c>
      <c r="F55" s="178" t="str">
        <f>$E$46</f>
        <v>t N2O</v>
      </c>
      <c r="N55" s="176" t="s">
        <v>767</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631</v>
      </c>
      <c r="E61" s="172" t="str" cm="1">
        <f t="array" aca="1" ref="E61" ca="1">Common_InputFunctions.Utility_DisplayFunctionName(E74)</f>
        <v>=Fertiliser_Equations_LeachingAndRunoff.VEERG_5_5_1_1__3_MassOfNitrogenLeachedFromOrganicFertiliser</v>
      </c>
      <c r="N61" s="172" t="s">
        <v>631</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632</v>
      </c>
      <c r="E64" s="8" t="str" cm="1">
        <f t="array" ref="E64">Fertiliser_Equations_LeachingAndRunoff.VEERG_5_5_1_1__3_MassOfNitrogenLeachedFromOrganicFertiliser_Variable()</f>
        <v>M_leachorganicj</v>
      </c>
      <c r="N64" s="27" t="s">
        <v>632</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768</v>
      </c>
      <c r="E74" s="98" cm="1">
        <f t="array" ref="E74">Fertiliser_Equations_LeachingAndRunoff.VEERG_5_5_1_1__3_MassOfNitrogenLeachedFromOrganicFertiliser(I67,I68,I69)</f>
        <v>240</v>
      </c>
      <c r="F74" s="175" t="str">
        <f>$E$65</f>
        <v>kg N</v>
      </c>
      <c r="N74" s="174" t="s">
        <v>768</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631</v>
      </c>
      <c r="E79" s="172" t="str">
        <f ca="1">Common_InputFunctions.Utility_DisplayFunctionName(VEERG_5_5_1_1__1_FertiliserLeachingAndRunoffN2OEmissions_Result_Method1)</f>
        <v>=Fertiliser_Equations_LeachingAndRunoff.VEERG_5_5_1_1__1_FertiliserLeachingAndRunoffN2OEmissions</v>
      </c>
      <c r="N79" s="172" t="s">
        <v>631</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632</v>
      </c>
      <c r="E82" s="8" t="str" cm="1">
        <f t="array" ref="E82">Fertiliser_Equations_LeachingAndRunoff.VEERG_5_5_1_1__1_FertiliserLeachingAndRunoffN2OEmissions_Variable()</f>
        <v>E_fertleach</v>
      </c>
      <c r="N82" s="27" t="s">
        <v>632</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769</v>
      </c>
      <c r="E90" s="177" cm="1">
        <f t="array" ref="E90">Fertiliser_Equations_LeachingAndRunoff.VEERG_5_5_1_1__1_FertiliserLeachingAndRunoffN2OEmissions(J85,J86,J87,J88)</f>
        <v>4.1485714285714277E-3</v>
      </c>
      <c r="F90" s="178" t="str">
        <f>$E$83</f>
        <v>t N2O</v>
      </c>
      <c r="N90" s="176" t="s">
        <v>769</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715</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631</v>
      </c>
      <c r="E7" s="172" t="str" cm="1">
        <f t="array" aca="1" ref="E7" ca="1">Common_InputFunctions.Utility_DisplayFunctionName(N25)</f>
        <v>=Fuel_Equations.VEERG_8_1_1_1__1_FuelCombustionTransport</v>
      </c>
      <c r="K7" s="172" t="s">
        <v>631</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632</v>
      </c>
      <c r="E11" s="8" t="str" cm="1">
        <f t="array" ref="E11">Fuel_Equations.VEERG_8_1_1_1__1_FuelCombustionTransport_Variable()</f>
        <v>E_g</v>
      </c>
      <c r="K11" s="27" t="s">
        <v>632</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716</v>
      </c>
      <c r="H24" s="57" t="s">
        <v>717</v>
      </c>
      <c r="I24" s="57" t="s">
        <v>718</v>
      </c>
      <c r="J24" s="57" t="s">
        <v>719</v>
      </c>
      <c r="K24" s="57" t="s">
        <v>720</v>
      </c>
      <c r="L24" s="46" t="s">
        <v>721</v>
      </c>
      <c r="M24" s="57" t="s">
        <v>722</v>
      </c>
      <c r="N24" s="57" t="s">
        <v>723</v>
      </c>
      <c r="O24" s="57" t="s">
        <v>724</v>
      </c>
      <c r="P24" s="57" t="s">
        <v>725</v>
      </c>
      <c r="Q24" s="57" t="s">
        <v>726</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727</v>
      </c>
      <c r="E43" s="196">
        <f>SUM(N25:N32)</f>
        <v>0.26981400000000005</v>
      </c>
      <c r="F43" s="65" t="str">
        <f>$E$12</f>
        <v>t CO2-e</v>
      </c>
    </row>
    <row r="44" spans="1:17" ht="20.100000000000001" customHeight="1" x14ac:dyDescent="0.25">
      <c r="A44"/>
      <c r="D44" s="7" t="s">
        <v>728</v>
      </c>
      <c r="E44" s="196">
        <f>SUM(O25:O32)</f>
        <v>3.8600000000000003E-5</v>
      </c>
      <c r="F44" s="65" t="str">
        <f t="shared" ref="F44:F46" si="1">$E$12</f>
        <v>t CO2-e</v>
      </c>
    </row>
    <row r="45" spans="1:17" ht="20.100000000000001" customHeight="1" x14ac:dyDescent="0.25">
      <c r="A45"/>
      <c r="D45" s="7" t="s">
        <v>729</v>
      </c>
      <c r="E45" s="196">
        <f>SUM(P25:P32)</f>
        <v>1.9300000000000003E-3</v>
      </c>
      <c r="F45" s="65" t="str">
        <f t="shared" si="1"/>
        <v>t CO2-e</v>
      </c>
    </row>
    <row r="46" spans="1:17" ht="20.100000000000001" customHeight="1" x14ac:dyDescent="0.25">
      <c r="A46"/>
      <c r="D46" s="7" t="s">
        <v>730</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727</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728</v>
      </c>
      <c r="E50" s="196">
        <f>SUM(O33:O33)</f>
        <v>0</v>
      </c>
      <c r="F50" s="65" t="str">
        <f t="shared" si="2"/>
        <v>t CO2-e</v>
      </c>
      <c r="H50" s="17"/>
      <c r="I50" s="17"/>
      <c r="J50" s="17"/>
      <c r="L50" s="17"/>
      <c r="M50" s="17"/>
      <c r="N50" s="17"/>
      <c r="O50" s="17"/>
      <c r="P50" s="17"/>
      <c r="Q50" s="17"/>
    </row>
    <row r="51" spans="1:17" ht="20.100000000000001" customHeight="1" x14ac:dyDescent="0.25">
      <c r="A51"/>
      <c r="D51" s="7" t="s">
        <v>729</v>
      </c>
      <c r="E51" s="196">
        <f>SUM(P33:P33)</f>
        <v>0</v>
      </c>
      <c r="F51" s="65" t="str">
        <f t="shared" si="2"/>
        <v>t CO2-e</v>
      </c>
      <c r="H51" s="17"/>
      <c r="I51" s="17"/>
      <c r="J51" s="17"/>
      <c r="L51" s="17"/>
      <c r="M51" s="17"/>
      <c r="N51" s="17"/>
      <c r="O51" s="17"/>
      <c r="P51" s="17"/>
      <c r="Q51" s="17"/>
    </row>
    <row r="52" spans="1:17" ht="20.100000000000001" customHeight="1" x14ac:dyDescent="0.25">
      <c r="A52"/>
      <c r="D52" s="7" t="s">
        <v>730</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727</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728</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729</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730</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727</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728</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729</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730</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731</v>
      </c>
      <c r="E66" s="199"/>
      <c r="F66" s="195"/>
      <c r="G66" s="17"/>
      <c r="H66" s="17"/>
      <c r="I66" s="17"/>
      <c r="J66" s="17"/>
      <c r="L66" s="17"/>
      <c r="M66" s="17"/>
      <c r="N66" s="17"/>
      <c r="O66" s="17"/>
      <c r="P66" s="17"/>
      <c r="Q66" s="17"/>
    </row>
    <row r="67" spans="1:17" ht="20.100000000000001" customHeight="1" x14ac:dyDescent="0.25">
      <c r="A67"/>
      <c r="D67" s="7" t="s">
        <v>727</v>
      </c>
      <c r="E67" s="196">
        <f>E43+E49+E55+E61</f>
        <v>0.76139800000000024</v>
      </c>
      <c r="F67" s="65" t="str">
        <f t="shared" ref="F67:F70" si="5">$E$12</f>
        <v>t CO2-e</v>
      </c>
      <c r="G67" s="17"/>
    </row>
    <row r="68" spans="1:17" ht="20.100000000000001" customHeight="1" x14ac:dyDescent="0.25">
      <c r="A68"/>
      <c r="D68" s="7" t="s">
        <v>728</v>
      </c>
      <c r="E68" s="196">
        <f t="shared" ref="E68:E70" si="6">E44+E50+E56+E62</f>
        <v>1.0092E-3</v>
      </c>
      <c r="F68" s="65" t="str">
        <f t="shared" si="5"/>
        <v>t CO2-e</v>
      </c>
      <c r="G68" s="17"/>
    </row>
    <row r="69" spans="1:17" ht="20.100000000000001" customHeight="1" x14ac:dyDescent="0.25">
      <c r="A69"/>
      <c r="D69" s="7" t="s">
        <v>729</v>
      </c>
      <c r="E69" s="196">
        <f t="shared" si="6"/>
        <v>5.8460000000000014E-3</v>
      </c>
      <c r="F69" s="65" t="str">
        <f t="shared" si="5"/>
        <v>t CO2-e</v>
      </c>
      <c r="G69" s="17"/>
    </row>
    <row r="70" spans="1:17" ht="20.100000000000001" customHeight="1" x14ac:dyDescent="0.25">
      <c r="A70"/>
      <c r="D70" s="7" t="s">
        <v>730</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732</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631</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631</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632</v>
      </c>
      <c r="E11" s="8" t="str" cm="1">
        <f t="array" ref="E11">Fuel_Equations.VEERG_8_2_1_1__1_FuelCombustionStationary_Variable()</f>
        <v>E_g</v>
      </c>
      <c r="K11" s="27" t="s">
        <v>632</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733</v>
      </c>
    </row>
    <row r="24" spans="1:17" ht="20.100000000000001" customHeight="1" x14ac:dyDescent="0.25">
      <c r="A24" s="180" t="str">
        <f>HYPERLINK("#'8.2.1.1-2 Stationary fuel'!A1", "8.2.1.1-2 Stationary fuel")</f>
        <v>8.2.1.1-2 Stationary fuel</v>
      </c>
      <c r="D24" s="57" t="s">
        <v>131</v>
      </c>
      <c r="E24" s="57" t="s">
        <v>132</v>
      </c>
      <c r="F24" s="57" t="s">
        <v>133</v>
      </c>
      <c r="G24" s="57" t="s">
        <v>734</v>
      </c>
      <c r="H24" s="57" t="s">
        <v>735</v>
      </c>
      <c r="I24" s="57" t="s">
        <v>736</v>
      </c>
      <c r="J24" s="57" t="s">
        <v>737</v>
      </c>
      <c r="K24" s="57" t="s">
        <v>738</v>
      </c>
      <c r="L24" s="46" t="s">
        <v>739</v>
      </c>
      <c r="M24" s="57" t="s">
        <v>722</v>
      </c>
      <c r="N24" s="57" t="s">
        <v>723</v>
      </c>
      <c r="O24" s="57" t="s">
        <v>724</v>
      </c>
      <c r="P24" s="57" t="s">
        <v>725</v>
      </c>
      <c r="Q24" s="57" t="s">
        <v>740</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727</v>
      </c>
      <c r="E43" s="196">
        <f>SUM(N25:N31)</f>
        <v>0</v>
      </c>
      <c r="F43" s="65" t="str">
        <f>$E$12</f>
        <v>t CO2-e</v>
      </c>
    </row>
    <row r="44" spans="1:17" ht="20.100000000000001" customHeight="1" x14ac:dyDescent="0.25">
      <c r="A44"/>
      <c r="D44" s="7" t="s">
        <v>728</v>
      </c>
      <c r="E44" s="196">
        <f>SUM(O25:O31)</f>
        <v>0</v>
      </c>
      <c r="F44" s="65" t="str">
        <f t="shared" ref="F44:F46" si="2">$E$12</f>
        <v>t CO2-e</v>
      </c>
    </row>
    <row r="45" spans="1:17" ht="20.100000000000001" customHeight="1" x14ac:dyDescent="0.25">
      <c r="A45"/>
      <c r="D45" s="7" t="s">
        <v>729</v>
      </c>
      <c r="E45" s="196">
        <f>SUM(P25:P31)</f>
        <v>0</v>
      </c>
      <c r="F45" s="65" t="str">
        <f t="shared" si="2"/>
        <v>t CO2-e</v>
      </c>
    </row>
    <row r="46" spans="1:17" ht="20.100000000000001" customHeight="1" x14ac:dyDescent="0.25">
      <c r="A46"/>
      <c r="D46" s="7" t="s">
        <v>730</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727</v>
      </c>
      <c r="E49" s="196">
        <f>SUM(N32:N40)</f>
        <v>1.204E-2</v>
      </c>
      <c r="F49" s="65" t="str">
        <f t="shared" ref="F49:F52" si="3">$E$12</f>
        <v>t CO2-e</v>
      </c>
      <c r="H49" s="17"/>
      <c r="I49" s="17"/>
      <c r="J49" s="17"/>
      <c r="L49" s="17"/>
      <c r="N49" s="17"/>
      <c r="O49" s="17"/>
      <c r="P49" s="17"/>
      <c r="Q49" s="17"/>
    </row>
    <row r="50" spans="1:17" ht="20.100000000000001" customHeight="1" x14ac:dyDescent="0.25">
      <c r="A50"/>
      <c r="D50" s="7" t="s">
        <v>728</v>
      </c>
      <c r="E50" s="196">
        <f>SUM(O32:O40)</f>
        <v>7.9999999999999996E-6</v>
      </c>
      <c r="F50" s="65" t="str">
        <f t="shared" si="3"/>
        <v>t CO2-e</v>
      </c>
      <c r="H50" s="17"/>
      <c r="I50" s="17"/>
      <c r="J50" s="17"/>
      <c r="L50" s="17"/>
      <c r="N50" s="17"/>
      <c r="O50" s="17"/>
      <c r="P50" s="17"/>
      <c r="Q50" s="17"/>
    </row>
    <row r="51" spans="1:17" ht="20.100000000000001" customHeight="1" x14ac:dyDescent="0.25">
      <c r="A51"/>
      <c r="D51" s="7" t="s">
        <v>729</v>
      </c>
      <c r="E51" s="196">
        <f>SUM(P32:P40)</f>
        <v>6.0000000000000002E-6</v>
      </c>
      <c r="F51" s="65" t="str">
        <f t="shared" si="3"/>
        <v>t CO2-e</v>
      </c>
      <c r="H51" s="17"/>
      <c r="I51" s="17"/>
      <c r="J51" s="17"/>
      <c r="L51" s="17"/>
      <c r="N51" s="17"/>
      <c r="O51" s="17"/>
      <c r="P51" s="17"/>
      <c r="Q51" s="17"/>
    </row>
    <row r="52" spans="1:17" ht="20.100000000000001" customHeight="1" x14ac:dyDescent="0.25">
      <c r="A52"/>
      <c r="D52" s="7" t="s">
        <v>730</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741</v>
      </c>
      <c r="E54" s="197"/>
      <c r="F54" s="195"/>
      <c r="G54" s="17"/>
      <c r="H54" s="17"/>
      <c r="I54" s="17"/>
      <c r="J54" s="17"/>
      <c r="L54" s="17"/>
      <c r="N54" s="17"/>
      <c r="O54" s="17"/>
      <c r="P54" s="17"/>
      <c r="Q54" s="17"/>
    </row>
    <row r="55" spans="1:17" ht="20.100000000000001" customHeight="1" x14ac:dyDescent="0.25">
      <c r="A55"/>
      <c r="D55" s="7" t="s">
        <v>727</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728</v>
      </c>
      <c r="E56" s="196">
        <f>E44+E50</f>
        <v>7.9999999999999996E-6</v>
      </c>
      <c r="F56" s="65" t="str">
        <f t="shared" si="4"/>
        <v>t CO2-e</v>
      </c>
    </row>
    <row r="57" spans="1:17" ht="20.100000000000001" customHeight="1" x14ac:dyDescent="0.25">
      <c r="A57"/>
      <c r="D57" s="7" t="s">
        <v>729</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730</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364</v>
      </c>
      <c r="K32" s="8" t="s">
        <v>435</v>
      </c>
    </row>
    <row r="33" spans="1:12" ht="20.100000000000001" customHeight="1" x14ac:dyDescent="0.25">
      <c r="A33" s="16" t="str">
        <f>HYPERLINK("#'Constants - Dairy'!A1", "Constants - Dairy")</f>
        <v>Constants - Dairy</v>
      </c>
      <c r="D33" s="10" t="s">
        <v>319</v>
      </c>
      <c r="E33" s="10" t="s">
        <v>217</v>
      </c>
      <c r="F33" s="10" t="s">
        <v>320</v>
      </c>
      <c r="G33" s="10" t="s">
        <v>284</v>
      </c>
      <c r="H33" s="10" t="s">
        <v>285</v>
      </c>
      <c r="I33" s="10" t="s">
        <v>365</v>
      </c>
      <c r="K33" s="10" t="s">
        <v>389</v>
      </c>
      <c r="L33" s="10" t="s">
        <v>518</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439</v>
      </c>
      <c r="L39" s="10" t="s">
        <v>345</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438</v>
      </c>
      <c r="L40" s="10" t="s">
        <v>345</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440</v>
      </c>
      <c r="L41" s="10" t="s">
        <v>345</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441</v>
      </c>
      <c r="L42" s="10" t="s">
        <v>437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442</v>
      </c>
      <c r="L43" s="10" t="s">
        <v>437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443</v>
      </c>
      <c r="L44" s="10" t="s">
        <v>437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444</v>
      </c>
      <c r="L45" s="10" t="s">
        <v>339</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445</v>
      </c>
      <c r="L46" s="10" t="s">
        <v>339</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446</v>
      </c>
      <c r="L47" s="10" t="s">
        <v>339</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447</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217</v>
      </c>
      <c r="L151" s="153"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773</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774</v>
      </c>
      <c r="K15" s="8" t="s">
        <v>775</v>
      </c>
      <c r="M15" s="8" t="s">
        <v>776</v>
      </c>
      <c r="O15" s="8" t="s">
        <v>777</v>
      </c>
    </row>
    <row r="16" spans="1:35" ht="20.100000000000001" customHeight="1" x14ac:dyDescent="0.25">
      <c r="A16" s="16" t="str">
        <f>HYPERLINK("#'Input - Electricity'!A1", "Electricity")</f>
        <v>Electricity</v>
      </c>
      <c r="D16" s="10" t="s">
        <v>778</v>
      </c>
      <c r="E16" s="10" t="s">
        <v>779</v>
      </c>
      <c r="F16" s="10" t="s">
        <v>780</v>
      </c>
      <c r="G16" s="10" t="s">
        <v>781</v>
      </c>
      <c r="I16" s="10" t="s">
        <v>779</v>
      </c>
      <c r="K16" s="160" t="s">
        <v>779</v>
      </c>
      <c r="M16" s="160" t="s">
        <v>779</v>
      </c>
      <c r="O16" s="160" t="s">
        <v>779</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779</v>
      </c>
      <c r="E57" s="10" t="s">
        <v>782</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713</v>
      </c>
      <c r="F112" s="20" t="s">
        <v>714</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577</v>
      </c>
      <c r="E8" s="10" t="s">
        <v>578</v>
      </c>
      <c r="F8" s="10" t="s">
        <v>579</v>
      </c>
      <c r="G8" s="10" t="s">
        <v>580</v>
      </c>
      <c r="H8" s="10" t="s">
        <v>581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582</v>
      </c>
      <c r="E19" s="10" t="s">
        <v>583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584</v>
      </c>
      <c r="G26" s="9" t="s">
        <v>585</v>
      </c>
      <c r="J26" s="9" t="s">
        <v>586</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527</v>
      </c>
      <c r="E28" s="10" t="s">
        <v>331</v>
      </c>
      <c r="G28" s="159" t="s">
        <v>527</v>
      </c>
      <c r="H28" s="10" t="s">
        <v>331</v>
      </c>
      <c r="J28" s="159" t="s">
        <v>527</v>
      </c>
      <c r="K28" s="10" t="s">
        <v>331</v>
      </c>
      <c r="M28" s="8"/>
    </row>
    <row r="29" spans="1:13" ht="20.100000000000001" customHeight="1" x14ac:dyDescent="0.25">
      <c r="A29" s="16" t="str">
        <f>HYPERLINK("#'Constants - Solid Waste'!A1", "Constants - Solid Waste")</f>
        <v>Constants - Solid Waste</v>
      </c>
      <c r="D29" s="10" t="s">
        <v>58</v>
      </c>
      <c r="E29" s="10" t="s">
        <v>587</v>
      </c>
      <c r="G29" s="10" t="s">
        <v>58</v>
      </c>
      <c r="H29" s="10" t="s">
        <v>587</v>
      </c>
      <c r="J29" s="10" t="s">
        <v>55</v>
      </c>
      <c r="K29" s="10" t="s">
        <v>588</v>
      </c>
      <c r="M29" s="8"/>
    </row>
    <row r="30" spans="1:13" ht="20.100000000000001" customHeight="1" x14ac:dyDescent="0.25">
      <c r="A30" s="16" t="str">
        <f>HYPERLINK("#'Constants - Fuel'!A1", "Constants - Fuel")</f>
        <v>Constants - Fuel</v>
      </c>
      <c r="D30" s="10" t="s">
        <v>589</v>
      </c>
      <c r="E30" s="10" t="s">
        <v>590</v>
      </c>
      <c r="G30" s="10" t="s">
        <v>589</v>
      </c>
      <c r="H30" s="10" t="s">
        <v>590</v>
      </c>
      <c r="J30" s="10" t="s">
        <v>54</v>
      </c>
      <c r="K30" s="10" t="s">
        <v>591</v>
      </c>
      <c r="M30" s="8"/>
    </row>
    <row r="31" spans="1:13" ht="20.100000000000001" customHeight="1" x14ac:dyDescent="0.25">
      <c r="A31" s="23" t="str">
        <f>HYPERLINK("#'Constants - Poultry'!A1", "Constants - Poultry")</f>
        <v>Constants - Poultry</v>
      </c>
      <c r="D31" s="10" t="s">
        <v>592</v>
      </c>
      <c r="E31" s="10" t="s">
        <v>593</v>
      </c>
      <c r="G31" s="10" t="s">
        <v>592</v>
      </c>
      <c r="H31" s="10" t="s">
        <v>593</v>
      </c>
      <c r="J31" s="8" t="s">
        <v>51</v>
      </c>
      <c r="K31" s="8" t="s">
        <v>594</v>
      </c>
      <c r="M31" s="8"/>
    </row>
    <row r="32" spans="1:13" ht="20.100000000000001" customHeight="1" x14ac:dyDescent="0.25">
      <c r="A32" s="16" t="str">
        <f>HYPERLINK("#'Constants - Swine'!A1", "Constants - Swine")</f>
        <v>Constants - Swine</v>
      </c>
      <c r="D32" s="10" t="s">
        <v>62</v>
      </c>
      <c r="E32" s="10" t="s">
        <v>595</v>
      </c>
      <c r="G32" s="10" t="s">
        <v>62</v>
      </c>
      <c r="H32" s="10" t="s">
        <v>595</v>
      </c>
      <c r="J32" s="10" t="s">
        <v>60</v>
      </c>
      <c r="K32" s="10" t="s">
        <v>596</v>
      </c>
      <c r="M32" s="8"/>
    </row>
    <row r="33" spans="1:13" ht="20.100000000000001" customHeight="1" x14ac:dyDescent="0.25">
      <c r="A33" s="16" t="str">
        <f>HYPERLINK("#'Constants - Dairy'!A1", "Constants - Dairy")</f>
        <v>Constants - Dairy</v>
      </c>
      <c r="D33" s="10" t="s">
        <v>55</v>
      </c>
      <c r="E33" s="10" t="s">
        <v>588</v>
      </c>
      <c r="G33" s="8" t="s">
        <v>597</v>
      </c>
      <c r="H33" s="10" t="s">
        <v>597</v>
      </c>
      <c r="J33" s="10" t="s">
        <v>61</v>
      </c>
      <c r="K33" s="10" t="s">
        <v>598</v>
      </c>
      <c r="M33" s="8"/>
    </row>
    <row r="34" spans="1:13" ht="20.100000000000001" customHeight="1" x14ac:dyDescent="0.25">
      <c r="A34" s="16" t="str">
        <f>HYPERLINK("#'Constants - Pasture Beef'!A1", "Constants - Pasture Beef")</f>
        <v>Constants - Pasture Beef</v>
      </c>
      <c r="D34" s="10" t="s">
        <v>54</v>
      </c>
      <c r="E34" s="10" t="s">
        <v>591</v>
      </c>
      <c r="J34" s="8" t="s">
        <v>597</v>
      </c>
      <c r="K34" s="10" t="s">
        <v>597</v>
      </c>
      <c r="M34" s="8"/>
    </row>
    <row r="35" spans="1:13" ht="20.100000000000001" customHeight="1" x14ac:dyDescent="0.25">
      <c r="A35" s="16" t="str">
        <f>HYPERLINK("#'Constants - Common Livestock'!A1", "Constants - Common Livestock")</f>
        <v>Constants - Common Livestock</v>
      </c>
      <c r="D35" s="8" t="s">
        <v>51</v>
      </c>
      <c r="E35" s="8" t="s">
        <v>594</v>
      </c>
      <c r="M35" s="8"/>
    </row>
    <row r="36" spans="1:13" ht="20.100000000000001" customHeight="1" x14ac:dyDescent="0.25">
      <c r="A36" s="16" t="str">
        <f>HYPERLINK("#'Constants - Fertiliser'!A1", "Constants - Fertiliser")</f>
        <v>Constants - Fertiliser</v>
      </c>
      <c r="D36" s="10" t="s">
        <v>60</v>
      </c>
      <c r="E36" s="10" t="s">
        <v>596</v>
      </c>
      <c r="M36" s="8"/>
    </row>
    <row r="37" spans="1:13" ht="20.100000000000001" customHeight="1" x14ac:dyDescent="0.25">
      <c r="A37" s="16" t="str">
        <f>HYPERLINK("#'Constants - Electricity'!A1", "Constants - Electricity")</f>
        <v>Constants - Electricity</v>
      </c>
      <c r="D37" s="10" t="s">
        <v>61</v>
      </c>
      <c r="E37" s="10" t="s">
        <v>598</v>
      </c>
      <c r="M37" s="8"/>
    </row>
    <row r="38" spans="1:13" ht="20.100000000000001" customHeight="1" x14ac:dyDescent="0.25">
      <c r="A38" s="16" t="str">
        <f>HYPERLINK("#'Constants - Common'!A1", "Constants - Common")</f>
        <v>Constants - Common</v>
      </c>
      <c r="D38" s="8" t="s">
        <v>597</v>
      </c>
      <c r="E38" s="10" t="s">
        <v>597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535</v>
      </c>
      <c r="E59" s="10" t="s">
        <v>600</v>
      </c>
      <c r="F59" s="10" t="s">
        <v>338</v>
      </c>
      <c r="G59" s="10" t="s">
        <v>314</v>
      </c>
      <c r="H59" s="10" t="s">
        <v>339</v>
      </c>
      <c r="I59" s="10" t="s">
        <v>437</v>
      </c>
      <c r="J59" s="10" t="s">
        <v>344</v>
      </c>
      <c r="K59" s="10" t="s">
        <v>396</v>
      </c>
      <c r="L59" s="10" t="s">
        <v>345</v>
      </c>
      <c r="M59" s="10" t="s">
        <v>393</v>
      </c>
      <c r="N59" s="10" t="s">
        <v>552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527</v>
      </c>
      <c r="E75" s="10" t="s">
        <v>558</v>
      </c>
      <c r="F75" s="10" t="s">
        <v>552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564</v>
      </c>
      <c r="E84" s="10" t="s">
        <v>565</v>
      </c>
      <c r="F84" s="10" t="s">
        <v>536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564</v>
      </c>
      <c r="E97" s="10" t="s">
        <v>566</v>
      </c>
      <c r="F97" s="10" t="s">
        <v>536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601</v>
      </c>
      <c r="E119" s="10" t="s">
        <v>568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550</v>
      </c>
      <c r="M24" s="8"/>
    </row>
    <row r="25" spans="1:13" ht="20.100000000000001" customHeight="1" x14ac:dyDescent="0.25">
      <c r="A25"/>
      <c r="D25" s="11" t="str" cm="1">
        <f t="array" ref="D25">SourceData_Swine.SourceData_Swine_MMS_MCFs_Source()</f>
        <v>VEERG 2026: Table A.1.6.4: Swine - MCFs (MCFim)</v>
      </c>
      <c r="H25" s="157" t="s">
        <v>551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527</v>
      </c>
      <c r="E28" s="10" t="s">
        <v>338</v>
      </c>
      <c r="F28" s="10" t="s">
        <v>314</v>
      </c>
      <c r="G28" s="10" t="s">
        <v>339</v>
      </c>
      <c r="H28" s="10" t="s">
        <v>437</v>
      </c>
      <c r="I28" s="10" t="s">
        <v>396</v>
      </c>
      <c r="J28" s="10" t="s">
        <v>393</v>
      </c>
      <c r="K28" s="10" t="s">
        <v>344</v>
      </c>
      <c r="L28" s="10" t="s">
        <v>345</v>
      </c>
      <c r="M28" s="10" t="s">
        <v>552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553</v>
      </c>
      <c r="G38" s="9" t="s">
        <v>554</v>
      </c>
      <c r="K38" s="9" t="s">
        <v>555</v>
      </c>
      <c r="M38" s="8"/>
    </row>
    <row r="39" spans="1:13" ht="20.100000000000001" customHeight="1" x14ac:dyDescent="0.25">
      <c r="A39"/>
      <c r="M39" s="8"/>
    </row>
    <row r="40" spans="1:13" ht="20.100000000000001" customHeight="1" x14ac:dyDescent="0.25">
      <c r="A40"/>
      <c r="D40" s="159" t="s">
        <v>527</v>
      </c>
      <c r="E40" s="10" t="s">
        <v>331</v>
      </c>
      <c r="G40" s="159" t="s">
        <v>527</v>
      </c>
      <c r="H40" s="10" t="s">
        <v>331</v>
      </c>
      <c r="K40" s="159" t="s">
        <v>527</v>
      </c>
      <c r="L40" s="10" t="s">
        <v>331</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556</v>
      </c>
      <c r="G51" s="9" t="s">
        <v>557</v>
      </c>
      <c r="M51" s="8"/>
    </row>
    <row r="52" spans="1:13" ht="20.100000000000001" customHeight="1" x14ac:dyDescent="0.25">
      <c r="A52"/>
      <c r="M52" s="8"/>
    </row>
    <row r="53" spans="1:13" ht="20.100000000000001" customHeight="1" x14ac:dyDescent="0.25">
      <c r="A53"/>
      <c r="D53" s="159" t="s">
        <v>527</v>
      </c>
      <c r="E53" s="10" t="s">
        <v>558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324</v>
      </c>
      <c r="E67" s="10" t="s">
        <v>559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324</v>
      </c>
      <c r="E78" s="10" t="s">
        <v>560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324</v>
      </c>
      <c r="E89" s="10" t="s">
        <v>561</v>
      </c>
      <c r="F89" s="10" t="s">
        <v>562</v>
      </c>
      <c r="G89" s="10" t="s">
        <v>563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564</v>
      </c>
      <c r="E99" s="10" t="s">
        <v>565</v>
      </c>
      <c r="F99" s="10" t="s">
        <v>536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564</v>
      </c>
      <c r="E111" s="10" t="s">
        <v>566</v>
      </c>
      <c r="F111" s="10" t="s">
        <v>536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567</v>
      </c>
      <c r="E127" s="10" t="s">
        <v>568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525</v>
      </c>
      <c r="G5" s="9" t="s">
        <v>526</v>
      </c>
      <c r="J5" s="9" t="s">
        <v>143</v>
      </c>
      <c r="M5" s="8"/>
    </row>
    <row r="6" spans="1:21" ht="20.100000000000001" customHeight="1" x14ac:dyDescent="0.25">
      <c r="A6"/>
      <c r="M6" s="8"/>
    </row>
    <row r="7" spans="1:21" ht="20.100000000000001" customHeight="1" x14ac:dyDescent="0.25">
      <c r="A7" s="19" t="s">
        <v>67</v>
      </c>
      <c r="D7" s="159" t="s">
        <v>527</v>
      </c>
      <c r="E7" s="10" t="s">
        <v>331</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506</v>
      </c>
      <c r="E21" s="10" t="s">
        <v>519</v>
      </c>
      <c r="F21" s="10" t="s">
        <v>528</v>
      </c>
      <c r="G21" s="10" t="s">
        <v>520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506</v>
      </c>
      <c r="E38" s="10" t="s">
        <v>529</v>
      </c>
      <c r="F38" s="10" t="s">
        <v>530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519</v>
      </c>
      <c r="E46" s="10" t="s">
        <v>528</v>
      </c>
      <c r="F46" s="10" t="s">
        <v>520</v>
      </c>
      <c r="G46" s="10" t="s">
        <v>529</v>
      </c>
      <c r="H46" s="10" t="s">
        <v>530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519</v>
      </c>
      <c r="E54" s="160" t="s">
        <v>528</v>
      </c>
      <c r="F54" s="160" t="s">
        <v>520</v>
      </c>
      <c r="G54" s="160" t="s">
        <v>529</v>
      </c>
      <c r="H54" s="160" t="s">
        <v>530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531</v>
      </c>
      <c r="E62" s="10" t="s">
        <v>532</v>
      </c>
      <c r="F62" s="10" t="s">
        <v>533</v>
      </c>
      <c r="G62" s="10" t="s">
        <v>534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535</v>
      </c>
      <c r="E72" s="10" t="s">
        <v>314</v>
      </c>
      <c r="F72" s="10" t="s">
        <v>338</v>
      </c>
      <c r="G72" s="10" t="s">
        <v>437</v>
      </c>
      <c r="H72" s="10" t="s">
        <v>339</v>
      </c>
      <c r="I72" s="10" t="s">
        <v>396</v>
      </c>
      <c r="J72" s="10" t="s">
        <v>393</v>
      </c>
      <c r="K72" s="10" t="s">
        <v>344</v>
      </c>
      <c r="L72" s="10" t="s">
        <v>345</v>
      </c>
      <c r="M72" s="10" t="s">
        <v>536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535</v>
      </c>
      <c r="E86" s="10" t="s">
        <v>537</v>
      </c>
      <c r="F86" s="10" t="s">
        <v>538</v>
      </c>
      <c r="G86" s="10" t="s">
        <v>536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531</v>
      </c>
      <c r="E98" s="10" t="s">
        <v>539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531</v>
      </c>
      <c r="E107" s="10" t="s">
        <v>540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541</v>
      </c>
      <c r="E116" s="10" t="s">
        <v>147</v>
      </c>
      <c r="F116" s="10" t="s">
        <v>542</v>
      </c>
      <c r="G116" s="10" t="s">
        <v>543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535</v>
      </c>
      <c r="E128" s="10" t="s">
        <v>537</v>
      </c>
      <c r="F128" s="10" t="s">
        <v>536</v>
      </c>
      <c r="G128" s="157" t="s">
        <v>544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531</v>
      </c>
      <c r="E141" s="10" t="s">
        <v>545</v>
      </c>
      <c r="F141" s="10" t="s">
        <v>546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449</v>
      </c>
      <c r="G5" s="9" t="s">
        <v>143</v>
      </c>
      <c r="M5" s="8" t="s">
        <v>450</v>
      </c>
      <c r="O5" s="8" t="s">
        <v>451</v>
      </c>
      <c r="Q5" s="8" t="s">
        <v>452</v>
      </c>
      <c r="S5" s="8" t="s">
        <v>453</v>
      </c>
    </row>
    <row r="6" spans="1:21" ht="20.100000000000001" customHeight="1" x14ac:dyDescent="0.25">
      <c r="A6"/>
      <c r="M6" s="8"/>
    </row>
    <row r="7" spans="1:21" ht="20.100000000000001" customHeight="1" x14ac:dyDescent="0.25">
      <c r="A7" s="19" t="s">
        <v>67</v>
      </c>
      <c r="D7" s="10" t="s">
        <v>145</v>
      </c>
      <c r="G7" s="10" t="s">
        <v>43</v>
      </c>
      <c r="M7" s="3" t="s">
        <v>389</v>
      </c>
      <c r="O7" s="10" t="s">
        <v>389</v>
      </c>
      <c r="Q7" s="10" t="s">
        <v>389</v>
      </c>
      <c r="S7" s="10" t="s">
        <v>389</v>
      </c>
    </row>
    <row r="8" spans="1:21" ht="20.100000000000001" customHeight="1" x14ac:dyDescent="0.25">
      <c r="A8" s="16" t="str">
        <f>HYPERLINK("#'Input - Site'!A1", "Site")</f>
        <v>Site</v>
      </c>
      <c r="D8" s="10" t="str">
        <f>'Constants - Common'!$F$187</f>
        <v>Pasture</v>
      </c>
      <c r="G8" s="10" t="s">
        <v>148</v>
      </c>
      <c r="M8" s="10" t="s">
        <v>454</v>
      </c>
      <c r="O8" s="10" t="s">
        <v>455</v>
      </c>
      <c r="Q8" s="10" t="s">
        <v>456</v>
      </c>
      <c r="S8" s="10" t="s">
        <v>436</v>
      </c>
    </row>
    <row r="9" spans="1:21" ht="20.100000000000001" customHeight="1" x14ac:dyDescent="0.25">
      <c r="A9" s="16" t="str">
        <f>HYPERLINK("#'Input - Fuel'!A1", "Fuel")</f>
        <v>Fuel</v>
      </c>
      <c r="D9" s="8" t="str">
        <f>'Constants - Common'!$F$188</f>
        <v>Crop</v>
      </c>
      <c r="G9" s="10" t="s">
        <v>152</v>
      </c>
      <c r="M9" s="10" t="s">
        <v>457</v>
      </c>
      <c r="O9" s="10" t="s">
        <v>458</v>
      </c>
      <c r="Q9" s="10" t="s">
        <v>459</v>
      </c>
    </row>
    <row r="10" spans="1:21" ht="20.100000000000001" customHeight="1" x14ac:dyDescent="0.25">
      <c r="A10" s="16" t="str">
        <f>HYPERLINK("#'Input - Fertiliser'!A1", "Fertiliser")</f>
        <v>Fertiliser</v>
      </c>
      <c r="G10" s="8" t="s">
        <v>155</v>
      </c>
      <c r="M10" s="10" t="s">
        <v>460</v>
      </c>
      <c r="O10" s="10" t="s">
        <v>461</v>
      </c>
      <c r="Q10" s="10" t="s">
        <v>462</v>
      </c>
      <c r="S10" s="8" t="s">
        <v>463</v>
      </c>
    </row>
    <row r="11" spans="1:21" ht="20.100000000000001" customHeight="1" x14ac:dyDescent="0.25">
      <c r="A11" s="16" t="str">
        <f>HYPERLINK("#'Input - Farm Inputs'!A1", "Farm Inputs")</f>
        <v>Farm Inputs</v>
      </c>
      <c r="G11" s="8" t="s">
        <v>158</v>
      </c>
      <c r="M11" s="8"/>
      <c r="Q11" s="10" t="s">
        <v>464</v>
      </c>
    </row>
    <row r="12" spans="1:21" ht="20.100000000000001" customHeight="1" x14ac:dyDescent="0.25">
      <c r="A12" s="16" t="str">
        <f>HYPERLINK("#'Input - Livestock purchases'!A1", "Livestock purchases")</f>
        <v>Livestock purchases</v>
      </c>
      <c r="G12" s="8" t="s">
        <v>160</v>
      </c>
      <c r="M12" s="8"/>
      <c r="S12" s="10" t="s">
        <v>389</v>
      </c>
    </row>
    <row r="13" spans="1:21" ht="20.100000000000001" customHeight="1" x14ac:dyDescent="0.25">
      <c r="A13" s="16" t="str">
        <f>HYPERLINK("#'Input - Freight'!A1", "Freight")</f>
        <v>Freight</v>
      </c>
      <c r="M13" s="8"/>
      <c r="S13" s="10" t="s">
        <v>436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517</v>
      </c>
      <c r="S17" s="10" t="s">
        <v>389</v>
      </c>
    </row>
    <row r="18" spans="1:19" ht="20.100000000000001" customHeight="1" x14ac:dyDescent="0.25">
      <c r="A18"/>
      <c r="D18" s="10" t="s">
        <v>279</v>
      </c>
      <c r="E18" s="10" t="s">
        <v>389</v>
      </c>
      <c r="F18" s="10" t="s">
        <v>47</v>
      </c>
      <c r="G18" s="10" t="s">
        <v>466</v>
      </c>
      <c r="H18" s="10" t="s">
        <v>467</v>
      </c>
      <c r="I18" s="10" t="s">
        <v>468</v>
      </c>
      <c r="J18" s="10" t="s">
        <v>469</v>
      </c>
      <c r="K18" s="10" t="s">
        <v>470</v>
      </c>
      <c r="L18" s="10" t="s">
        <v>471</v>
      </c>
      <c r="M18" s="10" t="s">
        <v>472</v>
      </c>
      <c r="O18" s="10" t="s">
        <v>286</v>
      </c>
      <c r="S18" s="10" t="s">
        <v>436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279</v>
      </c>
      <c r="E53" s="10" t="s">
        <v>389</v>
      </c>
      <c r="F53" s="10" t="s">
        <v>47</v>
      </c>
      <c r="G53" s="10" t="s">
        <v>475</v>
      </c>
      <c r="H53" s="10" t="s">
        <v>476</v>
      </c>
      <c r="I53" s="10" t="s">
        <v>477</v>
      </c>
      <c r="J53" s="10" t="s">
        <v>478</v>
      </c>
      <c r="K53" s="10" t="s">
        <v>479</v>
      </c>
      <c r="L53" s="10" t="s">
        <v>480</v>
      </c>
      <c r="M53" s="10" t="s">
        <v>481</v>
      </c>
      <c r="N53" s="10" t="s">
        <v>482</v>
      </c>
      <c r="O53" s="10" t="s">
        <v>483</v>
      </c>
      <c r="P53" s="10" t="s">
        <v>484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485</v>
      </c>
      <c r="M84" s="8"/>
    </row>
    <row r="85" spans="1:22" ht="20.100000000000001" customHeight="1" x14ac:dyDescent="0.25">
      <c r="A85"/>
      <c r="D85" s="10" t="s">
        <v>279</v>
      </c>
      <c r="E85" s="10" t="s">
        <v>389</v>
      </c>
      <c r="F85" s="10" t="s">
        <v>47</v>
      </c>
      <c r="G85" s="156" t="s">
        <v>486</v>
      </c>
      <c r="H85" s="156" t="s">
        <v>487</v>
      </c>
      <c r="I85" s="156" t="s">
        <v>488</v>
      </c>
      <c r="J85" s="156" t="s">
        <v>489</v>
      </c>
      <c r="K85" s="156" t="s">
        <v>490</v>
      </c>
      <c r="L85" s="156" t="s">
        <v>491</v>
      </c>
      <c r="M85" s="156" t="s">
        <v>492</v>
      </c>
      <c r="N85" s="156" t="s">
        <v>493</v>
      </c>
      <c r="O85" s="156" t="s">
        <v>494</v>
      </c>
      <c r="P85" s="156" t="s">
        <v>495</v>
      </c>
      <c r="V85" s="8"/>
    </row>
    <row r="86" spans="1:22" ht="20.100000000000001" customHeight="1" x14ac:dyDescent="0.25">
      <c r="A86"/>
      <c r="D86" s="10" t="s">
        <v>314</v>
      </c>
      <c r="E86" s="10" t="s">
        <v>436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314</v>
      </c>
      <c r="E87" s="10" t="s">
        <v>436</v>
      </c>
      <c r="F87" s="10" t="s">
        <v>496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314</v>
      </c>
      <c r="E88" s="10" t="s">
        <v>436</v>
      </c>
      <c r="F88" s="10" t="s">
        <v>497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314</v>
      </c>
      <c r="E89" s="10" t="s">
        <v>436</v>
      </c>
      <c r="F89" s="10" t="s">
        <v>498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338</v>
      </c>
      <c r="E90" s="10" t="s">
        <v>436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338</v>
      </c>
      <c r="E91" s="10" t="s">
        <v>436</v>
      </c>
      <c r="F91" s="10" t="s">
        <v>496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338</v>
      </c>
      <c r="E92" s="10" t="s">
        <v>436</v>
      </c>
      <c r="F92" s="10" t="s">
        <v>497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338</v>
      </c>
      <c r="E93" s="10" t="s">
        <v>436</v>
      </c>
      <c r="F93" s="10" t="s">
        <v>498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396</v>
      </c>
      <c r="E94" s="10" t="s">
        <v>436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396</v>
      </c>
      <c r="E95" s="10" t="s">
        <v>436</v>
      </c>
      <c r="F95" s="10" t="s">
        <v>496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396</v>
      </c>
      <c r="E96" s="10" t="s">
        <v>436</v>
      </c>
      <c r="F96" s="10" t="s">
        <v>497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396</v>
      </c>
      <c r="E97" s="10" t="s">
        <v>436</v>
      </c>
      <c r="F97" s="10" t="s">
        <v>498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393</v>
      </c>
      <c r="E98" s="10" t="s">
        <v>436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393</v>
      </c>
      <c r="E99" s="10" t="s">
        <v>436</v>
      </c>
      <c r="F99" s="10" t="s">
        <v>496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393</v>
      </c>
      <c r="E100" s="10" t="s">
        <v>436</v>
      </c>
      <c r="F100" s="10" t="s">
        <v>497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393</v>
      </c>
      <c r="E101" s="10" t="s">
        <v>436</v>
      </c>
      <c r="F101" s="10" t="s">
        <v>498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344</v>
      </c>
      <c r="E102" s="10" t="s">
        <v>436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344</v>
      </c>
      <c r="E103" s="10" t="s">
        <v>436</v>
      </c>
      <c r="F103" s="10" t="s">
        <v>496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344</v>
      </c>
      <c r="E104" s="10" t="s">
        <v>436</v>
      </c>
      <c r="F104" s="10" t="s">
        <v>497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344</v>
      </c>
      <c r="E105" s="10" t="s">
        <v>436</v>
      </c>
      <c r="F105" s="10" t="s">
        <v>498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337</v>
      </c>
      <c r="E146" s="8" t="s">
        <v>436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337</v>
      </c>
      <c r="E147" s="8" t="s">
        <v>436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337</v>
      </c>
      <c r="E148" s="8" t="s">
        <v>436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337</v>
      </c>
      <c r="E149" s="8" t="s">
        <v>436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279</v>
      </c>
      <c r="E154" s="10" t="s">
        <v>389</v>
      </c>
      <c r="F154" s="10" t="s">
        <v>47</v>
      </c>
      <c r="G154" s="10" t="s">
        <v>475</v>
      </c>
      <c r="H154" s="10" t="s">
        <v>476</v>
      </c>
      <c r="I154" s="10" t="s">
        <v>499</v>
      </c>
      <c r="J154" s="10" t="s">
        <v>469</v>
      </c>
      <c r="K154" s="10" t="s">
        <v>500</v>
      </c>
      <c r="L154" s="10" t="s">
        <v>481</v>
      </c>
      <c r="M154" s="10" t="s">
        <v>501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475</v>
      </c>
      <c r="H189" s="10" t="s">
        <v>476</v>
      </c>
      <c r="I189" s="10" t="s">
        <v>499</v>
      </c>
      <c r="J189" s="10" t="s">
        <v>469</v>
      </c>
      <c r="K189" s="10" t="s">
        <v>502</v>
      </c>
      <c r="L189" s="10" t="s">
        <v>503</v>
      </c>
      <c r="M189" s="10" t="s">
        <v>481</v>
      </c>
      <c r="N189" s="10" t="s">
        <v>482</v>
      </c>
      <c r="O189" s="10" t="s">
        <v>483</v>
      </c>
      <c r="P189" s="10" t="s">
        <v>484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485</v>
      </c>
      <c r="M220" s="8"/>
    </row>
    <row r="221" spans="4:16" x14ac:dyDescent="0.25">
      <c r="M221" s="8"/>
    </row>
    <row r="222" spans="4:16" x14ac:dyDescent="0.25">
      <c r="D222" s="10" t="s">
        <v>279</v>
      </c>
      <c r="E222" s="10" t="s">
        <v>389</v>
      </c>
      <c r="F222" s="10" t="s">
        <v>47</v>
      </c>
      <c r="G222" s="156" t="s">
        <v>486</v>
      </c>
      <c r="H222" s="156" t="s">
        <v>487</v>
      </c>
      <c r="I222" s="156" t="s">
        <v>488</v>
      </c>
      <c r="J222" s="156" t="s">
        <v>489</v>
      </c>
      <c r="K222" s="156" t="s">
        <v>490</v>
      </c>
      <c r="L222" s="156" t="s">
        <v>491</v>
      </c>
      <c r="M222" s="156" t="s">
        <v>492</v>
      </c>
      <c r="N222" s="156" t="s">
        <v>493</v>
      </c>
      <c r="O222" s="156" t="s">
        <v>494</v>
      </c>
      <c r="P222" s="156" t="s">
        <v>495</v>
      </c>
    </row>
    <row r="223" spans="4:16" x14ac:dyDescent="0.25">
      <c r="D223" s="10" t="s">
        <v>314</v>
      </c>
      <c r="E223" s="10" t="s">
        <v>436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504</v>
      </c>
      <c r="G290" s="10" t="s">
        <v>496</v>
      </c>
      <c r="H290" s="10" t="s">
        <v>497</v>
      </c>
      <c r="I290" s="10" t="s">
        <v>498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504</v>
      </c>
      <c r="G313" s="10" t="s">
        <v>496</v>
      </c>
      <c r="H313" s="10" t="s">
        <v>497</v>
      </c>
      <c r="I313" s="10" t="s">
        <v>498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505</v>
      </c>
      <c r="M333" s="8"/>
    </row>
    <row r="334" spans="4:13" x14ac:dyDescent="0.25">
      <c r="D334" s="10" t="s">
        <v>506</v>
      </c>
      <c r="E334" s="10" t="s">
        <v>47</v>
      </c>
      <c r="F334" s="10" t="s">
        <v>507</v>
      </c>
      <c r="G334" s="10" t="s">
        <v>508</v>
      </c>
      <c r="I334" s="10" t="s">
        <v>506</v>
      </c>
      <c r="J334" s="10" t="s">
        <v>47</v>
      </c>
      <c r="K334" s="10" t="s">
        <v>507</v>
      </c>
      <c r="L334" s="10" t="s">
        <v>508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511</v>
      </c>
      <c r="F350" s="10" t="s">
        <v>512</v>
      </c>
      <c r="G350" s="10" t="s">
        <v>477</v>
      </c>
      <c r="H350" s="10" t="s">
        <v>478</v>
      </c>
      <c r="I350" s="10" t="s">
        <v>513</v>
      </c>
      <c r="J350" s="10" t="s">
        <v>481</v>
      </c>
      <c r="K350" s="10" t="s">
        <v>501</v>
      </c>
      <c r="L350" s="10" t="s">
        <v>514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56" t="s">
        <v>486</v>
      </c>
      <c r="F361" s="156" t="s">
        <v>487</v>
      </c>
      <c r="G361" s="156" t="s">
        <v>488</v>
      </c>
      <c r="H361" s="156" t="s">
        <v>489</v>
      </c>
      <c r="I361" s="156" t="s">
        <v>490</v>
      </c>
      <c r="J361" s="156" t="s">
        <v>491</v>
      </c>
      <c r="K361" s="156" t="s">
        <v>492</v>
      </c>
      <c r="L361" s="156" t="s">
        <v>493</v>
      </c>
      <c r="M361" s="156" t="s">
        <v>494</v>
      </c>
      <c r="N361" s="156" t="s">
        <v>495</v>
      </c>
      <c r="O361" s="10" t="s">
        <v>514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329</v>
      </c>
      <c r="E6" s="10" t="s">
        <v>330</v>
      </c>
      <c r="F6" s="10" t="s">
        <v>331</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217</v>
      </c>
      <c r="E28" s="10" t="s">
        <v>332</v>
      </c>
      <c r="F28" s="8" t="s">
        <v>333</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217</v>
      </c>
      <c r="E40" s="10" t="s">
        <v>332</v>
      </c>
      <c r="F40" s="8" t="s">
        <v>334</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227</v>
      </c>
      <c r="E9" s="25" t="s">
        <v>228</v>
      </c>
      <c r="F9" s="25" t="s">
        <v>229</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227</v>
      </c>
      <c r="E24" s="62" t="s">
        <v>230</v>
      </c>
      <c r="F24" s="62" t="s">
        <v>231</v>
      </c>
      <c r="G24" s="62" t="s">
        <v>232</v>
      </c>
      <c r="H24" s="62" t="s">
        <v>233</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110"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2"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135</vt:i4>
      </vt:variant>
    </vt:vector>
  </HeadingPairs>
  <TitlesOfParts>
    <vt:vector size="169" baseType="lpstr">
      <vt:lpstr>Overview</vt:lpstr>
      <vt:lpstr>Results</vt:lpstr>
      <vt:lpstr>Input - Site</vt:lpstr>
      <vt:lpstr>Input - Fuel</vt:lpstr>
      <vt:lpstr>Input - Fertiliser</vt:lpstr>
      <vt:lpstr>Input - Common Farm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2026-08-06T00:14:55Z</dcterms:modified>
</cp:coreProperties>
</file>