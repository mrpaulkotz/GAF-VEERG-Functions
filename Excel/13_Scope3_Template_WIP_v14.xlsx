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4142674-B5F7-4EBC-A6C9-DA209AA1503B}" xr6:coauthVersionLast="47" xr6:coauthVersionMax="47" xr10:uidLastSave="{00000000-0000-0000-0000-000000000000}"/>
  <bookViews>
    <workbookView xWindow="615" yWindow="780" windowWidth="37785" windowHeight="19140" firstSheet="19" activeTab="19" xr2:uid="{D37248E2-1193-4B5E-BE4F-D7532AB14CA0}"/>
  </bookViews>
  <sheets>
    <sheet name="Overview" sheetId="40" r:id="rId1"/>
    <sheet name="Results" sheetId="41" r:id="rId2"/>
    <sheet name="Input - Site" sheetId="10" r:id="rId3"/>
    <sheet name="Input - Fuel" sheetId="30" r:id="rId4"/>
    <sheet name="Input - Fertiliser" sheetId="7"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33" r:id="rId17"/>
    <sheet name="Input - Manure sent off-site" sheetId="50" r:id="rId18"/>
    <sheet name="Input - Electricity" sheetId="9" r:id="rId19"/>
    <sheet name="15 Scope 3" sheetId="19" r:id="rId20"/>
    <sheet name="10.1.1-2 Solid waste treatment" sheetId="38" r:id="rId21"/>
    <sheet name="Calcs - Manure sent off-site" sheetId="34" r:id="rId22"/>
    <sheet name="8.1.1.1-2 Transport fuel" sheetId="31" r:id="rId23"/>
    <sheet name="8.2.1.1-2 Stationary fuel" sheetId="32" r:id="rId24"/>
    <sheet name="Constants - Scope 3" sheetId="20" r:id="rId25"/>
    <sheet name="Constants - Solid Waste" sheetId="36" r:id="rId26"/>
    <sheet name="Constants - Fuel" sheetId="29" r:id="rId27"/>
    <sheet name="Constants - Poultry" sheetId="26" r:id="rId28"/>
    <sheet name="Constants - Swine" sheetId="25" r:id="rId29"/>
    <sheet name="Constants - Dairy" sheetId="23" r:id="rId30"/>
    <sheet name="Constants - Pasture Beef" sheetId="22" r:id="rId31"/>
    <sheet name="Constants - Common Livestock" sheetId="18" r:id="rId32"/>
    <sheet name="Constants - Fertiliser" sheetId="6" r:id="rId33"/>
    <sheet name="Constants - Electricity" sheetId="8" r:id="rId34"/>
    <sheet name="Constants - Common" sheetId="61"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164" i="19" l="1"/>
  <c r="E163" i="19"/>
  <c r="E162" i="19"/>
  <c r="E139" i="19"/>
  <c r="E138" i="19"/>
  <c r="E137" i="19"/>
  <c r="E136" i="19"/>
  <c r="E481" i="19"/>
  <c r="E480" i="19"/>
  <c r="E479" i="19"/>
  <c r="E470" i="19"/>
  <c r="E469" i="19"/>
  <c r="E468" i="19"/>
  <c r="E467" i="19"/>
  <c r="E466" i="19"/>
  <c r="D9" i="22"/>
  <c r="D8" i="22"/>
  <c r="G9" i="23"/>
  <c r="G8" i="23"/>
  <c r="J88" i="34"/>
  <c r="I68" i="34"/>
  <c r="I50" i="34"/>
  <c r="I49" i="34"/>
  <c r="J15" i="34"/>
  <c r="J14" i="34"/>
  <c r="O576" i="19"/>
  <c r="G576" i="19"/>
  <c r="E33" i="10"/>
  <c r="E32" i="10"/>
  <c r="E31" i="10"/>
  <c r="E30" i="10"/>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E188" i="61" a="1"/>
  <c r="E188" i="61" s="1"/>
  <c r="D188" i="61" a="1"/>
  <c r="D188" i="61" s="1"/>
  <c r="H187" i="61" a="1"/>
  <c r="H187" i="61" s="1"/>
  <c r="G187" i="61" a="1"/>
  <c r="G187" i="61" s="1"/>
  <c r="F187" i="61" a="1"/>
  <c r="F187" i="61"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O237" i="19" a="1"/>
  <c r="O237" i="19" s="1"/>
  <c r="P18" i="32"/>
  <c r="P17" i="32"/>
  <c r="F35" i="7"/>
  <c r="F34" i="7"/>
  <c r="F25" i="7"/>
  <c r="F24" i="7"/>
  <c r="H20" i="7"/>
  <c r="H19" i="7"/>
  <c r="H18" i="7"/>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78" i="19" a="1"/>
  <c r="N578" i="19" s="1"/>
  <c r="L575" i="19" a="1"/>
  <c r="L575" i="19" s="1"/>
  <c r="P569" i="19" a="1"/>
  <c r="P569" i="19" s="1"/>
  <c r="L569" i="19" a="1"/>
  <c r="L569" i="19" s="1"/>
  <c r="E42" i="34"/>
  <c r="E540" i="19"/>
  <c r="O42" i="34"/>
  <c r="O79" i="34"/>
  <c r="E508" i="19"/>
  <c r="E79" i="34"/>
  <c r="E523" i="19"/>
  <c r="O7" i="34"/>
  <c r="E7" i="34"/>
  <c r="H51" i="61" l="1"/>
  <c r="H53" i="61"/>
  <c r="H48" i="61"/>
  <c r="H49" i="61"/>
  <c r="H50" i="6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O26" i="34" a="1"/>
  <c r="O61" i="34" a="1"/>
  <c r="E7" i="38" a="1"/>
  <c r="E99" i="38" a="1"/>
  <c r="O61" i="34" l="1"/>
  <c r="O26" i="34"/>
  <c r="E99" i="38"/>
  <c r="E7" i="38"/>
  <c r="F192" i="38"/>
  <c r="F151" i="38"/>
  <c r="E68" i="36" l="1"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2" i="34"/>
  <c r="I71" i="34"/>
  <c r="I70" i="34"/>
  <c r="I52" i="34"/>
  <c r="I51" i="34"/>
  <c r="J16" i="34"/>
  <c r="I553" i="19"/>
  <c r="I549" i="19"/>
  <c r="I548" i="19"/>
  <c r="I547" i="19"/>
  <c r="I531" i="19"/>
  <c r="I529"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D36" i="41"/>
  <c r="D35" i="41"/>
  <c r="D28" i="41"/>
  <c r="D27" i="41"/>
  <c r="D26" i="41"/>
  <c r="D25" i="41"/>
  <c r="D24" i="41"/>
  <c r="D14" i="41"/>
  <c r="D13" i="41"/>
  <c r="D12" i="41"/>
  <c r="D11" i="41"/>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I53" i="34"/>
  <c r="J635" i="19" a="1"/>
  <c r="J635" i="19" s="1"/>
  <c r="J613" i="19" a="1"/>
  <c r="J613" i="19" s="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I138" i="38" l="1"/>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192" i="38" l="1"/>
  <c r="E33" i="41" s="1"/>
  <c r="E151" i="38"/>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561" i="19" a="1"/>
  <c r="E26" i="34"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E7" i="32" a="1"/>
  <c r="E7" i="31" a="1"/>
  <c r="L8"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D29" i="41" a="1"/>
  <c r="D29" i="41"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16" i="19" s="1"/>
  <c r="E63" i="31"/>
  <c r="E50" i="32"/>
  <c r="E49" i="32"/>
  <c r="E55" i="32" s="1"/>
  <c r="E64" i="31"/>
  <c r="E67" i="31" l="1"/>
  <c r="E69" i="31"/>
  <c r="E57" i="32"/>
  <c r="E56" i="32"/>
  <c r="E70" i="31"/>
  <c r="I515" i="19" l="1"/>
  <c r="E518" i="19" s="1" a="1"/>
  <c r="E518" i="19" s="1"/>
  <c r="D221" i="19" a="1"/>
  <c r="D221"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D237" i="19" a="1"/>
  <c r="D237" i="19" s="1"/>
  <c r="D202" i="19" a="1"/>
  <c r="D202" i="19" s="1"/>
  <c r="E207" i="19" a="1"/>
  <c r="E207" i="19" s="1"/>
  <c r="E206" i="19" a="1"/>
  <c r="E206" i="19" s="1"/>
  <c r="D201" i="19" a="1"/>
  <c r="D201" i="19" s="1"/>
  <c r="D200" i="19" a="1"/>
  <c r="D200" i="19" s="1"/>
  <c r="D430" i="19" a="1"/>
  <c r="D430" i="19" s="1"/>
  <c r="E430" i="19" a="1"/>
  <c r="F430" i="19" a="1"/>
  <c r="J435" i="19" s="1" a="1"/>
  <c r="J435" i="19" s="1"/>
  <c r="E188" i="19" a="1"/>
  <c r="E418" i="19" a="1"/>
  <c r="E323" i="19" a="1"/>
  <c r="E385" i="19" a="1"/>
  <c r="E203" i="19" a="1"/>
  <c r="E174" i="19" a="1"/>
  <c r="E290" i="19" a="1"/>
  <c r="E100" i="19" a="1"/>
  <c r="E258" i="19" a="1"/>
  <c r="E355"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6" i="41" s="1" a="1"/>
  <c r="D16" i="41"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5" i="41" l="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D305" i="19" l="1" a="1"/>
  <c r="D305" i="19" s="1"/>
  <c r="G35" i="7"/>
  <c r="K35" i="7"/>
  <c r="K34" i="7"/>
  <c r="G34" i="7"/>
  <c r="E367" i="19" a="1"/>
  <c r="E367" i="19" s="1"/>
  <c r="D367" i="19" a="1"/>
  <c r="D367" i="19" s="1"/>
  <c r="D119" i="19" a="1"/>
  <c r="D119" i="19" s="1"/>
  <c r="D168" i="20" a="1"/>
  <c r="D168" i="20" s="1"/>
  <c r="E168" i="20" a="1"/>
  <c r="E168" i="20" s="1"/>
  <c r="D7" i="55" s="1" a="1"/>
  <c r="D7" i="55"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s="1" a="1"/>
  <c r="D12" i="55" s="1"/>
  <c r="E305" i="19" l="1" a="1"/>
  <c r="E305" i="19" s="1"/>
  <c r="G305" i="19" s="1" a="1"/>
  <c r="G305" i="19" s="1"/>
  <c r="D162" i="19"/>
  <c r="F162" i="19" s="1" a="1"/>
  <c r="F162" i="19" s="1"/>
  <c r="G162" i="19" s="1" a="1"/>
  <c r="G162" i="19" s="1"/>
  <c r="F367" i="19" a="1"/>
  <c r="H305" i="19" l="1" a="1"/>
  <c r="H305" i="19" s="1"/>
  <c r="F305" i="19" a="1"/>
  <c r="J314" i="19" a="1"/>
  <c r="J314" i="19" s="1"/>
  <c r="J309" i="19" a="1"/>
  <c r="J309" i="19" s="1"/>
  <c r="J313" i="19" a="1"/>
  <c r="J313" i="19" s="1"/>
  <c r="J310" i="19" a="1"/>
  <c r="J310" i="19" s="1"/>
  <c r="J311" i="19" a="1"/>
  <c r="J311" i="19" s="1"/>
  <c r="F305" i="19"/>
  <c r="J305" i="19" s="1"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D5" i="57" l="1"/>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G25" i="7"/>
  <c r="F13" i="41" l="1"/>
  <c r="E94" i="19"/>
  <c r="E13" i="41"/>
  <c r="E93" i="19"/>
  <c r="G270" i="19" a="1"/>
  <c r="G270" i="19" s="1"/>
  <c r="E283" i="19" s="1"/>
  <c r="E18" i="41" s="1"/>
  <c r="I270" i="19" a="1"/>
  <c r="I270" i="19" s="1"/>
  <c r="E284"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52" i="19" s="1" a="1"/>
  <c r="I552"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30" i="19" a="1"/>
  <c r="I530" i="19" s="1"/>
  <c r="E533" i="19" s="1" a="1"/>
  <c r="E533" i="19" s="1"/>
  <c r="I46" i="9"/>
  <c r="I38" i="9"/>
  <c r="I39" i="9"/>
  <c r="I47" i="9"/>
  <c r="E30" i="41" l="1"/>
  <c r="F30" i="41" s="1"/>
  <c r="E41" i="9"/>
  <c r="I550" i="19" s="1"/>
  <c r="E555" i="19" s="1" a="1"/>
  <c r="E555" i="19" s="1"/>
  <c r="E50" i="9"/>
  <c r="I551" i="19" s="1"/>
  <c r="G24" i="7"/>
  <c r="E237" i="19" s="1" a="1"/>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O74" i="34" l="1" a="1"/>
  <c r="O74" i="34" s="1"/>
  <c r="T86" i="34" s="1"/>
  <c r="O90" i="34" s="1" a="1"/>
  <c r="O90" i="34" s="1"/>
  <c r="R571" i="19" s="1"/>
  <c r="I69" i="34"/>
  <c r="E35" i="34" a="1"/>
  <c r="E35" i="34" s="1"/>
  <c r="I48" i="34" s="1"/>
  <c r="O35" i="34" a="1"/>
  <c r="O35" i="34" s="1"/>
  <c r="S48" i="34" s="1"/>
  <c r="O55" i="34" s="1" a="1"/>
  <c r="O55" i="34" s="1"/>
  <c r="R570" i="19" s="1"/>
  <c r="E31" i="41"/>
  <c r="F31" i="41" s="1"/>
  <c r="E237" i="19"/>
  <c r="J237" i="19" s="1"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F20" i="7"/>
  <c r="U20" i="7" a="1"/>
  <c r="U20" i="7" s="1"/>
  <c r="G20" i="7"/>
  <c r="W20" i="7"/>
  <c r="X20" i="7"/>
  <c r="J20" i="7" a="1"/>
  <c r="J20" i="7" s="1"/>
  <c r="K20" i="7" a="1"/>
  <c r="K20" i="7" s="1"/>
  <c r="L20" i="7" a="1"/>
  <c r="L20" i="7" s="1"/>
  <c r="M20" i="7" a="1"/>
  <c r="M20" i="7" s="1"/>
  <c r="N20" i="7" a="1"/>
  <c r="N20" i="7" s="1"/>
  <c r="R20" i="7" a="1"/>
  <c r="R20" i="7" s="1"/>
  <c r="O20" i="7" a="1"/>
  <c r="O20" i="7" s="1"/>
  <c r="P20" i="7" a="1"/>
  <c r="P20" i="7" s="1"/>
  <c r="T20" i="7" a="1"/>
  <c r="T20" i="7" s="1"/>
  <c r="S20" i="7" a="1"/>
  <c r="S20" i="7" s="1"/>
  <c r="Q20" i="7" a="1"/>
  <c r="Q20" i="7" s="1"/>
  <c r="T19" i="7" a="1"/>
  <c r="T19" i="7" s="1"/>
  <c r="W19" i="7"/>
  <c r="U19" i="7" a="1"/>
  <c r="U19" i="7" s="1"/>
  <c r="F19" i="7"/>
  <c r="X19" i="7"/>
  <c r="G19" i="7"/>
  <c r="J19" i="7" a="1"/>
  <c r="J19" i="7" s="1"/>
  <c r="K19" i="7" a="1"/>
  <c r="K19" i="7" s="1"/>
  <c r="L19" i="7" a="1"/>
  <c r="L19" i="7" s="1"/>
  <c r="M19" i="7" a="1"/>
  <c r="M19" i="7" s="1"/>
  <c r="N19" i="7" a="1"/>
  <c r="N19" i="7" s="1"/>
  <c r="P19" i="7" a="1"/>
  <c r="P19" i="7" s="1"/>
  <c r="Q19" i="7" a="1"/>
  <c r="Q19" i="7" s="1"/>
  <c r="S19" i="7" a="1"/>
  <c r="S19" i="7" s="1"/>
  <c r="R19" i="7" a="1"/>
  <c r="R19" i="7" s="1"/>
  <c r="O19" i="7" a="1"/>
  <c r="O19" i="7"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P25" i="7"/>
  <c r="S18" i="7" a="1"/>
  <c r="S18" i="7" s="1"/>
  <c r="F18" i="7"/>
  <c r="J18" i="7" a="1"/>
  <c r="J18" i="7" s="1"/>
  <c r="T18" i="7" a="1"/>
  <c r="T18" i="7" s="1"/>
  <c r="R18" i="7" a="1"/>
  <c r="R18" i="7" s="1"/>
  <c r="K18" i="7" a="1"/>
  <c r="K18" i="7" s="1"/>
  <c r="G18" i="7"/>
  <c r="M18" i="7" a="1"/>
  <c r="M18" i="7" s="1"/>
  <c r="Q18" i="7" a="1"/>
  <c r="Q18" i="7" s="1"/>
  <c r="P18" i="7" a="1"/>
  <c r="P18" i="7" s="1"/>
  <c r="O18" i="7" a="1"/>
  <c r="O18" i="7" s="1"/>
  <c r="N18" i="7" a="1"/>
  <c r="N18" i="7" s="1"/>
  <c r="L18" i="7" a="1"/>
  <c r="L18" i="7" s="1"/>
  <c r="X18" i="7"/>
  <c r="W18" i="7"/>
  <c r="U18" i="7" a="1"/>
  <c r="U18" i="7" s="1"/>
  <c r="D32" i="7"/>
  <c r="P24" i="7"/>
  <c r="M573" i="19" l="1" a="1"/>
  <c r="M573" i="19" s="1"/>
  <c r="O575" i="19" s="1"/>
  <c r="M578" i="19" s="1" a="1"/>
  <c r="M578" i="19" s="1"/>
  <c r="F32" i="41" s="1"/>
  <c r="AH221" i="19" a="1"/>
  <c r="AH221" i="19" s="1"/>
  <c r="AL221" i="19" a="1"/>
  <c r="AL221" i="19" s="1"/>
  <c r="O221" i="19" a="1"/>
  <c r="O221" i="19" s="1"/>
  <c r="P221" i="19" a="1"/>
  <c r="P221" i="19" s="1"/>
  <c r="AC221" i="19" a="1"/>
  <c r="AC221" i="19" s="1"/>
  <c r="AD221" i="19" a="1"/>
  <c r="AD221" i="19" s="1"/>
  <c r="Z221" i="19" a="1"/>
  <c r="Z221" i="19" s="1"/>
  <c r="AK221" i="19" a="1"/>
  <c r="AK221" i="19"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U221" i="19" a="1"/>
  <c r="U221" i="19" s="1"/>
  <c r="Y221" i="19" a="1"/>
  <c r="Y221" i="19" s="1"/>
  <c r="R221" i="19" a="1"/>
  <c r="R221" i="19" s="1"/>
  <c r="V221" i="19" a="1"/>
  <c r="V221" i="19" s="1"/>
  <c r="AG221" i="19" a="1"/>
  <c r="AG221" i="19" s="1"/>
  <c r="Q221" i="19" a="1"/>
  <c r="Q221" i="19" s="1"/>
  <c r="I19" i="7"/>
  <c r="V19" i="7"/>
  <c r="I20" i="7"/>
  <c r="V20" i="7"/>
  <c r="I18" i="7"/>
  <c r="V18" i="7"/>
  <c r="E221" i="19" l="1" a="1"/>
  <c r="E221" i="19" s="1"/>
  <c r="F119" i="19"/>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<sst xmlns="http://schemas.openxmlformats.org/spreadsheetml/2006/main" count="2448" uniqueCount="925">
  <si>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</si>
  <si>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</si>
  <si>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</si>
  <si>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</si>
  <si>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</si>
  <si>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</si>
  <si>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</si>
  <si>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</si>
  <si>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</si>
  <si>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</si>
  <si>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</si>
  <si>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</si>
  <si>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</si>
  <si>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</si>
  <si>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</si>
  <si>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</si>
  <si>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</si>
  <si>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</si>
  <si>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</si>
  <si>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</si>
  <si>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</si>
  <si>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</si>
  <si>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</si>
  <si>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</si>
  <si>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</si>
  <si>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</si>
  <si>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</si>
  <si>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</si>
  <si>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</si>
  <si>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</si>
  <si>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</si>
  <si>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</si>
  <si>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</si>
  <si>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</si>
  <si>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</si>
  <si>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</si>
  <si>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</si>
  <si>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</si>
  <si>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</si>
  <si>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</si>
  <si>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</si>
  <si>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</si>
  <si>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</si>
  <si>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</si>
  <si>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</si>
  <si>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</si>
  <si>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</si>
  <si>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</si>
  <si>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</si>
  <si>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</si>
  <si>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</si>
  <si>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</si>
  <si>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</si>
  <si>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</si>
  <si>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</si>
  <si>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</si>
  <si>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</si>
  <si>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</si>
  <si>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</si>
  <si>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</si>
  <si>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</si>
  <si>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</si>
  <si>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</si>
  <si>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</si>
  <si>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</si>
  <si>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</si>
  <si>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</si>
  <si>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</si>
  <si>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</si>
  <si>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</si>
  <si>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</si>
  <si>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</si>
  <si>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</si>
  <si>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</si>
  <si>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</si>
  <si>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</si>
  <si>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</si>
  <si>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</si>
  <si>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</si>
  <si>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</si>
  <si>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</si>
  <si>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</si>
  <si>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</si>
  <si>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</si>
  <si>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</si>
  <si>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</si>
  <si>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</si>
  <si>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</si>
  <si>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</si>
  <si>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</si>
  <si>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</si>
  <si>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</si>
  <si>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</si>
  <si>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</si>
  <si>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</si>
  <si>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</si>
  <si>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</si>
  <si>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</si>
  <si>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</si>
  <si>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</si>
  <si>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</si>
  <si>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</si>
  <si>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</si>
  <si>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</si>
  <si>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</si>
  <si>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</si>
  <si>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</si>
  <si>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</si>
  <si>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</si>
  <si>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</si>
  <si>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</si>
  <si>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</si>
  <si>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</si>
  <si>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</si>
  <si>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</si>
  <si>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</si>
  <si>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</si>
  <si>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</si>
  <si>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</si>
  <si>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</si>
  <si>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</si>
  <si>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</si>
  <si>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</si>
  <si>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</si>
  <si>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</si>
  <si>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</si>
  <si>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</si>
  <si>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</si>
  <si>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</si>
  <si>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</si>
  <si>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</si>
  <si>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</si>
  <si>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</si>
  <si>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</si>
  <si>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</si>
  <si>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</si>
  <si>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</si>
  <si>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</si>
  <si>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</si>
  <si>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</si>
  <si>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</si>
  <si>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</si>
  <si>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</si>
  <si>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</si>
  <si>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</si>
  <si>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</si>
  <si>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</si>
  <si>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</si>
  <si>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</si>
  <si>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</si>
  <si>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</si>
  <si>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</si>
  <si>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</si>
  <si>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</si>
  <si>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</si>
  <si>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</si>
  <si>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</si>
  <si>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</si>
  <si>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</si>
  <si>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</si>
  <si>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</si>
  <si>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</si>
  <si>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</si>
  <si>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</si>
  <si>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</si>
  <si>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</si>
  <si>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</si>
  <si>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</si>
  <si>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</si>
  <si>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</si>
  <si>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</si>
  <si>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</si>
  <si>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</si>
  <si>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</si>
  <si>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</si>
  <si>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</si>
  <si>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</si>
  <si>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</si>
  <si>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</si>
  <si>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</si>
  <si>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</si>
  <si>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</si>
  <si>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</si>
  <si>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</si>
  <si>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</si>
  <si>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</si>
  <si>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</si>
  <si>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</si>
  <si>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</si>
  <si>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</si>
  <si>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</si>
  <si>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</si>
  <si>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</si>
  <si>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</si>
  <si>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</si>
  <si>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</si>
  <si>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</si>
  <si>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</si>
  <si>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</si>
  <si>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</si>
  <si>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</si>
  <si>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</si>
  <si>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</si>
  <si>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</si>
  <si>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</si>
  <si>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</si>
  <si>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</si>
  <si>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</si>
  <si>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</si>
  <si>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</si>
  <si>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</si>
  <si>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</si>
  <si>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</si>
  <si>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</si>
  <si>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</si>
  <si>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</si>
  <si>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</si>
  <si>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</si>
  <si>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</si>
  <si>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</si>
  <si>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</si>
  <si>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</si>
  <si>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</si>
  <si>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</si>
  <si>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</si>
  <si>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</si>
  <si>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</si>
  <si>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</si>
  <si>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</si>
  <si>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</si>
  <si>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</si>
  <si>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</si>
  <si>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</si>
  <si>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</si>
  <si>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</si>
  <si>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</si>
  <si>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</si>
  <si>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</si>
  <si>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</si>
  <si>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</si>
  <si>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</si>
  <si>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</si>
  <si>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</si>
  <si>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</si>
  <si>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</si>
  <si>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</si>
  <si>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</si>
  <si>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</si>
  <si>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</si>
  <si>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</si>
  <si>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</si>
  <si>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</si>
  <si>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</si>
  <si>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</si>
  <si>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</si>
  <si>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</si>
  <si>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</si>
  <si>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</si>
  <si>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</si>
  <si>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</si>
  <si>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</si>
  <si>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</si>
  <si>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</si>
  <si>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</si>
  <si>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</si>
  <si>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</si>
  <si>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</si>
  <si>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</si>
  <si>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</si>
  <si>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</si>
  <si>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</si>
  <si>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</si>
  <si>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</si>
  <si>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</si>
  <si>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</si>
  <si>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</si>
  <si>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</si>
  <si>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</si>
  <si>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</si>
  <si>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</si>
  <si>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</si>
  <si>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</si>
  <si>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</si>
  <si>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</si>
  <si>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</si>
  <si>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</si>
  <si>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</si>
  <si>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</si>
  <si>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</si>
  <si>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</si>
  <si>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</si>
  <si>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</si>
  <si>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</si>
  <si>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</si>
  <si>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</si>
  <si>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</si>
  <si>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</si>
  <si>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</si>
  <si>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</si>
  <si>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</si>
  <si>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</si>
  <si>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</si>
  <si>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</si>
  <si>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</si>
  <si>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</si>
  <si>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</si>
  <si>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</si>
  <si>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</si>
  <si>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</si>
  <si>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</si>
  <si>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</si>
  <si>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</si>
  <si>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</si>
  <si>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</si>
  <si>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</si>
  <si>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</si>
  <si>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</si>
  <si>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Canada</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</si>
  <si>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</si>
  <si>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</si>
  <si>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</si>
  <si>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</si>
  <si>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</si>
  <si>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</si>
  <si>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</si>
  <si>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</si>
  <si>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</si>
  <si>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</si>
  <si>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</si>
  <si>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</si>
  <si>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</si>
  <si>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</si>
  <si>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</si>
  <si>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</si>
  <si>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</si>
  <si>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</si>
  <si>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</si>
  <si>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</si>
  <si>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</si>
  <si>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</si>
  <si>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</si>
  <si>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</si>
  <si>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</si>
  <si>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</si>
  <si>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</si>
  <si>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</si>
  <si>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</si>
  <si>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</si>
  <si>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</si>
  <si>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</si>
  <si>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</si>
  <si>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Global</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</si>
  <si>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</si>
  <si>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</si>
  <si>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</si>
  <si>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</si>
  <si>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</si>
  <si>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</si>
  <si>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</si>
  <si>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</si>
  <si>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</si>
  <si>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</si>
  <si>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</si>
  <si>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</si>
  <si>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</si>
  <si>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</si>
  <si>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</si>
  <si>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</si>
  <si>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</si>
  <si>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</si>
  <si>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</si>
  <si>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</si>
  <si>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</si>
  <si>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</si>
  <si>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</si>
  <si>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</si>
  <si>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</si>
  <si>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</si>
  <si>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</si>
  <si>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</si>
  <si>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</si>
  <si>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</si>
  <si>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</si>
  <si>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</si>
  <si>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</si>
  <si>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</si>
  <si>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</si>
  <si>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</si>
  <si>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</si>
  <si>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</si>
  <si>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</si>
  <si>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</si>
  <si>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</si>
  <si>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</si>
  <si>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</si>
  <si>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</si>
  <si>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</si>
  <si>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</si>
  <si>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</si>
  <si>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</si>
  <si>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</si>
  <si>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</si>
  <si>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</si>
  <si>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</si>
  <si>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</si>
  <si>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</si>
  <si>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</si>
  <si>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</si>
  <si>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</si>
  <si>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</si>
  <si>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</si>
  <si>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</si>
  <si>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</si>
  <si>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</si>
  <si>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</si>
  <si>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</si>
  <si>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</si>
  <si>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</si>
  <si>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</si>
  <si>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</si>
  <si>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</si>
  <si>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</si>
  <si>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</si>
  <si>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</si>
  <si>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</si>
  <si>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</si>
  <si>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</si>
  <si>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</si>
  <si>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</si>
  <si>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</si>
  <si>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</si>
  <si>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</si>
  <si>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</si>
  <si>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</si>
  <si>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</si>
  <si>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</si>
  <si>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</si>
  <si>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</si>
  <si>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</si>
  <si>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</si>
  <si>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</si>
  <si>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</si>
  <si>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</si>
  <si>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</si>
  <si>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</si>
  <si>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</si>
  <si>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</si>
  <si>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</si>
  <si>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</si>
  <si>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</si>
  <si>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</si>
  <si>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</si>
  <si>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</si>
  <si>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</si>
  <si>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</si>
  <si>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</si>
  <si>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</si>
  <si>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</si>
  <si>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</si>
  <si>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</si>
  <si>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</si>
  <si>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</si>
  <si>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</si>
  <si>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</si>
  <si>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</si>
  <si>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</si>
  <si>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</si>
  <si>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</si>
  <si>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</si>
  <si>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</si>
  <si>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</si>
  <si>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</si>
  <si>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</si>
  <si>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</si>
  <si>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</si>
  <si>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</si>
  <si>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</si>
  <si>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</si>
  <si>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</si>
  <si>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</si>
  <si>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</si>
  <si>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</si>
  <si>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</si>
  <si>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</si>
  <si>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</si>
  <si>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</si>
  <si>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</si>
  <si>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</si>
  <si>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</si>
  <si>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</si>
  <si>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</si>
  <si>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</si>
  <si>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</si>
  <si>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</si>
  <si>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</si>
  <si>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</si>
  <si>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</si>
  <si>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</si>
  <si>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</si>
  <si>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</si>
  <si>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</si>
  <si>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</si>
  <si>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</si>
  <si>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</si>
  <si>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</si>
  <si>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</si>
  <si>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</si>
  <si>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</si>
  <si>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</si>
  <si>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</si>
  <si>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</si>
  <si>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</si>
  <si>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</si>
  <si>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</si>
  <si>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</si>
  <si>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</si>
  <si>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</si>
  <si>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</si>
  <si>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</si>
  <si>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</si>
  <si>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</si>
  <si>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</si>
  <si>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</si>
  <si>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</si>
  <si>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</si>
  <si>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</si>
  <si>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</si>
  <si>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</si>
  <si>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</si>
  <si>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</si>
  <si>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</si>
  <si>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</si>
  <si>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</si>
  <si>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</si>
  <si>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</si>
  <si>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</si>
  <si>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</si>
  <si>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</si>
  <si>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</si>
  <si>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</si>
  <si>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</si>
  <si>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</si>
  <si>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</si>
  <si>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</si>
  <si>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</si>
  <si>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</si>
  <si>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</si>
  <si>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</si>
  <si>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</si>
  <si>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</si>
  <si>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</si>
  <si>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</si>
  <si>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</si>
  <si>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</si>
  <si>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</si>
  <si>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</si>
  <si>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</si>
  <si>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</si>
  <si>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</si>
  <si>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</si>
  <si>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</si>
  <si>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</si>
  <si>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</si>
  <si>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</si>
  <si>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</si>
  <si>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</si>
  <si>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</si>
  <si>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</si>
  <si>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</si>
  <si>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</si>
  <si>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</si>
  <si>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</si>
  <si>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</si>
  <si>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</si>
  <si>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</si>
  <si>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</si>
  <si>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</si>
  <si>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</si>
  <si>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</si>
  <si>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</si>
  <si>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</si>
  <si>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</si>
  <si>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</si>
  <si>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</si>
  <si>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</si>
  <si>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</si>
  <si>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</si>
  <si>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</si>
  <si>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</si>
  <si>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</si>
  <si>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</si>
  <si>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</si>
  <si>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</si>
  <si>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</si>
  <si>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</si>
  <si>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</si>
  <si>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</si>
  <si>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</si>
  <si>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</si>
  <si>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</si>
  <si>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</si>
  <si>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</si>
  <si>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</si>
  <si>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</si>
  <si>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</si>
  <si>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</si>
  <si>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</si>
  <si>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</si>
  <si>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</si>
  <si>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</si>
  <si>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</si>
  <si>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</si>
  <si>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</si>
  <si>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</si>
  <si>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</si>
  <si>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</si>
  <si>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</si>
  <si>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</si>
  <si>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</si>
  <si>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</si>
  <si>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</si>
  <si>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</si>
  <si>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</si>
  <si>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</si>
  <si>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</si>
  <si>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</si>
  <si>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</si>
  <si>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</si>
  <si>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</si>
  <si>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</si>
  <si>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</si>
  <si>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</si>
  <si>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</si>
  <si>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</si>
  <si>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</si>
  <si>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</si>
  <si>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</si>
  <si>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</si>
  <si>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</si>
  <si>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</si>
  <si>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</si>
  <si>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</si>
  <si>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</si>
  <si>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</si>
  <si>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</si>
  <si>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</si>
  <si>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</si>
  <si>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</si>
  <si>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</si>
  <si>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</si>
  <si>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</si>
  <si>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</si>
  <si>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</si>
  <si>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</si>
  <si>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</si>
  <si>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</si>
  <si>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</si>
  <si>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</si>
  <si>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</si>
  <si>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</si>
  <si>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</si>
  <si>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</si>
  <si>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</si>
  <si>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</si>
  <si>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</si>
  <si>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</si>
  <si>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</si>
  <si>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</si>
  <si>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</si>
  <si>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</si>
  <si>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</si>
  <si>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</si>
  <si>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</si>
  <si>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</si>
  <si>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</si>
  <si>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</si>
  <si>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</si>
  <si>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</si>
  <si>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</si>
  <si>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</si>
  <si>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</si>
  <si>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</si>
  <si>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</si>
  <si>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</si>
  <si>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</si>
  <si>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</si>
  <si>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</si>
  <si>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</si>
  <si>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</si>
  <si>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</si>
  <si>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</si>
  <si>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</si>
  <si>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</si>
  <si>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</si>
  <si>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</si>
  <si>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</si>
  <si>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</si>
  <si>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</si>
  <si>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</si>
  <si>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</si>
  <si>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</si>
  <si>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</si>
  <si>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</si>
  <si>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</si>
  <si>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</si>
  <si>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</si>
  <si>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</si>
  <si>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</si>
  <si>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</si>
  <si>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</si>
  <si>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</si>
  <si>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</si>
  <si>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</si>
  <si>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</si>
  <si>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</si>
  <si>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</si>
  <si>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</si>
  <si>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</si>
  <si>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</si>
  <si>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</si>
  <si>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</si>
  <si>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</si>
  <si>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</si>
  <si>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</si>
  <si>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</si>
  <si>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</si>
  <si>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</si>
  <si>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</si>
  <si>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</si>
  <si>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</si>
  <si>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</si>
  <si>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</si>
  <si>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</si>
  <si>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</si>
  <si>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</si>
  <si>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</si>
  <si>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</si>
  <si>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</si>
  <si>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</si>
  <si>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</si>
  <si>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</si>
  <si>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</si>
  <si>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</si>
  <si>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</si>
  <si>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</si>
  <si>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</si>
  <si>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</si>
  <si>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</si>
  <si>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</si>
  <si>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</si>
  <si>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</si>
  <si>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</si>
  <si>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</si>
  <si>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</si>
  <si>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</si>
  <si>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</si>
  <si>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</si>
  <si>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</si>
  <si>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</si>
  <si>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</si>
  <si>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</si>
  <si>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</si>
  <si>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</si>
  <si>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</si>
  <si>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</si>
  <si>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</si>
  <si>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</si>
  <si>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</si>
  <si>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Input - Waste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</si>
  <si>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</si>
  <si>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</si>
  <si>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</si>
  <si>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</si>
  <si>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</si>
  <si>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</si>
  <si>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</si>
  <si>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</si>
  <si>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</si>
  <si>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</si>
  <si>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</si>
  <si>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</si>
  <si>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</si>
  <si>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</si>
  <si>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</si>
  <si>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</si>
  <si>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</si>
  <si>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</si>
  <si>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</si>
  <si>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</si>
  <si>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</si>
  <si>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</si>
  <si>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</si>
  <si>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</si>
  <si>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</si>
  <si>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</si>
  <si>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</si>
  <si>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</si>
  <si>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</si>
  <si>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</si>
  <si>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</si>
  <si>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</si>
  <si>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</si>
  <si>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</si>
  <si>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</si>
  <si>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</si>
  <si>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</si>
  <si>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</si>
  <si>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</si>
  <si>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</si>
  <si>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</si>
  <si>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</si>
  <si>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</si>
  <si>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</si>
  <si>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</si>
  <si>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</si>
  <si>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</si>
  <si>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</si>
  <si>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</si>
  <si>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</si>
  <si>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</si>
  <si>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</si>
  <si>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</si>
  <si>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</si>
  <si>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</si>
  <si>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</si>
  <si>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</si>
  <si>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</si>
  <si>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</si>
  <si>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</si>
  <si>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</si>
  <si>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</si>
  <si>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</si>
  <si>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</si>
  <si>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</si>
  <si>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</si>
  <si>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</si>
  <si>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</si>
  <si>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</si>
  <si>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</si>
  <si>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</si>
  <si>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</si>
  <si>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</si>
  <si>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</si>
  <si>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Amount applied (kg / ha)</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</si>
  <si>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</si>
  <si>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</si>
  <si>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</si>
  <si>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</si>
  <si>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</si>
  <si>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</si>
  <si>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</si>
  <si>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</si>
  <si>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</si>
  <si>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</si>
  <si>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</si>
  <si>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</si>
  <si>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</si>
  <si>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</si>
  <si>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</si>
  <si>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</si>
  <si>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</si>
  <si>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</si>
  <si>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</si>
  <si>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</si>
  <si>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</si>
  <si>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</si>
  <si>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</si>
  <si>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</si>
  <si>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</si>
  <si>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</si>
  <si>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</si>
  <si>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</si>
  <si>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</si>
  <si>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</si>
  <si>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</si>
  <si>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Aqua Grow</t>
  </si>
  <si>
    <t>Aqua Finish</t>
  </si>
  <si>
    <t>Aqua NitroCal</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</si>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</sst>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3">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4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42"/>
      <tableStyleElement type="headerRow" dxfId="541"/>
      <tableStyleElement type="totalRow" dxfId="540"/>
      <tableStyleElement type="firstColumn" dxfId="539"/>
      <tableStyleElement type="firstRowStripe" dxfId="538"/>
      <tableStyleElement type="secondRowStripe" dxfId="537"/>
    </tableStyle>
    <tableStyle name="Equation table" pivot="0" count="6" xr9:uid="{0B4491E8-4F2C-4EE8-9336-DC99561B4B77}">
      <tableStyleElement type="wholeTable" dxfId="536"/>
      <tableStyleElement type="headerRow" dxfId="535"/>
      <tableStyleElement type="totalRow" dxfId="534"/>
      <tableStyleElement type="firstColumn" dxfId="533"/>
      <tableStyleElement type="firstRowStripe" dxfId="532"/>
      <tableStyleElement type="secondRowStripe" dxfId="531"/>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Structure" Target="richData/rdrichvaluestructur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22/10/relationships/richValueRel" Target="richData/richValueRel.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Types" Target="richData/rdRichValueTyp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microsoft.com/office/2023/09/relationships/Python" Target="python.xml"/><Relationship Id="rId20" Type="http://schemas.openxmlformats.org/officeDocument/2006/relationships/worksheet" Target="worksheets/sheet20.xml"/><Relationship Id="rId41" Type="http://schemas.microsoft.com/office/2017/06/relationships/rdRichValue" Target="richData/rdrichvalue.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530"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529" dataCellStyle="Input select" totalsRowCellStyle="Input select"/>
    <tableColumn id="3" xr3:uid="{E03C244F-B016-4373-8F29-F863250A309B}" name="Fuel type (select)" totalsRowDxfId="528" dataCellStyle="Input select" totalsRowCellStyle="Input select"/>
    <tableColumn id="4" xr3:uid="{70536E5B-E617-4814-BA37-CAE5E35162C6}" name="Amount purchased" totalsRowDxfId="527" totalsRowCellStyle="Content bold"/>
    <tableColumn id="6" xr3:uid="{9F12A1DD-B701-47BF-A99D-DAA4D26B1EB3}" name="Amount unit" totalsRowDxfId="526"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25" totalsRowCellStyle="Input percent">
      <calculatedColumnFormula>1</calculatedColumnFormula>
    </tableColumn>
    <tableColumn id="1" xr3:uid="{54C850E9-3FE0-4B86-92C1-58D2275B9FA5}" name="Amount consumed" totalsRowFunction="custom" totalsRowDxfId="524"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X20" headerRowDxfId="523" dataDxfId="522" totalsRowDxfId="521" headerRowCellStyle="Input table column header">
  <autoFilter ref="D17:X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3C05F0AD-9F76-4223-8CAA-F4D965A959FA}" name="Product (select)" dataDxfId="520" totalsRowDxfId="519" dataCellStyle="Input select"/>
    <tableColumn id="23" xr3:uid="{F727E370-72E8-46CC-9F10-18494CAC017E}" name="Amount applied per hectare" totalsRowFunction="custom" dataDxfId="518" totalsRowDxfId="517">
      <totalsRowFormula>SUM(Table_Input_InorganicFertiliser_Brands[[#Headers],[#Data],[Amount applied per hectare]])</totalsRowFormula>
    </tableColumn>
    <tableColumn id="18" xr3:uid="{2253738D-C34B-45FC-A347-3594DD12A0FD}" name="Application unit" totalsRowDxfId="516" dataCellStyle="Input number general calculated">
      <calculatedColumnFormula>_xlfn.XLOOKUP(Table_Input_InorganicFertiliser_Brands[[#This Row],[Product (select)]],FertiliserProducts[Product name],FertiliserProducts[Unit])</calculatedColumnFormula>
    </tableColumn>
    <tableColumn id="21" xr3:uid="{4FB3B271-E92A-4B96-B053-B86AF34E1D2D}" name="Density" totalsRowDxfId="515" dataCellStyle="Input number general calculated">
      <calculatedColumnFormula>_xlfn.XLOOKUP(Table_Input_InorganicFertiliser_Brands[[#This Row],[Product (select)]],FertiliserProducts[Product name],FertiliserProducts[Density / gravity])</calculatedColumnFormula>
    </tableColumn>
    <tableColumn id="6" xr3:uid="{91FD8955-DFC1-456B-BAA3-815803F362E1}" name="Application area (ha)" dataDxfId="514" totalsRowDxfId="513">
      <calculatedColumnFormula>$E$9</calculatedColumnFormula>
    </tableColumn>
    <tableColumn id="1" xr3:uid="{DE25213C-DDD2-412A-85A4-29987D633B72}" name="Total applied (kg)" dataDxfId="512" totalsRowDxfId="51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7369C23-2EB2-4294-911F-7E8527CF792D}" name="Ingredient 1" dataDxfId="510" totalsRowDxfId="50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508" totalsRowDxfId="507"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506"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505" totalsRowDxfId="504"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503" totalsRowDxfId="502"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501" totalsRowDxfId="500"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499" totalsRowDxfId="498"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497"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496"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495"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494"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493"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492" totalsRowDxfId="491"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9" xr3:uid="{6CEA9730-B94E-43BE-99B6-171B73E411EA}" name="Urea source" dataDxfId="490" totalsRowDxfId="489" dataCellStyle="Input number general calculated">
      <calculatedColumnFormula>_xlfn.XLOOKUP(Table_Input_InorganicFertiliser_Brands[[#This Row],[Product (select)]],FertiliserProducts[Product name],FertiliserProducts[Urea source])</calculatedColumnFormula>
    </tableColumn>
    <tableColumn id="12" xr3:uid="{7300FD4B-319E-4F4F-BEC0-4B40043163A7}" name="Ammonia source" dataDxfId="488" totalsRowDxfId="487"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R25" totalsRowShown="0" headerRowDxfId="486" dataDxfId="485" headerRowCellStyle="Input table column header">
  <autoFilter ref="D23:R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D7B2B046-E882-4B22-9EF8-F965A75EB19A}" name="Custom blend name" dataCellStyle="Input text"/>
    <tableColumn id="2" xr3:uid="{53F36107-B1C8-4A11-8D64-98D96B16556E}" name="Amount applied (kg / ha)" dataDxfId="484"/>
    <tableColumn id="3" xr3:uid="{9EAF254B-17DE-4675-8AF9-F68B80BF582C}" name="Application area (ha)" dataDxfId="483" dataCellStyle="Input number 2 decimal places">
      <calculatedColumnFormula>$E$9</calculatedColumnFormula>
    </tableColumn>
    <tableColumn id="4" xr3:uid="{CFA5CCED-3BC5-4DD2-AC3F-E4DC58D9B605}" name="Total applied (kg)" dataDxfId="482"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81" dataCellStyle="Input select"/>
    <tableColumn id="6" xr3:uid="{3F30B499-2152-42DE-8F13-8F97800C0F82}" name="Ingredient 1 percent" dataDxfId="480"/>
    <tableColumn id="8" xr3:uid="{81DBD2AF-CE79-4DFA-ABE1-18247069D1B2}" name="Ingredient 2" dataDxfId="479" dataCellStyle="Input select"/>
    <tableColumn id="9" xr3:uid="{1CF7EE6F-57DF-414D-AEE5-FBCA6348094D}" name="Ingredient 2 percent" dataDxfId="478"/>
    <tableColumn id="11" xr3:uid="{A18D28AA-C181-4552-8786-2ECF509C16C8}" name="Ingredient 3" dataDxfId="477" dataCellStyle="Input select"/>
    <tableColumn id="12" xr3:uid="{B6A6831A-C9EE-4F80-B87F-A0C4C20DFCFD}" name="Ingredient 3 percent" dataDxfId="476"/>
    <tableColumn id="14" xr3:uid="{4467B432-BBEC-488F-912D-5D7123AE260A}" name="Ingredient 4" dataDxfId="475" dataCellStyle="Input select"/>
    <tableColumn id="15" xr3:uid="{0FA01265-32D2-4FC6-BCD7-17164873ADC9}" name="Ingredient 4 percent" dataCellStyle="Input percent"/>
    <tableColumn id="7" xr3:uid="{BF8B607F-8C2E-4E2B-B89D-E699723F771C}" name="N application rate (kg/ha)" dataDxfId="47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A0CD4098-36C8-424A-BA04-4D4CCFE2BACE}" name="Urea source (Select)" dataDxfId="473"/>
    <tableColumn id="13" xr3:uid="{CA785B69-1D00-4D4E-954C-77FAF8F67EDB}" name="Ammonia source (select)" dataDxfId="472"/>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K35" totalsRowShown="0" headerRowDxfId="471" dataDxfId="470" headerRowCellStyle="Input table column header">
  <autoFilter ref="D33:K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55C6D57-C99E-4560-95BE-1D32508E9DC1}" name="Product" dataDxfId="469"/>
    <tableColumn id="2" xr3:uid="{BBD9A28E-9144-4A75-B4E2-101A86320BD7}" name="Amount applied (t/hectare)" dataDxfId="468"/>
    <tableColumn id="4" xr3:uid="{28D6DB55-F183-4018-A8CF-F5EECD3B6F14}" name="Application area (ha)" dataDxfId="467">
      <calculatedColumnFormula>$E$9</calculatedColumnFormula>
    </tableColumn>
    <tableColumn id="3" xr3:uid="{A873C277-F431-4770-984D-50E37F5B322A}" name="Total amount applied (t)" dataDxfId="466"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CellStyle="Input percent"/>
    <tableColumn id="8" xr3:uid="{87445951-81DE-4186-A628-A263C2301F74}" name="Percent Dolomite CaMg(CO3)2" dataCellStyle="Input percent"/>
    <tableColumn id="7" xr3:uid="{7689CF48-369A-4C18-99A1-A2DDCFE99B7F}" name="Percent Gypsum" dataCellStyle="Input percent"/>
    <tableColumn id="10" xr3:uid="{E00BF7C1-7D20-4C62-A394-32D1C7721ABB}" name="Total" dataDxfId="465">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6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6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6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61" dataCellStyle="Input select"/>
    <tableColumn id="2" xr3:uid="{5B0AEBA4-AB33-4382-8634-3F4C8D3B2A9B}" name="Number of head treated" dataDxfId="460" dataCellStyle="Input number general"/>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59" dataCellStyle="Input select"/>
    <tableColumn id="2" xr3:uid="{FA43F52A-7609-4014-A6D3-CAC2C970F57C}" name="Purchase class (select)" dataDxfId="458" dataCellStyle="Input select"/>
    <tableColumn id="6" xr3:uid="{41EDEC1E-1793-4BBD-B0C8-66DE9A0925D5}" name="Source region (Select)" dataDxfId="45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56">
  <autoFilter ref="D6:I16" xr:uid="{E938BFB3-949A-45DE-8033-0682BC494B81}"/>
  <tableColumns count="6">
    <tableColumn id="9" xr3:uid="{9915AEA9-40DA-4CFD-B08A-11FBE10BE9CF}" name="Transaction name" dataCellStyle="Input text"/>
    <tableColumn id="11" xr3:uid="{7A96FDED-4DC0-48EE-B346-DC4E5D93138D}" name="Class (select)" dataDxfId="45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54">
  <autoFilter ref="D6:H16" xr:uid="{14ED7533-62DD-410F-8832-CD98B0CD652B}"/>
  <tableColumns count="5">
    <tableColumn id="9" xr3:uid="{FC1CEF00-A0CC-4545-ADAB-9F52D190F90C}" name="Transaction name" dataCellStyle="Input text"/>
    <tableColumn id="11" xr3:uid="{45625588-179B-4EE3-98B4-2E94FA489CC5}" name="Class (select)" dataDxfId="45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5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45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45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4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4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4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4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4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44"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43"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42"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41"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40"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39"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38"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37"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36"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35"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34"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33"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32"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31"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30"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29"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28"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27"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26"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25"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24"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23"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22"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21"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20"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19"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18"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17"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16"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15"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14"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13"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12"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11"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10"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09"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08"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07"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06"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05"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04"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03"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02"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01"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00"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99"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98"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97"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96"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95"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94"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93"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92"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91"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90"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89"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88"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87"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86"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85"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84"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83"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82"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81"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80"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79"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78"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77"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376"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375"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374"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373"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372"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371" headerRowCellStyle="Content normal" dataCellStyle="Content normal">
  <autoFilter ref="M16:M21" xr:uid="{8B016CBB-C518-4F44-8DA5-22BFEF05C8F4}"/>
  <tableColumns count="1">
    <tableColumn id="1" xr3:uid="{529CBAE6-9FC8-4C67-86C3-EAFEE2218DCF}" name="Waste type w" totalsRowDxfId="370" dataCellStyle="Content normal">
      <calculatedColumnFormula>E40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369" headerRowCellStyle="Content normal" dataCellStyle="Content normal">
  <autoFilter ref="O16:O21" xr:uid="{A29F6F0E-2A01-4D24-9251-51FC9A4458D0}"/>
  <tableColumns count="1">
    <tableColumn id="1" xr3:uid="{64CBF66F-F07B-4051-8F15-1DD91E5BCBEF}" name="Waste type w" totalsRowDxfId="368" dataCellStyle="Content normal">
      <calculatedColumnFormula>E46</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367" dataDxfId="366">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65">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64">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63">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62">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61">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60">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59">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58">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57" dataDxfId="356">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55">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54">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53">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52">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51">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50">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49">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48">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47">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46" dataDxfId="345">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44"/>
    <tableColumn id="2" xr3:uid="{3CFB3B0E-6A3D-4336-A2F5-7D46AE54C335}" name="Power standalone machinery or heating" dataDxfId="343"/>
    <tableColumn id="3" xr3:uid="{5AAA1831-5C5E-4C84-BCC2-2E78A9B5258B}" name="Aviation" dataDxfId="342"/>
    <tableColumn id="5" xr3:uid="{F1BD91A4-832F-462E-8EB0-A84767662BE4}" name="Cars and light commercial vehicles" dataDxfId="341"/>
    <tableColumn id="7" xr3:uid="{E9B8BAAB-717E-44AB-B2F8-3E5C76D4FFB0}" name="Off-road Agriculture and forestry equipment" dataDxfId="340" dataCellStyle="Content bold"/>
    <tableColumn id="8" xr3:uid="{63E9DB80-5FD4-4E13-BBFC-A35B40E9C88C}" name="Vessels" dataDxfId="339" dataCellStyle="Content bold"/>
    <tableColumn id="6" xr3:uid="{EF6CDD99-C67B-4B96-AB3B-8313822AD3CF}" name="General use" dataDxfId="338"/>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37" dataDxfId="3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35">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34">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33">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32">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31">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30">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28" totalsRowDxfId="327">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26">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25">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17"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16"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15"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14"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13"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12" dataCellStyle="Content normal"/>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11"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10"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09"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08"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07"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06"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05"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04"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03"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02"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01" dataCellStyle="Content normal"/>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00"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299"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298"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297"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296"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295"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294"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293"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292"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291"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290"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289"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288"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287"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286"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285"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284"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283"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282" dataCellStyle="Content normal"/>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281" dataCellStyle="Content normal"/>
    <tableColumn id="2" xr3:uid="{3C9E3AB6-C1FA-4D37-B176-5BB0B449AAD7}" name="VSL"/>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280"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279"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278"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277"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276"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275" dataCellStyle="Content normal">
  <autoFilter ref="D78:E82" xr:uid="{E34928EB-73E5-43B2-830B-089F30DA4EF0}">
    <filterColumn colId="0" hiddenButton="1"/>
    <filterColumn colId="1" hiddenButton="1"/>
  </autoFilter>
  <tableColumns count="2">
    <tableColumn id="1" xr3:uid="{CAD0F086-96AD-478F-9F97-BB910BCF2E2C}" name="Class" dataDxfId="274"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273"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272"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271"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270"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269"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268"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267"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266"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65"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64"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63"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62"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61"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60"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59"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58"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57"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56"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55"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54"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53"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52"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51"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50"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49"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48"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47"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46"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45"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44"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43"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42"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41"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40"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39"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38"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3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3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3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34"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33"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32"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31"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30"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29"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28"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27"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26"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25"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24"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23"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22"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06"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05"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04"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01"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1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1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1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1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1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1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1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1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1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1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18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18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18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18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18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183"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1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18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18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17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17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17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17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17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17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1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1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1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17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16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16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1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1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65" dataCellStyle="Content normal">
      <calculatedColumnFormula>D351</calculatedColumnFormula>
    </tableColumn>
    <tableColumn id="2" xr3:uid="{3A500914-DEBE-4A5B-9EFF-C566204ADAFE}" name="Bulls &lt; 1 year" dataDxfId="164" dataCellStyle="Content normal">
      <calculatedColumnFormula>E351</calculatedColumnFormula>
    </tableColumn>
    <tableColumn id="3" xr3:uid="{B874FEE3-562E-454F-BDBC-45043393C99C}" name="Bulls &gt; 1 year" dataDxfId="163" dataCellStyle="Content normal">
      <calculatedColumnFormula>F351</calculatedColumnFormula>
    </tableColumn>
    <tableColumn id="4" xr3:uid="{B5355347-A1F0-4973-A512-0D2CAACA96EE}" name="Cows &lt; 1 year" dataDxfId="162" dataCellStyle="Content normal">
      <calculatedColumnFormula>G351</calculatedColumnFormula>
    </tableColumn>
    <tableColumn id="5" xr3:uid="{77A191F8-38C3-4F24-9EFF-980D069BC04A}" name="Cows 1-2 years" dataDxfId="161" dataCellStyle="Content normal">
      <calculatedColumnFormula>H351</calculatedColumnFormula>
    </tableColumn>
    <tableColumn id="6" xr3:uid="{C27A0FE8-EB36-45AD-85CC-54422EECF9D4}" name="Cows 2-3 years" dataDxfId="160" dataCellStyle="Content normal">
      <calculatedColumnFormula>I351</calculatedColumnFormula>
    </tableColumn>
    <tableColumn id="7" xr3:uid="{E45A02BC-2BD9-40C3-AA1C-086EE1B3CF4E}" name="Cows &gt; 3 years" dataDxfId="159" dataCellStyle="Content normal">
      <calculatedColumnFormula>I351</calculatedColumnFormula>
    </tableColumn>
    <tableColumn id="8" xr3:uid="{64BCADE5-A30C-422D-95A6-F7AB897FB775}" name="Steers &lt; 1 year" dataDxfId="158" dataCellStyle="Content normal">
      <calculatedColumnFormula>J351</calculatedColumnFormula>
    </tableColumn>
    <tableColumn id="9" xr3:uid="{A3AA722E-C9A8-476C-9FE8-DC46C3A6D9FA}" name="Steers 1-2 years" dataDxfId="157" dataCellStyle="Content normal">
      <calculatedColumnFormula>K351</calculatedColumnFormula>
    </tableColumn>
    <tableColumn id="10" xr3:uid="{CC7AE6BD-32DE-43F2-B3D8-F334FC0BA640}" name="Steers 2-3 years" dataDxfId="156" dataCellStyle="Content normal">
      <calculatedColumnFormula>K351</calculatedColumnFormula>
    </tableColumn>
    <tableColumn id="11" xr3:uid="{B364C281-70AB-4253-BEE3-56EAB88390C8}" name="Steers &gt;3 years" dataDxfId="155" dataCellStyle="Content normal">
      <calculatedColumnFormula>K351</calculatedColumnFormula>
    </tableColumn>
    <tableColumn id="12" xr3:uid="{1B567087-DFFB-45A9-97B9-5D55DA59D657}" name="State abbreviation" dataDxfId="154" dataCellStyle="Content normal">
      <calculatedColumnFormula>L351</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5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5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5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50"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4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4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4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4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4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4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4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4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41" dataCellStyle="Content normal">
  <autoFilter ref="D40:E47" xr:uid="{879A0650-599F-46E3-BDCA-CF804D191F3B}">
    <filterColumn colId="0" hiddenButton="1"/>
    <filterColumn colId="1" hiddenButton="1"/>
  </autoFilter>
  <tableColumns count="2">
    <tableColumn id="1" xr3:uid="{F237F8B2-5CE9-4094-A201-E708B82BA8BF}" name="Product" dataDxfId="14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3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38" dataCellStyle="Content normal">
  <autoFilter ref="D51:E52" xr:uid="{5D161BB1-95E1-405D-861A-B4883D49A51C}">
    <filterColumn colId="0" hiddenButton="1"/>
    <filterColumn colId="1" hiddenButton="1"/>
  </autoFilter>
  <tableColumns count="2">
    <tableColumn id="1" xr3:uid="{44557688-3D5A-45A6-818D-F1328BB9ECC9}" name="Product" dataDxfId="137"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36"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35" dataCellStyle="Content normal">
  <autoFilter ref="D56:E57" xr:uid="{91542D18-4304-4E66-85EA-4F5A2B9391FE}">
    <filterColumn colId="0" hiddenButton="1"/>
    <filterColumn colId="1" hiddenButton="1"/>
  </autoFilter>
  <tableColumns count="2">
    <tableColumn id="1" xr3:uid="{B414FDE1-8B5E-4532-8C69-A9C006972E91}" name="Product" dataDxfId="13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3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32" dataCellStyle="Content normal">
  <autoFilter ref="D61:E62" xr:uid="{4B96D517-47DA-49C8-8030-0D501D458198}">
    <filterColumn colId="0" hiddenButton="1"/>
    <filterColumn colId="1" hiddenButton="1"/>
  </autoFilter>
  <tableColumns count="2">
    <tableColumn id="1" xr3:uid="{20B25AB9-804F-4D21-9C93-F44C0DAF008F}" name="Product" dataDxfId="13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3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29"/>
    <tableColumn id="2" xr3:uid="{B4717C55-1B95-4E74-B4A0-5CE7A609A36B}" name="Notes" totalsRowDxfId="128"/>
    <tableColumn id="3" xr3:uid="{D976AB1A-52FF-4FBD-9860-B9717ABA5514}" name="Company" totalsRowDxfId="127"/>
    <tableColumn id="4" xr3:uid="{D8F5EA32-4865-44AD-B9C7-F91CA2638E8B}" name="Product name" totalsRowDxfId="126"/>
    <tableColumn id="5" xr3:uid="{D241BEEC-C636-4A92-9BDB-FA8FAA1CAFB2}" name="Unit" totalsRowDxfId="125"/>
    <tableColumn id="6" xr3:uid="{78DBDBE9-27C7-4A0D-B9DA-9F57440C9DE9}" name="Density / gravity" totalsRowDxfId="124"/>
    <tableColumn id="7" xr3:uid="{A50CBE27-EC38-4A34-A2CE-1002E6BA3DD3}" name="Urea source" totalsRowDxfId="123"/>
    <tableColumn id="8" xr3:uid="{16B5D74A-9810-4E92-A540-3E051DC2151D}" name="Ammonia source" totalsRowDxfId="122"/>
    <tableColumn id="9" xr3:uid="{DA7A3BF5-8B40-4495-AD97-6B95B429B465}" name="Ingredient 1" totalsRowDxfId="121"/>
    <tableColumn id="10" xr3:uid="{2A0B8472-D8FF-4086-BE70-2E8BCA80080B}" name="Ingredient 1 percent" totalsRowDxfId="120"/>
    <tableColumn id="11" xr3:uid="{F12415FE-ED65-47A4-AFBE-CEA738CED011}" name="Ingredient 2" totalsRowDxfId="119"/>
    <tableColumn id="12" xr3:uid="{26500CB3-2A36-4020-8DCD-96905995028A}" name="Ingredient 2 percent" totalsRowDxfId="118"/>
    <tableColumn id="13" xr3:uid="{8F8E6FFC-24C1-4EC1-A491-92E852D1C21B}" name="Ingredient 3" totalsRowDxfId="117"/>
    <tableColumn id="14" xr3:uid="{0D08C50E-A1D4-4D59-8D20-E9C72FE59C88}" name="Ingredient 3 percent" totalsRowDxfId="116"/>
    <tableColumn id="15" xr3:uid="{E71FD370-71A1-4861-8573-8E095564A6C6}" name="Ingredient 4" totalsRowDxfId="115"/>
    <tableColumn id="16" xr3:uid="{05524065-59E0-4732-9D5C-80182402ACED}" name="Ingredient 4 percent" totalsRowDxfId="114"/>
    <tableColumn id="17" xr3:uid="{E73E9DAE-88FE-451C-83BB-46CE2CD11EAC}" name="Ingredient 5" totalsRowDxfId="113"/>
    <tableColumn id="18" xr3:uid="{E43B92CC-872A-4D81-AE03-F2A3A1AA9B65}" name="Ingredient 5 percent" totalsRowDxfId="112"/>
    <tableColumn id="19" xr3:uid="{877362A6-7696-4C2B-9AC9-A50CEF0951B6}" name="Ingredient 6" totalsRowDxfId="111"/>
    <tableColumn id="37" xr3:uid="{22756E59-4033-405C-B6C2-0A2E122D072F}" name="Ingredient 6 percent" totalsRowDxfId="110"/>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0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6" dataCellStyle="Content normal">
  <autoFilter ref="K19:L28" xr:uid="{27B93029-EB1F-4C4A-A946-CD673A8A6C46}">
    <filterColumn colId="0" hiddenButton="1"/>
    <filterColumn colId="1" hiddenButton="1"/>
  </autoFilter>
  <tableColumns count="2">
    <tableColumn id="1" xr3:uid="{D0F0FE53-48EF-4C1D-923D-46B182A1D219}" name="Fertiliser type f" dataDxfId="105"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3" dataCellStyle="Content normal">
  <autoFilter ref="Q19:R28" xr:uid="{791CEA59-796C-47AB-86BC-41E8F699030C}">
    <filterColumn colId="0" hiddenButton="1"/>
    <filterColumn colId="1" hiddenButton="1"/>
  </autoFilter>
  <tableColumns count="2">
    <tableColumn id="1" xr3:uid="{8D461AD8-9C85-4218-9322-36C1AD6A4022}" name="Fertiliser type f" dataDxfId="102"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0">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8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8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8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8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8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8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6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63"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3.bin"/><Relationship Id="rId4"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29.xml"/><Relationship Id="rId13" Type="http://schemas.openxmlformats.org/officeDocument/2006/relationships/table" Target="../tables/table34.xml"/><Relationship Id="rId18" Type="http://schemas.openxmlformats.org/officeDocument/2006/relationships/table" Target="../tables/table39.xml"/><Relationship Id="rId26" Type="http://schemas.openxmlformats.org/officeDocument/2006/relationships/table" Target="../tables/table47.xml"/><Relationship Id="rId3" Type="http://schemas.openxmlformats.org/officeDocument/2006/relationships/table" Target="../tables/table24.xml"/><Relationship Id="rId21" Type="http://schemas.openxmlformats.org/officeDocument/2006/relationships/table" Target="../tables/table42.xml"/><Relationship Id="rId7" Type="http://schemas.openxmlformats.org/officeDocument/2006/relationships/table" Target="../tables/table28.xml"/><Relationship Id="rId12" Type="http://schemas.openxmlformats.org/officeDocument/2006/relationships/table" Target="../tables/table33.xml"/><Relationship Id="rId17" Type="http://schemas.openxmlformats.org/officeDocument/2006/relationships/table" Target="../tables/table38.xml"/><Relationship Id="rId25" Type="http://schemas.openxmlformats.org/officeDocument/2006/relationships/table" Target="../tables/table46.xml"/><Relationship Id="rId2" Type="http://schemas.openxmlformats.org/officeDocument/2006/relationships/table" Target="../tables/table23.xml"/><Relationship Id="rId16" Type="http://schemas.openxmlformats.org/officeDocument/2006/relationships/table" Target="../tables/table37.xml"/><Relationship Id="rId20" Type="http://schemas.openxmlformats.org/officeDocument/2006/relationships/table" Target="../tables/table41.xml"/><Relationship Id="rId29" Type="http://schemas.openxmlformats.org/officeDocument/2006/relationships/table" Target="../tables/table50.xml"/><Relationship Id="rId1" Type="http://schemas.openxmlformats.org/officeDocument/2006/relationships/table" Target="../tables/table22.xml"/><Relationship Id="rId6" Type="http://schemas.openxmlformats.org/officeDocument/2006/relationships/table" Target="../tables/table27.xml"/><Relationship Id="rId11" Type="http://schemas.openxmlformats.org/officeDocument/2006/relationships/table" Target="../tables/table32.xml"/><Relationship Id="rId24" Type="http://schemas.openxmlformats.org/officeDocument/2006/relationships/table" Target="../tables/table45.xml"/><Relationship Id="rId5" Type="http://schemas.openxmlformats.org/officeDocument/2006/relationships/table" Target="../tables/table26.xml"/><Relationship Id="rId15" Type="http://schemas.openxmlformats.org/officeDocument/2006/relationships/table" Target="../tables/table36.xml"/><Relationship Id="rId23" Type="http://schemas.openxmlformats.org/officeDocument/2006/relationships/table" Target="../tables/table44.xml"/><Relationship Id="rId28" Type="http://schemas.openxmlformats.org/officeDocument/2006/relationships/table" Target="../tables/table49.xml"/><Relationship Id="rId10" Type="http://schemas.openxmlformats.org/officeDocument/2006/relationships/table" Target="../tables/table31.xml"/><Relationship Id="rId19" Type="http://schemas.openxmlformats.org/officeDocument/2006/relationships/table" Target="../tables/table40.xml"/><Relationship Id="rId4" Type="http://schemas.openxmlformats.org/officeDocument/2006/relationships/table" Target="../tables/table25.xml"/><Relationship Id="rId9" Type="http://schemas.openxmlformats.org/officeDocument/2006/relationships/table" Target="../tables/table30.xml"/><Relationship Id="rId14" Type="http://schemas.openxmlformats.org/officeDocument/2006/relationships/table" Target="../tables/table35.xml"/><Relationship Id="rId22" Type="http://schemas.openxmlformats.org/officeDocument/2006/relationships/table" Target="../tables/table43.xml"/><Relationship Id="rId27" Type="http://schemas.openxmlformats.org/officeDocument/2006/relationships/table" Target="../tables/table48.xml"/><Relationship Id="rId30" Type="http://schemas.openxmlformats.org/officeDocument/2006/relationships/table" Target="../tables/table51.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3.xml"/><Relationship Id="rId7" Type="http://schemas.openxmlformats.org/officeDocument/2006/relationships/table" Target="../tables/table57.xml"/><Relationship Id="rId2" Type="http://schemas.openxmlformats.org/officeDocument/2006/relationships/table" Target="../tables/table52.xml"/><Relationship Id="rId1" Type="http://schemas.openxmlformats.org/officeDocument/2006/relationships/printerSettings" Target="../printerSettings/printerSettings8.bin"/><Relationship Id="rId6" Type="http://schemas.openxmlformats.org/officeDocument/2006/relationships/table" Target="../tables/table56.xml"/><Relationship Id="rId5" Type="http://schemas.openxmlformats.org/officeDocument/2006/relationships/table" Target="../tables/table55.xml"/><Relationship Id="rId4" Type="http://schemas.openxmlformats.org/officeDocument/2006/relationships/table" Target="../tables/table5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0.xml"/><Relationship Id="rId7" Type="http://schemas.openxmlformats.org/officeDocument/2006/relationships/table" Target="../tables/table64.xml"/><Relationship Id="rId2" Type="http://schemas.openxmlformats.org/officeDocument/2006/relationships/table" Target="../tables/table59.xml"/><Relationship Id="rId1" Type="http://schemas.openxmlformats.org/officeDocument/2006/relationships/table" Target="../tables/table58.xml"/><Relationship Id="rId6" Type="http://schemas.openxmlformats.org/officeDocument/2006/relationships/table" Target="../tables/table63.xml"/><Relationship Id="rId5" Type="http://schemas.openxmlformats.org/officeDocument/2006/relationships/table" Target="../tables/table62.xml"/><Relationship Id="rId4" Type="http://schemas.openxmlformats.org/officeDocument/2006/relationships/table" Target="../tables/table61.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1.xml"/><Relationship Id="rId3" Type="http://schemas.openxmlformats.org/officeDocument/2006/relationships/table" Target="../tables/table66.xml"/><Relationship Id="rId7" Type="http://schemas.openxmlformats.org/officeDocument/2006/relationships/table" Target="../tables/table70.xml"/><Relationship Id="rId12" Type="http://schemas.openxmlformats.org/officeDocument/2006/relationships/table" Target="../tables/table75.xml"/><Relationship Id="rId2" Type="http://schemas.openxmlformats.org/officeDocument/2006/relationships/table" Target="../tables/table65.xml"/><Relationship Id="rId1" Type="http://schemas.openxmlformats.org/officeDocument/2006/relationships/printerSettings" Target="../printerSettings/printerSettings9.bin"/><Relationship Id="rId6" Type="http://schemas.openxmlformats.org/officeDocument/2006/relationships/table" Target="../tables/table69.xml"/><Relationship Id="rId11" Type="http://schemas.openxmlformats.org/officeDocument/2006/relationships/table" Target="../tables/table74.xml"/><Relationship Id="rId5" Type="http://schemas.openxmlformats.org/officeDocument/2006/relationships/table" Target="../tables/table68.xml"/><Relationship Id="rId10" Type="http://schemas.openxmlformats.org/officeDocument/2006/relationships/table" Target="../tables/table73.xml"/><Relationship Id="rId4" Type="http://schemas.openxmlformats.org/officeDocument/2006/relationships/table" Target="../tables/table67.xml"/><Relationship Id="rId9" Type="http://schemas.openxmlformats.org/officeDocument/2006/relationships/table" Target="../tables/table72.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3.xml"/><Relationship Id="rId13" Type="http://schemas.openxmlformats.org/officeDocument/2006/relationships/table" Target="../tables/table88.xml"/><Relationship Id="rId3" Type="http://schemas.openxmlformats.org/officeDocument/2006/relationships/table" Target="../tables/table78.xml"/><Relationship Id="rId7" Type="http://schemas.openxmlformats.org/officeDocument/2006/relationships/table" Target="../tables/table82.xml"/><Relationship Id="rId12" Type="http://schemas.openxmlformats.org/officeDocument/2006/relationships/table" Target="../tables/table87.xml"/><Relationship Id="rId2" Type="http://schemas.openxmlformats.org/officeDocument/2006/relationships/table" Target="../tables/table77.xml"/><Relationship Id="rId1" Type="http://schemas.openxmlformats.org/officeDocument/2006/relationships/table" Target="../tables/table76.xml"/><Relationship Id="rId6" Type="http://schemas.openxmlformats.org/officeDocument/2006/relationships/table" Target="../tables/table81.xml"/><Relationship Id="rId11" Type="http://schemas.openxmlformats.org/officeDocument/2006/relationships/table" Target="../tables/table86.xml"/><Relationship Id="rId5" Type="http://schemas.openxmlformats.org/officeDocument/2006/relationships/table" Target="../tables/table80.xml"/><Relationship Id="rId10" Type="http://schemas.openxmlformats.org/officeDocument/2006/relationships/table" Target="../tables/table85.xml"/><Relationship Id="rId4" Type="http://schemas.openxmlformats.org/officeDocument/2006/relationships/table" Target="../tables/table79.xml"/><Relationship Id="rId9" Type="http://schemas.openxmlformats.org/officeDocument/2006/relationships/table" Target="../tables/table84.xml"/><Relationship Id="rId14" Type="http://schemas.openxmlformats.org/officeDocument/2006/relationships/table" Target="../tables/table89.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3" Type="http://schemas.openxmlformats.org/officeDocument/2006/relationships/table" Target="../tables/table92.xml"/><Relationship Id="rId7" Type="http://schemas.openxmlformats.org/officeDocument/2006/relationships/table" Target="../tables/table96.xml"/><Relationship Id="rId12" Type="http://schemas.openxmlformats.org/officeDocument/2006/relationships/table" Target="../tables/table101.xml"/><Relationship Id="rId2" Type="http://schemas.openxmlformats.org/officeDocument/2006/relationships/table" Target="../tables/table91.xml"/><Relationship Id="rId1" Type="http://schemas.openxmlformats.org/officeDocument/2006/relationships/table" Target="../tables/table90.xml"/><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2.xml"/><Relationship Id="rId13" Type="http://schemas.openxmlformats.org/officeDocument/2006/relationships/table" Target="../tables/table117.xml"/><Relationship Id="rId18" Type="http://schemas.openxmlformats.org/officeDocument/2006/relationships/table" Target="../tables/table122.xml"/><Relationship Id="rId3" Type="http://schemas.openxmlformats.org/officeDocument/2006/relationships/table" Target="../tables/table107.xml"/><Relationship Id="rId21" Type="http://schemas.openxmlformats.org/officeDocument/2006/relationships/table" Target="../tables/table125.xml"/><Relationship Id="rId7" Type="http://schemas.openxmlformats.org/officeDocument/2006/relationships/table" Target="../tables/table111.xml"/><Relationship Id="rId12" Type="http://schemas.openxmlformats.org/officeDocument/2006/relationships/table" Target="../tables/table116.xml"/><Relationship Id="rId17" Type="http://schemas.openxmlformats.org/officeDocument/2006/relationships/table" Target="../tables/table121.xml"/><Relationship Id="rId25" Type="http://schemas.openxmlformats.org/officeDocument/2006/relationships/table" Target="../tables/table129.xml"/><Relationship Id="rId2" Type="http://schemas.openxmlformats.org/officeDocument/2006/relationships/table" Target="../tables/table106.xml"/><Relationship Id="rId16" Type="http://schemas.openxmlformats.org/officeDocument/2006/relationships/table" Target="../tables/table120.xml"/><Relationship Id="rId20" Type="http://schemas.openxmlformats.org/officeDocument/2006/relationships/table" Target="../tables/table124.xml"/><Relationship Id="rId1" Type="http://schemas.openxmlformats.org/officeDocument/2006/relationships/table" Target="../tables/table105.xml"/><Relationship Id="rId6" Type="http://schemas.openxmlformats.org/officeDocument/2006/relationships/table" Target="../tables/table110.xml"/><Relationship Id="rId11" Type="http://schemas.openxmlformats.org/officeDocument/2006/relationships/table" Target="../tables/table115.xml"/><Relationship Id="rId24" Type="http://schemas.openxmlformats.org/officeDocument/2006/relationships/table" Target="../tables/table128.xml"/><Relationship Id="rId5" Type="http://schemas.openxmlformats.org/officeDocument/2006/relationships/table" Target="../tables/table109.xml"/><Relationship Id="rId15" Type="http://schemas.openxmlformats.org/officeDocument/2006/relationships/table" Target="../tables/table119.xml"/><Relationship Id="rId23" Type="http://schemas.openxmlformats.org/officeDocument/2006/relationships/table" Target="../tables/table127.xml"/><Relationship Id="rId10" Type="http://schemas.openxmlformats.org/officeDocument/2006/relationships/table" Target="../tables/table114.xml"/><Relationship Id="rId19" Type="http://schemas.openxmlformats.org/officeDocument/2006/relationships/table" Target="../tables/table123.xml"/><Relationship Id="rId4" Type="http://schemas.openxmlformats.org/officeDocument/2006/relationships/table" Target="../tables/table108.xml"/><Relationship Id="rId9" Type="http://schemas.openxmlformats.org/officeDocument/2006/relationships/table" Target="../tables/table113.xml"/><Relationship Id="rId14" Type="http://schemas.openxmlformats.org/officeDocument/2006/relationships/table" Target="../tables/table118.xml"/><Relationship Id="rId22" Type="http://schemas.openxmlformats.org/officeDocument/2006/relationships/table" Target="../tables/table126.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2.xml"/><Relationship Id="rId2" Type="http://schemas.openxmlformats.org/officeDocument/2006/relationships/table" Target="../tables/table131.xml"/><Relationship Id="rId1" Type="http://schemas.openxmlformats.org/officeDocument/2006/relationships/table" Target="../tables/table130.xml"/><Relationship Id="rId6" Type="http://schemas.openxmlformats.org/officeDocument/2006/relationships/table" Target="../tables/table135.xml"/><Relationship Id="rId5" Type="http://schemas.openxmlformats.org/officeDocument/2006/relationships/table" Target="../tables/table134.xml"/><Relationship Id="rId4" Type="http://schemas.openxmlformats.org/officeDocument/2006/relationships/table" Target="../tables/table133.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3.xml"/><Relationship Id="rId3" Type="http://schemas.openxmlformats.org/officeDocument/2006/relationships/table" Target="../tables/table138.xml"/><Relationship Id="rId7" Type="http://schemas.openxmlformats.org/officeDocument/2006/relationships/table" Target="../tables/table142.xml"/><Relationship Id="rId2" Type="http://schemas.openxmlformats.org/officeDocument/2006/relationships/table" Target="../tables/table137.xml"/><Relationship Id="rId1" Type="http://schemas.openxmlformats.org/officeDocument/2006/relationships/table" Target="../tables/table136.xml"/><Relationship Id="rId6" Type="http://schemas.openxmlformats.org/officeDocument/2006/relationships/table" Target="../tables/table141.xml"/><Relationship Id="rId11" Type="http://schemas.openxmlformats.org/officeDocument/2006/relationships/table" Target="../tables/table146.xml"/><Relationship Id="rId5" Type="http://schemas.openxmlformats.org/officeDocument/2006/relationships/table" Target="../tables/table140.xml"/><Relationship Id="rId10" Type="http://schemas.openxmlformats.org/officeDocument/2006/relationships/table" Target="../tables/table145.xml"/><Relationship Id="rId4" Type="http://schemas.openxmlformats.org/officeDocument/2006/relationships/table" Target="../tables/table139.xml"/><Relationship Id="rId9" Type="http://schemas.openxmlformats.org/officeDocument/2006/relationships/table" Target="../tables/table144.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48.xml"/><Relationship Id="rId1" Type="http://schemas.openxmlformats.org/officeDocument/2006/relationships/table" Target="../tables/table14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55.xml"/><Relationship Id="rId13" Type="http://schemas.openxmlformats.org/officeDocument/2006/relationships/table" Target="../tables/table160.xml"/><Relationship Id="rId18" Type="http://schemas.openxmlformats.org/officeDocument/2006/relationships/table" Target="../tables/table165.xml"/><Relationship Id="rId3" Type="http://schemas.openxmlformats.org/officeDocument/2006/relationships/table" Target="../tables/table150.xml"/><Relationship Id="rId21" Type="http://schemas.openxmlformats.org/officeDocument/2006/relationships/table" Target="../tables/table168.xml"/><Relationship Id="rId7" Type="http://schemas.openxmlformats.org/officeDocument/2006/relationships/table" Target="../tables/table154.xml"/><Relationship Id="rId12" Type="http://schemas.openxmlformats.org/officeDocument/2006/relationships/table" Target="../tables/table159.xml"/><Relationship Id="rId17" Type="http://schemas.openxmlformats.org/officeDocument/2006/relationships/table" Target="../tables/table164.xml"/><Relationship Id="rId2" Type="http://schemas.openxmlformats.org/officeDocument/2006/relationships/table" Target="../tables/table149.xml"/><Relationship Id="rId16" Type="http://schemas.openxmlformats.org/officeDocument/2006/relationships/table" Target="../tables/table163.xml"/><Relationship Id="rId20" Type="http://schemas.openxmlformats.org/officeDocument/2006/relationships/table" Target="../tables/table167.xml"/><Relationship Id="rId1" Type="http://schemas.openxmlformats.org/officeDocument/2006/relationships/printerSettings" Target="../printerSettings/printerSettings10.bin"/><Relationship Id="rId6" Type="http://schemas.openxmlformats.org/officeDocument/2006/relationships/table" Target="../tables/table153.xml"/><Relationship Id="rId11" Type="http://schemas.openxmlformats.org/officeDocument/2006/relationships/table" Target="../tables/table158.xml"/><Relationship Id="rId5" Type="http://schemas.openxmlformats.org/officeDocument/2006/relationships/table" Target="../tables/table152.xml"/><Relationship Id="rId15" Type="http://schemas.openxmlformats.org/officeDocument/2006/relationships/table" Target="../tables/table162.xml"/><Relationship Id="rId10" Type="http://schemas.openxmlformats.org/officeDocument/2006/relationships/table" Target="../tables/table157.xml"/><Relationship Id="rId19" Type="http://schemas.openxmlformats.org/officeDocument/2006/relationships/table" Target="../tables/table166.xml"/><Relationship Id="rId4" Type="http://schemas.openxmlformats.org/officeDocument/2006/relationships/table" Target="../tables/table151.xml"/><Relationship Id="rId9" Type="http://schemas.openxmlformats.org/officeDocument/2006/relationships/table" Target="../tables/table156.xml"/><Relationship Id="rId14" Type="http://schemas.openxmlformats.org/officeDocument/2006/relationships/table" Target="../tables/table161.xml"/><Relationship Id="rId22" Type="http://schemas.openxmlformats.org/officeDocument/2006/relationships/table" Target="../tables/table16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835</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row>
    <row r="14" spans="1:12" ht="20.100000000000001" customHeight="1" x14ac:dyDescent="0.25">
      <c r="A14" s="16" t="str">
        <f>HYPERLINK("#'Input - Solid waste'!A1", "Solid waste")</f>
        <v>Solid waste</v>
      </c>
    </row>
    <row r="15" spans="1:12" ht="20.100000000000001" customHeight="1" x14ac:dyDescent="0.25">
      <c r="A15" s="16" t="str">
        <f>HYPERLINK("#'Input - Manure sent off-site'!A1", "Manure sent off-site")</f>
        <v>Manure sent off-site</v>
      </c>
    </row>
    <row r="16" spans="1:12" ht="20.100000000000001" customHeight="1" x14ac:dyDescent="0.25">
      <c r="A16" s="16" t="str">
        <f>HYPERLINK("#'Input - Electricity'!A1", "Electricity")</f>
        <v>Electricity</v>
      </c>
    </row>
    <row r="17" spans="1:1" ht="20.100000000000001" customHeight="1" x14ac:dyDescent="0.25"/>
    <row r="18" spans="1:1" ht="20.100000000000001" customHeight="1" x14ac:dyDescent="0.25"/>
    <row r="19" spans="1:1" ht="20.100000000000001" customHeight="1" x14ac:dyDescent="0.25">
      <c r="A19" s="21" t="s">
        <v>77</v>
      </c>
    </row>
    <row r="20" spans="1:1" ht="20.100000000000001" customHeight="1" x14ac:dyDescent="0.25">
      <c r="A20" s="16" t="str">
        <f>HYPERLINK("#'15 Scope 3'!A1", "15 Scope 3")</f>
        <v>15 Scope 3</v>
      </c>
    </row>
    <row r="21" spans="1:1" ht="20.100000000000001" customHeight="1" x14ac:dyDescent="0.25">
      <c r="A21" s="16" t="str">
        <f>HYPERLINK("#'10.1.1-2 Solid waste treatment'!A1", "10.1.1-2 Solid waste treatment")</f>
        <v>10.1.1-2 Solid waste treatment</v>
      </c>
    </row>
    <row r="22" spans="1:1" ht="20.100000000000001" customHeight="1" x14ac:dyDescent="0.25">
      <c r="A22" s="16" t="str">
        <f>HYPERLINK("#'Calcs - Manure sent off-site'!A1", "Calcs - Manure sent off-site")</f>
        <v>Calcs - Manure sent off-site</v>
      </c>
    </row>
    <row r="23" spans="1:1" ht="20.100000000000001" customHeight="1" x14ac:dyDescent="0.25">
      <c r="A23" s="16" t="str">
        <f>HYPERLINK("#'8.1.1.1-2 Transport fuel'!A1", "8.1.1.1-2 Transport fuel")</f>
        <v>8.1.1.1-2 Transport fuel</v>
      </c>
    </row>
    <row r="24" spans="1:1" ht="20.100000000000001" customHeight="1" x14ac:dyDescent="0.25">
      <c r="A24" s="16" t="str">
        <f>HYPERLINK("#'8.2.1.1-2 Stationary fuel'!A1", "8.2.1.1-2 Stationary fuel")</f>
        <v>8.2.1.1-2 Stationary fuel</v>
      </c>
    </row>
    <row r="25" spans="1:1" ht="20.100000000000001" customHeight="1" x14ac:dyDescent="0.25"/>
    <row r="26" spans="1:1" ht="20.100000000000001" customHeight="1" x14ac:dyDescent="0.25"/>
    <row r="27" spans="1:1" ht="20.100000000000001" customHeight="1" x14ac:dyDescent="0.25">
      <c r="A27" s="222" t="s">
        <v>78</v>
      </c>
    </row>
    <row r="28" spans="1:1" ht="20.100000000000001" customHeight="1" x14ac:dyDescent="0.25">
      <c r="A28" s="16" t="str">
        <f>HYPERLINK("#'Constants - Scope 3'!A1", "Constants - Scope 3")</f>
        <v>Constants - Scope 3</v>
      </c>
    </row>
    <row r="29" spans="1:1" ht="20.100000000000001" customHeight="1" x14ac:dyDescent="0.25">
      <c r="A29" s="16" t="str">
        <f>HYPERLINK("#'Constants - Solid Waste'!A1", "Constants - Solid Waste")</f>
        <v>Constants - Solid Waste</v>
      </c>
    </row>
    <row r="30" spans="1:1" ht="20.100000000000001" customHeight="1" x14ac:dyDescent="0.25">
      <c r="A30" s="16" t="str">
        <f>HYPERLINK("#'Constants - Fuel'!A1", "Constants - Fuel")</f>
        <v>Constants - Fuel</v>
      </c>
    </row>
    <row r="31" spans="1:1" ht="20.100000000000001" customHeight="1" x14ac:dyDescent="0.25">
      <c r="A31" s="16" t="str">
        <f>HYPERLINK("#'Constants - Poultry'!A1", "Constants - Poultry")</f>
        <v>Constants - Poultry</v>
      </c>
    </row>
    <row r="32" spans="1:1"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836</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837</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838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839</v>
      </c>
      <c r="E9" s="215" t="s">
        <v>840</v>
      </c>
      <c r="F9" s="215" t="s">
        <v>841</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855</v>
      </c>
      <c r="F10" s="216" t="s">
        <v>855</v>
      </c>
      <c r="G10" s="13" t="s">
        <v>842</v>
      </c>
    </row>
    <row r="11" spans="1:12" ht="20.100000000000001" customHeight="1" x14ac:dyDescent="0.25">
      <c r="A11" s="16" t="str">
        <f>HYPERLINK("#'Input - Farm Inputs'!A1", "Farm Inputs")</f>
        <v>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842</v>
      </c>
    </row>
    <row r="12" spans="1:12" ht="20.100000000000001" customHeight="1" x14ac:dyDescent="0.25">
      <c r="A12" s="16" t="str">
        <f>HYPERLINK("#'Input - Livestock purchases'!A1", "Livestock purchases")</f>
        <v>Livestock purchases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842</v>
      </c>
    </row>
    <row r="13" spans="1:12" ht="20.100000000000001" customHeight="1" x14ac:dyDescent="0.25">
      <c r="A13" s="16" t="str">
        <f>HYPERLINK("#'Input - Freight'!A1", "Freight")</f>
        <v>Freight</v>
      </c>
      <c r="D13" s="217" t="str">
        <f>'15 Scope 3'!D57</f>
        <v>Pigs</v>
      </c>
      <c r="E13" s="216">
        <f>VEERG_15_1_1_1__1_EmissionsFromPurchasedLivestock_Pigs_Result_Method1</f>
        <v>127.08800000000001</v>
      </c>
      <c r="F13" s="216">
        <f>VEERG_15_1_1_1__1_EmissionsFromPurchasedLivestock_Pigs_Result_Method2</f>
        <v>73.38000000000001</v>
      </c>
      <c r="G13" s="13" t="s">
        <v>842</v>
      </c>
    </row>
    <row r="14" spans="1:12" ht="20.100000000000001" customHeight="1" x14ac:dyDescent="0.25">
      <c r="A14" s="16" t="str">
        <f>HYPERLINK("#'Input - Solid waste'!A1", "Solid waste")</f>
        <v>Solid waste</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842</v>
      </c>
    </row>
    <row r="15" spans="1:12" ht="20.100000000000001" customHeight="1" x14ac:dyDescent="0.25">
      <c r="A15" s="16" t="str">
        <f>HYPERLINK("#'Input - Manure sent off-site'!A1", "Manure sent off-site")</f>
        <v>Manure sent off-site</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842</v>
      </c>
    </row>
    <row r="16" spans="1:12" ht="20.100000000000001" customHeight="1" x14ac:dyDescent="0.25">
      <c r="A16" s="16" t="str">
        <f>HYPERLINK("#'Input - Electricity'!A1", "Electricity")</f>
        <v>Electricity</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842</v>
      </c>
    </row>
    <row r="17" spans="1:8" ht="20.100000000000001" customHeight="1" x14ac:dyDescent="0.25">
      <c r="D17" s="8" t="str" cm="1">
        <f t="array" ref="D17">Common_InputFunctions.Utility_ResultsItemFromEquationTitleAndSource('15 Scope 3'!D186,'15 Scope 3'!D187)</f>
        <v>15.4.1.1 Emissions from purchased fertiliser</v>
      </c>
      <c r="E17" s="216" t="e">
        <f>VEERG_15_4_1_1__2_EmissionsFromPurchasedFertiliserComponentsVariation_Result_Method1</f>
        <v>#VALUE!</v>
      </c>
      <c r="F17" s="216" t="e">
        <f>VEERG_15_4_1_1__2_EmissionsFromPurchasedFertiliserComponentsVariation_Result_Method2</f>
        <v>#VALUE!</v>
      </c>
      <c r="G17" s="13" t="s">
        <v>842</v>
      </c>
    </row>
    <row r="18" spans="1:8" ht="20.100000000000001" customHeight="1" x14ac:dyDescent="0.25">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842</v>
      </c>
    </row>
    <row r="19" spans="1:8" ht="20.100000000000001" customHeight="1" x14ac:dyDescent="0.25">
      <c r="A19" s="21" t="s">
        <v>77</v>
      </c>
      <c r="D19" s="8" t="str" cm="1">
        <f t="array" ref="D19">Common_InputFunctions.Utility_ResultsItemFromEquationTitleAndSource('15 Scope 3'!D288,'15 Scope 3'!D289)</f>
        <v>15.6.1.1 Embedded emissions for purchased lime</v>
      </c>
      <c r="E19" s="216">
        <f>VEERG_15_6_1_1__1_EmissionsFromPurchasedLime_Result_Method1</f>
        <v>1.0375999999999999</v>
      </c>
      <c r="F19" s="216">
        <f>VEERG_15_6_1_1__1_EmissionsFromPurchasedLime_Result_Method2</f>
        <v>0.89</v>
      </c>
      <c r="G19" s="13" t="s">
        <v>842</v>
      </c>
    </row>
    <row r="20" spans="1:8" ht="20.100000000000001" customHeight="1" x14ac:dyDescent="0.25">
      <c r="A20" s="16" t="str">
        <f>HYPERLINK("#'15 Scope 3'!A1", "15 Scope 3")</f>
        <v>15 Scope 3</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842</v>
      </c>
      <c r="H20" s="218"/>
    </row>
    <row r="21" spans="1:8" ht="20.100000000000001" customHeight="1" x14ac:dyDescent="0.25">
      <c r="A21" s="16" t="str">
        <f>HYPERLINK("#'10.1.1-2 Solid waste treatment'!A1", "10.1.1-2 Solid waste treatment")</f>
        <v>10.1.1-2 Solid waste treatment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842</v>
      </c>
    </row>
    <row r="22" spans="1:8" ht="20.100000000000001" customHeight="1" x14ac:dyDescent="0.25">
      <c r="A22" s="16" t="str">
        <f>HYPERLINK("#'Calcs - Manure sent off-site'!A1", "Calcs - Manure sent off-site")</f>
        <v>Calcs - Manure sent off-site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842</v>
      </c>
    </row>
    <row r="23" spans="1:8" ht="20.100000000000001" customHeight="1" x14ac:dyDescent="0.25">
      <c r="A23" s="16" t="str">
        <f>HYPERLINK("#'8.1.1.1-2 Transport fuel'!A1", "8.1.1.1-2 Transport fuel")</f>
        <v>8.1.1.1-2 Transport fuel</v>
      </c>
      <c r="D23" s="8" t="str" cm="1">
        <f t="array" ref="D23">Common_InputFunctions.Utility_ResultsItemFromEquationTitleAndSource('15 Scope 3'!D415,'15 Scope 3'!D416)</f>
        <v>15.10 Other purchased goods and services generic estimate</v>
      </c>
      <c r="E23" s="216" t="s">
        <v>855</v>
      </c>
      <c r="F23" s="216" t="s">
        <v>855</v>
      </c>
      <c r="G23" s="13" t="s">
        <v>842</v>
      </c>
    </row>
    <row r="24" spans="1:8" ht="20.100000000000001" customHeight="1" x14ac:dyDescent="0.25">
      <c r="A24" s="16" t="str">
        <f>HYPERLINK("#'8.2.1.1-2 Stationary fuel'!A1", "8.2.1.1-2 Stationary fuel")</f>
        <v>8.2.1.1-2 Stationary fuel</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842</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842</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842</v>
      </c>
    </row>
    <row r="27" spans="1:8" ht="20.100000000000001" customHeight="1" x14ac:dyDescent="0.25">
      <c r="A27" s="222" t="s">
        <v>78</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842</v>
      </c>
    </row>
    <row r="28" spans="1:8" ht="20.100000000000001" customHeight="1" x14ac:dyDescent="0.25">
      <c r="A28" s="16" t="str">
        <f>HYPERLINK("#'Constants - Scope 3'!A1", "Constants - Scope 3")</f>
        <v>Constants -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842</v>
      </c>
    </row>
    <row r="29" spans="1:8" ht="20.100000000000001" customHeight="1" x14ac:dyDescent="0.25">
      <c r="A29" s="16" t="str">
        <f>HYPERLINK("#'Constants - Solid Waste'!A1", "Constants - Solid Waste")</f>
        <v>Constants - Solid Waste</v>
      </c>
      <c r="D29" s="8" t="str" cm="1">
        <f t="array" ref="D29">Common_InputFunctions.Utility_ResultsItemFromEquationTitleAndSource('15 Scope 3'!D506,'15 Scope 3'!D507)</f>
        <v>15.11.1.1 Total upstream emissions from scope 1 fuel consumption</v>
      </c>
      <c r="E29" s="216">
        <f>VEERG_15_11_1_1__1_TotalUpstreamEmissionsFromFuel_Result</f>
        <v>0.13617600000000002</v>
      </c>
      <c r="F29" s="216">
        <f>E29</f>
        <v>0.13617600000000002</v>
      </c>
      <c r="G29" s="13" t="s">
        <v>842</v>
      </c>
    </row>
    <row r="30" spans="1:8" ht="20.100000000000001" customHeight="1" x14ac:dyDescent="0.25">
      <c r="A30" s="16" t="str">
        <f>HYPERLINK("#'Constants - Fuel'!A1", "Constants - Fuel")</f>
        <v>Constants - Fuel</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0.03</v>
      </c>
      <c r="F30" s="216">
        <f>E30</f>
        <v>0.03</v>
      </c>
      <c r="G30" s="13" t="s">
        <v>842</v>
      </c>
    </row>
    <row r="31" spans="1:8" ht="20.100000000000001" customHeight="1" x14ac:dyDescent="0.25">
      <c r="A31" s="16" t="str">
        <f>HYPERLINK("#'Constants - Poultry'!A1", "Constants - Poultry")</f>
        <v>Constants - Poultry</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842</v>
      </c>
    </row>
    <row r="32" spans="1:8" ht="20.100000000000001" customHeight="1" x14ac:dyDescent="0.25">
      <c r="A32" s="16" t="str">
        <f>HYPERLINK("#'Constants - Swine'!A1", "Constants - Swine")</f>
        <v>Constants - Swine</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842</v>
      </c>
    </row>
    <row r="33" spans="1:7" ht="20.100000000000001" customHeight="1" x14ac:dyDescent="0.25">
      <c r="A33" s="16" t="str">
        <f>HYPERLINK("#'Constants - Dairy'!A1", "Constants - Dairy")</f>
        <v>Constants - Dairy</v>
      </c>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330.84210000000002</v>
      </c>
      <c r="F33" s="216">
        <f>E33</f>
        <v>330.84210000000002</v>
      </c>
      <c r="G33" s="13" t="s">
        <v>842</v>
      </c>
    </row>
    <row r="34" spans="1:7" ht="20.100000000000001" customHeight="1" x14ac:dyDescent="0.25">
      <c r="A34" s="16" t="str">
        <f>HYPERLINK("#'Constants - Pasture Beef'!A1", "Constants - Pasture Beef")</f>
        <v>Constants - Pasture Beef</v>
      </c>
      <c r="D34" s="8" t="str" cm="1">
        <f t="array" ref="D34">Common_InputFunctions.Utility_ResultsItemFromEquationTitleAndSource('15 Scope 3'!D592,'15 Scope 3'!D593)</f>
        <v>15.14.1.1 Embedded emissions from upstream freight</v>
      </c>
      <c r="E34" s="216" t="s">
        <v>855</v>
      </c>
      <c r="F34" s="216" t="s">
        <v>855</v>
      </c>
      <c r="G34" s="13" t="s">
        <v>842</v>
      </c>
    </row>
    <row r="35" spans="1:7" ht="20.100000000000001" customHeight="1" x14ac:dyDescent="0.25">
      <c r="A35" s="16" t="str">
        <f>HYPERLINK("#'Constants - Common Livestock'!A1", "Constants - Common Livestock")</f>
        <v>Constants - Common Livestock</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842</v>
      </c>
    </row>
    <row r="36" spans="1:7" ht="20.100000000000001" customHeight="1" x14ac:dyDescent="0.25">
      <c r="A36" s="16" t="str">
        <f>HYPERLINK("#'Constants - Fertiliser'!A1", "Constants - Fertiliser")</f>
        <v>Constants - Fertiliser</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842</v>
      </c>
    </row>
    <row r="37" spans="1:7" ht="20.100000000000001" customHeight="1" x14ac:dyDescent="0.25">
      <c r="A37" s="16" t="str">
        <f>HYPERLINK("#'Constants - Electricity'!A1", "Constants - Electricity")</f>
        <v>Constants - Electricity</v>
      </c>
      <c r="D37" s="60" t="s">
        <v>222</v>
      </c>
      <c r="E37" s="219" t="e">
        <f>SUM(E10:E36)</f>
        <v>#VALUE!</v>
      </c>
      <c r="F37" s="219" t="e">
        <f>SUM(F10:F36)</f>
        <v>#VALUE!</v>
      </c>
      <c r="G37" s="175" t="s">
        <v>842</v>
      </c>
    </row>
    <row r="38" spans="1:7" ht="20.100000000000001" customHeight="1" x14ac:dyDescent="0.25">
      <c r="A38" s="16" t="str">
        <f>HYPERLINK("#'Constants - Common'!A1", "Constants - Common")</f>
        <v>Constants - Common</v>
      </c>
    </row>
    <row r="39" spans="1:7" ht="20.100000000000001" customHeight="1" x14ac:dyDescent="0.25"/>
    <row r="40" spans="1:7" ht="20.100000000000001" customHeight="1" x14ac:dyDescent="0.25"/>
    <row r="41" spans="1:7" ht="20.100000000000001" customHeight="1" x14ac:dyDescent="0.25"/>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264</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265</v>
      </c>
      <c r="N5" s="104"/>
    </row>
    <row r="6" spans="1:24" ht="20.100000000000001" customHeight="1" x14ac:dyDescent="0.25">
      <c r="A6"/>
      <c r="D6" s="105"/>
      <c r="N6" s="106"/>
    </row>
    <row r="7" spans="1:24" ht="20.100000000000001" customHeight="1" x14ac:dyDescent="0.25">
      <c r="A7" s="19" t="s">
        <v>67</v>
      </c>
      <c r="D7" s="8" t="s">
        <v>266</v>
      </c>
      <c r="E7" s="82" t="s">
        <v>267</v>
      </c>
      <c r="F7" s="65"/>
    </row>
    <row r="8" spans="1:24" ht="20.100000000000001" customHeight="1" x14ac:dyDescent="0.25">
      <c r="A8" s="42" t="str">
        <f>HYPERLINK("#'Input - Site'!A1", "Site")</f>
        <v>Site</v>
      </c>
      <c r="D8" s="107" t="s">
        <v>268</v>
      </c>
      <c r="E8" s="82" t="s">
        <v>269</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270</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Livestock purchases'!A1", "Livestock purchases")</f>
        <v>Livestock purchases</v>
      </c>
      <c r="D12" s="107" t="s">
        <v>271</v>
      </c>
      <c r="E12" s="112">
        <v>45292</v>
      </c>
      <c r="F12" s="65" t="s">
        <v>272</v>
      </c>
    </row>
    <row r="13" spans="1:24" ht="20.100000000000001" customHeight="1" x14ac:dyDescent="0.25">
      <c r="A13" s="16" t="str">
        <f>HYPERLINK("#'Input - Freight'!A1", "Freight")</f>
        <v>Freight</v>
      </c>
      <c r="D13" s="107" t="s">
        <v>273</v>
      </c>
      <c r="E13" s="113">
        <f>DATE(YEAR(X_Cell_Site_StartDate)+1,MONTH(X_Cell_Site_StartDate),DAY(X_Cell_Site_StartDate))-1</f>
        <v>45657</v>
      </c>
      <c r="F13" s="65" t="s">
        <v>274</v>
      </c>
      <c r="N13" s="114"/>
      <c r="O13" s="114"/>
    </row>
    <row r="14" spans="1:24" ht="20.100000000000001" customHeight="1" x14ac:dyDescent="0.25">
      <c r="A14" s="16" t="str">
        <f>HYPERLINK("#'Input - Solid waste'!A1", "Solid waste")</f>
        <v>Solid waste</v>
      </c>
      <c r="N14" s="114"/>
      <c r="O14" s="114"/>
    </row>
    <row r="15" spans="1:24" ht="20.100000000000001" customHeight="1" x14ac:dyDescent="0.25">
      <c r="A15" s="16" t="str">
        <f>HYPERLINK("#'Input - Manure sent off-site'!A1", "Manure sent off-site")</f>
        <v>Manure sent off-site</v>
      </c>
      <c r="N15" s="114"/>
      <c r="O15" s="114"/>
    </row>
    <row r="16" spans="1:24" ht="20.100000000000001" customHeight="1" x14ac:dyDescent="0.25">
      <c r="A16" s="16" t="str">
        <f>HYPERLINK("#'Input - Electricity'!A1", "Electricity")</f>
        <v>Electricity</v>
      </c>
      <c r="D16" s="9" t="s">
        <v>275</v>
      </c>
      <c r="N16" s="114"/>
      <c r="O16" s="114"/>
    </row>
    <row r="17" spans="1:25" ht="20.100000000000001" customHeight="1" x14ac:dyDescent="0.25">
      <c r="A17"/>
    </row>
    <row r="18" spans="1:25" ht="20.100000000000001" customHeight="1" x14ac:dyDescent="0.25">
      <c r="A18"/>
      <c r="D18" s="115" t="s">
        <v>276</v>
      </c>
      <c r="E18" s="40"/>
      <c r="F18" s="40"/>
      <c r="G18" s="41"/>
    </row>
    <row r="19" spans="1:25" ht="20.100000000000001" customHeight="1" x14ac:dyDescent="0.25">
      <c r="A19" s="21" t="s">
        <v>77</v>
      </c>
      <c r="D19" s="43" t="s">
        <v>277</v>
      </c>
      <c r="E19" s="44"/>
      <c r="F19" s="44"/>
      <c r="G19" s="45"/>
      <c r="N19" s="104"/>
    </row>
    <row r="20" spans="1:25" ht="20.100000000000001" customHeight="1" x14ac:dyDescent="0.25">
      <c r="A20" s="16" t="str">
        <f>HYPERLINK("#'15 Scope 3'!A1", "15 Scope 3")</f>
        <v>15 Scope 3</v>
      </c>
      <c r="D20" s="8"/>
      <c r="E20" s="116"/>
      <c r="F20" s="65"/>
      <c r="N20" s="106"/>
    </row>
    <row r="21" spans="1:25" ht="20.100000000000001" customHeight="1" x14ac:dyDescent="0.25">
      <c r="A21" s="16" t="str">
        <f>HYPERLINK("#'10.1.1-2 Solid waste treatment'!A1", "10.1.1-2 Solid waste treatment")</f>
        <v>10.1.1-2 Solid waste treatment</v>
      </c>
      <c r="D21" s="8" t="s">
        <v>278</v>
      </c>
      <c r="E21" s="47" t="s">
        <v>313</v>
      </c>
      <c r="F21" s="65" t="s">
        <v>195</v>
      </c>
    </row>
    <row r="22" spans="1:25" ht="20.100000000000001" customHeight="1" x14ac:dyDescent="0.25">
      <c r="A22" s="16" t="str">
        <f>HYPERLINK("#'Calcs - Manure sent off-site'!A1", "Calcs - Manure sent off-site")</f>
        <v>Calcs - Manure sent off-site</v>
      </c>
      <c r="D22" s="8" t="s">
        <v>279</v>
      </c>
      <c r="E22" s="47" t="s">
        <v>280</v>
      </c>
      <c r="F22" s="65" t="s">
        <v>195</v>
      </c>
      <c r="G22" s="8"/>
    </row>
    <row r="23" spans="1:25" ht="20.100000000000001" customHeight="1" x14ac:dyDescent="0.25">
      <c r="A23" s="16" t="str">
        <f>HYPERLINK("#'8.1.1.1-2 Transport fuel'!A1", "8.1.1.1-2 Transport fuel")</f>
        <v>8.1.1.1-2 Transport fuel</v>
      </c>
      <c r="D23" s="8" t="s">
        <v>753</v>
      </c>
      <c r="E23" s="47" t="s">
        <v>754</v>
      </c>
      <c r="F23" s="65" t="s">
        <v>195</v>
      </c>
    </row>
    <row r="24" spans="1:25" ht="20.100000000000001" customHeight="1" x14ac:dyDescent="0.25">
      <c r="A24" s="16" t="str">
        <f>HYPERLINK("#'8.2.1.1-2 Stationary fuel'!A1", "8.2.1.1-2 Stationary fuel")</f>
        <v>8.2.1.1-2 Stationary fuel</v>
      </c>
      <c r="D24" s="8" t="s">
        <v>16</v>
      </c>
      <c r="E24" s="82">
        <v>307.7</v>
      </c>
      <c r="F24" s="65" t="s">
        <v>755</v>
      </c>
    </row>
    <row r="25" spans="1:25" ht="20.100000000000001" customHeight="1" x14ac:dyDescent="0.25">
      <c r="A25"/>
      <c r="D25" s="8" t="s">
        <v>756</v>
      </c>
      <c r="E25" s="82">
        <v>18</v>
      </c>
      <c r="F25" s="65" t="s">
        <v>757</v>
      </c>
      <c r="N25" s="106"/>
    </row>
    <row r="26" spans="1:25" ht="20.100000000000001" customHeight="1" x14ac:dyDescent="0.25">
      <c r="A26"/>
      <c r="D26" s="8" t="s">
        <v>758</v>
      </c>
      <c r="E26" s="82">
        <v>599</v>
      </c>
      <c r="F26" s="65" t="s">
        <v>759</v>
      </c>
    </row>
    <row r="27" spans="1:25" ht="20.100000000000001" customHeight="1" x14ac:dyDescent="0.25">
      <c r="A27" s="222" t="s">
        <v>78</v>
      </c>
      <c r="D27" s="107" t="s">
        <v>760</v>
      </c>
      <c r="E27" s="82">
        <v>1326</v>
      </c>
      <c r="F27" s="65" t="s">
        <v>759</v>
      </c>
    </row>
    <row r="28" spans="1:25" ht="20.100000000000001" customHeight="1" x14ac:dyDescent="0.25">
      <c r="A28" s="16" t="str">
        <f>HYPERLINK("#'Constants - Scope 3'!A1", "Constants - Scope 3")</f>
        <v>Constants - Scope 3</v>
      </c>
      <c r="D28" s="8" t="s">
        <v>761</v>
      </c>
      <c r="E28" s="82">
        <v>7</v>
      </c>
      <c r="F28" s="65" t="s">
        <v>762</v>
      </c>
    </row>
    <row r="29" spans="1:25" ht="20.100000000000001" customHeight="1" x14ac:dyDescent="0.25">
      <c r="A29" s="16" t="str">
        <f>HYPERLINK("#'Constants - Solid Waste'!A1", "Constants - Solid Waste")</f>
        <v>Constants - Solid Waste</v>
      </c>
      <c r="D29" s="107" t="s">
        <v>763</v>
      </c>
      <c r="E29" s="49">
        <f>X_Cell_Site_TotalRainfall/X_Cell_Site_PotentialEvapotranspiration</f>
        <v>0.45173453996983409</v>
      </c>
      <c r="F29" s="65"/>
    </row>
    <row r="30" spans="1:25" ht="20.100000000000001" customHeight="1" x14ac:dyDescent="0.25">
      <c r="A30" s="16" t="str">
        <f>HYPERLINK("#'Constants - Fuel'!A1", "Constants - Fuel")</f>
        <v>Constants - Fuel</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Swine'!A1", "Constants - Swine")</f>
        <v>Constants - Swine</v>
      </c>
      <c r="D32" s="8" t="s">
        <v>764</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Pasture Beef'!A1", "Constants - Pasture Beef")</f>
        <v>Constants - Pasture Beef</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Common Livestock'!A1", "Constants - Common Livestock")</f>
        <v>Constants - Common Livestock</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Fertiliser'!A1", "Constants - Fertiliser")</f>
        <v>Constants - Fertiliser</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Electricity'!A1", "Constants - Electricity")</f>
        <v>Constants - Electricity</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Common'!A1", "Constants - Common")</f>
        <v>Constants - Common</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120</v>
      </c>
      <c r="E5" s="7"/>
      <c r="F5" s="7"/>
      <c r="G5" s="7"/>
      <c r="H5" s="7"/>
    </row>
    <row r="6" spans="1:10" ht="20.100000000000001" customHeight="1" x14ac:dyDescent="0.25">
      <c r="A6"/>
      <c r="D6" s="14"/>
      <c r="E6" s="14"/>
      <c r="F6" s="14"/>
      <c r="G6" s="14"/>
      <c r="H6" s="14"/>
      <c r="I6" s="14"/>
    </row>
    <row r="7" spans="1:10" ht="20.100000000000001" customHeight="1" x14ac:dyDescent="0.25">
      <c r="A7" s="19" t="s">
        <v>67</v>
      </c>
      <c r="D7" s="8" t="s">
        <v>740</v>
      </c>
    </row>
    <row r="8" spans="1:10" ht="20.100000000000001" customHeight="1" x14ac:dyDescent="0.25">
      <c r="A8" s="16" t="str">
        <f>HYPERLINK("#'Input - Site'!A1", "Site")</f>
        <v>Site</v>
      </c>
      <c r="D8" s="8" t="s">
        <v>741</v>
      </c>
    </row>
    <row r="9" spans="1:10" ht="20.100000000000001" customHeight="1" x14ac:dyDescent="0.25">
      <c r="A9" s="42" t="str">
        <f>HYPERLINK("#'Input - Fuel'!A1", "Fuel")</f>
        <v>Fuel</v>
      </c>
      <c r="D9" s="8" t="s">
        <v>742</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8" t="s">
        <v>743</v>
      </c>
      <c r="E11" s="47" t="s">
        <v>711</v>
      </c>
      <c r="F11" s="65" t="s">
        <v>195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39" t="s">
        <v>121</v>
      </c>
      <c r="E13" s="40"/>
      <c r="F13" s="40"/>
      <c r="G13" s="40"/>
      <c r="H13" s="41"/>
    </row>
    <row r="14" spans="1:10" ht="20.100000000000001" customHeight="1" x14ac:dyDescent="0.25">
      <c r="A14" s="16" t="str">
        <f>HYPERLINK("#'Input - Solid waste'!A1", "Solid waste")</f>
        <v>Solid waste</v>
      </c>
      <c r="D14" s="43" t="s">
        <v>122</v>
      </c>
      <c r="E14" s="44"/>
      <c r="F14" s="44"/>
      <c r="G14" s="44"/>
      <c r="H14" s="45"/>
    </row>
    <row r="15" spans="1:10" ht="20.100000000000001" customHeight="1" x14ac:dyDescent="0.25">
      <c r="A15" s="16" t="str">
        <f>HYPERLINK("#'Input - Manure sent off-site'!A1", "Manure sent off-site")</f>
        <v>Manure sent off-site</v>
      </c>
      <c r="D15" s="14"/>
      <c r="E15" s="14"/>
      <c r="F15" s="14"/>
      <c r="G15" s="14"/>
      <c r="H15" s="14"/>
      <c r="I15" s="14"/>
    </row>
    <row r="16" spans="1:10" ht="20.100000000000001" customHeight="1" x14ac:dyDescent="0.25">
      <c r="A16" s="16" t="str">
        <f>HYPERLINK("#'Input - Electricity'!A1", "Electricity")</f>
        <v>Electricity</v>
      </c>
      <c r="D16" s="46" t="s">
        <v>123</v>
      </c>
      <c r="E16" s="46" t="s">
        <v>124</v>
      </c>
      <c r="F16" s="46" t="s">
        <v>125</v>
      </c>
      <c r="G16" s="46" t="s">
        <v>126</v>
      </c>
      <c r="H16" s="46" t="s">
        <v>127</v>
      </c>
      <c r="I16" s="46" t="s">
        <v>128</v>
      </c>
    </row>
    <row r="17" spans="1:9" ht="20.100000000000001"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100000000000001"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100000000000001"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100000000000001"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100000000000001"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c r="A25"/>
    </row>
    <row r="26" spans="1:9" ht="20.100000000000001" customHeight="1" x14ac:dyDescent="0.25">
      <c r="A26"/>
    </row>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0" ht="20.100000000000001" customHeight="1" x14ac:dyDescent="0.25">
      <c r="A33" s="16" t="str">
        <f>HYPERLINK("#'Constants - Dairy'!A1", "Constants - Dairy")</f>
        <v>Constants - Dairy</v>
      </c>
    </row>
    <row r="34" spans="1:10" ht="20.100000000000001" customHeight="1" x14ac:dyDescent="0.25">
      <c r="A34" s="16" t="str">
        <f>HYPERLINK("#'Constants - Pasture Beef'!A1", "Constants - Pasture Beef")</f>
        <v>Constants - Pasture Beef</v>
      </c>
    </row>
    <row r="35" spans="1:10" ht="20.100000000000001" customHeight="1" x14ac:dyDescent="0.25">
      <c r="A35" s="16" t="str">
        <f>HYPERLINK("#'Constants - Common Livestock'!A1", "Constants - Common Livestock")</f>
        <v>Constants - Common Livestock</v>
      </c>
    </row>
    <row r="36" spans="1:10" ht="20.100000000000001" customHeight="1" x14ac:dyDescent="0.25">
      <c r="A36" s="16" t="str">
        <f>HYPERLINK("#'Constants - Fertiliser'!A1", "Constants - Fertiliser")</f>
        <v>Constants - Fertiliser</v>
      </c>
    </row>
    <row r="37" spans="1:10" ht="20.100000000000001" customHeight="1" x14ac:dyDescent="0.25">
      <c r="A37" s="16" t="str">
        <f>HYPERLINK("#'Constants - Electricity'!A1", "Constants - Electricity")</f>
        <v>Constants - Electricity</v>
      </c>
    </row>
    <row r="38" spans="1:10" ht="20.100000000000001" customHeight="1" x14ac:dyDescent="0.25">
      <c r="A38" s="16" t="str">
        <f>HYPERLINK("#'Constants - Common'!A1", "Constants - Common")</f>
        <v>Constants - Common</v>
      </c>
      <c r="C38" s="51"/>
      <c r="J38" s="51"/>
    </row>
    <row r="39" spans="1:10" ht="20.100000000000001" customHeight="1" x14ac:dyDescent="0.25">
      <c r="A39"/>
      <c r="C39" s="51"/>
      <c r="J39" s="51"/>
    </row>
    <row r="40" spans="1:10" s="52" customFormat="1" ht="20.100000000000001" customHeight="1" x14ac:dyDescent="0.25">
      <c r="A40"/>
      <c r="C40" s="8"/>
      <c r="D40" s="8"/>
      <c r="E40" s="8"/>
      <c r="F40" s="8"/>
      <c r="G40" s="8"/>
      <c r="H40" s="8"/>
      <c r="I40" s="8"/>
      <c r="J40" s="8"/>
    </row>
    <row r="41" spans="1:10" s="52" customFormat="1" ht="20.100000000000001" customHeight="1" x14ac:dyDescent="0.25">
      <c r="A41"/>
      <c r="C41" s="8"/>
      <c r="D41" s="8"/>
      <c r="E41" s="8"/>
      <c r="F41" s="8"/>
      <c r="G41" s="8"/>
      <c r="H41" s="8"/>
      <c r="I41" s="8"/>
      <c r="J41" s="8"/>
    </row>
    <row r="42" spans="1:10" ht="20.100000000000001" customHeight="1" x14ac:dyDescent="0.25">
      <c r="A42"/>
    </row>
    <row r="43" spans="1:10" ht="20.100000000000001" customHeight="1" x14ac:dyDescent="0.25">
      <c r="A43"/>
    </row>
    <row r="44" spans="1:10" ht="20.100000000000001" customHeight="1" x14ac:dyDescent="0.25">
      <c r="A44"/>
    </row>
    <row r="45" spans="1:10" ht="20.100000000000001" customHeight="1" x14ac:dyDescent="0.25">
      <c r="A45"/>
    </row>
    <row r="46" spans="1:10" ht="20.100000000000001" customHeight="1" x14ac:dyDescent="0.25">
      <c r="A46"/>
    </row>
    <row r="47" spans="1:10" ht="20.100000000000001" customHeight="1" x14ac:dyDescent="0.25">
      <c r="A47"/>
    </row>
    <row r="48" spans="1:10"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4" spans="4:4" x14ac:dyDescent="0.25">
      <c r="D354" s="54"/>
    </row>
  </sheetData>
  <conditionalFormatting sqref="F40">
    <cfRule type="cellIs" dxfId="62" priority="9" operator="lessThan">
      <formula>0</formula>
    </cfRule>
  </conditionalFormatting>
  <conditionalFormatting sqref="F119:F120">
    <cfRule type="cellIs" dxfId="61" priority="8" operator="lessThan">
      <formula>0</formula>
    </cfRule>
  </conditionalFormatting>
  <conditionalFormatting sqref="F131:F132">
    <cfRule type="cellIs" dxfId="60" priority="7" operator="lessThan">
      <formula>0</formula>
    </cfRule>
  </conditionalFormatting>
  <conditionalFormatting sqref="F143:F144">
    <cfRule type="cellIs" dxfId="59" priority="6" operator="lessThan">
      <formula>0</formula>
    </cfRule>
  </conditionalFormatting>
  <conditionalFormatting sqref="F155:F156">
    <cfRule type="cellIs" dxfId="58" priority="5" operator="lessThan">
      <formula>0</formula>
    </cfRule>
  </conditionalFormatting>
  <conditionalFormatting sqref="F243:F244">
    <cfRule type="cellIs" dxfId="57" priority="17" operator="lessThan">
      <formula>0</formula>
    </cfRule>
  </conditionalFormatting>
  <conditionalFormatting sqref="F248:F249">
    <cfRule type="cellIs" dxfId="56" priority="16" operator="lessThan">
      <formula>0</formula>
    </cfRule>
  </conditionalFormatting>
  <conditionalFormatting sqref="F253:F254">
    <cfRule type="cellIs" dxfId="55" priority="15" operator="lessThan">
      <formula>0</formula>
    </cfRule>
  </conditionalFormatting>
  <conditionalFormatting sqref="F277:F278">
    <cfRule type="cellIs" dxfId="54" priority="14" operator="lessThan">
      <formula>0</formula>
    </cfRule>
  </conditionalFormatting>
  <conditionalFormatting sqref="F282:F283">
    <cfRule type="cellIs" dxfId="53" priority="13" operator="lessThan">
      <formula>0</formula>
    </cfRule>
  </conditionalFormatting>
  <conditionalFormatting sqref="F287:F288">
    <cfRule type="cellIs" dxfId="52" priority="12" operator="lessThan">
      <formula>0</formula>
    </cfRule>
  </conditionalFormatting>
  <conditionalFormatting sqref="I24 I26:I30 I34:I35 H36:H38 I39 I41:I43 I45:I46 I197 E203:G203 I203">
    <cfRule type="cellIs" dxfId="51" priority="11" operator="lessThan">
      <formula>0</formula>
    </cfRule>
  </conditionalFormatting>
  <conditionalFormatting sqref="I50:I54">
    <cfRule type="cellIs" dxfId="50" priority="4" operator="lessThan">
      <formula>0</formula>
    </cfRule>
  </conditionalFormatting>
  <conditionalFormatting sqref="I58 I117">
    <cfRule type="cellIs" dxfId="49" priority="10" operator="lessThan">
      <formula>0</formula>
    </cfRule>
  </conditionalFormatting>
  <conditionalFormatting sqref="I69:I71">
    <cfRule type="cellIs" dxfId="48" priority="3" operator="lessThan">
      <formula>0</formula>
    </cfRule>
  </conditionalFormatting>
  <conditionalFormatting sqref="I75:I78">
    <cfRule type="cellIs" dxfId="47" priority="2" operator="lessThan">
      <formula>0</formula>
    </cfRule>
  </conditionalFormatting>
  <conditionalFormatting sqref="I82:I86">
    <cfRule type="cellIs" dxfId="46"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Y361"/>
  <sheetViews>
    <sheetView showGridLines="0" topLeftCell="A22" zoomScaleNormal="100" workbookViewId="0">
      <selection activeCell="A36" sqref="A36"/>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194</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row>
    <row r="6" spans="1:25" ht="20.100000000000001" customHeight="1" x14ac:dyDescent="0.25">
      <c r="A6"/>
      <c r="D6" s="8" t="s">
        <v>145</v>
      </c>
      <c r="E6" s="47" t="s">
        <v>150</v>
      </c>
      <c r="F6" s="65" t="s">
        <v>195</v>
      </c>
    </row>
    <row r="7" spans="1:25" ht="20.100000000000001" customHeight="1" x14ac:dyDescent="0.25">
      <c r="A7" s="19" t="s">
        <v>67</v>
      </c>
      <c r="D7" s="8" t="s">
        <v>196</v>
      </c>
      <c r="E7" s="47" t="s">
        <v>151</v>
      </c>
      <c r="F7" s="65" t="s">
        <v>195</v>
      </c>
    </row>
    <row r="8" spans="1:25" ht="20.100000000000001" customHeight="1" x14ac:dyDescent="0.25">
      <c r="A8" s="16" t="str">
        <f>HYPERLINK("#'Input - Site'!A1", "Site")</f>
        <v>Site</v>
      </c>
      <c r="D8" s="8" t="s">
        <v>43</v>
      </c>
      <c r="E8" s="47" t="s">
        <v>152</v>
      </c>
      <c r="F8" s="65" t="s">
        <v>195</v>
      </c>
    </row>
    <row r="9" spans="1:25" ht="20.100000000000001" customHeight="1" x14ac:dyDescent="0.25">
      <c r="A9" s="16" t="str">
        <f>HYPERLINK("#'Input - Fuel'!A1", "Fuel")</f>
        <v>Fuel</v>
      </c>
      <c r="D9" s="8" t="s">
        <v>197</v>
      </c>
      <c r="E9" s="66">
        <v>100</v>
      </c>
      <c r="F9" s="65" t="s">
        <v>198</v>
      </c>
    </row>
    <row r="10" spans="1:25" ht="20.100000000000001" customHeight="1" x14ac:dyDescent="0.25">
      <c r="A10" s="42" t="str">
        <f>HYPERLINK("#'Input - Fertiliser'!A1", "Fertiliser")</f>
        <v>Fertiliser</v>
      </c>
    </row>
    <row r="11" spans="1:25" ht="20.100000000000001" customHeight="1" x14ac:dyDescent="0.25">
      <c r="A11" s="16" t="str">
        <f>HYPERLINK("#'Input - Farm Inputs'!A1", "Farm Inputs")</f>
        <v>Farm Inputs</v>
      </c>
      <c r="D11" s="9" t="s">
        <v>199</v>
      </c>
      <c r="E11" s="7"/>
      <c r="F11" s="7"/>
      <c r="G11" s="7"/>
      <c r="H11" s="7"/>
      <c r="I11" s="7"/>
      <c r="J11" s="7"/>
      <c r="K11" s="7"/>
      <c r="L11" s="7"/>
      <c r="M11" s="7"/>
    </row>
    <row r="12" spans="1:25" ht="20.100000000000001" customHeight="1" x14ac:dyDescent="0.25">
      <c r="A12" s="16" t="str">
        <f>HYPERLINK("#'Input - Livestock purchases'!A1", "Livestock purchases")</f>
        <v>Livestock purchases</v>
      </c>
      <c r="D12" s="14"/>
      <c r="E12" s="14"/>
      <c r="F12" s="14"/>
      <c r="G12" s="14"/>
      <c r="H12" s="14"/>
      <c r="I12" s="14"/>
      <c r="J12" s="14"/>
      <c r="K12" s="14"/>
      <c r="L12" s="14"/>
      <c r="M12" s="14"/>
    </row>
    <row r="13" spans="1:25" ht="20.100000000000001" customHeight="1" x14ac:dyDescent="0.25">
      <c r="A13" s="16" t="str">
        <f>HYPERLINK("#'Input - Freight'!A1", "Freight")</f>
        <v>Freight</v>
      </c>
      <c r="D13" s="39" t="s">
        <v>200</v>
      </c>
      <c r="E13" s="40"/>
      <c r="F13" s="40"/>
      <c r="G13" s="40"/>
      <c r="H13" s="41"/>
      <c r="I13" s="67"/>
      <c r="J13" s="68"/>
      <c r="K13" s="69"/>
      <c r="L13" s="69"/>
      <c r="M13" s="69"/>
    </row>
    <row r="14" spans="1:25" ht="20.100000000000001" customHeight="1" x14ac:dyDescent="0.25">
      <c r="A14" s="16" t="str">
        <f>HYPERLINK("#'Input - Solid waste'!A1", "Solid waste")</f>
        <v>Solid waste</v>
      </c>
      <c r="D14" s="43" t="s">
        <v>201</v>
      </c>
      <c r="E14" s="44"/>
      <c r="F14" s="44"/>
      <c r="G14" s="45"/>
      <c r="H14" s="70"/>
      <c r="I14" s="14"/>
      <c r="J14" s="14"/>
      <c r="K14" s="14"/>
      <c r="L14" s="14"/>
      <c r="M14" s="14"/>
    </row>
    <row r="15" spans="1:25" ht="20.100000000000001" customHeight="1" x14ac:dyDescent="0.25">
      <c r="A15" s="16" t="str">
        <f>HYPERLINK("#'Input - Manure sent off-site'!A1", "Manure sent off-site")</f>
        <v>Manure sent off-site</v>
      </c>
      <c r="D15" s="14"/>
      <c r="E15" s="14"/>
      <c r="F15" s="14"/>
      <c r="G15" s="14"/>
      <c r="H15" s="14"/>
      <c r="I15" s="14"/>
      <c r="J15" s="14"/>
      <c r="K15" s="14"/>
      <c r="L15" s="14"/>
      <c r="M15" s="14"/>
    </row>
    <row r="16" spans="1:25" ht="20.100000000000001" customHeight="1" x14ac:dyDescent="0.25">
      <c r="A16" s="16" t="str">
        <f>HYPERLINK("#'Input - Electricity'!A1", "Electricity")</f>
        <v>Electricity</v>
      </c>
      <c r="D16" s="71" t="s">
        <v>202</v>
      </c>
      <c r="E16" s="14"/>
      <c r="F16" s="14"/>
      <c r="G16" s="14"/>
      <c r="H16" s="14"/>
      <c r="I16" s="14"/>
      <c r="J16" s="14"/>
      <c r="K16" s="14"/>
      <c r="L16" s="14"/>
      <c r="M16" s="14"/>
    </row>
    <row r="17" spans="1:24" ht="36" customHeight="1" x14ac:dyDescent="0.25">
      <c r="A17"/>
      <c r="D17" s="91" t="s">
        <v>203</v>
      </c>
      <c r="E17" s="91" t="s">
        <v>322</v>
      </c>
      <c r="F17" s="91" t="s">
        <v>315</v>
      </c>
      <c r="G17" s="91" t="s">
        <v>316</v>
      </c>
      <c r="H17" s="91" t="s">
        <v>204</v>
      </c>
      <c r="I17" s="91" t="s">
        <v>205</v>
      </c>
      <c r="J17" s="91" t="s">
        <v>174</v>
      </c>
      <c r="K17" s="91" t="s">
        <v>175</v>
      </c>
      <c r="L17" s="91" t="s">
        <v>176</v>
      </c>
      <c r="M17" s="91" t="s">
        <v>177</v>
      </c>
      <c r="N17" s="91" t="s">
        <v>178</v>
      </c>
      <c r="O17" s="91" t="s">
        <v>179</v>
      </c>
      <c r="P17" s="91" t="s">
        <v>180</v>
      </c>
      <c r="Q17" s="91" t="s">
        <v>181</v>
      </c>
      <c r="R17" s="91" t="s">
        <v>182</v>
      </c>
      <c r="S17" s="91" t="s">
        <v>183</v>
      </c>
      <c r="T17" s="91" t="s">
        <v>184</v>
      </c>
      <c r="U17" s="91" t="s">
        <v>185</v>
      </c>
      <c r="V17" s="91" t="s">
        <v>206</v>
      </c>
      <c r="W17" s="91" t="s">
        <v>172</v>
      </c>
      <c r="X17" s="91" t="s">
        <v>173</v>
      </c>
    </row>
    <row r="18" spans="1:24" ht="36" customHeight="1" x14ac:dyDescent="0.25">
      <c r="A18"/>
      <c r="D18" s="72" t="s">
        <v>875</v>
      </c>
      <c r="E18" s="73">
        <v>100</v>
      </c>
      <c r="F18" s="49" t="str">
        <f>_xlfn.XLOOKUP(Table_Input_InorganicFertiliser_Brands[[#This Row],[Product (select)]],FertiliserProducts[Product name],FertiliserProducts[Unit])</f>
        <v>Aqua Grow - Campbells Fertilisers Australasia</v>
      </c>
      <c r="G18" s="49" t="str">
        <f>_xlfn.XLOOKUP(Table_Input_InorganicFertiliser_Brands[[#This Row],[Product (select)]],FertiliserProducts[Product name],FertiliserProducts[Density / gravity])</f>
        <v>Website</v>
      </c>
      <c r="H18" s="73">
        <f>X_Cell_Fertiliser_AreaUnderCropping</f>
        <v>100</v>
      </c>
      <c r="I18" s="74" t="e">
        <f>(Table_Input_InorganicFertiliser_Brands[[#This Row],[Amount applied per hectare]]*Table_Input_InorganicFertiliser_Brands[[#This Row],[Density]])*Table_Input_InorganicFertiliser_Brands[[#This Row],[Application area (ha)]]</f>
        <v>#VALUE!</v>
      </c>
      <c r="J18" s="74"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1.26</v>
      </c>
      <c r="K18" s="74" t="str"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
      </c>
      <c r="L18" s="7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
      </c>
      <c r="M18" s="74" t="str"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8" s="74"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0.105</v>
      </c>
      <c r="O18" s="74" t="str"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Nitrogen - Generic</v>
      </c>
      <c r="P18" s="74"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9.6000000000000002E-2</v>
      </c>
      <c r="Q18" s="7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Phosphorus - Generic</v>
      </c>
      <c r="R18" s="74"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0.05</v>
      </c>
      <c r="S18" s="7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8" s="74" t="str">
        <f>_xlfn.XLOOKUP(Table_Input_InorganicFertiliser_Brands[[#This Row],[Product (select)]],FertiliserProducts[Product name],FertiliserProducts[Urea source])</f>
        <v/>
      </c>
      <c r="X18" s="74" t="str">
        <f>_xlfn.XLOOKUP(Table_Input_InorganicFertiliser_Brands[[#This Row],[Product (select)]],FertiliserProducts[Product name],FertiliserProducts[Ammonia source])</f>
        <v>L</v>
      </c>
    </row>
    <row r="19" spans="1:24" ht="36" customHeight="1" x14ac:dyDescent="0.25">
      <c r="A19" s="21" t="s">
        <v>77</v>
      </c>
      <c r="D19" s="72" t="s">
        <v>876</v>
      </c>
      <c r="E19" s="73">
        <v>200</v>
      </c>
      <c r="F19" s="49" t="str">
        <f>_xlfn.XLOOKUP(Table_Input_InorganicFertiliser_Brands[[#This Row],[Product (select)]],FertiliserProducts[Product name],FertiliserProducts[Unit])</f>
        <v>Aqua Finish - Campbells Fertilisers Australasia</v>
      </c>
      <c r="G19" s="49" t="str">
        <f>_xlfn.XLOOKUP(Table_Input_InorganicFertiliser_Brands[[#This Row],[Product (select)]],FertiliserProducts[Product name],FertiliserProducts[Density / gravity])</f>
        <v>Website</v>
      </c>
      <c r="H19" s="73">
        <f>X_Cell_Fertiliser_AreaUnderCropping</f>
        <v>100</v>
      </c>
      <c r="I19" s="74" t="e">
        <f>(Table_Input_InorganicFertiliser_Brands[[#This Row],[Amount applied per hectare]]*Table_Input_InorganicFertiliser_Brands[[#This Row],[Density]])*Table_Input_InorganicFertiliser_Brands[[#This Row],[Application area (ha)]]</f>
        <v>#VALUE!</v>
      </c>
      <c r="J19" s="74"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1.26</v>
      </c>
      <c r="K19" s="74" t="str"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
      </c>
      <c r="L19" s="7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
      </c>
      <c r="M19" s="74" t="str"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Potassium - Generic</v>
      </c>
      <c r="N19" s="74"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0.22500000000000001</v>
      </c>
      <c r="O19" s="7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Phosphorus - Generic</v>
      </c>
      <c r="P19" s="74"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0.04</v>
      </c>
      <c r="Q19" s="7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Nitrogen - Generic</v>
      </c>
      <c r="R19" s="74"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2.5999999999999999E-2</v>
      </c>
      <c r="S19" s="7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19" s="74" t="str">
        <f>_xlfn.XLOOKUP(Table_Input_InorganicFertiliser_Brands[[#This Row],[Product (select)]],FertiliserProducts[Product name],FertiliserProducts[Urea source])</f>
        <v/>
      </c>
      <c r="X19" s="74" t="str">
        <f>_xlfn.XLOOKUP(Table_Input_InorganicFertiliser_Brands[[#This Row],[Product (select)]],FertiliserProducts[Product name],FertiliserProducts[Ammonia source])</f>
        <v>L</v>
      </c>
    </row>
    <row r="20" spans="1:24" ht="36" customHeight="1" x14ac:dyDescent="0.25">
      <c r="A20" s="16" t="str">
        <f>HYPERLINK("#'15 Scope 3'!A1", "15 Scope 3")</f>
        <v>15 Scope 3</v>
      </c>
      <c r="D20" s="72" t="s">
        <v>877</v>
      </c>
      <c r="E20" s="73">
        <v>100</v>
      </c>
      <c r="F20" s="49" t="str">
        <f>_xlfn.XLOOKUP(Table_Input_InorganicFertiliser_Brands[[#This Row],[Product (select)]],FertiliserProducts[Product name],FertiliserProducts[Unit])</f>
        <v>Aqua NitroCal - Campbells Fertilisers Australasia</v>
      </c>
      <c r="G20" s="49" t="str">
        <f>_xlfn.XLOOKUP(Table_Input_InorganicFertiliser_Brands[[#This Row],[Product (select)]],FertiliserProducts[Product name],FertiliserProducts[Density / gravity])</f>
        <v>Website SDS</v>
      </c>
      <c r="H20" s="73">
        <f>X_Cell_Fertiliser_AreaUnderCropping</f>
        <v>100</v>
      </c>
      <c r="I20" s="74" t="e">
        <f>(Table_Input_InorganicFertiliser_Brands[[#This Row],[Amount applied per hectare]]*Table_Input_InorganicFertiliser_Brands[[#This Row],[Density]])*Table_Input_InorganicFertiliser_Brands[[#This Row],[Application area (ha)]]</f>
        <v>#VALUE!</v>
      </c>
      <c r="J20" s="74"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1.5</v>
      </c>
      <c r="K20" s="74" t="str"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
      </c>
      <c r="L20" s="7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
      </c>
      <c r="M20" s="74" t="str"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Calcium - Generic</v>
      </c>
      <c r="N20" s="74"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0.16200000000000001</v>
      </c>
      <c r="O20" s="7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Nitrogen - Nitrate</v>
      </c>
      <c r="P20" s="74"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0.13200000000000001</v>
      </c>
      <c r="Q20" s="7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74" t="e">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#VALUE!</v>
      </c>
      <c r="W20" s="74" t="str">
        <f>_xlfn.XLOOKUP(Table_Input_InorganicFertiliser_Brands[[#This Row],[Product (select)]],FertiliserProducts[Product name],FertiliserProducts[Urea source])</f>
        <v/>
      </c>
      <c r="X20" s="74" t="str">
        <f>_xlfn.XLOOKUP(Table_Input_InorganicFertiliser_Brands[[#This Row],[Product (select)]],FertiliserProducts[Product name],FertiliserProducts[Ammonia source])</f>
        <v>L</v>
      </c>
    </row>
    <row r="21" spans="1:24" ht="36" customHeight="1" x14ac:dyDescent="0.25">
      <c r="A21" s="16" t="str">
        <f>HYPERLINK("#'10.1.1-2 Solid waste treatment'!A1", "10.1.1-2 Solid waste treatment")</f>
        <v>10.1.1-2 Solid waste treatment</v>
      </c>
      <c r="D21" s="75"/>
      <c r="E21" s="76"/>
      <c r="F21" s="77"/>
      <c r="G21" s="77"/>
      <c r="H21" s="77"/>
      <c r="I21" s="77"/>
      <c r="J21" s="78"/>
      <c r="K21" s="78"/>
      <c r="L21" s="79"/>
      <c r="M21" s="79"/>
      <c r="N21" s="51"/>
      <c r="O21" s="51"/>
      <c r="P21" s="51"/>
      <c r="Q21" s="51"/>
      <c r="R21" s="51"/>
      <c r="S21" s="51"/>
      <c r="T21" s="51"/>
      <c r="U21" s="51"/>
      <c r="V21" s="51"/>
      <c r="W21" s="51"/>
      <c r="X21" s="51"/>
    </row>
    <row r="22" spans="1:24" ht="36" customHeight="1" x14ac:dyDescent="0.25">
      <c r="A22" s="16" t="str">
        <f>HYPERLINK("#'Calcs - Manure sent off-site'!A1", "Calcs - Manure sent off-site")</f>
        <v>Calcs - Manure sent off-site</v>
      </c>
      <c r="D22" s="80" t="s">
        <v>207</v>
      </c>
      <c r="E22" s="81"/>
      <c r="F22" s="81"/>
      <c r="G22" s="81"/>
      <c r="H22" s="81"/>
      <c r="I22" s="81"/>
      <c r="J22" s="81"/>
      <c r="K22" s="81"/>
      <c r="L22" s="81"/>
      <c r="M22" s="81"/>
      <c r="N22" s="51"/>
      <c r="O22" s="51"/>
      <c r="P22" s="51"/>
      <c r="Q22" s="51"/>
      <c r="R22" s="51"/>
      <c r="S22" s="51"/>
      <c r="T22" s="51"/>
      <c r="U22" s="51"/>
      <c r="V22" s="51"/>
      <c r="W22" s="51"/>
      <c r="X22" s="51"/>
    </row>
    <row r="23" spans="1:24" ht="36" customHeight="1" x14ac:dyDescent="0.25">
      <c r="A23" s="16" t="str">
        <f>HYPERLINK("#'8.1.1.1-2 Transport fuel'!A1", "8.1.1.1-2 Transport fuel")</f>
        <v>8.1.1.1-2 Transport fuel</v>
      </c>
      <c r="D23" s="91" t="s">
        <v>208</v>
      </c>
      <c r="E23" s="91" t="s">
        <v>843</v>
      </c>
      <c r="F23" s="91" t="s">
        <v>204</v>
      </c>
      <c r="G23" s="91" t="s">
        <v>205</v>
      </c>
      <c r="H23" s="91" t="s">
        <v>209</v>
      </c>
      <c r="I23" s="91" t="s">
        <v>175</v>
      </c>
      <c r="J23" s="91" t="s">
        <v>176</v>
      </c>
      <c r="K23" s="91" t="s">
        <v>177</v>
      </c>
      <c r="L23" s="91" t="s">
        <v>178</v>
      </c>
      <c r="M23" s="91" t="s">
        <v>179</v>
      </c>
      <c r="N23" s="91" t="s">
        <v>180</v>
      </c>
      <c r="O23" s="91" t="s">
        <v>181</v>
      </c>
      <c r="P23" s="91" t="s">
        <v>206</v>
      </c>
      <c r="Q23" s="91" t="s">
        <v>866</v>
      </c>
      <c r="R23" s="91" t="s">
        <v>867</v>
      </c>
      <c r="S23" s="51"/>
      <c r="T23" s="51"/>
      <c r="U23" s="51"/>
      <c r="V23" s="51"/>
      <c r="W23" s="51"/>
      <c r="X23" s="51"/>
    </row>
    <row r="24" spans="1:24" ht="36" customHeight="1" x14ac:dyDescent="0.25">
      <c r="A24" s="16" t="str">
        <f>HYPERLINK("#'8.2.1.1-2 Stationary fuel'!A1", "8.2.1.1-2 Stationary fuel")</f>
        <v>8.2.1.1-2 Stationary fuel</v>
      </c>
      <c r="D24" s="82" t="s">
        <v>210</v>
      </c>
      <c r="E24" s="64">
        <v>100</v>
      </c>
      <c r="F24" s="73">
        <f>X_Cell_Fertiliser_AreaUnderCropping</f>
        <v>100</v>
      </c>
      <c r="G24" s="74">
        <f>Table_Input_InorganicFertiliser_Custom[[#This Row],[Amount applied (kg / ha)]]*Table_Input_InorganicFertiliser_Custom[[#This Row],[Application area (ha)]]</f>
        <v>10000</v>
      </c>
      <c r="H24" s="83" t="s">
        <v>321</v>
      </c>
      <c r="I24" s="84">
        <v>0.45</v>
      </c>
      <c r="J24" s="83" t="s">
        <v>320</v>
      </c>
      <c r="K24" s="84">
        <v>0.3</v>
      </c>
      <c r="L24" s="83" t="s">
        <v>212</v>
      </c>
      <c r="M24" s="84">
        <v>0.1</v>
      </c>
      <c r="N24" s="85" t="s">
        <v>213</v>
      </c>
      <c r="O24" s="86">
        <v>0.1</v>
      </c>
      <c r="P2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41.707499999999996</v>
      </c>
      <c r="Q24" s="47" t="s">
        <v>317</v>
      </c>
      <c r="R24" s="47" t="s">
        <v>351</v>
      </c>
    </row>
    <row r="25" spans="1:24" ht="36" customHeight="1" x14ac:dyDescent="0.25">
      <c r="A25"/>
      <c r="D25" s="82"/>
      <c r="E25" s="64">
        <v>100</v>
      </c>
      <c r="F25" s="148">
        <f>X_Cell_Fertiliser_AreaUnderCropping</f>
        <v>100</v>
      </c>
      <c r="G25" s="74">
        <f>Table_Input_InorganicFertiliser_Custom[[#This Row],[Amount applied (kg / ha)]]*Table_Input_InorganicFertiliser_Custom[[#This Row],[Application area (ha)]]</f>
        <v>10000</v>
      </c>
      <c r="H25" s="83" t="s">
        <v>211</v>
      </c>
      <c r="I25" s="87">
        <v>0.9</v>
      </c>
      <c r="J25" s="83" t="s">
        <v>321</v>
      </c>
      <c r="K25" s="87">
        <v>0.1</v>
      </c>
      <c r="L25" s="83"/>
      <c r="M25" s="87"/>
      <c r="N25" s="85"/>
      <c r="O25" s="86"/>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49.635000000000005</v>
      </c>
      <c r="Q25" s="72" t="s">
        <v>317</v>
      </c>
      <c r="R25" s="72" t="s">
        <v>317</v>
      </c>
    </row>
    <row r="26" spans="1:24" ht="36" customHeight="1" x14ac:dyDescent="0.25">
      <c r="A26"/>
    </row>
    <row r="27" spans="1:24" ht="20.100000000000001" customHeight="1" x14ac:dyDescent="0.25">
      <c r="A27" s="222" t="s">
        <v>78</v>
      </c>
      <c r="D27" s="9" t="s">
        <v>833</v>
      </c>
      <c r="E27" s="7"/>
      <c r="F27" s="7"/>
      <c r="G27" s="7"/>
      <c r="H27" s="7"/>
      <c r="I27" s="7"/>
      <c r="J27" s="7"/>
      <c r="K27" s="14"/>
      <c r="L27" s="14"/>
      <c r="M27" s="14"/>
    </row>
    <row r="28" spans="1:24" ht="20.100000000000001" customHeight="1" x14ac:dyDescent="0.25">
      <c r="A28" s="16" t="str">
        <f>HYPERLINK("#'Constants - Scope 3'!A1", "Constants - Scope 3")</f>
        <v>Constants - Scope 3</v>
      </c>
      <c r="D28" s="14"/>
      <c r="E28" s="14"/>
      <c r="F28" s="14"/>
      <c r="G28" s="14"/>
      <c r="H28" s="14"/>
      <c r="I28" s="14"/>
      <c r="J28" s="14"/>
      <c r="K28" s="14"/>
      <c r="L28" s="14"/>
      <c r="M28" s="7"/>
    </row>
    <row r="29" spans="1:24" ht="20.100000000000001" customHeight="1" x14ac:dyDescent="0.25">
      <c r="A29" s="16" t="str">
        <f>HYPERLINK("#'Constants - Solid Waste'!A1", "Constants - Solid Waste")</f>
        <v>Constants - Solid Waste</v>
      </c>
      <c r="D29" s="39" t="s">
        <v>214</v>
      </c>
      <c r="E29" s="40"/>
      <c r="F29" s="41"/>
      <c r="G29" s="39"/>
      <c r="H29" s="41"/>
      <c r="I29" s="7"/>
      <c r="J29" s="7"/>
      <c r="K29" s="14"/>
      <c r="L29" s="14"/>
      <c r="M29" s="14"/>
    </row>
    <row r="30" spans="1:24" ht="20.100000000000001" customHeight="1" x14ac:dyDescent="0.25">
      <c r="A30" s="16" t="str">
        <f>HYPERLINK("#'Constants - Fuel'!A1", "Constants - Fuel")</f>
        <v>Constants - Fuel</v>
      </c>
      <c r="D30" s="88" t="s">
        <v>215</v>
      </c>
      <c r="E30" s="89"/>
      <c r="F30" s="90"/>
      <c r="G30" s="88"/>
      <c r="H30" s="90"/>
      <c r="I30" s="14"/>
      <c r="J30" s="14"/>
      <c r="K30" s="14"/>
      <c r="L30" s="14"/>
      <c r="M30" s="7"/>
    </row>
    <row r="31" spans="1:24" ht="20.100000000000001" customHeight="1" x14ac:dyDescent="0.25">
      <c r="A31" s="16" t="str">
        <f>HYPERLINK("#'Constants - Poultry'!A1", "Constants - Poultry")</f>
        <v>Constants - Poultry</v>
      </c>
      <c r="D31" s="43" t="s">
        <v>201</v>
      </c>
      <c r="E31" s="44"/>
      <c r="F31" s="44"/>
      <c r="G31" s="44"/>
      <c r="H31" s="45"/>
      <c r="I31" s="14"/>
      <c r="J31" s="14"/>
      <c r="K31" s="14"/>
      <c r="L31" s="14"/>
      <c r="M31" s="7"/>
    </row>
    <row r="32" spans="1:24" ht="20.100000000000001" customHeight="1" x14ac:dyDescent="0.25">
      <c r="A32" s="16" t="str">
        <f>HYPERLINK("#'Constants - Swine'!A1", "Constants - Swine")</f>
        <v>Constants - Swine</v>
      </c>
      <c r="D32" s="54" t="str">
        <f>IF(MAX(Table_Input_Lime[Total]) &gt; 1, "There can not be more than 100% ingredients in a product. Check the table below.", "")</f>
        <v/>
      </c>
    </row>
    <row r="33" spans="1:25" ht="36" customHeight="1" x14ac:dyDescent="0.25">
      <c r="A33" s="16" t="str">
        <f>HYPERLINK("#'Constants - Dairy'!A1", "Constants - Dairy")</f>
        <v>Constants - Dairy</v>
      </c>
      <c r="D33" s="91" t="s">
        <v>216</v>
      </c>
      <c r="E33" s="91" t="s">
        <v>217</v>
      </c>
      <c r="F33" s="91" t="s">
        <v>204</v>
      </c>
      <c r="G33" s="91" t="s">
        <v>218</v>
      </c>
      <c r="H33" s="91" t="s">
        <v>219</v>
      </c>
      <c r="I33" s="91" t="s">
        <v>220</v>
      </c>
      <c r="J33" s="91" t="s">
        <v>221</v>
      </c>
      <c r="K33" s="91" t="s">
        <v>222</v>
      </c>
      <c r="Y33" s="3"/>
    </row>
    <row r="34" spans="1:25" ht="36" customHeight="1" x14ac:dyDescent="0.25">
      <c r="A34" s="16" t="str">
        <f>HYPERLINK("#'Constants - Pasture Beef'!A1", "Constants - Pasture Beef")</f>
        <v>Constants - Pasture Beef</v>
      </c>
      <c r="D34" s="92" t="s">
        <v>223</v>
      </c>
      <c r="E34" s="73">
        <v>100</v>
      </c>
      <c r="F34" s="73">
        <f>X_Cell_Fertiliser_AreaUnderCropping</f>
        <v>100</v>
      </c>
      <c r="G34" s="74">
        <f>IFERROR(Table_Input_Lime[[#This Row],[Amount applied (t/hectare)]]*Table_Input_Lime[[#This Row],[Application area (ha)]], 0)</f>
        <v>10000</v>
      </c>
      <c r="H34" s="86">
        <v>0.4</v>
      </c>
      <c r="I34" s="86">
        <v>0.3</v>
      </c>
      <c r="J34" s="86">
        <v>0.25</v>
      </c>
      <c r="K34" s="93">
        <f>SUM(Table_Input_Lime[[#This Row],[Percent Lime CaCO3]:[Percent Gypsum]])</f>
        <v>0.95</v>
      </c>
      <c r="Y34" s="3"/>
    </row>
    <row r="35" spans="1:25" ht="36" customHeight="1" x14ac:dyDescent="0.25">
      <c r="A35" s="16" t="str">
        <f>HYPERLINK("#'Constants - Common Livestock'!A1", "Constants - Common Livestock")</f>
        <v>Constants - Common Livestock</v>
      </c>
      <c r="D35" s="92" t="s">
        <v>224</v>
      </c>
      <c r="E35" s="73">
        <v>100</v>
      </c>
      <c r="F35" s="73">
        <f>X_Cell_Fertiliser_AreaUnderCropping</f>
        <v>100</v>
      </c>
      <c r="G35" s="74">
        <f>IFERROR(Table_Input_Lime[[#This Row],[Amount applied (t/hectare)]]*Table_Input_Lime[[#This Row],[Application area (ha)]], 0)</f>
        <v>10000</v>
      </c>
      <c r="H35" s="86">
        <v>1</v>
      </c>
      <c r="I35" s="86"/>
      <c r="J35" s="86"/>
      <c r="K35" s="93">
        <f>SUM(Table_Input_Lime[[#This Row],[Percent Lime CaCO3]:[Percent Gypsum]])</f>
        <v>1</v>
      </c>
      <c r="Y35" s="3"/>
    </row>
    <row r="36" spans="1:25" ht="36" customHeight="1" x14ac:dyDescent="0.25">
      <c r="A36" s="16" t="str">
        <f>HYPERLINK("#'Constants - Fertiliser'!A1", "Constants - Fertiliser")</f>
        <v>Constants - Fertiliser</v>
      </c>
      <c r="D36" s="14"/>
      <c r="E36" s="14"/>
      <c r="F36" s="14"/>
      <c r="G36" s="14"/>
      <c r="H36" s="14"/>
      <c r="I36" s="14"/>
      <c r="J36" s="14"/>
      <c r="L36" s="7"/>
      <c r="M36" s="7"/>
    </row>
    <row r="37" spans="1:25" ht="20.100000000000001" customHeight="1" x14ac:dyDescent="0.25">
      <c r="A37" s="16" t="str">
        <f>HYPERLINK("#'Constants - Electricity'!A1", "Constants - Electricity")</f>
        <v>Constants - Electricity</v>
      </c>
      <c r="D37" s="14"/>
      <c r="E37" s="14"/>
      <c r="F37" s="14"/>
      <c r="G37" s="14"/>
      <c r="H37" s="14"/>
      <c r="I37" s="14"/>
      <c r="J37" s="94"/>
      <c r="K37" s="7"/>
      <c r="L37" s="7"/>
      <c r="M37" s="7"/>
    </row>
    <row r="38" spans="1:25" ht="20.100000000000001" customHeight="1" x14ac:dyDescent="0.25">
      <c r="A38" s="16" t="str">
        <f>HYPERLINK("#'Constants - Common'!A1", "Constants - Common")</f>
        <v>Constants - Common</v>
      </c>
      <c r="C38" s="51"/>
      <c r="L38" s="14"/>
      <c r="M38" s="14"/>
    </row>
    <row r="39" spans="1:25" ht="20.100000000000001" customHeight="1" x14ac:dyDescent="0.25">
      <c r="A39"/>
      <c r="C39" s="51"/>
      <c r="L39" s="14"/>
      <c r="M39" s="14"/>
    </row>
    <row r="40" spans="1:25" s="52" customFormat="1" ht="20.100000000000001" customHeight="1" x14ac:dyDescent="0.25">
      <c r="A40"/>
      <c r="C40" s="8"/>
      <c r="D40" s="8"/>
      <c r="E40" s="8"/>
      <c r="F40" s="8"/>
      <c r="G40" s="8"/>
      <c r="H40" s="8"/>
      <c r="I40" s="8"/>
      <c r="J40" s="8"/>
      <c r="K40" s="8"/>
      <c r="L40" s="14"/>
      <c r="M40" s="14"/>
      <c r="N40" s="8"/>
      <c r="O40" s="8"/>
      <c r="P40" s="8"/>
      <c r="Q40" s="51"/>
      <c r="R40" s="51"/>
      <c r="S40" s="51"/>
      <c r="T40" s="8"/>
      <c r="U40" s="8"/>
      <c r="V40" s="8"/>
      <c r="W40" s="8"/>
      <c r="X40" s="8"/>
      <c r="Y40" s="8"/>
    </row>
    <row r="41" spans="1:25" s="52" customFormat="1" ht="20.100000000000001" customHeight="1" x14ac:dyDescent="0.25">
      <c r="A41"/>
      <c r="C41" s="8"/>
      <c r="D41" s="8"/>
      <c r="E41" s="8"/>
      <c r="F41" s="8"/>
      <c r="G41" s="8"/>
      <c r="H41" s="8"/>
      <c r="I41" s="8"/>
      <c r="J41" s="8"/>
      <c r="K41" s="8"/>
      <c r="L41" s="14"/>
      <c r="M41" s="14"/>
      <c r="N41" s="8"/>
      <c r="O41" s="51"/>
      <c r="P41" s="51"/>
      <c r="Q41" s="51"/>
      <c r="R41" s="51"/>
      <c r="S41" s="51"/>
      <c r="T41" s="8"/>
      <c r="U41" s="8"/>
      <c r="V41" s="8"/>
      <c r="W41" s="8"/>
      <c r="X41" s="8"/>
      <c r="Y41" s="8"/>
    </row>
    <row r="42" spans="1:25" ht="20.100000000000001" customHeight="1" x14ac:dyDescent="0.25">
      <c r="A42"/>
      <c r="L42" s="14"/>
      <c r="M42" s="51"/>
      <c r="N42" s="51"/>
      <c r="O42" s="51"/>
      <c r="P42" s="51"/>
    </row>
    <row r="43" spans="1:25" ht="36" customHeight="1" x14ac:dyDescent="0.25">
      <c r="A43"/>
      <c r="L43" s="81"/>
      <c r="M43" s="51"/>
      <c r="N43" s="51"/>
    </row>
    <row r="44" spans="1:25" ht="36" customHeight="1" x14ac:dyDescent="0.25">
      <c r="A44"/>
      <c r="L44" s="81"/>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3" ht="20.100000000000001" customHeight="1" x14ac:dyDescent="0.25">
      <c r="A97"/>
    </row>
    <row r="98" spans="1:13" ht="20.100000000000001" customHeight="1" x14ac:dyDescent="0.25">
      <c r="A98"/>
    </row>
    <row r="99" spans="1:13" ht="20.100000000000001" customHeight="1" x14ac:dyDescent="0.25">
      <c r="A99"/>
    </row>
    <row r="100" spans="1:13" ht="20.100000000000001" customHeight="1" x14ac:dyDescent="0.25">
      <c r="A100"/>
    </row>
    <row r="101" spans="1:13" ht="20.100000000000001" customHeight="1" x14ac:dyDescent="0.25">
      <c r="A101"/>
    </row>
    <row r="102" spans="1:13" ht="20.100000000000001" customHeight="1" x14ac:dyDescent="0.25">
      <c r="A102"/>
    </row>
    <row r="103" spans="1:13" ht="20.100000000000001" customHeight="1" x14ac:dyDescent="0.25">
      <c r="A103"/>
    </row>
    <row r="104" spans="1:13" ht="20.100000000000001" customHeight="1" x14ac:dyDescent="0.25">
      <c r="A104"/>
    </row>
    <row r="105" spans="1:13" ht="20.100000000000001" customHeight="1" x14ac:dyDescent="0.25">
      <c r="A105"/>
    </row>
    <row r="106" spans="1:13" ht="20.100000000000001" customHeight="1" x14ac:dyDescent="0.25">
      <c r="A106"/>
    </row>
    <row r="107" spans="1:13" ht="20.100000000000001" customHeight="1" x14ac:dyDescent="0.25">
      <c r="A107"/>
    </row>
    <row r="108" spans="1:13" ht="20.100000000000001" customHeight="1" x14ac:dyDescent="0.25">
      <c r="A108"/>
    </row>
    <row r="109" spans="1:13" ht="20.100000000000001" customHeight="1" x14ac:dyDescent="0.25">
      <c r="A109"/>
    </row>
    <row r="110" spans="1:13" ht="20.100000000000001" customHeight="1" x14ac:dyDescent="0.25">
      <c r="A110"/>
    </row>
    <row r="111" spans="1:13" ht="20.100000000000001" customHeight="1" x14ac:dyDescent="0.25">
      <c r="A111"/>
      <c r="M111" s="7"/>
    </row>
    <row r="112" spans="1:13" ht="20.100000000000001" customHeight="1" x14ac:dyDescent="0.25">
      <c r="A112"/>
      <c r="M112" s="7"/>
    </row>
    <row r="113" spans="1:13" ht="20.100000000000001" customHeight="1" x14ac:dyDescent="0.25">
      <c r="A113"/>
      <c r="M113" s="7"/>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row>
    <row r="134" spans="1:13" ht="20.100000000000001" customHeight="1" x14ac:dyDescent="0.25">
      <c r="A134"/>
    </row>
    <row r="135" spans="1:13" ht="20.100000000000001" customHeight="1" x14ac:dyDescent="0.25">
      <c r="A135"/>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5"/>
    </row>
    <row r="211" spans="12:12" x14ac:dyDescent="0.25">
      <c r="L211" s="65"/>
    </row>
    <row r="212" spans="12:12" x14ac:dyDescent="0.25">
      <c r="L212" s="65"/>
    </row>
    <row r="213" spans="12:12" x14ac:dyDescent="0.25">
      <c r="L213" s="65"/>
    </row>
    <row r="214" spans="12:12" x14ac:dyDescent="0.25">
      <c r="L214" s="65"/>
    </row>
    <row r="216" spans="12:12" x14ac:dyDescent="0.25">
      <c r="L216" s="65"/>
    </row>
    <row r="218" spans="12:12" x14ac:dyDescent="0.25">
      <c r="L218" s="65"/>
    </row>
    <row r="219" spans="12:12" x14ac:dyDescent="0.25">
      <c r="L219" s="65"/>
    </row>
    <row r="220" spans="12:12" x14ac:dyDescent="0.25">
      <c r="L220" s="65"/>
    </row>
    <row r="221" spans="12:12" x14ac:dyDescent="0.25">
      <c r="L221" s="65"/>
    </row>
    <row r="223" spans="12:12" x14ac:dyDescent="0.25">
      <c r="L223" s="65"/>
    </row>
    <row r="231" spans="12:12" x14ac:dyDescent="0.25">
      <c r="L231" s="65"/>
    </row>
    <row r="232" spans="12:12" x14ac:dyDescent="0.25">
      <c r="L232" s="65"/>
    </row>
    <row r="233" spans="12:12" x14ac:dyDescent="0.25">
      <c r="L233" s="65"/>
    </row>
    <row r="236" spans="12:12" x14ac:dyDescent="0.25">
      <c r="L236" s="65"/>
    </row>
    <row r="237" spans="12:12" x14ac:dyDescent="0.25">
      <c r="L237" s="65"/>
    </row>
    <row r="238" spans="12:12" x14ac:dyDescent="0.25">
      <c r="L238" s="65"/>
    </row>
    <row r="241" spans="11:12" x14ac:dyDescent="0.25">
      <c r="L241" s="65"/>
    </row>
    <row r="242" spans="11:12" x14ac:dyDescent="0.25">
      <c r="L242" s="65"/>
    </row>
    <row r="243" spans="11:12" x14ac:dyDescent="0.25">
      <c r="L243" s="65"/>
    </row>
    <row r="246" spans="11:12" x14ac:dyDescent="0.25">
      <c r="L246" s="65"/>
    </row>
    <row r="247" spans="11:12" x14ac:dyDescent="0.25">
      <c r="K247" s="65"/>
      <c r="L247" s="65"/>
    </row>
    <row r="248" spans="11:12" x14ac:dyDescent="0.25">
      <c r="L248" s="65"/>
    </row>
    <row r="252" spans="11:12" x14ac:dyDescent="0.25">
      <c r="K252" s="65"/>
    </row>
    <row r="255" spans="11:12" x14ac:dyDescent="0.25">
      <c r="L255" s="65"/>
    </row>
    <row r="256" spans="11:12" x14ac:dyDescent="0.25">
      <c r="L256" s="65"/>
    </row>
    <row r="257" spans="11:12" x14ac:dyDescent="0.25">
      <c r="K257" s="65"/>
      <c r="L257" s="65"/>
    </row>
    <row r="260" spans="11:12" x14ac:dyDescent="0.25">
      <c r="L260" s="65"/>
    </row>
    <row r="261" spans="11:12" x14ac:dyDescent="0.25">
      <c r="L261" s="65"/>
    </row>
    <row r="262" spans="11:12" x14ac:dyDescent="0.25">
      <c r="K262" s="65"/>
      <c r="L262" s="65"/>
    </row>
    <row r="263" spans="11:12" x14ac:dyDescent="0.25">
      <c r="K263" s="65"/>
    </row>
    <row r="264" spans="11:12" x14ac:dyDescent="0.25">
      <c r="K264" s="65"/>
    </row>
    <row r="265" spans="11:12" x14ac:dyDescent="0.25">
      <c r="K265" s="65"/>
      <c r="L265" s="65"/>
    </row>
    <row r="266" spans="11:12" x14ac:dyDescent="0.25">
      <c r="K266" s="65"/>
      <c r="L266" s="65"/>
    </row>
    <row r="267" spans="11:12" x14ac:dyDescent="0.25">
      <c r="L267" s="65"/>
    </row>
    <row r="268" spans="11:12" x14ac:dyDescent="0.25">
      <c r="K268" s="65"/>
    </row>
    <row r="270" spans="11:12" x14ac:dyDescent="0.25">
      <c r="K270" s="65"/>
      <c r="L270" s="65"/>
    </row>
    <row r="271" spans="11:12" x14ac:dyDescent="0.25">
      <c r="K271" s="65"/>
      <c r="L271" s="65"/>
    </row>
    <row r="272" spans="11:12" x14ac:dyDescent="0.25">
      <c r="K272" s="65"/>
      <c r="L272" s="65"/>
    </row>
    <row r="273" spans="11:11" x14ac:dyDescent="0.25">
      <c r="K273" s="65"/>
    </row>
    <row r="275" spans="11:11" x14ac:dyDescent="0.25">
      <c r="K275" s="65"/>
    </row>
    <row r="281" spans="11:11" x14ac:dyDescent="0.25">
      <c r="K281" s="65"/>
    </row>
    <row r="286" spans="11:11" x14ac:dyDescent="0.25">
      <c r="K286" s="65"/>
    </row>
    <row r="291" spans="11:11" x14ac:dyDescent="0.25">
      <c r="K291" s="65"/>
    </row>
    <row r="296" spans="11:11" x14ac:dyDescent="0.25">
      <c r="K296" s="65"/>
    </row>
    <row r="297" spans="11:11" x14ac:dyDescent="0.25">
      <c r="K297" s="65"/>
    </row>
    <row r="298" spans="11:11" x14ac:dyDescent="0.25">
      <c r="K298" s="65"/>
    </row>
    <row r="299" spans="11:11" x14ac:dyDescent="0.25">
      <c r="K299" s="65"/>
    </row>
    <row r="300" spans="11:11" x14ac:dyDescent="0.25">
      <c r="K300" s="65"/>
    </row>
    <row r="302" spans="11:11" x14ac:dyDescent="0.25">
      <c r="K302" s="65"/>
    </row>
    <row r="304" spans="11:11" x14ac:dyDescent="0.25">
      <c r="K304" s="65"/>
    </row>
    <row r="305" spans="11:11" x14ac:dyDescent="0.25">
      <c r="K305" s="65"/>
    </row>
    <row r="306" spans="11:11" x14ac:dyDescent="0.25">
      <c r="K306" s="65"/>
    </row>
    <row r="307" spans="11:11" x14ac:dyDescent="0.25">
      <c r="K307" s="65"/>
    </row>
    <row r="309" spans="11:11" x14ac:dyDescent="0.25">
      <c r="K309" s="65"/>
    </row>
    <row r="317" spans="11:11" x14ac:dyDescent="0.25">
      <c r="K317" s="65"/>
    </row>
    <row r="318" spans="11:11" x14ac:dyDescent="0.25">
      <c r="K318" s="65"/>
    </row>
    <row r="319" spans="11:11" x14ac:dyDescent="0.25">
      <c r="K319" s="65"/>
    </row>
    <row r="322" spans="11:11" x14ac:dyDescent="0.25">
      <c r="K322" s="65"/>
    </row>
    <row r="323" spans="11:11" x14ac:dyDescent="0.25">
      <c r="K323" s="65"/>
    </row>
    <row r="324" spans="11:11" x14ac:dyDescent="0.25">
      <c r="K324" s="65"/>
    </row>
    <row r="327" spans="11:11" x14ac:dyDescent="0.25">
      <c r="K327" s="65"/>
    </row>
    <row r="328" spans="11:11" x14ac:dyDescent="0.25">
      <c r="K328" s="65"/>
    </row>
    <row r="329" spans="11:11" x14ac:dyDescent="0.25">
      <c r="K329" s="65"/>
    </row>
    <row r="332" spans="11:11" x14ac:dyDescent="0.25">
      <c r="K332" s="65"/>
    </row>
    <row r="333" spans="11:11" x14ac:dyDescent="0.25">
      <c r="K333" s="65"/>
    </row>
    <row r="334" spans="11:11" x14ac:dyDescent="0.25">
      <c r="K334" s="65"/>
    </row>
    <row r="341" spans="11:11" x14ac:dyDescent="0.25">
      <c r="K341" s="65"/>
    </row>
    <row r="342" spans="11:11" x14ac:dyDescent="0.25">
      <c r="K342" s="65"/>
    </row>
    <row r="343" spans="11:11" x14ac:dyDescent="0.25">
      <c r="K343" s="65"/>
    </row>
    <row r="346" spans="11:11" x14ac:dyDescent="0.25">
      <c r="K346" s="65"/>
    </row>
    <row r="347" spans="11:11" x14ac:dyDescent="0.25">
      <c r="K347" s="65"/>
    </row>
    <row r="348" spans="11:11" x14ac:dyDescent="0.25">
      <c r="K348" s="65"/>
    </row>
    <row r="351" spans="11:11" x14ac:dyDescent="0.25">
      <c r="K351" s="65"/>
    </row>
    <row r="352" spans="11:11" x14ac:dyDescent="0.25">
      <c r="K352" s="65"/>
    </row>
    <row r="353" spans="4:11" x14ac:dyDescent="0.25">
      <c r="K353" s="65"/>
    </row>
    <row r="356" spans="4:11" x14ac:dyDescent="0.25">
      <c r="K356" s="65"/>
    </row>
    <row r="357" spans="4:11" x14ac:dyDescent="0.25">
      <c r="K357" s="65"/>
    </row>
    <row r="358" spans="4:11" x14ac:dyDescent="0.25">
      <c r="K358" s="65"/>
    </row>
    <row r="361" spans="4:11" x14ac:dyDescent="0.25">
      <c r="D361" s="54"/>
    </row>
  </sheetData>
  <phoneticPr fontId="53" type="noConversion"/>
  <conditionalFormatting sqref="F126:F127">
    <cfRule type="cellIs" dxfId="45" priority="17" operator="lessThan">
      <formula>0</formula>
    </cfRule>
  </conditionalFormatting>
  <conditionalFormatting sqref="F138:F139">
    <cfRule type="cellIs" dxfId="44" priority="16" operator="lessThan">
      <formula>0</formula>
    </cfRule>
  </conditionalFormatting>
  <conditionalFormatting sqref="F150:F151">
    <cfRule type="cellIs" dxfId="43" priority="15" operator="lessThan">
      <formula>0</formula>
    </cfRule>
  </conditionalFormatting>
  <conditionalFormatting sqref="F162:F163">
    <cfRule type="cellIs" dxfId="42" priority="14" operator="lessThan">
      <formula>0</formula>
    </cfRule>
  </conditionalFormatting>
  <conditionalFormatting sqref="F250:F251">
    <cfRule type="cellIs" dxfId="41" priority="27" operator="lessThan">
      <formula>0</formula>
    </cfRule>
  </conditionalFormatting>
  <conditionalFormatting sqref="F255:F256">
    <cfRule type="cellIs" dxfId="40" priority="26" operator="lessThan">
      <formula>0</formula>
    </cfRule>
  </conditionalFormatting>
  <conditionalFormatting sqref="F260:F261">
    <cfRule type="cellIs" dxfId="39" priority="25" operator="lessThan">
      <formula>0</formula>
    </cfRule>
  </conditionalFormatting>
  <conditionalFormatting sqref="F284:F285">
    <cfRule type="cellIs" dxfId="38" priority="24" operator="lessThan">
      <formula>0</formula>
    </cfRule>
  </conditionalFormatting>
  <conditionalFormatting sqref="F289:F290">
    <cfRule type="cellIs" dxfId="37" priority="23" operator="lessThan">
      <formula>0</formula>
    </cfRule>
  </conditionalFormatting>
  <conditionalFormatting sqref="F294:F295">
    <cfRule type="cellIs" dxfId="36" priority="22" operator="lessThan">
      <formula>0</formula>
    </cfRule>
  </conditionalFormatting>
  <conditionalFormatting sqref="I31 I41:I42 H43:H45 O44 N45 I46 I48:I50 I52:I53 I204:J204 E210:G210 I210:J210 K247 J248 K252 J253 K257 J258 K262:K266 J263:J267 K268 J269 K270:K273 J271:J274 K275 J276 K281 J282 K286 J287 K291 J292 K296:K300 J297:J301 K302 J303 K304:K307 J305:J308 K309 J310">
    <cfRule type="cellIs" dxfId="35" priority="21" operator="lessThan">
      <formula>0</formula>
    </cfRule>
  </conditionalFormatting>
  <conditionalFormatting sqref="I33:I37 F47 K184:L184 K188:L189 K192:L193 K198:L199 K202:L203 K209:L209">
    <cfRule type="cellIs" dxfId="34" priority="19" operator="lessThan">
      <formula>0</formula>
    </cfRule>
  </conditionalFormatting>
  <conditionalFormatting sqref="I57:I61">
    <cfRule type="cellIs" dxfId="33" priority="4" operator="lessThan">
      <formula>0</formula>
    </cfRule>
  </conditionalFormatting>
  <conditionalFormatting sqref="I65 M104 I124:J124">
    <cfRule type="cellIs" dxfId="32" priority="20" operator="lessThan">
      <formula>0</formula>
    </cfRule>
  </conditionalFormatting>
  <conditionalFormatting sqref="I76:I78">
    <cfRule type="cellIs" dxfId="31" priority="3" operator="lessThan">
      <formula>0</formula>
    </cfRule>
  </conditionalFormatting>
  <conditionalFormatting sqref="I82:I85">
    <cfRule type="cellIs" dxfId="30" priority="2" operator="lessThan">
      <formula>0</formula>
    </cfRule>
  </conditionalFormatting>
  <conditionalFormatting sqref="I89:I93">
    <cfRule type="cellIs" dxfId="29" priority="1" operator="lessThan">
      <formula>0</formula>
    </cfRule>
  </conditionalFormatting>
  <conditionalFormatting sqref="J152">
    <cfRule type="cellIs" dxfId="28" priority="18" operator="lessThan">
      <formula>0</formula>
    </cfRule>
  </conditionalFormatting>
  <conditionalFormatting sqref="L117:L120">
    <cfRule type="cellIs" dxfId="27" priority="8" operator="lessThan">
      <formula>0</formula>
    </cfRule>
  </conditionalFormatting>
  <conditionalFormatting sqref="L123">
    <cfRule type="cellIs" dxfId="26" priority="13" operator="lessThan">
      <formula>0</formula>
    </cfRule>
  </conditionalFormatting>
  <conditionalFormatting sqref="L129:L132">
    <cfRule type="cellIs" dxfId="25" priority="7" operator="lessThan">
      <formula>0</formula>
    </cfRule>
  </conditionalFormatting>
  <conditionalFormatting sqref="L135">
    <cfRule type="cellIs" dxfId="24" priority="12" operator="lessThan">
      <formula>0</formula>
    </cfRule>
  </conditionalFormatting>
  <conditionalFormatting sqref="L141:L144">
    <cfRule type="cellIs" dxfId="23" priority="6" operator="lessThan">
      <formula>0</formula>
    </cfRule>
  </conditionalFormatting>
  <conditionalFormatting sqref="L147">
    <cfRule type="cellIs" dxfId="22" priority="11" operator="lessThan">
      <formula>0</formula>
    </cfRule>
  </conditionalFormatting>
  <conditionalFormatting sqref="L153:L156">
    <cfRule type="cellIs" dxfId="21" priority="5" operator="lessThan">
      <formula>0</formula>
    </cfRule>
  </conditionalFormatting>
  <conditionalFormatting sqref="L159">
    <cfRule type="cellIs" dxfId="20" priority="10" operator="lessThan">
      <formula>0</formula>
    </cfRule>
  </conditionalFormatting>
  <conditionalFormatting sqref="L163:L164">
    <cfRule type="cellIs" dxfId="19" priority="9" operator="lessThan">
      <formula>0</formula>
    </cfRule>
  </conditionalFormatting>
  <conditionalFormatting sqref="L210:L214 L216 L218:L221 L223 J228:J230 J233:J235">
    <cfRule type="cellIs" dxfId="18" priority="28" operator="lessThan">
      <formula>0</formula>
    </cfRule>
  </conditionalFormatting>
  <dataValidations count="12">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4:R25" xr:uid="{BFE65A65-42AA-49AF-8F4F-A3B2D9836831}">
      <formula1>INDIRECT("Table_SourceData_Fertiliser_UreaAmmoniaSources[Source]")</formula1>
    </dataValidation>
  </dataValidations>
  <pageMargins left="0.7" right="0.7" top="0.75" bottom="0.75" header="0.3" footer="0.3"/>
  <pageSetup paperSize="9" orientation="portrait"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871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289</v>
      </c>
      <c r="E5" s="7"/>
      <c r="F5" s="7"/>
      <c r="G5" s="7"/>
      <c r="H5" s="7"/>
      <c r="I5" s="7"/>
      <c r="J5" s="7"/>
    </row>
    <row r="6" spans="1:19" ht="20.100000000000001" customHeight="1" x14ac:dyDescent="0.25">
      <c r="A6"/>
      <c r="C6" s="8"/>
    </row>
    <row r="7" spans="1:19" ht="20.100000000000001" customHeight="1" x14ac:dyDescent="0.25">
      <c r="A7" s="19" t="s">
        <v>67</v>
      </c>
      <c r="C7" s="8"/>
      <c r="D7" s="46" t="s">
        <v>170</v>
      </c>
      <c r="E7" s="46" t="s">
        <v>345</v>
      </c>
      <c r="F7" s="46" t="s">
        <v>348</v>
      </c>
    </row>
    <row r="8" spans="1:19" ht="20.100000000000001" customHeight="1" x14ac:dyDescent="0.25">
      <c r="A8" s="16" t="str">
        <f>HYPERLINK("#'Input - Site'!A1", "Site")</f>
        <v>Site</v>
      </c>
      <c r="C8" s="8"/>
      <c r="D8" s="82" t="s">
        <v>386</v>
      </c>
      <c r="E8" s="47" t="s">
        <v>347</v>
      </c>
      <c r="F8" s="66">
        <v>100</v>
      </c>
    </row>
    <row r="9" spans="1:19" ht="20.100000000000001" customHeight="1" x14ac:dyDescent="0.25">
      <c r="A9" s="16" t="str">
        <f>HYPERLINK("#'Input - Fuel'!A1", "Fuel")</f>
        <v>Fuel</v>
      </c>
      <c r="C9" s="8"/>
      <c r="D9" s="82" t="s">
        <v>385</v>
      </c>
      <c r="E9" s="149" t="s">
        <v>346</v>
      </c>
      <c r="F9" s="150">
        <v>100</v>
      </c>
    </row>
    <row r="10" spans="1:19" ht="20.100000000000001" customHeight="1" x14ac:dyDescent="0.25">
      <c r="A10" s="16" t="str">
        <f>HYPERLINK("#'Input - Fertiliser'!A1", "Fertiliser")</f>
        <v>Fertiliser</v>
      </c>
      <c r="D10" s="82" t="s">
        <v>290</v>
      </c>
      <c r="E10" s="149" t="s">
        <v>291</v>
      </c>
      <c r="F10" s="150">
        <v>100</v>
      </c>
    </row>
    <row r="11" spans="1:19" ht="20.100000000000001" customHeight="1" x14ac:dyDescent="0.25">
      <c r="A11" s="42" t="str">
        <f>HYPERLINK("#'Input - Farm Inputs'!A1", "Farm Inputs")</f>
        <v>Farm Inputs</v>
      </c>
      <c r="D11" s="82" t="s">
        <v>290</v>
      </c>
      <c r="E11" s="149" t="s">
        <v>291</v>
      </c>
      <c r="F11" s="150">
        <v>100</v>
      </c>
    </row>
    <row r="12" spans="1:19" ht="20.100000000000001" customHeight="1" x14ac:dyDescent="0.25">
      <c r="A12" s="16" t="str">
        <f>HYPERLINK("#'Input - Livestock purchases'!A1", "Livestock purchases")</f>
        <v>Livestock purchases</v>
      </c>
      <c r="C12" s="8"/>
      <c r="D12" s="82" t="s">
        <v>386</v>
      </c>
      <c r="E12" s="149" t="s">
        <v>347</v>
      </c>
      <c r="F12" s="150">
        <v>100</v>
      </c>
    </row>
    <row r="13" spans="1:19" ht="20.100000000000001" customHeight="1" x14ac:dyDescent="0.25">
      <c r="A13" s="16" t="str">
        <f>HYPERLINK("#'Input - Freight'!A1", "Freight")</f>
        <v>Freight</v>
      </c>
      <c r="C13" s="8"/>
      <c r="D13" s="82" t="s">
        <v>386</v>
      </c>
      <c r="E13" s="149" t="s">
        <v>347</v>
      </c>
      <c r="F13" s="150">
        <v>100</v>
      </c>
    </row>
    <row r="14" spans="1:19" ht="20.100000000000001" customHeight="1" x14ac:dyDescent="0.25">
      <c r="A14" s="16" t="str">
        <f>HYPERLINK("#'Input - Solid waste'!A1", "Solid waste")</f>
        <v>Solid waste</v>
      </c>
      <c r="D14" s="82"/>
      <c r="E14" s="47"/>
      <c r="F14" s="66"/>
    </row>
    <row r="15" spans="1:19" ht="20.100000000000001" customHeight="1" x14ac:dyDescent="0.25">
      <c r="A15" s="16" t="str">
        <f>HYPERLINK("#'Input - Manure sent off-site'!A1", "Manure sent off-site")</f>
        <v>Manure sent off-site</v>
      </c>
      <c r="D15" s="82"/>
      <c r="E15" s="47"/>
      <c r="F15" s="66"/>
    </row>
    <row r="16" spans="1:19" ht="20.100000000000001" customHeight="1" x14ac:dyDescent="0.25">
      <c r="A16" s="16" t="str">
        <f>HYPERLINK("#'Input - Electricity'!A1", "Electricity")</f>
        <v>Electricity</v>
      </c>
      <c r="D16" s="82"/>
      <c r="E16" s="47"/>
      <c r="F16" s="66"/>
    </row>
    <row r="17" spans="1:10" ht="20.100000000000001" customHeight="1" x14ac:dyDescent="0.25">
      <c r="A17"/>
      <c r="C17" s="8"/>
      <c r="D17" s="82"/>
      <c r="E17" s="47"/>
      <c r="F17" s="66"/>
    </row>
    <row r="18" spans="1:10" ht="20.100000000000001" customHeight="1" x14ac:dyDescent="0.25">
      <c r="A18"/>
      <c r="C18" s="8"/>
    </row>
    <row r="19" spans="1:10" ht="20.100000000000001" customHeight="1" x14ac:dyDescent="0.25">
      <c r="A19" s="21" t="s">
        <v>77</v>
      </c>
    </row>
    <row r="20" spans="1:10" ht="20.100000000000001" customHeight="1" x14ac:dyDescent="0.25">
      <c r="A20" s="16" t="str">
        <f>HYPERLINK("#'15 Scope 3'!A1", "15 Scope 3")</f>
        <v>15 Scope 3</v>
      </c>
      <c r="D20" s="9" t="s">
        <v>609</v>
      </c>
    </row>
    <row r="21" spans="1:10" ht="20.100000000000001" customHeight="1" x14ac:dyDescent="0.25">
      <c r="A21" s="16" t="str">
        <f>HYPERLINK("#'10.1.1-2 Solid waste treatment'!A1", "10.1.1-2 Solid waste treatment")</f>
        <v>10.1.1-2 Solid waste treatment</v>
      </c>
      <c r="D21" s="12"/>
      <c r="I21" s="7"/>
      <c r="J21" s="7"/>
    </row>
    <row r="22" spans="1:10" ht="20.100000000000001" customHeight="1" x14ac:dyDescent="0.25">
      <c r="A22" s="16" t="str">
        <f>HYPERLINK("#'Calcs - Manure sent off-site'!A1", "Calcs - Manure sent off-site")</f>
        <v>Calcs - Manure sent off-site</v>
      </c>
      <c r="D22" s="164" t="s">
        <v>610</v>
      </c>
      <c r="E22" s="164" t="s">
        <v>619</v>
      </c>
      <c r="F22" s="164" t="s">
        <v>614</v>
      </c>
      <c r="G22" s="164" t="s">
        <v>126</v>
      </c>
    </row>
    <row r="23" spans="1:10" ht="20.100000000000001" customHeight="1" x14ac:dyDescent="0.25">
      <c r="A23" s="16" t="str">
        <f>HYPERLINK("#'8.1.1.1-2 Transport fuel'!A1", "8.1.1.1-2 Transport fuel")</f>
        <v>8.1.1.1-2 Transport fuel</v>
      </c>
      <c r="D23" s="82" t="s">
        <v>611</v>
      </c>
      <c r="E23" s="82" t="s">
        <v>612</v>
      </c>
      <c r="F23" s="66">
        <v>10000</v>
      </c>
      <c r="G23" s="47" t="s">
        <v>616</v>
      </c>
    </row>
    <row r="24" spans="1:10" ht="20.100000000000001" customHeight="1" x14ac:dyDescent="0.25">
      <c r="A24" s="16" t="str">
        <f>HYPERLINK("#'8.2.1.1-2 Stationary fuel'!A1", "8.2.1.1-2 Stationary fuel")</f>
        <v>8.2.1.1-2 Stationary fuel</v>
      </c>
      <c r="D24" s="82" t="s">
        <v>613</v>
      </c>
      <c r="E24" s="82" t="s">
        <v>618</v>
      </c>
      <c r="F24" s="66">
        <v>1000</v>
      </c>
      <c r="G24" s="47" t="s">
        <v>617</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22" t="s">
        <v>78</v>
      </c>
      <c r="C27" s="8"/>
      <c r="D27" s="82"/>
      <c r="E27" s="82"/>
      <c r="F27" s="66"/>
      <c r="G27" s="47"/>
    </row>
    <row r="28" spans="1:10" ht="20.100000000000001" customHeight="1" x14ac:dyDescent="0.25">
      <c r="A28" s="16" t="str">
        <f>HYPERLINK("#'Constants - Scope 3'!A1", "Constants - Scope 3")</f>
        <v>Constants - Scope 3</v>
      </c>
      <c r="D28" s="82"/>
      <c r="E28" s="82"/>
      <c r="F28" s="66"/>
      <c r="G28" s="47"/>
    </row>
    <row r="29" spans="1:10" ht="20.100000000000001" customHeight="1" x14ac:dyDescent="0.25">
      <c r="A29" s="16" t="str">
        <f>HYPERLINK("#'Constants - Solid Waste'!A1", "Constants - Solid Waste")</f>
        <v>Constants - Solid Waste</v>
      </c>
      <c r="D29" s="82"/>
      <c r="E29" s="82"/>
      <c r="F29" s="66"/>
      <c r="G29" s="47"/>
    </row>
    <row r="30" spans="1:10" ht="20.100000000000001" customHeight="1" x14ac:dyDescent="0.25">
      <c r="A30" s="16" t="str">
        <f>HYPERLINK("#'Constants - Fuel'!A1", "Constants - Fuel")</f>
        <v>Constants - Fuel</v>
      </c>
      <c r="D30" s="82"/>
      <c r="E30" s="82"/>
      <c r="F30" s="66"/>
      <c r="G30" s="47"/>
    </row>
    <row r="31" spans="1:10" ht="20.100000000000001" customHeight="1" x14ac:dyDescent="0.25">
      <c r="A31" s="16" t="str">
        <f>HYPERLINK("#'Constants - Poultry'!A1", "Constants - Poultry")</f>
        <v>Constants - Poultry</v>
      </c>
      <c r="D31" s="82"/>
      <c r="E31" s="82"/>
      <c r="F31" s="66"/>
      <c r="G31" s="47"/>
    </row>
    <row r="32" spans="1:10" ht="20.100000000000001" customHeight="1" x14ac:dyDescent="0.25">
      <c r="A32" s="16" t="str">
        <f>HYPERLINK("#'Constants - Swine'!A1", "Constants - Swine")</f>
        <v>Constants - Swine</v>
      </c>
      <c r="D32" s="82"/>
      <c r="E32" s="82"/>
      <c r="F32" s="66"/>
      <c r="G32" s="47"/>
    </row>
    <row r="33" spans="1:6" ht="20.100000000000001" customHeight="1" x14ac:dyDescent="0.25">
      <c r="A33" s="16" t="str">
        <f>HYPERLINK("#'Constants - Dairy'!A1", "Constants - Dairy")</f>
        <v>Constants - Dairy</v>
      </c>
    </row>
    <row r="34" spans="1:6" ht="20.100000000000001" customHeight="1" x14ac:dyDescent="0.25">
      <c r="A34" s="16" t="str">
        <f>HYPERLINK("#'Constants - Pasture Beef'!A1", "Constants - Pasture Beef")</f>
        <v>Constants - Pasture Beef</v>
      </c>
    </row>
    <row r="35" spans="1:6" ht="20.100000000000001" customHeight="1" x14ac:dyDescent="0.25">
      <c r="A35" s="16" t="str">
        <f>HYPERLINK("#'Constants - Common Livestock'!A1", "Constants - Common Livestock")</f>
        <v>Constants - Common Livestock</v>
      </c>
      <c r="D35" s="9" t="s">
        <v>608</v>
      </c>
    </row>
    <row r="36" spans="1:6" ht="20.100000000000001" customHeight="1" x14ac:dyDescent="0.25">
      <c r="A36" s="16" t="str">
        <f>HYPERLINK("#'Constants - Fertiliser'!A1", "Constants - Fertiliser")</f>
        <v>Constants - Fertiliser</v>
      </c>
      <c r="D36" s="12"/>
    </row>
    <row r="37" spans="1:6" ht="20.100000000000001" customHeight="1" x14ac:dyDescent="0.25">
      <c r="A37" s="16" t="str">
        <f>HYPERLINK("#'Constants - Electricity'!A1", "Constants - Electricity")</f>
        <v>Constants - Electricity</v>
      </c>
      <c r="D37" s="46" t="s">
        <v>603</v>
      </c>
      <c r="E37" s="46" t="s">
        <v>602</v>
      </c>
      <c r="F37" s="46" t="s">
        <v>126</v>
      </c>
    </row>
    <row r="38" spans="1:6" ht="20.100000000000001" customHeight="1" x14ac:dyDescent="0.25">
      <c r="A38" s="16" t="str">
        <f>HYPERLINK("#'Constants - Common'!A1", "Constants - Common")</f>
        <v>Constants - Common</v>
      </c>
      <c r="D38" s="82" t="s">
        <v>704</v>
      </c>
      <c r="E38" s="66">
        <v>1000</v>
      </c>
      <c r="F38" s="82" t="s">
        <v>352</v>
      </c>
    </row>
    <row r="39" spans="1:6" ht="20.100000000000001" customHeight="1" x14ac:dyDescent="0.25">
      <c r="A39"/>
      <c r="D39" s="82"/>
      <c r="E39" s="66"/>
      <c r="F39" s="82"/>
    </row>
    <row r="40" spans="1:6" ht="20.100000000000001" customHeight="1" x14ac:dyDescent="0.25">
      <c r="A40"/>
      <c r="D40" s="82"/>
      <c r="E40" s="66"/>
      <c r="F40" s="82"/>
    </row>
    <row r="41" spans="1:6" ht="20.100000000000001" customHeight="1" x14ac:dyDescent="0.25">
      <c r="A41"/>
      <c r="D41" s="82"/>
      <c r="E41" s="66"/>
      <c r="F41" s="82"/>
    </row>
    <row r="42" spans="1:6" ht="20.100000000000001" customHeight="1" x14ac:dyDescent="0.25">
      <c r="A42"/>
      <c r="D42" s="82"/>
      <c r="E42" s="66"/>
      <c r="F42" s="82"/>
    </row>
    <row r="43" spans="1:6" ht="20.100000000000001" customHeight="1" x14ac:dyDescent="0.25">
      <c r="A43"/>
      <c r="D43" s="82"/>
      <c r="E43" s="66"/>
      <c r="F43" s="82"/>
    </row>
    <row r="44" spans="1:6" ht="20.100000000000001" customHeight="1" x14ac:dyDescent="0.25">
      <c r="A44"/>
      <c r="C44" s="8"/>
      <c r="D44" s="82"/>
      <c r="E44" s="66"/>
      <c r="F44" s="82"/>
    </row>
    <row r="45" spans="1:6" ht="20.100000000000001" customHeight="1" x14ac:dyDescent="0.25">
      <c r="A45"/>
      <c r="C45" s="8"/>
      <c r="D45" s="82"/>
      <c r="E45" s="66"/>
      <c r="F45" s="82"/>
    </row>
    <row r="46" spans="1:6" ht="20.100000000000001" customHeight="1" x14ac:dyDescent="0.25">
      <c r="A46"/>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3:9" s="37" customFormat="1" ht="25.5" x14ac:dyDescent="0.35">
      <c r="C1" s="37" t="s">
        <v>874</v>
      </c>
    </row>
    <row r="2" spans="3:9" s="2" customFormat="1" x14ac:dyDescent="0.25"/>
    <row r="3" spans="3:9" ht="20.25" x14ac:dyDescent="0.25">
      <c r="C3" s="38"/>
      <c r="D3" s="38"/>
      <c r="E3" s="38"/>
      <c r="F3" s="38"/>
      <c r="G3" s="38"/>
      <c r="H3" s="38"/>
      <c r="I3" s="38"/>
    </row>
    <row r="5" spans="3:9" ht="23.25" x14ac:dyDescent="0.25">
      <c r="D5" s="9" t="s">
        <v>368</v>
      </c>
      <c r="E5" s="14"/>
      <c r="F5" s="14"/>
      <c r="G5" s="14"/>
      <c r="H5" s="14"/>
    </row>
    <row r="6" spans="3:9" x14ac:dyDescent="0.25">
      <c r="D6" s="14"/>
      <c r="E6" s="14"/>
      <c r="F6" s="14"/>
      <c r="G6" s="14"/>
      <c r="H6" s="14"/>
    </row>
    <row r="7" spans="3:9" x14ac:dyDescent="0.25">
      <c r="D7" s="91" t="s">
        <v>287</v>
      </c>
      <c r="E7" s="91" t="s">
        <v>288</v>
      </c>
      <c r="F7" s="91" t="s">
        <v>409</v>
      </c>
      <c r="G7" s="91" t="s">
        <v>410</v>
      </c>
      <c r="H7" s="91" t="s">
        <v>604</v>
      </c>
    </row>
    <row r="8" spans="3:9" x14ac:dyDescent="0.25">
      <c r="D8" s="143" t="s">
        <v>411</v>
      </c>
      <c r="E8" s="66">
        <v>100000</v>
      </c>
      <c r="F8" s="47" t="s">
        <v>412</v>
      </c>
      <c r="G8" s="66">
        <v>0.02</v>
      </c>
      <c r="H8" s="49">
        <f>Table_Input_Packaging[[#This Row],[Quantity purchased]]*Table_Input_Packaging[[#This Row],[Weight per unit (kg)]]</f>
        <v>2000</v>
      </c>
    </row>
    <row r="9" spans="3:9" x14ac:dyDescent="0.25">
      <c r="D9" s="143"/>
      <c r="E9" s="165"/>
      <c r="F9" s="47"/>
      <c r="G9" s="66"/>
      <c r="H9" s="49">
        <f>Table_Input_Packaging[[#This Row],[Quantity purchased]]*Table_Input_Packaging[[#This Row],[Weight per unit (kg)]]</f>
        <v>0</v>
      </c>
    </row>
    <row r="10" spans="3:9" x14ac:dyDescent="0.25">
      <c r="D10" s="143"/>
      <c r="E10" s="165"/>
      <c r="F10" s="47"/>
      <c r="G10" s="66"/>
      <c r="H10" s="49">
        <f>Table_Input_Packaging[[#This Row],[Quantity purchased]]*Table_Input_Packaging[[#This Row],[Weight per unit (kg)]]</f>
        <v>0</v>
      </c>
    </row>
    <row r="11" spans="3:9" x14ac:dyDescent="0.25">
      <c r="D11" s="143"/>
      <c r="E11" s="165"/>
      <c r="F11" s="47"/>
      <c r="G11" s="66"/>
      <c r="H11" s="49">
        <f>Table_Input_Packaging[[#This Row],[Quantity purchased]]*Table_Input_Packaging[[#This Row],[Weight per unit (kg)]]</f>
        <v>0</v>
      </c>
    </row>
    <row r="12" spans="3:9" x14ac:dyDescent="0.25">
      <c r="D12" s="143"/>
      <c r="E12" s="165"/>
      <c r="F12" s="47"/>
      <c r="G12" s="66"/>
      <c r="H12" s="49">
        <f>Table_Input_Packaging[[#This Row],[Quantity purchased]]*Table_Input_Packaging[[#This Row],[Weight per unit (kg)]]</f>
        <v>0</v>
      </c>
    </row>
    <row r="13" spans="3:9" x14ac:dyDescent="0.25">
      <c r="D13" s="143"/>
      <c r="E13" s="165"/>
      <c r="F13" s="47"/>
      <c r="G13" s="66"/>
      <c r="H13" s="49">
        <f>Table_Input_Packaging[[#This Row],[Quantity purchased]]*Table_Input_Packaging[[#This Row],[Weight per unit (kg)]]</f>
        <v>0</v>
      </c>
    </row>
    <row r="14" spans="3:9" x14ac:dyDescent="0.25">
      <c r="D14" s="143"/>
      <c r="E14" s="165"/>
      <c r="F14" s="47"/>
      <c r="G14" s="66"/>
      <c r="H14" s="49">
        <f>Table_Input_Packaging[[#This Row],[Quantity purchased]]*Table_Input_Packaging[[#This Row],[Weight per unit (kg)]]</f>
        <v>0</v>
      </c>
    </row>
    <row r="15" spans="3:9" x14ac:dyDescent="0.25">
      <c r="D15" s="143"/>
      <c r="E15" s="165"/>
      <c r="F15" s="47"/>
      <c r="G15" s="66"/>
      <c r="H15" s="49">
        <f>Table_Input_Packaging[[#This Row],[Quantity purchased]]*Table_Input_Packaging[[#This Row],[Weight per unit (kg)]]</f>
        <v>0</v>
      </c>
    </row>
    <row r="16" spans="3:9" x14ac:dyDescent="0.25">
      <c r="D16" s="143"/>
      <c r="E16" s="165"/>
      <c r="F16" s="47"/>
      <c r="G16" s="66"/>
      <c r="H16" s="49">
        <f>Table_Input_Packaging[[#This Row],[Quantity purchased]]*Table_Input_Packaging[[#This Row],[Weight per unit (kg)]]</f>
        <v>0</v>
      </c>
    </row>
    <row r="17" spans="4:8" x14ac:dyDescent="0.25">
      <c r="D17" s="143"/>
      <c r="E17" s="165"/>
      <c r="F17" s="47"/>
      <c r="G17" s="66"/>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3:19" s="37" customFormat="1" ht="25.5" x14ac:dyDescent="0.35">
      <c r="C1" s="37" t="s">
        <v>872</v>
      </c>
    </row>
    <row r="2" spans="3:19" s="2" customFormat="1" x14ac:dyDescent="0.25"/>
    <row r="3" spans="3:19" ht="20.25" x14ac:dyDescent="0.25">
      <c r="C3" s="38"/>
      <c r="D3" s="38"/>
      <c r="E3" s="38"/>
      <c r="F3" s="38"/>
      <c r="G3" s="38"/>
      <c r="H3" s="38"/>
      <c r="I3" s="38"/>
      <c r="J3" s="38"/>
      <c r="K3" s="38"/>
      <c r="L3" s="38"/>
      <c r="M3" s="38"/>
      <c r="N3" s="38"/>
      <c r="O3" s="38"/>
      <c r="P3" s="38"/>
      <c r="Q3" s="38"/>
      <c r="R3" s="38"/>
      <c r="S3" s="38"/>
    </row>
    <row r="5" spans="3:19" ht="18.75" x14ac:dyDescent="0.25">
      <c r="D5" s="144" t="s">
        <v>369</v>
      </c>
      <c r="E5" s="147"/>
      <c r="F5" s="147"/>
      <c r="G5" s="147"/>
      <c r="H5" s="147"/>
      <c r="I5" s="147"/>
      <c r="J5" s="147"/>
    </row>
    <row r="6" spans="3:19" x14ac:dyDescent="0.25">
      <c r="D6" s="173" t="s">
        <v>301</v>
      </c>
      <c r="E6" s="173"/>
      <c r="F6" s="39"/>
      <c r="G6" s="41"/>
      <c r="H6" s="7"/>
      <c r="I6" s="7"/>
      <c r="J6" s="7"/>
    </row>
    <row r="7" spans="3:19" x14ac:dyDescent="0.25">
      <c r="D7" s="43" t="s">
        <v>302</v>
      </c>
      <c r="E7" s="44"/>
      <c r="F7" s="44"/>
      <c r="G7" s="45"/>
      <c r="H7" s="7"/>
      <c r="I7" s="7"/>
      <c r="J7" s="7"/>
    </row>
    <row r="8" spans="3:19" x14ac:dyDescent="0.25">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c r="D9" s="154" t="s">
        <v>170</v>
      </c>
      <c r="E9" s="154" t="s">
        <v>303</v>
      </c>
      <c r="F9" s="154" t="s">
        <v>304</v>
      </c>
      <c r="G9" s="154" t="s">
        <v>204</v>
      </c>
      <c r="H9" s="154" t="s">
        <v>305</v>
      </c>
      <c r="I9" s="154" t="s">
        <v>426</v>
      </c>
      <c r="J9" s="154" t="s">
        <v>306</v>
      </c>
      <c r="K9" s="162" t="s">
        <v>307</v>
      </c>
      <c r="L9" s="162" t="s">
        <v>422</v>
      </c>
      <c r="M9" s="162" t="s">
        <v>308</v>
      </c>
      <c r="N9" s="162" t="s">
        <v>309</v>
      </c>
      <c r="O9" s="162" t="s">
        <v>423</v>
      </c>
      <c r="P9" s="162" t="s">
        <v>310</v>
      </c>
      <c r="Q9" s="162" t="s">
        <v>311</v>
      </c>
      <c r="R9" s="162" t="s">
        <v>424</v>
      </c>
    </row>
    <row r="10" spans="3:19" x14ac:dyDescent="0.25">
      <c r="D10" s="143" t="s">
        <v>428</v>
      </c>
      <c r="E10" s="155">
        <v>10</v>
      </c>
      <c r="F10" s="47" t="s">
        <v>418</v>
      </c>
      <c r="G10" s="66">
        <v>100</v>
      </c>
      <c r="H10" s="49">
        <f>Table_Input_Pesticides[[#This Row],[Amount applied per ha]]*Table_Input_Pesticides[[#This Row],[Application area (ha)]]</f>
        <v>1000</v>
      </c>
      <c r="I10" s="47" t="s">
        <v>417</v>
      </c>
      <c r="J10" s="47" t="s">
        <v>416</v>
      </c>
      <c r="K10" s="66">
        <v>100</v>
      </c>
      <c r="L10" s="49">
        <f>Table_Input_Pesticides[[#This Row],[Total applied]]*Table_Input_Pesticides[[#This Row],[Active ingredient 1 amount]]*IF(Table_Input_Pesticides[[#This Row],[Constituent unit (select)]]="fraction of product", 1, 10^-3)</f>
        <v>100</v>
      </c>
      <c r="M10" s="47" t="s">
        <v>416</v>
      </c>
      <c r="N10" s="66">
        <v>100</v>
      </c>
      <c r="O10" s="49">
        <f>Table_Input_Pesticides[[#This Row],[Total applied]]*Table_Input_Pesticides[[#This Row],[Active ingredient 2 amount]]*IF(Table_Input_Pesticides[[#This Row],[Constituent unit (select)]]="fraction of product", 1, 10^-3)</f>
        <v>100</v>
      </c>
      <c r="P10" s="47" t="s">
        <v>680</v>
      </c>
      <c r="Q10" s="66">
        <v>100</v>
      </c>
      <c r="R10" s="49">
        <f>Table_Input_Pesticides[[#This Row],[Total applied]]*Table_Input_Pesticides[[#This Row],[Active ingredient 3 amount]]*IF(Table_Input_Pesticides[[#This Row],[Constituent unit (select)]]="fraction of product", 1, 10^-3)</f>
        <v>100</v>
      </c>
    </row>
    <row r="11" spans="3:19" x14ac:dyDescent="0.25">
      <c r="D11" s="143" t="s">
        <v>427</v>
      </c>
      <c r="E11" s="155">
        <v>10</v>
      </c>
      <c r="F11" s="47" t="s">
        <v>312</v>
      </c>
      <c r="G11" s="66">
        <v>100</v>
      </c>
      <c r="H11" s="49">
        <f>Table_Input_Pesticides[[#This Row],[Amount applied per ha]]*Table_Input_Pesticides[[#This Row],[Application area (ha)]]</f>
        <v>1000</v>
      </c>
      <c r="I11" s="47" t="s">
        <v>417</v>
      </c>
      <c r="J11" s="47" t="s">
        <v>416</v>
      </c>
      <c r="K11" s="66">
        <v>100</v>
      </c>
      <c r="L11" s="49">
        <f>Table_Input_Pesticides[[#This Row],[Total applied]]*Table_Input_Pesticides[[#This Row],[Active ingredient 1 amount]]*IF(Table_Input_Pesticides[[#This Row],[Constituent unit (select)]]="fraction of product", 1, 10^-3)</f>
        <v>100</v>
      </c>
      <c r="M11" s="47" t="s">
        <v>678</v>
      </c>
      <c r="N11" s="66">
        <v>100</v>
      </c>
      <c r="O11" s="49">
        <f>Table_Input_Pesticides[[#This Row],[Total applied]]*Table_Input_Pesticides[[#This Row],[Active ingredient 2 amount]]*IF(Table_Input_Pesticides[[#This Row],[Constituent unit (select)]]="fraction of product", 1, 10^-3)</f>
        <v>100</v>
      </c>
      <c r="P11" s="47" t="s">
        <v>681</v>
      </c>
      <c r="Q11" s="66">
        <v>100</v>
      </c>
      <c r="R11" s="49">
        <f>Table_Input_Pesticides[[#This Row],[Total applied]]*Table_Input_Pesticides[[#This Row],[Active ingredient 3 amount]]*IF(Table_Input_Pesticides[[#This Row],[Constituent unit (select)]]="fraction of product", 1, 10^-3)</f>
        <v>100</v>
      </c>
    </row>
    <row r="12" spans="3:19" x14ac:dyDescent="0.25">
      <c r="D12" s="143" t="s">
        <v>425</v>
      </c>
      <c r="E12" s="155">
        <v>10</v>
      </c>
      <c r="F12" s="47" t="s">
        <v>418</v>
      </c>
      <c r="G12" s="66">
        <v>100</v>
      </c>
      <c r="H12" s="49">
        <f>Table_Input_Pesticides[[#This Row],[Amount applied per ha]]*Table_Input_Pesticides[[#This Row],[Application area (ha)]]</f>
        <v>1000</v>
      </c>
      <c r="I12" s="47" t="s">
        <v>417</v>
      </c>
      <c r="J12" s="47" t="s">
        <v>416</v>
      </c>
      <c r="K12" s="66">
        <v>100</v>
      </c>
      <c r="L12" s="49">
        <f>Table_Input_Pesticides[[#This Row],[Total applied]]*Table_Input_Pesticides[[#This Row],[Active ingredient 1 amount]]*IF(Table_Input_Pesticides[[#This Row],[Constituent unit (select)]]="fraction of product", 1, 10^-3)</f>
        <v>100</v>
      </c>
      <c r="M12" s="47" t="s">
        <v>679</v>
      </c>
      <c r="N12" s="66">
        <v>100</v>
      </c>
      <c r="O12" s="49">
        <f>Table_Input_Pesticides[[#This Row],[Total applied]]*Table_Input_Pesticides[[#This Row],[Active ingredient 2 amount]]*IF(Table_Input_Pesticides[[#This Row],[Constituent unit (select)]]="fraction of product", 1, 10^-3)</f>
        <v>100</v>
      </c>
      <c r="P12" s="47" t="s">
        <v>682</v>
      </c>
      <c r="Q12" s="66">
        <v>100</v>
      </c>
      <c r="R12" s="49">
        <f>Table_Input_Pesticides[[#This Row],[Total applied]]*Table_Input_Pesticides[[#This Row],[Active ingredient 3 amount]]*IF(Table_Input_Pesticides[[#This Row],[Constituent unit (select)]]="fraction of product", 1, 10^-3)</f>
        <v>100</v>
      </c>
    </row>
    <row r="13" spans="3:19" x14ac:dyDescent="0.25">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3:19" x14ac:dyDescent="0.25">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3:19" x14ac:dyDescent="0.25">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3:19" x14ac:dyDescent="0.25">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4:18" x14ac:dyDescent="0.25">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4:18" x14ac:dyDescent="0.25">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4:18" x14ac:dyDescent="0.25">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2" spans="4:18" ht="23.25" x14ac:dyDescent="0.25">
      <c r="D22" s="9" t="s">
        <v>415</v>
      </c>
      <c r="E22" s="14"/>
      <c r="F22" s="14"/>
    </row>
    <row r="23" spans="4:18" x14ac:dyDescent="0.25">
      <c r="D23" s="8" t="str">
        <f>'Constants - Scope 3'!E204</f>
        <v>Barley grain (for seed)</v>
      </c>
      <c r="E23" s="66">
        <v>500</v>
      </c>
      <c r="F23" s="65" t="s">
        <v>352</v>
      </c>
    </row>
    <row r="24" spans="4:18" x14ac:dyDescent="0.25">
      <c r="D24" s="8" t="str">
        <f>'Constants - Scope 3'!E205</f>
        <v>Maize grain (for seed)</v>
      </c>
      <c r="E24" s="66">
        <v>600</v>
      </c>
      <c r="F24" s="65" t="s">
        <v>352</v>
      </c>
    </row>
    <row r="25" spans="4:18" x14ac:dyDescent="0.25">
      <c r="D25" s="8" t="str">
        <f>'Constants - Scope 3'!E207</f>
        <v>Oat grain (for seed)</v>
      </c>
      <c r="E25" s="66">
        <v>700</v>
      </c>
      <c r="F25" s="65" t="s">
        <v>352</v>
      </c>
    </row>
    <row r="26" spans="4:18" x14ac:dyDescent="0.25">
      <c r="D26" s="8" t="str">
        <f>'Constants - Scope 3'!E208</f>
        <v>Sorghum grain (for seed)</v>
      </c>
      <c r="E26" s="66">
        <v>800</v>
      </c>
      <c r="F26" s="65" t="s">
        <v>352</v>
      </c>
    </row>
    <row r="27" spans="4:18" x14ac:dyDescent="0.25">
      <c r="D27" s="8" t="str">
        <f>'Constants - Scope 3'!E209</f>
        <v>Wheat grain (for seed)</v>
      </c>
      <c r="E27" s="66">
        <v>900</v>
      </c>
      <c r="F27" s="65" t="s">
        <v>352</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3:11" s="37" customFormat="1" ht="25.5" x14ac:dyDescent="0.35">
      <c r="C1" s="37" t="s">
        <v>870</v>
      </c>
    </row>
    <row r="2" spans="3:11" s="2" customFormat="1" x14ac:dyDescent="0.25"/>
    <row r="3" spans="3:11" ht="20.25" x14ac:dyDescent="0.25">
      <c r="C3" s="38"/>
      <c r="D3" s="38"/>
      <c r="E3" s="38"/>
      <c r="F3" s="38"/>
      <c r="G3" s="38"/>
      <c r="H3" s="38"/>
      <c r="I3" s="38"/>
      <c r="J3" s="38"/>
      <c r="K3" s="38"/>
    </row>
    <row r="5" spans="3:11" x14ac:dyDescent="0.25">
      <c r="D5" s="8" t="str">
        <f>'Constants - Scope 3'!E206</f>
        <v>Nylon netting</v>
      </c>
      <c r="E5" s="66">
        <v>300</v>
      </c>
      <c r="F5" s="65" t="s">
        <v>352</v>
      </c>
    </row>
    <row r="8" spans="3:11" ht="23.25" x14ac:dyDescent="0.25">
      <c r="D8" s="9" t="s">
        <v>698</v>
      </c>
      <c r="E8" s="14"/>
      <c r="F8" s="14"/>
    </row>
    <row r="9" spans="3:11" x14ac:dyDescent="0.25">
      <c r="D9" s="12"/>
      <c r="E9" s="14"/>
      <c r="F9" s="14"/>
    </row>
    <row r="10" spans="3:11" x14ac:dyDescent="0.25">
      <c r="D10" s="164" t="s">
        <v>699</v>
      </c>
      <c r="E10" s="164" t="s">
        <v>614</v>
      </c>
      <c r="F10" s="164" t="s">
        <v>126</v>
      </c>
    </row>
    <row r="11" spans="3:11" x14ac:dyDescent="0.25">
      <c r="D11" s="82" t="s">
        <v>701</v>
      </c>
      <c r="E11" s="66">
        <v>10000</v>
      </c>
      <c r="F11" s="47" t="s">
        <v>352</v>
      </c>
    </row>
    <row r="12" spans="3:11" x14ac:dyDescent="0.25">
      <c r="D12" s="82" t="s">
        <v>702</v>
      </c>
      <c r="E12" s="66">
        <v>100</v>
      </c>
      <c r="F12" s="47" t="s">
        <v>700</v>
      </c>
    </row>
    <row r="13" spans="3:11" x14ac:dyDescent="0.25">
      <c r="D13" s="82" t="s">
        <v>703</v>
      </c>
      <c r="E13" s="66">
        <v>10000</v>
      </c>
      <c r="F13" s="47" t="s">
        <v>352</v>
      </c>
    </row>
    <row r="14" spans="3:11" x14ac:dyDescent="0.25">
      <c r="D14" s="82"/>
      <c r="E14" s="66"/>
      <c r="F14" s="47"/>
    </row>
    <row r="15" spans="3:11" x14ac:dyDescent="0.25">
      <c r="D15" s="82"/>
      <c r="E15" s="66"/>
      <c r="F15" s="47"/>
    </row>
    <row r="16" spans="3:11" x14ac:dyDescent="0.25">
      <c r="D16" s="82"/>
      <c r="E16" s="66"/>
      <c r="F16" s="47"/>
    </row>
    <row r="17" spans="4:6" x14ac:dyDescent="0.25">
      <c r="D17" s="82"/>
      <c r="E17" s="66"/>
      <c r="F17" s="47"/>
    </row>
    <row r="18" spans="4:6" x14ac:dyDescent="0.25">
      <c r="D18" s="82"/>
      <c r="E18" s="66"/>
      <c r="F18" s="47"/>
    </row>
    <row r="19" spans="4:6" x14ac:dyDescent="0.25">
      <c r="D19" s="82"/>
      <c r="E19" s="66"/>
      <c r="F19" s="47"/>
    </row>
    <row r="20" spans="4:6" x14ac:dyDescent="0.25">
      <c r="D20" s="82"/>
      <c r="E20" s="66"/>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 zoomScaleNormal="100" workbookViewId="0">
      <selection activeCell="C2" sqref="C2"/>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3:18" s="37" customFormat="1" ht="25.5" x14ac:dyDescent="0.35">
      <c r="C1" s="37" t="s">
        <v>873</v>
      </c>
    </row>
    <row r="2" spans="3:18" s="2" customFormat="1" ht="20.100000000000001" customHeight="1" x14ac:dyDescent="0.25"/>
    <row r="3" spans="3:18" ht="20.100000000000001" customHeight="1" x14ac:dyDescent="0.25">
      <c r="C3" s="38"/>
      <c r="D3" s="38"/>
      <c r="E3" s="38"/>
      <c r="F3" s="38"/>
      <c r="G3" s="38"/>
      <c r="H3" s="38"/>
      <c r="I3" s="38"/>
      <c r="J3" s="38"/>
      <c r="K3" s="38"/>
      <c r="L3" s="38"/>
      <c r="M3" s="38"/>
      <c r="N3" s="38"/>
      <c r="O3" s="38"/>
      <c r="P3" s="38"/>
      <c r="Q3" s="38"/>
      <c r="R3" s="38"/>
    </row>
    <row r="4" spans="3:18" ht="20.100000000000001" customHeight="1" x14ac:dyDescent="0.25"/>
    <row r="5" spans="3:18" ht="20.100000000000001" customHeight="1" x14ac:dyDescent="0.25">
      <c r="D5" s="9" t="s">
        <v>366</v>
      </c>
      <c r="E5" s="14"/>
      <c r="F5" s="14"/>
      <c r="G5" s="14"/>
      <c r="H5" s="14"/>
      <c r="I5" s="14"/>
      <c r="J5" s="14"/>
    </row>
    <row r="6" spans="3:18" ht="20.100000000000001" customHeight="1" x14ac:dyDescent="0.25">
      <c r="D6" s="144" t="s">
        <v>292</v>
      </c>
      <c r="E6" s="145"/>
      <c r="F6" s="67"/>
      <c r="G6" s="14"/>
      <c r="H6" s="14"/>
      <c r="I6" s="14"/>
      <c r="J6" s="14"/>
    </row>
    <row r="7" spans="3:18" ht="20.100000000000001" customHeight="1" x14ac:dyDescent="0.25">
      <c r="D7" s="8" t="str" cm="1">
        <f t="array" ref="D7:D9">Table_SourceData_Scope3_LickBlocks[Product]</f>
        <v>Lick block, dry season mix</v>
      </c>
      <c r="E7" s="66">
        <v>100</v>
      </c>
      <c r="F7" s="65" t="s">
        <v>352</v>
      </c>
      <c r="G7" s="14"/>
      <c r="H7" s="14"/>
      <c r="I7" s="14"/>
      <c r="J7" s="14"/>
    </row>
    <row r="8" spans="3:18" ht="20.100000000000001" customHeight="1" x14ac:dyDescent="0.25">
      <c r="D8" s="8" t="str">
        <v>Lick block, mineral</v>
      </c>
      <c r="E8" s="66">
        <v>100</v>
      </c>
      <c r="F8" s="65" t="s">
        <v>352</v>
      </c>
      <c r="G8" s="14"/>
      <c r="H8" s="14"/>
      <c r="I8" s="14"/>
      <c r="J8" s="14"/>
    </row>
    <row r="9" spans="3:18" ht="20.100000000000001" customHeight="1" x14ac:dyDescent="0.25">
      <c r="D9" s="8" t="str">
        <v>Lick block, weaner</v>
      </c>
      <c r="E9" s="66">
        <v>100</v>
      </c>
      <c r="F9" s="65" t="s">
        <v>352</v>
      </c>
      <c r="G9" s="14"/>
      <c r="H9" s="14"/>
      <c r="I9" s="14"/>
      <c r="J9" s="14"/>
    </row>
    <row r="10" spans="3:18" ht="20.100000000000001" customHeight="1" x14ac:dyDescent="0.25">
      <c r="G10" s="14"/>
      <c r="H10" s="14"/>
      <c r="I10" s="14"/>
      <c r="J10" s="14"/>
    </row>
    <row r="11" spans="3:18" ht="20.100000000000001" customHeight="1" x14ac:dyDescent="0.25">
      <c r="D11" s="144" t="s">
        <v>401</v>
      </c>
      <c r="E11" s="7"/>
      <c r="F11" s="7"/>
      <c r="G11" s="14"/>
      <c r="H11" s="14"/>
      <c r="I11" s="14"/>
      <c r="J11" s="14"/>
    </row>
    <row r="12" spans="3:18" ht="20.100000000000001" customHeight="1" x14ac:dyDescent="0.25">
      <c r="D12" s="8" t="str" cm="1">
        <f t="array" ref="D12:D15">Table_SourceData_Scope3_MixedRations[Product]</f>
        <v>Feed for chickens</v>
      </c>
      <c r="E12" s="66">
        <v>100</v>
      </c>
      <c r="F12" s="65" t="s">
        <v>352</v>
      </c>
      <c r="G12" s="14"/>
      <c r="H12" s="14"/>
      <c r="I12" s="14"/>
      <c r="J12" s="14"/>
    </row>
    <row r="13" spans="3:18" ht="20.100000000000001" customHeight="1" x14ac:dyDescent="0.25">
      <c r="D13" s="8" t="str">
        <v>Feed for dairy calves</v>
      </c>
      <c r="E13" s="66">
        <v>100</v>
      </c>
      <c r="F13" s="65" t="s">
        <v>352</v>
      </c>
      <c r="G13" s="14"/>
      <c r="H13" s="14"/>
      <c r="I13" s="14"/>
      <c r="J13" s="14"/>
    </row>
    <row r="14" spans="3:18" ht="20.100000000000001" customHeight="1" x14ac:dyDescent="0.25">
      <c r="D14" s="8" t="str">
        <v>Feed for dairy cows</v>
      </c>
      <c r="E14" s="66">
        <v>100</v>
      </c>
      <c r="F14" s="65" t="s">
        <v>352</v>
      </c>
      <c r="G14" s="14"/>
      <c r="H14" s="14"/>
      <c r="I14" s="14"/>
      <c r="J14" s="14"/>
    </row>
    <row r="15" spans="3:18" ht="20.100000000000001" customHeight="1" x14ac:dyDescent="0.25">
      <c r="D15" s="8" t="str">
        <v>Feed for pigs</v>
      </c>
      <c r="E15" s="66">
        <v>100</v>
      </c>
      <c r="F15" s="65" t="s">
        <v>352</v>
      </c>
      <c r="G15" s="14"/>
      <c r="H15" s="14"/>
      <c r="I15" s="14"/>
      <c r="J15" s="14"/>
    </row>
    <row r="16" spans="3:18" ht="20.100000000000001" customHeight="1" x14ac:dyDescent="0.25">
      <c r="D16" s="7"/>
      <c r="E16" s="7"/>
      <c r="F16" s="7"/>
      <c r="G16" s="14"/>
      <c r="H16" s="14"/>
      <c r="I16" s="14"/>
      <c r="J16" s="14"/>
    </row>
    <row r="17" spans="4:17" ht="20.100000000000001" customHeight="1" x14ac:dyDescent="0.25">
      <c r="D17" s="144" t="s">
        <v>869</v>
      </c>
      <c r="E17" s="7"/>
      <c r="F17" s="7"/>
      <c r="G17" s="14"/>
      <c r="H17" s="14" t="s">
        <v>868</v>
      </c>
      <c r="I17" s="14"/>
      <c r="J17" s="14"/>
    </row>
    <row r="18" spans="4:17" ht="20.100000000000001" customHeight="1" x14ac:dyDescent="0.25">
      <c r="D18" s="48" t="s">
        <v>294</v>
      </c>
      <c r="E18" s="48" t="s">
        <v>295</v>
      </c>
      <c r="F18" s="48" t="s">
        <v>209</v>
      </c>
      <c r="G18" s="48" t="s">
        <v>392</v>
      </c>
      <c r="H18" s="48" t="s">
        <v>175</v>
      </c>
      <c r="I18" s="48" t="s">
        <v>296</v>
      </c>
      <c r="J18" s="48" t="s">
        <v>397</v>
      </c>
      <c r="K18" s="48" t="s">
        <v>177</v>
      </c>
      <c r="L18" s="48" t="s">
        <v>297</v>
      </c>
      <c r="M18" s="48" t="s">
        <v>398</v>
      </c>
      <c r="N18" s="48" t="s">
        <v>179</v>
      </c>
      <c r="O18" s="48" t="s">
        <v>298</v>
      </c>
      <c r="P18" s="48" t="s">
        <v>399</v>
      </c>
      <c r="Q18" s="48" t="s">
        <v>181</v>
      </c>
    </row>
    <row r="19" spans="4:17" ht="20.100000000000001" customHeight="1" x14ac:dyDescent="0.25">
      <c r="D19" s="15"/>
      <c r="E19" s="146">
        <v>1200</v>
      </c>
      <c r="F19" s="47" t="s">
        <v>848</v>
      </c>
      <c r="G19" s="47" t="s">
        <v>394</v>
      </c>
      <c r="H19" s="50">
        <v>0.35</v>
      </c>
      <c r="I19" s="47" t="s">
        <v>389</v>
      </c>
      <c r="J19" s="47" t="s">
        <v>394</v>
      </c>
      <c r="K19" s="50">
        <v>0.22</v>
      </c>
      <c r="L19" s="47" t="s">
        <v>299</v>
      </c>
      <c r="M19" s="47" t="s">
        <v>336</v>
      </c>
      <c r="N19" s="50">
        <v>0.12</v>
      </c>
      <c r="O19" s="47" t="s">
        <v>400</v>
      </c>
      <c r="P19" s="47" t="s">
        <v>338</v>
      </c>
      <c r="Q19" s="50">
        <v>0.05</v>
      </c>
    </row>
    <row r="20" spans="4:17" ht="20.100000000000001" customHeight="1" x14ac:dyDescent="0.25">
      <c r="D20" s="15"/>
      <c r="E20" s="146">
        <v>3456</v>
      </c>
      <c r="F20" s="47" t="s">
        <v>395</v>
      </c>
      <c r="G20" s="47" t="s">
        <v>344</v>
      </c>
      <c r="H20" s="50">
        <v>0.2</v>
      </c>
      <c r="I20" s="47" t="s">
        <v>395</v>
      </c>
      <c r="J20" s="47" t="s">
        <v>337</v>
      </c>
      <c r="K20" s="50">
        <v>0.2</v>
      </c>
      <c r="L20" s="47"/>
      <c r="M20" s="47"/>
      <c r="N20" s="50"/>
      <c r="O20" s="47"/>
      <c r="P20" s="47"/>
      <c r="Q20" s="50"/>
    </row>
    <row r="21" spans="4:17" ht="20.100000000000001" customHeight="1" x14ac:dyDescent="0.25">
      <c r="D21" s="15" t="s">
        <v>300</v>
      </c>
      <c r="E21" s="146">
        <v>300</v>
      </c>
      <c r="F21" s="47" t="s">
        <v>393</v>
      </c>
      <c r="G21" s="47" t="s">
        <v>343</v>
      </c>
      <c r="H21" s="50">
        <v>0.8</v>
      </c>
      <c r="I21" s="47" t="s">
        <v>390</v>
      </c>
      <c r="J21" s="47" t="s">
        <v>396</v>
      </c>
      <c r="K21" s="50">
        <v>0.2</v>
      </c>
      <c r="L21" s="47"/>
      <c r="M21" s="47"/>
      <c r="N21" s="50"/>
      <c r="O21" s="47"/>
      <c r="P21" s="47"/>
      <c r="Q21" s="50"/>
    </row>
    <row r="22" spans="4:17" ht="20.100000000000001" customHeight="1" x14ac:dyDescent="0.25">
      <c r="D22" s="15"/>
      <c r="E22" s="146">
        <v>500</v>
      </c>
      <c r="F22" s="47" t="s">
        <v>402</v>
      </c>
      <c r="G22" s="47" t="s">
        <v>343</v>
      </c>
      <c r="H22" s="50">
        <v>1</v>
      </c>
      <c r="I22" s="47"/>
      <c r="J22" s="47"/>
      <c r="K22" s="50"/>
      <c r="L22" s="47"/>
      <c r="M22" s="47"/>
      <c r="N22" s="50"/>
      <c r="O22" s="47"/>
      <c r="P22" s="47"/>
      <c r="Q22" s="50"/>
    </row>
    <row r="23" spans="4:17" ht="20.100000000000001" customHeight="1" x14ac:dyDescent="0.25">
      <c r="D23" s="15"/>
      <c r="E23" s="146"/>
      <c r="F23" s="47"/>
      <c r="G23" s="47"/>
      <c r="H23" s="50"/>
      <c r="I23" s="47"/>
      <c r="J23" s="47"/>
      <c r="K23" s="50"/>
      <c r="L23" s="47"/>
      <c r="M23" s="47"/>
      <c r="N23" s="50"/>
      <c r="O23" s="47"/>
      <c r="P23" s="47"/>
      <c r="Q23" s="50"/>
    </row>
    <row r="24" spans="4:17" ht="20.100000000000001" customHeight="1" x14ac:dyDescent="0.25">
      <c r="D24" s="15"/>
      <c r="E24" s="146"/>
      <c r="F24" s="47"/>
      <c r="G24" s="47"/>
      <c r="H24" s="50"/>
      <c r="I24" s="47"/>
      <c r="J24" s="47"/>
      <c r="K24" s="50"/>
      <c r="L24" s="47"/>
      <c r="M24" s="47"/>
      <c r="N24" s="50"/>
      <c r="O24" s="47"/>
      <c r="P24" s="47"/>
      <c r="Q24" s="50"/>
    </row>
    <row r="25" spans="4:17" ht="20.100000000000001" customHeight="1" x14ac:dyDescent="0.25">
      <c r="D25" s="15"/>
      <c r="E25" s="146"/>
      <c r="F25" s="47"/>
      <c r="G25" s="47"/>
      <c r="H25" s="50"/>
      <c r="I25" s="47"/>
      <c r="J25" s="47"/>
      <c r="K25" s="50"/>
      <c r="L25" s="47"/>
      <c r="M25" s="47"/>
      <c r="N25" s="50"/>
      <c r="O25" s="47"/>
      <c r="P25" s="47"/>
      <c r="Q25" s="50"/>
    </row>
    <row r="26" spans="4:17" ht="20.100000000000001" customHeight="1" x14ac:dyDescent="0.25">
      <c r="D26" s="15"/>
      <c r="E26" s="146"/>
      <c r="F26" s="47"/>
      <c r="G26" s="47"/>
      <c r="H26" s="50"/>
      <c r="I26" s="47"/>
      <c r="J26" s="47"/>
      <c r="K26" s="50"/>
      <c r="L26" s="47"/>
      <c r="M26" s="47"/>
      <c r="N26" s="50"/>
      <c r="O26" s="47"/>
      <c r="P26" s="47"/>
      <c r="Q26" s="50"/>
    </row>
    <row r="27" spans="4:17" ht="20.100000000000001" customHeight="1" x14ac:dyDescent="0.25">
      <c r="D27" s="15"/>
      <c r="E27" s="146"/>
      <c r="F27" s="47"/>
      <c r="G27" s="47"/>
      <c r="H27" s="50"/>
      <c r="I27" s="47"/>
      <c r="J27" s="47"/>
      <c r="K27" s="50"/>
      <c r="L27" s="47"/>
      <c r="M27" s="47"/>
      <c r="N27" s="50"/>
      <c r="O27" s="47"/>
      <c r="P27" s="47"/>
      <c r="Q27" s="50"/>
    </row>
    <row r="28" spans="4:17" ht="20.100000000000001" customHeight="1" x14ac:dyDescent="0.25">
      <c r="D28" s="15"/>
      <c r="E28" s="146"/>
      <c r="F28" s="47"/>
      <c r="G28" s="47"/>
      <c r="H28" s="50"/>
      <c r="I28" s="47"/>
      <c r="J28" s="47"/>
      <c r="K28" s="50"/>
      <c r="L28" s="47"/>
      <c r="M28" s="47"/>
      <c r="N28" s="50"/>
      <c r="O28" s="47"/>
      <c r="P28" s="47"/>
      <c r="Q28" s="50"/>
    </row>
    <row r="29" spans="4:17" ht="20.100000000000001" customHeight="1" x14ac:dyDescent="0.25"/>
    <row r="30" spans="4:17" ht="20.100000000000001" customHeight="1" x14ac:dyDescent="0.25"/>
    <row r="31" spans="4:17" ht="20.100000000000001" customHeight="1" x14ac:dyDescent="0.25">
      <c r="D31" s="144" t="s">
        <v>830</v>
      </c>
    </row>
    <row r="32" spans="4:17" ht="20.100000000000001" customHeight="1" x14ac:dyDescent="0.25">
      <c r="D32" s="46" t="s">
        <v>170</v>
      </c>
      <c r="E32" s="46" t="s">
        <v>345</v>
      </c>
      <c r="F32" s="46" t="s">
        <v>377</v>
      </c>
    </row>
    <row r="33" spans="4:6" ht="20.100000000000001" customHeight="1" x14ac:dyDescent="0.25">
      <c r="D33" s="82" t="s">
        <v>381</v>
      </c>
      <c r="E33" s="72" t="s">
        <v>373</v>
      </c>
      <c r="F33" s="66">
        <v>100</v>
      </c>
    </row>
    <row r="34" spans="4:6" ht="20.100000000000001" customHeight="1" x14ac:dyDescent="0.25">
      <c r="D34" s="82" t="s">
        <v>382</v>
      </c>
      <c r="E34" s="163" t="s">
        <v>374</v>
      </c>
      <c r="F34" s="150">
        <v>100</v>
      </c>
    </row>
    <row r="35" spans="4:6" ht="20.100000000000001" customHeight="1" x14ac:dyDescent="0.25">
      <c r="D35" s="82" t="s">
        <v>383</v>
      </c>
      <c r="E35" s="163" t="s">
        <v>375</v>
      </c>
      <c r="F35" s="150">
        <v>100</v>
      </c>
    </row>
    <row r="36" spans="4:6" ht="20.100000000000001" customHeight="1" x14ac:dyDescent="0.25">
      <c r="D36" s="82" t="s">
        <v>384</v>
      </c>
      <c r="E36" s="163" t="s">
        <v>376</v>
      </c>
      <c r="F36" s="150">
        <v>100</v>
      </c>
    </row>
    <row r="37" spans="4:6" ht="20.100000000000001" customHeight="1" x14ac:dyDescent="0.25">
      <c r="D37" s="82" t="s">
        <v>381</v>
      </c>
      <c r="E37" s="163" t="s">
        <v>373</v>
      </c>
      <c r="F37" s="150">
        <v>100</v>
      </c>
    </row>
    <row r="38" spans="4:6" ht="20.100000000000001" customHeight="1" x14ac:dyDescent="0.25">
      <c r="D38" s="82" t="s">
        <v>382</v>
      </c>
      <c r="E38" s="163" t="s">
        <v>374</v>
      </c>
      <c r="F38" s="150">
        <v>100</v>
      </c>
    </row>
    <row r="39" spans="4:6" ht="20.100000000000001" customHeight="1" x14ac:dyDescent="0.25">
      <c r="D39" s="82"/>
      <c r="E39" s="72"/>
      <c r="F39" s="66"/>
    </row>
    <row r="40" spans="4:6" ht="20.100000000000001" customHeight="1" x14ac:dyDescent="0.25">
      <c r="D40" s="82"/>
      <c r="E40" s="72"/>
      <c r="F40" s="66"/>
    </row>
    <row r="41" spans="4:6" ht="20.100000000000001" customHeight="1" x14ac:dyDescent="0.25">
      <c r="D41" s="82"/>
      <c r="E41" s="72"/>
      <c r="F41" s="66"/>
    </row>
    <row r="42" spans="4:6" ht="20.100000000000001" customHeight="1" x14ac:dyDescent="0.25">
      <c r="D42" s="82"/>
      <c r="E42" s="72"/>
      <c r="F42" s="66"/>
    </row>
    <row r="43" spans="4:6" ht="20.100000000000001" customHeight="1" x14ac:dyDescent="0.25"/>
    <row r="44" spans="4:6" ht="20.100000000000001" customHeight="1" x14ac:dyDescent="0.25"/>
    <row r="45" spans="4:6" ht="20.100000000000001" customHeight="1" x14ac:dyDescent="0.25"/>
    <row r="46" spans="4:6" ht="20.100000000000001" customHeight="1" x14ac:dyDescent="0.25">
      <c r="D46" s="9" t="s">
        <v>421</v>
      </c>
      <c r="E46" s="14"/>
      <c r="F46" s="14"/>
    </row>
    <row r="47" spans="4:6" ht="20.100000000000001" customHeight="1" x14ac:dyDescent="0.25">
      <c r="D47" s="8" t="str">
        <f>'Constants - Scope 3'!E202</f>
        <v>Animal ear tags (large)</v>
      </c>
      <c r="E47" s="66">
        <v>100</v>
      </c>
      <c r="F47" s="65" t="s">
        <v>408</v>
      </c>
    </row>
    <row r="48" spans="4:6" ht="20.100000000000001" customHeight="1" x14ac:dyDescent="0.25">
      <c r="D48" s="8" t="str">
        <f>'Constants - Scope 3'!E203</f>
        <v>Animal ear tags (small)</v>
      </c>
      <c r="E48" s="66">
        <v>200</v>
      </c>
      <c r="F48" s="65" t="s">
        <v>408</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
  <sheetViews>
    <sheetView zoomScaleNormal="100" workbookViewId="0"/>
  </sheetViews>
  <sheetFormatPr defaultRowHeight="15.75" x14ac:dyDescent="0.2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864</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865</v>
      </c>
      <c r="E5" s="14"/>
      <c r="F5" s="14"/>
      <c r="G5" s="14"/>
      <c r="H5" s="14"/>
      <c r="I5" s="14"/>
      <c r="J5" s="14"/>
    </row>
    <row r="6" spans="1:12" x14ac:dyDescent="0.25">
      <c r="D6" s="10" t="s">
        <v>360</v>
      </c>
      <c r="E6" s="10" t="s">
        <v>432</v>
      </c>
      <c r="F6" s="10" t="s">
        <v>324</v>
      </c>
      <c r="G6" s="10" t="s">
        <v>429</v>
      </c>
      <c r="H6" s="10" t="s">
        <v>327</v>
      </c>
      <c r="I6" s="10" t="s">
        <v>325</v>
      </c>
      <c r="J6" s="162" t="s">
        <v>430</v>
      </c>
      <c r="K6" s="162" t="s">
        <v>431</v>
      </c>
    </row>
    <row r="7" spans="1:12" x14ac:dyDescent="0.25">
      <c r="A7" s="19" t="s">
        <v>67</v>
      </c>
      <c r="D7" s="82" t="s">
        <v>519</v>
      </c>
      <c r="E7" s="158">
        <v>45547</v>
      </c>
      <c r="F7" s="47" t="s">
        <v>490</v>
      </c>
      <c r="G7" s="72" t="s">
        <v>335</v>
      </c>
      <c r="H7" s="47" t="s">
        <v>438</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491</v>
      </c>
      <c r="G8" s="72" t="s">
        <v>334</v>
      </c>
      <c r="H8" s="47" t="s">
        <v>437</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16" t="str">
        <f>HYPERLINK("#'Input - Solid waste'!A1", "Solid waste")</f>
        <v>Solid waste</v>
      </c>
    </row>
    <row r="18" spans="1:10" x14ac:dyDescent="0.25">
      <c r="A18" s="16" t="str">
        <f>HYPERLINK("#'Input - Manure sent off-site'!A1", "Manure sent off-site")</f>
        <v>Manure sent off-site</v>
      </c>
      <c r="D18" s="14"/>
      <c r="E18" s="14"/>
      <c r="F18" s="14"/>
      <c r="G18" s="14"/>
      <c r="H18" s="14"/>
      <c r="I18" s="14"/>
      <c r="J18" s="14"/>
    </row>
    <row r="19" spans="1:10" x14ac:dyDescent="0.25">
      <c r="A19" s="16" t="str">
        <f>HYPERLINK("#'Input - Electricity'!A1", "Electricity")</f>
        <v>Electricity</v>
      </c>
      <c r="J19" s="14"/>
    </row>
    <row r="20" spans="1:10" x14ac:dyDescent="0.25">
      <c r="J20" s="14"/>
    </row>
    <row r="21" spans="1:10" x14ac:dyDescent="0.25">
      <c r="J21" s="14"/>
    </row>
    <row r="22" spans="1:10" x14ac:dyDescent="0.25">
      <c r="A22" s="21" t="s">
        <v>77</v>
      </c>
      <c r="J22" s="14"/>
    </row>
    <row r="23" spans="1:10" x14ac:dyDescent="0.25">
      <c r="A23" s="16" t="str">
        <f>HYPERLINK("#'15 Scope 3'!A1", "15 Scope 3")</f>
        <v>15 Scope 3</v>
      </c>
      <c r="J23" s="14"/>
    </row>
    <row r="24" spans="1:10" x14ac:dyDescent="0.25">
      <c r="A24" s="16" t="str">
        <f>HYPERLINK("#'10.1.1-2 Solid waste treatment'!A1", "10.1.1-2 Solid waste treatment")</f>
        <v>10.1.1-2 Solid waste treatment</v>
      </c>
      <c r="J24" s="14"/>
    </row>
    <row r="25" spans="1:10" x14ac:dyDescent="0.25">
      <c r="A25" s="16" t="str">
        <f>HYPERLINK("#'Calcs - Manure sent off-site'!A1", "Calcs - Manure sent off-site")</f>
        <v>Calcs - Manure sent off-site</v>
      </c>
      <c r="J25" s="14"/>
    </row>
    <row r="26" spans="1:10" x14ac:dyDescent="0.25">
      <c r="A26" s="16" t="str">
        <f>HYPERLINK("#'8.1.1.1-2 Transport fuel'!A1", "8.1.1.1-2 Transport fuel")</f>
        <v>8.1.1.1-2 Transport fuel</v>
      </c>
      <c r="J26" s="14"/>
    </row>
    <row r="27" spans="1:10" x14ac:dyDescent="0.25">
      <c r="A27" s="16" t="str">
        <f>HYPERLINK("#'8.2.1.1-2 Stationary fuel'!A1", "8.2.1.1-2 Stationary fuel")</f>
        <v>8.2.1.1-2 Stationary fuel</v>
      </c>
      <c r="J27" s="14"/>
    </row>
    <row r="28" spans="1:10" x14ac:dyDescent="0.25">
      <c r="J28" s="14"/>
    </row>
    <row r="29" spans="1:10" x14ac:dyDescent="0.25">
      <c r="J29" s="14"/>
    </row>
    <row r="30" spans="1:10" x14ac:dyDescent="0.25">
      <c r="A30" s="222" t="s">
        <v>78</v>
      </c>
      <c r="J30" s="14"/>
    </row>
    <row r="31" spans="1:10" x14ac:dyDescent="0.25">
      <c r="A31" s="16" t="str">
        <f>HYPERLINK("#'Constants - Scope 3'!A1", "Constants - Scope 3")</f>
        <v>Constants - Scope 3</v>
      </c>
      <c r="D31" s="14"/>
      <c r="E31" s="14"/>
      <c r="F31" s="14"/>
      <c r="G31" s="14"/>
      <c r="H31" s="14"/>
      <c r="I31" s="14"/>
      <c r="J31" s="14"/>
    </row>
    <row r="32" spans="1:10"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863</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c r="I5" s="14"/>
    </row>
    <row r="6" spans="3:10" x14ac:dyDescent="0.25">
      <c r="D6" s="162" t="s">
        <v>360</v>
      </c>
      <c r="E6" s="162" t="s">
        <v>324</v>
      </c>
      <c r="F6" s="162" t="s">
        <v>521</v>
      </c>
      <c r="G6" s="162" t="s">
        <v>325</v>
      </c>
      <c r="H6" s="162" t="s">
        <v>430</v>
      </c>
      <c r="I6" s="162" t="s">
        <v>431</v>
      </c>
    </row>
    <row r="7" spans="3:10" x14ac:dyDescent="0.25">
      <c r="D7" s="82" t="s">
        <v>520</v>
      </c>
      <c r="E7" s="47" t="s">
        <v>518</v>
      </c>
      <c r="F7" s="47" t="s">
        <v>846</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3:10" x14ac:dyDescent="0.25">
      <c r="D8" s="82"/>
      <c r="E8" s="149" t="s">
        <v>517</v>
      </c>
      <c r="F8" s="47" t="s">
        <v>847</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3:10" x14ac:dyDescent="0.25">
      <c r="D9" s="82"/>
      <c r="E9" s="149" t="s">
        <v>526</v>
      </c>
      <c r="F9" s="47" t="s">
        <v>846</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3:10" x14ac:dyDescent="0.25">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3:10" x14ac:dyDescent="0.25">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3:10" x14ac:dyDescent="0.25">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3:10" x14ac:dyDescent="0.25">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3:10" x14ac:dyDescent="0.25">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3:10" x14ac:dyDescent="0.25">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3:10" x14ac:dyDescent="0.25">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862</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567</v>
      </c>
      <c r="E7" s="47" t="s">
        <v>568</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3:10" x14ac:dyDescent="0.25">
      <c r="D8" s="82" t="s">
        <v>569</v>
      </c>
      <c r="E8" s="149" t="s">
        <v>568</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3:10" x14ac:dyDescent="0.25">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3:10" x14ac:dyDescent="0.25">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3:10" x14ac:dyDescent="0.25">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3:10" x14ac:dyDescent="0.25">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3:10" x14ac:dyDescent="0.25">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3:10" x14ac:dyDescent="0.25">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3:10" x14ac:dyDescent="0.25">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3:10" x14ac:dyDescent="0.25">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3:10" ht="25.5" x14ac:dyDescent="0.35">
      <c r="C1" s="37" t="s">
        <v>861</v>
      </c>
      <c r="D1" s="37"/>
      <c r="E1" s="37"/>
      <c r="F1" s="37"/>
      <c r="G1" s="37"/>
      <c r="H1" s="37"/>
      <c r="I1" s="37"/>
      <c r="J1" s="37"/>
    </row>
    <row r="2" spans="3:10" x14ac:dyDescent="0.25">
      <c r="C2" s="2"/>
      <c r="D2" s="2"/>
      <c r="E2" s="2"/>
      <c r="F2" s="2"/>
      <c r="G2" s="2"/>
      <c r="H2" s="2"/>
      <c r="I2" s="2"/>
      <c r="J2" s="2"/>
    </row>
    <row r="3" spans="3:10" ht="20.25" x14ac:dyDescent="0.25">
      <c r="C3" s="38"/>
      <c r="D3" s="38"/>
      <c r="E3" s="38"/>
      <c r="F3" s="38"/>
      <c r="G3" s="38"/>
      <c r="H3" s="38"/>
      <c r="I3" s="38"/>
      <c r="J3" s="38"/>
    </row>
    <row r="5" spans="3:10" x14ac:dyDescent="0.25">
      <c r="D5" s="54" t="s">
        <v>865</v>
      </c>
      <c r="E5" s="14"/>
      <c r="F5" s="14"/>
      <c r="G5" s="14"/>
      <c r="H5" s="14"/>
    </row>
    <row r="6" spans="3:10" x14ac:dyDescent="0.25">
      <c r="D6" s="162" t="s">
        <v>360</v>
      </c>
      <c r="E6" s="162" t="s">
        <v>324</v>
      </c>
      <c r="F6" s="162" t="s">
        <v>325</v>
      </c>
      <c r="G6" s="162" t="s">
        <v>430</v>
      </c>
      <c r="H6" s="162" t="s">
        <v>431</v>
      </c>
    </row>
    <row r="7" spans="3:10" x14ac:dyDescent="0.25">
      <c r="D7" s="82" t="s">
        <v>572</v>
      </c>
      <c r="E7" s="47" t="s">
        <v>600</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3:10" x14ac:dyDescent="0.25">
      <c r="D8" s="82" t="s">
        <v>573</v>
      </c>
      <c r="E8" s="149" t="s">
        <v>601</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3:10" x14ac:dyDescent="0.25">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3:10" x14ac:dyDescent="0.25">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3:10" x14ac:dyDescent="0.25">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3:10" x14ac:dyDescent="0.25">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3:10" x14ac:dyDescent="0.25">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3:10" x14ac:dyDescent="0.25">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3:10" x14ac:dyDescent="0.25">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3:10" x14ac:dyDescent="0.25">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832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809</v>
      </c>
    </row>
    <row r="7" spans="1:10" ht="20.100000000000001" customHeight="1" x14ac:dyDescent="0.25">
      <c r="A7" s="19" t="s">
        <v>67</v>
      </c>
    </row>
    <row r="8" spans="1:10" ht="20.100000000000001" customHeight="1" x14ac:dyDescent="0.25">
      <c r="A8" s="16" t="str">
        <f>HYPERLINK("#'Input - Site'!A1", "Site")</f>
        <v>Site</v>
      </c>
      <c r="D8" s="10" t="s">
        <v>811</v>
      </c>
      <c r="E8" s="10" t="s">
        <v>814</v>
      </c>
      <c r="F8" s="10" t="s">
        <v>815</v>
      </c>
      <c r="G8" s="10" t="s">
        <v>812</v>
      </c>
      <c r="H8" s="10" t="s">
        <v>813</v>
      </c>
    </row>
    <row r="9" spans="1:10" ht="20.100000000000001" customHeight="1" x14ac:dyDescent="0.25">
      <c r="A9" s="16" t="str">
        <f>HYPERLINK("#'Input - Fuel'!A1", "Fuel")</f>
        <v>Fuel</v>
      </c>
      <c r="D9" s="10" t="s">
        <v>818</v>
      </c>
      <c r="E9" s="47" t="s">
        <v>816</v>
      </c>
      <c r="F9" s="10">
        <v>986</v>
      </c>
      <c r="G9" s="10">
        <v>10</v>
      </c>
      <c r="H9" s="10">
        <v>52</v>
      </c>
    </row>
    <row r="10" spans="1:10" ht="20.100000000000001" customHeight="1" x14ac:dyDescent="0.25">
      <c r="A10" s="16" t="str">
        <f>HYPERLINK("#'Input - Fertiliser'!A1", "Fertiliser")</f>
        <v>Fertiliser</v>
      </c>
      <c r="D10" s="10" t="s">
        <v>820</v>
      </c>
      <c r="E10" s="47" t="s">
        <v>821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Livestock purchases'!A1", "Livestock purchases")</f>
        <v>Livestock purchases</v>
      </c>
      <c r="D12" s="10"/>
      <c r="E12" s="47"/>
      <c r="F12" s="10"/>
      <c r="G12" s="10"/>
      <c r="H12" s="10"/>
    </row>
    <row r="13" spans="1:10" ht="20.100000000000001" customHeight="1" x14ac:dyDescent="0.25">
      <c r="A13" s="42" t="str">
        <f>HYPERLINK("#'Input - Freight'!A1", "Freight")</f>
        <v>Freight</v>
      </c>
      <c r="D13" s="10"/>
      <c r="E13" s="47"/>
      <c r="F13" s="10"/>
      <c r="G13" s="10"/>
      <c r="H13" s="10"/>
    </row>
    <row r="14" spans="1:10" ht="20.100000000000001" customHeight="1" x14ac:dyDescent="0.25">
      <c r="A14" s="16" t="str">
        <f>HYPERLINK("#'Input - Solid waste'!A1", "Solid waste")</f>
        <v>Solid waste</v>
      </c>
      <c r="D14" s="10"/>
      <c r="E14" s="47"/>
      <c r="F14" s="10"/>
      <c r="G14" s="10"/>
      <c r="H14" s="10"/>
    </row>
    <row r="15" spans="1:10" ht="20.100000000000001" customHeight="1" x14ac:dyDescent="0.25">
      <c r="A15" s="16" t="str">
        <f>HYPERLINK("#'Input - Manure sent off-site'!A1", "Manure sent off-site")</f>
        <v>Manure sent off-site</v>
      </c>
      <c r="D15" s="10"/>
      <c r="E15" s="47"/>
      <c r="F15" s="10"/>
      <c r="G15" s="10"/>
      <c r="H15" s="10"/>
    </row>
    <row r="16" spans="1:10" ht="20.100000000000001" customHeight="1" x14ac:dyDescent="0.25">
      <c r="A16" s="16" t="str">
        <f>HYPERLINK("#'Input - Electricity'!A1", "Electricity")</f>
        <v>Electricity</v>
      </c>
      <c r="D16" s="10"/>
      <c r="E16" s="47"/>
      <c r="F16" s="10"/>
      <c r="G16" s="10"/>
      <c r="H16" s="10"/>
    </row>
    <row r="17" spans="1:8" ht="20.100000000000001" customHeight="1" x14ac:dyDescent="0.25">
      <c r="D17" s="10"/>
      <c r="E17" s="47"/>
      <c r="F17" s="10"/>
      <c r="G17" s="10"/>
      <c r="H17" s="10"/>
    </row>
    <row r="18" spans="1:8" ht="20.100000000000001" customHeight="1" x14ac:dyDescent="0.25">
      <c r="D18" s="10"/>
      <c r="E18" s="47"/>
      <c r="F18" s="10"/>
      <c r="G18" s="10"/>
      <c r="H18" s="10"/>
    </row>
    <row r="19" spans="1:8" ht="20.100000000000001" customHeight="1" x14ac:dyDescent="0.25">
      <c r="A19" s="21" t="s">
        <v>77</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row>
    <row r="22" spans="1:8" ht="20.100000000000001" customHeight="1" x14ac:dyDescent="0.25">
      <c r="A22" s="16" t="str">
        <f>HYPERLINK("#'Calcs - Manure sent off-site'!A1", "Calcs - Manure sent off-site")</f>
        <v>Calcs - Manure sent off-site</v>
      </c>
      <c r="D22" s="9" t="s">
        <v>817</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10" t="s">
        <v>811</v>
      </c>
      <c r="E24" s="10" t="s">
        <v>814</v>
      </c>
      <c r="F24" s="10" t="s">
        <v>815</v>
      </c>
      <c r="G24" s="10" t="s">
        <v>812</v>
      </c>
      <c r="H24" s="10" t="s">
        <v>813</v>
      </c>
    </row>
    <row r="25" spans="1:8" ht="20.100000000000001" customHeight="1" x14ac:dyDescent="0.25">
      <c r="D25" s="10" t="s">
        <v>819</v>
      </c>
      <c r="E25" s="47" t="s">
        <v>816</v>
      </c>
      <c r="F25" s="10">
        <v>65</v>
      </c>
      <c r="G25" s="10">
        <v>20</v>
      </c>
      <c r="H25" s="10">
        <v>52</v>
      </c>
    </row>
    <row r="26" spans="1:8" ht="20.100000000000001" customHeight="1" x14ac:dyDescent="0.25">
      <c r="D26" s="10"/>
      <c r="E26" s="47"/>
      <c r="F26" s="10"/>
      <c r="G26" s="10"/>
      <c r="H26" s="10"/>
    </row>
    <row r="27" spans="1:8" ht="20.100000000000001" customHeight="1" x14ac:dyDescent="0.25">
      <c r="A27" s="222" t="s">
        <v>78</v>
      </c>
      <c r="D27" s="10"/>
      <c r="E27" s="47"/>
      <c r="F27" s="10"/>
      <c r="G27" s="10"/>
      <c r="H27" s="10"/>
    </row>
    <row r="28" spans="1:8" ht="20.100000000000001" customHeight="1" x14ac:dyDescent="0.25">
      <c r="A28" s="16" t="str">
        <f>HYPERLINK("#'Constants - Scope 3'!A1", "Constants - Scope 3")</f>
        <v>Constants - Scope 3</v>
      </c>
      <c r="D28" s="10"/>
      <c r="E28" s="47"/>
      <c r="F28" s="10"/>
      <c r="G28" s="10"/>
      <c r="H28" s="10"/>
    </row>
    <row r="29" spans="1:8" ht="20.100000000000001" customHeight="1" x14ac:dyDescent="0.25">
      <c r="A29" s="16" t="str">
        <f>HYPERLINK("#'Constants - Solid Waste'!A1", "Constants - Solid Waste")</f>
        <v>Constants - Solid Waste</v>
      </c>
      <c r="D29" s="10"/>
      <c r="E29" s="47"/>
      <c r="F29" s="10"/>
      <c r="G29" s="10"/>
      <c r="H29" s="10"/>
    </row>
    <row r="30" spans="1:8" ht="20.100000000000001" customHeight="1" x14ac:dyDescent="0.25">
      <c r="A30" s="16" t="str">
        <f>HYPERLINK("#'Constants - Fuel'!A1", "Constants - Fuel")</f>
        <v>Constants - Fuel</v>
      </c>
      <c r="D30" s="10"/>
      <c r="E30" s="47"/>
      <c r="F30" s="10"/>
      <c r="G30" s="10"/>
      <c r="H30" s="10"/>
    </row>
    <row r="31" spans="1:8" ht="20.100000000000001" customHeight="1" x14ac:dyDescent="0.25">
      <c r="A31" s="16" t="str">
        <f>HYPERLINK("#'Constants - Poultry'!A1", "Constants - Poultry")</f>
        <v>Constants - Poultry</v>
      </c>
      <c r="D31" s="10"/>
      <c r="E31" s="47"/>
      <c r="F31" s="10"/>
      <c r="G31" s="10"/>
      <c r="H31" s="10"/>
    </row>
    <row r="32" spans="1:8" ht="20.100000000000001" customHeight="1" x14ac:dyDescent="0.25">
      <c r="A32" s="16" t="str">
        <f>HYPERLINK("#'Constants - Swine'!A1", "Constants - Swine")</f>
        <v>Constants - Swine</v>
      </c>
      <c r="D32" s="10"/>
      <c r="E32" s="47"/>
      <c r="F32" s="10"/>
      <c r="G32" s="10"/>
      <c r="H32" s="10"/>
    </row>
    <row r="33" spans="1:8" ht="20.100000000000001" customHeight="1" x14ac:dyDescent="0.25">
      <c r="A33" s="16" t="str">
        <f>HYPERLINK("#'Constants - Dairy'!A1", "Constants - Dairy")</f>
        <v>Constants - Dairy</v>
      </c>
      <c r="D33" s="10"/>
      <c r="E33" s="47"/>
      <c r="F33" s="10"/>
      <c r="G33" s="10"/>
      <c r="H33" s="10"/>
    </row>
    <row r="34" spans="1:8" ht="20.100000000000001" customHeight="1" x14ac:dyDescent="0.25">
      <c r="A34" s="16" t="str">
        <f>HYPERLINK("#'Constants - Pasture Beef'!A1", "Constants - Pasture Beef")</f>
        <v>Constants - Pasture Beef</v>
      </c>
      <c r="D34" s="10"/>
      <c r="E34" s="47"/>
      <c r="F34" s="10"/>
      <c r="G34" s="10"/>
      <c r="H34" s="10"/>
    </row>
    <row r="35" spans="1:8" ht="20.100000000000001" customHeight="1" x14ac:dyDescent="0.25">
      <c r="A35" s="16" t="str">
        <f>HYPERLINK("#'Constants - Common Livestock'!A1", "Constants - Common Livestock")</f>
        <v>Constants - Common Livestock</v>
      </c>
    </row>
    <row r="36" spans="1:8" ht="20.100000000000001" customHeight="1" x14ac:dyDescent="0.25">
      <c r="A36" s="16" t="str">
        <f>HYPERLINK("#'Constants - Fertiliser'!A1", "Constants - Fertiliser")</f>
        <v>Constants - Fertiliser</v>
      </c>
    </row>
    <row r="37" spans="1:8" ht="20.100000000000001" customHeight="1" x14ac:dyDescent="0.25">
      <c r="A37" s="16" t="str">
        <f>HYPERLINK("#'Constants - Electricity'!A1", "Constants - Electricity")</f>
        <v>Constants - Electricity</v>
      </c>
    </row>
    <row r="38" spans="1:8" ht="20.100000000000001" customHeight="1" x14ac:dyDescent="0.25">
      <c r="A38" s="16" t="str">
        <f>HYPERLINK("#'Constants - Common'!A1", "Constants - Common")</f>
        <v>Constants - Common</v>
      </c>
    </row>
    <row r="39" spans="1:8" ht="20.100000000000001" customHeight="1" x14ac:dyDescent="0.25"/>
    <row r="40" spans="1:8" ht="20.100000000000001" customHeight="1" x14ac:dyDescent="0.25"/>
    <row r="41" spans="1:8" ht="20.100000000000001" customHeight="1" x14ac:dyDescent="0.25"/>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102" t="s">
        <v>768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D5" s="9" t="s">
        <v>793</v>
      </c>
    </row>
    <row r="6" spans="1:11" ht="20.100000000000001" customHeight="1" x14ac:dyDescent="0.25"/>
    <row r="7" spans="1:11" ht="20.100000000000001" customHeight="1" x14ac:dyDescent="0.25">
      <c r="A7" s="19" t="s">
        <v>67</v>
      </c>
      <c r="D7" s="95" t="s">
        <v>121</v>
      </c>
      <c r="E7" s="96"/>
    </row>
    <row r="8" spans="1:11" ht="20.100000000000001" customHeight="1" x14ac:dyDescent="0.25">
      <c r="A8" s="16" t="str">
        <f>HYPERLINK("#'Input - Site'!A1", "Site")</f>
        <v>Site</v>
      </c>
    </row>
    <row r="9" spans="1:11" ht="20.100000000000001" customHeight="1" x14ac:dyDescent="0.25">
      <c r="A9" s="16" t="str">
        <f>HYPERLINK("#'Input - Fuel'!A1", "Fuel")</f>
        <v>Fuel</v>
      </c>
      <c r="D9" s="46" t="s">
        <v>250</v>
      </c>
      <c r="E9" s="46" t="s">
        <v>781</v>
      </c>
      <c r="F9" s="46" t="s">
        <v>782</v>
      </c>
      <c r="G9" s="46" t="s">
        <v>783</v>
      </c>
      <c r="H9" s="46" t="s">
        <v>602</v>
      </c>
      <c r="I9" s="46" t="s">
        <v>784</v>
      </c>
    </row>
    <row r="10" spans="1:11" ht="20.100000000000001" customHeight="1" x14ac:dyDescent="0.25">
      <c r="A10" s="16" t="str">
        <f>HYPERLINK("#'Input - Fertiliser'!A1", "Fertiliser")</f>
        <v>Fertiliser</v>
      </c>
      <c r="D10" s="10" t="s">
        <v>785</v>
      </c>
      <c r="E10" s="47" t="s">
        <v>786</v>
      </c>
      <c r="F10" s="47" t="s">
        <v>787</v>
      </c>
      <c r="G10" s="49" t="s">
        <v>788</v>
      </c>
      <c r="H10" s="66">
        <v>50</v>
      </c>
      <c r="I10" s="47" t="s">
        <v>789</v>
      </c>
    </row>
    <row r="11" spans="1:11" ht="20.100000000000001" customHeight="1" x14ac:dyDescent="0.25">
      <c r="A11" s="16" t="str">
        <f>HYPERLINK("#'Input - Farm Inputs'!A1", "Farm Inputs")</f>
        <v>Farm Inputs</v>
      </c>
      <c r="D11" s="10"/>
      <c r="E11" s="47" t="s">
        <v>786</v>
      </c>
      <c r="F11" s="47" t="s">
        <v>787</v>
      </c>
      <c r="G11" s="49" t="s">
        <v>788</v>
      </c>
      <c r="H11" s="66">
        <v>50</v>
      </c>
      <c r="I11" s="47" t="s">
        <v>789</v>
      </c>
    </row>
    <row r="12" spans="1:11" ht="20.100000000000001" customHeight="1" x14ac:dyDescent="0.25">
      <c r="A12" s="16" t="str">
        <f>HYPERLINK("#'Input - Livestock purchases'!A1", "Livestock purchases")</f>
        <v>Livestock purchases</v>
      </c>
      <c r="D12" s="10"/>
      <c r="E12" s="47" t="s">
        <v>786</v>
      </c>
      <c r="F12" s="47" t="s">
        <v>787</v>
      </c>
      <c r="G12" s="49" t="s">
        <v>788</v>
      </c>
      <c r="H12" s="66">
        <v>50</v>
      </c>
      <c r="I12" s="47" t="s">
        <v>790</v>
      </c>
    </row>
    <row r="13" spans="1:11" ht="20.100000000000001" customHeight="1" x14ac:dyDescent="0.25">
      <c r="A13" s="16" t="str">
        <f>HYPERLINK("#'Input - Freight'!A1", "Freight")</f>
        <v>Freight</v>
      </c>
      <c r="D13" s="10"/>
      <c r="E13" s="47" t="s">
        <v>786</v>
      </c>
      <c r="F13" s="47" t="s">
        <v>787</v>
      </c>
      <c r="G13" s="49" t="s">
        <v>788</v>
      </c>
      <c r="H13" s="66">
        <v>50</v>
      </c>
      <c r="I13" s="47" t="s">
        <v>790</v>
      </c>
    </row>
    <row r="14" spans="1:11" ht="20.100000000000001" customHeight="1" x14ac:dyDescent="0.25">
      <c r="A14" s="42" t="str">
        <f>HYPERLINK("#'Input - Solid waste'!A1", "Solid waste")</f>
        <v>Solid waste</v>
      </c>
      <c r="D14" s="10"/>
      <c r="E14" s="47" t="s">
        <v>791</v>
      </c>
      <c r="F14" s="47" t="s">
        <v>831</v>
      </c>
      <c r="G14" s="49" t="s">
        <v>788</v>
      </c>
      <c r="H14" s="66">
        <v>50</v>
      </c>
      <c r="I14" s="47" t="s">
        <v>789</v>
      </c>
    </row>
    <row r="15" spans="1:11" ht="20.100000000000001" customHeight="1" x14ac:dyDescent="0.25">
      <c r="A15" s="16" t="str">
        <f>HYPERLINK("#'Input - Manure sent off-site'!A1", "Manure sent off-site")</f>
        <v>Manure sent off-site</v>
      </c>
      <c r="D15" s="10"/>
      <c r="E15" s="47" t="s">
        <v>791</v>
      </c>
      <c r="F15" s="47" t="s">
        <v>792</v>
      </c>
      <c r="G15" s="49" t="s">
        <v>788</v>
      </c>
      <c r="H15" s="66">
        <v>50</v>
      </c>
      <c r="I15" s="47" t="s">
        <v>789</v>
      </c>
    </row>
    <row r="16" spans="1:11" ht="20.100000000000001" customHeight="1" x14ac:dyDescent="0.25">
      <c r="A16" s="16" t="str">
        <f>HYPERLINK("#'Input - Electricity'!A1", "Electricity")</f>
        <v>Electricity</v>
      </c>
      <c r="D16" s="10"/>
      <c r="E16" s="47" t="s">
        <v>791</v>
      </c>
      <c r="F16" s="47" t="s">
        <v>792</v>
      </c>
      <c r="G16" s="49" t="s">
        <v>788</v>
      </c>
      <c r="H16" s="66">
        <v>50</v>
      </c>
      <c r="I16" s="47" t="s">
        <v>790</v>
      </c>
    </row>
    <row r="17" spans="1:9" ht="20.100000000000001" customHeight="1" x14ac:dyDescent="0.25">
      <c r="D17" s="10"/>
      <c r="E17" s="47" t="s">
        <v>791</v>
      </c>
      <c r="F17" s="47" t="s">
        <v>792</v>
      </c>
      <c r="G17" s="49" t="s">
        <v>788</v>
      </c>
      <c r="H17" s="66">
        <v>50</v>
      </c>
      <c r="I17" s="47" t="s">
        <v>790</v>
      </c>
    </row>
    <row r="18" spans="1:9" ht="20.100000000000001" customHeight="1" x14ac:dyDescent="0.25">
      <c r="D18" s="10"/>
      <c r="E18" s="47" t="s">
        <v>791</v>
      </c>
      <c r="F18" s="47" t="s">
        <v>792</v>
      </c>
      <c r="G18" s="49" t="s">
        <v>788</v>
      </c>
      <c r="H18" s="66">
        <v>50</v>
      </c>
      <c r="I18" s="47" t="s">
        <v>789</v>
      </c>
    </row>
    <row r="19" spans="1:9" ht="20.100000000000001" customHeight="1" x14ac:dyDescent="0.25">
      <c r="A19" s="21" t="s">
        <v>77</v>
      </c>
    </row>
    <row r="20" spans="1:9" ht="20.100000000000001" customHeight="1" x14ac:dyDescent="0.25">
      <c r="A20" s="16" t="str">
        <f>HYPERLINK("#'15 Scope 3'!A1", "15 Scope 3")</f>
        <v>15 Scope 3</v>
      </c>
    </row>
    <row r="21" spans="1:9" ht="20.100000000000001" customHeight="1" x14ac:dyDescent="0.25">
      <c r="A21" s="16" t="str">
        <f>HYPERLINK("#'10.1.1-2 Solid waste treatment'!A1", "10.1.1-2 Solid waste treatment")</f>
        <v>10.1.1-2 Solid waste treatment</v>
      </c>
    </row>
    <row r="22" spans="1:9" ht="20.100000000000001" customHeight="1" x14ac:dyDescent="0.25">
      <c r="A22" s="16" t="str">
        <f>HYPERLINK("#'Calcs - Manure sent off-site'!A1", "Calcs - Manure sent off-site")</f>
        <v>Calcs - Manure sent off-site</v>
      </c>
    </row>
    <row r="23" spans="1:9" ht="20.100000000000001" customHeight="1" x14ac:dyDescent="0.25">
      <c r="A23" s="16" t="str">
        <f>HYPERLINK("#'8.1.1.1-2 Transport fuel'!A1", "8.1.1.1-2 Transport fuel")</f>
        <v>8.1.1.1-2 Transport fuel</v>
      </c>
    </row>
    <row r="24" spans="1:9" ht="20.100000000000001" customHeight="1" x14ac:dyDescent="0.25">
      <c r="A24" s="16" t="str">
        <f>HYPERLINK("#'8.2.1.1-2 Stationary fuel'!A1", "8.2.1.1-2 Stationary fuel")</f>
        <v>8.2.1.1-2 Stationary fuel</v>
      </c>
    </row>
    <row r="25" spans="1:9" ht="20.100000000000001" customHeight="1" x14ac:dyDescent="0.25"/>
    <row r="26" spans="1:9" ht="20.100000000000001" customHeight="1" x14ac:dyDescent="0.25"/>
    <row r="27" spans="1:9" ht="20.100000000000001" customHeight="1" x14ac:dyDescent="0.25">
      <c r="A27" s="222" t="s">
        <v>78</v>
      </c>
    </row>
    <row r="28" spans="1:9" ht="20.100000000000001" customHeight="1" x14ac:dyDescent="0.25">
      <c r="A28" s="16" t="str">
        <f>HYPERLINK("#'Constants - Scope 3'!A1", "Constants - Scope 3")</f>
        <v>Constants - Scope 3</v>
      </c>
    </row>
    <row r="29" spans="1:9" ht="20.100000000000001" customHeight="1" x14ac:dyDescent="0.25">
      <c r="A29" s="16" t="str">
        <f>HYPERLINK("#'Constants - Solid Waste'!A1", "Constants - Solid Waste")</f>
        <v>Constants - Solid Waste</v>
      </c>
    </row>
    <row r="30" spans="1:9" ht="20.100000000000001" customHeight="1" x14ac:dyDescent="0.25">
      <c r="A30" s="16" t="str">
        <f>HYPERLINK("#'Constants - Fuel'!A1", "Constants - Fuel")</f>
        <v>Constants - Fuel</v>
      </c>
    </row>
    <row r="31" spans="1:9" ht="20.100000000000001" customHeight="1" x14ac:dyDescent="0.25">
      <c r="A31" s="16" t="str">
        <f>HYPERLINK("#'Constants - Poultry'!A1", "Constants - Poultry")</f>
        <v>Constants - Poultry</v>
      </c>
    </row>
    <row r="32" spans="1:9"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16"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856</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746</v>
      </c>
    </row>
    <row r="7" spans="1:11" x14ac:dyDescent="0.25">
      <c r="A7" s="19" t="s">
        <v>67</v>
      </c>
      <c r="D7" s="8" t="s">
        <v>769</v>
      </c>
    </row>
    <row r="8" spans="1:11" ht="18.75" x14ac:dyDescent="0.25">
      <c r="A8" s="16" t="str">
        <f>HYPERLINK("#'Input - Site'!A1", "Site")</f>
        <v>Site</v>
      </c>
      <c r="D8" s="8" t="s">
        <v>770</v>
      </c>
    </row>
    <row r="9" spans="1:11" x14ac:dyDescent="0.25">
      <c r="A9" s="16" t="str">
        <f>HYPERLINK("#'Input - Fuel'!A1", "Fuel")</f>
        <v>Fuel</v>
      </c>
    </row>
    <row r="10" spans="1:11" x14ac:dyDescent="0.25">
      <c r="A10" s="16" t="str">
        <f>HYPERLINK("#'Input - Fertiliser'!A1", "Fertiliser")</f>
        <v>Fertiliser</v>
      </c>
      <c r="D10" s="8" t="s">
        <v>857</v>
      </c>
      <c r="F10" s="66">
        <v>1000</v>
      </c>
      <c r="G10" s="65" t="s">
        <v>747</v>
      </c>
    </row>
    <row r="11" spans="1:11" x14ac:dyDescent="0.25">
      <c r="A11" s="16" t="str">
        <f>HYPERLINK("#'Input - Farm Inputs'!A1", "Farm Inputs")</f>
        <v>Farm Inputs</v>
      </c>
      <c r="D11" s="8" t="s">
        <v>858</v>
      </c>
      <c r="F11" s="66">
        <v>2000</v>
      </c>
      <c r="G11" s="65" t="s">
        <v>747</v>
      </c>
    </row>
    <row r="12" spans="1:11" x14ac:dyDescent="0.25">
      <c r="A12" s="16" t="str">
        <f>HYPERLINK("#'Input - Livestock purchases'!A1", "Livestock purchases")</f>
        <v>Livestock purchases</v>
      </c>
    </row>
    <row r="13" spans="1:11" x14ac:dyDescent="0.25">
      <c r="A13" s="16" t="str">
        <f>HYPERLINK("#'Input - Freight'!A1", "Freight")</f>
        <v>Freight</v>
      </c>
      <c r="D13" s="8" t="s">
        <v>748</v>
      </c>
      <c r="F13" s="47" t="s">
        <v>150</v>
      </c>
      <c r="G13" s="65" t="s">
        <v>195</v>
      </c>
    </row>
    <row r="14" spans="1:11" x14ac:dyDescent="0.25">
      <c r="A14" s="16" t="str">
        <f>HYPERLINK("#'Input - Solid waste'!A1", "Solid waste")</f>
        <v>Solid waste</v>
      </c>
      <c r="D14" s="8" t="s">
        <v>752</v>
      </c>
      <c r="F14" s="47" t="s">
        <v>155</v>
      </c>
      <c r="G14" s="65" t="s">
        <v>195</v>
      </c>
    </row>
    <row r="15" spans="1:11" x14ac:dyDescent="0.25">
      <c r="A15" s="42" t="str">
        <f>HYPERLINK("#'Input - Manure sent off-site'!A1", "Manure sent off-site")</f>
        <v>Manure sent off-site</v>
      </c>
    </row>
    <row r="16" spans="1:11" x14ac:dyDescent="0.25">
      <c r="A16" s="16" t="str">
        <f>HYPERLINK("#'Input - Electricity'!A1", "Electricity")</f>
        <v>Electricity</v>
      </c>
    </row>
    <row r="19" spans="1:1" x14ac:dyDescent="0.25">
      <c r="A19" s="21" t="s">
        <v>77</v>
      </c>
    </row>
    <row r="20" spans="1:1" x14ac:dyDescent="0.25">
      <c r="A20" s="16" t="str">
        <f>HYPERLINK("#'15 Scope 3'!A1", "15 Scope 3")</f>
        <v>15 Scope 3</v>
      </c>
    </row>
    <row r="21" spans="1:1" x14ac:dyDescent="0.25">
      <c r="A21" s="16" t="str">
        <f>HYPERLINK("#'10.1.1-2 Solid waste treatment'!A1", "10.1.1-2 Solid waste treatment")</f>
        <v>10.1.1-2 Solid waste treatment</v>
      </c>
    </row>
    <row r="22" spans="1:1" x14ac:dyDescent="0.25">
      <c r="A22" s="16" t="str">
        <f>HYPERLINK("#'Calcs - Manure sent off-site'!A1", "Calcs - Manure sent off-site")</f>
        <v>Calcs - Manure sent off-site</v>
      </c>
    </row>
    <row r="23" spans="1:1" x14ac:dyDescent="0.25">
      <c r="A23" s="16" t="str">
        <f>HYPERLINK("#'8.1.1.1-2 Transport fuel'!A1", "8.1.1.1-2 Transport fuel")</f>
        <v>8.1.1.1-2 Transport fuel</v>
      </c>
    </row>
    <row r="24" spans="1:1" x14ac:dyDescent="0.25">
      <c r="A24" s="16" t="str">
        <f>HYPERLINK("#'8.2.1.1-2 Stationary fuel'!A1", "8.2.1.1-2 Stationary fuel")</f>
        <v>8.2.1.1-2 Stationary fuel</v>
      </c>
    </row>
    <row r="27" spans="1:1" x14ac:dyDescent="0.25">
      <c r="A27" s="222" t="s">
        <v>78</v>
      </c>
    </row>
    <row r="28" spans="1:1" x14ac:dyDescent="0.25">
      <c r="A28" s="16" t="str">
        <f>HYPERLINK("#'Constants - Scope 3'!A1", "Constants - Scope 3")</f>
        <v>Constants - Scope 3</v>
      </c>
    </row>
    <row r="29" spans="1:1" x14ac:dyDescent="0.25">
      <c r="A29" s="16" t="str">
        <f>HYPERLINK("#'Constants - Solid Waste'!A1", "Constants - Solid Waste")</f>
        <v>Constants - Solid Waste</v>
      </c>
    </row>
    <row r="30" spans="1:1" x14ac:dyDescent="0.25">
      <c r="A30" s="16" t="str">
        <f>HYPERLINK("#'Constants - Fuel'!A1", "Constants - Fuel")</f>
        <v>Constants - Fuel</v>
      </c>
    </row>
    <row r="31" spans="1:1" x14ac:dyDescent="0.25">
      <c r="A31" s="16" t="str">
        <f>HYPERLINK("#'Constants - Poultry'!A1", "Constants - Poultry")</f>
        <v>Constants - Poultry</v>
      </c>
    </row>
    <row r="32" spans="1:1" x14ac:dyDescent="0.25">
      <c r="A32" s="16" t="str">
        <f>HYPERLINK("#'Constants - Swine'!A1", "Constants - Swine")</f>
        <v>Constants - Swine</v>
      </c>
    </row>
    <row r="33" spans="1:1" x14ac:dyDescent="0.25">
      <c r="A33" s="16" t="str">
        <f>HYPERLINK("#'Constants - Dairy'!A1", "Constants - Dairy")</f>
        <v>Constants - Dairy</v>
      </c>
    </row>
    <row r="34" spans="1:1" x14ac:dyDescent="0.25">
      <c r="A34" s="16" t="str">
        <f>HYPERLINK("#'Constants - Pasture Beef'!A1", "Constants - Pasture Beef")</f>
        <v>Constants - Pasture Beef</v>
      </c>
    </row>
    <row r="35" spans="1:1" x14ac:dyDescent="0.25">
      <c r="A35" s="16" t="str">
        <f>HYPERLINK("#'Constants - Common Livestock'!A1", "Constants - Common Livestock")</f>
        <v>Constants - Common Livestock</v>
      </c>
    </row>
    <row r="36" spans="1:1" x14ac:dyDescent="0.25">
      <c r="A36" s="16" t="str">
        <f>HYPERLINK("#'Constants - Fertiliser'!A1", "Constants - Fertiliser")</f>
        <v>Constants - Fertiliser</v>
      </c>
    </row>
    <row r="37" spans="1:1" x14ac:dyDescent="0.25">
      <c r="A37" s="16" t="str">
        <f>HYPERLINK("#'Constants - Electricity'!A1", "Constants - Electricity")</f>
        <v>Constants - Electricity</v>
      </c>
    </row>
    <row r="38" spans="1:1" x14ac:dyDescent="0.25">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233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844</v>
      </c>
      <c r="E5" s="47" t="s">
        <v>845</v>
      </c>
      <c r="F5" s="65" t="s">
        <v>195</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234</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235</v>
      </c>
    </row>
    <row r="12" spans="1:10" ht="20.100000000000001" customHeight="1" x14ac:dyDescent="0.25">
      <c r="A12" s="16" t="str">
        <f>HYPERLINK("#'Input - Livestock purchases'!A1", "Livestock purchases")</f>
        <v>Livestock purchases</v>
      </c>
    </row>
    <row r="13" spans="1:10" ht="20.100000000000001" customHeight="1" x14ac:dyDescent="0.25">
      <c r="A13" s="16" t="str">
        <f>HYPERLINK("#'Input - Freight'!A1", "Freight")</f>
        <v>Freight</v>
      </c>
      <c r="D13" s="95" t="s">
        <v>236</v>
      </c>
      <c r="E13" s="96"/>
      <c r="F13" s="14"/>
    </row>
    <row r="14" spans="1:10" ht="20.100000000000001" customHeight="1" x14ac:dyDescent="0.25">
      <c r="A14" s="16" t="str">
        <f>HYPERLINK("#'Input - Solid waste'!A1", "Solid waste")</f>
        <v>Solid waste</v>
      </c>
      <c r="D14" s="14"/>
      <c r="E14" s="14"/>
      <c r="F14" s="14"/>
    </row>
    <row r="15" spans="1:10" ht="20.100000000000001" customHeight="1" x14ac:dyDescent="0.25">
      <c r="A15" s="16" t="str">
        <f>HYPERLINK("#'Input - Manure sent off-site'!A1", "Manure sent off-site")</f>
        <v>Manure sent off-site</v>
      </c>
      <c r="D15" s="8" t="s">
        <v>237</v>
      </c>
      <c r="E15" s="97">
        <v>500</v>
      </c>
      <c r="F15" s="65" t="s">
        <v>238</v>
      </c>
    </row>
    <row r="16" spans="1:10" ht="20.100000000000001" customHeight="1" x14ac:dyDescent="0.25">
      <c r="A16" s="42" t="str">
        <f>HYPERLINK("#'Input - Electricity'!A1", "Electricity")</f>
        <v>Electricity</v>
      </c>
      <c r="D16" s="8" t="s">
        <v>239</v>
      </c>
      <c r="E16" s="49" t="str">
        <f>IF(X_Cell_Site_State="Western Australia", X_Cell_Site_Region, X_Cell_Site_State)</f>
        <v>ACT</v>
      </c>
      <c r="F16" s="14"/>
    </row>
    <row r="17" spans="1:11" ht="20.100000000000001" customHeight="1" x14ac:dyDescent="0.25">
      <c r="A17"/>
      <c r="D17" s="8" t="s">
        <v>240</v>
      </c>
      <c r="E17" s="47" t="s">
        <v>314</v>
      </c>
      <c r="F17" s="65" t="s">
        <v>195</v>
      </c>
    </row>
    <row r="18" spans="1:11" ht="20.100000000000001" customHeight="1" x14ac:dyDescent="0.25">
      <c r="A18"/>
    </row>
    <row r="19" spans="1:11" ht="20.100000000000001" customHeight="1" x14ac:dyDescent="0.25">
      <c r="A19" s="21" t="s">
        <v>77</v>
      </c>
    </row>
    <row r="20" spans="1:11" ht="20.100000000000001" customHeight="1" x14ac:dyDescent="0.25">
      <c r="A20" s="16" t="str">
        <f>HYPERLINK("#'15 Scope 3'!A1", "15 Scope 3")</f>
        <v>15 Scope 3</v>
      </c>
      <c r="C20" s="98"/>
      <c r="D20" s="98"/>
      <c r="E20" s="98"/>
      <c r="F20" s="98"/>
      <c r="G20" s="98"/>
      <c r="H20" s="98"/>
      <c r="I20" s="98"/>
      <c r="J20" s="98"/>
    </row>
    <row r="21" spans="1:11" ht="20.100000000000001" customHeight="1" x14ac:dyDescent="0.25">
      <c r="A21" s="16" t="str">
        <f>HYPERLINK("#'10.1.1-2 Solid waste treatment'!A1", "10.1.1-2 Solid waste treatment")</f>
        <v>10.1.1-2 Solid waste treatment</v>
      </c>
      <c r="D21" s="9" t="s">
        <v>241</v>
      </c>
    </row>
    <row r="22" spans="1:11" ht="20.100000000000001" customHeight="1" x14ac:dyDescent="0.25">
      <c r="A22" s="16" t="str">
        <f>HYPERLINK("#'Calcs - Manure sent off-site'!A1", "Calcs - Manure sent off-site")</f>
        <v>Calcs - Manure sent off-site</v>
      </c>
      <c r="E22" s="54" t="str">
        <f>IF(E16="ACT", "", "ALERT: Your farm is not in the ACT, so the JRPP is not applicable")</f>
        <v/>
      </c>
    </row>
    <row r="23" spans="1:11" ht="20.100000000000001" customHeight="1" x14ac:dyDescent="0.25">
      <c r="A23" s="16" t="str">
        <f>HYPERLINK("#'8.1.1.1-2 Transport fuel'!A1", "8.1.1.1-2 Transport fuel")</f>
        <v>8.1.1.1-2 Transport fuel</v>
      </c>
      <c r="D23" s="8" t="s">
        <v>242</v>
      </c>
      <c r="E23" s="97">
        <v>30000</v>
      </c>
      <c r="F23" s="65" t="s">
        <v>238</v>
      </c>
    </row>
    <row r="24" spans="1:11" ht="20.100000000000001" customHeight="1" x14ac:dyDescent="0.25">
      <c r="A24" s="16" t="str">
        <f>HYPERLINK("#'8.2.1.1-2 Stationary fuel'!A1", "8.2.1.1-2 Stationary fuel")</f>
        <v>8.2.1.1-2 Stationary fuel</v>
      </c>
      <c r="D24" s="8" t="s">
        <v>243</v>
      </c>
      <c r="E24" s="86">
        <v>0.1</v>
      </c>
      <c r="F24" s="65" t="s">
        <v>244</v>
      </c>
    </row>
    <row r="25" spans="1:11" ht="20.100000000000001" customHeight="1" x14ac:dyDescent="0.25">
      <c r="A25"/>
      <c r="D25" s="8" t="s">
        <v>245</v>
      </c>
      <c r="E25" s="86">
        <v>0.1</v>
      </c>
      <c r="F25" s="65" t="s">
        <v>244</v>
      </c>
    </row>
    <row r="26" spans="1:11" ht="20.100000000000001" customHeight="1" x14ac:dyDescent="0.25">
      <c r="A26"/>
    </row>
    <row r="27" spans="1:11" ht="20.100000000000001" customHeight="1" x14ac:dyDescent="0.25">
      <c r="A27" s="222" t="s">
        <v>78</v>
      </c>
      <c r="D27" s="8" t="s">
        <v>246</v>
      </c>
      <c r="E27" s="97">
        <v>10000</v>
      </c>
      <c r="F27" s="65" t="s">
        <v>238</v>
      </c>
    </row>
    <row r="28" spans="1:11" ht="20.100000000000001" customHeight="1" x14ac:dyDescent="0.25">
      <c r="A28" s="16" t="str">
        <f>HYPERLINK("#'Constants - Scope 3'!A1", "Constants - Scope 3")</f>
        <v>Constants - Scope 3</v>
      </c>
    </row>
    <row r="29" spans="1:11" ht="20.100000000000001" customHeight="1" x14ac:dyDescent="0.25">
      <c r="A29" s="16" t="str">
        <f>HYPERLINK("#'Constants - Solid Waste'!A1", "Constants - Solid Waste")</f>
        <v>Constants - Solid Waste</v>
      </c>
      <c r="D29" s="8" t="s">
        <v>247</v>
      </c>
      <c r="E29" s="99" t="str">
        <f>TEXT(X_Cell_Site_StartDate, "dd mmm yyyy")</f>
        <v>01 Jan 2024</v>
      </c>
      <c r="K29" s="52"/>
    </row>
    <row r="30" spans="1:11" ht="20.100000000000001" customHeight="1" x14ac:dyDescent="0.25">
      <c r="A30" s="16" t="str">
        <f>HYPERLINK("#'Constants - Fuel'!A1", "Constants - Fuel")</f>
        <v>Constants - Fuel</v>
      </c>
      <c r="D30" s="8" t="s">
        <v>248</v>
      </c>
      <c r="E30" s="99" t="str">
        <f>TEXT(X_Cell_Site_EndDate, "dd mmm yyyy")</f>
        <v>31 Dec 2024</v>
      </c>
      <c r="K30" s="52"/>
    </row>
    <row r="31" spans="1:11" ht="20.100000000000001" customHeight="1" x14ac:dyDescent="0.25">
      <c r="A31" s="16" t="str">
        <f>HYPERLINK("#'Constants - Poultry'!A1", "Constants - Poultry")</f>
        <v>Constants - Poultry</v>
      </c>
      <c r="K31" s="52"/>
    </row>
    <row r="32" spans="1:11" ht="20.100000000000001" customHeight="1" x14ac:dyDescent="0.25">
      <c r="A32" s="16" t="str">
        <f>HYPERLINK("#'Constants - Swine'!A1", "Constants - Swine")</f>
        <v>Constants - Swine</v>
      </c>
      <c r="D32" s="71" t="s">
        <v>249</v>
      </c>
      <c r="K32" s="52"/>
    </row>
    <row r="33" spans="1:12" ht="20.100000000000001" customHeight="1" x14ac:dyDescent="0.25">
      <c r="A33" s="16" t="str">
        <f>HYPERLINK("#'Constants - Dairy'!A1", "Constants - Dairy")</f>
        <v>Constants - Dairy</v>
      </c>
      <c r="K33" s="52"/>
    </row>
    <row r="34" spans="1:12" ht="20.100000000000001" customHeight="1" x14ac:dyDescent="0.25">
      <c r="A34" s="16" t="str">
        <f>HYPERLINK("#'Constants - Pasture Beef'!A1", "Constants - Pasture Beef")</f>
        <v>Constants - Pasture Beef</v>
      </c>
      <c r="D34" s="95" t="s">
        <v>121</v>
      </c>
      <c r="E34" s="96"/>
      <c r="K34" s="52"/>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c r="D36" s="46" t="s">
        <v>250</v>
      </c>
      <c r="E36" s="46" t="s">
        <v>251</v>
      </c>
      <c r="F36" s="46" t="s">
        <v>252</v>
      </c>
      <c r="G36" s="46" t="s">
        <v>253</v>
      </c>
      <c r="H36" s="46" t="s">
        <v>254</v>
      </c>
      <c r="I36" s="46" t="s">
        <v>255</v>
      </c>
      <c r="L36" s="52"/>
    </row>
    <row r="37" spans="1:12" ht="20.100000000000001" customHeight="1" x14ac:dyDescent="0.25">
      <c r="A37" s="16" t="str">
        <f>HYPERLINK("#'Constants - Electricity'!A1", "Constants - Electricity")</f>
        <v>Constants - Electricity</v>
      </c>
      <c r="D37" s="10" t="s">
        <v>256</v>
      </c>
      <c r="E37" s="47" t="s">
        <v>257</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Common'!A1", "Constants - Common")</f>
        <v>Constants - Common</v>
      </c>
      <c r="D38" s="10"/>
      <c r="E38" s="47" t="s">
        <v>258</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c r="D39" s="10"/>
      <c r="E39" s="47" t="s">
        <v>257</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c r="C40" s="8"/>
      <c r="D40" s="8"/>
      <c r="E40" s="8"/>
      <c r="F40" s="8"/>
      <c r="G40" s="8"/>
      <c r="H40" s="8"/>
      <c r="I40" s="8"/>
      <c r="J40" s="8"/>
    </row>
    <row r="41" spans="1:12" s="52" customFormat="1" ht="20.100000000000001" customHeight="1" x14ac:dyDescent="0.25">
      <c r="A41"/>
      <c r="C41" s="8"/>
      <c r="D41" s="8" t="s">
        <v>259</v>
      </c>
      <c r="E41" s="49">
        <f>SUMIF(Table_Input_RECSurrendered[Elegibility], "Elegible", Table_Input_RECSurrendered[MWh])</f>
        <v>10</v>
      </c>
      <c r="F41" s="65" t="s">
        <v>254</v>
      </c>
      <c r="G41" s="8"/>
      <c r="H41" s="8"/>
      <c r="I41" s="8"/>
      <c r="J41" s="8"/>
      <c r="L41" s="52" t="s">
        <v>261</v>
      </c>
    </row>
    <row r="42" spans="1:12" ht="20.100000000000001" customHeight="1" x14ac:dyDescent="0.25">
      <c r="A42"/>
      <c r="C42" s="51"/>
    </row>
    <row r="43" spans="1:12" ht="20.100000000000001" customHeight="1" x14ac:dyDescent="0.25">
      <c r="A43"/>
      <c r="C43" s="51"/>
      <c r="D43" s="71" t="s">
        <v>260</v>
      </c>
      <c r="J43" s="51"/>
    </row>
    <row r="44" spans="1:12" ht="20.100000000000001" customHeight="1" x14ac:dyDescent="0.25">
      <c r="A44"/>
    </row>
    <row r="45" spans="1:12" ht="20.100000000000001" customHeight="1" x14ac:dyDescent="0.25">
      <c r="A45"/>
      <c r="D45" s="46" t="s">
        <v>250</v>
      </c>
      <c r="E45" s="46" t="s">
        <v>140</v>
      </c>
      <c r="F45" s="46" t="s">
        <v>252</v>
      </c>
      <c r="G45" s="46" t="s">
        <v>253</v>
      </c>
      <c r="H45" s="46" t="s">
        <v>254</v>
      </c>
      <c r="I45" s="46" t="s">
        <v>255</v>
      </c>
    </row>
    <row r="46" spans="1:12" ht="20.100000000000001" customHeight="1" x14ac:dyDescent="0.25">
      <c r="A46"/>
      <c r="D46" s="10" t="s">
        <v>262</v>
      </c>
      <c r="E46" s="4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c r="E47" s="4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10"/>
      <c r="E48" s="4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263</v>
      </c>
      <c r="E50" s="49">
        <f>SUMIF(Table_Input_RECConsumedByEntity[Elegibility], "Elegible", Table_Input_RECConsumedByEntity[Number of certificates])</f>
        <v>11</v>
      </c>
      <c r="F50" s="65" t="s">
        <v>254</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row>
    <row r="56" spans="1:6" ht="20.100000000000001" customHeight="1" x14ac:dyDescent="0.25">
      <c r="A56"/>
    </row>
    <row r="57" spans="1:6" ht="20.100000000000001" customHeight="1" x14ac:dyDescent="0.25">
      <c r="A57"/>
      <c r="D57" s="101"/>
    </row>
    <row r="58" spans="1:6" ht="20.100000000000001" customHeight="1" x14ac:dyDescent="0.25">
      <c r="A58"/>
    </row>
    <row r="59" spans="1:6" ht="20.100000000000001" customHeight="1" x14ac:dyDescent="0.25">
      <c r="A59"/>
      <c r="D59" s="101"/>
    </row>
    <row r="60" spans="1:6" ht="20.100000000000001" customHeight="1" x14ac:dyDescent="0.25">
      <c r="A60"/>
      <c r="D60" s="101"/>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abSelected="1" topLeftCell="A134" zoomScaleNormal="100" workbookViewId="0">
      <selection activeCell="E165" sqref="E165"/>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834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629</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630</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97</v>
      </c>
      <c r="E11" s="13" t="str" cm="1">
        <f t="array" ref="E11">Scope3_Equations.VEERG_15_1_1_1__1_EmissionsFromPurchasedLivestock_Unit()</f>
        <v>t CO2e</v>
      </c>
    </row>
    <row r="12" spans="1:41" ht="20.100000000000001" customHeight="1" x14ac:dyDescent="0.25">
      <c r="A12" s="16" t="str">
        <f>HYPERLINK("#'Input - Livestock purchases'!A1", "Livestock purchases")</f>
        <v>Livestock purchases</v>
      </c>
    </row>
    <row r="13" spans="1:41" ht="20.100000000000001" customHeight="1" x14ac:dyDescent="0.25">
      <c r="A13" s="16" t="str">
        <f>HYPERLINK("#'Input - Freight'!A1", "Freight")</f>
        <v>Freight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Solid waste'!A1", "Solid waste")</f>
        <v>Solid waste</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Manure sent off-site'!A1", "Manure sent off-site")</f>
        <v>Manure sent off-site</v>
      </c>
      <c r="D15" s="167" t="str">
        <v>EF_co</v>
      </c>
      <c r="E15" s="171" t="str">
        <v>emission factor per livestock type and origin</v>
      </c>
      <c r="F15" s="166"/>
      <c r="G15" s="167" t="str">
        <v>kg CO2e/kg</v>
      </c>
      <c r="H15" s="169" t="str">
        <v>Constant</v>
      </c>
    </row>
    <row r="16" spans="1:41" ht="20.100000000000001" customHeight="1" x14ac:dyDescent="0.25">
      <c r="A16" s="16" t="str">
        <f>HYPERLINK("#'Input - Electricity'!A1", "Electricity")</f>
        <v>Electricity</v>
      </c>
      <c r="D16" s="167" t="str">
        <v>c</v>
      </c>
      <c r="E16" s="171" t="str">
        <v>livestock type</v>
      </c>
      <c r="F16" s="166"/>
      <c r="G16" s="167" t="str">
        <v/>
      </c>
      <c r="H16" s="168" t="str">
        <v>Input</v>
      </c>
    </row>
    <row r="17" spans="1:16" ht="20.100000000000001" customHeight="1" x14ac:dyDescent="0.25">
      <c r="D17" s="167" t="str">
        <v>o</v>
      </c>
      <c r="E17" s="171" t="str">
        <v>origin</v>
      </c>
      <c r="F17" s="166"/>
      <c r="G17" s="167" t="str">
        <v/>
      </c>
      <c r="H17" s="168" t="str">
        <v>Input</v>
      </c>
    </row>
    <row r="18" spans="1:16" ht="20.100000000000001" customHeight="1" x14ac:dyDescent="0.25"/>
    <row r="19" spans="1:16" ht="20.100000000000001" customHeight="1" x14ac:dyDescent="0.25">
      <c r="A19" s="21" t="s">
        <v>77</v>
      </c>
      <c r="D19" s="95" t="s">
        <v>570</v>
      </c>
      <c r="E19" s="110"/>
      <c r="F19" s="96"/>
    </row>
    <row r="20" spans="1:16" ht="20.100000000000001" customHeight="1" x14ac:dyDescent="0.25">
      <c r="A20" s="180" t="str">
        <f>HYPERLINK("#'15 Scope 3'!A1", "15 Scope 3")</f>
        <v>15 Scope 3</v>
      </c>
    </row>
    <row r="21" spans="1:16" ht="20.100000000000001" customHeight="1" x14ac:dyDescent="0.25">
      <c r="A21" s="16" t="str">
        <f>HYPERLINK("#'10.1.1-2 Solid waste treatment'!A1", "10.1.1-2 Solid waste treatment")</f>
        <v>10.1.1-2 Solid waste treatment</v>
      </c>
      <c r="D21" s="144" t="s">
        <v>326</v>
      </c>
    </row>
    <row r="22" spans="1:16" ht="20.100000000000001" customHeight="1" x14ac:dyDescent="0.25">
      <c r="A22" s="16" t="str">
        <f>HYPERLINK("#'Calcs - Manure sent off-site'!A1", "Calcs - Manure sent off-site")</f>
        <v>Calcs - Manure sent off-site</v>
      </c>
      <c r="D22" s="46" t="s">
        <v>364</v>
      </c>
      <c r="E22" s="152" t="s">
        <v>623</v>
      </c>
      <c r="F22" s="152" t="s">
        <v>622</v>
      </c>
      <c r="G22" s="152" t="s">
        <v>624</v>
      </c>
      <c r="H22" s="152" t="s">
        <v>625</v>
      </c>
      <c r="I22" s="57" t="s">
        <v>627</v>
      </c>
      <c r="J22" s="57" t="s">
        <v>636</v>
      </c>
      <c r="K22" s="152" t="s">
        <v>626</v>
      </c>
      <c r="L22" s="46" t="s">
        <v>628</v>
      </c>
      <c r="M22" s="57" t="s">
        <v>638</v>
      </c>
      <c r="N22" s="46" t="s">
        <v>632</v>
      </c>
      <c r="O22" s="46" t="s">
        <v>633</v>
      </c>
      <c r="P22" s="46" t="s">
        <v>634</v>
      </c>
    </row>
    <row r="23" spans="1:16" ht="20.100000000000001"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606</v>
      </c>
      <c r="O23" s="47" t="s">
        <v>605</v>
      </c>
      <c r="P23" t="s">
        <v>607</v>
      </c>
    </row>
    <row r="24" spans="1:16" ht="20.100000000000001"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22"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c r="A33" s="16" t="str">
        <f>HYPERLINK("#'Constants - Dairy'!A1", "Constants - Dairy")</f>
        <v>Constants - Dairy</v>
      </c>
    </row>
    <row r="34" spans="1:13" ht="20.100000000000001" customHeight="1" x14ac:dyDescent="0.25">
      <c r="A34" s="16" t="str">
        <f>HYPERLINK("#'Constants - Pasture Beef'!A1", "Constants - Pasture Beef")</f>
        <v>Constants - Pasture Beef</v>
      </c>
      <c r="D34" s="174" t="s">
        <v>652</v>
      </c>
      <c r="E34" s="98">
        <f>SUM(J23:J32)</f>
        <v>1052.5</v>
      </c>
      <c r="F34" s="175" t="str">
        <f>$E$11</f>
        <v>t CO2e</v>
      </c>
    </row>
    <row r="35" spans="1:13" ht="20.100000000000001" customHeight="1" x14ac:dyDescent="0.25">
      <c r="A35" s="16" t="str">
        <f>HYPERLINK("#'Constants - Common Livestock'!A1", "Constants - Common Livestock")</f>
        <v>Constants - Common Livestock</v>
      </c>
      <c r="D35" s="174" t="s">
        <v>653</v>
      </c>
      <c r="E35" s="98">
        <f>SUM(M23:M32)</f>
        <v>1014.5</v>
      </c>
      <c r="F35" s="175" t="str">
        <f>$E$11</f>
        <v>t CO2e</v>
      </c>
    </row>
    <row r="36" spans="1:13" ht="20.100000000000001" customHeight="1" x14ac:dyDescent="0.25">
      <c r="A36" s="16" t="str">
        <f>HYPERLINK("#'Constants - Fertiliser'!A1", "Constants - Fertiliser")</f>
        <v>Constants - Fertiliser</v>
      </c>
    </row>
    <row r="37" spans="1:13" ht="20.100000000000001" customHeight="1" x14ac:dyDescent="0.25">
      <c r="A37" s="16" t="str">
        <f>HYPERLINK("#'Constants - Electricity'!A1", "Constants - Electricity")</f>
        <v>Constants - Electricity</v>
      </c>
    </row>
    <row r="38" spans="1:13" ht="20.100000000000001" customHeight="1" x14ac:dyDescent="0.25">
      <c r="A38" s="16" t="str">
        <f>HYPERLINK("#'Constants - Common'!A1", "Constants - Common")</f>
        <v>Constants - Common</v>
      </c>
      <c r="D38" s="144" t="s">
        <v>342</v>
      </c>
    </row>
    <row r="39" spans="1:13" ht="20.100000000000001" customHeight="1" x14ac:dyDescent="0.25">
      <c r="D39" s="167" t="s">
        <v>631</v>
      </c>
      <c r="E39" s="49" cm="1">
        <f t="array" ref="E39">Common_InputFunctions.Utility_LookupValueInTableNumber("Dairy cows", Table_SourceData_Scope3_Animals[Product],Table_SourceData_Scope3_Animals[AusLCI Emissions intensity])</f>
        <v>4.41</v>
      </c>
    </row>
    <row r="40" spans="1:13" ht="20.100000000000001" customHeight="1" x14ac:dyDescent="0.25"/>
    <row r="41" spans="1:13" ht="20.100000000000001" customHeight="1" x14ac:dyDescent="0.25">
      <c r="D41" s="46" t="s">
        <v>364</v>
      </c>
      <c r="E41" s="152" t="s">
        <v>624</v>
      </c>
      <c r="F41" s="152" t="s">
        <v>625</v>
      </c>
      <c r="G41" s="57" t="s">
        <v>636</v>
      </c>
      <c r="H41" s="152" t="s">
        <v>626</v>
      </c>
      <c r="I41" s="46" t="s">
        <v>628</v>
      </c>
      <c r="J41" s="57" t="s">
        <v>638</v>
      </c>
      <c r="K41" s="46" t="s">
        <v>632</v>
      </c>
      <c r="L41" s="46" t="s">
        <v>633</v>
      </c>
      <c r="M41" s="46" t="s">
        <v>634</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606</v>
      </c>
      <c r="L42" s="47" t="s">
        <v>605</v>
      </c>
      <c r="M42" t="s">
        <v>607</v>
      </c>
    </row>
    <row r="43" spans="1:13" ht="20.100000000000001" customHeight="1" x14ac:dyDescent="0.25">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650</v>
      </c>
      <c r="E53" s="98">
        <f>SUM(G42:G51)</f>
        <v>295.47000000000003</v>
      </c>
      <c r="F53" s="175" t="str">
        <f>$E$11</f>
        <v>t CO2e</v>
      </c>
    </row>
    <row r="54" spans="4:13" ht="20.100000000000001" customHeight="1" x14ac:dyDescent="0.25">
      <c r="D54" s="174" t="s">
        <v>651</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545</v>
      </c>
    </row>
    <row r="58" spans="4:13" ht="20.100000000000001" customHeight="1" x14ac:dyDescent="0.25">
      <c r="D58" s="167" t="s">
        <v>631</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364</v>
      </c>
      <c r="E60" s="152" t="s">
        <v>624</v>
      </c>
      <c r="F60" s="152" t="s">
        <v>625</v>
      </c>
      <c r="G60" s="57" t="s">
        <v>636</v>
      </c>
      <c r="H60" s="152" t="s">
        <v>626</v>
      </c>
      <c r="I60" s="46" t="s">
        <v>628</v>
      </c>
      <c r="J60" s="57" t="s">
        <v>638</v>
      </c>
      <c r="K60" s="46" t="s">
        <v>632</v>
      </c>
      <c r="L60" s="46" t="s">
        <v>633</v>
      </c>
      <c r="M60" s="46" t="s">
        <v>634</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648</v>
      </c>
      <c r="E72" s="98">
        <f>SUM(G61:G70)</f>
        <v>127.08800000000001</v>
      </c>
      <c r="F72" s="175" t="str">
        <f>$E$11</f>
        <v>t CO2e</v>
      </c>
    </row>
    <row r="73" spans="4:13" ht="20.100000000000001" customHeight="1" x14ac:dyDescent="0.25">
      <c r="D73" s="174" t="s">
        <v>649</v>
      </c>
      <c r="E73" s="98">
        <f>SUM(J61:J70)</f>
        <v>73.38000000000001</v>
      </c>
      <c r="F73" s="175" t="str">
        <f>$E$11</f>
        <v>t CO2e</v>
      </c>
    </row>
    <row r="74" spans="4:13" ht="20.100000000000001" customHeight="1" x14ac:dyDescent="0.25"/>
    <row r="75" spans="4:13" ht="20.100000000000001" customHeight="1" x14ac:dyDescent="0.25">
      <c r="D75" s="144" t="s">
        <v>571</v>
      </c>
    </row>
    <row r="76" spans="4:13" ht="20.100000000000001" customHeight="1" x14ac:dyDescent="0.25">
      <c r="D76" s="167" t="s">
        <v>631</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364</v>
      </c>
      <c r="E78" s="152" t="s">
        <v>624</v>
      </c>
      <c r="F78" s="152" t="s">
        <v>625</v>
      </c>
      <c r="G78" s="57" t="s">
        <v>636</v>
      </c>
      <c r="H78" s="152" t="s">
        <v>626</v>
      </c>
      <c r="I78" s="46" t="s">
        <v>628</v>
      </c>
      <c r="J78" s="57" t="s">
        <v>638</v>
      </c>
      <c r="K78" s="46" t="s">
        <v>632</v>
      </c>
      <c r="L78" s="46" t="s">
        <v>633</v>
      </c>
      <c r="M78" s="46" t="s">
        <v>634</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646</v>
      </c>
      <c r="E90" s="98">
        <f>SUM(G79:G88)</f>
        <v>0.36720000000000003</v>
      </c>
      <c r="F90" s="175" t="str">
        <f>$E$11</f>
        <v>t CO2e</v>
      </c>
    </row>
    <row r="91" spans="4:13" ht="20.100000000000001" customHeight="1" x14ac:dyDescent="0.25">
      <c r="D91" s="174" t="s">
        <v>647</v>
      </c>
      <c r="E91" s="98">
        <f>SUM(J79:J88)</f>
        <v>0.35940000000000005</v>
      </c>
      <c r="F91" s="175" t="str">
        <f>$E$11</f>
        <v>t CO2e</v>
      </c>
    </row>
    <row r="92" spans="4:13" ht="20.100000000000001" customHeight="1" x14ac:dyDescent="0.25"/>
    <row r="93" spans="4:13" ht="20.100000000000001" customHeight="1" x14ac:dyDescent="0.25">
      <c r="D93" s="176" t="s">
        <v>636</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638</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629</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630</v>
      </c>
      <c r="E103" s="8" t="str" cm="1">
        <f t="array" ref="E103">Scope3_Equations.VEERG_15_2_1_1__1_EmissionsFromPurchasedFeed_Variable()</f>
        <v>E</v>
      </c>
    </row>
    <row r="104" spans="3:41" ht="20.100000000000001" customHeight="1" x14ac:dyDescent="0.25">
      <c r="D104" s="27" t="s">
        <v>97</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293</v>
      </c>
    </row>
    <row r="111" spans="3:41" ht="20.100000000000001" customHeight="1" x14ac:dyDescent="0.25"/>
    <row r="112" spans="3:41" ht="20.100000000000001" customHeight="1" x14ac:dyDescent="0.25">
      <c r="D112" s="39" t="s">
        <v>640</v>
      </c>
      <c r="E112" s="41"/>
      <c r="F112" s="39"/>
      <c r="G112" s="40"/>
      <c r="H112" s="41"/>
    </row>
    <row r="113" spans="4:28" ht="20.100000000000001" customHeight="1" x14ac:dyDescent="0.25">
      <c r="D113" s="88" t="s">
        <v>641</v>
      </c>
      <c r="E113" s="90"/>
      <c r="F113" s="88"/>
      <c r="G113" s="89"/>
      <c r="H113" s="90"/>
    </row>
    <row r="114" spans="4:28" ht="20.100000000000001" customHeight="1" x14ac:dyDescent="0.25">
      <c r="D114" s="43" t="s">
        <v>642</v>
      </c>
      <c r="E114" s="45"/>
      <c r="F114" s="43"/>
      <c r="G114" s="44"/>
      <c r="H114" s="45"/>
    </row>
    <row r="115" spans="4:28" ht="20.100000000000001" customHeight="1" x14ac:dyDescent="0.25"/>
    <row r="116" spans="4:28" ht="20.100000000000001" customHeight="1" x14ac:dyDescent="0.25">
      <c r="D116" s="95" t="s">
        <v>403</v>
      </c>
      <c r="E116" s="110"/>
      <c r="F116" s="96"/>
    </row>
    <row r="117" spans="4:28" ht="20.100000000000001" customHeight="1" x14ac:dyDescent="0.25"/>
    <row r="118" spans="4:28" ht="20.100000000000001" customHeight="1" x14ac:dyDescent="0.25">
      <c r="D118" s="46" t="s">
        <v>407</v>
      </c>
      <c r="E118" s="46" t="s">
        <v>635</v>
      </c>
      <c r="F118" s="57" t="s">
        <v>639</v>
      </c>
      <c r="G118" s="57" t="s">
        <v>636</v>
      </c>
      <c r="H118" s="46" t="s">
        <v>637</v>
      </c>
      <c r="I118" s="57" t="s">
        <v>638</v>
      </c>
      <c r="J118" s="46" t="s">
        <v>632</v>
      </c>
      <c r="K118" s="46" t="s">
        <v>633</v>
      </c>
      <c r="L118" s="46" t="s">
        <v>634</v>
      </c>
      <c r="M118" s="57" t="s">
        <v>174</v>
      </c>
      <c r="N118" s="57" t="s">
        <v>388</v>
      </c>
      <c r="O118" s="57" t="s">
        <v>175</v>
      </c>
      <c r="P118" s="57" t="s">
        <v>349</v>
      </c>
      <c r="Q118" s="57" t="s">
        <v>176</v>
      </c>
      <c r="R118" s="57" t="s">
        <v>404</v>
      </c>
      <c r="S118" s="57" t="s">
        <v>177</v>
      </c>
      <c r="T118" s="57" t="s">
        <v>353</v>
      </c>
      <c r="U118" s="57" t="s">
        <v>178</v>
      </c>
      <c r="V118" s="57" t="s">
        <v>405</v>
      </c>
      <c r="W118" s="57" t="s">
        <v>179</v>
      </c>
      <c r="X118" s="57" t="s">
        <v>354</v>
      </c>
      <c r="Y118" s="57" t="s">
        <v>180</v>
      </c>
      <c r="Z118" s="57" t="s">
        <v>406</v>
      </c>
      <c r="AA118" s="57" t="s">
        <v>181</v>
      </c>
      <c r="AB118" s="57" t="s">
        <v>355</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636</v>
      </c>
      <c r="E130" s="98">
        <f>SUM(G119:G128)</f>
        <v>471.44159999999999</v>
      </c>
      <c r="F130" s="175" t="str">
        <f>$E$104</f>
        <v>t CO2e</v>
      </c>
    </row>
    <row r="131" spans="4:12" ht="20.100000000000001" customHeight="1" x14ac:dyDescent="0.25">
      <c r="D131" s="174" t="s">
        <v>638</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401</v>
      </c>
    </row>
    <row r="135" spans="4:12" ht="20.100000000000001" customHeight="1" x14ac:dyDescent="0.25">
      <c r="D135" s="46" t="s">
        <v>216</v>
      </c>
      <c r="E135" s="46" t="s">
        <v>635</v>
      </c>
      <c r="F135" s="57" t="s">
        <v>639</v>
      </c>
      <c r="G135" s="57" t="s">
        <v>636</v>
      </c>
      <c r="H135" s="46" t="s">
        <v>637</v>
      </c>
      <c r="I135" s="57" t="s">
        <v>638</v>
      </c>
      <c r="J135" s="46" t="s">
        <v>632</v>
      </c>
      <c r="K135" s="46" t="s">
        <v>633</v>
      </c>
      <c r="L135" s="46" t="s">
        <v>634</v>
      </c>
    </row>
    <row r="136" spans="4:12" ht="20.100000000000001" customHeight="1" x14ac:dyDescent="0.25">
      <c r="D136" s="49" t="str">
        <f>'Input - Livestock farm Inputs'!D12</f>
        <v>Feed for chickens</v>
      </c>
      <c r="E136" s="49">
        <f>IFERROR(X_Cell_FarmInputs_FeedRations_Chickens, 0)</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IFERROR(X_Cell_FarmInputs_FeedRations_DairyCalves, 0)</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IFERROR(X_Cell_FarmInputs_FeedRations_DairyCows, 0)</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IFERROR(X_Cell_FarmInputs_FeedRations_Pigs, 0)</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636</v>
      </c>
      <c r="E141" s="98">
        <f>SUM(G136:G139)</f>
        <v>174.9</v>
      </c>
      <c r="F141" s="175" t="str">
        <f>$E$104</f>
        <v>t CO2e</v>
      </c>
    </row>
    <row r="142" spans="4:12" ht="20.100000000000001" customHeight="1" x14ac:dyDescent="0.25">
      <c r="D142" s="174" t="s">
        <v>638</v>
      </c>
      <c r="E142" s="98">
        <f>SUM(I136:I139)</f>
        <v>163.60000000000002</v>
      </c>
      <c r="F142" s="175" t="str">
        <f>$E$104</f>
        <v>t CO2e</v>
      </c>
    </row>
    <row r="143" spans="4:12" ht="20.100000000000001" customHeight="1" x14ac:dyDescent="0.25"/>
    <row r="144" spans="4:12" ht="20.100000000000001" customHeight="1" x14ac:dyDescent="0.25">
      <c r="D144" s="176" t="s">
        <v>636</v>
      </c>
      <c r="E144" s="177">
        <f>E130+E141</f>
        <v>646.34159999999997</v>
      </c>
      <c r="F144" s="178" t="str">
        <f>$E$104</f>
        <v>t CO2e</v>
      </c>
    </row>
    <row r="145" spans="3:41" ht="20.100000000000001" customHeight="1" x14ac:dyDescent="0.25">
      <c r="D145" s="176" t="s">
        <v>638</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629</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630</v>
      </c>
      <c r="E154" s="8" t="str" cm="1">
        <f t="array" ref="E154">Scope3_Equations.VEERG_15_3_1_1__1_EmissionsFromPurchasedMineralSupplements_Variable()</f>
        <v>E</v>
      </c>
    </row>
    <row r="155" spans="3:41" ht="20.100000000000001" customHeight="1" x14ac:dyDescent="0.25">
      <c r="D155" s="27" t="s">
        <v>97</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216</v>
      </c>
      <c r="E161" s="46" t="s">
        <v>643</v>
      </c>
      <c r="F161" s="57" t="s">
        <v>644</v>
      </c>
      <c r="G161" s="57" t="s">
        <v>636</v>
      </c>
      <c r="H161" s="46" t="s">
        <v>645</v>
      </c>
      <c r="I161" s="57" t="s">
        <v>638</v>
      </c>
      <c r="J161" s="46" t="s">
        <v>632</v>
      </c>
      <c r="K161" s="46" t="s">
        <v>633</v>
      </c>
      <c r="L161" s="46" t="s">
        <v>634</v>
      </c>
    </row>
    <row r="162" spans="3:41" ht="20.100000000000001" customHeight="1" x14ac:dyDescent="0.25">
      <c r="D162" s="49" t="str">
        <f>'Input - Livestock farm Inputs'!D7</f>
        <v>Lick block, dry season mix</v>
      </c>
      <c r="E162" s="49">
        <f>IFERROR(X_Cell_FarmInputs_LickBlocks_DrySeasonMix, 0)</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IFERROR(X_Cell_FarmInputs_LickBlocks_Mineral, 0)</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IFERROR(X_Cell_FarmInputs_LickBlocks_Weaner, 0)</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636</v>
      </c>
      <c r="E166" s="177">
        <f>SUM(G162:G164)</f>
        <v>178.9</v>
      </c>
      <c r="F166" s="178" t="str">
        <f>$E$155</f>
        <v>t CO2e</v>
      </c>
    </row>
    <row r="167" spans="3:41" ht="20.100000000000001" customHeight="1" x14ac:dyDescent="0.25">
      <c r="D167" s="176" t="s">
        <v>638</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629</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630</v>
      </c>
      <c r="E177" s="8" t="str" cm="1">
        <f t="array" ref="E177">Scope3_Equations.VEERG_15_4_1_1__X_EmissionFactorFromPurchasedFertiliserComponents_Variable()</f>
        <v>EF_f</v>
      </c>
    </row>
    <row r="178" spans="4:8" ht="20.100000000000001" customHeight="1" x14ac:dyDescent="0.25">
      <c r="D178" s="27" t="s">
        <v>97</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629</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630</v>
      </c>
      <c r="E191" s="8" t="str" cm="1">
        <f t="array" ref="E191">Scope3_Equations.VEERG_15_4_1_1__1_EmissionsFromPurchasedFertiliser_Variable()</f>
        <v>E</v>
      </c>
    </row>
    <row r="192" spans="4:8" ht="20.100000000000001" customHeight="1" x14ac:dyDescent="0.25">
      <c r="D192" s="27" t="s">
        <v>97</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629</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630</v>
      </c>
      <c r="E206" s="8" t="str" cm="1">
        <f t="array" ref="E206">Scope3_Equations.VEERG_15_4_1_1__2_EmissionsFromPurchasedFertiliserComponents_Variable()</f>
        <v>E</v>
      </c>
    </row>
    <row r="207" spans="4:8" ht="20.100000000000001" customHeight="1" x14ac:dyDescent="0.25">
      <c r="D207" s="27" t="s">
        <v>97</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372</v>
      </c>
    </row>
    <row r="217" spans="4:40" ht="20.100000000000001" customHeight="1" x14ac:dyDescent="0.25"/>
    <row r="218" spans="4:40" ht="20.100000000000001" customHeight="1" x14ac:dyDescent="0.25">
      <c r="D218" s="95" t="s">
        <v>371</v>
      </c>
      <c r="E218" s="110"/>
      <c r="F218" s="96"/>
    </row>
    <row r="219" spans="4:40" ht="20.100000000000001" customHeight="1" x14ac:dyDescent="0.25"/>
    <row r="220" spans="4:40" ht="20.100000000000001" customHeight="1" x14ac:dyDescent="0.25">
      <c r="D220" s="46" t="s">
        <v>216</v>
      </c>
      <c r="E220" s="46" t="s">
        <v>359</v>
      </c>
      <c r="F220" s="57" t="s">
        <v>671</v>
      </c>
      <c r="G220" s="57" t="s">
        <v>655</v>
      </c>
      <c r="H220" s="57" t="s">
        <v>654</v>
      </c>
      <c r="I220" s="46" t="s">
        <v>672</v>
      </c>
      <c r="J220" s="57" t="s">
        <v>656</v>
      </c>
      <c r="K220" s="57" t="s">
        <v>657</v>
      </c>
      <c r="L220" s="46" t="s">
        <v>632</v>
      </c>
      <c r="M220" s="46" t="s">
        <v>633</v>
      </c>
      <c r="N220" s="46" t="s">
        <v>634</v>
      </c>
      <c r="O220" s="57" t="s">
        <v>172</v>
      </c>
      <c r="P220" s="57" t="s">
        <v>173</v>
      </c>
      <c r="Q220" s="57" t="s">
        <v>174</v>
      </c>
      <c r="R220" s="57" t="s">
        <v>175</v>
      </c>
      <c r="S220" s="57" t="s">
        <v>659</v>
      </c>
      <c r="T220" s="46" t="s">
        <v>660</v>
      </c>
      <c r="U220" s="57" t="s">
        <v>176</v>
      </c>
      <c r="V220" s="57" t="s">
        <v>177</v>
      </c>
      <c r="W220" s="57" t="s">
        <v>661</v>
      </c>
      <c r="X220" s="46" t="s">
        <v>662</v>
      </c>
      <c r="Y220" s="57" t="s">
        <v>178</v>
      </c>
      <c r="Z220" s="57" t="s">
        <v>179</v>
      </c>
      <c r="AA220" s="57" t="s">
        <v>663</v>
      </c>
      <c r="AB220" s="46" t="s">
        <v>664</v>
      </c>
      <c r="AC220" s="57" t="s">
        <v>180</v>
      </c>
      <c r="AD220" s="57" t="s">
        <v>181</v>
      </c>
      <c r="AE220" s="57" t="s">
        <v>665</v>
      </c>
      <c r="AF220" s="46" t="s">
        <v>666</v>
      </c>
      <c r="AG220" s="57" t="s">
        <v>182</v>
      </c>
      <c r="AH220" s="57" t="s">
        <v>183</v>
      </c>
      <c r="AI220" s="57" t="s">
        <v>667</v>
      </c>
      <c r="AJ220" s="46" t="s">
        <v>668</v>
      </c>
      <c r="AK220" s="57" t="s">
        <v>184</v>
      </c>
      <c r="AL220" s="57" t="s">
        <v>185</v>
      </c>
      <c r="AM220" s="57" t="s">
        <v>669</v>
      </c>
      <c r="AN220" s="46" t="s">
        <v>670</v>
      </c>
    </row>
    <row r="221" spans="4:40" ht="20.100000000000001" customHeight="1" x14ac:dyDescent="0.25">
      <c r="D221" s="49" t="str" cm="1">
        <f t="array" ref="D221:D230">IFERROR(INDEX(Table_Input_InorganicFertiliser_Brands[Product (select)], _xlfn.SEQUENCE(10)), "")</f>
        <v>Aqua Grow</v>
      </c>
      <c r="E221" s="49" cm="1">
        <f t="array" ref="E221:E230">IFERROR(INDEX(Table_Input_InorganicFertiliser_Brands[Total applied (kg)], _xlfn.SEQUENCE(10)), 0)</f>
        <v>0</v>
      </c>
      <c r="F221" s="49" t="e"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#VALUE!</v>
      </c>
      <c r="G221" s="151" t="e" cm="1">
        <f t="array" ref="G221">Scope3_Equations.VEERG_15_4_1_1__1_EmissionsFromPurchasedFertiliser(E221,F221)</f>
        <v>#VALUE!</v>
      </c>
      <c r="H221" s="49" t="e"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#VALUE!</v>
      </c>
      <c r="I221" s="66">
        <v>0.4</v>
      </c>
      <c r="J221" s="151" cm="1">
        <f t="array" ref="J221">Scope3_Equations.VEERG_15_4_1_1__1_EmissionsFromPurchasedFertiliser(E221,I221)</f>
        <v>0</v>
      </c>
      <c r="K221" s="151" t="e"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#VALUE!</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L</v>
      </c>
      <c r="Q221" s="49" cm="1">
        <f t="array" ref="Q221:Q230">IFERROR(INDEX(Table_Input_InorganicFertiliser_Brands[Ingredient 1], _xlfn.SEQUENCE(10)), "")</f>
        <v>1.26</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t="str" cm="1">
        <f t="array" ref="V221:V230">IFERROR(INDEX(_xlfn.LET(_xlpm.result, Table_Input_InorganicFertiliser_Brands[Ingredient 2 percent], IF(_xlpm.result="", 0, _xlpm.result)), _xlfn.SEQUENCE(10)), 0)</f>
        <v>Potassium - Generic</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cm="1">
        <f t="array" ref="Y221:Y230">IFERROR(INDEX(Table_Input_InorganicFertiliser_Brands[Ingredient 3], _xlfn.SEQUENCE(10)), "")</f>
        <v>0.105</v>
      </c>
      <c r="Z221" s="49" t="str" cm="1">
        <f t="array" ref="Z221:Z230">IFERROR(INDEX(_xlfn.LET(_xlpm.result, Table_Input_InorganicFertiliser_Brands[Ingredient 3 percent], IF(_xlpm.result="", 0, _xlpm.result)), _xlfn.SEQUENCE(10)), 0)</f>
        <v>Nitrogen - Generic</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cm="1">
        <f t="array" ref="AC221:AC230">IFERROR(INDEX(Table_Input_InorganicFertiliser_Brands[Ingredient 4], _xlfn.SEQUENCE(10)), "")</f>
        <v>9.6000000000000002E-2</v>
      </c>
      <c r="AD221" s="49" t="str" cm="1">
        <f t="array" ref="AD221:AD230">IFERROR(INDEX(_xlfn.LET(_xlpm.result, Table_Input_InorganicFertiliser_Brands[Ingredient 4 percent], IF(_xlpm.result="", 0, _xlpm.result)), _xlfn.SEQUENCE(10)), 0)</f>
        <v>Phosphorus - Generic</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cm="1">
        <f t="array" ref="AG221:AG230">IFERROR(INDEX(Table_Input_InorganicFertiliser_Brands[Ingredient 5], _xlfn.SEQUENCE(10)), "")</f>
        <v>0.05</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Aqua Finish</v>
      </c>
      <c r="E222" s="49">
        <v>0</v>
      </c>
      <c r="F222" s="49" t="e"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#VALUE!</v>
      </c>
      <c r="G222" s="151" t="e" cm="1">
        <f t="array" ref="G222">Scope3_Equations.VEERG_15_4_1_1__1_EmissionsFromPurchasedFertiliser(E222,F222)</f>
        <v>#VALUE!</v>
      </c>
      <c r="H222" s="49" t="e"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#VALUE!</v>
      </c>
      <c r="I222" s="66">
        <v>0.9</v>
      </c>
      <c r="J222" s="151" cm="1">
        <f t="array" ref="J222">Scope3_Equations.VEERG_15_4_1_1__1_EmissionsFromPurchasedFertiliser(E222,I222)</f>
        <v>0</v>
      </c>
      <c r="K222" s="151" t="e"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#VALUE!</v>
      </c>
      <c r="L222" s="82"/>
      <c r="M222" s="47"/>
      <c r="N222" s="82"/>
      <c r="O222" s="49" t="str">
        <v/>
      </c>
      <c r="P222" s="49" t="str">
        <v>L</v>
      </c>
      <c r="Q222" s="49">
        <v>1.26</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t="str">
        <v>Potassium - Generic</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v>0.22500000000000001</v>
      </c>
      <c r="Z222" s="49" t="str">
        <v>Phosphorus - Generic</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v>0.04</v>
      </c>
      <c r="AD222" s="49" t="str">
        <v>Nitrogen - Generic</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v>2.5999999999999999E-2</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Aqua NitroCal</v>
      </c>
      <c r="E223" s="49">
        <v>0</v>
      </c>
      <c r="F223" s="49" t="e"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#VALUE!</v>
      </c>
      <c r="G223" s="151" t="e" cm="1">
        <f t="array" ref="G223">Scope3_Equations.VEERG_15_4_1_1__1_EmissionsFromPurchasedFertiliser(E223,F223)</f>
        <v>#VALUE!</v>
      </c>
      <c r="H223" s="49" t="e"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#VALUE!</v>
      </c>
      <c r="I223" s="66">
        <v>0.4</v>
      </c>
      <c r="J223" s="151" cm="1">
        <f t="array" ref="J223">Scope3_Equations.VEERG_15_4_1_1__1_EmissionsFromPurchasedFertiliser(E223,I223)</f>
        <v>0</v>
      </c>
      <c r="K223" s="151" t="e"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#VALUE!</v>
      </c>
      <c r="L223" s="82"/>
      <c r="M223" s="47"/>
      <c r="N223" s="82"/>
      <c r="O223" s="49" t="str">
        <v/>
      </c>
      <c r="P223" s="49" t="str">
        <v>L</v>
      </c>
      <c r="Q223" s="49">
        <v>1.5</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t="str">
        <v>Calcium - Generic</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v>0.16200000000000001</v>
      </c>
      <c r="Z223" s="49" t="str">
        <v>Nitrogen - Nitrate</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v>0.13200000000000001</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
      </c>
      <c r="R224" s="49">
        <v>0</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66"/>
      <c r="U224" s="49" t="str">
        <v/>
      </c>
      <c r="V224" s="49">
        <v>0</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66"/>
      <c r="Y224" s="49" t="str">
        <v/>
      </c>
      <c r="Z224" s="49">
        <v>0</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
      </c>
      <c r="R225" s="49">
        <v>0</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
      </c>
      <c r="V225" s="49">
        <v>0</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658</v>
      </c>
    </row>
    <row r="233" spans="4:40" ht="20.100000000000001" customHeight="1" x14ac:dyDescent="0.25"/>
    <row r="234" spans="4:40" ht="20.100000000000001" customHeight="1" x14ac:dyDescent="0.25">
      <c r="D234" s="95" t="s">
        <v>673</v>
      </c>
      <c r="E234" s="110"/>
      <c r="F234" s="96"/>
    </row>
    <row r="235" spans="4:40" ht="20.100000000000001" customHeight="1" x14ac:dyDescent="0.25"/>
    <row r="236" spans="4:40" ht="20.100000000000001" customHeight="1" x14ac:dyDescent="0.25">
      <c r="D236" s="46" t="s">
        <v>407</v>
      </c>
      <c r="E236" s="46" t="s">
        <v>359</v>
      </c>
      <c r="F236" s="57" t="s">
        <v>671</v>
      </c>
      <c r="G236" s="57" t="s">
        <v>655</v>
      </c>
      <c r="H236" s="57" t="s">
        <v>654</v>
      </c>
      <c r="I236" s="46" t="s">
        <v>672</v>
      </c>
      <c r="J236" s="57" t="s">
        <v>656</v>
      </c>
      <c r="K236" s="57" t="s">
        <v>657</v>
      </c>
      <c r="L236" s="46" t="s">
        <v>632</v>
      </c>
      <c r="M236" s="46" t="s">
        <v>633</v>
      </c>
      <c r="N236" s="46" t="s">
        <v>634</v>
      </c>
      <c r="O236" s="57" t="s">
        <v>172</v>
      </c>
      <c r="P236" s="57" t="s">
        <v>173</v>
      </c>
      <c r="Q236" s="57" t="s">
        <v>174</v>
      </c>
      <c r="R236" s="57" t="s">
        <v>175</v>
      </c>
      <c r="S236" s="57" t="s">
        <v>659</v>
      </c>
      <c r="T236" s="46" t="s">
        <v>660</v>
      </c>
      <c r="U236" s="57" t="s">
        <v>176</v>
      </c>
      <c r="V236" s="57" t="s">
        <v>177</v>
      </c>
      <c r="W236" s="57" t="s">
        <v>661</v>
      </c>
      <c r="X236" s="46" t="s">
        <v>662</v>
      </c>
      <c r="Y236" s="57" t="s">
        <v>178</v>
      </c>
      <c r="Z236" s="57" t="s">
        <v>179</v>
      </c>
      <c r="AA236" s="57" t="s">
        <v>663</v>
      </c>
      <c r="AB236" s="46" t="s">
        <v>664</v>
      </c>
      <c r="AC236" s="57" t="s">
        <v>180</v>
      </c>
      <c r="AD236" s="57" t="s">
        <v>181</v>
      </c>
      <c r="AE236" s="57" t="s">
        <v>665</v>
      </c>
      <c r="AF236" s="46" t="s">
        <v>666</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1.6099000000000001</v>
      </c>
      <c r="G237" s="151" cm="1">
        <f t="array" ref="G237">Scope3_Equations.VEERG_15_4_1_1__1_EmissionsFromPurchasedFertiliser(E237,F237)</f>
        <v>16.099000000000004</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16.099</v>
      </c>
      <c r="I237" s="66">
        <v>0.4</v>
      </c>
      <c r="J237" s="151" cm="1">
        <f t="array" ref="J237">Scope3_Equations.VEERG_15_4_1_1__1_EmissionsFromPurchasedFertiliser(E237,I237)</f>
        <v>4</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13.25</v>
      </c>
      <c r="L237" s="82"/>
      <c r="M237" s="47"/>
      <c r="N237"/>
      <c r="O237" s="49" t="str" cm="1">
        <f t="array" ref="O237:O246">IFERROR(INDEX(Table_Input_InorganicFertiliser_Custom[Urea source (Select)], _xlfn.SEQUENCE(10)), "")</f>
        <v>Canada</v>
      </c>
      <c r="P237" s="49" t="str" cm="1">
        <f t="array" ref="P237:P246">IFERROR(INDEX(Table_Input_InorganicFertiliser_Custom[Ammonia source (select)], _xlfn.SEQUENCE(10)), "")</f>
        <v>Global</v>
      </c>
      <c r="Q237" s="49" t="str" cm="1">
        <f t="array" ref="Q237:Q246">IFERROR(INDEX(Table_Input_InorganicFertiliser_Custom[Ingredient 1 (select)], _xlfn.SEQUENCE(10)), "")</f>
        <v>Ammonia</v>
      </c>
      <c r="R237" s="49" cm="1">
        <f t="array" ref="R237:R246">IFERROR(INDEX(_xlfn.LET(_xlpm.result, Table_Input_InorganicFertiliser_Custom[Ingredient 1 percent], IF(_xlpm.result="", 0, _xlpm.result)), _xlfn.SEQUENCE(10)), 0)</f>
        <v>0.45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2.3199999999999998</v>
      </c>
      <c r="T237" s="66">
        <v>0.9</v>
      </c>
      <c r="U237" s="49" t="str" cm="1">
        <f t="array" ref="U237:U246">IFERROR(INDEX(Table_Input_InorganicFertiliser_Custom[Ingredient 2], _xlfn.SEQUENCE(10)), "")</f>
        <v>Calcium nitrate</v>
      </c>
      <c r="V237" s="49" cm="1">
        <f t="array" ref="V237:V246">IFERROR(INDEX(_xlfn.LET(_xlpm.result, Table_Input_InorganicFertiliser_Custom[Ingredient 2 percent], IF(_xlpm.result="", 0, _xlpm.result)), _xlfn.SEQUENCE(10)), 0)</f>
        <v>0.3</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0.75</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0.1</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v>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0.9527000000000001</v>
      </c>
      <c r="G238" s="151" cm="1">
        <f t="array" ref="G238">Scope3_Equations.VEERG_15_4_1_1__1_EmissionsFromPurchasedFertiliser(E238,F238)</f>
        <v>9.5270000000000028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9.527000000000001</v>
      </c>
      <c r="I238" s="66">
        <v>0.9</v>
      </c>
      <c r="J238" s="151" cm="1">
        <f t="array" ref="J238">Scope3_Equations.VEERG_15_4_1_1__1_EmissionsFromPurchasedFertiliser(E238,I238)</f>
        <v>9</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9.527000000000001</v>
      </c>
      <c r="L238" s="82"/>
      <c r="M238" s="47"/>
      <c r="N238" s="82"/>
      <c r="O238" s="49" t="str">
        <v>Canada</v>
      </c>
      <c r="P238" s="49" t="str">
        <v>Canada</v>
      </c>
      <c r="Q238" s="49" t="str">
        <v>Urea</v>
      </c>
      <c r="R238" s="49">
        <v>0.9</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0.82299999999999995</v>
      </c>
      <c r="T238" s="66"/>
      <c r="U238" s="49" t="str">
        <v>Ammonia</v>
      </c>
      <c r="V238" s="49">
        <v>0.1</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2.12</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674</v>
      </c>
      <c r="E248" s="177" t="e">
        <f>SUM(G221:G230)+SUM(G237:G246)</f>
        <v>#VALUE!</v>
      </c>
      <c r="F248" s="178" t="str">
        <f>$E$155</f>
        <v>t CO2e</v>
      </c>
    </row>
    <row r="249" spans="3:41" ht="20.100000000000001" customHeight="1" x14ac:dyDescent="0.25">
      <c r="D249" s="179" t="s">
        <v>675</v>
      </c>
      <c r="E249" s="177">
        <f>SUM(J221:J230)+SUM(J237:J246)</f>
        <v>13</v>
      </c>
      <c r="F249" s="178" t="str">
        <f>$E$155</f>
        <v>t CO2e</v>
      </c>
    </row>
    <row r="250" spans="3:41" ht="20.100000000000001" customHeight="1" x14ac:dyDescent="0.25"/>
    <row r="251" spans="3:41" ht="20.100000000000001" customHeight="1" x14ac:dyDescent="0.25">
      <c r="D251" s="179" t="s">
        <v>676</v>
      </c>
      <c r="E251" s="177" t="e">
        <f>SUM(H221:H230)+SUM(H237:H246)</f>
        <v>#VALUE!</v>
      </c>
      <c r="F251" s="178" t="str">
        <f>$E$155</f>
        <v>t CO2e</v>
      </c>
    </row>
    <row r="252" spans="3:41" ht="20.100000000000001" customHeight="1" x14ac:dyDescent="0.25">
      <c r="D252" s="179" t="s">
        <v>677</v>
      </c>
      <c r="E252" s="177" t="e">
        <f>SUM(K221:K230)+SUM(K237:K246)</f>
        <v>#VALUE!</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629</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630</v>
      </c>
      <c r="E262" s="8" t="str" cm="1">
        <f t="array" ref="E262">Scope3_Equations.VEERG_15_5_1_1__1_EmissionsFromPurchasedAgrichemicals_Variable()</f>
        <v>E</v>
      </c>
    </row>
    <row r="263" spans="4:9" ht="20.100000000000001" customHeight="1" x14ac:dyDescent="0.25">
      <c r="D263" s="27" t="s">
        <v>97</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683</v>
      </c>
      <c r="E269" s="46" t="s">
        <v>205</v>
      </c>
      <c r="F269" s="57" t="s">
        <v>684</v>
      </c>
      <c r="G269" s="57" t="s">
        <v>636</v>
      </c>
      <c r="H269" s="46" t="s">
        <v>685</v>
      </c>
      <c r="I269" s="57" t="s">
        <v>638</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636</v>
      </c>
      <c r="E283" s="177">
        <f>SUM(G270:G281)</f>
        <v>7.5159999999999991</v>
      </c>
      <c r="F283" s="178" t="str">
        <f>$E$155</f>
        <v>t CO2e</v>
      </c>
    </row>
    <row r="284" spans="3:41" ht="20.25" x14ac:dyDescent="0.25">
      <c r="D284" s="179" t="s">
        <v>638</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629</v>
      </c>
      <c r="E290" s="172" t="str" cm="1">
        <f t="array" aca="1" ref="E290" ca="1">Common_InputFunctions.Utility_DisplayFunctionName(I305)</f>
        <v>=Scope3_Equations.VEERG_15_6_1_1__1_EmissionsFromPurchasedLime</v>
      </c>
    </row>
    <row r="293" spans="4:13" x14ac:dyDescent="0.25">
      <c r="D293" s="27" t="s">
        <v>630</v>
      </c>
      <c r="E293" s="8" t="str" cm="1">
        <f t="array" ref="E293">Scope3_Equations.VEERG_15_6_1_1__1_EmissionsFromPurchasedLime_Variable()</f>
        <v>E</v>
      </c>
    </row>
    <row r="294" spans="4:13" x14ac:dyDescent="0.25">
      <c r="D294" s="27" t="s">
        <v>97</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413</v>
      </c>
      <c r="F299" s="46" t="s">
        <v>414</v>
      </c>
    </row>
    <row r="300" spans="4:13" ht="18.75" x14ac:dyDescent="0.25">
      <c r="D300" s="8" t="s">
        <v>688</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689</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690</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170</v>
      </c>
      <c r="E304" s="152" t="s">
        <v>686</v>
      </c>
      <c r="F304" s="46" t="s">
        <v>691</v>
      </c>
      <c r="G304" s="46" t="s">
        <v>692</v>
      </c>
      <c r="H304" s="46" t="s">
        <v>693</v>
      </c>
      <c r="I304" s="57" t="s">
        <v>636</v>
      </c>
      <c r="J304" s="57" t="s">
        <v>687</v>
      </c>
      <c r="K304" s="46" t="s">
        <v>632</v>
      </c>
      <c r="L304" s="46" t="s">
        <v>633</v>
      </c>
      <c r="M304" s="46" t="s">
        <v>634</v>
      </c>
    </row>
    <row r="305" spans="3:41" x14ac:dyDescent="0.25">
      <c r="D305" s="49" t="str" cm="1">
        <f t="array" ref="D305:D314">IFERROR(INDEX(Table_Input_Lime[Product], _xlfn.SEQUENCE(10)), "")</f>
        <v>Lime product 1</v>
      </c>
      <c r="E305" s="49" cm="1">
        <f t="array" ref="E305:E314">IFERROR(INDEX(Table_Input_Lime[Total amount applied (t)], _xlfn.SEQUENCE(10)), 0)</f>
        <v>10000</v>
      </c>
      <c r="F305" s="49" cm="1">
        <f t="array" ref="F305:F314">IFERROR(INDEX(Table_Input_Lime[Percent Lime CaCO3], _xlfn.SEQUENCE(10)), 0)*E305</f>
        <v>4000</v>
      </c>
      <c r="G305" s="49" cm="1">
        <f t="array" ref="G305:G314">IFERROR(INDEX(Table_Input_Lime[Percent Dolomite CaMg(CO3)2], _xlfn.SEQUENCE(10)), 0)*E305</f>
        <v>3000</v>
      </c>
      <c r="H305" s="49" cm="1">
        <f t="array" ref="H305:H314">IFERROR(INDEX(Table_Input_Lime[Percent Gypsum], _xlfn.SEQUENCE(10)), 0)*E305</f>
        <v>2500</v>
      </c>
      <c r="I305" s="151" cm="1">
        <f t="array" ref="I305">Scope3_Equations.VEERG_15_6_1_1__1_EmissionsFromPurchasedLime(F305,$E$300)+
Scope3_Equations.VEERG_15_6_1_1__1_EmissionsFromPurchasedLime(G305,$E$301)+
Scope3_Equations.VEERG_15_6_1_1__1_EmissionsFromPurchasedLime(H305,$E$302)</f>
        <v>0.55259999999999998</v>
      </c>
      <c r="J305" s="151" cm="1">
        <f t="array" ref="J305">Scope3_Equations.VEERG_15_6_1_1__1_EmissionsFromPurchasedLime(F305,IF($F$300,$F$300,$E$300))+
Scope3_Equations.VEERG_15_6_1_1__1_EmissionsFromPurchasedLime(G305,IF($F$301,$F$301,$E$301))+
Scope3_Equations.VEERG_15_6_1_1__1_EmissionsFromPurchasedLime(H305,IF($F$302,$F$302,$E$302))</f>
        <v>0.49</v>
      </c>
      <c r="K305" s="82"/>
      <c r="L305" s="47"/>
      <c r="M305" s="82"/>
    </row>
    <row r="306" spans="3:41" x14ac:dyDescent="0.25">
      <c r="D306" s="49" t="str">
        <v>Lime product 2</v>
      </c>
      <c r="E306" s="49">
        <v>10000</v>
      </c>
      <c r="F306" s="49">
        <v>10000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0.48499999999999999</v>
      </c>
      <c r="J306" s="151" cm="1">
        <f t="array" ref="J306">Scope3_Equations.VEERG_15_6_1_1__1_EmissionsFromPurchasedLime(F306,IF($F$300,$F$300,$E$300))+
Scope3_Equations.VEERG_15_6_1_1__1_EmissionsFromPurchasedLime(G306,IF($F$301,$F$301,$E$301))+
Scope3_Equations.VEERG_15_6_1_1__1_EmissionsFromPurchasedLime(H306,IF($F$302,$F$302,$E$302))</f>
        <v>0.4</v>
      </c>
      <c r="K306" s="82"/>
      <c r="L306" s="47"/>
      <c r="M306" s="82"/>
    </row>
    <row r="307" spans="3:41" x14ac:dyDescent="0.25">
      <c r="D307" s="49" t="str">
        <v/>
      </c>
      <c r="E307" s="49">
        <v>0</v>
      </c>
      <c r="F307" s="49">
        <v>0</v>
      </c>
      <c r="G307" s="49">
        <v>0</v>
      </c>
      <c r="H307" s="49">
        <v>0</v>
      </c>
      <c r="I307" s="151" cm="1">
        <f t="array" ref="I307">Scope3_Equations.VEERG_15_6_1_1__1_EmissionsFromPurchasedLime(F307,$E$300)+
Scope3_Equations.VEERG_15_6_1_1__1_EmissionsFromPurchasedLime(G307,$E$301)+
Scope3_Equations.VEERG_15_6_1_1__1_EmissionsFromPurchasedLime(H307,$E$302)</f>
        <v>0</v>
      </c>
      <c r="J307" s="151" cm="1">
        <f t="array" ref="J307">Scope3_Equations.VEERG_15_6_1_1__1_EmissionsFromPurchasedLime(F307,IF($F$300,$F$300,$E$300))+
Scope3_Equations.VEERG_15_6_1_1__1_EmissionsFromPurchasedLime(G307,IF($F$301,$F$301,$E$301))+
Scope3_Equations.VEERG_15_6_1_1__1_EmissionsFromPurchasedLime(H307,IF($F$302,$F$302,$E$302))</f>
        <v>0</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636</v>
      </c>
      <c r="E316" s="177">
        <f>SUM(I305:I314)</f>
        <v>1.0375999999999999</v>
      </c>
      <c r="F316" s="178" t="str">
        <f>$E$155</f>
        <v>t CO2e</v>
      </c>
    </row>
    <row r="317" spans="3:41" ht="20.25" x14ac:dyDescent="0.25">
      <c r="D317" s="179" t="s">
        <v>638</v>
      </c>
      <c r="E317" s="177">
        <f>SUM(J305:J314)</f>
        <v>0.89</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629</v>
      </c>
      <c r="E323" s="172" t="str" cm="1">
        <f t="array" aca="1" ref="E323" ca="1">Common_InputFunctions.Utility_DisplayFunctionName(K336)</f>
        <v>=Scope3_Equations.VEERG_15_7_1_1__1_EmissionsFromPurchasedServices</v>
      </c>
    </row>
    <row r="325" spans="4:15" x14ac:dyDescent="0.25">
      <c r="H325" s="8" t="s">
        <v>860</v>
      </c>
    </row>
    <row r="326" spans="4:15" x14ac:dyDescent="0.25">
      <c r="D326" s="27" t="s">
        <v>630</v>
      </c>
      <c r="E326" s="8" t="str" cm="1">
        <f t="array" ref="E326">Scope3_Equations.VEERG_15_7_1_1__1_EmissionsFromPurchasedServices_Variable()</f>
        <v>E</v>
      </c>
    </row>
    <row r="327" spans="4:15" x14ac:dyDescent="0.25">
      <c r="D327" s="27" t="s">
        <v>97</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694</v>
      </c>
    </row>
    <row r="335" spans="4:15" x14ac:dyDescent="0.25">
      <c r="D335" s="46" t="s">
        <v>610</v>
      </c>
      <c r="E335" s="46" t="s">
        <v>619</v>
      </c>
      <c r="F335" s="46" t="s">
        <v>614</v>
      </c>
      <c r="G335" s="46" t="s">
        <v>126</v>
      </c>
      <c r="H335" s="57" t="s">
        <v>419</v>
      </c>
      <c r="I335" s="57" t="s">
        <v>356</v>
      </c>
      <c r="J335" s="46" t="s">
        <v>420</v>
      </c>
      <c r="K335" s="57" t="s">
        <v>357</v>
      </c>
      <c r="L335" s="57" t="s">
        <v>615</v>
      </c>
      <c r="M335" s="46" t="s">
        <v>632</v>
      </c>
      <c r="N335" s="46" t="s">
        <v>633</v>
      </c>
      <c r="O335" s="46" t="s">
        <v>634</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825</v>
      </c>
      <c r="I336" s="49" t="s">
        <v>825</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825</v>
      </c>
      <c r="I337" s="49" t="s">
        <v>825</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825</v>
      </c>
      <c r="I338" s="49" t="s">
        <v>825</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825</v>
      </c>
      <c r="I339" s="49" t="s">
        <v>825</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825</v>
      </c>
      <c r="I340" s="49" t="s">
        <v>825</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825</v>
      </c>
      <c r="I341" s="49" t="s">
        <v>825</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825</v>
      </c>
      <c r="I342" s="49" t="s">
        <v>825</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825</v>
      </c>
      <c r="I343" s="49" t="s">
        <v>825</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825</v>
      </c>
      <c r="I344" s="49" t="s">
        <v>825</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825</v>
      </c>
      <c r="I345" s="49" t="s">
        <v>825</v>
      </c>
      <c r="J345" s="66"/>
      <c r="K345" s="151" cm="1">
        <f t="array" ref="K345">Scope3_Equations.VEERG_15_7_1_1__1_EmissionsFromPurchasedServices(F345,J345)</f>
        <v>0</v>
      </c>
      <c r="L345" s="49" t="str">
        <f t="shared" si="1"/>
        <v>t CO2e / 0</v>
      </c>
      <c r="M345" s="82"/>
      <c r="N345" s="47"/>
      <c r="O345" s="82"/>
    </row>
    <row r="347" spans="3:41" ht="20.25" x14ac:dyDescent="0.25">
      <c r="D347" s="179" t="s">
        <v>636</v>
      </c>
      <c r="E347" s="177" t="s">
        <v>825</v>
      </c>
      <c r="F347" s="178" t="str">
        <f>$E$155</f>
        <v>t CO2e</v>
      </c>
    </row>
    <row r="348" spans="3:41" ht="20.25" x14ac:dyDescent="0.25">
      <c r="D348" s="179" t="s">
        <v>638</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629</v>
      </c>
      <c r="E355" s="172" t="str" cm="1">
        <f t="array" aca="1" ref="E355" ca="1">Common_InputFunctions.Utility_DisplayFunctionName(H367)</f>
        <v>=Scope3_Equations.VEERG_15_8_1_1__1_EmissionsFromPurchasedPackaging</v>
      </c>
    </row>
    <row r="359" spans="4:13" x14ac:dyDescent="0.25">
      <c r="D359" s="27" t="s">
        <v>630</v>
      </c>
      <c r="E359" s="8" t="str" cm="1">
        <f t="array" ref="E359">Scope3_Equations.VEERG_15_8_1_1__1_EmissionsFromPurchasedPackaging_Variable()</f>
        <v>E</v>
      </c>
    </row>
    <row r="360" spans="4:13" x14ac:dyDescent="0.25">
      <c r="D360" s="27" t="s">
        <v>97</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364</v>
      </c>
      <c r="E366" s="152" t="s">
        <v>409</v>
      </c>
      <c r="F366" s="152" t="s">
        <v>695</v>
      </c>
      <c r="G366" s="57" t="s">
        <v>696</v>
      </c>
      <c r="H366" s="57" t="s">
        <v>636</v>
      </c>
      <c r="I366" s="46" t="s">
        <v>697</v>
      </c>
      <c r="J366" s="57" t="s">
        <v>638</v>
      </c>
      <c r="K366" s="46" t="s">
        <v>632</v>
      </c>
      <c r="L366" s="46" t="s">
        <v>633</v>
      </c>
      <c r="M366" s="46" t="s">
        <v>634</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636</v>
      </c>
      <c r="E378" s="177">
        <f>SUM(H367:H376)</f>
        <v>7.44</v>
      </c>
      <c r="F378" s="178" t="str">
        <f>$E$155</f>
        <v>t CO2e</v>
      </c>
    </row>
    <row r="379" spans="3:41" ht="20.25" x14ac:dyDescent="0.25">
      <c r="D379" s="179" t="s">
        <v>638</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629</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630</v>
      </c>
      <c r="E389" s="8" t="str" cm="1">
        <f t="array" ref="E389">Scope3_Equations.VEERG_15_9_1_1__1_EmissionsFromPurchasedGrowMedia_Variable()</f>
        <v>E</v>
      </c>
    </row>
    <row r="390" spans="4:14" x14ac:dyDescent="0.25">
      <c r="D390" s="27" t="s">
        <v>97</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694</v>
      </c>
    </row>
    <row r="398" spans="4:14" x14ac:dyDescent="0.25">
      <c r="D398" s="46" t="s">
        <v>699</v>
      </c>
      <c r="E398" s="46" t="s">
        <v>614</v>
      </c>
      <c r="F398" s="46" t="s">
        <v>126</v>
      </c>
      <c r="G398" s="57" t="s">
        <v>419</v>
      </c>
      <c r="H398" s="57" t="s">
        <v>356</v>
      </c>
      <c r="I398" s="46" t="s">
        <v>420</v>
      </c>
      <c r="J398" s="57" t="s">
        <v>357</v>
      </c>
      <c r="K398" s="57" t="s">
        <v>615</v>
      </c>
      <c r="L398" s="46" t="s">
        <v>632</v>
      </c>
      <c r="M398" s="46" t="s">
        <v>633</v>
      </c>
      <c r="N398" s="46" t="s">
        <v>634</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825</v>
      </c>
      <c r="H399" s="49" t="s">
        <v>825</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825</v>
      </c>
      <c r="H400" s="49" t="s">
        <v>825</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825</v>
      </c>
      <c r="H401" s="49" t="s">
        <v>825</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825</v>
      </c>
      <c r="H402" s="49" t="s">
        <v>825</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825</v>
      </c>
      <c r="H403" s="49" t="s">
        <v>825</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825</v>
      </c>
      <c r="H404" s="49" t="s">
        <v>825</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825</v>
      </c>
      <c r="H405" s="49" t="s">
        <v>825</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825</v>
      </c>
      <c r="H406" s="49" t="s">
        <v>825</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825</v>
      </c>
      <c r="H407" s="49" t="s">
        <v>825</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825</v>
      </c>
      <c r="H408" s="49" t="s">
        <v>825</v>
      </c>
      <c r="I408" s="66"/>
      <c r="J408" s="151" cm="1">
        <f t="array" ref="J408">Scope3_Equations.VEERG_15_9_1_1__1_EmissionsFromPurchasedGrowMedia(E408,I408)</f>
        <v>0</v>
      </c>
      <c r="K408" s="49" t="str">
        <f t="shared" si="2"/>
        <v>t CO2e / 0</v>
      </c>
      <c r="L408" s="82"/>
      <c r="M408" s="47"/>
      <c r="N408" s="82"/>
    </row>
    <row r="410" spans="3:41" ht="20.25" x14ac:dyDescent="0.25">
      <c r="D410" s="179" t="s">
        <v>636</v>
      </c>
      <c r="E410" s="177" t="s">
        <v>825</v>
      </c>
      <c r="F410" s="178" t="str">
        <f>$E$155</f>
        <v>t CO2e</v>
      </c>
    </row>
    <row r="411" spans="3:41" ht="20.25" x14ac:dyDescent="0.25">
      <c r="D411" s="179" t="s">
        <v>638</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707</v>
      </c>
    </row>
    <row r="418" spans="4:13" x14ac:dyDescent="0.25">
      <c r="D418" s="172" t="s">
        <v>629</v>
      </c>
      <c r="E418" s="172" t="str" cm="1">
        <f t="array" aca="1" ref="E418" ca="1">Common_InputFunctions.Utility_DisplayFunctionName(H430)</f>
        <v>=Scope3_Equations.VEERG_15_10_1_1__1_OtherPurchasedGoodsAndServices</v>
      </c>
    </row>
    <row r="421" spans="4:13" x14ac:dyDescent="0.25">
      <c r="D421" s="27" t="s">
        <v>630</v>
      </c>
      <c r="E421" s="8" t="str" cm="1">
        <f t="array" ref="E421">Scope3_Equations.VEERG_15_10_1_1__1_OtherPurchasedGoodsAndServices_Variable()</f>
        <v>emissions</v>
      </c>
    </row>
    <row r="422" spans="4:13" x14ac:dyDescent="0.25">
      <c r="D422" s="27" t="s">
        <v>97</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378</v>
      </c>
    </row>
    <row r="429" spans="4:13" x14ac:dyDescent="0.25">
      <c r="D429" s="46" t="s">
        <v>364</v>
      </c>
      <c r="E429" s="152" t="s">
        <v>286</v>
      </c>
      <c r="F429" s="152" t="s">
        <v>380</v>
      </c>
      <c r="G429" s="57" t="s">
        <v>358</v>
      </c>
      <c r="H429" s="57" t="s">
        <v>636</v>
      </c>
      <c r="I429" s="46" t="s">
        <v>361</v>
      </c>
      <c r="J429" s="57" t="s">
        <v>638</v>
      </c>
      <c r="K429" s="46" t="s">
        <v>632</v>
      </c>
      <c r="L429" s="46" t="s">
        <v>633</v>
      </c>
      <c r="M429" s="46" t="s">
        <v>634</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636</v>
      </c>
      <c r="E441" s="177">
        <f>SUM(H430:H439)</f>
        <v>0.50509999999999999</v>
      </c>
      <c r="F441" s="178" t="str">
        <f>$E$155</f>
        <v>t CO2e</v>
      </c>
    </row>
    <row r="442" spans="4:13" ht="20.25" x14ac:dyDescent="0.25">
      <c r="D442" s="179" t="s">
        <v>638</v>
      </c>
      <c r="E442" s="177">
        <f>SUM(J430:J439)</f>
        <v>2.73</v>
      </c>
      <c r="F442" s="178" t="str">
        <f>$E$155</f>
        <v>t CO2e</v>
      </c>
    </row>
    <row r="445" spans="4:13" ht="18.75" x14ac:dyDescent="0.25">
      <c r="D445" s="144" t="s">
        <v>379</v>
      </c>
    </row>
    <row r="447" spans="4:13" x14ac:dyDescent="0.25">
      <c r="D447" s="46" t="s">
        <v>364</v>
      </c>
      <c r="E447" s="152" t="s">
        <v>286</v>
      </c>
      <c r="F447" s="152" t="s">
        <v>377</v>
      </c>
      <c r="G447" s="57" t="s">
        <v>620</v>
      </c>
      <c r="H447" s="57" t="s">
        <v>636</v>
      </c>
      <c r="I447" s="46" t="s">
        <v>621</v>
      </c>
      <c r="J447" s="57" t="s">
        <v>638</v>
      </c>
      <c r="K447" s="46" t="s">
        <v>632</v>
      </c>
      <c r="L447" s="46" t="s">
        <v>633</v>
      </c>
      <c r="M447" s="46" t="s">
        <v>634</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636</v>
      </c>
      <c r="E459" s="177">
        <f>SUM(H448:H457)</f>
        <v>1.5636000000000001E-2</v>
      </c>
      <c r="F459" s="178" t="str">
        <f>$E$155</f>
        <v>t CO2e</v>
      </c>
    </row>
    <row r="460" spans="4:13" ht="20.25" x14ac:dyDescent="0.25">
      <c r="D460" s="179" t="s">
        <v>638</v>
      </c>
      <c r="E460" s="177">
        <f>SUM(J448:J457)</f>
        <v>1.3400000000000002E-2</v>
      </c>
      <c r="F460" s="178" t="str">
        <f>$E$155</f>
        <v>t CO2e</v>
      </c>
    </row>
    <row r="463" spans="4:13" ht="18.75" x14ac:dyDescent="0.25">
      <c r="D463" s="144" t="s">
        <v>415</v>
      </c>
    </row>
    <row r="465" spans="4:12" x14ac:dyDescent="0.25">
      <c r="D465" s="46" t="s">
        <v>170</v>
      </c>
      <c r="E465" s="46" t="s">
        <v>708</v>
      </c>
      <c r="F465" s="57" t="s">
        <v>620</v>
      </c>
      <c r="G465" s="57" t="s">
        <v>636</v>
      </c>
      <c r="H465" s="46" t="s">
        <v>621</v>
      </c>
      <c r="I465" s="57" t="s">
        <v>638</v>
      </c>
      <c r="J465" s="46" t="s">
        <v>632</v>
      </c>
      <c r="K465" s="46" t="s">
        <v>633</v>
      </c>
      <c r="L465" s="46" t="s">
        <v>634</v>
      </c>
    </row>
    <row r="466" spans="4:12" x14ac:dyDescent="0.25">
      <c r="D466" s="49" t="str">
        <f>'Input - Crop pasture farm input'!D23</f>
        <v>Barley grain (for seed)</v>
      </c>
      <c r="E466" s="49">
        <f>IFERROR(X_Cell_FarmInputs_Seed_BarleyGrain, 0)</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IFERROR(X_Cell_FarmInputs_Seed_MaizeGrain, 0)</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IFERROR(X_Cell_FarmInputs_Seed_OatGrain, 0)</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IFERROR(X_Cell_FarmInputs_Seed_SorghumGrain, 0)</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IFERROR(X_Cell_FarmInputs_Seed_WheatGrain, 0)</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636</v>
      </c>
      <c r="E472" s="177">
        <f>SUM(G466:G470)</f>
        <v>0.84389999999999998</v>
      </c>
      <c r="F472" s="178" t="str">
        <f>$E$155</f>
        <v>t CO2e</v>
      </c>
    </row>
    <row r="473" spans="4:12" ht="20.25" x14ac:dyDescent="0.25">
      <c r="D473" s="179" t="s">
        <v>638</v>
      </c>
      <c r="E473" s="177">
        <f>SUM(I466:I470)</f>
        <v>0.71420000000000006</v>
      </c>
      <c r="F473" s="178" t="str">
        <f>$E$155</f>
        <v>t CO2e</v>
      </c>
    </row>
    <row r="476" spans="4:12" ht="18.75" x14ac:dyDescent="0.25">
      <c r="D476" s="144" t="s">
        <v>709</v>
      </c>
    </row>
    <row r="478" spans="4:12" x14ac:dyDescent="0.25">
      <c r="D478" s="46" t="s">
        <v>170</v>
      </c>
      <c r="E478" s="46" t="s">
        <v>708</v>
      </c>
      <c r="F478" s="57" t="s">
        <v>620</v>
      </c>
      <c r="G478" s="57" t="s">
        <v>636</v>
      </c>
      <c r="H478" s="46" t="s">
        <v>621</v>
      </c>
      <c r="I478" s="57" t="s">
        <v>638</v>
      </c>
      <c r="J478" s="46" t="s">
        <v>632</v>
      </c>
      <c r="K478" s="46" t="s">
        <v>633</v>
      </c>
      <c r="L478" s="46" t="s">
        <v>634</v>
      </c>
    </row>
    <row r="479" spans="4:12" x14ac:dyDescent="0.25">
      <c r="D479" s="49" t="str">
        <f>'Input - Livestock farm Inputs'!D47</f>
        <v>Animal ear tags (large)</v>
      </c>
      <c r="E479" s="49">
        <f>IFERROR(X_Cell_FarmInputs_Misc_AnimalEarTagsLarge, 0)</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IFERROR(X_Cell_FarmInputs_Misc_AnimalEarTagsSmall, 0)</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IFERROR(X_Cell_FarmInputs_Misc_NylonNetting, 0)</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636</v>
      </c>
      <c r="E483" s="177">
        <f>SUM(G479:G481)</f>
        <v>2.9531000000000005</v>
      </c>
      <c r="F483" s="178" t="str">
        <f>$E$155</f>
        <v>t CO2e</v>
      </c>
    </row>
    <row r="484" spans="4:14" ht="20.25" x14ac:dyDescent="0.25">
      <c r="D484" s="179" t="s">
        <v>638</v>
      </c>
      <c r="E484" s="177">
        <f>SUM(I479:I481)</f>
        <v>8.5860000000000006E-2</v>
      </c>
      <c r="F484" s="178" t="str">
        <f>$E$155</f>
        <v>t CO2e</v>
      </c>
    </row>
    <row r="487" spans="4:14" ht="18.75" x14ac:dyDescent="0.25">
      <c r="D487" s="144" t="s">
        <v>710</v>
      </c>
    </row>
    <row r="489" spans="4:14" x14ac:dyDescent="0.25">
      <c r="D489" s="46" t="s">
        <v>170</v>
      </c>
      <c r="E489" s="46" t="s">
        <v>602</v>
      </c>
      <c r="F489" s="46" t="s">
        <v>126</v>
      </c>
      <c r="G489" s="57" t="s">
        <v>419</v>
      </c>
      <c r="H489" s="57" t="s">
        <v>356</v>
      </c>
      <c r="I489" s="46" t="s">
        <v>420</v>
      </c>
      <c r="J489" s="46" t="s">
        <v>705</v>
      </c>
      <c r="K489" s="57" t="s">
        <v>357</v>
      </c>
      <c r="L489" s="46" t="s">
        <v>632</v>
      </c>
      <c r="M489" s="46" t="s">
        <v>633</v>
      </c>
      <c r="N489" s="46" t="s">
        <v>634</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825</v>
      </c>
      <c r="H490" s="49" t="s">
        <v>825</v>
      </c>
      <c r="I490" s="66">
        <v>4</v>
      </c>
      <c r="J490" s="47" t="s">
        <v>706</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825</v>
      </c>
      <c r="H491" s="49" t="s">
        <v>825</v>
      </c>
      <c r="I491" s="66">
        <v>2</v>
      </c>
      <c r="J491" s="47" t="s">
        <v>706</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825</v>
      </c>
      <c r="H492" s="49" t="s">
        <v>825</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825</v>
      </c>
      <c r="H493" s="49" t="s">
        <v>825</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825</v>
      </c>
      <c r="H494" s="49" t="s">
        <v>825</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825</v>
      </c>
      <c r="H495" s="49" t="s">
        <v>825</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825</v>
      </c>
      <c r="H496" s="49" t="s">
        <v>825</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825</v>
      </c>
      <c r="H497" s="49" t="s">
        <v>825</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825</v>
      </c>
      <c r="H498" s="49" t="s">
        <v>825</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825</v>
      </c>
      <c r="H499" s="49" t="s">
        <v>825</v>
      </c>
      <c r="I499" s="66"/>
      <c r="J499" s="47"/>
      <c r="K499" s="151" cm="1">
        <f t="array" ref="K499">Scope3_Equations.VEERG_15_10_1_1__1_OtherPurchasedGoodsAndServices(E499,IF(J499="kg / amount unit", I499*10^-3, I499))</f>
        <v>0</v>
      </c>
      <c r="L499" s="82"/>
      <c r="M499" s="47"/>
      <c r="N499" s="82"/>
    </row>
    <row r="501" spans="3:41" ht="20.25" x14ac:dyDescent="0.25">
      <c r="D501" s="179" t="s">
        <v>636</v>
      </c>
      <c r="E501" s="177" t="s">
        <v>825</v>
      </c>
      <c r="F501" s="178" t="str">
        <f>$E$155</f>
        <v>t CO2e</v>
      </c>
    </row>
    <row r="502" spans="3:41" ht="20.25" x14ac:dyDescent="0.25">
      <c r="D502" s="179" t="s">
        <v>638</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629</v>
      </c>
      <c r="E508" s="172" t="str">
        <f ca="1">Common_InputFunctions.Utility_DisplayFunctionName(VEERG_15_11_1_1__1_TotalUpstreamEmissionsFromFuel_Result)</f>
        <v>=Scope3_Equations.VEERG_15_11_1_1__1_TotalUpstreamEmissionsFromFuel</v>
      </c>
    </row>
    <row r="512" spans="3:41" x14ac:dyDescent="0.25">
      <c r="D512" s="27" t="s">
        <v>630</v>
      </c>
      <c r="E512" s="8" t="str" cm="1">
        <f t="array" ref="E512">Scope3_Equations.VEERG_15_11_1_1__1_TotalUpstreamEmissionsFromFuel_Variable()</f>
        <v>E</v>
      </c>
    </row>
    <row r="513" spans="3:41" x14ac:dyDescent="0.25">
      <c r="D513" s="27" t="s">
        <v>97</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0.13355600000000001</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2.6200000000000004E-3</v>
      </c>
    </row>
    <row r="518" spans="3:41" ht="20.25" x14ac:dyDescent="0.25">
      <c r="D518" s="179" t="s">
        <v>744</v>
      </c>
      <c r="E518" s="177" cm="1">
        <f t="array" ref="E518">Scope3_Equations.VEERG_15_11_1_1__1_TotalUpstreamEmissionsFromFuel(I515,I516)</f>
        <v>0.13617600000000002</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629</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630</v>
      </c>
      <c r="E526" s="8" t="str" cm="1">
        <f t="array" ref="E526">Scope3_Equations.VEERG_15_12_1_1__1_UpstreamPurchasedElectricityLocationBased_Variable()</f>
        <v>E_3elec</v>
      </c>
    </row>
    <row r="527" spans="3:41" x14ac:dyDescent="0.25">
      <c r="D527" s="27" t="s">
        <v>97</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500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0.06</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South West Interconnected System (SWIS)</v>
      </c>
      <c r="J531" s="166"/>
    </row>
    <row r="533" spans="3:41" ht="20.25" x14ac:dyDescent="0.25">
      <c r="D533" s="179" t="s">
        <v>745</v>
      </c>
      <c r="E533" s="177" cm="1">
        <f t="array" ref="E533">Scope3_Equations.VEERG_15_12_1_1__1_UpstreamPurchasedElectricityLocationBased(I529,I530)</f>
        <v>0.03</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629</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630</v>
      </c>
      <c r="E544" s="8" t="str" cm="1">
        <f t="array" ref="E544">Scope3_Equations.VEERG_15_12_1_2__1_UpstreamPurchasedElectricityMarketBased_Variable()</f>
        <v>E_3elec</v>
      </c>
    </row>
    <row r="545" spans="3:41" x14ac:dyDescent="0.25">
      <c r="D545" s="27" t="s">
        <v>97</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ACT</v>
      </c>
    </row>
    <row r="555" spans="3:41" ht="20.25" x14ac:dyDescent="0.25">
      <c r="D555" s="179" t="s">
        <v>745</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629</v>
      </c>
      <c r="E561" s="172" t="str" cm="1">
        <f t="array" aca="1" ref="E561" ca="1">Common_InputFunctions.Utility_DisplayFunctionName(E573)</f>
        <v>=Scope3_Equations.VEERG_15_13_1_1__1_EmissionsFromManureSentOffSite</v>
      </c>
    </row>
    <row r="564" spans="4:18" x14ac:dyDescent="0.25">
      <c r="D564" s="27" t="s">
        <v>630</v>
      </c>
      <c r="E564" s="8" t="str" cm="1">
        <f t="array" ref="E564">Scope3_Equations.VEERG_15_13_1_1__1_EmissionsFromManureSentOffSite_Variable()</f>
        <v>E</v>
      </c>
    </row>
    <row r="565" spans="4:18" x14ac:dyDescent="0.25">
      <c r="D565" s="27" t="s">
        <v>97</v>
      </c>
      <c r="E565" s="13" t="str" cm="1">
        <f t="array" ref="E565">Scope3_Equations.VEERG_15_13_1_1__1_EmissionsFromManureSentOffSite_Unit()</f>
        <v>t N2O</v>
      </c>
    </row>
    <row r="567" spans="4:18" x14ac:dyDescent="0.25">
      <c r="D567" s="7" t="s">
        <v>413</v>
      </c>
      <c r="L567" s="7" t="s">
        <v>414</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745</v>
      </c>
      <c r="E573" s="177" cm="1">
        <f t="array" ref="E573">Scope3_Equations.VEERG_15_13_1_1__1_EmissionsFromManureSentOffSite(J569,J570,J571)</f>
        <v>1.4315714285714286E-2</v>
      </c>
      <c r="F573" s="178" t="str">
        <f>$E$565</f>
        <v>t N2O</v>
      </c>
      <c r="L573" s="179" t="s">
        <v>745</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750</v>
      </c>
      <c r="E578" s="98" cm="1">
        <f t="array" ref="E578">Common_Equations.Common_ConvertN2OToCO2e(G575,G576)</f>
        <v>3.7936642857142857</v>
      </c>
      <c r="F578" s="175" t="str" cm="1">
        <f t="array" ref="F578">Common_Equations.Common_ConvertN2OToCO2e_Unit()</f>
        <v>t CO2e</v>
      </c>
      <c r="L578" s="98" t="s">
        <v>750</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630</v>
      </c>
      <c r="E585" s="8" t="str" cm="1">
        <f t="array" ref="E585">Scope3_Equations.VEERG_15_13_1_3__1_EmissionsFromSolidWasteTreatmentFacility_Variable()</f>
        <v>E</v>
      </c>
    </row>
    <row r="586" spans="3:41" x14ac:dyDescent="0.25">
      <c r="D586" s="27" t="s">
        <v>97</v>
      </c>
      <c r="E586" s="13" t="str" cm="1">
        <f t="array" ref="E586">Scope3_Equations.VEERG_15_13_1_3__1_EmissionsFromSolidWasteTreatmentFacility_Unit()</f>
        <v>t CO2e</v>
      </c>
    </row>
    <row r="588" spans="3:41" ht="20.25" x14ac:dyDescent="0.25">
      <c r="D588" s="179" t="s">
        <v>745</v>
      </c>
      <c r="E588" s="177">
        <f>VEERG_10_1_1_1__1_EmissionsFromWasteManagement_Scope3_Result_Method1</f>
        <v>330.84210000000002</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629</v>
      </c>
      <c r="E594" s="172" t="str" cm="1">
        <f t="array" aca="1" ref="E594" ca="1">Common_InputFunctions.Utility_DisplayFunctionName(J609)</f>
        <v>=Scope3_Equations.VEERG_15_14_1_1__1_EmbeddedEmissionsFromUpstreamFreight</v>
      </c>
    </row>
    <row r="598" spans="4:13" x14ac:dyDescent="0.25">
      <c r="D598" s="27" t="s">
        <v>630</v>
      </c>
      <c r="E598" s="8" t="str" cm="1">
        <f t="array" ref="E598">Scope3_Equations.VEERG_15_14_1_1__1_EmbeddedEmissionsFromUpstreamFreight_Variable()</f>
        <v>E</v>
      </c>
    </row>
    <row r="599" spans="4:13" x14ac:dyDescent="0.25">
      <c r="D599" s="27" t="s">
        <v>97</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809</v>
      </c>
    </row>
    <row r="608" spans="4:13" ht="17.25" x14ac:dyDescent="0.25">
      <c r="D608" s="46" t="s">
        <v>810</v>
      </c>
      <c r="E608" s="46" t="s">
        <v>822</v>
      </c>
      <c r="F608" s="46" t="s">
        <v>823</v>
      </c>
      <c r="G608" s="57" t="s">
        <v>824</v>
      </c>
      <c r="H608" s="57" t="s">
        <v>636</v>
      </c>
      <c r="I608" s="46" t="s">
        <v>672</v>
      </c>
      <c r="J608" s="57" t="s">
        <v>638</v>
      </c>
      <c r="K608" s="46" t="s">
        <v>632</v>
      </c>
      <c r="L608" s="46" t="s">
        <v>633</v>
      </c>
      <c r="M608" s="46" t="s">
        <v>634</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825</v>
      </c>
      <c r="H609" s="49" t="s">
        <v>825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825</v>
      </c>
      <c r="H610" s="49" t="s">
        <v>825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825</v>
      </c>
      <c r="H611" s="49" t="s">
        <v>825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825</v>
      </c>
      <c r="H612" s="49" t="s">
        <v>825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825</v>
      </c>
      <c r="H613" s="49" t="s">
        <v>825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825</v>
      </c>
      <c r="H614" s="49" t="s">
        <v>825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825</v>
      </c>
      <c r="H615" s="49" t="s">
        <v>825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825</v>
      </c>
      <c r="H616" s="49" t="s">
        <v>825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825</v>
      </c>
      <c r="H617" s="49" t="s">
        <v>825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825</v>
      </c>
      <c r="H618" s="49" t="s">
        <v>825</v>
      </c>
      <c r="I618" s="66"/>
      <c r="J618" s="49" cm="1">
        <f t="array" ref="J618">Scope3_Equations.VEERG_15_14_1_1__1_EmbeddedEmissionsFromUpstreamFreight(E618,F618,I618)</f>
        <v>0</v>
      </c>
      <c r="K618" s="82"/>
      <c r="L618" s="47"/>
      <c r="M618" s="82"/>
    </row>
    <row r="620" spans="4:13" x14ac:dyDescent="0.25">
      <c r="D620" s="174" t="s">
        <v>828</v>
      </c>
      <c r="E620" s="98" t="s">
        <v>825</v>
      </c>
      <c r="F620" s="175" t="str">
        <f>$E$104</f>
        <v>t CO2e</v>
      </c>
    </row>
    <row r="621" spans="4:13" x14ac:dyDescent="0.25">
      <c r="D621" s="174" t="s">
        <v>829</v>
      </c>
      <c r="E621" s="98">
        <f>SUM(J609:J618)</f>
        <v>5146700</v>
      </c>
      <c r="F621" s="175" t="str">
        <f>$E$104</f>
        <v>t CO2e</v>
      </c>
    </row>
    <row r="624" spans="4:13" ht="18.75" x14ac:dyDescent="0.25">
      <c r="D624" s="144" t="s">
        <v>817</v>
      </c>
    </row>
    <row r="626" spans="4:13" ht="17.25" x14ac:dyDescent="0.25">
      <c r="D626" s="46" t="s">
        <v>810</v>
      </c>
      <c r="E626" s="46" t="s">
        <v>822</v>
      </c>
      <c r="F626" s="46" t="s">
        <v>823</v>
      </c>
      <c r="G626" s="57" t="s">
        <v>824</v>
      </c>
      <c r="H626" s="57" t="s">
        <v>636</v>
      </c>
      <c r="I626" s="46" t="s">
        <v>672</v>
      </c>
      <c r="J626" s="57" t="s">
        <v>638</v>
      </c>
      <c r="K626" s="46" t="s">
        <v>632</v>
      </c>
      <c r="L626" s="46" t="s">
        <v>633</v>
      </c>
      <c r="M626" s="46" t="s">
        <v>634</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825</v>
      </c>
      <c r="H627" s="49" t="s">
        <v>825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825</v>
      </c>
      <c r="H628" s="49" t="s">
        <v>825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825</v>
      </c>
      <c r="H629" s="49" t="s">
        <v>825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825</v>
      </c>
      <c r="H630" s="49" t="s">
        <v>825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825</v>
      </c>
      <c r="H631" s="49" t="s">
        <v>825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825</v>
      </c>
      <c r="H632" s="49" t="s">
        <v>825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825</v>
      </c>
      <c r="H633" s="49" t="s">
        <v>825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825</v>
      </c>
      <c r="H634" s="49" t="s">
        <v>825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825</v>
      </c>
      <c r="H635" s="49" t="s">
        <v>825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825</v>
      </c>
      <c r="H636" s="49" t="s">
        <v>825</v>
      </c>
      <c r="I636" s="66"/>
      <c r="J636" s="49" cm="1">
        <f t="array" ref="J636">Scope3_Equations.VEERG_15_14_1_1__1_EmbeddedEmissionsFromUpstreamFreight(E636,F636,I636)</f>
        <v>0</v>
      </c>
      <c r="K636" s="82"/>
      <c r="L636" s="47"/>
      <c r="M636" s="82"/>
    </row>
    <row r="638" spans="4:13" x14ac:dyDescent="0.25">
      <c r="D638" s="174" t="s">
        <v>826</v>
      </c>
      <c r="E638" s="98" t="s">
        <v>825</v>
      </c>
      <c r="F638" s="175" t="str">
        <f>$E$104</f>
        <v>t CO2e</v>
      </c>
    </row>
    <row r="639" spans="4:13" x14ac:dyDescent="0.25">
      <c r="D639" s="174" t="s">
        <v>827</v>
      </c>
      <c r="E639" s="98">
        <f>SUM(J627:J636)</f>
        <v>432640</v>
      </c>
      <c r="F639" s="175" t="str">
        <f>$E$104</f>
        <v>t CO2e</v>
      </c>
    </row>
    <row r="641" spans="4:6" ht="20.25" x14ac:dyDescent="0.25">
      <c r="D641" s="176" t="s">
        <v>636</v>
      </c>
      <c r="E641" s="177" t="s">
        <v>825</v>
      </c>
      <c r="F641" s="178" t="str">
        <f>$E$104</f>
        <v>t CO2e</v>
      </c>
    </row>
    <row r="642" spans="4:6" ht="20.25" x14ac:dyDescent="0.25">
      <c r="D642" s="176" t="s">
        <v>638</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82"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794</v>
      </c>
    </row>
    <row r="2" spans="1:12" s="2" customFormat="1" ht="20.100000000000001" customHeight="1" x14ac:dyDescent="0.25">
      <c r="A2"/>
    </row>
    <row r="3" spans="1:12" ht="20.100000000000001" customHeight="1" x14ac:dyDescent="0.25">
      <c r="A3" s="16" t="str">
        <f>HYPERLINK("#'Overview'!A1", "Overview")</f>
        <v>Overview</v>
      </c>
      <c r="C3" s="5"/>
      <c r="D3" s="5" t="s">
        <v>413</v>
      </c>
      <c r="E3" s="5"/>
      <c r="F3" s="5"/>
      <c r="G3" s="5"/>
      <c r="H3" s="5"/>
      <c r="I3" s="5"/>
      <c r="J3" s="5"/>
      <c r="K3" s="5"/>
      <c r="L3" s="5"/>
    </row>
    <row r="4" spans="1:12" ht="20.100000000000001" customHeight="1" x14ac:dyDescent="0.25">
      <c r="A4" s="16" t="str">
        <f>HYPERLINK("#'Results'!A1", "Results")</f>
        <v>Results</v>
      </c>
    </row>
    <row r="5" spans="1:12" ht="20.100000000000001" customHeight="1" x14ac:dyDescent="0.25">
      <c r="D5" s="9" t="str" cm="1">
        <f t="array" ref="D5">WasteSolid_Equations.VEERG_10_1_1_1__2_MassOfWasteFromVolume_Title()</f>
        <v>Mass of waste from waste volume</v>
      </c>
    </row>
    <row r="6" spans="1:12" ht="20.100000000000001" customHeight="1" x14ac:dyDescent="0.25">
      <c r="D6" s="11" t="str" cm="1">
        <f t="array" ref="D6">WasteSolid_Equations.VEERG_10_1_1_1__2_MassOfWasteFromVolume_Source()</f>
        <v>VEERG 2026: 10.1.1.1, Equation (2)</v>
      </c>
    </row>
    <row r="7" spans="1:12" ht="20.100000000000001" customHeight="1" x14ac:dyDescent="0.25">
      <c r="A7" s="19" t="s">
        <v>67</v>
      </c>
      <c r="D7" s="172" t="s">
        <v>629</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630</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97</v>
      </c>
      <c r="E11" s="13" t="str" cm="1">
        <f t="array" ref="E11">WasteSolid_Equations.VEERG_10_1_1_1__2_MassOfWasteFromVolume_Unit()</f>
        <v>t</v>
      </c>
    </row>
    <row r="12" spans="1:12" ht="20.100000000000001" customHeight="1" x14ac:dyDescent="0.25">
      <c r="A12" s="16" t="str">
        <f>HYPERLINK("#'Input - Livestock purchases'!A1", "Livestock purchases")</f>
        <v>Livestock purchases</v>
      </c>
    </row>
    <row r="13" spans="1:12" ht="20.100000000000001" customHeight="1" x14ac:dyDescent="0.25">
      <c r="A13" s="16" t="str">
        <f>HYPERLINK("#'Input - Freight'!A1", "Freight")</f>
        <v>Freight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168"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Solid waste'!A1", "Solid waste")</f>
        <v>Solid waste</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Manure sent off-site'!A1", "Manure sent off-site")</f>
        <v>Manure sent off-site</v>
      </c>
      <c r="D15" s="167" t="str">
        <v>w</v>
      </c>
      <c r="E15" s="171" t="str">
        <v>waste type</v>
      </c>
      <c r="F15" s="166"/>
      <c r="G15" s="167" t="str">
        <v/>
      </c>
      <c r="H15" s="168"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Electricity'!A1", "Electricity")</f>
        <v>Electricity</v>
      </c>
      <c r="D16" s="167" t="str">
        <v>t</v>
      </c>
      <c r="E16" s="171" t="str">
        <v>treatment facility</v>
      </c>
      <c r="F16" s="166"/>
      <c r="G16" s="167" t="str">
        <v/>
      </c>
      <c r="H16" s="168"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row r="18" spans="1:9" ht="20.100000000000001" customHeight="1" x14ac:dyDescent="0.25">
      <c r="D18" s="55" t="s">
        <v>795</v>
      </c>
    </row>
    <row r="19" spans="1:9" ht="20.100000000000001" customHeight="1" x14ac:dyDescent="0.25">
      <c r="A19" s="21" t="s">
        <v>77</v>
      </c>
      <c r="D19" s="56" t="s">
        <v>796</v>
      </c>
    </row>
    <row r="20" spans="1:9" ht="20.100000000000001" customHeight="1" x14ac:dyDescent="0.25">
      <c r="A20" s="16" t="str">
        <f>HYPERLINK("#'15 Scope 3'!A1", "15 Scope 3")</f>
        <v>15 Scope 3</v>
      </c>
      <c r="D20" s="46" t="s">
        <v>797</v>
      </c>
      <c r="E20" s="46" t="s">
        <v>798</v>
      </c>
      <c r="F20" s="46"/>
      <c r="G20" s="46" t="s">
        <v>799</v>
      </c>
      <c r="H20" s="57" t="s">
        <v>800</v>
      </c>
      <c r="I20" s="57" t="s">
        <v>801</v>
      </c>
    </row>
    <row r="21" spans="1:9" ht="20.100000000000001" customHeight="1" x14ac:dyDescent="0.25">
      <c r="A21" s="180" t="str">
        <f>HYPERLINK("#'10.1.1-2 Solid waste treatment'!A1", "10.1.1-2 Solid waste treatment")</f>
        <v>10.1.1-2 Solid waste treatment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100000000000001" customHeight="1" x14ac:dyDescent="0.25">
      <c r="A22" s="16" t="str">
        <f>HYPERLINK("#'Calcs - Manure sent off-site'!A1", "Calcs - Manure sent off-site")</f>
        <v>Calcs - Manure sent off-site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100000000000001" customHeight="1" x14ac:dyDescent="0.25">
      <c r="A23" s="16" t="str">
        <f>HYPERLINK("#'8.1.1.1-2 Transport fuel'!A1", "8.1.1.1-2 Transport fuel")</f>
        <v>8.1.1.1-2 Transport fuel</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100000000000001" customHeight="1" x14ac:dyDescent="0.25">
      <c r="A24" s="16" t="str">
        <f>HYPERLINK("#'8.2.1.1-2 Stationary fuel'!A1", "8.2.1.1-2 Stationary fuel")</f>
        <v>8.2.1.1-2 Stationary fuel</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22" t="s">
        <v>78</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HYPERLINK("#'Constants - Scope 3'!A1", "Constants - Scope 3")</f>
        <v>Constants -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6" t="str">
        <f>HYPERLINK("#'Constants - Solid Waste'!A1", "Constants - Solid Waste")</f>
        <v>Constants - Solid Waste</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HYPERLINK("#'Constants - Fuel'!A1", "Constants - Fuel")</f>
        <v>Constants - Fuel</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Poultry'!A1", "Constants - Poultry")</f>
        <v>Constants - Poultry</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Swine'!A1", "Constants - Swine")</f>
        <v>Constants - Swine</v>
      </c>
      <c r="D32" s="167" t="str">
        <v>Incineration</v>
      </c>
      <c r="E32" s="171" t="str">
        <v>Food waste, green waste, wood, sludge</v>
      </c>
      <c r="F32" s="209"/>
      <c r="G32" s="49" t="s">
        <v>849</v>
      </c>
      <c r="H32" s="49" t="s">
        <v>849</v>
      </c>
      <c r="I32" s="49" t="s">
        <v>849</v>
      </c>
    </row>
    <row r="33" spans="1:9" ht="20.100000000000001" customHeight="1" x14ac:dyDescent="0.25">
      <c r="A33" s="16" t="str">
        <f>HYPERLINK("#'Constants - Dairy'!A1", "Constants - Dairy")</f>
        <v>Constants - Dairy</v>
      </c>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Pasture Beef'!A1", "Constants - Pasture Beef")</f>
        <v>Constants - Pasture Beef</v>
      </c>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100000000000001" customHeight="1" x14ac:dyDescent="0.25">
      <c r="A35" s="16" t="str">
        <f>HYPERLINK("#'Constants - Common Livestock'!A1", "Constants - Common Livestock")</f>
        <v>Constants - Common Livestock</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Fertiliser'!A1", "Constants - Fertiliser")</f>
        <v>Constants - Fertiliser</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Electricity'!A1", "Constants - Electricity")</f>
        <v>Constants - Electricity</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100000000000001" customHeight="1" x14ac:dyDescent="0.25">
      <c r="A38" s="16" t="str">
        <f>HYPERLINK("#'Constants - Common'!A1", "Constants - Common")</f>
        <v>Constants - Common</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D43" s="167" t="str">
        <v>Composting</v>
      </c>
      <c r="E43" s="171" t="str">
        <v>All organic waste</v>
      </c>
      <c r="F43" s="166"/>
      <c r="G43" s="49" t="s">
        <v>849</v>
      </c>
      <c r="H43" s="49" t="s">
        <v>849</v>
      </c>
      <c r="I43" s="49" t="s">
        <v>849</v>
      </c>
    </row>
    <row r="44" spans="1:9" ht="20.100000000000001" customHeight="1" x14ac:dyDescent="0.25">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100000000000001" customHeight="1" x14ac:dyDescent="0.25">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100000000000001" customHeight="1" x14ac:dyDescent="0.25">
      <c r="D49" s="167" t="str">
        <v>Anaerobic digestion</v>
      </c>
      <c r="E49" s="171" t="str">
        <v>All organic waste</v>
      </c>
      <c r="F49" s="166"/>
      <c r="G49" s="49" t="s">
        <v>849</v>
      </c>
      <c r="H49" s="49" t="s">
        <v>849</v>
      </c>
      <c r="I49" s="49" t="s">
        <v>849</v>
      </c>
    </row>
    <row r="50" spans="4:9" ht="20.100000000000001" customHeight="1" x14ac:dyDescent="0.25">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100000000000001" customHeight="1" x14ac:dyDescent="0.25">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100000000000001" customHeight="1" x14ac:dyDescent="0.25">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100000000000001" customHeight="1" x14ac:dyDescent="0.25">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100000000000001" customHeight="1" x14ac:dyDescent="0.25">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100000000000001" customHeight="1" x14ac:dyDescent="0.25"/>
    <row r="56" spans="4:9" ht="20.100000000000001" customHeight="1" x14ac:dyDescent="0.25">
      <c r="D56" s="55" t="s">
        <v>802</v>
      </c>
    </row>
    <row r="57" spans="4:9" ht="20.100000000000001" customHeight="1" x14ac:dyDescent="0.25">
      <c r="D57" s="56" t="s">
        <v>803</v>
      </c>
    </row>
    <row r="58" spans="4:9" ht="20.100000000000001" customHeight="1" x14ac:dyDescent="0.25">
      <c r="D58" s="46" t="s">
        <v>797</v>
      </c>
      <c r="E58" s="46" t="s">
        <v>798</v>
      </c>
      <c r="F58" s="46"/>
      <c r="G58" s="46" t="s">
        <v>799</v>
      </c>
      <c r="H58" s="57" t="s">
        <v>800</v>
      </c>
      <c r="I58" s="57" t="s">
        <v>801</v>
      </c>
    </row>
    <row r="59" spans="4:9" ht="20.100000000000001" customHeight="1" x14ac:dyDescent="0.25">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100000000000001" customHeight="1" x14ac:dyDescent="0.25">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100000000000001" customHeight="1" x14ac:dyDescent="0.25">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100000000000001" customHeight="1" x14ac:dyDescent="0.25">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100000000000001" customHeight="1" x14ac:dyDescent="0.25">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100000000000001" customHeight="1" x14ac:dyDescent="0.25">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100000000000001" customHeight="1" x14ac:dyDescent="0.2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100000000000001" customHeight="1" x14ac:dyDescent="0.25">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100000000000001" customHeight="1" x14ac:dyDescent="0.25">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100000000000001" customHeight="1" x14ac:dyDescent="0.25">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100000000000001" customHeight="1" x14ac:dyDescent="0.25">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100000000000001" customHeight="1" x14ac:dyDescent="0.25">
      <c r="D70" s="167" t="str">
        <v>Incineration</v>
      </c>
      <c r="E70" s="171" t="str">
        <v>Food waste, green waste, wood, sludge</v>
      </c>
      <c r="F70" s="209"/>
      <c r="G70" s="49" t="s">
        <v>849</v>
      </c>
      <c r="H70" s="49" t="s">
        <v>849</v>
      </c>
      <c r="I70" s="49" t="s">
        <v>849</v>
      </c>
    </row>
    <row r="71" spans="4:9" ht="20.100000000000001" customHeight="1" x14ac:dyDescent="0.25">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100000000000001" customHeight="1" x14ac:dyDescent="0.25">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100000000000001" customHeight="1" x14ac:dyDescent="0.25">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100000000000001" customHeight="1" x14ac:dyDescent="0.25">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100000000000001" customHeight="1" x14ac:dyDescent="0.2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100000000000001" customHeight="1" x14ac:dyDescent="0.25">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100000000000001" customHeight="1" x14ac:dyDescent="0.25">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100000000000001" customHeight="1" x14ac:dyDescent="0.25">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100000000000001" customHeight="1" x14ac:dyDescent="0.25">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100000000000001" customHeight="1" x14ac:dyDescent="0.25">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100000000000001" customHeight="1" x14ac:dyDescent="0.25">
      <c r="D81" s="167" t="str">
        <v>Composting</v>
      </c>
      <c r="E81" s="171" t="str">
        <v>All organic waste</v>
      </c>
      <c r="F81" s="166"/>
      <c r="G81" s="49" t="s">
        <v>849</v>
      </c>
      <c r="H81" s="49" t="s">
        <v>849</v>
      </c>
      <c r="I81" s="49" t="s">
        <v>849</v>
      </c>
    </row>
    <row r="82" spans="3:12" ht="20.100000000000001" customHeight="1" x14ac:dyDescent="0.25">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100000000000001" customHeight="1" x14ac:dyDescent="0.25">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100000000000001" customHeight="1" x14ac:dyDescent="0.25">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100000000000001" customHeight="1" x14ac:dyDescent="0.2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100000000000001" customHeight="1" x14ac:dyDescent="0.25">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100000000000001" customHeight="1" x14ac:dyDescent="0.25">
      <c r="D87" s="167" t="str">
        <v>Anaerobic digestion</v>
      </c>
      <c r="E87" s="171" t="str">
        <v>All organic waste</v>
      </c>
      <c r="F87" s="166"/>
      <c r="G87" s="49" t="s">
        <v>849</v>
      </c>
      <c r="H87" s="49" t="s">
        <v>849</v>
      </c>
      <c r="I87" s="49" t="s">
        <v>849</v>
      </c>
    </row>
    <row r="88" spans="3:12" ht="20.100000000000001" customHeight="1" x14ac:dyDescent="0.25">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100000000000001" customHeight="1" x14ac:dyDescent="0.25">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100000000000001" customHeight="1" x14ac:dyDescent="0.25">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100000000000001" customHeight="1" x14ac:dyDescent="0.25">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100000000000001" customHeight="1" x14ac:dyDescent="0.25">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98"/>
      <c r="D95" s="98"/>
      <c r="E95" s="98"/>
      <c r="F95" s="98"/>
      <c r="G95" s="98"/>
      <c r="H95" s="98"/>
      <c r="I95" s="98"/>
      <c r="J95" s="98"/>
      <c r="K95" s="98"/>
      <c r="L95" s="98"/>
    </row>
    <row r="96" spans="3:12" ht="20.100000000000001" customHeight="1" x14ac:dyDescent="0.25">
      <c r="D96" s="9" t="str" cm="1">
        <f t="array" ref="D96">WasteSolid_Equations.VEERG_10_1_1_1__1_EmissionsFromWasteManagement_Title()</f>
        <v>Emissions from waste management by greenhouse gas</v>
      </c>
    </row>
    <row r="97" spans="4:9" ht="20.100000000000001" customHeight="1" x14ac:dyDescent="0.25">
      <c r="D97" s="11" t="str" cm="1">
        <f t="array" ref="D97">WasteSolid_Equations.VEERG_10_1_1_1__1_EmissionsFromWasteManagement_Source()</f>
        <v>VEERG 2026: 10.1.1.1, Equation (1)</v>
      </c>
    </row>
    <row r="98" spans="4:9" ht="20.100000000000001" customHeight="1" x14ac:dyDescent="0.25">
      <c r="D98" s="12"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72" t="s">
        <v>629</v>
      </c>
      <c r="E99" s="172"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630</v>
      </c>
      <c r="E102" s="8" t="str" cm="1">
        <f t="array" ref="E102">WasteSolid_Equations.VEERG_10_1_1_1__1_EmissionsFromWasteManagement_Variable()</f>
        <v>E_g</v>
      </c>
    </row>
    <row r="103" spans="4:9" ht="20.100000000000001" customHeight="1" x14ac:dyDescent="0.25">
      <c r="D103" s="27" t="s">
        <v>97</v>
      </c>
      <c r="E103" s="13" t="str" cm="1">
        <f t="array" ref="E103">WasteSolid_Equations.VEERG_10_1_1_1__1_EmissionsFromWasteManagement_Unit()</f>
        <v>t CO2e</v>
      </c>
    </row>
    <row r="104" spans="4:9" ht="20.100000000000001" customHeight="1" x14ac:dyDescent="0.25"/>
    <row r="105" spans="4:9" ht="20.100000000000001" customHeight="1" x14ac:dyDescent="0.2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4:9" ht="20.100000000000001" customHeight="1" x14ac:dyDescent="0.25">
      <c r="D106" s="167" t="str">
        <v>EF_wtg</v>
      </c>
      <c r="E106" s="171" t="str">
        <v>emission factor for greenhouse gas g for the management of waste at treatment facility t</v>
      </c>
      <c r="F106" s="205"/>
      <c r="G106" s="166"/>
      <c r="H106" s="167" t="str">
        <v>t CO2e/t</v>
      </c>
      <c r="I106" s="169" t="str">
        <v>Constant</v>
      </c>
    </row>
    <row r="107" spans="4:9" ht="20.100000000000001" customHeight="1" x14ac:dyDescent="0.25">
      <c r="D107" s="167" t="str">
        <v>w</v>
      </c>
      <c r="E107" s="171" t="str">
        <v>waste type</v>
      </c>
      <c r="F107" s="205"/>
      <c r="G107" s="166"/>
      <c r="H107" s="167" t="str">
        <v/>
      </c>
      <c r="I107" s="168" t="str">
        <v>Input</v>
      </c>
    </row>
    <row r="108" spans="4:9" ht="20.100000000000001" customHeight="1" x14ac:dyDescent="0.25">
      <c r="D108" s="167" t="str">
        <v>t</v>
      </c>
      <c r="E108" s="171" t="str">
        <v>treatment facility</v>
      </c>
      <c r="F108" s="205"/>
      <c r="G108" s="166"/>
      <c r="H108" s="167" t="str">
        <v/>
      </c>
      <c r="I108" s="168" t="str">
        <v>Input</v>
      </c>
    </row>
    <row r="109" spans="4:9" ht="20.100000000000001" customHeight="1" x14ac:dyDescent="0.25">
      <c r="D109" s="167" t="str">
        <v>g</v>
      </c>
      <c r="E109" s="171" t="str">
        <v>greenhouse gas</v>
      </c>
      <c r="F109" s="205"/>
      <c r="G109" s="166"/>
      <c r="H109" s="167" t="str">
        <v/>
      </c>
      <c r="I109" s="168" t="str">
        <v>Input</v>
      </c>
    </row>
    <row r="110" spans="4:9" ht="20.100000000000001" customHeight="1" x14ac:dyDescent="0.25">
      <c r="D110" s="167" t="str">
        <v>Q_volwt</v>
      </c>
      <c r="E110" s="171" t="str">
        <v>quantity of sold waste input as volume and converted to tonnes</v>
      </c>
      <c r="F110" s="205"/>
      <c r="G110" s="166"/>
      <c r="H110" s="167" t="str">
        <v>tonnes</v>
      </c>
      <c r="I110" s="169" t="str">
        <v>Calculated from 10.1.1.1 (2)</v>
      </c>
    </row>
    <row r="111" spans="4:9" ht="20.100000000000001" customHeight="1" x14ac:dyDescent="0.25">
      <c r="D111" s="167" t="str">
        <v>Q_masswt</v>
      </c>
      <c r="E111" s="171" t="str">
        <v>quantity of solid waste input as mass</v>
      </c>
      <c r="F111" s="205"/>
      <c r="G111" s="166"/>
      <c r="H111" s="167" t="str">
        <v>tonnes</v>
      </c>
      <c r="I111" s="168" t="str">
        <v>Input</v>
      </c>
    </row>
    <row r="112" spans="4:9" ht="20.100000000000001" customHeight="1" x14ac:dyDescent="0.25"/>
    <row r="113" spans="4:11" ht="20.100000000000001" customHeight="1" x14ac:dyDescent="0.25">
      <c r="D113" s="55" t="s">
        <v>804</v>
      </c>
    </row>
    <row r="114" spans="4:11" ht="20.100000000000001" customHeight="1" x14ac:dyDescent="0.25">
      <c r="D114" s="56" t="s">
        <v>805</v>
      </c>
    </row>
    <row r="115" spans="4:11" ht="20.100000000000001" customHeight="1" x14ac:dyDescent="0.25">
      <c r="D115" s="46" t="s">
        <v>797</v>
      </c>
      <c r="E115" s="46" t="s">
        <v>798</v>
      </c>
      <c r="F115" s="46"/>
      <c r="G115" s="46" t="s">
        <v>850</v>
      </c>
      <c r="H115" s="57" t="s">
        <v>851</v>
      </c>
      <c r="I115" s="57" t="s">
        <v>801</v>
      </c>
      <c r="J115" s="57" t="s">
        <v>852</v>
      </c>
      <c r="K115" s="57" t="s">
        <v>853</v>
      </c>
    </row>
    <row r="116" spans="4:11" ht="20.100000000000001" customHeight="1" x14ac:dyDescent="0.25">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100000000000001" customHeight="1" x14ac:dyDescent="0.25">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100000000000001" customHeight="1" x14ac:dyDescent="0.25">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100000000000001" customHeight="1" x14ac:dyDescent="0.25">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100000000000001" customHeight="1" x14ac:dyDescent="0.25">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100000000000001" customHeight="1" x14ac:dyDescent="0.25">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100000000000001" customHeight="1" x14ac:dyDescent="0.25">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100000000000001" customHeight="1" x14ac:dyDescent="0.25">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100000000000001" customHeight="1" x14ac:dyDescent="0.25">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100000000000001" customHeight="1" x14ac:dyDescent="0.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100000000000001" customHeight="1" x14ac:dyDescent="0.25">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100000000000001" customHeight="1" x14ac:dyDescent="0.25">
      <c r="D127" s="167" t="str">
        <v>Incineration</v>
      </c>
      <c r="E127" s="171" t="str">
        <v>Food waste, green waste, wood, sludge</v>
      </c>
      <c r="F127" s="209"/>
      <c r="G127" s="49" t="s">
        <v>849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100000000000001" customHeight="1" x14ac:dyDescent="0.25">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854</v>
      </c>
      <c r="J128" s="49" t="s">
        <v>849</v>
      </c>
      <c r="K128" s="49" t="s">
        <v>849</v>
      </c>
    </row>
    <row r="129" spans="4:11" ht="20.100000000000001" customHeight="1" x14ac:dyDescent="0.25">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854</v>
      </c>
      <c r="J129" s="49" t="s">
        <v>849</v>
      </c>
      <c r="K129" s="49" t="s">
        <v>849</v>
      </c>
    </row>
    <row r="130" spans="4:11" ht="20.100000000000001" customHeight="1" x14ac:dyDescent="0.25">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854</v>
      </c>
      <c r="J130" s="49" t="s">
        <v>849</v>
      </c>
      <c r="K130" s="49" t="s">
        <v>849</v>
      </c>
    </row>
    <row r="131" spans="4:11" ht="20.100000000000001" customHeight="1" x14ac:dyDescent="0.25">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854</v>
      </c>
      <c r="J131" s="49" t="s">
        <v>849</v>
      </c>
      <c r="K131" s="49" t="s">
        <v>849</v>
      </c>
    </row>
    <row r="132" spans="4:11" ht="20.100000000000001" customHeight="1" x14ac:dyDescent="0.25">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100000000000001" customHeight="1" x14ac:dyDescent="0.25">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100000000000001" customHeight="1" x14ac:dyDescent="0.25">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100000000000001" customHeight="1" x14ac:dyDescent="0.2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100000000000001" customHeight="1" x14ac:dyDescent="0.25">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100000000000001" customHeight="1" x14ac:dyDescent="0.25">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100000000000001" customHeight="1" x14ac:dyDescent="0.25">
      <c r="D138" s="167" t="str">
        <v>Composting</v>
      </c>
      <c r="E138" s="171" t="str">
        <v>All organic waste</v>
      </c>
      <c r="F138" s="166"/>
      <c r="G138" s="49" t="s">
        <v>849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100000000000001" customHeight="1" x14ac:dyDescent="0.25">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854</v>
      </c>
      <c r="J139" s="49" t="s">
        <v>849</v>
      </c>
      <c r="K139" s="49" t="s">
        <v>849</v>
      </c>
    </row>
    <row r="140" spans="4:11" ht="20.100000000000001" customHeight="1" x14ac:dyDescent="0.25">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854</v>
      </c>
      <c r="J140" s="49" t="s">
        <v>849</v>
      </c>
      <c r="K140" s="49" t="s">
        <v>849</v>
      </c>
    </row>
    <row r="141" spans="4:11" ht="20.100000000000001" customHeight="1" x14ac:dyDescent="0.25">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854</v>
      </c>
      <c r="J141" s="49" t="s">
        <v>849</v>
      </c>
      <c r="K141" s="49" t="s">
        <v>849</v>
      </c>
    </row>
    <row r="142" spans="4:11" ht="20.100000000000001" customHeight="1" x14ac:dyDescent="0.25">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854</v>
      </c>
      <c r="J142" s="49" t="s">
        <v>849</v>
      </c>
      <c r="K142" s="49" t="s">
        <v>849</v>
      </c>
    </row>
    <row r="143" spans="4:11" ht="20.100000000000001" customHeight="1" x14ac:dyDescent="0.25">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854</v>
      </c>
      <c r="J143" s="49" t="s">
        <v>849</v>
      </c>
      <c r="K143" s="49" t="s">
        <v>849</v>
      </c>
    </row>
    <row r="144" spans="4:11" ht="20.100000000000001" customHeight="1" x14ac:dyDescent="0.25">
      <c r="D144" s="167" t="str">
        <v>Anaerobic digestion</v>
      </c>
      <c r="E144" s="171" t="str">
        <v>All organic waste</v>
      </c>
      <c r="F144" s="166"/>
      <c r="G144" s="49" t="s">
        <v>849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100000000000001" customHeight="1" x14ac:dyDescent="0.2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854</v>
      </c>
      <c r="J145" s="49" t="s">
        <v>849</v>
      </c>
      <c r="K145" s="49" t="s">
        <v>849</v>
      </c>
    </row>
    <row r="146" spans="4:11" ht="20.100000000000001" customHeight="1" x14ac:dyDescent="0.25">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854</v>
      </c>
      <c r="J146" s="49" t="s">
        <v>849</v>
      </c>
      <c r="K146" s="49" t="s">
        <v>849</v>
      </c>
    </row>
    <row r="147" spans="4:11" ht="20.100000000000001" customHeight="1" x14ac:dyDescent="0.25">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854</v>
      </c>
      <c r="J147" s="49" t="s">
        <v>849</v>
      </c>
      <c r="K147" s="49" t="s">
        <v>849</v>
      </c>
    </row>
    <row r="148" spans="4:11" ht="20.100000000000001" customHeight="1" x14ac:dyDescent="0.25">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854</v>
      </c>
      <c r="J148" s="49" t="s">
        <v>849</v>
      </c>
      <c r="K148" s="49" t="s">
        <v>849</v>
      </c>
    </row>
    <row r="149" spans="4:11" ht="20.100000000000001" customHeight="1" x14ac:dyDescent="0.25">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854</v>
      </c>
      <c r="J149" s="49" t="s">
        <v>849</v>
      </c>
      <c r="K149" s="49" t="s">
        <v>849</v>
      </c>
    </row>
    <row r="150" spans="4:11" ht="20.100000000000001" customHeight="1" x14ac:dyDescent="0.25"/>
    <row r="151" spans="4:11" ht="20.100000000000001" customHeight="1" x14ac:dyDescent="0.25">
      <c r="D151" s="176" t="s">
        <v>806</v>
      </c>
      <c r="E151" s="177">
        <f>SUM(K116:K149)</f>
        <v>0</v>
      </c>
      <c r="F151" s="178" t="str">
        <f>$E$103</f>
        <v>t CO2e</v>
      </c>
    </row>
    <row r="152" spans="4:11" ht="20.100000000000001" customHeight="1" x14ac:dyDescent="0.25"/>
    <row r="153" spans="4:11" ht="20.100000000000001" customHeight="1" x14ac:dyDescent="0.25"/>
    <row r="154" spans="4:11" ht="20.100000000000001" customHeight="1" x14ac:dyDescent="0.25">
      <c r="D154" s="55" t="s">
        <v>807</v>
      </c>
    </row>
    <row r="155" spans="4:11" ht="20.100000000000001" customHeight="1" x14ac:dyDescent="0.25">
      <c r="D155" s="56" t="s">
        <v>808</v>
      </c>
    </row>
    <row r="156" spans="4:11" ht="20.100000000000001" customHeight="1" x14ac:dyDescent="0.25">
      <c r="D156" s="46" t="s">
        <v>797</v>
      </c>
      <c r="E156" s="46" t="s">
        <v>798</v>
      </c>
      <c r="F156" s="46"/>
      <c r="G156" s="46" t="s">
        <v>850</v>
      </c>
      <c r="H156" s="57" t="s">
        <v>851</v>
      </c>
      <c r="I156" s="57" t="s">
        <v>801</v>
      </c>
      <c r="J156" s="57" t="s">
        <v>852</v>
      </c>
      <c r="K156" s="57" t="s">
        <v>853</v>
      </c>
    </row>
    <row r="157" spans="4:11" ht="20.100000000000001" customHeight="1" x14ac:dyDescent="0.25">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100000000000001" customHeight="1" x14ac:dyDescent="0.25">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100000000000001" customHeight="1" x14ac:dyDescent="0.25">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100000000000001" customHeight="1" x14ac:dyDescent="0.25">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849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854</v>
      </c>
      <c r="J169" s="49" t="s">
        <v>849</v>
      </c>
      <c r="K169" s="49" t="s">
        <v>849</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854</v>
      </c>
      <c r="J170" s="49" t="s">
        <v>849</v>
      </c>
      <c r="K170" s="49" t="s">
        <v>849</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854</v>
      </c>
      <c r="J171" s="49" t="s">
        <v>849</v>
      </c>
      <c r="K171" s="49" t="s">
        <v>849</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854</v>
      </c>
      <c r="J172" s="49" t="s">
        <v>849</v>
      </c>
      <c r="K172" s="49" t="s">
        <v>849</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849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854</v>
      </c>
      <c r="J180" s="49" t="s">
        <v>849</v>
      </c>
      <c r="K180" s="49" t="s">
        <v>849</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854</v>
      </c>
      <c r="J181" s="49" t="s">
        <v>849</v>
      </c>
      <c r="K181" s="49" t="s">
        <v>849</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854</v>
      </c>
      <c r="J182" s="49" t="s">
        <v>849</v>
      </c>
      <c r="K182" s="49" t="s">
        <v>849</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854</v>
      </c>
      <c r="J183" s="49" t="s">
        <v>849</v>
      </c>
      <c r="K183" s="49" t="s">
        <v>849</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854</v>
      </c>
      <c r="J184" s="49" t="s">
        <v>849</v>
      </c>
      <c r="K184" s="49" t="s">
        <v>849</v>
      </c>
    </row>
    <row r="185" spans="4:11" ht="20.100000000000001" customHeight="1" x14ac:dyDescent="0.25">
      <c r="D185" s="167" t="str">
        <v>Anaerobic digestion</v>
      </c>
      <c r="E185" s="171" t="str">
        <v>All organic waste</v>
      </c>
      <c r="F185" s="166"/>
      <c r="G185" s="49" t="s">
        <v>849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854</v>
      </c>
      <c r="J186" s="49" t="s">
        <v>849</v>
      </c>
      <c r="K186" s="49" t="s">
        <v>849</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854</v>
      </c>
      <c r="J187" s="49" t="s">
        <v>849</v>
      </c>
      <c r="K187" s="49" t="s">
        <v>849</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854</v>
      </c>
      <c r="J188" s="49" t="s">
        <v>849</v>
      </c>
      <c r="K188" s="49" t="s">
        <v>849</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854</v>
      </c>
      <c r="J189" s="49" t="s">
        <v>849</v>
      </c>
      <c r="K189" s="49" t="s">
        <v>849</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854</v>
      </c>
      <c r="J190" s="49" t="s">
        <v>849</v>
      </c>
      <c r="K190" s="49" t="s">
        <v>849</v>
      </c>
    </row>
    <row r="191" spans="4:11" ht="20.100000000000001" customHeight="1" x14ac:dyDescent="0.25"/>
    <row r="192" spans="4:11" ht="20.100000000000001" customHeight="1" x14ac:dyDescent="0.25">
      <c r="D192" s="176" t="s">
        <v>806</v>
      </c>
      <c r="E192" s="177">
        <f>SUM(K157:K190)</f>
        <v>330.84210000000002</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7"/>
    </row>
    <row r="342" spans="8:8" x14ac:dyDescent="0.25">
      <c r="H342" s="147"/>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I68" sqref="I6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859</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413</v>
      </c>
      <c r="E3" s="5"/>
      <c r="F3" s="5"/>
      <c r="G3" s="5"/>
      <c r="H3" s="5"/>
      <c r="I3" s="5"/>
      <c r="J3" s="5"/>
      <c r="K3" s="5"/>
      <c r="M3" s="5"/>
      <c r="N3" s="5" t="s">
        <v>414</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629</v>
      </c>
      <c r="E7" s="172" t="str">
        <f ca="1">Common_InputFunctions.Utility_DisplayFunctionName(VEERG_5_2_1_1__1_OrganicFertiliserApplicationN2OEmissions_Result_Method1)</f>
        <v>=Fertiliser_Equations_OrganicN2O.VEERG_5_2_1_1__1_OrganicFertiliserApplicationN2OEmissions</v>
      </c>
      <c r="N7" s="172" t="s">
        <v>629</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630</v>
      </c>
      <c r="E10" s="8" t="str" cm="1">
        <f t="array" ref="E10">Fertiliser_Equations_OrganicN2O.VEERG_5_2_1_1__1_OrganicFertiliserApplicationN2OEmissions_Variable()</f>
        <v>E_N2O</v>
      </c>
      <c r="N10" s="27" t="s">
        <v>630</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100000000000001" customHeight="1" x14ac:dyDescent="0.25">
      <c r="A12" s="16" t="str">
        <f>HYPERLINK("#'Input - Livestock purchases'!A1", "Livestock purchases")</f>
        <v>Livestock purchases</v>
      </c>
    </row>
    <row r="13" spans="1:21" ht="20.100000000000001" customHeight="1" x14ac:dyDescent="0.25">
      <c r="A13" s="16" t="str">
        <f>HYPERLINK("#'Input - Freight'!A1", "Freight")</f>
        <v>Freight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Solid waste'!A1", "Solid waste")</f>
        <v>Solid waste</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Manure sent off-site'!A1", "Manure sent off-site")</f>
        <v>Manure sent off-site</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Electricity'!A1", "Electricity")</f>
        <v>Electricity</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row r="19" spans="1:20" ht="20.100000000000001" customHeight="1" x14ac:dyDescent="0.25">
      <c r="A19" s="21" t="s">
        <v>77</v>
      </c>
      <c r="D19" s="176" t="s">
        <v>749</v>
      </c>
      <c r="E19" s="177" cm="1">
        <f t="array" ref="E19">Fertiliser_Equations_OrganicN2O.VEERG_5_2_1_1__1_OrganicFertiliserApplicationN2OEmissions(J13,J14,J15)</f>
        <v>7.8571428571428577E-3</v>
      </c>
      <c r="F19" s="178" t="str">
        <f>$E$11</f>
        <v>t N2O</v>
      </c>
      <c r="N19" s="176" t="s">
        <v>749</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HYPERLINK("#'15 Scope 3'!A1", "15 Scope 3")</f>
        <v>15 Scope 3</v>
      </c>
    </row>
    <row r="21" spans="1:20" ht="20.100000000000001" customHeight="1" x14ac:dyDescent="0.25">
      <c r="A21" s="16" t="str">
        <f>HYPERLINK("#'10.1.1-2 Solid waste treatment'!A1", "10.1.1-2 Solid waste treatment")</f>
        <v>10.1.1-2 Solid waste treatment</v>
      </c>
    </row>
    <row r="22" spans="1:20" ht="20.100000000000001" customHeight="1" x14ac:dyDescent="0.25">
      <c r="A22" s="180" t="str">
        <f>HYPERLINK("#'Calcs - Manure sent off-site'!A1", "Calcs - Manure sent off-site")</f>
        <v>Calcs - Manure sent off-site</v>
      </c>
    </row>
    <row r="23" spans="1:20" ht="20.100000000000001" customHeight="1" x14ac:dyDescent="0.25">
      <c r="A23" s="16" t="str">
        <f>HYPERLINK("#'8.1.1.1-2 Transport fuel'!A1", "8.1.1.1-2 Transport fuel")</f>
        <v>8.1.1.1-2 Transport fuel</v>
      </c>
    </row>
    <row r="24" spans="1:20" ht="20.100000000000001"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629</v>
      </c>
      <c r="E26" s="172" t="str" cm="1">
        <f t="array" aca="1" ref="E26" ca="1">Common_InputFunctions.Utility_DisplayFunctionName(E35)</f>
        <v>=Fertiliser_Equations_AtmosphericDeposition.VEERG_5_4_1_3__2_MassOfNitrogenVolatilisedFromOrganicFertiliser</v>
      </c>
      <c r="N26" s="172" t="s">
        <v>629</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22" t="s">
        <v>78</v>
      </c>
    </row>
    <row r="28" spans="1:20" ht="20.100000000000001" customHeight="1" x14ac:dyDescent="0.25">
      <c r="A28" s="16" t="str">
        <f>HYPERLINK("#'Constants - Scope 3'!A1", "Constants - Scope 3")</f>
        <v>Constants - Scope 3</v>
      </c>
    </row>
    <row r="29" spans="1:20" ht="20.100000000000001" customHeight="1" x14ac:dyDescent="0.25">
      <c r="A29" s="16" t="str">
        <f>HYPERLINK("#'Constants - Solid Waste'!A1", "Constants - Solid Waste")</f>
        <v>Constants - Solid Waste</v>
      </c>
      <c r="D29" s="27" t="s">
        <v>630</v>
      </c>
      <c r="E29" s="8" t="str" cm="1">
        <f t="array" ref="E29">Fertiliser_Equations_AtmosphericDeposition.VEERG_5_4_1_3__2_MassOfNitrogenVolatilisedFromOrganicFertiliser_Variable()</f>
        <v>M_volorganicjf</v>
      </c>
      <c r="N29" s="27" t="s">
        <v>630</v>
      </c>
      <c r="O29" s="8" t="str" cm="1">
        <f t="array" ref="O29">Fertiliser_Equations_AtmosphericDeposition.VEERG_5_4_1_3__2_MassOfNitrogenVolatilisedFromOrganicFertiliser_Variable()</f>
        <v>M_volorganicjf</v>
      </c>
    </row>
    <row r="30" spans="1:20" ht="20.100000000000001"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100000000000001" customHeight="1" x14ac:dyDescent="0.25">
      <c r="A31" s="16" t="str">
        <f>HYPERLINK("#'Constants - Poultry'!A1", "Constants - Poultry")</f>
        <v>Constants - Poultry</v>
      </c>
    </row>
    <row r="32" spans="1:20" ht="20.100000000000001" customHeight="1" x14ac:dyDescent="0.25">
      <c r="A32" s="16" t="str">
        <f>HYPERLINK("#'Constants - Swine'!A1", "Constants - Swine")</f>
        <v>Constants - Swine</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A33" s="16" t="str">
        <f>HYPERLINK("#'Constants - Dairy'!A1", "Constants - Dairy")</f>
        <v>Constants - Dairy</v>
      </c>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c r="A34" s="16" t="str">
        <f>HYPERLINK("#'Constants - Pasture Beef'!A1", "Constants - Pasture Beef")</f>
        <v>Constants - Pasture Beef</v>
      </c>
    </row>
    <row r="35" spans="1:19" ht="20.100000000000001" customHeight="1" x14ac:dyDescent="0.25">
      <c r="A35" s="16" t="str">
        <f>HYPERLINK("#'Constants - Common Livestock'!A1", "Constants - Common Livestock")</f>
        <v>Constants - Common Livestock</v>
      </c>
      <c r="D35" s="174" t="s">
        <v>751</v>
      </c>
      <c r="E35" s="98" cm="1">
        <f t="array" ref="E35">Fertiliser_Equations_AtmosphericDeposition.VEERG_5_4_1_3__2_MassOfNitrogenVolatilisedFromOrganicFertiliser(I32,I33)</f>
        <v>210</v>
      </c>
      <c r="F35" s="175" t="str">
        <f>E30</f>
        <v>kg N</v>
      </c>
      <c r="N35" s="174" t="s">
        <v>751</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Fertiliser'!A1", "Constants - Fertiliser")</f>
        <v>Constants - Fertiliser</v>
      </c>
    </row>
    <row r="37" spans="1:19" ht="20.100000000000001" customHeight="1" x14ac:dyDescent="0.25">
      <c r="A37" s="16" t="str">
        <f>HYPERLINK("#'Constants - Electricity'!A1", "Constants - Electricity")</f>
        <v>Constants - Electricity</v>
      </c>
    </row>
    <row r="38" spans="1:19" ht="20.100000000000001" customHeight="1" x14ac:dyDescent="0.25">
      <c r="A38" s="16" t="str">
        <f>HYPERLINK("#'Constants - Common'!A1", "Constants - Common")</f>
        <v>Constants - Common</v>
      </c>
    </row>
    <row r="39" spans="1:19" ht="20.100000000000001" customHeight="1" x14ac:dyDescent="0.25"/>
    <row r="40" spans="1:19" ht="20.100000000000001"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2" t="s">
        <v>629</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629</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630</v>
      </c>
      <c r="E45" s="8" t="str" cm="1">
        <f t="array" ref="E45">Fertiliser_Equations_AtmosphericDeposition.VEERG_5_4_1_3__1_OrganicFertiliserAtmosphericDepositionN2OEmissions_Variable()</f>
        <v>E_adorganic</v>
      </c>
      <c r="N45" s="27" t="s">
        <v>630</v>
      </c>
      <c r="O45" s="8" t="str" cm="1">
        <f t="array" ref="O45">Fertiliser_Equations_AtmosphericDeposition.VEERG_5_4_1_3__1_OrganicFertiliserAtmosphericDepositionN2OEmissions_Variable()</f>
        <v>E_adorganic</v>
      </c>
    </row>
    <row r="46" spans="1:19" ht="20.100000000000001"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765</v>
      </c>
      <c r="E55" s="177" cm="1">
        <f t="array" ref="E55">Fertiliser_Equations_AtmosphericDeposition.VEERG_5_4_1_3__1_OrganicFertiliserAtmosphericDepositionN2OEmissions(I48,I49,I50)</f>
        <v>2.31E-3</v>
      </c>
      <c r="F55" s="178" t="str">
        <f>$E$46</f>
        <v>t N2O</v>
      </c>
      <c r="N55" s="176" t="s">
        <v>765</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629</v>
      </c>
      <c r="E61" s="172" t="str" cm="1">
        <f t="array" aca="1" ref="E61" ca="1">Common_InputFunctions.Utility_DisplayFunctionName(E74)</f>
        <v>=Fertiliser_Equations_LeachingAndRunoff.VEERG_5_5_1_1__3_MassOfNitrogenLeachedFromOrganicFertiliser</v>
      </c>
      <c r="N61" s="172" t="s">
        <v>629</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630</v>
      </c>
      <c r="E64" s="8" t="str" cm="1">
        <f t="array" ref="E64">Fertiliser_Equations_LeachingAndRunoff.VEERG_5_5_1_1__3_MassOfNitrogenLeachedFromOrganicFertiliser_Variable()</f>
        <v>M_leachorganicj</v>
      </c>
      <c r="N64" s="27" t="s">
        <v>630</v>
      </c>
      <c r="O64" s="8" t="str" cm="1">
        <f t="array" ref="O64">Fertiliser_Equations_LeachingAndRunoff.VEERG_5_5_1_1__3_MassOfNitrogenLeachedFromOrganicFertiliser_Variable()</f>
        <v>M_leachorganicj</v>
      </c>
    </row>
    <row r="65" spans="4:19" ht="20.100000000000001"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766</v>
      </c>
      <c r="E74" s="98" cm="1">
        <f t="array" ref="E74">Fertiliser_Equations_LeachingAndRunoff.VEERG_5_5_1_1__3_MassOfNitrogenLeachedFromOrganicFertiliser(I67,I68,I69)</f>
        <v>240</v>
      </c>
      <c r="F74" s="175" t="str">
        <f>$E$65</f>
        <v>kg N</v>
      </c>
      <c r="N74" s="174" t="s">
        <v>766</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629</v>
      </c>
      <c r="E79" s="172" t="str">
        <f ca="1">Common_InputFunctions.Utility_DisplayFunctionName(VEERG_5_5_1_1__1_FertiliserLeachingAndRunoffN2OEmissions_Result_Method1)</f>
        <v>=Fertiliser_Equations_LeachingAndRunoff.VEERG_5_5_1_1__1_FertiliserLeachingAndRunoffN2OEmissions</v>
      </c>
      <c r="N79" s="172" t="s">
        <v>629</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630</v>
      </c>
      <c r="E82" s="8" t="str" cm="1">
        <f t="array" ref="E82">Fertiliser_Equations_LeachingAndRunoff.VEERG_5_5_1_1__1_FertiliserLeachingAndRunoffN2OEmissions_Variable()</f>
        <v>E_fertleach</v>
      </c>
      <c r="N82" s="27" t="s">
        <v>630</v>
      </c>
      <c r="O82" s="8" t="str" cm="1">
        <f t="array" ref="O82">Fertiliser_Equations_LeachingAndRunoff.VEERG_5_5_1_1__1_FertiliserLeachingAndRunoffN2OEmissions_Variable()</f>
        <v>E_fertleach</v>
      </c>
    </row>
    <row r="83" spans="4:20" x14ac:dyDescent="0.25">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767</v>
      </c>
      <c r="E90" s="177" cm="1">
        <f t="array" ref="E90">Fertiliser_Equations_LeachingAndRunoff.VEERG_5_5_1_1__1_FertiliserLeachingAndRunoffN2OEmissions(J85,J86,J87,J88)</f>
        <v>4.1485714285714277E-3</v>
      </c>
      <c r="F90" s="178" t="str">
        <f>$E$83</f>
        <v>t N2O</v>
      </c>
      <c r="N90" s="176" t="s">
        <v>767</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713</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629</v>
      </c>
      <c r="E7" s="172" t="str" cm="1">
        <f t="array" aca="1" ref="E7" ca="1">Common_InputFunctions.Utility_DisplayFunctionName(N25)</f>
        <v>=Fuel_Equations.VEERG_8_1_1_1__1_FuelCombustionTransport</v>
      </c>
      <c r="K7" s="172" t="s">
        <v>629</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630</v>
      </c>
      <c r="E11" s="8" t="str" cm="1">
        <f t="array" ref="E11">Fuel_Equations.VEERG_8_1_1_1__1_FuelCombustionTransport_Variable()</f>
        <v>E_g</v>
      </c>
      <c r="K11" s="27" t="s">
        <v>630</v>
      </c>
      <c r="L11" s="8" t="str" cm="1">
        <f t="array" ref="L11">Scope3_Equations.VEERG_15_11_1_1__2_UpstreamTransportFuelEmissions_Variable()</f>
        <v>E_WTTtransq</v>
      </c>
      <c r="O11" s="17"/>
      <c r="P11" s="17"/>
      <c r="Q11" s="17"/>
    </row>
    <row r="12" spans="1:18" ht="20.100000000000001"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168"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P17" s="17"/>
      <c r="Q17" s="17"/>
    </row>
    <row r="18" spans="1:17" ht="20.100000000000001" customHeight="1" x14ac:dyDescent="0.25">
      <c r="A18"/>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21" t="s">
        <v>77</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80" t="str">
        <f>HYPERLINK("#'8.1.1.1-2 Transport fuel'!A1", "8.1.1.1-2 Transport fuel")</f>
        <v>8.1.1.1-2 Transport fuel</v>
      </c>
      <c r="D23" s="56" t="s">
        <v>130</v>
      </c>
    </row>
    <row r="24" spans="1:17" ht="20.100000000000001" customHeight="1" x14ac:dyDescent="0.25">
      <c r="A24" s="16" t="str">
        <f>HYPERLINK("#'8.2.1.1-2 Stationary fuel'!A1", "8.2.1.1-2 Stationary fuel")</f>
        <v>8.2.1.1-2 Stationary fuel</v>
      </c>
      <c r="D24" s="57" t="s">
        <v>131</v>
      </c>
      <c r="E24" s="57" t="s">
        <v>132</v>
      </c>
      <c r="F24" s="57" t="s">
        <v>133</v>
      </c>
      <c r="G24" s="57" t="s">
        <v>714</v>
      </c>
      <c r="H24" s="57" t="s">
        <v>715</v>
      </c>
      <c r="I24" s="57" t="s">
        <v>716</v>
      </c>
      <c r="J24" s="57" t="s">
        <v>717</v>
      </c>
      <c r="K24" s="57" t="s">
        <v>718</v>
      </c>
      <c r="L24" s="46" t="s">
        <v>719</v>
      </c>
      <c r="M24" s="57" t="s">
        <v>720</v>
      </c>
      <c r="N24" s="57" t="s">
        <v>721</v>
      </c>
      <c r="O24" s="57" t="s">
        <v>722</v>
      </c>
      <c r="P24" s="57" t="s">
        <v>723</v>
      </c>
      <c r="Q24" s="57" t="s">
        <v>724</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0.1</v>
      </c>
      <c r="M26" s="181" t="str" cm="1">
        <f t="array" ref="M26">Common_InputFunctions.Utility_LookupValueInTable(F26,Table_FuelTypes_Units[Fuel type],Table_FuelTypes_Units[Unit])</f>
        <v>kL</v>
      </c>
      <c r="N26" s="182" cm="1">
        <f t="array" ref="N26">Fuel_Equations.VEERG_8_1_1_1__1_FuelCombustionTransport($L26,$G26,$H26)</f>
        <v>0.26981400000000005</v>
      </c>
      <c r="O26" s="182" cm="1">
        <f t="array" ref="O26">Fuel_Equations.VEERG_8_1_1_1__1_FuelCombustionTransport($L26,$G26,$I26)</f>
        <v>3.8600000000000003E-5</v>
      </c>
      <c r="P26" s="182" cm="1">
        <f t="array" ref="P26">Fuel_Equations.VEERG_8_1_1_1__1_FuelCombustionTransport($L26,$G26,$J26)</f>
        <v>1.9300000000000003E-3</v>
      </c>
      <c r="Q26" s="182" cm="1">
        <f t="array" ref="Q26">Scope3_Equations.VEERG_15_11_1_1__2_UpstreamTransportFuelEmissions(L26,G26,K26)</f>
        <v>6.6778000000000004E-2</v>
      </c>
    </row>
    <row r="27" spans="1:17" ht="20.100000000000001" customHeight="1" x14ac:dyDescent="0.25">
      <c r="A27" s="222"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0</v>
      </c>
      <c r="M33" s="188" t="str" cm="1">
        <f t="array" ref="M33">Common_InputFunctions.Utility_LookupValueInTable(F33,Table_FuelTypes_Units[Fuel type],Table_FuelTypes_Units[Unit])</f>
        <v>kL</v>
      </c>
      <c r="N33" s="189" cm="1">
        <f t="array" ref="N33">Fuel_Equations.VEERG_8_1_1_1__1_FuelCombustionTransport($L33,$G33,$H33)</f>
        <v>0</v>
      </c>
      <c r="O33" s="189" cm="1">
        <f t="array" ref="O33">Fuel_Equations.VEERG_8_1_1_1__1_FuelCombustionTransport($L33,$G33,$I33)</f>
        <v>0</v>
      </c>
      <c r="P33" s="189" cm="1">
        <f t="array" ref="P33">Fuel_Equations.VEERG_8_1_1_1__1_FuelCombustionTransport($L33,$G33,$J33)</f>
        <v>0</v>
      </c>
      <c r="Q33" s="190" cm="1">
        <f t="array" ref="Q33">Scope3_Equations.VEERG_15_11_1_1__2_UpstreamTransportFuelEmissions(L33,G33,K33)</f>
        <v>0</v>
      </c>
    </row>
    <row r="34" spans="1:17" ht="20.100000000000001"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0.1</v>
      </c>
      <c r="M34" s="188" t="str" cm="1">
        <f t="array" ref="M34">Common_InputFunctions.Utility_LookupValueInTable(F34,Table_FuelTypes_Units[Fuel type],Table_FuelTypes_Units[Unit])</f>
        <v>kL</v>
      </c>
      <c r="N34" s="189" cm="1">
        <f t="array" ref="N34">Fuel_Equations.VEERG_8_1_1_1__1_FuelCombustionTransport($L34,$G34,$H34)</f>
        <v>0.22177000000000005</v>
      </c>
      <c r="O34" s="189" cm="1">
        <f t="array" ref="O34">Fuel_Equations.VEERG_8_1_1_1__1_FuelCombustionTransport($L34,$G34,$I34)</f>
        <v>1.9860000000000003E-4</v>
      </c>
      <c r="P34" s="189" cm="1">
        <f t="array" ref="P34">Fuel_Equations.VEERG_8_1_1_1__1_FuelCombustionTransport($L34,$G34,$J34)</f>
        <v>1.9860000000000004E-3</v>
      </c>
      <c r="Q34" s="189" cm="1">
        <f t="array" ref="Q34">Scope3_Equations.VEERG_15_11_1_1__2_UpstreamTransportFuelEmissions(L34,G34,K34)</f>
        <v>0</v>
      </c>
    </row>
    <row r="35" spans="1:17" ht="20.100000000000001"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0.1</v>
      </c>
      <c r="M38" s="181" t="str" cm="1">
        <f t="array" ref="M38">Common_InputFunctions.Utility_LookupValueInTable(F38,Table_FuelTypes_Units[Fuel type],Table_FuelTypes_Units[Unit])</f>
        <v>kL</v>
      </c>
      <c r="N38" s="182" cm="1">
        <f t="array" ref="N38">Fuel_Equations.VEERG_8_1_1_1__1_FuelCombustionTransport($L38,$G38,$H38)</f>
        <v>0.26981400000000005</v>
      </c>
      <c r="O38" s="182" cm="1">
        <f t="array" ref="O38">Fuel_Equations.VEERG_8_1_1_1__1_FuelCombustionTransport($L38,$G38,$I38)</f>
        <v>7.7200000000000012E-4</v>
      </c>
      <c r="P38" s="182" cm="1">
        <f t="array" ref="P38">Fuel_Equations.VEERG_8_1_1_1__1_FuelCombustionTransport($L38,$G38,$J38)</f>
        <v>1.9300000000000003E-3</v>
      </c>
      <c r="Q38" s="182" cm="1">
        <f t="array" ref="Q38">Scope3_Equations.VEERG_15_11_1_1__2_UpstreamTransportFuelEmissions(L38,G38,K38)</f>
        <v>6.6778000000000004E-2</v>
      </c>
    </row>
    <row r="39" spans="1:17" ht="20.100000000000001"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kL</v>
      </c>
      <c r="N39" s="182" cm="1">
        <f t="array" ref="N39">Fuel_Equations.VEERG_8_1_1_1__1_FuelCombustionTransport($L39,$G39,$H39)</f>
        <v>0</v>
      </c>
      <c r="O39" s="182" cm="1">
        <f t="array" ref="O39">Fuel_Equations.VEERG_8_1_1_1__1_FuelCombustionTransport($L39,$G39,$I39)</f>
        <v>0</v>
      </c>
      <c r="P39" s="182" cm="1">
        <f t="array" ref="P39">Fuel_Equations.VEERG_8_1_1_1__1_FuelCombustionTransport($L39,$G39,$J39)</f>
        <v>0</v>
      </c>
      <c r="Q39" s="182" cm="1">
        <f t="array" ref="Q39">Scope3_Equations.VEERG_15_11_1_1__2_UpstreamTransportFuelEmissions(L39,G39,K39)</f>
        <v>0</v>
      </c>
    </row>
    <row r="40" spans="1:17" ht="20.100000000000001" customHeight="1" x14ac:dyDescent="0.25">
      <c r="A40"/>
      <c r="H40" s="17"/>
      <c r="I40" s="17"/>
      <c r="J40" s="17"/>
      <c r="L40" s="17"/>
      <c r="M40" s="17"/>
      <c r="N40" s="17"/>
      <c r="O40" s="17"/>
      <c r="P40" s="17"/>
      <c r="Q40" s="17"/>
    </row>
    <row r="41" spans="1:17" ht="20.100000000000001" customHeight="1" x14ac:dyDescent="0.25">
      <c r="A41"/>
      <c r="H41" s="17"/>
      <c r="I41" s="17"/>
      <c r="J41" s="17"/>
      <c r="L41" s="17"/>
      <c r="M41" s="17"/>
      <c r="N41" s="17"/>
      <c r="O41" s="17"/>
      <c r="P41" s="17"/>
      <c r="Q41" s="17"/>
    </row>
    <row r="42" spans="1:17" ht="20.100000000000001" customHeight="1" x14ac:dyDescent="0.25">
      <c r="A42"/>
      <c r="D42" s="193" t="str">
        <f>"Total scope 1 - " &amp; D25</f>
        <v>Total scope 1 - Cars and light commercial vehicles</v>
      </c>
      <c r="E42" s="194"/>
      <c r="F42" s="195"/>
    </row>
    <row r="43" spans="1:17" ht="20.100000000000001" customHeight="1" x14ac:dyDescent="0.25">
      <c r="A43"/>
      <c r="D43" s="7" t="s">
        <v>725</v>
      </c>
      <c r="E43" s="196">
        <f>SUM(N25:N32)</f>
        <v>0.26981400000000005</v>
      </c>
      <c r="F43" s="65" t="str">
        <f>$E$12</f>
        <v>t CO2-e</v>
      </c>
    </row>
    <row r="44" spans="1:17" ht="20.100000000000001" customHeight="1" x14ac:dyDescent="0.25">
      <c r="A44"/>
      <c r="D44" s="7" t="s">
        <v>726</v>
      </c>
      <c r="E44" s="196">
        <f>SUM(O25:O32)</f>
        <v>3.8600000000000003E-5</v>
      </c>
      <c r="F44" s="65" t="str">
        <f t="shared" ref="F44:F46" si="1">$E$12</f>
        <v>t CO2-e</v>
      </c>
    </row>
    <row r="45" spans="1:17" ht="20.100000000000001" customHeight="1" x14ac:dyDescent="0.25">
      <c r="A45"/>
      <c r="D45" s="7" t="s">
        <v>727</v>
      </c>
      <c r="E45" s="196">
        <f>SUM(P25:P32)</f>
        <v>1.9300000000000003E-3</v>
      </c>
      <c r="F45" s="65" t="str">
        <f t="shared" si="1"/>
        <v>t CO2-e</v>
      </c>
    </row>
    <row r="46" spans="1:17" ht="20.100000000000001" customHeight="1" x14ac:dyDescent="0.25">
      <c r="A46"/>
      <c r="D46" s="7" t="s">
        <v>728</v>
      </c>
      <c r="E46" s="196">
        <f>SUM(Q25:Q32)</f>
        <v>6.6778000000000004E-2</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725</v>
      </c>
      <c r="E49" s="196">
        <f>SUM(N33:N33)</f>
        <v>0</v>
      </c>
      <c r="F49" s="65" t="str">
        <f t="shared" ref="F49:F52" si="2">$E$12</f>
        <v>t CO2-e</v>
      </c>
      <c r="H49" s="17"/>
      <c r="I49" s="17"/>
      <c r="J49" s="17"/>
      <c r="L49" s="17"/>
      <c r="M49" s="17"/>
      <c r="N49" s="17"/>
      <c r="O49" s="17"/>
      <c r="P49" s="17"/>
      <c r="Q49" s="17"/>
    </row>
    <row r="50" spans="1:17" ht="20.100000000000001" customHeight="1" x14ac:dyDescent="0.25">
      <c r="A50"/>
      <c r="D50" s="7" t="s">
        <v>726</v>
      </c>
      <c r="E50" s="196">
        <f>SUM(O33:O33)</f>
        <v>0</v>
      </c>
      <c r="F50" s="65" t="str">
        <f t="shared" si="2"/>
        <v>t CO2-e</v>
      </c>
      <c r="H50" s="17"/>
      <c r="I50" s="17"/>
      <c r="J50" s="17"/>
      <c r="L50" s="17"/>
      <c r="M50" s="17"/>
      <c r="N50" s="17"/>
      <c r="O50" s="17"/>
      <c r="P50" s="17"/>
      <c r="Q50" s="17"/>
    </row>
    <row r="51" spans="1:17" ht="20.100000000000001" customHeight="1" x14ac:dyDescent="0.25">
      <c r="A51"/>
      <c r="D51" s="7" t="s">
        <v>727</v>
      </c>
      <c r="E51" s="196">
        <f>SUM(P33:P33)</f>
        <v>0</v>
      </c>
      <c r="F51" s="65" t="str">
        <f t="shared" si="2"/>
        <v>t CO2-e</v>
      </c>
      <c r="H51" s="17"/>
      <c r="I51" s="17"/>
      <c r="J51" s="17"/>
      <c r="L51" s="17"/>
      <c r="M51" s="17"/>
      <c r="N51" s="17"/>
      <c r="O51" s="17"/>
      <c r="P51" s="17"/>
      <c r="Q51" s="17"/>
    </row>
    <row r="52" spans="1:17" ht="20.100000000000001" customHeight="1" x14ac:dyDescent="0.25">
      <c r="A52"/>
      <c r="D52" s="7" t="s">
        <v>728</v>
      </c>
      <c r="E52" s="196">
        <f>SUM(Q33)</f>
        <v>0</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725</v>
      </c>
      <c r="E55" s="196">
        <f>SUM(N34:N36)</f>
        <v>0.22177000000000005</v>
      </c>
      <c r="F55" s="65" t="str">
        <f t="shared" ref="F55:F58" si="3">$E$12</f>
        <v>t CO2-e</v>
      </c>
      <c r="G55" s="17"/>
      <c r="H55" s="17"/>
      <c r="I55" s="17"/>
      <c r="J55" s="17"/>
      <c r="L55" s="17"/>
      <c r="M55" s="17"/>
      <c r="N55" s="17"/>
      <c r="O55" s="17"/>
      <c r="P55" s="17"/>
      <c r="Q55" s="17"/>
    </row>
    <row r="56" spans="1:17" ht="20.100000000000001" customHeight="1" x14ac:dyDescent="0.25">
      <c r="A56"/>
      <c r="D56" s="7" t="s">
        <v>726</v>
      </c>
      <c r="E56" s="196">
        <f>SUM(O34:O36)</f>
        <v>1.9860000000000003E-4</v>
      </c>
      <c r="F56" s="65" t="str">
        <f t="shared" si="3"/>
        <v>t CO2-e</v>
      </c>
      <c r="G56" s="17"/>
      <c r="H56" s="17"/>
      <c r="I56" s="17"/>
      <c r="J56" s="17"/>
      <c r="L56" s="17"/>
      <c r="M56" s="17"/>
      <c r="N56" s="17"/>
      <c r="O56" s="17"/>
      <c r="P56" s="17"/>
      <c r="Q56" s="17"/>
    </row>
    <row r="57" spans="1:17" ht="20.100000000000001" customHeight="1" x14ac:dyDescent="0.25">
      <c r="A57"/>
      <c r="D57" s="7" t="s">
        <v>727</v>
      </c>
      <c r="E57" s="196">
        <f>SUM(P34:P36)</f>
        <v>1.9860000000000004E-3</v>
      </c>
      <c r="F57" s="65" t="str">
        <f t="shared" si="3"/>
        <v>t CO2-e</v>
      </c>
      <c r="G57" s="17"/>
      <c r="H57" s="17"/>
      <c r="I57" s="17"/>
      <c r="J57" s="17"/>
      <c r="L57" s="17"/>
      <c r="M57" s="17"/>
      <c r="N57" s="17"/>
      <c r="O57" s="17"/>
      <c r="P57" s="17"/>
      <c r="Q57" s="17"/>
    </row>
    <row r="58" spans="1:17" ht="20.100000000000001" customHeight="1" x14ac:dyDescent="0.25">
      <c r="A58"/>
      <c r="D58" s="7" t="s">
        <v>728</v>
      </c>
      <c r="E58" s="196">
        <f>SUM(Q34:Q36)</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725</v>
      </c>
      <c r="E61" s="196">
        <f>SUM(N37:N39)</f>
        <v>0.26981400000000005</v>
      </c>
      <c r="F61" s="65" t="str">
        <f t="shared" ref="F61:F64" si="4">$E$12</f>
        <v>t CO2-e</v>
      </c>
      <c r="G61" s="17"/>
      <c r="H61" s="17"/>
      <c r="I61" s="17"/>
      <c r="J61" s="17"/>
      <c r="L61" s="17"/>
      <c r="M61" s="17"/>
      <c r="N61" s="17"/>
      <c r="O61" s="17"/>
      <c r="P61" s="17"/>
      <c r="Q61" s="17"/>
    </row>
    <row r="62" spans="1:17" ht="20.100000000000001" customHeight="1" x14ac:dyDescent="0.25">
      <c r="A62"/>
      <c r="D62" s="7" t="s">
        <v>726</v>
      </c>
      <c r="E62" s="196">
        <f>SUM(O37:O39)</f>
        <v>7.7200000000000012E-4</v>
      </c>
      <c r="F62" s="65" t="str">
        <f t="shared" si="4"/>
        <v>t CO2-e</v>
      </c>
      <c r="G62" s="17"/>
      <c r="H62" s="17"/>
      <c r="I62" s="17"/>
      <c r="J62" s="17"/>
      <c r="L62" s="17"/>
      <c r="M62" s="17"/>
      <c r="N62" s="17"/>
      <c r="O62" s="17"/>
      <c r="P62" s="17"/>
      <c r="Q62" s="17"/>
    </row>
    <row r="63" spans="1:17" ht="20.100000000000001" customHeight="1" x14ac:dyDescent="0.25">
      <c r="A63"/>
      <c r="D63" s="7" t="s">
        <v>727</v>
      </c>
      <c r="E63" s="196">
        <f>SUM(P37:P39)</f>
        <v>1.9300000000000003E-3</v>
      </c>
      <c r="F63" s="65" t="str">
        <f t="shared" si="4"/>
        <v>t CO2-e</v>
      </c>
      <c r="G63" s="17"/>
      <c r="H63" s="17"/>
      <c r="I63" s="17"/>
      <c r="J63" s="17"/>
      <c r="L63" s="17"/>
      <c r="M63" s="17"/>
      <c r="N63" s="17"/>
      <c r="O63" s="17"/>
      <c r="P63" s="17"/>
      <c r="Q63" s="17"/>
    </row>
    <row r="64" spans="1:17" ht="20.100000000000001" customHeight="1" x14ac:dyDescent="0.25">
      <c r="A64"/>
      <c r="D64" s="7" t="s">
        <v>728</v>
      </c>
      <c r="E64" s="196">
        <f>SUM(Q37:Q39)</f>
        <v>6.6778000000000004E-2</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729</v>
      </c>
      <c r="E66" s="199"/>
      <c r="F66" s="195"/>
      <c r="G66" s="17"/>
      <c r="H66" s="17"/>
      <c r="I66" s="17"/>
      <c r="J66" s="17"/>
      <c r="L66" s="17"/>
      <c r="M66" s="17"/>
      <c r="N66" s="17"/>
      <c r="O66" s="17"/>
      <c r="P66" s="17"/>
      <c r="Q66" s="17"/>
    </row>
    <row r="67" spans="1:17" ht="20.100000000000001" customHeight="1" x14ac:dyDescent="0.25">
      <c r="A67"/>
      <c r="D67" s="7" t="s">
        <v>725</v>
      </c>
      <c r="E67" s="196">
        <f>E43+E49+E55+E61</f>
        <v>0.76139800000000024</v>
      </c>
      <c r="F67" s="65" t="str">
        <f t="shared" ref="F67:F70" si="5">$E$12</f>
        <v>t CO2-e</v>
      </c>
      <c r="G67" s="17"/>
    </row>
    <row r="68" spans="1:17" ht="20.100000000000001" customHeight="1" x14ac:dyDescent="0.25">
      <c r="A68"/>
      <c r="D68" s="7" t="s">
        <v>726</v>
      </c>
      <c r="E68" s="196">
        <f t="shared" ref="E68:E70" si="6">E44+E50+E56+E62</f>
        <v>1.0092E-3</v>
      </c>
      <c r="F68" s="65" t="str">
        <f t="shared" si="5"/>
        <v>t CO2-e</v>
      </c>
      <c r="G68" s="17"/>
    </row>
    <row r="69" spans="1:17" ht="20.100000000000001" customHeight="1" x14ac:dyDescent="0.25">
      <c r="A69"/>
      <c r="D69" s="7" t="s">
        <v>727</v>
      </c>
      <c r="E69" s="196">
        <f t="shared" si="6"/>
        <v>5.8460000000000014E-3</v>
      </c>
      <c r="F69" s="65" t="str">
        <f t="shared" si="5"/>
        <v>t CO2-e</v>
      </c>
      <c r="G69" s="17"/>
    </row>
    <row r="70" spans="1:17" ht="20.100000000000001" customHeight="1" x14ac:dyDescent="0.25">
      <c r="A70"/>
      <c r="D70" s="7" t="s">
        <v>728</v>
      </c>
      <c r="E70" s="196">
        <f t="shared" si="6"/>
        <v>0.13355600000000001</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730</v>
      </c>
    </row>
    <row r="2" spans="1:18" s="2" customFormat="1" ht="20.100000000000001" customHeight="1" x14ac:dyDescent="0.25">
      <c r="A2"/>
    </row>
    <row r="3" spans="1:18" ht="20.100000000000001" customHeight="1" x14ac:dyDescent="0.25">
      <c r="A3" s="16" t="str">
        <f>HYPERLINK("#'Overview'!A1", "Overview")</f>
        <v>Overview</v>
      </c>
      <c r="C3" s="5"/>
      <c r="D3" s="5" t="s">
        <v>413</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629</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629</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630</v>
      </c>
      <c r="E11" s="8" t="str" cm="1">
        <f t="array" ref="E11">Fuel_Equations.VEERG_8_2_1_1__1_FuelCombustionStationary_Variable()</f>
        <v>E_g</v>
      </c>
      <c r="K11" s="27" t="s">
        <v>630</v>
      </c>
      <c r="L11" s="8" t="str" cm="1">
        <f t="array" ref="L11">Scope3_Equations.VEERG_15_11_1_1__3_UpstreamStationaryFuelEmissions_Variable()</f>
        <v>E_WTTSCq</v>
      </c>
      <c r="O11" s="17"/>
      <c r="P11" s="17"/>
      <c r="Q11" s="17"/>
      <c r="R11" s="17"/>
    </row>
    <row r="12" spans="1:18" ht="20.100000000000001"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100000000000001" customHeight="1" x14ac:dyDescent="0.25">
      <c r="A13" s="16" t="str">
        <f>HYPERLINK("#'Input - Freight'!A1", "Freight")</f>
        <v>Freight</v>
      </c>
    </row>
    <row r="14" spans="1:18" ht="20.100000000000001" customHeight="1" x14ac:dyDescent="0.25">
      <c r="A14" s="16" t="str">
        <f>HYPERLINK("#'Input - Solid waste'!A1", "Solid waste")</f>
        <v>Solid waste</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168"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168" t="str">
        <v>Input</v>
      </c>
      <c r="P14" s="170" t="str" cm="1">
        <f t="array" aca="1" ref="P14" ca="1">HYPERLINK(Common_InputFunctions.Utility_SourceHyperlink($D$22), $D$22)</f>
        <v>Table_E_g</v>
      </c>
      <c r="Q14" s="17"/>
    </row>
    <row r="15" spans="1:18" ht="20.100000000000001" customHeight="1" x14ac:dyDescent="0.25">
      <c r="A15" s="16" t="str">
        <f>HYPERLINK("#'Input - Manure sent off-site'!A1", "Manure sent off-site")</f>
        <v>Manure sent off-site</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Electricity'!A1", "Electricity")</f>
        <v>Electricity</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c r="D17" s="167" t="str">
        <v>q</v>
      </c>
      <c r="E17" s="171" t="str">
        <v>Fuel type</v>
      </c>
      <c r="F17" s="166"/>
      <c r="G17" s="167" t="str">
        <v/>
      </c>
      <c r="H17" s="169" t="str">
        <v>Constant</v>
      </c>
      <c r="I17" s="170"/>
      <c r="J17" s="17"/>
      <c r="K17" s="167" t="str">
        <v>i</v>
      </c>
      <c r="L17" s="171" t="str">
        <v>state</v>
      </c>
      <c r="M17" s="166"/>
      <c r="N17" s="167" t="str">
        <v/>
      </c>
      <c r="O17" s="168" t="str">
        <v>Input</v>
      </c>
      <c r="P17" s="167" t="str">
        <f>X_Cell_Site_State</f>
        <v>ACT</v>
      </c>
      <c r="Q17" s="17"/>
    </row>
    <row r="18" spans="1:17" ht="20.100000000000001" customHeight="1" x14ac:dyDescent="0.25">
      <c r="A18"/>
      <c r="D18" s="167" t="str">
        <v>SC</v>
      </c>
      <c r="E18" s="171" t="str">
        <v>Stationary combustion</v>
      </c>
      <c r="F18" s="166"/>
      <c r="G18" s="167" t="str">
        <v/>
      </c>
      <c r="H18" s="169" t="str">
        <v>Constant</v>
      </c>
      <c r="I18" s="170"/>
      <c r="J18" s="17"/>
      <c r="K18" s="167" t="str">
        <v>m</v>
      </c>
      <c r="L18" s="171" t="str">
        <v>metropolitan/non-metropolitan location</v>
      </c>
      <c r="M18" s="166"/>
      <c r="N18" s="167" t="str">
        <v/>
      </c>
      <c r="O18" s="168" t="str">
        <v>Input</v>
      </c>
      <c r="P18" s="167" t="str">
        <f>X_Cell_Fuel_IsMetroLocation</f>
        <v>Metro</v>
      </c>
      <c r="Q18" s="17"/>
    </row>
    <row r="19" spans="1:17" ht="20.100000000000001" customHeight="1" x14ac:dyDescent="0.25">
      <c r="A19" s="21" t="s">
        <v>77</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HYPERLINK("#'15 Scope 3'!A1", "15 Scope 3")</f>
        <v>15 Scope 3</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HYPERLINK("#'10.1.1-2 Solid waste treatment'!A1", "10.1.1-2 Solid waste treatment")</f>
        <v>10.1.1-2 Solid waste treatment</v>
      </c>
      <c r="O21" s="17"/>
      <c r="P21" s="17"/>
      <c r="Q21" s="17"/>
    </row>
    <row r="22" spans="1:17" ht="20.100000000000001" customHeight="1" x14ac:dyDescent="0.25">
      <c r="A22" s="16" t="str">
        <f>HYPERLINK("#'Calcs - Manure sent off-site'!A1", "Calcs - Manure sent off-site")</f>
        <v>Calcs - Manure sent off-site</v>
      </c>
      <c r="D22" s="55" t="s">
        <v>129</v>
      </c>
    </row>
    <row r="23" spans="1:17" ht="20.100000000000001" customHeight="1" x14ac:dyDescent="0.25">
      <c r="A23" s="16" t="str">
        <f>HYPERLINK("#'8.1.1.1-2 Transport fuel'!A1", "8.1.1.1-2 Transport fuel")</f>
        <v>8.1.1.1-2 Transport fuel</v>
      </c>
      <c r="D23" s="56" t="s">
        <v>731</v>
      </c>
    </row>
    <row r="24" spans="1:17" ht="20.100000000000001" customHeight="1" x14ac:dyDescent="0.25">
      <c r="A24" s="180" t="str">
        <f>HYPERLINK("#'8.2.1.1-2 Stationary fuel'!A1", "8.2.1.1-2 Stationary fuel")</f>
        <v>8.2.1.1-2 Stationary fuel</v>
      </c>
      <c r="D24" s="57" t="s">
        <v>131</v>
      </c>
      <c r="E24" s="57" t="s">
        <v>132</v>
      </c>
      <c r="F24" s="57" t="s">
        <v>133</v>
      </c>
      <c r="G24" s="57" t="s">
        <v>732</v>
      </c>
      <c r="H24" s="57" t="s">
        <v>733</v>
      </c>
      <c r="I24" s="57" t="s">
        <v>734</v>
      </c>
      <c r="J24" s="57" t="s">
        <v>735</v>
      </c>
      <c r="K24" s="57" t="s">
        <v>736</v>
      </c>
      <c r="L24" s="46" t="s">
        <v>737</v>
      </c>
      <c r="M24" s="57" t="s">
        <v>720</v>
      </c>
      <c r="N24" s="57" t="s">
        <v>721</v>
      </c>
      <c r="O24" s="57" t="s">
        <v>722</v>
      </c>
      <c r="P24" s="57" t="s">
        <v>723</v>
      </c>
      <c r="Q24" s="57" t="s">
        <v>738</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22"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0</v>
      </c>
      <c r="M32" s="188" t="str" cm="1">
        <f t="array" ref="M32">Common_InputFunctions.Utility_LookupValueInTable(F32,Table_FuelTypes_Units[Fuel type],Table_FuelTypes_Units[Unit])</f>
        <v>kL</v>
      </c>
      <c r="N32" s="202" cm="1">
        <f t="array" ref="N32">Fuel_Equations.VEERG_8_2_1_1__1_FuelCombustionStationary($L32,$G32,H32)</f>
        <v>0</v>
      </c>
      <c r="O32" s="202" cm="1">
        <f t="array" ref="O32">Fuel_Equations.VEERG_8_2_1_1__1_FuelCombustionStationary($L32,$G32,I32)</f>
        <v>0</v>
      </c>
      <c r="P32" s="202" cm="1">
        <f t="array" ref="P32">Fuel_Equations.VEERG_8_2_1_1__1_FuelCombustionStationary($L32,$G32,J32)</f>
        <v>0</v>
      </c>
      <c r="Q32" s="202" cm="1">
        <f t="array" ref="Q32">Fuel_Equations.VEERG_8_2_1_1__1_FuelCombustionStationary($L32,$G32,IF(ISNUMBER(K32), K32, 0))</f>
        <v>0</v>
      </c>
    </row>
    <row r="33" spans="1:17" ht="20.100000000000001"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81" cm="1">
        <f t="array" ref="L40">Fuel_InputFunctions.Fuel_TotalConsumption(Table_Input_Fuel[Amount consumed], Table_Input_Fuel[Fuel use (select)], D40, Table_Input_Fuel[Fuel type (select)],F40)</f>
        <v>0.2</v>
      </c>
      <c r="M40" s="181" t="str" cm="1">
        <f t="array" ref="M40">Common_InputFunctions.Utility_LookupValueInTable(F40,Table_FuelTypes_Units[Fuel type],Table_FuelTypes_Units[Unit])</f>
        <v>GJ</v>
      </c>
      <c r="N40" s="200" cm="1">
        <f t="array" ref="N40">Fuel_Equations.VEERG_8_2_1_1__1_FuelCombustionStationary($L40,$G40,H40)</f>
        <v>1.204E-2</v>
      </c>
      <c r="O40" s="200" cm="1">
        <f t="array" ref="O40">Fuel_Equations.VEERG_8_2_1_1__1_FuelCombustionStationary($L40,$G40,I40)</f>
        <v>7.9999999999999996E-6</v>
      </c>
      <c r="P40" s="200" cm="1">
        <f t="array" ref="P40">Fuel_Equations.VEERG_8_2_1_1__1_FuelCombustionStationary($L40,$G40,J40)</f>
        <v>6.0000000000000002E-6</v>
      </c>
      <c r="Q40" s="200" cm="1">
        <f t="array" ref="Q40">Fuel_Equations.VEERG_8_2_1_1__1_FuelCombustionStationary($L40,$G40,IF(ISNUMBER(K40), K40, 0))</f>
        <v>2.6200000000000004E-3</v>
      </c>
    </row>
    <row r="41" spans="1:17" ht="20.100000000000001" customHeight="1" x14ac:dyDescent="0.25">
      <c r="A41"/>
    </row>
    <row r="42" spans="1:17" ht="20.100000000000001" customHeight="1" x14ac:dyDescent="0.25">
      <c r="A42"/>
      <c r="D42" s="193" t="str">
        <f>"Total scope 1 - " &amp; D25</f>
        <v>Total scope 1 - Generators</v>
      </c>
      <c r="E42" s="194"/>
      <c r="F42" s="195"/>
    </row>
    <row r="43" spans="1:17" ht="20.100000000000001" customHeight="1" x14ac:dyDescent="0.25">
      <c r="A43"/>
      <c r="D43" s="7" t="s">
        <v>725</v>
      </c>
      <c r="E43" s="196">
        <f>SUM(N25:N31)</f>
        <v>0</v>
      </c>
      <c r="F43" s="65" t="str">
        <f>$E$12</f>
        <v>t CO2-e</v>
      </c>
    </row>
    <row r="44" spans="1:17" ht="20.100000000000001" customHeight="1" x14ac:dyDescent="0.25">
      <c r="A44"/>
      <c r="D44" s="7" t="s">
        <v>726</v>
      </c>
      <c r="E44" s="196">
        <f>SUM(O25:O31)</f>
        <v>0</v>
      </c>
      <c r="F44" s="65" t="str">
        <f t="shared" ref="F44:F46" si="2">$E$12</f>
        <v>t CO2-e</v>
      </c>
    </row>
    <row r="45" spans="1:17" ht="20.100000000000001" customHeight="1" x14ac:dyDescent="0.25">
      <c r="A45"/>
      <c r="D45" s="7" t="s">
        <v>727</v>
      </c>
      <c r="E45" s="196">
        <f>SUM(P25:P31)</f>
        <v>0</v>
      </c>
      <c r="F45" s="65" t="str">
        <f t="shared" si="2"/>
        <v>t CO2-e</v>
      </c>
    </row>
    <row r="46" spans="1:17" ht="20.100000000000001" customHeight="1" x14ac:dyDescent="0.25">
      <c r="A46"/>
      <c r="D46" s="7" t="s">
        <v>728</v>
      </c>
      <c r="E46" s="196">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725</v>
      </c>
      <c r="E49" s="196">
        <f>SUM(N32:N40)</f>
        <v>1.204E-2</v>
      </c>
      <c r="F49" s="65" t="str">
        <f t="shared" ref="F49:F52" si="3">$E$12</f>
        <v>t CO2-e</v>
      </c>
      <c r="H49" s="17"/>
      <c r="I49" s="17"/>
      <c r="J49" s="17"/>
      <c r="L49" s="17"/>
      <c r="N49" s="17"/>
      <c r="O49" s="17"/>
      <c r="P49" s="17"/>
      <c r="Q49" s="17"/>
    </row>
    <row r="50" spans="1:17" ht="20.100000000000001" customHeight="1" x14ac:dyDescent="0.25">
      <c r="A50"/>
      <c r="D50" s="7" t="s">
        <v>726</v>
      </c>
      <c r="E50" s="196">
        <f>SUM(O32:O40)</f>
        <v>7.9999999999999996E-6</v>
      </c>
      <c r="F50" s="65" t="str">
        <f t="shared" si="3"/>
        <v>t CO2-e</v>
      </c>
      <c r="H50" s="17"/>
      <c r="I50" s="17"/>
      <c r="J50" s="17"/>
      <c r="L50" s="17"/>
      <c r="N50" s="17"/>
      <c r="O50" s="17"/>
      <c r="P50" s="17"/>
      <c r="Q50" s="17"/>
    </row>
    <row r="51" spans="1:17" ht="20.100000000000001" customHeight="1" x14ac:dyDescent="0.25">
      <c r="A51"/>
      <c r="D51" s="7" t="s">
        <v>727</v>
      </c>
      <c r="E51" s="196">
        <f>SUM(P32:P40)</f>
        <v>6.0000000000000002E-6</v>
      </c>
      <c r="F51" s="65" t="str">
        <f t="shared" si="3"/>
        <v>t CO2-e</v>
      </c>
      <c r="H51" s="17"/>
      <c r="I51" s="17"/>
      <c r="J51" s="17"/>
      <c r="L51" s="17"/>
      <c r="N51" s="17"/>
      <c r="O51" s="17"/>
      <c r="P51" s="17"/>
      <c r="Q51" s="17"/>
    </row>
    <row r="52" spans="1:17" ht="20.100000000000001" customHeight="1" x14ac:dyDescent="0.25">
      <c r="A52"/>
      <c r="D52" s="7" t="s">
        <v>728</v>
      </c>
      <c r="E52" s="196">
        <f>SUM(Q32:Q40)</f>
        <v>2.6200000000000004E-3</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739</v>
      </c>
      <c r="E54" s="197"/>
      <c r="F54" s="195"/>
      <c r="G54" s="17"/>
      <c r="H54" s="17"/>
      <c r="I54" s="17"/>
      <c r="J54" s="17"/>
      <c r="L54" s="17"/>
      <c r="N54" s="17"/>
      <c r="O54" s="17"/>
      <c r="P54" s="17"/>
      <c r="Q54" s="17"/>
    </row>
    <row r="55" spans="1:17" ht="20.100000000000001" customHeight="1" x14ac:dyDescent="0.25">
      <c r="A55"/>
      <c r="D55" s="7" t="s">
        <v>725</v>
      </c>
      <c r="E55" s="196">
        <f>E43+E49</f>
        <v>1.204E-2</v>
      </c>
      <c r="F55" s="65" t="str">
        <f t="shared" ref="F55:F58" si="4">$E$12</f>
        <v>t CO2-e</v>
      </c>
      <c r="G55" s="17"/>
      <c r="H55" s="17"/>
      <c r="I55" s="17"/>
      <c r="J55" s="17"/>
      <c r="L55" s="17"/>
      <c r="N55" s="17"/>
      <c r="O55" s="17"/>
      <c r="P55" s="17"/>
      <c r="Q55" s="17"/>
    </row>
    <row r="56" spans="1:17" ht="20.100000000000001" customHeight="1" x14ac:dyDescent="0.25">
      <c r="A56"/>
      <c r="D56" s="7" t="s">
        <v>726</v>
      </c>
      <c r="E56" s="196">
        <f>E44+E50</f>
        <v>7.9999999999999996E-6</v>
      </c>
      <c r="F56" s="65" t="str">
        <f t="shared" si="4"/>
        <v>t CO2-e</v>
      </c>
    </row>
    <row r="57" spans="1:17" ht="20.100000000000001" customHeight="1" x14ac:dyDescent="0.25">
      <c r="A57"/>
      <c r="D57" s="7" t="s">
        <v>727</v>
      </c>
      <c r="E57" s="196">
        <f>E45+E51</f>
        <v>6.0000000000000002E-6</v>
      </c>
      <c r="F57" s="65" t="str">
        <f t="shared" si="4"/>
        <v>t CO2-e</v>
      </c>
      <c r="G57" s="17"/>
      <c r="H57" s="17"/>
      <c r="I57" s="17"/>
      <c r="J57" s="17"/>
      <c r="L57" s="17"/>
      <c r="N57" s="17"/>
      <c r="O57" s="17"/>
      <c r="P57" s="17"/>
      <c r="Q57" s="17"/>
    </row>
    <row r="58" spans="1:17" ht="20.100000000000001" customHeight="1" x14ac:dyDescent="0.25">
      <c r="A58"/>
      <c r="D58" s="7" t="s">
        <v>728</v>
      </c>
      <c r="E58" s="196">
        <f>E46+E52</f>
        <v>2.6200000000000004E-3</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Livestock purchases'!A1", "Livestock purchases")</f>
        <v>Livestock purchases</v>
      </c>
    </row>
    <row r="13" spans="1:17" ht="20.100000000000001" customHeight="1" x14ac:dyDescent="0.25">
      <c r="A13" s="16" t="str">
        <f>HYPERLINK("#'Input - Freight'!A1", "Freight")</f>
        <v>Freight</v>
      </c>
    </row>
    <row r="14" spans="1:17" ht="20.100000000000001" customHeight="1" x14ac:dyDescent="0.25">
      <c r="A14" s="16" t="str">
        <f>HYPERLINK("#'Input - Solid waste'!A1", "Solid waste")</f>
        <v>Solid waste</v>
      </c>
    </row>
    <row r="15" spans="1:17" ht="20.100000000000001" customHeight="1" x14ac:dyDescent="0.25">
      <c r="A15" s="16" t="str">
        <f>HYPERLINK("#'Input - Manure sent off-site'!A1", "Manure sent off-site")</f>
        <v>Manure sent off-site</v>
      </c>
    </row>
    <row r="16" spans="1:17" ht="20.100000000000001" customHeight="1" x14ac:dyDescent="0.25">
      <c r="A16" s="16" t="str">
        <f>HYPERLINK("#'Input - Electricity'!A1", "Electricity")</f>
        <v>Electricity</v>
      </c>
    </row>
    <row r="17" spans="1:11" ht="20.100000000000001" customHeight="1" x14ac:dyDescent="0.25"/>
    <row r="18" spans="1:11" ht="20.100000000000001" customHeight="1" x14ac:dyDescent="0.25"/>
    <row r="19" spans="1:11" ht="20.100000000000001" customHeight="1" x14ac:dyDescent="0.25">
      <c r="A19" s="21" t="s">
        <v>77</v>
      </c>
    </row>
    <row r="20" spans="1:11" ht="20.100000000000001" customHeight="1" x14ac:dyDescent="0.25">
      <c r="A20" s="16" t="str">
        <f>HYPERLINK("#'15 Scope 3'!A1", "15 Scope 3")</f>
        <v>15 Scope 3</v>
      </c>
    </row>
    <row r="21" spans="1:11" ht="20.100000000000001" customHeight="1" x14ac:dyDescent="0.25">
      <c r="A21" s="16" t="str">
        <f>HYPERLINK("#'10.1.1-2 Solid waste treatment'!A1", "10.1.1-2 Solid waste treatment")</f>
        <v>10.1.1-2 Solid waste treatment</v>
      </c>
    </row>
    <row r="22" spans="1:11" ht="20.100000000000001" customHeight="1" x14ac:dyDescent="0.25">
      <c r="A22" s="16" t="str">
        <f>HYPERLINK("#'Calcs - Manure sent off-site'!A1", "Calcs - Manure sent off-site")</f>
        <v>Calcs - Manure sent off-site</v>
      </c>
    </row>
    <row r="23" spans="1:11" ht="20.100000000000001" customHeight="1" x14ac:dyDescent="0.25">
      <c r="A23" s="16" t="str">
        <f>HYPERLINK("#'8.1.1.1-2 Transport fuel'!A1", "8.1.1.1-2 Transport fuel")</f>
        <v>8.1.1.1-2 Transport fuel</v>
      </c>
    </row>
    <row r="24" spans="1:11" ht="20.100000000000001" customHeight="1" x14ac:dyDescent="0.25">
      <c r="A24" s="16" t="str">
        <f>HYPERLINK("#'8.2.1.1-2 Stationary fuel'!A1", "8.2.1.1-2 Stationary fuel")</f>
        <v>8.2.1.1-2 Stationary fuel</v>
      </c>
    </row>
    <row r="25" spans="1:11" ht="20.100000000000001" customHeight="1" x14ac:dyDescent="0.25"/>
    <row r="26" spans="1:11" ht="20.100000000000001" customHeight="1" x14ac:dyDescent="0.25"/>
    <row r="27" spans="1:11" ht="20.100000000000001" customHeight="1" x14ac:dyDescent="0.25">
      <c r="A27" s="222" t="s">
        <v>78</v>
      </c>
    </row>
    <row r="28" spans="1:11" ht="20.100000000000001" customHeight="1" x14ac:dyDescent="0.25">
      <c r="A28" s="23" t="str">
        <f>HYPERLINK("#'Constants - Scope 3'!A1", "Constants - Scope 3")</f>
        <v>Constants - Scope 3</v>
      </c>
    </row>
    <row r="29" spans="1:11" ht="20.100000000000001" customHeight="1" x14ac:dyDescent="0.25">
      <c r="A29" s="16" t="str">
        <f>HYPERLINK("#'Constants - Solid Waste'!A1", "Constants - Solid Waste")</f>
        <v>Constants - Solid Waste</v>
      </c>
    </row>
    <row r="30" spans="1:11" ht="20.100000000000001" customHeight="1" x14ac:dyDescent="0.25">
      <c r="A30" s="16" t="str">
        <f>HYPERLINK("#'Constants - Fuel'!A1", "Constants - Fuel")</f>
        <v>Constants - Fuel</v>
      </c>
    </row>
    <row r="31" spans="1:11" ht="20.100000000000001" customHeight="1" x14ac:dyDescent="0.25">
      <c r="A31" s="16" t="str">
        <f>HYPERLINK("#'Constants - Poultry'!A1", "Constants - Poultry")</f>
        <v>Constants - Poultry</v>
      </c>
    </row>
    <row r="32" spans="1:11" ht="20.100000000000001" customHeight="1" x14ac:dyDescent="0.25">
      <c r="A32" s="16" t="str">
        <f>HYPERLINK("#'Constants - Swine'!A1", "Constants - Swine")</f>
        <v>Constants - Swine</v>
      </c>
      <c r="D32" s="9" t="s">
        <v>362</v>
      </c>
      <c r="K32" s="8" t="s">
        <v>433</v>
      </c>
    </row>
    <row r="33" spans="1:12" ht="20.100000000000001" customHeight="1" x14ac:dyDescent="0.25">
      <c r="A33" s="16" t="str">
        <f>HYPERLINK("#'Constants - Dairy'!A1", "Constants - Dairy")</f>
        <v>Constants - Dairy</v>
      </c>
      <c r="D33" s="10" t="s">
        <v>318</v>
      </c>
      <c r="E33" s="10" t="s">
        <v>216</v>
      </c>
      <c r="F33" s="10" t="s">
        <v>319</v>
      </c>
      <c r="G33" s="10" t="s">
        <v>283</v>
      </c>
      <c r="H33" s="10" t="s">
        <v>284</v>
      </c>
      <c r="I33" s="10" t="s">
        <v>363</v>
      </c>
      <c r="K33" s="10" t="s">
        <v>387</v>
      </c>
      <c r="L33" s="10" t="s">
        <v>516</v>
      </c>
    </row>
    <row r="34" spans="1:12" ht="20.100000000000001"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313</v>
      </c>
      <c r="L34" s="10" t="s">
        <v>337</v>
      </c>
    </row>
    <row r="35" spans="1:12" ht="20.100000000000001"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337</v>
      </c>
      <c r="L35" s="10" t="s">
        <v>337</v>
      </c>
    </row>
    <row r="36" spans="1:12" ht="20.100000000000001"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394</v>
      </c>
      <c r="L36" s="10" t="s">
        <v>394</v>
      </c>
    </row>
    <row r="37" spans="1:12" ht="20.100000000000001"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391</v>
      </c>
      <c r="L37" s="10" t="s">
        <v>391</v>
      </c>
    </row>
    <row r="38" spans="1:12" ht="20.100000000000001"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343</v>
      </c>
      <c r="L38" s="10" t="s">
        <v>343</v>
      </c>
    </row>
    <row r="39" spans="1:12" ht="20.100000000000001"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437</v>
      </c>
      <c r="L39" s="10" t="s">
        <v>344</v>
      </c>
    </row>
    <row r="40" spans="1:12" ht="20.100000000000001"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436</v>
      </c>
      <c r="L40" s="10" t="s">
        <v>344</v>
      </c>
    </row>
    <row r="41" spans="1:12" ht="20.100000000000001"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438</v>
      </c>
      <c r="L41" s="10" t="s">
        <v>344</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439</v>
      </c>
      <c r="L42" s="10" t="s">
        <v>435</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440</v>
      </c>
      <c r="L43" s="10" t="s">
        <v>435</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441</v>
      </c>
      <c r="L44" s="10" t="s">
        <v>435</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442</v>
      </c>
      <c r="L45" s="10" t="s">
        <v>338</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443</v>
      </c>
      <c r="L46" s="10" t="s">
        <v>338</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444</v>
      </c>
      <c r="L47" s="10" t="s">
        <v>338</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445</v>
      </c>
      <c r="L48" s="10" t="s">
        <v>338</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336</v>
      </c>
      <c r="L49" s="8" t="s">
        <v>336</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365</v>
      </c>
    </row>
    <row r="77" spans="4:9" ht="20.100000000000001" customHeight="1" x14ac:dyDescent="0.25">
      <c r="D77" s="10" t="s">
        <v>318</v>
      </c>
      <c r="E77" s="10" t="s">
        <v>216</v>
      </c>
      <c r="F77" s="10" t="s">
        <v>319</v>
      </c>
      <c r="G77" s="10" t="s">
        <v>283</v>
      </c>
      <c r="H77" s="10" t="s">
        <v>284</v>
      </c>
      <c r="I77" s="10" t="s">
        <v>363</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318</v>
      </c>
      <c r="E82" s="10" t="s">
        <v>216</v>
      </c>
      <c r="F82" s="10" t="s">
        <v>319</v>
      </c>
      <c r="G82" s="10" t="s">
        <v>283</v>
      </c>
      <c r="H82" s="10" t="s">
        <v>284</v>
      </c>
      <c r="I82" s="10" t="s">
        <v>363</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366</v>
      </c>
    </row>
    <row r="89" spans="4:16" ht="20.100000000000001" customHeight="1" x14ac:dyDescent="0.25">
      <c r="D89" s="10" t="s">
        <v>318</v>
      </c>
      <c r="E89" s="10" t="s">
        <v>216</v>
      </c>
      <c r="F89" s="10" t="s">
        <v>319</v>
      </c>
      <c r="G89" s="10" t="s">
        <v>283</v>
      </c>
      <c r="H89" s="10" t="s">
        <v>284</v>
      </c>
      <c r="I89" s="10" t="s">
        <v>363</v>
      </c>
      <c r="K89" s="10" t="s">
        <v>216</v>
      </c>
      <c r="L89" s="10" t="s">
        <v>387</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216</v>
      </c>
      <c r="O90" s="10" t="s">
        <v>387</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216</v>
      </c>
      <c r="L98" s="10" t="s">
        <v>387</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216</v>
      </c>
      <c r="O105" s="10" t="s">
        <v>387</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216</v>
      </c>
      <c r="L110" s="10" t="s">
        <v>387</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216</v>
      </c>
      <c r="O118" s="10" t="s">
        <v>387</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216</v>
      </c>
      <c r="L125" s="10" t="s">
        <v>387</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216</v>
      </c>
      <c r="O131" s="10" t="s">
        <v>387</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216</v>
      </c>
      <c r="L138" s="10" t="s">
        <v>387</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216</v>
      </c>
      <c r="O144" s="10" t="s">
        <v>387</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216</v>
      </c>
      <c r="L151" s="153" t="s">
        <v>387</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216</v>
      </c>
      <c r="O152" s="10" t="s">
        <v>387</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216</v>
      </c>
      <c r="L153" s="10" t="s">
        <v>387</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216</v>
      </c>
      <c r="O154" s="10" t="s">
        <v>387</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216</v>
      </c>
      <c r="L155" s="10" t="s">
        <v>387</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216</v>
      </c>
      <c r="O156" s="10" t="s">
        <v>387</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216</v>
      </c>
      <c r="L157" s="10" t="s">
        <v>387</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216</v>
      </c>
      <c r="O158" s="10" t="s">
        <v>387</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318</v>
      </c>
      <c r="E161" s="10" t="s">
        <v>216</v>
      </c>
      <c r="F161" s="10" t="s">
        <v>319</v>
      </c>
      <c r="G161" s="10" t="s">
        <v>283</v>
      </c>
      <c r="H161" s="10" t="s">
        <v>284</v>
      </c>
      <c r="I161" s="10" t="s">
        <v>363</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318</v>
      </c>
      <c r="E167" s="10" t="s">
        <v>216</v>
      </c>
      <c r="F167" s="10" t="s">
        <v>319</v>
      </c>
      <c r="G167" s="10" t="s">
        <v>283</v>
      </c>
      <c r="H167" s="10" t="s">
        <v>284</v>
      </c>
      <c r="I167" s="10" t="s">
        <v>363</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350</v>
      </c>
    </row>
    <row r="173" spans="4:13" ht="20.100000000000001" customHeight="1" x14ac:dyDescent="0.25">
      <c r="D173" s="10" t="s">
        <v>318</v>
      </c>
      <c r="E173" s="10" t="s">
        <v>216</v>
      </c>
      <c r="F173" s="10" t="s">
        <v>319</v>
      </c>
      <c r="G173" s="10" t="s">
        <v>281</v>
      </c>
      <c r="H173" s="10" t="s">
        <v>172</v>
      </c>
      <c r="I173" s="10" t="s">
        <v>173</v>
      </c>
      <c r="J173" s="10" t="s">
        <v>282</v>
      </c>
      <c r="K173" s="10" t="s">
        <v>283</v>
      </c>
      <c r="L173" s="10" t="s">
        <v>284</v>
      </c>
      <c r="M173" s="10" t="s">
        <v>363</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367</v>
      </c>
      <c r="N200" s="10"/>
      <c r="O200" s="10"/>
      <c r="P200" s="10"/>
    </row>
    <row r="201" spans="4:16" ht="20.100000000000001" customHeight="1" x14ac:dyDescent="0.25">
      <c r="D201" s="10" t="s">
        <v>318</v>
      </c>
      <c r="E201" s="10" t="s">
        <v>216</v>
      </c>
      <c r="F201" s="10" t="s">
        <v>319</v>
      </c>
      <c r="G201" s="10" t="s">
        <v>283</v>
      </c>
      <c r="H201" s="10" t="s">
        <v>284</v>
      </c>
      <c r="I201" s="10" t="s">
        <v>363</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368</v>
      </c>
    </row>
    <row r="212" spans="4:16" ht="20.100000000000001" customHeight="1" x14ac:dyDescent="0.25">
      <c r="D212" s="10" t="s">
        <v>318</v>
      </c>
      <c r="E212" s="10" t="s">
        <v>216</v>
      </c>
      <c r="F212" s="10" t="s">
        <v>319</v>
      </c>
      <c r="G212" s="10" t="s">
        <v>283</v>
      </c>
      <c r="H212" s="10" t="s">
        <v>284</v>
      </c>
      <c r="I212" s="10" t="s">
        <v>363</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369</v>
      </c>
    </row>
    <row r="219" spans="4:16" ht="20.100000000000001" customHeight="1" x14ac:dyDescent="0.25">
      <c r="D219" s="10" t="s">
        <v>318</v>
      </c>
      <c r="E219" s="10" t="s">
        <v>216</v>
      </c>
      <c r="F219" s="10" t="s">
        <v>319</v>
      </c>
      <c r="G219" s="10" t="s">
        <v>283</v>
      </c>
      <c r="H219" s="10" t="s">
        <v>284</v>
      </c>
      <c r="I219" s="10" t="s">
        <v>363</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370</v>
      </c>
    </row>
    <row r="234" spans="4:9" ht="20.100000000000001" customHeight="1" x14ac:dyDescent="0.25">
      <c r="D234" s="10" t="s">
        <v>318</v>
      </c>
      <c r="E234" s="10" t="s">
        <v>216</v>
      </c>
      <c r="F234" s="10" t="s">
        <v>319</v>
      </c>
      <c r="G234" s="10" t="s">
        <v>283</v>
      </c>
      <c r="H234" s="10" t="s">
        <v>284</v>
      </c>
      <c r="I234" s="10" t="s">
        <v>363</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15.75" x14ac:dyDescent="0.25"/>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771</v>
      </c>
      <c r="AG1"/>
      <c r="AH1"/>
      <c r="AI1"/>
    </row>
    <row r="2" spans="1:35" s="2" customFormat="1" ht="20.100000000000001" customHeight="1" x14ac:dyDescent="0.25">
      <c r="A2"/>
      <c r="AG2"/>
      <c r="AH2"/>
      <c r="AI2"/>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D5" s="9" t="str" cm="1">
        <f t="array" ref="D5">WasteSolid_SourceData.Waste_EmissionFactorsForWasteTreatment_Title()</f>
        <v>Emission factors for wastes disposed of at different treatment facilities</v>
      </c>
    </row>
    <row r="6" spans="1:35" ht="20.100000000000001" customHeight="1" x14ac:dyDescent="0.25">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100000000000001" customHeight="1" x14ac:dyDescent="0.25">
      <c r="A13" s="16" t="str">
        <f>HYPERLINK("#'Input - Freight'!A1", "Freight")</f>
        <v>Freight</v>
      </c>
      <c r="D13" s="12" t="str">
        <v>Added sub-categories for 'Anaerobic digestion: All organic waste' in order to use volume to mass conversion factor values</v>
      </c>
    </row>
    <row r="14" spans="1:35" ht="20.100000000000001" customHeight="1" x14ac:dyDescent="0.25">
      <c r="A14" s="16" t="str">
        <f>HYPERLINK("#'Input - Solid waste'!A1", "Solid waste")</f>
        <v>Solid waste</v>
      </c>
      <c r="D14" s="8" t="str" cm="1">
        <f t="array" ref="D14">WasteSolid_SourceData.Waste_EmissionFactorsForWasteTreatment_Variable()</f>
        <v>EFwt</v>
      </c>
    </row>
    <row r="15" spans="1:35" ht="20.100000000000001" customHeight="1" x14ac:dyDescent="0.25">
      <c r="A15" s="16" t="str">
        <f>HYPERLINK("#'Input - Manure sent off-site'!A1", "Manure sent off-site")</f>
        <v>Manure sent off-site</v>
      </c>
      <c r="D15" s="13" t="str" cm="1">
        <f t="array" ref="D15">WasteSolid_SourceData.Waste_EmissionFactorsForWasteTreatment_Unit()</f>
        <v>t CO2e / t</v>
      </c>
      <c r="I15" s="8" t="s">
        <v>772</v>
      </c>
      <c r="K15" s="8" t="s">
        <v>773</v>
      </c>
      <c r="M15" s="8" t="s">
        <v>774</v>
      </c>
      <c r="O15" s="8" t="s">
        <v>775</v>
      </c>
    </row>
    <row r="16" spans="1:35" ht="20.100000000000001" customHeight="1" x14ac:dyDescent="0.25">
      <c r="A16" s="16" t="str">
        <f>HYPERLINK("#'Input - Electricity'!A1", "Electricity")</f>
        <v>Electricity</v>
      </c>
      <c r="D16" s="10" t="s">
        <v>776</v>
      </c>
      <c r="E16" s="10" t="s">
        <v>777</v>
      </c>
      <c r="F16" s="10" t="s">
        <v>778</v>
      </c>
      <c r="G16" s="10" t="s">
        <v>779</v>
      </c>
      <c r="I16" s="10" t="s">
        <v>777</v>
      </c>
      <c r="K16" s="160" t="s">
        <v>777</v>
      </c>
      <c r="M16" s="160" t="s">
        <v>777</v>
      </c>
      <c r="O16" s="160" t="s">
        <v>777</v>
      </c>
    </row>
    <row r="17" spans="1:15" ht="20.100000000000001"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22"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9" t="str" cm="1">
        <f t="array" ref="D52">WasteSolid_SourceData.Waste_WasteVolumeToMassConversion_Title()</f>
        <v>Volume to mass conversion factor for various waste types</v>
      </c>
    </row>
    <row r="53" spans="4:7" ht="20.100000000000001" customHeight="1" x14ac:dyDescent="0.25">
      <c r="D53" s="11" t="str" cm="1">
        <f t="array" ref="D53">WasteSolid_SourceData.Waste_WasteVolumeToMassConversion_Source()</f>
        <v>VEERG 2026: Table A.4.1.2</v>
      </c>
    </row>
    <row r="54" spans="4:7" ht="20.100000000000001" customHeight="1" x14ac:dyDescent="0.25">
      <c r="D54" s="12" t="str" cm="1">
        <f t="array" ref="D54">WasteSolid_SourceData.Waste_WasteVolumeToMassConversion_Variation()</f>
        <v>VARIATION OF SOURCE: Changed column header CFw to VTMw to match title variable.</v>
      </c>
    </row>
    <row r="55" spans="4:7" ht="20.100000000000001" customHeight="1" x14ac:dyDescent="0.25">
      <c r="D55" s="8" t="str" cm="1">
        <f t="array" ref="D55">WasteSolid_SourceData.Waste_WasteVolumeToMassConversion_Variable()</f>
        <v>VTMw</v>
      </c>
    </row>
    <row r="56" spans="4:7" ht="20.100000000000001" customHeight="1" x14ac:dyDescent="0.25">
      <c r="D56" s="13" t="str" cm="1">
        <f t="array" ref="D56">WasteSolid_SourceData.Waste_WasteVolumeToMassConversion_Unit()</f>
        <v>t/m3</v>
      </c>
    </row>
    <row r="57" spans="4:7" ht="20.100000000000001" customHeight="1" x14ac:dyDescent="0.25">
      <c r="D57" s="10" t="s">
        <v>777</v>
      </c>
      <c r="E57" s="10" t="s">
        <v>780</v>
      </c>
    </row>
    <row r="58" spans="4:7" ht="20.100000000000001"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22"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Common Livestock'!A1", "Constants - Common Livestock")</f>
        <v>Constants - Common Livestock</v>
      </c>
    </row>
    <row r="36" spans="1:12" ht="20.100000000000001" customHeight="1" x14ac:dyDescent="0.25">
      <c r="A36" s="16" t="str">
        <f>HYPERLINK("#'Constants - Fertiliser'!A1", "Constants - Fertiliser")</f>
        <v>Constants - Fertiliser</v>
      </c>
    </row>
    <row r="37" spans="1:12" ht="20.100000000000001"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Common'!A1", "Constants - Common")</f>
        <v>Constants - Common</v>
      </c>
      <c r="D38" s="11" t="str" cm="1">
        <f t="array" ref="D38">Fuel_SourceData.Fuel_Scope1Scope3EmissionFactorsTransportOffRoad_Source()</f>
        <v>VEERG 2026: Table A.4.2.1</v>
      </c>
    </row>
    <row r="39" spans="1:12" ht="20.100000000000001" customHeight="1" x14ac:dyDescent="0.25">
      <c r="A39"/>
      <c r="D39" s="10" t="s">
        <v>79</v>
      </c>
      <c r="E39" s="10" t="s">
        <v>80</v>
      </c>
      <c r="F39" s="10" t="s">
        <v>81</v>
      </c>
      <c r="G39" s="10" t="s">
        <v>82</v>
      </c>
      <c r="H39" s="10" t="s">
        <v>83</v>
      </c>
      <c r="I39" s="10" t="s">
        <v>84</v>
      </c>
      <c r="J39" s="10" t="s">
        <v>85</v>
      </c>
    </row>
    <row r="40" spans="1:12" ht="20.100000000000001"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711</v>
      </c>
      <c r="F112" s="20" t="s">
        <v>712</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33" t="s">
        <v>94</v>
      </c>
      <c r="K130" s="17"/>
      <c r="L130" s="17"/>
      <c r="M130" s="17"/>
      <c r="AG130" s="8"/>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100000000000001"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100000000000001"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100000000000001"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100000000000001"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100000000000001"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100000000000001" customHeight="1" x14ac:dyDescent="0.25">
      <c r="A139"/>
      <c r="D139" s="35"/>
      <c r="E139" s="35" t="str">
        <f>$D$162</f>
        <v>Town gas in GJ</v>
      </c>
      <c r="F139" s="35"/>
      <c r="G139" s="35"/>
      <c r="H139" s="35"/>
      <c r="I139" s="35"/>
      <c r="J139" s="35" t="str">
        <f>$D$162</f>
        <v>Town gas in GJ</v>
      </c>
      <c r="K139" s="17"/>
      <c r="L139" s="17"/>
      <c r="M139" s="17"/>
      <c r="AG139" s="8"/>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96</v>
      </c>
      <c r="E142" s="3" t="s">
        <v>97</v>
      </c>
      <c r="F142" s="17"/>
      <c r="G142" s="17"/>
      <c r="H142" s="17"/>
      <c r="I142" s="17"/>
      <c r="J142" s="17"/>
      <c r="K142" s="17"/>
      <c r="L142" s="17"/>
    </row>
    <row r="143" spans="1:33" ht="20.100000000000001" customHeight="1" x14ac:dyDescent="0.25">
      <c r="A143"/>
      <c r="D143" s="34" t="s">
        <v>98</v>
      </c>
      <c r="E143" s="3" t="s">
        <v>99</v>
      </c>
      <c r="F143" s="17"/>
      <c r="G143" s="17"/>
      <c r="H143" s="17"/>
      <c r="I143" s="17"/>
      <c r="J143" s="17"/>
      <c r="K143" s="17"/>
      <c r="L143" s="17"/>
    </row>
    <row r="144" spans="1:33" ht="20.100000000000001" customHeight="1" x14ac:dyDescent="0.25">
      <c r="A144"/>
      <c r="D144" s="34" t="s">
        <v>100</v>
      </c>
      <c r="E144" s="3" t="s">
        <v>99</v>
      </c>
      <c r="F144" s="17"/>
      <c r="G144" s="17"/>
      <c r="H144" s="17"/>
      <c r="I144" s="17"/>
      <c r="J144" s="17"/>
      <c r="K144" s="17"/>
      <c r="L144" s="17"/>
    </row>
    <row r="145" spans="1:12" ht="20.100000000000001" customHeight="1" x14ac:dyDescent="0.25">
      <c r="A145"/>
      <c r="D145" s="34" t="s">
        <v>101</v>
      </c>
      <c r="E145" s="3" t="s">
        <v>99</v>
      </c>
      <c r="F145" s="17"/>
      <c r="G145" s="17"/>
      <c r="H145" s="17"/>
      <c r="I145" s="17"/>
      <c r="J145" s="17"/>
      <c r="K145" s="17"/>
      <c r="L145" s="17"/>
    </row>
    <row r="146" spans="1:12" ht="20.100000000000001" customHeight="1" x14ac:dyDescent="0.25">
      <c r="A146"/>
      <c r="D146" s="34" t="s">
        <v>102</v>
      </c>
      <c r="E146" s="3" t="s">
        <v>99</v>
      </c>
      <c r="F146" s="17"/>
      <c r="G146" s="17"/>
      <c r="H146" s="17"/>
      <c r="I146" s="17"/>
      <c r="J146" s="17"/>
      <c r="K146" s="17"/>
      <c r="L146" s="17"/>
    </row>
    <row r="147" spans="1:12" ht="20.100000000000001" customHeight="1" x14ac:dyDescent="0.25">
      <c r="A147"/>
      <c r="D147" s="34" t="s">
        <v>103</v>
      </c>
      <c r="E147" s="3" t="s">
        <v>99</v>
      </c>
      <c r="F147" s="17"/>
      <c r="G147" s="17"/>
      <c r="H147" s="17"/>
      <c r="I147" s="17"/>
      <c r="J147" s="17"/>
      <c r="K147" s="17"/>
      <c r="L147" s="17"/>
    </row>
    <row r="148" spans="1:12" ht="20.100000000000001" customHeight="1" x14ac:dyDescent="0.25">
      <c r="A148"/>
      <c r="D148" s="34" t="s">
        <v>104</v>
      </c>
      <c r="E148" s="3" t="s">
        <v>99</v>
      </c>
      <c r="F148" s="17"/>
      <c r="G148" s="17"/>
      <c r="H148" s="17"/>
      <c r="I148" s="17"/>
      <c r="J148" s="17"/>
      <c r="K148" s="17"/>
      <c r="L148" s="17"/>
    </row>
    <row r="149" spans="1:12" ht="20.100000000000001" customHeight="1" x14ac:dyDescent="0.25">
      <c r="A149"/>
      <c r="D149" s="34" t="s">
        <v>105</v>
      </c>
      <c r="E149" s="3" t="s">
        <v>99</v>
      </c>
      <c r="F149" s="17"/>
      <c r="G149" s="17"/>
      <c r="H149" s="17"/>
      <c r="I149" s="17"/>
      <c r="J149" s="17"/>
      <c r="K149" s="17"/>
      <c r="L149" s="17"/>
    </row>
    <row r="150" spans="1:12" ht="20.100000000000001" customHeight="1" x14ac:dyDescent="0.25">
      <c r="A150"/>
      <c r="D150" s="34" t="s">
        <v>106</v>
      </c>
      <c r="E150" s="3" t="s">
        <v>99</v>
      </c>
      <c r="F150" s="17"/>
      <c r="G150" s="17"/>
      <c r="H150" s="17"/>
      <c r="I150" s="17"/>
      <c r="J150" s="17"/>
      <c r="K150" s="17"/>
      <c r="L150" s="17"/>
    </row>
    <row r="151" spans="1:12" ht="20.100000000000001" customHeight="1" x14ac:dyDescent="0.25">
      <c r="A151"/>
      <c r="D151" s="34" t="s">
        <v>107</v>
      </c>
      <c r="E151" s="3" t="s">
        <v>99</v>
      </c>
      <c r="F151" s="17"/>
      <c r="G151" s="17"/>
      <c r="H151" s="17"/>
      <c r="I151" s="17"/>
      <c r="J151" s="17"/>
      <c r="K151" s="17"/>
      <c r="L151" s="17"/>
    </row>
    <row r="152" spans="1:12" ht="20.100000000000001" customHeight="1" x14ac:dyDescent="0.25">
      <c r="A152"/>
      <c r="D152" s="36" t="s">
        <v>108</v>
      </c>
      <c r="E152" s="14" t="s">
        <v>99</v>
      </c>
      <c r="F152" s="17"/>
      <c r="G152" s="17"/>
      <c r="H152" s="17"/>
      <c r="I152" s="17"/>
      <c r="J152" s="17"/>
      <c r="K152" s="17"/>
      <c r="L152" s="17"/>
    </row>
    <row r="153" spans="1:12" ht="20.100000000000001" customHeight="1" x14ac:dyDescent="0.25">
      <c r="A153"/>
      <c r="D153" s="36" t="s">
        <v>109</v>
      </c>
      <c r="E153" s="14" t="s">
        <v>99</v>
      </c>
      <c r="F153" s="17"/>
      <c r="G153" s="17"/>
      <c r="H153" s="17"/>
      <c r="I153" s="17"/>
      <c r="J153" s="17"/>
      <c r="K153" s="17"/>
      <c r="L153" s="17"/>
    </row>
    <row r="154" spans="1:12" ht="20.100000000000001" customHeight="1" x14ac:dyDescent="0.25">
      <c r="A154"/>
      <c r="D154" s="36" t="s">
        <v>110</v>
      </c>
      <c r="E154" s="14" t="s">
        <v>99</v>
      </c>
      <c r="F154" s="17"/>
      <c r="G154" s="17"/>
      <c r="H154" s="17"/>
      <c r="I154" s="17"/>
      <c r="J154" s="17"/>
      <c r="K154" s="17"/>
      <c r="L154" s="17"/>
    </row>
    <row r="155" spans="1:12" ht="20.100000000000001" customHeight="1" x14ac:dyDescent="0.25">
      <c r="A155"/>
      <c r="D155" s="36" t="s">
        <v>111</v>
      </c>
      <c r="E155" s="14" t="s">
        <v>99</v>
      </c>
      <c r="F155" s="17"/>
      <c r="G155" s="17"/>
      <c r="H155" s="17"/>
      <c r="I155" s="17"/>
      <c r="J155" s="17"/>
      <c r="K155" s="17"/>
      <c r="L155" s="17"/>
    </row>
    <row r="156" spans="1:12" ht="20.100000000000001" customHeight="1" x14ac:dyDescent="0.25">
      <c r="A156"/>
      <c r="D156" s="36" t="s">
        <v>112</v>
      </c>
      <c r="E156" s="14" t="s">
        <v>99</v>
      </c>
      <c r="F156" s="17"/>
      <c r="G156" s="17"/>
      <c r="H156" s="17"/>
      <c r="I156" s="17"/>
      <c r="J156" s="17"/>
      <c r="K156" s="17"/>
      <c r="L156" s="17"/>
    </row>
    <row r="157" spans="1:12" ht="20.100000000000001" customHeight="1" x14ac:dyDescent="0.25">
      <c r="A157"/>
      <c r="D157" s="36" t="s">
        <v>113</v>
      </c>
      <c r="E157" s="14" t="s">
        <v>99</v>
      </c>
      <c r="F157" s="17"/>
      <c r="G157" s="17"/>
      <c r="H157" s="17"/>
      <c r="I157" s="17"/>
      <c r="J157" s="17"/>
      <c r="K157" s="17"/>
      <c r="L157" s="17"/>
    </row>
    <row r="158" spans="1:12" ht="20.100000000000001" customHeight="1" x14ac:dyDescent="0.25">
      <c r="A158"/>
      <c r="D158" s="36" t="s">
        <v>114</v>
      </c>
      <c r="E158" s="14" t="s">
        <v>99</v>
      </c>
      <c r="F158" s="17"/>
      <c r="G158" s="17"/>
      <c r="H158" s="17"/>
      <c r="I158" s="17"/>
      <c r="J158" s="17"/>
      <c r="K158" s="17"/>
      <c r="L158" s="17"/>
    </row>
    <row r="159" spans="1:12" ht="20.100000000000001" customHeight="1" x14ac:dyDescent="0.25">
      <c r="A159"/>
      <c r="D159" s="36" t="s">
        <v>115</v>
      </c>
      <c r="E159" s="14" t="s">
        <v>99</v>
      </c>
      <c r="F159" s="17"/>
      <c r="G159" s="17"/>
      <c r="H159" s="17"/>
      <c r="I159" s="17"/>
      <c r="J159" s="17"/>
      <c r="K159" s="17"/>
      <c r="L159" s="17"/>
    </row>
    <row r="160" spans="1:12" ht="20.100000000000001" customHeight="1" x14ac:dyDescent="0.25">
      <c r="A160"/>
      <c r="D160" s="36" t="s">
        <v>95</v>
      </c>
      <c r="E160" s="14" t="s">
        <v>99</v>
      </c>
      <c r="F160" s="17"/>
      <c r="G160" s="17"/>
      <c r="H160" s="17"/>
      <c r="I160" s="17"/>
      <c r="J160" s="17"/>
      <c r="K160" s="17"/>
      <c r="L160" s="17"/>
    </row>
    <row r="161" spans="4:12" ht="20.100000000000001" customHeight="1" x14ac:dyDescent="0.25">
      <c r="D161" s="35" t="s">
        <v>116</v>
      </c>
      <c r="E161" s="17" t="s">
        <v>117</v>
      </c>
      <c r="F161" s="17"/>
      <c r="G161" s="17"/>
      <c r="H161" s="17"/>
      <c r="I161" s="17"/>
      <c r="J161" s="17"/>
      <c r="K161" s="17"/>
      <c r="L161" s="17"/>
    </row>
    <row r="162" spans="4:12" ht="20.100000000000001" customHeight="1" x14ac:dyDescent="0.25">
      <c r="D162" s="17" t="s">
        <v>118</v>
      </c>
      <c r="E162" s="17" t="s">
        <v>117</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574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575</v>
      </c>
      <c r="E8" s="10" t="s">
        <v>576</v>
      </c>
      <c r="F8" s="10" t="s">
        <v>577</v>
      </c>
      <c r="G8" s="10" t="s">
        <v>578</v>
      </c>
      <c r="H8" s="10" t="s">
        <v>579</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M16" s="8"/>
    </row>
    <row r="17" spans="1:13" ht="20.100000000000001" customHeight="1" x14ac:dyDescent="0.25">
      <c r="A17"/>
      <c r="D17" s="9" t="str" cm="1">
        <f t="array" ref="D17">SourceData_Poultry.SourceData_Poultry_MethaneEmissionsPotential_Title()</f>
        <v>Poultry - Methane emissions potential per class</v>
      </c>
      <c r="M17" s="8"/>
    </row>
    <row r="18" spans="1:13" ht="20.100000000000001" customHeight="1" x14ac:dyDescent="0.25">
      <c r="A18"/>
      <c r="D18" s="11" t="str" cm="1">
        <f t="array" ref="D18">SourceData_Poultry.SourceData_Poultry_MethaneEmissionsPotential_Source()</f>
        <v>VEERG 2026: 4.6.2.3 CONSTANT: Poultry - Methane emissions potential per class</v>
      </c>
      <c r="M18" s="8"/>
    </row>
    <row r="19" spans="1:13" ht="20.100000000000001" customHeight="1" x14ac:dyDescent="0.25">
      <c r="A19" s="21" t="s">
        <v>77</v>
      </c>
      <c r="D19" s="10" t="s">
        <v>580</v>
      </c>
      <c r="E19" s="10" t="s">
        <v>581</v>
      </c>
      <c r="M19" s="8"/>
    </row>
    <row r="20" spans="1:13" ht="20.100000000000001"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M24" s="8"/>
    </row>
    <row r="25" spans="1:13" ht="20.100000000000001" customHeight="1" x14ac:dyDescent="0.25">
      <c r="A25"/>
      <c r="M25" s="8"/>
    </row>
    <row r="26" spans="1:13" ht="20.100000000000001" customHeight="1" x14ac:dyDescent="0.25">
      <c r="A26"/>
      <c r="D26" s="9" t="s">
        <v>582</v>
      </c>
      <c r="G26" s="9" t="s">
        <v>583</v>
      </c>
      <c r="J26" s="9" t="s">
        <v>584</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59" t="s">
        <v>525</v>
      </c>
      <c r="E28" s="10" t="s">
        <v>330</v>
      </c>
      <c r="G28" s="159" t="s">
        <v>525</v>
      </c>
      <c r="H28" s="10" t="s">
        <v>330</v>
      </c>
      <c r="J28" s="159" t="s">
        <v>525</v>
      </c>
      <c r="K28" s="10" t="s">
        <v>330</v>
      </c>
      <c r="M28" s="8"/>
    </row>
    <row r="29" spans="1:13" ht="20.100000000000001" customHeight="1" x14ac:dyDescent="0.25">
      <c r="A29" s="16" t="str">
        <f>HYPERLINK("#'Constants - Solid Waste'!A1", "Constants - Solid Waste")</f>
        <v>Constants - Solid Waste</v>
      </c>
      <c r="D29" s="10" t="s">
        <v>58</v>
      </c>
      <c r="E29" s="10" t="s">
        <v>585</v>
      </c>
      <c r="G29" s="10" t="s">
        <v>58</v>
      </c>
      <c r="H29" s="10" t="s">
        <v>585</v>
      </c>
      <c r="J29" s="10" t="s">
        <v>55</v>
      </c>
      <c r="K29" s="10" t="s">
        <v>586</v>
      </c>
      <c r="M29" s="8"/>
    </row>
    <row r="30" spans="1:13" ht="20.100000000000001" customHeight="1" x14ac:dyDescent="0.25">
      <c r="A30" s="16" t="str">
        <f>HYPERLINK("#'Constants - Fuel'!A1", "Constants - Fuel")</f>
        <v>Constants - Fuel</v>
      </c>
      <c r="D30" s="10" t="s">
        <v>587</v>
      </c>
      <c r="E30" s="10" t="s">
        <v>588</v>
      </c>
      <c r="G30" s="10" t="s">
        <v>587</v>
      </c>
      <c r="H30" s="10" t="s">
        <v>588</v>
      </c>
      <c r="J30" s="10" t="s">
        <v>54</v>
      </c>
      <c r="K30" s="10" t="s">
        <v>589</v>
      </c>
      <c r="M30" s="8"/>
    </row>
    <row r="31" spans="1:13" ht="20.100000000000001" customHeight="1" x14ac:dyDescent="0.25">
      <c r="A31" s="23" t="str">
        <f>HYPERLINK("#'Constants - Poultry'!A1", "Constants - Poultry")</f>
        <v>Constants - Poultry</v>
      </c>
      <c r="D31" s="10" t="s">
        <v>590</v>
      </c>
      <c r="E31" s="10" t="s">
        <v>591</v>
      </c>
      <c r="G31" s="10" t="s">
        <v>590</v>
      </c>
      <c r="H31" s="10" t="s">
        <v>591</v>
      </c>
      <c r="J31" s="8" t="s">
        <v>51</v>
      </c>
      <c r="K31" s="8" t="s">
        <v>592</v>
      </c>
      <c r="M31" s="8"/>
    </row>
    <row r="32" spans="1:13" ht="20.100000000000001" customHeight="1" x14ac:dyDescent="0.25">
      <c r="A32" s="16" t="str">
        <f>HYPERLINK("#'Constants - Swine'!A1", "Constants - Swine")</f>
        <v>Constants - Swine</v>
      </c>
      <c r="D32" s="10" t="s">
        <v>62</v>
      </c>
      <c r="E32" s="10" t="s">
        <v>593</v>
      </c>
      <c r="G32" s="10" t="s">
        <v>62</v>
      </c>
      <c r="H32" s="10" t="s">
        <v>593</v>
      </c>
      <c r="J32" s="10" t="s">
        <v>60</v>
      </c>
      <c r="K32" s="10" t="s">
        <v>594</v>
      </c>
      <c r="M32" s="8"/>
    </row>
    <row r="33" spans="1:13" ht="20.100000000000001" customHeight="1" x14ac:dyDescent="0.25">
      <c r="A33" s="16" t="str">
        <f>HYPERLINK("#'Constants - Dairy'!A1", "Constants - Dairy")</f>
        <v>Constants - Dairy</v>
      </c>
      <c r="D33" s="10" t="s">
        <v>55</v>
      </c>
      <c r="E33" s="10" t="s">
        <v>586</v>
      </c>
      <c r="G33" s="8" t="s">
        <v>595</v>
      </c>
      <c r="H33" s="10" t="s">
        <v>595</v>
      </c>
      <c r="J33" s="10" t="s">
        <v>61</v>
      </c>
      <c r="K33" s="10" t="s">
        <v>596</v>
      </c>
      <c r="M33" s="8"/>
    </row>
    <row r="34" spans="1:13" ht="20.100000000000001" customHeight="1" x14ac:dyDescent="0.25">
      <c r="A34" s="16" t="str">
        <f>HYPERLINK("#'Constants - Pasture Beef'!A1", "Constants - Pasture Beef")</f>
        <v>Constants - Pasture Beef</v>
      </c>
      <c r="D34" s="10" t="s">
        <v>54</v>
      </c>
      <c r="E34" s="10" t="s">
        <v>589</v>
      </c>
      <c r="J34" s="8" t="s">
        <v>595</v>
      </c>
      <c r="K34" s="10" t="s">
        <v>595</v>
      </c>
      <c r="M34" s="8"/>
    </row>
    <row r="35" spans="1:13" ht="20.100000000000001" customHeight="1" x14ac:dyDescent="0.25">
      <c r="A35" s="16" t="str">
        <f>HYPERLINK("#'Constants - Common Livestock'!A1", "Constants - Common Livestock")</f>
        <v>Constants - Common Livestock</v>
      </c>
      <c r="D35" s="8" t="s">
        <v>51</v>
      </c>
      <c r="E35" s="8" t="s">
        <v>592</v>
      </c>
      <c r="M35" s="8"/>
    </row>
    <row r="36" spans="1:13" ht="20.100000000000001" customHeight="1" x14ac:dyDescent="0.25">
      <c r="A36" s="16" t="str">
        <f>HYPERLINK("#'Constants - Fertiliser'!A1", "Constants - Fertiliser")</f>
        <v>Constants - Fertiliser</v>
      </c>
      <c r="D36" s="10" t="s">
        <v>60</v>
      </c>
      <c r="E36" s="10" t="s">
        <v>594</v>
      </c>
      <c r="M36" s="8"/>
    </row>
    <row r="37" spans="1:13" ht="20.100000000000001" customHeight="1" x14ac:dyDescent="0.25">
      <c r="A37" s="16" t="str">
        <f>HYPERLINK("#'Constants - Electricity'!A1", "Constants - Electricity")</f>
        <v>Constants - Electricity</v>
      </c>
      <c r="D37" s="10" t="s">
        <v>61</v>
      </c>
      <c r="E37" s="10" t="s">
        <v>596</v>
      </c>
      <c r="M37" s="8"/>
    </row>
    <row r="38" spans="1:13" ht="20.100000000000001" customHeight="1" x14ac:dyDescent="0.25">
      <c r="A38" s="16" t="str">
        <f>HYPERLINK("#'Constants - Common'!A1", "Constants - Common")</f>
        <v>Constants - Common</v>
      </c>
      <c r="D38" s="8" t="s">
        <v>595</v>
      </c>
      <c r="E38" s="10" t="s">
        <v>595</v>
      </c>
      <c r="M38" s="8"/>
    </row>
    <row r="39" spans="1:13" ht="20.100000000000001" customHeight="1" x14ac:dyDescent="0.25">
      <c r="A39"/>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
        <v>597</v>
      </c>
      <c r="M42" s="8"/>
    </row>
    <row r="43" spans="1:13" ht="20.100000000000001" customHeight="1" x14ac:dyDescent="0.25">
      <c r="A43"/>
      <c r="M43" s="8"/>
    </row>
    <row r="44" spans="1:13" ht="20.100000000000001" customHeight="1" x14ac:dyDescent="0.25">
      <c r="A44"/>
      <c r="D44" s="10" t="s">
        <v>145</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100000000000001" customHeight="1" x14ac:dyDescent="0.25">
      <c r="A48"/>
      <c r="M48" s="8"/>
    </row>
    <row r="49" spans="1:14" ht="20.100000000000001" customHeight="1" x14ac:dyDescent="0.25">
      <c r="A49"/>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533</v>
      </c>
      <c r="E59" s="10" t="s">
        <v>598</v>
      </c>
      <c r="F59" s="10" t="s">
        <v>337</v>
      </c>
      <c r="G59" s="10" t="s">
        <v>313</v>
      </c>
      <c r="H59" s="10" t="s">
        <v>338</v>
      </c>
      <c r="I59" s="10" t="s">
        <v>435</v>
      </c>
      <c r="J59" s="10" t="s">
        <v>343</v>
      </c>
      <c r="K59" s="10" t="s">
        <v>394</v>
      </c>
      <c r="L59" s="10" t="s">
        <v>344</v>
      </c>
      <c r="M59" s="10" t="s">
        <v>391</v>
      </c>
      <c r="N59" s="10" t="s">
        <v>550</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525</v>
      </c>
      <c r="E75" s="10" t="s">
        <v>556</v>
      </c>
      <c r="F75" s="10" t="s">
        <v>550</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562</v>
      </c>
      <c r="E84" s="10" t="s">
        <v>563</v>
      </c>
      <c r="F84" s="10" t="s">
        <v>534</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562</v>
      </c>
      <c r="E97" s="10" t="s">
        <v>564</v>
      </c>
      <c r="F97" s="10" t="s">
        <v>534</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599</v>
      </c>
      <c r="E119" s="10" t="s">
        <v>566</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547</v>
      </c>
      <c r="G6" s="9" t="s">
        <v>143</v>
      </c>
      <c r="M6" s="8"/>
    </row>
    <row r="7" spans="1:21" ht="20.100000000000001" customHeight="1" x14ac:dyDescent="0.25">
      <c r="A7" s="19" t="s">
        <v>67</v>
      </c>
      <c r="M7" s="8"/>
    </row>
    <row r="8" spans="1:21" ht="20.100000000000001" customHeight="1" x14ac:dyDescent="0.25">
      <c r="A8" s="16" t="str">
        <f>HYPERLINK("#'Input - Site'!A1", "Site")</f>
        <v>Site</v>
      </c>
      <c r="D8" s="10" t="s">
        <v>145</v>
      </c>
      <c r="G8" s="10" t="s">
        <v>43</v>
      </c>
      <c r="M8" s="8"/>
    </row>
    <row r="9" spans="1:21" ht="20.100000000000001" customHeight="1" x14ac:dyDescent="0.25">
      <c r="A9" s="16" t="str">
        <f>HYPERLINK("#'Input - Fuel'!A1", "Fuel")</f>
        <v>Fuel</v>
      </c>
      <c r="D9" s="10" t="s">
        <v>147</v>
      </c>
      <c r="G9" s="10" t="s">
        <v>148</v>
      </c>
      <c r="M9" s="8"/>
    </row>
    <row r="10" spans="1:21" ht="20.100000000000001" customHeight="1" x14ac:dyDescent="0.25">
      <c r="A10" s="16" t="str">
        <f>HYPERLINK("#'Input - Fertiliser'!A1", "Fertiliser")</f>
        <v>Fertiliser</v>
      </c>
      <c r="D10" s="8" t="s">
        <v>150</v>
      </c>
      <c r="G10" s="10" t="s">
        <v>152</v>
      </c>
      <c r="M10" s="8"/>
    </row>
    <row r="11" spans="1:21" ht="20.100000000000001" customHeight="1" x14ac:dyDescent="0.25">
      <c r="A11" s="16" t="str">
        <f>HYPERLINK("#'Input - Farm Inputs'!A1", "Farm Inputs")</f>
        <v>Farm Inputs</v>
      </c>
      <c r="G11" s="8" t="s">
        <v>155</v>
      </c>
      <c r="M11" s="8"/>
    </row>
    <row r="12" spans="1:21" ht="20.100000000000001" customHeight="1" x14ac:dyDescent="0.25">
      <c r="A12" s="16" t="str">
        <f>HYPERLINK("#'Input - Livestock purchases'!A1", "Livestock purchases")</f>
        <v>Livestock purchases</v>
      </c>
      <c r="G12" s="8" t="s">
        <v>158</v>
      </c>
      <c r="M12" s="8"/>
    </row>
    <row r="13" spans="1:21" ht="20.100000000000001" customHeight="1" x14ac:dyDescent="0.25">
      <c r="A13" s="16" t="str">
        <f>HYPERLINK("#'Input - Freight'!A1", "Freight")</f>
        <v>Freight</v>
      </c>
      <c r="G13" s="8" t="s">
        <v>160</v>
      </c>
      <c r="M13" s="8"/>
    </row>
    <row r="14" spans="1:21" ht="20.100000000000001"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100000000000001"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c r="M18" s="8"/>
    </row>
    <row r="19" spans="1:13" ht="20.100000000000001" customHeight="1" x14ac:dyDescent="0.25">
      <c r="A19" s="21" t="s">
        <v>77</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HYPERLINK("#'15 Scope 3'!A1", "15 Scope 3")</f>
        <v>15 Scope 3</v>
      </c>
      <c r="D20" s="11" t="str" cm="1">
        <f t="array" ref="D20">SourceData_Swine.SourceData_Swine_MethaneVolatileSolidsEmissionsPotential_Source()</f>
        <v>IPCC (2019), Chapter 10 [4]</v>
      </c>
      <c r="M20" s="8"/>
    </row>
    <row r="21" spans="1:13" ht="20.100000000000001"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HYPERLINK("#'Calcs - Manure sent off-site'!A1", "Calcs - Manure sent off-site")</f>
        <v>Calcs - Manure sent off-site</v>
      </c>
      <c r="M22" s="8"/>
    </row>
    <row r="23" spans="1:13" ht="20.100000000000001" customHeight="1" x14ac:dyDescent="0.25">
      <c r="A23" s="16" t="str">
        <f>HYPERLINK("#'8.1.1.1-2 Transport fuel'!A1", "8.1.1.1-2 Transport fuel")</f>
        <v>8.1.1.1-2 Transport fuel</v>
      </c>
      <c r="M23" s="8"/>
    </row>
    <row r="24" spans="1:13" ht="20.100000000000001"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57" t="s">
        <v>548</v>
      </c>
      <c r="M24" s="8"/>
    </row>
    <row r="25" spans="1:13" ht="20.100000000000001" customHeight="1" x14ac:dyDescent="0.25">
      <c r="A25"/>
      <c r="D25" s="11" t="str" cm="1">
        <f t="array" ref="D25">SourceData_Swine.SourceData_Swine_MMS_MCFs_Source()</f>
        <v>VEERG 2026: Table A.1.6.4: Swine - MCFs (MCFim)</v>
      </c>
      <c r="H25" s="157" t="s">
        <v>549</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22" t="s">
        <v>78</v>
      </c>
      <c r="M27" s="8"/>
    </row>
    <row r="28" spans="1:13" ht="20.100000000000001" customHeight="1" x14ac:dyDescent="0.25">
      <c r="A28" s="16" t="str">
        <f>HYPERLINK("#'Constants - Scope 3'!A1", "Constants - Scope 3")</f>
        <v>Constants - Scope 3</v>
      </c>
      <c r="D28" s="10" t="s">
        <v>525</v>
      </c>
      <c r="E28" s="10" t="s">
        <v>337</v>
      </c>
      <c r="F28" s="10" t="s">
        <v>313</v>
      </c>
      <c r="G28" s="10" t="s">
        <v>338</v>
      </c>
      <c r="H28" s="10" t="s">
        <v>435</v>
      </c>
      <c r="I28" s="10" t="s">
        <v>394</v>
      </c>
      <c r="J28" s="10" t="s">
        <v>391</v>
      </c>
      <c r="K28" s="10" t="s">
        <v>343</v>
      </c>
      <c r="L28" s="10" t="s">
        <v>344</v>
      </c>
      <c r="M28" s="10" t="s">
        <v>550</v>
      </c>
    </row>
    <row r="29" spans="1:13" ht="20.100000000000001"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Fertiliser'!A1", "Constants - Fertiliser")</f>
        <v>Constants - Fertiliser</v>
      </c>
      <c r="M36" s="8"/>
    </row>
    <row r="37" spans="1:13" ht="20.100000000000001" customHeight="1" x14ac:dyDescent="0.25">
      <c r="A37" s="16" t="str">
        <f>HYPERLINK("#'Constants - Electricity'!A1", "Constants - Electricity")</f>
        <v>Constants - Electricity</v>
      </c>
      <c r="M37" s="8"/>
    </row>
    <row r="38" spans="1:13" ht="20.100000000000001" customHeight="1" x14ac:dyDescent="0.25">
      <c r="A38" s="16" t="str">
        <f>HYPERLINK("#'Constants - Common'!A1", "Constants - Common")</f>
        <v>Constants - Common</v>
      </c>
      <c r="D38" s="9" t="s">
        <v>551</v>
      </c>
      <c r="G38" s="9" t="s">
        <v>552</v>
      </c>
      <c r="K38" s="9" t="s">
        <v>553</v>
      </c>
      <c r="M38" s="8"/>
    </row>
    <row r="39" spans="1:13" ht="20.100000000000001" customHeight="1" x14ac:dyDescent="0.25">
      <c r="A39"/>
      <c r="M39" s="8"/>
    </row>
    <row r="40" spans="1:13" ht="20.100000000000001" customHeight="1" x14ac:dyDescent="0.25">
      <c r="A40"/>
      <c r="D40" s="159" t="s">
        <v>525</v>
      </c>
      <c r="E40" s="10" t="s">
        <v>330</v>
      </c>
      <c r="G40" s="159" t="s">
        <v>525</v>
      </c>
      <c r="H40" s="10" t="s">
        <v>330</v>
      </c>
      <c r="K40" s="159" t="s">
        <v>525</v>
      </c>
      <c r="L40" s="10" t="s">
        <v>330</v>
      </c>
      <c r="M40" s="8"/>
    </row>
    <row r="41" spans="1:13" ht="20.100000000000001"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100000000000001"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100000000000001"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100000000000001"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100000000000001"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100000000000001"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100000000000001" customHeight="1" x14ac:dyDescent="0.25">
      <c r="A47"/>
      <c r="D47" s="10" t="str">
        <f>'Constants - Common Livestock'!$E$23</f>
        <v>Direct application</v>
      </c>
      <c r="E47" s="10" t="str">
        <f>'Constants - Common Livestock'!$F$23</f>
        <v>Direct application (m=13)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554</v>
      </c>
      <c r="G51" s="9" t="s">
        <v>555</v>
      </c>
      <c r="M51" s="8"/>
    </row>
    <row r="52" spans="1:13" ht="20.100000000000001" customHeight="1" x14ac:dyDescent="0.25">
      <c r="A52"/>
      <c r="M52" s="8"/>
    </row>
    <row r="53" spans="1:13" ht="20.100000000000001" customHeight="1" x14ac:dyDescent="0.25">
      <c r="A53"/>
      <c r="D53" s="159" t="s">
        <v>525</v>
      </c>
      <c r="E53" s="10" t="s">
        <v>556</v>
      </c>
      <c r="G53" s="10" t="s">
        <v>145</v>
      </c>
      <c r="M53" s="8"/>
    </row>
    <row r="54" spans="1:13" ht="20.100000000000001"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tr">
        <f>'Constants - Common Livestock'!$E$15</f>
        <v>Digester / covered lagoons</v>
      </c>
      <c r="E57" s="10">
        <v>0.75</v>
      </c>
      <c r="M57" s="8"/>
    </row>
    <row r="58" spans="1:13" ht="20.100000000000001" customHeight="1" x14ac:dyDescent="0.25">
      <c r="A58"/>
      <c r="D58" s="10" t="str">
        <f>'Constants - Common Livestock'!$E$16</f>
        <v>Deep litter</v>
      </c>
      <c r="E58" s="10">
        <v>0.05</v>
      </c>
      <c r="M58" s="8"/>
    </row>
    <row r="59" spans="1:13" ht="20.100000000000001" customHeight="1" x14ac:dyDescent="0.25">
      <c r="A59"/>
      <c r="D59" s="10" t="str">
        <f>'Constants - Common Livestock'!$E$17</f>
        <v>Pit storage</v>
      </c>
      <c r="E59" s="10">
        <v>0</v>
      </c>
      <c r="M59" s="8"/>
    </row>
    <row r="60" spans="1:13" ht="20.100000000000001" customHeight="1" x14ac:dyDescent="0.25">
      <c r="A60"/>
      <c r="D60" s="10" t="str">
        <f>'Constants - Common Livestock'!$E$23</f>
        <v>Direct application</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323</v>
      </c>
      <c r="E67" s="10" t="s">
        <v>557</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323</v>
      </c>
      <c r="E78" s="10" t="s">
        <v>558</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323</v>
      </c>
      <c r="E89" s="10" t="s">
        <v>559</v>
      </c>
      <c r="F89" s="10" t="s">
        <v>560</v>
      </c>
      <c r="G89" s="10" t="s">
        <v>561</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562</v>
      </c>
      <c r="E99" s="10" t="s">
        <v>563</v>
      </c>
      <c r="F99" s="10" t="s">
        <v>534</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562</v>
      </c>
      <c r="E111" s="10" t="s">
        <v>564</v>
      </c>
      <c r="F111" s="10" t="s">
        <v>534</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565</v>
      </c>
      <c r="E127" s="10" t="s">
        <v>566</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522</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523</v>
      </c>
      <c r="G5" s="9" t="s">
        <v>524</v>
      </c>
      <c r="J5" s="9" t="s">
        <v>143</v>
      </c>
      <c r="M5" s="8"/>
    </row>
    <row r="6" spans="1:21" ht="20.100000000000001" customHeight="1" x14ac:dyDescent="0.25">
      <c r="A6"/>
      <c r="M6" s="8"/>
    </row>
    <row r="7" spans="1:21" ht="20.100000000000001" customHeight="1" x14ac:dyDescent="0.25">
      <c r="A7" s="19" t="s">
        <v>67</v>
      </c>
      <c r="D7" s="159" t="s">
        <v>525</v>
      </c>
      <c r="E7" s="10" t="s">
        <v>330</v>
      </c>
      <c r="G7" s="10" t="s">
        <v>145</v>
      </c>
      <c r="J7" s="10" t="s">
        <v>43</v>
      </c>
      <c r="M7" s="8"/>
    </row>
    <row r="8" spans="1:21" ht="20.100000000000001"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100000000000001"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100000000000001"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100000000000001"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100000000000001" customHeight="1" x14ac:dyDescent="0.25">
      <c r="A12" s="16" t="str">
        <f>HYPERLINK("#'Input - Livestock purchases'!A1", "Livestock purchases")</f>
        <v>Livestock purchases</v>
      </c>
      <c r="J12" s="8" t="s">
        <v>160</v>
      </c>
      <c r="M12" s="8"/>
    </row>
    <row r="13" spans="1:21" ht="20.100000000000001" customHeight="1" x14ac:dyDescent="0.25">
      <c r="A13" s="16" t="str">
        <f>HYPERLINK("#'Input - Freight'!A1", "Freight")</f>
        <v>Freight</v>
      </c>
      <c r="M13" s="8"/>
    </row>
    <row r="14" spans="1:21" ht="20.100000000000001" customHeight="1" x14ac:dyDescent="0.25">
      <c r="A14" s="16" t="str">
        <f>HYPERLINK("#'Input - Solid waste'!A1", "Solid waste")</f>
        <v>Solid waste</v>
      </c>
      <c r="M14" s="8"/>
    </row>
    <row r="15" spans="1:21" ht="20.100000000000001" customHeight="1" x14ac:dyDescent="0.25">
      <c r="A15" s="16" t="str">
        <f>HYPERLINK("#'Input - Manure sent off-site'!A1", "Manure sent off-site")</f>
        <v>Manure sent off-site</v>
      </c>
      <c r="M15" s="8"/>
    </row>
    <row r="16" spans="1:21" ht="20.100000000000001"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100000000000001" customHeight="1" x14ac:dyDescent="0.25">
      <c r="A17"/>
      <c r="D17" s="11" t="str" cm="1">
        <f t="array" ref="D17">SourceData_Dairy.SourceData_Dairy_LiveweightCowsAndHeifers_Source()</f>
        <v>VEERG 2026: Table A.1.3.1</v>
      </c>
      <c r="M17" s="8"/>
    </row>
    <row r="18" spans="1:13" ht="20.100000000000001" customHeight="1" x14ac:dyDescent="0.25">
      <c r="A18"/>
      <c r="D18" s="8" t="str" cm="1">
        <f t="array" ref="D18">SourceData_Dairy.SourceData_Dairy_LiveweightCowsAndHeifers_Variable()</f>
        <v>Wj</v>
      </c>
      <c r="M18" s="8"/>
    </row>
    <row r="19" spans="1:13" ht="20.100000000000001" customHeight="1" x14ac:dyDescent="0.25">
      <c r="A19" s="21" t="s">
        <v>77</v>
      </c>
      <c r="D19" s="13" t="str" cm="1">
        <f t="array" ref="D19">SourceData_Dairy.SourceData_Dairy_LiveweightCowsAndHeifers_Unit()</f>
        <v>kg</v>
      </c>
      <c r="M19" s="8"/>
    </row>
    <row r="20" spans="1:13" ht="20.100000000000001"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HYPERLINK("#'10.1.1-2 Solid waste treatment'!A1", "10.1.1-2 Solid waste treatment")</f>
        <v>10.1.1-2 Solid waste treatment</v>
      </c>
      <c r="D21" s="10" t="s">
        <v>504</v>
      </c>
      <c r="E21" s="10" t="s">
        <v>517</v>
      </c>
      <c r="F21" s="10" t="s">
        <v>526</v>
      </c>
      <c r="G21" s="10" t="s">
        <v>518</v>
      </c>
      <c r="M21" s="8"/>
    </row>
    <row r="22" spans="1:13" ht="20.100000000000001"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22"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Swine'!A1", "Constants - Swine")</f>
        <v>Constants - Swine</v>
      </c>
      <c r="M32" s="8"/>
    </row>
    <row r="33" spans="1:13" ht="20.100000000000001" customHeight="1" x14ac:dyDescent="0.25">
      <c r="A33" s="23" t="str">
        <f>HYPERLINK("#'Constants - Dairy'!A1", "Constants - Dairy")</f>
        <v>Constants - Dairy</v>
      </c>
      <c r="M33" s="8"/>
    </row>
    <row r="34" spans="1:13" ht="20.100000000000001"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100000000000001"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100000000000001" customHeight="1" x14ac:dyDescent="0.25">
      <c r="A36" s="16" t="str">
        <f>HYPERLINK("#'Constants - Fertiliser'!A1", "Constants - Fertiliser")</f>
        <v>Constants - Fertiliser</v>
      </c>
      <c r="D36" s="8" t="str" cm="1">
        <f t="array" ref="D36">SourceData_Dairy.SourceData_Dairy_LiveweightBulls_Variable()</f>
        <v>Wj</v>
      </c>
      <c r="M36" s="8"/>
    </row>
    <row r="37" spans="1:13" ht="20.100000000000001" customHeight="1" x14ac:dyDescent="0.25">
      <c r="A37" s="16" t="str">
        <f>HYPERLINK("#'Constants - Electricity'!A1", "Constants - Electricity")</f>
        <v>Constants - Electricity</v>
      </c>
      <c r="D37" s="13" t="str" cm="1">
        <f t="array" ref="D37">SourceData_Dairy.SourceData_Dairy_LiveweightBulls_Unit()</f>
        <v>kg</v>
      </c>
      <c r="M37" s="8"/>
    </row>
    <row r="38" spans="1:13" ht="20.100000000000001" customHeight="1" x14ac:dyDescent="0.25">
      <c r="A38" s="16" t="str">
        <f>HYPERLINK("#'Constants - Common'!A1", "Constants - Common")</f>
        <v>Constants - Common</v>
      </c>
      <c r="D38" s="10" t="s">
        <v>504</v>
      </c>
      <c r="E38" s="10" t="s">
        <v>527</v>
      </c>
      <c r="F38" s="10" t="s">
        <v>528</v>
      </c>
      <c r="M38" s="8"/>
    </row>
    <row r="39" spans="1:13" ht="20.100000000000001"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c r="M40" s="8"/>
    </row>
    <row r="41" spans="1:13" ht="20.100000000000001" customHeight="1" x14ac:dyDescent="0.25">
      <c r="A41"/>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517</v>
      </c>
      <c r="E46" s="10" t="s">
        <v>526</v>
      </c>
      <c r="F46" s="10" t="s">
        <v>518</v>
      </c>
      <c r="G46" s="10" t="s">
        <v>527</v>
      </c>
      <c r="H46" s="10" t="s">
        <v>528</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517</v>
      </c>
      <c r="E54" s="160" t="s">
        <v>526</v>
      </c>
      <c r="F54" s="160" t="s">
        <v>518</v>
      </c>
      <c r="G54" s="160" t="s">
        <v>527</v>
      </c>
      <c r="H54" s="160" t="s">
        <v>528</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529</v>
      </c>
      <c r="E62" s="10" t="s">
        <v>530</v>
      </c>
      <c r="F62" s="10" t="s">
        <v>531</v>
      </c>
      <c r="G62" s="10" t="s">
        <v>532</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533</v>
      </c>
      <c r="E72" s="10" t="s">
        <v>313</v>
      </c>
      <c r="F72" s="10" t="s">
        <v>337</v>
      </c>
      <c r="G72" s="10" t="s">
        <v>435</v>
      </c>
      <c r="H72" s="10" t="s">
        <v>338</v>
      </c>
      <c r="I72" s="10" t="s">
        <v>394</v>
      </c>
      <c r="J72" s="10" t="s">
        <v>391</v>
      </c>
      <c r="K72" s="10" t="s">
        <v>343</v>
      </c>
      <c r="L72" s="10" t="s">
        <v>344</v>
      </c>
      <c r="M72" s="10" t="s">
        <v>534</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533</v>
      </c>
      <c r="E86" s="10" t="s">
        <v>535</v>
      </c>
      <c r="F86" s="10" t="s">
        <v>536</v>
      </c>
      <c r="G86" s="10" t="s">
        <v>534</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529</v>
      </c>
      <c r="E98" s="10" t="s">
        <v>537</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529</v>
      </c>
      <c r="E107" s="10" t="s">
        <v>538</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539</v>
      </c>
      <c r="E116" s="10" t="s">
        <v>147</v>
      </c>
      <c r="F116" s="10" t="s">
        <v>540</v>
      </c>
      <c r="G116" s="10" t="s">
        <v>541</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533</v>
      </c>
      <c r="E128" s="10" t="s">
        <v>535</v>
      </c>
      <c r="F128" s="10" t="s">
        <v>534</v>
      </c>
      <c r="G128" s="157" t="s">
        <v>542</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529</v>
      </c>
      <c r="E141" s="10" t="s">
        <v>543</v>
      </c>
      <c r="F141" s="10" t="s">
        <v>544</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SourceData_Dairy.SourceData_Dairy_FracGASMSoil_Title()</f>
        <v>Fraction of nitrogen volatilized from urine and faeces deposited on pasture</v>
      </c>
      <c r="M211" s="14"/>
    </row>
    <row r="212" spans="1:13" x14ac:dyDescent="0.25">
      <c r="D212" s="11" t="str" cm="1">
        <f t="array" ref="D212">SourceData_Dairy.SourceData_Dairy_FracGASMSoil_Source()</f>
        <v>VEERG 2026: 4.3.2.3 CONSTANTS</v>
      </c>
      <c r="M212" s="14"/>
    </row>
    <row r="213" spans="1:13" x14ac:dyDescent="0.25">
      <c r="D213" s="8" t="str" cm="1">
        <f t="array" ref="D213">SourceData_Dairy.SourceData_Dairy_FracGASMSoil_Variable()</f>
        <v>FracGASMsoil</v>
      </c>
      <c r="M213" s="14"/>
    </row>
    <row r="214" spans="1:13" x14ac:dyDescent="0.25">
      <c r="D214" s="13" t="str" cm="1">
        <f t="array" ref="D214">SourceData_Dairy.SourceData_Dairy_FracGASMSoil_Unit()</f>
        <v>(kg NH3-N + NOx-N)/kg N</v>
      </c>
      <c r="M214" s="14"/>
    </row>
    <row r="215" spans="1:13" x14ac:dyDescent="0.25">
      <c r="A215" s="53" t="str">
        <f>HYPERLINK("#A1", "▲ Back to top")</f>
        <v>▲ Back to top</v>
      </c>
      <c r="D215" s="27" cm="1">
        <f t="array" ref="D215">SourceData_Dairy.SourceData_Dairy_FracGASMSoil_Data()</f>
        <v>0.21</v>
      </c>
      <c r="M215" s="14"/>
    </row>
    <row r="216" spans="1:13" x14ac:dyDescent="0.25">
      <c r="M216" s="14"/>
    </row>
    <row r="217" spans="1:13" ht="23.25" x14ac:dyDescent="0.25">
      <c r="D217" s="9" t="str" cm="1">
        <f t="array" ref="D217">SourceData_Dairy.SourceData_Dairy_FatContentInMilk_Title()</f>
        <v>Fat content in fat and protein corrected milk</v>
      </c>
      <c r="M217" s="14"/>
    </row>
    <row r="218" spans="1:13" x14ac:dyDescent="0.25">
      <c r="D218" s="11" t="str" cm="1">
        <f t="array" ref="D218">SourceData_Dairy.SourceData_Dairy_FatContentInMilk_Source()</f>
        <v>VEERG 2026: 3.3.2.2 DATA (METHOD 1 AND 2 OPTIONS)</v>
      </c>
      <c r="M218" s="14"/>
    </row>
    <row r="219" spans="1:13" x14ac:dyDescent="0.25">
      <c r="D219" s="8" t="str" cm="1">
        <f t="array" ref="D219">SourceData_Dairy.SourceData_Dairy_FatContentInMilk_Variable()</f>
        <v>FC_j</v>
      </c>
      <c r="M219" s="14"/>
    </row>
    <row r="220" spans="1:13" x14ac:dyDescent="0.25">
      <c r="D220" s="13" t="str" cm="1">
        <f t="array" ref="D220">SourceData_Dairy.SourceData_Dairy_FatContentInMilk_Unit()</f>
        <v>percent</v>
      </c>
      <c r="M220" s="14"/>
    </row>
    <row r="221" spans="1:13" x14ac:dyDescent="0.25">
      <c r="D221" s="27" cm="1">
        <f t="array" ref="D221">SourceData_Dairy.SourceData_Dairy_FatContentInMilk_Data()</f>
        <v>4</v>
      </c>
      <c r="M221" s="14"/>
    </row>
    <row r="222" spans="1:13" x14ac:dyDescent="0.25">
      <c r="M222" s="14"/>
    </row>
    <row r="223" spans="1:13" ht="23.25" x14ac:dyDescent="0.25">
      <c r="D223" s="9" t="str" cm="1">
        <f t="array" ref="D223">SourceData_Dairy.SourceData_Dairy_ProteinContentInMilk_Title()</f>
        <v>Protein content in fat and protein corrected milk</v>
      </c>
      <c r="M223" s="14"/>
    </row>
    <row r="224" spans="1:13" x14ac:dyDescent="0.25">
      <c r="D224" s="11" t="str" cm="1">
        <f t="array" ref="D224">SourceData_Dairy.SourceData_Dairy_ProteinContentInMilk_Source()</f>
        <v>VEERG 2026: 3.3.2.2 DATA (METHOD 1 AND 2 OPTIONS)</v>
      </c>
      <c r="M224" s="14"/>
    </row>
    <row r="225" spans="4:13" x14ac:dyDescent="0.25">
      <c r="D225" s="8" t="str" cm="1">
        <f t="array" ref="D225">SourceData_Dairy.SourceData_Dairy_ProteinContentInMilk_Variable()</f>
        <v>PC_j</v>
      </c>
      <c r="M225" s="14"/>
    </row>
    <row r="226" spans="4:13" x14ac:dyDescent="0.25">
      <c r="D226" s="13" t="str" cm="1">
        <f t="array" ref="D226">SourceData_Dairy.SourceData_Dairy_ProteinContentInMilk_Unit()</f>
        <v>percent</v>
      </c>
      <c r="M226" s="14"/>
    </row>
    <row r="227" spans="4:13" x14ac:dyDescent="0.25">
      <c r="D227" s="27" cm="1">
        <f t="array" ref="D227">SourceData_Dairy.SourceData_Dairy_ProteinContentInMilk_Data()</f>
        <v>3.3</v>
      </c>
      <c r="M227" s="14"/>
    </row>
    <row r="228" spans="4:13" x14ac:dyDescent="0.25">
      <c r="M228" s="14"/>
    </row>
    <row r="229" spans="4:13" x14ac:dyDescent="0.25">
      <c r="M229" s="14"/>
    </row>
    <row r="230" spans="4:13" x14ac:dyDescent="0.25">
      <c r="M230" s="14"/>
    </row>
    <row r="231" spans="4:13" x14ac:dyDescent="0.25">
      <c r="M231" s="14"/>
    </row>
    <row r="232" spans="4:13" x14ac:dyDescent="0.25">
      <c r="M232" s="14"/>
    </row>
    <row r="233" spans="4:13" x14ac:dyDescent="0.25">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446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447</v>
      </c>
      <c r="G5" s="9" t="s">
        <v>143</v>
      </c>
      <c r="M5" s="8" t="s">
        <v>448</v>
      </c>
      <c r="O5" s="8" t="s">
        <v>449</v>
      </c>
      <c r="Q5" s="8" t="s">
        <v>450</v>
      </c>
      <c r="S5" s="8" t="s">
        <v>451</v>
      </c>
    </row>
    <row r="6" spans="1:21" ht="20.100000000000001" customHeight="1" x14ac:dyDescent="0.25">
      <c r="A6"/>
      <c r="M6" s="8"/>
    </row>
    <row r="7" spans="1:21" ht="20.100000000000001" customHeight="1" x14ac:dyDescent="0.25">
      <c r="A7" s="19" t="s">
        <v>67</v>
      </c>
      <c r="D7" s="10" t="s">
        <v>145</v>
      </c>
      <c r="G7" s="10" t="s">
        <v>43</v>
      </c>
      <c r="M7" s="3" t="s">
        <v>387</v>
      </c>
      <c r="O7" s="10" t="s">
        <v>387</v>
      </c>
      <c r="Q7" s="10" t="s">
        <v>387</v>
      </c>
      <c r="S7" s="10" t="s">
        <v>387</v>
      </c>
    </row>
    <row r="8" spans="1:21" ht="20.100000000000001" customHeight="1" x14ac:dyDescent="0.25">
      <c r="A8" s="16" t="str">
        <f>HYPERLINK("#'Input - Site'!A1", "Site")</f>
        <v>Site</v>
      </c>
      <c r="D8" s="10" t="str">
        <f>'Constants - Common'!$F$187</f>
        <v>Pasture</v>
      </c>
      <c r="G8" s="10" t="s">
        <v>148</v>
      </c>
      <c r="M8" s="10" t="s">
        <v>452</v>
      </c>
      <c r="O8" s="10" t="s">
        <v>453</v>
      </c>
      <c r="Q8" s="10" t="s">
        <v>454</v>
      </c>
      <c r="S8" s="10" t="s">
        <v>434</v>
      </c>
    </row>
    <row r="9" spans="1:21" ht="20.100000000000001" customHeight="1" x14ac:dyDescent="0.25">
      <c r="A9" s="16" t="str">
        <f>HYPERLINK("#'Input - Fuel'!A1", "Fuel")</f>
        <v>Fuel</v>
      </c>
      <c r="D9" s="8" t="str">
        <f>'Constants - Common'!$F$188</f>
        <v>Crop</v>
      </c>
      <c r="G9" s="10" t="s">
        <v>152</v>
      </c>
      <c r="M9" s="10" t="s">
        <v>455</v>
      </c>
      <c r="O9" s="10" t="s">
        <v>456</v>
      </c>
      <c r="Q9" s="10" t="s">
        <v>457</v>
      </c>
    </row>
    <row r="10" spans="1:21" ht="20.100000000000001" customHeight="1" x14ac:dyDescent="0.25">
      <c r="A10" s="16" t="str">
        <f>HYPERLINK("#'Input - Fertiliser'!A1", "Fertiliser")</f>
        <v>Fertiliser</v>
      </c>
      <c r="G10" s="8" t="s">
        <v>155</v>
      </c>
      <c r="M10" s="10" t="s">
        <v>458</v>
      </c>
      <c r="O10" s="10" t="s">
        <v>459</v>
      </c>
      <c r="Q10" s="10" t="s">
        <v>460</v>
      </c>
      <c r="S10" s="8" t="s">
        <v>461</v>
      </c>
    </row>
    <row r="11" spans="1:21" ht="20.100000000000001" customHeight="1" x14ac:dyDescent="0.25">
      <c r="A11" s="16" t="str">
        <f>HYPERLINK("#'Input - Farm Inputs'!A1", "Farm Inputs")</f>
        <v>Farm Inputs</v>
      </c>
      <c r="G11" s="8" t="s">
        <v>158</v>
      </c>
      <c r="M11" s="8"/>
      <c r="Q11" s="10" t="s">
        <v>462</v>
      </c>
    </row>
    <row r="12" spans="1:21" ht="20.100000000000001" customHeight="1" x14ac:dyDescent="0.25">
      <c r="A12" s="16" t="str">
        <f>HYPERLINK("#'Input - Livestock purchases'!A1", "Livestock purchases")</f>
        <v>Livestock purchases</v>
      </c>
      <c r="G12" s="8" t="s">
        <v>160</v>
      </c>
      <c r="M12" s="8"/>
      <c r="S12" s="10" t="s">
        <v>387</v>
      </c>
    </row>
    <row r="13" spans="1:21" ht="20.100000000000001" customHeight="1" x14ac:dyDescent="0.25">
      <c r="A13" s="16" t="str">
        <f>HYPERLINK("#'Input - Freight'!A1", "Freight")</f>
        <v>Freight</v>
      </c>
      <c r="M13" s="8"/>
      <c r="S13" s="10" t="s">
        <v>434</v>
      </c>
    </row>
    <row r="14" spans="1:21" ht="20.100000000000001"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100000000000001"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463</v>
      </c>
    </row>
    <row r="16" spans="1:21" ht="20.100000000000001" customHeight="1" x14ac:dyDescent="0.25">
      <c r="A16" s="16" t="str">
        <f>HYPERLINK("#'Input - Electricity'!A1", "Electricity")</f>
        <v>Electricity</v>
      </c>
      <c r="D16" s="8" t="str" cm="1">
        <f t="array" ref="D16">SourceData_PastureBeef.SourceData_PastureBeef_Liveweight_Variable()</f>
        <v>Wjkl</v>
      </c>
      <c r="M16" s="8"/>
    </row>
    <row r="17" spans="1:19" ht="20.100000000000001" customHeight="1" x14ac:dyDescent="0.25">
      <c r="A17"/>
      <c r="D17" s="13" t="str" cm="1">
        <f t="array" ref="D17">SourceData_PastureBeef.SourceData_PastureBeef_Liveweight_Unit()</f>
        <v>kg</v>
      </c>
      <c r="M17" s="8"/>
      <c r="O17" s="8" t="s">
        <v>515</v>
      </c>
      <c r="S17" s="10" t="s">
        <v>387</v>
      </c>
    </row>
    <row r="18" spans="1:19" ht="20.100000000000001" customHeight="1" x14ac:dyDescent="0.25">
      <c r="A18"/>
      <c r="D18" s="10" t="s">
        <v>278</v>
      </c>
      <c r="E18" s="10" t="s">
        <v>387</v>
      </c>
      <c r="F18" s="10" t="s">
        <v>47</v>
      </c>
      <c r="G18" s="10" t="s">
        <v>464</v>
      </c>
      <c r="H18" s="10" t="s">
        <v>465</v>
      </c>
      <c r="I18" s="10" t="s">
        <v>466</v>
      </c>
      <c r="J18" s="10" t="s">
        <v>467</v>
      </c>
      <c r="K18" s="10" t="s">
        <v>468</v>
      </c>
      <c r="L18" s="10" t="s">
        <v>469</v>
      </c>
      <c r="M18" s="10" t="s">
        <v>470</v>
      </c>
      <c r="O18" s="10" t="s">
        <v>285</v>
      </c>
      <c r="S18" s="10" t="s">
        <v>434</v>
      </c>
    </row>
    <row r="19" spans="1:19" ht="20.100000000000001"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100000000000001"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471</v>
      </c>
    </row>
    <row r="21" spans="1:19" ht="20.100000000000001"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100000000000001"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387</v>
      </c>
    </row>
    <row r="23" spans="1:19" ht="20.100000000000001"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434</v>
      </c>
    </row>
    <row r="24" spans="1:19" ht="20.100000000000001"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472</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100000000000001" customHeight="1" x14ac:dyDescent="0.25">
      <c r="A27" s="222"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387</v>
      </c>
    </row>
    <row r="28" spans="1:19" ht="20.100000000000001"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434</v>
      </c>
    </row>
    <row r="29" spans="1:19" ht="20.100000000000001"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100000000000001"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100000000000001"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100000000000001"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100000000000001"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100000000000001"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100000000000001"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100000000000001"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100000000000001"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100000000000001"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100000000000001"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100000000000001" customHeight="1" x14ac:dyDescent="0.25">
      <c r="A47"/>
      <c r="M47" s="8"/>
    </row>
    <row r="48" spans="1:13" ht="20.100000000000001" customHeight="1" x14ac:dyDescent="0.25">
      <c r="A48"/>
      <c r="M48" s="8"/>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278</v>
      </c>
      <c r="E53" s="10" t="s">
        <v>387</v>
      </c>
      <c r="F53" s="10" t="s">
        <v>47</v>
      </c>
      <c r="G53" s="10" t="s">
        <v>473</v>
      </c>
      <c r="H53" s="10" t="s">
        <v>474</v>
      </c>
      <c r="I53" s="10" t="s">
        <v>475</v>
      </c>
      <c r="J53" s="10" t="s">
        <v>476</v>
      </c>
      <c r="K53" s="10" t="s">
        <v>477</v>
      </c>
      <c r="L53" s="10" t="s">
        <v>478</v>
      </c>
      <c r="M53" s="10" t="s">
        <v>479</v>
      </c>
      <c r="N53" s="10" t="s">
        <v>480</v>
      </c>
      <c r="O53" s="10" t="s">
        <v>481</v>
      </c>
      <c r="P53" s="10" t="s">
        <v>482</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483</v>
      </c>
      <c r="M84" s="8"/>
    </row>
    <row r="85" spans="1:22" ht="20.100000000000001" customHeight="1" x14ac:dyDescent="0.25">
      <c r="A85"/>
      <c r="D85" s="10" t="s">
        <v>278</v>
      </c>
      <c r="E85" s="10" t="s">
        <v>387</v>
      </c>
      <c r="F85" s="10" t="s">
        <v>47</v>
      </c>
      <c r="G85" s="156" t="s">
        <v>484</v>
      </c>
      <c r="H85" s="156" t="s">
        <v>485</v>
      </c>
      <c r="I85" s="156" t="s">
        <v>486</v>
      </c>
      <c r="J85" s="156" t="s">
        <v>487</v>
      </c>
      <c r="K85" s="156" t="s">
        <v>488</v>
      </c>
      <c r="L85" s="156" t="s">
        <v>489</v>
      </c>
      <c r="M85" s="156" t="s">
        <v>490</v>
      </c>
      <c r="N85" s="156" t="s">
        <v>491</v>
      </c>
      <c r="O85" s="156" t="s">
        <v>492</v>
      </c>
      <c r="P85" s="156" t="s">
        <v>493</v>
      </c>
      <c r="V85" s="8"/>
    </row>
    <row r="86" spans="1:22" ht="20.100000000000001" customHeight="1" x14ac:dyDescent="0.25">
      <c r="A86"/>
      <c r="D86" s="10" t="s">
        <v>313</v>
      </c>
      <c r="E86" s="10" t="s">
        <v>434</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313</v>
      </c>
      <c r="E87" s="10" t="s">
        <v>434</v>
      </c>
      <c r="F87" s="10" t="s">
        <v>494</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313</v>
      </c>
      <c r="E88" s="10" t="s">
        <v>434</v>
      </c>
      <c r="F88" s="10" t="s">
        <v>495</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313</v>
      </c>
      <c r="E89" s="10" t="s">
        <v>434</v>
      </c>
      <c r="F89" s="10" t="s">
        <v>496</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337</v>
      </c>
      <c r="E90" s="10" t="s">
        <v>434</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337</v>
      </c>
      <c r="E91" s="10" t="s">
        <v>434</v>
      </c>
      <c r="F91" s="10" t="s">
        <v>494</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337</v>
      </c>
      <c r="E92" s="10" t="s">
        <v>434</v>
      </c>
      <c r="F92" s="10" t="s">
        <v>495</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337</v>
      </c>
      <c r="E93" s="10" t="s">
        <v>434</v>
      </c>
      <c r="F93" s="10" t="s">
        <v>496</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394</v>
      </c>
      <c r="E94" s="10" t="s">
        <v>434</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394</v>
      </c>
      <c r="E95" s="10" t="s">
        <v>434</v>
      </c>
      <c r="F95" s="10" t="s">
        <v>494</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394</v>
      </c>
      <c r="E96" s="10" t="s">
        <v>434</v>
      </c>
      <c r="F96" s="10" t="s">
        <v>495</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394</v>
      </c>
      <c r="E97" s="10" t="s">
        <v>434</v>
      </c>
      <c r="F97" s="10" t="s">
        <v>496</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391</v>
      </c>
      <c r="E98" s="10" t="s">
        <v>434</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391</v>
      </c>
      <c r="E99" s="10" t="s">
        <v>434</v>
      </c>
      <c r="F99" s="10" t="s">
        <v>494</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391</v>
      </c>
      <c r="E100" s="10" t="s">
        <v>434</v>
      </c>
      <c r="F100" s="10" t="s">
        <v>495</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391</v>
      </c>
      <c r="E101" s="10" t="s">
        <v>434</v>
      </c>
      <c r="F101" s="10" t="s">
        <v>496</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343</v>
      </c>
      <c r="E102" s="10" t="s">
        <v>434</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343</v>
      </c>
      <c r="E103" s="10" t="s">
        <v>434</v>
      </c>
      <c r="F103" s="10" t="s">
        <v>494</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343</v>
      </c>
      <c r="E104" s="10" t="s">
        <v>434</v>
      </c>
      <c r="F104" s="10" t="s">
        <v>495</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343</v>
      </c>
      <c r="E105" s="10" t="s">
        <v>434</v>
      </c>
      <c r="F105" s="10" t="s">
        <v>496</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344</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344</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344</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344</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344</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344</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344</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344</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344</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344</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344</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344</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435</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435</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435</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435</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435</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435</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435</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435</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435</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435</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435</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435</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338</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338</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338</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338</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338</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338</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338</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338</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338</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338</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338</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338</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338</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338</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338</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338</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336</v>
      </c>
      <c r="E146" s="8" t="s">
        <v>434</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336</v>
      </c>
      <c r="E147" s="8" t="s">
        <v>434</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100000000000001" customHeight="1" x14ac:dyDescent="0.25">
      <c r="A148"/>
      <c r="D148" s="8" t="s">
        <v>336</v>
      </c>
      <c r="E148" s="8" t="s">
        <v>434</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100000000000001" customHeight="1" x14ac:dyDescent="0.25">
      <c r="A149"/>
      <c r="D149" s="8" t="s">
        <v>336</v>
      </c>
      <c r="E149" s="8" t="s">
        <v>434</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278</v>
      </c>
      <c r="E154" s="10" t="s">
        <v>387</v>
      </c>
      <c r="F154" s="10" t="s">
        <v>47</v>
      </c>
      <c r="G154" s="10" t="s">
        <v>473</v>
      </c>
      <c r="H154" s="10" t="s">
        <v>474</v>
      </c>
      <c r="I154" s="10" t="s">
        <v>497</v>
      </c>
      <c r="J154" s="10" t="s">
        <v>467</v>
      </c>
      <c r="K154" s="10" t="s">
        <v>498</v>
      </c>
      <c r="L154" s="10" t="s">
        <v>479</v>
      </c>
      <c r="M154" s="10" t="s">
        <v>499</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278</v>
      </c>
      <c r="E189" s="10" t="s">
        <v>387</v>
      </c>
      <c r="F189" s="10" t="s">
        <v>47</v>
      </c>
      <c r="G189" s="10" t="s">
        <v>473</v>
      </c>
      <c r="H189" s="10" t="s">
        <v>474</v>
      </c>
      <c r="I189" s="10" t="s">
        <v>497</v>
      </c>
      <c r="J189" s="10" t="s">
        <v>467</v>
      </c>
      <c r="K189" s="10" t="s">
        <v>500</v>
      </c>
      <c r="L189" s="10" t="s">
        <v>501</v>
      </c>
      <c r="M189" s="10" t="s">
        <v>479</v>
      </c>
      <c r="N189" s="10" t="s">
        <v>480</v>
      </c>
      <c r="O189" s="10" t="s">
        <v>481</v>
      </c>
      <c r="P189" s="10" t="s">
        <v>482</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483</v>
      </c>
      <c r="M220" s="8"/>
    </row>
    <row r="221" spans="4:16" x14ac:dyDescent="0.25">
      <c r="M221" s="8"/>
    </row>
    <row r="222" spans="4:16" x14ac:dyDescent="0.25">
      <c r="D222" s="10" t="s">
        <v>278</v>
      </c>
      <c r="E222" s="10" t="s">
        <v>387</v>
      </c>
      <c r="F222" s="10" t="s">
        <v>47</v>
      </c>
      <c r="G222" s="156" t="s">
        <v>484</v>
      </c>
      <c r="H222" s="156" t="s">
        <v>485</v>
      </c>
      <c r="I222" s="156" t="s">
        <v>486</v>
      </c>
      <c r="J222" s="156" t="s">
        <v>487</v>
      </c>
      <c r="K222" s="156" t="s">
        <v>488</v>
      </c>
      <c r="L222" s="156" t="s">
        <v>489</v>
      </c>
      <c r="M222" s="156" t="s">
        <v>490</v>
      </c>
      <c r="N222" s="156" t="s">
        <v>491</v>
      </c>
      <c r="O222" s="156" t="s">
        <v>492</v>
      </c>
      <c r="P222" s="156" t="s">
        <v>493</v>
      </c>
    </row>
    <row r="223" spans="4:16" x14ac:dyDescent="0.25">
      <c r="D223" s="10" t="s">
        <v>313</v>
      </c>
      <c r="E223" s="10" t="s">
        <v>434</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c r="D224" s="10" t="s">
        <v>313</v>
      </c>
      <c r="E224" s="10" t="s">
        <v>434</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c r="D225" s="10" t="s">
        <v>313</v>
      </c>
      <c r="E225" s="10" t="s">
        <v>434</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c r="D226" s="10" t="s">
        <v>313</v>
      </c>
      <c r="E226" s="10" t="s">
        <v>434</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c r="D227" s="10" t="s">
        <v>337</v>
      </c>
      <c r="E227" s="10" t="s">
        <v>434</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c r="D228" s="10" t="s">
        <v>337</v>
      </c>
      <c r="E228" s="10" t="s">
        <v>434</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c r="D229" s="10" t="s">
        <v>337</v>
      </c>
      <c r="E229" s="10" t="s">
        <v>434</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c r="D230" s="10" t="s">
        <v>337</v>
      </c>
      <c r="E230" s="10" t="s">
        <v>434</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c r="D231" s="10" t="s">
        <v>394</v>
      </c>
      <c r="E231" s="10" t="s">
        <v>434</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c r="D232" s="10" t="s">
        <v>394</v>
      </c>
      <c r="E232" s="10" t="s">
        <v>434</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c r="D233" s="10" t="s">
        <v>394</v>
      </c>
      <c r="E233" s="10" t="s">
        <v>434</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c r="D234" s="10" t="s">
        <v>394</v>
      </c>
      <c r="E234" s="10" t="s">
        <v>434</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c r="D235" s="10" t="s">
        <v>391</v>
      </c>
      <c r="E235" s="10" t="s">
        <v>434</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c r="D236" s="10" t="s">
        <v>391</v>
      </c>
      <c r="E236" s="10" t="s">
        <v>434</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c r="D237" s="10" t="s">
        <v>391</v>
      </c>
      <c r="E237" s="10" t="s">
        <v>434</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c r="D238" s="10" t="s">
        <v>391</v>
      </c>
      <c r="E238" s="10" t="s">
        <v>434</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c r="D239" s="10" t="s">
        <v>343</v>
      </c>
      <c r="E239" s="10" t="s">
        <v>434</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c r="D240" s="10" t="s">
        <v>343</v>
      </c>
      <c r="E240" s="10" t="s">
        <v>434</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c r="D241" s="10" t="s">
        <v>343</v>
      </c>
      <c r="E241" s="10" t="s">
        <v>434</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c r="D242" s="10" t="s">
        <v>343</v>
      </c>
      <c r="E242" s="10" t="s">
        <v>434</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c r="D243" s="10" t="s">
        <v>344</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c r="D244" s="10" t="s">
        <v>344</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c r="D245" s="10" t="s">
        <v>344</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c r="D246" s="10" t="s">
        <v>344</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c r="D247" s="10" t="s">
        <v>344</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c r="D248" s="10" t="s">
        <v>344</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c r="D249" s="10" t="s">
        <v>344</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c r="D250" s="10" t="s">
        <v>344</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c r="D251" s="10" t="s">
        <v>344</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c r="D252" s="10" t="s">
        <v>344</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c r="D253" s="10" t="s">
        <v>344</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c r="D254" s="10" t="s">
        <v>344</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c r="D255" s="10" t="s">
        <v>435</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c r="D256" s="10" t="s">
        <v>435</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c r="D257" s="10" t="s">
        <v>435</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c r="D258" s="10" t="s">
        <v>435</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c r="D259" s="10" t="s">
        <v>435</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c r="D260" s="10" t="s">
        <v>435</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c r="D261" s="10" t="s">
        <v>435</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c r="D262" s="10" t="s">
        <v>435</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c r="D263" s="10" t="s">
        <v>435</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c r="D264" s="10" t="s">
        <v>435</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c r="D265" s="10" t="s">
        <v>435</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c r="D266" s="10" t="s">
        <v>435</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c r="D267" s="10" t="s">
        <v>338</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c r="D268" s="10" t="s">
        <v>338</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c r="D269" s="10" t="s">
        <v>338</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c r="D270" s="10" t="s">
        <v>338</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c r="D271" s="10" t="s">
        <v>338</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c r="D272" s="10" t="s">
        <v>338</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c r="D273" s="10" t="s">
        <v>338</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c r="D274" s="10" t="s">
        <v>338</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c r="D275" s="10" t="s">
        <v>338</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c r="D276" s="10" t="s">
        <v>338</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c r="D277" s="10" t="s">
        <v>338</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c r="D278" s="10" t="s">
        <v>338</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c r="D279" s="10" t="s">
        <v>338</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c r="D280" s="10" t="s">
        <v>338</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c r="D281" s="10" t="s">
        <v>338</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c r="D282" s="10" t="s">
        <v>338</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278</v>
      </c>
      <c r="E290" s="10" t="s">
        <v>387</v>
      </c>
      <c r="F290" s="10" t="s">
        <v>502</v>
      </c>
      <c r="G290" s="10" t="s">
        <v>494</v>
      </c>
      <c r="H290" s="10" t="s">
        <v>495</v>
      </c>
      <c r="I290" s="10" t="s">
        <v>496</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278</v>
      </c>
      <c r="E313" s="10" t="s">
        <v>387</v>
      </c>
      <c r="F313" s="10" t="s">
        <v>502</v>
      </c>
      <c r="G313" s="10" t="s">
        <v>494</v>
      </c>
      <c r="H313" s="10" t="s">
        <v>495</v>
      </c>
      <c r="I313" s="10" t="s">
        <v>496</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503</v>
      </c>
      <c r="M333" s="8"/>
    </row>
    <row r="334" spans="4:13" x14ac:dyDescent="0.25">
      <c r="D334" s="10" t="s">
        <v>504</v>
      </c>
      <c r="E334" s="10" t="s">
        <v>47</v>
      </c>
      <c r="F334" s="10" t="s">
        <v>505</v>
      </c>
      <c r="G334" s="10" t="s">
        <v>506</v>
      </c>
      <c r="I334" s="10" t="s">
        <v>504</v>
      </c>
      <c r="J334" s="10" t="s">
        <v>47</v>
      </c>
      <c r="K334" s="10" t="s">
        <v>505</v>
      </c>
      <c r="L334" s="10" t="s">
        <v>506</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507</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508</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507</v>
      </c>
      <c r="K337" s="10">
        <f>F340</f>
        <v>1.3</v>
      </c>
      <c r="L337" s="10">
        <f t="shared" ref="L337:L338" si="54">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508</v>
      </c>
      <c r="K338" s="10">
        <f t="shared" ref="K338" si="55">F341</f>
        <v>1.1000000000000001</v>
      </c>
      <c r="L338" s="10">
        <f t="shared" si="54"/>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278</v>
      </c>
      <c r="E350" s="10" t="s">
        <v>509</v>
      </c>
      <c r="F350" s="10" t="s">
        <v>510</v>
      </c>
      <c r="G350" s="10" t="s">
        <v>475</v>
      </c>
      <c r="H350" s="10" t="s">
        <v>476</v>
      </c>
      <c r="I350" s="10" t="s">
        <v>511</v>
      </c>
      <c r="J350" s="10" t="s">
        <v>479</v>
      </c>
      <c r="K350" s="10" t="s">
        <v>499</v>
      </c>
      <c r="L350" s="10" t="s">
        <v>512</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278</v>
      </c>
      <c r="E361" s="156" t="s">
        <v>484</v>
      </c>
      <c r="F361" s="156" t="s">
        <v>485</v>
      </c>
      <c r="G361" s="156" t="s">
        <v>486</v>
      </c>
      <c r="H361" s="156" t="s">
        <v>487</v>
      </c>
      <c r="I361" s="156" t="s">
        <v>488</v>
      </c>
      <c r="J361" s="156" t="s">
        <v>489</v>
      </c>
      <c r="K361" s="156" t="s">
        <v>490</v>
      </c>
      <c r="L361" s="156" t="s">
        <v>491</v>
      </c>
      <c r="M361" s="156" t="s">
        <v>492</v>
      </c>
      <c r="N361" s="156" t="s">
        <v>493</v>
      </c>
      <c r="O361" s="10" t="s">
        <v>512</v>
      </c>
    </row>
    <row r="362" spans="4:15" x14ac:dyDescent="0.25">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513</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278</v>
      </c>
      <c r="E377" s="10" t="s">
        <v>387</v>
      </c>
      <c r="F377" s="10" t="s">
        <v>62</v>
      </c>
      <c r="G377" s="10" t="s">
        <v>514</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278</v>
      </c>
      <c r="E400" s="10" t="s">
        <v>387</v>
      </c>
      <c r="F400" s="10" t="s">
        <v>62</v>
      </c>
      <c r="G400" s="10" t="s">
        <v>514</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x14ac:dyDescent="0.25">
      <c r="M442" s="8"/>
    </row>
    <row r="443" spans="4:13" x14ac:dyDescent="0.25">
      <c r="M443" s="8"/>
    </row>
    <row r="444" spans="4:13" x14ac:dyDescent="0.25">
      <c r="M444" s="8"/>
    </row>
    <row r="445" spans="4:13" x14ac:dyDescent="0.25">
      <c r="M445" s="8"/>
    </row>
    <row r="446" spans="4:13" x14ac:dyDescent="0.25">
      <c r="M446" s="8"/>
    </row>
    <row r="447" spans="4:13" x14ac:dyDescent="0.25">
      <c r="M447" s="8"/>
    </row>
    <row r="448" spans="4:13" x14ac:dyDescent="0.25">
      <c r="M448" s="8"/>
    </row>
    <row r="449" spans="13:13" x14ac:dyDescent="0.25">
      <c r="M449" s="8"/>
    </row>
    <row r="450" spans="13:13" x14ac:dyDescent="0.25">
      <c r="M450" s="8"/>
    </row>
    <row r="451" spans="13:13" x14ac:dyDescent="0.25">
      <c r="M451" s="8"/>
    </row>
    <row r="452" spans="13:13" x14ac:dyDescent="0.25">
      <c r="M452" s="8"/>
    </row>
    <row r="453" spans="13:13" x14ac:dyDescent="0.25">
      <c r="M453" s="8"/>
    </row>
    <row r="454" spans="13:13" x14ac:dyDescent="0.25">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100000000000001" customHeight="1" x14ac:dyDescent="0.25">
      <c r="C2" s="5"/>
      <c r="D2" s="5"/>
      <c r="E2" s="5"/>
      <c r="F2" s="5"/>
      <c r="G2" s="5"/>
      <c r="H2" s="5"/>
      <c r="I2" s="5"/>
      <c r="J2" s="5"/>
      <c r="K2" s="5"/>
    </row>
    <row r="3" spans="1:11" ht="20.100000000000001" customHeight="1" x14ac:dyDescent="0.25">
      <c r="A3" s="16" t="str">
        <f>HYPERLINK("#'Overview'!A1", "Overview")</f>
        <v>Overview</v>
      </c>
    </row>
    <row r="4" spans="1:11" ht="20.100000000000001"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100000000000001" customHeight="1" x14ac:dyDescent="0.25">
      <c r="D5" s="11" t="str" cm="1">
        <f t="array" ref="D5">CommonLivestock_SourceData.SourceData_Livestock_Common_SymbolsMMS_Source()</f>
        <v>National Inventory Report 2023 Volume 1: Table 5.12</v>
      </c>
    </row>
    <row r="6" spans="1:11" ht="20.100000000000001" customHeight="1" x14ac:dyDescent="0.25">
      <c r="D6" s="10" t="s">
        <v>328</v>
      </c>
      <c r="E6" s="10" t="s">
        <v>329</v>
      </c>
      <c r="F6" s="10" t="s">
        <v>330</v>
      </c>
    </row>
    <row r="7" spans="1:11" ht="20.100000000000001"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100000000000001"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100000000000001"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100000000000001"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100000000000001"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100000000000001"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100000000000001"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100000000000001"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100000000000001"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100000000000001"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100000000000001"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100000000000001"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100000000000001"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100000000000001"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100000000000001"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100000000000001"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100000000000001"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100000000000001"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100000000000001" customHeight="1" x14ac:dyDescent="0.25"/>
    <row r="26" spans="1:6" ht="20.100000000000001" customHeight="1" x14ac:dyDescent="0.25">
      <c r="D26" s="9" t="str" cm="1">
        <f t="array" ref="D26">CommonLivestock_SourceData.SourceData_Livestock_Product_BeefCattle_Title()</f>
        <v>Beef cattle products for scope 3</v>
      </c>
    </row>
    <row r="27" spans="1:6" ht="20.100000000000001" customHeight="1" x14ac:dyDescent="0.25">
      <c r="A27" s="222"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100000000000001" customHeight="1" x14ac:dyDescent="0.25">
      <c r="A28" s="16" t="str">
        <f>HYPERLINK("#'Constants - Scope 3'!A1", "Constants - Scope 3")</f>
        <v>Constants - Scope 3</v>
      </c>
      <c r="D28" s="10" t="s">
        <v>216</v>
      </c>
      <c r="E28" s="10" t="s">
        <v>331</v>
      </c>
      <c r="F28" s="8" t="s">
        <v>332</v>
      </c>
    </row>
    <row r="29" spans="1:6" ht="20.100000000000001"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100000000000001"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100000000000001"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100000000000001"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100000000000001"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100000000000001"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100000000000001"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100000000000001"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100000000000001" customHeight="1" x14ac:dyDescent="0.25">
      <c r="A37" s="16" t="str">
        <f>HYPERLINK("#'Constants - Electricity'!A1", "Constants - Electricity")</f>
        <v>Constants - Electricity</v>
      </c>
    </row>
    <row r="38" spans="1:6" ht="20.100000000000001" customHeight="1" x14ac:dyDescent="0.25">
      <c r="A38" s="16" t="str">
        <f>HYPERLINK("#'Constants - Common'!A1", "Constants - Common")</f>
        <v>Constants - Common</v>
      </c>
      <c r="D38" s="9" t="str" cm="1">
        <f t="array" ref="D38">CommonLivestock_SourceData.SourceData_Livestock_Product_Sheep_Title()</f>
        <v>Sheep products for scope 3</v>
      </c>
    </row>
    <row r="39" spans="1:6" ht="20.100000000000001"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100000000000001" customHeight="1" x14ac:dyDescent="0.25">
      <c r="D40" s="10" t="s">
        <v>216</v>
      </c>
      <c r="E40" s="10" t="s">
        <v>331</v>
      </c>
      <c r="F40" s="8" t="s">
        <v>333</v>
      </c>
    </row>
    <row r="41" spans="1:6" ht="20.100000000000001"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100000000000001"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100000000000001"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100000000000001"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100000000000001"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100000000000001"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100000000000001"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100000000000001" customHeight="1" x14ac:dyDescent="0.25"/>
    <row r="49" spans="4:6" ht="20.100000000000001" customHeight="1" x14ac:dyDescent="0.25">
      <c r="D49" s="9" t="str" cm="1">
        <f t="array" ref="D49">CommonLivestock_SourceData.SourceData_Livestock_Product_Chickens_Title()</f>
        <v>Chickens products for scope 3</v>
      </c>
    </row>
    <row r="50" spans="4:6" ht="20.100000000000001"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100000000000001" customHeight="1" x14ac:dyDescent="0.25">
      <c r="D51" s="10" t="s">
        <v>216</v>
      </c>
      <c r="E51" s="10" t="s">
        <v>331</v>
      </c>
      <c r="F51" s="8" t="s">
        <v>339</v>
      </c>
    </row>
    <row r="52" spans="4:6" ht="20.100000000000001"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100000000000001" customHeight="1" x14ac:dyDescent="0.25"/>
    <row r="54" spans="4:6" ht="20.100000000000001" customHeight="1" x14ac:dyDescent="0.25">
      <c r="D54" s="9" t="str" cm="1">
        <f t="array" ref="D54">CommonLivestock_SourceData.SourceData_Livestock_Product_Dairycattle_Title()</f>
        <v>Dairy cattle products for scope 3</v>
      </c>
    </row>
    <row r="55" spans="4:6" ht="20.100000000000001"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100000000000001" customHeight="1" x14ac:dyDescent="0.25">
      <c r="D56" s="10" t="s">
        <v>216</v>
      </c>
      <c r="E56" s="10" t="s">
        <v>331</v>
      </c>
      <c r="F56" s="8" t="s">
        <v>340</v>
      </c>
    </row>
    <row r="57" spans="4:6" ht="20.100000000000001"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100000000000001" customHeight="1" x14ac:dyDescent="0.25"/>
    <row r="59" spans="4:6" ht="20.100000000000001" customHeight="1" x14ac:dyDescent="0.25">
      <c r="D59" s="9" t="str" cm="1">
        <f t="array" ref="D59">CommonLivestock_SourceData.SourceData_Livestock_Product_Pigs_Title()</f>
        <v>Pigs products for scope 3</v>
      </c>
    </row>
    <row r="60" spans="4:6" ht="20.100000000000001"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100000000000001" customHeight="1" x14ac:dyDescent="0.25">
      <c r="D61" s="10" t="s">
        <v>216</v>
      </c>
      <c r="E61" s="10" t="s">
        <v>331</v>
      </c>
      <c r="F61" s="8" t="s">
        <v>341</v>
      </c>
    </row>
    <row r="62" spans="4:6" ht="20.100000000000001"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100000000000001" customHeight="1" x14ac:dyDescent="0.25"/>
    <row r="64" spans="4:6" ht="20.100000000000001" customHeight="1" x14ac:dyDescent="0.25"/>
    <row r="65" spans="12:17" ht="20.100000000000001" customHeight="1" x14ac:dyDescent="0.25">
      <c r="L65" s="8"/>
      <c r="M65" s="8"/>
      <c r="N65" s="8"/>
      <c r="O65" s="8"/>
      <c r="P65" s="8"/>
      <c r="Q65" s="8"/>
    </row>
    <row r="66" spans="12:17" ht="20.100000000000001" customHeight="1" x14ac:dyDescent="0.25">
      <c r="L66" s="8"/>
      <c r="M66" s="8"/>
      <c r="N66" s="8"/>
      <c r="O66" s="8"/>
      <c r="P66" s="8"/>
      <c r="Q66" s="8"/>
    </row>
    <row r="67" spans="12:17" ht="20.100000000000001" customHeight="1" x14ac:dyDescent="0.25">
      <c r="L67" s="8"/>
      <c r="M67" s="8"/>
      <c r="N67" s="8"/>
      <c r="O67" s="8"/>
      <c r="P67" s="8"/>
      <c r="Q67" s="8"/>
    </row>
    <row r="68" spans="12:17" ht="20.100000000000001" customHeight="1" x14ac:dyDescent="0.25">
      <c r="L68" s="8"/>
      <c r="M68" s="8"/>
      <c r="N68" s="8"/>
      <c r="O68" s="8"/>
      <c r="P68" s="8"/>
      <c r="Q68" s="8"/>
    </row>
    <row r="69" spans="12:17" ht="20.100000000000001" customHeight="1" x14ac:dyDescent="0.25">
      <c r="L69" s="8"/>
      <c r="M69" s="8"/>
      <c r="N69" s="8"/>
      <c r="O69" s="8"/>
      <c r="P69" s="8"/>
      <c r="Q69" s="8"/>
    </row>
    <row r="70" spans="12:17" ht="20.100000000000001" customHeight="1" x14ac:dyDescent="0.25">
      <c r="L70" s="8"/>
      <c r="M70" s="8"/>
      <c r="N70" s="8"/>
      <c r="O70" s="8"/>
      <c r="P70" s="8"/>
      <c r="Q70" s="8"/>
    </row>
    <row r="71" spans="12:17" ht="20.100000000000001" customHeight="1" x14ac:dyDescent="0.25">
      <c r="L71" s="8"/>
      <c r="M71" s="8"/>
      <c r="N71" s="8"/>
      <c r="O71" s="8"/>
      <c r="P71" s="8"/>
      <c r="Q71" s="8"/>
    </row>
    <row r="72" spans="12:17" ht="20.100000000000001" customHeight="1" x14ac:dyDescent="0.25">
      <c r="L72" s="8"/>
      <c r="M72" s="8"/>
      <c r="N72" s="8"/>
      <c r="O72" s="8"/>
      <c r="P72" s="8"/>
      <c r="Q72" s="8"/>
    </row>
    <row r="73" spans="12:17" ht="20.100000000000001" customHeight="1" x14ac:dyDescent="0.25">
      <c r="L73" s="8"/>
      <c r="M73" s="8"/>
      <c r="N73" s="8"/>
      <c r="O73" s="8"/>
      <c r="P73" s="8"/>
      <c r="Q73" s="8"/>
    </row>
    <row r="74" spans="12:17" ht="20.100000000000001" customHeight="1" x14ac:dyDescent="0.25">
      <c r="L74" s="8"/>
      <c r="M74" s="8"/>
      <c r="N74" s="8"/>
      <c r="O74" s="8"/>
      <c r="P74" s="8"/>
      <c r="Q74" s="8"/>
    </row>
    <row r="75" spans="12:17" x14ac:dyDescent="0.25">
      <c r="L75" s="8"/>
      <c r="M75" s="8"/>
      <c r="N75" s="8"/>
      <c r="O75" s="8"/>
      <c r="P75" s="8"/>
      <c r="Q75" s="8"/>
    </row>
    <row r="76" spans="12:17" x14ac:dyDescent="0.25">
      <c r="L76" s="8"/>
      <c r="M76" s="8"/>
      <c r="N76" s="8"/>
      <c r="O76" s="8"/>
      <c r="P76" s="8"/>
      <c r="Q76" s="8"/>
    </row>
    <row r="77" spans="12:17" x14ac:dyDescent="0.25">
      <c r="L77" s="8"/>
      <c r="M77" s="8"/>
      <c r="N77" s="8"/>
      <c r="O77" s="8"/>
      <c r="P77" s="8"/>
      <c r="Q77" s="8"/>
    </row>
    <row r="78" spans="12:17" x14ac:dyDescent="0.25">
      <c r="L78" s="8"/>
      <c r="M78" s="8"/>
      <c r="N78" s="8"/>
      <c r="O78" s="8"/>
      <c r="P78" s="8"/>
      <c r="Q78" s="8"/>
    </row>
    <row r="79" spans="12:17" x14ac:dyDescent="0.25">
      <c r="L79" s="8"/>
      <c r="M79" s="8"/>
      <c r="N79" s="8"/>
      <c r="O79" s="8"/>
      <c r="P79" s="8"/>
      <c r="Q79" s="8"/>
    </row>
    <row r="80" spans="12:17" x14ac:dyDescent="0.25">
      <c r="L80" s="8"/>
      <c r="M80" s="8"/>
      <c r="N80" s="8"/>
      <c r="O80" s="8"/>
      <c r="P80" s="8"/>
      <c r="Q80" s="8"/>
    </row>
    <row r="81" spans="12:17" x14ac:dyDescent="0.25">
      <c r="L81" s="8"/>
      <c r="M81" s="8"/>
      <c r="N81" s="8"/>
      <c r="O81" s="8"/>
      <c r="P81" s="8"/>
      <c r="Q81" s="8"/>
    </row>
    <row r="82" spans="12:17" x14ac:dyDescent="0.25">
      <c r="L82" s="8"/>
      <c r="M82" s="8"/>
      <c r="N82" s="8"/>
      <c r="O82" s="8"/>
      <c r="P82" s="8"/>
      <c r="Q82" s="8"/>
    </row>
    <row r="83" spans="12:17" x14ac:dyDescent="0.25">
      <c r="L83" s="8"/>
      <c r="M83" s="8"/>
      <c r="N83" s="8"/>
      <c r="O83" s="8"/>
      <c r="P83" s="8"/>
      <c r="Q83" s="8"/>
    </row>
    <row r="84" spans="12:17" x14ac:dyDescent="0.25">
      <c r="L84" s="8"/>
      <c r="M84" s="8"/>
      <c r="N84" s="8"/>
      <c r="O84" s="8"/>
      <c r="P84" s="8"/>
      <c r="Q84" s="8"/>
    </row>
    <row r="85" spans="12:17" x14ac:dyDescent="0.25">
      <c r="L85" s="8"/>
      <c r="M85" s="8"/>
      <c r="N85" s="8"/>
      <c r="O85" s="8"/>
      <c r="P85" s="8"/>
      <c r="Q85" s="8"/>
    </row>
    <row r="86" spans="12:17" x14ac:dyDescent="0.25">
      <c r="L86" s="8"/>
      <c r="M86" s="8"/>
      <c r="N86" s="8"/>
      <c r="O86" s="8"/>
      <c r="P86" s="8"/>
      <c r="Q86" s="8"/>
    </row>
    <row r="87" spans="12:17" x14ac:dyDescent="0.25">
      <c r="L87" s="8"/>
      <c r="M87" s="8"/>
      <c r="N87" s="8"/>
      <c r="O87" s="8"/>
      <c r="P87" s="8"/>
      <c r="Q87" s="8"/>
    </row>
    <row r="88" spans="12:17" x14ac:dyDescent="0.25">
      <c r="L88" s="8"/>
      <c r="M88" s="8"/>
      <c r="N88" s="8"/>
      <c r="O88" s="8"/>
      <c r="P88" s="8"/>
      <c r="Q88" s="8"/>
    </row>
    <row r="89" spans="12:17" x14ac:dyDescent="0.25">
      <c r="L89" s="8"/>
      <c r="M89" s="8"/>
      <c r="N89" s="8"/>
      <c r="O89" s="8"/>
      <c r="P89" s="8"/>
      <c r="Q89" s="8"/>
    </row>
    <row r="90" spans="12:17" x14ac:dyDescent="0.25">
      <c r="L90" s="8"/>
      <c r="M90" s="8"/>
      <c r="N90" s="8"/>
      <c r="O90" s="8"/>
      <c r="P90" s="8"/>
      <c r="Q90" s="8"/>
    </row>
    <row r="91" spans="12:17" x14ac:dyDescent="0.25">
      <c r="L91" s="8"/>
      <c r="M91" s="8"/>
      <c r="N91" s="8"/>
      <c r="O91" s="8"/>
      <c r="P91" s="8"/>
      <c r="Q91" s="8"/>
    </row>
    <row r="92" spans="12:17" x14ac:dyDescent="0.25">
      <c r="L92" s="8"/>
      <c r="M92" s="8"/>
      <c r="N92" s="8"/>
      <c r="O92" s="8"/>
      <c r="P92" s="8"/>
      <c r="Q92" s="8"/>
    </row>
    <row r="93" spans="12:17" x14ac:dyDescent="0.25">
      <c r="L93" s="8"/>
      <c r="M93" s="8"/>
      <c r="N93" s="8"/>
      <c r="O93" s="8"/>
      <c r="P93" s="8"/>
      <c r="Q93" s="8"/>
    </row>
    <row r="94" spans="12:17" x14ac:dyDescent="0.25">
      <c r="L94" s="8"/>
      <c r="M94" s="8"/>
      <c r="N94" s="8"/>
      <c r="O94" s="8"/>
      <c r="P94" s="8"/>
      <c r="Q94" s="8"/>
    </row>
    <row r="95" spans="12:17" x14ac:dyDescent="0.25">
      <c r="L95" s="8"/>
      <c r="M95" s="8"/>
      <c r="N95" s="8"/>
      <c r="O95" s="8"/>
      <c r="P95" s="8"/>
      <c r="Q95" s="8"/>
    </row>
    <row r="96" spans="12:17" x14ac:dyDescent="0.25">
      <c r="L96" s="8"/>
      <c r="M96" s="8"/>
      <c r="N96" s="8"/>
      <c r="O96" s="8"/>
      <c r="P96" s="8"/>
      <c r="Q96" s="8"/>
    </row>
    <row r="97" spans="12:17" x14ac:dyDescent="0.25">
      <c r="L97" s="8"/>
      <c r="M97" s="8"/>
      <c r="N97" s="8"/>
      <c r="O97" s="8"/>
      <c r="P97" s="8"/>
      <c r="Q97" s="8"/>
    </row>
    <row r="98" spans="12:17" x14ac:dyDescent="0.25">
      <c r="L98" s="8"/>
      <c r="M98" s="8"/>
      <c r="N98" s="8"/>
      <c r="O98" s="8"/>
      <c r="P98" s="8"/>
      <c r="Q98" s="8"/>
    </row>
    <row r="99" spans="12:17" x14ac:dyDescent="0.25">
      <c r="L99" s="8"/>
      <c r="M99" s="8"/>
      <c r="N99" s="8"/>
      <c r="O99" s="8"/>
      <c r="P99" s="8"/>
      <c r="Q99" s="8"/>
    </row>
    <row r="100" spans="12:17" x14ac:dyDescent="0.25">
      <c r="L100" s="8"/>
      <c r="M100" s="8"/>
      <c r="N100" s="8"/>
      <c r="O100" s="8"/>
      <c r="P100" s="8"/>
      <c r="Q100" s="8"/>
    </row>
    <row r="101" spans="12:17" x14ac:dyDescent="0.25">
      <c r="L101" s="8"/>
      <c r="M101" s="8"/>
      <c r="N101" s="8"/>
      <c r="O101" s="8"/>
      <c r="P101" s="8"/>
      <c r="Q101" s="8"/>
    </row>
    <row r="102" spans="12:17" x14ac:dyDescent="0.25">
      <c r="L102" s="8"/>
      <c r="M102" s="8"/>
      <c r="N102" s="8"/>
      <c r="O102" s="8"/>
      <c r="P102" s="8"/>
      <c r="Q102" s="8"/>
    </row>
    <row r="103" spans="12:17" x14ac:dyDescent="0.25">
      <c r="L103" s="8"/>
      <c r="M103" s="8"/>
      <c r="N103" s="8"/>
      <c r="O103" s="8"/>
      <c r="P103" s="8"/>
      <c r="Q103" s="8"/>
    </row>
    <row r="104" spans="12:17" x14ac:dyDescent="0.25">
      <c r="L104" s="8"/>
      <c r="M104" s="8"/>
      <c r="N104" s="8"/>
      <c r="O104" s="8"/>
      <c r="P104" s="8"/>
      <c r="Q104" s="8"/>
    </row>
    <row r="105" spans="12:17" x14ac:dyDescent="0.25">
      <c r="L105" s="8"/>
      <c r="M105" s="8"/>
      <c r="N105" s="8"/>
      <c r="O105" s="8"/>
      <c r="P105" s="8"/>
      <c r="Q105" s="8"/>
    </row>
    <row r="106" spans="12:17" x14ac:dyDescent="0.25">
      <c r="L106" s="8"/>
      <c r="M106" s="8"/>
      <c r="N106" s="8"/>
      <c r="O106" s="8"/>
      <c r="P106" s="8"/>
      <c r="Q106" s="8"/>
    </row>
    <row r="107" spans="12:17" x14ac:dyDescent="0.25">
      <c r="L107" s="8"/>
      <c r="M107" s="8"/>
      <c r="N107" s="8"/>
      <c r="O107" s="8"/>
      <c r="P107" s="8"/>
      <c r="Q107" s="8"/>
    </row>
    <row r="108" spans="12:17" x14ac:dyDescent="0.25">
      <c r="L108" s="8"/>
      <c r="M108" s="8"/>
      <c r="N108" s="8"/>
      <c r="O108" s="8"/>
      <c r="P108" s="8"/>
      <c r="Q108" s="8"/>
    </row>
    <row r="109" spans="12:17" x14ac:dyDescent="0.25">
      <c r="L109" s="8"/>
      <c r="M109" s="8"/>
      <c r="N109" s="8"/>
      <c r="O109" s="8"/>
      <c r="P109" s="8"/>
      <c r="Q109" s="8"/>
    </row>
    <row r="110" spans="12:17" x14ac:dyDescent="0.25">
      <c r="L110" s="8"/>
      <c r="M110" s="8"/>
      <c r="N110" s="8"/>
      <c r="O110" s="8"/>
      <c r="P110" s="8"/>
      <c r="Q110" s="8"/>
    </row>
    <row r="111" spans="12:17" x14ac:dyDescent="0.25">
      <c r="L111" s="8"/>
      <c r="M111" s="8"/>
      <c r="N111" s="8"/>
      <c r="O111" s="8"/>
      <c r="P111" s="8"/>
      <c r="Q111" s="8"/>
    </row>
    <row r="112" spans="12:17" x14ac:dyDescent="0.25">
      <c r="L112" s="8"/>
      <c r="M112" s="8"/>
      <c r="N112" s="8"/>
      <c r="O112" s="8"/>
      <c r="P112" s="8"/>
      <c r="Q112" s="8"/>
    </row>
    <row r="113" spans="12:17" x14ac:dyDescent="0.25">
      <c r="L113" s="8"/>
      <c r="M113" s="8"/>
      <c r="N113" s="8"/>
      <c r="O113" s="8"/>
      <c r="P113" s="8"/>
      <c r="Q113" s="8"/>
    </row>
    <row r="114" spans="12:17" x14ac:dyDescent="0.25">
      <c r="L114" s="8"/>
      <c r="M114" s="8"/>
      <c r="N114" s="8"/>
      <c r="O114" s="8"/>
      <c r="P114" s="8"/>
      <c r="Q114" s="8"/>
    </row>
    <row r="115" spans="12:17" x14ac:dyDescent="0.25">
      <c r="L115" s="8"/>
      <c r="M115" s="8"/>
      <c r="N115" s="8"/>
      <c r="O115" s="8"/>
      <c r="P115" s="8"/>
      <c r="Q115" s="8"/>
    </row>
    <row r="116" spans="12:17" x14ac:dyDescent="0.25">
      <c r="L116" s="8"/>
      <c r="M116" s="8"/>
      <c r="N116" s="8"/>
      <c r="O116" s="8"/>
      <c r="P116" s="8"/>
      <c r="Q116" s="8"/>
    </row>
    <row r="117" spans="12:17" x14ac:dyDescent="0.25">
      <c r="L117" s="8"/>
      <c r="M117" s="8"/>
      <c r="N117" s="8"/>
      <c r="O117" s="8"/>
      <c r="P117" s="8"/>
      <c r="Q117" s="8"/>
    </row>
    <row r="118" spans="12:17" x14ac:dyDescent="0.25">
      <c r="L118" s="8"/>
      <c r="M118" s="8"/>
      <c r="N118" s="8"/>
      <c r="O118" s="8"/>
      <c r="P118" s="8"/>
      <c r="Q118" s="8"/>
    </row>
    <row r="119" spans="12:17" x14ac:dyDescent="0.25">
      <c r="L119" s="8"/>
      <c r="M119" s="8"/>
      <c r="N119" s="8"/>
      <c r="O119" s="8"/>
      <c r="P119" s="8"/>
      <c r="Q119" s="8"/>
    </row>
    <row r="120" spans="12:17" x14ac:dyDescent="0.25">
      <c r="L120" s="8"/>
      <c r="M120" s="8"/>
      <c r="N120" s="8"/>
      <c r="O120" s="8"/>
      <c r="P120" s="8"/>
      <c r="Q120" s="8"/>
    </row>
    <row r="121" spans="12:17" x14ac:dyDescent="0.25">
      <c r="L121" s="8"/>
      <c r="M121" s="8"/>
      <c r="N121" s="8"/>
      <c r="O121" s="8"/>
      <c r="P121" s="8"/>
      <c r="Q121" s="8"/>
    </row>
    <row r="122" spans="12:17" x14ac:dyDescent="0.25">
      <c r="L122" s="8"/>
      <c r="M122" s="8"/>
      <c r="N122" s="8"/>
      <c r="O122" s="8"/>
      <c r="P122" s="8"/>
      <c r="Q122" s="8"/>
    </row>
    <row r="123" spans="12:17" x14ac:dyDescent="0.25">
      <c r="L123" s="8"/>
      <c r="M123" s="8"/>
      <c r="N123" s="8"/>
      <c r="O123" s="8"/>
      <c r="P123" s="8"/>
      <c r="Q123" s="8"/>
    </row>
    <row r="124" spans="12:17" x14ac:dyDescent="0.25">
      <c r="L124" s="8"/>
      <c r="M124" s="8"/>
      <c r="N124" s="8"/>
      <c r="O124" s="8"/>
      <c r="P124" s="8"/>
      <c r="Q124" s="8"/>
    </row>
    <row r="125" spans="12:17" x14ac:dyDescent="0.25">
      <c r="L125" s="8"/>
      <c r="M125" s="8"/>
      <c r="N125" s="8"/>
      <c r="O125" s="8"/>
      <c r="P125" s="8"/>
      <c r="Q125" s="8"/>
    </row>
    <row r="126" spans="12:17" x14ac:dyDescent="0.25">
      <c r="L126" s="8"/>
      <c r="M126" s="8"/>
      <c r="N126" s="8"/>
      <c r="O126" s="8"/>
      <c r="P126" s="8"/>
      <c r="Q126" s="8"/>
    </row>
    <row r="127" spans="12:17" x14ac:dyDescent="0.25">
      <c r="L127" s="8"/>
      <c r="M127" s="8"/>
      <c r="N127" s="8"/>
      <c r="O127" s="8"/>
      <c r="P127" s="8"/>
      <c r="Q127" s="8"/>
    </row>
    <row r="128" spans="12:17" x14ac:dyDescent="0.25">
      <c r="L128" s="8"/>
      <c r="M128" s="8"/>
      <c r="N128" s="8"/>
      <c r="O128" s="8"/>
      <c r="P128" s="8"/>
      <c r="Q128" s="8"/>
    </row>
    <row r="129" spans="12:17" x14ac:dyDescent="0.25">
      <c r="L129" s="8"/>
      <c r="M129" s="8"/>
      <c r="N129" s="8"/>
      <c r="O129" s="8"/>
      <c r="P129" s="8"/>
      <c r="Q129" s="8"/>
    </row>
    <row r="130" spans="12:17" x14ac:dyDescent="0.25">
      <c r="L130" s="8"/>
      <c r="M130" s="8"/>
      <c r="N130" s="8"/>
      <c r="O130" s="8"/>
      <c r="P130" s="8"/>
      <c r="Q130" s="8"/>
    </row>
    <row r="131" spans="12:17" x14ac:dyDescent="0.25">
      <c r="L131" s="8"/>
      <c r="M131" s="8"/>
      <c r="N131" s="8"/>
      <c r="O131" s="8"/>
      <c r="P131" s="8"/>
      <c r="Q131" s="8"/>
    </row>
    <row r="132" spans="12:17" x14ac:dyDescent="0.25">
      <c r="L132" s="8"/>
      <c r="M132" s="8"/>
      <c r="N132" s="8"/>
      <c r="O132" s="8"/>
      <c r="P132" s="8"/>
      <c r="Q132" s="8"/>
    </row>
    <row r="133" spans="12:17" x14ac:dyDescent="0.25">
      <c r="L133" s="8"/>
      <c r="M133" s="8"/>
      <c r="N133" s="8"/>
      <c r="O133" s="8"/>
      <c r="P133" s="8"/>
      <c r="Q133" s="8"/>
    </row>
    <row r="134" spans="12:17" x14ac:dyDescent="0.25">
      <c r="L134" s="8"/>
      <c r="M134" s="8"/>
      <c r="N134" s="8"/>
      <c r="O134" s="8"/>
      <c r="P134" s="8"/>
      <c r="Q134" s="8"/>
    </row>
    <row r="135" spans="12:17" x14ac:dyDescent="0.25">
      <c r="L135" s="8"/>
      <c r="M135" s="8"/>
      <c r="N135" s="8"/>
      <c r="O135" s="8"/>
      <c r="P135" s="8"/>
      <c r="Q135" s="8"/>
    </row>
    <row r="136" spans="12:17" x14ac:dyDescent="0.25">
      <c r="L136" s="8"/>
      <c r="M136" s="8"/>
      <c r="N136" s="8"/>
      <c r="O136" s="8"/>
      <c r="P136" s="8"/>
      <c r="Q136" s="8"/>
    </row>
    <row r="137" spans="12:17" x14ac:dyDescent="0.25">
      <c r="L137" s="8"/>
      <c r="M137" s="8"/>
      <c r="N137" s="8"/>
      <c r="O137" s="8"/>
      <c r="P137" s="8"/>
      <c r="Q137" s="8"/>
    </row>
    <row r="138" spans="12:17" x14ac:dyDescent="0.25">
      <c r="L138" s="8"/>
      <c r="M138" s="8"/>
      <c r="N138" s="8"/>
      <c r="O138" s="8"/>
      <c r="P138" s="8"/>
      <c r="Q138" s="8"/>
    </row>
    <row r="139" spans="12:17" x14ac:dyDescent="0.25">
      <c r="L139" s="8"/>
      <c r="M139" s="8"/>
      <c r="N139" s="8"/>
      <c r="O139" s="8"/>
      <c r="P139" s="8"/>
      <c r="Q139" s="8"/>
    </row>
    <row r="140" spans="12:17" x14ac:dyDescent="0.25">
      <c r="L140" s="8"/>
      <c r="M140" s="8"/>
      <c r="N140" s="8"/>
      <c r="O140" s="8"/>
      <c r="P140" s="8"/>
      <c r="Q140" s="8"/>
    </row>
    <row r="141" spans="12:17" x14ac:dyDescent="0.25">
      <c r="L141" s="8"/>
      <c r="M141" s="8"/>
      <c r="N141" s="8"/>
      <c r="O141" s="8"/>
      <c r="P141" s="8"/>
      <c r="Q141" s="8"/>
    </row>
    <row r="142" spans="12:17" x14ac:dyDescent="0.25">
      <c r="L142" s="8"/>
      <c r="M142" s="8"/>
      <c r="N142" s="8"/>
      <c r="O142" s="8"/>
      <c r="P142" s="8"/>
      <c r="Q142" s="8"/>
    </row>
    <row r="143" spans="12:17" x14ac:dyDescent="0.25">
      <c r="L143" s="8"/>
      <c r="M143" s="8"/>
      <c r="N143" s="8"/>
      <c r="O143" s="8"/>
      <c r="P143" s="8"/>
      <c r="Q143" s="8"/>
    </row>
    <row r="144" spans="12:17" x14ac:dyDescent="0.25">
      <c r="L144" s="8"/>
      <c r="M144" s="8"/>
      <c r="N144" s="8"/>
      <c r="O144" s="8"/>
      <c r="P144" s="8"/>
      <c r="Q144" s="8"/>
    </row>
    <row r="145" spans="12:17" x14ac:dyDescent="0.25">
      <c r="L145" s="8"/>
      <c r="M145" s="8"/>
      <c r="N145" s="8"/>
      <c r="O145" s="8"/>
      <c r="P145" s="8"/>
      <c r="Q145" s="8"/>
    </row>
    <row r="146" spans="12:17" x14ac:dyDescent="0.25">
      <c r="L146" s="8"/>
      <c r="M146" s="8"/>
      <c r="N146" s="8"/>
      <c r="O146" s="8"/>
      <c r="P146" s="8"/>
      <c r="Q146" s="8"/>
    </row>
    <row r="147" spans="12:17" x14ac:dyDescent="0.25">
      <c r="L147" s="8"/>
      <c r="M147" s="8"/>
      <c r="N147" s="8"/>
      <c r="O147" s="8"/>
      <c r="P147" s="8"/>
      <c r="Q147" s="8"/>
    </row>
    <row r="148" spans="12:17" x14ac:dyDescent="0.25">
      <c r="L148" s="8"/>
      <c r="M148" s="8"/>
      <c r="N148" s="8"/>
      <c r="O148" s="8"/>
      <c r="P148" s="8"/>
      <c r="Q148" s="8"/>
    </row>
    <row r="149" spans="12:17" x14ac:dyDescent="0.25">
      <c r="L149" s="8"/>
      <c r="M149" s="8"/>
      <c r="N149" s="8"/>
      <c r="O149" s="8"/>
      <c r="P149" s="8"/>
      <c r="Q149" s="8"/>
    </row>
    <row r="150" spans="12:17" x14ac:dyDescent="0.25">
      <c r="L150" s="8"/>
      <c r="M150" s="8"/>
      <c r="N150" s="8"/>
      <c r="O150" s="8"/>
      <c r="P150" s="8"/>
      <c r="Q150" s="8"/>
    </row>
    <row r="151" spans="12:17" x14ac:dyDescent="0.25">
      <c r="L151" s="8"/>
      <c r="M151" s="8"/>
      <c r="N151" s="8"/>
      <c r="O151" s="8"/>
      <c r="P151" s="8"/>
      <c r="Q151" s="8"/>
    </row>
    <row r="152" spans="12:17" x14ac:dyDescent="0.25">
      <c r="L152" s="8"/>
      <c r="M152" s="8"/>
      <c r="N152" s="8"/>
      <c r="O152" s="8"/>
      <c r="P152" s="8"/>
      <c r="Q152" s="8"/>
    </row>
    <row r="153" spans="12:17" x14ac:dyDescent="0.25">
      <c r="L153" s="8"/>
      <c r="M153" s="8"/>
      <c r="N153" s="8"/>
      <c r="O153" s="8"/>
      <c r="P153" s="8"/>
      <c r="Q153" s="8"/>
    </row>
    <row r="154" spans="12:17" x14ac:dyDescent="0.25">
      <c r="L154" s="8"/>
      <c r="M154" s="8"/>
      <c r="N154" s="8"/>
      <c r="O154" s="8"/>
      <c r="P154" s="8"/>
      <c r="Q154" s="8"/>
    </row>
    <row r="155" spans="12:17" x14ac:dyDescent="0.25">
      <c r="L155" s="8"/>
      <c r="M155" s="8"/>
      <c r="N155" s="8"/>
      <c r="O155" s="8"/>
      <c r="P155" s="8"/>
      <c r="Q155" s="8"/>
    </row>
    <row r="156" spans="12:17" x14ac:dyDescent="0.25">
      <c r="L156" s="8"/>
      <c r="M156" s="8"/>
      <c r="N156" s="8"/>
      <c r="O156" s="8"/>
      <c r="P156" s="8"/>
      <c r="Q156" s="8"/>
    </row>
    <row r="157" spans="12:17" x14ac:dyDescent="0.25">
      <c r="L157" s="8"/>
      <c r="M157" s="8"/>
      <c r="N157" s="8"/>
      <c r="O157" s="8"/>
      <c r="P157" s="8"/>
      <c r="Q157" s="8"/>
    </row>
    <row r="158" spans="12:17" x14ac:dyDescent="0.25">
      <c r="L158" s="8"/>
      <c r="M158" s="8"/>
      <c r="N158" s="8"/>
      <c r="O158" s="8"/>
      <c r="P158" s="8"/>
      <c r="Q158" s="8"/>
    </row>
    <row r="159" spans="12:17" x14ac:dyDescent="0.25">
      <c r="L159" s="8"/>
      <c r="M159" s="8"/>
      <c r="N159" s="8"/>
      <c r="O159" s="8"/>
      <c r="P159" s="8"/>
      <c r="Q159" s="8"/>
    </row>
    <row r="160" spans="12:17" x14ac:dyDescent="0.25">
      <c r="L160" s="8"/>
      <c r="M160" s="8"/>
      <c r="N160" s="8"/>
      <c r="O160" s="8"/>
      <c r="P160" s="8"/>
      <c r="Q160" s="8"/>
    </row>
    <row r="161" spans="12:17" x14ac:dyDescent="0.25">
      <c r="L161" s="8"/>
      <c r="M161" s="8"/>
      <c r="N161" s="8"/>
      <c r="O161" s="8"/>
      <c r="P161" s="8"/>
      <c r="Q161" s="8"/>
    </row>
    <row r="162" spans="12:17" x14ac:dyDescent="0.25">
      <c r="L162" s="8"/>
      <c r="M162" s="8"/>
      <c r="N162" s="8"/>
      <c r="O162" s="8"/>
      <c r="P162" s="8"/>
      <c r="Q162" s="8"/>
    </row>
    <row r="163" spans="12:17" x14ac:dyDescent="0.25">
      <c r="L163" s="8"/>
      <c r="M163" s="8"/>
      <c r="N163" s="8"/>
      <c r="O163" s="8"/>
      <c r="P163" s="8"/>
      <c r="Q163" s="8"/>
    </row>
    <row r="164" spans="12:17" x14ac:dyDescent="0.25">
      <c r="L164" s="8"/>
      <c r="M164" s="8"/>
      <c r="N164" s="8"/>
      <c r="O164" s="8"/>
      <c r="P164" s="8"/>
      <c r="Q164" s="8"/>
    </row>
    <row r="165" spans="12:17" x14ac:dyDescent="0.25">
      <c r="L165" s="8"/>
      <c r="M165" s="8"/>
      <c r="N165" s="8"/>
      <c r="O165" s="8"/>
      <c r="P165" s="8"/>
      <c r="Q165" s="8"/>
    </row>
    <row r="166" spans="12:17" x14ac:dyDescent="0.25">
      <c r="L166" s="8"/>
      <c r="M166" s="8"/>
      <c r="N166" s="8"/>
      <c r="O166" s="8"/>
      <c r="P166" s="8"/>
      <c r="Q166" s="8"/>
    </row>
    <row r="167" spans="12:17" x14ac:dyDescent="0.25">
      <c r="L167" s="8"/>
      <c r="M167" s="8"/>
      <c r="N167" s="8"/>
      <c r="O167" s="8"/>
      <c r="P167" s="8"/>
      <c r="Q167" s="8"/>
    </row>
    <row r="168" spans="12:17" x14ac:dyDescent="0.25">
      <c r="L168" s="8"/>
      <c r="M168" s="8"/>
      <c r="N168" s="8"/>
      <c r="O168" s="8"/>
      <c r="P168" s="8"/>
      <c r="Q168" s="8"/>
    </row>
    <row r="169" spans="12:17" x14ac:dyDescent="0.25">
      <c r="L169" s="8"/>
      <c r="M169" s="8"/>
      <c r="N169" s="8"/>
      <c r="O169" s="8"/>
      <c r="P169" s="8"/>
      <c r="Q169" s="8"/>
    </row>
    <row r="170" spans="12:17" x14ac:dyDescent="0.25">
      <c r="L170" s="8"/>
      <c r="M170" s="8"/>
      <c r="N170" s="8"/>
      <c r="O170" s="8"/>
      <c r="P170" s="8"/>
      <c r="Q170" s="8"/>
    </row>
    <row r="171" spans="12:17" x14ac:dyDescent="0.25">
      <c r="L171" s="8"/>
      <c r="M171" s="8"/>
      <c r="N171" s="8"/>
      <c r="O171" s="8"/>
      <c r="P171" s="8"/>
      <c r="Q171" s="8"/>
    </row>
    <row r="172" spans="12:17" x14ac:dyDescent="0.25">
      <c r="L172" s="8"/>
      <c r="M172" s="8"/>
      <c r="N172" s="8"/>
      <c r="O172" s="8"/>
      <c r="P172" s="8"/>
      <c r="Q172" s="8"/>
    </row>
    <row r="173" spans="12:17" x14ac:dyDescent="0.25">
      <c r="L173" s="8"/>
      <c r="M173" s="8"/>
      <c r="N173" s="8"/>
      <c r="O173" s="8"/>
      <c r="P173" s="8"/>
      <c r="Q173" s="8"/>
    </row>
    <row r="174" spans="12:17" x14ac:dyDescent="0.25">
      <c r="L174" s="8"/>
      <c r="M174" s="8"/>
      <c r="N174" s="8"/>
      <c r="O174" s="8"/>
      <c r="P174" s="8"/>
      <c r="Q174" s="8"/>
    </row>
    <row r="175" spans="12:17" x14ac:dyDescent="0.25">
      <c r="L175" s="8"/>
      <c r="M175" s="8"/>
      <c r="N175" s="8"/>
      <c r="O175" s="8"/>
      <c r="P175" s="8"/>
      <c r="Q175" s="8"/>
    </row>
    <row r="176" spans="12:17" x14ac:dyDescent="0.25">
      <c r="L176" s="8"/>
      <c r="M176" s="8"/>
      <c r="N176" s="8"/>
      <c r="O176" s="8"/>
      <c r="P176" s="8"/>
      <c r="Q176" s="8"/>
    </row>
    <row r="177" spans="12:17" x14ac:dyDescent="0.25">
      <c r="L177" s="8"/>
      <c r="M177" s="8"/>
      <c r="N177" s="8"/>
      <c r="O177" s="8"/>
      <c r="P177" s="8"/>
      <c r="Q177" s="8"/>
    </row>
    <row r="178" spans="12:17" x14ac:dyDescent="0.25">
      <c r="L178" s="8"/>
      <c r="M178" s="8"/>
      <c r="N178" s="8"/>
      <c r="O178" s="8"/>
      <c r="P178" s="8"/>
      <c r="Q178" s="8"/>
    </row>
    <row r="179" spans="12:17" x14ac:dyDescent="0.25">
      <c r="L179" s="8"/>
      <c r="M179" s="8"/>
      <c r="N179" s="8"/>
      <c r="O179" s="8"/>
      <c r="P179" s="8"/>
      <c r="Q179" s="8"/>
    </row>
    <row r="180" spans="12:17" x14ac:dyDescent="0.25">
      <c r="L180" s="8"/>
      <c r="M180" s="8"/>
      <c r="N180" s="8"/>
      <c r="O180" s="8"/>
      <c r="P180" s="8"/>
      <c r="Q180" s="8"/>
    </row>
    <row r="181" spans="12:17" x14ac:dyDescent="0.25">
      <c r="L181" s="8"/>
      <c r="M181" s="8"/>
      <c r="N181" s="8"/>
      <c r="O181" s="8"/>
      <c r="P181" s="8"/>
      <c r="Q181" s="8"/>
    </row>
    <row r="182" spans="12:17" x14ac:dyDescent="0.25">
      <c r="L182" s="8"/>
      <c r="M182" s="8"/>
      <c r="N182" s="8"/>
      <c r="O182" s="8"/>
      <c r="P182" s="8"/>
      <c r="Q182" s="8"/>
    </row>
    <row r="183" spans="12:17" x14ac:dyDescent="0.25">
      <c r="L183" s="8"/>
      <c r="M183" s="8"/>
      <c r="N183" s="8"/>
      <c r="O183" s="8"/>
      <c r="P183" s="8"/>
      <c r="Q183" s="8"/>
    </row>
    <row r="184" spans="12:17" x14ac:dyDescent="0.25">
      <c r="L184" s="8"/>
      <c r="M184" s="8"/>
      <c r="N184" s="8"/>
      <c r="O184" s="8"/>
      <c r="P184" s="8"/>
      <c r="Q184" s="8"/>
    </row>
    <row r="185" spans="12:17" x14ac:dyDescent="0.25">
      <c r="L185" s="8"/>
      <c r="M185" s="8"/>
      <c r="N185" s="8"/>
      <c r="O185" s="8"/>
      <c r="P185" s="8"/>
      <c r="Q185" s="8"/>
    </row>
    <row r="186" spans="12:17" x14ac:dyDescent="0.25">
      <c r="L186" s="8"/>
      <c r="M186" s="8"/>
      <c r="N186" s="8"/>
      <c r="O186" s="8"/>
      <c r="P186" s="8"/>
      <c r="Q186" s="8"/>
    </row>
    <row r="187" spans="12:17" x14ac:dyDescent="0.25">
      <c r="L187" s="8"/>
      <c r="M187" s="8"/>
      <c r="N187" s="8"/>
      <c r="O187" s="8"/>
      <c r="P187" s="8"/>
      <c r="Q187" s="8"/>
    </row>
    <row r="188" spans="12:17" x14ac:dyDescent="0.25">
      <c r="L188" s="8"/>
      <c r="M188" s="8"/>
      <c r="N188" s="8"/>
      <c r="O188" s="8"/>
      <c r="P188" s="8"/>
      <c r="Q188" s="8"/>
    </row>
    <row r="189" spans="12:17" x14ac:dyDescent="0.25">
      <c r="L189" s="8"/>
      <c r="M189" s="8"/>
      <c r="N189" s="8"/>
      <c r="O189" s="8"/>
      <c r="P189" s="8"/>
      <c r="Q189" s="8"/>
    </row>
    <row r="190" spans="12:17" x14ac:dyDescent="0.25">
      <c r="L190" s="8"/>
      <c r="M190" s="8"/>
      <c r="N190" s="8"/>
      <c r="O190" s="8"/>
      <c r="P190" s="8"/>
      <c r="Q190" s="8"/>
    </row>
    <row r="191" spans="12:17" x14ac:dyDescent="0.25">
      <c r="L191" s="8"/>
      <c r="M191" s="8"/>
      <c r="N191" s="8"/>
      <c r="O191" s="8"/>
      <c r="P191" s="8"/>
      <c r="Q191" s="8"/>
    </row>
    <row r="192" spans="12:17" x14ac:dyDescent="0.25">
      <c r="L192" s="8"/>
      <c r="M192" s="8"/>
      <c r="N192" s="8"/>
      <c r="O192" s="8"/>
      <c r="P192" s="8"/>
      <c r="Q192" s="8"/>
    </row>
    <row r="193" spans="12:17" x14ac:dyDescent="0.25">
      <c r="L193" s="8"/>
      <c r="M193" s="8"/>
      <c r="N193" s="8"/>
      <c r="O193" s="8"/>
      <c r="P193" s="8"/>
      <c r="Q193" s="8"/>
    </row>
    <row r="194" spans="12:17" x14ac:dyDescent="0.25">
      <c r="L194" s="8"/>
      <c r="M194" s="8"/>
      <c r="N194" s="8"/>
      <c r="O194" s="8"/>
      <c r="P194" s="8"/>
      <c r="Q194" s="8"/>
    </row>
    <row r="195" spans="12:17" x14ac:dyDescent="0.25">
      <c r="L195" s="8"/>
      <c r="M195" s="8"/>
      <c r="N195" s="8"/>
      <c r="O195" s="8"/>
      <c r="P195" s="8"/>
      <c r="Q195" s="8"/>
    </row>
    <row r="196" spans="12:17" x14ac:dyDescent="0.25">
      <c r="L196" s="8"/>
      <c r="M196" s="8"/>
      <c r="N196" s="8"/>
      <c r="O196" s="8"/>
      <c r="P196" s="8"/>
      <c r="Q196" s="8"/>
    </row>
    <row r="197" spans="12:17" x14ac:dyDescent="0.25">
      <c r="L197" s="8"/>
      <c r="M197" s="8"/>
      <c r="N197" s="8"/>
      <c r="O197" s="8"/>
      <c r="P197" s="8"/>
      <c r="Q197" s="8"/>
    </row>
    <row r="198" spans="12:17" x14ac:dyDescent="0.25">
      <c r="L198" s="8"/>
      <c r="M198" s="8"/>
      <c r="N198" s="8"/>
      <c r="O198" s="8"/>
      <c r="P198" s="8"/>
      <c r="Q198" s="8"/>
    </row>
    <row r="199" spans="12:17" x14ac:dyDescent="0.25">
      <c r="L199" s="8"/>
      <c r="M199" s="8"/>
      <c r="N199" s="8"/>
      <c r="O199" s="8"/>
      <c r="P199" s="8"/>
      <c r="Q199" s="8"/>
    </row>
    <row r="200" spans="12:17" x14ac:dyDescent="0.25">
      <c r="L200" s="8"/>
      <c r="M200" s="8"/>
      <c r="N200" s="8"/>
      <c r="O200" s="8"/>
      <c r="P200" s="8"/>
      <c r="Q200" s="8"/>
    </row>
    <row r="201" spans="12:17" x14ac:dyDescent="0.25">
      <c r="L201" s="8"/>
      <c r="M201" s="8"/>
      <c r="N201" s="8"/>
      <c r="O201" s="8"/>
      <c r="P201" s="8"/>
      <c r="Q201" s="8"/>
    </row>
    <row r="202" spans="12:17" x14ac:dyDescent="0.25">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165"/>
  <sheetViews>
    <sheetView showGridLines="0" zoomScaleNormal="100" workbookViewId="0">
      <selection activeCell="O1" sqref="O1:Q104857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Livestock purchases'!A1", "Livestock purchases")</f>
        <v>Livestock purchases</v>
      </c>
      <c r="D12" s="12" t="str">
        <v>Combined data from Table A.2.2.3 and Table A.2.2.4 into one table to aid lookup.</v>
      </c>
    </row>
    <row r="13" spans="1:35" ht="20.100000000000001" customHeight="1" x14ac:dyDescent="0.25">
      <c r="A13" s="16" t="str">
        <f>HYPERLINK("#'Input - Freight'!A1", "Freight")</f>
        <v>Freight</v>
      </c>
      <c r="D13" s="12" t="str">
        <v>Excluded 'References' column</v>
      </c>
    </row>
    <row r="14" spans="1:35" ht="20.100000000000001" customHeight="1" x14ac:dyDescent="0.25">
      <c r="A14" s="16" t="str">
        <f>HYPERLINK("#'Input - Solid waste'!A1", "Solid waste")</f>
        <v>Solid waste</v>
      </c>
      <c r="D14" s="12" t="str">
        <v>Excluded 'Ammonium sulfate' as it is a duplicate of 'Sulphate of ammonia (SOA)'</v>
      </c>
    </row>
    <row r="15" spans="1:35" ht="20.100000000000001" customHeight="1" x14ac:dyDescent="0.25">
      <c r="A15" s="16" t="str">
        <f>HYPERLINK("#'Input - Manure sent off-site'!A1", "Manure sent off-site")</f>
        <v>Manure sent off-site</v>
      </c>
      <c r="D15" s="12" t="str">
        <v>Excluded 'Calcium nitrate' as no scope 3 value available.</v>
      </c>
    </row>
    <row r="16" spans="1:35" ht="20.100000000000001"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100000000000001"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100000000000001"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22"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9" t="s">
        <v>141</v>
      </c>
      <c r="F40" s="9" t="s">
        <v>142</v>
      </c>
      <c r="H40" s="9" t="s">
        <v>143</v>
      </c>
      <c r="J40" s="9" t="s">
        <v>144</v>
      </c>
    </row>
    <row r="41" spans="1:10" ht="20.100000000000001" customHeight="1" x14ac:dyDescent="0.25">
      <c r="A41"/>
      <c r="D41" s="10" t="s">
        <v>145</v>
      </c>
      <c r="F41" s="10" t="s">
        <v>145</v>
      </c>
      <c r="H41" s="10" t="s">
        <v>43</v>
      </c>
      <c r="J41" s="10" t="s">
        <v>146</v>
      </c>
    </row>
    <row r="42" spans="1:10" ht="20.100000000000001" customHeight="1" x14ac:dyDescent="0.25">
      <c r="A42"/>
      <c r="D42" s="10" t="s">
        <v>147</v>
      </c>
      <c r="F42" s="10" t="s">
        <v>147</v>
      </c>
      <c r="H42" s="10" t="s">
        <v>148</v>
      </c>
      <c r="J42" s="10" t="s">
        <v>149</v>
      </c>
    </row>
    <row r="43" spans="1:10" ht="20.100000000000001" customHeight="1" x14ac:dyDescent="0.25">
      <c r="A43"/>
      <c r="D43" s="8" t="s">
        <v>150</v>
      </c>
      <c r="F43" s="8" t="s">
        <v>151</v>
      </c>
      <c r="H43" s="10" t="s">
        <v>152</v>
      </c>
      <c r="J43" s="8" t="s">
        <v>153</v>
      </c>
    </row>
    <row r="44" spans="1:10" ht="20.100000000000001" customHeight="1" x14ac:dyDescent="0.25">
      <c r="A44"/>
      <c r="F44" s="8" t="s">
        <v>154</v>
      </c>
      <c r="H44" s="8" t="s">
        <v>155</v>
      </c>
      <c r="J44" s="8" t="s">
        <v>156</v>
      </c>
    </row>
    <row r="45" spans="1:10" ht="20.100000000000001" customHeight="1" x14ac:dyDescent="0.25">
      <c r="A45"/>
      <c r="F45" s="8" t="s">
        <v>157</v>
      </c>
      <c r="H45" s="8" t="s">
        <v>158</v>
      </c>
      <c r="J45" s="8" t="s">
        <v>159</v>
      </c>
    </row>
    <row r="46" spans="1:10" ht="20.100000000000001" customHeight="1" x14ac:dyDescent="0.25">
      <c r="A46"/>
      <c r="H46" s="8" t="s">
        <v>160</v>
      </c>
      <c r="J46" s="8" t="s">
        <v>161</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135</v>
      </c>
      <c r="E50" s="10" t="s">
        <v>162</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163</v>
      </c>
      <c r="E65" s="10" t="s">
        <v>164</v>
      </c>
      <c r="F65" s="10" t="s">
        <v>165</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row>
    <row r="87" spans="1:31" ht="20.100000000000001" customHeight="1" x14ac:dyDescent="0.25">
      <c r="A87"/>
      <c r="D87" s="9" t="s">
        <v>166</v>
      </c>
      <c r="E87" s="17"/>
      <c r="F87" s="17"/>
      <c r="G87" s="17"/>
      <c r="H87" s="17"/>
      <c r="I87" s="17"/>
      <c r="J87" s="17"/>
      <c r="K87" s="17"/>
      <c r="L87" s="17"/>
      <c r="N87" s="17"/>
      <c r="O87" s="17"/>
      <c r="P87" s="17"/>
      <c r="Q87" s="17"/>
      <c r="R87" s="17"/>
      <c r="S87" s="17"/>
      <c r="T87" s="17"/>
      <c r="U87" s="17"/>
    </row>
    <row r="88" spans="1:31" ht="20.100000000000001" customHeight="1" x14ac:dyDescent="0.25">
      <c r="A88"/>
      <c r="D88" s="17"/>
    </row>
    <row r="89" spans="1:31" ht="20.100000000000001" customHeight="1" x14ac:dyDescent="0.25">
      <c r="A89"/>
      <c r="D89" s="63" t="s">
        <v>167</v>
      </c>
      <c r="E89" s="10" t="s">
        <v>168</v>
      </c>
      <c r="F89" s="10" t="s">
        <v>169</v>
      </c>
      <c r="G89" s="64" t="s">
        <v>170</v>
      </c>
      <c r="H89" s="64" t="s">
        <v>97</v>
      </c>
      <c r="I89" s="64" t="s">
        <v>171</v>
      </c>
      <c r="J89" s="64" t="s">
        <v>172</v>
      </c>
      <c r="K89" s="64" t="s">
        <v>173</v>
      </c>
      <c r="L89" s="64" t="s">
        <v>174</v>
      </c>
      <c r="M89" s="64" t="s">
        <v>175</v>
      </c>
      <c r="N89" s="64" t="s">
        <v>176</v>
      </c>
      <c r="O89" s="10" t="s">
        <v>177</v>
      </c>
      <c r="P89" s="10" t="s">
        <v>178</v>
      </c>
      <c r="Q89" s="10" t="s">
        <v>179</v>
      </c>
      <c r="R89" s="64" t="s">
        <v>180</v>
      </c>
      <c r="S89" s="64" t="s">
        <v>181</v>
      </c>
      <c r="T89" s="10" t="s">
        <v>182</v>
      </c>
      <c r="U89" s="64" t="s">
        <v>183</v>
      </c>
      <c r="V89" s="64" t="s">
        <v>184</v>
      </c>
      <c r="W89" s="64" t="s">
        <v>185</v>
      </c>
      <c r="X89" s="64" t="s">
        <v>186</v>
      </c>
      <c r="Y89" s="64" t="s">
        <v>187</v>
      </c>
      <c r="Z89" s="10" t="s">
        <v>188</v>
      </c>
      <c r="AA89" s="10" t="s">
        <v>189</v>
      </c>
      <c r="AB89" s="10" t="s">
        <v>190</v>
      </c>
      <c r="AC89" s="10" t="s">
        <v>191</v>
      </c>
      <c r="AD89" s="10" t="s">
        <v>192</v>
      </c>
      <c r="AE89" s="10" t="s">
        <v>193</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f>
        <v>Aqua Finish - Campbells Fertilisers Australasia</v>
      </c>
      <c r="I90" s="62" t="str" cm="1">
        <f t="array" ref="I90">Common_InputFunctions.Utility_DisplayArrayInTable(Fertiliser_SourceData.Fertiliser_Products_Data1(),FertiliserProducts[[#Headers],[Include or Exclude]], 0)</f>
        <v>Website</v>
      </c>
      <c r="J90" s="62" t="str" cm="1">
        <f t="array" ref="J90">Common_InputFunctions.Utility_DisplayArrayInTable(Fertiliser_SourceData.Fertiliser_Products_Data1(),FertiliserProducts[[#Headers],[Include or Exclude]], 0)</f>
        <v/>
      </c>
      <c r="K90" s="62" t="str" cm="1">
        <f t="array" ref="K90">Common_InputFunctions.Utility_DisplayArrayInTable(Fertiliser_SourceData.Fertiliser_Products_Data1(),FertiliserProducts[[#Headers],[Include or Exclude]], 0)</f>
        <v>L</v>
      </c>
      <c r="L90" s="62" cm="1">
        <f t="array" ref="L90">Common_InputFunctions.Utility_DisplayArrayInTable(Fertiliser_SourceData.Fertiliser_Products_Data1(),FertiliserProducts[[#Headers],[Include or Exclude]], 0)</f>
        <v>1.26</v>
      </c>
      <c r="M90" s="10" t="str" cm="1">
        <f t="array" ref="M90">Common_InputFunctions.Utility_DisplayArrayInTable(Fertiliser_SourceData.Fertiliser_Products_Data1(),FertiliserProducts[[#Headers],[Include or Exclude]], 0)</f>
        <v/>
      </c>
      <c r="N90" s="62" t="str" cm="1">
        <f t="array" ref="N90">Common_InputFunctions.Utility_DisplayArrayInTable(Fertiliser_SourceData.Fertiliser_Products_Data1(),FertiliserProducts[[#Headers],[Include or Exclude]], 0)</f>
        <v/>
      </c>
      <c r="O90" s="62" t="str" cm="1">
        <f t="array" ref="O90">Common_InputFunctions.Utility_DisplayArrayInTable(Fertiliser_SourceData.Fertiliser_Products_Data1(),FertiliserProducts[[#Headers],[Include or Exclude]], 0)</f>
        <v>Potassium - Generic</v>
      </c>
      <c r="P90" s="62" cm="1">
        <f t="array" ref="P90">Common_InputFunctions.Utility_DisplayArrayInTable(Fertiliser_SourceData.Fertiliser_Products_Data1(),FertiliserProducts[[#Headers],[Include or Exclude]], 0)</f>
        <v>0.22500000000000001</v>
      </c>
      <c r="Q90" s="62" t="str" cm="1">
        <f t="array" ref="Q90">Common_InputFunctions.Utility_DisplayArrayInTable(Fertiliser_SourceData.Fertiliser_Products_Data1(),FertiliserProducts[[#Headers],[Include or Exclude]], 0)</f>
        <v>Phosphorus - Generic</v>
      </c>
      <c r="R90" s="62" cm="1">
        <f t="array" ref="R90">Common_InputFunctions.Utility_DisplayArrayInTable(Fertiliser_SourceData.Fertiliser_Products_Data1(),FertiliserProducts[[#Headers],[Include or Exclude]], 0)</f>
        <v>0.04</v>
      </c>
      <c r="S90" s="62" t="str" cm="1">
        <f t="array" ref="S90">Common_InputFunctions.Utility_DisplayArrayInTable(Fertiliser_SourceData.Fertiliser_Products_Data1(),FertiliserProducts[[#Headers],[Include or Exclude]], 0)</f>
        <v>Nitrogen - Generic</v>
      </c>
      <c r="T90" s="62" cm="1">
        <f t="array" ref="T90">Common_InputFunctions.Utility_DisplayArrayInTable(Fertiliser_SourceData.Fertiliser_Products_Data1(),FertiliserProducts[[#Headers],[Include or Exclude]], 0)</f>
        <v>2.5999999999999999E-2</v>
      </c>
      <c r="U90" s="62"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1:31" ht="20.100000000000001" customHeight="1" x14ac:dyDescent="0.25">
      <c r="A91"/>
      <c r="D91" s="62" t="str" cm="1">
        <f t="array" ref="D91">Common_InputFunctions.Utility_DisplayArrayInTable(Fertiliser_SourceData.Fertiliser_Products_Data1(),FertiliserProducts[[#Headers],[Include or Exclude]], 0)</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f>
        <v>Aqua Grow - Campbells Fertilisers Australasia</v>
      </c>
      <c r="I91" s="62" t="str" cm="1">
        <f t="array" ref="I91">Common_InputFunctions.Utility_DisplayArrayInTable(Fertiliser_SourceData.Fertiliser_Products_Data1(),FertiliserProducts[[#Headers],[Include or Exclude]], 0)</f>
        <v>Website</v>
      </c>
      <c r="J91" s="62" t="str" cm="1">
        <f t="array" ref="J91">Common_InputFunctions.Utility_DisplayArrayInTable(Fertiliser_SourceData.Fertiliser_Products_Data1(),FertiliserProducts[[#Headers],[Include or Exclude]], 0)</f>
        <v/>
      </c>
      <c r="K91" s="62" t="str" cm="1">
        <f t="array" ref="K91">Common_InputFunctions.Utility_DisplayArrayInTable(Fertiliser_SourceData.Fertiliser_Products_Data1(),FertiliserProducts[[#Headers],[Include or Exclude]], 0)</f>
        <v>L</v>
      </c>
      <c r="L91" s="62" cm="1">
        <f t="array" ref="L91">Common_InputFunctions.Utility_DisplayArrayInTable(Fertiliser_SourceData.Fertiliser_Products_Data1(),FertiliserProducts[[#Headers],[Include or Exclude]], 0)</f>
        <v>1.26</v>
      </c>
      <c r="M91" s="10" t="str" cm="1">
        <f t="array" ref="M91">Common_InputFunctions.Utility_DisplayArrayInTable(Fertiliser_SourceData.Fertiliser_Products_Data1(),FertiliserProducts[[#Headers],[Include or Exclude]], 0)</f>
        <v/>
      </c>
      <c r="N91" s="62" t="str" cm="1">
        <f t="array" ref="N91">Common_InputFunctions.Utility_DisplayArrayInTable(Fertiliser_SourceData.Fertiliser_Products_Data1(),FertiliserProducts[[#Headers],[Include or Exclude]], 0)</f>
        <v/>
      </c>
      <c r="O91" s="62" t="str" cm="1">
        <f t="array" ref="O91">Common_InputFunctions.Utility_DisplayArrayInTable(Fertiliser_SourceData.Fertiliser_Products_Data1(),FertiliserProducts[[#Headers],[Include or Exclude]], 0)</f>
        <v>Potassium - Generic</v>
      </c>
      <c r="P91" s="62" cm="1">
        <f t="array" ref="P91">Common_InputFunctions.Utility_DisplayArrayInTable(Fertiliser_SourceData.Fertiliser_Products_Data1(),FertiliserProducts[[#Headers],[Include or Exclude]], 0)</f>
        <v>0.105</v>
      </c>
      <c r="Q91" s="62" t="str" cm="1">
        <f t="array" ref="Q91">Common_InputFunctions.Utility_DisplayArrayInTable(Fertiliser_SourceData.Fertiliser_Products_Data1(),FertiliserProducts[[#Headers],[Include or Exclude]], 0)</f>
        <v>Nitrogen - Generic</v>
      </c>
      <c r="R91" s="62" cm="1">
        <f t="array" ref="R91">Common_InputFunctions.Utility_DisplayArrayInTable(Fertiliser_SourceData.Fertiliser_Products_Data1(),FertiliserProducts[[#Headers],[Include or Exclude]], 0)</f>
        <v>9.6000000000000002E-2</v>
      </c>
      <c r="S91" s="62" t="str" cm="1">
        <f t="array" ref="S91">Common_InputFunctions.Utility_DisplayArrayInTable(Fertiliser_SourceData.Fertiliser_Products_Data1(),FertiliserProducts[[#Headers],[Include or Exclude]], 0)</f>
        <v>Phosphorus - Generic</v>
      </c>
      <c r="T91" s="62" cm="1">
        <f t="array" ref="T91">Common_InputFunctions.Utility_DisplayArrayInTable(Fertiliser_SourceData.Fertiliser_Products_Data1(),FertiliserProducts[[#Headers],[Include or Exclude]], 0)</f>
        <v>0.05</v>
      </c>
      <c r="U91" s="62"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1:31" ht="20.100000000000001" customHeight="1" x14ac:dyDescent="0.25">
      <c r="A92"/>
      <c r="D92" s="62" t="str" cm="1">
        <f t="array" ref="D92">Common_InputFunctions.Utility_DisplayArrayInTable(Fertiliser_SourceData.Fertiliser_Products_Data1(),FertiliserProducts[[#Headers],[Include or Exclude]], 0)</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f>
        <v>Aqua Nitro AN - Campbells Fertilisers Australasia</v>
      </c>
      <c r="I92" s="62" t="str" cm="1">
        <f t="array" ref="I92">Common_InputFunctions.Utility_DisplayArrayInTable(Fertiliser_SourceData.Fertiliser_Products_Data1(),FertiliserProducts[[#Headers],[Include or Exclude]], 0)</f>
        <v>Website. Brochure</v>
      </c>
      <c r="J92" s="62" t="str" cm="1">
        <f t="array" ref="J92">Common_InputFunctions.Utility_DisplayArrayInTable(Fertiliser_SourceData.Fertiliser_Products_Data1(),FertiliserProducts[[#Headers],[Include or Exclude]], 0)</f>
        <v/>
      </c>
      <c r="K92" s="62" t="str" cm="1">
        <f t="array" ref="K92">Common_InputFunctions.Utility_DisplayArrayInTable(Fertiliser_SourceData.Fertiliser_Products_Data1(),FertiliserProducts[[#Headers],[Include or Exclude]], 0)</f>
        <v>L</v>
      </c>
      <c r="L92" s="62" cm="1">
        <f t="array" ref="L92">Common_InputFunctions.Utility_DisplayArrayInTable(Fertiliser_SourceData.Fertiliser_Products_Data1(),FertiliserProducts[[#Headers],[Include or Exclude]], 0)</f>
        <v>1.24</v>
      </c>
      <c r="M92" s="10" t="str" cm="1">
        <f t="array" ref="M92">Common_InputFunctions.Utility_DisplayArrayInTable(Fertiliser_SourceData.Fertiliser_Products_Data1(),FertiliserProducts[[#Headers],[Include or Exclude]], 0)</f>
        <v/>
      </c>
      <c r="N92" s="62" t="str" cm="1">
        <f t="array" ref="N92">Common_InputFunctions.Utility_DisplayArrayInTable(Fertiliser_SourceData.Fertiliser_Products_Data1(),FertiliserProducts[[#Headers],[Include or Exclude]], 0)</f>
        <v/>
      </c>
      <c r="O92" s="62" t="str" cm="1">
        <f t="array" ref="O92">Common_InputFunctions.Utility_DisplayArrayInTable(Fertiliser_SourceData.Fertiliser_Products_Data1(),FertiliserProducts[[#Headers],[Include or Exclude]], 0)</f>
        <v>Nitrogen - Ammoniacal</v>
      </c>
      <c r="P92" s="62" cm="1">
        <f t="array" ref="P92">Common_InputFunctions.Utility_DisplayArrayInTable(Fertiliser_SourceData.Fertiliser_Products_Data1(),FertiliserProducts[[#Headers],[Include or Exclude]], 0)</f>
        <v>0.223</v>
      </c>
      <c r="Q92" s="62" t="str" cm="1">
        <f t="array" ref="Q92">Common_InputFunctions.Utility_DisplayArrayInTable(Fertiliser_SourceData.Fertiliser_Products_Data1(),FertiliserProducts[[#Headers],[Include or Exclude]], 0)</f>
        <v/>
      </c>
      <c r="R92" s="62" t="str" cm="1">
        <f t="array" ref="R92">Common_InputFunctions.Utility_DisplayArrayInTable(Fertiliser_SourceData.Fertiliser_Products_Data1(),FertiliserProducts[[#Headers],[Include or Exclude]], 0)</f>
        <v/>
      </c>
      <c r="S92" s="62" t="str" cm="1">
        <f t="array" ref="S92">Common_InputFunctions.Utility_DisplayArrayInTable(Fertiliser_SourceData.Fertiliser_Products_Data1(),FertiliserProducts[[#Headers],[Include or Exclude]], 0)</f>
        <v/>
      </c>
      <c r="T92" s="62" t="str" cm="1">
        <f t="array" ref="T92">Common_InputFunctions.Utility_DisplayArrayInTable(Fertiliser_SourceData.Fertiliser_Products_Data1(),FertiliserProducts[[#Headers],[Include or Exclude]], 0)</f>
        <v/>
      </c>
      <c r="U92" s="62"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1:31" ht="20.100000000000001" customHeight="1" x14ac:dyDescent="0.25">
      <c r="A93"/>
      <c r="D93" s="62" t="str" cm="1">
        <f t="array" ref="D93">Common_InputFunctions.Utility_DisplayArrayInTable(Fertiliser_SourceData.Fertiliser_Products_Data1(),FertiliserProducts[[#Headers],[Include or Exclude]], 0)</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f>
        <v>Aqua NitroCal - Campbells Fertilisers Australasia</v>
      </c>
      <c r="I93" s="62" t="str" cm="1">
        <f t="array" ref="I93">Common_InputFunctions.Utility_DisplayArrayInTable(Fertiliser_SourceData.Fertiliser_Products_Data1(),FertiliserProducts[[#Headers],[Include or Exclude]], 0)</f>
        <v>Website SDS</v>
      </c>
      <c r="J93" s="62" t="str" cm="1">
        <f t="array" ref="J93">Common_InputFunctions.Utility_DisplayArrayInTable(Fertiliser_SourceData.Fertiliser_Products_Data1(),FertiliserProducts[[#Headers],[Include or Exclude]], 0)</f>
        <v/>
      </c>
      <c r="K93" s="62" t="str" cm="1">
        <f t="array" ref="K93">Common_InputFunctions.Utility_DisplayArrayInTable(Fertiliser_SourceData.Fertiliser_Products_Data1(),FertiliserProducts[[#Headers],[Include or Exclude]], 0)</f>
        <v>L</v>
      </c>
      <c r="L93" s="62" cm="1">
        <f t="array" ref="L93">Common_InputFunctions.Utility_DisplayArrayInTable(Fertiliser_SourceData.Fertiliser_Products_Data1(),FertiliserProducts[[#Headers],[Include or Exclude]], 0)</f>
        <v>1.5</v>
      </c>
      <c r="M93" s="10" t="str" cm="1">
        <f t="array" ref="M93">Common_InputFunctions.Utility_DisplayArrayInTable(Fertiliser_SourceData.Fertiliser_Products_Data1(),FertiliserProducts[[#Headers],[Include or Exclude]], 0)</f>
        <v/>
      </c>
      <c r="N93" s="62" t="str" cm="1">
        <f t="array" ref="N93">Common_InputFunctions.Utility_DisplayArrayInTable(Fertiliser_SourceData.Fertiliser_Products_Data1(),FertiliserProducts[[#Headers],[Include or Exclude]], 0)</f>
        <v/>
      </c>
      <c r="O93" s="62" t="str" cm="1">
        <f t="array" ref="O93">Common_InputFunctions.Utility_DisplayArrayInTable(Fertiliser_SourceData.Fertiliser_Products_Data1(),FertiliserProducts[[#Headers],[Include or Exclude]], 0)</f>
        <v>Calcium - Generic</v>
      </c>
      <c r="P93" s="62" cm="1">
        <f t="array" ref="P93">Common_InputFunctions.Utility_DisplayArrayInTable(Fertiliser_SourceData.Fertiliser_Products_Data1(),FertiliserProducts[[#Headers],[Include or Exclude]], 0)</f>
        <v>0.16200000000000001</v>
      </c>
      <c r="Q93" s="62" t="str" cm="1">
        <f t="array" ref="Q93">Common_InputFunctions.Utility_DisplayArrayInTable(Fertiliser_SourceData.Fertiliser_Products_Data1(),FertiliserProducts[[#Headers],[Include or Exclude]], 0)</f>
        <v>Nitrogen - Nitrate</v>
      </c>
      <c r="R93" s="62" cm="1">
        <f t="array" ref="R93">Common_InputFunctions.Utility_DisplayArrayInTable(Fertiliser_SourceData.Fertiliser_Products_Data1(),FertiliserProducts[[#Headers],[Include or Exclude]], 0)</f>
        <v>0.13200000000000001</v>
      </c>
      <c r="S93" s="62" t="str" cm="1">
        <f t="array" ref="S93">Common_InputFunctions.Utility_DisplayArrayInTable(Fertiliser_SourceData.Fertiliser_Products_Data1(),FertiliserProducts[[#Headers],[Include or Exclude]], 0)</f>
        <v/>
      </c>
      <c r="T93" s="62" t="str" cm="1">
        <f t="array" ref="T93">Common_InputFunctions.Utility_DisplayArrayInTable(Fertiliser_SourceData.Fertiliser_Products_Data1(),FertiliserProducts[[#Headers],[Include or Exclude]], 0)</f>
        <v/>
      </c>
      <c r="U93" s="62"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1:31" ht="20.100000000000001" customHeight="1" x14ac:dyDescent="0.25">
      <c r="A94"/>
      <c r="D94" s="62" t="str" cm="1">
        <f t="array" ref="D94">Common_InputFunctions.Utility_DisplayArrayInTable(Fertiliser_SourceData.Fertiliser_Products_Data1(),FertiliserProducts[[#Headers],[Include or Exclude]], 0)</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f>
        <v>Aqua NitroCal (VI) - Campbells Fertilisers Australasia</v>
      </c>
      <c r="I94" s="62" t="str" cm="1">
        <f t="array" ref="I94">Common_InputFunctions.Utility_DisplayArrayInTable(Fertiliser_SourceData.Fertiliser_Products_Data1(),FertiliserProducts[[#Headers],[Include or Exclude]], 0)</f>
        <v>Website SDS</v>
      </c>
      <c r="J94" s="62" t="str" cm="1">
        <f t="array" ref="J94">Common_InputFunctions.Utility_DisplayArrayInTable(Fertiliser_SourceData.Fertiliser_Products_Data1(),FertiliserProducts[[#Headers],[Include or Exclude]], 0)</f>
        <v/>
      </c>
      <c r="K94" s="62" t="str" cm="1">
        <f t="array" ref="K94">Common_InputFunctions.Utility_DisplayArrayInTable(Fertiliser_SourceData.Fertiliser_Products_Data1(),FertiliserProducts[[#Headers],[Include or Exclude]], 0)</f>
        <v>L</v>
      </c>
      <c r="L94" s="62" cm="1">
        <f t="array" ref="L94">Common_InputFunctions.Utility_DisplayArrayInTable(Fertiliser_SourceData.Fertiliser_Products_Data1(),FertiliserProducts[[#Headers],[Include or Exclude]], 0)</f>
        <v>1.5</v>
      </c>
      <c r="M94" s="10" t="str" cm="1">
        <f t="array" ref="M94">Common_InputFunctions.Utility_DisplayArrayInTable(Fertiliser_SourceData.Fertiliser_Products_Data1(),FertiliserProducts[[#Headers],[Include or Exclude]], 0)</f>
        <v/>
      </c>
      <c r="N94" s="62" t="str" cm="1">
        <f t="array" ref="N94">Common_InputFunctions.Utility_DisplayArrayInTable(Fertiliser_SourceData.Fertiliser_Products_Data1(),FertiliserProducts[[#Headers],[Include or Exclude]], 0)</f>
        <v/>
      </c>
      <c r="O94" s="62" t="str" cm="1">
        <f t="array" ref="O94">Common_InputFunctions.Utility_DisplayArrayInTable(Fertiliser_SourceData.Fertiliser_Products_Data1(),FertiliserProducts[[#Headers],[Include or Exclude]], 0)</f>
        <v>Calcium - Generic</v>
      </c>
      <c r="P94" s="62" cm="1">
        <f t="array" ref="P94">Common_InputFunctions.Utility_DisplayArrayInTable(Fertiliser_SourceData.Fertiliser_Products_Data1(),FertiliserProducts[[#Headers],[Include or Exclude]], 0)</f>
        <v>0.187</v>
      </c>
      <c r="Q94" s="62" t="str" cm="1">
        <f t="array" ref="Q94">Common_InputFunctions.Utility_DisplayArrayInTable(Fertiliser_SourceData.Fertiliser_Products_Data1(),FertiliserProducts[[#Headers],[Include or Exclude]], 0)</f>
        <v>Nitrogen - Nitrate</v>
      </c>
      <c r="R94" s="62" cm="1">
        <f t="array" ref="R94">Common_InputFunctions.Utility_DisplayArrayInTable(Fertiliser_SourceData.Fertiliser_Products_Data1(),FertiliserProducts[[#Headers],[Include or Exclude]], 0)</f>
        <v>0.13200000000000001</v>
      </c>
      <c r="S94" s="62" t="str" cm="1">
        <f t="array" ref="S94">Common_InputFunctions.Utility_DisplayArrayInTable(Fertiliser_SourceData.Fertiliser_Products_Data1(),FertiliserProducts[[#Headers],[Include or Exclude]], 0)</f>
        <v/>
      </c>
      <c r="T94" s="62" t="str" cm="1">
        <f t="array" ref="T94">Common_InputFunctions.Utility_DisplayArrayInTable(Fertiliser_SourceData.Fertiliser_Products_Data1(),FertiliserProducts[[#Headers],[Include or Exclude]], 0)</f>
        <v/>
      </c>
      <c r="U94" s="62"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1:31" ht="20.100000000000001" customHeight="1" x14ac:dyDescent="0.25">
      <c r="A95"/>
      <c r="D95" s="62" t="str" cm="1">
        <f t="array" ref="D95">Common_InputFunctions.Utility_DisplayArrayInTable(Fertiliser_SourceData.Fertiliser_Products_Data1(),FertiliserProducts[[#Headers],[Include or Exclude]], 0)</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f>
        <v>Aqua NitroCal Ultimate - Campbells Fertilisers Australasia</v>
      </c>
      <c r="I95" s="62" t="str" cm="1">
        <f t="array" ref="I95">Common_InputFunctions.Utility_DisplayArrayInTable(Fertiliser_SourceData.Fertiliser_Products_Data1(),FertiliserProducts[[#Headers],[Include or Exclude]], 0)</f>
        <v>Website SDS</v>
      </c>
      <c r="J95" s="62" t="str" cm="1">
        <f t="array" ref="J95">Common_InputFunctions.Utility_DisplayArrayInTable(Fertiliser_SourceData.Fertiliser_Products_Data1(),FertiliserProducts[[#Headers],[Include or Exclude]], 0)</f>
        <v/>
      </c>
      <c r="K95" s="62" t="str" cm="1">
        <f t="array" ref="K95">Common_InputFunctions.Utility_DisplayArrayInTable(Fertiliser_SourceData.Fertiliser_Products_Data1(),FertiliserProducts[[#Headers],[Include or Exclude]], 0)</f>
        <v>L</v>
      </c>
      <c r="L95" s="62" cm="1">
        <f t="array" ref="L95">Common_InputFunctions.Utility_DisplayArrayInTable(Fertiliser_SourceData.Fertiliser_Products_Data1(),FertiliserProducts[[#Headers],[Include or Exclude]], 0)</f>
        <v>1.5</v>
      </c>
      <c r="M95" s="10" t="str" cm="1">
        <f t="array" ref="M95">Common_InputFunctions.Utility_DisplayArrayInTable(Fertiliser_SourceData.Fertiliser_Products_Data1(),FertiliserProducts[[#Headers],[Include or Exclude]], 0)</f>
        <v/>
      </c>
      <c r="N95" s="62" t="str" cm="1">
        <f t="array" ref="N95">Common_InputFunctions.Utility_DisplayArrayInTable(Fertiliser_SourceData.Fertiliser_Products_Data1(),FertiliserProducts[[#Headers],[Include or Exclude]], 0)</f>
        <v/>
      </c>
      <c r="O95" s="62" t="str" cm="1">
        <f t="array" ref="O95">Common_InputFunctions.Utility_DisplayArrayInTable(Fertiliser_SourceData.Fertiliser_Products_Data1(),FertiliserProducts[[#Headers],[Include or Exclude]], 0)</f>
        <v>Calcium - Generic</v>
      </c>
      <c r="P95" s="62" cm="1">
        <f t="array" ref="P95">Common_InputFunctions.Utility_DisplayArrayInTable(Fertiliser_SourceData.Fertiliser_Products_Data1(),FertiliserProducts[[#Headers],[Include or Exclude]], 0)</f>
        <v>0.183</v>
      </c>
      <c r="Q95" s="62" t="str" cm="1">
        <f t="array" ref="Q95">Common_InputFunctions.Utility_DisplayArrayInTable(Fertiliser_SourceData.Fertiliser_Products_Data1(),FertiliserProducts[[#Headers],[Include or Exclude]], 0)</f>
        <v>Nitrogen  - Nitrate</v>
      </c>
      <c r="R95" s="62" cm="1">
        <f t="array" ref="R95">Common_InputFunctions.Utility_DisplayArrayInTable(Fertiliser_SourceData.Fertiliser_Products_Data1(),FertiliserProducts[[#Headers],[Include or Exclude]], 0)</f>
        <v>0.13200000000000001</v>
      </c>
      <c r="S95" s="62" t="str" cm="1">
        <f t="array" ref="S95">Common_InputFunctions.Utility_DisplayArrayInTable(Fertiliser_SourceData.Fertiliser_Products_Data1(),FertiliserProducts[[#Headers],[Include or Exclude]], 0)</f>
        <v/>
      </c>
      <c r="T95" s="62" t="str" cm="1">
        <f t="array" ref="T95">Common_InputFunctions.Utility_DisplayArrayInTable(Fertiliser_SourceData.Fertiliser_Products_Data1(),FertiliserProducts[[#Headers],[Include or Exclude]], 0)</f>
        <v/>
      </c>
      <c r="U95" s="62"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1:31" ht="20.100000000000001" customHeight="1" x14ac:dyDescent="0.25">
      <c r="A96"/>
      <c r="D96" s="62" t="str" cm="1">
        <f t="array" ref="D96">Common_InputFunctions.Utility_DisplayArrayInTable(Fertiliser_SourceData.Fertiliser_Products_Data1(),FertiliserProducts[[#Headers],[Include or Exclude]], 0)</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f>
        <v>Aqua Start - Campbells Fertilisers Australasia</v>
      </c>
      <c r="I96" s="62" t="str" cm="1">
        <f t="array" ref="I96">Common_InputFunctions.Utility_DisplayArrayInTable(Fertiliser_SourceData.Fertiliser_Products_Data1(),FertiliserProducts[[#Headers],[Include or Exclude]], 0)</f>
        <v>Website SDS</v>
      </c>
      <c r="J96" s="62" t="str" cm="1">
        <f t="array" ref="J96">Common_InputFunctions.Utility_DisplayArrayInTable(Fertiliser_SourceData.Fertiliser_Products_Data1(),FertiliserProducts[[#Headers],[Include or Exclude]], 0)</f>
        <v/>
      </c>
      <c r="K96" s="62" t="str" cm="1">
        <f t="array" ref="K96">Common_InputFunctions.Utility_DisplayArrayInTable(Fertiliser_SourceData.Fertiliser_Products_Data1(),FertiliserProducts[[#Headers],[Include or Exclude]], 0)</f>
        <v>L</v>
      </c>
      <c r="L96" s="62" cm="1">
        <f t="array" ref="L96">Common_InputFunctions.Utility_DisplayArrayInTable(Fertiliser_SourceData.Fertiliser_Products_Data1(),FertiliserProducts[[#Headers],[Include or Exclude]], 0)</f>
        <v>1.25</v>
      </c>
      <c r="M96" s="10" t="str" cm="1">
        <f t="array" ref="M96">Common_InputFunctions.Utility_DisplayArrayInTable(Fertiliser_SourceData.Fertiliser_Products_Data1(),FertiliserProducts[[#Headers],[Include or Exclude]], 0)</f>
        <v/>
      </c>
      <c r="N96" s="62" t="str" cm="1">
        <f t="array" ref="N96">Common_InputFunctions.Utility_DisplayArrayInTable(Fertiliser_SourceData.Fertiliser_Products_Data1(),FertiliserProducts[[#Headers],[Include or Exclude]], 0)</f>
        <v/>
      </c>
      <c r="O96" s="62" t="str" cm="1">
        <f t="array" ref="O96">Common_InputFunctions.Utility_DisplayArrayInTable(Fertiliser_SourceData.Fertiliser_Products_Data1(),FertiliserProducts[[#Headers],[Include or Exclude]], 0)</f>
        <v>Nitrogen - Generic</v>
      </c>
      <c r="P96" s="62" cm="1">
        <f t="array" ref="P96">Common_InputFunctions.Utility_DisplayArrayInTable(Fertiliser_SourceData.Fertiliser_Products_Data1(),FertiliserProducts[[#Headers],[Include or Exclude]], 0)</f>
        <v>0.10299999999999999</v>
      </c>
      <c r="Q96" s="62" t="str" cm="1">
        <f t="array" ref="Q96">Common_InputFunctions.Utility_DisplayArrayInTable(Fertiliser_SourceData.Fertiliser_Products_Data1(),FertiliserProducts[[#Headers],[Include or Exclude]], 0)</f>
        <v>Phosphorus - Generic</v>
      </c>
      <c r="R96" s="62" cm="1">
        <f t="array" ref="R96">Common_InputFunctions.Utility_DisplayArrayInTable(Fertiliser_SourceData.Fertiliser_Products_Data1(),FertiliserProducts[[#Headers],[Include or Exclude]], 0)</f>
        <v>0.1</v>
      </c>
      <c r="S96" s="62" t="str" cm="1">
        <f t="array" ref="S96">Common_InputFunctions.Utility_DisplayArrayInTable(Fertiliser_SourceData.Fertiliser_Products_Data1(),FertiliserProducts[[#Headers],[Include or Exclude]], 0)</f>
        <v>Potassium - Generic</v>
      </c>
      <c r="T96" s="62" cm="1">
        <f t="array" ref="T96">Common_InputFunctions.Utility_DisplayArrayInTable(Fertiliser_SourceData.Fertiliser_Products_Data1(),FertiliserProducts[[#Headers],[Include or Exclude]], 0)</f>
        <v>3.4000000000000002E-2</v>
      </c>
      <c r="U96" s="62"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1:31" ht="20.100000000000001" customHeight="1" x14ac:dyDescent="0.25">
      <c r="A97"/>
      <c r="D97" s="62" t="str" cm="1">
        <f t="array" ref="D97">Common_InputFunctions.Utility_DisplayArrayInTable(Fertiliser_SourceData.Fertiliser_Products_Data1(),FertiliserProducts[[#Headers],[Include or Exclude]], 0)</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f>
        <v>Aqua Thio-Complete - Campbells Fertilisers Australasia</v>
      </c>
      <c r="I97" s="62" t="str" cm="1">
        <f t="array" ref="I97">Common_InputFunctions.Utility_DisplayArrayInTable(Fertiliser_SourceData.Fertiliser_Products_Data1(),FertiliserProducts[[#Headers],[Include or Exclude]], 0)</f>
        <v>Website SDS</v>
      </c>
      <c r="J97" s="62" t="str" cm="1">
        <f t="array" ref="J97">Common_InputFunctions.Utility_DisplayArrayInTable(Fertiliser_SourceData.Fertiliser_Products_Data1(),FertiliserProducts[[#Headers],[Include or Exclude]], 0)</f>
        <v/>
      </c>
      <c r="K97" s="62" t="str" cm="1">
        <f t="array" ref="K97">Common_InputFunctions.Utility_DisplayArrayInTable(Fertiliser_SourceData.Fertiliser_Products_Data1(),FertiliserProducts[[#Headers],[Include or Exclude]], 0)</f>
        <v>L</v>
      </c>
      <c r="L97" s="62" cm="1">
        <f t="array" ref="L97">Common_InputFunctions.Utility_DisplayArrayInTable(Fertiliser_SourceData.Fertiliser_Products_Data1(),FertiliserProducts[[#Headers],[Include or Exclude]], 0)</f>
        <v>1.43</v>
      </c>
      <c r="M97" s="10" t="str" cm="1">
        <f t="array" ref="M97">Common_InputFunctions.Utility_DisplayArrayInTable(Fertiliser_SourceData.Fertiliser_Products_Data1(),FertiliserProducts[[#Headers],[Include or Exclude]], 0)</f>
        <v/>
      </c>
      <c r="N97" s="62" t="str" cm="1">
        <f t="array" ref="N97">Common_InputFunctions.Utility_DisplayArrayInTable(Fertiliser_SourceData.Fertiliser_Products_Data1(),FertiliserProducts[[#Headers],[Include or Exclude]], 0)</f>
        <v/>
      </c>
      <c r="O97" s="62" t="str" cm="1">
        <f t="array" ref="O97">Common_InputFunctions.Utility_DisplayArrayInTable(Fertiliser_SourceData.Fertiliser_Products_Data1(),FertiliserProducts[[#Headers],[Include or Exclude]], 0)</f>
        <v>Potassium - Generic</v>
      </c>
      <c r="P97" s="62" cm="1">
        <f t="array" ref="P97">Common_InputFunctions.Utility_DisplayArrayInTable(Fertiliser_SourceData.Fertiliser_Products_Data1(),FertiliserProducts[[#Headers],[Include or Exclude]], 0)</f>
        <v>0.22500000000000001</v>
      </c>
      <c r="Q97" s="62" t="str" cm="1">
        <f t="array" ref="Q97">Common_InputFunctions.Utility_DisplayArrayInTable(Fertiliser_SourceData.Fertiliser_Products_Data1(),FertiliserProducts[[#Headers],[Include or Exclude]], 0)</f>
        <v>Phosphorus - Generic</v>
      </c>
      <c r="R97" s="62" cm="1">
        <f t="array" ref="R97">Common_InputFunctions.Utility_DisplayArrayInTable(Fertiliser_SourceData.Fertiliser_Products_Data1(),FertiliserProducts[[#Headers],[Include or Exclude]], 0)</f>
        <v>3.7999999999999999E-2</v>
      </c>
      <c r="S97" s="62" t="str" cm="1">
        <f t="array" ref="S97">Common_InputFunctions.Utility_DisplayArrayInTable(Fertiliser_SourceData.Fertiliser_Products_Data1(),FertiliserProducts[[#Headers],[Include or Exclude]], 0)</f>
        <v>Nitrogen - Generic</v>
      </c>
      <c r="T97" s="62" cm="1">
        <f t="array" ref="T97">Common_InputFunctions.Utility_DisplayArrayInTable(Fertiliser_SourceData.Fertiliser_Products_Data1(),FertiliserProducts[[#Headers],[Include or Exclude]], 0)</f>
        <v>2.5000000000000001E-2</v>
      </c>
      <c r="U97" s="62" t="str" cm="1">
        <f t="array" ref="U97">Common_InputFunctions.Utility_DisplayArrayInTable(Fertiliser_SourceData.Fertiliser_Products_Data1(),FertiliserProducts[[#Headers],[Include or Exclude]], 0)</f>
        <v/>
      </c>
      <c r="V97" s="10" t="str" cm="1">
        <f t="array" ref="V97">Common_InputFunctions.Utility_DisplayArrayInTable(Fertiliser_SourceData.Fertiliser_Products_Data1(),FertiliserProducts[[#Headers],[Include or Exclude]], 0)</f>
        <v/>
      </c>
      <c r="W97" s="10" t="str" cm="1">
        <f t="array" ref="W97">Common_InputFunctions.Utility_DisplayArrayInTable(Fertiliser_SourceData.Fertiliser_Products_Data1(),FertiliserProducts[[#Headers],[Include or Exclude]], 0)</f>
        <v/>
      </c>
      <c r="X97" s="10" t="str" cm="1">
        <f t="array" ref="X97">Common_InputFunctions.Utility_DisplayArrayInTable(Fertiliser_SourceData.Fertiliser_Products_Data1(),FertiliserProducts[[#Headers],[Include or Exclude]], 0)</f>
        <v/>
      </c>
      <c r="Y97" s="10" t="str" cm="1">
        <f t="array" ref="Y97">Common_InputFunctions.Utility_DisplayArrayInTable(Fertiliser_SourceData.Fertiliser_Products_Data1(),FertiliserProducts[[#Headers],[Include or Exclude]], 0)</f>
        <v/>
      </c>
      <c r="Z97" s="10" t="str" cm="1">
        <f t="array" ref="Z97">Common_InputFunctions.Utility_DisplayArrayInTable(Fertiliser_SourceData.Fertiliser_Products_Data1(),FertiliserProducts[[#Headers],[Include or Exclude]], 0)</f>
        <v/>
      </c>
      <c r="AA97" s="10" t="str" cm="1">
        <f t="array" ref="AA97">Common_InputFunctions.Utility_DisplayArrayInTable(Fertiliser_SourceData.Fertiliser_Products_Data1(),FertiliserProducts[[#Headers],[Include or Exclude]], 0)</f>
        <v/>
      </c>
      <c r="AB97" s="10" t="str" cm="1">
        <f t="array" ref="AB97">Common_InputFunctions.Utility_DisplayArrayInTable(Fertiliser_SourceData.Fertiliser_Products_Data1(),FertiliserProducts[[#Headers],[Include or Exclude]], 0)</f>
        <v/>
      </c>
      <c r="AC97" s="10" t="str" cm="1">
        <f t="array" ref="AC97">Common_InputFunctions.Utility_DisplayArrayInTable(Fertiliser_SourceData.Fertiliser_Products_Data1(),FertiliserProducts[[#Headers],[Include or Exclude]], 0)</f>
        <v/>
      </c>
      <c r="AD97" s="10" t="str" cm="1">
        <f t="array" ref="AD97">Common_InputFunctions.Utility_DisplayArrayInTable(Fertiliser_SourceData.Fertiliser_Products_Data1(),FertiliserProducts[[#Headers],[Include or Exclude]], 0)</f>
        <v/>
      </c>
      <c r="AE97" s="10" t="str" cm="1">
        <f t="array" ref="AE97">Common_InputFunctions.Utility_DisplayArrayInTable(Fertiliser_SourceData.Fertiliser_Products_Data1(),FertiliserProducts[[#Headers],[Include or Exclude]], 0)</f>
        <v/>
      </c>
    </row>
    <row r="98" spans="1:31" ht="20.100000000000001" customHeight="1" x14ac:dyDescent="0.25">
      <c r="A98"/>
      <c r="D98" s="62" t="str" cm="1">
        <f t="array" ref="D98">Common_InputFunctions.Utility_DisplayArrayInTable(Fertiliser_SourceData.Fertiliser_Products_Data1(),FertiliserProducts[[#Headers],[Include or Exclude]], 0)</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f>
        <v>Aqua Thio-Emerge - Campbells Fertilisers Australasia</v>
      </c>
      <c r="I98" s="62" t="str" cm="1">
        <f t="array" ref="I98">Common_InputFunctions.Utility_DisplayArrayInTable(Fertiliser_SourceData.Fertiliser_Products_Data1(),FertiliserProducts[[#Headers],[Include or Exclude]], 0)</f>
        <v>Website SDS</v>
      </c>
      <c r="J98" s="62" t="str" cm="1">
        <f t="array" ref="J98">Common_InputFunctions.Utility_DisplayArrayInTable(Fertiliser_SourceData.Fertiliser_Products_Data1(),FertiliserProducts[[#Headers],[Include or Exclude]], 0)</f>
        <v/>
      </c>
      <c r="K98" s="62" t="str" cm="1">
        <f t="array" ref="K98">Common_InputFunctions.Utility_DisplayArrayInTable(Fertiliser_SourceData.Fertiliser_Products_Data1(),FertiliserProducts[[#Headers],[Include or Exclude]], 0)</f>
        <v>L</v>
      </c>
      <c r="L98" s="62" cm="1">
        <f t="array" ref="L98">Common_InputFunctions.Utility_DisplayArrayInTable(Fertiliser_SourceData.Fertiliser_Products_Data1(),FertiliserProducts[[#Headers],[Include or Exclude]], 0)</f>
        <v>1.29</v>
      </c>
      <c r="M98" s="10" t="str" cm="1">
        <f t="array" ref="M98">Common_InputFunctions.Utility_DisplayArrayInTable(Fertiliser_SourceData.Fertiliser_Products_Data1(),FertiliserProducts[[#Headers],[Include or Exclude]], 0)</f>
        <v/>
      </c>
      <c r="N98" s="62" t="str" cm="1">
        <f t="array" ref="N98">Common_InputFunctions.Utility_DisplayArrayInTable(Fertiliser_SourceData.Fertiliser_Products_Data1(),FertiliserProducts[[#Headers],[Include or Exclude]], 0)</f>
        <v/>
      </c>
      <c r="O98" s="62" t="str" cm="1">
        <f t="array" ref="O98">Common_InputFunctions.Utility_DisplayArrayInTable(Fertiliser_SourceData.Fertiliser_Products_Data1(),FertiliserProducts[[#Headers],[Include or Exclude]], 0)</f>
        <v>Nitrogen - Generic</v>
      </c>
      <c r="P98" s="62" cm="1">
        <f t="array" ref="P98">Common_InputFunctions.Utility_DisplayArrayInTable(Fertiliser_SourceData.Fertiliser_Products_Data1(),FertiliserProducts[[#Headers],[Include or Exclude]], 0)</f>
        <v>0.105</v>
      </c>
      <c r="Q98" s="62" t="str" cm="1">
        <f t="array" ref="Q98">Common_InputFunctions.Utility_DisplayArrayInTable(Fertiliser_SourceData.Fertiliser_Products_Data1(),FertiliserProducts[[#Headers],[Include or Exclude]], 0)</f>
        <v>Phosphorus - Generic</v>
      </c>
      <c r="R98" s="62" cm="1">
        <f t="array" ref="R98">Common_InputFunctions.Utility_DisplayArrayInTable(Fertiliser_SourceData.Fertiliser_Products_Data1(),FertiliserProducts[[#Headers],[Include or Exclude]], 0)</f>
        <v>9.4E-2</v>
      </c>
      <c r="S98" s="62" t="str" cm="1">
        <f t="array" ref="S98">Common_InputFunctions.Utility_DisplayArrayInTable(Fertiliser_SourceData.Fertiliser_Products_Data1(),FertiliserProducts[[#Headers],[Include or Exclude]], 0)</f>
        <v>Potassium - Generic</v>
      </c>
      <c r="T98" s="62" cm="1">
        <f t="array" ref="T98">Common_InputFunctions.Utility_DisplayArrayInTable(Fertiliser_SourceData.Fertiliser_Products_Data1(),FertiliserProducts[[#Headers],[Include or Exclude]], 0)</f>
        <v>0.04</v>
      </c>
      <c r="U98" s="62" t="str" cm="1">
        <f t="array" ref="U98">Common_InputFunctions.Utility_DisplayArrayInTable(Fertiliser_SourceData.Fertiliser_Products_Data1(),FertiliserProducts[[#Headers],[Include or Exclude]], 0)</f>
        <v>Sulfur - Generic</v>
      </c>
      <c r="V98" s="10" cm="1">
        <f t="array" ref="V98">Common_InputFunctions.Utility_DisplayArrayInTable(Fertiliser_SourceData.Fertiliser_Products_Data1(),FertiliserProducts[[#Headers],[Include or Exclude]], 0)</f>
        <v>0.03</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1:31" ht="20.100000000000001" customHeight="1" x14ac:dyDescent="0.25">
      <c r="A99"/>
      <c r="D99" s="62" t="str" cm="1">
        <f t="array" ref="D99">Common_InputFunctions.Utility_DisplayArrayInTable(Fertiliser_SourceData.Fertiliser_Products_Data1(),FertiliserProducts[[#Headers],[Include or Exclude]], 0)</f>
        <v>Include</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f>
        <v>Aqua Thio-Flourish - Campbells Fertilisers Australasia</v>
      </c>
      <c r="I99" s="62" t="str" cm="1">
        <f t="array" ref="I99">Common_InputFunctions.Utility_DisplayArrayInTable(Fertiliser_SourceData.Fertiliser_Products_Data1(),FertiliserProducts[[#Headers],[Include or Exclude]], 0)</f>
        <v>Website SDS</v>
      </c>
      <c r="J99" s="62" t="str" cm="1">
        <f t="array" ref="J99">Common_InputFunctions.Utility_DisplayArrayInTable(Fertiliser_SourceData.Fertiliser_Products_Data1(),FertiliserProducts[[#Headers],[Include or Exclude]], 0)</f>
        <v/>
      </c>
      <c r="K99" s="62" t="str" cm="1">
        <f t="array" ref="K99">Common_InputFunctions.Utility_DisplayArrayInTable(Fertiliser_SourceData.Fertiliser_Products_Data1(),FertiliserProducts[[#Headers],[Include or Exclude]], 0)</f>
        <v>L</v>
      </c>
      <c r="L99" s="62" cm="1">
        <f t="array" ref="L99">Common_InputFunctions.Utility_DisplayArrayInTable(Fertiliser_SourceData.Fertiliser_Products_Data1(),FertiliserProducts[[#Headers],[Include or Exclude]], 0)</f>
        <v>1.32</v>
      </c>
      <c r="M99" s="10" t="str" cm="1">
        <f t="array" ref="M99">Common_InputFunctions.Utility_DisplayArrayInTable(Fertiliser_SourceData.Fertiliser_Products_Data1(),FertiliserProducts[[#Headers],[Include or Exclude]], 0)</f>
        <v/>
      </c>
      <c r="N99" s="62" t="str" cm="1">
        <f t="array" ref="N99">Common_InputFunctions.Utility_DisplayArrayInTable(Fertiliser_SourceData.Fertiliser_Products_Data1(),FertiliserProducts[[#Headers],[Include or Exclude]], 0)</f>
        <v/>
      </c>
      <c r="O99" s="62" t="str" cm="1">
        <f t="array" ref="O99">Common_InputFunctions.Utility_DisplayArrayInTable(Fertiliser_SourceData.Fertiliser_Products_Data1(),FertiliserProducts[[#Headers],[Include or Exclude]], 0)</f>
        <v>Potassium - Generic</v>
      </c>
      <c r="P99" s="62" cm="1">
        <f t="array" ref="P99">Common_InputFunctions.Utility_DisplayArrayInTable(Fertiliser_SourceData.Fertiliser_Products_Data1(),FertiliserProducts[[#Headers],[Include or Exclude]], 0)</f>
        <v>0.108</v>
      </c>
      <c r="Q99" s="62" t="str" cm="1">
        <f t="array" ref="Q99">Common_InputFunctions.Utility_DisplayArrayInTable(Fertiliser_SourceData.Fertiliser_Products_Data1(),FertiliserProducts[[#Headers],[Include or Exclude]], 0)</f>
        <v>Nitrogen - Generic</v>
      </c>
      <c r="R99" s="62" cm="1">
        <f t="array" ref="R99">Common_InputFunctions.Utility_DisplayArrayInTable(Fertiliser_SourceData.Fertiliser_Products_Data1(),FertiliserProducts[[#Headers],[Include or Exclude]], 0)</f>
        <v>9.5000000000000001E-2</v>
      </c>
      <c r="S99" s="62" t="str" cm="1">
        <f t="array" ref="S99">Common_InputFunctions.Utility_DisplayArrayInTable(Fertiliser_SourceData.Fertiliser_Products_Data1(),FertiliserProducts[[#Headers],[Include or Exclude]], 0)</f>
        <v>Sulfur - Generic</v>
      </c>
      <c r="T99" s="62" cm="1">
        <f t="array" ref="T99">Common_InputFunctions.Utility_DisplayArrayInTable(Fertiliser_SourceData.Fertiliser_Products_Data1(),FertiliserProducts[[#Headers],[Include or Exclude]], 0)</f>
        <v>8.1000000000000003E-2</v>
      </c>
      <c r="U99" s="62" t="str" cm="1">
        <f t="array" ref="U99">Common_InputFunctions.Utility_DisplayArrayInTable(Fertiliser_SourceData.Fertiliser_Products_Data1(),FertiliserProducts[[#Headers],[Include or Exclude]], 0)</f>
        <v>Phosphorus - Generic</v>
      </c>
      <c r="V99" s="10" cm="1">
        <f t="array" ref="V99">Common_InputFunctions.Utility_DisplayArrayInTable(Fertiliser_SourceData.Fertiliser_Products_Data1(),FertiliserProducts[[#Headers],[Include or Exclude]], 0)</f>
        <v>4.7E-2</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1:31" ht="20.100000000000001" customHeight="1" x14ac:dyDescent="0.25">
      <c r="A100"/>
      <c r="D100" s="62" t="str" cm="1">
        <f t="array" ref="D100">Common_InputFunctions.Utility_DisplayArrayInTable(Fertiliser_SourceData.Fertiliser_Products_Data1(),FertiliserProducts[[#Headers],[Include or Exclude]], 0)</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f>
        <v>Asco Fol Plus - Campbells Fertilisers Australasia</v>
      </c>
      <c r="I100" s="62" t="str" cm="1">
        <f t="array" ref="I100">Common_InputFunctions.Utility_DisplayArrayInTable(Fertiliser_SourceData.Fertiliser_Products_Data1(),FertiliserProducts[[#Headers],[Include or Exclude]], 0)</f>
        <v/>
      </c>
      <c r="J100" s="62" t="str" cm="1">
        <f t="array" ref="J100">Common_InputFunctions.Utility_DisplayArrayInTable(Fertiliser_SourceData.Fertiliser_Products_Data1(),FertiliserProducts[[#Headers],[Include or Exclude]], 0)</f>
        <v>Organic - Do not include</v>
      </c>
      <c r="K100" s="62" t="str" cm="1">
        <f t="array" ref="K100">Common_InputFunctions.Utility_DisplayArrayInTable(Fertiliser_SourceData.Fertiliser_Products_Data1(),FertiliserProducts[[#Headers],[Include or Exclude]], 0)</f>
        <v/>
      </c>
      <c r="L100" s="62" t="str" cm="1">
        <f t="array" ref="L100">Common_InputFunctions.Utility_DisplayArrayInTable(Fertiliser_SourceData.Fertiliser_Products_Data1(),FertiliserProducts[[#Headers],[Include or Exclude]], 0)</f>
        <v/>
      </c>
      <c r="M100" s="10" t="str" cm="1">
        <f t="array" ref="M100">Common_InputFunctions.Utility_DisplayArrayInTable(Fertiliser_SourceData.Fertiliser_Products_Data1(),FertiliserProducts[[#Headers],[Include or Exclude]], 0)</f>
        <v/>
      </c>
      <c r="N100" s="62" t="str" cm="1">
        <f t="array" ref="N100">Common_InputFunctions.Utility_DisplayArrayInTable(Fertiliser_SourceData.Fertiliser_Products_Data1(),FertiliserProducts[[#Headers],[Include or Exclude]], 0)</f>
        <v/>
      </c>
      <c r="O100" s="62" t="str" cm="1">
        <f t="array" ref="O100">Common_InputFunctions.Utility_DisplayArrayInTable(Fertiliser_SourceData.Fertiliser_Products_Data1(),FertiliserProducts[[#Headers],[Include or Exclude]], 0)</f>
        <v/>
      </c>
      <c r="P100" s="62" t="str" cm="1">
        <f t="array" ref="P100">Common_InputFunctions.Utility_DisplayArrayInTable(Fertiliser_SourceData.Fertiliser_Products_Data1(),FertiliserProducts[[#Headers],[Include or Exclude]], 0)</f>
        <v/>
      </c>
      <c r="Q100" s="62" t="str" cm="1">
        <f t="array" ref="Q100">Common_InputFunctions.Utility_DisplayArrayInTable(Fertiliser_SourceData.Fertiliser_Products_Data1(),FertiliserProducts[[#Headers],[Include or Exclude]], 0)</f>
        <v/>
      </c>
      <c r="R100" s="62" t="str" cm="1">
        <f t="array" ref="R100">Common_InputFunctions.Utility_DisplayArrayInTable(Fertiliser_SourceData.Fertiliser_Products_Data1(),FertiliserProducts[[#Headers],[Include or Exclude]], 0)</f>
        <v/>
      </c>
      <c r="S100" s="62" t="str" cm="1">
        <f t="array" ref="S100">Common_InputFunctions.Utility_DisplayArrayInTable(Fertiliser_SourceData.Fertiliser_Products_Data1(),FertiliserProducts[[#Headers],[Include or Exclude]], 0)</f>
        <v/>
      </c>
      <c r="T100" s="62" t="str" cm="1">
        <f t="array" ref="T100">Common_InputFunctions.Utility_DisplayArrayInTable(Fertiliser_SourceData.Fertiliser_Products_Data1(),FertiliserProducts[[#Headers],[Include or Exclude]], 0)</f>
        <v/>
      </c>
      <c r="U100" s="62"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1:31" ht="20.100000000000001" customHeight="1" x14ac:dyDescent="0.25">
      <c r="A101"/>
      <c r="D101" s="62" t="str" cm="1">
        <f t="array" ref="D101">Common_InputFunctions.Utility_DisplayArrayInTable(Fertiliser_SourceData.Fertiliser_Products_Data1(),FertiliserProducts[[#Headers],[Include or Exclude]], 0)</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f>
        <v>Asco Plus - Campbells Fertilisers Australasia</v>
      </c>
      <c r="I101" s="62" t="str" cm="1">
        <f t="array" ref="I101">Common_InputFunctions.Utility_DisplayArrayInTable(Fertiliser_SourceData.Fertiliser_Products_Data1(),FertiliserProducts[[#Headers],[Include or Exclude]], 0)</f>
        <v/>
      </c>
      <c r="J101" s="62" t="str" cm="1">
        <f t="array" ref="J101">Common_InputFunctions.Utility_DisplayArrayInTable(Fertiliser_SourceData.Fertiliser_Products_Data1(),FertiliserProducts[[#Headers],[Include or Exclude]], 0)</f>
        <v>Organic - Do not include</v>
      </c>
      <c r="K101" s="62" t="str" cm="1">
        <f t="array" ref="K101">Common_InputFunctions.Utility_DisplayArrayInTable(Fertiliser_SourceData.Fertiliser_Products_Data1(),FertiliserProducts[[#Headers],[Include or Exclude]], 0)</f>
        <v/>
      </c>
      <c r="L101" s="62"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2" t="str" cm="1">
        <f t="array" ref="N101">Common_InputFunctions.Utility_DisplayArrayInTable(Fertiliser_SourceData.Fertiliser_Products_Data1(),FertiliserProducts[[#Headers],[Include or Exclude]], 0)</f>
        <v/>
      </c>
      <c r="O101" s="62" t="str" cm="1">
        <f t="array" ref="O101">Common_InputFunctions.Utility_DisplayArrayInTable(Fertiliser_SourceData.Fertiliser_Products_Data1(),FertiliserProducts[[#Headers],[Include or Exclude]], 0)</f>
        <v/>
      </c>
      <c r="P101" s="62" t="str" cm="1">
        <f t="array" ref="P101">Common_InputFunctions.Utility_DisplayArrayInTable(Fertiliser_SourceData.Fertiliser_Products_Data1(),FertiliserProducts[[#Headers],[Include or Exclude]], 0)</f>
        <v/>
      </c>
      <c r="Q101" s="62" t="str" cm="1">
        <f t="array" ref="Q101">Common_InputFunctions.Utility_DisplayArrayInTable(Fertiliser_SourceData.Fertiliser_Products_Data1(),FertiliserProducts[[#Headers],[Include or Exclude]], 0)</f>
        <v/>
      </c>
      <c r="R101" s="62" t="str" cm="1">
        <f t="array" ref="R101">Common_InputFunctions.Utility_DisplayArrayInTable(Fertiliser_SourceData.Fertiliser_Products_Data1(),FertiliserProducts[[#Headers],[Include or Exclude]], 0)</f>
        <v/>
      </c>
      <c r="S101" s="62" t="str" cm="1">
        <f t="array" ref="S101">Common_InputFunctions.Utility_DisplayArrayInTable(Fertiliser_SourceData.Fertiliser_Products_Data1(),FertiliserProducts[[#Headers],[Include or Exclude]], 0)</f>
        <v/>
      </c>
      <c r="T101" s="62" t="str" cm="1">
        <f t="array" ref="T101">Common_InputFunctions.Utility_DisplayArrayInTable(Fertiliser_SourceData.Fertiliser_Products_Data1(),FertiliserProducts[[#Headers],[Include or Exclude]], 0)</f>
        <v/>
      </c>
      <c r="U101" s="62"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1:31" ht="20.100000000000001" customHeight="1" x14ac:dyDescent="0.25">
      <c r="A102"/>
      <c r="D102" s="62" t="str" cm="1">
        <f t="array" ref="D102">Common_InputFunctions.Utility_DisplayArrayInTable(Fertiliser_SourceData.Fertiliser_Products_Data1(),FertiliserProducts[[#Headers],[Include or Exclude]], 0)</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f>
        <v>Asco Rhizo Plus - Campbells Fertilisers Australasia</v>
      </c>
      <c r="I102" s="62" t="str" cm="1">
        <f t="array" ref="I102">Common_InputFunctions.Utility_DisplayArrayInTable(Fertiliser_SourceData.Fertiliser_Products_Data1(),FertiliserProducts[[#Headers],[Include or Exclude]], 0)</f>
        <v/>
      </c>
      <c r="J102" s="62" t="str" cm="1">
        <f t="array" ref="J102">Common_InputFunctions.Utility_DisplayArrayInTable(Fertiliser_SourceData.Fertiliser_Products_Data1(),FertiliserProducts[[#Headers],[Include or Exclude]], 0)</f>
        <v>Biostimulant - Do not include</v>
      </c>
      <c r="K102" s="62" t="str" cm="1">
        <f t="array" ref="K102">Common_InputFunctions.Utility_DisplayArrayInTable(Fertiliser_SourceData.Fertiliser_Products_Data1(),FertiliserProducts[[#Headers],[Include or Exclude]], 0)</f>
        <v/>
      </c>
      <c r="L102" s="62"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2" t="str" cm="1">
        <f t="array" ref="N102">Common_InputFunctions.Utility_DisplayArrayInTable(Fertiliser_SourceData.Fertiliser_Products_Data1(),FertiliserProducts[[#Headers],[Include or Exclude]], 0)</f>
        <v/>
      </c>
      <c r="O102" s="62" t="str" cm="1">
        <f t="array" ref="O102">Common_InputFunctions.Utility_DisplayArrayInTable(Fertiliser_SourceData.Fertiliser_Products_Data1(),FertiliserProducts[[#Headers],[Include or Exclude]], 0)</f>
        <v/>
      </c>
      <c r="P102" s="62" t="str" cm="1">
        <f t="array" ref="P102">Common_InputFunctions.Utility_DisplayArrayInTable(Fertiliser_SourceData.Fertiliser_Products_Data1(),FertiliserProducts[[#Headers],[Include or Exclude]], 0)</f>
        <v/>
      </c>
      <c r="Q102" s="62" t="str" cm="1">
        <f t="array" ref="Q102">Common_InputFunctions.Utility_DisplayArrayInTable(Fertiliser_SourceData.Fertiliser_Products_Data1(),FertiliserProducts[[#Headers],[Include or Exclude]], 0)</f>
        <v/>
      </c>
      <c r="R102" s="62" t="str" cm="1">
        <f t="array" ref="R102">Common_InputFunctions.Utility_DisplayArrayInTable(Fertiliser_SourceData.Fertiliser_Products_Data1(),FertiliserProducts[[#Headers],[Include or Exclude]], 0)</f>
        <v/>
      </c>
      <c r="S102" s="62" t="str" cm="1">
        <f t="array" ref="S102">Common_InputFunctions.Utility_DisplayArrayInTable(Fertiliser_SourceData.Fertiliser_Products_Data1(),FertiliserProducts[[#Headers],[Include or Exclude]], 0)</f>
        <v/>
      </c>
      <c r="T102" s="62" t="str" cm="1">
        <f t="array" ref="T102">Common_InputFunctions.Utility_DisplayArrayInTable(Fertiliser_SourceData.Fertiliser_Products_Data1(),FertiliserProducts[[#Headers],[Include or Exclude]], 0)</f>
        <v/>
      </c>
      <c r="U102" s="62"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1:31" ht="20.100000000000001" customHeight="1" x14ac:dyDescent="0.25">
      <c r="A103"/>
      <c r="D103" s="62" t="str" cm="1">
        <f t="array" ref="D103">Common_InputFunctions.Utility_DisplayArrayInTable(Fertiliser_SourceData.Fertiliser_Products_Data1(),FertiliserProducts[[#Headers],[Include or Exclude]], 0)</f>
        <v>Exclude - Not relevant</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f>
        <v>Benefit PZ - Campbells Fertilisers Australasia</v>
      </c>
      <c r="I103" s="62" t="str" cm="1">
        <f t="array" ref="I103">Common_InputFunctions.Utility_DisplayArrayInTable(Fertiliser_SourceData.Fertiliser_Products_Data1(),FertiliserProducts[[#Headers],[Include or Exclude]], 0)</f>
        <v/>
      </c>
      <c r="J103" s="62" t="str" cm="1">
        <f t="array" ref="J103">Common_InputFunctions.Utility_DisplayArrayInTable(Fertiliser_SourceData.Fertiliser_Products_Data1(),FertiliserProducts[[#Headers],[Include or Exclude]], 0)</f>
        <v>Not fertiliser - Do not include</v>
      </c>
      <c r="K103" s="62" t="str" cm="1">
        <f t="array" ref="K103">Common_InputFunctions.Utility_DisplayArrayInTable(Fertiliser_SourceData.Fertiliser_Products_Data1(),FertiliserProducts[[#Headers],[Include or Exclude]], 0)</f>
        <v/>
      </c>
      <c r="L103" s="62"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2" t="str" cm="1">
        <f t="array" ref="N103">Common_InputFunctions.Utility_DisplayArrayInTable(Fertiliser_SourceData.Fertiliser_Products_Data1(),FertiliserProducts[[#Headers],[Include or Exclude]], 0)</f>
        <v/>
      </c>
      <c r="O103" s="62" t="str" cm="1">
        <f t="array" ref="O103">Common_InputFunctions.Utility_DisplayArrayInTable(Fertiliser_SourceData.Fertiliser_Products_Data1(),FertiliserProducts[[#Headers],[Include or Exclude]], 0)</f>
        <v/>
      </c>
      <c r="P103" s="62" t="str" cm="1">
        <f t="array" ref="P103">Common_InputFunctions.Utility_DisplayArrayInTable(Fertiliser_SourceData.Fertiliser_Products_Data1(),FertiliserProducts[[#Headers],[Include or Exclude]], 0)</f>
        <v/>
      </c>
      <c r="Q103" s="62" t="str" cm="1">
        <f t="array" ref="Q103">Common_InputFunctions.Utility_DisplayArrayInTable(Fertiliser_SourceData.Fertiliser_Products_Data1(),FertiliserProducts[[#Headers],[Include or Exclude]], 0)</f>
        <v/>
      </c>
      <c r="R103" s="62" t="str" cm="1">
        <f t="array" ref="R103">Common_InputFunctions.Utility_DisplayArrayInTable(Fertiliser_SourceData.Fertiliser_Products_Data1(),FertiliserProducts[[#Headers],[Include or Exclude]], 0)</f>
        <v/>
      </c>
      <c r="S103" s="62" t="str" cm="1">
        <f t="array" ref="S103">Common_InputFunctions.Utility_DisplayArrayInTable(Fertiliser_SourceData.Fertiliser_Products_Data1(),FertiliserProducts[[#Headers],[Include or Exclude]], 0)</f>
        <v/>
      </c>
      <c r="T103" s="62" t="str" cm="1">
        <f t="array" ref="T103">Common_InputFunctions.Utility_DisplayArrayInTable(Fertiliser_SourceData.Fertiliser_Products_Data1(),FertiliserProducts[[#Headers],[Include or Exclude]], 0)</f>
        <v/>
      </c>
      <c r="U103" s="62"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1:31" ht="20.100000000000001" customHeight="1" x14ac:dyDescent="0.25">
      <c r="A104"/>
      <c r="D104" s="62" t="str" cm="1">
        <f t="array" ref="D104">Common_InputFunctions.Utility_DisplayArrayInTable(Fertiliser_SourceData.Fertiliser_Products_Data1(),FertiliserProducts[[#Headers],[Include or Exclude]], 0)</f>
        <v>Include - Absent ingredients &lt; 2%</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f>
        <v>Boost-It - Campbells Fertilisers Australasia</v>
      </c>
      <c r="I104" s="62" t="str" cm="1">
        <f t="array" ref="I104">Common_InputFunctions.Utility_DisplayArrayInTable(Fertiliser_SourceData.Fertiliser_Products_Data1(),FertiliserProducts[[#Headers],[Include or Exclude]], 0)</f>
        <v>Website SDS</v>
      </c>
      <c r="J104" s="62" t="str" cm="1">
        <f t="array" ref="J104">Common_InputFunctions.Utility_DisplayArrayInTable(Fertiliser_SourceData.Fertiliser_Products_Data1(),FertiliserProducts[[#Headers],[Include or Exclude]], 0)</f>
        <v/>
      </c>
      <c r="K104" s="62" t="str" cm="1">
        <f t="array" ref="K104">Common_InputFunctions.Utility_DisplayArrayInTable(Fertiliser_SourceData.Fertiliser_Products_Data1(),FertiliserProducts[[#Headers],[Include or Exclude]], 0)</f>
        <v>kg</v>
      </c>
      <c r="L104" s="62" cm="1">
        <f t="array" ref="L104">Common_InputFunctions.Utility_DisplayArrayInTable(Fertiliser_SourceData.Fertiliser_Products_Data1(),FertiliserProducts[[#Headers],[Include or Exclude]], 0)</f>
        <v>1</v>
      </c>
      <c r="M104" s="10" t="str" cm="1">
        <f t="array" ref="M104">Common_InputFunctions.Utility_DisplayArrayInTable(Fertiliser_SourceData.Fertiliser_Products_Data1(),FertiliserProducts[[#Headers],[Include or Exclude]], 0)</f>
        <v/>
      </c>
      <c r="N104" s="62" t="str" cm="1">
        <f t="array" ref="N104">Common_InputFunctions.Utility_DisplayArrayInTable(Fertiliser_SourceData.Fertiliser_Products_Data1(),FertiliserProducts[[#Headers],[Include or Exclude]], 0)</f>
        <v/>
      </c>
      <c r="O104" s="62" t="str" cm="1">
        <f t="array" ref="O104">Common_InputFunctions.Utility_DisplayArrayInTable(Fertiliser_SourceData.Fertiliser_Products_Data1(),FertiliserProducts[[#Headers],[Include or Exclude]], 0)</f>
        <v>Urea</v>
      </c>
      <c r="P104" s="62" cm="1">
        <f t="array" ref="P104">Common_InputFunctions.Utility_DisplayArrayInTable(Fertiliser_SourceData.Fertiliser_Products_Data1(),FertiliserProducts[[#Headers],[Include or Exclude]], 0)</f>
        <v>0.52173913000000005</v>
      </c>
      <c r="Q104" s="62" t="str" cm="1">
        <f t="array" ref="Q104">Common_InputFunctions.Utility_DisplayArrayInTable(Fertiliser_SourceData.Fertiliser_Products_Data1(),FertiliserProducts[[#Headers],[Include or Exclude]], 0)</f>
        <v>Potassium - Generic</v>
      </c>
      <c r="R104" s="62" cm="1">
        <f t="array" ref="R104">Common_InputFunctions.Utility_DisplayArrayInTable(Fertiliser_SourceData.Fertiliser_Products_Data1(),FertiliserProducts[[#Headers],[Include or Exclude]], 0)</f>
        <v>0.08</v>
      </c>
      <c r="S104" s="62" t="str" cm="1">
        <f t="array" ref="S104">Common_InputFunctions.Utility_DisplayArrayInTable(Fertiliser_SourceData.Fertiliser_Products_Data1(),FertiliserProducts[[#Headers],[Include or Exclude]], 0)</f>
        <v>Sulfur - Generic</v>
      </c>
      <c r="T104" s="62" cm="1">
        <f t="array" ref="T104">Common_InputFunctions.Utility_DisplayArrayInTable(Fertiliser_SourceData.Fertiliser_Products_Data1(),FertiliserProducts[[#Headers],[Include or Exclude]], 0)</f>
        <v>5.2999999999999999E-2</v>
      </c>
      <c r="U104" s="62" t="str" cm="1">
        <f t="array" ref="U104">Common_InputFunctions.Utility_DisplayArrayInTable(Fertiliser_SourceData.Fertiliser_Products_Data1(),FertiliserProducts[[#Headers],[Include or Exclude]], 0)</f>
        <v>Phosphorus - Generic</v>
      </c>
      <c r="V104" s="10" cm="1">
        <f t="array" ref="V104">Common_InputFunctions.Utility_DisplayArrayInTable(Fertiliser_SourceData.Fertiliser_Products_Data1(),FertiliserProducts[[#Headers],[Include or Exclude]], 0)</f>
        <v>5.1999999999999998E-2</v>
      </c>
      <c r="W104" s="10" t="str" cm="1">
        <f t="array" ref="W104">Common_InputFunctions.Utility_DisplayArrayInTable(Fertiliser_SourceData.Fertiliser_Products_Data1(),FertiliserProducts[[#Headers],[Include or Exclude]], 0)</f>
        <v>Magnesium</v>
      </c>
      <c r="X104" s="10" cm="1">
        <f t="array" ref="X104">Common_InputFunctions.Utility_DisplayArrayInTable(Fertiliser_SourceData.Fertiliser_Products_Data1(),FertiliserProducts[[#Headers],[Include or Exclude]], 0)</f>
        <v>1.2999999999999999E-2</v>
      </c>
      <c r="Y104" s="10" t="str" cm="1">
        <f t="array" ref="Y104">Common_InputFunctions.Utility_DisplayArrayInTable(Fertiliser_SourceData.Fertiliser_Products_Data1(),FertiliserProducts[[#Headers],[Include or Exclude]], 0)</f>
        <v>Zinc</v>
      </c>
      <c r="Z104" s="10" cm="1">
        <f t="array" ref="Z104">Common_InputFunctions.Utility_DisplayArrayInTable(Fertiliser_SourceData.Fertiliser_Products_Data1(),FertiliserProducts[[#Headers],[Include or Exclude]], 0)</f>
        <v>2E-3</v>
      </c>
      <c r="AA104" s="10" t="str" cm="1">
        <f t="array" ref="AA104">Common_InputFunctions.Utility_DisplayArrayInTable(Fertiliser_SourceData.Fertiliser_Products_Data1(),FertiliserProducts[[#Headers],[Include or Exclude]], 0)</f>
        <v>Manganese</v>
      </c>
      <c r="AB104" s="10" cm="1">
        <f t="array" ref="AB104">Common_InputFunctions.Utility_DisplayArrayInTable(Fertiliser_SourceData.Fertiliser_Products_Data1(),FertiliserProducts[[#Headers],[Include or Exclude]], 0)</f>
        <v>3.5000000000000001E-3</v>
      </c>
      <c r="AC104" s="10" t="str" cm="1">
        <f t="array" ref="AC104">Common_InputFunctions.Utility_DisplayArrayInTable(Fertiliser_SourceData.Fertiliser_Products_Data1(),FertiliserProducts[[#Headers],[Include or Exclude]], 0)</f>
        <v>Iron</v>
      </c>
      <c r="AD104" s="10" cm="1">
        <f t="array" ref="AD104">Common_InputFunctions.Utility_DisplayArrayInTable(Fertiliser_SourceData.Fertiliser_Products_Data1(),FertiliserProducts[[#Headers],[Include or Exclude]], 0)</f>
        <v>1.2999999999999999E-3</v>
      </c>
      <c r="AE104" s="10" t="str" cm="1">
        <f t="array" ref="AE104">Common_InputFunctions.Utility_DisplayArrayInTable(Fertiliser_SourceData.Fertiliser_Products_Data1(),FertiliserProducts[[#Headers],[Include or Exclude]], 0)</f>
        <v>Copper</v>
      </c>
    </row>
    <row r="105" spans="1:31" ht="20.100000000000001" customHeight="1" x14ac:dyDescent="0.25">
      <c r="A105"/>
      <c r="D105" s="62" t="str" cm="1">
        <f t="array" ref="D105">Common_InputFunctions.Utility_DisplayArrayInTable(Fertiliser_SourceData.Fertiliser_Products_Data1(),FertiliserProducts[[#Headers],[Include or Exclude]], 0)</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f>
        <v>Boroplus - Campbells Fertilisers Australasia</v>
      </c>
      <c r="I105" s="62" t="str" cm="1">
        <f t="array" ref="I105">Common_InputFunctions.Utility_DisplayArrayInTable(Fertiliser_SourceData.Fertiliser_Products_Data1(),FertiliserProducts[[#Headers],[Include or Exclude]], 0)</f>
        <v/>
      </c>
      <c r="J105" s="62" t="str" cm="1">
        <f t="array" ref="J105">Common_InputFunctions.Utility_DisplayArrayInTable(Fertiliser_SourceData.Fertiliser_Products_Data1(),FertiliserProducts[[#Headers],[Include or Exclude]], 0)</f>
        <v>Not fertiliser - Do not include</v>
      </c>
      <c r="K105" s="62" t="str" cm="1">
        <f t="array" ref="K105">Common_InputFunctions.Utility_DisplayArrayInTable(Fertiliser_SourceData.Fertiliser_Products_Data1(),FertiliserProducts[[#Headers],[Include or Exclude]], 0)</f>
        <v/>
      </c>
      <c r="L105" s="62"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2" t="str" cm="1">
        <f t="array" ref="N105">Common_InputFunctions.Utility_DisplayArrayInTable(Fertiliser_SourceData.Fertiliser_Products_Data1(),FertiliserProducts[[#Headers],[Include or Exclude]], 0)</f>
        <v/>
      </c>
      <c r="O105" s="62" t="str" cm="1">
        <f t="array" ref="O105">Common_InputFunctions.Utility_DisplayArrayInTable(Fertiliser_SourceData.Fertiliser_Products_Data1(),FertiliserProducts[[#Headers],[Include or Exclude]], 0)</f>
        <v/>
      </c>
      <c r="P105" s="62" t="str" cm="1">
        <f t="array" ref="P105">Common_InputFunctions.Utility_DisplayArrayInTable(Fertiliser_SourceData.Fertiliser_Products_Data1(),FertiliserProducts[[#Headers],[Include or Exclude]], 0)</f>
        <v/>
      </c>
      <c r="Q105" s="62" t="str" cm="1">
        <f t="array" ref="Q105">Common_InputFunctions.Utility_DisplayArrayInTable(Fertiliser_SourceData.Fertiliser_Products_Data1(),FertiliserProducts[[#Headers],[Include or Exclude]], 0)</f>
        <v/>
      </c>
      <c r="R105" s="62" t="str" cm="1">
        <f t="array" ref="R105">Common_InputFunctions.Utility_DisplayArrayInTable(Fertiliser_SourceData.Fertiliser_Products_Data1(),FertiliserProducts[[#Headers],[Include or Exclude]], 0)</f>
        <v/>
      </c>
      <c r="S105" s="62" t="str" cm="1">
        <f t="array" ref="S105">Common_InputFunctions.Utility_DisplayArrayInTable(Fertiliser_SourceData.Fertiliser_Products_Data1(),FertiliserProducts[[#Headers],[Include or Exclude]], 0)</f>
        <v/>
      </c>
      <c r="T105" s="62" t="str" cm="1">
        <f t="array" ref="T105">Common_InputFunctions.Utility_DisplayArrayInTable(Fertiliser_SourceData.Fertiliser_Products_Data1(),FertiliserProducts[[#Headers],[Include or Exclude]], 0)</f>
        <v/>
      </c>
      <c r="U105" s="62"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1:31" ht="20.100000000000001" customHeight="1" x14ac:dyDescent="0.25">
      <c r="A106"/>
      <c r="D106" s="62" t="str" cm="1">
        <f t="array" ref="D106">Common_InputFunctions.Utility_DisplayArrayInTable(Fertiliser_SourceData.Fertiliser_Products_Data1(),FertiliserProducts[[#Headers],[Include or Exclude]], 0)</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f>
        <v>BreviSol Range - Campbells Fertilisers Australasia</v>
      </c>
      <c r="I106" s="62" t="str" cm="1">
        <f t="array" ref="I106">Common_InputFunctions.Utility_DisplayArrayInTable(Fertiliser_SourceData.Fertiliser_Products_Data1(),FertiliserProducts[[#Headers],[Include or Exclude]], 0)</f>
        <v/>
      </c>
      <c r="J106" s="62" t="str" cm="1">
        <f t="array" ref="J106">Common_InputFunctions.Utility_DisplayArrayInTable(Fertiliser_SourceData.Fertiliser_Products_Data1(),FertiliserProducts[[#Headers],[Include or Exclude]], 0)</f>
        <v>Not fertiliser - Do not include</v>
      </c>
      <c r="K106" s="62" t="str" cm="1">
        <f t="array" ref="K106">Common_InputFunctions.Utility_DisplayArrayInTable(Fertiliser_SourceData.Fertiliser_Products_Data1(),FertiliserProducts[[#Headers],[Include or Exclude]], 0)</f>
        <v/>
      </c>
      <c r="L106" s="62"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2" t="str" cm="1">
        <f t="array" ref="N106">Common_InputFunctions.Utility_DisplayArrayInTable(Fertiliser_SourceData.Fertiliser_Products_Data1(),FertiliserProducts[[#Headers],[Include or Exclude]], 0)</f>
        <v/>
      </c>
      <c r="O106" s="62" t="str" cm="1">
        <f t="array" ref="O106">Common_InputFunctions.Utility_DisplayArrayInTable(Fertiliser_SourceData.Fertiliser_Products_Data1(),FertiliserProducts[[#Headers],[Include or Exclude]], 0)</f>
        <v/>
      </c>
      <c r="P106" s="62" t="str" cm="1">
        <f t="array" ref="P106">Common_InputFunctions.Utility_DisplayArrayInTable(Fertiliser_SourceData.Fertiliser_Products_Data1(),FertiliserProducts[[#Headers],[Include or Exclude]], 0)</f>
        <v/>
      </c>
      <c r="Q106" s="62" t="str" cm="1">
        <f t="array" ref="Q106">Common_InputFunctions.Utility_DisplayArrayInTable(Fertiliser_SourceData.Fertiliser_Products_Data1(),FertiliserProducts[[#Headers],[Include or Exclude]], 0)</f>
        <v/>
      </c>
      <c r="R106" s="62" t="str" cm="1">
        <f t="array" ref="R106">Common_InputFunctions.Utility_DisplayArrayInTable(Fertiliser_SourceData.Fertiliser_Products_Data1(),FertiliserProducts[[#Headers],[Include or Exclude]], 0)</f>
        <v/>
      </c>
      <c r="S106" s="62" t="str" cm="1">
        <f t="array" ref="S106">Common_InputFunctions.Utility_DisplayArrayInTable(Fertiliser_SourceData.Fertiliser_Products_Data1(),FertiliserProducts[[#Headers],[Include or Exclude]], 0)</f>
        <v/>
      </c>
      <c r="T106" s="62" t="str" cm="1">
        <f t="array" ref="T106">Common_InputFunctions.Utility_DisplayArrayInTable(Fertiliser_SourceData.Fertiliser_Products_Data1(),FertiliserProducts[[#Headers],[Include or Exclude]], 0)</f>
        <v/>
      </c>
      <c r="U106" s="62"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1:31" ht="20.100000000000001" customHeight="1" x14ac:dyDescent="0.25">
      <c r="A107"/>
      <c r="D107" s="62" t="str" cm="1">
        <f t="array" ref="D107">Common_InputFunctions.Utility_DisplayArrayInTable(Fertiliser_SourceData.Fertiliser_Products_Data1(),FertiliserProducts[[#Headers],[Include or Exclude]], 0)</f>
        <v>Exclude - Not relevant</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f>
        <v>Brexil Line - Campbells Fertilisers Australasia</v>
      </c>
      <c r="I107" s="62" t="str" cm="1">
        <f t="array" ref="I107">Common_InputFunctions.Utility_DisplayArrayInTable(Fertiliser_SourceData.Fertiliser_Products_Data1(),FertiliserProducts[[#Headers],[Include or Exclude]], 0)</f>
        <v/>
      </c>
      <c r="J107" s="62" t="str" cm="1">
        <f t="array" ref="J107">Common_InputFunctions.Utility_DisplayArrayInTable(Fertiliser_SourceData.Fertiliser_Products_Data1(),FertiliserProducts[[#Headers],[Include or Exclude]], 0)</f>
        <v>Not fertiliser - Do not include</v>
      </c>
      <c r="K107" s="62" t="str" cm="1">
        <f t="array" ref="K107">Common_InputFunctions.Utility_DisplayArrayInTable(Fertiliser_SourceData.Fertiliser_Products_Data1(),FertiliserProducts[[#Headers],[Include or Exclude]], 0)</f>
        <v/>
      </c>
      <c r="L107" s="62"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2" t="str" cm="1">
        <f t="array" ref="N107">Common_InputFunctions.Utility_DisplayArrayInTable(Fertiliser_SourceData.Fertiliser_Products_Data1(),FertiliserProducts[[#Headers],[Include or Exclude]], 0)</f>
        <v/>
      </c>
      <c r="O107" s="62" t="str" cm="1">
        <f t="array" ref="O107">Common_InputFunctions.Utility_DisplayArrayInTable(Fertiliser_SourceData.Fertiliser_Products_Data1(),FertiliserProducts[[#Headers],[Include or Exclude]], 0)</f>
        <v/>
      </c>
      <c r="P107" s="62" t="str" cm="1">
        <f t="array" ref="P107">Common_InputFunctions.Utility_DisplayArrayInTable(Fertiliser_SourceData.Fertiliser_Products_Data1(),FertiliserProducts[[#Headers],[Include or Exclude]], 0)</f>
        <v/>
      </c>
      <c r="Q107" s="62" t="str" cm="1">
        <f t="array" ref="Q107">Common_InputFunctions.Utility_DisplayArrayInTable(Fertiliser_SourceData.Fertiliser_Products_Data1(),FertiliserProducts[[#Headers],[Include or Exclude]], 0)</f>
        <v/>
      </c>
      <c r="R107" s="62" t="str" cm="1">
        <f t="array" ref="R107">Common_InputFunctions.Utility_DisplayArrayInTable(Fertiliser_SourceData.Fertiliser_Products_Data1(),FertiliserProducts[[#Headers],[Include or Exclude]], 0)</f>
        <v/>
      </c>
      <c r="S107" s="62" t="str" cm="1">
        <f t="array" ref="S107">Common_InputFunctions.Utility_DisplayArrayInTable(Fertiliser_SourceData.Fertiliser_Products_Data1(),FertiliserProducts[[#Headers],[Include or Exclude]], 0)</f>
        <v/>
      </c>
      <c r="T107" s="62" t="str" cm="1">
        <f t="array" ref="T107">Common_InputFunctions.Utility_DisplayArrayInTable(Fertiliser_SourceData.Fertiliser_Products_Data1(),FertiliserProducts[[#Headers],[Include or Exclude]], 0)</f>
        <v/>
      </c>
      <c r="U107" s="62"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1:31" ht="20.100000000000001" customHeight="1" x14ac:dyDescent="0.25">
      <c r="A108"/>
      <c r="D108" s="62" t="str" cm="1">
        <f t="array" ref="D108">Common_InputFunctions.Utility_DisplayArrayInTable(Fertiliser_SourceData.Fertiliser_Products_Data1(),FertiliserProducts[[#Headers],[Include or Exclude]], 0)</f>
        <v>Include</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f>
        <v>Bronze - Campbells Fertilisers Australasia</v>
      </c>
      <c r="I108" s="62" t="str" cm="1">
        <f t="array" ref="I108">Common_InputFunctions.Utility_DisplayArrayInTable(Fertiliser_SourceData.Fertiliser_Products_Data1(),FertiliserProducts[[#Headers],[Include or Exclude]], 0)</f>
        <v>Website</v>
      </c>
      <c r="J108" s="62" t="str" cm="1">
        <f t="array" ref="J108">Common_InputFunctions.Utility_DisplayArrayInTable(Fertiliser_SourceData.Fertiliser_Products_Data1(),FertiliserProducts[[#Headers],[Include or Exclude]], 0)</f>
        <v/>
      </c>
      <c r="K108" s="62" t="str" cm="1">
        <f t="array" ref="K108">Common_InputFunctions.Utility_DisplayArrayInTable(Fertiliser_SourceData.Fertiliser_Products_Data1(),FertiliserProducts[[#Headers],[Include or Exclude]], 0)</f>
        <v>kg</v>
      </c>
      <c r="L108" s="62"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2" t="str" cm="1">
        <f t="array" ref="N108">Common_InputFunctions.Utility_DisplayArrayInTable(Fertiliser_SourceData.Fertiliser_Products_Data1(),FertiliserProducts[[#Headers],[Include or Exclude]], 0)</f>
        <v/>
      </c>
      <c r="O108" s="62" t="str" cm="1">
        <f t="array" ref="O108">Common_InputFunctions.Utility_DisplayArrayInTable(Fertiliser_SourceData.Fertiliser_Products_Data1(),FertiliserProducts[[#Headers],[Include or Exclude]], 0)</f>
        <v>Muriate of Potash (MOP)</v>
      </c>
      <c r="P108" s="62" cm="1">
        <f t="array" ref="P108">Common_InputFunctions.Utility_DisplayArrayInTable(Fertiliser_SourceData.Fertiliser_Products_Data1(),FertiliserProducts[[#Headers],[Include or Exclude]], 0)</f>
        <v>0.23200000000000001</v>
      </c>
      <c r="Q108" s="62" t="str" cm="1">
        <f t="array" ref="Q108">Common_InputFunctions.Utility_DisplayArrayInTable(Fertiliser_SourceData.Fertiliser_Products_Data1(),FertiliserProducts[[#Headers],[Include or Exclude]], 0)</f>
        <v>Nitrogen - Generic</v>
      </c>
      <c r="R108" s="62" cm="1">
        <f t="array" ref="R108">Common_InputFunctions.Utility_DisplayArrayInTable(Fertiliser_SourceData.Fertiliser_Products_Data1(),FertiliserProducts[[#Headers],[Include or Exclude]], 0)</f>
        <v>0.17</v>
      </c>
      <c r="S108" s="62" t="str" cm="1">
        <f t="array" ref="S108">Common_InputFunctions.Utility_DisplayArrayInTable(Fertiliser_SourceData.Fertiliser_Products_Data1(),FertiliserProducts[[#Headers],[Include or Exclude]], 0)</f>
        <v>Sulfur - Generic</v>
      </c>
      <c r="T108" s="62" cm="1">
        <f t="array" ref="T108">Common_InputFunctions.Utility_DisplayArrayInTable(Fertiliser_SourceData.Fertiliser_Products_Data1(),FertiliserProducts[[#Headers],[Include or Exclude]], 0)</f>
        <v>5.0000000000000001E-3</v>
      </c>
      <c r="U108" s="62" t="str" cm="1">
        <f t="array" ref="U108">Common_InputFunctions.Utility_DisplayArrayInTable(Fertiliser_SourceData.Fertiliser_Products_Data1(),FertiliserProducts[[#Headers],[Include or Exclude]], 0)</f>
        <v>Magnesium</v>
      </c>
      <c r="V108" s="10" cm="1">
        <f t="array" ref="V108">Common_InputFunctions.Utility_DisplayArrayInTable(Fertiliser_SourceData.Fertiliser_Products_Data1(),FertiliserProducts[[#Headers],[Include or Exclude]], 0)</f>
        <v>2.3999999999999998E-3</v>
      </c>
      <c r="W108" s="10" t="str" cm="1">
        <f t="array" ref="W108">Common_InputFunctions.Utility_DisplayArrayInTable(Fertiliser_SourceData.Fertiliser_Products_Data1(),FertiliserProducts[[#Headers],[Include or Exclude]], 0)</f>
        <v>Phosphorus - Generic</v>
      </c>
      <c r="X108" s="10" cm="1">
        <f t="array" ref="X108">Common_InputFunctions.Utility_DisplayArrayInTable(Fertiliser_SourceData.Fertiliser_Products_Data1(),FertiliserProducts[[#Headers],[Include or Exclude]], 0)</f>
        <v>4.0000000000000002E-4</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1:31" ht="20.100000000000001" customHeight="1" x14ac:dyDescent="0.25">
      <c r="A109"/>
      <c r="D109" s="62" t="str" cm="1">
        <f t="array" ref="D109">Common_InputFunctions.Utility_DisplayArrayInTable(Fertiliser_SourceData.Fertiliser_Products_Data2(),FertiliserProducts[[#Headers],[Include or Exclude]], 20)</f>
        <v>Product</v>
      </c>
      <c r="E109" s="62" t="str" cm="1">
        <f t="array" ref="E109">Common_InputFunctions.Utility_DisplayArrayInTable(Fertiliser_SourceData.Fertiliser_Products_Data2(),FertiliserProducts[[#Headers],[Include or Exclude]], 20)</f>
        <v>Ingredient 1</v>
      </c>
      <c r="F109" s="62" t="str" cm="1">
        <f t="array" ref="F109">Common_InputFunctions.Utility_DisplayArrayInTable(Fertiliser_SourceData.Fertiliser_Products_Data2(),FertiliserProducts[[#Headers],[Include or Exclude]], 20)</f>
        <v>Ingredient 1 percent</v>
      </c>
      <c r="G109" s="62" t="str" cm="1">
        <f t="array" ref="G109">Common_InputFunctions.Utility_DisplayArrayInTable(Fertiliser_SourceData.Fertiliser_Products_Data2(),FertiliserProducts[[#Headers],[Include or Exclude]], 20)</f>
        <v>Ingredient 1 source</v>
      </c>
      <c r="H109" s="62" t="str" cm="1">
        <f t="array" ref="H109">Common_InputFunctions.Utility_DisplayArrayInTable(Fertiliser_SourceData.Fertiliser_Products_Data2(),FertiliserProducts[[#Headers],[Include or Exclude]], 20)</f>
        <v>Ingredient 2</v>
      </c>
      <c r="I109" s="62" t="str" cm="1">
        <f t="array" ref="I109">Common_InputFunctions.Utility_DisplayArrayInTable(Fertiliser_SourceData.Fertiliser_Products_Data2(),FertiliserProducts[[#Headers],[Include or Exclude]], 20)</f>
        <v>Ingredient 2 percent</v>
      </c>
      <c r="J109" s="62" t="str" cm="1">
        <f t="array" ref="J109">Common_InputFunctions.Utility_DisplayArrayInTable(Fertiliser_SourceData.Fertiliser_Products_Data2(),FertiliserProducts[[#Headers],[Include or Exclude]], 20)</f>
        <v>Ingredient 2 source</v>
      </c>
      <c r="K109" s="62" t="str" cm="1">
        <f t="array" ref="K109">Common_InputFunctions.Utility_DisplayArrayInTable(Fertiliser_SourceData.Fertiliser_Products_Data2(),FertiliserProducts[[#Headers],[Include or Exclude]], 20)</f>
        <v>Ingredient 3</v>
      </c>
      <c r="L109" s="62" t="str" cm="1">
        <f t="array" ref="L109">Common_InputFunctions.Utility_DisplayArrayInTable(Fertiliser_SourceData.Fertiliser_Products_Data2(),FertiliserProducts[[#Headers],[Include or Exclude]], 20)</f>
        <v>Ingredient 3 percent</v>
      </c>
      <c r="M109" s="62" t="str" cm="1">
        <f t="array" ref="M109">Common_InputFunctions.Utility_DisplayArrayInTable(Fertiliser_SourceData.Fertiliser_Products_Data2(),FertiliserProducts[[#Headers],[Include or Exclude]], 20)</f>
        <v>Ingredient 3 source</v>
      </c>
      <c r="N109" s="62" t="str" cm="1">
        <f t="array" ref="N109">Common_InputFunctions.Utility_DisplayArrayInTable(Fertiliser_SourceData.Fertiliser_Products_Data2(),FertiliserProducts[[#Headers],[Include or Exclude]], 20)</f>
        <v>Ingredient 4</v>
      </c>
      <c r="O109" s="62" t="str" cm="1">
        <f t="array" ref="O109">Common_InputFunctions.Utility_DisplayArrayInTable(Fertiliser_SourceData.Fertiliser_Products_Data2(),FertiliserProducts[[#Headers],[Include or Exclude]], 20)</f>
        <v>Ingredient 4 percent</v>
      </c>
      <c r="P109" s="62" t="str" cm="1">
        <f t="array" ref="P109">Common_InputFunctions.Utility_DisplayArrayInTable(Fertiliser_SourceData.Fertiliser_Products_Data2(),FertiliserProducts[[#Headers],[Include or Exclude]], 20)</f>
        <v>Ingredient 4 source</v>
      </c>
      <c r="Q109" s="62" t="str" cm="1">
        <f t="array" ref="Q109">Common_InputFunctions.Utility_DisplayArrayInTable(Fertiliser_SourceData.Fertiliser_Products_Data2(),FertiliserProducts[[#Headers],[Include or Exclude]], 20)</f>
        <v>Ingredient 5</v>
      </c>
      <c r="R109" s="62" t="str" cm="1">
        <f t="array" ref="R109">Common_InputFunctions.Utility_DisplayArrayInTable(Fertiliser_SourceData.Fertiliser_Products_Data2(),FertiliserProducts[[#Headers],[Include or Exclude]], 20)</f>
        <v>Ingredient 5 percent</v>
      </c>
      <c r="S109" s="62" t="str" cm="1">
        <f t="array" ref="S109">Common_InputFunctions.Utility_DisplayArrayInTable(Fertiliser_SourceData.Fertiliser_Products_Data2(),FertiliserProducts[[#Headers],[Include or Exclude]], 20)</f>
        <v>Ingredient 5 source</v>
      </c>
      <c r="T109" s="62" t="str" cm="1">
        <f t="array" ref="T109">Common_InputFunctions.Utility_DisplayArrayInTable(Fertiliser_SourceData.Fertiliser_Products_Data2(),FertiliserProducts[[#Headers],[Include or Exclude]], 20)</f>
        <v>Ingredient 6</v>
      </c>
      <c r="U109" s="62" t="str" cm="1">
        <f t="array" ref="U109">Common_InputFunctions.Utility_DisplayArrayInTable(Fertiliser_SourceData.Fertiliser_Products_Data2(),FertiliserProducts[[#Headers],[Include or Exclude]], 20)</f>
        <v>Ingredient 6 percent</v>
      </c>
      <c r="V109" s="62" t="str" cm="1">
        <f t="array" ref="V109">Common_InputFunctions.Utility_DisplayArrayInTable(Fertiliser_SourceData.Fertiliser_Products_Data2(),FertiliserProducts[[#Headers],[Include or Exclude]], 20)</f>
        <v>Ingredient 6 source</v>
      </c>
      <c r="W109" s="62" t="str" cm="1">
        <f t="array" ref="W109">Common_InputFunctions.Utility_DisplayArrayInTable(Fertiliser_SourceData.Fertiliser_Products_Data2(),FertiliserProducts[[#Headers],[Include or Exclude]], 20)</f>
        <v>Product info link</v>
      </c>
      <c r="X109" s="62" t="str" cm="1">
        <f t="array" ref="X109">Common_InputFunctions.Utility_DisplayArrayInTable(Fertiliser_SourceData.Fertiliser_Products_Data2(),FertiliserProducts[[#Headers],[Include or Exclude]], 20)</f>
        <v/>
      </c>
      <c r="Y109" s="62" t="str" cm="1">
        <f t="array" ref="Y109">Common_InputFunctions.Utility_DisplayArrayInTable(Fertiliser_SourceData.Fertiliser_Products_Data2(),FertiliserProducts[[#Headers],[Include or Exclude]], 20)</f>
        <v/>
      </c>
      <c r="Z109" s="62" t="str" cm="1">
        <f t="array" ref="Z109">Common_InputFunctions.Utility_DisplayArrayInTable(Fertiliser_SourceData.Fertiliser_Products_Data2(),FertiliserProducts[[#Headers],[Include or Exclude]], 20)</f>
        <v/>
      </c>
      <c r="AA109" s="10" t="str" cm="1">
        <f t="array" ref="AA109">Common_InputFunctions.Utility_DisplayArrayInTable(Fertiliser_SourceData.Fertiliser_Products_Data2(),FertiliserProducts[[#Headers],[Include or Exclude]], 20)</f>
        <v/>
      </c>
      <c r="AB109" s="10" t="str" cm="1">
        <f t="array" ref="AB109">Common_InputFunctions.Utility_DisplayArrayInTable(Fertiliser_SourceData.Fertiliser_Products_Data2(),FertiliserProducts[[#Headers],[Include or Exclude]], 20)</f>
        <v/>
      </c>
      <c r="AC109" s="10" t="str" cm="1">
        <f t="array" ref="AC109">Common_InputFunctions.Utility_DisplayArrayInTable(Fertiliser_SourceData.Fertiliser_Products_Data2(),FertiliserProducts[[#Headers],[Include or Exclude]], 20)</f>
        <v/>
      </c>
      <c r="AD109" s="10" t="str" cm="1">
        <f t="array" ref="AD109">Common_InputFunctions.Utility_DisplayArrayInTable(Fertiliser_SourceData.Fertiliser_Products_Data2(),FertiliserProducts[[#Headers],[Include or Exclude]], 20)</f>
        <v/>
      </c>
      <c r="AE109" s="10" t="str" cm="1">
        <f t="array" ref="AE109">Common_InputFunctions.Utility_DisplayArrayInTable(Fertiliser_SourceData.Fertiliser_Products_Data2(),FertiliserProducts[[#Headers],[Include or Exclude]], 20)</f>
        <v/>
      </c>
    </row>
    <row r="110" spans="1:31" ht="20.100000000000001" customHeight="1" x14ac:dyDescent="0.25">
      <c r="A110"/>
      <c r="D110" s="62" t="str" cm="1">
        <f t="array" ref="D110">Common_InputFunctions.Utility_DisplayArrayInTable(Fertiliser_SourceData.Fertiliser_Products_Data2(),FertiliserProducts[[#Headers],[Include or Exclude]], 20)</f>
        <v>Manganese Sulphate</v>
      </c>
      <c r="E110" s="62" t="str" cm="1">
        <f t="array" ref="E110">Common_InputFunctions.Utility_DisplayArrayInTable(Fertiliser_SourceData.Fertiliser_Products_Data2(),FertiliserProducts[[#Headers],[Include or Exclude]], 20)</f>
        <v/>
      </c>
      <c r="F110" s="62" t="str" cm="1">
        <f t="array" ref="F110">Common_InputFunctions.Utility_DisplayArrayInTable(Fertiliser_SourceData.Fertiliser_Products_Data2(),FertiliserProducts[[#Headers],[Include or Exclude]], 20)</f>
        <v/>
      </c>
      <c r="G110" s="62" t="str" cm="1">
        <f t="array" ref="G110">Common_InputFunctions.Utility_DisplayArrayInTable(Fertiliser_SourceData.Fertiliser_Products_Data2(),FertiliserProducts[[#Headers],[Include or Exclude]], 20)</f>
        <v/>
      </c>
      <c r="H110" s="62" t="str" cm="1">
        <f t="array" ref="H110">Common_InputFunctions.Utility_DisplayArrayInTable(Fertiliser_SourceData.Fertiliser_Products_Data2(),FertiliserProducts[[#Headers],[Include or Exclude]], 20)</f>
        <v/>
      </c>
      <c r="I110" s="62" t="str" cm="1">
        <f t="array" ref="I110">Common_InputFunctions.Utility_DisplayArrayInTable(Fertiliser_SourceData.Fertiliser_Products_Data2(),FertiliserProducts[[#Headers],[Include or Exclude]], 20)</f>
        <v/>
      </c>
      <c r="J110" s="62" t="str" cm="1">
        <f t="array" ref="J110">Common_InputFunctions.Utility_DisplayArrayInTable(Fertiliser_SourceData.Fertiliser_Products_Data2(),FertiliserProducts[[#Headers],[Include or Exclude]], 20)</f>
        <v/>
      </c>
      <c r="K110" s="62" t="str" cm="1">
        <f t="array" ref="K110">Common_InputFunctions.Utility_DisplayArrayInTable(Fertiliser_SourceData.Fertiliser_Products_Data2(),FertiliserProducts[[#Headers],[Include or Exclude]], 20)</f>
        <v/>
      </c>
      <c r="L110" s="62" t="str" cm="1">
        <f t="array" ref="L110">Common_InputFunctions.Utility_DisplayArrayInTable(Fertiliser_SourceData.Fertiliser_Products_Data2(),FertiliserProducts[[#Headers],[Include or Exclude]], 20)</f>
        <v/>
      </c>
      <c r="M110" s="62" t="str" cm="1">
        <f t="array" ref="M110">Common_InputFunctions.Utility_DisplayArrayInTable(Fertiliser_SourceData.Fertiliser_Products_Data2(),FertiliserProducts[[#Headers],[Include or Exclude]], 20)</f>
        <v/>
      </c>
      <c r="N110" s="62" t="str" cm="1">
        <f t="array" ref="N110">Common_InputFunctions.Utility_DisplayArrayInTable(Fertiliser_SourceData.Fertiliser_Products_Data2(),FertiliserProducts[[#Headers],[Include or Exclude]], 20)</f>
        <v/>
      </c>
      <c r="O110" s="62" t="str" cm="1">
        <f t="array" ref="O110">Common_InputFunctions.Utility_DisplayArrayInTable(Fertiliser_SourceData.Fertiliser_Products_Data2(),FertiliserProducts[[#Headers],[Include or Exclude]], 20)</f>
        <v/>
      </c>
      <c r="P110" s="62" t="str" cm="1">
        <f t="array" ref="P110">Common_InputFunctions.Utility_DisplayArrayInTable(Fertiliser_SourceData.Fertiliser_Products_Data2(),FertiliserProducts[[#Headers],[Include or Exclude]], 20)</f>
        <v/>
      </c>
      <c r="Q110" s="62" t="str" cm="1">
        <f t="array" ref="Q110">Common_InputFunctions.Utility_DisplayArrayInTable(Fertiliser_SourceData.Fertiliser_Products_Data2(),FertiliserProducts[[#Headers],[Include or Exclude]], 20)</f>
        <v/>
      </c>
      <c r="R110" s="62" t="str" cm="1">
        <f t="array" ref="R110">Common_InputFunctions.Utility_DisplayArrayInTable(Fertiliser_SourceData.Fertiliser_Products_Data2(),FertiliserProducts[[#Headers],[Include or Exclude]], 20)</f>
        <v/>
      </c>
      <c r="S110" s="62" t="str" cm="1">
        <f t="array" ref="S110">Common_InputFunctions.Utility_DisplayArrayInTable(Fertiliser_SourceData.Fertiliser_Products_Data2(),FertiliserProducts[[#Headers],[Include or Exclude]], 20)</f>
        <v/>
      </c>
      <c r="T110" s="62" t="str" cm="1">
        <f t="array" ref="T110">Common_InputFunctions.Utility_DisplayArrayInTable(Fertiliser_SourceData.Fertiliser_Products_Data2(),FertiliserProducts[[#Headers],[Include or Exclude]], 20)</f>
        <v/>
      </c>
      <c r="U110" s="62" t="str" cm="1">
        <f t="array" ref="U110">Common_InputFunctions.Utility_DisplayArrayInTable(Fertiliser_SourceData.Fertiliser_Products_Data2(),FertiliserProducts[[#Headers],[Include or Exclude]], 20)</f>
        <v/>
      </c>
      <c r="V110" s="62" t="str" cm="1">
        <f t="array" ref="V110">Common_InputFunctions.Utility_DisplayArrayInTable(Fertiliser_SourceData.Fertiliser_Products_Data2(),FertiliserProducts[[#Headers],[Include or Exclude]], 20)</f>
        <v/>
      </c>
      <c r="W110" s="62" t="str" cm="1">
        <f t="array" ref="W110">Common_InputFunctions.Utility_DisplayArrayInTable(Fertiliser_SourceData.Fertiliser_Products_Data2(),FertiliserProducts[[#Headers],[Include or Exclude]], 20)</f>
        <v>Incitec Pivot Fertilisers</v>
      </c>
      <c r="X110" s="62" t="str" cm="1">
        <f t="array" ref="X110">Common_InputFunctions.Utility_DisplayArrayInTable(Fertiliser_SourceData.Fertiliser_Products_Data2(),FertiliserProducts[[#Headers],[Include or Exclude]], 20)</f>
        <v/>
      </c>
      <c r="Y110" s="62" t="str" cm="1">
        <f t="array" ref="Y110">Common_InputFunctions.Utility_DisplayArrayInTable(Fertiliser_SourceData.Fertiliser_Products_Data2(),FertiliserProducts[[#Headers],[Include or Exclude]], 20)</f>
        <v/>
      </c>
      <c r="Z110" s="62" t="str" cm="1">
        <f t="array" ref="Z110">Common_InputFunctions.Utility_DisplayArrayInTable(Fertiliser_SourceData.Fertiliser_Products_Data2(),FertiliserProducts[[#Headers],[Include or Exclude]], 20)</f>
        <v/>
      </c>
      <c r="AA110" s="10" t="str" cm="1">
        <f t="array" ref="AA110">Common_InputFunctions.Utility_DisplayArrayInTable(Fertiliser_SourceData.Fertiliser_Products_Data2(),FertiliserProducts[[#Headers],[Include or Exclude]], 20)</f>
        <v/>
      </c>
      <c r="AB110" s="10" t="str" cm="1">
        <f t="array" ref="AB110">Common_InputFunctions.Utility_DisplayArrayInTable(Fertiliser_SourceData.Fertiliser_Products_Data2(),FertiliserProducts[[#Headers],[Include or Exclude]], 20)</f>
        <v/>
      </c>
      <c r="AC110" s="10" t="str" cm="1">
        <f t="array" ref="AC110">Common_InputFunctions.Utility_DisplayArrayInTable(Fertiliser_SourceData.Fertiliser_Products_Data2(),FertiliserProducts[[#Headers],[Include or Exclude]], 20)</f>
        <v/>
      </c>
      <c r="AD110" s="10" t="str" cm="1">
        <f t="array" ref="AD110">Common_InputFunctions.Utility_DisplayArrayInTable(Fertiliser_SourceData.Fertiliser_Products_Data2(),FertiliserProducts[[#Headers],[Include or Exclude]], 20)</f>
        <v/>
      </c>
      <c r="AE110" s="10" t="str" cm="1">
        <f t="array" ref="AE110">Common_InputFunctions.Utility_DisplayArrayInTable(Fertiliser_SourceData.Fertiliser_Products_Data2(),FertiliserProducts[[#Headers],[Include or Exclude]], 20)</f>
        <v/>
      </c>
    </row>
    <row r="111" spans="1:31" ht="20.100000000000001" customHeight="1" x14ac:dyDescent="0.25">
      <c r="A111"/>
      <c r="D111" s="62" t="str" cm="1">
        <f t="array" ref="D111">Common_InputFunctions.Utility_DisplayArrayInTable(Fertiliser_SourceData.Fertiliser_Products_Data2(),FertiliserProducts[[#Headers],[Include or Exclude]], 20)</f>
        <v>MAP</v>
      </c>
      <c r="E111" s="62" t="str" cm="1">
        <f t="array" ref="E111">Common_InputFunctions.Utility_DisplayArrayInTable(Fertiliser_SourceData.Fertiliser_Products_Data2(),FertiliserProducts[[#Headers],[Include or Exclude]], 20)</f>
        <v/>
      </c>
      <c r="F111" s="62" t="str" cm="1">
        <f t="array" ref="F111">Common_InputFunctions.Utility_DisplayArrayInTable(Fertiliser_SourceData.Fertiliser_Products_Data2(),FertiliserProducts[[#Headers],[Include or Exclude]], 20)</f>
        <v/>
      </c>
      <c r="G111" s="62" t="str" cm="1">
        <f t="array" ref="G111">Common_InputFunctions.Utility_DisplayArrayInTable(Fertiliser_SourceData.Fertiliser_Products_Data2(),FertiliserProducts[[#Headers],[Include or Exclude]], 20)</f>
        <v/>
      </c>
      <c r="H111" s="62" t="str" cm="1">
        <f t="array" ref="H111">Common_InputFunctions.Utility_DisplayArrayInTable(Fertiliser_SourceData.Fertiliser_Products_Data2(),FertiliserProducts[[#Headers],[Include or Exclude]], 20)</f>
        <v/>
      </c>
      <c r="I111" s="62" t="str" cm="1">
        <f t="array" ref="I111">Common_InputFunctions.Utility_DisplayArrayInTable(Fertiliser_SourceData.Fertiliser_Products_Data2(),FertiliserProducts[[#Headers],[Include or Exclude]], 20)</f>
        <v/>
      </c>
      <c r="J111" s="62" t="str" cm="1">
        <f t="array" ref="J111">Common_InputFunctions.Utility_DisplayArrayInTable(Fertiliser_SourceData.Fertiliser_Products_Data2(),FertiliserProducts[[#Headers],[Include or Exclude]], 20)</f>
        <v/>
      </c>
      <c r="K111" s="62" t="str" cm="1">
        <f t="array" ref="K111">Common_InputFunctions.Utility_DisplayArrayInTable(Fertiliser_SourceData.Fertiliser_Products_Data2(),FertiliserProducts[[#Headers],[Include or Exclude]], 20)</f>
        <v/>
      </c>
      <c r="L111" s="62" t="str" cm="1">
        <f t="array" ref="L111">Common_InputFunctions.Utility_DisplayArrayInTable(Fertiliser_SourceData.Fertiliser_Products_Data2(),FertiliserProducts[[#Headers],[Include or Exclude]], 20)</f>
        <v/>
      </c>
      <c r="M111" s="62" t="str" cm="1">
        <f t="array" ref="M111">Common_InputFunctions.Utility_DisplayArrayInTable(Fertiliser_SourceData.Fertiliser_Products_Data2(),FertiliserProducts[[#Headers],[Include or Exclude]], 20)</f>
        <v/>
      </c>
      <c r="N111" s="62" t="str" cm="1">
        <f t="array" ref="N111">Common_InputFunctions.Utility_DisplayArrayInTable(Fertiliser_SourceData.Fertiliser_Products_Data2(),FertiliserProducts[[#Headers],[Include or Exclude]], 20)</f>
        <v/>
      </c>
      <c r="O111" s="62" t="str" cm="1">
        <f t="array" ref="O111">Common_InputFunctions.Utility_DisplayArrayInTable(Fertiliser_SourceData.Fertiliser_Products_Data2(),FertiliserProducts[[#Headers],[Include or Exclude]], 20)</f>
        <v/>
      </c>
      <c r="P111" s="62" t="str" cm="1">
        <f t="array" ref="P111">Common_InputFunctions.Utility_DisplayArrayInTable(Fertiliser_SourceData.Fertiliser_Products_Data2(),FertiliserProducts[[#Headers],[Include or Exclude]], 20)</f>
        <v/>
      </c>
      <c r="Q111" s="62" t="str" cm="1">
        <f t="array" ref="Q111">Common_InputFunctions.Utility_DisplayArrayInTable(Fertiliser_SourceData.Fertiliser_Products_Data2(),FertiliserProducts[[#Headers],[Include or Exclude]], 20)</f>
        <v/>
      </c>
      <c r="R111" s="62" t="str" cm="1">
        <f t="array" ref="R111">Common_InputFunctions.Utility_DisplayArrayInTable(Fertiliser_SourceData.Fertiliser_Products_Data2(),FertiliserProducts[[#Headers],[Include or Exclude]], 20)</f>
        <v/>
      </c>
      <c r="S111" s="62" t="str" cm="1">
        <f t="array" ref="S111">Common_InputFunctions.Utility_DisplayArrayInTable(Fertiliser_SourceData.Fertiliser_Products_Data2(),FertiliserProducts[[#Headers],[Include or Exclude]], 20)</f>
        <v/>
      </c>
      <c r="T111" s="62" t="str" cm="1">
        <f t="array" ref="T111">Common_InputFunctions.Utility_DisplayArrayInTable(Fertiliser_SourceData.Fertiliser_Products_Data2(),FertiliserProducts[[#Headers],[Include or Exclude]], 20)</f>
        <v/>
      </c>
      <c r="U111" s="62" t="str" cm="1">
        <f t="array" ref="U111">Common_InputFunctions.Utility_DisplayArrayInTable(Fertiliser_SourceData.Fertiliser_Products_Data2(),FertiliserProducts[[#Headers],[Include or Exclude]], 20)</f>
        <v/>
      </c>
      <c r="V111" s="62" t="str" cm="1">
        <f t="array" ref="V111">Common_InputFunctions.Utility_DisplayArrayInTable(Fertiliser_SourceData.Fertiliser_Products_Data2(),FertiliserProducts[[#Headers],[Include or Exclude]], 20)</f>
        <v/>
      </c>
      <c r="W111" s="62" t="str" cm="1">
        <f t="array" ref="W111">Common_InputFunctions.Utility_DisplayArrayInTable(Fertiliser_SourceData.Fertiliser_Products_Data2(),FertiliserProducts[[#Headers],[Include or Exclude]], 20)</f>
        <v>Incitec Pivot Fertilisers</v>
      </c>
      <c r="X111" s="62" t="str" cm="1">
        <f t="array" ref="X111">Common_InputFunctions.Utility_DisplayArrayInTable(Fertiliser_SourceData.Fertiliser_Products_Data2(),FertiliserProducts[[#Headers],[Include or Exclude]], 20)</f>
        <v/>
      </c>
      <c r="Y111" s="62" t="str" cm="1">
        <f t="array" ref="Y111">Common_InputFunctions.Utility_DisplayArrayInTable(Fertiliser_SourceData.Fertiliser_Products_Data2(),FertiliserProducts[[#Headers],[Include or Exclude]], 20)</f>
        <v/>
      </c>
      <c r="Z111" s="62" t="str" cm="1">
        <f t="array" ref="Z111">Common_InputFunctions.Utility_DisplayArrayInTable(Fertiliser_SourceData.Fertiliser_Products_Data2(),FertiliserProducts[[#Headers],[Include or Exclude]], 20)</f>
        <v/>
      </c>
      <c r="AA111" s="10" t="str" cm="1">
        <f t="array" ref="AA111">Common_InputFunctions.Utility_DisplayArrayInTable(Fertiliser_SourceData.Fertiliser_Products_Data2(),FertiliserProducts[[#Headers],[Include or Exclude]], 20)</f>
        <v/>
      </c>
      <c r="AB111" s="10" t="str" cm="1">
        <f t="array" ref="AB111">Common_InputFunctions.Utility_DisplayArrayInTable(Fertiliser_SourceData.Fertiliser_Products_Data2(),FertiliserProducts[[#Headers],[Include or Exclude]], 20)</f>
        <v/>
      </c>
      <c r="AC111" s="10" t="str" cm="1">
        <f t="array" ref="AC111">Common_InputFunctions.Utility_DisplayArrayInTable(Fertiliser_SourceData.Fertiliser_Products_Data2(),FertiliserProducts[[#Headers],[Include or Exclude]], 20)</f>
        <v/>
      </c>
      <c r="AD111" s="10" t="str" cm="1">
        <f t="array" ref="AD111">Common_InputFunctions.Utility_DisplayArrayInTable(Fertiliser_SourceData.Fertiliser_Products_Data2(),FertiliserProducts[[#Headers],[Include or Exclude]], 20)</f>
        <v/>
      </c>
      <c r="AE111" s="10" t="str" cm="1">
        <f t="array" ref="AE111">Common_InputFunctions.Utility_DisplayArrayInTable(Fertiliser_SourceData.Fertiliser_Products_Data2(),FertiliserProducts[[#Headers],[Include or Exclude]], 20)</f>
        <v/>
      </c>
    </row>
    <row r="112" spans="1:31" ht="20.100000000000001" customHeight="1" x14ac:dyDescent="0.25">
      <c r="A112"/>
      <c r="D112" s="62" t="str" cm="1">
        <f t="array" ref="D112">Common_InputFunctions.Utility_DisplayArrayInTable(Fertiliser_SourceData.Fertiliser_Products_Data2(),FertiliserProducts[[#Headers],[Include or Exclude]], 20)</f>
        <v>MAP Impact</v>
      </c>
      <c r="E112" s="62" t="str" cm="1">
        <f t="array" ref="E112">Common_InputFunctions.Utility_DisplayArrayInTable(Fertiliser_SourceData.Fertiliser_Products_Data2(),FertiliserProducts[[#Headers],[Include or Exclude]], 20)</f>
        <v/>
      </c>
      <c r="F112" s="62" t="str" cm="1">
        <f t="array" ref="F112">Common_InputFunctions.Utility_DisplayArrayInTable(Fertiliser_SourceData.Fertiliser_Products_Data2(),FertiliserProducts[[#Headers],[Include or Exclude]], 20)</f>
        <v/>
      </c>
      <c r="G112" s="62" t="str" cm="1">
        <f t="array" ref="G112">Common_InputFunctions.Utility_DisplayArrayInTable(Fertiliser_SourceData.Fertiliser_Products_Data2(),FertiliserProducts[[#Headers],[Include or Exclude]], 20)</f>
        <v/>
      </c>
      <c r="H112" s="62" t="str" cm="1">
        <f t="array" ref="H112">Common_InputFunctions.Utility_DisplayArrayInTable(Fertiliser_SourceData.Fertiliser_Products_Data2(),FertiliserProducts[[#Headers],[Include or Exclude]], 20)</f>
        <v/>
      </c>
      <c r="I112" s="62" t="str" cm="1">
        <f t="array" ref="I112">Common_InputFunctions.Utility_DisplayArrayInTable(Fertiliser_SourceData.Fertiliser_Products_Data2(),FertiliserProducts[[#Headers],[Include or Exclude]], 20)</f>
        <v/>
      </c>
      <c r="J112" s="62" t="str" cm="1">
        <f t="array" ref="J112">Common_InputFunctions.Utility_DisplayArrayInTable(Fertiliser_SourceData.Fertiliser_Products_Data2(),FertiliserProducts[[#Headers],[Include or Exclude]], 20)</f>
        <v/>
      </c>
      <c r="K112" s="62" t="str" cm="1">
        <f t="array" ref="K112">Common_InputFunctions.Utility_DisplayArrayInTable(Fertiliser_SourceData.Fertiliser_Products_Data2(),FertiliserProducts[[#Headers],[Include or Exclude]], 20)</f>
        <v/>
      </c>
      <c r="L112" s="62" t="str" cm="1">
        <f t="array" ref="L112">Common_InputFunctions.Utility_DisplayArrayInTable(Fertiliser_SourceData.Fertiliser_Products_Data2(),FertiliserProducts[[#Headers],[Include or Exclude]], 20)</f>
        <v/>
      </c>
      <c r="M112" s="62" t="str" cm="1">
        <f t="array" ref="M112">Common_InputFunctions.Utility_DisplayArrayInTable(Fertiliser_SourceData.Fertiliser_Products_Data2(),FertiliserProducts[[#Headers],[Include or Exclude]], 20)</f>
        <v/>
      </c>
      <c r="N112" s="62" t="str" cm="1">
        <f t="array" ref="N112">Common_InputFunctions.Utility_DisplayArrayInTable(Fertiliser_SourceData.Fertiliser_Products_Data2(),FertiliserProducts[[#Headers],[Include or Exclude]], 20)</f>
        <v/>
      </c>
      <c r="O112" s="62" t="str" cm="1">
        <f t="array" ref="O112">Common_InputFunctions.Utility_DisplayArrayInTable(Fertiliser_SourceData.Fertiliser_Products_Data2(),FertiliserProducts[[#Headers],[Include or Exclude]], 20)</f>
        <v/>
      </c>
      <c r="P112" s="62" t="str" cm="1">
        <f t="array" ref="P112">Common_InputFunctions.Utility_DisplayArrayInTable(Fertiliser_SourceData.Fertiliser_Products_Data2(),FertiliserProducts[[#Headers],[Include or Exclude]], 20)</f>
        <v/>
      </c>
      <c r="Q112" s="62" t="str" cm="1">
        <f t="array" ref="Q112">Common_InputFunctions.Utility_DisplayArrayInTable(Fertiliser_SourceData.Fertiliser_Products_Data2(),FertiliserProducts[[#Headers],[Include or Exclude]], 20)</f>
        <v/>
      </c>
      <c r="R112" s="62" t="str" cm="1">
        <f t="array" ref="R112">Common_InputFunctions.Utility_DisplayArrayInTable(Fertiliser_SourceData.Fertiliser_Products_Data2(),FertiliserProducts[[#Headers],[Include or Exclude]], 20)</f>
        <v/>
      </c>
      <c r="S112" s="62" t="str" cm="1">
        <f t="array" ref="S112">Common_InputFunctions.Utility_DisplayArrayInTable(Fertiliser_SourceData.Fertiliser_Products_Data2(),FertiliserProducts[[#Headers],[Include or Exclude]], 20)</f>
        <v/>
      </c>
      <c r="T112" s="62" t="str" cm="1">
        <f t="array" ref="T112">Common_InputFunctions.Utility_DisplayArrayInTable(Fertiliser_SourceData.Fertiliser_Products_Data2(),FertiliserProducts[[#Headers],[Include or Exclude]], 20)</f>
        <v/>
      </c>
      <c r="U112" s="62" t="str" cm="1">
        <f t="array" ref="U112">Common_InputFunctions.Utility_DisplayArrayInTable(Fertiliser_SourceData.Fertiliser_Products_Data2(),FertiliserProducts[[#Headers],[Include or Exclude]], 20)</f>
        <v/>
      </c>
      <c r="V112" s="62" t="str" cm="1">
        <f t="array" ref="V112">Common_InputFunctions.Utility_DisplayArrayInTable(Fertiliser_SourceData.Fertiliser_Products_Data2(),FertiliserProducts[[#Headers],[Include or Exclude]], 20)</f>
        <v/>
      </c>
      <c r="W112" s="62" t="str" cm="1">
        <f t="array" ref="W112">Common_InputFunctions.Utility_DisplayArrayInTable(Fertiliser_SourceData.Fertiliser_Products_Data2(),FertiliserProducts[[#Headers],[Include or Exclude]], 20)</f>
        <v>Impact fertilisers</v>
      </c>
      <c r="X112" s="62" t="str" cm="1">
        <f t="array" ref="X112">Common_InputFunctions.Utility_DisplayArrayInTable(Fertiliser_SourceData.Fertiliser_Products_Data2(),FertiliserProducts[[#Headers],[Include or Exclude]], 20)</f>
        <v/>
      </c>
      <c r="Y112" s="62" t="str" cm="1">
        <f t="array" ref="Y112">Common_InputFunctions.Utility_DisplayArrayInTable(Fertiliser_SourceData.Fertiliser_Products_Data2(),FertiliserProducts[[#Headers],[Include or Exclude]], 20)</f>
        <v/>
      </c>
      <c r="Z112" s="62" t="str" cm="1">
        <f t="array" ref="Z112">Common_InputFunctions.Utility_DisplayArrayInTable(Fertiliser_SourceData.Fertiliser_Products_Data2(),FertiliserProducts[[#Headers],[Include or Exclude]], 20)</f>
        <v/>
      </c>
      <c r="AA112" s="10" t="str" cm="1">
        <f t="array" ref="AA112">Common_InputFunctions.Utility_DisplayArrayInTable(Fertiliser_SourceData.Fertiliser_Products_Data2(),FertiliserProducts[[#Headers],[Include or Exclude]], 20)</f>
        <v/>
      </c>
      <c r="AB112" s="10" t="str" cm="1">
        <f t="array" ref="AB112">Common_InputFunctions.Utility_DisplayArrayInTable(Fertiliser_SourceData.Fertiliser_Products_Data2(),FertiliserProducts[[#Headers],[Include or Exclude]], 20)</f>
        <v/>
      </c>
      <c r="AC112" s="10" t="str" cm="1">
        <f t="array" ref="AC112">Common_InputFunctions.Utility_DisplayArrayInTable(Fertiliser_SourceData.Fertiliser_Products_Data2(),FertiliserProducts[[#Headers],[Include or Exclude]], 20)</f>
        <v/>
      </c>
      <c r="AD112" s="10" t="str" cm="1">
        <f t="array" ref="AD112">Common_InputFunctions.Utility_DisplayArrayInTable(Fertiliser_SourceData.Fertiliser_Products_Data2(),FertiliserProducts[[#Headers],[Include or Exclude]], 20)</f>
        <v/>
      </c>
      <c r="AE112" s="10" t="str" cm="1">
        <f t="array" ref="AE112">Common_InputFunctions.Utility_DisplayArrayInTable(Fertiliser_SourceData.Fertiliser_Products_Data2(),FertiliserProducts[[#Headers],[Include or Exclude]], 20)</f>
        <v/>
      </c>
    </row>
    <row r="113" spans="1:31" ht="20.100000000000001" customHeight="1" x14ac:dyDescent="0.25">
      <c r="A113"/>
      <c r="D113" s="62" t="str" cm="1">
        <f t="array" ref="D113">Common_InputFunctions.Utility_DisplayArrayInTable(Fertiliser_SourceData.Fertiliser_Products_Data2(),FertiliserProducts[[#Headers],[Include or Exclude]], 20)</f>
        <v>MAPSZC</v>
      </c>
      <c r="E113" s="62" t="str" cm="1">
        <f t="array" ref="E113">Common_InputFunctions.Utility_DisplayArrayInTable(Fertiliser_SourceData.Fertiliser_Products_Data2(),FertiliserProducts[[#Headers],[Include or Exclude]], 20)</f>
        <v/>
      </c>
      <c r="F113" s="62" t="str" cm="1">
        <f t="array" ref="F113">Common_InputFunctions.Utility_DisplayArrayInTable(Fertiliser_SourceData.Fertiliser_Products_Data2(),FertiliserProducts[[#Headers],[Include or Exclude]], 20)</f>
        <v/>
      </c>
      <c r="G113" s="62" t="str" cm="1">
        <f t="array" ref="G113">Common_InputFunctions.Utility_DisplayArrayInTable(Fertiliser_SourceData.Fertiliser_Products_Data2(),FertiliserProducts[[#Headers],[Include or Exclude]], 20)</f>
        <v/>
      </c>
      <c r="H113" s="62" t="str" cm="1">
        <f t="array" ref="H113">Common_InputFunctions.Utility_DisplayArrayInTable(Fertiliser_SourceData.Fertiliser_Products_Data2(),FertiliserProducts[[#Headers],[Include or Exclude]], 20)</f>
        <v/>
      </c>
      <c r="I113" s="62" t="str" cm="1">
        <f t="array" ref="I113">Common_InputFunctions.Utility_DisplayArrayInTable(Fertiliser_SourceData.Fertiliser_Products_Data2(),FertiliserProducts[[#Headers],[Include or Exclude]], 20)</f>
        <v/>
      </c>
      <c r="J113" s="62" t="str" cm="1">
        <f t="array" ref="J113">Common_InputFunctions.Utility_DisplayArrayInTable(Fertiliser_SourceData.Fertiliser_Products_Data2(),FertiliserProducts[[#Headers],[Include or Exclude]], 20)</f>
        <v/>
      </c>
      <c r="K113" s="62" t="str" cm="1">
        <f t="array" ref="K113">Common_InputFunctions.Utility_DisplayArrayInTable(Fertiliser_SourceData.Fertiliser_Products_Data2(),FertiliserProducts[[#Headers],[Include or Exclude]], 20)</f>
        <v/>
      </c>
      <c r="L113" s="62" t="str" cm="1">
        <f t="array" ref="L113">Common_InputFunctions.Utility_DisplayArrayInTable(Fertiliser_SourceData.Fertiliser_Products_Data2(),FertiliserProducts[[#Headers],[Include or Exclude]], 20)</f>
        <v/>
      </c>
      <c r="M113" s="62" t="str" cm="1">
        <f t="array" ref="M113">Common_InputFunctions.Utility_DisplayArrayInTable(Fertiliser_SourceData.Fertiliser_Products_Data2(),FertiliserProducts[[#Headers],[Include or Exclude]], 20)</f>
        <v/>
      </c>
      <c r="N113" s="62" t="str" cm="1">
        <f t="array" ref="N113">Common_InputFunctions.Utility_DisplayArrayInTable(Fertiliser_SourceData.Fertiliser_Products_Data2(),FertiliserProducts[[#Headers],[Include or Exclude]], 20)</f>
        <v/>
      </c>
      <c r="O113" s="62" t="str" cm="1">
        <f t="array" ref="O113">Common_InputFunctions.Utility_DisplayArrayInTable(Fertiliser_SourceData.Fertiliser_Products_Data2(),FertiliserProducts[[#Headers],[Include or Exclude]], 20)</f>
        <v/>
      </c>
      <c r="P113" s="62" t="str" cm="1">
        <f t="array" ref="P113">Common_InputFunctions.Utility_DisplayArrayInTable(Fertiliser_SourceData.Fertiliser_Products_Data2(),FertiliserProducts[[#Headers],[Include or Exclude]], 20)</f>
        <v/>
      </c>
      <c r="Q113" s="62" t="str" cm="1">
        <f t="array" ref="Q113">Common_InputFunctions.Utility_DisplayArrayInTable(Fertiliser_SourceData.Fertiliser_Products_Data2(),FertiliserProducts[[#Headers],[Include or Exclude]], 20)</f>
        <v/>
      </c>
      <c r="R113" s="62" t="str" cm="1">
        <f t="array" ref="R113">Common_InputFunctions.Utility_DisplayArrayInTable(Fertiliser_SourceData.Fertiliser_Products_Data2(),FertiliserProducts[[#Headers],[Include or Exclude]], 20)</f>
        <v/>
      </c>
      <c r="S113" s="62" t="str" cm="1">
        <f t="array" ref="S113">Common_InputFunctions.Utility_DisplayArrayInTable(Fertiliser_SourceData.Fertiliser_Products_Data2(),FertiliserProducts[[#Headers],[Include or Exclude]], 20)</f>
        <v/>
      </c>
      <c r="T113" s="62" t="str" cm="1">
        <f t="array" ref="T113">Common_InputFunctions.Utility_DisplayArrayInTable(Fertiliser_SourceData.Fertiliser_Products_Data2(),FertiliserProducts[[#Headers],[Include or Exclude]], 20)</f>
        <v/>
      </c>
      <c r="U113" s="62" t="str" cm="1">
        <f t="array" ref="U113">Common_InputFunctions.Utility_DisplayArrayInTable(Fertiliser_SourceData.Fertiliser_Products_Data2(),FertiliserProducts[[#Headers],[Include or Exclude]], 20)</f>
        <v/>
      </c>
      <c r="V113" s="62" t="str" cm="1">
        <f t="array" ref="V113">Common_InputFunctions.Utility_DisplayArrayInTable(Fertiliser_SourceData.Fertiliser_Products_Data2(),FertiliserProducts[[#Headers],[Include or Exclude]], 20)</f>
        <v/>
      </c>
      <c r="W113" s="62" t="str" cm="1">
        <f t="array" ref="W113">Common_InputFunctions.Utility_DisplayArrayInTable(Fertiliser_SourceData.Fertiliser_Products_Data2(),FertiliserProducts[[#Headers],[Include or Exclude]], 20)</f>
        <v>Summit Fertilizers</v>
      </c>
      <c r="X113" s="62" t="str" cm="1">
        <f t="array" ref="X113">Common_InputFunctions.Utility_DisplayArrayInTable(Fertiliser_SourceData.Fertiliser_Products_Data2(),FertiliserProducts[[#Headers],[Include or Exclude]], 20)</f>
        <v/>
      </c>
      <c r="Y113" s="62" t="str" cm="1">
        <f t="array" ref="Y113">Common_InputFunctions.Utility_DisplayArrayInTable(Fertiliser_SourceData.Fertiliser_Products_Data2(),FertiliserProducts[[#Headers],[Include or Exclude]], 20)</f>
        <v/>
      </c>
      <c r="Z113" s="62" t="str" cm="1">
        <f t="array" ref="Z113">Common_InputFunctions.Utility_DisplayArrayInTable(Fertiliser_SourceData.Fertiliser_Products_Data2(),FertiliserProducts[[#Headers],[Include or Exclude]], 20)</f>
        <v/>
      </c>
      <c r="AA113" s="10" t="str" cm="1">
        <f t="array" ref="AA113">Common_InputFunctions.Utility_DisplayArrayInTable(Fertiliser_SourceData.Fertiliser_Products_Data2(),FertiliserProducts[[#Headers],[Include or Exclude]], 20)</f>
        <v/>
      </c>
      <c r="AB113" s="10" t="str" cm="1">
        <f t="array" ref="AB113">Common_InputFunctions.Utility_DisplayArrayInTable(Fertiliser_SourceData.Fertiliser_Products_Data2(),FertiliserProducts[[#Headers],[Include or Exclude]], 20)</f>
        <v/>
      </c>
      <c r="AC113" s="10" t="str" cm="1">
        <f t="array" ref="AC113">Common_InputFunctions.Utility_DisplayArrayInTable(Fertiliser_SourceData.Fertiliser_Products_Data2(),FertiliserProducts[[#Headers],[Include or Exclude]], 20)</f>
        <v/>
      </c>
      <c r="AD113" s="10" t="str" cm="1">
        <f t="array" ref="AD113">Common_InputFunctions.Utility_DisplayArrayInTable(Fertiliser_SourceData.Fertiliser_Products_Data2(),FertiliserProducts[[#Headers],[Include or Exclude]], 20)</f>
        <v/>
      </c>
      <c r="AE113" s="10" t="str" cm="1">
        <f t="array" ref="AE113">Common_InputFunctions.Utility_DisplayArrayInTable(Fertiliser_SourceData.Fertiliser_Products_Data2(),FertiliserProducts[[#Headers],[Include or Exclude]], 20)</f>
        <v/>
      </c>
    </row>
    <row r="114" spans="1:31" ht="20.100000000000001" customHeight="1" x14ac:dyDescent="0.25">
      <c r="A114"/>
      <c r="D114" s="62" t="str" cm="1">
        <f t="array" ref="D114">Common_InputFunctions.Utility_DisplayArrayInTable(Fertiliser_SourceData.Fertiliser_Products_Data2(),FertiliserProducts[[#Headers],[Include or Exclude]], 20)</f>
        <v>Maximum N-Pact 29-0-0</v>
      </c>
      <c r="E114" s="62" t="str" cm="1">
        <f t="array" ref="E114">Common_InputFunctions.Utility_DisplayArrayInTable(Fertiliser_SourceData.Fertiliser_Products_Data2(),FertiliserProducts[[#Headers],[Include or Exclude]], 20)</f>
        <v/>
      </c>
      <c r="F114" s="62" t="str" cm="1">
        <f t="array" ref="F114">Common_InputFunctions.Utility_DisplayArrayInTable(Fertiliser_SourceData.Fertiliser_Products_Data2(),FertiliserProducts[[#Headers],[Include or Exclude]], 20)</f>
        <v/>
      </c>
      <c r="G114" s="62" t="str" cm="1">
        <f t="array" ref="G114">Common_InputFunctions.Utility_DisplayArrayInTable(Fertiliser_SourceData.Fertiliser_Products_Data2(),FertiliserProducts[[#Headers],[Include or Exclude]], 20)</f>
        <v/>
      </c>
      <c r="H114" s="62" t="str" cm="1">
        <f t="array" ref="H114">Common_InputFunctions.Utility_DisplayArrayInTable(Fertiliser_SourceData.Fertiliser_Products_Data2(),FertiliserProducts[[#Headers],[Include or Exclude]], 20)</f>
        <v/>
      </c>
      <c r="I114" s="62" t="str" cm="1">
        <f t="array" ref="I114">Common_InputFunctions.Utility_DisplayArrayInTable(Fertiliser_SourceData.Fertiliser_Products_Data2(),FertiliserProducts[[#Headers],[Include or Exclude]], 20)</f>
        <v/>
      </c>
      <c r="J114" s="62" t="str" cm="1">
        <f t="array" ref="J114">Common_InputFunctions.Utility_DisplayArrayInTable(Fertiliser_SourceData.Fertiliser_Products_Data2(),FertiliserProducts[[#Headers],[Include or Exclude]], 20)</f>
        <v/>
      </c>
      <c r="K114" s="62" t="str" cm="1">
        <f t="array" ref="K114">Common_InputFunctions.Utility_DisplayArrayInTable(Fertiliser_SourceData.Fertiliser_Products_Data2(),FertiliserProducts[[#Headers],[Include or Exclude]], 20)</f>
        <v/>
      </c>
      <c r="L114" s="62" t="str" cm="1">
        <f t="array" ref="L114">Common_InputFunctions.Utility_DisplayArrayInTable(Fertiliser_SourceData.Fertiliser_Products_Data2(),FertiliserProducts[[#Headers],[Include or Exclude]], 20)</f>
        <v/>
      </c>
      <c r="M114" s="62" t="str" cm="1">
        <f t="array" ref="M114">Common_InputFunctions.Utility_DisplayArrayInTable(Fertiliser_SourceData.Fertiliser_Products_Data2(),FertiliserProducts[[#Headers],[Include or Exclude]], 20)</f>
        <v/>
      </c>
      <c r="N114" s="62" t="str" cm="1">
        <f t="array" ref="N114">Common_InputFunctions.Utility_DisplayArrayInTable(Fertiliser_SourceData.Fertiliser_Products_Data2(),FertiliserProducts[[#Headers],[Include or Exclude]], 20)</f>
        <v/>
      </c>
      <c r="O114" s="62" t="str" cm="1">
        <f t="array" ref="O114">Common_InputFunctions.Utility_DisplayArrayInTable(Fertiliser_SourceData.Fertiliser_Products_Data2(),FertiliserProducts[[#Headers],[Include or Exclude]], 20)</f>
        <v/>
      </c>
      <c r="P114" s="62" t="str" cm="1">
        <f t="array" ref="P114">Common_InputFunctions.Utility_DisplayArrayInTable(Fertiliser_SourceData.Fertiliser_Products_Data2(),FertiliserProducts[[#Headers],[Include or Exclude]], 20)</f>
        <v/>
      </c>
      <c r="Q114" s="62" t="str" cm="1">
        <f t="array" ref="Q114">Common_InputFunctions.Utility_DisplayArrayInTable(Fertiliser_SourceData.Fertiliser_Products_Data2(),FertiliserProducts[[#Headers],[Include or Exclude]], 20)</f>
        <v/>
      </c>
      <c r="R114" s="62" t="str" cm="1">
        <f t="array" ref="R114">Common_InputFunctions.Utility_DisplayArrayInTable(Fertiliser_SourceData.Fertiliser_Products_Data2(),FertiliserProducts[[#Headers],[Include or Exclude]], 20)</f>
        <v/>
      </c>
      <c r="S114" s="62" t="str" cm="1">
        <f t="array" ref="S114">Common_InputFunctions.Utility_DisplayArrayInTable(Fertiliser_SourceData.Fertiliser_Products_Data2(),FertiliserProducts[[#Headers],[Include or Exclude]], 20)</f>
        <v/>
      </c>
      <c r="T114" s="62" t="str" cm="1">
        <f t="array" ref="T114">Common_InputFunctions.Utility_DisplayArrayInTable(Fertiliser_SourceData.Fertiliser_Products_Data2(),FertiliserProducts[[#Headers],[Include or Exclude]], 20)</f>
        <v/>
      </c>
      <c r="U114" s="62" t="str" cm="1">
        <f t="array" ref="U114">Common_InputFunctions.Utility_DisplayArrayInTable(Fertiliser_SourceData.Fertiliser_Products_Data2(),FertiliserProducts[[#Headers],[Include or Exclude]], 20)</f>
        <v/>
      </c>
      <c r="V114" s="62" t="str" cm="1">
        <f t="array" ref="V114">Common_InputFunctions.Utility_DisplayArrayInTable(Fertiliser_SourceData.Fertiliser_Products_Data2(),FertiliserProducts[[#Headers],[Include or Exclude]], 20)</f>
        <v/>
      </c>
      <c r="W114" s="62" t="str" cm="1">
        <f t="array" ref="W114">Common_InputFunctions.Utility_DisplayArrayInTable(Fertiliser_SourceData.Fertiliser_Products_Data2(),FertiliserProducts[[#Headers],[Include or Exclude]], 20)</f>
        <v>Maximum N-Pact | Loveland (lovelandagriproducts.com.au)</v>
      </c>
      <c r="X114" s="62" t="str" cm="1">
        <f t="array" ref="X114">Common_InputFunctions.Utility_DisplayArrayInTable(Fertiliser_SourceData.Fertiliser_Products_Data2(),FertiliserProducts[[#Headers],[Include or Exclude]], 20)</f>
        <v/>
      </c>
      <c r="Y114" s="62" t="str" cm="1">
        <f t="array" ref="Y114">Common_InputFunctions.Utility_DisplayArrayInTable(Fertiliser_SourceData.Fertiliser_Products_Data2(),FertiliserProducts[[#Headers],[Include or Exclude]], 20)</f>
        <v/>
      </c>
      <c r="Z114" s="62" t="str" cm="1">
        <f t="array" ref="Z114">Common_InputFunctions.Utility_DisplayArrayInTable(Fertiliser_SourceData.Fertiliser_Products_Data2(),FertiliserProducts[[#Headers],[Include or Exclude]], 20)</f>
        <v/>
      </c>
      <c r="AA114" s="10" t="str" cm="1">
        <f t="array" ref="AA114">Common_InputFunctions.Utility_DisplayArrayInTable(Fertiliser_SourceData.Fertiliser_Products_Data2(),FertiliserProducts[[#Headers],[Include or Exclude]], 20)</f>
        <v/>
      </c>
      <c r="AB114" s="10" t="str" cm="1">
        <f t="array" ref="AB114">Common_InputFunctions.Utility_DisplayArrayInTable(Fertiliser_SourceData.Fertiliser_Products_Data2(),FertiliserProducts[[#Headers],[Include or Exclude]], 20)</f>
        <v/>
      </c>
      <c r="AC114" s="10" t="str" cm="1">
        <f t="array" ref="AC114">Common_InputFunctions.Utility_DisplayArrayInTable(Fertiliser_SourceData.Fertiliser_Products_Data2(),FertiliserProducts[[#Headers],[Include or Exclude]], 20)</f>
        <v/>
      </c>
      <c r="AD114" s="10" t="str" cm="1">
        <f t="array" ref="AD114">Common_InputFunctions.Utility_DisplayArrayInTable(Fertiliser_SourceData.Fertiliser_Products_Data2(),FertiliserProducts[[#Headers],[Include or Exclude]], 20)</f>
        <v/>
      </c>
      <c r="AE114" s="10" t="str" cm="1">
        <f t="array" ref="AE114">Common_InputFunctions.Utility_DisplayArrayInTable(Fertiliser_SourceData.Fertiliser_Products_Data2(),FertiliserProducts[[#Headers],[Include or Exclude]], 20)</f>
        <v/>
      </c>
    </row>
    <row r="115" spans="1:31" ht="20.100000000000001" customHeight="1" x14ac:dyDescent="0.25">
      <c r="A115"/>
      <c r="D115" s="62" t="str" cm="1">
        <f t="array" ref="D115">Common_InputFunctions.Utility_DisplayArrayInTable(Fertiliser_SourceData.Fertiliser_Products_Data2(),FertiliserProducts[[#Headers],[Include or Exclude]], 20)</f>
        <v>Microsol 12-6-44</v>
      </c>
      <c r="E115" s="62" t="str" cm="1">
        <f t="array" ref="E115">Common_InputFunctions.Utility_DisplayArrayInTable(Fertiliser_SourceData.Fertiliser_Products_Data2(),FertiliserProducts[[#Headers],[Include or Exclude]], 20)</f>
        <v/>
      </c>
      <c r="F115" s="62" t="str" cm="1">
        <f t="array" ref="F115">Common_InputFunctions.Utility_DisplayArrayInTable(Fertiliser_SourceData.Fertiliser_Products_Data2(),FertiliserProducts[[#Headers],[Include or Exclude]], 20)</f>
        <v/>
      </c>
      <c r="G115" s="62" t="str" cm="1">
        <f t="array" ref="G115">Common_InputFunctions.Utility_DisplayArrayInTable(Fertiliser_SourceData.Fertiliser_Products_Data2(),FertiliserProducts[[#Headers],[Include or Exclude]], 20)</f>
        <v/>
      </c>
      <c r="H115" s="62" t="str" cm="1">
        <f t="array" ref="H115">Common_InputFunctions.Utility_DisplayArrayInTable(Fertiliser_SourceData.Fertiliser_Products_Data2(),FertiliserProducts[[#Headers],[Include or Exclude]], 20)</f>
        <v/>
      </c>
      <c r="I115" s="62" t="str" cm="1">
        <f t="array" ref="I115">Common_InputFunctions.Utility_DisplayArrayInTable(Fertiliser_SourceData.Fertiliser_Products_Data2(),FertiliserProducts[[#Headers],[Include or Exclude]], 20)</f>
        <v/>
      </c>
      <c r="J115" s="62" t="str" cm="1">
        <f t="array" ref="J115">Common_InputFunctions.Utility_DisplayArrayInTable(Fertiliser_SourceData.Fertiliser_Products_Data2(),FertiliserProducts[[#Headers],[Include or Exclude]], 20)</f>
        <v/>
      </c>
      <c r="K115" s="62" t="str" cm="1">
        <f t="array" ref="K115">Common_InputFunctions.Utility_DisplayArrayInTable(Fertiliser_SourceData.Fertiliser_Products_Data2(),FertiliserProducts[[#Headers],[Include or Exclude]], 20)</f>
        <v/>
      </c>
      <c r="L115" s="62" t="str" cm="1">
        <f t="array" ref="L115">Common_InputFunctions.Utility_DisplayArrayInTable(Fertiliser_SourceData.Fertiliser_Products_Data2(),FertiliserProducts[[#Headers],[Include or Exclude]], 20)</f>
        <v/>
      </c>
      <c r="M115" s="62" t="str" cm="1">
        <f t="array" ref="M115">Common_InputFunctions.Utility_DisplayArrayInTable(Fertiliser_SourceData.Fertiliser_Products_Data2(),FertiliserProducts[[#Headers],[Include or Exclude]], 20)</f>
        <v/>
      </c>
      <c r="N115" s="62" t="str" cm="1">
        <f t="array" ref="N115">Common_InputFunctions.Utility_DisplayArrayInTable(Fertiliser_SourceData.Fertiliser_Products_Data2(),FertiliserProducts[[#Headers],[Include or Exclude]], 20)</f>
        <v/>
      </c>
      <c r="O115" s="62" t="str" cm="1">
        <f t="array" ref="O115">Common_InputFunctions.Utility_DisplayArrayInTable(Fertiliser_SourceData.Fertiliser_Products_Data2(),FertiliserProducts[[#Headers],[Include or Exclude]], 20)</f>
        <v/>
      </c>
      <c r="P115" s="62" t="str" cm="1">
        <f t="array" ref="P115">Common_InputFunctions.Utility_DisplayArrayInTable(Fertiliser_SourceData.Fertiliser_Products_Data2(),FertiliserProducts[[#Headers],[Include or Exclude]], 20)</f>
        <v/>
      </c>
      <c r="Q115" s="62" t="str" cm="1">
        <f t="array" ref="Q115">Common_InputFunctions.Utility_DisplayArrayInTable(Fertiliser_SourceData.Fertiliser_Products_Data2(),FertiliserProducts[[#Headers],[Include or Exclude]], 20)</f>
        <v/>
      </c>
      <c r="R115" s="62" t="str" cm="1">
        <f t="array" ref="R115">Common_InputFunctions.Utility_DisplayArrayInTable(Fertiliser_SourceData.Fertiliser_Products_Data2(),FertiliserProducts[[#Headers],[Include or Exclude]], 20)</f>
        <v/>
      </c>
      <c r="S115" s="62" t="str" cm="1">
        <f t="array" ref="S115">Common_InputFunctions.Utility_DisplayArrayInTable(Fertiliser_SourceData.Fertiliser_Products_Data2(),FertiliserProducts[[#Headers],[Include or Exclude]], 20)</f>
        <v/>
      </c>
      <c r="T115" s="62" t="str" cm="1">
        <f t="array" ref="T115">Common_InputFunctions.Utility_DisplayArrayInTable(Fertiliser_SourceData.Fertiliser_Products_Data2(),FertiliserProducts[[#Headers],[Include or Exclude]], 20)</f>
        <v/>
      </c>
      <c r="U115" s="62" t="str" cm="1">
        <f t="array" ref="U115">Common_InputFunctions.Utility_DisplayArrayInTable(Fertiliser_SourceData.Fertiliser_Products_Data2(),FertiliserProducts[[#Headers],[Include or Exclude]], 20)</f>
        <v/>
      </c>
      <c r="V115" s="62" t="str" cm="1">
        <f t="array" ref="V115">Common_InputFunctions.Utility_DisplayArrayInTable(Fertiliser_SourceData.Fertiliser_Products_Data2(),FertiliserProducts[[#Headers],[Include or Exclude]], 20)</f>
        <v/>
      </c>
      <c r="W115" s="62" t="str" cm="1">
        <f t="array" ref="W115">Common_InputFunctions.Utility_DisplayArrayInTable(Fertiliser_SourceData.Fertiliser_Products_Data2(),FertiliserProducts[[#Headers],[Include or Exclude]], 20)</f>
        <v>Rigbytaylor Microsol Range</v>
      </c>
      <c r="X115" s="62" t="str" cm="1">
        <f t="array" ref="X115">Common_InputFunctions.Utility_DisplayArrayInTable(Fertiliser_SourceData.Fertiliser_Products_Data2(),FertiliserProducts[[#Headers],[Include or Exclude]], 20)</f>
        <v/>
      </c>
      <c r="Y115" s="62" t="str" cm="1">
        <f t="array" ref="Y115">Common_InputFunctions.Utility_DisplayArrayInTable(Fertiliser_SourceData.Fertiliser_Products_Data2(),FertiliserProducts[[#Headers],[Include or Exclude]], 20)</f>
        <v/>
      </c>
      <c r="Z115" s="62" t="str" cm="1">
        <f t="array" ref="Z115">Common_InputFunctions.Utility_DisplayArrayInTable(Fertiliser_SourceData.Fertiliser_Products_Data2(),FertiliserProducts[[#Headers],[Include or Exclude]], 20)</f>
        <v/>
      </c>
      <c r="AA115" s="10" t="str" cm="1">
        <f t="array" ref="AA115">Common_InputFunctions.Utility_DisplayArrayInTable(Fertiliser_SourceData.Fertiliser_Products_Data2(),FertiliserProducts[[#Headers],[Include or Exclude]], 20)</f>
        <v/>
      </c>
      <c r="AB115" s="10" t="str" cm="1">
        <f t="array" ref="AB115">Common_InputFunctions.Utility_DisplayArrayInTable(Fertiliser_SourceData.Fertiliser_Products_Data2(),FertiliserProducts[[#Headers],[Include or Exclude]], 20)</f>
        <v/>
      </c>
      <c r="AC115" s="10" t="str" cm="1">
        <f t="array" ref="AC115">Common_InputFunctions.Utility_DisplayArrayInTable(Fertiliser_SourceData.Fertiliser_Products_Data2(),FertiliserProducts[[#Headers],[Include or Exclude]], 20)</f>
        <v/>
      </c>
      <c r="AD115" s="10" t="str" cm="1">
        <f t="array" ref="AD115">Common_InputFunctions.Utility_DisplayArrayInTable(Fertiliser_SourceData.Fertiliser_Products_Data2(),FertiliserProducts[[#Headers],[Include or Exclude]], 20)</f>
        <v/>
      </c>
      <c r="AE115" s="10" t="str" cm="1">
        <f t="array" ref="AE115">Common_InputFunctions.Utility_DisplayArrayInTable(Fertiliser_SourceData.Fertiliser_Products_Data2(),FertiliserProducts[[#Headers],[Include or Exclude]], 20)</f>
        <v/>
      </c>
    </row>
    <row r="116" spans="1:31" ht="20.100000000000001" customHeight="1" x14ac:dyDescent="0.25">
      <c r="A116"/>
      <c r="D116" s="62" t="str" cm="1">
        <f t="array" ref="D116">Common_InputFunctions.Utility_DisplayArrayInTable(Fertiliser_SourceData.Fertiliser_Products_Data2(),FertiliserProducts[[#Headers],[Include or Exclude]], 20)</f>
        <v>Microsol 16-32-16</v>
      </c>
      <c r="E116" s="62" t="str" cm="1">
        <f t="array" ref="E116">Common_InputFunctions.Utility_DisplayArrayInTable(Fertiliser_SourceData.Fertiliser_Products_Data2(),FertiliserProducts[[#Headers],[Include or Exclude]], 20)</f>
        <v/>
      </c>
      <c r="F116" s="62" t="str" cm="1">
        <f t="array" ref="F116">Common_InputFunctions.Utility_DisplayArrayInTable(Fertiliser_SourceData.Fertiliser_Products_Data2(),FertiliserProducts[[#Headers],[Include or Exclude]], 20)</f>
        <v/>
      </c>
      <c r="G116" s="62" t="str" cm="1">
        <f t="array" ref="G116">Common_InputFunctions.Utility_DisplayArrayInTable(Fertiliser_SourceData.Fertiliser_Products_Data2(),FertiliserProducts[[#Headers],[Include or Exclude]], 20)</f>
        <v/>
      </c>
      <c r="H116" s="62" t="str" cm="1">
        <f t="array" ref="H116">Common_InputFunctions.Utility_DisplayArrayInTable(Fertiliser_SourceData.Fertiliser_Products_Data2(),FertiliserProducts[[#Headers],[Include or Exclude]], 20)</f>
        <v/>
      </c>
      <c r="I116" s="62" t="str" cm="1">
        <f t="array" ref="I116">Common_InputFunctions.Utility_DisplayArrayInTable(Fertiliser_SourceData.Fertiliser_Products_Data2(),FertiliserProducts[[#Headers],[Include or Exclude]], 20)</f>
        <v/>
      </c>
      <c r="J116" s="62" t="str" cm="1">
        <f t="array" ref="J116">Common_InputFunctions.Utility_DisplayArrayInTable(Fertiliser_SourceData.Fertiliser_Products_Data2(),FertiliserProducts[[#Headers],[Include or Exclude]], 20)</f>
        <v/>
      </c>
      <c r="K116" s="62" t="str" cm="1">
        <f t="array" ref="K116">Common_InputFunctions.Utility_DisplayArrayInTable(Fertiliser_SourceData.Fertiliser_Products_Data2(),FertiliserProducts[[#Headers],[Include or Exclude]], 20)</f>
        <v/>
      </c>
      <c r="L116" s="62" t="str" cm="1">
        <f t="array" ref="L116">Common_InputFunctions.Utility_DisplayArrayInTable(Fertiliser_SourceData.Fertiliser_Products_Data2(),FertiliserProducts[[#Headers],[Include or Exclude]], 20)</f>
        <v/>
      </c>
      <c r="M116" s="62" t="str" cm="1">
        <f t="array" ref="M116">Common_InputFunctions.Utility_DisplayArrayInTable(Fertiliser_SourceData.Fertiliser_Products_Data2(),FertiliserProducts[[#Headers],[Include or Exclude]], 20)</f>
        <v/>
      </c>
      <c r="N116" s="62" t="str" cm="1">
        <f t="array" ref="N116">Common_InputFunctions.Utility_DisplayArrayInTable(Fertiliser_SourceData.Fertiliser_Products_Data2(),FertiliserProducts[[#Headers],[Include or Exclude]], 20)</f>
        <v/>
      </c>
      <c r="O116" s="62" t="str" cm="1">
        <f t="array" ref="O116">Common_InputFunctions.Utility_DisplayArrayInTable(Fertiliser_SourceData.Fertiliser_Products_Data2(),FertiliserProducts[[#Headers],[Include or Exclude]], 20)</f>
        <v/>
      </c>
      <c r="P116" s="62" t="str" cm="1">
        <f t="array" ref="P116">Common_InputFunctions.Utility_DisplayArrayInTable(Fertiliser_SourceData.Fertiliser_Products_Data2(),FertiliserProducts[[#Headers],[Include or Exclude]], 20)</f>
        <v/>
      </c>
      <c r="Q116" s="62" t="str" cm="1">
        <f t="array" ref="Q116">Common_InputFunctions.Utility_DisplayArrayInTable(Fertiliser_SourceData.Fertiliser_Products_Data2(),FertiliserProducts[[#Headers],[Include or Exclude]], 20)</f>
        <v/>
      </c>
      <c r="R116" s="62" t="str" cm="1">
        <f t="array" ref="R116">Common_InputFunctions.Utility_DisplayArrayInTable(Fertiliser_SourceData.Fertiliser_Products_Data2(),FertiliserProducts[[#Headers],[Include or Exclude]], 20)</f>
        <v/>
      </c>
      <c r="S116" s="62" t="str" cm="1">
        <f t="array" ref="S116">Common_InputFunctions.Utility_DisplayArrayInTable(Fertiliser_SourceData.Fertiliser_Products_Data2(),FertiliserProducts[[#Headers],[Include or Exclude]], 20)</f>
        <v/>
      </c>
      <c r="T116" s="62" t="str" cm="1">
        <f t="array" ref="T116">Common_InputFunctions.Utility_DisplayArrayInTable(Fertiliser_SourceData.Fertiliser_Products_Data2(),FertiliserProducts[[#Headers],[Include or Exclude]], 20)</f>
        <v/>
      </c>
      <c r="U116" s="62" t="str" cm="1">
        <f t="array" ref="U116">Common_InputFunctions.Utility_DisplayArrayInTable(Fertiliser_SourceData.Fertiliser_Products_Data2(),FertiliserProducts[[#Headers],[Include or Exclude]], 20)</f>
        <v/>
      </c>
      <c r="V116" s="62" t="str" cm="1">
        <f t="array" ref="V116">Common_InputFunctions.Utility_DisplayArrayInTable(Fertiliser_SourceData.Fertiliser_Products_Data2(),FertiliserProducts[[#Headers],[Include or Exclude]], 20)</f>
        <v/>
      </c>
      <c r="W116" s="62" t="str" cm="1">
        <f t="array" ref="W116">Common_InputFunctions.Utility_DisplayArrayInTable(Fertiliser_SourceData.Fertiliser_Products_Data2(),FertiliserProducts[[#Headers],[Include or Exclude]], 20)</f>
        <v>Rigbytaylor Microsol Range</v>
      </c>
      <c r="X116" s="62" t="str" cm="1">
        <f t="array" ref="X116">Common_InputFunctions.Utility_DisplayArrayInTable(Fertiliser_SourceData.Fertiliser_Products_Data2(),FertiliserProducts[[#Headers],[Include or Exclude]], 20)</f>
        <v/>
      </c>
      <c r="Y116" s="62" t="str" cm="1">
        <f t="array" ref="Y116">Common_InputFunctions.Utility_DisplayArrayInTable(Fertiliser_SourceData.Fertiliser_Products_Data2(),FertiliserProducts[[#Headers],[Include or Exclude]], 20)</f>
        <v/>
      </c>
      <c r="Z116" s="62" t="str" cm="1">
        <f t="array" ref="Z116">Common_InputFunctions.Utility_DisplayArrayInTable(Fertiliser_SourceData.Fertiliser_Products_Data2(),FertiliserProducts[[#Headers],[Include or Exclude]], 20)</f>
        <v/>
      </c>
      <c r="AA116" s="10" t="str" cm="1">
        <f t="array" ref="AA116">Common_InputFunctions.Utility_DisplayArrayInTable(Fertiliser_SourceData.Fertiliser_Products_Data2(),FertiliserProducts[[#Headers],[Include or Exclude]], 20)</f>
        <v/>
      </c>
      <c r="AB116" s="10" t="str" cm="1">
        <f t="array" ref="AB116">Common_InputFunctions.Utility_DisplayArrayInTable(Fertiliser_SourceData.Fertiliser_Products_Data2(),FertiliserProducts[[#Headers],[Include or Exclude]], 20)</f>
        <v/>
      </c>
      <c r="AC116" s="10" t="str" cm="1">
        <f t="array" ref="AC116">Common_InputFunctions.Utility_DisplayArrayInTable(Fertiliser_SourceData.Fertiliser_Products_Data2(),FertiliserProducts[[#Headers],[Include or Exclude]], 20)</f>
        <v/>
      </c>
      <c r="AD116" s="10" t="str" cm="1">
        <f t="array" ref="AD116">Common_InputFunctions.Utility_DisplayArrayInTable(Fertiliser_SourceData.Fertiliser_Products_Data2(),FertiliserProducts[[#Headers],[Include or Exclude]], 20)</f>
        <v/>
      </c>
      <c r="AE116" s="10" t="str" cm="1">
        <f t="array" ref="AE116">Common_InputFunctions.Utility_DisplayArrayInTable(Fertiliser_SourceData.Fertiliser_Products_Data2(),FertiliserProducts[[#Headers],[Include or Exclude]], 20)</f>
        <v/>
      </c>
    </row>
    <row r="117" spans="1:31" ht="20.100000000000001" customHeight="1" x14ac:dyDescent="0.25">
      <c r="A117"/>
      <c r="D117" s="62" t="str" cm="1">
        <f t="array" ref="D117">Common_InputFunctions.Utility_DisplayArrayInTable(Fertiliser_SourceData.Fertiliser_Products_Data2(),FertiliserProducts[[#Headers],[Include or Exclude]], 20)</f>
        <v>Microsol 25-5-10</v>
      </c>
      <c r="E117" s="62" t="str" cm="1">
        <f t="array" ref="E117">Common_InputFunctions.Utility_DisplayArrayInTable(Fertiliser_SourceData.Fertiliser_Products_Data2(),FertiliserProducts[[#Headers],[Include or Exclude]], 20)</f>
        <v/>
      </c>
      <c r="F117" s="62" t="str" cm="1">
        <f t="array" ref="F117">Common_InputFunctions.Utility_DisplayArrayInTable(Fertiliser_SourceData.Fertiliser_Products_Data2(),FertiliserProducts[[#Headers],[Include or Exclude]], 20)</f>
        <v/>
      </c>
      <c r="G117" s="62" t="str" cm="1">
        <f t="array" ref="G117">Common_InputFunctions.Utility_DisplayArrayInTable(Fertiliser_SourceData.Fertiliser_Products_Data2(),FertiliserProducts[[#Headers],[Include or Exclude]], 20)</f>
        <v/>
      </c>
      <c r="H117" s="62" t="str" cm="1">
        <f t="array" ref="H117">Common_InputFunctions.Utility_DisplayArrayInTable(Fertiliser_SourceData.Fertiliser_Products_Data2(),FertiliserProducts[[#Headers],[Include or Exclude]], 20)</f>
        <v/>
      </c>
      <c r="I117" s="62" t="str" cm="1">
        <f t="array" ref="I117">Common_InputFunctions.Utility_DisplayArrayInTable(Fertiliser_SourceData.Fertiliser_Products_Data2(),FertiliserProducts[[#Headers],[Include or Exclude]], 20)</f>
        <v/>
      </c>
      <c r="J117" s="62" t="str" cm="1">
        <f t="array" ref="J117">Common_InputFunctions.Utility_DisplayArrayInTable(Fertiliser_SourceData.Fertiliser_Products_Data2(),FertiliserProducts[[#Headers],[Include or Exclude]], 20)</f>
        <v/>
      </c>
      <c r="K117" s="62" t="str" cm="1">
        <f t="array" ref="K117">Common_InputFunctions.Utility_DisplayArrayInTable(Fertiliser_SourceData.Fertiliser_Products_Data2(),FertiliserProducts[[#Headers],[Include or Exclude]], 20)</f>
        <v/>
      </c>
      <c r="L117" s="62" t="str" cm="1">
        <f t="array" ref="L117">Common_InputFunctions.Utility_DisplayArrayInTable(Fertiliser_SourceData.Fertiliser_Products_Data2(),FertiliserProducts[[#Headers],[Include or Exclude]], 20)</f>
        <v/>
      </c>
      <c r="M117" s="62" t="str" cm="1">
        <f t="array" ref="M117">Common_InputFunctions.Utility_DisplayArrayInTable(Fertiliser_SourceData.Fertiliser_Products_Data2(),FertiliserProducts[[#Headers],[Include or Exclude]], 20)</f>
        <v/>
      </c>
      <c r="N117" s="62" t="str" cm="1">
        <f t="array" ref="N117">Common_InputFunctions.Utility_DisplayArrayInTable(Fertiliser_SourceData.Fertiliser_Products_Data2(),FertiliserProducts[[#Headers],[Include or Exclude]], 20)</f>
        <v/>
      </c>
      <c r="O117" s="62" t="str" cm="1">
        <f t="array" ref="O117">Common_InputFunctions.Utility_DisplayArrayInTable(Fertiliser_SourceData.Fertiliser_Products_Data2(),FertiliserProducts[[#Headers],[Include or Exclude]], 20)</f>
        <v/>
      </c>
      <c r="P117" s="62" t="str" cm="1">
        <f t="array" ref="P117">Common_InputFunctions.Utility_DisplayArrayInTable(Fertiliser_SourceData.Fertiliser_Products_Data2(),FertiliserProducts[[#Headers],[Include or Exclude]], 20)</f>
        <v/>
      </c>
      <c r="Q117" s="62" t="str" cm="1">
        <f t="array" ref="Q117">Common_InputFunctions.Utility_DisplayArrayInTable(Fertiliser_SourceData.Fertiliser_Products_Data2(),FertiliserProducts[[#Headers],[Include or Exclude]], 20)</f>
        <v/>
      </c>
      <c r="R117" s="62" t="str" cm="1">
        <f t="array" ref="R117">Common_InputFunctions.Utility_DisplayArrayInTable(Fertiliser_SourceData.Fertiliser_Products_Data2(),FertiliserProducts[[#Headers],[Include or Exclude]], 20)</f>
        <v/>
      </c>
      <c r="S117" s="62" t="str" cm="1">
        <f t="array" ref="S117">Common_InputFunctions.Utility_DisplayArrayInTable(Fertiliser_SourceData.Fertiliser_Products_Data2(),FertiliserProducts[[#Headers],[Include or Exclude]], 20)</f>
        <v/>
      </c>
      <c r="T117" s="62" t="str" cm="1">
        <f t="array" ref="T117">Common_InputFunctions.Utility_DisplayArrayInTable(Fertiliser_SourceData.Fertiliser_Products_Data2(),FertiliserProducts[[#Headers],[Include or Exclude]], 20)</f>
        <v/>
      </c>
      <c r="U117" s="62" t="str" cm="1">
        <f t="array" ref="U117">Common_InputFunctions.Utility_DisplayArrayInTable(Fertiliser_SourceData.Fertiliser_Products_Data2(),FertiliserProducts[[#Headers],[Include or Exclude]], 20)</f>
        <v/>
      </c>
      <c r="V117" s="62" t="str" cm="1">
        <f t="array" ref="V117">Common_InputFunctions.Utility_DisplayArrayInTable(Fertiliser_SourceData.Fertiliser_Products_Data2(),FertiliserProducts[[#Headers],[Include or Exclude]], 20)</f>
        <v/>
      </c>
      <c r="W117" s="62" t="str" cm="1">
        <f t="array" ref="W117">Common_InputFunctions.Utility_DisplayArrayInTable(Fertiliser_SourceData.Fertiliser_Products_Data2(),FertiliserProducts[[#Headers],[Include or Exclude]], 20)</f>
        <v>Rigbytaylor Microsol Range</v>
      </c>
      <c r="X117" s="62" t="str" cm="1">
        <f t="array" ref="X117">Common_InputFunctions.Utility_DisplayArrayInTable(Fertiliser_SourceData.Fertiliser_Products_Data2(),FertiliserProducts[[#Headers],[Include or Exclude]], 20)</f>
        <v/>
      </c>
      <c r="Y117" s="62" t="str" cm="1">
        <f t="array" ref="Y117">Common_InputFunctions.Utility_DisplayArrayInTable(Fertiliser_SourceData.Fertiliser_Products_Data2(),FertiliserProducts[[#Headers],[Include or Exclude]], 20)</f>
        <v/>
      </c>
      <c r="Z117" s="62" t="str" cm="1">
        <f t="array" ref="Z117">Common_InputFunctions.Utility_DisplayArrayInTable(Fertiliser_SourceData.Fertiliser_Products_Data2(),FertiliserProducts[[#Headers],[Include or Exclude]], 20)</f>
        <v/>
      </c>
      <c r="AA117" s="10" t="str" cm="1">
        <f t="array" ref="AA117">Common_InputFunctions.Utility_DisplayArrayInTable(Fertiliser_SourceData.Fertiliser_Products_Data2(),FertiliserProducts[[#Headers],[Include or Exclude]], 20)</f>
        <v/>
      </c>
      <c r="AB117" s="10" t="str" cm="1">
        <f t="array" ref="AB117">Common_InputFunctions.Utility_DisplayArrayInTable(Fertiliser_SourceData.Fertiliser_Products_Data2(),FertiliserProducts[[#Headers],[Include or Exclude]], 20)</f>
        <v/>
      </c>
      <c r="AC117" s="10" t="str" cm="1">
        <f t="array" ref="AC117">Common_InputFunctions.Utility_DisplayArrayInTable(Fertiliser_SourceData.Fertiliser_Products_Data2(),FertiliserProducts[[#Headers],[Include or Exclude]], 20)</f>
        <v/>
      </c>
      <c r="AD117" s="10" t="str" cm="1">
        <f t="array" ref="AD117">Common_InputFunctions.Utility_DisplayArrayInTable(Fertiliser_SourceData.Fertiliser_Products_Data2(),FertiliserProducts[[#Headers],[Include or Exclude]], 20)</f>
        <v/>
      </c>
      <c r="AE117" s="10" t="str" cm="1">
        <f t="array" ref="AE117">Common_InputFunctions.Utility_DisplayArrayInTable(Fertiliser_SourceData.Fertiliser_Products_Data2(),FertiliserProducts[[#Headers],[Include or Exclude]], 20)</f>
        <v/>
      </c>
    </row>
    <row r="118" spans="1:31" ht="20.100000000000001" customHeight="1" x14ac:dyDescent="0.25">
      <c r="A118"/>
      <c r="D118" s="62" t="str" cm="1">
        <f t="array" ref="D118">Common_InputFunctions.Utility_DisplayArrayInTable(Fertiliser_SourceData.Fertiliser_Products_Data2(),FertiliserProducts[[#Headers],[Include or Exclude]], 20)</f>
        <v>Microsol 28-0-14</v>
      </c>
      <c r="E118" s="62" t="str" cm="1">
        <f t="array" ref="E118">Common_InputFunctions.Utility_DisplayArrayInTable(Fertiliser_SourceData.Fertiliser_Products_Data2(),FertiliserProducts[[#Headers],[Include or Exclude]], 20)</f>
        <v/>
      </c>
      <c r="F118" s="62" t="str" cm="1">
        <f t="array" ref="F118">Common_InputFunctions.Utility_DisplayArrayInTable(Fertiliser_SourceData.Fertiliser_Products_Data2(),FertiliserProducts[[#Headers],[Include or Exclude]], 20)</f>
        <v/>
      </c>
      <c r="G118" s="62" t="str" cm="1">
        <f t="array" ref="G118">Common_InputFunctions.Utility_DisplayArrayInTable(Fertiliser_SourceData.Fertiliser_Products_Data2(),FertiliserProducts[[#Headers],[Include or Exclude]], 20)</f>
        <v/>
      </c>
      <c r="H118" s="62" t="str" cm="1">
        <f t="array" ref="H118">Common_InputFunctions.Utility_DisplayArrayInTable(Fertiliser_SourceData.Fertiliser_Products_Data2(),FertiliserProducts[[#Headers],[Include or Exclude]], 20)</f>
        <v/>
      </c>
      <c r="I118" s="62" t="str" cm="1">
        <f t="array" ref="I118">Common_InputFunctions.Utility_DisplayArrayInTable(Fertiliser_SourceData.Fertiliser_Products_Data2(),FertiliserProducts[[#Headers],[Include or Exclude]], 20)</f>
        <v/>
      </c>
      <c r="J118" s="62" t="str" cm="1">
        <f t="array" ref="J118">Common_InputFunctions.Utility_DisplayArrayInTable(Fertiliser_SourceData.Fertiliser_Products_Data2(),FertiliserProducts[[#Headers],[Include or Exclude]], 20)</f>
        <v/>
      </c>
      <c r="K118" s="62" t="str" cm="1">
        <f t="array" ref="K118">Common_InputFunctions.Utility_DisplayArrayInTable(Fertiliser_SourceData.Fertiliser_Products_Data2(),FertiliserProducts[[#Headers],[Include or Exclude]], 20)</f>
        <v/>
      </c>
      <c r="L118" s="62" t="str" cm="1">
        <f t="array" ref="L118">Common_InputFunctions.Utility_DisplayArrayInTable(Fertiliser_SourceData.Fertiliser_Products_Data2(),FertiliserProducts[[#Headers],[Include or Exclude]], 20)</f>
        <v/>
      </c>
      <c r="M118" s="62" t="str" cm="1">
        <f t="array" ref="M118">Common_InputFunctions.Utility_DisplayArrayInTable(Fertiliser_SourceData.Fertiliser_Products_Data2(),FertiliserProducts[[#Headers],[Include or Exclude]], 20)</f>
        <v/>
      </c>
      <c r="N118" s="62" t="str" cm="1">
        <f t="array" ref="N118">Common_InputFunctions.Utility_DisplayArrayInTable(Fertiliser_SourceData.Fertiliser_Products_Data2(),FertiliserProducts[[#Headers],[Include or Exclude]], 20)</f>
        <v/>
      </c>
      <c r="O118" s="62" t="str" cm="1">
        <f t="array" ref="O118">Common_InputFunctions.Utility_DisplayArrayInTable(Fertiliser_SourceData.Fertiliser_Products_Data2(),FertiliserProducts[[#Headers],[Include or Exclude]], 20)</f>
        <v/>
      </c>
      <c r="P118" s="62" t="str" cm="1">
        <f t="array" ref="P118">Common_InputFunctions.Utility_DisplayArrayInTable(Fertiliser_SourceData.Fertiliser_Products_Data2(),FertiliserProducts[[#Headers],[Include or Exclude]], 20)</f>
        <v/>
      </c>
      <c r="Q118" s="62" t="str" cm="1">
        <f t="array" ref="Q118">Common_InputFunctions.Utility_DisplayArrayInTable(Fertiliser_SourceData.Fertiliser_Products_Data2(),FertiliserProducts[[#Headers],[Include or Exclude]], 20)</f>
        <v/>
      </c>
      <c r="R118" s="62" t="str" cm="1">
        <f t="array" ref="R118">Common_InputFunctions.Utility_DisplayArrayInTable(Fertiliser_SourceData.Fertiliser_Products_Data2(),FertiliserProducts[[#Headers],[Include or Exclude]], 20)</f>
        <v/>
      </c>
      <c r="S118" s="62" t="str" cm="1">
        <f t="array" ref="S118">Common_InputFunctions.Utility_DisplayArrayInTable(Fertiliser_SourceData.Fertiliser_Products_Data2(),FertiliserProducts[[#Headers],[Include or Exclude]], 20)</f>
        <v/>
      </c>
      <c r="T118" s="62" t="str" cm="1">
        <f t="array" ref="T118">Common_InputFunctions.Utility_DisplayArrayInTable(Fertiliser_SourceData.Fertiliser_Products_Data2(),FertiliserProducts[[#Headers],[Include or Exclude]], 20)</f>
        <v/>
      </c>
      <c r="U118" s="62" t="str" cm="1">
        <f t="array" ref="U118">Common_InputFunctions.Utility_DisplayArrayInTable(Fertiliser_SourceData.Fertiliser_Products_Data2(),FertiliserProducts[[#Headers],[Include or Exclude]], 20)</f>
        <v/>
      </c>
      <c r="V118" s="62" t="str" cm="1">
        <f t="array" ref="V118">Common_InputFunctions.Utility_DisplayArrayInTable(Fertiliser_SourceData.Fertiliser_Products_Data2(),FertiliserProducts[[#Headers],[Include or Exclude]], 20)</f>
        <v/>
      </c>
      <c r="W118" s="62" t="str" cm="1">
        <f t="array" ref="W118">Common_InputFunctions.Utility_DisplayArrayInTable(Fertiliser_SourceData.Fertiliser_Products_Data2(),FertiliserProducts[[#Headers],[Include or Exclude]], 20)</f>
        <v>Rigbytaylor Microsol Range</v>
      </c>
      <c r="X118" s="62" t="str" cm="1">
        <f t="array" ref="X118">Common_InputFunctions.Utility_DisplayArrayInTable(Fertiliser_SourceData.Fertiliser_Products_Data2(),FertiliserProducts[[#Headers],[Include or Exclude]], 20)</f>
        <v/>
      </c>
      <c r="Y118" s="62" t="str" cm="1">
        <f t="array" ref="Y118">Common_InputFunctions.Utility_DisplayArrayInTable(Fertiliser_SourceData.Fertiliser_Products_Data2(),FertiliserProducts[[#Headers],[Include or Exclude]], 20)</f>
        <v/>
      </c>
      <c r="Z118" s="62" t="str" cm="1">
        <f t="array" ref="Z118">Common_InputFunctions.Utility_DisplayArrayInTable(Fertiliser_SourceData.Fertiliser_Products_Data2(),FertiliserProducts[[#Headers],[Include or Exclude]], 20)</f>
        <v/>
      </c>
      <c r="AA118" s="10" t="str" cm="1">
        <f t="array" ref="AA118">Common_InputFunctions.Utility_DisplayArrayInTable(Fertiliser_SourceData.Fertiliser_Products_Data2(),FertiliserProducts[[#Headers],[Include or Exclude]], 20)</f>
        <v/>
      </c>
      <c r="AB118" s="10" t="str" cm="1">
        <f t="array" ref="AB118">Common_InputFunctions.Utility_DisplayArrayInTable(Fertiliser_SourceData.Fertiliser_Products_Data2(),FertiliserProducts[[#Headers],[Include or Exclude]], 20)</f>
        <v/>
      </c>
      <c r="AC118" s="10" t="str" cm="1">
        <f t="array" ref="AC118">Common_InputFunctions.Utility_DisplayArrayInTable(Fertiliser_SourceData.Fertiliser_Products_Data2(),FertiliserProducts[[#Headers],[Include or Exclude]], 20)</f>
        <v/>
      </c>
      <c r="AD118" s="10" t="str" cm="1">
        <f t="array" ref="AD118">Common_InputFunctions.Utility_DisplayArrayInTable(Fertiliser_SourceData.Fertiliser_Products_Data2(),FertiliserProducts[[#Headers],[Include or Exclude]], 20)</f>
        <v/>
      </c>
      <c r="AE118" s="10" t="str" cm="1">
        <f t="array" ref="AE118">Common_InputFunctions.Utility_DisplayArrayInTable(Fertiliser_SourceData.Fertiliser_Products_Data2(),FertiliserProducts[[#Headers],[Include or Exclude]], 20)</f>
        <v/>
      </c>
    </row>
    <row r="119" spans="1:31" ht="20.100000000000001" customHeight="1" x14ac:dyDescent="0.25">
      <c r="A119"/>
      <c r="D119" s="62" t="str" cm="1">
        <f t="array" ref="D119">Common_InputFunctions.Utility_DisplayArrayInTable(Fertiliser_SourceData.Fertiliser_Products_Data2(),FertiliserProducts[[#Headers],[Include or Exclude]], 20)</f>
        <v>Mono Potassium Phosphate MKP</v>
      </c>
      <c r="E119" s="62" t="str" cm="1">
        <f t="array" ref="E119">Common_InputFunctions.Utility_DisplayArrayInTable(Fertiliser_SourceData.Fertiliser_Products_Data2(),FertiliserProducts[[#Headers],[Include or Exclude]], 20)</f>
        <v/>
      </c>
      <c r="F119" s="62" t="str" cm="1">
        <f t="array" ref="F119">Common_InputFunctions.Utility_DisplayArrayInTable(Fertiliser_SourceData.Fertiliser_Products_Data2(),FertiliserProducts[[#Headers],[Include or Exclude]], 20)</f>
        <v/>
      </c>
      <c r="G119" s="62" t="str" cm="1">
        <f t="array" ref="G119">Common_InputFunctions.Utility_DisplayArrayInTable(Fertiliser_SourceData.Fertiliser_Products_Data2(),FertiliserProducts[[#Headers],[Include or Exclude]], 20)</f>
        <v/>
      </c>
      <c r="H119" s="62" t="str" cm="1">
        <f t="array" ref="H119">Common_InputFunctions.Utility_DisplayArrayInTable(Fertiliser_SourceData.Fertiliser_Products_Data2(),FertiliserProducts[[#Headers],[Include or Exclude]], 20)</f>
        <v/>
      </c>
      <c r="I119" s="62" t="str" cm="1">
        <f t="array" ref="I119">Common_InputFunctions.Utility_DisplayArrayInTable(Fertiliser_SourceData.Fertiliser_Products_Data2(),FertiliserProducts[[#Headers],[Include or Exclude]], 20)</f>
        <v/>
      </c>
      <c r="J119" s="62" t="str" cm="1">
        <f t="array" ref="J119">Common_InputFunctions.Utility_DisplayArrayInTable(Fertiliser_SourceData.Fertiliser_Products_Data2(),FertiliserProducts[[#Headers],[Include or Exclude]], 20)</f>
        <v/>
      </c>
      <c r="K119" s="62" t="str" cm="1">
        <f t="array" ref="K119">Common_InputFunctions.Utility_DisplayArrayInTable(Fertiliser_SourceData.Fertiliser_Products_Data2(),FertiliserProducts[[#Headers],[Include or Exclude]], 20)</f>
        <v/>
      </c>
      <c r="L119" s="62" t="str" cm="1">
        <f t="array" ref="L119">Common_InputFunctions.Utility_DisplayArrayInTable(Fertiliser_SourceData.Fertiliser_Products_Data2(),FertiliserProducts[[#Headers],[Include or Exclude]], 20)</f>
        <v/>
      </c>
      <c r="M119" s="62" t="str" cm="1">
        <f t="array" ref="M119">Common_InputFunctions.Utility_DisplayArrayInTable(Fertiliser_SourceData.Fertiliser_Products_Data2(),FertiliserProducts[[#Headers],[Include or Exclude]], 20)</f>
        <v/>
      </c>
      <c r="N119" s="62" t="str" cm="1">
        <f t="array" ref="N119">Common_InputFunctions.Utility_DisplayArrayInTable(Fertiliser_SourceData.Fertiliser_Products_Data2(),FertiliserProducts[[#Headers],[Include or Exclude]], 20)</f>
        <v/>
      </c>
      <c r="O119" s="62" t="str" cm="1">
        <f t="array" ref="O119">Common_InputFunctions.Utility_DisplayArrayInTable(Fertiliser_SourceData.Fertiliser_Products_Data2(),FertiliserProducts[[#Headers],[Include or Exclude]], 20)</f>
        <v/>
      </c>
      <c r="P119" s="62" t="str" cm="1">
        <f t="array" ref="P119">Common_InputFunctions.Utility_DisplayArrayInTable(Fertiliser_SourceData.Fertiliser_Products_Data2(),FertiliserProducts[[#Headers],[Include or Exclude]], 20)</f>
        <v/>
      </c>
      <c r="Q119" s="62" t="str" cm="1">
        <f t="array" ref="Q119">Common_InputFunctions.Utility_DisplayArrayInTable(Fertiliser_SourceData.Fertiliser_Products_Data2(),FertiliserProducts[[#Headers],[Include or Exclude]], 20)</f>
        <v/>
      </c>
      <c r="R119" s="62" t="str" cm="1">
        <f t="array" ref="R119">Common_InputFunctions.Utility_DisplayArrayInTable(Fertiliser_SourceData.Fertiliser_Products_Data2(),FertiliserProducts[[#Headers],[Include or Exclude]], 20)</f>
        <v/>
      </c>
      <c r="S119" s="62" t="str" cm="1">
        <f t="array" ref="S119">Common_InputFunctions.Utility_DisplayArrayInTable(Fertiliser_SourceData.Fertiliser_Products_Data2(),FertiliserProducts[[#Headers],[Include or Exclude]], 20)</f>
        <v/>
      </c>
      <c r="T119" s="62" t="str" cm="1">
        <f t="array" ref="T119">Common_InputFunctions.Utility_DisplayArrayInTable(Fertiliser_SourceData.Fertiliser_Products_Data2(),FertiliserProducts[[#Headers],[Include or Exclude]], 20)</f>
        <v/>
      </c>
      <c r="U119" s="62" t="str" cm="1">
        <f t="array" ref="U119">Common_InputFunctions.Utility_DisplayArrayInTable(Fertiliser_SourceData.Fertiliser_Products_Data2(),FertiliserProducts[[#Headers],[Include or Exclude]], 20)</f>
        <v/>
      </c>
      <c r="V119" s="62" t="str" cm="1">
        <f t="array" ref="V119">Common_InputFunctions.Utility_DisplayArrayInTable(Fertiliser_SourceData.Fertiliser_Products_Data2(),FertiliserProducts[[#Headers],[Include or Exclude]], 20)</f>
        <v/>
      </c>
      <c r="W119" s="62" t="str" cm="1">
        <f t="array" ref="W119">Common_InputFunctions.Utility_DisplayArrayInTable(Fertiliser_SourceData.Fertiliser_Products_Data2(),FertiliserProducts[[#Headers],[Include or Exclude]], 20)</f>
        <v>Swancrop</v>
      </c>
      <c r="X119" s="62" t="str" cm="1">
        <f t="array" ref="X119">Common_InputFunctions.Utility_DisplayArrayInTable(Fertiliser_SourceData.Fertiliser_Products_Data2(),FertiliserProducts[[#Headers],[Include or Exclude]], 20)</f>
        <v/>
      </c>
      <c r="Y119" s="62" t="str" cm="1">
        <f t="array" ref="Y119">Common_InputFunctions.Utility_DisplayArrayInTable(Fertiliser_SourceData.Fertiliser_Products_Data2(),FertiliserProducts[[#Headers],[Include or Exclude]], 20)</f>
        <v/>
      </c>
      <c r="Z119" s="62" t="str" cm="1">
        <f t="array" ref="Z119">Common_InputFunctions.Utility_DisplayArrayInTable(Fertiliser_SourceData.Fertiliser_Products_Data2(),FertiliserProducts[[#Headers],[Include or Exclude]], 20)</f>
        <v/>
      </c>
      <c r="AA119" s="10" t="str" cm="1">
        <f t="array" ref="AA119">Common_InputFunctions.Utility_DisplayArrayInTable(Fertiliser_SourceData.Fertiliser_Products_Data2(),FertiliserProducts[[#Headers],[Include or Exclude]], 20)</f>
        <v/>
      </c>
      <c r="AB119" s="10" t="str" cm="1">
        <f t="array" ref="AB119">Common_InputFunctions.Utility_DisplayArrayInTable(Fertiliser_SourceData.Fertiliser_Products_Data2(),FertiliserProducts[[#Headers],[Include or Exclude]], 20)</f>
        <v/>
      </c>
      <c r="AC119" s="10" t="str" cm="1">
        <f t="array" ref="AC119">Common_InputFunctions.Utility_DisplayArrayInTable(Fertiliser_SourceData.Fertiliser_Products_Data2(),FertiliserProducts[[#Headers],[Include or Exclude]], 20)</f>
        <v/>
      </c>
      <c r="AD119" s="10" t="str" cm="1">
        <f t="array" ref="AD119">Common_InputFunctions.Utility_DisplayArrayInTable(Fertiliser_SourceData.Fertiliser_Products_Data2(),FertiliserProducts[[#Headers],[Include or Exclude]], 20)</f>
        <v/>
      </c>
      <c r="AE119" s="10" t="str" cm="1">
        <f t="array" ref="AE119">Common_InputFunctions.Utility_DisplayArrayInTable(Fertiliser_SourceData.Fertiliser_Products_Data2(),FertiliserProducts[[#Headers],[Include or Exclude]], 20)</f>
        <v/>
      </c>
    </row>
    <row r="120" spans="1:31" ht="20.100000000000001" customHeight="1" x14ac:dyDescent="0.25">
      <c r="A120"/>
      <c r="D120" s="62" t="str" cm="1">
        <f t="array" ref="D120">Common_InputFunctions.Utility_DisplayArrayInTable(Fertiliser_SourceData.Fertiliser_Products_Data2(),FertiliserProducts[[#Headers],[Include or Exclude]], 20)</f>
        <v>Muriate Of Potash MOP</v>
      </c>
      <c r="E120" s="62" t="str" cm="1">
        <f t="array" ref="E120">Common_InputFunctions.Utility_DisplayArrayInTable(Fertiliser_SourceData.Fertiliser_Products_Data2(),FertiliserProducts[[#Headers],[Include or Exclude]], 20)</f>
        <v/>
      </c>
      <c r="F120" s="62" t="str" cm="1">
        <f t="array" ref="F120">Common_InputFunctions.Utility_DisplayArrayInTable(Fertiliser_SourceData.Fertiliser_Products_Data2(),FertiliserProducts[[#Headers],[Include or Exclude]], 20)</f>
        <v/>
      </c>
      <c r="G120" s="62" t="str" cm="1">
        <f t="array" ref="G120">Common_InputFunctions.Utility_DisplayArrayInTable(Fertiliser_SourceData.Fertiliser_Products_Data2(),FertiliserProducts[[#Headers],[Include or Exclude]], 20)</f>
        <v/>
      </c>
      <c r="H120" s="62" t="str" cm="1">
        <f t="array" ref="H120">Common_InputFunctions.Utility_DisplayArrayInTable(Fertiliser_SourceData.Fertiliser_Products_Data2(),FertiliserProducts[[#Headers],[Include or Exclude]], 20)</f>
        <v/>
      </c>
      <c r="I120" s="62" t="str" cm="1">
        <f t="array" ref="I120">Common_InputFunctions.Utility_DisplayArrayInTable(Fertiliser_SourceData.Fertiliser_Products_Data2(),FertiliserProducts[[#Headers],[Include or Exclude]], 20)</f>
        <v/>
      </c>
      <c r="J120" s="62" t="str" cm="1">
        <f t="array" ref="J120">Common_InputFunctions.Utility_DisplayArrayInTable(Fertiliser_SourceData.Fertiliser_Products_Data2(),FertiliserProducts[[#Headers],[Include or Exclude]], 20)</f>
        <v/>
      </c>
      <c r="K120" s="62" t="str" cm="1">
        <f t="array" ref="K120">Common_InputFunctions.Utility_DisplayArrayInTable(Fertiliser_SourceData.Fertiliser_Products_Data2(),FertiliserProducts[[#Headers],[Include or Exclude]], 20)</f>
        <v/>
      </c>
      <c r="L120" s="62" t="str" cm="1">
        <f t="array" ref="L120">Common_InputFunctions.Utility_DisplayArrayInTable(Fertiliser_SourceData.Fertiliser_Products_Data2(),FertiliserProducts[[#Headers],[Include or Exclude]], 20)</f>
        <v/>
      </c>
      <c r="M120" s="62" t="str" cm="1">
        <f t="array" ref="M120">Common_InputFunctions.Utility_DisplayArrayInTable(Fertiliser_SourceData.Fertiliser_Products_Data2(),FertiliserProducts[[#Headers],[Include or Exclude]], 20)</f>
        <v/>
      </c>
      <c r="N120" s="62" t="str" cm="1">
        <f t="array" ref="N120">Common_InputFunctions.Utility_DisplayArrayInTable(Fertiliser_SourceData.Fertiliser_Products_Data2(),FertiliserProducts[[#Headers],[Include or Exclude]], 20)</f>
        <v/>
      </c>
      <c r="O120" s="62" t="str" cm="1">
        <f t="array" ref="O120">Common_InputFunctions.Utility_DisplayArrayInTable(Fertiliser_SourceData.Fertiliser_Products_Data2(),FertiliserProducts[[#Headers],[Include or Exclude]], 20)</f>
        <v/>
      </c>
      <c r="P120" s="62" t="str" cm="1">
        <f t="array" ref="P120">Common_InputFunctions.Utility_DisplayArrayInTable(Fertiliser_SourceData.Fertiliser_Products_Data2(),FertiliserProducts[[#Headers],[Include or Exclude]], 20)</f>
        <v/>
      </c>
      <c r="Q120" s="62" t="str" cm="1">
        <f t="array" ref="Q120">Common_InputFunctions.Utility_DisplayArrayInTable(Fertiliser_SourceData.Fertiliser_Products_Data2(),FertiliserProducts[[#Headers],[Include or Exclude]], 20)</f>
        <v/>
      </c>
      <c r="R120" s="62" t="str" cm="1">
        <f t="array" ref="R120">Common_InputFunctions.Utility_DisplayArrayInTable(Fertiliser_SourceData.Fertiliser_Products_Data2(),FertiliserProducts[[#Headers],[Include or Exclude]], 20)</f>
        <v/>
      </c>
      <c r="S120" s="62" t="str" cm="1">
        <f t="array" ref="S120">Common_InputFunctions.Utility_DisplayArrayInTable(Fertiliser_SourceData.Fertiliser_Products_Data2(),FertiliserProducts[[#Headers],[Include or Exclude]], 20)</f>
        <v/>
      </c>
      <c r="T120" s="62" t="str" cm="1">
        <f t="array" ref="T120">Common_InputFunctions.Utility_DisplayArrayInTable(Fertiliser_SourceData.Fertiliser_Products_Data2(),FertiliserProducts[[#Headers],[Include or Exclude]], 20)</f>
        <v/>
      </c>
      <c r="U120" s="62" t="str" cm="1">
        <f t="array" ref="U120">Common_InputFunctions.Utility_DisplayArrayInTable(Fertiliser_SourceData.Fertiliser_Products_Data2(),FertiliserProducts[[#Headers],[Include or Exclude]], 20)</f>
        <v/>
      </c>
      <c r="V120" s="62" t="str" cm="1">
        <f t="array" ref="V120">Common_InputFunctions.Utility_DisplayArrayInTable(Fertiliser_SourceData.Fertiliser_Products_Data2(),FertiliserProducts[[#Headers],[Include or Exclude]], 20)</f>
        <v/>
      </c>
      <c r="W120" s="62" t="str" cm="1">
        <f t="array" ref="W120">Common_InputFunctions.Utility_DisplayArrayInTable(Fertiliser_SourceData.Fertiliser_Products_Data2(),FertiliserProducts[[#Headers],[Include or Exclude]], 20)</f>
        <v>MountCompass Fertilisers Blends</v>
      </c>
      <c r="X120" s="62" t="str" cm="1">
        <f t="array" ref="X120">Common_InputFunctions.Utility_DisplayArrayInTable(Fertiliser_SourceData.Fertiliser_Products_Data2(),FertiliserProducts[[#Headers],[Include or Exclude]], 20)</f>
        <v/>
      </c>
      <c r="Y120" s="62" t="str" cm="1">
        <f t="array" ref="Y120">Common_InputFunctions.Utility_DisplayArrayInTable(Fertiliser_SourceData.Fertiliser_Products_Data2(),FertiliserProducts[[#Headers],[Include or Exclude]], 20)</f>
        <v/>
      </c>
      <c r="Z120" s="62" t="str" cm="1">
        <f t="array" ref="Z120">Common_InputFunctions.Utility_DisplayArrayInTable(Fertiliser_SourceData.Fertiliser_Products_Data2(),FertiliserProducts[[#Headers],[Include or Exclude]], 20)</f>
        <v/>
      </c>
      <c r="AA120" s="10" t="str" cm="1">
        <f t="array" ref="AA120">Common_InputFunctions.Utility_DisplayArrayInTable(Fertiliser_SourceData.Fertiliser_Products_Data2(),FertiliserProducts[[#Headers],[Include or Exclude]], 20)</f>
        <v/>
      </c>
      <c r="AB120" s="10" t="str" cm="1">
        <f t="array" ref="AB120">Common_InputFunctions.Utility_DisplayArrayInTable(Fertiliser_SourceData.Fertiliser_Products_Data2(),FertiliserProducts[[#Headers],[Include or Exclude]], 20)</f>
        <v/>
      </c>
      <c r="AC120" s="10" t="str" cm="1">
        <f t="array" ref="AC120">Common_InputFunctions.Utility_DisplayArrayInTable(Fertiliser_SourceData.Fertiliser_Products_Data2(),FertiliserProducts[[#Headers],[Include or Exclude]], 20)</f>
        <v/>
      </c>
      <c r="AD120" s="10" t="str" cm="1">
        <f t="array" ref="AD120">Common_InputFunctions.Utility_DisplayArrayInTable(Fertiliser_SourceData.Fertiliser_Products_Data2(),FertiliserProducts[[#Headers],[Include or Exclude]], 20)</f>
        <v/>
      </c>
      <c r="AE120" s="10" t="str" cm="1">
        <f t="array" ref="AE120">Common_InputFunctions.Utility_DisplayArrayInTable(Fertiliser_SourceData.Fertiliser_Products_Data2(),FertiliserProducts[[#Headers],[Include or Exclude]], 20)</f>
        <v/>
      </c>
    </row>
    <row r="121" spans="1:31" ht="20.100000000000001" customHeight="1" x14ac:dyDescent="0.25">
      <c r="A121"/>
      <c r="D121" s="62" t="str" cm="1">
        <f t="array" ref="D121">Common_InputFunctions.Utility_DisplayArrayInTable(Fertiliser_SourceData.Fertiliser_Products_Data2(),FertiliserProducts[[#Headers],[Include or Exclude]], 20)</f>
        <v>NitroPlus</v>
      </c>
      <c r="E121" s="62" t="str" cm="1">
        <f t="array" ref="E121">Common_InputFunctions.Utility_DisplayArrayInTable(Fertiliser_SourceData.Fertiliser_Products_Data2(),FertiliserProducts[[#Headers],[Include or Exclude]], 20)</f>
        <v/>
      </c>
      <c r="F121" s="62" t="str" cm="1">
        <f t="array" ref="F121">Common_InputFunctions.Utility_DisplayArrayInTable(Fertiliser_SourceData.Fertiliser_Products_Data2(),FertiliserProducts[[#Headers],[Include or Exclude]], 20)</f>
        <v/>
      </c>
      <c r="G121" s="62" t="str" cm="1">
        <f t="array" ref="G121">Common_InputFunctions.Utility_DisplayArrayInTable(Fertiliser_SourceData.Fertiliser_Products_Data2(),FertiliserProducts[[#Headers],[Include or Exclude]], 20)</f>
        <v/>
      </c>
      <c r="H121" s="62" t="str" cm="1">
        <f t="array" ref="H121">Common_InputFunctions.Utility_DisplayArrayInTable(Fertiliser_SourceData.Fertiliser_Products_Data2(),FertiliserProducts[[#Headers],[Include or Exclude]], 20)</f>
        <v/>
      </c>
      <c r="I121" s="62" t="str" cm="1">
        <f t="array" ref="I121">Common_InputFunctions.Utility_DisplayArrayInTable(Fertiliser_SourceData.Fertiliser_Products_Data2(),FertiliserProducts[[#Headers],[Include or Exclude]], 20)</f>
        <v/>
      </c>
      <c r="J121" s="62" t="str" cm="1">
        <f t="array" ref="J121">Common_InputFunctions.Utility_DisplayArrayInTable(Fertiliser_SourceData.Fertiliser_Products_Data2(),FertiliserProducts[[#Headers],[Include or Exclude]], 20)</f>
        <v/>
      </c>
      <c r="K121" s="62" t="str" cm="1">
        <f t="array" ref="K121">Common_InputFunctions.Utility_DisplayArrayInTable(Fertiliser_SourceData.Fertiliser_Products_Data2(),FertiliserProducts[[#Headers],[Include or Exclude]], 20)</f>
        <v/>
      </c>
      <c r="L121" s="62" t="str" cm="1">
        <f t="array" ref="L121">Common_InputFunctions.Utility_DisplayArrayInTable(Fertiliser_SourceData.Fertiliser_Products_Data2(),FertiliserProducts[[#Headers],[Include or Exclude]], 20)</f>
        <v/>
      </c>
      <c r="M121" s="62" t="str" cm="1">
        <f t="array" ref="M121">Common_InputFunctions.Utility_DisplayArrayInTable(Fertiliser_SourceData.Fertiliser_Products_Data2(),FertiliserProducts[[#Headers],[Include or Exclude]], 20)</f>
        <v/>
      </c>
      <c r="N121" s="62" t="str" cm="1">
        <f t="array" ref="N121">Common_InputFunctions.Utility_DisplayArrayInTable(Fertiliser_SourceData.Fertiliser_Products_Data2(),FertiliserProducts[[#Headers],[Include or Exclude]], 20)</f>
        <v/>
      </c>
      <c r="O121" s="62" t="str" cm="1">
        <f t="array" ref="O121">Common_InputFunctions.Utility_DisplayArrayInTable(Fertiliser_SourceData.Fertiliser_Products_Data2(),FertiliserProducts[[#Headers],[Include or Exclude]], 20)</f>
        <v/>
      </c>
      <c r="P121" s="62" t="str" cm="1">
        <f t="array" ref="P121">Common_InputFunctions.Utility_DisplayArrayInTable(Fertiliser_SourceData.Fertiliser_Products_Data2(),FertiliserProducts[[#Headers],[Include or Exclude]], 20)</f>
        <v/>
      </c>
      <c r="Q121" s="62" t="str" cm="1">
        <f t="array" ref="Q121">Common_InputFunctions.Utility_DisplayArrayInTable(Fertiliser_SourceData.Fertiliser_Products_Data2(),FertiliserProducts[[#Headers],[Include or Exclude]], 20)</f>
        <v/>
      </c>
      <c r="R121" s="62" t="str" cm="1">
        <f t="array" ref="R121">Common_InputFunctions.Utility_DisplayArrayInTable(Fertiliser_SourceData.Fertiliser_Products_Data2(),FertiliserProducts[[#Headers],[Include or Exclude]], 20)</f>
        <v/>
      </c>
      <c r="S121" s="62" t="str" cm="1">
        <f t="array" ref="S121">Common_InputFunctions.Utility_DisplayArrayInTable(Fertiliser_SourceData.Fertiliser_Products_Data2(),FertiliserProducts[[#Headers],[Include or Exclude]], 20)</f>
        <v/>
      </c>
      <c r="T121" s="62" t="str" cm="1">
        <f t="array" ref="T121">Common_InputFunctions.Utility_DisplayArrayInTable(Fertiliser_SourceData.Fertiliser_Products_Data2(),FertiliserProducts[[#Headers],[Include or Exclude]], 20)</f>
        <v/>
      </c>
      <c r="U121" s="62" t="str" cm="1">
        <f t="array" ref="U121">Common_InputFunctions.Utility_DisplayArrayInTable(Fertiliser_SourceData.Fertiliser_Products_Data2(),FertiliserProducts[[#Headers],[Include or Exclude]], 20)</f>
        <v/>
      </c>
      <c r="V121" s="62" t="str" cm="1">
        <f t="array" ref="V121">Common_InputFunctions.Utility_DisplayArrayInTable(Fertiliser_SourceData.Fertiliser_Products_Data2(),FertiliserProducts[[#Headers],[Include or Exclude]], 20)</f>
        <v/>
      </c>
      <c r="W121" s="62" t="str" cm="1">
        <f t="array" ref="W121">Common_InputFunctions.Utility_DisplayArrayInTable(Fertiliser_SourceData.Fertiliser_Products_Data2(),FertiliserProducts[[#Headers],[Include or Exclude]], 20)</f>
        <v>AgroStock Group Nitro Plus</v>
      </c>
      <c r="X121" s="62" t="str" cm="1">
        <f t="array" ref="X121">Common_InputFunctions.Utility_DisplayArrayInTable(Fertiliser_SourceData.Fertiliser_Products_Data2(),FertiliserProducts[[#Headers],[Include or Exclude]], 20)</f>
        <v/>
      </c>
      <c r="Y121" s="62" t="str" cm="1">
        <f t="array" ref="Y121">Common_InputFunctions.Utility_DisplayArrayInTable(Fertiliser_SourceData.Fertiliser_Products_Data2(),FertiliserProducts[[#Headers],[Include or Exclude]], 20)</f>
        <v/>
      </c>
      <c r="Z121" s="62" t="str" cm="1">
        <f t="array" ref="Z121">Common_InputFunctions.Utility_DisplayArrayInTable(Fertiliser_SourceData.Fertiliser_Products_Data2(),FertiliserProducts[[#Headers],[Include or Exclude]], 20)</f>
        <v/>
      </c>
      <c r="AA121" s="10" t="str" cm="1">
        <f t="array" ref="AA121">Common_InputFunctions.Utility_DisplayArrayInTable(Fertiliser_SourceData.Fertiliser_Products_Data2(),FertiliserProducts[[#Headers],[Include or Exclude]], 20)</f>
        <v/>
      </c>
      <c r="AB121" s="10" t="str" cm="1">
        <f t="array" ref="AB121">Common_InputFunctions.Utility_DisplayArrayInTable(Fertiliser_SourceData.Fertiliser_Products_Data2(),FertiliserProducts[[#Headers],[Include or Exclude]], 20)</f>
        <v/>
      </c>
      <c r="AC121" s="10" t="str" cm="1">
        <f t="array" ref="AC121">Common_InputFunctions.Utility_DisplayArrayInTable(Fertiliser_SourceData.Fertiliser_Products_Data2(),FertiliserProducts[[#Headers],[Include or Exclude]], 20)</f>
        <v/>
      </c>
      <c r="AD121" s="10" t="str" cm="1">
        <f t="array" ref="AD121">Common_InputFunctions.Utility_DisplayArrayInTable(Fertiliser_SourceData.Fertiliser_Products_Data2(),FertiliserProducts[[#Headers],[Include or Exclude]], 20)</f>
        <v/>
      </c>
      <c r="AE121" s="10" t="str" cm="1">
        <f t="array" ref="AE121">Common_InputFunctions.Utility_DisplayArrayInTable(Fertiliser_SourceData.Fertiliser_Products_Data2(),FertiliserProducts[[#Headers],[Include or Exclude]], 20)</f>
        <v/>
      </c>
    </row>
    <row r="122" spans="1:31" ht="20.100000000000001" customHeight="1" x14ac:dyDescent="0.25">
      <c r="A122"/>
      <c r="D122" s="62" t="str" cm="1">
        <f t="array" ref="D122">Common_InputFunctions.Utility_DisplayArrayInTable(Fertiliser_SourceData.Fertiliser_Products_Data2(),FertiliserProducts[[#Headers],[Include or Exclude]], 20)</f>
        <v>NutraGold</v>
      </c>
      <c r="E122" s="62" t="str" cm="1">
        <f t="array" ref="E122">Common_InputFunctions.Utility_DisplayArrayInTable(Fertiliser_SourceData.Fertiliser_Products_Data2(),FertiliserProducts[[#Headers],[Include or Exclude]], 20)</f>
        <v/>
      </c>
      <c r="F122" s="62" t="str" cm="1">
        <f t="array" ref="F122">Common_InputFunctions.Utility_DisplayArrayInTable(Fertiliser_SourceData.Fertiliser_Products_Data2(),FertiliserProducts[[#Headers],[Include or Exclude]], 20)</f>
        <v/>
      </c>
      <c r="G122" s="62" t="str" cm="1">
        <f t="array" ref="G122">Common_InputFunctions.Utility_DisplayArrayInTable(Fertiliser_SourceData.Fertiliser_Products_Data2(),FertiliserProducts[[#Headers],[Include or Exclude]], 20)</f>
        <v/>
      </c>
      <c r="H122" s="62" t="str" cm="1">
        <f t="array" ref="H122">Common_InputFunctions.Utility_DisplayArrayInTable(Fertiliser_SourceData.Fertiliser_Products_Data2(),FertiliserProducts[[#Headers],[Include or Exclude]], 20)</f>
        <v/>
      </c>
      <c r="I122" s="62" t="str" cm="1">
        <f t="array" ref="I122">Common_InputFunctions.Utility_DisplayArrayInTable(Fertiliser_SourceData.Fertiliser_Products_Data2(),FertiliserProducts[[#Headers],[Include or Exclude]], 20)</f>
        <v/>
      </c>
      <c r="J122" s="62" t="str" cm="1">
        <f t="array" ref="J122">Common_InputFunctions.Utility_DisplayArrayInTable(Fertiliser_SourceData.Fertiliser_Products_Data2(),FertiliserProducts[[#Headers],[Include or Exclude]], 20)</f>
        <v/>
      </c>
      <c r="K122" s="62" t="str" cm="1">
        <f t="array" ref="K122">Common_InputFunctions.Utility_DisplayArrayInTable(Fertiliser_SourceData.Fertiliser_Products_Data2(),FertiliserProducts[[#Headers],[Include or Exclude]], 20)</f>
        <v/>
      </c>
      <c r="L122" s="62" t="str" cm="1">
        <f t="array" ref="L122">Common_InputFunctions.Utility_DisplayArrayInTable(Fertiliser_SourceData.Fertiliser_Products_Data2(),FertiliserProducts[[#Headers],[Include or Exclude]], 20)</f>
        <v/>
      </c>
      <c r="M122" s="62" t="str" cm="1">
        <f t="array" ref="M122">Common_InputFunctions.Utility_DisplayArrayInTable(Fertiliser_SourceData.Fertiliser_Products_Data2(),FertiliserProducts[[#Headers],[Include or Exclude]], 20)</f>
        <v/>
      </c>
      <c r="N122" s="62" t="str" cm="1">
        <f t="array" ref="N122">Common_InputFunctions.Utility_DisplayArrayInTable(Fertiliser_SourceData.Fertiliser_Products_Data2(),FertiliserProducts[[#Headers],[Include or Exclude]], 20)</f>
        <v/>
      </c>
      <c r="O122" s="62" t="str" cm="1">
        <f t="array" ref="O122">Common_InputFunctions.Utility_DisplayArrayInTable(Fertiliser_SourceData.Fertiliser_Products_Data2(),FertiliserProducts[[#Headers],[Include or Exclude]], 20)</f>
        <v/>
      </c>
      <c r="P122" s="62" t="str" cm="1">
        <f t="array" ref="P122">Common_InputFunctions.Utility_DisplayArrayInTable(Fertiliser_SourceData.Fertiliser_Products_Data2(),FertiliserProducts[[#Headers],[Include or Exclude]], 20)</f>
        <v/>
      </c>
      <c r="Q122" s="62" t="str" cm="1">
        <f t="array" ref="Q122">Common_InputFunctions.Utility_DisplayArrayInTable(Fertiliser_SourceData.Fertiliser_Products_Data2(),FertiliserProducts[[#Headers],[Include or Exclude]], 20)</f>
        <v/>
      </c>
      <c r="R122" s="62" t="str" cm="1">
        <f t="array" ref="R122">Common_InputFunctions.Utility_DisplayArrayInTable(Fertiliser_SourceData.Fertiliser_Products_Data2(),FertiliserProducts[[#Headers],[Include or Exclude]], 20)</f>
        <v/>
      </c>
      <c r="S122" s="62" t="str" cm="1">
        <f t="array" ref="S122">Common_InputFunctions.Utility_DisplayArrayInTable(Fertiliser_SourceData.Fertiliser_Products_Data2(),FertiliserProducts[[#Headers],[Include or Exclude]], 20)</f>
        <v/>
      </c>
      <c r="T122" s="62" t="str" cm="1">
        <f t="array" ref="T122">Common_InputFunctions.Utility_DisplayArrayInTable(Fertiliser_SourceData.Fertiliser_Products_Data2(),FertiliserProducts[[#Headers],[Include or Exclude]], 20)</f>
        <v/>
      </c>
      <c r="U122" s="62" t="str" cm="1">
        <f t="array" ref="U122">Common_InputFunctions.Utility_DisplayArrayInTable(Fertiliser_SourceData.Fertiliser_Products_Data2(),FertiliserProducts[[#Headers],[Include or Exclude]], 20)</f>
        <v/>
      </c>
      <c r="V122" s="62" t="str" cm="1">
        <f t="array" ref="V122">Common_InputFunctions.Utility_DisplayArrayInTable(Fertiliser_SourceData.Fertiliser_Products_Data2(),FertiliserProducts[[#Headers],[Include or Exclude]], 20)</f>
        <v/>
      </c>
      <c r="W122" s="62" t="str" cm="1">
        <f t="array" ref="W122">Common_InputFunctions.Utility_DisplayArrayInTable(Fertiliser_SourceData.Fertiliser_Products_Data2(),FertiliserProducts[[#Headers],[Include or Exclude]], 20)</f>
        <v>Swancrop</v>
      </c>
      <c r="X122" s="62" t="str" cm="1">
        <f t="array" ref="X122">Common_InputFunctions.Utility_DisplayArrayInTable(Fertiliser_SourceData.Fertiliser_Products_Data2(),FertiliserProducts[[#Headers],[Include or Exclude]], 20)</f>
        <v/>
      </c>
      <c r="Y122" s="62" t="str" cm="1">
        <f t="array" ref="Y122">Common_InputFunctions.Utility_DisplayArrayInTable(Fertiliser_SourceData.Fertiliser_Products_Data2(),FertiliserProducts[[#Headers],[Include or Exclude]], 20)</f>
        <v/>
      </c>
      <c r="Z122" s="62" t="str" cm="1">
        <f t="array" ref="Z122">Common_InputFunctions.Utility_DisplayArrayInTable(Fertiliser_SourceData.Fertiliser_Products_Data2(),FertiliserProducts[[#Headers],[Include or Exclude]], 20)</f>
        <v/>
      </c>
      <c r="AA122" s="10" t="str" cm="1">
        <f t="array" ref="AA122">Common_InputFunctions.Utility_DisplayArrayInTable(Fertiliser_SourceData.Fertiliser_Products_Data2(),FertiliserProducts[[#Headers],[Include or Exclude]], 20)</f>
        <v/>
      </c>
      <c r="AB122" s="10" t="str" cm="1">
        <f t="array" ref="AB122">Common_InputFunctions.Utility_DisplayArrayInTable(Fertiliser_SourceData.Fertiliser_Products_Data2(),FertiliserProducts[[#Headers],[Include or Exclude]], 20)</f>
        <v/>
      </c>
      <c r="AC122" s="10" t="str" cm="1">
        <f t="array" ref="AC122">Common_InputFunctions.Utility_DisplayArrayInTable(Fertiliser_SourceData.Fertiliser_Products_Data2(),FertiliserProducts[[#Headers],[Include or Exclude]], 20)</f>
        <v/>
      </c>
      <c r="AD122" s="10" t="str" cm="1">
        <f t="array" ref="AD122">Common_InputFunctions.Utility_DisplayArrayInTable(Fertiliser_SourceData.Fertiliser_Products_Data2(),FertiliserProducts[[#Headers],[Include or Exclude]], 20)</f>
        <v/>
      </c>
      <c r="AE122" s="10" t="str" cm="1">
        <f t="array" ref="AE122">Common_InputFunctions.Utility_DisplayArrayInTable(Fertiliser_SourceData.Fertiliser_Products_Data2(),FertiliserProducts[[#Headers],[Include or Exclude]], 20)</f>
        <v/>
      </c>
    </row>
    <row r="123" spans="1:31" ht="20.100000000000001" customHeight="1" x14ac:dyDescent="0.25">
      <c r="A123"/>
      <c r="D123" s="62" t="str" cm="1">
        <f t="array" ref="D123">Common_InputFunctions.Utility_DisplayArrayInTable(Fertiliser_SourceData.Fertiliser_Products_Data2(),FertiliserProducts[[#Headers],[Include or Exclude]], 20)</f>
        <v>Pro Performance 18-3-6</v>
      </c>
      <c r="E123" s="62" t="str" cm="1">
        <f t="array" ref="E123">Common_InputFunctions.Utility_DisplayArrayInTable(Fertiliser_SourceData.Fertiliser_Products_Data2(),FertiliserProducts[[#Headers],[Include or Exclude]], 20)</f>
        <v/>
      </c>
      <c r="F123" s="62" t="str" cm="1">
        <f t="array" ref="F123">Common_InputFunctions.Utility_DisplayArrayInTable(Fertiliser_SourceData.Fertiliser_Products_Data2(),FertiliserProducts[[#Headers],[Include or Exclude]], 20)</f>
        <v/>
      </c>
      <c r="G123" s="62" t="str" cm="1">
        <f t="array" ref="G123">Common_InputFunctions.Utility_DisplayArrayInTable(Fertiliser_SourceData.Fertiliser_Products_Data2(),FertiliserProducts[[#Headers],[Include or Exclude]], 20)</f>
        <v/>
      </c>
      <c r="H123" s="62" t="str" cm="1">
        <f t="array" ref="H123">Common_InputFunctions.Utility_DisplayArrayInTable(Fertiliser_SourceData.Fertiliser_Products_Data2(),FertiliserProducts[[#Headers],[Include or Exclude]], 20)</f>
        <v/>
      </c>
      <c r="I123" s="62" t="str" cm="1">
        <f t="array" ref="I123">Common_InputFunctions.Utility_DisplayArrayInTable(Fertiliser_SourceData.Fertiliser_Products_Data2(),FertiliserProducts[[#Headers],[Include or Exclude]], 20)</f>
        <v/>
      </c>
      <c r="J123" s="62" t="str" cm="1">
        <f t="array" ref="J123">Common_InputFunctions.Utility_DisplayArrayInTable(Fertiliser_SourceData.Fertiliser_Products_Data2(),FertiliserProducts[[#Headers],[Include or Exclude]], 20)</f>
        <v/>
      </c>
      <c r="K123" s="62" t="str" cm="1">
        <f t="array" ref="K123">Common_InputFunctions.Utility_DisplayArrayInTable(Fertiliser_SourceData.Fertiliser_Products_Data2(),FertiliserProducts[[#Headers],[Include or Exclude]], 20)</f>
        <v/>
      </c>
      <c r="L123" s="62" t="str" cm="1">
        <f t="array" ref="L123">Common_InputFunctions.Utility_DisplayArrayInTable(Fertiliser_SourceData.Fertiliser_Products_Data2(),FertiliserProducts[[#Headers],[Include or Exclude]], 20)</f>
        <v/>
      </c>
      <c r="M123" s="62" t="str" cm="1">
        <f t="array" ref="M123">Common_InputFunctions.Utility_DisplayArrayInTable(Fertiliser_SourceData.Fertiliser_Products_Data2(),FertiliserProducts[[#Headers],[Include or Exclude]], 20)</f>
        <v/>
      </c>
      <c r="N123" s="62" t="str" cm="1">
        <f t="array" ref="N123">Common_InputFunctions.Utility_DisplayArrayInTable(Fertiliser_SourceData.Fertiliser_Products_Data2(),FertiliserProducts[[#Headers],[Include or Exclude]], 20)</f>
        <v/>
      </c>
      <c r="O123" s="62" t="str" cm="1">
        <f t="array" ref="O123">Common_InputFunctions.Utility_DisplayArrayInTable(Fertiliser_SourceData.Fertiliser_Products_Data2(),FertiliserProducts[[#Headers],[Include or Exclude]], 20)</f>
        <v/>
      </c>
      <c r="P123" s="62" t="str" cm="1">
        <f t="array" ref="P123">Common_InputFunctions.Utility_DisplayArrayInTable(Fertiliser_SourceData.Fertiliser_Products_Data2(),FertiliserProducts[[#Headers],[Include or Exclude]], 20)</f>
        <v/>
      </c>
      <c r="Q123" s="62" t="str" cm="1">
        <f t="array" ref="Q123">Common_InputFunctions.Utility_DisplayArrayInTable(Fertiliser_SourceData.Fertiliser_Products_Data2(),FertiliserProducts[[#Headers],[Include or Exclude]], 20)</f>
        <v/>
      </c>
      <c r="R123" s="62" t="str" cm="1">
        <f t="array" ref="R123">Common_InputFunctions.Utility_DisplayArrayInTable(Fertiliser_SourceData.Fertiliser_Products_Data2(),FertiliserProducts[[#Headers],[Include or Exclude]], 20)</f>
        <v/>
      </c>
      <c r="S123" s="62" t="str" cm="1">
        <f t="array" ref="S123">Common_InputFunctions.Utility_DisplayArrayInTable(Fertiliser_SourceData.Fertiliser_Products_Data2(),FertiliserProducts[[#Headers],[Include or Exclude]], 20)</f>
        <v/>
      </c>
      <c r="T123" s="62" t="str" cm="1">
        <f t="array" ref="T123">Common_InputFunctions.Utility_DisplayArrayInTable(Fertiliser_SourceData.Fertiliser_Products_Data2(),FertiliserProducts[[#Headers],[Include or Exclude]], 20)</f>
        <v/>
      </c>
      <c r="U123" s="62" t="str" cm="1">
        <f t="array" ref="U123">Common_InputFunctions.Utility_DisplayArrayInTable(Fertiliser_SourceData.Fertiliser_Products_Data2(),FertiliserProducts[[#Headers],[Include or Exclude]], 20)</f>
        <v/>
      </c>
      <c r="V123" s="62" t="str" cm="1">
        <f t="array" ref="V123">Common_InputFunctions.Utility_DisplayArrayInTable(Fertiliser_SourceData.Fertiliser_Products_Data2(),FertiliserProducts[[#Headers],[Include or Exclude]], 20)</f>
        <v/>
      </c>
      <c r="W123" s="62" t="str" cm="1">
        <f t="array" ref="W123">Common_InputFunctions.Utility_DisplayArrayInTable(Fertiliser_SourceData.Fertiliser_Products_Data2(),FertiliserProducts[[#Headers],[Include or Exclude]], 20)</f>
        <v>Pro Turf Formula</v>
      </c>
      <c r="X123" s="62" t="str" cm="1">
        <f t="array" ref="X123">Common_InputFunctions.Utility_DisplayArrayInTable(Fertiliser_SourceData.Fertiliser_Products_Data2(),FertiliserProducts[[#Headers],[Include or Exclude]], 20)</f>
        <v/>
      </c>
      <c r="Y123" s="62" t="str" cm="1">
        <f t="array" ref="Y123">Common_InputFunctions.Utility_DisplayArrayInTable(Fertiliser_SourceData.Fertiliser_Products_Data2(),FertiliserProducts[[#Headers],[Include or Exclude]], 20)</f>
        <v/>
      </c>
      <c r="Z123" s="62" t="str" cm="1">
        <f t="array" ref="Z123">Common_InputFunctions.Utility_DisplayArrayInTable(Fertiliser_SourceData.Fertiliser_Products_Data2(),FertiliserProducts[[#Headers],[Include or Exclude]], 20)</f>
        <v/>
      </c>
      <c r="AA123" s="10" t="str" cm="1">
        <f t="array" ref="AA123">Common_InputFunctions.Utility_DisplayArrayInTable(Fertiliser_SourceData.Fertiliser_Products_Data2(),FertiliserProducts[[#Headers],[Include or Exclude]], 20)</f>
        <v/>
      </c>
      <c r="AB123" s="10" t="str" cm="1">
        <f t="array" ref="AB123">Common_InputFunctions.Utility_DisplayArrayInTable(Fertiliser_SourceData.Fertiliser_Products_Data2(),FertiliserProducts[[#Headers],[Include or Exclude]], 20)</f>
        <v/>
      </c>
      <c r="AC123" s="10" t="str" cm="1">
        <f t="array" ref="AC123">Common_InputFunctions.Utility_DisplayArrayInTable(Fertiliser_SourceData.Fertiliser_Products_Data2(),FertiliserProducts[[#Headers],[Include or Exclude]], 20)</f>
        <v/>
      </c>
      <c r="AD123" s="10" t="str" cm="1">
        <f t="array" ref="AD123">Common_InputFunctions.Utility_DisplayArrayInTable(Fertiliser_SourceData.Fertiliser_Products_Data2(),FertiliserProducts[[#Headers],[Include or Exclude]], 20)</f>
        <v/>
      </c>
      <c r="AE123" s="10" t="str" cm="1">
        <f t="array" ref="AE123">Common_InputFunctions.Utility_DisplayArrayInTable(Fertiliser_SourceData.Fertiliser_Products_Data2(),FertiliserProducts[[#Headers],[Include or Exclude]], 20)</f>
        <v/>
      </c>
    </row>
    <row r="124" spans="1:31" ht="20.100000000000001" customHeight="1" x14ac:dyDescent="0.25">
      <c r="A124"/>
      <c r="D124" s="62" t="str" cm="1">
        <f t="array" ref="D124">Common_InputFunctions.Utility_DisplayArrayInTable(Fertiliser_SourceData.Fertiliser_Products_Data2(),FertiliserProducts[[#Headers],[Include or Exclude]], 20)</f>
        <v>SOA</v>
      </c>
      <c r="E124" s="62" t="str" cm="1">
        <f t="array" ref="E124">Common_InputFunctions.Utility_DisplayArrayInTable(Fertiliser_SourceData.Fertiliser_Products_Data2(),FertiliserProducts[[#Headers],[Include or Exclude]], 20)</f>
        <v/>
      </c>
      <c r="F124" s="62" t="str" cm="1">
        <f t="array" ref="F124">Common_InputFunctions.Utility_DisplayArrayInTable(Fertiliser_SourceData.Fertiliser_Products_Data2(),FertiliserProducts[[#Headers],[Include or Exclude]], 20)</f>
        <v/>
      </c>
      <c r="G124" s="62" t="str" cm="1">
        <f t="array" ref="G124">Common_InputFunctions.Utility_DisplayArrayInTable(Fertiliser_SourceData.Fertiliser_Products_Data2(),FertiliserProducts[[#Headers],[Include or Exclude]], 20)</f>
        <v/>
      </c>
      <c r="H124" s="62" t="str" cm="1">
        <f t="array" ref="H124">Common_InputFunctions.Utility_DisplayArrayInTable(Fertiliser_SourceData.Fertiliser_Products_Data2(),FertiliserProducts[[#Headers],[Include or Exclude]], 20)</f>
        <v/>
      </c>
      <c r="I124" s="62" t="str" cm="1">
        <f t="array" ref="I124">Common_InputFunctions.Utility_DisplayArrayInTable(Fertiliser_SourceData.Fertiliser_Products_Data2(),FertiliserProducts[[#Headers],[Include or Exclude]], 20)</f>
        <v/>
      </c>
      <c r="J124" s="62" t="str" cm="1">
        <f t="array" ref="J124">Common_InputFunctions.Utility_DisplayArrayInTable(Fertiliser_SourceData.Fertiliser_Products_Data2(),FertiliserProducts[[#Headers],[Include or Exclude]], 20)</f>
        <v/>
      </c>
      <c r="K124" s="62" t="str" cm="1">
        <f t="array" ref="K124">Common_InputFunctions.Utility_DisplayArrayInTable(Fertiliser_SourceData.Fertiliser_Products_Data2(),FertiliserProducts[[#Headers],[Include or Exclude]], 20)</f>
        <v/>
      </c>
      <c r="L124" s="62" t="str" cm="1">
        <f t="array" ref="L124">Common_InputFunctions.Utility_DisplayArrayInTable(Fertiliser_SourceData.Fertiliser_Products_Data2(),FertiliserProducts[[#Headers],[Include or Exclude]], 20)</f>
        <v/>
      </c>
      <c r="M124" s="62" t="str" cm="1">
        <f t="array" ref="M124">Common_InputFunctions.Utility_DisplayArrayInTable(Fertiliser_SourceData.Fertiliser_Products_Data2(),FertiliserProducts[[#Headers],[Include or Exclude]], 20)</f>
        <v/>
      </c>
      <c r="N124" s="62" t="str" cm="1">
        <f t="array" ref="N124">Common_InputFunctions.Utility_DisplayArrayInTable(Fertiliser_SourceData.Fertiliser_Products_Data2(),FertiliserProducts[[#Headers],[Include or Exclude]], 20)</f>
        <v/>
      </c>
      <c r="O124" s="62" t="str" cm="1">
        <f t="array" ref="O124">Common_InputFunctions.Utility_DisplayArrayInTable(Fertiliser_SourceData.Fertiliser_Products_Data2(),FertiliserProducts[[#Headers],[Include or Exclude]], 20)</f>
        <v/>
      </c>
      <c r="P124" s="62" t="str" cm="1">
        <f t="array" ref="P124">Common_InputFunctions.Utility_DisplayArrayInTable(Fertiliser_SourceData.Fertiliser_Products_Data2(),FertiliserProducts[[#Headers],[Include or Exclude]], 20)</f>
        <v/>
      </c>
      <c r="Q124" s="62" t="str" cm="1">
        <f t="array" ref="Q124">Common_InputFunctions.Utility_DisplayArrayInTable(Fertiliser_SourceData.Fertiliser_Products_Data2(),FertiliserProducts[[#Headers],[Include or Exclude]], 20)</f>
        <v/>
      </c>
      <c r="R124" s="62" t="str" cm="1">
        <f t="array" ref="R124">Common_InputFunctions.Utility_DisplayArrayInTable(Fertiliser_SourceData.Fertiliser_Products_Data2(),FertiliserProducts[[#Headers],[Include or Exclude]], 20)</f>
        <v/>
      </c>
      <c r="S124" s="62" t="str" cm="1">
        <f t="array" ref="S124">Common_InputFunctions.Utility_DisplayArrayInTable(Fertiliser_SourceData.Fertiliser_Products_Data2(),FertiliserProducts[[#Headers],[Include or Exclude]], 20)</f>
        <v/>
      </c>
      <c r="T124" s="62" t="str" cm="1">
        <f t="array" ref="T124">Common_InputFunctions.Utility_DisplayArrayInTable(Fertiliser_SourceData.Fertiliser_Products_Data2(),FertiliserProducts[[#Headers],[Include or Exclude]], 20)</f>
        <v/>
      </c>
      <c r="U124" s="62" t="str" cm="1">
        <f t="array" ref="U124">Common_InputFunctions.Utility_DisplayArrayInTable(Fertiliser_SourceData.Fertiliser_Products_Data2(),FertiliserProducts[[#Headers],[Include or Exclude]], 20)</f>
        <v/>
      </c>
      <c r="V124" s="62" t="str" cm="1">
        <f t="array" ref="V124">Common_InputFunctions.Utility_DisplayArrayInTable(Fertiliser_SourceData.Fertiliser_Products_Data2(),FertiliserProducts[[#Headers],[Include or Exclude]], 20)</f>
        <v/>
      </c>
      <c r="W124" s="62" t="str" cm="1">
        <f t="array" ref="W124">Common_InputFunctions.Utility_DisplayArrayInTable(Fertiliser_SourceData.Fertiliser_Products_Data2(),FertiliserProducts[[#Headers],[Include or Exclude]], 20)</f>
        <v>MountCompass Fertilisers Blends</v>
      </c>
      <c r="X124" s="62" t="str" cm="1">
        <f t="array" ref="X124">Common_InputFunctions.Utility_DisplayArrayInTable(Fertiliser_SourceData.Fertiliser_Products_Data2(),FertiliserProducts[[#Headers],[Include or Exclude]], 20)</f>
        <v/>
      </c>
      <c r="Y124" s="62" t="str" cm="1">
        <f t="array" ref="Y124">Common_InputFunctions.Utility_DisplayArrayInTable(Fertiliser_SourceData.Fertiliser_Products_Data2(),FertiliserProducts[[#Headers],[Include or Exclude]], 20)</f>
        <v/>
      </c>
      <c r="Z124" s="62" t="str" cm="1">
        <f t="array" ref="Z124">Common_InputFunctions.Utility_DisplayArrayInTable(Fertiliser_SourceData.Fertiliser_Products_Data2(),FertiliserProducts[[#Headers],[Include or Exclude]], 20)</f>
        <v/>
      </c>
      <c r="AA124" s="10" t="str" cm="1">
        <f t="array" ref="AA124">Common_InputFunctions.Utility_DisplayArrayInTable(Fertiliser_SourceData.Fertiliser_Products_Data2(),FertiliserProducts[[#Headers],[Include or Exclude]], 20)</f>
        <v/>
      </c>
      <c r="AB124" s="10" t="str" cm="1">
        <f t="array" ref="AB124">Common_InputFunctions.Utility_DisplayArrayInTable(Fertiliser_SourceData.Fertiliser_Products_Data2(),FertiliserProducts[[#Headers],[Include or Exclude]], 20)</f>
        <v/>
      </c>
      <c r="AC124" s="10" t="str" cm="1">
        <f t="array" ref="AC124">Common_InputFunctions.Utility_DisplayArrayInTable(Fertiliser_SourceData.Fertiliser_Products_Data2(),FertiliserProducts[[#Headers],[Include or Exclude]], 20)</f>
        <v/>
      </c>
      <c r="AD124" s="10" t="str" cm="1">
        <f t="array" ref="AD124">Common_InputFunctions.Utility_DisplayArrayInTable(Fertiliser_SourceData.Fertiliser_Products_Data2(),FertiliserProducts[[#Headers],[Include or Exclude]], 20)</f>
        <v/>
      </c>
      <c r="AE124" s="10" t="str" cm="1">
        <f t="array" ref="AE124">Common_InputFunctions.Utility_DisplayArrayInTable(Fertiliser_SourceData.Fertiliser_Products_Data2(),FertiliserProducts[[#Headers],[Include or Exclude]], 20)</f>
        <v/>
      </c>
    </row>
    <row r="125" spans="1:31" ht="20.100000000000001" customHeight="1" x14ac:dyDescent="0.25">
      <c r="A125"/>
      <c r="D125" s="62" t="str" cm="1">
        <f t="array" ref="D125">Common_InputFunctions.Utility_DisplayArrayInTable(Fertiliser_SourceData.Fertiliser_Products_Data2(),FertiliserProducts[[#Headers],[Include or Exclude]], 20)</f>
        <v>SSP</v>
      </c>
      <c r="E125" s="62" t="str" cm="1">
        <f t="array" ref="E125">Common_InputFunctions.Utility_DisplayArrayInTable(Fertiliser_SourceData.Fertiliser_Products_Data2(),FertiliserProducts[[#Headers],[Include or Exclude]], 20)</f>
        <v/>
      </c>
      <c r="F125" s="62" t="str" cm="1">
        <f t="array" ref="F125">Common_InputFunctions.Utility_DisplayArrayInTable(Fertiliser_SourceData.Fertiliser_Products_Data2(),FertiliserProducts[[#Headers],[Include or Exclude]], 20)</f>
        <v/>
      </c>
      <c r="G125" s="62" t="str" cm="1">
        <f t="array" ref="G125">Common_InputFunctions.Utility_DisplayArrayInTable(Fertiliser_SourceData.Fertiliser_Products_Data2(),FertiliserProducts[[#Headers],[Include or Exclude]], 20)</f>
        <v/>
      </c>
      <c r="H125" s="62" t="str" cm="1">
        <f t="array" ref="H125">Common_InputFunctions.Utility_DisplayArrayInTable(Fertiliser_SourceData.Fertiliser_Products_Data2(),FertiliserProducts[[#Headers],[Include or Exclude]], 20)</f>
        <v/>
      </c>
      <c r="I125" s="62" t="str" cm="1">
        <f t="array" ref="I125">Common_InputFunctions.Utility_DisplayArrayInTable(Fertiliser_SourceData.Fertiliser_Products_Data2(),FertiliserProducts[[#Headers],[Include or Exclude]], 20)</f>
        <v/>
      </c>
      <c r="J125" s="62" t="str" cm="1">
        <f t="array" ref="J125">Common_InputFunctions.Utility_DisplayArrayInTable(Fertiliser_SourceData.Fertiliser_Products_Data2(),FertiliserProducts[[#Headers],[Include or Exclude]], 20)</f>
        <v/>
      </c>
      <c r="K125" s="62" t="str" cm="1">
        <f t="array" ref="K125">Common_InputFunctions.Utility_DisplayArrayInTable(Fertiliser_SourceData.Fertiliser_Products_Data2(),FertiliserProducts[[#Headers],[Include or Exclude]], 20)</f>
        <v/>
      </c>
      <c r="L125" s="62" t="str" cm="1">
        <f t="array" ref="L125">Common_InputFunctions.Utility_DisplayArrayInTable(Fertiliser_SourceData.Fertiliser_Products_Data2(),FertiliserProducts[[#Headers],[Include or Exclude]], 20)</f>
        <v/>
      </c>
      <c r="M125" s="62" t="str" cm="1">
        <f t="array" ref="M125">Common_InputFunctions.Utility_DisplayArrayInTable(Fertiliser_SourceData.Fertiliser_Products_Data2(),FertiliserProducts[[#Headers],[Include or Exclude]], 20)</f>
        <v/>
      </c>
      <c r="N125" s="62" t="str" cm="1">
        <f t="array" ref="N125">Common_InputFunctions.Utility_DisplayArrayInTable(Fertiliser_SourceData.Fertiliser_Products_Data2(),FertiliserProducts[[#Headers],[Include or Exclude]], 20)</f>
        <v/>
      </c>
      <c r="O125" s="62" t="str" cm="1">
        <f t="array" ref="O125">Common_InputFunctions.Utility_DisplayArrayInTable(Fertiliser_SourceData.Fertiliser_Products_Data2(),FertiliserProducts[[#Headers],[Include or Exclude]], 20)</f>
        <v/>
      </c>
      <c r="P125" s="62" t="str" cm="1">
        <f t="array" ref="P125">Common_InputFunctions.Utility_DisplayArrayInTable(Fertiliser_SourceData.Fertiliser_Products_Data2(),FertiliserProducts[[#Headers],[Include or Exclude]], 20)</f>
        <v/>
      </c>
      <c r="Q125" s="62" t="str" cm="1">
        <f t="array" ref="Q125">Common_InputFunctions.Utility_DisplayArrayInTable(Fertiliser_SourceData.Fertiliser_Products_Data2(),FertiliserProducts[[#Headers],[Include or Exclude]], 20)</f>
        <v/>
      </c>
      <c r="R125" s="62" t="str" cm="1">
        <f t="array" ref="R125">Common_InputFunctions.Utility_DisplayArrayInTable(Fertiliser_SourceData.Fertiliser_Products_Data2(),FertiliserProducts[[#Headers],[Include or Exclude]], 20)</f>
        <v/>
      </c>
      <c r="S125" s="62" t="str" cm="1">
        <f t="array" ref="S125">Common_InputFunctions.Utility_DisplayArrayInTable(Fertiliser_SourceData.Fertiliser_Products_Data2(),FertiliserProducts[[#Headers],[Include or Exclude]], 20)</f>
        <v/>
      </c>
      <c r="T125" s="62" t="str" cm="1">
        <f t="array" ref="T125">Common_InputFunctions.Utility_DisplayArrayInTable(Fertiliser_SourceData.Fertiliser_Products_Data2(),FertiliserProducts[[#Headers],[Include or Exclude]], 20)</f>
        <v/>
      </c>
      <c r="U125" s="62" t="str" cm="1">
        <f t="array" ref="U125">Common_InputFunctions.Utility_DisplayArrayInTable(Fertiliser_SourceData.Fertiliser_Products_Data2(),FertiliserProducts[[#Headers],[Include or Exclude]], 20)</f>
        <v/>
      </c>
      <c r="V125" s="62" t="str" cm="1">
        <f t="array" ref="V125">Common_InputFunctions.Utility_DisplayArrayInTable(Fertiliser_SourceData.Fertiliser_Products_Data2(),FertiliserProducts[[#Headers],[Include or Exclude]], 20)</f>
        <v/>
      </c>
      <c r="W125" s="62" t="str" cm="1">
        <f t="array" ref="W125">Common_InputFunctions.Utility_DisplayArrayInTable(Fertiliser_SourceData.Fertiliser_Products_Data2(),FertiliserProducts[[#Headers],[Include or Exclude]], 20)</f>
        <v>Impact fertilisers</v>
      </c>
      <c r="X125" s="62" t="str" cm="1">
        <f t="array" ref="X125">Common_InputFunctions.Utility_DisplayArrayInTable(Fertiliser_SourceData.Fertiliser_Products_Data2(),FertiliserProducts[[#Headers],[Include or Exclude]], 20)</f>
        <v/>
      </c>
      <c r="Y125" s="62" t="str" cm="1">
        <f t="array" ref="Y125">Common_InputFunctions.Utility_DisplayArrayInTable(Fertiliser_SourceData.Fertiliser_Products_Data2(),FertiliserProducts[[#Headers],[Include or Exclude]], 20)</f>
        <v/>
      </c>
      <c r="Z125" s="62" t="str" cm="1">
        <f t="array" ref="Z125">Common_InputFunctions.Utility_DisplayArrayInTable(Fertiliser_SourceData.Fertiliser_Products_Data2(),FertiliserProducts[[#Headers],[Include or Exclude]], 20)</f>
        <v/>
      </c>
      <c r="AA125" s="10" t="str" cm="1">
        <f t="array" ref="AA125">Common_InputFunctions.Utility_DisplayArrayInTable(Fertiliser_SourceData.Fertiliser_Products_Data2(),FertiliserProducts[[#Headers],[Include or Exclude]], 20)</f>
        <v/>
      </c>
      <c r="AB125" s="10" t="str" cm="1">
        <f t="array" ref="AB125">Common_InputFunctions.Utility_DisplayArrayInTable(Fertiliser_SourceData.Fertiliser_Products_Data2(),FertiliserProducts[[#Headers],[Include or Exclude]], 20)</f>
        <v/>
      </c>
      <c r="AC125" s="10" t="str" cm="1">
        <f t="array" ref="AC125">Common_InputFunctions.Utility_DisplayArrayInTable(Fertiliser_SourceData.Fertiliser_Products_Data2(),FertiliserProducts[[#Headers],[Include or Exclude]], 20)</f>
        <v/>
      </c>
      <c r="AD125" s="10" t="str" cm="1">
        <f t="array" ref="AD125">Common_InputFunctions.Utility_DisplayArrayInTable(Fertiliser_SourceData.Fertiliser_Products_Data2(),FertiliserProducts[[#Headers],[Include or Exclude]], 20)</f>
        <v/>
      </c>
      <c r="AE125" s="10" t="str" cm="1">
        <f t="array" ref="AE125">Common_InputFunctions.Utility_DisplayArrayInTable(Fertiliser_SourceData.Fertiliser_Products_Data2(),FertiliserProducts[[#Headers],[Include or Exclude]], 20)</f>
        <v/>
      </c>
    </row>
    <row r="126" spans="1:31" ht="20.100000000000001" customHeight="1" x14ac:dyDescent="0.25">
      <c r="A126"/>
      <c r="D126" s="62" t="str" cm="1">
        <f t="array" ref="D126">Common_InputFunctions.Utility_DisplayArrayInTable(Fertiliser_SourceData.Fertiliser_Products_Data2(),FertiliserProducts[[#Headers],[Include or Exclude]], 20)</f>
        <v>Super Phos</v>
      </c>
      <c r="E126" s="62" t="str" cm="1">
        <f t="array" ref="E126">Common_InputFunctions.Utility_DisplayArrayInTable(Fertiliser_SourceData.Fertiliser_Products_Data2(),FertiliserProducts[[#Headers],[Include or Exclude]], 20)</f>
        <v/>
      </c>
      <c r="F126" s="62" t="str" cm="1">
        <f t="array" ref="F126">Common_InputFunctions.Utility_DisplayArrayInTable(Fertiliser_SourceData.Fertiliser_Products_Data2(),FertiliserProducts[[#Headers],[Include or Exclude]], 20)</f>
        <v/>
      </c>
      <c r="G126" s="62" t="str" cm="1">
        <f t="array" ref="G126">Common_InputFunctions.Utility_DisplayArrayInTable(Fertiliser_SourceData.Fertiliser_Products_Data2(),FertiliserProducts[[#Headers],[Include or Exclude]], 20)</f>
        <v/>
      </c>
      <c r="H126" s="62" t="str" cm="1">
        <f t="array" ref="H126">Common_InputFunctions.Utility_DisplayArrayInTable(Fertiliser_SourceData.Fertiliser_Products_Data2(),FertiliserProducts[[#Headers],[Include or Exclude]], 20)</f>
        <v/>
      </c>
      <c r="I126" s="62" t="str" cm="1">
        <f t="array" ref="I126">Common_InputFunctions.Utility_DisplayArrayInTable(Fertiliser_SourceData.Fertiliser_Products_Data2(),FertiliserProducts[[#Headers],[Include or Exclude]], 20)</f>
        <v/>
      </c>
      <c r="J126" s="62" t="str" cm="1">
        <f t="array" ref="J126">Common_InputFunctions.Utility_DisplayArrayInTable(Fertiliser_SourceData.Fertiliser_Products_Data2(),FertiliserProducts[[#Headers],[Include or Exclude]], 20)</f>
        <v/>
      </c>
      <c r="K126" s="62" t="str" cm="1">
        <f t="array" ref="K126">Common_InputFunctions.Utility_DisplayArrayInTable(Fertiliser_SourceData.Fertiliser_Products_Data2(),FertiliserProducts[[#Headers],[Include or Exclude]], 20)</f>
        <v/>
      </c>
      <c r="L126" s="62" t="str" cm="1">
        <f t="array" ref="L126">Common_InputFunctions.Utility_DisplayArrayInTable(Fertiliser_SourceData.Fertiliser_Products_Data2(),FertiliserProducts[[#Headers],[Include or Exclude]], 20)</f>
        <v/>
      </c>
      <c r="M126" s="62" t="str" cm="1">
        <f t="array" ref="M126">Common_InputFunctions.Utility_DisplayArrayInTable(Fertiliser_SourceData.Fertiliser_Products_Data2(),FertiliserProducts[[#Headers],[Include or Exclude]], 20)</f>
        <v/>
      </c>
      <c r="N126" s="62" t="str" cm="1">
        <f t="array" ref="N126">Common_InputFunctions.Utility_DisplayArrayInTable(Fertiliser_SourceData.Fertiliser_Products_Data2(),FertiliserProducts[[#Headers],[Include or Exclude]], 20)</f>
        <v/>
      </c>
      <c r="O126" s="62" t="str" cm="1">
        <f t="array" ref="O126">Common_InputFunctions.Utility_DisplayArrayInTable(Fertiliser_SourceData.Fertiliser_Products_Data2(),FertiliserProducts[[#Headers],[Include or Exclude]], 20)</f>
        <v/>
      </c>
      <c r="P126" s="62" t="str" cm="1">
        <f t="array" ref="P126">Common_InputFunctions.Utility_DisplayArrayInTable(Fertiliser_SourceData.Fertiliser_Products_Data2(),FertiliserProducts[[#Headers],[Include or Exclude]], 20)</f>
        <v/>
      </c>
      <c r="Q126" s="62" t="str" cm="1">
        <f t="array" ref="Q126">Common_InputFunctions.Utility_DisplayArrayInTable(Fertiliser_SourceData.Fertiliser_Products_Data2(),FertiliserProducts[[#Headers],[Include or Exclude]], 20)</f>
        <v/>
      </c>
      <c r="R126" s="62" t="str" cm="1">
        <f t="array" ref="R126">Common_InputFunctions.Utility_DisplayArrayInTable(Fertiliser_SourceData.Fertiliser_Products_Data2(),FertiliserProducts[[#Headers],[Include or Exclude]], 20)</f>
        <v/>
      </c>
      <c r="S126" s="62" t="str" cm="1">
        <f t="array" ref="S126">Common_InputFunctions.Utility_DisplayArrayInTable(Fertiliser_SourceData.Fertiliser_Products_Data2(),FertiliserProducts[[#Headers],[Include or Exclude]], 20)</f>
        <v/>
      </c>
      <c r="T126" s="62" t="str" cm="1">
        <f t="array" ref="T126">Common_InputFunctions.Utility_DisplayArrayInTable(Fertiliser_SourceData.Fertiliser_Products_Data2(),FertiliserProducts[[#Headers],[Include or Exclude]], 20)</f>
        <v/>
      </c>
      <c r="U126" s="62" t="str" cm="1">
        <f t="array" ref="U126">Common_InputFunctions.Utility_DisplayArrayInTable(Fertiliser_SourceData.Fertiliser_Products_Data2(),FertiliserProducts[[#Headers],[Include or Exclude]], 20)</f>
        <v/>
      </c>
      <c r="V126" s="62" t="str" cm="1">
        <f t="array" ref="V126">Common_InputFunctions.Utility_DisplayArrayInTable(Fertiliser_SourceData.Fertiliser_Products_Data2(),FertiliserProducts[[#Headers],[Include or Exclude]], 20)</f>
        <v/>
      </c>
      <c r="W126" s="62" t="str" cm="1">
        <f t="array" ref="W126">Common_InputFunctions.Utility_DisplayArrayInTable(Fertiliser_SourceData.Fertiliser_Products_Data2(),FertiliserProducts[[#Headers],[Include or Exclude]], 20)</f>
        <v>CSBP Super PHOS</v>
      </c>
      <c r="X126" s="62" t="str" cm="1">
        <f t="array" ref="X126">Common_InputFunctions.Utility_DisplayArrayInTable(Fertiliser_SourceData.Fertiliser_Products_Data2(),FertiliserProducts[[#Headers],[Include or Exclude]], 20)</f>
        <v/>
      </c>
      <c r="Y126" s="62" t="str" cm="1">
        <f t="array" ref="Y126">Common_InputFunctions.Utility_DisplayArrayInTable(Fertiliser_SourceData.Fertiliser_Products_Data2(),FertiliserProducts[[#Headers],[Include or Exclude]], 20)</f>
        <v/>
      </c>
      <c r="Z126" s="62" t="str" cm="1">
        <f t="array" ref="Z126">Common_InputFunctions.Utility_DisplayArrayInTable(Fertiliser_SourceData.Fertiliser_Products_Data2(),FertiliserProducts[[#Headers],[Include or Exclude]], 20)</f>
        <v/>
      </c>
      <c r="AA126" s="10" t="str" cm="1">
        <f t="array" ref="AA126">Common_InputFunctions.Utility_DisplayArrayInTable(Fertiliser_SourceData.Fertiliser_Products_Data2(),FertiliserProducts[[#Headers],[Include or Exclude]], 20)</f>
        <v/>
      </c>
      <c r="AB126" s="10" t="str" cm="1">
        <f t="array" ref="AB126">Common_InputFunctions.Utility_DisplayArrayInTable(Fertiliser_SourceData.Fertiliser_Products_Data2(),FertiliserProducts[[#Headers],[Include or Exclude]], 20)</f>
        <v/>
      </c>
      <c r="AC126" s="10" t="str" cm="1">
        <f t="array" ref="AC126">Common_InputFunctions.Utility_DisplayArrayInTable(Fertiliser_SourceData.Fertiliser_Products_Data2(),FertiliserProducts[[#Headers],[Include or Exclude]], 20)</f>
        <v/>
      </c>
      <c r="AD126" s="10" t="str" cm="1">
        <f t="array" ref="AD126">Common_InputFunctions.Utility_DisplayArrayInTable(Fertiliser_SourceData.Fertiliser_Products_Data2(),FertiliserProducts[[#Headers],[Include or Exclude]], 20)</f>
        <v/>
      </c>
      <c r="AE126" s="10" t="str" cm="1">
        <f t="array" ref="AE126">Common_InputFunctions.Utility_DisplayArrayInTable(Fertiliser_SourceData.Fertiliser_Products_Data2(),FertiliserProducts[[#Headers],[Include or Exclude]], 20)</f>
        <v/>
      </c>
    </row>
    <row r="127" spans="1:31" ht="20.100000000000001" customHeight="1" x14ac:dyDescent="0.25">
      <c r="A127"/>
      <c r="D127" s="62" t="str" cm="1">
        <f t="array" ref="D127">Common_InputFunctions.Utility_DisplayArrayInTable(Fertiliser_SourceData.Fertiliser_Products_Data2(),FertiliserProducts[[#Headers],[Include or Exclude]], 20)</f>
        <v>Super SR Extra</v>
      </c>
      <c r="E127" s="62" t="str" cm="1">
        <f t="array" ref="E127">Common_InputFunctions.Utility_DisplayArrayInTable(Fertiliser_SourceData.Fertiliser_Products_Data2(),FertiliserProducts[[#Headers],[Include or Exclude]], 20)</f>
        <v/>
      </c>
      <c r="F127" s="62" t="str" cm="1">
        <f t="array" ref="F127">Common_InputFunctions.Utility_DisplayArrayInTable(Fertiliser_SourceData.Fertiliser_Products_Data2(),FertiliserProducts[[#Headers],[Include or Exclude]], 20)</f>
        <v/>
      </c>
      <c r="G127" s="62" t="str" cm="1">
        <f t="array" ref="G127">Common_InputFunctions.Utility_DisplayArrayInTable(Fertiliser_SourceData.Fertiliser_Products_Data2(),FertiliserProducts[[#Headers],[Include or Exclude]], 20)</f>
        <v/>
      </c>
      <c r="H127" s="62" t="str" cm="1">
        <f t="array" ref="H127">Common_InputFunctions.Utility_DisplayArrayInTable(Fertiliser_SourceData.Fertiliser_Products_Data2(),FertiliserProducts[[#Headers],[Include or Exclude]], 20)</f>
        <v/>
      </c>
      <c r="I127" s="62" t="str" cm="1">
        <f t="array" ref="I127">Common_InputFunctions.Utility_DisplayArrayInTable(Fertiliser_SourceData.Fertiliser_Products_Data2(),FertiliserProducts[[#Headers],[Include or Exclude]], 20)</f>
        <v/>
      </c>
      <c r="J127" s="62" t="str" cm="1">
        <f t="array" ref="J127">Common_InputFunctions.Utility_DisplayArrayInTable(Fertiliser_SourceData.Fertiliser_Products_Data2(),FertiliserProducts[[#Headers],[Include or Exclude]], 20)</f>
        <v/>
      </c>
      <c r="K127" s="62" t="str" cm="1">
        <f t="array" ref="K127">Common_InputFunctions.Utility_DisplayArrayInTable(Fertiliser_SourceData.Fertiliser_Products_Data2(),FertiliserProducts[[#Headers],[Include or Exclude]], 20)</f>
        <v/>
      </c>
      <c r="L127" s="62" t="str" cm="1">
        <f t="array" ref="L127">Common_InputFunctions.Utility_DisplayArrayInTable(Fertiliser_SourceData.Fertiliser_Products_Data2(),FertiliserProducts[[#Headers],[Include or Exclude]], 20)</f>
        <v/>
      </c>
      <c r="M127" s="62" t="str" cm="1">
        <f t="array" ref="M127">Common_InputFunctions.Utility_DisplayArrayInTable(Fertiliser_SourceData.Fertiliser_Products_Data2(),FertiliserProducts[[#Headers],[Include or Exclude]], 20)</f>
        <v/>
      </c>
      <c r="N127" s="62" t="str" cm="1">
        <f t="array" ref="N127">Common_InputFunctions.Utility_DisplayArrayInTable(Fertiliser_SourceData.Fertiliser_Products_Data2(),FertiliserProducts[[#Headers],[Include or Exclude]], 20)</f>
        <v/>
      </c>
      <c r="O127" s="62" t="str" cm="1">
        <f t="array" ref="O127">Common_InputFunctions.Utility_DisplayArrayInTable(Fertiliser_SourceData.Fertiliser_Products_Data2(),FertiliserProducts[[#Headers],[Include or Exclude]], 20)</f>
        <v/>
      </c>
      <c r="P127" s="62" t="str" cm="1">
        <f t="array" ref="P127">Common_InputFunctions.Utility_DisplayArrayInTable(Fertiliser_SourceData.Fertiliser_Products_Data2(),FertiliserProducts[[#Headers],[Include or Exclude]], 20)</f>
        <v/>
      </c>
      <c r="Q127" s="62" t="str" cm="1">
        <f t="array" ref="Q127">Common_InputFunctions.Utility_DisplayArrayInTable(Fertiliser_SourceData.Fertiliser_Products_Data2(),FertiliserProducts[[#Headers],[Include or Exclude]], 20)</f>
        <v/>
      </c>
      <c r="R127" s="62" t="str" cm="1">
        <f t="array" ref="R127">Common_InputFunctions.Utility_DisplayArrayInTable(Fertiliser_SourceData.Fertiliser_Products_Data2(),FertiliserProducts[[#Headers],[Include or Exclude]], 20)</f>
        <v/>
      </c>
      <c r="S127" s="62" t="str" cm="1">
        <f t="array" ref="S127">Common_InputFunctions.Utility_DisplayArrayInTable(Fertiliser_SourceData.Fertiliser_Products_Data2(),FertiliserProducts[[#Headers],[Include or Exclude]], 20)</f>
        <v/>
      </c>
      <c r="T127" s="62" t="str" cm="1">
        <f t="array" ref="T127">Common_InputFunctions.Utility_DisplayArrayInTable(Fertiliser_SourceData.Fertiliser_Products_Data2(),FertiliserProducts[[#Headers],[Include or Exclude]], 20)</f>
        <v/>
      </c>
      <c r="U127" s="62" t="str" cm="1">
        <f t="array" ref="U127">Common_InputFunctions.Utility_DisplayArrayInTable(Fertiliser_SourceData.Fertiliser_Products_Data2(),FertiliserProducts[[#Headers],[Include or Exclude]], 20)</f>
        <v/>
      </c>
      <c r="V127" s="62" t="str" cm="1">
        <f t="array" ref="V127">Common_InputFunctions.Utility_DisplayArrayInTable(Fertiliser_SourceData.Fertiliser_Products_Data2(),FertiliserProducts[[#Headers],[Include or Exclude]], 20)</f>
        <v/>
      </c>
      <c r="W127" s="62" t="str" cm="1">
        <f t="array" ref="W127">Common_InputFunctions.Utility_DisplayArrayInTable(Fertiliser_SourceData.Fertiliser_Products_Data2(),FertiliserProducts[[#Headers],[Include or Exclude]], 20)</f>
        <v>CSBP Super Potash</v>
      </c>
      <c r="X127" s="62" t="str" cm="1">
        <f t="array" ref="X127">Common_InputFunctions.Utility_DisplayArrayInTable(Fertiliser_SourceData.Fertiliser_Products_Data2(),FertiliserProducts[[#Headers],[Include or Exclude]], 20)</f>
        <v/>
      </c>
      <c r="Y127" s="62" t="str" cm="1">
        <f t="array" ref="Y127">Common_InputFunctions.Utility_DisplayArrayInTable(Fertiliser_SourceData.Fertiliser_Products_Data2(),FertiliserProducts[[#Headers],[Include or Exclude]], 20)</f>
        <v/>
      </c>
      <c r="Z127" s="62" t="str" cm="1">
        <f t="array" ref="Z127">Common_InputFunctions.Utility_DisplayArrayInTable(Fertiliser_SourceData.Fertiliser_Products_Data2(),FertiliserProducts[[#Headers],[Include or Exclude]], 20)</f>
        <v/>
      </c>
      <c r="AA127" s="10" t="str" cm="1">
        <f t="array" ref="AA127">Common_InputFunctions.Utility_DisplayArrayInTable(Fertiliser_SourceData.Fertiliser_Products_Data2(),FertiliserProducts[[#Headers],[Include or Exclude]], 20)</f>
        <v/>
      </c>
      <c r="AB127" s="10" t="str" cm="1">
        <f t="array" ref="AB127">Common_InputFunctions.Utility_DisplayArrayInTable(Fertiliser_SourceData.Fertiliser_Products_Data2(),FertiliserProducts[[#Headers],[Include or Exclude]], 20)</f>
        <v/>
      </c>
      <c r="AC127" s="10" t="str" cm="1">
        <f t="array" ref="AC127">Common_InputFunctions.Utility_DisplayArrayInTable(Fertiliser_SourceData.Fertiliser_Products_Data2(),FertiliserProducts[[#Headers],[Include or Exclude]], 20)</f>
        <v/>
      </c>
      <c r="AD127" s="10" t="str" cm="1">
        <f t="array" ref="AD127">Common_InputFunctions.Utility_DisplayArrayInTable(Fertiliser_SourceData.Fertiliser_Products_Data2(),FertiliserProducts[[#Headers],[Include or Exclude]], 20)</f>
        <v/>
      </c>
      <c r="AE127" s="10" t="str" cm="1">
        <f t="array" ref="AE127">Common_InputFunctions.Utility_DisplayArrayInTable(Fertiliser_SourceData.Fertiliser_Products_Data2(),FertiliserProducts[[#Headers],[Include or Exclude]], 20)</f>
        <v/>
      </c>
    </row>
    <row r="128" spans="1:31" ht="20.100000000000001" customHeight="1" x14ac:dyDescent="0.25">
      <c r="A128"/>
      <c r="D128" s="62" t="str" cm="1">
        <f t="array" ref="D128">Common_InputFunctions.Utility_DisplayArrayInTable(Fertiliser_SourceData.Fertiliser_Products_Data2(),FertiliserProducts[[#Headers],[Include or Exclude]], 20)</f>
        <v>SuPerfect</v>
      </c>
      <c r="E128" s="62" t="str" cm="1">
        <f t="array" ref="E128">Common_InputFunctions.Utility_DisplayArrayInTable(Fertiliser_SourceData.Fertiliser_Products_Data2(),FertiliserProducts[[#Headers],[Include or Exclude]], 20)</f>
        <v/>
      </c>
      <c r="F128" s="62" t="str" cm="1">
        <f t="array" ref="F128">Common_InputFunctions.Utility_DisplayArrayInTable(Fertiliser_SourceData.Fertiliser_Products_Data2(),FertiliserProducts[[#Headers],[Include or Exclude]], 20)</f>
        <v/>
      </c>
      <c r="G128" s="62" t="str" cm="1">
        <f t="array" ref="G128">Common_InputFunctions.Utility_DisplayArrayInTable(Fertiliser_SourceData.Fertiliser_Products_Data2(),FertiliserProducts[[#Headers],[Include or Exclude]], 20)</f>
        <v/>
      </c>
      <c r="H128" s="62" t="str" cm="1">
        <f t="array" ref="H128">Common_InputFunctions.Utility_DisplayArrayInTable(Fertiliser_SourceData.Fertiliser_Products_Data2(),FertiliserProducts[[#Headers],[Include or Exclude]], 20)</f>
        <v/>
      </c>
      <c r="I128" s="62" t="str" cm="1">
        <f t="array" ref="I128">Common_InputFunctions.Utility_DisplayArrayInTable(Fertiliser_SourceData.Fertiliser_Products_Data2(),FertiliserProducts[[#Headers],[Include or Exclude]], 20)</f>
        <v/>
      </c>
      <c r="J128" s="62" t="str" cm="1">
        <f t="array" ref="J128">Common_InputFunctions.Utility_DisplayArrayInTable(Fertiliser_SourceData.Fertiliser_Products_Data2(),FertiliserProducts[[#Headers],[Include or Exclude]], 20)</f>
        <v/>
      </c>
      <c r="K128" s="62" t="str" cm="1">
        <f t="array" ref="K128">Common_InputFunctions.Utility_DisplayArrayInTable(Fertiliser_SourceData.Fertiliser_Products_Data2(),FertiliserProducts[[#Headers],[Include or Exclude]], 20)</f>
        <v/>
      </c>
      <c r="L128" s="62" t="str" cm="1">
        <f t="array" ref="L128">Common_InputFunctions.Utility_DisplayArrayInTable(Fertiliser_SourceData.Fertiliser_Products_Data2(),FertiliserProducts[[#Headers],[Include or Exclude]], 20)</f>
        <v/>
      </c>
      <c r="M128" s="62" t="str" cm="1">
        <f t="array" ref="M128">Common_InputFunctions.Utility_DisplayArrayInTable(Fertiliser_SourceData.Fertiliser_Products_Data2(),FertiliserProducts[[#Headers],[Include or Exclude]], 20)</f>
        <v/>
      </c>
      <c r="N128" s="62" t="str" cm="1">
        <f t="array" ref="N128">Common_InputFunctions.Utility_DisplayArrayInTable(Fertiliser_SourceData.Fertiliser_Products_Data2(),FertiliserProducts[[#Headers],[Include or Exclude]], 20)</f>
        <v/>
      </c>
      <c r="O128" s="62" t="str" cm="1">
        <f t="array" ref="O128">Common_InputFunctions.Utility_DisplayArrayInTable(Fertiliser_SourceData.Fertiliser_Products_Data2(),FertiliserProducts[[#Headers],[Include or Exclude]], 20)</f>
        <v/>
      </c>
      <c r="P128" s="62" t="str" cm="1">
        <f t="array" ref="P128">Common_InputFunctions.Utility_DisplayArrayInTable(Fertiliser_SourceData.Fertiliser_Products_Data2(),FertiliserProducts[[#Headers],[Include or Exclude]], 20)</f>
        <v/>
      </c>
      <c r="Q128" s="62" t="str" cm="1">
        <f t="array" ref="Q128">Common_InputFunctions.Utility_DisplayArrayInTable(Fertiliser_SourceData.Fertiliser_Products_Data2(),FertiliserProducts[[#Headers],[Include or Exclude]], 20)</f>
        <v/>
      </c>
      <c r="R128" s="62" t="str" cm="1">
        <f t="array" ref="R128">Common_InputFunctions.Utility_DisplayArrayInTable(Fertiliser_SourceData.Fertiliser_Products_Data2(),FertiliserProducts[[#Headers],[Include or Exclude]], 20)</f>
        <v/>
      </c>
      <c r="S128" s="62" t="str" cm="1">
        <f t="array" ref="S128">Common_InputFunctions.Utility_DisplayArrayInTable(Fertiliser_SourceData.Fertiliser_Products_Data2(),FertiliserProducts[[#Headers],[Include or Exclude]], 20)</f>
        <v/>
      </c>
      <c r="T128" s="62" t="str" cm="1">
        <f t="array" ref="T128">Common_InputFunctions.Utility_DisplayArrayInTable(Fertiliser_SourceData.Fertiliser_Products_Data2(),FertiliserProducts[[#Headers],[Include or Exclude]], 20)</f>
        <v/>
      </c>
      <c r="U128" s="62" t="str" cm="1">
        <f t="array" ref="U128">Common_InputFunctions.Utility_DisplayArrayInTable(Fertiliser_SourceData.Fertiliser_Products_Data2(),FertiliserProducts[[#Headers],[Include or Exclude]], 20)</f>
        <v/>
      </c>
      <c r="V128" s="62" t="str" cm="1">
        <f t="array" ref="V128">Common_InputFunctions.Utility_DisplayArrayInTable(Fertiliser_SourceData.Fertiliser_Products_Data2(),FertiliserProducts[[#Headers],[Include or Exclude]], 20)</f>
        <v/>
      </c>
      <c r="W128" s="62" t="str" cm="1">
        <f t="array" ref="W128">Common_InputFunctions.Utility_DisplayArrayInTable(Fertiliser_SourceData.Fertiliser_Products_Data2(),FertiliserProducts[[#Headers],[Include or Exclude]], 20)</f>
        <v>Incitec Pivot Fertilisers</v>
      </c>
      <c r="X128" s="62" t="str" cm="1">
        <f t="array" ref="X128">Common_InputFunctions.Utility_DisplayArrayInTable(Fertiliser_SourceData.Fertiliser_Products_Data2(),FertiliserProducts[[#Headers],[Include or Exclude]], 20)</f>
        <v/>
      </c>
      <c r="Y128" s="62" t="str" cm="1">
        <f t="array" ref="Y128">Common_InputFunctions.Utility_DisplayArrayInTable(Fertiliser_SourceData.Fertiliser_Products_Data2(),FertiliserProducts[[#Headers],[Include or Exclude]], 20)</f>
        <v/>
      </c>
      <c r="Z128" s="62" t="str" cm="1">
        <f t="array" ref="Z128">Common_InputFunctions.Utility_DisplayArrayInTable(Fertiliser_SourceData.Fertiliser_Products_Data2(),FertiliserProducts[[#Headers],[Include or Exclude]], 20)</f>
        <v/>
      </c>
      <c r="AA128" s="10" t="str" cm="1">
        <f t="array" ref="AA128">Common_InputFunctions.Utility_DisplayArrayInTable(Fertiliser_SourceData.Fertiliser_Products_Data2(),FertiliserProducts[[#Headers],[Include or Exclude]], 20)</f>
        <v/>
      </c>
      <c r="AB128" s="10" t="str" cm="1">
        <f t="array" ref="AB128">Common_InputFunctions.Utility_DisplayArrayInTable(Fertiliser_SourceData.Fertiliser_Products_Data2(),FertiliserProducts[[#Headers],[Include or Exclude]], 20)</f>
        <v/>
      </c>
      <c r="AC128" s="10" t="str" cm="1">
        <f t="array" ref="AC128">Common_InputFunctions.Utility_DisplayArrayInTable(Fertiliser_SourceData.Fertiliser_Products_Data2(),FertiliserProducts[[#Headers],[Include or Exclude]], 20)</f>
        <v/>
      </c>
      <c r="AD128" s="10" t="str" cm="1">
        <f t="array" ref="AD128">Common_InputFunctions.Utility_DisplayArrayInTable(Fertiliser_SourceData.Fertiliser_Products_Data2(),FertiliserProducts[[#Headers],[Include or Exclude]], 20)</f>
        <v/>
      </c>
      <c r="AE128" s="10" t="str" cm="1">
        <f t="array" ref="AE128">Common_InputFunctions.Utility_DisplayArrayInTable(Fertiliser_SourceData.Fertiliser_Products_Data2(),FertiliserProducts[[#Headers],[Include or Exclude]], 20)</f>
        <v/>
      </c>
    </row>
    <row r="129" spans="1:31" ht="20.100000000000001" customHeight="1" x14ac:dyDescent="0.25">
      <c r="A129"/>
      <c r="D129" s="62" t="str" cm="1">
        <f t="array" ref="D129">Common_InputFunctions.Utility_DisplayArrayInTable(Fertiliser_SourceData.Fertiliser_Products_Data3(),FertiliserProducts[[#Headers],[Include or Exclude]], 40)</f>
        <v>Product</v>
      </c>
      <c r="E129" s="62" t="str" cm="1">
        <f t="array" ref="E129">Common_InputFunctions.Utility_DisplayArrayInTable(Fertiliser_SourceData.Fertiliser_Products_Data3(),FertiliserProducts[[#Headers],[Include or Exclude]], 40)</f>
        <v>Ingredient 1</v>
      </c>
      <c r="F129" s="62" t="str" cm="1">
        <f t="array" ref="F129">Common_InputFunctions.Utility_DisplayArrayInTable(Fertiliser_SourceData.Fertiliser_Products_Data3(),FertiliserProducts[[#Headers],[Include or Exclude]], 40)</f>
        <v>Ingredient 1 percent</v>
      </c>
      <c r="G129" s="62" t="str" cm="1">
        <f t="array" ref="G129">Common_InputFunctions.Utility_DisplayArrayInTable(Fertiliser_SourceData.Fertiliser_Products_Data3(),FertiliserProducts[[#Headers],[Include or Exclude]], 40)</f>
        <v>Ingredient 1 source</v>
      </c>
      <c r="H129" s="62" t="str" cm="1">
        <f t="array" ref="H129">Common_InputFunctions.Utility_DisplayArrayInTable(Fertiliser_SourceData.Fertiliser_Products_Data3(),FertiliserProducts[[#Headers],[Include or Exclude]], 40)</f>
        <v>Ingredient 2</v>
      </c>
      <c r="I129" s="62" t="str" cm="1">
        <f t="array" ref="I129">Common_InputFunctions.Utility_DisplayArrayInTable(Fertiliser_SourceData.Fertiliser_Products_Data3(),FertiliserProducts[[#Headers],[Include or Exclude]], 40)</f>
        <v>Ingredient 2 percent</v>
      </c>
      <c r="J129" s="62" t="str" cm="1">
        <f t="array" ref="J129">Common_InputFunctions.Utility_DisplayArrayInTable(Fertiliser_SourceData.Fertiliser_Products_Data3(),FertiliserProducts[[#Headers],[Include or Exclude]], 40)</f>
        <v>Ingredient 2 source</v>
      </c>
      <c r="K129" s="62" t="str" cm="1">
        <f t="array" ref="K129">Common_InputFunctions.Utility_DisplayArrayInTable(Fertiliser_SourceData.Fertiliser_Products_Data3(),FertiliserProducts[[#Headers],[Include or Exclude]], 40)</f>
        <v>Ingredient 3</v>
      </c>
      <c r="L129" s="62" t="str" cm="1">
        <f t="array" ref="L129">Common_InputFunctions.Utility_DisplayArrayInTable(Fertiliser_SourceData.Fertiliser_Products_Data3(),FertiliserProducts[[#Headers],[Include or Exclude]], 40)</f>
        <v>Ingredient 3 percent</v>
      </c>
      <c r="M129" s="62" t="str" cm="1">
        <f t="array" ref="M129">Common_InputFunctions.Utility_DisplayArrayInTable(Fertiliser_SourceData.Fertiliser_Products_Data3(),FertiliserProducts[[#Headers],[Include or Exclude]], 40)</f>
        <v>Ingredient 3 source</v>
      </c>
      <c r="N129" s="62" t="str" cm="1">
        <f t="array" ref="N129">Common_InputFunctions.Utility_DisplayArrayInTable(Fertiliser_SourceData.Fertiliser_Products_Data3(),FertiliserProducts[[#Headers],[Include or Exclude]], 40)</f>
        <v>Ingredient 4</v>
      </c>
      <c r="O129" s="62" t="str" cm="1">
        <f t="array" ref="O129">Common_InputFunctions.Utility_DisplayArrayInTable(Fertiliser_SourceData.Fertiliser_Products_Data3(),FertiliserProducts[[#Headers],[Include or Exclude]], 40)</f>
        <v>Ingredient 4 percent</v>
      </c>
      <c r="P129" s="62" t="str" cm="1">
        <f t="array" ref="P129">Common_InputFunctions.Utility_DisplayArrayInTable(Fertiliser_SourceData.Fertiliser_Products_Data3(),FertiliserProducts[[#Headers],[Include or Exclude]], 40)</f>
        <v>Ingredient 4 source</v>
      </c>
      <c r="Q129" s="62" t="str" cm="1">
        <f t="array" ref="Q129">Common_InputFunctions.Utility_DisplayArrayInTable(Fertiliser_SourceData.Fertiliser_Products_Data3(),FertiliserProducts[[#Headers],[Include or Exclude]], 40)</f>
        <v>Ingredient 5</v>
      </c>
      <c r="R129" s="62" t="str" cm="1">
        <f t="array" ref="R129">Common_InputFunctions.Utility_DisplayArrayInTable(Fertiliser_SourceData.Fertiliser_Products_Data3(),FertiliserProducts[[#Headers],[Include or Exclude]], 40)</f>
        <v>Ingredient 5 percent</v>
      </c>
      <c r="S129" s="62" t="str" cm="1">
        <f t="array" ref="S129">Common_InputFunctions.Utility_DisplayArrayInTable(Fertiliser_SourceData.Fertiliser_Products_Data3(),FertiliserProducts[[#Headers],[Include or Exclude]], 40)</f>
        <v>Ingredient 5 source</v>
      </c>
      <c r="T129" s="62" t="str" cm="1">
        <f t="array" ref="T129">Common_InputFunctions.Utility_DisplayArrayInTable(Fertiliser_SourceData.Fertiliser_Products_Data3(),FertiliserProducts[[#Headers],[Include or Exclude]], 40)</f>
        <v>Ingredient 6</v>
      </c>
      <c r="U129" s="62" t="str" cm="1">
        <f t="array" ref="U129">Common_InputFunctions.Utility_DisplayArrayInTable(Fertiliser_SourceData.Fertiliser_Products_Data3(),FertiliserProducts[[#Headers],[Include or Exclude]], 40)</f>
        <v>Ingredient 6 percent</v>
      </c>
      <c r="V129" s="62" t="str" cm="1">
        <f t="array" ref="V129">Common_InputFunctions.Utility_DisplayArrayInTable(Fertiliser_SourceData.Fertiliser_Products_Data3(),FertiliserProducts[[#Headers],[Include or Exclude]], 40)</f>
        <v>Ingredient 6 source</v>
      </c>
      <c r="W129" s="62" t="str" cm="1">
        <f t="array" ref="W129">Common_InputFunctions.Utility_DisplayArrayInTable(Fertiliser_SourceData.Fertiliser_Products_Data3(),FertiliserProducts[[#Headers],[Include or Exclude]], 40)</f>
        <v>Product info link</v>
      </c>
      <c r="X129" s="62" t="str" cm="1">
        <f t="array" ref="X129">Common_InputFunctions.Utility_DisplayArrayInTable(Fertiliser_SourceData.Fertiliser_Products_Data3(),FertiliserProducts[[#Headers],[Include or Exclude]], 40)</f>
        <v/>
      </c>
      <c r="Y129" s="62" t="str" cm="1">
        <f t="array" ref="Y129">Common_InputFunctions.Utility_DisplayArrayInTable(Fertiliser_SourceData.Fertiliser_Products_Data3(),FertiliserProducts[[#Headers],[Include or Exclude]], 40)</f>
        <v/>
      </c>
      <c r="Z129" s="62" t="str" cm="1">
        <f t="array" ref="Z129">Common_InputFunctions.Utility_DisplayArrayInTable(Fertiliser_SourceData.Fertiliser_Products_Data3(),FertiliserProducts[[#Headers],[Include or Exclude]], 40)</f>
        <v/>
      </c>
      <c r="AA129" s="10" t="str" cm="1">
        <f t="array" ref="AA129">Common_InputFunctions.Utility_DisplayArrayInTable(Fertiliser_SourceData.Fertiliser_Products_Data3(),FertiliserProducts[[#Headers],[Include or Exclude]], 40)</f>
        <v/>
      </c>
      <c r="AB129" s="10" t="str" cm="1">
        <f t="array" ref="AB129">Common_InputFunctions.Utility_DisplayArrayInTable(Fertiliser_SourceData.Fertiliser_Products_Data3(),FertiliserProducts[[#Headers],[Include or Exclude]], 40)</f>
        <v/>
      </c>
      <c r="AC129" s="10" t="str" cm="1">
        <f t="array" ref="AC129">Common_InputFunctions.Utility_DisplayArrayInTable(Fertiliser_SourceData.Fertiliser_Products_Data3(),FertiliserProducts[[#Headers],[Include or Exclude]], 40)</f>
        <v/>
      </c>
      <c r="AD129" s="10" t="str" cm="1">
        <f t="array" ref="AD129">Common_InputFunctions.Utility_DisplayArrayInTable(Fertiliser_SourceData.Fertiliser_Products_Data3(),FertiliserProducts[[#Headers],[Include or Exclude]], 40)</f>
        <v/>
      </c>
      <c r="AE129" s="10" t="str" cm="1">
        <f t="array" ref="AE129">Common_InputFunctions.Utility_DisplayArrayInTable(Fertiliser_SourceData.Fertiliser_Products_Data3(),FertiliserProducts[[#Headers],[Include or Exclude]], 40)</f>
        <v/>
      </c>
    </row>
    <row r="130" spans="1:31" ht="20.100000000000001" customHeight="1" x14ac:dyDescent="0.25">
      <c r="A130"/>
      <c r="D130" s="62" t="str" cm="1">
        <f t="array" ref="D130">Common_InputFunctions.Utility_DisplayArrayInTable(Fertiliser_SourceData.Fertiliser_Products_Data3(),FertiliserProducts[[#Headers],[Include or Exclude]], 40)</f>
        <v>Yara K-Flow 0-0-15</v>
      </c>
      <c r="E130" s="62" t="str" cm="1">
        <f t="array" ref="E130">Common_InputFunctions.Utility_DisplayArrayInTable(Fertiliser_SourceData.Fertiliser_Products_Data3(),FertiliserProducts[[#Headers],[Include or Exclude]], 40)</f>
        <v/>
      </c>
      <c r="F130" s="62" t="str" cm="1">
        <f t="array" ref="F130">Common_InputFunctions.Utility_DisplayArrayInTable(Fertiliser_SourceData.Fertiliser_Products_Data3(),FertiliserProducts[[#Headers],[Include or Exclude]], 40)</f>
        <v/>
      </c>
      <c r="G130" s="62" t="str" cm="1">
        <f t="array" ref="G130">Common_InputFunctions.Utility_DisplayArrayInTable(Fertiliser_SourceData.Fertiliser_Products_Data3(),FertiliserProducts[[#Headers],[Include or Exclude]], 40)</f>
        <v/>
      </c>
      <c r="H130" s="62" t="str" cm="1">
        <f t="array" ref="H130">Common_InputFunctions.Utility_DisplayArrayInTable(Fertiliser_SourceData.Fertiliser_Products_Data3(),FertiliserProducts[[#Headers],[Include or Exclude]], 40)</f>
        <v/>
      </c>
      <c r="I130" s="62" t="str" cm="1">
        <f t="array" ref="I130">Common_InputFunctions.Utility_DisplayArrayInTable(Fertiliser_SourceData.Fertiliser_Products_Data3(),FertiliserProducts[[#Headers],[Include or Exclude]], 40)</f>
        <v/>
      </c>
      <c r="J130" s="62" t="str" cm="1">
        <f t="array" ref="J130">Common_InputFunctions.Utility_DisplayArrayInTable(Fertiliser_SourceData.Fertiliser_Products_Data3(),FertiliserProducts[[#Headers],[Include or Exclude]], 40)</f>
        <v/>
      </c>
      <c r="K130" s="62" t="str" cm="1">
        <f t="array" ref="K130">Common_InputFunctions.Utility_DisplayArrayInTable(Fertiliser_SourceData.Fertiliser_Products_Data3(),FertiliserProducts[[#Headers],[Include or Exclude]], 40)</f>
        <v/>
      </c>
      <c r="L130" s="62" t="str" cm="1">
        <f t="array" ref="L130">Common_InputFunctions.Utility_DisplayArrayInTable(Fertiliser_SourceData.Fertiliser_Products_Data3(),FertiliserProducts[[#Headers],[Include or Exclude]], 40)</f>
        <v/>
      </c>
      <c r="M130" s="62" t="str" cm="1">
        <f t="array" ref="M130">Common_InputFunctions.Utility_DisplayArrayInTable(Fertiliser_SourceData.Fertiliser_Products_Data3(),FertiliserProducts[[#Headers],[Include or Exclude]], 40)</f>
        <v/>
      </c>
      <c r="N130" s="62" t="str" cm="1">
        <f t="array" ref="N130">Common_InputFunctions.Utility_DisplayArrayInTable(Fertiliser_SourceData.Fertiliser_Products_Data3(),FertiliserProducts[[#Headers],[Include or Exclude]], 40)</f>
        <v/>
      </c>
      <c r="O130" s="62" t="str" cm="1">
        <f t="array" ref="O130">Common_InputFunctions.Utility_DisplayArrayInTable(Fertiliser_SourceData.Fertiliser_Products_Data3(),FertiliserProducts[[#Headers],[Include or Exclude]], 40)</f>
        <v/>
      </c>
      <c r="P130" s="62" t="str" cm="1">
        <f t="array" ref="P130">Common_InputFunctions.Utility_DisplayArrayInTable(Fertiliser_SourceData.Fertiliser_Products_Data3(),FertiliserProducts[[#Headers],[Include or Exclude]], 40)</f>
        <v/>
      </c>
      <c r="Q130" s="62" t="str" cm="1">
        <f t="array" ref="Q130">Common_InputFunctions.Utility_DisplayArrayInTable(Fertiliser_SourceData.Fertiliser_Products_Data3(),FertiliserProducts[[#Headers],[Include or Exclude]], 40)</f>
        <v/>
      </c>
      <c r="R130" s="62" t="str" cm="1">
        <f t="array" ref="R130">Common_InputFunctions.Utility_DisplayArrayInTable(Fertiliser_SourceData.Fertiliser_Products_Data3(),FertiliserProducts[[#Headers],[Include or Exclude]], 40)</f>
        <v/>
      </c>
      <c r="S130" s="62" t="str" cm="1">
        <f t="array" ref="S130">Common_InputFunctions.Utility_DisplayArrayInTable(Fertiliser_SourceData.Fertiliser_Products_Data3(),FertiliserProducts[[#Headers],[Include or Exclude]], 40)</f>
        <v/>
      </c>
      <c r="T130" s="62" t="str" cm="1">
        <f t="array" ref="T130">Common_InputFunctions.Utility_DisplayArrayInTable(Fertiliser_SourceData.Fertiliser_Products_Data3(),FertiliserProducts[[#Headers],[Include or Exclude]], 40)</f>
        <v/>
      </c>
      <c r="U130" s="62" t="str" cm="1">
        <f t="array" ref="U130">Common_InputFunctions.Utility_DisplayArrayInTable(Fertiliser_SourceData.Fertiliser_Products_Data3(),FertiliserProducts[[#Headers],[Include or Exclude]], 40)</f>
        <v/>
      </c>
      <c r="V130" s="62" t="str" cm="1">
        <f t="array" ref="V130">Common_InputFunctions.Utility_DisplayArrayInTable(Fertiliser_SourceData.Fertiliser_Products_Data3(),FertiliserProducts[[#Headers],[Include or Exclude]], 40)</f>
        <v/>
      </c>
      <c r="W130" s="62" t="str" cm="1">
        <f t="array" ref="W130">Common_InputFunctions.Utility_DisplayArrayInTable(Fertiliser_SourceData.Fertiliser_Products_Data3(),FertiliserProducts[[#Headers],[Include or Exclude]], 40)</f>
        <v>Crop Nutrition Solutions (Yara Australia)</v>
      </c>
      <c r="X130" s="62" t="str" cm="1">
        <f t="array" ref="X130">Common_InputFunctions.Utility_DisplayArrayInTable(Fertiliser_SourceData.Fertiliser_Products_Data3(),FertiliserProducts[[#Headers],[Include or Exclude]], 40)</f>
        <v/>
      </c>
      <c r="Y130" s="62" t="str" cm="1">
        <f t="array" ref="Y130">Common_InputFunctions.Utility_DisplayArrayInTable(Fertiliser_SourceData.Fertiliser_Products_Data3(),FertiliserProducts[[#Headers],[Include or Exclude]], 40)</f>
        <v/>
      </c>
      <c r="Z130" s="62" t="str" cm="1">
        <f t="array" ref="Z130">Common_InputFunctions.Utility_DisplayArrayInTable(Fertiliser_SourceData.Fertiliser_Products_Data3(),FertiliserProducts[[#Headers],[Include or Exclude]], 40)</f>
        <v/>
      </c>
      <c r="AA130" s="10" t="str" cm="1">
        <f t="array" ref="AA130">Common_InputFunctions.Utility_DisplayArrayInTable(Fertiliser_SourceData.Fertiliser_Products_Data3(),FertiliserProducts[[#Headers],[Include or Exclude]], 40)</f>
        <v/>
      </c>
      <c r="AB130" s="10" t="str" cm="1">
        <f t="array" ref="AB130">Common_InputFunctions.Utility_DisplayArrayInTable(Fertiliser_SourceData.Fertiliser_Products_Data3(),FertiliserProducts[[#Headers],[Include or Exclude]], 40)</f>
        <v/>
      </c>
      <c r="AC130" s="10" t="str" cm="1">
        <f t="array" ref="AC130">Common_InputFunctions.Utility_DisplayArrayInTable(Fertiliser_SourceData.Fertiliser_Products_Data3(),FertiliserProducts[[#Headers],[Include or Exclude]], 40)</f>
        <v/>
      </c>
      <c r="AD130" s="10" t="str" cm="1">
        <f t="array" ref="AD130">Common_InputFunctions.Utility_DisplayArrayInTable(Fertiliser_SourceData.Fertiliser_Products_Data3(),FertiliserProducts[[#Headers],[Include or Exclude]], 40)</f>
        <v/>
      </c>
      <c r="AE130" s="10" t="str" cm="1">
        <f t="array" ref="AE130">Common_InputFunctions.Utility_DisplayArrayInTable(Fertiliser_SourceData.Fertiliser_Products_Data3(),FertiliserProducts[[#Headers],[Include or Exclude]], 40)</f>
        <v/>
      </c>
    </row>
    <row r="131" spans="1:31" ht="20.100000000000001" customHeight="1" x14ac:dyDescent="0.25">
      <c r="A131"/>
      <c r="D131" s="62" t="str" cm="1">
        <f t="array" ref="D131">Common_InputFunctions.Utility_DisplayArrayInTable(Fertiliser_SourceData.Fertiliser_Products_Data3(),FertiliserProducts[[#Headers],[Include or Exclude]], 40)</f>
        <v>Yara K-Flow 0-14-30</v>
      </c>
      <c r="E131" s="62" t="str" cm="1">
        <f t="array" ref="E131">Common_InputFunctions.Utility_DisplayArrayInTable(Fertiliser_SourceData.Fertiliser_Products_Data3(),FertiliserProducts[[#Headers],[Include or Exclude]], 40)</f>
        <v/>
      </c>
      <c r="F131" s="62" t="str" cm="1">
        <f t="array" ref="F131">Common_InputFunctions.Utility_DisplayArrayInTable(Fertiliser_SourceData.Fertiliser_Products_Data3(),FertiliserProducts[[#Headers],[Include or Exclude]], 40)</f>
        <v/>
      </c>
      <c r="G131" s="62" t="str" cm="1">
        <f t="array" ref="G131">Common_InputFunctions.Utility_DisplayArrayInTable(Fertiliser_SourceData.Fertiliser_Products_Data3(),FertiliserProducts[[#Headers],[Include or Exclude]], 40)</f>
        <v/>
      </c>
      <c r="H131" s="62" t="str" cm="1">
        <f t="array" ref="H131">Common_InputFunctions.Utility_DisplayArrayInTable(Fertiliser_SourceData.Fertiliser_Products_Data3(),FertiliserProducts[[#Headers],[Include or Exclude]], 40)</f>
        <v/>
      </c>
      <c r="I131" s="62" t="str" cm="1">
        <f t="array" ref="I131">Common_InputFunctions.Utility_DisplayArrayInTable(Fertiliser_SourceData.Fertiliser_Products_Data3(),FertiliserProducts[[#Headers],[Include or Exclude]], 40)</f>
        <v/>
      </c>
      <c r="J131" s="62" t="str" cm="1">
        <f t="array" ref="J131">Common_InputFunctions.Utility_DisplayArrayInTable(Fertiliser_SourceData.Fertiliser_Products_Data3(),FertiliserProducts[[#Headers],[Include or Exclude]], 40)</f>
        <v/>
      </c>
      <c r="K131" s="62" t="str" cm="1">
        <f t="array" ref="K131">Common_InputFunctions.Utility_DisplayArrayInTable(Fertiliser_SourceData.Fertiliser_Products_Data3(),FertiliserProducts[[#Headers],[Include or Exclude]], 40)</f>
        <v/>
      </c>
      <c r="L131" s="62" t="str" cm="1">
        <f t="array" ref="L131">Common_InputFunctions.Utility_DisplayArrayInTable(Fertiliser_SourceData.Fertiliser_Products_Data3(),FertiliserProducts[[#Headers],[Include or Exclude]], 40)</f>
        <v/>
      </c>
      <c r="M131" s="62" t="str" cm="1">
        <f t="array" ref="M131">Common_InputFunctions.Utility_DisplayArrayInTable(Fertiliser_SourceData.Fertiliser_Products_Data3(),FertiliserProducts[[#Headers],[Include or Exclude]], 40)</f>
        <v/>
      </c>
      <c r="N131" s="62" t="str" cm="1">
        <f t="array" ref="N131">Common_InputFunctions.Utility_DisplayArrayInTable(Fertiliser_SourceData.Fertiliser_Products_Data3(),FertiliserProducts[[#Headers],[Include or Exclude]], 40)</f>
        <v/>
      </c>
      <c r="O131" s="62" t="str" cm="1">
        <f t="array" ref="O131">Common_InputFunctions.Utility_DisplayArrayInTable(Fertiliser_SourceData.Fertiliser_Products_Data3(),FertiliserProducts[[#Headers],[Include or Exclude]], 40)</f>
        <v/>
      </c>
      <c r="P131" s="62" t="str" cm="1">
        <f t="array" ref="P131">Common_InputFunctions.Utility_DisplayArrayInTable(Fertiliser_SourceData.Fertiliser_Products_Data3(),FertiliserProducts[[#Headers],[Include or Exclude]], 40)</f>
        <v/>
      </c>
      <c r="Q131" s="62" t="str" cm="1">
        <f t="array" ref="Q131">Common_InputFunctions.Utility_DisplayArrayInTable(Fertiliser_SourceData.Fertiliser_Products_Data3(),FertiliserProducts[[#Headers],[Include or Exclude]], 40)</f>
        <v/>
      </c>
      <c r="R131" s="62" t="str" cm="1">
        <f t="array" ref="R131">Common_InputFunctions.Utility_DisplayArrayInTable(Fertiliser_SourceData.Fertiliser_Products_Data3(),FertiliserProducts[[#Headers],[Include or Exclude]], 40)</f>
        <v/>
      </c>
      <c r="S131" s="62" t="str" cm="1">
        <f t="array" ref="S131">Common_InputFunctions.Utility_DisplayArrayInTable(Fertiliser_SourceData.Fertiliser_Products_Data3(),FertiliserProducts[[#Headers],[Include or Exclude]], 40)</f>
        <v/>
      </c>
      <c r="T131" s="62" t="str" cm="1">
        <f t="array" ref="T131">Common_InputFunctions.Utility_DisplayArrayInTable(Fertiliser_SourceData.Fertiliser_Products_Data3(),FertiliserProducts[[#Headers],[Include or Exclude]], 40)</f>
        <v/>
      </c>
      <c r="U131" s="62" t="str" cm="1">
        <f t="array" ref="U131">Common_InputFunctions.Utility_DisplayArrayInTable(Fertiliser_SourceData.Fertiliser_Products_Data3(),FertiliserProducts[[#Headers],[Include or Exclude]], 40)</f>
        <v/>
      </c>
      <c r="V131" s="62" t="str" cm="1">
        <f t="array" ref="V131">Common_InputFunctions.Utility_DisplayArrayInTable(Fertiliser_SourceData.Fertiliser_Products_Data3(),FertiliserProducts[[#Headers],[Include or Exclude]], 40)</f>
        <v/>
      </c>
      <c r="W131" s="62" t="str" cm="1">
        <f t="array" ref="W131">Common_InputFunctions.Utility_DisplayArrayInTable(Fertiliser_SourceData.Fertiliser_Products_Data3(),FertiliserProducts[[#Headers],[Include or Exclude]], 40)</f>
        <v>Crop Nutrition Solutions (Yara Australia)</v>
      </c>
      <c r="X131" s="62" t="str" cm="1">
        <f t="array" ref="X131">Common_InputFunctions.Utility_DisplayArrayInTable(Fertiliser_SourceData.Fertiliser_Products_Data3(),FertiliserProducts[[#Headers],[Include or Exclude]], 40)</f>
        <v/>
      </c>
      <c r="Y131" s="62" t="str" cm="1">
        <f t="array" ref="Y131">Common_InputFunctions.Utility_DisplayArrayInTable(Fertiliser_SourceData.Fertiliser_Products_Data3(),FertiliserProducts[[#Headers],[Include or Exclude]], 40)</f>
        <v/>
      </c>
      <c r="Z131" s="62" t="str" cm="1">
        <f t="array" ref="Z131">Common_InputFunctions.Utility_DisplayArrayInTable(Fertiliser_SourceData.Fertiliser_Products_Data3(),FertiliserProducts[[#Headers],[Include or Exclude]], 40)</f>
        <v/>
      </c>
      <c r="AA131" s="10" t="str" cm="1">
        <f t="array" ref="AA131">Common_InputFunctions.Utility_DisplayArrayInTable(Fertiliser_SourceData.Fertiliser_Products_Data3(),FertiliserProducts[[#Headers],[Include or Exclude]], 40)</f>
        <v/>
      </c>
      <c r="AB131" s="10" t="str" cm="1">
        <f t="array" ref="AB131">Common_InputFunctions.Utility_DisplayArrayInTable(Fertiliser_SourceData.Fertiliser_Products_Data3(),FertiliserProducts[[#Headers],[Include or Exclude]], 40)</f>
        <v/>
      </c>
      <c r="AC131" s="10" t="str" cm="1">
        <f t="array" ref="AC131">Common_InputFunctions.Utility_DisplayArrayInTable(Fertiliser_SourceData.Fertiliser_Products_Data3(),FertiliserProducts[[#Headers],[Include or Exclude]], 40)</f>
        <v/>
      </c>
      <c r="AD131" s="10" t="str" cm="1">
        <f t="array" ref="AD131">Common_InputFunctions.Utility_DisplayArrayInTable(Fertiliser_SourceData.Fertiliser_Products_Data3(),FertiliserProducts[[#Headers],[Include or Exclude]], 40)</f>
        <v/>
      </c>
      <c r="AE131" s="10" t="str" cm="1">
        <f t="array" ref="AE131">Common_InputFunctions.Utility_DisplayArrayInTable(Fertiliser_SourceData.Fertiliser_Products_Data3(),FertiliserProducts[[#Headers],[Include or Exclude]], 40)</f>
        <v/>
      </c>
    </row>
    <row r="132" spans="1:31" ht="20.100000000000001" customHeight="1" x14ac:dyDescent="0.25">
      <c r="A132"/>
      <c r="D132" s="62" t="str" cm="1">
        <f t="array" ref="D132">Common_InputFunctions.Utility_DisplayArrayInTable(Fertiliser_SourceData.Fertiliser_Products_Data3(),FertiliserProducts[[#Headers],[Include or Exclude]], 40)</f>
        <v>Yara K-Flow 0-7-36</v>
      </c>
      <c r="E132" s="62" t="str" cm="1">
        <f t="array" ref="E132">Common_InputFunctions.Utility_DisplayArrayInTable(Fertiliser_SourceData.Fertiliser_Products_Data3(),FertiliserProducts[[#Headers],[Include or Exclude]], 40)</f>
        <v/>
      </c>
      <c r="F132" s="62" t="str" cm="1">
        <f t="array" ref="F132">Common_InputFunctions.Utility_DisplayArrayInTable(Fertiliser_SourceData.Fertiliser_Products_Data3(),FertiliserProducts[[#Headers],[Include or Exclude]], 40)</f>
        <v/>
      </c>
      <c r="G132" s="62" t="str" cm="1">
        <f t="array" ref="G132">Common_InputFunctions.Utility_DisplayArrayInTable(Fertiliser_SourceData.Fertiliser_Products_Data3(),FertiliserProducts[[#Headers],[Include or Exclude]], 40)</f>
        <v/>
      </c>
      <c r="H132" s="62" t="str" cm="1">
        <f t="array" ref="H132">Common_InputFunctions.Utility_DisplayArrayInTable(Fertiliser_SourceData.Fertiliser_Products_Data3(),FertiliserProducts[[#Headers],[Include or Exclude]], 40)</f>
        <v/>
      </c>
      <c r="I132" s="62" t="str" cm="1">
        <f t="array" ref="I132">Common_InputFunctions.Utility_DisplayArrayInTable(Fertiliser_SourceData.Fertiliser_Products_Data3(),FertiliserProducts[[#Headers],[Include or Exclude]], 40)</f>
        <v/>
      </c>
      <c r="J132" s="62" t="str" cm="1">
        <f t="array" ref="J132">Common_InputFunctions.Utility_DisplayArrayInTable(Fertiliser_SourceData.Fertiliser_Products_Data3(),FertiliserProducts[[#Headers],[Include or Exclude]], 40)</f>
        <v/>
      </c>
      <c r="K132" s="62" t="str" cm="1">
        <f t="array" ref="K132">Common_InputFunctions.Utility_DisplayArrayInTable(Fertiliser_SourceData.Fertiliser_Products_Data3(),FertiliserProducts[[#Headers],[Include or Exclude]], 40)</f>
        <v/>
      </c>
      <c r="L132" s="62" t="str" cm="1">
        <f t="array" ref="L132">Common_InputFunctions.Utility_DisplayArrayInTable(Fertiliser_SourceData.Fertiliser_Products_Data3(),FertiliserProducts[[#Headers],[Include or Exclude]], 40)</f>
        <v/>
      </c>
      <c r="M132" s="62" t="str" cm="1">
        <f t="array" ref="M132">Common_InputFunctions.Utility_DisplayArrayInTable(Fertiliser_SourceData.Fertiliser_Products_Data3(),FertiliserProducts[[#Headers],[Include or Exclude]], 40)</f>
        <v/>
      </c>
      <c r="N132" s="62" t="str" cm="1">
        <f t="array" ref="N132">Common_InputFunctions.Utility_DisplayArrayInTable(Fertiliser_SourceData.Fertiliser_Products_Data3(),FertiliserProducts[[#Headers],[Include or Exclude]], 40)</f>
        <v/>
      </c>
      <c r="O132" s="62" t="str" cm="1">
        <f t="array" ref="O132">Common_InputFunctions.Utility_DisplayArrayInTable(Fertiliser_SourceData.Fertiliser_Products_Data3(),FertiliserProducts[[#Headers],[Include or Exclude]], 40)</f>
        <v/>
      </c>
      <c r="P132" s="62" t="str" cm="1">
        <f t="array" ref="P132">Common_InputFunctions.Utility_DisplayArrayInTable(Fertiliser_SourceData.Fertiliser_Products_Data3(),FertiliserProducts[[#Headers],[Include or Exclude]], 40)</f>
        <v/>
      </c>
      <c r="Q132" s="62" t="str" cm="1">
        <f t="array" ref="Q132">Common_InputFunctions.Utility_DisplayArrayInTable(Fertiliser_SourceData.Fertiliser_Products_Data3(),FertiliserProducts[[#Headers],[Include or Exclude]], 40)</f>
        <v/>
      </c>
      <c r="R132" s="62" t="str" cm="1">
        <f t="array" ref="R132">Common_InputFunctions.Utility_DisplayArrayInTable(Fertiliser_SourceData.Fertiliser_Products_Data3(),FertiliserProducts[[#Headers],[Include or Exclude]], 40)</f>
        <v/>
      </c>
      <c r="S132" s="62" t="str" cm="1">
        <f t="array" ref="S132">Common_InputFunctions.Utility_DisplayArrayInTable(Fertiliser_SourceData.Fertiliser_Products_Data3(),FertiliserProducts[[#Headers],[Include or Exclude]], 40)</f>
        <v/>
      </c>
      <c r="T132" s="62" t="str" cm="1">
        <f t="array" ref="T132">Common_InputFunctions.Utility_DisplayArrayInTable(Fertiliser_SourceData.Fertiliser_Products_Data3(),FertiliserProducts[[#Headers],[Include or Exclude]], 40)</f>
        <v/>
      </c>
      <c r="U132" s="62" t="str" cm="1">
        <f t="array" ref="U132">Common_InputFunctions.Utility_DisplayArrayInTable(Fertiliser_SourceData.Fertiliser_Products_Data3(),FertiliserProducts[[#Headers],[Include or Exclude]], 40)</f>
        <v/>
      </c>
      <c r="V132" s="62" t="str" cm="1">
        <f t="array" ref="V132">Common_InputFunctions.Utility_DisplayArrayInTable(Fertiliser_SourceData.Fertiliser_Products_Data3(),FertiliserProducts[[#Headers],[Include or Exclude]], 40)</f>
        <v/>
      </c>
      <c r="W132" s="62" t="str" cm="1">
        <f t="array" ref="W132">Common_InputFunctions.Utility_DisplayArrayInTable(Fertiliser_SourceData.Fertiliser_Products_Data3(),FertiliserProducts[[#Headers],[Include or Exclude]], 40)</f>
        <v>Crop Nutrition Solutions (Yara Australia)</v>
      </c>
      <c r="X132" s="62" t="str" cm="1">
        <f t="array" ref="X132">Common_InputFunctions.Utility_DisplayArrayInTable(Fertiliser_SourceData.Fertiliser_Products_Data3(),FertiliserProducts[[#Headers],[Include or Exclude]], 40)</f>
        <v/>
      </c>
      <c r="Y132" s="62" t="str" cm="1">
        <f t="array" ref="Y132">Common_InputFunctions.Utility_DisplayArrayInTable(Fertiliser_SourceData.Fertiliser_Products_Data3(),FertiliserProducts[[#Headers],[Include or Exclude]], 40)</f>
        <v/>
      </c>
      <c r="Z132" s="62" t="str" cm="1">
        <f t="array" ref="Z132">Common_InputFunctions.Utility_DisplayArrayInTable(Fertiliser_SourceData.Fertiliser_Products_Data3(),FertiliserProducts[[#Headers],[Include or Exclude]], 40)</f>
        <v/>
      </c>
      <c r="AA132" s="10" t="str" cm="1">
        <f t="array" ref="AA132">Common_InputFunctions.Utility_DisplayArrayInTable(Fertiliser_SourceData.Fertiliser_Products_Data3(),FertiliserProducts[[#Headers],[Include or Exclude]], 40)</f>
        <v/>
      </c>
      <c r="AB132" s="10" t="str" cm="1">
        <f t="array" ref="AB132">Common_InputFunctions.Utility_DisplayArrayInTable(Fertiliser_SourceData.Fertiliser_Products_Data3(),FertiliserProducts[[#Headers],[Include or Exclude]], 40)</f>
        <v/>
      </c>
      <c r="AC132" s="10" t="str" cm="1">
        <f t="array" ref="AC132">Common_InputFunctions.Utility_DisplayArrayInTable(Fertiliser_SourceData.Fertiliser_Products_Data3(),FertiliserProducts[[#Headers],[Include or Exclude]], 40)</f>
        <v/>
      </c>
      <c r="AD132" s="10" t="str" cm="1">
        <f t="array" ref="AD132">Common_InputFunctions.Utility_DisplayArrayInTable(Fertiliser_SourceData.Fertiliser_Products_Data3(),FertiliserProducts[[#Headers],[Include or Exclude]], 40)</f>
        <v/>
      </c>
      <c r="AE132" s="10" t="str" cm="1">
        <f t="array" ref="AE132">Common_InputFunctions.Utility_DisplayArrayInTable(Fertiliser_SourceData.Fertiliser_Products_Data3(),FertiliserProducts[[#Headers],[Include or Exclude]], 40)</f>
        <v/>
      </c>
    </row>
    <row r="133" spans="1:31" ht="20.100000000000001" customHeight="1" x14ac:dyDescent="0.25">
      <c r="A133"/>
      <c r="D133" s="62" t="str" cm="1">
        <f t="array" ref="D133">Common_InputFunctions.Utility_DisplayArrayInTable(Fertiliser_SourceData.Fertiliser_Products_Data3(),FertiliserProducts[[#Headers],[Include or Exclude]], 40)</f>
        <v>Yara K-Flow 13-0-7</v>
      </c>
      <c r="E133" s="62" t="str" cm="1">
        <f t="array" ref="E133">Common_InputFunctions.Utility_DisplayArrayInTable(Fertiliser_SourceData.Fertiliser_Products_Data3(),FertiliserProducts[[#Headers],[Include or Exclude]], 40)</f>
        <v/>
      </c>
      <c r="F133" s="62" t="str" cm="1">
        <f t="array" ref="F133">Common_InputFunctions.Utility_DisplayArrayInTable(Fertiliser_SourceData.Fertiliser_Products_Data3(),FertiliserProducts[[#Headers],[Include or Exclude]], 40)</f>
        <v/>
      </c>
      <c r="G133" s="62" t="str" cm="1">
        <f t="array" ref="G133">Common_InputFunctions.Utility_DisplayArrayInTable(Fertiliser_SourceData.Fertiliser_Products_Data3(),FertiliserProducts[[#Headers],[Include or Exclude]], 40)</f>
        <v/>
      </c>
      <c r="H133" s="62" t="str" cm="1">
        <f t="array" ref="H133">Common_InputFunctions.Utility_DisplayArrayInTable(Fertiliser_SourceData.Fertiliser_Products_Data3(),FertiliserProducts[[#Headers],[Include or Exclude]], 40)</f>
        <v/>
      </c>
      <c r="I133" s="62" t="str" cm="1">
        <f t="array" ref="I133">Common_InputFunctions.Utility_DisplayArrayInTable(Fertiliser_SourceData.Fertiliser_Products_Data3(),FertiliserProducts[[#Headers],[Include or Exclude]], 40)</f>
        <v/>
      </c>
      <c r="J133" s="62" t="str" cm="1">
        <f t="array" ref="J133">Common_InputFunctions.Utility_DisplayArrayInTable(Fertiliser_SourceData.Fertiliser_Products_Data3(),FertiliserProducts[[#Headers],[Include or Exclude]], 40)</f>
        <v/>
      </c>
      <c r="K133" s="62" t="str" cm="1">
        <f t="array" ref="K133">Common_InputFunctions.Utility_DisplayArrayInTable(Fertiliser_SourceData.Fertiliser_Products_Data3(),FertiliserProducts[[#Headers],[Include or Exclude]], 40)</f>
        <v/>
      </c>
      <c r="L133" s="62" t="str" cm="1">
        <f t="array" ref="L133">Common_InputFunctions.Utility_DisplayArrayInTable(Fertiliser_SourceData.Fertiliser_Products_Data3(),FertiliserProducts[[#Headers],[Include or Exclude]], 40)</f>
        <v/>
      </c>
      <c r="M133" s="62" t="str" cm="1">
        <f t="array" ref="M133">Common_InputFunctions.Utility_DisplayArrayInTable(Fertiliser_SourceData.Fertiliser_Products_Data3(),FertiliserProducts[[#Headers],[Include or Exclude]], 40)</f>
        <v/>
      </c>
      <c r="N133" s="62" t="str" cm="1">
        <f t="array" ref="N133">Common_InputFunctions.Utility_DisplayArrayInTable(Fertiliser_SourceData.Fertiliser_Products_Data3(),FertiliserProducts[[#Headers],[Include or Exclude]], 40)</f>
        <v/>
      </c>
      <c r="O133" s="62" t="str" cm="1">
        <f t="array" ref="O133">Common_InputFunctions.Utility_DisplayArrayInTable(Fertiliser_SourceData.Fertiliser_Products_Data3(),FertiliserProducts[[#Headers],[Include or Exclude]], 40)</f>
        <v/>
      </c>
      <c r="P133" s="62" t="str" cm="1">
        <f t="array" ref="P133">Common_InputFunctions.Utility_DisplayArrayInTable(Fertiliser_SourceData.Fertiliser_Products_Data3(),FertiliserProducts[[#Headers],[Include or Exclude]], 40)</f>
        <v/>
      </c>
      <c r="Q133" s="62" t="str" cm="1">
        <f t="array" ref="Q133">Common_InputFunctions.Utility_DisplayArrayInTable(Fertiliser_SourceData.Fertiliser_Products_Data3(),FertiliserProducts[[#Headers],[Include or Exclude]], 40)</f>
        <v/>
      </c>
      <c r="R133" s="62" t="str" cm="1">
        <f t="array" ref="R133">Common_InputFunctions.Utility_DisplayArrayInTable(Fertiliser_SourceData.Fertiliser_Products_Data3(),FertiliserProducts[[#Headers],[Include or Exclude]], 40)</f>
        <v/>
      </c>
      <c r="S133" s="62" t="str" cm="1">
        <f t="array" ref="S133">Common_InputFunctions.Utility_DisplayArrayInTable(Fertiliser_SourceData.Fertiliser_Products_Data3(),FertiliserProducts[[#Headers],[Include or Exclude]], 40)</f>
        <v/>
      </c>
      <c r="T133" s="62" t="str" cm="1">
        <f t="array" ref="T133">Common_InputFunctions.Utility_DisplayArrayInTable(Fertiliser_SourceData.Fertiliser_Products_Data3(),FertiliserProducts[[#Headers],[Include or Exclude]], 40)</f>
        <v/>
      </c>
      <c r="U133" s="62" t="str" cm="1">
        <f t="array" ref="U133">Common_InputFunctions.Utility_DisplayArrayInTable(Fertiliser_SourceData.Fertiliser_Products_Data3(),FertiliserProducts[[#Headers],[Include or Exclude]], 40)</f>
        <v/>
      </c>
      <c r="V133" s="62" t="str" cm="1">
        <f t="array" ref="V133">Common_InputFunctions.Utility_DisplayArrayInTable(Fertiliser_SourceData.Fertiliser_Products_Data3(),FertiliserProducts[[#Headers],[Include or Exclude]], 40)</f>
        <v/>
      </c>
      <c r="W133" s="62" t="str" cm="1">
        <f t="array" ref="W133">Common_InputFunctions.Utility_DisplayArrayInTable(Fertiliser_SourceData.Fertiliser_Products_Data3(),FertiliserProducts[[#Headers],[Include or Exclude]], 40)</f>
        <v>Crop Nutrition Solutions (Yara Australia)</v>
      </c>
      <c r="X133" s="62" t="str" cm="1">
        <f t="array" ref="X133">Common_InputFunctions.Utility_DisplayArrayInTable(Fertiliser_SourceData.Fertiliser_Products_Data3(),FertiliserProducts[[#Headers],[Include or Exclude]], 40)</f>
        <v/>
      </c>
      <c r="Y133" s="62" t="str" cm="1">
        <f t="array" ref="Y133">Common_InputFunctions.Utility_DisplayArrayInTable(Fertiliser_SourceData.Fertiliser_Products_Data3(),FertiliserProducts[[#Headers],[Include or Exclude]], 40)</f>
        <v/>
      </c>
      <c r="Z133" s="62" t="str" cm="1">
        <f t="array" ref="Z133">Common_InputFunctions.Utility_DisplayArrayInTable(Fertiliser_SourceData.Fertiliser_Products_Data3(),FertiliserProducts[[#Headers],[Include or Exclude]], 40)</f>
        <v/>
      </c>
      <c r="AA133" s="10" t="str" cm="1">
        <f t="array" ref="AA133">Common_InputFunctions.Utility_DisplayArrayInTable(Fertiliser_SourceData.Fertiliser_Products_Data3(),FertiliserProducts[[#Headers],[Include or Exclude]], 40)</f>
        <v/>
      </c>
      <c r="AB133" s="10" t="str" cm="1">
        <f t="array" ref="AB133">Common_InputFunctions.Utility_DisplayArrayInTable(Fertiliser_SourceData.Fertiliser_Products_Data3(),FertiliserProducts[[#Headers],[Include or Exclude]], 40)</f>
        <v/>
      </c>
      <c r="AC133" s="10" t="str" cm="1">
        <f t="array" ref="AC133">Common_InputFunctions.Utility_DisplayArrayInTable(Fertiliser_SourceData.Fertiliser_Products_Data3(),FertiliserProducts[[#Headers],[Include or Exclude]], 40)</f>
        <v/>
      </c>
      <c r="AD133" s="10" t="str" cm="1">
        <f t="array" ref="AD133">Common_InputFunctions.Utility_DisplayArrayInTable(Fertiliser_SourceData.Fertiliser_Products_Data3(),FertiliserProducts[[#Headers],[Include or Exclude]], 40)</f>
        <v/>
      </c>
      <c r="AE133" s="10" t="str" cm="1">
        <f t="array" ref="AE133">Common_InputFunctions.Utility_DisplayArrayInTable(Fertiliser_SourceData.Fertiliser_Products_Data3(),FertiliserProducts[[#Headers],[Include or Exclude]], 40)</f>
        <v/>
      </c>
    </row>
    <row r="134" spans="1:31" ht="20.100000000000001" customHeight="1" x14ac:dyDescent="0.25">
      <c r="A134"/>
      <c r="D134" s="62" t="str" cm="1">
        <f t="array" ref="D134">Common_InputFunctions.Utility_DisplayArrayInTable(Fertiliser_SourceData.Fertiliser_Products_Data3(),FertiliserProducts[[#Headers],[Include or Exclude]], 40)</f>
        <v>Yara K-Flow 4-0-12</v>
      </c>
      <c r="E134" s="62" t="str" cm="1">
        <f t="array" ref="E134">Common_InputFunctions.Utility_DisplayArrayInTable(Fertiliser_SourceData.Fertiliser_Products_Data3(),FertiliserProducts[[#Headers],[Include or Exclude]], 40)</f>
        <v/>
      </c>
      <c r="F134" s="62" t="str" cm="1">
        <f t="array" ref="F134">Common_InputFunctions.Utility_DisplayArrayInTable(Fertiliser_SourceData.Fertiliser_Products_Data3(),FertiliserProducts[[#Headers],[Include or Exclude]], 40)</f>
        <v/>
      </c>
      <c r="G134" s="62" t="str" cm="1">
        <f t="array" ref="G134">Common_InputFunctions.Utility_DisplayArrayInTable(Fertiliser_SourceData.Fertiliser_Products_Data3(),FertiliserProducts[[#Headers],[Include or Exclude]], 40)</f>
        <v/>
      </c>
      <c r="H134" s="62" t="str" cm="1">
        <f t="array" ref="H134">Common_InputFunctions.Utility_DisplayArrayInTable(Fertiliser_SourceData.Fertiliser_Products_Data3(),FertiliserProducts[[#Headers],[Include or Exclude]], 40)</f>
        <v/>
      </c>
      <c r="I134" s="62" t="str" cm="1">
        <f t="array" ref="I134">Common_InputFunctions.Utility_DisplayArrayInTable(Fertiliser_SourceData.Fertiliser_Products_Data3(),FertiliserProducts[[#Headers],[Include or Exclude]], 40)</f>
        <v/>
      </c>
      <c r="J134" s="62" t="str" cm="1">
        <f t="array" ref="J134">Common_InputFunctions.Utility_DisplayArrayInTable(Fertiliser_SourceData.Fertiliser_Products_Data3(),FertiliserProducts[[#Headers],[Include or Exclude]], 40)</f>
        <v/>
      </c>
      <c r="K134" s="62" t="str" cm="1">
        <f t="array" ref="K134">Common_InputFunctions.Utility_DisplayArrayInTable(Fertiliser_SourceData.Fertiliser_Products_Data3(),FertiliserProducts[[#Headers],[Include or Exclude]], 40)</f>
        <v/>
      </c>
      <c r="L134" s="62" t="str" cm="1">
        <f t="array" ref="L134">Common_InputFunctions.Utility_DisplayArrayInTable(Fertiliser_SourceData.Fertiliser_Products_Data3(),FertiliserProducts[[#Headers],[Include or Exclude]], 40)</f>
        <v/>
      </c>
      <c r="M134" s="62" t="str" cm="1">
        <f t="array" ref="M134">Common_InputFunctions.Utility_DisplayArrayInTable(Fertiliser_SourceData.Fertiliser_Products_Data3(),FertiliserProducts[[#Headers],[Include or Exclude]], 40)</f>
        <v/>
      </c>
      <c r="N134" s="62" t="str" cm="1">
        <f t="array" ref="N134">Common_InputFunctions.Utility_DisplayArrayInTable(Fertiliser_SourceData.Fertiliser_Products_Data3(),FertiliserProducts[[#Headers],[Include or Exclude]], 40)</f>
        <v/>
      </c>
      <c r="O134" s="62" t="str" cm="1">
        <f t="array" ref="O134">Common_InputFunctions.Utility_DisplayArrayInTable(Fertiliser_SourceData.Fertiliser_Products_Data3(),FertiliserProducts[[#Headers],[Include or Exclude]], 40)</f>
        <v/>
      </c>
      <c r="P134" s="62" t="str" cm="1">
        <f t="array" ref="P134">Common_InputFunctions.Utility_DisplayArrayInTable(Fertiliser_SourceData.Fertiliser_Products_Data3(),FertiliserProducts[[#Headers],[Include or Exclude]], 40)</f>
        <v/>
      </c>
      <c r="Q134" s="62" t="str" cm="1">
        <f t="array" ref="Q134">Common_InputFunctions.Utility_DisplayArrayInTable(Fertiliser_SourceData.Fertiliser_Products_Data3(),FertiliserProducts[[#Headers],[Include or Exclude]], 40)</f>
        <v/>
      </c>
      <c r="R134" s="62" t="str" cm="1">
        <f t="array" ref="R134">Common_InputFunctions.Utility_DisplayArrayInTable(Fertiliser_SourceData.Fertiliser_Products_Data3(),FertiliserProducts[[#Headers],[Include or Exclude]], 40)</f>
        <v/>
      </c>
      <c r="S134" s="62" t="str" cm="1">
        <f t="array" ref="S134">Common_InputFunctions.Utility_DisplayArrayInTable(Fertiliser_SourceData.Fertiliser_Products_Data3(),FertiliserProducts[[#Headers],[Include or Exclude]], 40)</f>
        <v/>
      </c>
      <c r="T134" s="62" t="str" cm="1">
        <f t="array" ref="T134">Common_InputFunctions.Utility_DisplayArrayInTable(Fertiliser_SourceData.Fertiliser_Products_Data3(),FertiliserProducts[[#Headers],[Include or Exclude]], 40)</f>
        <v/>
      </c>
      <c r="U134" s="62" t="str" cm="1">
        <f t="array" ref="U134">Common_InputFunctions.Utility_DisplayArrayInTable(Fertiliser_SourceData.Fertiliser_Products_Data3(),FertiliserProducts[[#Headers],[Include or Exclude]], 40)</f>
        <v/>
      </c>
      <c r="V134" s="62" t="str" cm="1">
        <f t="array" ref="V134">Common_InputFunctions.Utility_DisplayArrayInTable(Fertiliser_SourceData.Fertiliser_Products_Data3(),FertiliserProducts[[#Headers],[Include or Exclude]], 40)</f>
        <v/>
      </c>
      <c r="W134" s="62" t="str" cm="1">
        <f t="array" ref="W134">Common_InputFunctions.Utility_DisplayArrayInTable(Fertiliser_SourceData.Fertiliser_Products_Data3(),FertiliserProducts[[#Headers],[Include or Exclude]], 40)</f>
        <v>Crop Nutrition Solutions (Yara Australia)</v>
      </c>
      <c r="X134" s="62" t="str" cm="1">
        <f t="array" ref="X134">Common_InputFunctions.Utility_DisplayArrayInTable(Fertiliser_SourceData.Fertiliser_Products_Data3(),FertiliserProducts[[#Headers],[Include or Exclude]], 40)</f>
        <v/>
      </c>
      <c r="Y134" s="62" t="str" cm="1">
        <f t="array" ref="Y134">Common_InputFunctions.Utility_DisplayArrayInTable(Fertiliser_SourceData.Fertiliser_Products_Data3(),FertiliserProducts[[#Headers],[Include or Exclude]], 40)</f>
        <v/>
      </c>
      <c r="Z134" s="62" t="str" cm="1">
        <f t="array" ref="Z134">Common_InputFunctions.Utility_DisplayArrayInTable(Fertiliser_SourceData.Fertiliser_Products_Data3(),FertiliserProducts[[#Headers],[Include or Exclude]], 40)</f>
        <v/>
      </c>
      <c r="AA134" s="10" t="str" cm="1">
        <f t="array" ref="AA134">Common_InputFunctions.Utility_DisplayArrayInTable(Fertiliser_SourceData.Fertiliser_Products_Data3(),FertiliserProducts[[#Headers],[Include or Exclude]], 40)</f>
        <v/>
      </c>
      <c r="AB134" s="10" t="str" cm="1">
        <f t="array" ref="AB134">Common_InputFunctions.Utility_DisplayArrayInTable(Fertiliser_SourceData.Fertiliser_Products_Data3(),FertiliserProducts[[#Headers],[Include or Exclude]], 40)</f>
        <v/>
      </c>
      <c r="AC134" s="10" t="str" cm="1">
        <f t="array" ref="AC134">Common_InputFunctions.Utility_DisplayArrayInTable(Fertiliser_SourceData.Fertiliser_Products_Data3(),FertiliserProducts[[#Headers],[Include or Exclude]], 40)</f>
        <v/>
      </c>
      <c r="AD134" s="10" t="str" cm="1">
        <f t="array" ref="AD134">Common_InputFunctions.Utility_DisplayArrayInTable(Fertiliser_SourceData.Fertiliser_Products_Data3(),FertiliserProducts[[#Headers],[Include or Exclude]], 40)</f>
        <v/>
      </c>
      <c r="AE134" s="10" t="str" cm="1">
        <f t="array" ref="AE134">Common_InputFunctions.Utility_DisplayArrayInTable(Fertiliser_SourceData.Fertiliser_Products_Data3(),FertiliserProducts[[#Headers],[Include or Exclude]], 40)</f>
        <v/>
      </c>
    </row>
    <row r="135" spans="1:31" ht="20.100000000000001" customHeight="1" x14ac:dyDescent="0.25">
      <c r="A135"/>
      <c r="D135" s="62" t="str" cm="1">
        <f t="array" ref="D135">Common_InputFunctions.Utility_DisplayArrayInTable(Fertiliser_SourceData.Fertiliser_Products_Data3(),FertiliserProducts[[#Headers],[Include or Exclude]], 40)</f>
        <v>Yara Liquids MICRO-SUL</v>
      </c>
      <c r="E135" s="62" t="str" cm="1">
        <f t="array" ref="E135">Common_InputFunctions.Utility_DisplayArrayInTable(Fertiliser_SourceData.Fertiliser_Products_Data3(),FertiliserProducts[[#Headers],[Include or Exclude]], 40)</f>
        <v/>
      </c>
      <c r="F135" s="62" t="str" cm="1">
        <f t="array" ref="F135">Common_InputFunctions.Utility_DisplayArrayInTable(Fertiliser_SourceData.Fertiliser_Products_Data3(),FertiliserProducts[[#Headers],[Include or Exclude]], 40)</f>
        <v/>
      </c>
      <c r="G135" s="62" t="str" cm="1">
        <f t="array" ref="G135">Common_InputFunctions.Utility_DisplayArrayInTable(Fertiliser_SourceData.Fertiliser_Products_Data3(),FertiliserProducts[[#Headers],[Include or Exclude]], 40)</f>
        <v/>
      </c>
      <c r="H135" s="62" t="str" cm="1">
        <f t="array" ref="H135">Common_InputFunctions.Utility_DisplayArrayInTable(Fertiliser_SourceData.Fertiliser_Products_Data3(),FertiliserProducts[[#Headers],[Include or Exclude]], 40)</f>
        <v/>
      </c>
      <c r="I135" s="62" t="str" cm="1">
        <f t="array" ref="I135">Common_InputFunctions.Utility_DisplayArrayInTable(Fertiliser_SourceData.Fertiliser_Products_Data3(),FertiliserProducts[[#Headers],[Include or Exclude]], 40)</f>
        <v/>
      </c>
      <c r="J135" s="62" t="str" cm="1">
        <f t="array" ref="J135">Common_InputFunctions.Utility_DisplayArrayInTable(Fertiliser_SourceData.Fertiliser_Products_Data3(),FertiliserProducts[[#Headers],[Include or Exclude]], 40)</f>
        <v/>
      </c>
      <c r="K135" s="62" t="str" cm="1">
        <f t="array" ref="K135">Common_InputFunctions.Utility_DisplayArrayInTable(Fertiliser_SourceData.Fertiliser_Products_Data3(),FertiliserProducts[[#Headers],[Include or Exclude]], 40)</f>
        <v/>
      </c>
      <c r="L135" s="62" t="str" cm="1">
        <f t="array" ref="L135">Common_InputFunctions.Utility_DisplayArrayInTable(Fertiliser_SourceData.Fertiliser_Products_Data3(),FertiliserProducts[[#Headers],[Include or Exclude]], 40)</f>
        <v/>
      </c>
      <c r="M135" s="62" t="str" cm="1">
        <f t="array" ref="M135">Common_InputFunctions.Utility_DisplayArrayInTable(Fertiliser_SourceData.Fertiliser_Products_Data3(),FertiliserProducts[[#Headers],[Include or Exclude]], 40)</f>
        <v/>
      </c>
      <c r="N135" s="62" t="str" cm="1">
        <f t="array" ref="N135">Common_InputFunctions.Utility_DisplayArrayInTable(Fertiliser_SourceData.Fertiliser_Products_Data3(),FertiliserProducts[[#Headers],[Include or Exclude]], 40)</f>
        <v/>
      </c>
      <c r="O135" s="62" t="str" cm="1">
        <f t="array" ref="O135">Common_InputFunctions.Utility_DisplayArrayInTable(Fertiliser_SourceData.Fertiliser_Products_Data3(),FertiliserProducts[[#Headers],[Include or Exclude]], 40)</f>
        <v/>
      </c>
      <c r="P135" s="62" t="str" cm="1">
        <f t="array" ref="P135">Common_InputFunctions.Utility_DisplayArrayInTable(Fertiliser_SourceData.Fertiliser_Products_Data3(),FertiliserProducts[[#Headers],[Include or Exclude]], 40)</f>
        <v/>
      </c>
      <c r="Q135" s="62" t="str" cm="1">
        <f t="array" ref="Q135">Common_InputFunctions.Utility_DisplayArrayInTable(Fertiliser_SourceData.Fertiliser_Products_Data3(),FertiliserProducts[[#Headers],[Include or Exclude]], 40)</f>
        <v/>
      </c>
      <c r="R135" s="62" t="str" cm="1">
        <f t="array" ref="R135">Common_InputFunctions.Utility_DisplayArrayInTable(Fertiliser_SourceData.Fertiliser_Products_Data3(),FertiliserProducts[[#Headers],[Include or Exclude]], 40)</f>
        <v/>
      </c>
      <c r="S135" s="62" t="str" cm="1">
        <f t="array" ref="S135">Common_InputFunctions.Utility_DisplayArrayInTable(Fertiliser_SourceData.Fertiliser_Products_Data3(),FertiliserProducts[[#Headers],[Include or Exclude]], 40)</f>
        <v/>
      </c>
      <c r="T135" s="62" t="str" cm="1">
        <f t="array" ref="T135">Common_InputFunctions.Utility_DisplayArrayInTable(Fertiliser_SourceData.Fertiliser_Products_Data3(),FertiliserProducts[[#Headers],[Include or Exclude]], 40)</f>
        <v/>
      </c>
      <c r="U135" s="62" t="str" cm="1">
        <f t="array" ref="U135">Common_InputFunctions.Utility_DisplayArrayInTable(Fertiliser_SourceData.Fertiliser_Products_Data3(),FertiliserProducts[[#Headers],[Include or Exclude]], 40)</f>
        <v/>
      </c>
      <c r="V135" s="62" t="str" cm="1">
        <f t="array" ref="V135">Common_InputFunctions.Utility_DisplayArrayInTable(Fertiliser_SourceData.Fertiliser_Products_Data3(),FertiliserProducts[[#Headers],[Include or Exclude]], 40)</f>
        <v/>
      </c>
      <c r="W135" s="62" t="str" cm="1">
        <f t="array" ref="W135">Common_InputFunctions.Utility_DisplayArrayInTable(Fertiliser_SourceData.Fertiliser_Products_Data3(),FertiliserProducts[[#Headers],[Include or Exclude]], 40)</f>
        <v>Crop Nutrition Solutions (Yara Australia)</v>
      </c>
      <c r="X135" s="62" t="str" cm="1">
        <f t="array" ref="X135">Common_InputFunctions.Utility_DisplayArrayInTable(Fertiliser_SourceData.Fertiliser_Products_Data3(),FertiliserProducts[[#Headers],[Include or Exclude]], 40)</f>
        <v/>
      </c>
      <c r="Y135" s="62" t="str" cm="1">
        <f t="array" ref="Y135">Common_InputFunctions.Utility_DisplayArrayInTable(Fertiliser_SourceData.Fertiliser_Products_Data3(),FertiliserProducts[[#Headers],[Include or Exclude]], 40)</f>
        <v/>
      </c>
      <c r="Z135" s="62" t="str" cm="1">
        <f t="array" ref="Z135">Common_InputFunctions.Utility_DisplayArrayInTable(Fertiliser_SourceData.Fertiliser_Products_Data3(),FertiliserProducts[[#Headers],[Include or Exclude]], 40)</f>
        <v/>
      </c>
      <c r="AA135" s="10" t="str" cm="1">
        <f t="array" ref="AA135">Common_InputFunctions.Utility_DisplayArrayInTable(Fertiliser_SourceData.Fertiliser_Products_Data3(),FertiliserProducts[[#Headers],[Include or Exclude]], 40)</f>
        <v/>
      </c>
      <c r="AB135" s="10" t="str" cm="1">
        <f t="array" ref="AB135">Common_InputFunctions.Utility_DisplayArrayInTable(Fertiliser_SourceData.Fertiliser_Products_Data3(),FertiliserProducts[[#Headers],[Include or Exclude]], 40)</f>
        <v/>
      </c>
      <c r="AC135" s="10" t="str" cm="1">
        <f t="array" ref="AC135">Common_InputFunctions.Utility_DisplayArrayInTable(Fertiliser_SourceData.Fertiliser_Products_Data3(),FertiliserProducts[[#Headers],[Include or Exclude]], 40)</f>
        <v/>
      </c>
      <c r="AD135" s="10" t="str" cm="1">
        <f t="array" ref="AD135">Common_InputFunctions.Utility_DisplayArrayInTable(Fertiliser_SourceData.Fertiliser_Products_Data3(),FertiliserProducts[[#Headers],[Include or Exclude]], 40)</f>
        <v/>
      </c>
      <c r="AE135" s="10" t="str" cm="1">
        <f t="array" ref="AE135">Common_InputFunctions.Utility_DisplayArrayInTable(Fertiliser_SourceData.Fertiliser_Products_Data3(),FertiliserProducts[[#Headers],[Include or Exclude]], 40)</f>
        <v/>
      </c>
    </row>
    <row r="136" spans="1:31" ht="20.100000000000001" customHeight="1" x14ac:dyDescent="0.25">
      <c r="A136"/>
      <c r="D136" s="62" t="str" cm="1">
        <f t="array" ref="D136">Common_InputFunctions.Utility_DisplayArrayInTable(Fertiliser_SourceData.Fertiliser_Products_Data3(),FertiliserProducts[[#Headers],[Include or Exclude]], 40)</f>
        <v>Yara Liquids N24</v>
      </c>
      <c r="E136" s="62" t="str" cm="1">
        <f t="array" ref="E136">Common_InputFunctions.Utility_DisplayArrayInTable(Fertiliser_SourceData.Fertiliser_Products_Data3(),FertiliserProducts[[#Headers],[Include or Exclude]], 40)</f>
        <v/>
      </c>
      <c r="F136" s="62" t="str" cm="1">
        <f t="array" ref="F136">Common_InputFunctions.Utility_DisplayArrayInTable(Fertiliser_SourceData.Fertiliser_Products_Data3(),FertiliserProducts[[#Headers],[Include or Exclude]], 40)</f>
        <v/>
      </c>
      <c r="G136" s="62" t="str" cm="1">
        <f t="array" ref="G136">Common_InputFunctions.Utility_DisplayArrayInTable(Fertiliser_SourceData.Fertiliser_Products_Data3(),FertiliserProducts[[#Headers],[Include or Exclude]], 40)</f>
        <v/>
      </c>
      <c r="H136" s="62" t="str" cm="1">
        <f t="array" ref="H136">Common_InputFunctions.Utility_DisplayArrayInTable(Fertiliser_SourceData.Fertiliser_Products_Data3(),FertiliserProducts[[#Headers],[Include or Exclude]], 40)</f>
        <v/>
      </c>
      <c r="I136" s="62" t="str" cm="1">
        <f t="array" ref="I136">Common_InputFunctions.Utility_DisplayArrayInTable(Fertiliser_SourceData.Fertiliser_Products_Data3(),FertiliserProducts[[#Headers],[Include or Exclude]], 40)</f>
        <v/>
      </c>
      <c r="J136" s="62" t="str" cm="1">
        <f t="array" ref="J136">Common_InputFunctions.Utility_DisplayArrayInTable(Fertiliser_SourceData.Fertiliser_Products_Data3(),FertiliserProducts[[#Headers],[Include or Exclude]], 40)</f>
        <v/>
      </c>
      <c r="K136" s="62" t="str" cm="1">
        <f t="array" ref="K136">Common_InputFunctions.Utility_DisplayArrayInTable(Fertiliser_SourceData.Fertiliser_Products_Data3(),FertiliserProducts[[#Headers],[Include or Exclude]], 40)</f>
        <v/>
      </c>
      <c r="L136" s="62" t="str" cm="1">
        <f t="array" ref="L136">Common_InputFunctions.Utility_DisplayArrayInTable(Fertiliser_SourceData.Fertiliser_Products_Data3(),FertiliserProducts[[#Headers],[Include or Exclude]], 40)</f>
        <v/>
      </c>
      <c r="M136" s="62" t="str" cm="1">
        <f t="array" ref="M136">Common_InputFunctions.Utility_DisplayArrayInTable(Fertiliser_SourceData.Fertiliser_Products_Data3(),FertiliserProducts[[#Headers],[Include or Exclude]], 40)</f>
        <v/>
      </c>
      <c r="N136" s="62" t="str" cm="1">
        <f t="array" ref="N136">Common_InputFunctions.Utility_DisplayArrayInTable(Fertiliser_SourceData.Fertiliser_Products_Data3(),FertiliserProducts[[#Headers],[Include or Exclude]], 40)</f>
        <v/>
      </c>
      <c r="O136" s="62" t="str" cm="1">
        <f t="array" ref="O136">Common_InputFunctions.Utility_DisplayArrayInTable(Fertiliser_SourceData.Fertiliser_Products_Data3(),FertiliserProducts[[#Headers],[Include or Exclude]], 40)</f>
        <v/>
      </c>
      <c r="P136" s="62" t="str" cm="1">
        <f t="array" ref="P136">Common_InputFunctions.Utility_DisplayArrayInTable(Fertiliser_SourceData.Fertiliser_Products_Data3(),FertiliserProducts[[#Headers],[Include or Exclude]], 40)</f>
        <v/>
      </c>
      <c r="Q136" s="62" t="str" cm="1">
        <f t="array" ref="Q136">Common_InputFunctions.Utility_DisplayArrayInTable(Fertiliser_SourceData.Fertiliser_Products_Data3(),FertiliserProducts[[#Headers],[Include or Exclude]], 40)</f>
        <v/>
      </c>
      <c r="R136" s="62" t="str" cm="1">
        <f t="array" ref="R136">Common_InputFunctions.Utility_DisplayArrayInTable(Fertiliser_SourceData.Fertiliser_Products_Data3(),FertiliserProducts[[#Headers],[Include or Exclude]], 40)</f>
        <v/>
      </c>
      <c r="S136" s="62" t="str" cm="1">
        <f t="array" ref="S136">Common_InputFunctions.Utility_DisplayArrayInTable(Fertiliser_SourceData.Fertiliser_Products_Data3(),FertiliserProducts[[#Headers],[Include or Exclude]], 40)</f>
        <v/>
      </c>
      <c r="T136" s="62" t="str" cm="1">
        <f t="array" ref="T136">Common_InputFunctions.Utility_DisplayArrayInTable(Fertiliser_SourceData.Fertiliser_Products_Data3(),FertiliserProducts[[#Headers],[Include or Exclude]], 40)</f>
        <v/>
      </c>
      <c r="U136" s="62" t="str" cm="1">
        <f t="array" ref="U136">Common_InputFunctions.Utility_DisplayArrayInTable(Fertiliser_SourceData.Fertiliser_Products_Data3(),FertiliserProducts[[#Headers],[Include or Exclude]], 40)</f>
        <v/>
      </c>
      <c r="V136" s="62" t="str" cm="1">
        <f t="array" ref="V136">Common_InputFunctions.Utility_DisplayArrayInTable(Fertiliser_SourceData.Fertiliser_Products_Data3(),FertiliserProducts[[#Headers],[Include or Exclude]], 40)</f>
        <v/>
      </c>
      <c r="W136" s="62" t="str" cm="1">
        <f t="array" ref="W136">Common_InputFunctions.Utility_DisplayArrayInTable(Fertiliser_SourceData.Fertiliser_Products_Data3(),FertiliserProducts[[#Headers],[Include or Exclude]], 40)</f>
        <v>Crop Nutrition Solutions (Yara Australia)</v>
      </c>
      <c r="X136" s="62" t="str" cm="1">
        <f t="array" ref="X136">Common_InputFunctions.Utility_DisplayArrayInTable(Fertiliser_SourceData.Fertiliser_Products_Data3(),FertiliserProducts[[#Headers],[Include or Exclude]], 40)</f>
        <v/>
      </c>
      <c r="Y136" s="62" t="str" cm="1">
        <f t="array" ref="Y136">Common_InputFunctions.Utility_DisplayArrayInTable(Fertiliser_SourceData.Fertiliser_Products_Data3(),FertiliserProducts[[#Headers],[Include or Exclude]], 40)</f>
        <v/>
      </c>
      <c r="Z136" s="62" t="str" cm="1">
        <f t="array" ref="Z136">Common_InputFunctions.Utility_DisplayArrayInTable(Fertiliser_SourceData.Fertiliser_Products_Data3(),FertiliserProducts[[#Headers],[Include or Exclude]], 40)</f>
        <v/>
      </c>
      <c r="AA136" s="10" t="str" cm="1">
        <f t="array" ref="AA136">Common_InputFunctions.Utility_DisplayArrayInTable(Fertiliser_SourceData.Fertiliser_Products_Data3(),FertiliserProducts[[#Headers],[Include or Exclude]], 40)</f>
        <v/>
      </c>
      <c r="AB136" s="10" t="str" cm="1">
        <f t="array" ref="AB136">Common_InputFunctions.Utility_DisplayArrayInTable(Fertiliser_SourceData.Fertiliser_Products_Data3(),FertiliserProducts[[#Headers],[Include or Exclude]], 40)</f>
        <v/>
      </c>
      <c r="AC136" s="10" t="str" cm="1">
        <f t="array" ref="AC136">Common_InputFunctions.Utility_DisplayArrayInTable(Fertiliser_SourceData.Fertiliser_Products_Data3(),FertiliserProducts[[#Headers],[Include or Exclude]], 40)</f>
        <v/>
      </c>
      <c r="AD136" s="10" t="str" cm="1">
        <f t="array" ref="AD136">Common_InputFunctions.Utility_DisplayArrayInTable(Fertiliser_SourceData.Fertiliser_Products_Data3(),FertiliserProducts[[#Headers],[Include or Exclude]], 40)</f>
        <v/>
      </c>
      <c r="AE136" s="10" t="str" cm="1">
        <f t="array" ref="AE136">Common_InputFunctions.Utility_DisplayArrayInTable(Fertiliser_SourceData.Fertiliser_Products_Data3(),FertiliserProducts[[#Headers],[Include or Exclude]], 40)</f>
        <v/>
      </c>
    </row>
    <row r="137" spans="1:31" ht="20.100000000000001" customHeight="1" x14ac:dyDescent="0.25">
      <c r="A137"/>
      <c r="D137" s="62" t="str" cm="1">
        <f t="array" ref="D137">Common_InputFunctions.Utility_DisplayArrayInTable(Fertiliser_SourceData.Fertiliser_Products_Data3(),FertiliserProducts[[#Headers],[Include or Exclude]], 40)</f>
        <v>Yara Liquids N25</v>
      </c>
      <c r="E137" s="62" t="str" cm="1">
        <f t="array" ref="E137">Common_InputFunctions.Utility_DisplayArrayInTable(Fertiliser_SourceData.Fertiliser_Products_Data3(),FertiliserProducts[[#Headers],[Include or Exclude]], 40)</f>
        <v/>
      </c>
      <c r="F137" s="62" t="str" cm="1">
        <f t="array" ref="F137">Common_InputFunctions.Utility_DisplayArrayInTable(Fertiliser_SourceData.Fertiliser_Products_Data3(),FertiliserProducts[[#Headers],[Include or Exclude]], 40)</f>
        <v/>
      </c>
      <c r="G137" s="62" t="str" cm="1">
        <f t="array" ref="G137">Common_InputFunctions.Utility_DisplayArrayInTable(Fertiliser_SourceData.Fertiliser_Products_Data3(),FertiliserProducts[[#Headers],[Include or Exclude]], 40)</f>
        <v/>
      </c>
      <c r="H137" s="62" t="str" cm="1">
        <f t="array" ref="H137">Common_InputFunctions.Utility_DisplayArrayInTable(Fertiliser_SourceData.Fertiliser_Products_Data3(),FertiliserProducts[[#Headers],[Include or Exclude]], 40)</f>
        <v/>
      </c>
      <c r="I137" s="62" t="str" cm="1">
        <f t="array" ref="I137">Common_InputFunctions.Utility_DisplayArrayInTable(Fertiliser_SourceData.Fertiliser_Products_Data3(),FertiliserProducts[[#Headers],[Include or Exclude]], 40)</f>
        <v/>
      </c>
      <c r="J137" s="62" t="str" cm="1">
        <f t="array" ref="J137">Common_InputFunctions.Utility_DisplayArrayInTable(Fertiliser_SourceData.Fertiliser_Products_Data3(),FertiliserProducts[[#Headers],[Include or Exclude]], 40)</f>
        <v/>
      </c>
      <c r="K137" s="62" t="str" cm="1">
        <f t="array" ref="K137">Common_InputFunctions.Utility_DisplayArrayInTable(Fertiliser_SourceData.Fertiliser_Products_Data3(),FertiliserProducts[[#Headers],[Include or Exclude]], 40)</f>
        <v/>
      </c>
      <c r="L137" s="62" t="str" cm="1">
        <f t="array" ref="L137">Common_InputFunctions.Utility_DisplayArrayInTable(Fertiliser_SourceData.Fertiliser_Products_Data3(),FertiliserProducts[[#Headers],[Include or Exclude]], 40)</f>
        <v/>
      </c>
      <c r="M137" s="62" t="str" cm="1">
        <f t="array" ref="M137">Common_InputFunctions.Utility_DisplayArrayInTable(Fertiliser_SourceData.Fertiliser_Products_Data3(),FertiliserProducts[[#Headers],[Include or Exclude]], 40)</f>
        <v/>
      </c>
      <c r="N137" s="62" t="str" cm="1">
        <f t="array" ref="N137">Common_InputFunctions.Utility_DisplayArrayInTable(Fertiliser_SourceData.Fertiliser_Products_Data3(),FertiliserProducts[[#Headers],[Include or Exclude]], 40)</f>
        <v/>
      </c>
      <c r="O137" s="62" t="str" cm="1">
        <f t="array" ref="O137">Common_InputFunctions.Utility_DisplayArrayInTable(Fertiliser_SourceData.Fertiliser_Products_Data3(),FertiliserProducts[[#Headers],[Include or Exclude]], 40)</f>
        <v/>
      </c>
      <c r="P137" s="62" t="str" cm="1">
        <f t="array" ref="P137">Common_InputFunctions.Utility_DisplayArrayInTable(Fertiliser_SourceData.Fertiliser_Products_Data3(),FertiliserProducts[[#Headers],[Include or Exclude]], 40)</f>
        <v/>
      </c>
      <c r="Q137" s="62" t="str" cm="1">
        <f t="array" ref="Q137">Common_InputFunctions.Utility_DisplayArrayInTable(Fertiliser_SourceData.Fertiliser_Products_Data3(),FertiliserProducts[[#Headers],[Include or Exclude]], 40)</f>
        <v/>
      </c>
      <c r="R137" s="62" t="str" cm="1">
        <f t="array" ref="R137">Common_InputFunctions.Utility_DisplayArrayInTable(Fertiliser_SourceData.Fertiliser_Products_Data3(),FertiliserProducts[[#Headers],[Include or Exclude]], 40)</f>
        <v/>
      </c>
      <c r="S137" s="62" t="str" cm="1">
        <f t="array" ref="S137">Common_InputFunctions.Utility_DisplayArrayInTable(Fertiliser_SourceData.Fertiliser_Products_Data3(),FertiliserProducts[[#Headers],[Include or Exclude]], 40)</f>
        <v/>
      </c>
      <c r="T137" s="62" t="str" cm="1">
        <f t="array" ref="T137">Common_InputFunctions.Utility_DisplayArrayInTable(Fertiliser_SourceData.Fertiliser_Products_Data3(),FertiliserProducts[[#Headers],[Include or Exclude]], 40)</f>
        <v/>
      </c>
      <c r="U137" s="62" t="str" cm="1">
        <f t="array" ref="U137">Common_InputFunctions.Utility_DisplayArrayInTable(Fertiliser_SourceData.Fertiliser_Products_Data3(),FertiliserProducts[[#Headers],[Include or Exclude]], 40)</f>
        <v/>
      </c>
      <c r="V137" s="62" t="str" cm="1">
        <f t="array" ref="V137">Common_InputFunctions.Utility_DisplayArrayInTable(Fertiliser_SourceData.Fertiliser_Products_Data3(),FertiliserProducts[[#Headers],[Include or Exclude]], 40)</f>
        <v/>
      </c>
      <c r="W137" s="62" t="str" cm="1">
        <f t="array" ref="W137">Common_InputFunctions.Utility_DisplayArrayInTable(Fertiliser_SourceData.Fertiliser_Products_Data3(),FertiliserProducts[[#Headers],[Include or Exclude]], 40)</f>
        <v>Crop Nutrition Solutions (Yara Australia)</v>
      </c>
      <c r="X137" s="62" t="str" cm="1">
        <f t="array" ref="X137">Common_InputFunctions.Utility_DisplayArrayInTable(Fertiliser_SourceData.Fertiliser_Products_Data3(),FertiliserProducts[[#Headers],[Include or Exclude]], 40)</f>
        <v/>
      </c>
      <c r="Y137" s="62" t="str" cm="1">
        <f t="array" ref="Y137">Common_InputFunctions.Utility_DisplayArrayInTable(Fertiliser_SourceData.Fertiliser_Products_Data3(),FertiliserProducts[[#Headers],[Include or Exclude]], 40)</f>
        <v/>
      </c>
      <c r="Z137" s="62" t="str" cm="1">
        <f t="array" ref="Z137">Common_InputFunctions.Utility_DisplayArrayInTable(Fertiliser_SourceData.Fertiliser_Products_Data3(),FertiliserProducts[[#Headers],[Include or Exclude]], 40)</f>
        <v/>
      </c>
      <c r="AA137" s="10" t="str" cm="1">
        <f t="array" ref="AA137">Common_InputFunctions.Utility_DisplayArrayInTable(Fertiliser_SourceData.Fertiliser_Products_Data3(),FertiliserProducts[[#Headers],[Include or Exclude]], 40)</f>
        <v/>
      </c>
      <c r="AB137" s="10" t="str" cm="1">
        <f t="array" ref="AB137">Common_InputFunctions.Utility_DisplayArrayInTable(Fertiliser_SourceData.Fertiliser_Products_Data3(),FertiliserProducts[[#Headers],[Include or Exclude]], 40)</f>
        <v/>
      </c>
      <c r="AC137" s="10" t="str" cm="1">
        <f t="array" ref="AC137">Common_InputFunctions.Utility_DisplayArrayInTable(Fertiliser_SourceData.Fertiliser_Products_Data3(),FertiliserProducts[[#Headers],[Include or Exclude]], 40)</f>
        <v/>
      </c>
      <c r="AD137" s="10" t="str" cm="1">
        <f t="array" ref="AD137">Common_InputFunctions.Utility_DisplayArrayInTable(Fertiliser_SourceData.Fertiliser_Products_Data3(),FertiliserProducts[[#Headers],[Include or Exclude]], 40)</f>
        <v/>
      </c>
      <c r="AE137" s="10" t="str" cm="1">
        <f t="array" ref="AE137">Common_InputFunctions.Utility_DisplayArrayInTable(Fertiliser_SourceData.Fertiliser_Products_Data3(),FertiliserProducts[[#Headers],[Include or Exclude]], 40)</f>
        <v/>
      </c>
    </row>
    <row r="138" spans="1:31" ht="20.100000000000001" customHeight="1" x14ac:dyDescent="0.25">
      <c r="A138"/>
      <c r="D138" s="62" t="str" cm="1">
        <f t="array" ref="D138">Common_InputFunctions.Utility_DisplayArrayInTable(Fertiliser_SourceData.Fertiliser_Products_Data3(),FertiliserProducts[[#Headers],[Include or Exclude]], 40)</f>
        <v>Yara Liquids N26</v>
      </c>
      <c r="E138" s="62" t="str" cm="1">
        <f t="array" ref="E138">Common_InputFunctions.Utility_DisplayArrayInTable(Fertiliser_SourceData.Fertiliser_Products_Data3(),FertiliserProducts[[#Headers],[Include or Exclude]], 40)</f>
        <v/>
      </c>
      <c r="F138" s="62" t="str" cm="1">
        <f t="array" ref="F138">Common_InputFunctions.Utility_DisplayArrayInTable(Fertiliser_SourceData.Fertiliser_Products_Data3(),FertiliserProducts[[#Headers],[Include or Exclude]], 40)</f>
        <v/>
      </c>
      <c r="G138" s="62" t="str" cm="1">
        <f t="array" ref="G138">Common_InputFunctions.Utility_DisplayArrayInTable(Fertiliser_SourceData.Fertiliser_Products_Data3(),FertiliserProducts[[#Headers],[Include or Exclude]], 40)</f>
        <v/>
      </c>
      <c r="H138" s="62" t="str" cm="1">
        <f t="array" ref="H138">Common_InputFunctions.Utility_DisplayArrayInTable(Fertiliser_SourceData.Fertiliser_Products_Data3(),FertiliserProducts[[#Headers],[Include or Exclude]], 40)</f>
        <v/>
      </c>
      <c r="I138" s="62" t="str" cm="1">
        <f t="array" ref="I138">Common_InputFunctions.Utility_DisplayArrayInTable(Fertiliser_SourceData.Fertiliser_Products_Data3(),FertiliserProducts[[#Headers],[Include or Exclude]], 40)</f>
        <v/>
      </c>
      <c r="J138" s="62" t="str" cm="1">
        <f t="array" ref="J138">Common_InputFunctions.Utility_DisplayArrayInTable(Fertiliser_SourceData.Fertiliser_Products_Data3(),FertiliserProducts[[#Headers],[Include or Exclude]], 40)</f>
        <v/>
      </c>
      <c r="K138" s="62" t="str" cm="1">
        <f t="array" ref="K138">Common_InputFunctions.Utility_DisplayArrayInTable(Fertiliser_SourceData.Fertiliser_Products_Data3(),FertiliserProducts[[#Headers],[Include or Exclude]], 40)</f>
        <v/>
      </c>
      <c r="L138" s="62" t="str" cm="1">
        <f t="array" ref="L138">Common_InputFunctions.Utility_DisplayArrayInTable(Fertiliser_SourceData.Fertiliser_Products_Data3(),FertiliserProducts[[#Headers],[Include or Exclude]], 40)</f>
        <v/>
      </c>
      <c r="M138" s="62" t="str" cm="1">
        <f t="array" ref="M138">Common_InputFunctions.Utility_DisplayArrayInTable(Fertiliser_SourceData.Fertiliser_Products_Data3(),FertiliserProducts[[#Headers],[Include or Exclude]], 40)</f>
        <v/>
      </c>
      <c r="N138" s="62" t="str" cm="1">
        <f t="array" ref="N138">Common_InputFunctions.Utility_DisplayArrayInTable(Fertiliser_SourceData.Fertiliser_Products_Data3(),FertiliserProducts[[#Headers],[Include or Exclude]], 40)</f>
        <v/>
      </c>
      <c r="O138" s="62" t="str" cm="1">
        <f t="array" ref="O138">Common_InputFunctions.Utility_DisplayArrayInTable(Fertiliser_SourceData.Fertiliser_Products_Data3(),FertiliserProducts[[#Headers],[Include or Exclude]], 40)</f>
        <v/>
      </c>
      <c r="P138" s="62" t="str" cm="1">
        <f t="array" ref="P138">Common_InputFunctions.Utility_DisplayArrayInTable(Fertiliser_SourceData.Fertiliser_Products_Data3(),FertiliserProducts[[#Headers],[Include or Exclude]], 40)</f>
        <v/>
      </c>
      <c r="Q138" s="62" t="str" cm="1">
        <f t="array" ref="Q138">Common_InputFunctions.Utility_DisplayArrayInTable(Fertiliser_SourceData.Fertiliser_Products_Data3(),FertiliserProducts[[#Headers],[Include or Exclude]], 40)</f>
        <v/>
      </c>
      <c r="R138" s="62" t="str" cm="1">
        <f t="array" ref="R138">Common_InputFunctions.Utility_DisplayArrayInTable(Fertiliser_SourceData.Fertiliser_Products_Data3(),FertiliserProducts[[#Headers],[Include or Exclude]], 40)</f>
        <v/>
      </c>
      <c r="S138" s="62" t="str" cm="1">
        <f t="array" ref="S138">Common_InputFunctions.Utility_DisplayArrayInTable(Fertiliser_SourceData.Fertiliser_Products_Data3(),FertiliserProducts[[#Headers],[Include or Exclude]], 40)</f>
        <v/>
      </c>
      <c r="T138" s="62" t="str" cm="1">
        <f t="array" ref="T138">Common_InputFunctions.Utility_DisplayArrayInTable(Fertiliser_SourceData.Fertiliser_Products_Data3(),FertiliserProducts[[#Headers],[Include or Exclude]], 40)</f>
        <v/>
      </c>
      <c r="U138" s="62" t="str" cm="1">
        <f t="array" ref="U138">Common_InputFunctions.Utility_DisplayArrayInTable(Fertiliser_SourceData.Fertiliser_Products_Data3(),FertiliserProducts[[#Headers],[Include or Exclude]], 40)</f>
        <v/>
      </c>
      <c r="V138" s="62" t="str" cm="1">
        <f t="array" ref="V138">Common_InputFunctions.Utility_DisplayArrayInTable(Fertiliser_SourceData.Fertiliser_Products_Data3(),FertiliserProducts[[#Headers],[Include or Exclude]], 40)</f>
        <v/>
      </c>
      <c r="W138" s="62" t="str" cm="1">
        <f t="array" ref="W138">Common_InputFunctions.Utility_DisplayArrayInTable(Fertiliser_SourceData.Fertiliser_Products_Data3(),FertiliserProducts[[#Headers],[Include or Exclude]], 40)</f>
        <v>Crop Nutrition Solutions (Yara Australia)</v>
      </c>
      <c r="X138" s="62" t="str" cm="1">
        <f t="array" ref="X138">Common_InputFunctions.Utility_DisplayArrayInTable(Fertiliser_SourceData.Fertiliser_Products_Data3(),FertiliserProducts[[#Headers],[Include or Exclude]], 40)</f>
        <v/>
      </c>
      <c r="Y138" s="62" t="str" cm="1">
        <f t="array" ref="Y138">Common_InputFunctions.Utility_DisplayArrayInTable(Fertiliser_SourceData.Fertiliser_Products_Data3(),FertiliserProducts[[#Headers],[Include or Exclude]], 40)</f>
        <v/>
      </c>
      <c r="Z138" s="62" t="str" cm="1">
        <f t="array" ref="Z138">Common_InputFunctions.Utility_DisplayArrayInTable(Fertiliser_SourceData.Fertiliser_Products_Data3(),FertiliserProducts[[#Headers],[Include or Exclude]], 40)</f>
        <v/>
      </c>
      <c r="AA138" s="10" t="str" cm="1">
        <f t="array" ref="AA138">Common_InputFunctions.Utility_DisplayArrayInTable(Fertiliser_SourceData.Fertiliser_Products_Data3(),FertiliserProducts[[#Headers],[Include or Exclude]], 40)</f>
        <v/>
      </c>
      <c r="AB138" s="10" t="str" cm="1">
        <f t="array" ref="AB138">Common_InputFunctions.Utility_DisplayArrayInTable(Fertiliser_SourceData.Fertiliser_Products_Data3(),FertiliserProducts[[#Headers],[Include or Exclude]], 40)</f>
        <v/>
      </c>
      <c r="AC138" s="10" t="str" cm="1">
        <f t="array" ref="AC138">Common_InputFunctions.Utility_DisplayArrayInTable(Fertiliser_SourceData.Fertiliser_Products_Data3(),FertiliserProducts[[#Headers],[Include or Exclude]], 40)</f>
        <v/>
      </c>
      <c r="AD138" s="10" t="str" cm="1">
        <f t="array" ref="AD138">Common_InputFunctions.Utility_DisplayArrayInTable(Fertiliser_SourceData.Fertiliser_Products_Data3(),FertiliserProducts[[#Headers],[Include or Exclude]], 40)</f>
        <v/>
      </c>
      <c r="AE138" s="10" t="str" cm="1">
        <f t="array" ref="AE138">Common_InputFunctions.Utility_DisplayArrayInTable(Fertiliser_SourceData.Fertiliser_Products_Data3(),FertiliserProducts[[#Headers],[Include or Exclude]], 40)</f>
        <v/>
      </c>
    </row>
    <row r="139" spans="1:31" ht="20.100000000000001" customHeight="1" x14ac:dyDescent="0.25">
      <c r="A139"/>
      <c r="D139" s="62" t="str" cm="1">
        <f t="array" ref="D139">Common_InputFunctions.Utility_DisplayArrayInTable(Fertiliser_SourceData.Fertiliser_Products_Data3(),FertiliserProducts[[#Headers],[Include or Exclude]], 40)</f>
        <v>Yara Liquids N42</v>
      </c>
      <c r="E139" s="62" t="str" cm="1">
        <f t="array" ref="E139">Common_InputFunctions.Utility_DisplayArrayInTable(Fertiliser_SourceData.Fertiliser_Products_Data3(),FertiliserProducts[[#Headers],[Include or Exclude]], 40)</f>
        <v/>
      </c>
      <c r="F139" s="62" t="str" cm="1">
        <f t="array" ref="F139">Common_InputFunctions.Utility_DisplayArrayInTable(Fertiliser_SourceData.Fertiliser_Products_Data3(),FertiliserProducts[[#Headers],[Include or Exclude]], 40)</f>
        <v/>
      </c>
      <c r="G139" s="62" t="str" cm="1">
        <f t="array" ref="G139">Common_InputFunctions.Utility_DisplayArrayInTable(Fertiliser_SourceData.Fertiliser_Products_Data3(),FertiliserProducts[[#Headers],[Include or Exclude]], 40)</f>
        <v/>
      </c>
      <c r="H139" s="62" t="str" cm="1">
        <f t="array" ref="H139">Common_InputFunctions.Utility_DisplayArrayInTable(Fertiliser_SourceData.Fertiliser_Products_Data3(),FertiliserProducts[[#Headers],[Include or Exclude]], 40)</f>
        <v/>
      </c>
      <c r="I139" s="62" t="str" cm="1">
        <f t="array" ref="I139">Common_InputFunctions.Utility_DisplayArrayInTable(Fertiliser_SourceData.Fertiliser_Products_Data3(),FertiliserProducts[[#Headers],[Include or Exclude]], 40)</f>
        <v/>
      </c>
      <c r="J139" s="62" t="str" cm="1">
        <f t="array" ref="J139">Common_InputFunctions.Utility_DisplayArrayInTable(Fertiliser_SourceData.Fertiliser_Products_Data3(),FertiliserProducts[[#Headers],[Include or Exclude]], 40)</f>
        <v/>
      </c>
      <c r="K139" s="62" t="str" cm="1">
        <f t="array" ref="K139">Common_InputFunctions.Utility_DisplayArrayInTable(Fertiliser_SourceData.Fertiliser_Products_Data3(),FertiliserProducts[[#Headers],[Include or Exclude]], 40)</f>
        <v/>
      </c>
      <c r="L139" s="62" t="str" cm="1">
        <f t="array" ref="L139">Common_InputFunctions.Utility_DisplayArrayInTable(Fertiliser_SourceData.Fertiliser_Products_Data3(),FertiliserProducts[[#Headers],[Include or Exclude]], 40)</f>
        <v/>
      </c>
      <c r="M139" s="62" t="str" cm="1">
        <f t="array" ref="M139">Common_InputFunctions.Utility_DisplayArrayInTable(Fertiliser_SourceData.Fertiliser_Products_Data3(),FertiliserProducts[[#Headers],[Include or Exclude]], 40)</f>
        <v/>
      </c>
      <c r="N139" s="62" t="str" cm="1">
        <f t="array" ref="N139">Common_InputFunctions.Utility_DisplayArrayInTable(Fertiliser_SourceData.Fertiliser_Products_Data3(),FertiliserProducts[[#Headers],[Include or Exclude]], 40)</f>
        <v/>
      </c>
      <c r="O139" s="62" t="str" cm="1">
        <f t="array" ref="O139">Common_InputFunctions.Utility_DisplayArrayInTable(Fertiliser_SourceData.Fertiliser_Products_Data3(),FertiliserProducts[[#Headers],[Include or Exclude]], 40)</f>
        <v/>
      </c>
      <c r="P139" s="62" t="str" cm="1">
        <f t="array" ref="P139">Common_InputFunctions.Utility_DisplayArrayInTable(Fertiliser_SourceData.Fertiliser_Products_Data3(),FertiliserProducts[[#Headers],[Include or Exclude]], 40)</f>
        <v/>
      </c>
      <c r="Q139" s="62" t="str" cm="1">
        <f t="array" ref="Q139">Common_InputFunctions.Utility_DisplayArrayInTable(Fertiliser_SourceData.Fertiliser_Products_Data3(),FertiliserProducts[[#Headers],[Include or Exclude]], 40)</f>
        <v/>
      </c>
      <c r="R139" s="62" t="str" cm="1">
        <f t="array" ref="R139">Common_InputFunctions.Utility_DisplayArrayInTable(Fertiliser_SourceData.Fertiliser_Products_Data3(),FertiliserProducts[[#Headers],[Include or Exclude]], 40)</f>
        <v/>
      </c>
      <c r="S139" s="62" t="str" cm="1">
        <f t="array" ref="S139">Common_InputFunctions.Utility_DisplayArrayInTable(Fertiliser_SourceData.Fertiliser_Products_Data3(),FertiliserProducts[[#Headers],[Include or Exclude]], 40)</f>
        <v/>
      </c>
      <c r="T139" s="62" t="str" cm="1">
        <f t="array" ref="T139">Common_InputFunctions.Utility_DisplayArrayInTable(Fertiliser_SourceData.Fertiliser_Products_Data3(),FertiliserProducts[[#Headers],[Include or Exclude]], 40)</f>
        <v/>
      </c>
      <c r="U139" s="62" t="str" cm="1">
        <f t="array" ref="U139">Common_InputFunctions.Utility_DisplayArrayInTable(Fertiliser_SourceData.Fertiliser_Products_Data3(),FertiliserProducts[[#Headers],[Include or Exclude]], 40)</f>
        <v/>
      </c>
      <c r="V139" s="62" t="str" cm="1">
        <f t="array" ref="V139">Common_InputFunctions.Utility_DisplayArrayInTable(Fertiliser_SourceData.Fertiliser_Products_Data3(),FertiliserProducts[[#Headers],[Include or Exclude]], 40)</f>
        <v/>
      </c>
      <c r="W139" s="62" t="str" cm="1">
        <f t="array" ref="W139">Common_InputFunctions.Utility_DisplayArrayInTable(Fertiliser_SourceData.Fertiliser_Products_Data3(),FertiliserProducts[[#Headers],[Include or Exclude]], 40)</f>
        <v>Crop Nutrition Solutions (Yara Australia)</v>
      </c>
      <c r="X139" s="62" t="str" cm="1">
        <f t="array" ref="X139">Common_InputFunctions.Utility_DisplayArrayInTable(Fertiliser_SourceData.Fertiliser_Products_Data3(),FertiliserProducts[[#Headers],[Include or Exclude]], 40)</f>
        <v/>
      </c>
      <c r="Y139" s="62" t="str" cm="1">
        <f t="array" ref="Y139">Common_InputFunctions.Utility_DisplayArrayInTable(Fertiliser_SourceData.Fertiliser_Products_Data3(),FertiliserProducts[[#Headers],[Include or Exclude]], 40)</f>
        <v/>
      </c>
      <c r="Z139" s="62" t="str" cm="1">
        <f t="array" ref="Z139">Common_InputFunctions.Utility_DisplayArrayInTable(Fertiliser_SourceData.Fertiliser_Products_Data3(),FertiliserProducts[[#Headers],[Include or Exclude]], 40)</f>
        <v/>
      </c>
      <c r="AA139" s="10" t="str" cm="1">
        <f t="array" ref="AA139">Common_InputFunctions.Utility_DisplayArrayInTable(Fertiliser_SourceData.Fertiliser_Products_Data3(),FertiliserProducts[[#Headers],[Include or Exclude]], 40)</f>
        <v/>
      </c>
      <c r="AB139" s="10" t="str" cm="1">
        <f t="array" ref="AB139">Common_InputFunctions.Utility_DisplayArrayInTable(Fertiliser_SourceData.Fertiliser_Products_Data3(),FertiliserProducts[[#Headers],[Include or Exclude]], 40)</f>
        <v/>
      </c>
      <c r="AC139" s="10" t="str" cm="1">
        <f t="array" ref="AC139">Common_InputFunctions.Utility_DisplayArrayInTable(Fertiliser_SourceData.Fertiliser_Products_Data3(),FertiliserProducts[[#Headers],[Include or Exclude]], 40)</f>
        <v/>
      </c>
      <c r="AD139" s="10" t="str" cm="1">
        <f t="array" ref="AD139">Common_InputFunctions.Utility_DisplayArrayInTable(Fertiliser_SourceData.Fertiliser_Products_Data3(),FertiliserProducts[[#Headers],[Include or Exclude]], 40)</f>
        <v/>
      </c>
      <c r="AE139" s="10" t="str" cm="1">
        <f t="array" ref="AE139">Common_InputFunctions.Utility_DisplayArrayInTable(Fertiliser_SourceData.Fertiliser_Products_Data3(),FertiliserProducts[[#Headers],[Include or Exclude]], 40)</f>
        <v/>
      </c>
    </row>
    <row r="140" spans="1:31" ht="20.100000000000001" customHeight="1" x14ac:dyDescent="0.25">
      <c r="A140"/>
      <c r="D140" s="62" t="str" cm="1">
        <f t="array" ref="D140">Common_InputFunctions.Utility_DisplayArrayInTable(Fertiliser_SourceData.Fertiliser_Products_Data3(),FertiliserProducts[[#Headers],[Include or Exclude]], 40)</f>
        <v>Yara Liquids N-CAL 15+18Ca</v>
      </c>
      <c r="E140" s="62" t="str" cm="1">
        <f t="array" ref="E140">Common_InputFunctions.Utility_DisplayArrayInTable(Fertiliser_SourceData.Fertiliser_Products_Data3(),FertiliserProducts[[#Headers],[Include or Exclude]], 40)</f>
        <v/>
      </c>
      <c r="F140" s="62" t="str" cm="1">
        <f t="array" ref="F140">Common_InputFunctions.Utility_DisplayArrayInTable(Fertiliser_SourceData.Fertiliser_Products_Data3(),FertiliserProducts[[#Headers],[Include or Exclude]], 40)</f>
        <v/>
      </c>
      <c r="G140" s="62" t="str" cm="1">
        <f t="array" ref="G140">Common_InputFunctions.Utility_DisplayArrayInTable(Fertiliser_SourceData.Fertiliser_Products_Data3(),FertiliserProducts[[#Headers],[Include or Exclude]], 40)</f>
        <v/>
      </c>
      <c r="H140" s="62" t="str" cm="1">
        <f t="array" ref="H140">Common_InputFunctions.Utility_DisplayArrayInTable(Fertiliser_SourceData.Fertiliser_Products_Data3(),FertiliserProducts[[#Headers],[Include or Exclude]], 40)</f>
        <v/>
      </c>
      <c r="I140" s="62" t="str" cm="1">
        <f t="array" ref="I140">Common_InputFunctions.Utility_DisplayArrayInTable(Fertiliser_SourceData.Fertiliser_Products_Data3(),FertiliserProducts[[#Headers],[Include or Exclude]], 40)</f>
        <v/>
      </c>
      <c r="J140" s="62" t="str" cm="1">
        <f t="array" ref="J140">Common_InputFunctions.Utility_DisplayArrayInTable(Fertiliser_SourceData.Fertiliser_Products_Data3(),FertiliserProducts[[#Headers],[Include or Exclude]], 40)</f>
        <v/>
      </c>
      <c r="K140" s="62" t="str" cm="1">
        <f t="array" ref="K140">Common_InputFunctions.Utility_DisplayArrayInTable(Fertiliser_SourceData.Fertiliser_Products_Data3(),FertiliserProducts[[#Headers],[Include or Exclude]], 40)</f>
        <v/>
      </c>
      <c r="L140" s="62" t="str" cm="1">
        <f t="array" ref="L140">Common_InputFunctions.Utility_DisplayArrayInTable(Fertiliser_SourceData.Fertiliser_Products_Data3(),FertiliserProducts[[#Headers],[Include or Exclude]], 40)</f>
        <v/>
      </c>
      <c r="M140" s="62" t="str" cm="1">
        <f t="array" ref="M140">Common_InputFunctions.Utility_DisplayArrayInTable(Fertiliser_SourceData.Fertiliser_Products_Data3(),FertiliserProducts[[#Headers],[Include or Exclude]], 40)</f>
        <v/>
      </c>
      <c r="N140" s="62" t="str" cm="1">
        <f t="array" ref="N140">Common_InputFunctions.Utility_DisplayArrayInTable(Fertiliser_SourceData.Fertiliser_Products_Data3(),FertiliserProducts[[#Headers],[Include or Exclude]], 40)</f>
        <v/>
      </c>
      <c r="O140" s="62" t="str" cm="1">
        <f t="array" ref="O140">Common_InputFunctions.Utility_DisplayArrayInTable(Fertiliser_SourceData.Fertiliser_Products_Data3(),FertiliserProducts[[#Headers],[Include or Exclude]], 40)</f>
        <v/>
      </c>
      <c r="P140" s="62" t="str" cm="1">
        <f t="array" ref="P140">Common_InputFunctions.Utility_DisplayArrayInTable(Fertiliser_SourceData.Fertiliser_Products_Data3(),FertiliserProducts[[#Headers],[Include or Exclude]], 40)</f>
        <v/>
      </c>
      <c r="Q140" s="62" t="str" cm="1">
        <f t="array" ref="Q140">Common_InputFunctions.Utility_DisplayArrayInTable(Fertiliser_SourceData.Fertiliser_Products_Data3(),FertiliserProducts[[#Headers],[Include or Exclude]], 40)</f>
        <v/>
      </c>
      <c r="R140" s="62" t="str" cm="1">
        <f t="array" ref="R140">Common_InputFunctions.Utility_DisplayArrayInTable(Fertiliser_SourceData.Fertiliser_Products_Data3(),FertiliserProducts[[#Headers],[Include or Exclude]], 40)</f>
        <v/>
      </c>
      <c r="S140" s="62" t="str" cm="1">
        <f t="array" ref="S140">Common_InputFunctions.Utility_DisplayArrayInTable(Fertiliser_SourceData.Fertiliser_Products_Data3(),FertiliserProducts[[#Headers],[Include or Exclude]], 40)</f>
        <v/>
      </c>
      <c r="T140" s="62" t="str" cm="1">
        <f t="array" ref="T140">Common_InputFunctions.Utility_DisplayArrayInTable(Fertiliser_SourceData.Fertiliser_Products_Data3(),FertiliserProducts[[#Headers],[Include or Exclude]], 40)</f>
        <v/>
      </c>
      <c r="U140" s="62" t="str" cm="1">
        <f t="array" ref="U140">Common_InputFunctions.Utility_DisplayArrayInTable(Fertiliser_SourceData.Fertiliser_Products_Data3(),FertiliserProducts[[#Headers],[Include or Exclude]], 40)</f>
        <v/>
      </c>
      <c r="V140" s="62" t="str" cm="1">
        <f t="array" ref="V140">Common_InputFunctions.Utility_DisplayArrayInTable(Fertiliser_SourceData.Fertiliser_Products_Data3(),FertiliserProducts[[#Headers],[Include or Exclude]], 40)</f>
        <v/>
      </c>
      <c r="W140" s="62" t="str" cm="1">
        <f t="array" ref="W140">Common_InputFunctions.Utility_DisplayArrayInTable(Fertiliser_SourceData.Fertiliser_Products_Data3(),FertiliserProducts[[#Headers],[Include or Exclude]], 40)</f>
        <v>Crop Nutrition Solutions (Yara Australia)</v>
      </c>
      <c r="X140" s="62" t="str" cm="1">
        <f t="array" ref="X140">Common_InputFunctions.Utility_DisplayArrayInTable(Fertiliser_SourceData.Fertiliser_Products_Data3(),FertiliserProducts[[#Headers],[Include or Exclude]], 40)</f>
        <v/>
      </c>
      <c r="Y140" s="62" t="str" cm="1">
        <f t="array" ref="Y140">Common_InputFunctions.Utility_DisplayArrayInTable(Fertiliser_SourceData.Fertiliser_Products_Data3(),FertiliserProducts[[#Headers],[Include or Exclude]], 40)</f>
        <v/>
      </c>
      <c r="Z140" s="62" t="str" cm="1">
        <f t="array" ref="Z140">Common_InputFunctions.Utility_DisplayArrayInTable(Fertiliser_SourceData.Fertiliser_Products_Data3(),FertiliserProducts[[#Headers],[Include or Exclude]], 40)</f>
        <v/>
      </c>
      <c r="AA140" s="10" t="str" cm="1">
        <f t="array" ref="AA140">Common_InputFunctions.Utility_DisplayArrayInTable(Fertiliser_SourceData.Fertiliser_Products_Data3(),FertiliserProducts[[#Headers],[Include or Exclude]], 40)</f>
        <v/>
      </c>
      <c r="AB140" s="10" t="str" cm="1">
        <f t="array" ref="AB140">Common_InputFunctions.Utility_DisplayArrayInTable(Fertiliser_SourceData.Fertiliser_Products_Data3(),FertiliserProducts[[#Headers],[Include or Exclude]], 40)</f>
        <v/>
      </c>
      <c r="AC140" s="10" t="str" cm="1">
        <f t="array" ref="AC140">Common_InputFunctions.Utility_DisplayArrayInTable(Fertiliser_SourceData.Fertiliser_Products_Data3(),FertiliserProducts[[#Headers],[Include or Exclude]], 40)</f>
        <v/>
      </c>
      <c r="AD140" s="10" t="str" cm="1">
        <f t="array" ref="AD140">Common_InputFunctions.Utility_DisplayArrayInTable(Fertiliser_SourceData.Fertiliser_Products_Data3(),FertiliserProducts[[#Headers],[Include or Exclude]], 40)</f>
        <v/>
      </c>
      <c r="AE140" s="10" t="str" cm="1">
        <f t="array" ref="AE140">Common_InputFunctions.Utility_DisplayArrayInTable(Fertiliser_SourceData.Fertiliser_Products_Data3(),FertiliserProducts[[#Headers],[Include or Exclude]], 40)</f>
        <v/>
      </c>
    </row>
    <row r="141" spans="1:31" ht="20.100000000000001" customHeight="1" x14ac:dyDescent="0.25">
      <c r="A141"/>
      <c r="D141" s="62" t="str" cm="1">
        <f t="array" ref="D141">Common_InputFunctions.Utility_DisplayArrayInTable(Fertiliser_SourceData.Fertiliser_Products_Data3(),FertiliserProducts[[#Headers],[Include or Exclude]], 40)</f>
        <v>Yara Liquids N-CAL 20+10Ca+B</v>
      </c>
      <c r="E141" s="62" t="str" cm="1">
        <f t="array" ref="E141">Common_InputFunctions.Utility_DisplayArrayInTable(Fertiliser_SourceData.Fertiliser_Products_Data3(),FertiliserProducts[[#Headers],[Include or Exclude]], 40)</f>
        <v/>
      </c>
      <c r="F141" s="62" t="str" cm="1">
        <f t="array" ref="F141">Common_InputFunctions.Utility_DisplayArrayInTable(Fertiliser_SourceData.Fertiliser_Products_Data3(),FertiliserProducts[[#Headers],[Include or Exclude]], 40)</f>
        <v/>
      </c>
      <c r="G141" s="62" t="str" cm="1">
        <f t="array" ref="G141">Common_InputFunctions.Utility_DisplayArrayInTable(Fertiliser_SourceData.Fertiliser_Products_Data3(),FertiliserProducts[[#Headers],[Include or Exclude]], 40)</f>
        <v/>
      </c>
      <c r="H141" s="62" t="str" cm="1">
        <f t="array" ref="H141">Common_InputFunctions.Utility_DisplayArrayInTable(Fertiliser_SourceData.Fertiliser_Products_Data3(),FertiliserProducts[[#Headers],[Include or Exclude]], 40)</f>
        <v/>
      </c>
      <c r="I141" s="62" t="str" cm="1">
        <f t="array" ref="I141">Common_InputFunctions.Utility_DisplayArrayInTable(Fertiliser_SourceData.Fertiliser_Products_Data3(),FertiliserProducts[[#Headers],[Include or Exclude]], 40)</f>
        <v/>
      </c>
      <c r="J141" s="62" t="str" cm="1">
        <f t="array" ref="J141">Common_InputFunctions.Utility_DisplayArrayInTable(Fertiliser_SourceData.Fertiliser_Products_Data3(),FertiliserProducts[[#Headers],[Include or Exclude]], 40)</f>
        <v/>
      </c>
      <c r="K141" s="62" t="str" cm="1">
        <f t="array" ref="K141">Common_InputFunctions.Utility_DisplayArrayInTable(Fertiliser_SourceData.Fertiliser_Products_Data3(),FertiliserProducts[[#Headers],[Include or Exclude]], 40)</f>
        <v/>
      </c>
      <c r="L141" s="62" t="str" cm="1">
        <f t="array" ref="L141">Common_InputFunctions.Utility_DisplayArrayInTable(Fertiliser_SourceData.Fertiliser_Products_Data3(),FertiliserProducts[[#Headers],[Include or Exclude]], 40)</f>
        <v/>
      </c>
      <c r="M141" s="62" t="str" cm="1">
        <f t="array" ref="M141">Common_InputFunctions.Utility_DisplayArrayInTable(Fertiliser_SourceData.Fertiliser_Products_Data3(),FertiliserProducts[[#Headers],[Include or Exclude]], 40)</f>
        <v/>
      </c>
      <c r="N141" s="62" t="str" cm="1">
        <f t="array" ref="N141">Common_InputFunctions.Utility_DisplayArrayInTable(Fertiliser_SourceData.Fertiliser_Products_Data3(),FertiliserProducts[[#Headers],[Include or Exclude]], 40)</f>
        <v/>
      </c>
      <c r="O141" s="62" t="str" cm="1">
        <f t="array" ref="O141">Common_InputFunctions.Utility_DisplayArrayInTable(Fertiliser_SourceData.Fertiliser_Products_Data3(),FertiliserProducts[[#Headers],[Include or Exclude]], 40)</f>
        <v/>
      </c>
      <c r="P141" s="62" t="str" cm="1">
        <f t="array" ref="P141">Common_InputFunctions.Utility_DisplayArrayInTable(Fertiliser_SourceData.Fertiliser_Products_Data3(),FertiliserProducts[[#Headers],[Include or Exclude]], 40)</f>
        <v/>
      </c>
      <c r="Q141" s="62" t="str" cm="1">
        <f t="array" ref="Q141">Common_InputFunctions.Utility_DisplayArrayInTable(Fertiliser_SourceData.Fertiliser_Products_Data3(),FertiliserProducts[[#Headers],[Include or Exclude]], 40)</f>
        <v/>
      </c>
      <c r="R141" s="62" t="str" cm="1">
        <f t="array" ref="R141">Common_InputFunctions.Utility_DisplayArrayInTable(Fertiliser_SourceData.Fertiliser_Products_Data3(),FertiliserProducts[[#Headers],[Include or Exclude]], 40)</f>
        <v/>
      </c>
      <c r="S141" s="62" t="str" cm="1">
        <f t="array" ref="S141">Common_InputFunctions.Utility_DisplayArrayInTable(Fertiliser_SourceData.Fertiliser_Products_Data3(),FertiliserProducts[[#Headers],[Include or Exclude]], 40)</f>
        <v/>
      </c>
      <c r="T141" s="62" t="str" cm="1">
        <f t="array" ref="T141">Common_InputFunctions.Utility_DisplayArrayInTable(Fertiliser_SourceData.Fertiliser_Products_Data3(),FertiliserProducts[[#Headers],[Include or Exclude]], 40)</f>
        <v/>
      </c>
      <c r="U141" s="62" t="str" cm="1">
        <f t="array" ref="U141">Common_InputFunctions.Utility_DisplayArrayInTable(Fertiliser_SourceData.Fertiliser_Products_Data3(),FertiliserProducts[[#Headers],[Include or Exclude]], 40)</f>
        <v/>
      </c>
      <c r="V141" s="62" t="str" cm="1">
        <f t="array" ref="V141">Common_InputFunctions.Utility_DisplayArrayInTable(Fertiliser_SourceData.Fertiliser_Products_Data3(),FertiliserProducts[[#Headers],[Include or Exclude]], 40)</f>
        <v/>
      </c>
      <c r="W141" s="62" t="str" cm="1">
        <f t="array" ref="W141">Common_InputFunctions.Utility_DisplayArrayInTable(Fertiliser_SourceData.Fertiliser_Products_Data3(),FertiliserProducts[[#Headers],[Include or Exclude]], 40)</f>
        <v>Crop Nutrition Solutions (Yara Australia)</v>
      </c>
      <c r="X141" s="62" t="str" cm="1">
        <f t="array" ref="X141">Common_InputFunctions.Utility_DisplayArrayInTable(Fertiliser_SourceData.Fertiliser_Products_Data3(),FertiliserProducts[[#Headers],[Include or Exclude]], 40)</f>
        <v/>
      </c>
      <c r="Y141" s="62" t="str" cm="1">
        <f t="array" ref="Y141">Common_InputFunctions.Utility_DisplayArrayInTable(Fertiliser_SourceData.Fertiliser_Products_Data3(),FertiliserProducts[[#Headers],[Include or Exclude]], 40)</f>
        <v/>
      </c>
      <c r="Z141" s="62" t="str" cm="1">
        <f t="array" ref="Z141">Common_InputFunctions.Utility_DisplayArrayInTable(Fertiliser_SourceData.Fertiliser_Products_Data3(),FertiliserProducts[[#Headers],[Include or Exclude]], 40)</f>
        <v/>
      </c>
      <c r="AA141" s="10" t="str" cm="1">
        <f t="array" ref="AA141">Common_InputFunctions.Utility_DisplayArrayInTable(Fertiliser_SourceData.Fertiliser_Products_Data3(),FertiliserProducts[[#Headers],[Include or Exclude]], 40)</f>
        <v/>
      </c>
      <c r="AB141" s="10" t="str" cm="1">
        <f t="array" ref="AB141">Common_InputFunctions.Utility_DisplayArrayInTable(Fertiliser_SourceData.Fertiliser_Products_Data3(),FertiliserProducts[[#Headers],[Include or Exclude]], 40)</f>
        <v/>
      </c>
      <c r="AC141" s="10" t="str" cm="1">
        <f t="array" ref="AC141">Common_InputFunctions.Utility_DisplayArrayInTable(Fertiliser_SourceData.Fertiliser_Products_Data3(),FertiliserProducts[[#Headers],[Include or Exclude]], 40)</f>
        <v/>
      </c>
      <c r="AD141" s="10" t="str" cm="1">
        <f t="array" ref="AD141">Common_InputFunctions.Utility_DisplayArrayInTable(Fertiliser_SourceData.Fertiliser_Products_Data3(),FertiliserProducts[[#Headers],[Include or Exclude]], 40)</f>
        <v/>
      </c>
      <c r="AE141" s="10" t="str" cm="1">
        <f t="array" ref="AE141">Common_InputFunctions.Utility_DisplayArrayInTable(Fertiliser_SourceData.Fertiliser_Products_Data3(),FertiliserProducts[[#Headers],[Include or Exclude]], 40)</f>
        <v/>
      </c>
    </row>
    <row r="142" spans="1:31" ht="20.100000000000001" customHeight="1" x14ac:dyDescent="0.25">
      <c r="A142"/>
      <c r="D142" s="62" t="str" cm="1">
        <f t="array" ref="D142">Common_InputFunctions.Utility_DisplayArrayInTable(Fertiliser_SourceData.Fertiliser_Products_Data3(),FertiliserProducts[[#Headers],[Include or Exclude]], 40)</f>
        <v>Yara Liquids N-CAL 35+6Ca</v>
      </c>
      <c r="E142" s="62" t="str" cm="1">
        <f t="array" ref="E142">Common_InputFunctions.Utility_DisplayArrayInTable(Fertiliser_SourceData.Fertiliser_Products_Data3(),FertiliserProducts[[#Headers],[Include or Exclude]], 40)</f>
        <v/>
      </c>
      <c r="F142" s="62" t="str" cm="1">
        <f t="array" ref="F142">Common_InputFunctions.Utility_DisplayArrayInTable(Fertiliser_SourceData.Fertiliser_Products_Data3(),FertiliserProducts[[#Headers],[Include or Exclude]], 40)</f>
        <v/>
      </c>
      <c r="G142" s="62" t="str" cm="1">
        <f t="array" ref="G142">Common_InputFunctions.Utility_DisplayArrayInTable(Fertiliser_SourceData.Fertiliser_Products_Data3(),FertiliserProducts[[#Headers],[Include or Exclude]], 40)</f>
        <v/>
      </c>
      <c r="H142" s="62" t="str" cm="1">
        <f t="array" ref="H142">Common_InputFunctions.Utility_DisplayArrayInTable(Fertiliser_SourceData.Fertiliser_Products_Data3(),FertiliserProducts[[#Headers],[Include or Exclude]], 40)</f>
        <v/>
      </c>
      <c r="I142" s="62" t="str" cm="1">
        <f t="array" ref="I142">Common_InputFunctions.Utility_DisplayArrayInTable(Fertiliser_SourceData.Fertiliser_Products_Data3(),FertiliserProducts[[#Headers],[Include or Exclude]], 40)</f>
        <v/>
      </c>
      <c r="J142" s="62" t="str" cm="1">
        <f t="array" ref="J142">Common_InputFunctions.Utility_DisplayArrayInTable(Fertiliser_SourceData.Fertiliser_Products_Data3(),FertiliserProducts[[#Headers],[Include or Exclude]], 40)</f>
        <v/>
      </c>
      <c r="K142" s="62" t="str" cm="1">
        <f t="array" ref="K142">Common_InputFunctions.Utility_DisplayArrayInTable(Fertiliser_SourceData.Fertiliser_Products_Data3(),FertiliserProducts[[#Headers],[Include or Exclude]], 40)</f>
        <v/>
      </c>
      <c r="L142" s="62" t="str" cm="1">
        <f t="array" ref="L142">Common_InputFunctions.Utility_DisplayArrayInTable(Fertiliser_SourceData.Fertiliser_Products_Data3(),FertiliserProducts[[#Headers],[Include or Exclude]], 40)</f>
        <v/>
      </c>
      <c r="M142" s="62" t="str" cm="1">
        <f t="array" ref="M142">Common_InputFunctions.Utility_DisplayArrayInTable(Fertiliser_SourceData.Fertiliser_Products_Data3(),FertiliserProducts[[#Headers],[Include or Exclude]], 40)</f>
        <v/>
      </c>
      <c r="N142" s="62" t="str" cm="1">
        <f t="array" ref="N142">Common_InputFunctions.Utility_DisplayArrayInTable(Fertiliser_SourceData.Fertiliser_Products_Data3(),FertiliserProducts[[#Headers],[Include or Exclude]], 40)</f>
        <v/>
      </c>
      <c r="O142" s="62" t="str" cm="1">
        <f t="array" ref="O142">Common_InputFunctions.Utility_DisplayArrayInTable(Fertiliser_SourceData.Fertiliser_Products_Data3(),FertiliserProducts[[#Headers],[Include or Exclude]], 40)</f>
        <v/>
      </c>
      <c r="P142" s="62" t="str" cm="1">
        <f t="array" ref="P142">Common_InputFunctions.Utility_DisplayArrayInTable(Fertiliser_SourceData.Fertiliser_Products_Data3(),FertiliserProducts[[#Headers],[Include or Exclude]], 40)</f>
        <v/>
      </c>
      <c r="Q142" s="62" t="str" cm="1">
        <f t="array" ref="Q142">Common_InputFunctions.Utility_DisplayArrayInTable(Fertiliser_SourceData.Fertiliser_Products_Data3(),FertiliserProducts[[#Headers],[Include or Exclude]], 40)</f>
        <v/>
      </c>
      <c r="R142" s="62" t="str" cm="1">
        <f t="array" ref="R142">Common_InputFunctions.Utility_DisplayArrayInTable(Fertiliser_SourceData.Fertiliser_Products_Data3(),FertiliserProducts[[#Headers],[Include or Exclude]], 40)</f>
        <v/>
      </c>
      <c r="S142" s="62" t="str" cm="1">
        <f t="array" ref="S142">Common_InputFunctions.Utility_DisplayArrayInTable(Fertiliser_SourceData.Fertiliser_Products_Data3(),FertiliserProducts[[#Headers],[Include or Exclude]], 40)</f>
        <v/>
      </c>
      <c r="T142" s="62" t="str" cm="1">
        <f t="array" ref="T142">Common_InputFunctions.Utility_DisplayArrayInTable(Fertiliser_SourceData.Fertiliser_Products_Data3(),FertiliserProducts[[#Headers],[Include or Exclude]], 40)</f>
        <v/>
      </c>
      <c r="U142" s="62" t="str" cm="1">
        <f t="array" ref="U142">Common_InputFunctions.Utility_DisplayArrayInTable(Fertiliser_SourceData.Fertiliser_Products_Data3(),FertiliserProducts[[#Headers],[Include or Exclude]], 40)</f>
        <v/>
      </c>
      <c r="V142" s="62" t="str" cm="1">
        <f t="array" ref="V142">Common_InputFunctions.Utility_DisplayArrayInTable(Fertiliser_SourceData.Fertiliser_Products_Data3(),FertiliserProducts[[#Headers],[Include or Exclude]], 40)</f>
        <v/>
      </c>
      <c r="W142" s="62" t="str" cm="1">
        <f t="array" ref="W142">Common_InputFunctions.Utility_DisplayArrayInTable(Fertiliser_SourceData.Fertiliser_Products_Data3(),FertiliserProducts[[#Headers],[Include or Exclude]], 40)</f>
        <v>Crop Nutrition Solutions (Yara Australia)</v>
      </c>
      <c r="X142" s="62" t="str" cm="1">
        <f t="array" ref="X142">Common_InputFunctions.Utility_DisplayArrayInTable(Fertiliser_SourceData.Fertiliser_Products_Data3(),FertiliserProducts[[#Headers],[Include or Exclude]], 40)</f>
        <v/>
      </c>
      <c r="Y142" s="62" t="str" cm="1">
        <f t="array" ref="Y142">Common_InputFunctions.Utility_DisplayArrayInTable(Fertiliser_SourceData.Fertiliser_Products_Data3(),FertiliserProducts[[#Headers],[Include or Exclude]], 40)</f>
        <v/>
      </c>
      <c r="Z142" s="62" t="str" cm="1">
        <f t="array" ref="Z142">Common_InputFunctions.Utility_DisplayArrayInTable(Fertiliser_SourceData.Fertiliser_Products_Data3(),FertiliserProducts[[#Headers],[Include or Exclude]], 40)</f>
        <v/>
      </c>
      <c r="AA142" s="10" t="str" cm="1">
        <f t="array" ref="AA142">Common_InputFunctions.Utility_DisplayArrayInTable(Fertiliser_SourceData.Fertiliser_Products_Data3(),FertiliserProducts[[#Headers],[Include or Exclude]], 40)</f>
        <v/>
      </c>
      <c r="AB142" s="10" t="str" cm="1">
        <f t="array" ref="AB142">Common_InputFunctions.Utility_DisplayArrayInTable(Fertiliser_SourceData.Fertiliser_Products_Data3(),FertiliserProducts[[#Headers],[Include or Exclude]], 40)</f>
        <v/>
      </c>
      <c r="AC142" s="10" t="str" cm="1">
        <f t="array" ref="AC142">Common_InputFunctions.Utility_DisplayArrayInTable(Fertiliser_SourceData.Fertiliser_Products_Data3(),FertiliserProducts[[#Headers],[Include or Exclude]], 40)</f>
        <v/>
      </c>
      <c r="AD142" s="10" t="str" cm="1">
        <f t="array" ref="AD142">Common_InputFunctions.Utility_DisplayArrayInTable(Fertiliser_SourceData.Fertiliser_Products_Data3(),FertiliserProducts[[#Headers],[Include or Exclude]], 40)</f>
        <v/>
      </c>
      <c r="AE142" s="10" t="str" cm="1">
        <f t="array" ref="AE142">Common_InputFunctions.Utility_DisplayArrayInTable(Fertiliser_SourceData.Fertiliser_Products_Data3(),FertiliserProducts[[#Headers],[Include or Exclude]], 40)</f>
        <v/>
      </c>
    </row>
    <row r="143" spans="1:31" ht="20.100000000000001" customHeight="1" x14ac:dyDescent="0.25">
      <c r="A143"/>
      <c r="D143" s="62" t="str" cm="1">
        <f t="array" ref="D143">Common_InputFunctions.Utility_DisplayArrayInTable(Fertiliser_SourceData.Fertiliser_Products_Data3(),FertiliserProducts[[#Headers],[Include or Exclude]], 40)</f>
        <v>Yara Liquids N-FOL 24</v>
      </c>
      <c r="E143" s="62" t="str" cm="1">
        <f t="array" ref="E143">Common_InputFunctions.Utility_DisplayArrayInTable(Fertiliser_SourceData.Fertiliser_Products_Data3(),FertiliserProducts[[#Headers],[Include or Exclude]], 40)</f>
        <v/>
      </c>
      <c r="F143" s="62" t="str" cm="1">
        <f t="array" ref="F143">Common_InputFunctions.Utility_DisplayArrayInTable(Fertiliser_SourceData.Fertiliser_Products_Data3(),FertiliserProducts[[#Headers],[Include or Exclude]], 40)</f>
        <v/>
      </c>
      <c r="G143" s="62" t="str" cm="1">
        <f t="array" ref="G143">Common_InputFunctions.Utility_DisplayArrayInTable(Fertiliser_SourceData.Fertiliser_Products_Data3(),FertiliserProducts[[#Headers],[Include or Exclude]], 40)</f>
        <v/>
      </c>
      <c r="H143" s="62" t="str" cm="1">
        <f t="array" ref="H143">Common_InputFunctions.Utility_DisplayArrayInTable(Fertiliser_SourceData.Fertiliser_Products_Data3(),FertiliserProducts[[#Headers],[Include or Exclude]], 40)</f>
        <v/>
      </c>
      <c r="I143" s="62" t="str" cm="1">
        <f t="array" ref="I143">Common_InputFunctions.Utility_DisplayArrayInTable(Fertiliser_SourceData.Fertiliser_Products_Data3(),FertiliserProducts[[#Headers],[Include or Exclude]], 40)</f>
        <v/>
      </c>
      <c r="J143" s="62" t="str" cm="1">
        <f t="array" ref="J143">Common_InputFunctions.Utility_DisplayArrayInTable(Fertiliser_SourceData.Fertiliser_Products_Data3(),FertiliserProducts[[#Headers],[Include or Exclude]], 40)</f>
        <v/>
      </c>
      <c r="K143" s="62" t="str" cm="1">
        <f t="array" ref="K143">Common_InputFunctions.Utility_DisplayArrayInTable(Fertiliser_SourceData.Fertiliser_Products_Data3(),FertiliserProducts[[#Headers],[Include or Exclude]], 40)</f>
        <v/>
      </c>
      <c r="L143" s="62" t="str" cm="1">
        <f t="array" ref="L143">Common_InputFunctions.Utility_DisplayArrayInTable(Fertiliser_SourceData.Fertiliser_Products_Data3(),FertiliserProducts[[#Headers],[Include or Exclude]], 40)</f>
        <v/>
      </c>
      <c r="M143" s="62" t="str" cm="1">
        <f t="array" ref="M143">Common_InputFunctions.Utility_DisplayArrayInTable(Fertiliser_SourceData.Fertiliser_Products_Data3(),FertiliserProducts[[#Headers],[Include or Exclude]], 40)</f>
        <v/>
      </c>
      <c r="N143" s="62" t="str" cm="1">
        <f t="array" ref="N143">Common_InputFunctions.Utility_DisplayArrayInTable(Fertiliser_SourceData.Fertiliser_Products_Data3(),FertiliserProducts[[#Headers],[Include or Exclude]], 40)</f>
        <v/>
      </c>
      <c r="O143" s="62" t="str" cm="1">
        <f t="array" ref="O143">Common_InputFunctions.Utility_DisplayArrayInTable(Fertiliser_SourceData.Fertiliser_Products_Data3(),FertiliserProducts[[#Headers],[Include or Exclude]], 40)</f>
        <v/>
      </c>
      <c r="P143" s="62" t="str" cm="1">
        <f t="array" ref="P143">Common_InputFunctions.Utility_DisplayArrayInTable(Fertiliser_SourceData.Fertiliser_Products_Data3(),FertiliserProducts[[#Headers],[Include or Exclude]], 40)</f>
        <v/>
      </c>
      <c r="Q143" s="62" t="str" cm="1">
        <f t="array" ref="Q143">Common_InputFunctions.Utility_DisplayArrayInTable(Fertiliser_SourceData.Fertiliser_Products_Data3(),FertiliserProducts[[#Headers],[Include or Exclude]], 40)</f>
        <v/>
      </c>
      <c r="R143" s="62" t="str" cm="1">
        <f t="array" ref="R143">Common_InputFunctions.Utility_DisplayArrayInTable(Fertiliser_SourceData.Fertiliser_Products_Data3(),FertiliserProducts[[#Headers],[Include or Exclude]], 40)</f>
        <v/>
      </c>
      <c r="S143" s="62" t="str" cm="1">
        <f t="array" ref="S143">Common_InputFunctions.Utility_DisplayArrayInTable(Fertiliser_SourceData.Fertiliser_Products_Data3(),FertiliserProducts[[#Headers],[Include or Exclude]], 40)</f>
        <v/>
      </c>
      <c r="T143" s="62" t="str" cm="1">
        <f t="array" ref="T143">Common_InputFunctions.Utility_DisplayArrayInTable(Fertiliser_SourceData.Fertiliser_Products_Data3(),FertiliserProducts[[#Headers],[Include or Exclude]], 40)</f>
        <v/>
      </c>
      <c r="U143" s="62" t="str" cm="1">
        <f t="array" ref="U143">Common_InputFunctions.Utility_DisplayArrayInTable(Fertiliser_SourceData.Fertiliser_Products_Data3(),FertiliserProducts[[#Headers],[Include or Exclude]], 40)</f>
        <v/>
      </c>
      <c r="V143" s="62" t="str" cm="1">
        <f t="array" ref="V143">Common_InputFunctions.Utility_DisplayArrayInTable(Fertiliser_SourceData.Fertiliser_Products_Data3(),FertiliserProducts[[#Headers],[Include or Exclude]], 40)</f>
        <v/>
      </c>
      <c r="W143" s="62" t="str" cm="1">
        <f t="array" ref="W143">Common_InputFunctions.Utility_DisplayArrayInTable(Fertiliser_SourceData.Fertiliser_Products_Data3(),FertiliserProducts[[#Headers],[Include or Exclude]], 40)</f>
        <v>Crop Nutrition Solutions (Yara Australia)</v>
      </c>
      <c r="X143" s="62" t="str" cm="1">
        <f t="array" ref="X143">Common_InputFunctions.Utility_DisplayArrayInTable(Fertiliser_SourceData.Fertiliser_Products_Data3(),FertiliserProducts[[#Headers],[Include or Exclude]], 40)</f>
        <v/>
      </c>
      <c r="Y143" s="62" t="str" cm="1">
        <f t="array" ref="Y143">Common_InputFunctions.Utility_DisplayArrayInTable(Fertiliser_SourceData.Fertiliser_Products_Data3(),FertiliserProducts[[#Headers],[Include or Exclude]], 40)</f>
        <v/>
      </c>
      <c r="Z143" s="62" t="str" cm="1">
        <f t="array" ref="Z143">Common_InputFunctions.Utility_DisplayArrayInTable(Fertiliser_SourceData.Fertiliser_Products_Data3(),FertiliserProducts[[#Headers],[Include or Exclude]], 40)</f>
        <v/>
      </c>
      <c r="AA143" s="10" t="str" cm="1">
        <f t="array" ref="AA143">Common_InputFunctions.Utility_DisplayArrayInTable(Fertiliser_SourceData.Fertiliser_Products_Data3(),FertiliserProducts[[#Headers],[Include or Exclude]], 40)</f>
        <v/>
      </c>
      <c r="AB143" s="10" t="str" cm="1">
        <f t="array" ref="AB143">Common_InputFunctions.Utility_DisplayArrayInTable(Fertiliser_SourceData.Fertiliser_Products_Data3(),FertiliserProducts[[#Headers],[Include or Exclude]], 40)</f>
        <v/>
      </c>
      <c r="AC143" s="10" t="str" cm="1">
        <f t="array" ref="AC143">Common_InputFunctions.Utility_DisplayArrayInTable(Fertiliser_SourceData.Fertiliser_Products_Data3(),FertiliserProducts[[#Headers],[Include or Exclude]], 40)</f>
        <v/>
      </c>
      <c r="AD143" s="10" t="str" cm="1">
        <f t="array" ref="AD143">Common_InputFunctions.Utility_DisplayArrayInTable(Fertiliser_SourceData.Fertiliser_Products_Data3(),FertiliserProducts[[#Headers],[Include or Exclude]], 40)</f>
        <v/>
      </c>
      <c r="AE143" s="10" t="str" cm="1">
        <f t="array" ref="AE143">Common_InputFunctions.Utility_DisplayArrayInTable(Fertiliser_SourceData.Fertiliser_Products_Data3(),FertiliserProducts[[#Headers],[Include or Exclude]], 40)</f>
        <v/>
      </c>
    </row>
    <row r="144" spans="1:31" ht="20.100000000000001" customHeight="1" x14ac:dyDescent="0.25">
      <c r="A144"/>
      <c r="D144" s="62" t="str" cm="1">
        <f t="array" ref="D144">Common_InputFunctions.Utility_DisplayArrayInTable(Fertiliser_SourceData.Fertiliser_Products_Data3(),FertiliserProducts[[#Headers],[Include or Exclude]], 40)</f>
        <v>Yara Liquids N-FOL 24+TE</v>
      </c>
      <c r="E144" s="62" t="str" cm="1">
        <f t="array" ref="E144">Common_InputFunctions.Utility_DisplayArrayInTable(Fertiliser_SourceData.Fertiliser_Products_Data3(),FertiliserProducts[[#Headers],[Include or Exclude]], 40)</f>
        <v/>
      </c>
      <c r="F144" s="62" t="str" cm="1">
        <f t="array" ref="F144">Common_InputFunctions.Utility_DisplayArrayInTable(Fertiliser_SourceData.Fertiliser_Products_Data3(),FertiliserProducts[[#Headers],[Include or Exclude]], 40)</f>
        <v/>
      </c>
      <c r="G144" s="62" t="str" cm="1">
        <f t="array" ref="G144">Common_InputFunctions.Utility_DisplayArrayInTable(Fertiliser_SourceData.Fertiliser_Products_Data3(),FertiliserProducts[[#Headers],[Include or Exclude]], 40)</f>
        <v/>
      </c>
      <c r="H144" s="62" t="str" cm="1">
        <f t="array" ref="H144">Common_InputFunctions.Utility_DisplayArrayInTable(Fertiliser_SourceData.Fertiliser_Products_Data3(),FertiliserProducts[[#Headers],[Include or Exclude]], 40)</f>
        <v/>
      </c>
      <c r="I144" s="62" t="str" cm="1">
        <f t="array" ref="I144">Common_InputFunctions.Utility_DisplayArrayInTable(Fertiliser_SourceData.Fertiliser_Products_Data3(),FertiliserProducts[[#Headers],[Include or Exclude]], 40)</f>
        <v/>
      </c>
      <c r="J144" s="62" t="str" cm="1">
        <f t="array" ref="J144">Common_InputFunctions.Utility_DisplayArrayInTable(Fertiliser_SourceData.Fertiliser_Products_Data3(),FertiliserProducts[[#Headers],[Include or Exclude]], 40)</f>
        <v/>
      </c>
      <c r="K144" s="62" t="str" cm="1">
        <f t="array" ref="K144">Common_InputFunctions.Utility_DisplayArrayInTable(Fertiliser_SourceData.Fertiliser_Products_Data3(),FertiliserProducts[[#Headers],[Include or Exclude]], 40)</f>
        <v/>
      </c>
      <c r="L144" s="62" t="str" cm="1">
        <f t="array" ref="L144">Common_InputFunctions.Utility_DisplayArrayInTable(Fertiliser_SourceData.Fertiliser_Products_Data3(),FertiliserProducts[[#Headers],[Include or Exclude]], 40)</f>
        <v/>
      </c>
      <c r="M144" s="62" t="str" cm="1">
        <f t="array" ref="M144">Common_InputFunctions.Utility_DisplayArrayInTable(Fertiliser_SourceData.Fertiliser_Products_Data3(),FertiliserProducts[[#Headers],[Include or Exclude]], 40)</f>
        <v/>
      </c>
      <c r="N144" s="62" t="str" cm="1">
        <f t="array" ref="N144">Common_InputFunctions.Utility_DisplayArrayInTable(Fertiliser_SourceData.Fertiliser_Products_Data3(),FertiliserProducts[[#Headers],[Include or Exclude]], 40)</f>
        <v/>
      </c>
      <c r="O144" s="62" t="str" cm="1">
        <f t="array" ref="O144">Common_InputFunctions.Utility_DisplayArrayInTable(Fertiliser_SourceData.Fertiliser_Products_Data3(),FertiliserProducts[[#Headers],[Include or Exclude]], 40)</f>
        <v/>
      </c>
      <c r="P144" s="62" t="str" cm="1">
        <f t="array" ref="P144">Common_InputFunctions.Utility_DisplayArrayInTable(Fertiliser_SourceData.Fertiliser_Products_Data3(),FertiliserProducts[[#Headers],[Include or Exclude]], 40)</f>
        <v/>
      </c>
      <c r="Q144" s="62" t="str" cm="1">
        <f t="array" ref="Q144">Common_InputFunctions.Utility_DisplayArrayInTable(Fertiliser_SourceData.Fertiliser_Products_Data3(),FertiliserProducts[[#Headers],[Include or Exclude]], 40)</f>
        <v/>
      </c>
      <c r="R144" s="62" t="str" cm="1">
        <f t="array" ref="R144">Common_InputFunctions.Utility_DisplayArrayInTable(Fertiliser_SourceData.Fertiliser_Products_Data3(),FertiliserProducts[[#Headers],[Include or Exclude]], 40)</f>
        <v/>
      </c>
      <c r="S144" s="62" t="str" cm="1">
        <f t="array" ref="S144">Common_InputFunctions.Utility_DisplayArrayInTable(Fertiliser_SourceData.Fertiliser_Products_Data3(),FertiliserProducts[[#Headers],[Include or Exclude]], 40)</f>
        <v/>
      </c>
      <c r="T144" s="62" t="str" cm="1">
        <f t="array" ref="T144">Common_InputFunctions.Utility_DisplayArrayInTable(Fertiliser_SourceData.Fertiliser_Products_Data3(),FertiliserProducts[[#Headers],[Include or Exclude]], 40)</f>
        <v/>
      </c>
      <c r="U144" s="62" t="str" cm="1">
        <f t="array" ref="U144">Common_InputFunctions.Utility_DisplayArrayInTable(Fertiliser_SourceData.Fertiliser_Products_Data3(),FertiliserProducts[[#Headers],[Include or Exclude]], 40)</f>
        <v/>
      </c>
      <c r="V144" s="62" t="str" cm="1">
        <f t="array" ref="V144">Common_InputFunctions.Utility_DisplayArrayInTable(Fertiliser_SourceData.Fertiliser_Products_Data3(),FertiliserProducts[[#Headers],[Include or Exclude]], 40)</f>
        <v/>
      </c>
      <c r="W144" s="62" t="str" cm="1">
        <f t="array" ref="W144">Common_InputFunctions.Utility_DisplayArrayInTable(Fertiliser_SourceData.Fertiliser_Products_Data3(),FertiliserProducts[[#Headers],[Include or Exclude]], 40)</f>
        <v>Crop Nutrition Solutions (Yara Australia)</v>
      </c>
      <c r="X144" s="62" t="str" cm="1">
        <f t="array" ref="X144">Common_InputFunctions.Utility_DisplayArrayInTable(Fertiliser_SourceData.Fertiliser_Products_Data3(),FertiliserProducts[[#Headers],[Include or Exclude]], 40)</f>
        <v/>
      </c>
      <c r="Y144" s="62" t="str" cm="1">
        <f t="array" ref="Y144">Common_InputFunctions.Utility_DisplayArrayInTable(Fertiliser_SourceData.Fertiliser_Products_Data3(),FertiliserProducts[[#Headers],[Include or Exclude]], 40)</f>
        <v/>
      </c>
      <c r="Z144" s="62" t="str" cm="1">
        <f t="array" ref="Z144">Common_InputFunctions.Utility_DisplayArrayInTable(Fertiliser_SourceData.Fertiliser_Products_Data3(),FertiliserProducts[[#Headers],[Include or Exclude]], 40)</f>
        <v/>
      </c>
      <c r="AA144" s="10" t="str" cm="1">
        <f t="array" ref="AA144">Common_InputFunctions.Utility_DisplayArrayInTable(Fertiliser_SourceData.Fertiliser_Products_Data3(),FertiliserProducts[[#Headers],[Include or Exclude]], 40)</f>
        <v/>
      </c>
      <c r="AB144" s="10" t="str" cm="1">
        <f t="array" ref="AB144">Common_InputFunctions.Utility_DisplayArrayInTable(Fertiliser_SourceData.Fertiliser_Products_Data3(),FertiliserProducts[[#Headers],[Include or Exclude]], 40)</f>
        <v/>
      </c>
      <c r="AC144" s="10" t="str" cm="1">
        <f t="array" ref="AC144">Common_InputFunctions.Utility_DisplayArrayInTable(Fertiliser_SourceData.Fertiliser_Products_Data3(),FertiliserProducts[[#Headers],[Include or Exclude]], 40)</f>
        <v/>
      </c>
      <c r="AD144" s="10" t="str" cm="1">
        <f t="array" ref="AD144">Common_InputFunctions.Utility_DisplayArrayInTable(Fertiliser_SourceData.Fertiliser_Products_Data3(),FertiliserProducts[[#Headers],[Include or Exclude]], 40)</f>
        <v/>
      </c>
      <c r="AE144" s="10" t="str" cm="1">
        <f t="array" ref="AE144">Common_InputFunctions.Utility_DisplayArrayInTable(Fertiliser_SourceData.Fertiliser_Products_Data3(),FertiliserProducts[[#Headers],[Include or Exclude]], 40)</f>
        <v/>
      </c>
    </row>
    <row r="145" spans="1:31" ht="20.100000000000001" customHeight="1" x14ac:dyDescent="0.25">
      <c r="A145"/>
      <c r="D145" s="62" t="str" cm="1">
        <f t="array" ref="D145">Common_InputFunctions.Utility_DisplayArrayInTable(Fertiliser_SourceData.Fertiliser_Products_Data3(),FertiliserProducts[[#Headers],[Include or Exclude]], 40)</f>
        <v>Yara Liquids P-FOL Zinc</v>
      </c>
      <c r="E145" s="62" t="str" cm="1">
        <f t="array" ref="E145">Common_InputFunctions.Utility_DisplayArrayInTable(Fertiliser_SourceData.Fertiliser_Products_Data3(),FertiliserProducts[[#Headers],[Include or Exclude]], 40)</f>
        <v/>
      </c>
      <c r="F145" s="62" t="str" cm="1">
        <f t="array" ref="F145">Common_InputFunctions.Utility_DisplayArrayInTable(Fertiliser_SourceData.Fertiliser_Products_Data3(),FertiliserProducts[[#Headers],[Include or Exclude]], 40)</f>
        <v/>
      </c>
      <c r="G145" s="62" t="str" cm="1">
        <f t="array" ref="G145">Common_InputFunctions.Utility_DisplayArrayInTable(Fertiliser_SourceData.Fertiliser_Products_Data3(),FertiliserProducts[[#Headers],[Include or Exclude]], 40)</f>
        <v/>
      </c>
      <c r="H145" s="62" t="str" cm="1">
        <f t="array" ref="H145">Common_InputFunctions.Utility_DisplayArrayInTable(Fertiliser_SourceData.Fertiliser_Products_Data3(),FertiliserProducts[[#Headers],[Include or Exclude]], 40)</f>
        <v/>
      </c>
      <c r="I145" s="62" t="str" cm="1">
        <f t="array" ref="I145">Common_InputFunctions.Utility_DisplayArrayInTable(Fertiliser_SourceData.Fertiliser_Products_Data3(),FertiliserProducts[[#Headers],[Include or Exclude]], 40)</f>
        <v/>
      </c>
      <c r="J145" s="62" t="str" cm="1">
        <f t="array" ref="J145">Common_InputFunctions.Utility_DisplayArrayInTable(Fertiliser_SourceData.Fertiliser_Products_Data3(),FertiliserProducts[[#Headers],[Include or Exclude]], 40)</f>
        <v/>
      </c>
      <c r="K145" s="62" t="str" cm="1">
        <f t="array" ref="K145">Common_InputFunctions.Utility_DisplayArrayInTable(Fertiliser_SourceData.Fertiliser_Products_Data3(),FertiliserProducts[[#Headers],[Include or Exclude]], 40)</f>
        <v/>
      </c>
      <c r="L145" s="62" t="str" cm="1">
        <f t="array" ref="L145">Common_InputFunctions.Utility_DisplayArrayInTable(Fertiliser_SourceData.Fertiliser_Products_Data3(),FertiliserProducts[[#Headers],[Include or Exclude]], 40)</f>
        <v/>
      </c>
      <c r="M145" s="62" t="str" cm="1">
        <f t="array" ref="M145">Common_InputFunctions.Utility_DisplayArrayInTable(Fertiliser_SourceData.Fertiliser_Products_Data3(),FertiliserProducts[[#Headers],[Include or Exclude]], 40)</f>
        <v/>
      </c>
      <c r="N145" s="62" t="str" cm="1">
        <f t="array" ref="N145">Common_InputFunctions.Utility_DisplayArrayInTable(Fertiliser_SourceData.Fertiliser_Products_Data3(),FertiliserProducts[[#Headers],[Include or Exclude]], 40)</f>
        <v/>
      </c>
      <c r="O145" s="62" t="str" cm="1">
        <f t="array" ref="O145">Common_InputFunctions.Utility_DisplayArrayInTable(Fertiliser_SourceData.Fertiliser_Products_Data3(),FertiliserProducts[[#Headers],[Include or Exclude]], 40)</f>
        <v/>
      </c>
      <c r="P145" s="62" t="str" cm="1">
        <f t="array" ref="P145">Common_InputFunctions.Utility_DisplayArrayInTable(Fertiliser_SourceData.Fertiliser_Products_Data3(),FertiliserProducts[[#Headers],[Include or Exclude]], 40)</f>
        <v/>
      </c>
      <c r="Q145" s="62" t="str" cm="1">
        <f t="array" ref="Q145">Common_InputFunctions.Utility_DisplayArrayInTable(Fertiliser_SourceData.Fertiliser_Products_Data3(),FertiliserProducts[[#Headers],[Include or Exclude]], 40)</f>
        <v/>
      </c>
      <c r="R145" s="62" t="str" cm="1">
        <f t="array" ref="R145">Common_InputFunctions.Utility_DisplayArrayInTable(Fertiliser_SourceData.Fertiliser_Products_Data3(),FertiliserProducts[[#Headers],[Include or Exclude]], 40)</f>
        <v/>
      </c>
      <c r="S145" s="62" t="str" cm="1">
        <f t="array" ref="S145">Common_InputFunctions.Utility_DisplayArrayInTable(Fertiliser_SourceData.Fertiliser_Products_Data3(),FertiliserProducts[[#Headers],[Include or Exclude]], 40)</f>
        <v/>
      </c>
      <c r="T145" s="62" t="str" cm="1">
        <f t="array" ref="T145">Common_InputFunctions.Utility_DisplayArrayInTable(Fertiliser_SourceData.Fertiliser_Products_Data3(),FertiliserProducts[[#Headers],[Include or Exclude]], 40)</f>
        <v/>
      </c>
      <c r="U145" s="62" t="str" cm="1">
        <f t="array" ref="U145">Common_InputFunctions.Utility_DisplayArrayInTable(Fertiliser_SourceData.Fertiliser_Products_Data3(),FertiliserProducts[[#Headers],[Include or Exclude]], 40)</f>
        <v/>
      </c>
      <c r="V145" s="62" t="str" cm="1">
        <f t="array" ref="V145">Common_InputFunctions.Utility_DisplayArrayInTable(Fertiliser_SourceData.Fertiliser_Products_Data3(),FertiliserProducts[[#Headers],[Include or Exclude]], 40)</f>
        <v/>
      </c>
      <c r="W145" s="62" t="str" cm="1">
        <f t="array" ref="W145">Common_InputFunctions.Utility_DisplayArrayInTable(Fertiliser_SourceData.Fertiliser_Products_Data3(),FertiliserProducts[[#Headers],[Include or Exclude]], 40)</f>
        <v>Crop Nutrition Solutions (Yara Australia)</v>
      </c>
      <c r="X145" s="62" t="str" cm="1">
        <f t="array" ref="X145">Common_InputFunctions.Utility_DisplayArrayInTable(Fertiliser_SourceData.Fertiliser_Products_Data3(),FertiliserProducts[[#Headers],[Include or Exclude]], 40)</f>
        <v/>
      </c>
      <c r="Y145" s="62" t="str" cm="1">
        <f t="array" ref="Y145">Common_InputFunctions.Utility_DisplayArrayInTable(Fertiliser_SourceData.Fertiliser_Products_Data3(),FertiliserProducts[[#Headers],[Include or Exclude]], 40)</f>
        <v/>
      </c>
      <c r="Z145" s="62" t="str" cm="1">
        <f t="array" ref="Z145">Common_InputFunctions.Utility_DisplayArrayInTable(Fertiliser_SourceData.Fertiliser_Products_Data3(),FertiliserProducts[[#Headers],[Include or Exclude]], 40)</f>
        <v/>
      </c>
      <c r="AA145" s="10" t="str" cm="1">
        <f t="array" ref="AA145">Common_InputFunctions.Utility_DisplayArrayInTable(Fertiliser_SourceData.Fertiliser_Products_Data3(),FertiliserProducts[[#Headers],[Include or Exclude]], 40)</f>
        <v/>
      </c>
      <c r="AB145" s="10" t="str" cm="1">
        <f t="array" ref="AB145">Common_InputFunctions.Utility_DisplayArrayInTable(Fertiliser_SourceData.Fertiliser_Products_Data3(),FertiliserProducts[[#Headers],[Include or Exclude]], 40)</f>
        <v/>
      </c>
      <c r="AC145" s="10" t="str" cm="1">
        <f t="array" ref="AC145">Common_InputFunctions.Utility_DisplayArrayInTable(Fertiliser_SourceData.Fertiliser_Products_Data3(),FertiliserProducts[[#Headers],[Include or Exclude]], 40)</f>
        <v/>
      </c>
      <c r="AD145" s="10" t="str" cm="1">
        <f t="array" ref="AD145">Common_InputFunctions.Utility_DisplayArrayInTable(Fertiliser_SourceData.Fertiliser_Products_Data3(),FertiliserProducts[[#Headers],[Include or Exclude]], 40)</f>
        <v/>
      </c>
      <c r="AE145" s="10" t="str" cm="1">
        <f t="array" ref="AE145">Common_InputFunctions.Utility_DisplayArrayInTable(Fertiliser_SourceData.Fertiliser_Products_Data3(),FertiliserProducts[[#Headers],[Include or Exclude]], 40)</f>
        <v/>
      </c>
    </row>
    <row r="146" spans="1:31" ht="20.100000000000001" customHeight="1" x14ac:dyDescent="0.25">
      <c r="A146"/>
      <c r="D146" s="62" t="str" cm="1">
        <f t="array" ref="D146">Common_InputFunctions.Utility_DisplayArrayInTable(Fertiliser_SourceData.Fertiliser_Products_Data3(),FertiliserProducts[[#Headers],[Include or Exclude]], 40)</f>
        <v>Yara Liquids SULSA 11-0-0+12S</v>
      </c>
      <c r="E146" s="62" t="str" cm="1">
        <f t="array" ref="E146">Common_InputFunctions.Utility_DisplayArrayInTable(Fertiliser_SourceData.Fertiliser_Products_Data3(),FertiliserProducts[[#Headers],[Include or Exclude]], 40)</f>
        <v/>
      </c>
      <c r="F146" s="62" t="str" cm="1">
        <f t="array" ref="F146">Common_InputFunctions.Utility_DisplayArrayInTable(Fertiliser_SourceData.Fertiliser_Products_Data3(),FertiliserProducts[[#Headers],[Include or Exclude]], 40)</f>
        <v/>
      </c>
      <c r="G146" s="62" t="str" cm="1">
        <f t="array" ref="G146">Common_InputFunctions.Utility_DisplayArrayInTable(Fertiliser_SourceData.Fertiliser_Products_Data3(),FertiliserProducts[[#Headers],[Include or Exclude]], 40)</f>
        <v/>
      </c>
      <c r="H146" s="62" t="str" cm="1">
        <f t="array" ref="H146">Common_InputFunctions.Utility_DisplayArrayInTable(Fertiliser_SourceData.Fertiliser_Products_Data3(),FertiliserProducts[[#Headers],[Include or Exclude]], 40)</f>
        <v/>
      </c>
      <c r="I146" s="62" t="str" cm="1">
        <f t="array" ref="I146">Common_InputFunctions.Utility_DisplayArrayInTable(Fertiliser_SourceData.Fertiliser_Products_Data3(),FertiliserProducts[[#Headers],[Include or Exclude]], 40)</f>
        <v/>
      </c>
      <c r="J146" s="62" t="str" cm="1">
        <f t="array" ref="J146">Common_InputFunctions.Utility_DisplayArrayInTable(Fertiliser_SourceData.Fertiliser_Products_Data3(),FertiliserProducts[[#Headers],[Include or Exclude]], 40)</f>
        <v/>
      </c>
      <c r="K146" s="62" t="str" cm="1">
        <f t="array" ref="K146">Common_InputFunctions.Utility_DisplayArrayInTable(Fertiliser_SourceData.Fertiliser_Products_Data3(),FertiliserProducts[[#Headers],[Include or Exclude]], 40)</f>
        <v/>
      </c>
      <c r="L146" s="62" t="str" cm="1">
        <f t="array" ref="L146">Common_InputFunctions.Utility_DisplayArrayInTable(Fertiliser_SourceData.Fertiliser_Products_Data3(),FertiliserProducts[[#Headers],[Include or Exclude]], 40)</f>
        <v/>
      </c>
      <c r="M146" s="62" t="str" cm="1">
        <f t="array" ref="M146">Common_InputFunctions.Utility_DisplayArrayInTable(Fertiliser_SourceData.Fertiliser_Products_Data3(),FertiliserProducts[[#Headers],[Include or Exclude]], 40)</f>
        <v/>
      </c>
      <c r="N146" s="62" t="str" cm="1">
        <f t="array" ref="N146">Common_InputFunctions.Utility_DisplayArrayInTable(Fertiliser_SourceData.Fertiliser_Products_Data3(),FertiliserProducts[[#Headers],[Include or Exclude]], 40)</f>
        <v/>
      </c>
      <c r="O146" s="62" t="str" cm="1">
        <f t="array" ref="O146">Common_InputFunctions.Utility_DisplayArrayInTable(Fertiliser_SourceData.Fertiliser_Products_Data3(),FertiliserProducts[[#Headers],[Include or Exclude]], 40)</f>
        <v/>
      </c>
      <c r="P146" s="62" t="str" cm="1">
        <f t="array" ref="P146">Common_InputFunctions.Utility_DisplayArrayInTable(Fertiliser_SourceData.Fertiliser_Products_Data3(),FertiliserProducts[[#Headers],[Include or Exclude]], 40)</f>
        <v/>
      </c>
      <c r="Q146" s="62" t="str" cm="1">
        <f t="array" ref="Q146">Common_InputFunctions.Utility_DisplayArrayInTable(Fertiliser_SourceData.Fertiliser_Products_Data3(),FertiliserProducts[[#Headers],[Include or Exclude]], 40)</f>
        <v/>
      </c>
      <c r="R146" s="62" t="str" cm="1">
        <f t="array" ref="R146">Common_InputFunctions.Utility_DisplayArrayInTable(Fertiliser_SourceData.Fertiliser_Products_Data3(),FertiliserProducts[[#Headers],[Include or Exclude]], 40)</f>
        <v/>
      </c>
      <c r="S146" s="62" t="str" cm="1">
        <f t="array" ref="S146">Common_InputFunctions.Utility_DisplayArrayInTable(Fertiliser_SourceData.Fertiliser_Products_Data3(),FertiliserProducts[[#Headers],[Include or Exclude]], 40)</f>
        <v/>
      </c>
      <c r="T146" s="62" t="str" cm="1">
        <f t="array" ref="T146">Common_InputFunctions.Utility_DisplayArrayInTable(Fertiliser_SourceData.Fertiliser_Products_Data3(),FertiliserProducts[[#Headers],[Include or Exclude]], 40)</f>
        <v/>
      </c>
      <c r="U146" s="62" t="str" cm="1">
        <f t="array" ref="U146">Common_InputFunctions.Utility_DisplayArrayInTable(Fertiliser_SourceData.Fertiliser_Products_Data3(),FertiliserProducts[[#Headers],[Include or Exclude]], 40)</f>
        <v/>
      </c>
      <c r="V146" s="62" t="str" cm="1">
        <f t="array" ref="V146">Common_InputFunctions.Utility_DisplayArrayInTable(Fertiliser_SourceData.Fertiliser_Products_Data3(),FertiliserProducts[[#Headers],[Include or Exclude]], 40)</f>
        <v/>
      </c>
      <c r="W146" s="62" t="str" cm="1">
        <f t="array" ref="W146">Common_InputFunctions.Utility_DisplayArrayInTable(Fertiliser_SourceData.Fertiliser_Products_Data3(),FertiliserProducts[[#Headers],[Include or Exclude]], 40)</f>
        <v>Crop Nutrition Solutions (Yara Australia)</v>
      </c>
      <c r="X146" s="62" t="str" cm="1">
        <f t="array" ref="X146">Common_InputFunctions.Utility_DisplayArrayInTable(Fertiliser_SourceData.Fertiliser_Products_Data3(),FertiliserProducts[[#Headers],[Include or Exclude]], 40)</f>
        <v/>
      </c>
      <c r="Y146" s="62" t="str" cm="1">
        <f t="array" ref="Y146">Common_InputFunctions.Utility_DisplayArrayInTable(Fertiliser_SourceData.Fertiliser_Products_Data3(),FertiliserProducts[[#Headers],[Include or Exclude]], 40)</f>
        <v/>
      </c>
      <c r="Z146" s="62" t="str" cm="1">
        <f t="array" ref="Z146">Common_InputFunctions.Utility_DisplayArrayInTable(Fertiliser_SourceData.Fertiliser_Products_Data3(),FertiliserProducts[[#Headers],[Include or Exclude]], 40)</f>
        <v/>
      </c>
      <c r="AA146" s="10" t="str" cm="1">
        <f t="array" ref="AA146">Common_InputFunctions.Utility_DisplayArrayInTable(Fertiliser_SourceData.Fertiliser_Products_Data3(),FertiliserProducts[[#Headers],[Include or Exclude]], 40)</f>
        <v/>
      </c>
      <c r="AB146" s="10" t="str" cm="1">
        <f t="array" ref="AB146">Common_InputFunctions.Utility_DisplayArrayInTable(Fertiliser_SourceData.Fertiliser_Products_Data3(),FertiliserProducts[[#Headers],[Include or Exclude]], 40)</f>
        <v/>
      </c>
      <c r="AC146" s="10" t="str" cm="1">
        <f t="array" ref="AC146">Common_InputFunctions.Utility_DisplayArrayInTable(Fertiliser_SourceData.Fertiliser_Products_Data3(),FertiliserProducts[[#Headers],[Include or Exclude]], 40)</f>
        <v/>
      </c>
      <c r="AD146" s="10" t="str" cm="1">
        <f t="array" ref="AD146">Common_InputFunctions.Utility_DisplayArrayInTable(Fertiliser_SourceData.Fertiliser_Products_Data3(),FertiliserProducts[[#Headers],[Include or Exclude]], 40)</f>
        <v/>
      </c>
      <c r="AE146" s="10" t="str" cm="1">
        <f t="array" ref="AE146">Common_InputFunctions.Utility_DisplayArrayInTable(Fertiliser_SourceData.Fertiliser_Products_Data3(),FertiliserProducts[[#Headers],[Include or Exclude]], 40)</f>
        <v/>
      </c>
    </row>
    <row r="147" spans="1:31" ht="20.100000000000001" customHeight="1" x14ac:dyDescent="0.25">
      <c r="A147"/>
      <c r="D147" s="62" t="str" cm="1">
        <f t="array" ref="D147">Common_InputFunctions.Utility_DisplayArrayInTable(Fertiliser_SourceData.Fertiliser_Products_Data3(),FertiliserProducts[[#Headers],[Include or Exclude]], 40)</f>
        <v>Yara Liquids SULSA 24-3-0+6S</v>
      </c>
      <c r="E147" s="62" t="str" cm="1">
        <f t="array" ref="E147">Common_InputFunctions.Utility_DisplayArrayInTable(Fertiliser_SourceData.Fertiliser_Products_Data3(),FertiliserProducts[[#Headers],[Include or Exclude]], 40)</f>
        <v/>
      </c>
      <c r="F147" s="62" t="str" cm="1">
        <f t="array" ref="F147">Common_InputFunctions.Utility_DisplayArrayInTable(Fertiliser_SourceData.Fertiliser_Products_Data3(),FertiliserProducts[[#Headers],[Include or Exclude]], 40)</f>
        <v/>
      </c>
      <c r="G147" s="62" t="str" cm="1">
        <f t="array" ref="G147">Common_InputFunctions.Utility_DisplayArrayInTable(Fertiliser_SourceData.Fertiliser_Products_Data3(),FertiliserProducts[[#Headers],[Include or Exclude]], 40)</f>
        <v/>
      </c>
      <c r="H147" s="62" t="str" cm="1">
        <f t="array" ref="H147">Common_InputFunctions.Utility_DisplayArrayInTable(Fertiliser_SourceData.Fertiliser_Products_Data3(),FertiliserProducts[[#Headers],[Include or Exclude]], 40)</f>
        <v/>
      </c>
      <c r="I147" s="62" t="str" cm="1">
        <f t="array" ref="I147">Common_InputFunctions.Utility_DisplayArrayInTable(Fertiliser_SourceData.Fertiliser_Products_Data3(),FertiliserProducts[[#Headers],[Include or Exclude]], 40)</f>
        <v/>
      </c>
      <c r="J147" s="62" t="str" cm="1">
        <f t="array" ref="J147">Common_InputFunctions.Utility_DisplayArrayInTable(Fertiliser_SourceData.Fertiliser_Products_Data3(),FertiliserProducts[[#Headers],[Include or Exclude]], 40)</f>
        <v/>
      </c>
      <c r="K147" s="62" t="str" cm="1">
        <f t="array" ref="K147">Common_InputFunctions.Utility_DisplayArrayInTable(Fertiliser_SourceData.Fertiliser_Products_Data3(),FertiliserProducts[[#Headers],[Include or Exclude]], 40)</f>
        <v/>
      </c>
      <c r="L147" s="62" t="str" cm="1">
        <f t="array" ref="L147">Common_InputFunctions.Utility_DisplayArrayInTable(Fertiliser_SourceData.Fertiliser_Products_Data3(),FertiliserProducts[[#Headers],[Include or Exclude]], 40)</f>
        <v/>
      </c>
      <c r="M147" s="62" t="str" cm="1">
        <f t="array" ref="M147">Common_InputFunctions.Utility_DisplayArrayInTable(Fertiliser_SourceData.Fertiliser_Products_Data3(),FertiliserProducts[[#Headers],[Include or Exclude]], 40)</f>
        <v/>
      </c>
      <c r="N147" s="62" t="str" cm="1">
        <f t="array" ref="N147">Common_InputFunctions.Utility_DisplayArrayInTable(Fertiliser_SourceData.Fertiliser_Products_Data3(),FertiliserProducts[[#Headers],[Include or Exclude]], 40)</f>
        <v/>
      </c>
      <c r="O147" s="62" t="str" cm="1">
        <f t="array" ref="O147">Common_InputFunctions.Utility_DisplayArrayInTable(Fertiliser_SourceData.Fertiliser_Products_Data3(),FertiliserProducts[[#Headers],[Include or Exclude]], 40)</f>
        <v/>
      </c>
      <c r="P147" s="62" t="str" cm="1">
        <f t="array" ref="P147">Common_InputFunctions.Utility_DisplayArrayInTable(Fertiliser_SourceData.Fertiliser_Products_Data3(),FertiliserProducts[[#Headers],[Include or Exclude]], 40)</f>
        <v/>
      </c>
      <c r="Q147" s="62" t="str" cm="1">
        <f t="array" ref="Q147">Common_InputFunctions.Utility_DisplayArrayInTable(Fertiliser_SourceData.Fertiliser_Products_Data3(),FertiliserProducts[[#Headers],[Include or Exclude]], 40)</f>
        <v/>
      </c>
      <c r="R147" s="62" t="str" cm="1">
        <f t="array" ref="R147">Common_InputFunctions.Utility_DisplayArrayInTable(Fertiliser_SourceData.Fertiliser_Products_Data3(),FertiliserProducts[[#Headers],[Include or Exclude]], 40)</f>
        <v/>
      </c>
      <c r="S147" s="62" t="str" cm="1">
        <f t="array" ref="S147">Common_InputFunctions.Utility_DisplayArrayInTable(Fertiliser_SourceData.Fertiliser_Products_Data3(),FertiliserProducts[[#Headers],[Include or Exclude]], 40)</f>
        <v/>
      </c>
      <c r="T147" s="62" t="str" cm="1">
        <f t="array" ref="T147">Common_InputFunctions.Utility_DisplayArrayInTable(Fertiliser_SourceData.Fertiliser_Products_Data3(),FertiliserProducts[[#Headers],[Include or Exclude]], 40)</f>
        <v/>
      </c>
      <c r="U147" s="62" t="str" cm="1">
        <f t="array" ref="U147">Common_InputFunctions.Utility_DisplayArrayInTable(Fertiliser_SourceData.Fertiliser_Products_Data3(),FertiliserProducts[[#Headers],[Include or Exclude]], 40)</f>
        <v/>
      </c>
      <c r="V147" s="62" t="str" cm="1">
        <f t="array" ref="V147">Common_InputFunctions.Utility_DisplayArrayInTable(Fertiliser_SourceData.Fertiliser_Products_Data3(),FertiliserProducts[[#Headers],[Include or Exclude]], 40)</f>
        <v/>
      </c>
      <c r="W147" s="62" t="str" cm="1">
        <f t="array" ref="W147">Common_InputFunctions.Utility_DisplayArrayInTable(Fertiliser_SourceData.Fertiliser_Products_Data3(),FertiliserProducts[[#Headers],[Include or Exclude]], 40)</f>
        <v>Crop Nutrition Solutions (Yara Australia)</v>
      </c>
      <c r="X147" s="62" t="str" cm="1">
        <f t="array" ref="X147">Common_InputFunctions.Utility_DisplayArrayInTable(Fertiliser_SourceData.Fertiliser_Products_Data3(),FertiliserProducts[[#Headers],[Include or Exclude]], 40)</f>
        <v/>
      </c>
      <c r="Y147" s="62" t="str" cm="1">
        <f t="array" ref="Y147">Common_InputFunctions.Utility_DisplayArrayInTable(Fertiliser_SourceData.Fertiliser_Products_Data3(),FertiliserProducts[[#Headers],[Include or Exclude]], 40)</f>
        <v/>
      </c>
      <c r="Z147" s="62" t="str" cm="1">
        <f t="array" ref="Z147">Common_InputFunctions.Utility_DisplayArrayInTable(Fertiliser_SourceData.Fertiliser_Products_Data3(),FertiliserProducts[[#Headers],[Include or Exclude]], 40)</f>
        <v/>
      </c>
      <c r="AA147" s="10" t="str" cm="1">
        <f t="array" ref="AA147">Common_InputFunctions.Utility_DisplayArrayInTable(Fertiliser_SourceData.Fertiliser_Products_Data3(),FertiliserProducts[[#Headers],[Include or Exclude]], 40)</f>
        <v/>
      </c>
      <c r="AB147" s="10" t="str" cm="1">
        <f t="array" ref="AB147">Common_InputFunctions.Utility_DisplayArrayInTable(Fertiliser_SourceData.Fertiliser_Products_Data3(),FertiliserProducts[[#Headers],[Include or Exclude]], 40)</f>
        <v/>
      </c>
      <c r="AC147" s="10" t="str" cm="1">
        <f t="array" ref="AC147">Common_InputFunctions.Utility_DisplayArrayInTable(Fertiliser_SourceData.Fertiliser_Products_Data3(),FertiliserProducts[[#Headers],[Include or Exclude]], 40)</f>
        <v/>
      </c>
      <c r="AD147" s="10" t="str" cm="1">
        <f t="array" ref="AD147">Common_InputFunctions.Utility_DisplayArrayInTable(Fertiliser_SourceData.Fertiliser_Products_Data3(),FertiliserProducts[[#Headers],[Include or Exclude]], 40)</f>
        <v/>
      </c>
      <c r="AE147" s="10" t="str" cm="1">
        <f t="array" ref="AE147">Common_InputFunctions.Utility_DisplayArrayInTable(Fertiliser_SourceData.Fertiliser_Products_Data3(),FertiliserProducts[[#Headers],[Include or Exclude]], 40)</f>
        <v/>
      </c>
    </row>
    <row r="148" spans="1:31" ht="20.100000000000001" customHeight="1" x14ac:dyDescent="0.25">
      <c r="A148"/>
      <c r="D148" s="62" t="str" cm="1">
        <f t="array" ref="D148">Common_InputFunctions.Utility_DisplayArrayInTable(Fertiliser_SourceData.Fertiliser_Products_Data3(),FertiliserProducts[[#Headers],[Include or Exclude]], 40)</f>
        <v>Yara Liquids SULSA 27-0-0+7S</v>
      </c>
      <c r="E148" s="62" t="str" cm="1">
        <f t="array" ref="E148">Common_InputFunctions.Utility_DisplayArrayInTable(Fertiliser_SourceData.Fertiliser_Products_Data3(),FertiliserProducts[[#Headers],[Include or Exclude]], 40)</f>
        <v/>
      </c>
      <c r="F148" s="62" t="str" cm="1">
        <f t="array" ref="F148">Common_InputFunctions.Utility_DisplayArrayInTable(Fertiliser_SourceData.Fertiliser_Products_Data3(),FertiliserProducts[[#Headers],[Include or Exclude]], 40)</f>
        <v/>
      </c>
      <c r="G148" s="62" t="str" cm="1">
        <f t="array" ref="G148">Common_InputFunctions.Utility_DisplayArrayInTable(Fertiliser_SourceData.Fertiliser_Products_Data3(),FertiliserProducts[[#Headers],[Include or Exclude]], 40)</f>
        <v/>
      </c>
      <c r="H148" s="62" t="str" cm="1">
        <f t="array" ref="H148">Common_InputFunctions.Utility_DisplayArrayInTable(Fertiliser_SourceData.Fertiliser_Products_Data3(),FertiliserProducts[[#Headers],[Include or Exclude]], 40)</f>
        <v/>
      </c>
      <c r="I148" s="62" t="str" cm="1">
        <f t="array" ref="I148">Common_InputFunctions.Utility_DisplayArrayInTable(Fertiliser_SourceData.Fertiliser_Products_Data3(),FertiliserProducts[[#Headers],[Include or Exclude]], 40)</f>
        <v/>
      </c>
      <c r="J148" s="62" t="str" cm="1">
        <f t="array" ref="J148">Common_InputFunctions.Utility_DisplayArrayInTable(Fertiliser_SourceData.Fertiliser_Products_Data3(),FertiliserProducts[[#Headers],[Include or Exclude]], 40)</f>
        <v/>
      </c>
      <c r="K148" s="62" t="str" cm="1">
        <f t="array" ref="K148">Common_InputFunctions.Utility_DisplayArrayInTable(Fertiliser_SourceData.Fertiliser_Products_Data3(),FertiliserProducts[[#Headers],[Include or Exclude]], 40)</f>
        <v/>
      </c>
      <c r="L148" s="62" t="str" cm="1">
        <f t="array" ref="L148">Common_InputFunctions.Utility_DisplayArrayInTable(Fertiliser_SourceData.Fertiliser_Products_Data3(),FertiliserProducts[[#Headers],[Include or Exclude]], 40)</f>
        <v/>
      </c>
      <c r="M148" s="62" t="str" cm="1">
        <f t="array" ref="M148">Common_InputFunctions.Utility_DisplayArrayInTable(Fertiliser_SourceData.Fertiliser_Products_Data3(),FertiliserProducts[[#Headers],[Include or Exclude]], 40)</f>
        <v/>
      </c>
      <c r="N148" s="62" t="str" cm="1">
        <f t="array" ref="N148">Common_InputFunctions.Utility_DisplayArrayInTable(Fertiliser_SourceData.Fertiliser_Products_Data3(),FertiliserProducts[[#Headers],[Include or Exclude]], 40)</f>
        <v/>
      </c>
      <c r="O148" s="62" t="str" cm="1">
        <f t="array" ref="O148">Common_InputFunctions.Utility_DisplayArrayInTable(Fertiliser_SourceData.Fertiliser_Products_Data3(),FertiliserProducts[[#Headers],[Include or Exclude]], 40)</f>
        <v/>
      </c>
      <c r="P148" s="62" t="str" cm="1">
        <f t="array" ref="P148">Common_InputFunctions.Utility_DisplayArrayInTable(Fertiliser_SourceData.Fertiliser_Products_Data3(),FertiliserProducts[[#Headers],[Include or Exclude]], 40)</f>
        <v/>
      </c>
      <c r="Q148" s="62" t="str" cm="1">
        <f t="array" ref="Q148">Common_InputFunctions.Utility_DisplayArrayInTable(Fertiliser_SourceData.Fertiliser_Products_Data3(),FertiliserProducts[[#Headers],[Include or Exclude]], 40)</f>
        <v/>
      </c>
      <c r="R148" s="62" t="str" cm="1">
        <f t="array" ref="R148">Common_InputFunctions.Utility_DisplayArrayInTable(Fertiliser_SourceData.Fertiliser_Products_Data3(),FertiliserProducts[[#Headers],[Include or Exclude]], 40)</f>
        <v/>
      </c>
      <c r="S148" s="62" t="str" cm="1">
        <f t="array" ref="S148">Common_InputFunctions.Utility_DisplayArrayInTable(Fertiliser_SourceData.Fertiliser_Products_Data3(),FertiliserProducts[[#Headers],[Include or Exclude]], 40)</f>
        <v/>
      </c>
      <c r="T148" s="62" t="str" cm="1">
        <f t="array" ref="T148">Common_InputFunctions.Utility_DisplayArrayInTable(Fertiliser_SourceData.Fertiliser_Products_Data3(),FertiliserProducts[[#Headers],[Include or Exclude]], 40)</f>
        <v/>
      </c>
      <c r="U148" s="62" t="str" cm="1">
        <f t="array" ref="U148">Common_InputFunctions.Utility_DisplayArrayInTable(Fertiliser_SourceData.Fertiliser_Products_Data3(),FertiliserProducts[[#Headers],[Include or Exclude]], 40)</f>
        <v/>
      </c>
      <c r="V148" s="62" t="str" cm="1">
        <f t="array" ref="V148">Common_InputFunctions.Utility_DisplayArrayInTable(Fertiliser_SourceData.Fertiliser_Products_Data3(),FertiliserProducts[[#Headers],[Include or Exclude]], 40)</f>
        <v/>
      </c>
      <c r="W148" s="62" t="str" cm="1">
        <f t="array" ref="W148">Common_InputFunctions.Utility_DisplayArrayInTable(Fertiliser_SourceData.Fertiliser_Products_Data3(),FertiliserProducts[[#Headers],[Include or Exclude]], 40)</f>
        <v>Crop Nutrition Solutions (Yara Australia)</v>
      </c>
      <c r="X148" s="62" t="str" cm="1">
        <f t="array" ref="X148">Common_InputFunctions.Utility_DisplayArrayInTable(Fertiliser_SourceData.Fertiliser_Products_Data3(),FertiliserProducts[[#Headers],[Include or Exclude]], 40)</f>
        <v/>
      </c>
      <c r="Y148" s="62" t="str" cm="1">
        <f t="array" ref="Y148">Common_InputFunctions.Utility_DisplayArrayInTable(Fertiliser_SourceData.Fertiliser_Products_Data3(),FertiliserProducts[[#Headers],[Include or Exclude]], 40)</f>
        <v/>
      </c>
      <c r="Z148" s="62" t="str" cm="1">
        <f t="array" ref="Z148">Common_InputFunctions.Utility_DisplayArrayInTable(Fertiliser_SourceData.Fertiliser_Products_Data3(),FertiliserProducts[[#Headers],[Include or Exclude]], 40)</f>
        <v/>
      </c>
      <c r="AA148" s="10" t="str" cm="1">
        <f t="array" ref="AA148">Common_InputFunctions.Utility_DisplayArrayInTable(Fertiliser_SourceData.Fertiliser_Products_Data3(),FertiliserProducts[[#Headers],[Include or Exclude]], 40)</f>
        <v/>
      </c>
      <c r="AB148" s="10" t="str" cm="1">
        <f t="array" ref="AB148">Common_InputFunctions.Utility_DisplayArrayInTable(Fertiliser_SourceData.Fertiliser_Products_Data3(),FertiliserProducts[[#Headers],[Include or Exclude]], 40)</f>
        <v/>
      </c>
      <c r="AC148" s="10" t="str" cm="1">
        <f t="array" ref="AC148">Common_InputFunctions.Utility_DisplayArrayInTable(Fertiliser_SourceData.Fertiliser_Products_Data3(),FertiliserProducts[[#Headers],[Include or Exclude]], 40)</f>
        <v/>
      </c>
      <c r="AD148" s="10" t="str" cm="1">
        <f t="array" ref="AD148">Common_InputFunctions.Utility_DisplayArrayInTable(Fertiliser_SourceData.Fertiliser_Products_Data3(),FertiliserProducts[[#Headers],[Include or Exclude]], 40)</f>
        <v/>
      </c>
      <c r="AE148" s="10" t="str" cm="1">
        <f t="array" ref="AE148">Common_InputFunctions.Utility_DisplayArrayInTable(Fertiliser_SourceData.Fertiliser_Products_Data3(),FertiliserProducts[[#Headers],[Include or Exclude]], 40)</f>
        <v/>
      </c>
    </row>
    <row r="149" spans="1:31" ht="20.100000000000001" customHeight="1" x14ac:dyDescent="0.25">
      <c r="A149"/>
      <c r="D149" s="62" t="str" cm="1">
        <f t="array" ref="D149">Common_InputFunctions.Utility_DisplayArrayInTable(Fertiliser_SourceData.Fertiliser_Products_Data4(),FertiliserProducts[[#Headers],[Include or Exclude]], 60)</f>
        <v>Product</v>
      </c>
      <c r="E149" s="62" t="str" cm="1">
        <f t="array" ref="E149">Common_InputFunctions.Utility_DisplayArrayInTable(Fertiliser_SourceData.Fertiliser_Products_Data4(),FertiliserProducts[[#Headers],[Include or Exclude]], 60)</f>
        <v>Ingredient 1</v>
      </c>
      <c r="F149" s="62" t="str" cm="1">
        <f t="array" ref="F149">Common_InputFunctions.Utility_DisplayArrayInTable(Fertiliser_SourceData.Fertiliser_Products_Data4(),FertiliserProducts[[#Headers],[Include or Exclude]], 60)</f>
        <v>Ingredient 1 percent</v>
      </c>
      <c r="G149" s="62" t="str" cm="1">
        <f t="array" ref="G149">Common_InputFunctions.Utility_DisplayArrayInTable(Fertiliser_SourceData.Fertiliser_Products_Data4(),FertiliserProducts[[#Headers],[Include or Exclude]], 60)</f>
        <v>Ingredient 1 source</v>
      </c>
      <c r="H149" s="62" t="str" cm="1">
        <f t="array" ref="H149">Common_InputFunctions.Utility_DisplayArrayInTable(Fertiliser_SourceData.Fertiliser_Products_Data4(),FertiliserProducts[[#Headers],[Include or Exclude]], 60)</f>
        <v>Ingredient 2</v>
      </c>
      <c r="I149" s="62" t="str" cm="1">
        <f t="array" ref="I149">Common_InputFunctions.Utility_DisplayArrayInTable(Fertiliser_SourceData.Fertiliser_Products_Data4(),FertiliserProducts[[#Headers],[Include or Exclude]], 60)</f>
        <v>Ingredient 2 percent</v>
      </c>
      <c r="J149" s="62" t="str" cm="1">
        <f t="array" ref="J149">Common_InputFunctions.Utility_DisplayArrayInTable(Fertiliser_SourceData.Fertiliser_Products_Data4(),FertiliserProducts[[#Headers],[Include or Exclude]], 60)</f>
        <v>Ingredient 2 source</v>
      </c>
      <c r="K149" s="62" t="str" cm="1">
        <f t="array" ref="K149">Common_InputFunctions.Utility_DisplayArrayInTable(Fertiliser_SourceData.Fertiliser_Products_Data4(),FertiliserProducts[[#Headers],[Include or Exclude]], 60)</f>
        <v>Ingredient 3</v>
      </c>
      <c r="L149" s="62" t="str" cm="1">
        <f t="array" ref="L149">Common_InputFunctions.Utility_DisplayArrayInTable(Fertiliser_SourceData.Fertiliser_Products_Data4(),FertiliserProducts[[#Headers],[Include or Exclude]], 60)</f>
        <v>Ingredient 3 percent</v>
      </c>
      <c r="M149" s="62" t="str" cm="1">
        <f t="array" ref="M149">Common_InputFunctions.Utility_DisplayArrayInTable(Fertiliser_SourceData.Fertiliser_Products_Data4(),FertiliserProducts[[#Headers],[Include or Exclude]], 60)</f>
        <v>Ingredient 3 source</v>
      </c>
      <c r="N149" s="62" t="str" cm="1">
        <f t="array" ref="N149">Common_InputFunctions.Utility_DisplayArrayInTable(Fertiliser_SourceData.Fertiliser_Products_Data4(),FertiliserProducts[[#Headers],[Include or Exclude]], 60)</f>
        <v>Ingredient 4</v>
      </c>
      <c r="O149" s="62" t="str" cm="1">
        <f t="array" ref="O149">Common_InputFunctions.Utility_DisplayArrayInTable(Fertiliser_SourceData.Fertiliser_Products_Data4(),FertiliserProducts[[#Headers],[Include or Exclude]], 60)</f>
        <v>Ingredient 4 percent</v>
      </c>
      <c r="P149" s="62" t="str" cm="1">
        <f t="array" ref="P149">Common_InputFunctions.Utility_DisplayArrayInTable(Fertiliser_SourceData.Fertiliser_Products_Data4(),FertiliserProducts[[#Headers],[Include or Exclude]], 60)</f>
        <v>Ingredient 4 source</v>
      </c>
      <c r="Q149" s="62" t="str" cm="1">
        <f t="array" ref="Q149">Common_InputFunctions.Utility_DisplayArrayInTable(Fertiliser_SourceData.Fertiliser_Products_Data4(),FertiliserProducts[[#Headers],[Include or Exclude]], 60)</f>
        <v>Ingredient 5</v>
      </c>
      <c r="R149" s="62" t="str" cm="1">
        <f t="array" ref="R149">Common_InputFunctions.Utility_DisplayArrayInTable(Fertiliser_SourceData.Fertiliser_Products_Data4(),FertiliserProducts[[#Headers],[Include or Exclude]], 60)</f>
        <v>Ingredient 5 percent</v>
      </c>
      <c r="S149" s="62" t="str" cm="1">
        <f t="array" ref="S149">Common_InputFunctions.Utility_DisplayArrayInTable(Fertiliser_SourceData.Fertiliser_Products_Data4(),FertiliserProducts[[#Headers],[Include or Exclude]], 60)</f>
        <v>Ingredient 5 source</v>
      </c>
      <c r="T149" s="62" t="str" cm="1">
        <f t="array" ref="T149">Common_InputFunctions.Utility_DisplayArrayInTable(Fertiliser_SourceData.Fertiliser_Products_Data4(),FertiliserProducts[[#Headers],[Include or Exclude]], 60)</f>
        <v>Ingredient 6</v>
      </c>
      <c r="U149" s="62" t="str" cm="1">
        <f t="array" ref="U149">Common_InputFunctions.Utility_DisplayArrayInTable(Fertiliser_SourceData.Fertiliser_Products_Data4(),FertiliserProducts[[#Headers],[Include or Exclude]], 60)</f>
        <v>Ingredient 6 percent</v>
      </c>
      <c r="V149" s="62" t="str" cm="1">
        <f t="array" ref="V149">Common_InputFunctions.Utility_DisplayArrayInTable(Fertiliser_SourceData.Fertiliser_Products_Data4(),FertiliserProducts[[#Headers],[Include or Exclude]], 60)</f>
        <v>Ingredient 6 source</v>
      </c>
      <c r="W149" s="62" t="str" cm="1">
        <f t="array" ref="W149">Common_InputFunctions.Utility_DisplayArrayInTable(Fertiliser_SourceData.Fertiliser_Products_Data4(),FertiliserProducts[[#Headers],[Include or Exclude]], 60)</f>
        <v>Product info link</v>
      </c>
      <c r="X149" s="62" t="str" cm="1">
        <f t="array" ref="X149">Common_InputFunctions.Utility_DisplayArrayInTable(Fertiliser_SourceData.Fertiliser_Products_Data4(),FertiliserProducts[[#Headers],[Include or Exclude]], 60)</f>
        <v/>
      </c>
      <c r="Y149" s="62" t="str" cm="1">
        <f t="array" ref="Y149">Common_InputFunctions.Utility_DisplayArrayInTable(Fertiliser_SourceData.Fertiliser_Products_Data4(),FertiliserProducts[[#Headers],[Include or Exclude]], 60)</f>
        <v/>
      </c>
      <c r="Z149" s="62" t="str" cm="1">
        <f t="array" ref="Z149">Common_InputFunctions.Utility_DisplayArrayInTable(Fertiliser_SourceData.Fertiliser_Products_Data4(),FertiliserProducts[[#Headers],[Include or Exclude]], 60)</f>
        <v/>
      </c>
      <c r="AA149" s="10" t="str" cm="1">
        <f t="array" ref="AA149">Common_InputFunctions.Utility_DisplayArrayInTable(Fertiliser_SourceData.Fertiliser_Products_Data4(),FertiliserProducts[[#Headers],[Include or Exclude]], 60)</f>
        <v/>
      </c>
      <c r="AB149" s="10" t="str" cm="1">
        <f t="array" ref="AB149">Common_InputFunctions.Utility_DisplayArrayInTable(Fertiliser_SourceData.Fertiliser_Products_Data4(),FertiliserProducts[[#Headers],[Include or Exclude]], 60)</f>
        <v/>
      </c>
      <c r="AC149" s="10" t="str" cm="1">
        <f t="array" ref="AC149">Common_InputFunctions.Utility_DisplayArrayInTable(Fertiliser_SourceData.Fertiliser_Products_Data4(),FertiliserProducts[[#Headers],[Include or Exclude]], 60)</f>
        <v/>
      </c>
      <c r="AD149" s="10" t="str" cm="1">
        <f t="array" ref="AD149">Common_InputFunctions.Utility_DisplayArrayInTable(Fertiliser_SourceData.Fertiliser_Products_Data4(),FertiliserProducts[[#Headers],[Include or Exclude]], 60)</f>
        <v/>
      </c>
      <c r="AE149" s="10" t="str" cm="1">
        <f t="array" ref="AE149">Common_InputFunctions.Utility_DisplayArrayInTable(Fertiliser_SourceData.Fertiliser_Products_Data4(),FertiliserProducts[[#Headers],[Include or Exclude]], 60)</f>
        <v/>
      </c>
    </row>
    <row r="150" spans="1:31" ht="20.100000000000001" customHeight="1" x14ac:dyDescent="0.25">
      <c r="A150"/>
      <c r="D150" s="62" t="str" cm="1">
        <f t="array" ref="D150">Common_InputFunctions.Utility_DisplayArrayInTable(Fertiliser_SourceData.Fertiliser_Products_Data4(),FertiliserProducts[[#Headers],[Include or Exclude]], 60)</f>
        <v>YaraVita BRASSITREL PRO</v>
      </c>
      <c r="E150" s="62" t="str" cm="1">
        <f t="array" ref="E150">Common_InputFunctions.Utility_DisplayArrayInTable(Fertiliser_SourceData.Fertiliser_Products_Data4(),FertiliserProducts[[#Headers],[Include or Exclude]], 60)</f>
        <v/>
      </c>
      <c r="F150" s="62" t="str" cm="1">
        <f t="array" ref="F150">Common_InputFunctions.Utility_DisplayArrayInTable(Fertiliser_SourceData.Fertiliser_Products_Data4(),FertiliserProducts[[#Headers],[Include or Exclude]], 60)</f>
        <v/>
      </c>
      <c r="G150" s="62" t="str" cm="1">
        <f t="array" ref="G150">Common_InputFunctions.Utility_DisplayArrayInTable(Fertiliser_SourceData.Fertiliser_Products_Data4(),FertiliserProducts[[#Headers],[Include or Exclude]], 60)</f>
        <v/>
      </c>
      <c r="H150" s="62" t="str" cm="1">
        <f t="array" ref="H150">Common_InputFunctions.Utility_DisplayArrayInTable(Fertiliser_SourceData.Fertiliser_Products_Data4(),FertiliserProducts[[#Headers],[Include or Exclude]], 60)</f>
        <v/>
      </c>
      <c r="I150" s="62" t="str" cm="1">
        <f t="array" ref="I150">Common_InputFunctions.Utility_DisplayArrayInTable(Fertiliser_SourceData.Fertiliser_Products_Data4(),FertiliserProducts[[#Headers],[Include or Exclude]], 60)</f>
        <v/>
      </c>
      <c r="J150" s="62" t="str" cm="1">
        <f t="array" ref="J150">Common_InputFunctions.Utility_DisplayArrayInTable(Fertiliser_SourceData.Fertiliser_Products_Data4(),FertiliserProducts[[#Headers],[Include or Exclude]], 60)</f>
        <v/>
      </c>
      <c r="K150" s="62" t="str" cm="1">
        <f t="array" ref="K150">Common_InputFunctions.Utility_DisplayArrayInTable(Fertiliser_SourceData.Fertiliser_Products_Data4(),FertiliserProducts[[#Headers],[Include or Exclude]], 60)</f>
        <v/>
      </c>
      <c r="L150" s="62" t="str" cm="1">
        <f t="array" ref="L150">Common_InputFunctions.Utility_DisplayArrayInTable(Fertiliser_SourceData.Fertiliser_Products_Data4(),FertiliserProducts[[#Headers],[Include or Exclude]], 60)</f>
        <v/>
      </c>
      <c r="M150" s="62" t="str" cm="1">
        <f t="array" ref="M150">Common_InputFunctions.Utility_DisplayArrayInTable(Fertiliser_SourceData.Fertiliser_Products_Data4(),FertiliserProducts[[#Headers],[Include or Exclude]], 60)</f>
        <v/>
      </c>
      <c r="N150" s="62" t="str" cm="1">
        <f t="array" ref="N150">Common_InputFunctions.Utility_DisplayArrayInTable(Fertiliser_SourceData.Fertiliser_Products_Data4(),FertiliserProducts[[#Headers],[Include or Exclude]], 60)</f>
        <v/>
      </c>
      <c r="O150" s="62" t="str" cm="1">
        <f t="array" ref="O150">Common_InputFunctions.Utility_DisplayArrayInTable(Fertiliser_SourceData.Fertiliser_Products_Data4(),FertiliserProducts[[#Headers],[Include or Exclude]], 60)</f>
        <v/>
      </c>
      <c r="P150" s="62" t="str" cm="1">
        <f t="array" ref="P150">Common_InputFunctions.Utility_DisplayArrayInTable(Fertiliser_SourceData.Fertiliser_Products_Data4(),FertiliserProducts[[#Headers],[Include or Exclude]], 60)</f>
        <v/>
      </c>
      <c r="Q150" s="62" t="str" cm="1">
        <f t="array" ref="Q150">Common_InputFunctions.Utility_DisplayArrayInTable(Fertiliser_SourceData.Fertiliser_Products_Data4(),FertiliserProducts[[#Headers],[Include or Exclude]], 60)</f>
        <v/>
      </c>
      <c r="R150" s="62" t="str" cm="1">
        <f t="array" ref="R150">Common_InputFunctions.Utility_DisplayArrayInTable(Fertiliser_SourceData.Fertiliser_Products_Data4(),FertiliserProducts[[#Headers],[Include or Exclude]], 60)</f>
        <v/>
      </c>
      <c r="S150" s="62" t="str" cm="1">
        <f t="array" ref="S150">Common_InputFunctions.Utility_DisplayArrayInTable(Fertiliser_SourceData.Fertiliser_Products_Data4(),FertiliserProducts[[#Headers],[Include or Exclude]], 60)</f>
        <v/>
      </c>
      <c r="T150" s="62" t="str" cm="1">
        <f t="array" ref="T150">Common_InputFunctions.Utility_DisplayArrayInTable(Fertiliser_SourceData.Fertiliser_Products_Data4(),FertiliserProducts[[#Headers],[Include or Exclude]], 60)</f>
        <v/>
      </c>
      <c r="U150" s="62" t="str" cm="1">
        <f t="array" ref="U150">Common_InputFunctions.Utility_DisplayArrayInTable(Fertiliser_SourceData.Fertiliser_Products_Data4(),FertiliserProducts[[#Headers],[Include or Exclude]], 60)</f>
        <v/>
      </c>
      <c r="V150" s="62" t="str" cm="1">
        <f t="array" ref="V150">Common_InputFunctions.Utility_DisplayArrayInTable(Fertiliser_SourceData.Fertiliser_Products_Data4(),FertiliserProducts[[#Headers],[Include or Exclude]], 60)</f>
        <v/>
      </c>
      <c r="W150" s="62" t="str" cm="1">
        <f t="array" ref="W150">Common_InputFunctions.Utility_DisplayArrayInTable(Fertiliser_SourceData.Fertiliser_Products_Data4(),FertiliserProducts[[#Headers],[Include or Exclude]], 60)</f>
        <v>Crop Nutrition Solutions (Yara Australia)</v>
      </c>
      <c r="X150" s="62" t="str" cm="1">
        <f t="array" ref="X150">Common_InputFunctions.Utility_DisplayArrayInTable(Fertiliser_SourceData.Fertiliser_Products_Data4(),FertiliserProducts[[#Headers],[Include or Exclude]], 60)</f>
        <v/>
      </c>
      <c r="Y150" s="62" t="str" cm="1">
        <f t="array" ref="Y150">Common_InputFunctions.Utility_DisplayArrayInTable(Fertiliser_SourceData.Fertiliser_Products_Data4(),FertiliserProducts[[#Headers],[Include or Exclude]], 60)</f>
        <v/>
      </c>
      <c r="Z150" s="62" t="str" cm="1">
        <f t="array" ref="Z150">Common_InputFunctions.Utility_DisplayArrayInTable(Fertiliser_SourceData.Fertiliser_Products_Data4(),FertiliserProducts[[#Headers],[Include or Exclude]], 60)</f>
        <v/>
      </c>
      <c r="AA150" s="10" t="str" cm="1">
        <f t="array" ref="AA150">Common_InputFunctions.Utility_DisplayArrayInTable(Fertiliser_SourceData.Fertiliser_Products_Data4(),FertiliserProducts[[#Headers],[Include or Exclude]], 60)</f>
        <v/>
      </c>
      <c r="AB150" s="10" t="str" cm="1">
        <f t="array" ref="AB150">Common_InputFunctions.Utility_DisplayArrayInTable(Fertiliser_SourceData.Fertiliser_Products_Data4(),FertiliserProducts[[#Headers],[Include or Exclude]], 60)</f>
        <v/>
      </c>
      <c r="AC150" s="10" t="str" cm="1">
        <f t="array" ref="AC150">Common_InputFunctions.Utility_DisplayArrayInTable(Fertiliser_SourceData.Fertiliser_Products_Data4(),FertiliserProducts[[#Headers],[Include or Exclude]], 60)</f>
        <v/>
      </c>
      <c r="AD150" s="10" t="str" cm="1">
        <f t="array" ref="AD150">Common_InputFunctions.Utility_DisplayArrayInTable(Fertiliser_SourceData.Fertiliser_Products_Data4(),FertiliserProducts[[#Headers],[Include or Exclude]], 60)</f>
        <v/>
      </c>
      <c r="AE150" s="10" t="str" cm="1">
        <f t="array" ref="AE150">Common_InputFunctions.Utility_DisplayArrayInTable(Fertiliser_SourceData.Fertiliser_Products_Data4(),FertiliserProducts[[#Headers],[Include or Exclude]], 60)</f>
        <v/>
      </c>
    </row>
    <row r="151" spans="1:31" ht="20.100000000000001" customHeight="1" x14ac:dyDescent="0.25">
      <c r="A151"/>
      <c r="D151" s="62" t="str" cm="1">
        <f t="array" ref="D151">Common_InputFunctions.Utility_DisplayArrayInTable(Fertiliser_SourceData.Fertiliser_Products_Data4(),FertiliserProducts[[#Headers],[Include or Exclude]], 60)</f>
        <v>YaraVita BUD BUILDER FL</v>
      </c>
      <c r="E151" s="62" t="str" cm="1">
        <f t="array" ref="E151">Common_InputFunctions.Utility_DisplayArrayInTable(Fertiliser_SourceData.Fertiliser_Products_Data4(),FertiliserProducts[[#Headers],[Include or Exclude]], 60)</f>
        <v/>
      </c>
      <c r="F151" s="62" t="str" cm="1">
        <f t="array" ref="F151">Common_InputFunctions.Utility_DisplayArrayInTable(Fertiliser_SourceData.Fertiliser_Products_Data4(),FertiliserProducts[[#Headers],[Include or Exclude]], 60)</f>
        <v/>
      </c>
      <c r="G151" s="62" t="str" cm="1">
        <f t="array" ref="G151">Common_InputFunctions.Utility_DisplayArrayInTable(Fertiliser_SourceData.Fertiliser_Products_Data4(),FertiliserProducts[[#Headers],[Include or Exclude]], 60)</f>
        <v/>
      </c>
      <c r="H151" s="62" t="str" cm="1">
        <f t="array" ref="H151">Common_InputFunctions.Utility_DisplayArrayInTable(Fertiliser_SourceData.Fertiliser_Products_Data4(),FertiliserProducts[[#Headers],[Include or Exclude]], 60)</f>
        <v/>
      </c>
      <c r="I151" s="62" t="str" cm="1">
        <f t="array" ref="I151">Common_InputFunctions.Utility_DisplayArrayInTable(Fertiliser_SourceData.Fertiliser_Products_Data4(),FertiliserProducts[[#Headers],[Include or Exclude]], 60)</f>
        <v/>
      </c>
      <c r="J151" s="62" t="str" cm="1">
        <f t="array" ref="J151">Common_InputFunctions.Utility_DisplayArrayInTable(Fertiliser_SourceData.Fertiliser_Products_Data4(),FertiliserProducts[[#Headers],[Include or Exclude]], 60)</f>
        <v/>
      </c>
      <c r="K151" s="62" t="str" cm="1">
        <f t="array" ref="K151">Common_InputFunctions.Utility_DisplayArrayInTable(Fertiliser_SourceData.Fertiliser_Products_Data4(),FertiliserProducts[[#Headers],[Include or Exclude]], 60)</f>
        <v/>
      </c>
      <c r="L151" s="62" t="str" cm="1">
        <f t="array" ref="L151">Common_InputFunctions.Utility_DisplayArrayInTable(Fertiliser_SourceData.Fertiliser_Products_Data4(),FertiliserProducts[[#Headers],[Include or Exclude]], 60)</f>
        <v/>
      </c>
      <c r="M151" s="62" t="str" cm="1">
        <f t="array" ref="M151">Common_InputFunctions.Utility_DisplayArrayInTable(Fertiliser_SourceData.Fertiliser_Products_Data4(),FertiliserProducts[[#Headers],[Include or Exclude]], 60)</f>
        <v/>
      </c>
      <c r="N151" s="62" t="str" cm="1">
        <f t="array" ref="N151">Common_InputFunctions.Utility_DisplayArrayInTable(Fertiliser_SourceData.Fertiliser_Products_Data4(),FertiliserProducts[[#Headers],[Include or Exclude]], 60)</f>
        <v/>
      </c>
      <c r="O151" s="62" t="str" cm="1">
        <f t="array" ref="O151">Common_InputFunctions.Utility_DisplayArrayInTable(Fertiliser_SourceData.Fertiliser_Products_Data4(),FertiliserProducts[[#Headers],[Include or Exclude]], 60)</f>
        <v/>
      </c>
      <c r="P151" s="62" t="str" cm="1">
        <f t="array" ref="P151">Common_InputFunctions.Utility_DisplayArrayInTable(Fertiliser_SourceData.Fertiliser_Products_Data4(),FertiliserProducts[[#Headers],[Include or Exclude]], 60)</f>
        <v/>
      </c>
      <c r="Q151" s="62" t="str" cm="1">
        <f t="array" ref="Q151">Common_InputFunctions.Utility_DisplayArrayInTable(Fertiliser_SourceData.Fertiliser_Products_Data4(),FertiliserProducts[[#Headers],[Include or Exclude]], 60)</f>
        <v/>
      </c>
      <c r="R151" s="62" t="str" cm="1">
        <f t="array" ref="R151">Common_InputFunctions.Utility_DisplayArrayInTable(Fertiliser_SourceData.Fertiliser_Products_Data4(),FertiliserProducts[[#Headers],[Include or Exclude]], 60)</f>
        <v/>
      </c>
      <c r="S151" s="62" t="str" cm="1">
        <f t="array" ref="S151">Common_InputFunctions.Utility_DisplayArrayInTable(Fertiliser_SourceData.Fertiliser_Products_Data4(),FertiliserProducts[[#Headers],[Include or Exclude]], 60)</f>
        <v/>
      </c>
      <c r="T151" s="62" t="str" cm="1">
        <f t="array" ref="T151">Common_InputFunctions.Utility_DisplayArrayInTable(Fertiliser_SourceData.Fertiliser_Products_Data4(),FertiliserProducts[[#Headers],[Include or Exclude]], 60)</f>
        <v/>
      </c>
      <c r="U151" s="62" t="str" cm="1">
        <f t="array" ref="U151">Common_InputFunctions.Utility_DisplayArrayInTable(Fertiliser_SourceData.Fertiliser_Products_Data4(),FertiliserProducts[[#Headers],[Include or Exclude]], 60)</f>
        <v/>
      </c>
      <c r="V151" s="62" t="str" cm="1">
        <f t="array" ref="V151">Common_InputFunctions.Utility_DisplayArrayInTable(Fertiliser_SourceData.Fertiliser_Products_Data4(),FertiliserProducts[[#Headers],[Include or Exclude]], 60)</f>
        <v/>
      </c>
      <c r="W151" s="62" t="str" cm="1">
        <f t="array" ref="W151">Common_InputFunctions.Utility_DisplayArrayInTable(Fertiliser_SourceData.Fertiliser_Products_Data4(),FertiliserProducts[[#Headers],[Include or Exclude]], 60)</f>
        <v>Crop Nutrition Solutions (Yara Australia)</v>
      </c>
      <c r="X151" s="62" t="str" cm="1">
        <f t="array" ref="X151">Common_InputFunctions.Utility_DisplayArrayInTable(Fertiliser_SourceData.Fertiliser_Products_Data4(),FertiliserProducts[[#Headers],[Include or Exclude]], 60)</f>
        <v/>
      </c>
      <c r="Y151" s="62" t="str" cm="1">
        <f t="array" ref="Y151">Common_InputFunctions.Utility_DisplayArrayInTable(Fertiliser_SourceData.Fertiliser_Products_Data4(),FertiliserProducts[[#Headers],[Include or Exclude]], 60)</f>
        <v/>
      </c>
      <c r="Z151" s="62" t="str" cm="1">
        <f t="array" ref="Z151">Common_InputFunctions.Utility_DisplayArrayInTable(Fertiliser_SourceData.Fertiliser_Products_Data4(),FertiliserProducts[[#Headers],[Include or Exclude]], 60)</f>
        <v/>
      </c>
      <c r="AA151" s="10" t="str" cm="1">
        <f t="array" ref="AA151">Common_InputFunctions.Utility_DisplayArrayInTable(Fertiliser_SourceData.Fertiliser_Products_Data4(),FertiliserProducts[[#Headers],[Include or Exclude]], 60)</f>
        <v/>
      </c>
      <c r="AB151" s="10" t="str" cm="1">
        <f t="array" ref="AB151">Common_InputFunctions.Utility_DisplayArrayInTable(Fertiliser_SourceData.Fertiliser_Products_Data4(),FertiliserProducts[[#Headers],[Include or Exclude]], 60)</f>
        <v/>
      </c>
      <c r="AC151" s="10" t="str" cm="1">
        <f t="array" ref="AC151">Common_InputFunctions.Utility_DisplayArrayInTable(Fertiliser_SourceData.Fertiliser_Products_Data4(),FertiliserProducts[[#Headers],[Include or Exclude]], 60)</f>
        <v/>
      </c>
      <c r="AD151" s="10" t="str" cm="1">
        <f t="array" ref="AD151">Common_InputFunctions.Utility_DisplayArrayInTable(Fertiliser_SourceData.Fertiliser_Products_Data4(),FertiliserProducts[[#Headers],[Include or Exclude]], 60)</f>
        <v/>
      </c>
      <c r="AE151" s="10" t="str" cm="1">
        <f t="array" ref="AE151">Common_InputFunctions.Utility_DisplayArrayInTable(Fertiliser_SourceData.Fertiliser_Products_Data4(),FertiliserProducts[[#Headers],[Include or Exclude]], 60)</f>
        <v/>
      </c>
    </row>
    <row r="152" spans="1:31" ht="20.100000000000001" customHeight="1" x14ac:dyDescent="0.25">
      <c r="A152"/>
      <c r="D152" s="62" t="str" cm="1">
        <f t="array" ref="D152">Common_InputFunctions.Utility_DisplayArrayInTable(Fertiliser_SourceData.Fertiliser_Products_Data4(),FertiliserProducts[[#Headers],[Include or Exclude]], 60)</f>
        <v>YaraVita FRUTREL</v>
      </c>
      <c r="E152" s="62" t="str" cm="1">
        <f t="array" ref="E152">Common_InputFunctions.Utility_DisplayArrayInTable(Fertiliser_SourceData.Fertiliser_Products_Data4(),FertiliserProducts[[#Headers],[Include or Exclude]], 60)</f>
        <v/>
      </c>
      <c r="F152" s="62" t="str" cm="1">
        <f t="array" ref="F152">Common_InputFunctions.Utility_DisplayArrayInTable(Fertiliser_SourceData.Fertiliser_Products_Data4(),FertiliserProducts[[#Headers],[Include or Exclude]], 60)</f>
        <v/>
      </c>
      <c r="G152" s="62" t="str" cm="1">
        <f t="array" ref="G152">Common_InputFunctions.Utility_DisplayArrayInTable(Fertiliser_SourceData.Fertiliser_Products_Data4(),FertiliserProducts[[#Headers],[Include or Exclude]], 60)</f>
        <v/>
      </c>
      <c r="H152" s="62" t="str" cm="1">
        <f t="array" ref="H152">Common_InputFunctions.Utility_DisplayArrayInTable(Fertiliser_SourceData.Fertiliser_Products_Data4(),FertiliserProducts[[#Headers],[Include or Exclude]], 60)</f>
        <v/>
      </c>
      <c r="I152" s="62" t="str" cm="1">
        <f t="array" ref="I152">Common_InputFunctions.Utility_DisplayArrayInTable(Fertiliser_SourceData.Fertiliser_Products_Data4(),FertiliserProducts[[#Headers],[Include or Exclude]], 60)</f>
        <v/>
      </c>
      <c r="J152" s="62" t="str" cm="1">
        <f t="array" ref="J152">Common_InputFunctions.Utility_DisplayArrayInTable(Fertiliser_SourceData.Fertiliser_Products_Data4(),FertiliserProducts[[#Headers],[Include or Exclude]], 60)</f>
        <v/>
      </c>
      <c r="K152" s="62" t="str" cm="1">
        <f t="array" ref="K152">Common_InputFunctions.Utility_DisplayArrayInTable(Fertiliser_SourceData.Fertiliser_Products_Data4(),FertiliserProducts[[#Headers],[Include or Exclude]], 60)</f>
        <v/>
      </c>
      <c r="L152" s="62" t="str" cm="1">
        <f t="array" ref="L152">Common_InputFunctions.Utility_DisplayArrayInTable(Fertiliser_SourceData.Fertiliser_Products_Data4(),FertiliserProducts[[#Headers],[Include or Exclude]], 60)</f>
        <v/>
      </c>
      <c r="M152" s="62" t="str" cm="1">
        <f t="array" ref="M152">Common_InputFunctions.Utility_DisplayArrayInTable(Fertiliser_SourceData.Fertiliser_Products_Data4(),FertiliserProducts[[#Headers],[Include or Exclude]], 60)</f>
        <v/>
      </c>
      <c r="N152" s="62" t="str" cm="1">
        <f t="array" ref="N152">Common_InputFunctions.Utility_DisplayArrayInTable(Fertiliser_SourceData.Fertiliser_Products_Data4(),FertiliserProducts[[#Headers],[Include or Exclude]], 60)</f>
        <v/>
      </c>
      <c r="O152" s="62" t="str" cm="1">
        <f t="array" ref="O152">Common_InputFunctions.Utility_DisplayArrayInTable(Fertiliser_SourceData.Fertiliser_Products_Data4(),FertiliserProducts[[#Headers],[Include or Exclude]], 60)</f>
        <v/>
      </c>
      <c r="P152" s="62" t="str" cm="1">
        <f t="array" ref="P152">Common_InputFunctions.Utility_DisplayArrayInTable(Fertiliser_SourceData.Fertiliser_Products_Data4(),FertiliserProducts[[#Headers],[Include or Exclude]], 60)</f>
        <v/>
      </c>
      <c r="Q152" s="62" t="str" cm="1">
        <f t="array" ref="Q152">Common_InputFunctions.Utility_DisplayArrayInTable(Fertiliser_SourceData.Fertiliser_Products_Data4(),FertiliserProducts[[#Headers],[Include or Exclude]], 60)</f>
        <v/>
      </c>
      <c r="R152" s="62" t="str" cm="1">
        <f t="array" ref="R152">Common_InputFunctions.Utility_DisplayArrayInTable(Fertiliser_SourceData.Fertiliser_Products_Data4(),FertiliserProducts[[#Headers],[Include or Exclude]], 60)</f>
        <v/>
      </c>
      <c r="S152" s="62" t="str" cm="1">
        <f t="array" ref="S152">Common_InputFunctions.Utility_DisplayArrayInTable(Fertiliser_SourceData.Fertiliser_Products_Data4(),FertiliserProducts[[#Headers],[Include or Exclude]], 60)</f>
        <v/>
      </c>
      <c r="T152" s="62" t="str" cm="1">
        <f t="array" ref="T152">Common_InputFunctions.Utility_DisplayArrayInTable(Fertiliser_SourceData.Fertiliser_Products_Data4(),FertiliserProducts[[#Headers],[Include or Exclude]], 60)</f>
        <v/>
      </c>
      <c r="U152" s="62" t="str" cm="1">
        <f t="array" ref="U152">Common_InputFunctions.Utility_DisplayArrayInTable(Fertiliser_SourceData.Fertiliser_Products_Data4(),FertiliserProducts[[#Headers],[Include or Exclude]], 60)</f>
        <v/>
      </c>
      <c r="V152" s="62" t="str" cm="1">
        <f t="array" ref="V152">Common_InputFunctions.Utility_DisplayArrayInTable(Fertiliser_SourceData.Fertiliser_Products_Data4(),FertiliserProducts[[#Headers],[Include or Exclude]], 60)</f>
        <v/>
      </c>
      <c r="W152" s="62" t="str" cm="1">
        <f t="array" ref="W152">Common_InputFunctions.Utility_DisplayArrayInTable(Fertiliser_SourceData.Fertiliser_Products_Data4(),FertiliserProducts[[#Headers],[Include or Exclude]], 60)</f>
        <v>Crop Nutrition Solutions (Yara Australia)</v>
      </c>
      <c r="X152" s="62" t="str" cm="1">
        <f t="array" ref="X152">Common_InputFunctions.Utility_DisplayArrayInTable(Fertiliser_SourceData.Fertiliser_Products_Data4(),FertiliserProducts[[#Headers],[Include or Exclude]], 60)</f>
        <v/>
      </c>
      <c r="Y152" s="62" t="str" cm="1">
        <f t="array" ref="Y152">Common_InputFunctions.Utility_DisplayArrayInTable(Fertiliser_SourceData.Fertiliser_Products_Data4(),FertiliserProducts[[#Headers],[Include or Exclude]], 60)</f>
        <v/>
      </c>
      <c r="Z152" s="62" t="str" cm="1">
        <f t="array" ref="Z152">Common_InputFunctions.Utility_DisplayArrayInTable(Fertiliser_SourceData.Fertiliser_Products_Data4(),FertiliserProducts[[#Headers],[Include or Exclude]], 60)</f>
        <v/>
      </c>
      <c r="AA152" s="10" t="str" cm="1">
        <f t="array" ref="AA152">Common_InputFunctions.Utility_DisplayArrayInTable(Fertiliser_SourceData.Fertiliser_Products_Data4(),FertiliserProducts[[#Headers],[Include or Exclude]], 60)</f>
        <v/>
      </c>
      <c r="AB152" s="10" t="str" cm="1">
        <f t="array" ref="AB152">Common_InputFunctions.Utility_DisplayArrayInTable(Fertiliser_SourceData.Fertiliser_Products_Data4(),FertiliserProducts[[#Headers],[Include or Exclude]], 60)</f>
        <v/>
      </c>
      <c r="AC152" s="10" t="str" cm="1">
        <f t="array" ref="AC152">Common_InputFunctions.Utility_DisplayArrayInTable(Fertiliser_SourceData.Fertiliser_Products_Data4(),FertiliserProducts[[#Headers],[Include or Exclude]], 60)</f>
        <v/>
      </c>
      <c r="AD152" s="10" t="str" cm="1">
        <f t="array" ref="AD152">Common_InputFunctions.Utility_DisplayArrayInTable(Fertiliser_SourceData.Fertiliser_Products_Data4(),FertiliserProducts[[#Headers],[Include or Exclude]], 60)</f>
        <v/>
      </c>
      <c r="AE152" s="10" t="str" cm="1">
        <f t="array" ref="AE152">Common_InputFunctions.Utility_DisplayArrayInTable(Fertiliser_SourceData.Fertiliser_Products_Data4(),FertiliserProducts[[#Headers],[Include or Exclude]], 60)</f>
        <v/>
      </c>
    </row>
    <row r="153" spans="1:31" ht="20.100000000000001" customHeight="1" x14ac:dyDescent="0.25">
      <c r="A153"/>
      <c r="D153" s="62" t="str" cm="1">
        <f t="array" ref="D153">Common_InputFunctions.Utility_DisplayArrayInTable(Fertiliser_SourceData.Fertiliser_Products_Data4(),FertiliserProducts[[#Headers],[Include or Exclude]], 60)</f>
        <v>YaraVita GLYTREL ZnP</v>
      </c>
      <c r="E153" s="62" t="str" cm="1">
        <f t="array" ref="E153">Common_InputFunctions.Utility_DisplayArrayInTable(Fertiliser_SourceData.Fertiliser_Products_Data4(),FertiliserProducts[[#Headers],[Include or Exclude]], 60)</f>
        <v/>
      </c>
      <c r="F153" s="62" t="str" cm="1">
        <f t="array" ref="F153">Common_InputFunctions.Utility_DisplayArrayInTable(Fertiliser_SourceData.Fertiliser_Products_Data4(),FertiliserProducts[[#Headers],[Include or Exclude]], 60)</f>
        <v/>
      </c>
      <c r="G153" s="62" t="str" cm="1">
        <f t="array" ref="G153">Common_InputFunctions.Utility_DisplayArrayInTable(Fertiliser_SourceData.Fertiliser_Products_Data4(),FertiliserProducts[[#Headers],[Include or Exclude]], 60)</f>
        <v/>
      </c>
      <c r="H153" s="62" t="str" cm="1">
        <f t="array" ref="H153">Common_InputFunctions.Utility_DisplayArrayInTable(Fertiliser_SourceData.Fertiliser_Products_Data4(),FertiliserProducts[[#Headers],[Include or Exclude]], 60)</f>
        <v/>
      </c>
      <c r="I153" s="62" t="str" cm="1">
        <f t="array" ref="I153">Common_InputFunctions.Utility_DisplayArrayInTable(Fertiliser_SourceData.Fertiliser_Products_Data4(),FertiliserProducts[[#Headers],[Include or Exclude]], 60)</f>
        <v/>
      </c>
      <c r="J153" s="62" t="str" cm="1">
        <f t="array" ref="J153">Common_InputFunctions.Utility_DisplayArrayInTable(Fertiliser_SourceData.Fertiliser_Products_Data4(),FertiliserProducts[[#Headers],[Include or Exclude]], 60)</f>
        <v/>
      </c>
      <c r="K153" s="62" t="str" cm="1">
        <f t="array" ref="K153">Common_InputFunctions.Utility_DisplayArrayInTable(Fertiliser_SourceData.Fertiliser_Products_Data4(),FertiliserProducts[[#Headers],[Include or Exclude]], 60)</f>
        <v/>
      </c>
      <c r="L153" s="62" t="str" cm="1">
        <f t="array" ref="L153">Common_InputFunctions.Utility_DisplayArrayInTable(Fertiliser_SourceData.Fertiliser_Products_Data4(),FertiliserProducts[[#Headers],[Include or Exclude]], 60)</f>
        <v/>
      </c>
      <c r="M153" s="62" t="str" cm="1">
        <f t="array" ref="M153">Common_InputFunctions.Utility_DisplayArrayInTable(Fertiliser_SourceData.Fertiliser_Products_Data4(),FertiliserProducts[[#Headers],[Include or Exclude]], 60)</f>
        <v/>
      </c>
      <c r="N153" s="62" t="str" cm="1">
        <f t="array" ref="N153">Common_InputFunctions.Utility_DisplayArrayInTable(Fertiliser_SourceData.Fertiliser_Products_Data4(),FertiliserProducts[[#Headers],[Include or Exclude]], 60)</f>
        <v/>
      </c>
      <c r="O153" s="62" t="str" cm="1">
        <f t="array" ref="O153">Common_InputFunctions.Utility_DisplayArrayInTable(Fertiliser_SourceData.Fertiliser_Products_Data4(),FertiliserProducts[[#Headers],[Include or Exclude]], 60)</f>
        <v/>
      </c>
      <c r="P153" s="62" t="str" cm="1">
        <f t="array" ref="P153">Common_InputFunctions.Utility_DisplayArrayInTable(Fertiliser_SourceData.Fertiliser_Products_Data4(),FertiliserProducts[[#Headers],[Include or Exclude]], 60)</f>
        <v/>
      </c>
      <c r="Q153" s="62" t="str" cm="1">
        <f t="array" ref="Q153">Common_InputFunctions.Utility_DisplayArrayInTable(Fertiliser_SourceData.Fertiliser_Products_Data4(),FertiliserProducts[[#Headers],[Include or Exclude]], 60)</f>
        <v/>
      </c>
      <c r="R153" s="62" t="str" cm="1">
        <f t="array" ref="R153">Common_InputFunctions.Utility_DisplayArrayInTable(Fertiliser_SourceData.Fertiliser_Products_Data4(),FertiliserProducts[[#Headers],[Include or Exclude]], 60)</f>
        <v/>
      </c>
      <c r="S153" s="62" t="str" cm="1">
        <f t="array" ref="S153">Common_InputFunctions.Utility_DisplayArrayInTable(Fertiliser_SourceData.Fertiliser_Products_Data4(),FertiliserProducts[[#Headers],[Include or Exclude]], 60)</f>
        <v/>
      </c>
      <c r="T153" s="62" t="str" cm="1">
        <f t="array" ref="T153">Common_InputFunctions.Utility_DisplayArrayInTable(Fertiliser_SourceData.Fertiliser_Products_Data4(),FertiliserProducts[[#Headers],[Include or Exclude]], 60)</f>
        <v/>
      </c>
      <c r="U153" s="62" t="str" cm="1">
        <f t="array" ref="U153">Common_InputFunctions.Utility_DisplayArrayInTable(Fertiliser_SourceData.Fertiliser_Products_Data4(),FertiliserProducts[[#Headers],[Include or Exclude]], 60)</f>
        <v/>
      </c>
      <c r="V153" s="62" t="str" cm="1">
        <f t="array" ref="V153">Common_InputFunctions.Utility_DisplayArrayInTable(Fertiliser_SourceData.Fertiliser_Products_Data4(),FertiliserProducts[[#Headers],[Include or Exclude]], 60)</f>
        <v/>
      </c>
      <c r="W153" s="62" t="str" cm="1">
        <f t="array" ref="W153">Common_InputFunctions.Utility_DisplayArrayInTable(Fertiliser_SourceData.Fertiliser_Products_Data4(),FertiliserProducts[[#Headers],[Include or Exclude]], 60)</f>
        <v>Crop Nutrition Solutions (Yara Australia)</v>
      </c>
      <c r="X153" s="62" t="str" cm="1">
        <f t="array" ref="X153">Common_InputFunctions.Utility_DisplayArrayInTable(Fertiliser_SourceData.Fertiliser_Products_Data4(),FertiliserProducts[[#Headers],[Include or Exclude]], 60)</f>
        <v/>
      </c>
      <c r="Y153" s="62" t="str" cm="1">
        <f t="array" ref="Y153">Common_InputFunctions.Utility_DisplayArrayInTable(Fertiliser_SourceData.Fertiliser_Products_Data4(),FertiliserProducts[[#Headers],[Include or Exclude]], 60)</f>
        <v/>
      </c>
      <c r="Z153" s="62" t="str" cm="1">
        <f t="array" ref="Z153">Common_InputFunctions.Utility_DisplayArrayInTable(Fertiliser_SourceData.Fertiliser_Products_Data4(),FertiliserProducts[[#Headers],[Include or Exclude]], 60)</f>
        <v/>
      </c>
      <c r="AA153" s="10" t="str" cm="1">
        <f t="array" ref="AA153">Common_InputFunctions.Utility_DisplayArrayInTable(Fertiliser_SourceData.Fertiliser_Products_Data4(),FertiliserProducts[[#Headers],[Include or Exclude]], 60)</f>
        <v/>
      </c>
      <c r="AB153" s="10" t="str" cm="1">
        <f t="array" ref="AB153">Common_InputFunctions.Utility_DisplayArrayInTable(Fertiliser_SourceData.Fertiliser_Products_Data4(),FertiliserProducts[[#Headers],[Include or Exclude]], 60)</f>
        <v/>
      </c>
      <c r="AC153" s="10" t="str" cm="1">
        <f t="array" ref="AC153">Common_InputFunctions.Utility_DisplayArrayInTable(Fertiliser_SourceData.Fertiliser_Products_Data4(),FertiliserProducts[[#Headers],[Include or Exclude]], 60)</f>
        <v/>
      </c>
      <c r="AD153" s="10" t="str" cm="1">
        <f t="array" ref="AD153">Common_InputFunctions.Utility_DisplayArrayInTable(Fertiliser_SourceData.Fertiliser_Products_Data4(),FertiliserProducts[[#Headers],[Include or Exclude]], 60)</f>
        <v/>
      </c>
      <c r="AE153" s="10" t="str" cm="1">
        <f t="array" ref="AE153">Common_InputFunctions.Utility_DisplayArrayInTable(Fertiliser_SourceData.Fertiliser_Products_Data4(),FertiliserProducts[[#Headers],[Include or Exclude]], 60)</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225</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226</v>
      </c>
      <c r="E9" s="25" t="s">
        <v>227</v>
      </c>
      <c r="F9" s="25" t="s">
        <v>228</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HYPERLINK("#'15 Scope 3'!A1", "15 Scope 3")</f>
        <v>15 Scope 3</v>
      </c>
    </row>
    <row r="21" spans="1:8" ht="20.100000000000001"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100000000000001"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100000000000001" customHeight="1" x14ac:dyDescent="0.25">
      <c r="A23" s="16" t="str">
        <f>HYPERLINK("#'8.1.1.1-2 Transport fuel'!A1", "8.1.1.1-2 Transport fuel")</f>
        <v>8.1.1.1-2 Transport fuel</v>
      </c>
    </row>
    <row r="24" spans="1:8" ht="20.100000000000001" customHeight="1" x14ac:dyDescent="0.25">
      <c r="A24" s="16" t="str">
        <f>HYPERLINK("#'8.2.1.1-2 Stationary fuel'!A1", "8.2.1.1-2 Stationary fuel")</f>
        <v>8.2.1.1-2 Stationary fuel</v>
      </c>
      <c r="D24" s="62" t="s">
        <v>226</v>
      </c>
      <c r="E24" s="62" t="s">
        <v>229</v>
      </c>
      <c r="F24" s="62" t="s">
        <v>230</v>
      </c>
      <c r="G24" s="62" t="s">
        <v>231</v>
      </c>
      <c r="H24" s="62" t="s">
        <v>232</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22" t="s">
        <v>78</v>
      </c>
    </row>
    <row r="28" spans="1:8" ht="20.100000000000001" customHeight="1" x14ac:dyDescent="0.25">
      <c r="A28" s="16" t="str">
        <f>HYPERLINK("#'Constants - Scope 3'!A1", "Constants - Scope 3")</f>
        <v>Constants - Scope 3</v>
      </c>
    </row>
    <row r="29" spans="1:8" ht="20.100000000000001" customHeight="1" x14ac:dyDescent="0.25">
      <c r="A29" s="16" t="str">
        <f>HYPERLINK("#'Constants - Solid Waste'!A1", "Constants - Solid Waste")</f>
        <v>Constants - Solid Waste</v>
      </c>
    </row>
    <row r="30" spans="1:8" ht="20.100000000000001" customHeight="1" x14ac:dyDescent="0.25">
      <c r="A30" s="16" t="str">
        <f>HYPERLINK("#'Constants - Fuel'!A1", "Constants - Fuel")</f>
        <v>Constants - Fuel</v>
      </c>
    </row>
    <row r="31" spans="1:8" ht="20.100000000000001" customHeight="1" x14ac:dyDescent="0.25">
      <c r="A31" s="16" t="str">
        <f>HYPERLINK("#'Constants - Poultry'!A1", "Constants - Poultry")</f>
        <v>Constants - Poultry</v>
      </c>
    </row>
    <row r="32" spans="1:8" ht="20.100000000000001" customHeight="1" x14ac:dyDescent="0.25">
      <c r="A32" s="16" t="str">
        <f>HYPERLINK("#'Constants - Swine'!A1", "Constants - Swine")</f>
        <v>Constants - Swine</v>
      </c>
    </row>
    <row r="33" spans="1:1" ht="20.100000000000001" customHeight="1" x14ac:dyDescent="0.25">
      <c r="A33" s="16" t="str">
        <f>HYPERLINK("#'Constants - Dairy'!A1", "Constants - Dairy")</f>
        <v>Constants - Dairy</v>
      </c>
    </row>
    <row r="34" spans="1:1" ht="20.100000000000001" customHeight="1" x14ac:dyDescent="0.25">
      <c r="A34" s="16" t="str">
        <f>HYPERLINK("#'Constants - Pasture Beef'!A1", "Constants - Pasture Beef")</f>
        <v>Constants - Pasture Beef</v>
      </c>
    </row>
    <row r="35" spans="1:1" ht="20.100000000000001" customHeight="1" x14ac:dyDescent="0.25">
      <c r="A35" s="16" t="str">
        <f>HYPERLINK("#'Constants - Common Livestock'!A1", "Constants - Common Livestock")</f>
        <v>Constants - Common Livestock</v>
      </c>
    </row>
    <row r="36" spans="1:1" ht="20.100000000000001" customHeight="1" x14ac:dyDescent="0.25">
      <c r="A36" s="16" t="str">
        <f>HYPERLINK("#'Constants - Fertiliser'!A1", "Constants - Fertiliser")</f>
        <v>Constants - Fertiliser</v>
      </c>
    </row>
    <row r="37" spans="1:1" ht="20.100000000000001" customHeight="1" x14ac:dyDescent="0.25">
      <c r="A37" s="23" t="str">
        <f>HYPERLINK("#'Constants - Electricity'!A1", "Constants - Electricity")</f>
        <v>Constants - Electricity</v>
      </c>
    </row>
    <row r="38" spans="1:1" ht="20.100000000000001" customHeight="1" x14ac:dyDescent="0.25">
      <c r="A38" s="16" t="str">
        <f>HYPERLINK("#'Constants - Common'!A1", "Constants - Common")</f>
        <v>Constants - Common</v>
      </c>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2"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878</v>
      </c>
    </row>
    <row r="264" spans="4:6" x14ac:dyDescent="0.25">
      <c r="D264" s="8" t="s">
        <v>879</v>
      </c>
    </row>
    <row r="265" spans="4:6" x14ac:dyDescent="0.25">
      <c r="D265" s="10" t="s">
        <v>250</v>
      </c>
      <c r="E265" s="10" t="s">
        <v>880</v>
      </c>
      <c r="F265" s="10" t="s">
        <v>881</v>
      </c>
    </row>
    <row r="266" spans="4:6" x14ac:dyDescent="0.25">
      <c r="D266" s="10" t="s">
        <v>882</v>
      </c>
      <c r="E266" s="10" t="s">
        <v>883</v>
      </c>
      <c r="F266" s="10">
        <v>5</v>
      </c>
    </row>
    <row r="267" spans="4:6" x14ac:dyDescent="0.25">
      <c r="D267" s="10" t="s">
        <v>884</v>
      </c>
      <c r="E267" s="10" t="s">
        <v>885</v>
      </c>
      <c r="F267" s="10">
        <v>4</v>
      </c>
    </row>
    <row r="268" spans="4:6" x14ac:dyDescent="0.25">
      <c r="D268" s="10" t="s">
        <v>886</v>
      </c>
      <c r="E268" s="10" t="s">
        <v>887</v>
      </c>
      <c r="F268" s="10">
        <v>3</v>
      </c>
    </row>
    <row r="269" spans="4:6" x14ac:dyDescent="0.25">
      <c r="D269" s="10" t="s">
        <v>888</v>
      </c>
      <c r="E269" s="10" t="s">
        <v>889</v>
      </c>
      <c r="F269" s="10">
        <v>2</v>
      </c>
    </row>
    <row r="270" spans="4:6" x14ac:dyDescent="0.25">
      <c r="D270" s="10" t="s">
        <v>890</v>
      </c>
      <c r="E270" s="10" t="s">
        <v>891</v>
      </c>
      <c r="F270" s="10">
        <v>1</v>
      </c>
    </row>
    <row r="273" spans="4:6" x14ac:dyDescent="0.25">
      <c r="D273" s="8" t="s">
        <v>892</v>
      </c>
    </row>
    <row r="274" spans="4:6" x14ac:dyDescent="0.25">
      <c r="D274" s="10" t="s">
        <v>250</v>
      </c>
      <c r="E274" s="10" t="s">
        <v>880</v>
      </c>
      <c r="F274" s="10" t="s">
        <v>881</v>
      </c>
    </row>
    <row r="275" spans="4:6" x14ac:dyDescent="0.25">
      <c r="D275" s="10" t="s">
        <v>893</v>
      </c>
      <c r="E275" s="10" t="s">
        <v>894</v>
      </c>
      <c r="F275" s="10">
        <v>5</v>
      </c>
    </row>
    <row r="276" spans="4:6" x14ac:dyDescent="0.25">
      <c r="D276" s="10" t="s">
        <v>895</v>
      </c>
      <c r="E276" s="10" t="s">
        <v>896</v>
      </c>
      <c r="F276" s="10">
        <v>4</v>
      </c>
    </row>
    <row r="277" spans="4:6" x14ac:dyDescent="0.25">
      <c r="D277" s="10" t="s">
        <v>897</v>
      </c>
      <c r="E277" s="10" t="s">
        <v>898</v>
      </c>
      <c r="F277" s="10">
        <v>3</v>
      </c>
    </row>
    <row r="278" spans="4:6" x14ac:dyDescent="0.25">
      <c r="D278" s="10" t="s">
        <v>899</v>
      </c>
      <c r="E278" s="10" t="s">
        <v>900</v>
      </c>
      <c r="F278" s="10">
        <v>2</v>
      </c>
    </row>
    <row r="279" spans="4:6" x14ac:dyDescent="0.25">
      <c r="D279" s="10" t="s">
        <v>901</v>
      </c>
      <c r="E279" s="10" t="s">
        <v>902</v>
      </c>
      <c r="F279" s="10">
        <v>1</v>
      </c>
    </row>
    <row r="282" spans="4:6" x14ac:dyDescent="0.25">
      <c r="D282" s="8" t="s">
        <v>903</v>
      </c>
    </row>
    <row r="283" spans="4:6" x14ac:dyDescent="0.25">
      <c r="D283" s="10" t="s">
        <v>250</v>
      </c>
      <c r="E283" s="10" t="s">
        <v>880</v>
      </c>
      <c r="F283" s="10" t="s">
        <v>881</v>
      </c>
    </row>
    <row r="284" spans="4:6" x14ac:dyDescent="0.25">
      <c r="D284" s="10" t="s">
        <v>904</v>
      </c>
      <c r="E284" s="10" t="s">
        <v>905</v>
      </c>
      <c r="F284" s="10">
        <v>5</v>
      </c>
    </row>
    <row r="285" spans="4:6" x14ac:dyDescent="0.25">
      <c r="D285" s="10" t="s">
        <v>906</v>
      </c>
      <c r="E285" s="10" t="s">
        <v>907</v>
      </c>
      <c r="F285" s="10">
        <v>4</v>
      </c>
    </row>
    <row r="286" spans="4:6" x14ac:dyDescent="0.25">
      <c r="D286" s="10" t="s">
        <v>908</v>
      </c>
      <c r="E286" s="10" t="s">
        <v>909</v>
      </c>
      <c r="F286" s="10">
        <v>3</v>
      </c>
    </row>
    <row r="287" spans="4:6" x14ac:dyDescent="0.25">
      <c r="D287" s="10" t="s">
        <v>910</v>
      </c>
      <c r="E287" s="10" t="s">
        <v>911</v>
      </c>
      <c r="F287" s="10">
        <v>2</v>
      </c>
    </row>
    <row r="288" spans="4:6" x14ac:dyDescent="0.25">
      <c r="D288" s="10" t="s">
        <v>912</v>
      </c>
      <c r="E288" s="10" t="s">
        <v>913</v>
      </c>
      <c r="F288" s="10">
        <v>1</v>
      </c>
    </row>
    <row r="291" spans="4:6" x14ac:dyDescent="0.25">
      <c r="D291" s="8" t="s">
        <v>914</v>
      </c>
    </row>
    <row r="292" spans="4:6" x14ac:dyDescent="0.25">
      <c r="D292" s="10" t="s">
        <v>250</v>
      </c>
      <c r="E292" s="10" t="s">
        <v>880</v>
      </c>
      <c r="F292" s="10" t="s">
        <v>881</v>
      </c>
    </row>
    <row r="293" spans="4:6" x14ac:dyDescent="0.25">
      <c r="D293" s="10" t="s">
        <v>915</v>
      </c>
      <c r="E293" s="10" t="s">
        <v>916</v>
      </c>
      <c r="F293" s="10">
        <v>5</v>
      </c>
    </row>
    <row r="294" spans="4:6" x14ac:dyDescent="0.25">
      <c r="D294" s="10" t="s">
        <v>917</v>
      </c>
      <c r="E294" s="10" t="s">
        <v>918</v>
      </c>
      <c r="F294" s="10">
        <v>4</v>
      </c>
    </row>
    <row r="295" spans="4:6" x14ac:dyDescent="0.25">
      <c r="D295" s="10" t="s">
        <v>919</v>
      </c>
      <c r="E295" s="10" t="s">
        <v>920</v>
      </c>
      <c r="F295" s="10">
        <v>3</v>
      </c>
    </row>
    <row r="296" spans="4:6" x14ac:dyDescent="0.25">
      <c r="D296" s="10" t="s">
        <v>921</v>
      </c>
      <c r="E296" s="10" t="s">
        <v>922</v>
      </c>
      <c r="F296" s="10">
        <v>2</v>
      </c>
    </row>
    <row r="297" spans="4:6" x14ac:dyDescent="0.25">
      <c r="D297" s="10" t="s">
        <v>923</v>
      </c>
      <c r="E297" s="10" t="s">
        <v>924</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AiAH0ALAB7ACIAcABhAHQAaAAiADoAIgAvAHAAcgBvAGoAZQBjAHQAcwAvAEMAbwBtAG0AbwBuAEwAaQB2AGUAcwB0AG8AYwBr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wAaQB2AGUAcwB0AG8AYwBrACAAdAB5AHAAZQBzAFwAbgBFAHgAYwBlAGwAIABtAG8AZAB1AGwAZQAgAG4AYQBtAGUAOgAgAFMAbwB1AHIAYwBlAEQAYQB0AGEAXwBMAGkAdgBlAHMAdABvAGMAawBfAEMAbwBtAG0AbwBu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TAG8AdQByAGMAZQBEAGEAdABhAF8ATABpAHYAZQBzAHQAbwBjAGsAXwBDAG8AbQBtAG8AbgBfAEYAcgBhAGMAVwBFAFQATQBNAFMAXABuAEYAcgBhAGMAVwBFAFQATQBNAFMAaQAgAD0AIABGAHIAYQBjAHQAaQBvAG4AIABvAGYAIABOACAAYQB2AGEAaQBsAGEAYgBsAGUAIABmAG8AcgAgAGwAZQBhAGMAaABpAG4AZwAgAGEAbgBkACAAcgB1AG4AbwBmAGYAXABuACgAVABhAGIAbABlACAAQQA1AC4ANQAuADEAMAAuADIAIABpAHMAIAByAGUAZgBlAHIAZQBuAGMAZQBkACAAaQBuACAATgBJAFIAIABiAHUAdAAgADEAIABpAHMAIAB1AHMAZQBkACkAXABuAC0ALQAtAC0ALQAtAC0ALQAtAC0ALQAtAC0ALQAtAC0ALQAtAC0ALQAtAC0ALQAtAC0ALQAtAC0ALQAtAC0ALQAtAC0ALQAtAC0ALQBcAG4AKgAvAFwAbgBcAG4AUwBvAHUAcgBjAGUARABhAHQAYQBfAEwAaQB2AGUAcwB0AG8AYwBrAF8AQwBvAG0AbQBvAG4AXwBGAHIAYQBjAFcARQBUAE0ATQBTAF8AVABpAHQAbABlAFwAbgAgACAAPQBMAEEATQBCAEQAQQAoAFwAIgBGAHIAYQBjAHQAaQBvAG4AIABvAGYAIABOACAAYQB2AGEAaQBsAGEAYgBsAGUAIABmAG8AcgAgAGwAZQBhAGMAaABpAG4AZwAgAGEAbgBkACAAcgB1AG4AbwBmAGYAXAAiACkAOwBcAG4AXABuAFMAbwB1AHIAYwBlAEQAYQB0AGEAXwBMAGkAdgBlAHMAdABvAGMAawBfAEMAbwBtAG0AbwBuAF8ARgByAGEAYwBXAEUAVABNAE0AUwBfAFUAbgBpAHQAXABuACAAIAA9AEwAQQBNAEIARABBACgAXAAiAEYAcgBhAGMAdABpAG8AbgBcACIAKQA7AFwAbgBcAG4AUwBvAHUAcgBjAGUARABhAHQAYQBfAEwAaQB2AGUAcwB0AG8AYwBrAF8AQwBvAG0AbQBvAG4AXwBGAHIAYQBjAFcARQBUAE0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XAEUAVABNAE0AUwBfAEQAYQB0AGEAXABuACAAIAA9AEwAQQBNAEIARABBACgAMQApADsAXABuAFwAbgAvACoAIABcAG4ALQAtAC0ALQAtAC0ALQAtAC0ALQAtAC0ALQAtAC0ALQAtAC0ALQAtAC0ALQAtAC0ALQAtAC0ALQAtAC0ALQAtAC0ALQAtAC0ALQAtAFwAbgBTAG8AdQByAGMAZQBEAGEAdABhAF8ATABpAHYAZQBzAHQAbwBjAGsAXwBDAG8AbQBtAG8AbgBfAEYAcgBhAGMATABFAEEAQwBIAF8ATQBTAFwAbgBGAHIAYQBjAEwARQBBAEMASABfAE0AUwAgAD0AIAAwAC4AMAAyACAAKABHAGcAIABOAC8ARwBnACAAYQBwAHAAbABpAGUAZAApACAAKABDAFMAIABFAEYALAAgAHMAbwB1AHIAYwBlACAASQBQAEMAQwAgACgAMgAwADEAOQApACkAIABcAG4AZgByAGEAYwB0AGkAbwBuACAAbwBmACAATgAgAGwAbwBzAHQAIAB0AGgAcgBvAHUAZwBoACAAbABlAGEAYwBoAGkAbgBnACAAYQBuAGQAIAByAHUAbgBvAGYAZgBcAG4ALQAtAC0ALQAtAC0ALQAtAC0ALQAtAC0ALQAtAC0ALQAtAC0ALQAtAC0ALQAtAC0ALQAtAC0ALQAtAC0ALQAtAC0ALQAtAC0ALQAtAFwAbgAqAC8AXABuAFwAbgBTAG8AdQByAGMAZQBEAGEAdABhAF8ATABpAHYAZQBzAHQAbwBjAGsAXwBDAG8AbQBtAG8AbgBfAEYAcgBhAGMATABFAEEAQwBIAF8ATQBTAF8AVABpAHQAbABlAFwAbgAgACAAPQBMAEEATQBCAEQAQQAoAFwAIgBGAHIAYQBjAHQAaQBvAG4AIABvAGYAIABOACAAbABvAHMAdAAgAHQAaAByAG8AdQBnAGgAIABsAGUAYQBjAGgAaQBuAGcAIABhAG4AZAAgAHIAdQBuAG8AZgBmAFwAIgApADsAXABuAFwAbgBTAG8AdQByAGMAZQBEAGEAdABhAF8ATABpAHYAZQBzAHQAbwBjAGsAXwBDAG8AbQBtAG8AbgBfAEYAcgBhAGMATABFAEEAQwBIAF8ATQBTAF8AVQBuAGkAdABcAG4AIAAgAD0ATABBAE0AQgBEAEEAKABcACIARgByAGEAYwB0AGkAbwBuAFwAIgApADsAXABuAFwAbgBTAG8AdQByAGMAZQBEAGEAdABhAF8ATABpAHYAZQBzAHQAbwBjAGsAXwBDAG8AbQBtAG8AbgBfAEYAcgBhAGMATABFAEEAQwBIAF8ATQBTAF8AUwBvAHUAcgBjAGUAXABuACAAIAA9AEwAQQBNAEIARABBACgAXAAiAE4AYQB0AGkAbwBuAGEAbAAgAEkAbgB2AGUAbgB0AG8AcgB5ACAAUgBlAHAAbwByAHQAIAAyADAAMgAzACAAVgBvAGwAdQBtAGUAIAAxADoAIABFAHEAdQBhAHQAaQBvAG4AcwAgADMALgBCAC4ANQBhAF8AMwAsACAAMwAuAEIALgA1AGMAXwAzACwAIAAzAC4AQgAuADUAZABfADMAXAAiACkAOwBcAG4AXABuAFMAbwB1AHIAYwBlAEQAYQB0AGEAXwBMAGkAdgBlAHMAdABvAGMAawBfAEMAbwBtAG0AbwBuAF8ARgByAGEAYwBMAEUAQQBDAEgAXwBNAFM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QwBvAG0AbQBvAG4AXwBTAHkAbQBiAG8AbABzAE0ATQBTAFwAbgBUAGEAYgBsAGUAIAA1AC4AMQAyACAAQQBkAGQAaQB0AGkAbwBuAGEAbAAgAHMAeQBtAGIAbwBsAHMAIAB1AHMAZQBkACAAaQBuACAAYQBsAGcAbwByAGkAdABoAG0AcwAgAGYAbwByACAAbQBhAG4AdQByAGUAIAByAGUAbABhAHQAZQBkACAAZQBtAGkAcwBzAGkAbwBuAHMAXABuAC0ALQAtAC0ALQAtAC0ALQAtAC0ALQAtAC0ALQAtAC0ALQAtAC0ALQAtAC0ALQAtAC0ALQAtAC0ALQAtAC0ALQAtAC0ALQAtAC0ALQBcAG4AKgAvAFwAbgBcAG4AUwBvAHUAcgBjAGUARABhAHQAYQBfAEwAaQB2AGUAcwB0AG8AYwBrAF8AQwBvAG0AbQBvAG4AXwBTAHkAbQBiAG8AbABzAE0ATQBTAF8AVABpAHQAbABlAFwAbgAgACAAPQBMAEEATQBCAEQAQQAoAFwAIgBUAGEAYgBsAGUAIAA1AC4AMQAyACAAQQBkAGQAaQB0AGkAbwBuAGEAbAAgAHMAeQBtAGIAbwBsAHMAIAB1AHMAZQBkACAAaQBuACAAYQBsAGcAbwByAGkAdABoAG0AcwAgAGYAbwByACAAbQBhAG4AdQByAGUAIAByAGUAbABhAHQAZQBkACAAZQBtAGkAcwBzAGkAbwBuAHMAXAAiACkAOwBcAG4AXABuAFMAbwB1AHIAYwBlAEQAYQB0AGEAXwBMAGkAdgBlAHMAdABvAGMAawBfAEMAbwBtAG0AbwBuAF8AUwB5AG0AYgBvAGwAcwBNAE0AUwBfAFYAYQBpAHIAYQBiAGwAZQBcAG4AIAAgAD0ATABBAE0AQgBEAEEAKABcACIATQBNAFMAXAAiACkAOwBcAG4AXABuAFMAbwB1AHIAYwBlAEQAYQB0AGEAXwBMAGkAdgBlAHMAdABvAGMAawBfAEMAbwBtAG0AbwBuAF8AUwB5AG0AYgBvAGwAcwBNAE0AUwBfAFUAbgBpAHQAXABuACAAIAA9AEwAQQBNAEIARABBACgAXAAiAFwAIgApADsAXABuAFwAbgBTAG8AdQByAGMAZQBEAGEAdABhAF8ATABpAHYAZQBzAHQAbwBjAGsAXwBDAG8AbQBtAG8AbgBfAFMAeQBtAGIAbwBsAHMATQBNAFMAXwBTAG8AdQByAGMAZQBcAG4AIAAgAD0ATABBAE0AQgBEAEEAKABcACIATgBhAHQAaQBvAG4AYQBsACAASQBuAHYAZQBuAHQAbwByAHkAIABSAGUAcABvAHIAdAAgADIAMAAyADMAIABWAG8AbAB1AG0AZQAgADEAOgAgAFQAYQBiAGwAZQAgADUALgAxADIAXAAiACkAOwBcAG4AXABuAFMAbwB1AHIAYwBlAEQAYQB0AGEAXwBMAGkAdgBlAHMAdABvAGMAawBfAEMAbwBtAG0AbwBuAF8AUwB5AG0AYgBvAGwAcwBNAE0AUwBfAEQAYQB0AGEAXABuACAAIAA9AEwAQQBNAEIARABBACgAXABuACAAIAAgACAATQBBAEsARQBBAFIAUgBBAFkAKAAxADkALAAgADMALAAgAFwAbgAgACAAIAAgACAAIABMAEEATQBCAEQAQQAoAHIALABjACwAIABcAG4AIAAgACAAIAAgACAAIAAgAEkATgBEAEUAWAAoAHsAXABuACAAIAAgACAAIAAgACAAIAAgACAAXAAiAFMAeQBtAGIAbwBsAFwAIgAsACAAXAAiAE0AYQBuAHUAcgBlACAAbQBhAG4AYQBnAGUAbQBlAG4AdAAgAHMAeQBzAHQAZQBtAFwAIgAsACAAXAAiAFwAIgA7AFwAbgAgACAAIAAgACAAIAAgACAAIAAgACAAIABcACIAMQBcACIALAAgAFwAIgBBAG4AYQBlAHIAbwBiAGkAYwAgAGwAYQBnAG8AbwBuAFwAIgAsACAAXAAiAEEAbgBhAGUAcgBvAGIAaQBjACAAbABhAGcAbwBvAG4AIAAoAG0APQAxACkAXAAiADsAXABuACAAIAAgACAAIAAgACAAIAAgACAAIAAgAFwAIgAyAFwAIgAsACAAXAAiAEwAaQBxAHUAaQBkACAAcwB5AHMAdABlAG0AcwBcACIALAAgAFwAIgBMAGkAcQB1AGkAZAAgAHMAeQBzAHQAZQBtAHMAIAAoAG0APQAyACkAXAAiADsAXABuACAAIAAgACAAIAAgACAAIAAgACAAIAAgAFwAIgAzAFwAIgAsACAAXAAiAEQAYQBpAGwAeQAgAHMAcAByAGUAYQBkAFwAIgAsACAAXAAiAEQAYQBpAGwAeQAgAHMAcAByAGUAYQBkACAAKABtAD0AMwApAFwAIgA7AFwAbgAgACAAIAAgACAAIAAgACAAIAAgACAAIABcACIAMwBhAFwAIgAsACAAXAAiAFMAdQBtAHAAIABhAG4AZAAgAGQAaQBzAHAAZQByAHMAYQBsACAAcwB5AHMAdABlAG0AXAAiACwAIABcACIAUwB1AG0AcAAgAGEAbgBkACAAZABpAHMAcABlAHIAcwBhAGwAIABzAHkAcwB0AGUAbQAgACgAbQA9ADMAYQApAFwAIgA7AFwAbgAgACAAIAAgACAAIAAgACAAIAAgACAAIABcACIAMwBiAFwAIgAsACAAXAAiAEQAcgBhAGkAbgBzACAAdABvACAAcABhAGQAZABvAGMAawBcACIALAAgAFwAIgBEAHIAYQBpAG4AcwAgAHQAbwAgAHAAYQBkAGQAbwBjAGsAIAAoAG0APQAzAGIAKQBcACIAOwBcAG4AIAAgACAAIAAgACAAIAAgACAAIAAgACAAXAAiADQAXAAiACwAIABcACIAUwBvAGwAaQBkACAAcwB0AG8AcgBhAGcAZQBcACIALAAgAFwAIgBTAG8AbABpAGQAIABzAHQAbwByAGEAZwBlACAAKABtAD0ANAApAFwAIgA7AFwAbgAgACAAIAAgACAAIAAgACAAIAAgACAAIABcACIANQBcACIALAAgAFwAIgBEAHIAeQBsAG8AdAAgACgAZgBlAGUAZAAgAHAAYQBkACkAXAAiACwAIABcACIARAByAHkAbABvAHQAIAAoAGYAZQBlAGQAIABwAGEAZAApACAAKABtAD0ANQApAFwAIgA7AFwAbgAgACAAIAAgACAAIAAgACAAIAAgACAAIABcACIANgBcACIALAAgAFwAIgBDAG8AbQBwAG8AcwB0AGkAbgBnACAAKABwAGEAcwBzAGkAdgBlACAAdwBpAG4AZAByAG8AdwApAFwAIgAsACAAXAAiAEMAbwBtAHAAbwBzAHQAaQBuAGcAIAAoAHAAYQBzAHMAaQB2AGUAIAB3AGkAbgBkAHIAbwB3ACkAIAAoAG0APQA2ACkAXAAiADsAXABuACAAIAAgACAAIAAgACAAIAAgACAAIAAgAFwAIgA3AFwAIgAsACAAXAAiAEQAaQBnAGUAcwB0AGUAcgAgAC8AIABjAG8AdgBlAHIAZQBkACAAbABhAGcAbwBvAG4AcwBcACIALAAgAFwAIgBEAGkAZwBlAHMAdABlAHIAIAAvACAAYwBvAHYAZQByAGUAZAAgAGwAYQBnAG8AbwBuAHMAIAAoAG0APQA3ACkAXAAiADsAXABuACAAIAAgACAAIAAgACAAIAAgACAAIAAgAFwAIgA4AFwAIgAsACAAXAAiAEQAZQBlAHAAIABsAGkAdAB0AGUAcgBcACIALAAgAFwAIgBEAGUAZQBwACAAbABpAHQAdABlAHIAIAAoAG0APQA4ACkAXAAiADsAXABuACAAIAAgACAAIAAgACAAIAAgACAAIAAgAFwAIgA5AFwAIgAsACAAXAAiAFAAaQB0ACAAcwB0AG8AcgBhAGcAZQBcACIALAAgAFwAIgBQAGkAdAAgAHMAdABvAHIAYQBnAGUAIAAoAG0APQA5ACkAXAAiADsAXABuACAAIAAgACAAIAAgACAAIAAgACAAIAAgAFwAIgAxADAAXAAiACwAIABcACIAUABvAHUAbAB0AHIAeQAgAG0AYQBuAHUAcgBlACAAdwBpAHQAaAAgAGIAZQBkAGQAaQBuAGcAXAAiACwAIABcACIAUABvAHUAbAB0AHIAeQAgAG0AYQBuAHUAcgBlACAAdwBpAHQAaAAgAGIAZQBkAGQAaQBuAGcAIAAoAG0APQAxADAAKQBcACIAOwBcAG4AIAAgACAAIAAgACAAIAAgACAAIAAgACAAXAAiADEAMQBcACIALAAgAFwAIgBQAG8AdQBsAHQAcgB5ACAAbQBhAG4AdQByAGUAIAB3AGkAdABoAG8AdQB0ACAAYgBlAGQAZABpAG4AZwBcACIALAAgAFwAIgBQAG8AdQBsAHQAcgB5ACAAbQBhAG4AdQByAGUAIAB3AGkAdABoAG8AdQB0ACAAYgBlAGQAZABpAG4AZwAgACgAbQA9ADEAMQApAFwAIgA7AFwAbgAgACAAIAAgACAAIAAgACAAIAAgACAAIABcACIAMQAxAGEAXAAiACwAIABcACIAQgBlAGwAdAAgAG0AYQBuAHUAcgBlACAAcgBlAG0AbwB2AGEAbABcACIALAAgAFwAIgBCAGUAbAB0ACAAbQBhAG4AdQByAGUAIAByAGUAbQBvAHYAYQBsACAAKABtAD0AMQAxAGEAKQBcACIAOwBcAG4AIAAgACAAIAAgACAAIAAgACAAIAAgACAAXAAiADEAMQBiAFwAIgAsACAAXAAiAE0AYQBuAHUAcgBlACAAcwB0AG8AcgBlAGQAIABpAG4AIABoAG8AdQBzAGUAXAAiACwAIABcACIATQBhAG4AdQByAGUAIABzAHQAbwByAGUAZAAgAGkAbgAgAGgAbwB1AHMAZQAgACgAbQA9ADEAMQBiACkAXAAiADsAXABuACAAIAAgACAAIAAgACAAIAAgACAAIAAgAFwAIgAxADIAXAAiACwAIABcACIARABpAHIAZQBjAHQAIABwAHIAbwBjAGUAcwBzAGkAbgBnAFwAIgAsACAAXAAiAEQAaQByAGUAYwB0ACAAcAByAG8AYwBlAHMAcwBpAG4AZwAgACgAbQA9ADEAMgApAFwAIgA7AFwAbgAgACAAIAAgACAAIAAgACAAIAAgACAAIABcACIAMQAzAFwAIgAsACAAXAAiAEQAaQByAGUAYwB0ACAAYQBwAHAAbABpAGMAYQB0AGkAbwBuAFwAIgAsACAAXAAiAEQAaQByAGUAYwB0ACAAYQBwAHAAbABpAGMAYQB0AGkAbwBuACAAKABtAD0AMQAzACkAXAAiADsAXABuACAAIAAgACAAIAAgACAAIAAgACAAIAAgAFwAIgAxADQAXAAiACwAIABcACIAUABhAHMAdAB1AHIAZQAgAHIAYQBuAGcAZQAgAGEAbgBkACAAcABhAGQAZABvAGMAawBcACIALAAgAFwAIgBQAGEAcwB0AHUAcgBlACAAcgBhAG4AZwBlACAAYQBuAGQAIABwAGEAZABkAG8AYwBrACAAKABtAD0AMQA0ACk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IAZQBlAGYAQwBhAHQAdABsAGUAXABuAC0ALQAtAC0ALQAtAC0ALQAtAC0ALQAtAC0ALQAtAC0ALQAtAC0ALQAtAC0ALQAtAC0ALQAtAC0ALQAtAC0ALQAtAC0ALQAtAC0ALQBcAG4AKgAvAFwAbgBcAG4AUwBvAHUAcgBjAGUARABhAHQAYQBfAEwAaQB2AGUAcwB0AG8AYwBrAF8AUAByAG8AZAB1AGMAdABfAEIAZQBlAGYAQwBhAHQAdABsAGUAXwBUAGkAdABsAGUAXABuACAAIAA9AEwAQQBNAEIARABBACgAXAAiAEIAZQBlAGYAIABjAGEAdAB0AGwAZQAgAHAAcgBvAGQAdQBjAHQAcwAgAGYAbwByACAAcwBjAG8AcABlACAAMwBcACIAKQA7AFwAbgBcAG4AUwBvAHUAcgBjAGUARABhAHQAYQBfAEwAaQB2AGUAcwB0AG8AYwBrAF8AUAByAG8AZAB1AGMAdABfAEIAZQBlAGYAQwBhAHQAdABsAGUAXwBWAGEAaQByAGEAYgBsAGUAXABuACAAIAA9AEwAQQBNAEIARABBACgAXAAiAFwAIgApADsAXABuAFwAbgBTAG8AdQByAGMAZQBEAGEAdABhAF8ATABpAHYAZQBzAHQAbwBjAGsAXwBQAHIAbwBkAHUAYwB0AF8AQgBlAGUAZgBDAGEAdAB0AGwAZQBfAFUAbgBpAHQAXABuACAAIAA9AEwAQQBNAEIARABBACgAXAAiAFwAIgApADsAXABuAFwAbgBTAG8AdQByAGMAZQBEAGEAdABhAF8ATABpAHYAZQBzAHQAbwBjAGsAXwBQAHIAbwBkAHUAYwB0AF8AQgBlAGUAZgBD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gBlAGUAZgBDAGEAdAB0AGwAZQBfAEQAYQB0AGEAXABuACAAIAA9AEwAQQBNAEIARABBACgAXABuACAAIAAgACAATQBBAEsARQBBAFIAUgBBAFkAKAA5ACwAIAAyACwAIABcAG4AIAAgACAAIAAgACAATABBAE0AQgBEAEEAKAByACwAYwAsACAAXABuACAAIAAgACAAIAAgACAAIABJAE4ARABFAFgAKAB7AFwAbgAgACAAIAAgACAAIAAgACAAIAAgAFwAIgBQAHIAbwBkAHUAYwB0AFwAIgAsACAAXAAiAFMAbwB1AHIAYwBlACAAcgBlAGcAaQBvAG4AXAAiADsAXABuACAAIAAgACAAIAAgACAAIAAgACAAIAAgAFwAIgBDAGEAdAB0AGwAZQAsACAAZgBvAHIAIABtAGEAbgB1AGYAYQBjAHQAdQByAGkAbgBnACAAYgBlAGUAZgBcACIALAAgAFwAIgBBAHUAcwB0AHIAYQBsAGkAYQBcACIAOwBcAG4AIAAgACAAIAAgACAAIAAgACAAIAAgACAAXAAiAEMAYQB0AHQAbABlACwAIABmAG8AcgAgAHAAcgBpAG0AZQAgAGIAZQBlAGYAXAAiACwAIABcACIATgBTAFcAXAAiADsAXABuACAAIAAgACAAIAAgACAAIAAgACAAIAAgAFwAIgBDAGEAdAB0AGwAZQAsACAAdwBlAGEAbgBlAHIAcwBcACIALAAgAFwAIgBOAFQ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QwBoAGkAYwBrAGUAbgBzAFwAbgAtAC0ALQAtAC0ALQAtAC0ALQAtAC0ALQAtAC0ALQAtAC0ALQAtAC0ALQAtAC0ALQAtAC0ALQAtAC0ALQAtAC0ALQAtAC0ALQAtAC0AXABuACoALwBcAG4AXABuAFMAbwB1AHIAYwBlAEQAYQB0AGEAXwBMAGkAdgBlAHMAdABvAGMAawBfAFAAcgBvAGQAdQBjAHQAXwBDAGgAaQBjAGsAZQBuAHMAXwBUAGkAdABsAGUAXABuACAAIAA9AEwAQQBNAEIARABBACgAXAAiAEMAaABpAGMAawBlAG4AcwAgAHAAcgBvAGQAdQBjAHQAcwAgAGYAbwByACAAcwBjAG8AcABlACAAMwBcACIAKQA7AFwAbgBcAG4AUwBvAHUAcgBjAGUARABhAHQAYQBfAEwAaQB2AGUAcwB0AG8AYwBrAF8AUAByAG8AZAB1AGMAdABfAEMAaABpAGMAawBlAG4AcwBfAFYAYQBpAHIAYQBiAGwAZQBcAG4AIAAgAD0ATABBAE0AQgBEAEEAKABcACIAXAAiACkAOwBcAG4AXABuAFMAbwB1AHIAYwBlAEQAYQB0AGEAXwBMAGkAdgBlAHMAdABvAGMAawBfAFAAcgBvAGQAdQBjAHQAXwBDAGgAaQBjAGsAZQBuAHMAXwBVAG4AaQB0AFwAbgAgACAAPQBMAEEATQBCAEQAQQAoAFwAIgBcACIAKQA7AFwAbgBcAG4AUwBvAHUAcgBjAGUARABhAHQAYQBfAEwAaQB2AGUAcwB0AG8AYwBrAF8AUAByAG8AZAB1AGMAdABfAEMAaABpAGMAawBlAG4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QwBoAGkAYwBrAGUAbg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MAaABpAGMAawBlAG4AcwBcACIALAAgAFwAIgBBAHUAcwB0AHIAYQBsAGkAY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RABhAGkAcgB5AGMAYQB0AHQAbABlAFwAbgAtAC0ALQAtAC0ALQAtAC0ALQAtAC0ALQAtAC0ALQAtAC0ALQAtAC0ALQAtAC0ALQAtAC0ALQAtAC0ALQAtAC0ALQAtAC0ALQAtAC0AXABuACoALwBcAG4AXABuAFMAbwB1AHIAYwBlAEQAYQB0AGEAXwBMAGkAdgBlAHMAdABvAGMAawBfAFAAcgBvAGQAdQBjAHQAXwBEAGEAaQByAHkAYwBhAHQAdABsAGUAXwBUAGkAdABsAGUAXABuACAAIAA9AEwAQQBNAEIARABBACgAXAAiAEQAYQBpAHIAeQAgAGMAYQB0AHQAbABlACAAcAByAG8AZAB1AGMAdABzACAAZgBvAHIAIABzAGMAbwBwAGUAIAAzAFwAIgApADsAXABuAFwAbgBTAG8AdQByAGMAZQBEAGEAdABhAF8ATABpAHYAZQBzAHQAbwBjAGsAXwBQAHIAbwBkAHUAYwB0AF8ARABhAGkAcgB5AGMAYQB0AHQAbABlAF8AVgBhAGkAcgBhAGIAbABlAFwAbgAgACAAPQBMAEEATQBCAEQAQQAoAFwAIgBcACIAKQA7AFwAbgBcAG4AUwBvAHUAcgBjAGUARABhAHQAYQBfAEwAaQB2AGUAcwB0AG8AYwBrAF8AUAByAG8AZAB1AGMAdABfAEQAYQBpAHIAeQBjAGEAdAB0AGwAZQBfAFUAbgBpAHQAXABuACAAIAA9AEwAQQBNAEIARABBACgAXAAiAFwAIgApADsAXABuAFwAbgBTAG8AdQByAGMAZQBEAGEAdABhAF8ATABpAHYAZQBzAHQAbwBjAGsAXwBQAHIAbwBkAHUAYwB0AF8ARABhAGkAcgB5AG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EAGEAaQByAHkAYwBhAHQAdABsAGU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RABhAGkAcgB5ACAAYwBvAHcAcwBcACIALAAgAFwAIgBWAEkAQ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UABpAGcAcwBcAG4ALQAtAC0ALQAtAC0ALQAtAC0ALQAtAC0ALQAtAC0ALQAtAC0ALQAtAC0ALQAtAC0ALQAtAC0ALQAtAC0ALQAtAC0ALQAtAC0ALQAtAFwAbgAqAC8AXABuAFwAbgBTAG8AdQByAGMAZQBEAGEAdABhAF8ATABpAHYAZQBzAHQAbwBjAGsAXwBQAHIAbwBkAHUAYwB0AF8AUABpAGcAcwBfAFQAaQB0AGwAZQBcAG4AIAAgAD0ATABBAE0AQgBEAEEAKABcACIAUABpAGcAcwAgAHAAcgBvAGQAdQBjAHQAcwAgAGYAbwByACAAcwBjAG8AcABlACAAMwBcACIAKQA7AFwAbgBcAG4AUwBvAHUAcgBjAGUARABhAHQAYQBfAEwAaQB2AGUAcwB0AG8AYwBrAF8AUAByAG8AZAB1AGMAdABfAFAAaQBnAHMAXwBWAGEAaQByAGEAYgBsAGUAXABuACAAIAA9AEwAQQBNAEIARABBACgAXAAiAFwAIgApADsAXABuAFwAbgBTAG8AdQByAGMAZQBEAGEAdABhAF8ATABpAHYAZQBzAHQAbwBjAGsAXwBQAHIAbwBkAHUAYwB0AF8AUABpAGcAcwBfAFUAbgBpAHQAXABuACAAIAA9AEwAQQBNAEIARABBACgAXAAiAFwAIgApADsAXABuAFwAbgBTAG8AdQByAGMAZQBEAGEAdABhAF8ATABpAHYAZQBzAHQAbwBjAGsAXwBQAHIAbwBkAHUAYwB0AF8AUABpAGcAcw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ABpAGc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QAGkAZwBzAFwAIgAsACAAXAAiAEEAdQBzAHQAcgBhAGwAaQBh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FMAaABlAGUAcABcAG4ALQAtAC0ALQAtAC0ALQAtAC0ALQAtAC0ALQAtAC0ALQAtAC0ALQAtAC0ALQAtAC0ALQAtAC0ALQAtAC0ALQAtAC0ALQAtAC0ALQAtAFwAbgAqAC8AXABuAFwAbgBTAG8AdQByAGMAZQBEAGEAdABhAF8ATABpAHYAZQBzAHQAbwBjAGsAXwBQAHIAbwBkAHUAYwB0AF8AUwBoAGUAZQBwAF8AVABpAHQAbABlAFwAbgAgACAAPQBMAEEATQBCAEQAQQAoAFwAIgBTAGgAZQBlAHAAIABwAHIAbwBkAHUAYwB0AHMAIABmAG8AcgAgAHMAYwBvAHAAZQAgADMAXAAiACkAOwBcAG4AXABuAFMAbwB1AHIAYwBlAEQAYQB0AGEAXwBMAGkAdgBlAHMAdABvAGMAawBfAFAAcgBvAGQAdQBjAHQAXwBTAGgAZQBlAHAAXwBWAGEAaQByAGEAYgBsAGUAXABuACAAIAA9AEwAQQBNAEIARABBACgAXAAiAFwAIgApADsAXABuAFwAbgBTAG8AdQByAGMAZQBEAGEAdABhAF8ATABpAHYAZQBzAHQAbwBjAGsAXwBQAHIAbwBkAHUAYwB0AF8AUwBoAGUAZQBwAF8AVQBuAGkAdABcAG4AIAAgAD0ATABBAE0AQgBEAEEAKABcACIAXAAiACkAOwBcAG4AXABuAFMAbwB1AHIAYwBlAEQAYQB0AGEAXwBMAGkAdgBlAHMAdABvAGMAawBfAFAAcgBvAGQAdQBjAHQAXwBTAGgAZQBlAHA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MAaABlAGUAcABfAEQAYQB0AGEAXABuACAAIAA9AEwAQQBNAEIARABBACgAXABuACAAIAAgACAATQBBAEsARQBBAFIAUgBBAFkAKAA4ACwAIAAyACwAIABcAG4AIAAgACAAIAAgACAATABBAE0AQgBEAEEAKAByACwAYwAsACAAXABuACAAIAAgACAAIAAgACAAIABJAE4ARABFAFgAKAB7AFwAbgAgACAAIAAgACAAIAAgACAAIAAgAFwAIgBQAHIAbwBkAHUAYwB0AFwAIgAsACAAXAAiAFMAbwB1AHIAYwBlACAAcgBlAGcAaQBvAG4AXAAiADsAXABuACAAIAAgACAAIAAgACAAIAAgACAAIAAgAFwAIgBTAGgAZQBlAHAALAAgAGYAbwByACAAbQB1AHQAdABvAG4AXAAiACwAIABcACIAQQB1AHMAdAByAGEAbABpAGEAXAAiADsAXABuACAAIAAgACAAIAAgACAAIAAgACAAIAAgAFwAIgBTAGgAZQBlAHAALAAgAGYAbwByACAAcAByAGkAbQBlACAAbABhAG0AYgBcACIALAAgAFwAIgBOAFMAVw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BcAHUAMAAwADIANwBSAGUAZgBlAHIAZQBuAGMAZQBcAHUAMAAwADIANwAsACAAYQBzACAAdABoAGUAIAB2AGEAbAB1AGUAIABpAHMAIABjAG8AbgBzAGkAcwB0AGUAbgB0AGwAeQAgAFwAdQAwADAAMgA3AEQAYQBpAHIAeQAgAEEAdQBzAHQAcgBhAGwAaQBhACAAWwAxAF0AXAB1ADAAMAAyADcAIABhAG4AZAAgAGkAcwAgAG4AbwB0ACAAdQBzAGUAZAAgAGkAbgAgAGMAYQBsAGMAdQBsAGEAdABpAG8AbgAuAFwAIgApADsAXABuAFwAbgBTAG8AdQByAGMAZQBEAGEAdABhAF8ARABhAGkAcgB5AF8ATABpAHYAZQB3AGUAaQBnAGgAdABDAG8AdwBzAEEAbgBkAEgAZQBpAGYAZQByAHMAXwBEAGEAdABhAFwAbgAgACAAPQBMAEEATQBCAEQAQQAoAFwAbgAgACAAIAAgAE0AQQBLAEUAQQBSAFIAQQBZACgAMQAxACwAIAA0ACwAXABuACAAIAAgACAAIAAgAEwAQQBNAEIARABBACgAcgAsAGMALABcAG4AIAAgACAAIAAgACAAIAAgAEkATgBEAEUAWAAoAHsAXABuACAAIAAgACAAIAAgACAAIAAgACAAXAAiAEIAcgBlAGUAZABcACIALAAgAFwAIgBNAGkAbABrAGkAbgBnACAAQwBvAHcAcwBcACIALAAgAFwAIgBIAGUAaQBmAGUAcgBzACAAXAB1ADAAMAAzAGUAMQBcACIALAAgAFwAIgBIAGUAaQBmAGUAcgBzACAAXAB1ADAAMAAzAGM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XAB1ADAAMAAzAGUAMQBcACIALAAgAFwAIgBCAHUAbABsAHMAIABcAHUAMAAwADMAYw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1ADkAMAAsACAANQA5ADAALAAgADUAOQAwACwAIAA3ADcAMAAsACAANwA3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QAHIAZQBXAGUAYQBuAGUAZABDAGEAbAB2AGUAcwBcAG4AVABhAGIAbABlACAAQQAuADEALgAzAC4ANQA6ACAARABhAGkAcgB5ACAAYwBhAHQAdABsAGUAIAAtACAARABhAHQAYQAgAGYAbwByACAAcAByAGUAIAAtACAAdwBlAGEAbgBlAGQAIABjAGEAbAB2AGUAcwBcAG4ALQAtAC0ALQAtAC0ALQAtAC0ALQAtAC0ALQAtAC0ALQAtAC0ALQAtAC0ALQAtAC0ALQAtAC0ALQAtAC0ALQAtAC0ALQAtAC0ALQAtAFwAbgAqAC8AXABuAFwAbgBTAG8AdQByAGMAZQBEAGEAdABhAF8ARABhAGkAcgB5AF8AUAByAGUAVwBlAGEAbgBlAGQAQwBhAGwAdgBlAHMAXwBUAGkAdABsAGUAXABuACAAIAA9AEwAQQBNAEIARABBACgAXAAiAFQAYQBiAGwAZQAgAEEALgAxAC4AMwAuADUAOgAgAEQAYQBpAHIAeQAgAGMAYQB0AHQAbABlACAALQAgAEQAYQB0AGEAIABmAG8AcgAgAHAAcgBlACAALQAgAHcAZQBhAG4AZQBkACAAYwBhAGwAdgBlAHMAXAAiACkAOwBcAG4AXABuAFMAbwB1AHIAYwBlAEQAYQB0AGEAXwBEAGEAaQByAHkAXwBQAHIAZQBXAGUAYQBuAGUAZABDAGEAbAB2AGUAcwBfAFYAYQByAGkAYQBiAGwAZQBcAG4AIAAgAD0ATABBAE0AQgBEAEEAKABcACIAVgBTAGoAPQAzACwANQA7ACAATgBQAFcAagA9ADMALAA1AFwAIgApADsAXABuAFwAbgBTAG8AdQByAGMAZQBEAGEAdABhAF8ARABhAGkAcgB5AF8AUAByAGUAVwBlAGEAbgBlAGQAQwBhAGwAdgBlAHMAXwBVAG4AaQB0AFwAbgAgACAAPQBMAEEATQBCAEQAQQAoAFwAIgBrAGcALwBkAGEAeQBcACIAKQA7AFwAbgBcAG4AUwBvAHUAcgBjAGUARABhAHQAYQBfAEQAYQBpAHIAeQBfAFAAcgBlAFcAZQBhAG4AZQBkAEMAYQBsAHYAZQBzAF8AUwBvAHUAcgBjAGUAXABuACAAIAA9AEwAQQBNAEIARABBACgAXAAiAFYARQBFAFIARwAgADIAMAAyADYAOgAgAFQAYQBiAGwAZQAgAEEALgAxAC4AMwAuADUAXAAiACkAOwBcAG4AXABuAFMAbwB1AHIAYwBlAEQAYQB0AGEAXwBEAGEAaQByAHkAXwBQAHIAZQBXAGUAYQBuAGUAZABDAGEAbAB2AGUAcwBfAFYAYQByAGkAYQB0AGkAbwBuAFwAbgAgACAAPQBMAEEATQBCAEQAQQAoAFwAIgBWAEEAUgBJAEEAVABJAE8ATgAgAE8ARgAgAFMATwBVAFIAQwBFADoAIABBAGQAZABlAGQAIABcAHUAMAAwADIANwBBAG4AaQBtAGEAbAAgAGMAbABhAHMAcwAgAGoAXAB1ADAAMAAyAD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XAB1ADAAMAAzAGMAMQBcACIALAAgADAALgAwADEANwA2ACwAIAAwAC4AMgA2ADgANQAsACAAMAAuADAAMQAzADcAOwBcAG4AIAAgACAAIAAgACAAIAAgACAAIABcACIAQgB1AGwAbABzAFwAdQAwADAAMwBj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BcAHUAMAAwADIANwBOAEkAUgAgAHIAZQBmAGUAcgBlAG4AYwBlAFwAdQAwADAAMgA3ACAAYwBvAGwAdQBtAG4AIAB0AG8AIABhAGkAZAAgAGwAbwBvAGsAdQBwAFwAIgApADsAXABuAFwAbgBTAG8AdQByAGMAZQBEAGEAdABhAF8ARABhAGkAcgB5AF8ATQBDAEYAXwBEAGEAdABhAFwAbgAgACAAPQBMAEEATQBCAEQAQQAoAFwAbgAgACAAIAAgAE0AQQBLAEUAQQBSAFIAQQBZACgANwAsACAAMQAwACwAXABuACAAIAAgACAAIAAgAEwAQQBNAEIARABBACgAcgAsAGMALABcAG4AIAAgACAAIAAgACAAIAAgAEkATgBEAEUAWAAoAHsAXABuACAAIAAgACAAIAAgACAAIAAgACAAXAAiAE0ATQBTACAAbQBcACIALAAgAFwAIgBBAEMAVABcACIALAAgAFwAIgBOAFMAVwBcACIALAAgAFwAIgBOAFQAXAAiACwAIABcACIAUQBMAEQAXAAiACwAIABcACIAUwBBAFwAIgAsACAAXAAiAFQAQQBTAFwAIgAsACAAXAAiAFYASQBDAFwAIgAsACAAXAAiAFcAQQBcACIALAAgAFwAIgBOAEkAUgAgAHIAZQBmAGUAcgBlAG4AYwBlAFwAIgA7AFwAbgAgACAAIAAgACAAIAAgACAAIAAgAFwAIgBQAGEAcwB0AHUAcgBlAFwAIgAsACAAMAAuADAAMQAsACAAMAAuADAAMQAsACAAMAAuADAAMgAsACAAMAAuADAAMQAsACAAMAAuADAAMQAsACAAMAAuADAAMQAsACAAMAAuADAAMQAsACAAMAAuADAAMQAsACAAXAAiAFAAYQBzAHQAdQByAGUAIAByAGEAbgBnAGUAIABhAG4AZAAgAHAAYQBkAGQAbwBjAGsAXAAiADsAXABuACAAIAAgACAAIAAgACAAIAAgACAAXAAiAEEAbgBhAGUAcgBvAGIAaQBjACAAbABhAGcAbwBvAG4AXAAiACwAIAAwAC4ANwAyACwAIAAwAC4ANwA2ACwAIAAwAC4AOAAsACAAMAAuADcAOAAsACAAMAAuADcANAAsACAAMAAuADYAOQAsACAAMAAuADcAMwAsACAAMAAuADcANgAsACAAXAAiAEEAbgBhAGUAcgBvAGIAaQBjACAAbABhAGcAbwBvAG4AXAAiADsAXABuACAAIAAgACAAIAAgACAAIAAgACAAXAAiAEQAYQBpAGwAeQAgAHMAcAByAGUAYQBkACAALQAgAFMAdQBtAHAAIABhAG4AZAAgAGQAaQBzAHAAZQByAHMAYQBsACAAcwB5AHMAdABlAG0AcwBcACIALAAgADAALgAwADAANQAsACAAMAAuADAAMAA1ACwAIAAwAC4AMAAxACwAIAAwAC4AMAAwADUALAAgADAALgAwADAANQAsACAAMAAuADAAMAAxACwAIAAwAC4AMAAwADUALAAgADAALgAwADAANQAsACAAXAAiAFMAdQBtAHAAIABhAG4AZAAgAGQAaQBzAHAAZQByAHMAYQBsACAAcwB5AHMAdABlAG0AXAAiADsAXABuACAAIAAgACAAIAAgACAAIAAgACAAXAAiAEQAYQBpAGwAeQAgAHMAcAByAGUAYQBkACAALQAgAEQAcgBhAGkAbgBzACAAdABvACAAcABhAGQAZABvAGMAawBzACAAKABhACkAXAAiACwAIAAwAC4AMQA1ACwAIAAwAC4AMQA4ACwAIAAwAC4ANQAwACwAIAAwAC4AMgA0ACwAIAAwAC4AMQA3ACwAIAAwAC4AMQAzACwAIAAwAC4AMQA3ACwAIAAwAC4AMQA4ACwAIABcACIARAByAGEAaQBuAHMAIAB0AG8AIABwAGEAZABkAG8AYwBrAFwAIgA7AFwAbgAgACAAIAAgACAAIAAgACAAIAAgAFwAIgBTAG8AbABpAGQAIABTAHQAbwByAGEAZwBlAFwAIgAsACAAMAAuADAAMgAsACAAMAAuADAAMgAsACAAMAAuADAAMgAsACAAMAAuADAAMgAsACAAMAAuADAAMgAsACAAMAAuADAAMgAsACAAMAAuADAAMgAsACAAMAAuADAAMgAsACAAXAAiAFMAbwBsAGkAZAAgAHMAdABvAHIAYQBnAGUAXAAiADs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OAGkAdAByAG8AdQBzAE8AeABpAGQAZQBFAEYAcwBBAG4AZABGAHIAYQBjAEcAQQBTAE0AXABuAFQAYQBiAGwAZQAgAEEALgAxAC4AMwAuADcAOgAgAEQAYQBpAHIAeQAgAGMAYQB0AHQAbABlACAALQAgAE4AaQB0AHIAbwB1AHMAIABvAHgAaQBkAGUAIABFAEYAcwAgAGEAbgBkACAAZgByAGEAYwB0AGkAbwBuACAAbwBmACAATgAgAHYAbwBsAGEAdABpAGwAaQBzAGUAZAAgAGIAeQAgAE0ATQBTAFwAbgAtAC0ALQAtAC0ALQAtAC0ALQAtAC0ALQAtAC0ALQAtAC0ALQAtAC0ALQAtAC0ALQAtAC0ALQAtAC0ALQAtAC0ALQAtAC0ALQAtAC0AXABuACoALwBcAG4AXABuAFMAbwB1AHIAYwBlAEQAYQB0AGEAXwBEAGEAaQByAHkAXwBOAGkAdAByAG8AdQBzAE8AeABpAGQAZQBFAEYAcwBBAG4AZABGAHIAYQBjAEcAQQBTAE0AXwBUAGkAdABsAGUAXABuACAAIAA9AEwAQQBNAEIARABBACgAXAAiAFQAYQBiAGwAZQAgAEEALgAxAC4AMwAuADcAOgAgAEQAYQBpAHIAeQAgAGMAYQB0AHQAbABlACAALQAgAE4AaQB0AHIAbwB1AHMAIABvAHgAaQBkAGUAIABFAEYAcwAgAGEAbgBkACAAZgByAGEAYwB0AGkAbwBuACAAbwBmACAATgAgAHYAbwBsAGEAdABpAGwAaQBzAGUAZAAgAGIAeQAgAE0ATQBTAFwAIgApADsAXABuAFwAbgBTAG8AdQByAGMAZQBEAGEAdABhAF8ARABhAGkAcgB5AF8ATgBpAHQAcgBvAHUAcwBPAHgAaQBkAGUARQBGAHMAQQBuAGQARgByAGEAYwBHAEEAUwBNAF8AVgBhAHIAaQBhAGIAbABlAFwAbgAgACAAPQBMAEEATQBCAEQAQQAoAFwAIgBFAEYAbQA7ACAARgByAGEAYwBHAEEAUwBNAG0AXAAiACkAOwBcAG4AXABuAFMAbwB1AHIAYwBlAEQAYQB0AGEAXwBEAGEAaQByAHkAXwBOAGkAdAByAG8AdQBzAE8AeABpAGQAZQBFAEYAcwBBAG4AZABGAHIAYQBjAEcAQQBTAE0AXwBVAG4AaQB0AFwAbgAgACAAPQBMAEEATQBCAEQAQQAoAFwAIgBrAGcAIABOADIATwAtAE4ALwBrAGcAIABOACAAZQB4AGMAcgBlAHQAZQBkAFwAIgApADsAXABuAFwAbgBTAG8AdQByAGMAZQBEAGEAdABhAF8ARABhAGkAcgB5AF8ATgBpAHQAcgBvAHUAcwBPAHgAaQBkAGUARQBGAHMAQQBuAGQARgByAGEAYwBHAEEAUwBNAF8AUwBvAHUAcgBjAGUAXABuACAAIAA9AEwAQQBNAEIARABBACgAXAAiAFYARQBFAFIARwAgADIAMAAyADYAOgAgAFQAYQBiAGwAZQAgAEEALgAxAC4AMwAuADcAXAAiACkAOwBcAG4AXABuAFMAbwB1AHIAYwBlAEQAYQB0AGEAXwBEAGEAaQByAHkAXwBOAGkAdAByAG8AdQBzAE8AeABpAGQAZQBFAEYAcwBBAG4AZABGAHIAYQBjAEcAQQBTAE0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BcAHUAMAAwADMAYwAgADEAIAB5AGUAYQByAFwAIgAsACAAMAAuADAAMQA3ADYAOwBcAG4AIAAgACAAIAAgACAAIAAgACAAIABcACIAQgB1AGwAbABzACAAXAB1ADAAMAAzAGM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XAB1ADAAMAAyADcAQQBuAG4AdQBhAGwAIABmAHIAYQBjAHQAaQBvAG4AIABvAGYAIAB0AGkAbQBlACAAcwBwAGUAbgB0ACAAcABlAHIAIABhAHIAZQBhAFwAdQAwADAAMgA3ACAAcgBvAHcAIABhAHMAIAB0AGgAaQBzACAAaQBuAGYAbwByAG0AYQB0AGkAbwBuACAAaQBzACAAaQBuACAAdABoAGUAIAB0AGEAYgBsAGUAIAB0AGkAdABsAGUALgBcACIAKQA7AFwAbgBcAG4AUwBvAHUAcgBjAGUARABhAHQAYQBfAEQAYQBpAHIAeQBfAEYAcgBhAGMAdABpAG8AbgBWAG8AbABhAHQAaQBsAGUAUwBvAGwAaQBkAHMAVgBvAGkAZABlAGQATQBNAFMAXwBEAGEAdABhAFwAbgAgACAAPQBMAEEATQBCAEQAQQAoAFwAbgAgACAAIAAgAE0AQQBLAEUAQQBSAFIAQQBZACgANQAsACAANAAsAFwAbgAgACAAIAAgACAAIABMAEEATQBCAEQAQQAoAHIALABjACwAXABuACAAIAAgACAAIAAgACAAIABJAE4ARABFAFgAKAB7AFwAbgAgACAAIAAgACAAIAAgACAAIAAgAFwAIgBBAHIAZQBhAFwAIgAsACAAXAAiAFAAYQBzAHQAdQByAGUAXAAiACwAIABcACIATQBpAGwAawBpAG4AZwAgAFMAaABlAGQAXAAiACwAIABcACIARgBlAGUAZABwAGEAZABcACIAOwBcAG4AIAAgACAAIAAgACAAIAAgACAAIABcACIAUwB5AHMAdABlAG0AIAAxADoAIABHAHIAYQB6AGUAZAAgAE8AbgBsAHkAXAAiACwAIAAwAC4AOAA5ACwAIAAwAC4AMQAxACwAIAAwADsAXABuACAAIAAgACAAIAAgACAAIAAgACAAXAAiAFMAeQBzAHQAZQBtACAAMgA6ACAATwBuACAAZgBlAGUAZABwAGEAZAAgAGYAbwByACAAXAB1ADAAMAAzAGMAMQAwACAAaAByAC8AZABhAHkAIABmAG8AcgAgAFwAdQAwADAAMwBj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BcAHUAMAAwADMAZQAgADEAIAB5AGUAYQByAFwAIgAsACAAMwA2ADUALAAgADAAOwBcAG4AIAAgACAAIAAgACAAIAAgACAAIABcACIASABlAGkAZgBlAHIAcwAgAFwAdQAwADAAMwBjACAAMQAgAHkAZQBhAHIAXAAiACwAIAAyADgAMQAsACAAOAA0ADsAXABuACAAIAAgACAAIAAgACAAIAAgACAAXAAiAEIAdQBsAGwAcwAgAFwAdQAwADAAMwBlACAAMQAgAHkAZQBhAHIAXAAiACwAIAAzADYANQAsACAAMAA7AFwAbgAgACAAIAAgACAAIAAgACAAIAAgAFwAIgBCAHUAbABsAHMAIABcAHUAMAAwADMAYw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BcAHUAMAAwADIANwBOAEkAUgAgAGQAZQBmAGkAbgBpAHQAaQBvAG4AIABjAG8AbAB1AG0AbgBcAHUAMAAwADIAN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FwAdQAwADAAMgA3AE4ASQBSACAAZABlAGYAaQBuAGkAdABpAG8AbgAgAGMAbwBsAHUAbQBuAFwAdQAwADAAMgA3AC4AIA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C4AXAAiACkAOwBcAG4AXABuAFMAbwB1AHIAYwBlAEQAYQB0AGEAXwBQAG8AdQBsAHQAcgB5AF8ARQBGAG0AVABfAEQAYQB0AGEAXABuACAAIAA9AEwAQQBNAEIARABBACgAXABuACAAIAAgACAATQBBAEsARQBBAFIAUgBBAFkAKAA5ACwAIAAzACwAIABcAG4AIAAgACAAIAAgACAATABBAE0AQgBEAEEAKAByACwAYwAsACAAXABuACAAIAAgACAAIAAgACAAIABJAE4ARABFAFgAKAB7AFwAbgAgACAAIAAgACAAIAAgACAAIAAgAFwAIgBNAE0AUwAgAG0AXAAiACwAIABcACIARQBGAG0AVABcACIALAAgAFwAIgBOAEkAUgAgAHIAZQBmAGUAcgBlAG4AYwBlAFwAIgA7AFwAbgAgACAAIAAgACAAIAAgACAAIAAgAFwAIgBQAG8AdQBsAHQAcgB5ACAAbQBhAG4AdQByAGUAIAB3AGkAdABoACAAbABpAHQAdABlAHIAIAAoAGgAbwB1AHMAaQBuAGcAKQBcACIALAAgADAALgAwADAAMQAsACAAXAAiAFAAbwB1AGwAdAByAHkAIABtAGEAbgB1AHIAZQAgAHcAaQB0AGgAIABiAGUAZABkAGkAbgBnAFwAIgA7AFwAbgAgACAAIAAgACAAIAAgACAAIAAgAFwAIgBQAG8AdQBsAHQAcgB5ACAAbQBhAG4AdQByAGUAIAB3AGkAdABoAG8AdQB0ACAAbABpAHQAdABlAHIAIAAoAGgAbwB1AHMAaQBuAGcAKQBcACIALAAgADAALgAwADAAMQAsACAAXAAiAEIAZQBsAHQAIABtAGEAbgB1AHIAZQAgAHIAZQBtAG8AdgBhAGwAXAAiADsAXABuACAAIAAgACAAIAAgACAAIAAgACAAXAAiAFAAbwB1AGwAdAByAHkAIABtAGEAbgB1AHIAZQAgAHcAaQB0AGgAbwB1AHQAIABsAGkAdAB0AGUAcgAgACgAaABvAHUAcwBpAG4AZwApAFwAIgAsACAAMAAuADAAMAAxACwAIABcACIATQBhAG4AdQByAGUAIABzAHQAbwByAGUAZAAgAGkAbgAgAGgAbwB1AHMAZQBcACIAOwBcAG4AIAAgACAAIAAgACAAIAAgACAAIABcACIAUABhAHMAdAB1AHIAZQAgAHIAYQBuAGcAZQAgAGEAbgBkACAAcABhAGQAZABvAGMAawAgACgAZgByAGUAZQAgAHIAYQBuAGcAZQApAFwAIgAsACAAMAAuADAAMgAsACAAXAAiAFAAYQBzAHQAdQByAGUAIAByAGEAbgBnAGUAIABhAG4AZAAgAHAAYQBkAGQAbwBjAGsAXAAiADsAXABuACAAIAAgACAAIAAgACAAIAAgACAAXAAiAFMAbwBsAGkAZAAgAHMAdABvAHIAYQBnAGUAIAAoAHMAdABvAGMAawBwAGkAbABlACkAXAAiACwAIAAwAC4AMAAwADUALAAgAFwAIgBTAG8AbABpAGQAIABzAHQAbwByAGEAZwBlAFwAIgA7AFwAbgAgACAAIAAgACAAIAAgACAAIAAgAFwAIgBDAG8AbQBwAG8AcwB0AGkAbgBnACAAKABwAGEAcwBzAGkAdgBlACAAdwBpAG4AZAByAG8AdwApAFwAIgAsACAAMAAuADAAMQ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RgByAGEAYwB0AGkAbwBuAE8AZgBOAGkAdAByAG8AZwBlAG4ATABvAHMAdABUAGgAcgBvAHUAZwBoAEwAZQBhAGMAaABpAG4AZwBBAG4AZABSAHUAbgBvAGYAZgBcAG4ARgByAGEAYwB0AGkAbwBuACAAbwBmACAATgAgAHQAaABhAHQAIABpAHMAIABsAG8AcwB0ACAAdABoAHIAbwB1AGcAaAAgAGwAZQBhAGMAaABpAG4AZwAgAGEAbgBkACAAcgB1AG4AbwBmAGYAIAAoAGQAaQBtAGUAbgBzAGkAbwBuAGwAZQBzAHMAKQBcAG4ALQAtAC0ALQAtAC0ALQAtAC0ALQAtAC0ALQAtAC0ALQAtAC0ALQAtAC0ALQAtAC0ALQAtAC0ALQAtAC0ALQAtAC0ALQAtAC0ALQAtAFwAbgAqAC8AXABuAFwAbgBTAG8AdQByAGMAZQBEAGEAdABhAF8AUABvAHUAbAB0AHIAeQBfAEYAcgBhAGMAdABpAG8AbgBPAGYATgBpAHQAcgBvAGcAZQBuAEwAbwBzAHQAVABoAHIAbwB1AGcAaABMAGUAYQBjAGgAaQBuAGcAQQBuAGQAUgB1AG4AbwBmAGYAXwBUAGkAdABsAGUAXABuACAAIAA9AEwAQQBNAEIARABBACgAXAAiAEYAcgBhAGMAdABpAG8AbgAgAG8AZgAgAE4AIAB0AGgAYQB0ACAAaQBzACAAbABvAHMAdAAgAHQAaAByAG8AdQBnAGgAIABsAGUAYQBjAGgAaQBuAGcAIABhAG4AZAAgAHIAdQBuAG8AZgBmAFwAIgApADsAXABuAFwAbgBTAG8AdQByAGMAZQBEAGEAdABhAF8AUABvAHUAbAB0AHIAeQBfAEYAcgBhAGMAdABpAG8AbgBPAGYATgBpAHQAcgBvAGcAZQBuAEwAbwBzAHQAVABoAHIAbwB1AGcAaABMAGUAYQBjAGgAaQBuAGcAQQBuAGQAUgB1AG4AbwBmAGYAXwBWAGEAcgBpAGEAYgBsAGUAXABuACAAIAA9AEwAQQBNAEIARABBACgAXAAiAEYAcgBhAGMAXwBMAEUAQQBDAEgAXwBNAFMAXAAiACkAOwBcAG4AXABuAFMAbwB1AHIAYwBlAEQAYQB0AGEAXwBQAG8AdQBsAHQAcgB5AF8ARgByAGEAYwB0AGkAbwBuAE8AZgBOAGkAdAByAG8AZwBlAG4ATABvAHMAdABUAGgAcgBvAHUAZwBoAEwAZQBhAGMAaABpAG4AZwBBAG4AZABSAHUAbgBvAGYAZgBfAFUAbgBpAHQAXABuACAAIAA9AEwAQQBNAEIARABBACgAXAAiAEQAaQBtAGUAbgBzAGkAbwBuAGwAZQBzAHMAXAAiACkAOwBcAG4AXABuAFMAbwB1AHIAYwBlAEQAYQB0AGEAXwBQAG8AdQBsAHQAcgB5AF8ARgByAGEAYwB0AGkAbwBuAE8AZgBOAGkAdAByAG8AZwBlAG4ATABvAHMAdABUAGgAcgBvAHUAZwBoAEwAZQBhAGMAaABpAG4AZwBBAG4AZABSAHUAbgBvAGYAZgBfAFMAbwB1AHIAYwBlAFwAbgAgACAAPQBMAEEATQBCAEQAQQAoAFwAIgBWAEUARQBSAEcAIAAyADAAMgA2ADoAIAA0AC4ANgAuADIALgAzACAAQwBPAE4AUwBUAEEATgBUAFMAXAAiACkAOwBcAG4AXABuAFMAbwB1AHIAYwBlAEQAYQB0AGEAXwBQAG8AdQBsAHQAcgB5AF8ARgByAGEAYwB0AGkAbwBuAE8AZgBOAGkAdAByAG8AZwBlAG4ATABvAHMAdABUAGgAcgBvAHUAZwBoAEwAZQBhAGMAaABpAG4AZwBBAG4AZABSAHUAbgBvAGYAZgBfAFYAYQByAGkAYQB0AGkAbwBuAFwAbgAgACAAPQBMAEEATQBCAEQAQQAoAFwAIgBcACIAKQA7AFwAbgBcAG4AUwBvAHUAcgBjAGUARABhAHQAYQBfAFAAbwB1AGwAdAByAHkAXwBGAHIAYQBjAHQAaQBvAG4ATwBmAE4AaQB0AHIAbwBnAGUAbgBMAG8AcwB0AFQAaAByAG8AdQBnAGgATABlAGEAYwBoAGkAbgBnAEEAbgBkAFIAdQBuAG8AZgBmAF8ARABhAHQAYQBcAG4AIAAgAD0ATABBAE0AQgBEAEEAKAAwAC4AMAAyACkAOwBcAG4AXABuAFwAbgAvACoAIABcAG4ALQAtAC0ALQAtAC0ALQAtAC0ALQAtAC0ALQAtAC0ALQAtAC0ALQAtAC0ALQAtAC0ALQAtAC0ALQAtAC0ALQAtAC0ALQAtAC0ALQAtAFwAbgBTAG8AdQByAGMAZQBEAGEAdABhAF8AUABvAHUAbAB0AHIAeQBfAEYAcgBhAGMARwBBAE0AUw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vAHUAbAB0AHIAeQBfAEYAcgBhAGMARwBBAE0AUw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bwB1AGwAdAByAHkAXwBGAHIAYQBjAEcAQQBNAFMAUwBvAGkAbABfAFYAYQByAGkAYQBiAGwAZQBcAG4AIAAgAD0ATABBAE0AQgBEAEEAKABcACIARgByAGEAYwBHAEEAUwBNAF8AcwBvAGkAbABcACIAKQA7AFwAbgBcAG4AUwBvAHUAcgBjAGUARABhAHQAYQBfAFAAbwB1AGwAdAByAHkAXwBGAHIAYQBjAEcAQQBNAFMAUwBvAGkAbABfAFUAbgBpAHQAXABuACAAIAA9AEwAQQBNAEIARABBACgAXAAiACgAawBnACAATgBIADMALQBOACAAKwAgAE4ATwB4AC0ATgApAC8AawBnACAATgBcACIAKQA7AFwAbgBcAG4AUwBvAHUAcgBjAGUARABhAHQAYQBfAFAAbwB1AGwAdAByAHkAXwBGAHIAYQBjAEcAQQBNAFMAUwBvAGkAbABfAFMAbwB1AHIAYwBlAFwAbgAgACAAPQBMAEEATQBCAEQAQQAoAFwAIgBWAEUARQBSAEcAIAAyADAAMgA2ADoAIAA0AC4ANgAuADIALgAzACAAQwBPAE4AUwBUAEEATgBUAFMAXAAiACkAOwBcAG4AXABuAFMAbwB1AHIAYwBlAEQAYQB0AGEAXwBQAG8AdQBsAHQAcgB5AF8ARgByAGEAYwBHAEEATQBTAFMAbwBpAGwAXwBWAGEAcgBpAGEAdABpAG8AbgBcAG4AIAAgAD0ATABBAE0AQgBEAEEAKABcACIAVgBBAFIASQBBAFQASQBPAE4AIABPAE4AIABTAE8AVQBSAEMARQA6ACAAVABoAGkAcwAgAGMAbwBuAHMAdABhAG4AdAAgAGkAcwAgAG4AbwB0ACAAZABvAGMAdQBtAGUAbgB0AGUAZAAgAGkAbgAgAHQAaABlACAAZAByAGEAZgB0ACwAIAB1AHMAZQBkACAAdABoAGUAIABzAGEAbQBlACAAdgBhAGwAdQBlACAAbwBmACAAMAAuADIAMQAgAGEAcwAgAGEAbABsACAAbwB0AGgAZQByACAAbABpAHYAZQBzAHQAbwBjAGsALgBcACIAKQA7AFwAbgBcAG4AUwBvAHUAcgBjAGUARABhAHQAYQBfAFAAbwB1AGwAdAByAHkAXwBGAHIAYQBjAEcAQQBNAFMAUwBvAGkAbABfAEQAYQB0AGEAXABuACAAIAA9AEwAQQBNAEIARABBACgAMAAuADIAMQApADsAXABuAFwAbgBcAG4ALwAqACAAXABuAC0ALQAtAC0ALQAtAC0ALQAtAC0ALQAtAC0ALQAtAC0ALQAtAC0ALQAtAC0ALQAtAC0ALQAtAC0ALQAtAC0ALQAtAC0ALQAtAC0ALQBcAG4AUwBvAHUAcgBjAGUARABhAHQAYQBfAFAAbwB1AGwAdAByAHkAXwBMAGkAdgBlAHcAZQBpAGcAaAB0AHMAXABuAFQAYQBiAGwAZQAgAEEALgAxAC4ANwAuADUAOgAgAFAAbwB1AGwAdAByAHkAIAAtACAATABpAHYAZQB3AGUAaQBnAGgAdABzACAAKABXAGMAbwApACAAKABrAGcAKQBcAG4ALQAtAC0ALQAtAC0ALQAtAC0ALQAtAC0ALQAtAC0ALQAtAC0ALQAtAC0ALQAtAC0ALQAtAC0ALQAtAC0ALQAtAC0ALQAtAC0ALQAtAFwAbgAqAC8AXABuAFwAbgBTAG8AdQByAGMAZQBEAGEAdABhAF8AUABvAHUAbAB0AHIAeQBfAEwAaQB2AGUAdwBlAGkAZwBoAHQAcwBfAFQAaQB0AGwAZQBcAG4AIAAgAD0ATABBAE0AQgBEAEEAKABcACIAUABvAHUAbAB0AHIAeQAgAC0AIABMAGkAdgBlAHcAZQBpAGcAaAB0AHMAIAAoAFcAYwBvACkAIAAoAGsAZwApAFwAIgApADsAXABuAFwAbgBTAG8AdQByAGMAZQBEAGEAdABhAF8AUABvAHUAbAB0AHIAeQBfAEwAaQB2AGUAdwBlAGkAZwBoAHQAcwBfAFUAbgBpAHQAXABuACAAIAA9AEwAQQBNAEIARABBACgAXAAiAGsAZwBcACIAKQA7AFwAbgBcAG4AUwBvAHUAcgBjAGUARABhAHQAYQBfAFAAbwB1AGwAdAByAHkAXwBMAGkAdgBlAHcAZQBpAGcAaAB0AHMAXwBTAG8AdQByAGMAZQBcAG4AIAAgAD0ATABBAE0AQgBEAEEAKABcACIAVgBFAEUAUgBHACAAMgAwADIANgA6ACAAVABhAGIAbABlACAAQQAuADEALgA3AC4ANQBcACIAKQA7AFwAbgBcAG4AUwBvAHUAcgBjAGUARABhAHQAYQBfAFAAbwB1AGwAdAByAHkAXwBMAGkAdgBlAHcAZQBpAGcAaAB0AHMAXwBWAGEAcgBpAGEAdABpAG8AbgBcAG4AIAAgAD0ATABBAE0AQgBEAEEAKABcACIAXAAiACkAOwBcAG4AXABuAFMAbwB1AHIAYwBlAEQAYQB0AGEAXwBQAG8AdQBsAHQAcgB5AF8ATABpAHYAZQB3AGUAaQBnAGgAdABzAF8ARABhAHQAYQBcAG4AIAAgAD0ATABBAE0AQgBEAEEAKABcAG4AIAAgACAAIABNAEEASwBFAEEAUgBSAEEAWQAoADUALAAgADIALAAgAFwAbgAgACAAIAAgACAAIABMAEEATQBCAEQAQQAoAHIALABjACwAIABcAG4AIAAgACAAIAAgACAAIAAgAEkATgBEAEUAWAAoAHsAXABuACAAIAAgACAAIAAgACAAIAAgACAAXAAiAEwAaQB2AGUAcwB0AG8AYwBrACAAQwBsAGEAcwBzACAAagBcACIALAAgAFwAIgBBAHYAZQByAGEAZwBlACAATABpAHYAZQB3AGUAaQBnAGgAdAAgACgAawBnACkAXAAiADsAXABuACAAIAAgACAAIAAgACAAIAAgACAAXAAiAEMAaABpAGMAawBlAG4AXAAiACwAIAAxAC4AMwA7AFwAbgAgACAAIAAgACAAIAAgACAAIAAgAFwAIgBIAGUAbgAgAFwAdQAwADAAMwBl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XwBUAGkAdABsAGUAXABuACAAIAA9AEwAQQBNAEIARABBACgAXAAiAEUAbQBpAHMAcwBpAG8AbgBzACAAZgByAG8AbQAgAHAAdQByAGMAaABhAHMAZQBkACAAZgBlAGUAZABcACIAKQA7AFwAbgBcAG4AVgBFAEUAUgBHAF8AMQA1AF8AMgBfADEAXwAxAF8AXwAxAF8ARQBtAGkAcwBzAGkAbwBuAHMARgByAG8AbQBQAHUAcgBjAGgAYQBzAGUAZABGAGUAZQBkAF8AVgBhAHIAaQBhAGIAbABlAFwAbgAgACAAPQBMAEEATQBCAEQAQQAoAFwAIgBFAFwAIgApADsAXABuAFwAbgBWAEUARQBSAEcAXwAxADUAXwAyAF8AMQBfADEAXwBfADEAXwBFAG0AaQBzAHMAaQBvAG4AcwBGAHIAbwBtAFAAdQByAGMAaABhAHMAZQBkAEYAZQBlAGQAXwBVAG4AaQB0AFwAbgAgACAAPQBMAEEATQBCAEQAQQAoAFwAIgB0ACAAQwBPADIAZQBcACIAKQA7AFwAbgBcAG4AVgBFAEUAUgBHAF8AMQA1AF8AMgBfADEAXwAxAF8AXwAxAF8ARQBtAGkAcwBzAGkAbwBuAHMARgByAG8AbQBQAHUAcgBjAGgAYQBzAGUAZABGAGUAZQBkAF8AUwBvAHUAcgBjAGUAXABuACAAIAA9AEwAQQBNAEIARABBACgAXAAiAFYARQBFAFIARwAgADIAMAAyADYAOgAgADEANQAuADIALgAxAC4AMQAsACAARQBxAHUAYQB0AGkAbwBuACAAKAAxACkAXAAiACkAOwBcAG4AXABuAFYARQBFAFIARwBfADEANQBfADIAXwAxAF8AMQBfAF8AMQBfAEUAbQBpAHMAcwBpAG8AbgBzAEYAcgBvAG0AUAB1AHIAYwBoAGEAcwBlAGQARgBlAGUAZABfAE4ASQBSAFIAZQBmAGUAcgBlAG4AYwBlAFwAbgAgACAAPQBMAEEATQBCAEQAQQAoAFwAIgBcACIAKQA7AFwAbgBcAG4AVgBFAEUAUgBHAF8AMQA1AF8AMgBfADEAXwAxAF8AXwAxAF8ARQBtAGkAcwBzAGkAbwBuAHMARgByAG8AbQBQAHUAcgBjAGgAYQBzAGUAZABGAGUAZQBkAF8ATABhAHQAZQB4AEUAcQB1AGEAdABpAG8AbgBcAG4AIAAgAD0ATABBAE0AQgBEAEEAKABcACIARQA9AFwAXABzAHUAbQBcAFwAbgBvAGwAaQBtAGkAdABzAF8AagBcAFwAbABlAGYAdAAoAFEAXwBqAFwAXAB0AGkAbQBlAHMAIABFAEYAXwBqAFwAXAByAGkAZwBoAHQAK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EAXwBFAG0AaQBzAHMAaQBvAG4AcwBGAHIAbwBtAFAAdQByAGMAaABhAHMAZQBkAEYAZQByAHQAaQBsAGkAcwBlAHIAXABuAEUAbQBpAHMAcwBpAG8AbgBzACAAZgByAG8AbQAgAHAAdQByAGMAaABhAHMAZQBkACAAZgBlAHIAdABpAGwAaQBzAGUAcgBcAG4ARQBcAG4AdAAgAEMATwAyAGUAXABuAEUAPQBcAFwAcwB1AG0AXABcAG4AbwBsAGkAbQBpAHQAcwBfAGYAXABcAHMAdQBtAFwAXABuAG8AbABpAG0AaQB0AHMAXwBqAFwAXABsAGUAZgB0ACgAVABNAF8AewBqAGYAfQBcAFwAdABpAG0AZQBzACAARQBGAF8AZgBcAFwAcgBpAGcAaAB0ACkAXABcAHQAaQBtAGUAcwAgADEAMABeAHsALQAzAH0AXABuAFQATQBfAGoAZgAgAD0AIABxAHUAYQBuAHQAaQB0AHkAIABvAGYAIABpAG4AbwByAGcAYQBuAGkAYwAgAGYAZQByAHQAaQBsAGkAcwBlAHIAIAB0AHkAcABlACAAZgAgAHAAdQByAGMAaABhAHMAZQBkACAAYQBuAGQAIABhAHAAcABsAGkAZQBkACAAdABvACAAcAByAG8AZAB1AGMAdABpAG8AbgAgAHMAeQBzAHQAZQBtACAAagBcAG4ARQBGAF8AZgAgAD0AIABlAG0AaQBzAHMAaQBvAG4AIABmAGEAYwB0AG8AcgAgAG8AZgAgAHAAdQByAGMAaABhAHMAZQBkACAAaQBuAG8AcgBnAGEAbgBpAGMAIABmAGUAcgB0AGkAbABpAHMAZQByAFwAbgAtAC0ALQAtAC0ALQAtAC0ALQAtAC0ALQAtAC0ALQAtAC0ALQAtAC0ALQAtAC0ALQAtAC0ALQAtAC0ALQAtAC0ALQAtAC0ALQAtAC0AXABuACoALwBcAG4AXABuAFYARQBFAFIARwBfADEANQBfADQAXwAxAF8AMQBfAF8AMQBfAEUAbQBpAHMAcwBpAG8AbgBzAEYAcgBvAG0AUAB1AHIAYwBoAGEAcwBlAGQARgBlAHIAdABpAGwAaQBzAGUAcgBcAG4AIAAgAD0ATABBAE0AQgBEAEEAKABcAG4AIAAgACAAIABUAE0AXwBqAGYALAAgAEUARgBfAGYALABcAG4AIAAgACAAIAAoAFQATQBfAGoAZgAgACoAIABFAEYAXwBmACkAIAAqACAAMQAwACAAXgAgAC0AMwBcAG4AIAAgACkAOwBcAG4AXABuAFYARQBFAFIARwBfADEANQBfADQAXwAxAF8AMQBfAF8AMQBfAEUAbQBpAHMAcwBpAG8AbgBzAEYAcgBvAG0AUAB1AHIAYwBoAGEAcwBlAGQARgBlAHIAdABpAGwAaQBzAGUAcgBfAFQAaQB0AGwAZQBcAG4AIAAgAD0ATABBAE0AQgBEAEEAKABcACIARQBtAGkAcwBzAGkAbwBuAHMAIABmAHIAbwBtACAAcAB1AHIAYwBoAGEAcwBlAGQAIABmAGUAcgB0AGkAbABpAHMAZQByAFwAIgApADsAXABuAFwAbgBWAEUARQBSAEcAXwAxADUAXwA0AF8AMQBfADEAXwBfADEAXwBFAG0AaQBzAHMAaQBvAG4AcwBGAHIAbwBtAFAAdQByAGMAaABhAHMAZQBkAEYAZQByAHQAaQBsAGkAcwBlAHIAXwBWAGEAcgBpAGEAYgBsAGUAXABuACAAIAA9AEwAQQBNAEIARABBACgAXAAiAEUAXAAiACkAOwBcAG4AXABuAFYARQBFAFIARwBfADEANQBfADQAXwAxAF8AMQBfAF8AMQBfAEUAbQBpAHMAcwBpAG8AbgBzAEYAcgBvAG0AUAB1AHIAYwBoAGEAcwBlAGQARgBlAHIAdABpAGwAaQBzAGUAcgBfAFUAbgBpAHQAXABuACAAIAA9AEwAQQBNAEIARABBACgAXAAiAHQAIABDAE8AMgBlAFwAIgApADsAXABuAFwAbgBWAEUARQBSAEcAXwAxADUAXwA0AF8AMQBfADEAXwBfADEAXwBFAG0AaQBzAHMAaQBvAG4AcwBGAHIAbwBtAFAAdQByAGMAaABhAHMAZQBkAEYAZQByAHQAaQBsAGkAcwBlAHIAXwBTAG8AdQByAGMAZQBcAG4AIAAgAD0ATABBAE0AQgBEAEEAKABcACIAVgBFAEUAUgBHACAAMgAwADIANgA6ACAAMQA1AC4ANAAuADEALgAxACwAIABFAHEAdQBhAHQAaQBvAG4AIAAoADEAKQBcACIAKQA7AFwAbgBcAG4AVgBFAEUAUgBHAF8AMQA1AF8ANABfADEAXwAxAF8AXwAxAF8ARQBtAGkAcwBzAGkAbwBuAHMARgByAG8AbQBQAHUAcgBjAGgAYQBzAGUAZABGAGUAcgB0AGkAbABpAHMAZQByAF8ATgBJAFIAUgBlAGYAZQByAGUAbgBjAGUAXABuACAAIAA9AEwAQQBNAEIARABBACgAXAAiAFwAIgApADsAXABuAFwAbgBWAEUARQBSAEcAXwAxADUAXwA0AF8AMQBfADEAXwBfADEAXwBFAG0AaQBzAHMAaQBvAG4AcwBGAHIAbwBtAFAAdQByAGMAaABhAHMAZQBkAEYAZQByAHQAaQBsAGkAcwBlAHIAXwBMAGEAdABlAHgARQBxAHUAYQB0AGkAbwBuAFwAbgAgACAAPQBMAEEATQBCAEQAQQAoAFwAIgBFAD0AXABcAHMAdQBtAFwAXABuAG8AbABpAG0AaQB0AHMAXwBmAFwAXABzAHUAbQBcAFwAbgBvAGwAaQBtAGkAdABzAF8AagBcAFwAbABlAGYAdAAoAFQATQBfAHsAagBmAH0AXABcAHQAaQBtAGUAcwAgAEUARgBfAGYAXABcAHIAaQBnAGgAdAApAFwAXAB0AGkAbQBlAHMAIAAxADAAXgB7AC0AMwB9AFwAIgApADsAXABuAFwAbgBWAEUARQBSAEcAXwAxADUAXwA0AF8AMQBfADEAXwBfADEAXwBFAG0AaQBzAHMAaQBvAG4AcwBGAHIAbwBtAFAAdQByAGMAaABhAHMAZQBkAEYAZQByAHQAaQBsAGkAcwBlAHIAXwBBAHIAZwB1AG0AZQBuAHQAcwBcAG4AIAAgAD0ATABBAE0AQgBEAEEAKABcAG4AIAAgACAAIABNAEEASwBFAEEAUgBSAEEAWQAoADQALAAgADQALABcAG4AIAAgACAAIAAgACAATABBAE0AQgBEAEEAKAByACwAYwAsAFwAbgAgACAAIAAgACAAIAAgACAASQBOAEQARQBYACgAe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YAXAAiACwAIABcACIAZQBtAGkAcwBzAGkAbwBuACAAZgBhAGMAdABvAHIAIABvAGYAIABwAHUAcgBjAGgAYQBzAGUAZAAgAGkAbgBvAHIAZwBhAG4AaQBjACAAZgBlAHIAdABpAGwAaQBzAGUAcgBcACIALAAgAFwAIgBrAGcAIABDAE8AMgBlAC8AawBnAFwAIgAsACAAXAAiAEMAbwBuAHMAdABhAG4AdABcACIAOwBcAG4AIAAgACAAIAAgACAAIAAgACAAIABcACIAagBcACIALAAgAFwAIgBwAHIAbwBkAHUAYwB0AGkAbwBuACAAcwB5AHMAdABlAG0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gBfAEUAbQBpAHMAcwBpAG8AbgBzAEYAcgBvAG0AUAB1AHIAYwBoAGEAcwBlAGQARgBlAHIAdABpAGwAaQBzAGUAcgBDAG8AbQBwAG8AbgBlAG4AdABzAFwAbgBFAG0AaQBzAHMAaQBvAG4AcwAgAGYAcgBvAG0AIABwAHUAcgBjAGgAYQBzAGUAZAAgAGYAZQByAHQAaQBsAGkAcwBlAHIAIABjAG8AbQBwAG8AbgBlAG4AdABzAFwAbgBFAFwAbgB0ACAAQwBPADIAZQBcAG4ARQA9AFwAXABzAHUAbQBcAFwAbgBvAGwAaQBtAGkAdABzAF8AZgBcAFwAcwB1AG0AXABcAG4AbwBsAGkAbQBpAHQAcwBfAGMAXABcAHMAdQBtAFwAXABuAG8AbABpAG0AaQB0AHMAXwBqAFwAXABsAGUAZgB0ACgAKABGAF8AewBjAGYAfQBcAFwAdABpAG0AZQBzACAAVABNAF8AewBqAGYAfQApAC8AMQAwADAAXABcAHQAaQBtAGUAcwAgAEUARgBfAGMAXABcAHIAaQBnAGgAdAApAFwAbgBGAF8AYwBmACAAPQAgAGYAcgBhAGMAdABpAG8AbgAgAG8AZgAgAGMAbwBtAHAAbwBuAGUAbgB0ACAAYwAgAGMAbwBuAHQAYQBpAG4AZQBkACAAdwBpAHQAaABpAG4AIAB0AGgAZQAgAGkAbgBvAHIAZwBhAG4AaQBjACAAZgBlAHIAdABpAGwAaQBzAGUAcgAgAGYAXABuAFQATQBfAGoAZgAgAD0AIABxAHUAYQBuAHQAaQB0AHkAIABvAGYAIABpAG4AbwByAGcAYQBuAGkAYwAgAGYAZQByAHQAaQBsAGkAcwBlAHIAIAB0AHkAcABlACAAZgAgAHAAdQByAGMAaABhAHMAZQBkACAAYQBuAGQAIABhAHAAcABsAGkAZQBkACAAdABvACAAcAByAG8AZAB1AGMAdABpAG8AbgAgAHMAeQBzAHQAZQBtACAAagBcAG4ARQBGAF8AYwAgAD0AIABlAG0AaQBzAHMAaQBvAG4AIABmAGEAYwB0AG8AcgAgAGYAbwByACAAdABoAGUAIABwAHIAbwBkAHUAYwB0AGkAbwBuACAAbwBmACAAYwBvAG0AcABvAG4AZQBuAHQAIABjAFwAbgAtAC0ALQAtAC0ALQAtAC0ALQAtAC0ALQAtAC0ALQAtAC0ALQAtAC0ALQAtAC0ALQAtAC0ALQAtAC0ALQAtAC0ALQAtAC0ALQAtAC0AXABuACoALwBcAG4AXABuAFYARQBFAFIARwBfADEANQBfADQAXwAxAF8AMQBfAF8AMgBfAEUAbQBpAHMAcwBpAG8AbgBzAEYAcgBvAG0AUAB1AHIAYwBoAGEAcwBlAGQARgBlAHIAdABpAGwAaQBzAGUAcgBDAG8AbQBwAG8AbgBlAG4AdABzAFwAbgAgACAAPQBMAEEATQBCAEQAQQAoAFwAbgAgACAAIAAgAEYAXwBjAGYALAAgAFQATQBfAGoAZgAsACAARQBGAF8AYwAsAFwAbgAgACAAIAAgACgAKABGAF8AYwBmACAAKgAgAFQATQBfAGoAZgApACAALwAgADEAMAAwACkAIAAqACAARQBGAF8AYwBcAG4AIAAgACkAOwBcAG4AXABuAFYARQBFAFIARwBfADEANQBfADQAXwAxAF8AMQBfAF8AMgBfAEUAbQBpAHMAcwBpAG8AbgBzAEYAcgBvAG0AUAB1AHIAYwBoAGEAcwBlAGQARgBlAHIAdABpAGwAaQBzAGUAcgBDAG8AbQBwAG8AbgBlAG4AdABzAFYAYQByAGkAYQB0AGkAbwBuAFwAbgAgACAAPQBMAEEATQBCAEQAQQAoAFwAbgAgACAAIAAgAEYAXwBjAGYALAAgAFQATQBfAGoAZgAsACAARQBGAF8AYwAsAFwAbgAgACAAIAAgACgARgBfAGMAZgAgACoAIABUAE0AXwBqAGYAKQAgACoAIABFAEYAXwBjACAAKgAgADEAMABeAC0AMwBcAG4AIAAgACkAOwBcAG4AXABuAFYARQBFAFIARwBfADEANQBfADQAXwAxAF8AMQBfAF8AMgBfAEUAbQBpAHMAcwBpAG8AbgBzAEYAcgBvAG0AUAB1AHIAYwBoAGEAcwBlAGQARgBlAHIAdABpAGwAaQBzAGUAcgBDAG8AbQBwAG8AbgBlAG4AdABzAF8AVABpAHQAbABlAFwAbgAgACAAPQBMAEEATQBCAEQAQQAoAFwAIgBFAG0AaQBzAHMAaQBvAG4AcwAgAGYAcgBvAG0AIABwAHUAcgBjAGgAYQBzAGUAZAAgAGYAZQByAHQAaQBsAGkAcwBlAHIAIABjAG8AbQBwAG8AbgBlAG4AdABzAFwAIgApADsAXABuAFwAbgBWAEUARQBSAEcAXwAxADUAXwA0AF8AMQBfADEAXwBfADIAXwBFAG0AaQBzAHMAaQBvAG4AcwBGAHIAbwBtAFAAdQByAGMAaABhAHMAZQBkAEYAZQByAHQAaQBsAGkAcwBlAHIAQwBvAG0AcABvAG4AZQBuAHQAcwBfAFYAYQByAGkAYQBiAGwAZQBcAG4AIAAgAD0ATABBAE0AQgBEAEEAKABcACIARQBcACIAKQA7AFwAbgBcAG4AVgBFAEUAUgBHAF8AMQA1AF8ANABfADEAXwAxAF8AXwAyAF8ARQBtAGkAcwBzAGkAbwBuAHMARgByAG8AbQBQAHUAcgBjAGgAYQBzAGUAZABGAGUAcgB0AGkAbABpAHMAZQByAEMAbwBtAHAAbwBuAGUAbgB0AHMAXwBVAG4AaQB0AFwAbgAgACAAPQBMAEEATQBCAEQAQQAoAFwAIgB0ACAAQwBPADIAZQBcACIAKQA7AFwAbgBcAG4AVgBFAEUAUgBHAF8AMQA1AF8ANABfADEAXwAxAF8AXwAyAF8ARQBtAGkAcwBzAGkAbwBuAHMARgByAG8AbQBQAHUAcgBjAGgAYQBzAGUAZABGAGUAcgB0AGkAbABpAHMAZQByAEMAbwBtAHAAbwBuAGUAbgB0AHMAXwBTAG8AdQByAGMAZQBcAG4AIAAgAD0ATABBAE0AQgBEAEEAKABcACIAVgBFAEUAUgBHACAAMgAwADIANgA6ACAAMQA1AC4ANAAuADEALgAxACwAIABFAHEAdQBhAHQAaQBvAG4AIAAoADIAKQBcACIAKQA7AFwAbgBcAG4AVgBFAEUAUgBHAF8AMQA1AF8ANABfADEAXwAxAF8AXwAyAF8ARQBtAGkAcwBzAGkAbwBuAHMARgByAG8AbQBQAHUAcgBjAGgAYQBzAGUAZABGAGUAcgB0AGkAbABpAHMAZQByAEMAbwBtAHAAbwBuAGUAbgB0AHMAXwBOAEkAUgBSAGUAZgBlAHIAZQBuAGMAZQBcAG4AIAAgAD0ATABBAE0AQgBEAEEAKABcACIAXAAiACkAOwBcAG4AXABuAFYARQBFAFIARwBfADEANQBfADQAXwAxAF8AMQBfAF8AMgBfAEUAbQBpAHMAcwBpAG8AbgBzAEYAcgBvAG0AUAB1AHIAYwBoAGEAcwBlAGQARgBlAHIAdABpAGwAaQBzAGUAcgBDAG8AbQBwAG8AbgBlAG4AdABzAF8ATABhAHQAZQB4AEUAcQB1AGEAdABpAG8AbgBcAG4AIAAgAD0ATABBAE0AQgBEAEEAKABcACIARQA9AFwAXABzAHUAbQBcAFwAbgBvAGwAaQBtAGkAdABzAF8AZgBcAFwAcwB1AG0AXABcAG4AbwBsAGkAbQBpAHQAcwBfAGMAXABcAHMAdQBtAFwAXABuAG8AbABpAG0AaQB0AHMAXwBqAFwAXABsAGUAZgB0ACgAXABcAGYAcgBhAGMAewBGAF8AewBjAGYAfQBcAFwAdABpAG0AZQBzACAAVABNAF8AewBqAGYAfQB9AHsAMQAwADAAfQBcAFwAdABpAG0AZQBzACAARQBGAF8AYwBcAFwAcgBpAGcAaAB0ACkAXAAiACkAOwBcAG4AXABuAFYARQBFAFIARwBfADEANQBfADQAXwAxAF8AMQBfAF8AMgBfAEUAbQBpAHMAcwBpAG8AbgBzAEYAcgBvAG0AUAB1AHIAYwBoAGEAcwBlAGQARgBlAHIAdABpAGwAaQBzAGUAcgBDAG8AbQBwAG8AbgBlAG4AdABzAF8ATABhAHQAZQB4AEUAcQB1AGEAdABpAG8AbgBWAGEAcgBpAGEAdABpAG8AbgBcAG4AIAAgAD0ATABBAE0AQgBEAEEAKABcACIARQA9AFwAXABzAHUAbQBcAFwAbgBvAGwAaQBtAGkAdABzAF8AZgBcAFwAcwB1AG0AXABcAG4AbwBsAGkAbQBpAHQAcwBfAGMAXABcAHMAdQBtAFwAXABuAG8AbABpAG0AaQB0AHMAXwBqAFwAXABsAGUAZgB0ACgARgBfAHsAYwBmAH0AXABcAHQAaQBtAGUAcwAgAFQATQBfAHsAagBmAH0AXABcAHQAaQBtAGUAcwAgAEUARgBfAGMAXABcAHIAaQBnAGgAdAApAFwAXAB0AGkAbQBlAHMAIAAxADAAXgB7AC0AMwB9AFwAIgApADsAXABuAFwAbgBWAEUARQBSAEcAXwAxADUAXwA0AF8AMQBfADEAXwBfADIAXwBFAG0AaQBzAHMAaQBvAG4AcwBGAHIAbwBtAFAAdQByAGMAaABhAHMAZQBkAEYAZQByAHQAaQBsAGkAcwBlAHIAQwBvAG0AcABvAG4AZQBuAHQAcwBfAEEAcgBnAHUAbQBlAG4AdABzAFwAbgAgACAAPQBMAEEATQBCAEQAQQAoAFwAbgAgACAAIAAgAE0AQQBLAEUAQQBSAFIAQQBZACgANg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OwBcAG4AIAAgACAAIAAgACAAIAAgACAAIABcACIAagBcACIALAAgAFwAIgBwAHIAbwBkAHUAYwB0AGkAbwBuACAAcwB5AHMAdABlAG0AXAAiACwAIABcACIAXAAiACwAIABcACIASQBuAHAAdQB0AFwAIgBcAG4AIAAgACAAIAAgACAAIAAgAH0ALAAgAHIALAAgAGMAKQBcAG4AIAAgACAAIAAgACAAKQBcAG4AIAAgACAAIAApAFwAbgAgACAAKQA7AFwAbgBcAG4AVgBFAEUAUgBHAF8AMQA1AF8ANABfADEAXwAxAF8AXwAyAF8ARQBtAGkAcwBzAGkAbwBuAHMARgByAG8AbQBQAHUAcgBjAGgAYQBzAGUAZABGAGUAcgB0AGkAbABpAHMAZQByAEMAbwBtAHAAbwBuAGUAbgB0AHMAXwBWAGEAcgBpAGEAdABpAG8AbgBcAG4AIAAgAD0ATABBAE0AQgBEAEEAKABcACIAVgBBAFIASQBBAFQASQBPAE4AIABPAE4AIABTAE8AVQBSAEMARQA6ACAAcgBlAG0AbwB2AGUAcwAgAGQAaQB2AGkAcwBpAG8AbgAgAGIAeQAgADEAMAAwACAAZgBvAHIAIABGAF8AYwBmACwAIAB0AHIAZQBhAHQAaQBuAGcAIABGAF8AYwBmACAAYQBzACAAZgByAGEAYwB0AGkAbwBuACAAaQBuAHMAdABlAGEAZAAgAG8AZgAgAHAAZQByAGMAZQBuAHQAIABiAGUAYwBhAHUAcwBlACAAaQB0ACAAaQBzACAAYQAgAGYAcgBhAGMAdABpAG8AbgAgAGkAbgAgAHMAYwBvAHAAZQAgADEAIABlAHEAdQBhAHQAaQBvAG4AcwAuACAAQwBvAG4AdgBlAHIAdAAgAGsAZwAgAHQAbwAgAHQAbwBuAG4AZQBzACAAYgB5ACAAbQB1AHQAaQBwAGwAeQBpAG4AZwAgAGIAeQAgADEAMABeAC0AMwAuAFwAIgApADsAXABuAFwAbgBcAG4AXABuAFwAbgAvACoAXABuAC0ALQAtAC0ALQAtAC0ALQAtAC0ALQAtAC0ALQAtAC0ALQAtAC0ALQAtAC0ALQAtAC0ALQAtAC0ALQAtAC0ALQAtAC0ALQAtAC0ALQBcAG4AVgBFAEUAUgBHAF8AMQA1AF8ANABfADEAXwAxAF8AXwBYAF8ARQBtAGkAcwBzAGkAbwBuAEYAYQBjAHQAbwByAEYAcgBvAG0AUAB1AHIAYwBoAGEAcwBlAGQARgBlAHIAdABpAGwAaQBzAGUAcgBDAG8AbQBwAG8AbgBlAG4AdABzAFwAbgBFAG0AaQBzAHMAaQBvAG4AIABmAGEAYwB0AG8AcgAgAGYAbwByACAAZgBlAHIAdABpAGwAaQBzAGUAcgAgAHAAcgBvAGQAdQBjAHQAIABkAGUAcgBpAHYAZQBkACAAZgByAG8AbQAgAGMAbwBtAHAAbwBuAGUAbgB0AHMAXABuAC0ALQAtAC0ALQAtAC0ALQAtAC0ALQAtAC0ALQAtAC0ALQAtAC0ALQAtAC0ALQAtAC0ALQAtAC0ALQAtAC0ALQAtAC0ALQAtAC0ALQBcAG4AKgAvAFwAbgBcAG4AVgBFAEUAUgBHAF8AMQA1AF8ANABfADEAXwAxAF8AXwBYAF8ARQBtAGkAcwBzAGkAbwBuAEYAYQBjAHQAbwByAEYAcgBvAG0AUAB1AHIAYwBoAGEAcwBlAGQARgBlAHIAdABpAGwAaQBzAGUAcgBDAG8AbQBwAG8AbgBlAG4AdABzAFwAbgAgACAAPQBMAEEATQBCAEQAQQAoAFwAbgAgACAAIAAgAEYAXwBjAGYALAAgAEUARgBfAGMALABcAG4AIAAgACAAIABGAF8AYwBmACAAKgAgAEUARgBfAGMAXABuACAAIAApADsAXABuAFwAbgBWAEUARQBSAEcAXwAxADUAXwA0AF8AMQBfADEAXwBfAFgAXwBFAG0AaQBzAHMAaQBvAG4ARgBhAGMAdABvAHIARgByAG8AbQBQAHUAcgBjAGgAYQBzAGUAZABGAGUAcgB0AGkAbABpAHMAZQByAEMAbwBtAHAAbwBuAGUAbgB0AHMAXwBUAGkAdABsAGUAXABuACAAIAA9AEwAQQBNAEIARABBACgAXAAiAEUAbQBpAHMAcwBpAG8AbgAgAGYAYQBjAHQAbwByACAAZgBvAHIAIABmAGUAcgB0AGkAbABpAHMAZQByACAAcAByAG8AZAB1AGMAdAAgAGQAZQByAGkAdgBlAGQAIABmAHIAbwBtACAAYwBvAG0AcABvAG4AZQBuAHQAcwBcACIAKQA7AFwAbgBcAG4AVgBFAEUAUgBHAF8AMQA1AF8ANABfADEAXwAxAF8AXwBYAF8ARQBtAGkAcwBzAGkAbwBuAEYAYQBjAHQAbwByAEYAcgBvAG0AUAB1AHIAYwBoAGEAcwBlAGQARgBlAHIAdABpAGwAaQBzAGUAcgBDAG8AbQBwAG8AbgBlAG4AdABzAF8AVgBhAHIAaQBhAGIAbABlAFwAbgAgACAAPQBMAEEATQBCAEQAQQAoAFwAIgBFAEYAXwBmAFwAIgApADsAXABuAFwAbgBWAEUARQBSAEcAXwAxADUAXwA0AF8AMQBfADEAXwBfAFgAXwBFAG0AaQBzAHMAaQBvAG4ARgBhAGMAdABvAHIARgByAG8AbQBQAHUAcgBjAGgAYQBzAGUAZABGAGUAcgB0AGkAbABpAHMAZQByAEMAbwBtAHAAbwBuAGUAbgB0AHMAXwBVAG4AaQB0AFwAbgAgACAAPQBMAEEATQBCAEQAQQAoAFwAIgBrAGcAIABDAE8AMgBlAC8AawBnACAAZgBlAHIAdABpAGwAaQBzAGUAcgBcACIAKQA7AFwAbgBcAG4AVgBFAEUAUgBHAF8AMQA1AF8ANABfADEAXwAxAF8AXwBYAF8ARQBtAGkAcwBzAGkAbwBuAEYAYQBjAHQAbwByAEYAcgBvAG0AUAB1AHIAYwBoAGEAcwBlAGQARgBlAHIAdABpAGwAaQBzAGUAcgBDAG8AbQBwAG8AbgBlAG4AdABzAF8AUwBvAHUAcgBjAGUAXABuACAAIAA9AEwAQQBNAEIARABBACgAXAAiAEcAQQBGAFwAIgApADsAXABuAFwAbgBWAEUARQBSAEcAXwAxADUAXwA0AF8AMQBfADEAXwBfAFgAXwBFAG0AaQBzAHMAaQBvAG4ARgBhAGMAdABvAHIARgByAG8AbQBQAHUAcgBjAGgAYQBzAGUAZABGAGUAcgB0AGkAbABpAHMAZQByAEMAbwBtAHAAbwBuAGUAbgB0AHMAXwBOAEkAUgBSAGUAZgBlAHIAZQBuAGMAZQBcAG4AIAAgAD0ATABBAE0AQgBEAEEAKABcACIAXAAiACkAOwBcAG4AXABuAFYARQBFAFIARwBfADEANQBfADQAXwAxAF8AMQBfAF8AWABfAEUAbQBpAHMAcwBpAG8AbgBGAGEAYwB0AG8AcgBGAHIAbwBtAFAAdQByAGMAaABhAHMAZQBkAEYAZQByAHQAaQBsAGkAcwBlAHIAQwBvAG0AcABvAG4AZQBuAHQAcwBfAEwAYQB0AGUAeABFAHEAdQBhAHQAaQBvAG4AXABuACAAIAA9AEwAQQBNAEIARABBACgAXAAiAEUARgBfAGYAPQBcAFwAcwB1AG0AXABcAG4AbwBsAGkAbQBpAHQAcwBfAGMAXABcAGwAZQBmAHQAKABGAF8AewBjAGYAfQBcAFwAdABpAG0AZQBzACAARQBGAF8AYwBcAFwAcgBpAGcAaAB0ACkAXAAiACkAOwBcAG4AXABuAFYARQBFAFIARwBfADEANQBfADQAXwAxAF8AMQBfAF8AWABfAEUAbQBpAHMAcwBpAG8AbgBGAGEAYwB0AG8AcgBGAHIAbwBtAFAAdQByAGMAaABhAHMAZQBkAEYAZQByAHQAaQBsAGkAcwBlAHIAQwBvAG0AcABvAG4AZQBuAHQAcwBfAEEAcgBnAHUAbQBlAG4AdABzAFwAbgAgACAAPQBMAEEATQBCAEQAQQAoAFwAbgAgACAAIAAgAE0AQQBLAEUAQQBSAFIAQQBZACgANAAsACAANAAsAFwAbgAgACAAIAAgACAAIABMAEEATQBCAEQAQQAoAHIALABjACwAXABuACAAIAAgACAAIAAgACAAIABJAE4ARABFAFgAKAB7AFwAbgAgACAAIAAgACAAIAAgACAAIAAgAFwAIgBGAF8AYwBmAFwAIgAsACAAXAAiAGYAcgBhAGMAdABpAG8AbgAgAG8AZgAgAGMAbwBtAHAAbwBuAGUAbgB0ACAAYwAgAGMAbwBuAHQAYQBpAG4AZQBkACAAdwBpAHQAaABpAG4AIAB0AGgAZQAgAGkAbgBvAHIAZwBhAG4AaQBjACAAZgBlAHIAdABpAGwAaQBzAGUAcgAgAGYAXAAiACwAIABcACIAdwB0ACU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BcAG4AIAAgACAAIAAgACAAIAAgAH0ALAAgAHIALAAgAGMAKQBcAG4AIAAgACAAIAAgACAAKQBcAG4AIAAgACAAIAApAFwAbgAgACAAKQA7AFwAbgBcAG4AVgBFAEUAUgBHAF8AMQA1AF8ANABfADEAXwAxAF8AXwBYAF8ARQBtAGkAcwBzAGkAbwBuAEYAYQBjAHQAbwByAEYAcgBvAG0AUAB1AHIAYwBoAGEAcwBlAGQARgBlAHIAdABpAGwAaQBzAGUAcgBDAG8AbQBwAG8AbgBlAG4AdABzAF8AVgBhAHIAaQBhAHQAaQBvAG4AXABuACAAIAA9AEwAQQBNAEIARABBACgAXAAiAFYAQQBSAEkAQQBUAEkATwBOACAATwBOACAAUwBPAFUAUgBDAEUAOgAgAFQAaABpAHMAIABlAHEAdQBhAHQAaQBvAG4AIABpAHMAIABhAGQAZABlAGQAIAB0AG8AIABjAGEAbABjAHUAbABhAHQAZQAgAGEAbgAgAEUARgAgAHYAYQBsAHUAZQAgAGYAcgBvAG0AIABmAGUAcgB0AGkAbABpAHMAZQByACAAYwBvAG0AcABvAG4AZQBuAHQAcwAgAHQAaABhAHQAIABjAGEAbgAgAGIAZQAgAHUAcwBlAGQAIABpAG4AIAAxADUALgA0AC4AMQAuADEAIAAoADEAKQBcACIAKQA7AFwAbgBcAG4ALwAqAFwAbgAtAC0ALQAtAC0ALQAtAC0ALQAtAC0ALQAtAC0ALQAtAC0ALQAtAC0ALQAtAC0ALQAtAC0ALQAtAC0ALQAtAC0ALQAtAC0ALQAtAC0AXABuAFYARQBFAFIARwBfADEANQBfADUAXwAxAF8AMQBfAF8AMQBfAEUAbQBpAHMAcwBpAG8AbgBzAEYAcgBvAG0AUAB1AHIAYwBoAGEAcwBlAGQAQQBnAHIAaQBjAGgAZQBtAGkAYwBhAGwAcwBcAG4AVABvAHQAYQBsACAAZQBtAGkAcwBzAGkAbwBuAHMAIABmAHIAbwBtACAAcAB1AHIAYwBoAGEAcwBlAGQAIABhAGcAcgBpAGMAaABlAG0AaQBjAGEAbABzAFwAbgBFAFwAbgB0ACAAQwBPADIAZQBcAG4ARQA9AFwAXABzAHUAbQBcAFwAbgBvAGwAaQBtAGkAdABzAF8AaABcAFwAbABlAGYAdAAoAFEAXwBoAFwAXAB0AGkAbQBlAHMAIABFAEYAXwBoAFwAXAByAGkAZwBoAHQAKQBcAFwAdABpAG0AZQBzACAAMQAwAF4AewAtADMAfQBcAG4AUQBfAGgAIAA9ACAAcQB1AGEAbgB0AGkAdAB5ACAAbwBmACAAYQBjAHQAaQB2AGUAIABpAG4AZwByAGUAZABpAGUAbgB0AHMAIABpAG4AIABhAGcAcgBpAGMAaABlAG0AaQBjAGEAbAAgAHQAeQBwAGUAIABoACAAcAB1AHIAYwBoAGEAcwBlAGQAIABhAG4AZAAgAGEAcABwAGwAaQBlAGQAIAB0AG8AIABzAG8AaQBsAHMAXABuAEUARgBfAGgAIAA9ACAAZQBtAGkAcwBzAGkAbwBuACAAZgBhAGMAdABvAHIAIABmAG8AcgAgAHAAdQByAGMAaABhAHMAZQBkACAAYQBnAHIAaQBjAGgAZQBtAGkAYwBhAGwAIABhAGMAdABpAHYAZQAgAGkAbgBnAHIAZQBkAGkAZQBuAHQAXABuAC0ALQAtAC0ALQAtAC0ALQAtAC0ALQAtAC0ALQAtAC0ALQAtAC0ALQAtAC0ALQAtAC0ALQAtAC0ALQAtAC0ALQAtAC0ALQAtAC0ALQBcAG4AKgAvAFwAbgBcAG4AVgBFAEUAUgBHAF8AMQA1AF8ANQBfADEAXwAxAF8AXwAxAF8ARQBtAGkAcwBzAGkAbwBuAHMARgByAG8AbQBQAHUAcgBjAGgAYQBzAGUAZABBAGcAcgBpAGMAaABlAG0AaQBjAGEAbABzAFwAbgAgACAAPQBMAEEATQBCAEQAQQAoAFwAbgAgACAAIAAgAFEAXwBoACwAIABFAEYAXwBoACwAXABuACAAIAAgACAAKABRAF8AaAAgACoAIABFAEYAXwBoACkAIAAqACAAMQAwACAAXgAgAC0AMwBcAG4AIAAgACkAOwBcAG4AXABuAFYARQBFAFIARwBfADEANQBfADUAXwAxAF8AMQBfAF8AMQBfAEUAbQBpAHMAcwBpAG8AbgBzAEYAcgBvAG0AUAB1AHIAYwBoAGEAcwBlAGQAQQBnAHIAaQBjAGgAZQBtAGkAYwBhAGwAcwBfAFQAaQB0AGwAZQBcAG4AIAAgAD0ATABBAE0AQgBEAEEAKABcACIAVABvAHQAYQBsACAAZQBtAGkAcwBzAGkAbwBuAHMAIABmAHIAbwBtACAAcAB1AHIAYwBoAGEAcwBlAGQAIABhAGcAcgBpAGMAaABlAG0AaQBjAGEAbABzAFwAIgApADsAXABuAFwAbgBWAEUARQBSAEcAXwAxADUAXwA1AF8AMQBfADEAXwBfADEAXwBFAG0AaQBzAHMAaQBvAG4AcwBGAHIAbwBtAFAAdQByAGMAaABhAHMAZQBkAEEAZwByAGkAYwBoAGUAbQBpAGMAYQBsAHMAXwBWAGEAcgBpAGEAYgBsAGUAXABuACAAIAA9AEwAQQBNAEIARABBACgAXAAiAEUAXAAiACkAOwBcAG4AXABuAFYARQBFAFIARwBfADEANQBfADUAXwAxAF8AMQBfAF8AMQBfAEUAbQBpAHMAcwBpAG8AbgBzAEYAcgBvAG0AUAB1AHIAYwBoAGEAcwBlAGQAQQBnAHIAaQBjAGgAZQBtAGkAYwBhAGwAcwBfAFUAbgBpAHQAXABuACAAIAA9AEwAQQBNAEIARABBACgAXAAiAHQAIABDAE8AMgBlAFwAIgApADsAXABuAFwAbgBWAEUARQBSAEcAXwAxADUAXwA1AF8AMQBfADEAXwBfADEAXwBFAG0AaQBzAHMAaQBvAG4AcwBGAHIAbwBtAFAAdQByAGMAaABhAHMAZQBkAEEAZwByAGkAYwBoAGUAbQBpAGMAYQBsAHMAXwBTAG8AdQByAGMAZQBcAG4AIAAgAD0ATABBAE0AQgBEAEEAKABcACIAVgBFAEUAUgBHACAAMgAwADIANgA6ACAAMQA1AC4ANQAuADEALgAxACwAIABFAHEAdQBhAHQAaQBvAG4AIAAoADEAKQBcACIAKQA7AFwAbgBcAG4AVgBFAEUAUgBHAF8AMQA1AF8ANQBfADEAXwAxAF8AXwAxAF8ARQBtAGkAcwBzAGkAbwBuAHMARgByAG8AbQBQAHUAcgBjAGgAYQBzAGUAZABBAGcAcgBpAGMAaABlAG0AaQBjAGEAbABzAF8ATgBJAFIAUgBlAGYAZQByAGUAbgBjAGUAXABuACAAIAA9AEwAQQBNAEIARABBACgAXAAiAFwAIgApADsAXABuAFwAbgBWAEUARQBSAEcAXwAxADUAXwA1AF8AMQBfADEAXwBfADEAXwBFAG0AaQBzAHMAaQBvAG4AcwBGAHIAbwBtAFAAdQByAGMAaABhAHMAZQBkAEEAZwByAGkAYwBoAGUAbQBpAGMAYQBsAHMAXwBMAGEAdABlAHgARQBxAHUAYQB0AGkAbwBuAFwAbgAgACAAPQBMAEEATQBCAEQAQQAoAFwAIgBFAD0AXABcAHMAdQBtAFwAXABuAG8AbABpAG0AaQB0AHMAXwBoAFwAXABsAGUAZgB0ACgAUQBfAGgAXABcAHQAaQBtAGUAcwAgAEUARgBfAGgAXABcAHIAaQBnAGgAdAApAFwAXAB0AGkAbQBlAHMAIAAxADAAXgB7AC0AMwB9AFwAIgApADsAXABuAFwAbgBWAEUARQBSAEcAXwAxADUAXwA1AF8AMQBfADEAXwBfADEAXwBFAG0AaQBzAHMAaQBvAG4AcwBGAHIAbwBtAFAAdQByAGMAaABhAHMAZQBkAEEAZwByAGkAYwBoAGUAbQBpAGMAYQBsAHMAXwBBAHIAZwB1AG0AZQBuAHQAcwBcAG4AIAAgAD0ATABBAE0AQgBEAEEAKABcAG4AIAAgACAAIABNAEEASwBFAEEAUgBSAEEAWQAoADMALAAgADQALABcAG4AIAAgACAAIAAgACAATABBAE0AQgBEAEEAKAByACwAYwAsAFwAbgAgACAAIAAgACAAIAAgACAASQBOAEQARQBYACgAewBcAG4AIAAgACAAIAAgACAAIAAgACAAIABcACIAUQBfAGgAXAAiACwAIABcACIAcQB1AGEAbgB0AGkAdAB5ACAAbwBmACAAYQBjAHQAaQB2AGUAIABpAG4AZwByAGUAZABpAGUAbgB0AHMAIABpAG4AIABhAGcAcgBpAGMAaABlAG0AaQBjAGEAbAAgAHQAeQBwAGUAIABoACAAcAB1AHIAYwBoAGEAcwBlAGQAIABhAG4AZAAgAGEAcABwAGwAaQBlAGQAIAB0AG8AIABzAG8AaQBsAHMAXAAiACwAIABcACIAawBnACAAYQBpAFwAIgAsACAAXAAiAEkAbgBwAHUAdABcACIAOwBcAG4AIAAgACAAIAAgACAAIAAgACAAIABcACIARQBGAF8AaABcACIALAAgAFwAIgBlAG0AaQBzAHMAaQBvAG4AIABmAGEAYwB0AG8AcgAgAGYAbwByACAAcAB1AHIAYwBoAGEAcwBlAGQAIABhAGcAcgBpAGMAaABlAG0AaQBjAGEAbAAgAGEAYwB0AGkAdgBlACAAaQBuAGcAcgBlAGQAaQBlAG4AdABcACIALAAgAFwAIgBrAGcAIABDAE8AMgBlAC8AawBnACAAYQBpAFwAIgAsACAAXAAiAEMAbwBuAHMAdABhAG4AdABcACIAOwBcAG4AIAAgACAAIAAgACAAIAAgACAAIABcACIAaABcACIALAAgAFwAIgBhAGcAcgBpAGMAaABlAG0AaQBjAGEAb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YAXwAxAF8AMQBfAF8AMQBfAEUAbQBpAHMAcwBpAG8AbgBzAEYAcgBvAG0AUAB1AHIAYwBoAGEAcwBlAGQATABpAG0AZQBcAG4ARQBtAGIAZQBkAGQAZQBkACAAZQBtAGkAcwBzAGkAbwBuAHMAIABmAG8AcgAgAHAAdQByAGMAaABhAHMAZQBkACAAbABpAG0AZQBcAG4ARQBcAG4AdAAgAEMATwAyAGUAXABuAEUAPQBNAF8AbABpAG0AZQBcAFwAdABpAG0AZQBzACAARQBGAF8AbABcAG4ATQBfAGwAaQBtAGUAIAA9ACAAdABvAHQAYQBsACAAcQB1AGEAbgB0AGkAdAB5ACAAbwBmACAAbABpAG0AZQAgAGEAcABwAGwAaQBlAGQAIAB0AG8AIABzAG8AaQBsAHMAXABuAEUARgBfAGwAIAA9ACAAZQBtAGkAcwBzAGkAbwBuACAAZgBhAGMAdABvAHIAIABmAG8AcgAgAHAAdQByAGMAaABhAHMAZQBkACAAbABpAG0AZQBcAG4ALQAtAC0ALQAtAC0ALQAtAC0ALQAtAC0ALQAtAC0ALQAtAC0ALQAtAC0ALQAtAC0ALQAtAC0ALQAtAC0ALQAtAC0ALQAtAC0ALQAtAFwAbgAqAC8AXABuAFwAbgBWAEUARQBSAEcAXwAxADUAXwA2AF8AMQBfADEAXwBfADEAXwBFAG0AaQBzAHMAaQBvAG4AcwBGAHIAbwBtAFAAdQByAGMAaABhAHMAZQBkAEwAaQBtAGUAXABuACAAIAA9AEwAQQBNAEIARABBACgAXABuACAAIAAgACAATQBfAGwAaQBtAGUALAAgAEUARgBfAGwALABcAG4AIAAgACAAIABNAF8AbABpAG0AZQAgACoAIABFAEYAXwBsAFwAbgAgACAAKQA7AFwAbgBcAG4AVgBFAEUAUgBHAF8AMQA1AF8ANgBfADEAXwAxAF8AXwAxAF8ARQBtAGkAcwBzAGkAbwBuAHMARgByAG8AbQBQAHUAcgBjAGgAYQBzAGUAZABMAGkAbQBlAF8AVABpAHQAbABlAFwAbgAgACAAPQBMAEEATQBCAEQAQQAoAFwAIgBFAG0AYgBlAGQAZABlAGQAIABlAG0AaQBzAHMAaQBvAG4AcwAgAGYAbwByACAAcAB1AHIAYwBoAGEAcwBlAGQAIABsAGkAbQBlAFwAIgApADsAXABuAFwAbgBWAEUARQBSAEcAXwAxADUAXwA2AF8AMQBfADEAXwBfADEAXwBFAG0AaQBzAHMAaQBvAG4AcwBGAHIAbwBtAFAAdQByAGMAaABhAHMAZQBkAEwAaQBtAGUAXwBWAGEAcgBpAGEAYgBsAGUAXABuACAAIAA9AEwAQQBNAEIARABBACgAXAAiAEUAXAAiACkAOwBcAG4AXABuAFYARQBFAFIARwBfADEANQBfADYAXwAxAF8AMQBfAF8AMQBfAEUAbQBpAHMAcwBpAG8AbgBzAEYAcgBvAG0AUAB1AHIAYwBoAGEAcwBlAGQATABpAG0AZQBfAFUAbgBpAHQAXABuACAAIAA9AEwAQQBNAEIARABBACgAXAAiAHQAIABDAE8AMgBlAFwAIgApADsAXABuAFwAbgBWAEUARQBSAEcAXwAxADUAXwA2AF8AMQBfADEAXwBfADEAXwBFAG0AaQBzAHMAaQBvAG4AcwBGAHIAbwBtAFAAdQByAGMAaABhAHMAZQBkAEwAaQBtAGUAXwBTAG8AdQByAGMAZQBcAG4AIAAgAD0ATABBAE0AQgBEAEEAKABcACIAVgBFAEUAUgBHACAAMgAwADIANgA6ACAAMQA1AC4ANgAuADEALgAxACwAIABFAHEAdQBhAHQAaQBvAG4AIAAoADEAKQBcACIAKQA7AFwAbgBcAG4AVgBFAEUAUgBHAF8AMQA1AF8ANgBfADEAXwAxAF8AXwAxAF8ARQBtAGkAcwBzAGkAbwBuAHMARgByAG8AbQBQAHUAcgBjAGgAYQBzAGUAZABMAGkAbQBlAF8ATgBJAFIAUgBlAGYAZQByAGUAbgBjAGUAXABuACAAIAA9AEwAQQBNAEIARABBACgAXAAiAFwAIgApADsAXABuAFwAbgBWAEUARQBSAEcAXwAxADUAXwA2AF8AMQBfADEAXwBfADEAXwBFAG0AaQBzAHMAaQBvAG4AcwBGAHIAbwBtAFAAdQByAGMAaABhAHMAZQBkAEwAaQBtAGUAXwBMAGEAdABlAHgARQBxAHUAYQB0AGkAbwBuAFwAbgAgACAAPQBMAEEATQBCAEQAQQAoAFwAIgBFAD0ATQBfAHsAbABpAG0AZQB9AFwAXAB0AGkAbQBlAHMAIABFAEYAXwBsAFwAIgApADsAXABuAFwAbgBWAEUARQBSAEcAXwAxADUAXwA2AF8AMQBfADEAXwBfADEAXwBFAG0AaQBzAHMAaQBvAG4AcwBGAHIAbwBtAFAAdQByAGMAaABhAHMAZQBkAEwAaQBtAGUAXwBBAHIAZwB1AG0AZQBuAHQAcwBcAG4AIAAgAD0ATABBAE0AQgBEAEEAKABcAG4AIAAgACAAIABNAEEASwBFAEEAUgBSAEEAWQAoADIALAAgADQALABcAG4AIAAgACAAIAAgACAATABBAE0AQgBEAEEAKAByACwAYwAsAFwAbgAgACAAIAAgACAAIAAgACAASQBOAEQARQBYACgAewBcAG4AIAAgACAAIAAgACAAIAAgACAAIABcACIATQBfAGwAaQBtAGUAXAAiACwAIABcACIAdABvAHQAYQBsACAAcQB1AGEAbgB0AGkAdAB5ACAAbwBmACAAbABpAG0AZQAgAGEAcABwAGwAaQBlAGQAIAB0AG8AIABzAG8AaQBsAHMAXAAiACwAIABcACIAdABcACIALAAgAFwAIgBJAG4AcAB1AHQAXAAiADsAXABuACAAIAAgACAAIAAgACAAIAAgACAAXAAiAEUARgBfAGwAXAAiACwAIABcACIAZQBtAGkAcwBzAGkAbwBuACAAZgBhAGMAdABvAHIAIABmAG8AcgAgAHAAdQByAGMAaABhAHMAZQBkACAAbABpAG0AZQBcACIALAAgAFwAIgB0ACAAQwBPADIAZQAvAHQ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cAXwAxAF8AMQBfAF8AMQBfAEUAbQBpAHMAcwBpAG8AbgBzAEYAcgBvAG0AUAB1AHIAYwBoAGEAcwBlAGQAUwBlAHIAdgBpAGMAZQBzAFwAbgBFAG0AaQBzAHMAaQBvAG4AcwAgAG8AZgAgAHAAdQByAGMAaABhAHMAZQBkACAAcwBlAHIAdgBpAGMAZQBzACAAYQBuAGQAIABjAG8AbgB0AHIAYQBjAHQAbwByACAAbwBwAGUAcgBhAHQAaQBvAG4AcwBcAG4ARQBcAG4AdAAgAEMATwAyAGUAXABuAEUAPQBcAFwAcwB1AG0AXABcAG4AbwBsAGkAbQBpAHQAcwBfAHAAXABcAGwAZQBmAHQAKABBAF8AcABcAFwAdABpAG0AZQBzACAARQBGAF8AcABcAFwAcgBpAGcAaAB0ACkAXABcAHQAaQBtAGUAcwAgADEAMABeAHsALQAzAH0AXABuAEEAXwBwACAAPQAgAGEAYwB0AGkAdgBpAHQAeQAgAGQAYQB0AGEAIABvAGYAIAB0AGgAZQAgAHMAZQByAHYAaQBjAGUAIAB0AGgAYQB0ACAAdwBhAHMAIABwAHUAcgBjAGgAYQBzAGUAZABcAG4ARQBGAF8AcAAgAD0AIABsAGkAZgBlACAAYwB5AGMAbABlACAAZQBtAGkAcwBzAGkAbwBuACAAZgBhAGMAdABvAHIAIABmAG8AcgAgAHQAaABlACAAcAB1AHIAYwBoAGEAcwBlAGQAIABzAGUAcgB2AGkAYwBlAFwAbgAtAC0ALQAtAC0ALQAtAC0ALQAtAC0ALQAtAC0ALQAtAC0ALQAtAC0ALQAtAC0ALQAtAC0ALQAtAC0ALQAtAC0ALQAtAC0ALQAtAC0AXABuACoALwBcAG4AXABuAFYARQBFAFIARwBfADEANQBfADcAXwAxAF8AMQBfAF8AMQBfAEUAbQBpAHMAcwBpAG8AbgBzAEYAcgBvAG0AUAB1AHIAYwBoAGEAcwBlAGQAUwBlAHIAdgBpAGMAZQBzAFwAbgAgACAAPQBMAEEATQBCAEQAQQAoAFwAbgAgACAAIAAgAEEAXwBwACwAIABFAEYAXwBwACwAXABuACAAIAAgACAAKABBAF8AcAAgACoAIABFAEYAXwBwACkAIAAqACAAMQAwACAAXgAgAC0AMwBcAG4AIAAgACkAOwBcAG4AXABuAFYARQBFAFIARwBfADEANQBfADcAXwAxAF8AMQBfAF8AMQBfAEUAbQBpAHMAcwBpAG8AbgBzAEYAcgBvAG0AUAB1AHIAYwBoAGEAcwBlAGQAUwBlAHIAdgBpAGMAZQBzAF8AVABpAHQAbABlAFwAbgAgACAAPQBMAEEATQBCAEQAQQAoAFwAIgBFAG0AaQBzAHMAaQBvAG4AcwAgAG8AZgAgAHAAdQByAGMAaABhAHMAZQBkACAAcwBlAHIAdgBpAGMAZQBzACAAYQBuAGQAIABjAG8AbgB0AHIAYQBjAHQAbwByACAAbwBwAGUAcgBhAHQAaQBvAG4AcwBcACIAKQA7AFwAbgBcAG4AVgBFAEUAUgBHAF8AMQA1AF8ANwBfADEAXwAxAF8AXwAxAF8ARQBtAGkAcwBzAGkAbwBuAHMARgByAG8AbQBQAHUAcgBjAGgAYQBzAGUAZABTAGUAcgB2AGkAYwBlAHMAXwBWAGEAcgBpAGEAYgBsAGUAXABuACAAIAA9AEwAQQBNAEIARABBACgAXAAiAEUAXAAiACkAOwBcAG4AXABuAFYARQBFAFIARwBfADEANQBfADcAXwAxAF8AMQBfAF8AMQBfAEUAbQBpAHMAcwBpAG8AbgBzAEYAcgBvAG0AUAB1AHIAYwBoAGEAcwBlAGQAUwBlAHIAdgBpAGMAZQBzAF8AVQBuAGkAdABcAG4AIAAgAD0ATABBAE0AQgBEAEEAKABcACIAdAAgAEMATwAyAGUAXAAiACkAOwBcAG4AXABuAFYARQBFAFIARwBfADEANQBfADcAXwAxAF8AMQBfAF8AMQBfAEUAbQBpAHMAcwBpAG8AbgBzAEYAcgBvAG0AUAB1AHIAYwBoAGEAcwBlAGQAUwBlAHIAdgBpAGMAZQBzAF8AUwBvAHUAcgBjAGUAXABuACAAIAA9AEwAQQBNAEIARABBACgAXAAiAFYARQBFAFIARwAgADIAMAAyADYAOgAgADEANQAuADcALgAxAC4AMQAsACAARQBxAHUAYQB0AGkAbwBuACAAKAAxACkAXAAiACkAOwBcAG4AXABuAFYARQBFAFIARwBfADEANQBfADcAXwAxAF8AMQBfAF8AMQBfAEUAbQBpAHMAcwBpAG8AbgBzAEYAcgBvAG0AUAB1AHIAYwBoAGEAcwBlAGQAUwBlAHIAdgBpAGMAZQBzAF8ATgBJAFIAUgBlAGYAZQByAGUAbgBjAGUAXABuACAAIAA9AEwAQQBNAEIARABBACgAXAAiAFwAIgApADsAXABuAFwAbgBWAEUARQBSAEcAXwAxADUAXwA3AF8AMQBfADEAXwBfADEAXwBFAG0AaQBzAHMAaQBvAG4AcwBGAHIAbwBtAFAAdQByAGMAaABhAHMAZQBkAFMAZQByAHYAaQBjAGUAcwBfAEwAYQB0AGUAeABFAHEAdQBhAHQAaQBvAG4AXABuACAAIAA9AEwAQQBNAEIARABBACgAXAAiAEUAPQBcAFwAcwB1AG0AXABcAG4AbwBsAGkAbQBpAHQAcwBfAHAAXABcAGwAZQBmAHQAKABBAF8AcABcAFwAdABpAG0AZQBzACAARQBGAF8AcABcAFwAcgBpAGcAaAB0ACkAXABcAHQAaQBtAGUAcwAgADEAMABeAHsALQAzAH0AXAAiACkAOwBcAG4AXABuAFYARQBFAFIARwBfADEANQBfADcAXwAxAF8AMQBfAF8AMQBfAEUAbQBpAHMAcwBpAG8AbgBzAEYAcgBvAG0AUAB1AHIAYwBoAGEAcwBlAGQAUwBlAHIAdgBpAGMAZQBzAF8AQQByAGcAdQBtAGUAbgB0AHMAXABuACAAIAA9AEwAQQBNAEIARABBACgAXABuACAAIAAgACAATQBBAEsARQBBAFIAUgBBAFkAKAAzACwAIAA0ACwAXABuACAAIAAgACAAIAAgAEwAQQBNAEIARABBACgAcgAsAGMALABcAG4AIAAgACAAIAAgACAAIAAgAEkATgBEAEUAWAAoAHsAXABuACAAIAAgACAAIAAgACAAIAAgACAAXAAiAEEAXwBwAFwAIgAsACAAXAAiAGEAYwB0AGkAdgBpAHQAeQAgAGQAYQB0AGEAIABvAGYAIAB0AGgAZQAgAHMAZQByAHYAaQBjAGUAIAB0AGgAYQB0ACAAdwBhAHMAIABwAHUAcgBjAGgAYQBzAGUAZABcACIALAAgAFwAIgBoAGEAIABvAHIAIABoAFwAIgAsACAAXAAiAEkAbgBwAHUAdABcACIAOwBcAG4AIAAgACAAIAAgACAAIAAgACAAIABcACIARQBGAF8AcABcACIALAAgAFwAIgBsAGkAZgBlACAAYwB5AGMAbABlACAAZQBtAGkAcwBzAGkAbwBuACAAZgBhAGMAdABvAHIAIABmAG8AcgAgAHQAaABlACAAcAB1AHIAYwBoAGEAcwBlAGQAIABzAGUAcgB2AGkAYwBlAFwAIgAsACAAXAAiAGsAZwAgAEMATwAyAGUALwBoAGEAIABvAHIAIABrAGcAIABDAE8AMgBlAC8AaABcACIALAAgAFwAIgBDAG8AbgBzAHQAYQBuAHQAXAAiADsAXABuACAAIAAgACAAIAAgACAAIAAgACAAXAAiAHAAXAAiACwAIABcACIAcwBlAHIAdgBpAGMAZ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gAXwAxAF8AMQBfAF8AMQBfAEUAbQBpAHMAcwBpAG8AbgBzAEYAcgBvAG0AUAB1AHIAYwBoAGEAcwBlAGQAUABhAGMAawBhAGcAaQBuAGcAXABuAEUAbQBiAGUAZABkAGUAZAAgAGUAbQBpAHMAcwBpAG8AbgBzACAAZgByAG8AbQAgAHUAcwBlACAAbwBmACAAcABhAGMAawBhAGcAaQBuAGcAIABtAGEAdABlAHIAaQBhAGwAcwBcAG4ARQBcAG4AdAAgAEMATwAyAGUAXABuAEUAPQBcAFwAcwB1AG0AXABcAG4AbwBsAGkAbQBpAHQAcwBfAHAAXABcAGwAZQBmAHQAKABRAF8AcABcAFwAdABpAG0AZQBzACAARQBGAF8AcABcAFwAcgBpAGcAaAB0ACkAXABcAHQAaQBtAGUAcwAgADEAMABeAHsALQAzAH0AXABuAFEAXwBwACAAPQAgAHUAbgBpAHQAcwAgAG8AZgAgAHAAYQBjAGsAYQBnAGkAbgBnACAAdAB5AHAAZQAgAHAAXABuAEUARgBfAHAAIAA9ACAAZQBtAGkAcwBzAGkAbwBuACAAZgBhAGMAdABvAHIAIABmAG8AcgAgAHAAYQBjAGsAYQBnAGkAbgBnACAAdAB5AHAAZQAgAHAAXABuAC0ALQAtAC0ALQAtAC0ALQAtAC0ALQAtAC0ALQAtAC0ALQAtAC0ALQAtAC0ALQAtAC0ALQAtAC0ALQAtAC0ALQAtAC0ALQAtAC0ALQBcAG4AKgAvAFwAbgBcAG4AVgBFAEUAUgBHAF8AMQA1AF8AOABfADEAXwAxAF8AXwAxAF8ARQBtAGkAcwBzAGkAbwBuAHMARgByAG8AbQBQAHUAcgBjAGgAYQBzAGUAZABQAGEAYwBrAGEAZwBpAG4AZwBcAG4AIAAgAD0ATABBAE0AQgBEAEEAKABcAG4AIAAgACAAIABRAF8AcAAsACAARQBGAF8AcAAsAFwAbgAgACAAIAAgACgAUQBfAHAAIAAqACAARQBGAF8AcAApACAAKgAgADEAMAAgAF4AIAAtADMAXABuACAAIAApADsAXABuAFwAbgBWAEUARQBSAEcAXwAxADUAXwA4AF8AMQBfADEAXwBfADEAXwBFAG0AaQBzAHMAaQBvAG4AcwBGAHIAbwBtAFAAdQByAGMAaABhAHMAZQBkAFAAYQBjAGsAYQBnAGkAbgBnAF8AVABpAHQAbABlAFwAbgAgACAAPQBMAEEATQBCAEQAQQAoAFwAIgBFAG0AYgBlAGQAZABlAGQAIABlAG0AaQBzAHMAaQBvAG4AcwAgAGYAcgBvAG0AIAB1AHMAZQAgAG8AZgAgAHAAYQBjAGsAYQBnAGkAbgBnACAAbQBhAHQAZQByAGkAYQBsAHMAXAAiACkAOwBcAG4AXABuAFYARQBFAFIARwBfADEANQBfADgAXwAxAF8AMQBfAF8AMQBfAEUAbQBpAHMAcwBpAG8AbgBzAEYAcgBvAG0AUAB1AHIAYwBoAGEAcwBlAGQAUABhAGMAawBhAGcAaQBuAGcAXwBWAGEAcgBpAGEAYgBsAGUAXABuACAAIAA9AEwAQQBNAEIARABBACgAXAAiAEUAXAAiACkAOwBcAG4AXABuAFYARQBFAFIARwBfADEANQBfADgAXwAxAF8AMQBfAF8AMQBfAEUAbQBpAHMAcwBpAG8AbgBzAEYAcgBvAG0AUAB1AHIAYwBoAGEAcwBlAGQAUABhAGMAawBhAGcAaQBuAGcAXwBVAG4AaQB0AFwAbgAgACAAPQBMAEEATQBCAEQAQQAoAFwAIgB0ACAAQwBPADIAZQBcACIAKQA7AFwAbgBcAG4AVgBFAEUAUgBHAF8AMQA1AF8AOABfADEAXwAxAF8AXwAxAF8ARQBtAGkAcwBzAGkAbwBuAHMARgByAG8AbQBQAHUAcgBjAGgAYQBzAGUAZABQAGEAYwBrAGEAZwBpAG4AZwBfAFMAbwB1AHIAYwBlAFwAbgAgACAAPQBMAEEATQBCAEQAQQAoAFwAIgBWAEUARQBSAEcAIAAyADAAMgA2ADoAIAAxADUALgA4AC4AMQAuADEALAAgAEUAcQB1AGEAdABpAG8AbgAgACgAMQApAFwAIgApADsAXABuAFwAbgBWAEUARQBSAEcAXwAxADUAXwA4AF8AMQBfADEAXwBfADEAXwBFAG0AaQBzAHMAaQBvAG4AcwBGAHIAbwBtAFAAdQByAGMAaABhAHMAZQBkAFAAYQBjAGsAYQBnAGkAbgBnAF8ATgBJAFIAUgBlAGYAZQByAGUAbgBjAGUAXABuACAAIAA9AEwAQQBNAEIARABBACgAXAAiAFwAIgApADsAXABuAFwAbgBWAEUARQBSAEcAXwAxADUAXwA4AF8AMQBfADEAXwBfADEAXwBFAG0AaQBzAHMAaQBvAG4AcwBGAHIAbwBtAFAAdQByAGMAaABhAHMAZQBkAFAAYQBjAGsAYQBnAGkAbgBnAF8ATABhAHQAZQB4AEUAcQB1AGEAdABpAG8AbgBcAG4AIAAgAD0ATABBAE0AQgBEAEEAKABcACIARQA9AFwAXABzAHUAbQBcAFwAbgBvAGwAaQBtAGkAdABzAF8AcABcAFwAbABlAGYAdAAoAFEAXwBwAFwAXAB0AGkAbQBlAHMAIABFAEYAXwBwAFwAXAByAGkAZwBoAHQAKQBcAFwAdABpAG0AZQBzACAAMQAwAF4AewAtADMAfQBcACIAKQA7AFwAbgBcAG4AVgBFAEUAUgBHAF8AMQA1AF8AOABfADEAXwAxAF8AXwAxAF8ARQBtAGkAcwBzAGkAbwBuAHMARgByAG8AbQBQAHUAcgBjAGgAYQBzAGUAZABQAGEAYwBrAGEAZwBpAG4AZwBfAEEAcgBnAHUAbQBlAG4AdABzAFwAbgAgACAAPQBMAEEATQBCAEQAQQAoAFwAbgAgACAAIAAgAE0AQQBLAEUAQQBSAFIAQQBZACgAMwAsACAANAAsAFwAbgAgACAAIAAgACAAIABMAEEATQBCAEQAQQAoAHIALABjACwAXABuACAAIAAgACAAIAAgACAAIABJAE4ARABFAFgAKAB7AFwAbgAgACAAIAAgACAAIAAgACAAIAAgAFwAIgBRAF8AcABcACIALAAgAFwAIgB1AG4AaQB0AHMAIABvAGYAIABwAGEAYwBrAGEAZwBpAG4AZwAgAHQAeQBwAGUAIABwAFwAIgAsACAAXAAiAHUAbgBpAHQAcwBcACIALAAgAFwAIgBJAG4AcAB1AHQAXAAiADsAXABuACAAIAAgACAAIAAgACAAIAAgACAAXAAiAEUARgBfAHAAXAAiACwAIABcACIAZQBtAGkAcwBzAGkAbwBuACAAZgBhAGMAdABvAHIAIABmAG8AcgAgAHAAYQBjAGsAYQBnAGkAbgBnACAAdAB5AHAAZQAgAHAAXAAiACwAIABcACIAawBnACAAQwBPADIAZQAvAHUAbgBpAHQAXAAiACwAIABcACIAQwBvAG4AcwB0AGEAbgB0AFwAIgA7AFwAbgAgACAAIAAgACAAIAAgACAAIAAgAFwAIgBwAFwAIgAsACAAXAAiAHAAYQBjAGsAYQBnAGkAbgBnACAAdAB5AHAAZQBcACIALAAgAFwAIgBcACIALAAgAFwAIgBJAG4AcAB1AHQAXAAiAFwAbgAgACAAIAAgACAAIAAgACAAfQAsACAAcgAsACAAYwApAFwAbgAgACAAIAAgACAAIAApAFwAbgAgACAAIAAgACkAXABuACAAIAApADsAXABuAFwAbgBWAEUARQBSAEcAXwAxADUAXwA4AF8AMQBfADEAXwBfADEAXwBFAG0AaQBzAHMAaQBvAG4AcwBGAHIAbwBtAFAAdQByAGMAaABhAHMAZQBkAFAAYQBjAGsAYQBnAGkAbgBnAF8AVgBhAHIAaQBhAHQAaQBvAG4AXABuACAAIAA9AEwAQQBNAEIARABBACgAXAAiAFYAQQBSAEkAQQBUAEkATwBOACAATwBOACAAUwBPAFUAUgBDAEUAOgAgAEMAaABhAG4AZwBlAGQAIAB1AG4AaQB0ACAAbwBmACAAUQAgAGYAcgBvAG0AIABcAHUAMAAwADIANwB1AG4AaQB0AHMAXAB1ADAAMAAyADcAIAB0AG8AIABcAHUAMAAwADIANwBrAGcAXAB1ADAAMAAyAD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XAB1ADAAMAAyADcAcwB0AGEAdABlAFwAdQAwADAAMgA3ACAAYQBuAGQAIABcAHUAMAAwADIANwBtAGUAdAByAG8ALwBuAG8AbgAtAG0AZQB0AHIAbwBcAHUAMAAwADIANwAgAGEAcgBnAHUAbQBlAG4AdABzACAAYQBzACAAZwBhAHMAZQBvAHUAcwAgAHMAYwBvAHAAZQAgADMAIABFAEYAcwAgAGEAcgBlACAAcwB0AGEAdABlACAAYQBuAGQAIABtAGUAdAByAG8ALwBuAG8AbgAtAG0AZQB0AHIAbwAgAGwAbwBjAGEAdABpAG8AbgAtAGIAYQBzAGUAZAAuAFwAIgApADsAXABuAFwAbgAvACoAXABuAC0ALQAtAC0ALQAtAC0ALQAtAC0ALQAtAC0ALQAtAC0ALQAtAC0ALQAtAC0ALQAtAC0ALQAtAC0ALQAtAC0ALQAtAC0ALQAtAC0ALQBcAG4AVgBFAEUAUgBHAF8AMQA1AF8AMQAyAF8AMQBfADEAXwBfADEAXwBVAHAAcwB0AHIAZQBhAG0AUAB1AHIAYwBoAGEAcwBlAGQARQBsAGUAYwB0AHIAaQBjAGkAdAB5AEwAbwBjAGEAdABpAG8AbgBCAGEAcwBlAGQAXABuAFMAYwBvAHAAZQAgADMAIABlAG0AaQBzAHMAaQBvAG4AcwAgAGYAcgBvAG0AIABwAHUAcgBjAGgAYQBzAGUAZAAgAGUAbABlAGMAdAByAGkAYwBpAHQAeQAgAGwAbwBjAGEAdABpAG8AbgAgAGIAYQBzAGUAZABcAG4ARQBfADMAZQBsAGUAYwBcAG4AdAAgAEMATwAyAGUAXABuAEUAXwB7ADMALABlAGwAZQBjAH0APQBRAF8AewBlAGwAZQBjAH0AXABcAHQAaQBtAGUAcwAgAEUARgBfAHsAMwAsAGUAbABlAGMAfQBcAFwAdABpAG0AZQBzACAAMQAwAF4AewAtADMAfQBcAG4AUQBfAGUAbABlAGMAIAA9ACAAYQBtAG8AdQBuAHQAIABvAGYAIABlAGwAZQBjAHQAcgBpAGMAaQB0AHkAIABwAHUAcgBjAGgAYQBzAGUAZAAgAGYAcgBvAG0AIAB0AGgAZQAgAGcAcgBpAGQAXABuAEUARgBfADMAZQBsAGUAYwAgAD0AIABzAGMAbwBwAGUAIAAzACAAZQBtAGkAcwBzAGkAbwBuACAAZgBhAGMAdABvAHIAIABmAG8AcgAgAHAAdQByAGMAaABhAHMAZQBkACAAZQBsAGUAYwB0AHIAaQBjAGkAdAB5AFwAbgAtAC0ALQAtAC0ALQAtAC0ALQAtAC0ALQAtAC0ALQAtAC0ALQAtAC0ALQAtAC0ALQAtAC0ALQAtAC0ALQAtAC0ALQAtAC0ALQAtAC0AXABuACoALwBcAG4AXABuAFYARQBFAFIARwBfADEANQBfADEAMgBfADEAXwAxAF8AXwAxAF8AVQBwAHMAdAByAGUAYQBtAFAAdQByAGMAaABhAHMAZQBkAEUAbABlAGMAdAByAGkAYwBpAHQAeQBMAG8AYwBhAHQAaQBvAG4AQgBhAHMAZQBkAFwAbgAgACAAPQBMAEEATQBCAEQAQQAoAFwAbgAgACAAIAAgAFEAXwBlAGwAZQBjACwAIABFAEYAXwAzAGUAbABlAGMALABcAG4AIAAgACAAIAAoAFEAXwBlAGwAZQBjACAAKgAgAEUARgBfADMAZQBsAGUAYwApACAAKgAgADEAMAAgAF4AIAAtADMAXABuACAAIAApADsAXABuAFwAbgBWAEUARQBSAEcAXwAxADUAXwAxADIAXwAxAF8AMQBfAF8AMQBfAFUAcABzAHQAcgBlAGEAbQBQAHUAcgBjAGgAYQBzAGUAZABFAGwAZQBjAHQAcgBpAGMAaQB0AHkATABvAGMAYQB0AGkAbwBuAEIAYQBzAGUAZABfAFQAaQB0AGwAZQBcAG4AIAAgAD0ATABBAE0AQgBEAEEAKABcACIAUwBjAG8AcABlACAAMwAgAGUAbQBpAHMAcwBpAG8AbgBzACAAZgByAG8AbQAgAHAAdQByAGMAaABhAHMAZQBkACAAZQBsAGUAYwB0AHIAaQBjAGkAdAB5ACAAbABvAGMAYQB0AGkAbwBuACAAYgBhAHMAZQBkAFwAIgApADsAXABuAFwAbgBWAEUARQBSAEcAXwAxADUAXwAxADIAXwAxAF8AMQBfAF8AMQBfAFUAcABzAHQAcgBlAGEAbQBQAHUAcgBjAGgAYQBzAGUAZABFAGwAZQBjAHQAcgBpAGMAaQB0AHkATABvAGMAYQB0AGkAbwBuAEIAYQBzAGUAZABfAFYAYQByAGkAYQBiAGwAZQBcAG4AIAAgAD0ATABBAE0AQgBEAEEAKABcACIARQBfADMAZQBsAGUAYwBcACIAKQA7AFwAbgBcAG4AVgBFAEUAUgBHAF8AMQA1AF8AMQAyAF8AMQBfADEAXwBfADEAXwBVAHAAcwB0AHIAZQBhAG0AUAB1AHIAYwBoAGEAcwBlAGQARQBsAGUAYwB0AHIAaQBjAGkAdAB5AEwAbwBjAGEAdABpAG8AbgBCAGEAcwBlAGQAXwBVAG4AaQB0AFwAbgAgACAAPQBMAEEATQBCAEQAQQAoAFwAIgB0ACAAQwBPADIAZQBcACIAKQA7AFwAbgBcAG4AVgBFAEUAUgBHAF8AMQA1AF8AMQAyAF8AMQBfADEAXwBfADEAXwBVAHAAcwB0AHIAZQBhAG0AUAB1AHIAYwBoAGEAcwBlAGQARQBsAGUAYwB0AHIAaQBjAGkAdAB5AEwAbwBjAGEAdABpAG8AbgBCAGEAcwBlAGQAXwBTAG8AdQByAGMAZQBcAG4AIAAgAD0ATABBAE0AQgBEAEEAKABcACIAVgBFAEUAUgBHACAAMgAwADIANgA6ACAAMQA1AC4AMQAyAC4AMQAuADEALAAgAEUAcQB1AGEAdABpAG8AbgAgACgAMQApAFwAIgApADsAXABuAFwAbgBWAEUARQBSAEcAXwAxADUAXwAxADIAXwAxAF8AMQBfAF8AMQBfAFUAcABzAHQAcgBlAGEAbQBQAHUAcgBjAGgAYQBzAGUAZABFAGwAZQBjAHQAcgBpAGMAaQB0AHkATABvAGMAYQB0AGkAbwBuAEIAYQBzAGUAZABfAE4ASQBSAFIAZQBmAGUAcgBlAG4AYwBlAFwAbgAgACAAPQBMAEEATQBCAEQAQQAoAFwAIgBcACIAKQA7AFwAbgBcAG4AVgBFAEUAUgBHAF8AMQA1AF8AMQAyAF8AMQBfADEAXwBfADEAXwBVAHAAcwB0AHIAZQBhAG0AUAB1AHIAYwBoAGEAcwBlAGQARQBsAGUAYwB0AHIAaQBjAGkAdAB5AEwAbwBjAGEAdABpAG8AbgBCAGEAcwBlAGQAXwBMAGEAdABlAHgARQBxAHUAYQB0AGkAbwBuAFwAbgAgACAAPQBMAEEATQBCAEQAQQAoAFwAIgBFAF8AewAzACwAZQBsAGUAYwB9AD0AUQBfAHsAZQBsAGUAYwB9AFwAXAB0AGkAbQBlAHMAIABFAEYAXwB7ADMALABlAGwAZQBjAH0AXABcAHQAaQBtAGUAcwAgADEAMABeAHsALQAzAH0AXAAiACkAOwBcAG4AXABuAFYARQBFAFIARwBfADEANQBfADEAMgBfADEAXwAxAF8AXwAxAF8AVQBwAHMAdAByAGUAYQBtAFAAdQByAGMAaABhAHMAZQBkAEUAbABlAGMAdAByAGkAYwBpAHQAeQBMAG8AYwBhAHQAaQBvAG4AQgBhAHMAZQBk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wBlAGwAZQBjAFwAIgAsACAAXAAiAHMAYwBvAHAAZQAgADMAIABlAG0AaQBzAHMAaQBvAG4AIABmAGEAYwB0AG8AcgAgAGYAbwByACAAcAB1AHIAYwBoAGEAcwBlAGQAIABlAGwAZQBjAHQAcgBpAGMAaQB0AHkAXAAiACwAIABcACIAawBnACAAQwBPADIAZQAvAGsAVwBoAFwAIgAsACAAXAAiAEMAbwBuAHMAdABhAG4AdABcACIAOwBcAG4AIAAgACAAIAAgACAAIAAgACAAIABcACIAZwBcACIALAAgAFwAIgBnAHIAaQBkACAAZQBsAGUAYwB0AHIAaQBjAGkAdAB5ACAAdwBhAHMAIABwAHUAcgBjAGgAYQBzAGUAZAAgAGYAcgBvAG0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gBfADEAXwAyAF8AXwAxAF8AVQBwAHMAdAByAGUAYQBtAFAAdQByAGMAaABhAHMAZQBkAEUAbABlAGMAdAByAGkAYwBpAHQAeQBNAGEAcgBrAGUAdABCAGEAcwBlAGQAXABuAFMAYwBvAHAAZQAgADMAIABlAG0AaQBzAHMAaQBvAG4AcwAgAGYAcgBvAG0AIABwAHUAcgBjAGgAYQBzAGUAZAAgAGUAbABlAGMAdAByAGkAYwBpAHQAeQAgAG0AYQByAGsAZQB0ACAAYgBhAHMAZQBkAFwAbgBFAF8AMwBlAGwAZQBjAFwAbgB0ACAAQwBPADIAZQBcAG4ARQBfAHsAMwAsAGUAbABlAGMAfQA9AFwAXABsAGUAZgB0AFsAUQBfAHsAZQBsAGUAYwB9AFwAXAB0AGkAbQBlAHMAXABcAGwAZQBmAHQAKAAxAC0AKABSAFAAUAArAEoAUgBQAFAAKQBcAFwAcgBpAGcAaAB0ACkALQBcAFwAbABlAGYAdAAoAFIARQBDAF8AewBzAHUAcgByAGUAbgBkAGUAcgBlAGQAfQAtAFIARQBDAF8AewBvAG4AcwBpAHQAZQB9AFwAXAByAGkAZwBoAHQAKQBcAFwAdABpAG0AZQBzACAAMQAwAF4AewAtADMAfQBcAFwAcgBpAGcAaAB0AF0AXABcAHQAaQBtAGUAcwAgAEUARgBfAHsAUgBNAEYAMwAsAGUAbABlAGMAfQBcAFwAdABpAG0AZQBzACAAMQAwAF4AewAtADMAfQBcAG4AUQBfAGUAbABlAGMAIAA9ACAAYQBtAG8AdQBuAHQAIABvAGYAIABlAGwAZQBjAHQAcgBpAGMAaQB0AHkAIABwAHUAcgBjAGgAYQBzAGUAZAAgAGYAcgBvAG0AIAB0AGgAZQAgAGcAcgBpAGQAXABuAFIAUABQACAAPQAgAHIAZQBuAGUAdwBhAGIAbABlACAAcABvAHcAZQByACAAcABlAHIAYwBlAG4AdABhAGcAZQAgAHUAbgBkAGUAcgAgAEwAUgBFAFQAIABmAG8AcgAgAHQAaABlACAAYQBwAHAAbABpAGMAYQBiAGwAZQAgAHAAZQByAGkAbwBkAFwAbgBKAFIAUABQACAAPQAgAGoAdQByAGkAcwBkAGkAYwB0AGkAbwBuAGEAbAAgAHIAZQBuAGUAdwBhAGIAbABlACAAcABvAHcAZQByACAAcABlAHIAYwBlAG4AdABhAGcAZQAgAGYAbwByACAAdABoAGUAIABhAHAAcABsAGkAYwBhAGIAbABlACAAcABlAHIAaQBvAGQAXABuAFIARQBDAF8AcwB1AHIAcgBlAG4AZABlAHIAZQBkACAAPQAgAGUAbABpAGcAaQBiAGwAZQAgAHIAZQBuAGUAdwBhAGIAbABlACAAZQBuAGUAcgBnAHkAIABjAGUAcgB0AGkAZgBpAGMAYQB0AGUAcwAgAHYAbwBsAHUAbgB0AGEAcgBpAGwAeQAgAHMAdQByAHIAZQBuAGQAZQByAGUAZABcAG4AUgBFAEMAXwBvAG4AcwBpAHQAZQAgAD0AIABlAGwAaQBnAGkAYgBsAGUAIAByAGUAbgBlAHcAYQBiAGwAZQAgAGUAbgBlAHIAZwB5ACAAYwBlAHIAdABpAGYAaQBjAGEAdABlAHMAIABpAHMAcwB1AGUAZAAgAGYAbwByACAAbwBuAHMAaQB0AGUAIABnAGUAbgBlAHIAYQB0AGUAZAAgAGUAbABlAGMAdAByAGkAYwBpAHQAeQBcAG4ARQBGAF8AUgBNAEYAMwBlAGwAZQBjACAAPQAgAHMAYwBvAHAAZQAgADMAIAByAGUAcwBpAGQAdQBhAGwAIABtAGkAeAAgAGUAbQBpAHMAcwBpAG8AbgAgAGYAYQBjAHQAbwByACAAZgBvAHIAIABlAGwAZQBjAHQAcgBpAGMAaQB0AHkAXABuAC0ALQAtAC0ALQAtAC0ALQAtAC0ALQAtAC0ALQAtAC0ALQAtAC0ALQAtAC0ALQAtAC0ALQAtAC0ALQAtAC0ALQAtAC0ALQAtAC0ALQBcAG4AKgAvAFwAbgBcAG4AVgBFAEUAUgBHAF8AMQA1AF8AMQAyAF8AMQBfADIAXwBfADEAXwBVAHAAcwB0AHIAZQBhAG0AUAB1AHIAYwBoAGEAcwBlAGQARQBsAGUAYwB0AHIAaQBjAGkAdAB5AE0AYQByAGsAZQB0AEIAYQBzAGUAZA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tADMAKQApACAAKgAgAEUARgBfAFIATQBGADMAZQBsAGUAYwAgACoAIAAxADAAIABeACAALQAzAFwAbgAgACAAKQA7AFwAbgBcAG4AVgBFAEUAUgBHAF8AMQA1AF8AMQAyAF8AMQBfADIAXwBfADEAXwBVAHAAcwB0AHIAZQBhAG0AUAB1AHIAYwBoAGEAcwBlAGQARQBsAGUAYwB0AHIAaQBjAGkAdAB5AE0AYQByAGsAZQB0AEIAYQBzAGUAZABWAGEAcgBpAGEAdABpAG8AbgBcAG4AIAAgAD0ATABBAE0AQgBEAEEAKABcAG4AIAAgACAAIABRAF8AZQBsAGUAYwAsACAAUgBQAFAALAAgAEoAUgBQAFAALAAgAFIARQBDAF8AcwB1AHIAcgBlAG4AZABlAHIAZQBkACwAIABSAEUAQwBfAG8AbgBzAGkAdABlACwAIABFAEYAXwBSAE0ARgAzAGUAbABlAGMALABcAG4AIAAgACAAIAAoACgAUQBfAGUAbABlAGMAIAAqACAAKAAxACAALQAgACgAUgBQAFAAIAArACAASgBSAFAAUAApACkAKQAgAC0AIAAoACgAUgBFAEMAXwBzAHUAcgByAGUAbgBkAGUAcgBlAGQAIAAtACAAUgBFAEMAXwBvAG4AcwBpAHQAZQApACAAKgAgADEAMAAgAF4AIAAzACkAKQAgACoAIABFAEYAXwBSAE0ARgAzAGUAbABlAGMAIAAqACAAMQAwACAAXgAgAC0AMwBcAG4AIAAgACkAOwBcAG4AXABuAFYARQBFAFIARwBfADEANQBfADEAMgBfADEAXwAyAF8AXwAxAF8AVQBwAHMAdAByAGUAYQBtAFAAdQByAGMAaABhAHMAZQBkAEUAbABlAGMAdAByAGkAYwBpAHQAeQBNAGEAcgBrAGUAdABCAGEAcwBlAGQAXwBUAGkAdABsAGUAXABuACAAIAA9AEwAQQBNAEIARABBACgAXAAiAFMAYwBvAHAAZQAgADMAIABlAG0AaQBzAHMAaQBvAG4AcwAgAGYAcgBvAG0AIABwAHUAcgBjAGgAYQBzAGUAZAAgAGUAbABlAGMAdAByAGkAYwBpAHQAeQAgAG0AYQByAGsAZQB0ACAAYgBhAHMAZQBkAFwAIgApADsAXABuAFwAbgBWAEUARQBSAEcAXwAxADUAXwAxADIAXwAxAF8AMgBfAF8AMQBfAFUAcABzAHQAcgBlAGEAbQBQAHUAcgBjAGgAYQBzAGUAZABFAGwAZQBjAHQAcgBpAGMAaQB0AHkATQBhAHIAawBlAHQAQgBhAHMAZQBkAF8AVgBhAHIAaQBhAGIAbABlAFwAbgAgACAAPQBMAEEATQBCAEQAQQAoAFwAIgBFAF8AMwBlAGwAZQBjAFwAIgApADsAXABuAFwAbgBWAEUARQBSAEcAXwAxADUAXwAxADIAXwAxAF8AMgBfAF8AMQBfAFUAcABzAHQAcgBlAGEAbQBQAHUAcgBjAGgAYQBzAGUAZABFAGwAZQBjAHQAcgBpAGMAaQB0AHkATQBhAHIAawBlAHQAQgBhAHMAZQBkAF8AVQBuAGkAdABcAG4AIAAgAD0ATABBAE0AQgBEAEEAKABcACIAdAAgAEMATwAyAGUAXAAiACkAOwBcAG4AXABuAFYARQBFAFIARwBfADEANQBfADEAMgBfADEAXwAyAF8AXwAxAF8AVQBwAHMAdAByAGUAYQBtAFAAdQByAGMAaABhAHMAZQBkAEUAbABlAGMAdAByAGkAYwBpAHQAeQBNAGEAcgBrAGUAdABCAGEAcwBlAGQAXwBTAG8AdQByAGMAZQBcAG4AIAAgAD0ATABBAE0AQgBEAEEAKABcACIAVgBFAEUAUgBHACAAMgAwADIANgA6ACAAMQA1AC4AMQAyAC4AMQAuADIALAAgAEUAcQB1AGEAdABpAG8AbgAgACgAMQApAFwAIgApADsAXABuAFwAbgBWAEUARQBSAEcAXwAxADUAXwAxADIAXwAxAF8AMgBfAF8AMQBfAFUAcABzAHQAcgBlAGEAbQBQAHUAcgBjAGgAYQBzAGUAZABFAGwAZQBjAHQAcgBpAGMAaQB0AHkATQBhAHIAawBlAHQAQgBhAHMAZQBkAF8ATgBJAFIAUgBlAGYAZQByAGUAbgBjAGUAXABuACAAIAA9AEwAQQBNAEIARABBACgAXAAiAFwAIgApADsAXABuAFwAbgBWAEUARQBSAEcAXwAxADUAXwAxADIAXwAxAF8AMgBfAF8AMQBfAFUAcABzAHQAcgBlAGEAbQBQAHUAcgBjAGgAYQBzAGUAZABFAGwAZQBjAHQAcgBpAGMAaQB0AHkATQBhAHIAawBlAHQAQgBhAHMAZQBkAF8ATABhAHQAZQB4AEUAcQB1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t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MAGEAdABlAHgARQBxAHUAYQB0AGkAbwBuAFYAYQByAGk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DMAfQBcAFwAcgBpAGcAaAB0ACkAXABcAHIAaQBnAGgAdABdAFwAXAB0AGkAbQBlAHMAIABFAEYAXwB7AFIATQBGADMALABlAGwAZQBjAH0AXABcAHQAaQBtAGUAcwAgADEAMABeAHsALQAzAH0AXAAiACkAOwBcAG4AXABuAFYARQBFAFIARwBfADEANQBfADEAMgBfADEAXwAyAF8AXwAxAF8AVQBwAHMAdAByAGUAYQBtAFAAdQByAGMAaABhAHMAZQBkAEUAbABlAGMAdAByAGkAYwBpAHQAeQBNAGEAcgBrAGUAdABCAGEAcwBlAGQ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yAGUAbgBlAHcAYQBiAGwAZQAgAHAAbwB3AGUAcgAgAHAAZQByAGMAZQBuAHQAYQBnAGUAIAB1AG4AZABlAHIAIABMAFIARQBUACAAZgBvAHIAIAB0AGgAZQAgAGEAcABwAGwAaQBjAGEAYgBsAGUAIABwAGUAcgBpAG8AZABcACIALAAgAFwAIgBmAHIAYQBjAHQAaQBvAG4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XAAiACwAIABcACIAZgByAGEAYwB0AGkAbwBuAFwAIgAsACAAXAAiAEkAbgBwAHUAdABcACIAOwBcAG4AIAAgACAAIAAgACAAIAAgACAAIABcACIAUgBFAEMAXwBzAHUAcgByAGUAbgBkAGUAcgBlAGQAXAAiACwAIABcACIAZQBsAGkAZwBpAGIAbABlACAAcgBlAG4AZQB3AGEAYgBsAGUAIABlAG4AZQByAGcAeQAgAGMAZQByAHQAaQBmAGkAYwBhAHQAZQBzACAAdgBvAGwAdQBuAHQAYQByAGkAbAB5ACAAcwB1AHIAcgBlAG4AZABlAHIAZQBkAFwAIgAsACAAXAAiAE0AVwBoAFwAIgAsACAAXAAiAEkAbgBwAHUAdABcACIAOwBcAG4AIAAgACAAIAAgACAAIAAgACAAIABcACIAUgBFAEMAXwBvAG4AcwBpAHQAZQBcACIALAAgAFwAIgBlAGwAaQBnAGkAYgBsAGUAIAByAGUAbgBlAHcAYQBiAGwAZQAgAGUAbgBlAHIAZwB5ACAAYwBlAHIAdABpAGYAaQBjAGEAdABlAHMAIABpAHMAcwB1AGUAZAAgAGYAbwByACAAbwBuAHMAaQB0AGUAIABnAGUAbgBlAHIAYQB0AGUAZAAgAGUAbABlAGMAdAByAGkAYwBpAHQAeQBcACIALAAgAFwAIgBNAFcAaABcACIALAAgAFwAIgBJAG4AcAB1AHQAXAAiADsAXABuACAAIAAgACAAIAAgACAAIAAgACAAXAAiAEUARgBfAFIATQBGADMAZQBsAGUAYwBcACIALAAgAFwAIgBzAGMAbwBwAGUAIAAz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QBfADEAMgBfADEAXwAyAF8AXwAxAF8AVQBwAHMAdAByAGUAYQBtAFAAdQByAGMAaABhAHMAZQBkAEUAbABlAGMAdAByAGkAYwBpAHQAeQBNAGEAcgBrAGUAdABCAGEAcwBlAGQ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BcAG4ALwAqAFwAbgAtAC0ALQAtAC0ALQAtAC0ALQAtAC0ALQAtAC0ALQAtAC0ALQAtAC0ALQAtAC0ALQAtAC0ALQAtAC0ALQAtAC0ALQAtAC0ALQAtAC0AXABuAFYARQBFAFIARwBfADEANQBfADEAMwBfADEAXwAxAF8AXwAxAF8ARQBtAGkAcwBzAGkAbwBuAHMARgByAG8AbQBNAGEAbgB1AHIAZQBTAGUAbgB0AE8AZgBmAFMAaQB0AGUAXABuAEUAbQBpAHMAcwBpAG8AbgBzACAAZgByAG8AbQAgAG0AYQBuAHUAcgBlACAAcwBlAG4AdAAgAG8AZgBmACAAcwBpAHQAZQAgAGEAcABwAGwAaQBlAGQAIAB0AG8AIABzAG8AaQBsAHMAIABpAG4AIABhAG4AbwB0AGgAZQByACAAZgBhAHIAbQBpAG4AZwAgAHMAeQBzAHQAZQBtACAAbwByACAAZQBuAHQAZQByAHAAcgBpAHMAZQBcAG4ARQBcAG4AdAAgAE4AMgBPAFwAbgBFAD0ARQBfAHsATgAyAE8AfQArAEUAXwB7AGEAZAB9ACsARQBfAHsAbABlAGEAYwBoAH0AXABuAEUAXwBOADIATwAgAD0AIABkAGkAcgBlAGMAdAAgAG4AaQB0AHIAbwB1AHMAIABvAHgAaQBkAGUAIABlAG0AaQBzAHMAaQBvAG4AcwAgAGYAcgBvAG0AIABhAHAAcABsAGkAYwBhAHQAaQBvAG4AIABvAGYAIABtAGEAbgB1AHIAZQAgAHQAbwAgAHMAbwBpAGwAcwAgAG8AdQB0AHMAaQBkAGUAIABvAGYAIABzAGMAbwBwAGUAIAAxACAAYgBvAHUAbgBkAGEAcgB5AFwAbgBFAF8AYQBkACAAPQAgAG4AaQB0AHIAbwB1AHMAIABvAHgAaQBkAGUAIABlAG0AaQBzAHMAaQBvAG4AcwAgAGYAcgBvAG0AIABhAHQAbQBvAHMAcABoAGUAcgBpAGMAIABkAGUAcABvAHMAaQB0AGkAbwBuACAAbwBmACAAbQBhAG4AdQByAGUAIAB0AG8AIABzAG8AaQBsAHMAXABuAEUAXwBsAGUAYQBjAGgAIAA9ACAAbgBpAHQAcgBvAHUAcwAgAG8AeABpAGQAZQAgAGUAbQBpAHMAcwBpAG8AbgBzACAAZgByAG8AbQAgAG4AaQB0AHIAbwBnAGUAbgAgAGwAZQBhAGMAaABpAG4AZwAgAGEAbgBkACAAcgB1AG4AbwBmAGYAIABvAGYAIABtAGEAbgB1AHIAZQAgAHQAbwAgAHMAbwBpAGwAcwBcAG4ALQAtAC0ALQAtAC0ALQAtAC0ALQAtAC0ALQAtAC0ALQAtAC0ALQAtAC0ALQAtAC0ALQAtAC0ALQAtAC0ALQAtAC0ALQAtAC0ALQAtAFwAbgAqAC8AXABuAFwAbgBWAEUARQBSAEcAXwAxADUAXwAxADMAXwAxAF8AMQBfAF8AMQBfAEUAbQBpAHMAcwBpAG8AbgBzAEYAcgBvAG0ATQBhAG4AdQByAGUAUwBlAG4AdABPAGYAZgBTAGkAdABlAFwAbgAgACAAPQBMAEEATQBCAEQAQQAoAFwAbgAgACAAIAAgAEUAXwBOADIATwAsACAARQBfAGEAZAAsACAARQBfAGwAZQBhAGMAaAAsAFwAbgAgACAAIAAgAEUAXwBOADIATwAgACsAIABFAF8AYQBkACAAKwAgAEUAXwBsAGUAYQBjAGgAXABuACAAIAApADsAXABuAFwAbgBWAEUARQBSAEcAXwAxADUAXwAxADMAXwAxAF8AMQBfAF8AMQBfAEUAbQBpAHMAcwBpAG8AbgBzAEYAcgBvAG0ATQBhAG4AdQByAGUAUwBlAG4AdABPAGYAZgBTAGkAdABlAF8AVABpAHQAbABlAFwAbgAgACAAPQBMAEEATQBCAEQAQQAoAFwAIgBFAG0AaQBzAHMAaQBvAG4AcwAgAGYAcgBvAG0AIABtAGEAbgB1AHIAZQAgAHMAZQBuAHQAIABvAGYAZgAgAHMAaQB0AGUAIABhAHAAcABsAGkAZQBkACAAdABvACAAcwBvAGkAbABzACAAaQBuACAAYQBuAG8AdABoAGUAcgAgAGYAYQByAG0AaQBuAGcAIABzAHkAcwB0AGUAbQAgAG8AcgAgAGUAbgB0AGUAcgBwAHIAaQBzAGUAXAAiACkAOwBcAG4AXABuAFYARQBFAFIARwBfADEANQBfADEAMwBfADEAXwAxAF8AXwAxAF8ARQBtAGkAcwBzAGkAbwBuAHMARgByAG8AbQBNAGEAbgB1AHIAZQBTAGUAbgB0AE8AZgBmAFMAaQB0AGUAXwBWAGEAcgBpAGEAYgBsAGUAXABuACAAIAA9AEwAQQBNAEIARABBACgAXAAiAEUAXAAiACkAOwBcAG4AXABuAFYARQBFAFIARwBfADEANQBfADEAMwBfADEAXwAxAF8AXwAxAF8ARQBtAGkAcwBzAGkAbwBuAHMARgByAG8AbQBNAGEAbgB1AHIAZQBTAGUAbgB0AE8AZgBmAFMAaQB0AGUAXwBVAG4AaQB0AFwAbgAgACAAPQBMAEEATQBCAEQAQQAoAFwAIgB0ACAATgAyAE8AXAAiACkAOwBcAG4AXABuAFYARQBFAFIARwBfADEANQBfADEAMwBfADEAXwAxAF8AXwAxAF8ARQBtAGkAcwBzAGkAbwBuAHMARgByAG8AbQBNAGEAbgB1AHIAZQBTAGUAbgB0AE8AZgBmAFMAaQB0AGUAXwBTAG8AdQByAGMAZQBcAG4AIAAgAD0ATABBAE0AQgBEAEEAKABcACIAVgBFAEUAUgBHACAAMgAwADIANgA6ACAAMQA1AC4AMQAzAC4AMQAuADEALAAgAEUAcQB1AGEAdABpAG8AbgAgACgAMQApAFwAIgApADsAXABuAFwAbgBWAEUARQBSAEcAXwAxADUAXwAxADMAXwAxAF8AMQBfAF8AMQBfAEUAbQBpAHMAcwBpAG8AbgBzAEYAcgBvAG0ATQBhAG4AdQByAGUAUwBlAG4AdABPAGYAZgBTAGkAdABlAF8ATgBJAFIAUgBlAGYAZQByAGUAbgBjAGUAXABuACAAIAA9AEwAQQBNAEIARABBACgAXAAiAFwAIgApADsAXABuAFwAbgBWAEUARQBSAEcAXwAxADUAXwAxADMAXwAxAF8AMQBfAF8AMQBfAEUAbQBpAHMAcwBpAG8AbgBzAEYAcgBvAG0ATQBhAG4AdQByAGUAUwBlAG4AdABPAGYAZgBTAGkAdABlAF8ATABhAHQAZQB4AEUAcQB1AGEAdABpAG8AbgBcAG4AIAAgAD0ATABBAE0AQgBEAEEAKABcACIARQA9AEUAXwB7AE4AMgBPAH0AKwBFAF8AewBhAGQAfQArAEUAXwB7AGwAZQBhAGMAaAB9AFwAIgApADsAXABuAFwAbgBWAEUARQBSAEcAXwAxADUAXwAxADMAXwAxAF8AMQBfAF8AMQBfAEUAbQBpAHMAcwBpAG8AbgBzAEYAcgBvAG0ATQBhAG4AdQByAGUAUwBlAG4AdABPAGYAZgBTAGkAdABlAF8AQQByAGcAdQBtAGUAbgB0AHMAXABuACAAIAA9AEwAQQBNAEIARABBACgAXABuACAAIAAgACAATQBBAEsARQBBAFIAUgBBAFkAKAAzACwAIAA0ACwAXABuACAAIAAgACAAIAAgAEwAQQBNAEIARABBACgAcgAsAGMALABcAG4AIAAgACAAIAAgACAAIAAgAEkATgBEAEUAWAAoAHsAXABuACAAIAAgACAAIAAgACAAIAAgACAAXAAiAEUAXwBOADIATwBcACIALAAgAFwAIgBkAGkAcgBlAGMAdAAgAG4AaQB0AHIAbwB1AHMAIABvAHgAaQBkAGUAIABlAG0AaQBzAHMAaQBvAG4AcwAgAGYAcgBvAG0AIABhAHAAcABsAGkAYwBhAHQAaQBvAG4AIABvAGYAIABtAGEAbgB1AHIAZQAgAHQAbwAgAHMAbwBpAGwAcwAgAG8AdQB0AHMAaQBkAGUAIABvAGYAIABzAGMAbwBwAGUAIAAxACAAYgBvAHUAbgBkAGEAcgB5AFwAIgAsACAAXAAiAHQAIABOADIATwBcACIALAAgAFwAIgBDAGEAbABjAHUAbABhAHQAZQBkAFwAIgA7AFwAbgAgACAAIAAgACAAIAAgACAAIAAgAFwAIgBFAF8AYQBkAFwAIgAsACAAXAAiAG4AaQB0AHIAbwB1AHMAIABvAHgAaQBkAGUAIABlAG0AaQBzAHMAaQBvAG4AcwAgAGYAcgBvAG0AIABhAHQAbQBvAHMAcABoAGUAcgBpAGMAIABkAGUAcABvAHMAaQB0AGkAbwBuACAAbwBmACAAbQBhAG4AdQByAGUAIAB0AG8AIABzAG8AaQBsAHMAXAAiACwAIABcACIAdAAgAE4AMgBPAFwAIgAsACAAXAAiAEMAYQBsAGMAdQBsAGEAdABlAGQAXAAiADsAXABuACAAIAAgACAAIAAgACAAIAAgACAAXAAiAEUAXwBsAGUAYQBjAGgAXAAiACwAIABcACIAbgBpAHQAcgBvAHUAcwAgAG8AeABpAGQAZQAgAGUAbQBpAHMAcwBpAG8AbgBzACAAZgByAG8AbQAgAG4AaQB0AHIAbwBnAGUAbgAgAGwAZQBhAGMAaABpAG4AZwAgAGEAbgBkACAAcgB1AG4AbwBmAGYAIABvAGYAIABtAGEAbgB1AHIAZQAgAHQAbwAgAHMAbwBpAGwAcwBcACIALAAgAFwAIgB0ACAATgAyAE8AXAAiACwAIABcACIAQwBhAGwAYwB1AGwAYQB0AGUAZABcACIAXABuACAAIAAgACAAIAAgACAAIAB9ACwAIAByACwAIABjACkAXABuACAAIAAgACAAIAAgACkAXABuACAAIAAgACAAKQBcAG4AIAAgACkAOwBcAG4AXABuAFwAbgAvACoAXABuAC0ALQAtAC0ALQAtAC0ALQAtAC0ALQAtAC0ALQAtAC0ALQAtAC0ALQAtAC0ALQAtAC0ALQAtAC0ALQAtAC0ALQAtAC0ALQAtAC0ALQBcAG4AVgBFAEUAUgBHAF8AMQA1AF8AMQAzAF8AMQBfADMAXwBfADEAXwBFAG0AaQBzAHMAaQBvAG4AcwBGAHIAbwBtAFMAbwBsAGkAZABXAGEAcwB0AGUAVAByAGUAYQB0AG0AZQBuAHQARgBhAGMAaQBsAGkAdAB5AFwAbgAtAC0ALQAtAC0ALQAtAC0ALQAtAC0ALQAtAC0ALQAtAC0ALQAtAC0ALQAtAC0ALQAtAC0ALQAtAC0ALQAtAC0ALQAtAC0ALQAtAC0AXABuACoALwBcAG4AXABuAFYARQBFAFIARwBfADEANQBfADEAMwBfADEAXwAzAF8AXwAxAF8ARQBtAGkAcwBzAGkAbwBuAHMARgByAG8AbQBTAG8AbABpAGQAVwBhAHMAdABlAFQAcgBlAGEAdABtAGUAbgB0AEYAYQBjAGkAbABpAHQAeQBcAG4AIAAgAD0ATABBAE0AQgBEAEEAKABcAG4AIAAgACAAIABFAF8ATgAyAE8ALAAgAEUAXwBhAGQALAAgAEUAXwBsAGUAYQBjAGgALABcAG4AIAAgACAAIABFAF8ATgAyAE8AIAArACAARQBfAGEAZAAgACsAIABFAF8AbABlAGEAYwBoAFwAbgAgACAAKQA7AFwAbgBcAG4AVgBFAEUAUgBHAF8AMQA1AF8AMQAzAF8AMQBfADMAXwBfADEAXwBFAG0AaQBzAHMAaQBvAG4AcwBGAHIAbwBtAFMAbwBsAGkAZABXAGEAcwB0AGUAVAByAGUAYQB0AG0AZQBuAHQARgBhAGMAaQBsAGkAdAB5AF8AVABpAHQAbABlAFwAbgAgACAAPQBMAEEATQBCAEQAQQAoAFwAIgBFAG0AaQBzAHMAaQBvAG4AcwAgAGYAcgBvAG0AIABzAG8AbABpAGQAIAB3AGEAcwB0AGUAIABzAGUAbgB0ACAAdABvACAAYQAgAHQAcgBlAGEAdABtAGUAbgB0ACAAZgBhAGMAaQBsAGkAdAB5AFwAIgApADsAXABuAFwAbgBWAEUARQBSAEcAXwAxADUAXwAxADMAXwAxAF8AMwBfAF8AMQBfAEUAbQBpAHMAcwBpAG8AbgBzAEYAcgBvAG0AUwBvAGwAaQBkAFcAYQBzAHQAZQBUAHIAZQBhAHQAbQBlAG4AdABGAGEAYwBpAGwAaQB0AHkAXwBWAGEAcgBpAGEAYgBsAGUAXABuACAAIAA9AEwAQQBNAEIARABBACgAXAAiAEUAXAAiACkAOwBcAG4AXABuAFYARQBFAFIARwBfADEANQBfADEAMwBfADEAXwAzAF8AXwAxAF8ARQBtAGkAcwBzAGkAbwBuAHMARgByAG8AbQBTAG8AbABpAGQAVwBhAHMAdABlAFQAcgBlAGEAdABtAGUAbgB0AEYAYQBjAGkAbABpAHQAeQBfAFUAbgBpAHQAXABuACAAIAA9AEwAQQBNAEIARABBACgAXAAiAHQAIABDAE8AMgBlAFwAIgApADsAXABuAFwAbgBWAEUARQBSAEcAXwAxADUAXwAxADMAXwAxAF8AMwBfAF8AMQBfAEUAbQBpAHMAcwBpAG8AbgBzAEYAcgBvAG0AUwBvAGwAaQBkAFcAYQBzAHQAZQBUAHIAZQBhAHQAbQBlAG4AdABGAGEAYwBpAGwAaQB0AHkAXwBTAG8AdQByAGMAZQBcAG4AIAAgAD0ATABBAE0AQgBEAEEAKABcACIAVgBFAEUAUgBHACAAMgAwADIANgA6ACAAMQA1AC4AMQAzAC4AMQAuADMAXAAiACkAOwBcAG4AXABuAFYARQBFAFIARwBfADEANQBfADEAMwBfADEAXwAzAF8AXwAxAF8ARQBtAGkAcwBzAGkAbwBuAHMARgByAG8AbQBTAG8AbABpAGQAVwBhAHMAdABlAFQAcgBlAGEAdABtAGUAbgB0AEYAYQBjAGkAbABpAHQAeQBfAE4ASQBSAFIAZQBmAGUAcgBlAG4AYwBlAFwAbgAgACAAPQBMAEEATQBCAEQAQQAoAFwAIgBcACIAKQA7AFwAbgBcAG4AVgBFAEUAUgBHAF8AMQA1AF8AMQAzAF8AMQBfADMAXwBfADEAXwBFAG0AaQBzAHMAaQBvAG4AcwBGAHIAbwBtAFMAbwBsAGkAZABXAGEAcwB0AGUAVAByAGUAYQB0AG0AZQBuAHQARgBhAGMAaQBsAGkAdAB5AF8ATABhAHQAZQB4AEUAcQB1AGEAdABpAG8AbgBcAG4AIAAgAD0ATABBAE0AQgBEAEEAKABcACIAXAAiACkAOwBcAG4AXABuAFYARQBFAFIARwBfADEANQBfADEAMwBfADEAXwAzAF8AXwAxAF8ARQBtAGkAcwBzAGkAbwBuAHMARgByAG8AbQBTAG8AbABpAGQAVwBhAHMAdABlAFQAcgBlAGEAdABtAGUAbgB0AEYAYQBjAGkAbABpAHQAeQBfAEEAcgBnAHUAbQBlAG4AdABzAFwAbgAgACAAPQBMAEEATQBCAEQAQQAoAFwAIgBcACIAKQA7AFwAbgBcAG4AXABuAC8AKgBcAG4ALQAtAC0ALQAtAC0ALQAtAC0ALQAtAC0ALQAtAC0ALQAtAC0ALQAtAC0ALQAtAC0ALQAtAC0ALQAtAC0ALQAtAC0ALQAtAC0ALQAtAFwAbgBWAEUARQBSAEcAXwAxADUAXwAxADQAXwAxAF8AMQBfAF8AMQBfAEUAbQBiAGUAZABkAGUAZABFAG0AaQBzAHMAaQBvAG4AcwBGAHIAbwBtAFUAcABzAHQAcgBlAGEAbQBGAHIAZQBpAGcAaAB0AFwAbgBFAG0AYgBlAGQAZABlAGQAIABlAG0AaQBzAHMAaQBvAG4AcwAgAGYAcgBvAG0AIAB1AHAAcwB0AHIAZQBhAG0AIABmAHIAZQBpAGcAaAB0AFwAbgBFAFwAbgB0ACAAQwBPADIAZQBcAG4ARQA9AFwAXABzAHUAbQBcAFwAbgBvAGwAaQBtAGkAdABzAF8AZgBcAFwAbABlAGYAdAAoACgAVwBfAGYAXABcAHQAaQBtAGUAcwAgAEQAXwBmACkAXABcAHQAaQBtAGUAcwAgAEUARgBfAGYAXABcAHIAaQBnAGgAdAApAFwAbgBXAF8AZgAgAD0AIAB0AG8AdABhAGwAIABtAGEAcwBzACAAbwBmACAAZwBvAG8AZABzACAAdAByAGEAbgBzAHAAbwByAHQAZQBkACAAcABlAHIAIABmAHIAZQBpAGcAaAB0ACAAdAB5AHAAZQAgAGYAXABuAEQAXwBmACAAPQAgAHQAbwB0AGEAbAAgAGQAaQBzAHQAYQBuAGMAZQAgAHQAcgBhAG4AcwBwAG8AcgB0AGUAZAAgAHAAZQByACAAZgByAGUAaQBnAGgAdAAgAHQAeQBwAGUAIABmAFwAbgBFAEYAXwBmACAAPQAgAGUAbQBpAHMAcwBpAG8AbgAgAGYAYQBjAHQAbwByACAAZgBvAHIAIABmAHIAZQBpAGcAaAB0ACAAdAB5AHAAZQAgAGYAXABuAC0ALQAtAC0ALQAtAC0ALQAtAC0ALQAtAC0ALQAtAC0ALQAtAC0ALQAtAC0ALQAtAC0ALQAtAC0ALQAtAC0ALQAtAC0ALQAtAC0ALQBcAG4AKgAvAFwAbgBcAG4AVgBFAEUAUgBHAF8AMQA1AF8AMQA0AF8AMQBfADEAXwBfADEAXwBFAG0AYgBlAGQAZABlAGQARQBtAGkAcwBzAGkAbwBuAHMARgByAG8AbQBVAHAAcwB0AHIAZQBhAG0ARgByAGUAaQBnAGgAdABcAG4AIAAgAD0ATABBAE0AQgBEAEEAKABcAG4AIAAgACAAIABXAF8AZgAsACAARABfAGYALAAgAEUARgBfAGYALABcAG4AIAAgACAAIAAoAFcAXwBmACAAKgAgAEQAXwBmACkAIAAqACAARQBGAF8AZgBcAG4AIAAgACkAOwBcAG4AXABuAFYARQBFAFIARwBfADEANQBfADEANABfADEAXwAxAF8AXwAxAF8ARQBtAGIAZQBkAGQAZQBkAEUAbQBpAHMAcwBpAG8AbgBzAEYAcgBvAG0AVQBwAHMAdAByAGUAYQBtAEYAcgBlAGkAZwBoAHQAXwBUAGkAdABsAGUAXABuACAAIAA9AEwAQQBNAEIARABBACgAXAAiAEUAbQBiAGUAZABkAGUAZAAgAGUAbQBpAHMAcwBpAG8AbgBzACAAZgByAG8AbQAgAHUAcABzAHQAcgBlAGEAbQAgAGYAcgBlAGkAZwBoAHQAXAAiACkAOwBcAG4AXABuAFYARQBFAFIARwBfADEANQBfADEANABfADEAXwAxAF8AXwAxAF8ARQBtAGIAZQBkAGQAZQBkAEUAbQBpAHMAcwBpAG8AbgBzAEYAcgBvAG0AVQBwAHMAdAByAGUAYQBtAEYAcgBlAGkAZwBoAHQAXwBWAGEAcgBpAGEAYgBsAGUAXABuACAAIAA9AEwAQQBNAEIARABBACgAXAAiAEUAXAAiACkAOwBcAG4AXABuAFYARQBFAFIARwBfADEANQBfADEANABfADEAXwAxAF8AXwAxAF8ARQBtAGIAZQBkAGQAZQBkAEUAbQBpAHMAcwBpAG8AbgBzAEYAcgBvAG0AVQBwAHMAdAByAGUAYQBtAEYAcgBlAGkAZwBoAHQAXwBVAG4AaQB0AFwAbgAgACAAPQBMAEEATQBCAEQAQQAoAFwAIgB0ACAAQwBPADIAZQBcACIAKQA7AFwAbgBcAG4AVgBFAEUAUgBHAF8AMQA1AF8AMQA0AF8AMQBfADEAXwBfADEAXwBFAG0AYgBlAGQAZABlAGQARQBtAGkAcwBzAGkAbwBuAHMARgByAG8AbQBVAHAAcwB0AHIAZQBhAG0ARgByAGUAaQBnAGgAdABfAFMAbwB1AHIAYwBlAFwAbgAgACAAPQBMAEEATQBCAEQAQQAoAFwAIgBWAEUARQBSAEcAIAAyADAAMgA2ADoAIAAxADUALgAxADQALgAxAC4AMQAsACAARQBxAHUAYQB0AGkAbwBuACAAKAAxACkAXAAiACkAOwBcAG4AXABuAFYARQBFAFIARwBfADEANQBfADEANABfADEAXwAxAF8AXwAxAF8ARQBtAGIAZQBkAGQAZQBkAEUAbQBpAHMAcwBpAG8AbgBzAEYAcgBvAG0AVQBwAHMAdAByAGUAYQBtAEYAcgBlAGkAZwBoAHQAXwBOAEkAUgBSAGUAZgBlAHIAZQBuAGMAZQBcAG4AIAAgAD0ATABBAE0AQgBEAEEAKABcACIAXAAiACkAOwBcAG4AXABuAFYARQBFAFIARwBfADEANQBfADEANABfADEAXwAxAF8AXwAxAF8ARQBtAGIAZQBkAGQAZQBkAEUAbQBpAHMAcwBpAG8AbgBzAEYAcgBvAG0AVQBwAHMAdAByAGUAYQBtAEYAcgBlAGkAZwBoAHQAXwBMAGEAdABlAHgARQBxAHUAYQB0AGkAbwBuAFwAbgAgACAAPQBMAEEATQBCAEQAQQAoAFwAIgBFAD0AXABcAHMAdQBtAFwAXABuAG8AbABpAG0AaQB0AHMAXwBmAFwAXABsAGUAZgB0ACgAKABXAF8AZgBcAFwAdABpAG0AZQBzACAARABfAGYAKQBcAFwAdABpAG0AZQBzACAARQBGAF8AZgBcAFwAcgBpAGcAaAB0ACkAXAAiACkAOwBcAG4AXABuAFYARQBFAFIARwBfADEANQBfADEANABfADEAXwAxAF8AXwAxAF8ARQBtAGIAZQBkAGQAZQBkAEUAbQBpAHMAcwBpAG8AbgBzAEYAcgBvAG0AVQBwAHMAdAByAGUAYQBtAEYAcgBlAGkAZwBoAHQAXwBBAHIAZwB1AG0AZQBuAHQAcwBcAG4AIAAgAD0ATABBAE0AQgBEAEEAKABcAG4AIAAgACAAIABNAEEASwBFAEEAUgBSAEEAWQAoADQALAAgADQALABcAG4AIAAgACAAIAAgACAATABBAE0AQgBEAEEAKAByACwAYwAsAFwAbgAgACAAIAAgACAAIAAgACAASQBOAEQARQBYACgAewBcAG4AIAAgACAAIAAgACAAIAAgACAAIABcACIAVwBfAGYAXAAiACwAIABcACIAdABvAHQAYQBsACAAbQBhAHMAcwAgAG8AZgAgAGcAbwBvAGQAcwAgAHQAcgBhAG4AcwBwAG8AcgB0AGUAZAAgAHAAZQByACAAZgByAGUAaQBnAGgAdAAgAHQAeQBwAGUAIABmAFwAIgAsACAAXAAiAHQAXAAiACwAIABcACIASQBuAHAAdQB0AFwAIgA7AFwAbgAgACAAIAAgACAAIAAgACAAIAAgAFwAIgBEAF8AZgBcACIALAAgAFwAIgB0AG8AdABhAGwAIABkAGkAcwB0AGEAbgBjAGUAIAB0AHIAYQBuAHMAcABvAHIAdABlAGQAIABwAGUAcgAgAGYAcgBlAGkAZwBoAHQAIAB0AHkAcABlACAAZgBcACIALAAgAFwAIgBrAG0AXAAiACwAIABcACIASQBuAHAAdQB0AFwAIgA7AFwAbgAgACAAIAAgACAAIAAgACAAIAAgAFwAIgBFAEYAXwBmAFwAIgAsACAAXAAiAGUAbQBpAHMAcwBpAG8AbgAgAGYAYQBjAHQAbwByACAAZgBvAHIAIABmAHIAZQBpAGcAaAB0ACAAdAB5AHAAZQAgAGYAXAAiACwAIABcACIAdAAgAEMATwAyAGUALwAoAHQAIABrAG0AKQBcACIALAAgAFwAIgBDAG8AbgBzAHQAYQBuAHQAXAAiADsAXABuACAAIAAgACAAIAAgACAAIAAgACAAXAAiAGYAXAAiACwAIABcACIAZgByAGUAaQBnAGgAdAAgAHQAeQBwAGUAXAAiACwAIABcACIAXAAiACwAIABcACIASQBuAHAAdQB0AFwAIgBcAG4AIAAgACAAIAAgACAAIAAgAH0ALAAgAHIALAAgAGMAKQBcAG4AIAAgACAAIAAgACAAKQBcAG4AIAAgACAAIAApAFwAbgAgACAAKQA7AFwAbg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FMAYwBvAHAAZQAzAF8AUwBvAHUAcgBjAGUARABhAHQAYQAuAFMAYwBvAHAAZQAzAF8ATABpAHYAZQBzAHQAbwBjAGsAXwBUAGkAdABsAGUAIgAsACIAUwBjAG8AcABlADMAXwBTAG8AdQByAGMAZQBEAGEAdABhAC4AUwBjAG8AcABlADMAXwBMAGkAdgBlAHMAdABvAGMAawBfAFMAbwB1AHIAYwBlACIALAAiAFMAYwBvAHAAZQAzAF8AUwBvAHUAcgBjAGUARABhAHQAYQAuAFMAYwBvAHAAZQAzAF8ATABpAHYAZQBzAHQAbwBjAGsAXwBWAGEAcgBpAGEAdABpAG8AbgAiACwAIgBTAGMAbwBwAGUAMwBfAFMAbwB1AHIAYwBlAEQAYQB0AGEALgBTAGMAbwBwAGUAMwBfAEwAaQB2AGUAcwB0AG8AYwBrAF8ARABhAHQAYQAiACwAIgBTAGMAbwBwAGUAMwBfAFMAbwB1AHIAYwBlAEQAYQB0AGEALgBTAGMAbwBwAGUAMwBfAEMAaABlAG0AaQBjAGEAbABzAF8AVABpAHQAbABlACIALAAiAFMAYwBvAHAAZQAzAF8AUwBvAHUAcgBjAGUARABhAHQAYQAuAFMAYwBvAHAAZQAzAF8AQwBoAGUAbQBpAGMAYQBsAHMAXwBTAG8AdQByAGMAZQAiACwAIgBTAGMAbwBwAGUAMwBfAFMAbwB1AHIAYwBlAEQAYQB0AGEALgBTAGMAbwBwAGUAMwBfAEMAaABlAG0AaQBjAGEAbABzAF8AVgBhAHIAaQBhAHQAaQBvAG4AIgAsACIAUwBjAG8AcABlADMAXwBTAG8AdQByAGMAZQBEAGEAdABhAC4AUwBjAG8AcABlADMAXwBDAGgAZQBtAGkAYwBhAGwAcwBfAEQAYQB0AGEAIgAsACIAUwBjAG8AcABlADMAXwBTAG8AdQByAGMAZQBEAGEAdABhAC4AUwBjAG8AcABlADMAXwBGAGUAZQBkAF8AVABpAHQAbABlACIALAAiAFMAYwBvAHAAZQAzAF8AUwBvAHUAcgBjAGUARABhAHQAYQAuAFMAYwBvAHAAZQAzAF8ARgBlAGUAZABfAFMAbwB1AHIAYwBlACIALAAiAFMAYwBvAHAAZQAzAF8AUwBvAHUAcgBjAGUARABhAHQAYQAuAFMAYwBvAHAAZQAzAF8ARgBlAGUAZABfAFYAYQByAGkAYQB0AGkAbwBuACIALAAiAFMAYwBvAHAAZQAzAF8AUwBvAHUAcgBjAGUARABhAHQAYQAuAFMAYwBvAHAAZQAzAF8ARgBlAGUAZABfAEQAYQB0AGEAIgAsACIAUwBjAG8AcABlADMAXwBTAG8AdQByAGMAZQBEAGEAdABhAC4AUwBjAG8AcABlADMAXwBJAG4AbwByAGcAYQBuAGkAYwBGAGUAcgB0AGkAbABpAHMAZQByAHMAXwBUAGkAdABsAGUAIgAsACIAUwBjAG8AcABlADMAXwBTAG8AdQByAGMAZQBEAGEAdABhAC4AUwBjAG8AcABlADMAXwBJAG4AbwByAGcAYQBuAGkAYwBGAGUAcgB0AGkAbABpAHMAZQByAHMAXwBTAG8AdQByAGMAZQAiACwAIgBTAGMAbwBwAGUAMwBfAFMAbwB1AHIAYwBlAEQAYQB0AGEALgBTAGMAbwBwAGUAMwBfAEkAbgBvAHIAZwBhAG4AaQBjAEYAZQByAHQAaQBsAGkAcwBlAHIAcwBfAFYAYQByAGkAYQB0AGkAbwBuACIALAAiAFMAYwBvAHAAZQAzAF8AUwBvAHUAcgBjAGUARABhAHQAYQAuAFMAYwBvAHAAZQAzAF8ASQBuAG8AcgBnAGEAbgBpAGMARgBlAHIAdABpAGwAaQBzAGUAcgBzAF8ARABhAHQAYQAiACwAIgBTAGMAbwBwAGUAMwBfAFMAbwB1AHIAYwBlAEQAYQB0AGEALgBTAGMAbwBwAGUAMwBfAE8AdABoAGUAcgBfAFQAaQB0AGwAZQAiACwAIgBTAGMAbwBwAGUAMwBfAFMAbwB1AHIAYwBlAEQAYQB0AGEALgBTAGMAbwBwAGUAMwBfAE8AdABoAGUAcgBfAFMAbwB1AHIAYwBlACIALAAiAFMAYwBvAHAAZQAzAF8AUwBvAHUAcgBjAGUARABhAHQAYQAuAFMAYwBvAHAAZQAzAF8ATwB0AGgAZQByAF8AVgBhAHIAaQBhAHQAaQBvAG4AIgAsACIAUwBjAG8AcABlADMAXwBTAG8AdQByAGMAZQBEAGEAdABhAC4AUwBjAG8AcABlADMAXwBPAHQAaABlAHI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AAZQBzAHQAaQBjAGkAZABlAHMAXwBUAGkAdABsAGUAIgAsACIAUwBjAG8AcABlADMAXwBTAG8AdQByAGMAZQBEAGEAdABhAC4AUwBjAG8AcABlADMAXwBQAGUAcwB0AGkAYwBpAGQAZQBzAF8AUwBvAHUAcgBjAGUAIgAsACIAUwBjAG8AcABlADMAXwBTAG8AdQByAGMAZQBEAGEAdABhAC4AUwBjAG8AcABlADMAXwBQAGUAcwB0AGkAYwBpAGQAZQBzAF8AVgBhAHIAaQBhAHQAaQBvAG4AIgAsACIAUwBjAG8AcABlADMAXwBTAG8AdQByAGMAZQBEAGEAdABhAC4AUwBjAG8AcABlADMAXwBQAGUAcwB0AGkAYwBpAGQAZQBzAF8ARABhAHQAYQAiACwAIgBTAGMAbwBwAGUAMwBfAFMAbwB1AHIAYwBlAEQAYQB0AGEALgBTAGMAbwBwAGUAMwBfAFMAbwBpAGwAQQBtAGUAbgBkAG0AZQBuAHQAcwBfAFQAaQB0AGwAZQAiACwAIgBTAGMAbwBwAGUAMwBfAFMAbwB1AHIAYwBlAEQAYQB0AGEALgBTAGMAbwBwAGUAMwBfAFMAbwBpAGwAQQBtAGUAbgBkAG0AZQBuAHQAcwBfAFMAbwB1AHIAYwBlACIALAAiAFMAYwBvAHAAZQAzAF8AUwBvAHUAcgBjAGUARABhAHQAYQAuAFMAYwBvAHAAZQAzAF8AUwBvAGkAbABBAG0AZQBuAGQAbQBlAG4AdABzAF8AVgBhAHIAaQBhAHQAaQBvAG4AIgAsACIAUwBjAG8AcABlADMAXwBTAG8AdQByAGMAZQBEAGEAdABhAC4AUwBjAG8AcABlADMAXwBTAG8AaQBsAEEAbQBlAG4AZABtAGUAbgB0AHMAXwBEAGEAdABh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TAGMAbwBwAGUAMwBfAEkAbgBwAHUAdABGAHUAbgBjAHQAaQBvAG4AcwAuAEcAZQB0AEwAaQB2AGUAdwBlAGkAZwBoAHQAXwBQAGEAcwB0AHUAcgBlAEIAZQBlAGYAIgAsACIAUwBvAHUAcgBjAGUARABhAHQAYQBfAEQAYQBpAHIAeQAuAFMAbwB1AHIAYwBlAEQAYQB0AGEAXwBEAGEAaQByAHkAXwBMAGkAdgBlAHcAZQBpAGcAaAB0AEMAbwB3AHMAQQBuAGQASABlAGkAZgBlAHIAcwBfAFQAaQB0AGwAZQAiACwAIgBTAG8AdQByAGMAZQBEAGEAdABhAF8ARABhAGkAcgB5AC4AUwBvAHUAcgBjAGUARABhAHQAYQBfAEQAYQBpAHIAeQBfAEwAaQB2AGUAdwBlAGkAZwBoAHQAQwBvAHcAcwBBAG4AZABIAGUAaQBmAGUAcgBzAF8AVgBhAHIAaQBhAGIAbABlACIALAAiAFMAbwB1AHIAYwBlAEQAYQB0AGEAXwBEAGEAaQByAHkALgBTAG8AdQByAGMAZQBEAGEAdABhAF8ARABhAGkAcgB5AF8ATABpAHYAZQB3AGUAaQBnAGgAdABDAG8AdwBzAEEAbgBkAEgAZQBpAGYAZQByAHMAXwBVAG4AaQB0ACIALAAiAFMAbwB1AHIAYwBlAEQAYQB0AGEAXwBEAGEAaQByAHkALgBTAG8AdQByAGMAZQBEAGEAdABhAF8ARABhAGkAcgB5AF8ATABpAHYAZQB3AGUAaQBnAGgAdABDAG8AdwBzAEEAbgBkAEgAZQBpAGYAZQByAHMAXwBTAG8AdQByAGMAZQAiACwAIgBTAG8AdQByAGMAZQBEAGEAdABhAF8ARABhAGkAcgB5AC4AUwBvAHUAcgBjAGUARABhAHQAYQBfAEQAYQBpAHIAeQBfAEwAaQB2AGUAdwBlAGkAZwBoAHQAQwBvAHcAcwBBAG4AZABIAGUAaQBmAGUAcgBzAF8AVgBhAHIAaQBhAHQAaQBvAG4AIgAsACIAUwBvAHUAcgBjAGUARABhAHQAYQBfAEQAYQBpAHIAeQAuAFMAbwB1AHIAYwBlAEQAYQB0AGEAXwBEAGEAaQByAHkAXwBMAGkAdgBlAHcAZQBpAGcAaAB0AEMAbwB3AHMAQQBuAGQASABlAGkAZgBlAHIAcwBfAEQAYQB0AGEAIgAsACIAUwBvAHUAcgBjAGUARABhAHQAYQBfAEQAYQBpAHIAeQAuAFMAbwB1AHIAYwBlAEQAYQB0AGEAXwBEAGEAaQByAHkAXwBMAGkAdgBlAHcAZQBpAGcAaAB0AEIAdQBsAGwAcwBfAFQAaQB0AGwAZQAiACwAIgBTAG8AdQByAGMAZQBEAGEAdABhAF8ARABhAGkAcgB5AC4AUwBvAHUAcgBjAGUARABhAHQAYQBfAEQAYQBpAHIAeQBfAEwAaQB2AGUAdwBlAGkAZwBoAHQAQgB1AGwAbABzAF8AVgBhAHIAaQBhAGIAbABlACIALAAiAFMAbwB1AHIAYwBlAEQAYQB0AGEAXwBEAGEAaQByAHkALgBTAG8AdQByAGMAZQBEAGEAdABhAF8ARABhAGkAcgB5AF8ATABpAHYAZQB3AGUAaQBnAGgAdABCAHUAbABsAHMAXwBVAG4AaQB0ACIALAAiAFMAbwB1AHIAYwBlAEQAYQB0AGEAXwBEAGEAaQByAHkALgBTAG8AdQByAGMAZQBEAGEAdABhAF8ARABhAGkAcgB5AF8ATABpAHYAZQB3AGUAaQBnAGgAdABCAHUAbABsAHMAXwBTAG8AdQByAGMAZQAiACwAIgBTAG8AdQByAGMAZQBEAGEAdABhAF8ARABhAGkAcgB5AC4AUwBvAHUAcgBjAGUARABhAHQAYQBfAEQAYQBpAHIAeQBfAEwAaQB2AGUAdwBlAGkAZwBoAHQAQgB1AGwAbABzAF8AVgBhAHIAaQBhAHQAaQBvAG4AIgAsACIAUwBvAHUAcgBjAGUARABhAHQAYQBfAEQAYQBpAHIAeQAuAFMAbwB1AHIAYwBlAEQAYQB0AGEAXwBEAGEAaQByAHkAXwBMAGkAdgBlAHcAZQBpAGcAaAB0AEIAdQBsAGwAcwBfAEQAYQB0AGEAIgAsACIAUwBvAHUAcgBjAGUARABhAHQAYQBfAEQAYQBpAHIAeQAuAFMAbwB1AHIAYwBlAEQAYQB0AGEAXwBEAGEAaQByAHkAXwBMAGkAdgBlAHcAZQBpAGcAaAB0AEcAYQBpAG4AXwBUAGkAdABsAGUAIgAsACIAUwBvAHUAcgBjAGUARABhAHQAYQBfAEQAYQBpAHIAeQAuAFMAbwB1AHIAYwBlAEQAYQB0AGEAXwBEAGEAaQByAHkAXwBMAGkAdgBlAHcAZQBpAGcAaAB0AEcAYQBpAG4AXwBWAGEAcgBpAGEAYgBsAGUAIgAsACIAUwBvAHUAcgBjAGUARABhAHQAYQBfAEQAYQBpAHIAeQAuAFMAbwB1AHIAYwBlAEQAYQB0AGEAXwBEAGEAaQByAHkAXwBMAGkAdgBlAHcAZQBpAGcAaAB0AEcAYQBpAG4AXwBVAG4AaQB0ACIALAAiAFMAbwB1AHIAYwBlAEQAYQB0AGEAXwBEAGEAaQByAHkALgBTAG8AdQByAGMAZQBEAGEAdABhAF8ARABhAGkAcgB5AF8ATABpAHYAZQB3AGUAaQBnAGgAdABHAGEAaQBuAF8AUwBvAHUAcgBjAGUAIgAsACIAUwBvAHUAcgBjAGUARABhAHQAYQBfAEQAYQBpAHIAeQAuAFMAbwB1AHIAYwBlAEQAYQB0AGEAXwBEAGEAaQByAHkAXwBMAGkAdgBlAHcAZQBpAGcAaAB0AEcAYQBpAG4AXwBWAGEAcgBpAGEAdABpAG8AbgAiACwAIgBTAG8AdQByAGMAZQBEAGEAdABhAF8ARABhAGkAcgB5AC4AUwBvAHUAcgBjAGUARABhAHQAYQBfAEQAYQBpAHIAeQBfAEwAaQB2AGUAdwBlAGkAZwBoAHQARwBhAGkAbgBfAEQAYQB0AGEAIgAsACIAUwBvAHUAcgBjAGUARABhAHQAYQBfAEQAYQBpAHIAeQAuAFMAbwB1AHIAYwBlAEQAYQB0AGEAXwBEAGEAaQByAHkAXwBSAGUAZgBlAHIAZQBuAGMAZQBXAGUAaQBnAGgAdABzAF8AVABpAHQAbABlACIALAAiAFMAbwB1AHIAYwBlAEQAYQB0AGEAXwBEAGEAaQByAHkALgBTAG8AdQByAGMAZQBEAGEAdABhAF8ARABhAGkAcgB5AF8AUgBlAGYAZQByAGUAbgBjAGUAVwBlAGkAZwBoAHQAcwBfAFYAYQByAGkAYQBiAGwAZQAiACwAIgBTAG8AdQByAGMAZQBEAGEAdABhAF8ARABhAGkAcgB5AC4AUwBvAHUAcgBjAGUARABhAHQAYQBfAEQAYQBpAHIAeQBfAFIAZQBmAGUAcgBlAG4AYwBlAFcAZQBpAGcAaAB0AHMAXwBVAG4AaQB0ACIALAAiAFMAbwB1AHIAYwBlAEQAYQB0AGEAXwBEAGEAaQByAHkALgBTAG8AdQByAGMAZQBEAGEAdABhAF8ARABhAGkAcgB5AF8AUgBlAGYAZQByAGUAbgBjAGUAVwBlAGkAZwBoAHQAcwBfAFMAbwB1AHIAYwBlACIALAAiAFMAbwB1AHIAYwBlAEQAYQB0AGEAXwBEAGEAaQByAHkALgBTAG8AdQByAGMAZQBEAGEAdABhAF8ARABhAGkAcgB5AF8AUgBlAGYAZQByAGUAbgBjAGUAVwBlAGkAZwBoAHQAcwBfAFYAYQByAGkAYQB0AGkAbwBuACIALAAiAFMAbwB1AHIAYwBlAEQAYQB0AGEAXwBEAGEAaQByAHkALgBTAG8AdQByAGMAZQBEAGEAdABhAF8ARABhAGkAcgB5AF8AUgBlAGYAZQByAGUAbgBjAGUAVwBlAGkAZwBoAHQAcwBfAEQAYQB0AGEAIgAsACIAUwBvAHUAcgBjAGUARABhAHQAYQBfAEQAYQBpAHIAeQAuAFMAbwB1AHIAYwBlAEQAYQB0AGEAXwBEAGEAaQByAHkAXwBQAHIAZQBXAGUAYQBuAGUAZABDAGEAbAB2AGUAcwBfAFQAaQB0AGwAZQAiACwAIgBTAG8AdQByAGMAZQBEAGEAdABhAF8ARABhAGkAcgB5AC4AUwBvAHUAcgBjAGUARABhAHQAYQBfAEQAYQBpAHIAeQBfAFAAcgBlAFcAZQBhAG4AZQBkAEMAYQBsAHYAZQBzAF8AVgBhAHIAaQBhAGIAbABlACIALAAiAFMAbwB1AHIAYwBlAEQAYQB0AGEAXwBEAGEAaQByAHkALgBTAG8AdQByAGMAZQBEAGEAdABhAF8ARABhAGkAcgB5AF8AUAByAGUAVwBlAGEAbgBlAGQAQwBhAGwAdgBlAHMAXwBVAG4AaQB0ACIALAAiAFMAbwB1AHIAYwBlAEQAYQB0AGEAXwBEAGEAaQByAHkALgBTAG8AdQByAGMAZQBEAGEAdABhAF8ARABhAGkAcgB5AF8AUAByAGUAVwBlAGEAbgBlAGQAQwBhAGwAdgBlAHMAXwBTAG8AdQByAGMAZQAiACwAIgBTAG8AdQByAGMAZQBEAGEAdABhAF8ARABhAGkAcgB5AC4AUwBvAHUAcgBjAGUARABhAHQAYQBfAEQAYQBpAHIAeQBfAFAAcgBlAFcAZQBhAG4AZQBkAEMAYQBsAHYAZQBzAF8AVgBhAHIAaQBhAHQAaQBvAG4AIgAsACIAUwBvAHUAcgBjAGUARABhAHQAYQBfAEQAYQBpAHIAeQAuAFMAbwB1AHIAYwBlAEQAYQB0AGEAXwBEAGEAaQByAHkAXwBQAHIAZQBXAGUAYQBuAGUAZABDAGEAbAB2AGUAcwBfAEQAYQB0AGEAIgAsACIAUwBvAHUAcgBjAGUARABhAHQAYQBfAEQAYQBpAHIAeQAuAFMAbwB1AHIAYwBlAEQAYQB0AGEAXwBEAGEAaQByAHkAXwBNAEMARgBfAFQAaQB0AGwAZQAiACwAIgBTAG8AdQByAGMAZQBEAGEAdABhAF8ARABhAGkAcgB5AC4AUwBvAHUAcgBjAGUARABhAHQAYQBfAEQAYQBpAHIAeQBfAE0AQwBGAF8AVgBhAHIAaQBhAGIAbABlACIALAAiAFMAbwB1AHIAYwBlAEQAYQB0AGEAXwBEAGEAaQByAHkALgBTAG8AdQByAGMAZQBEAGEAdABhAF8ARABhAGkAcgB5AF8ATQBDAEYAXwBVAG4AaQB0ACIALAAiAFMAbwB1AHIAYwBlAEQAYQB0AGEAXwBEAGEAaQByAHkALgBTAG8AdQByAGMAZQBEAGEAdABhAF8ARABhAGkAcgB5AF8ATQBDAEYAXwBTAG8AdQByAGMAZQAiACwAIgBTAG8AdQByAGMAZQBEAGEAdABhAF8ARABhAGkAcgB5AC4AUwBvAHUAcgBjAGUARABhAHQAYQBfAEQAYQBpAHIAeQBfAE0AQwBGAF8AVgBhAHIAaQBhAHQAaQBvAG4AIgAsACIAUwBvAHUAcgBjAGUARABhAHQAYQBfAEQAYQBpAHIAeQAuAFMAbwB1AHIAYwBlAEQAYQB0AGEAXwBEAGEAaQByAHkAXwBNAEMARgBfAEQAYQB0AGEAIgAsACIAUwBvAHUAcgBjAGUARABhAHQAYQBfAEQAYQBpAHIAeQAuAFMAbwB1AHIAYwBlAEQAYQB0AGEAXwBEAGEAaQByAHkAXwBOAGkAdAByAG8AdQBzAE8AeABpAGQAZQBFAEYAcwBBAG4AZABGAHIAYQBjAEcAQQBTAE0AXwBUAGkAdABsAGUAIgAsACIAUwBvAHUAcgBjAGUARABhAHQAYQBfAEQAYQBpAHIAeQAuAFMAbwB1AHIAYwBlAEQAYQB0AGEAXwBEAGEAaQByAHkAXwBOAGkAdAByAG8AdQBzAE8AeABpAGQAZQBFAEYAcwBBAG4AZABGAHIAYQBjAEcAQQBTAE0AXwBWAGEAcgBpAGEAYgBsAGUAIgAsACIAUwBvAHUAcgBjAGUARABhAHQAYQBfAEQAYQBpAHIAeQAuAFMAbwB1AHIAYwBlAEQAYQB0AGEAXwBEAGEAaQByAHkAXwBOAGkAdAByAG8AdQBzAE8AeABpAGQAZQBFAEYAcwBBAG4AZABGAHIAYQBjAEcAQQBTAE0AXwBVAG4AaQB0ACIALAAiAFMAbwB1AHIAYwBlAEQAYQB0AGEAXwBEAGEAaQByAHkALgBTAG8AdQByAGMAZQBEAGEAdABhAF8ARABhAGkAcgB5AF8ATgBpAHQAcgBvAHUAcwBPAHgAaQBkAGUARQBGAHMAQQBuAGQARgByAGEAYwBHAEEAUwBNAF8AUwBvAHUAcgBjAGUAIgAsACIAUwBvAHUAcgBjAGUARABhAHQAYQBfAEQAYQBpAHIAeQAuAFMAbwB1AHIAYwBlAEQAYQB0AGEAXwBEAGEAaQByAHkAXwBOAGkAdAByAG8AdQBzAE8AeABpAGQAZQBFAEYAcwBBAG4AZABGAHIAYQBjAEcAQQBTAE0AXwBWAGEAcgBpAGEAdABpAG8AbgAiACwAIgBTAG8AdQByAGMAZQBEAGEAdABhAF8ARABhAGkAcgB5AC4AUwBvAHUAcgBjAGUARABhAHQAYQBfAEQAYQBpAHIAeQBfAE4AaQB0AHIAbwB1AHMATwB4AGkAZABlAEUARgBzAEEAbgBkAEYAcgBhAGMARwBBAFMATQBfAEQAYQB0AGEAIgAsACIAUwBvAHUAcgBjAGUARABhAHQAYQBfAEQAYQBpAHIAeQAuAFMAbwB1AHIAYwBlAEQAYQB0AGEAXwBEAGEAaQByAHkAXwBNAGUAdABoAGEAbgBlAFAAcgBvAGQAdQBjAHQAaQBvAG4AUAByAGUAVwBlAGEAbgBlAGQAQwBhAGwAdgBlAHMAXwBUAGkAdABsAGUAIgAsACIAUwBvAHUAcgBjAGUARABhAHQAYQBfAEQAYQBpAHIAeQAuAFMAbwB1AHIAYwBlAEQAYQB0AGEAXwBEAGEAaQByAHkAXwBNAGUAdABoAGEAbgBlAFAAcgBvAGQAdQBjAHQAaQBvAG4AUAByAGUAVwBlAGEAbgBlAGQAQwBhAGwAdgBlAHMAXwBWAGEAcgBpAGEAYgBsAGUAIgAsACIAUwBvAHUAcgBjAGUARABhAHQAYQBfAEQAYQBpAHIAeQAuAFMAbwB1AHIAYwBlAEQAYQB0AGEAXwBEAGEAaQByAHkAXwBNAGUAdABoAGEAbgBlAFAAcgBvAGQAdQBjAHQAaQBvAG4AUAByAGUAVwBlAGEAbgBlAGQAQwBhAGwAdgBlAHMAXwBVAG4AaQB0ACIALAAiAFMAbwB1AHIAYwBlAEQAYQB0AGEAXwBEAGEAaQByAHkALgBTAG8AdQByAGMAZQBEAGEAdABhAF8ARABhAGkAcgB5AF8ATQBlAHQAaABhAG4AZQBQAHIAbwBkAHUAYwB0AGkAbwBuAFAAcgBlAFcAZQBhAG4AZQBkAEMAYQBsAHYAZQBzAF8AUwBvAHUAcgBjAGUAIgAsACIAUwBvAHUAcgBjAGUARABhAHQAYQBfAEQAYQBpAHIAeQAuAFMAbwB1AHIAYwBlAEQAYQB0AGEAXwBEAGEAaQByAHkAXwBNAGUAdABoAGEAbgBlAFAAcgBvAGQAdQBjAHQAaQBvAG4AUAByAGUAVwBlAGEAbgBlAGQAQwBhAGwAdgBlAHMAXwBWAGEAcgBpAGEAdABpAG8AbgAiACwAIgBTAG8AdQByAGMAZQBEAGEAdABhAF8ARABhAGkAcgB5AC4AUwBvAHUAcgBjAGUARABhAHQAYQBfAEQAYQBpAHIAeQBfAE0AZQB0AGgAYQBuAGUAUAByAG8AZAB1AGMAdABpAG8AbgBQAHIAZQBXAGUAYQBuAGUAZABDAGEAbAB2AGUAcwBfAEQAYQB0AGEAIgAsACIAUwBvAHUAcgBjAGUARABhAHQAYQBfAEQAYQBpAHIAeQAuAFMAbwB1AHIAYwBlAEQAYQB0AGEAXwBEAGEAaQByAHkAXwBJAG4AYwByAGUAYQBzAGUAZABNAGUAdABhAGIAbwBsAGkAYwBSAGEAdABlAE0AaQBsAGsAXwBUAGkAdABsAGUAIgAsACIAUwBvAHUAcgBjAGUARABhAHQAYQBfAEQAYQBpAHIAeQAuAFMAbwB1AHIAYwBlAEQAYQB0AGEAXwBEAGEAaQByAHkAXwBJAG4AYwByAGUAYQBzAGUAZABNAGUAdABhAGIAbwBsAGkAYwBSAGEAdABlAE0AaQBsAGsAXwBWAGEAcgBpAGEAYgBsAGUAIgAsACIAUwBvAHUAcgBjAGUARABhAHQAYQBfAEQAYQBpAHIAeQAuAFMAbwB1AHIAYwBlAEQAYQB0AGEAXwBEAGEAaQByAHkAXwBJAG4AYwByAGUAYQBzAGUAZABNAGUAdABhAGIAbwBsAGkAYwBSAGEAdABlAE0AaQBsAGsAXwBVAG4AaQB0ACIALAAiAFMAbwB1AHIAYwBlAEQAYQB0AGEAXwBEAGEAaQByAHkALgBTAG8AdQByAGMAZQBEAGEAdABhAF8ARABhAGkAcgB5AF8ASQBuAGMAcgBlAGEAcwBlAGQATQBlAHQAYQBiAG8AbABpAGMAUgBhAHQAZQBNAGkAbABrAF8AUwBvAHUAcgBjAGUAIgAsACIAUwBvAHUAcgBjAGUARABhAHQAYQBfAEQAYQBpAHIAeQAuAFMAbwB1AHIAYwBlAEQAYQB0AGEAXwBEAGEAaQByAHkAXwBJAG4AYwByAGUAYQBzAGUAZABNAGUAdABhAGIAbwBsAGkAYwBSAGEAdABlAE0AaQBsAGsAXwBWAGEAcgBpAGEAdABpAG8AbgAiACwAIgBTAG8AdQByAGMAZQBEAGEAdABhAF8ARABhAGkAcgB5AC4AUwBvAHUAcgBjAGUARABhAHQAYQBfAEQAYQBpAHIAeQBfAEkAbgBjAHIAZQBhAHMAZQBkAE0AZQB0AGEAYgBvAGwAaQBjAFIAYQB0AGUATQBpAGwAawBfAEQAYQB0AGEAIgAsACIAUwBvAHUAcgBjAGUARABhAHQAYQBfAEQAYQBpAHIAeQAuAFMAbwB1AHIAYwBlAEQAYQB0AGEAXwBEAGEAaQByAHkAXwBGAHIAYQBjAHQAaQBvAG4AVgBvAGwAYQB0AGkAbABlAFMAbwBsAGkAZABzAFYAbwBpAGQAZQBkAE0ATQBTAF8AVABpAHQAbABlACIALAAiAFMAbwB1AHIAYwBlAEQAYQB0AGEAXwBEAGEAaQByAHkALgBTAG8AdQByAGMAZQBEAGEAdABhAF8ARABhAGkAcgB5AF8ARgByAGEAYwB0AGkAbwBuAFYAbwBsAGEAdABpAGwAZQBTAG8AbABpAGQAcwBWAG8AaQBkAGUAZABNAE0AUwBfAFYAYQByAGkAYQBiAGwAZQAiACwAIgBTAG8AdQByAGMAZQBEAGEAdABhAF8ARABhAGkAcgB5AC4AUwBvAHUAcgBjAGUARABhAHQAYQBfAEQAYQBpAHIAeQBfAEYAcgBhAGMAdABpAG8AbgBWAG8AbABhAHQAaQBsAGUAUwBvAGwAaQBkAHMAVgBvAGkAZABlAGQATQBNAFMAXwBVAG4AaQB0ACIALAAiAFMAbwB1AHIAYwBlAEQAYQB0AGEAXwBEAGEAaQByAHkALgBTAG8AdQByAGMAZQBEAGEAdABhAF8ARABhAGkAcgB5AF8ARgByAGEAYwB0AGkAbwBuAFYAbwBsAGEAdABpAGwAZQBTAG8AbABpAGQAcwBWAG8AaQBkAGUAZABNAE0AUwBfAFMAbwB1AHIAYwBlACIALAAiAFMAbwB1AHIAYwBlAEQAYQB0AGEAXwBEAGEAaQByAHkALgBTAG8AdQByAGMAZQBEAGEAdABhAF8ARABhAGkAcgB5AF8ARgByAGEAYwB0AGkAbwBuAFYAbwBsAGEAdABpAGwAZQBTAG8AbABpAGQAcwBWAG8AaQBkAGUAZABNAE0AUwBfAFYAYQByAGkAYQB0AGkAbwBuACIALAAiAFMAbwB1AHIAYwBlAEQAYQB0AGEAXwBEAGEAaQByAHkALgBTAG8AdQByAGMAZQBEAGEAdABhAF8ARABhAGkAcgB5AF8ARgByAGEAYwB0AGkAbwBuAFYAbwBsAGEAdABpAGwAZQBTAG8AbABpAGQAcwBWAG8AaQBkAGUAZABNAE0AUwBfAEQAYQB0AGEAIgAsACIAUwBvAHUAcgBjAGUARABhAHQAYQBfAEQAYQBpAHIAeQAuAFMAbwB1AHIAYwBlAEQAYQB0AGEAXwBEAGEAaQByAHkAXwBFAEYATgBpAHQAcgBvAHUAcwBPAHgAaQBkAGUAUABlAHIATQBNAFMAXwBUAGkAdABsAGUAIgAsACIAUwBvAHUAcgBjAGUARABhAHQAYQBfAEQAYQBpAHIAeQAuAFMAbwB1AHIAYwBlAEQAYQB0AGEAXwBEAGEAaQByAHkAXwBFAEYATgBpAHQAcgBvAHUAcwBPAHgAaQBkAGUAUABlAHIATQBNAFMAXwBWAGEAcgBpAGEAYgBsAGUAIgAsACIAUwBvAHUAcgBjAGUARABhAHQAYQBfAEQAYQBpAHIAeQAuAFMAbwB1AHIAYwBlAEQAYQB0AGEAXwBEAGEAaQByAHkAXwBFAEYATgBpAHQAcgBvAHUAcwBPAHgAaQBkAGUAUABlAHIATQBNAFMAXwBVAG4AaQB0ACIALAAiAFMAbwB1AHIAYwBlAEQAYQB0AGEAXwBEAGEAaQByAHkALgBTAG8AdQByAGMAZQBEAGEAdABhAF8ARABhAGkAcgB5AF8ARQBGAE4AaQB0AHIAbwB1AHMATwB4AGkAZABlAFAAZQByAE0ATQBTAF8AUwBvAHUAcgBjAGUAIgAsACIAUwBvAHUAcgBjAGUARABhAHQAYQBfAEQAYQBpAHIAeQAuAFMAbwB1AHIAYwBlAEQAYQB0AGEAXwBEAGEAaQByAHkAXwBFAEYATgBpAHQAcgBvAHUAcwBPAHgAaQBkAGUAUABlAHIATQBNAFMAXwBWAGEAcgBpAGEAdABpAG8AbgAiACwAIgBTAG8AdQByAGMAZQBEAGEAdABhAF8ARABhAGkAcgB5AC4AUwBvAHUAcgBjAGUARABhAHQAYQBfAEQAYQBpAHIAeQBfAEUARgBOAGkAdAByAG8AdQBzAE8AeABpAGQAZQBQAGUAcgBNAE0AUwBfAEQAYQB0AGEAIgAsACIAUwBvAHUAcgBjAGUARABhAHQAYQBfAEQAYQBpAHIAeQAuAFMAbwB1AHIAYwBlAEQAYQB0AGEAXwBEAGEAaQByAHkAXwBEAHUAcgBhAHQAaQBvAG4ATwBmAFMAdABhAHkAXwBUAGkAdABsAGUAIgAsACIAUwBvAHUAcgBjAGUARABhAHQAYQBfAEQAYQBpAHIAeQAuAFMAbwB1AHIAYwBlAEQAYQB0AGEAXwBEAGEAaQByAHkAXwBEAHUAcgBhAHQAaQBvAG4ATwBmAFMAdABhAHkAXwBWAGEAcgBpAGEAYgBsAGUAIgAsACIAUwBvAHUAcgBjAGUARABhAHQAYQBfAEQAYQBpAHIAeQAuAFMAbwB1AHIAYwBlAEQAYQB0AGEAXwBEAGEAaQByAHkAXwBEAHUAcgBhAHQAaQBvAG4ATwBmAFMAdABhAHkAXwBVAG4AaQB0ACIALAAiAFMAbwB1AHIAYwBlAEQAYQB0AGEAXwBEAGEAaQByAHkALgBTAG8AdQByAGMAZQBEAGEAdABhAF8ARABhAGkAcgB5AF8ARAB1AHIAYQB0AGkAbwBuAE8AZgBTAHQAYQB5AF8AUwBvAHUAcgBjAGUAIgAsACIAUwBvAHUAcgBjAGUARABhAHQAYQBfAEQAYQBpAHIAeQAuAFMAbwB1AHIAYwBlAEQAYQB0AGEAXwBEAGEAaQByAHkAXwBEAHUAcgBhAHQAaQBvAG4ATwBmAFMAdABhAHkAXwBWAGEAcgBpAGEAdABpAG8AbgAiACwAIgBTAG8AdQByAGMAZQBEAGEAdABhAF8ARABhAGkAcgB5AC4AUwBvAHUAcgBjAGUARABhAHQAYQBfAEQAYQBpAHIAeQBfAEQAdQByAGEAdABpAG8AbgBPAGYAUwB0AGEAeQBfAEQAYQB0AGEAIgAsACIAUwBvAHUAcgBjAGUARABhAHQAYQBfAEQAYQBpAHIAeQAuAFMAbwB1AHIAYwBlAEQAYQB0AGEAXwBEAGEAaQByAHkAXwBDAHIAdQBkAGUAUAByAG8AdABlAGkAbgBfAFQAaQB0AGwAZQAiACwAIgBTAG8AdQByAGMAZQBEAGEAdABhAF8ARABhAGkAcgB5AC4AUwBvAHUAcgBjAGUARABhAHQAYQBfAEQAYQBpAHIAeQBfAEMAcgB1AGQAZQBQAHIAbwB0AGUAaQBuAF8AVgBhAHIAaQBhAGIAbABlACIALAAiAFMAbwB1AHIAYwBlAEQAYQB0AGEAXwBEAGEAaQByAHkALgBTAG8AdQByAGMAZQBEAGEAdABhAF8ARABhAGkAcgB5AF8AQwByAHUAZABlAFAAcgBvAHQAZQBpAG4AXwBVAG4AaQB0ACIALAAiAFMAbwB1AHIAYwBlAEQAYQB0AGEAXwBEAGEAaQByAHkALgBTAG8AdQByAGMAZQBEAGEAdABhAF8ARABhAGkAcgB5AF8AQwByAHUAZABlAFAAcgBvAHQAZQBpAG4AXwBTAG8AdQByAGMAZQAiACwAIgBTAG8AdQByAGMAZQBEAGEAdABhAF8ARABhAGkAcgB5AC4AUwBvAHUAcgBjAGUARABhAHQAYQBfAEQAYQBpAHIAeQBfAEMAcgB1AGQAZQBQAHIAbwB0AGUAaQBuAF8AVgBhAHIAaQBhAHQAaQBvAG4AIgAsACIAUwBvAHUAcgBjAGUARABhAHQAYQBfAEQAYQBpAHIAeQAuAFMAbwB1AHIAYwBlAEQAYQB0AGEAXwBEAGEAaQByAHkAXwBDAHIAdQBkAGUAUAByAG8AdABlAGkAbgBfAEQAYQB0AGEAIgAsACIAUwBvAHUAcgBjAGUARABhAHQAYQBfAEQAYQBpAHIAeQAuAFMAbwB1AHIAYwBlAEQAYQB0AGEAXwBEAGEAaQByAHkAXwBEAHIAeQBNAGEAdAB0AGUAcgBEAGkAZwBlAHMAdABpAGIAaQBsAGkAdAB5AF8AVABpAHQAbABlACIALAAiAFMAbwB1AHIAYwBlAEQAYQB0AGEAXwBEAGEAaQByAHkALgBTAG8AdQByAGMAZQBEAGEAdABhAF8ARABhAGkAcgB5AF8ARAByAHkATQBhAHQAdABlAHIARABpAGcAZQBzAHQAaQBiAGkAbABpAHQAeQBfAFYAYQByAGkAYQBiAGwAZQAiACwAIgBTAG8AdQByAGMAZQBEAGEAdABhAF8ARABhAGkAcgB5AC4AUwBvAHUAcgBjAGUARABhAHQAYQBfAEQAYQBpAHIAeQBfAEQAcgB5AE0AYQB0AHQAZQByAEQAaQBnAGUAcwB0AGkAYgBpAGwAaQB0AHkAXwBVAG4AaQB0ACIALAAiAFMAbwB1AHIAYwBlAEQAYQB0AGEAXwBEAGEAaQByAHkALgBTAG8AdQByAGMAZQBEAGEAdABhAF8ARABhAGkAcgB5AF8ARAByAHkATQBhAHQAdABlAHIARABpAGcAZQBzAHQAaQBiAGkAbABpAHQAeQBfAFMAbwB1AHIAYwBlACIALAAiAFMAbwB1AHIAYwBlAEQAYQB0AGEAXwBEAGEAaQByAHkALgBTAG8AdQByAGMAZQBEAGEAdABhAF8ARABhAGkAcgB5AF8ARAByAHkATQBhAHQAdABlAHIARABpAGcAZQBzAHQAaQBiAGkAbABpAHQAeQBfAFYAYQByAGkAYQB0AGkAbwBuACIALAAiAFMAbwB1AHIAYwBlAEQAYQB0AGEAXwBEAGEAaQByAHkALgBTAG8AdQByAGMAZQBEAGEAdABhAF8ARABhAGkAcgB5AF8ARAByAHkATQBhAHQAdABlAHIARABpAGcAZQBzAHQAaQBiAGkAbABpAHQAeQBfAEQAYQB0AGEAIgAsACIAUwBvAHUAcgBjAGUARABhAHQAYQBfAEQAYQBpAHIAeQAuAFMAbwB1AHIAYwBlAEQAYQB0AGEAXwBEAGEAaQByAHkAXwBOAGUAdABFAG4AZQByAGcAeQBfAFQAaQB0AGwAZQAiACwAIgBTAG8AdQByAGMAZQBEAGEAdABhAF8ARABhAGkAcgB5AC4AUwBvAHUAcgBjAGUARABhAHQAYQBfAEQAYQBpAHIAeQBfAE4AZQB0AEUAbgBlAHIAZwB5AF8AVgBhAHIAaQBhAGIAbABlACIALAAiAFMAbwB1AHIAYwBlAEQAYQB0AGEAXwBEAGEAaQByAHkALgBTAG8AdQByAGMAZQBEAGEAdABhAF8ARABhAGkAcgB5AF8ATgBlAHQARQBuAGUAcgBnAHkAXwBVAG4AaQB0ACIALAAiAFMAbwB1AHIAYwBlAEQAYQB0AGEAXwBEAGEAaQByAHkALgBTAG8AdQByAGMAZQBEAGEAdABhAF8ARABhAGkAcgB5AF8ATgBlAHQARQBuAGUAcgBnAHkAXwBTAG8AdQByAGMAZQAiACwAIgBTAG8AdQByAGMAZQBEAGEAdABhAF8ARABhAGkAcgB5AC4AUwBvAHUAcgBjAGUARABhAHQAYQBfAEQAYQBpAHIAeQBfAE4AZQB0AEUAbgBlAHIAZwB5AF8AVgBhAHIAaQBhAHQAaQBvAG4AIgAsACIAUwBvAHUAcgBjAGUARABhAHQAYQBfAEQAYQBpAHIAeQAuAFMAbwB1AHIAYwBlAEQAYQB0AGEAXwBEAGEAaQByAHkAXwBOAGUAdABFAG4AZQByAGcAeQBfAEQAYQB0AGEAIgAsACIAUwBvAHUAcgBjAGUARABhAHQAYQBfAEQAYQBpAHIAeQAuAFMAbwB1AHIAYwBlAEQAYQB0AGEAXwBEAGEAaQByAHkAXwBHAHIAbwBzAHMARQBuAGUAcgBnAHkAQwBvAG4AdABlAG4AdABfAFQAaQB0AGwAZQAiACwAIgBTAG8AdQByAGMAZQBEAGEAdABhAF8ARABhAGkAcgB5AC4AUwBvAHUAcgBjAGUARABhAHQAYQBfAEQAYQBpAHIAeQBfAEcAcgBvAHMAcwBFAG4AZQByAGcAeQBDAG8AbgB0AGUAbgB0AF8AVgBhAHIAaQBhAGIAbABlACIALAAiAFMAbwB1AHIAYwBlAEQAYQB0AGEAXwBEAGEAaQByAHkALgBTAG8AdQByAGMAZQBEAGEAdABhAF8ARABhAGkAcgB5AF8ARwByAG8AcwBzAEUAbgBlAHIAZwB5AEMAbwBuAHQAZQBuAHQAXwBVAG4AaQB0ACIALAAiAFMAbwB1AHIAYwBlAEQAYQB0AGEAXwBEAGEAaQByAHkALgBTAG8AdQByAGMAZQBEAGEAdABhAF8ARABhAGkAcgB5AF8ARwByAG8AcwBzAEUAbgBlAHIAZwB5AEMAbwBuAHQAZQBuAHQAXwBTAG8AdQByAGMAZQAiACwAIgBTAG8AdQByAGMAZQBEAGEAdABhAF8ARABhAGkAcgB5AC4AUwBvAHUAcgBjAGUARABhAHQAYQBfAEQAYQBpAHIAeQBfAEcAcgBvAHMAcwBFAG4AZQByAGcAeQBDAG8AbgB0AGUAbgB0AF8AVgBhAHIAaQBhAHQAaQBvAG4AIgAsACIAUwBvAHUAcgBjAGUARABhAHQAYQBfAEQAYQBpAHIAeQAuAFMAbwB1AHIAYwBlAEQAYQB0AGEAXwBEAGEAaQByAHkAXwBHAHIAbwBzAHMARQBuAGUAcgBnAHkAQwBvAG4AdABlAG4AdABfAEQAYQB0AGEAIgAsACIAUwBvAHUAcgBjAGUARABhAHQAYQBfAEQAYQBpAHIAeQAuAFMAbwB1AHIAYwBlAEQAYQB0AGEAXwBEAGEAaQByAHkAXwBFAGYAZgBpAGMAaQBlAG4AYwB5AE8AZgBVAHMAZQBPAGYATQBlAHQAYQBiAG8AbABpAHoAYQBiAGwAZQBFAG4AZQByAGcAeQBfAFQAaQB0AGwAZQAiACwAIgBTAG8AdQByAGMAZQBEAGEAdABhAF8ARABhAGkAcgB5AC4AUwBvAHUAcgBjAGUARABhAHQAYQBfAEQAYQBpAHIAeQBfAEUAZgBmAGkAYwBpAGUAbgBjAHkATwBmAFUAcwBlAE8AZgBNAGUAdABhAGIAbwBsAGkAegBhAGIAbABlAEUAbgBlAHIAZwB5AF8AVgBhAHIAaQBhAGIAbABlACIALAAiAFMAbwB1AHIAYwBlAEQAYQB0AGEAXwBEAGEAaQByAHkALgBTAG8AdQByAGMAZQBEAGEAdABhAF8ARABhAGkAcgB5AF8ARQBmAGYAaQBjAGkAZQBuAGMAeQBPAGYAVQBzAGUATwBmAE0AZQB0AGEAYgBvAGwAaQB6AGEAYgBsAGUARQBuAGUAcgBnAHkAXwBVAG4AaQB0ACIALAAiAFMAbwB1AHIAYwBlAEQAYQB0AGEAXwBEAGEAaQByAHkALgBTAG8AdQByAGMAZQBEAGEAdABhAF8ARABhAGkAcgB5AF8ARQBmAGYAaQBjAGkAZQBuAGMAeQBPAGYAVQBzAGUATwBmAE0AZQB0AGEAYgBvAGwAaQB6AGEAYgBsAGUARQBuAGUAcgBnAHkAXwBTAG8AdQByAGMAZQAiACwAIgBTAG8AdQByAGMAZQBEAGEAdABhAF8ARABhAGkAcgB5AC4AUwBvAHUAcgBjAGUARABhAHQAYQBfAEQAYQBpAHIAeQBfAEUAZgBmAGkAYwBpAGUAbgBjAHkATwBmAFUAcwBlAE8AZgBNAGUAdABhAGIAbwBsAGkAegBhAGIAbABlAEUAbgBlAHIAZwB5AF8AVgBhAHIAaQBhAHQAaQBvAG4AIgAsACIAUwBvAHUAcgBjAGUARABhAHQAYQBfAEQAYQBpAHIAeQAuAFMAbwB1AHIAYwBlAEQAYQB0AGEAXwBEAGEAaQByAHkAXwBFAGYAZgBpAGMAaQBlAG4AYwB5AE8AZgBVAHMAZQBPAGYATQBlAHQAYQBiAG8AbABpAHoAYQBiAGwAZQBFAG4AZQByAGcAeQBfAEQAYQB0AGEAIgAsACIAUwBvAHUAcgBjAGUARABhAHQAYQBfAEQAYQBpAHIAeQAuAFMAbwB1AHIAYwBlAEQAYQB0AGEAXwBEAGEAaQByAHkAXwBBAHMAaABDAG8AbgB0AGUAbgB0AF8AVABpAHQAbABlACIALAAiAFMAbwB1AHIAYwBlAEQAYQB0AGEAXwBEAGEAaQByAHkALgBTAG8AdQByAGMAZQBEAGEAdABhAF8ARABhAGkAcgB5AF8AQQBzAGgAQwBvAG4AdABlAG4AdABfAFYAYQByAGkAYQBiAGwAZQAiACwAIgBTAG8AdQByAGMAZQBEAGEAdABhAF8ARABhAGkAcgB5AC4AUwBvAHUAcgBjAGUARABhAHQAYQBfAEQAYQBpAHIAeQBfAEEAcwBoAEMAbwBuAHQAZQBuAHQAXwBVAG4AaQB0ACIALAAiAFMAbwB1AHIAYwBlAEQAYQB0AGEAXwBEAGEAaQByAHkALgBTAG8AdQByAGMAZQBEAGEAdABhAF8ARABhAGkAcgB5AF8AQQBzAGgAQwBvAG4AdABlAG4AdABfAFMAbwB1AHIAYwBlACIALAAiAFMAbwB1AHIAYwBlAEQAYQB0AGEAXwBEAGEAaQByAHkALgBTAG8AdQByAGMAZQBEAGEAdABhAF8ARABhAGkAcgB5AF8AQQBzAGgAQwBvAG4AdABlAG4AdABfAFYAYQByAGkAYQB0AGkAbwBuACIALAAiAFMAbwB1AHIAYwBlAEQAYQB0AGEAXwBEAGEAaQByAHkALgBTAG8AdQByAGMAZQBEAGEAdABhAF8ARABhAGkAcgB5AF8AQQBzAGgAQwBvAG4AdABlAG4AdABfAEQAYQB0AGEAIgAsACIAUwBvAHUAcgBjAGUARABhAHQAYQBfAEQAYQBpAHIAeQAuAFMAbwB1AHIAYwBlAEQAYQB0AGEAXwBEAGEAaQByAHkAXwBNAGUAdABoAGEAbgBlAEUAbQBpAHMAcwBpAG8AbgBzAFAAbwB0AGUAbgB0AGkAYQBsAF8AVABpAHQAbABlACIALAAiAFMAbwB1AHIAYwBlAEQAYQB0AGEAXwBEAGEAaQByAHkALgBTAG8AdQByAGMAZQBEAGEAdABhAF8ARABhAGkAcgB5AF8ATQBlAHQAaABhAG4AZQBFAG0AaQBzAHMAaQBvAG4AcwBQAG8AdABlAG4AdABpAGEAbABfAFYAYQByAGkAYQBiAGwAZQAiACwAIgBTAG8AdQByAGMAZQBEAGEAdABhAF8ARABhAGkAcgB5AC4AUwBvAHUAcgBjAGUARABhAHQAYQBfAEQAYQBpAHIAeQBfAE0AZQB0AGgAYQBuAGUARQBtAGkAcwBzAGkAbwBuAHMAUABvAHQAZQBuAHQAaQBhAGwAXwBVAG4AaQB0ACIALAAiAFMAbwB1AHIAYwBlAEQAYQB0AGEAXwBEAGEAaQByAHkALgBTAG8AdQByAGMAZQBEAGEAdABhAF8ARABhAGkAcgB5AF8ATQBlAHQAaABhAG4AZQBFAG0AaQBzAHMAaQBvAG4AcwBQAG8AdABlAG4AdABpAGEAbABfAFMAbwB1AHIAYwBlACIALAAiAFMAbwB1AHIAYwBlAEQAYQB0AGEAXwBEAGEAaQByAHkALgBTAG8AdQByAGMAZQBEAGEAdABhAF8ARABhAGkAcgB5AF8ATQBlAHQAaABhAG4AZQBFAG0AaQBzAHMAaQBvAG4AcwBQAG8AdABlAG4AdABpAGEAbABfAFYAYQByAGkAYQB0AGkAbwBuACIALAAiAFMAbwB1AHIAYwBlAEQAYQB0AGEAXwBEAGEAaQByAHkALgBTAG8AdQByAGMAZQBEAGEAdABhAF8ARABhAGkAcgB5AF8ATQBlAHQAaABhAG4AZQBFAG0AaQBzAHMAaQBvAG4AcwBQAG8AdABlAG4AdABpAGEAbABfAEQAYQB0AGEAIgAsACIAUwBvAHUAcgBjAGUARABhAHQAYQBfAEQAYQBpAHIAeQAuAFMAbwB1AHIAYwBlAEQAYQB0AGEAXwBEAGEAaQByAHkAXwBFAG0AaQBzAHMAaQBvAG4ARgBhAGMAdABvAHIARgBvAHIATABlAGEAYwBoAGkAbgBnAEEAbgBkAFIAdQBuAG8AZgBmAF8AVABpAHQAbABlACIALAAiAFMAbwB1AHIAYwBlAEQAYQB0AGEAXwBEAGEAaQByAHkALgBTAG8AdQByAGMAZQBEAGEAdABhAF8ARABhAGkAcgB5AF8ARQBtAGkAcwBzAGkAbwBuAEYAYQBjAHQAbwByAEYAbwByAEwAZQBhAGMAaABpAG4AZwBBAG4AZABSAHUAbgBvAGYAZgBfAFYAYQByAGkAYQBiAGwAZQAiACwAIgBTAG8AdQByAGMAZQBEAGEAdABhAF8ARABhAGkAcgB5AC4AUwBvAHUAcgBjAGUARABhAHQAYQBfAEQAYQBpAHIAeQBfAEUAbQBpAHMAcwBpAG8AbgBGAGEAYwB0AG8AcgBGAG8AcgBMAGUAYQBjAGgAaQBuAGcAQQBuAGQAUgB1AG4AbwBmAGYAXwBVAG4AaQB0ACIALAAiAFMAbwB1AHIAYwBlAEQAYQB0AGEAXwBEAGEAaQByAHkALgBTAG8AdQByAGMAZQBEAGEAdABhAF8ARABhAGkAcgB5AF8ARQBtAGkAcwBzAGkAbwBuAEYAYQBjAHQAbwByAEYAbwByAEwAZQBhAGMAaABpAG4AZwBBAG4AZABSAHUAbgBvAGYAZgBfAFMAbwB1AHIAYwBlACIALAAiAFMAbwB1AHIAYwBlAEQAYQB0AGEAXwBEAGEAaQByAHkALgBTAG8AdQByAGMAZQBEAGEAdABhAF8ARABhAGkAcgB5AF8ARQBtAGkAcwBzAGkAbwBuAEYAYQBjAHQAbwByAEYAbwByAEwAZQBhAGMAaABpAG4AZwBBAG4AZABSAHUAbgBvAGYAZgBfAFYAYQByAGkAYQB0AGkAbwBuACIALAAiAFMAbwB1AHIAYwBlAEQAYQB0AGEAXwBEAGEAaQByAHkALgBTAG8AdQByAGMAZQBEAGEAdABhAF8ARABhAGkAcgB5AF8ARQBtAGkAcwBzAGkAbwBuAEYAYQBjAHQAbwByAEYAbwByAEwAZQBhAGMAaABpAG4AZwBBAG4AZABSAHUAbgBvAGYAZgBfAEQAYQB0AGEAIgAsACIAUwBvAHUAcgBjAGUARABhAHQAYQBfAEQAYQBpAHIAeQAuAFMAbwB1AHIAYwBlAEQAYQB0AGEAXwBEAGEAaQByAHkAXwBGAHIAYQBjAHQAaQBvAG4ATwBmAE4AaQB0AHIAbwBnAGUAbgBMAG8AcwB0AFQAaAByAG8AdQBnAGgATABlAGEAYwBoAGkAbgBnAEEAbgBkAFIAdQBuAG8AZgBmAF8AVABpAHQAbABlACIALAAiAFMAbwB1AHIAYwBlAEQAYQB0AGEAXwBEAGEAaQByAHkALgBTAG8AdQByAGMAZQBEAGEAdABhAF8ARABhAGkAcgB5AF8ARgByAGEAYwB0AGkAbwBuAE8AZgBOAGkAdAByAG8AZwBlAG4ATABvAHMAdABUAGgAcgBvAHUAZwBoAEwAZQBhAGMAaABpAG4AZwBBAG4AZABSAHUAbgBvAGYAZgBfAFYAYQByAGkAYQBiAGwAZQAiACwAIgBTAG8AdQByAGMAZQBEAGEAdABhAF8ARABhAGkAcgB5AC4AUwBvAHUAcgBjAGUARABhAHQAYQBfAEQAYQBpAHIAeQBfAEYAcgBhAGMAdABpAG8AbgBPAGYATgBpAHQAcgBvAGcAZQBuAEwAbwBzAHQAVABoAHIAbwB1AGcAaABMAGUAYQBjAGgAaQBuAGcAQQBuAGQAUgB1AG4AbwBmAGYAXwBVAG4AaQB0ACIALAAiAFMAbwB1AHIAYwBlAEQAYQB0AGEAXwBEAGEAaQByAHkALgBTAG8AdQByAGMAZQBEAGEAdABhAF8ARABhAGkAcgB5AF8ARgByAGEAYwB0AGkAbwBuAE8AZgBOAGkAdAByAG8AZwBlAG4ATABvAHMAdABUAGgAcgBvAHUAZwBoAEwAZQBhAGMAaABpAG4AZwBBAG4AZABSAHUAbgBvAGYAZgBfAFMAbwB1AHIAYwBlACIALAAiAFMAbwB1AHIAYwBlAEQAYQB0AGEAXwBEAGEAaQByAHkALgBTAG8AdQByAGMAZQBEAGEAdABhAF8ARABhAGkAcgB5AF8ARgByAGEAYwB0AGkAbwBuAE8AZgBOAGkAdAByAG8AZwBlAG4ATABvAHMAdABUAGgAcgBvAHUAZwBoAEwAZQBhAGMAaABpAG4AZwBBAG4AZABSAHUAbgBvAGYAZgBfAFYAYQByAGkAYQB0AGkAbwBuACIALAAiAFMAbwB1AHIAYwBlAEQAYQB0AGEAXwBEAGEAaQByAHkALgBTAG8AdQByAGMAZQBEAGEAdABhAF8ARABhAGkAcgB5AF8ARgByAGEAYwB0AGkAbwBuAE8AZgBOAGkAdAByAG8AZwBlAG4ATABvAHMAdABUAGgAcgBvAHUAZwBoAEwAZQBhAGMAaABpAG4AZwBBAG4AZABSAHUAbgBvAGYAZgBfAEQAYQB0AGEAIgAsACIAUwBvAHUAcgBjAGUARABhAHQAYQBfAEQAYQBpAHIAeQAuAFMAbwB1AHIAYwBlAEQAYQB0AGEAXwBEAGEAaQByAHkAXwBGAHIAYQBjAEcAQQBTAE0AUwBvAGkAbABfAFQAaQB0AGwAZQAiACwAIgBTAG8AdQByAGMAZQBEAGEAdABhAF8ARABhAGkAcgB5AC4AUwBvAHUAcgBjAGUARABhAHQAYQBfAEQAYQBpAHIAeQBfAEYAcgBhAGMARwBBAFMATQBTAG8AaQBsAF8AVgBhAHIAaQBhAGIAbABlACIALAAiAFMAbwB1AHIAYwBlAEQAYQB0AGEAXwBEAGEAaQByAHkALgBTAG8AdQByAGMAZQBEAGEAdABhAF8ARABhAGkAcgB5AF8ARgByAGEAYwBHAEEAUwBNAFMAbwBpAGwAXwBVAG4AaQB0ACIALAAiAFMAbwB1AHIAYwBlAEQAYQB0AGEAXwBEAGEAaQByAHkALgBTAG8AdQByAGMAZQBEAGEAdABhAF8ARABhAGkAcgB5AF8ARgByAGEAYwBHAEEAUwBNAFMAbwBpAGwAXwBTAG8AdQByAGMAZQAiACwAIgBTAG8AdQByAGMAZQBEAGEAdABhAF8ARABhAGkAcgB5AC4AUwBvAHUAcgBjAGUARABhAHQAYQBfAEQAYQBpAHIAeQBfAEYAcgBhAGMARwBBAFMATQBTAG8AaQBsAF8AVgBhAHIAaQBhAHQAaQBvAG4AIgAsACIAUwBvAHUAcgBjAGUARABhAHQAYQBfAEQAYQBpAHIAeQAuAFMAbwB1AHIAYwBlAEQAYQB0AGEAXwBEAGEAaQByAHkAXwBGAHIAYQBjAEcAQQBTAE0AUwBvAGkAbABfAEQAYQB0AGEAIgAsACIAUwBvAHUAcgBjAGUARABhAHQAYQBfAEQAYQBpAHIAeQAuAFMAbwB1AHIAYwBlAEQAYQB0AGEAXwBEAGEAaQByAHkAXwBGAGEAdABDAG8AbgB0AGUAbgB0AEkAbgBNAGkAbABrAF8AVABpAHQAbABlACIALAAiAFMAbwB1AHIAYwBlAEQAYQB0AGEAXwBEAGEAaQByAHkALgBTAG8AdQByAGMAZQBEAGEAdABhAF8ARABhAGkAcgB5AF8ARgBhAHQAQwBvAG4AdABlAG4AdABJAG4ATQBpAGwAawBfAFYAYQByAGkAYQBiAGwAZQAiACwAIgBTAG8AdQByAGMAZQBEAGEAdABhAF8ARABhAGkAcgB5AC4AUwBvAHUAcgBjAGUARABhAHQAYQBfAEQAYQBpAHIAeQBfAEYAYQB0AEMAbwBuAHQAZQBuAHQASQBuAE0AaQBsAGsAXwBVAG4AaQB0ACIALAAiAFMAbwB1AHIAYwBlAEQAYQB0AGEAXwBEAGEAaQByAHkALgBTAG8AdQByAGMAZQBEAGEAdABhAF8ARABhAGkAcgB5AF8ARgBhAHQAQwBvAG4AdABlAG4AdABJAG4ATQBpAGwAawBfAFMAbwB1AHIAYwBlACIALAAiAFMAbwB1AHIAYwBlAEQAYQB0AGEAXwBEAGEAaQByAHkALgBTAG8AdQByAGMAZQBEAGEAdABhAF8ARABhAGkAcgB5AF8ARgBhAHQAQwBvAG4AdABlAG4AdABJAG4ATQBpAGwAawBfAFYAYQByAGkAYQB0AGkAbwBuACIALAAiAFMAbwB1AHIAYwBlAEQAYQB0AGEAXwBEAGEAaQByAHkALgBTAG8AdQByAGMAZQBEAGEAdABhAF8ARABhAGkAcgB5AF8ARgBhAHQAQwBvAG4AdABlAG4AdABJAG4ATQBpAGwAawBfAEQAYQB0AGEAIgAsACIAUwBvAHUAcgBjAGUARABhAHQAYQBfAEQAYQBpAHIAeQAuAFMAbwB1AHIAYwBlAEQAYQB0AGEAXwBEAGEAaQByAHkAXwBQAHIAbwB0AGUAaQBuAEMAbwBuAHQAZQBuAHQASQBuAE0AaQBsAGsAXwBUAGkAdABsAGUAIgAsACIAUwBvAHUAcgBjAGUARABhAHQAYQBfAEQAYQBpAHIAeQAuAFMAbwB1AHIAYwBlAEQAYQB0AGEAXwBEAGEAaQByAHkAXwBQAHIAbwB0AGUAaQBuAEMAbwBuAHQAZQBuAHQASQBuAE0AaQBsAGsAXwBWAGEAcgBpAGEAYgBsAGUAIgAsACIAUwBvAHUAcgBjAGUARABhAHQAYQBfAEQAYQBpAHIAeQAuAFMAbwB1AHIAYwBlAEQAYQB0AGEAXwBEAGEAaQByAHkAXwBQAHIAbwB0AGUAaQBuAEMAbwBuAHQAZQBuAHQASQBuAE0AaQBsAGsAXwBVAG4AaQB0ACIALAAiAFMAbwB1AHIAYwBlAEQAYQB0AGEAXwBEAGEAaQByAHkALgBTAG8AdQByAGMAZQBEAGEAdABhAF8ARABhAGkAcgB5AF8AUAByAG8AdABlAGkAbgBDAG8AbgB0AGUAbgB0AEkAbgBNAGkAbABrAF8AUwBvAHUAcgBjAGUAIgAsACIAUwBvAHUAcgBjAGUARABhAHQAYQBfAEQAYQBpAHIAeQAuAFMAbwB1AHIAYwBlAEQAYQB0AGEAXwBEAGEAaQByAHkAXwBQAHIAbwB0AGUAaQBuAEMAbwBuAHQAZQBuAHQASQBuAE0AaQBsAGsAXwBWAGEAcgBpAGEAdABpAG8AbgAiACwAIgBTAG8AdQByAGMAZQBEAGEAdABhAF8ARABhAGkAcgB5AC4AUwBvAHUAcgBjAGUARABhAHQAYQBfAEQAYQBpAHIAeQBfAFAAcgBvAHQAZQBpAG4AQwBvAG4AdABlAG4AdABJAG4ATQBpAGwAawBfAEQAYQB0AGE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FMAbwB1AHIAYwBlAEQAYQB0AGEAXwBTAHcAaQBuAGUALgBTAG8AdQByAGMAZQBEAGEAdABhAF8AUwB3AGkAbgBlAF8ATQBlAGcAYQBqAG8AdQBsAGUAcwBQAGUAcgBLAGkAbABvAGcAcgBhAG0ATQBlAHQAaABhAG4AZQBfAFQAaQB0AGwAZQAiACwAIgBTAG8AdQByAGMAZQBEAGEAdABhAF8AUwB3AGkAbgBlAC4AUwBvAHUAcgBjAGUARABhAHQAYQBfAFMAdwBpAG4AZQBfAE0AZQBnAGEAagBvAHUAbABlAHMAUABlAHIASwBpAGwAbwBnAHIAYQBtAE0AZQB0AGgAYQBuAGUAXwBWAGEAcgBpAGEAYgBsAGUAIgAsACIAUwBvAHUAcgBjAGUARABhAHQAYQBfAFMAdwBpAG4AZQAuAFMAbwB1AHIAYwBlAEQAYQB0AGEAXwBTAHcAaQBuAGUAXwBNAGUAZwBhAGoAbwB1AGwAZQBzAFAAZQByAEsAaQBsAG8AZwByAGEAbQBNAGUAdABoAGEAbgBlAF8AVQBuAGkAdAAiACwAIgBTAG8AdQByAGMAZQBEAGEAdABhAF8AUwB3AGkAbgBlAC4AUwBvAHUAcgBjAGUARABhAHQAYQBfAFMAdwBpAG4AZQBfAE0AZQBnAGEAagBvAHUAbABlAHMAUABlAHIASwBpAGwAbwBnAHIAYQBtAE0AZQB0AGgAYQBuAGUAXwBTAG8AdQByAGMAZQAiACwAIgBTAG8AdQByAGMAZQBEAGEAdABhAF8AUwB3AGkAbgBlAC4AUwBvAHUAcgBjAGUARABhAHQAYQBfAFMAdwBpAG4AZQBfAE0AZQBnAGEAagBvAHUAbABlAHMAUABlAHIASwBpAGwAbwBnAHIAYQBtAE0AZQB0AGgAYQBuAGUAXwBWAGEAcgBpAGEAdABpAG8AbgAiACwAIgBTAG8AdQByAGMAZQBEAGEAdABhAF8AUwB3AGkAbgBlAC4AUwBvAHUAcgBjAGUARABhAHQAYQBfAFMAdwBpAG4AZQBfAE0AZQBnAGEAagBvAHUAbABlAHMAUABlAHIASwBpAGwAbwBnAHIAYQBtAE0AZQB0AGgAYQBuAGUAXwBEAGEAdABh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UwBjAG8AcABlADMAXwBFAHEAdQBhAHQAaQBvAG4AcwAuAFYARQBFAFIARwBfADEANQBfADEAXwAxAF8AMQBfAF8AMQBfAEUAbQBpAHMAcwBpAG8AbgBzAEYAcgBvAG0AUAB1AHIAYwBoAGEAcwBlAGQATABpAHYAZQBzAHQAbwBjAGsAIgAsACIAUwBjAG8AcABlADMAXwBFAHEAdQBhAHQAaQBvAG4AcwAuAFYARQBFAFIARwBfADEANQBfADEAXwAxAF8AMQBfAF8AMQBfAEUAbQBpAHMAcwBpAG8AbgBzAEYAcgBvAG0AUAB1AHIAYwBoAGEAcwBlAGQATABpAHYAZQBzAHQAbwBjAGsAXwBUAGkAdABsAGUAIgAsACIAUwBjAG8AcABlADMAXwBFAHEAdQBhAHQAaQBvAG4AcwAuAFYARQBFAFIARwBfADEANQBfADEAXwAxAF8AMQBfAF8AMQBfAEUAbQBpAHMAcwBpAG8AbgBzAEYAcgBvAG0AUAB1AHIAYwBoAGEAcwBlAGQATABpAHYAZQBzAHQAbwBjAGsAXwBWAGEAcgBpAGEAYgBsAGUAIgAsACIAUwBjAG8AcABlADMAXwBFAHEAdQBhAHQAaQBvAG4AcwAuAFYARQBFAFIARwBfADEANQBfADEAXwAxAF8AMQBfAF8AMQBfAEUAbQBpAHMAcwBpAG8AbgBzAEYAcgBvAG0AUAB1AHIAYwBoAGEAcwBlAGQATABpAHYAZQBzAHQAbwBjAGsAXwBVAG4AaQB0ACIALAAiAFMAYwBvAHAAZQAzAF8ARQBxAHUAYQB0AGkAbwBuAHMALgBWAEUARQBSAEcAXwAxADUAXwAxAF8AMQBfADEAXwBfADEAXwBFAG0AaQBzAHMAaQBvAG4AcwBGAHIAbwBtAFAAdQByAGMAaABhAHMAZQBkAEwAaQB2AGUAcwB0AG8AYwBrAF8AUwBvAHUAcgBjAGUAIgAsACIAUwBjAG8AcABlADMAXwBFAHEAdQBhAHQAaQBvAG4AcwAuAFYARQBFAFIARwBfADEANQBfADEAXwAxAF8AMQBfAF8AMQBfAEUAbQBpAHMAcwBpAG8AbgBzAEYAcgBvAG0AUAB1AHIAYwBoAGEAcwBlAGQATABpAHYAZQBzAHQAbwBjAGsAXwBOAEkAUgBSAGUAZgBlAHIAZQBuAGMAZQAiACwAIgBTAGMAbwBwAGUAMwBfAEUAcQB1AGEAdABpAG8AbgBzAC4AVgBFAEUAUgBHAF8AMQA1AF8AMQBfADEAXwAxAF8AXwAxAF8ARQBtAGkAcwBzAGkAbwBuAHMARgByAG8AbQBQAHUAcgBjAGgAYQBzAGUAZABMAGkAdgBlAHMAdABvAGMAawBfAEwAYQB0AGUAeABFAHEAdQBhAHQAaQBvAG4AIgAsACIAUwBjAG8AcABlADMAXwBFAHEAdQBhAHQAaQBvAG4AcwAuAFYARQBFAFIARwBfADEANQBfADEAXwAxAF8AMQBfAF8AMQBfAEUAbQBpAHMAcwBpAG8AbgBzAEYAcgBvAG0AUAB1AHIAYwBoAGEAcwBlAGQATABpAHYAZQBzAHQAbwBjAGsAXwBBAHIAZwB1AG0AZQBuAHQAcwAiACwAIgBTAGMAbwBwAGUAMwBfAEUAcQB1AGEAdABpAG8AbgBzAC4AVgBFAEUAUgBHAF8AMQA1AF8AMgBfADEAXwAxAF8AXwAxAF8ARQBtAGkAcwBzAGkAbwBuAHMARgByAG8AbQBQAHUAcgBjAGgAYQBzAGUAZABGAGUAZQBkACIALAAiAFMAYwBvAHAAZQAzAF8ARQBxAHUAYQB0AGkAbwBuAHMALgBWAEUARQBSAEcAXwAxADUAXwAyAF8AMQBfADEAXwBfADEAXwBFAG0AaQBzAHMAaQBvAG4AcwBGAHIAbwBtAFAAdQByAGMAaABhAHMAZQBkAEYAZQBlAGQAXwBUAGkAdABsAGUAIgAsACIAUwBjAG8AcABlADMAXwBFAHEAdQBhAHQAaQBvAG4AcwAuAFYARQBFAFIARwBfADEANQBfADIAXwAxAF8AMQBfAF8AMQBfAEUAbQBpAHMAcwBpAG8AbgBzAEYAcgBvAG0AUAB1AHIAYwBoAGEAcwBlAGQARgBlAGUAZABfAFYAYQByAGkAYQBiAGwAZQAiACwAIgBTAGMAbwBwAGUAMwBfAEUAcQB1AGEAdABpAG8AbgBzAC4AVgBFAEUAUgBHAF8AMQA1AF8AMgBfADEAXwAxAF8AXwAxAF8ARQBtAGkAcwBzAGkAbwBuAHMARgByAG8AbQBQAHUAcgBjAGgAYQBzAGUAZABGAGUAZQBkAF8AVQBuAGkAdAAiACwAIgBTAGMAbwBwAGUAMwBfAEUAcQB1AGEAdABpAG8AbgBzAC4AVgBFAEUAUgBHAF8AMQA1AF8AMgBfADEAXwAxAF8AXwAxAF8ARQBtAGkAcwBzAGkAbwBuAHMARgByAG8AbQBQAHUAcgBjAGgAYQBzAGUAZABGAGUAZQBkAF8AUwBvAHUAcgBjAGUAIgAsACIAUwBjAG8AcABlADMAXwBFAHEAdQBhAHQAaQBvAG4AcwAuAFYARQBFAFIARwBfADEANQBfADIAXwAxAF8AMQBfAF8AMQBfAEUAbQBpAHMAcwBpAG8AbgBzAEYAcgBvAG0AUAB1AHIAYwBoAGEAcwBlAGQARgBlAGUAZABfAE4ASQBSAFIAZQBmAGUAcgBlAG4AYwBlACIALAAiAFMAYwBvAHAAZQAzAF8ARQBxAHUAYQB0AGkAbwBuAHMALgBWAEUARQBSAEcAXwAxADUAXwAyAF8AMQBfADEAXwBfADEAXwBFAG0AaQBzAHMAaQBvAG4AcwBGAHIAbwBtAFAAdQByAGMAaABhAHMAZQBkAEYAZQBlAGQAXwBMAGEAdABlAHgARQBxAHUAYQB0AGkAbwBuACIALAAiAFMAYwBvAHAAZQAzAF8ARQBxAHUAYQB0AGkAbwBuAHMALgBWAEUARQBSAEcAXwAxADUAXwAyAF8AMQBfADEAXwBfADEAXwBFAG0AaQBzAHMAaQBvAG4AcwBGAHIAbwBtAFAAdQByAGMAaABhAHMAZQBkAEYAZQBlAGQAXwBBAHIAZwB1AG0AZQBuAHQAcw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EAcgBnAHUAbQBlAG4AdABzACIALAAiAFMAYwBvAHAAZQAzAF8ARQBxAHUAYQB0AGkAbwBuAHMALgBWAEUARQBSAEcAXwAxADUAXwA0AF8AMQBfADEAXwBfADEAXwBFAG0AaQBzAHMAaQBvAG4AcwBGAHIAbwBtAFAAdQByAGMAaABhAHMAZQBkAEYAZQByAHQAaQBsAGkAcwBlAHIAIgAsACIAUwBjAG8AcABlADMAXwBFAHEAdQBhAHQAaQBvAG4AcwAuAFYARQBFAFIARwBfADEANQBfADQAXwAxAF8AMQBfAF8AMQBfAEUAbQBpAHMAcwBpAG8AbgBzAEYAcgBvAG0AUAB1AHIAYwBoAGEAcwBlAGQARgBlAHIAdABpAGwAaQBzAGUAcgBfAFQAaQB0AGwAZQAiACwAIgBTAGMAbwBwAGUAMwBfAEUAcQB1AGEAdABpAG8AbgBzAC4AVgBFAEUAUgBHAF8AMQA1AF8ANABfADEAXwAxAF8AXwAxAF8ARQBtAGkAcwBzAGkAbwBuAHMARgByAG8AbQBQAHUAcgBjAGgAYQBzAGUAZABGAGUAcgB0AGkAbABpAHMAZQByAF8AVgBhAHIAaQBhAGIAbABlACIALAAiAFMAYwBvAHAAZQAzAF8ARQBxAHUAYQB0AGkAbwBuAHMALgBWAEUARQBSAEcAXwAxADUAXwA0AF8AMQBfADEAXwBfADEAXwBFAG0AaQBzAHMAaQBvAG4AcwBGAHIAbwBtAFAAdQByAGMAaABhAHMAZQBkAEYAZQByAHQAaQBsAGkAcwBlAHIAXwBVAG4AaQB0ACIALAAiAFMAYwBvAHAAZQAzAF8ARQBxAHUAYQB0AGkAbwBuAHMALgBWAEUARQBSAEcAXwAxADUAXwA0AF8AMQBfADEAXwBfADEAXwBFAG0AaQBzAHMAaQBvAG4AcwBGAHIAbwBtAFAAdQByAGMAaABhAHMAZQBkAEYAZQByAHQAaQBsAGkAcwBlAHIAXwBTAG8AdQByAGMAZQAiACwAIgBTAGMAbwBwAGUAMwBfAEUAcQB1AGEAdABpAG8AbgBzAC4AVgBFAEUAUgBHAF8AMQA1AF8ANABfADEAXwAxAF8AXwAxAF8ARQBtAGkAcwBzAGkAbwBuAHMARgByAG8AbQBQAHUAcgBjAGgAYQBzAGUAZABGAGUAcgB0AGkAbABpAHMAZQByAF8ATgBJAFIAUgBlAGYAZQByAGUAbgBjAGUAIgAsACIAUwBjAG8AcABlADMAXwBFAHEAdQBhAHQAaQBvAG4AcwAuAFYARQBFAFIARwBfADEANQBfADQAXwAxAF8AMQBfAF8AMQBfAEUAbQBpAHMAcwBpAG8AbgBzAEYAcgBvAG0AUAB1AHIAYwBoAGEAcwBlAGQARgBlAHIAdABpAGwAaQBzAGUAcgBfAEwAYQB0AGUAeABFAHEAdQBhAHQAaQBvAG4AIgAsACIAUwBjAG8AcABlADMAXwBFAHEAdQBhAHQAaQBvAG4AcwAuAFYARQBFAFIARwBfADEANQBfADQAXwAxAF8AMQBfAF8AMQBfAEUAbQBpAHMAcwBpAG8AbgBzAEYAcgBvAG0AUAB1AHIAYwBoAGEAcwBlAGQARgBlAHIAdABpAGwAaQBzAGUAcgBfAEEAcgBnAHUAbQBlAG4AdABzACIALAAiAFMAYwBvAHAAZQAzAF8ARQBxAHUAYQB0AGkAbwBuAHMALgBWAEUARQBSAEcAXwAxADUAXwA0AF8AMQBfADEAXwBfADIAXwBFAG0AaQBzAHMAaQBvAG4AcwBGAHIAbwBtAFAAdQByAGMAaABhAHMAZQBkAEYAZQByAHQAaQBsAGkAcwBlAHIAQwBvAG0AcABvAG4AZQBuAHQAcwAiACwAIgBTAGMAbwBwAGUAMwBfAEUAcQB1AGEAdABpAG8AbgBzAC4AVgBFAEUAUgBHAF8AMQA1AF8ANABfADEAXwAxAF8AXwAyAF8ARQBtAGkAcwBzAGkAbwBuAHMARgByAG8AbQBQAHUAcgBjAGgAYQBzAGUAZABGAGUAcgB0AGkAbABpAHMAZQByAEMAbwBtAHAAbwBuAGUAbgB0AHMAVgBhAHIAaQBhAHQAaQBvAG4AIgAsACIAUwBjAG8AcABlADMAXwBFAHEAdQBhAHQAaQBvAG4AcwAuAFYARQBFAFIARwBfADEANQBfADQAXwAxAF8AMQBfAF8AMgBfAEUAbQBpAHMAcwBpAG8AbgBzAEYAcgBvAG0AUAB1AHIAYwBoAGEAcwBlAGQARgBlAHIAdABpAGwAaQBzAGUAcgBDAG8AbQBwAG8AbgBlAG4AdABzAF8AVABpAHQAbABlACIALAAiAFMAYwBvAHAAZQAzAF8ARQBxAHUAYQB0AGkAbwBuAHMALgBWAEUARQBSAEcAXwAxADUAXwA0AF8AMQBfADEAXwBfADIAXwBFAG0AaQBzAHMAaQBvAG4AcwBGAHIAbwBtAFAAdQByAGMAaABhAHMAZQBkAEYAZQByAHQAaQBsAGkAcwBlAHIAQwBvAG0AcABvAG4AZQBuAHQAcwBfAFYAYQByAGkAYQBiAGwAZQAiACwAIgBTAGMAbwBwAGUAMwBfAEUAcQB1AGEAdABpAG8AbgBzAC4AVgBFAEUAUgBHAF8AMQA1AF8ANABfADEAXwAxAF8AXwAyAF8ARQBtAGkAcwBzAGkAbwBuAHMARgByAG8AbQBQAHUAcgBjAGgAYQBzAGUAZABGAGUAcgB0AGkAbABpAHMAZQByAEMAbwBtAHAAbwBuAGUAbgB0AHMAXwBVAG4AaQB0ACIALAAiAFMAYwBvAHAAZQAzAF8ARQBxAHUAYQB0AGkAbwBuAHMALgBWAEUARQBSAEcAXwAxADUAXwA0AF8AMQBfADEAXwBfADIAXwBFAG0AaQBzAHMAaQBvAG4AcwBGAHIAbwBtAFAAdQByAGMAaABhAHMAZQBkAEYAZQByAHQAaQBsAGkAcwBlAHIAQwBvAG0AcABvAG4AZQBuAHQAcwBfAFMAbwB1AHIAYwBlACIALAAiAFMAYwBvAHAAZQAzAF8ARQBxAHUAYQB0AGkAbwBuAHMALgBWAEUARQBSAEcAXwAxADUAXwA0AF8AMQBfADEAXwBfADIAXwBFAG0AaQBzAHMAaQBvAG4AcwBGAHIAbwBtAFAAdQByAGMAaABhAHMAZQBkAEYAZQByAHQAaQBsAGkAcwBlAHIAQwBvAG0AcABvAG4AZQBuAHQAcwBfAE4ASQBSAFIAZQBmAGUAcgBlAG4AYwBlACIALAAiAFMAYwBvAHAAZQAzAF8ARQBxAHUAYQB0AGkAbwBuAHMALgBWAEUARQBSAEcAXwAxADUAXwA0AF8AMQBfADEAXwBfADIAXwBFAG0AaQBzAHMAaQBvAG4AcwBGAHIAbwBtAFAAdQByAGMAaABhAHMAZQBkAEYAZQByAHQAaQBsAGkAcwBlAHIAQwBvAG0AcABvAG4AZQBuAHQAcwBfAEwAYQB0AGUAeABFAHEAdQBhAHQAaQBvAG4AIgAsACIAUwBjAG8AcABlADMAXwBFAHEAdQBhAHQAaQBvAG4AcwAuAFYARQBFAFIARwBfADEANQBfADQAXwAxAF8AMQBfAF8AMgBfAEUAbQBpAHMAcwBpAG8AbgBzAEYAcgBvAG0AUAB1AHIAYwBoAGEAcwBlAGQARgBlAHIAdABpAGwAaQBzAGUAcgBDAG8AbQBwAG8AbgBlAG4AdABzAF8ATABhAHQAZQB4AEUAcQB1AGEAdABpAG8AbgBWAGEAcgBpAGEAdABpAG8AbgAiACwAIgBTAGMAbwBwAGUAMwBfAEUAcQB1AGEAdABpAG8AbgBzAC4AVgBFAEUAUgBHAF8AMQA1AF8ANABfADEAXwAxAF8AXwAyAF8ARQBtAGkAcwBzAGkAbwBuAHMARgByAG8AbQBQAHUAcgBjAGgAYQBzAGUAZABGAGUAcgB0AGkAbABpAHMAZQByAEMAbwBtAHAAbwBuAGUAbgB0AHMAXwBBAHIAZwB1AG0AZQBuAHQAcwAiACwAIgBTAGMAbwBwAGUAMwBfAEUAcQB1AGEAdABpAG8AbgBzAC4AVgBFAEUAUgBHAF8AMQA1AF8ANABfADEAXwAxAF8AXwAyAF8ARQBtAGkAcwBzAGkAbwBuAHMARgByAG8AbQBQAHUAcgBjAGgAYQBzAGUAZABGAGUAcgB0AGkAbABpAHMAZQByAEMAbwBtAHAAbwBuAGUAbgB0AHMAXwBWAGEAcgBpAGEAdABpAG8AbgAiACwAIgBTAGMAbwBwAGUAMwBfAEUAcQB1AGEAdABpAG8AbgBzAC4AVgBFAEUAUgBHAF8AMQA1AF8ANABfADEAXwAxAF8AXwBYAF8ARQBtAGkAcwBzAGkAbwBuAEYAYQBjAHQAbwByAEYAcgBvAG0AUAB1AHIAYwBoAGEAcwBlAGQARgBlAHIAdABpAGwAaQBzAGUAcgBDAG8AbQBwAG8AbgBlAG4AdABzACIALAAiAFMAYwBvAHAAZQAzAF8ARQBxAHUAYQB0AGkAbwBuAHMALgBWAEUARQBSAEcAXwAxADUAXwA0AF8AMQBfADEAXwBfAFgAXwBFAG0AaQBzAHMAaQBvAG4ARgBhAGMAdABvAHIARgByAG8AbQBQAHUAcgBjAGgAYQBzAGUAZABGAGUAcgB0AGkAbABpAHMAZQByAEMAbwBtAHAAbwBuAGUAbgB0AHMAXwBUAGkAdABsAGUAIgAsACIAUwBjAG8AcABlADMAXwBFAHEAdQBhAHQAaQBvAG4AcwAuAFYARQBFAFIARwBfADEANQBfADQAXwAxAF8AMQBfAF8AWABfAEUAbQBpAHMAcwBpAG8AbgBGAGEAYwB0AG8AcgBGAHIAbwBtAFAAdQByAGMAaABhAHMAZQBkAEYAZQByAHQAaQBsAGkAcwBlAHIAQwBvAG0AcABvAG4AZQBuAHQAcwBfAFYAYQByAGkAYQBiAGwAZQAiACwAIgBTAGMAbwBwAGUAMwBfAEUAcQB1AGEAdABpAG8AbgBzAC4AVgBFAEUAUgBHAF8AMQA1AF8ANABfADEAXwAxAF8AXwBYAF8ARQBtAGkAcwBzAGkAbwBuAEYAYQBjAHQAbwByAEYAcgBvAG0AUAB1AHIAYwBoAGEAcwBlAGQARgBlAHIAdABpAGwAaQBzAGUAcgBDAG8AbQBwAG8AbgBlAG4AdABzAF8AVQBuAGkAdAAiACwAIgBTAGMAbwBwAGUAMwBfAEUAcQB1AGEAdABpAG8AbgBzAC4AVgBFAEUAUgBHAF8AMQA1AF8ANABfADEAXwAxAF8AXwBYAF8ARQBtAGkAcwBzAGkAbwBuAEYAYQBjAHQAbwByAEYAcgBvAG0AUAB1AHIAYwBoAGEAcwBlAGQARgBlAHIAdABpAGwAaQBzAGUAcgBDAG8AbQBwAG8AbgBlAG4AdABzAF8AUwBvAHUAcgBjAGUAIgAsACIAUwBjAG8AcABlADMAXwBFAHEAdQBhAHQAaQBvAG4AcwAuAFYARQBFAFIARwBfADEANQBfADQAXwAxAF8AMQBfAF8AWABfAEUAbQBpAHMAcwBpAG8AbgBGAGEAYwB0AG8AcgBGAHIAbwBtAFAAdQByAGMAaABhAHMAZQBkAEYAZQByAHQAaQBsAGkAcwBlAHIAQwBvAG0AcABvAG4AZQBuAHQAcwBfAE4ASQBSAFIAZQBmAGUAcgBlAG4AYwBlACIALAAiAFMAYwBvAHAAZQAzAF8ARQBxAHUAYQB0AGkAbwBuAHMALgBWAEUARQBSAEcAXwAxADUAXwA0AF8AMQBfADEAXwBfAFgAXwBFAG0AaQBzAHMAaQBvAG4ARgBhAGMAdABvAHIARgByAG8AbQBQAHUAcgBjAGgAYQBzAGUAZABGAGUAcgB0AGkAbABpAHMAZQByAEMAbwBtAHAAbwBuAGUAbgB0AHMAXwBMAGEAdABlAHgARQBxAHUAYQB0AGkAbwBuACIALAAiAFMAYwBvAHAAZQAzAF8ARQBxAHUAYQB0AGkAbwBuAHMALgBWAEUARQBSAEcAXwAxADUAXwA0AF8AMQBfADEAXwBfAFgAXwBFAG0AaQBzAHMAaQBvAG4ARgBhAGMAdABvAHIARgByAG8AbQBQAHUAcgBjAGgAYQBzAGUAZABGAGUAcgB0AGkAbABpAHMAZQByAEMAbwBtAHAAbwBuAGUAbgB0AHMAXwBBAHIAZwB1AG0AZQBuAHQAcwAiACwAIgBTAGMAbwBwAGUAMwBfAEUAcQB1AGEAdABpAG8AbgBzAC4AVgBFAEUAUgBHAF8AMQA1AF8ANABfADEAXwAxAF8AXwBYAF8ARQBtAGkAcwBzAGkAbwBuAEYAYQBjAHQAbwByAEYAcgBvAG0AUAB1AHIAYwBoAGEAcwBlAGQARgBlAHIAdABpAGwAaQBzAGUAcgBDAG8AbQBwAG8AbgBlAG4AdABzAF8AVgBhAHIAaQBhAHQAaQBvAG4AIgAsACIAUwBjAG8AcABlADMAXwBFAHEAdQBhAHQAaQBvAG4AcwAuAFYARQBFAFIARwBfADEANQBfADUAXwAxAF8AMQBfAF8AMQBfAEUAbQBpAHMAcwBpAG8AbgBzAEYAcgBvAG0AUAB1AHIAYwBoAGEAcwBlAGQAQQBnAHIAaQBjAGgAZQBtAGkAYwBhAGwAcwAiACwAIgBTAGMAbwBwAGUAMwBfAEUAcQB1AGEAdABpAG8AbgBzAC4AVgBFAEUAUgBHAF8AMQA1AF8ANQBfADEAXwAxAF8AXwAxAF8ARQBtAGkAcwBzAGkAbwBuAHMARgByAG8AbQBQAHUAcgBjAGgAYQBzAGUAZABBAGcAcgBpAGMAaABlAG0AaQBjAGEAbABzAF8AVABpAHQAbABlACIALAAiAFMAYwBvAHAAZQAzAF8ARQBxAHUAYQB0AGkAbwBuAHMALgBWAEUARQBSAEcAXwAxADUAXwA1AF8AMQBfADEAXwBfADEAXwBFAG0AaQBzAHMAaQBvAG4AcwBGAHIAbwBtAFAAdQByAGMAaABhAHMAZQBkAEEAZwByAGkAYwBoAGUAbQBpAGMAYQBsAHMAXwBWAGEAcgBpAGEAYgBsAGUAIgAsACIAUwBjAG8AcABlADMAXwBFAHEAdQBhAHQAaQBvAG4AcwAuAFYARQBFAFIARwBfADEANQBfADUAXwAxAF8AMQBfAF8AMQBfAEUAbQBpAHMAcwBpAG8AbgBzAEYAcgBvAG0AUAB1AHIAYwBoAGEAcwBlAGQAQQBnAHIAaQBjAGgAZQBtAGkAYwBhAGwAcwBfAFUAbgBpAHQAIgAsACIAUwBjAG8AcABlADMAXwBFAHEAdQBhAHQAaQBvAG4AcwAuAFYARQBFAFIARwBfADEANQBfADUAXwAxAF8AMQBfAF8AMQBfAEUAbQBpAHMAcwBpAG8AbgBzAEYAcgBvAG0AUAB1AHIAYwBoAGEAcwBlAGQAQQBnAHIAaQBjAGgAZQBtAGkAYwBhAGwAcwBfAFMAbwB1AHIAYwBlACIALAAiAFMAYwBvAHAAZQAzAF8ARQBxAHUAYQB0AGkAbwBuAHMALgBWAEUARQBSAEcAXwAxADUAXwA1AF8AMQBfADEAXwBfADEAXwBFAG0AaQBzAHMAaQBvAG4AcwBGAHIAbwBtAFAAdQByAGMAaABhAHMAZQBkAEEAZwByAGkAYwBoAGUAbQBpAGMAYQBsAHMAXwBOAEkAUgBSAGUAZgBlAHIAZQBuAGMAZQAiACwAIgBTAGMAbwBwAGUAMwBfAEUAcQB1AGEAdABpAG8AbgBzAC4AVgBFAEUAUgBHAF8AMQA1AF8ANQBfADEAXwAxAF8AXwAxAF8ARQBtAGkAcwBzAGkAbwBuAHMARgByAG8AbQBQAHUAcgBjAGgAYQBzAGUAZABBAGcAcgBpAGMAaABlAG0AaQBjAGEAbABzAF8ATABhAHQAZQB4AEUAcQB1AGEAdABpAG8AbgAiACwAIgBTAGMAbwBwAGUAMwBfAEUAcQB1AGEAdABpAG8AbgBzAC4AVgBFAEUAUgBHAF8AMQA1AF8ANQBfADEAXwAxAF8AXwAxAF8ARQBtAGkAcwBzAGkAbwBuAHMARgByAG8AbQBQAHUAcgBjAGgAYQBzAGUAZABBAGcAcgBpAGMAaABlAG0AaQBjAGEAbABzAF8AQQByAGcAdQBtAGUAbgB0AHMAIgAsACIAUwBjAG8AcABlADMAXwBFAHEAdQBhAHQAaQBvAG4AcwAuAFYARQBFAFIARwBfADEANQBfADYAXwAxAF8AMQBfAF8AMQBfAEUAbQBpAHMAcwBpAG8AbgBzAEYAcgBvAG0AUAB1AHIAYwBoAGEAcwBlAGQATABpAG0AZQAiACwAIgBTAGMAbwBwAGUAMwBfAEUAcQB1AGEAdABpAG8AbgBzAC4AVgBFAEUAUgBHAF8AMQA1AF8ANgBfADEAXwAxAF8AXwAxAF8ARQBtAGkAcwBzAGkAbwBuAHMARgByAG8AbQBQAHUAcgBjAGgAYQBzAGUAZABMAGkAbQBlAF8AVABpAHQAbABlACIALAAiAFMAYwBvAHAAZQAzAF8ARQBxAHUAYQB0AGkAbwBuAHMALgBWAEUARQBSAEcAXwAxADUAXwA2AF8AMQBfADEAXwBfADEAXwBFAG0AaQBzAHMAaQBvAG4AcwBGAHIAbwBtAFAAdQByAGMAaABhAHMAZQBkAEwAaQBtAGUAXwBWAGEAcgBpAGEAYgBsAGUAIgAsACIAUwBjAG8AcABlADMAXwBFAHEAdQBhAHQAaQBvAG4AcwAuAFYARQBFAFIARwBfADEANQBfADYAXwAxAF8AMQBfAF8AMQBfAEUAbQBpAHMAcwBpAG8AbgBzAEYAcgBvAG0AUAB1AHIAYwBoAGEAcwBlAGQATABpAG0AZQBfAFUAbgBpAHQAIgAsACIAUwBjAG8AcABlADMAXwBFAHEAdQBhAHQAaQBvAG4AcwAuAFYARQBFAFIARwBfADEANQBfADYAXwAxAF8AMQBfAF8AMQBfAEUAbQBpAHMAcwBpAG8AbgBzAEYAcgBvAG0AUAB1AHIAYwBoAGEAcwBlAGQATABpAG0AZQBfAFMAbwB1AHIAYwBlACIALAAiAFMAYwBvAHAAZQAzAF8ARQBxAHUAYQB0AGkAbwBuAHMALgBWAEUARQBSAEcAXwAxADUAXwA2AF8AMQBfADEAXwBfADEAXwBFAG0AaQBzAHMAaQBvAG4AcwBGAHIAbwBtAFAAdQByAGMAaABhAHMAZQBkAEwAaQBtAGUAXwBOAEkAUgBSAGUAZgBlAHIAZQBuAGMAZQAiACwAIgBTAGMAbwBwAGUAMwBfAEUAcQB1AGEAdABpAG8AbgBzAC4AVgBFAEUAUgBHAF8AMQA1AF8ANgBfADEAXwAxAF8AXwAxAF8ARQBtAGkAcwBzAGkAbwBuAHMARgByAG8AbQBQAHUAcgBjAGgAYQBzAGUAZABMAGkAbQBlAF8ATABhAHQAZQB4AEUAcQB1AGEAdABpAG8AbgAiACwAIgBTAGMAbwBwAGUAMwBfAEUAcQB1AGEAdABpAG8AbgBzAC4AVgBFAEUAUgBHAF8AMQA1AF8ANgBfADEAXwAxAF8AXwAxAF8ARQBtAGkAcwBzAGkAbwBuAHMARgByAG8AbQBQAHUAcgBjAGgAYQBzAGUAZABMAGkAbQBlAF8AQQByAGcAdQBtAGUAbgB0AHMAIgAsACIAUwBjAG8AcABlADMAXwBFAHEAdQBhAHQAaQBvAG4AcwAuAFYARQBFAFIARwBfADEANQBfADcAXwAxAF8AMQBfAF8AMQBfAEUAbQBpAHMAcwBpAG8AbgBzAEYAcgBvAG0AUAB1AHIAYwBoAGEAcwBlAGQAUwBlAHIAdgBpAGMAZQBzACIALAAiAFMAYwBvAHAAZQAzAF8ARQBxAHUAYQB0AGkAbwBuAHMALgBWAEUARQBSAEcAXwAxADUAXwA3AF8AMQBfADEAXwBfADEAXwBFAG0AaQBzAHMAaQBvAG4AcwBGAHIAbwBtAFAAdQByAGMAaABhAHMAZQBkAFMAZQByAHYAaQBjAGUAcwBfAFQAaQB0AGwAZQAiACwAIgBTAGMAbwBwAGUAMwBfAEUAcQB1AGEAdABpAG8AbgBzAC4AVgBFAEUAUgBHAF8AMQA1AF8ANwBfADEAXwAxAF8AXwAxAF8ARQBtAGkAcwBzAGkAbwBuAHMARgByAG8AbQBQAHUAcgBjAGgAYQBzAGUAZABTAGUAcgB2AGkAYwBlAHMAXwBWAGEAcgBpAGEAYgBsAGUAIgAsACIAUwBjAG8AcABlADMAXwBFAHEAdQBhAHQAaQBvAG4AcwAuAFYARQBFAFIARwBfADEANQBfADcAXwAxAF8AMQBfAF8AMQBfAEUAbQBpAHMAcwBpAG8AbgBzAEYAcgBvAG0AUAB1AHIAYwBoAGEAcwBlAGQAUwBlAHIAdgBpAGMAZQBzAF8AVQBuAGkAdAAiACwAIgBTAGMAbwBwAGUAMwBfAEUAcQB1AGEAdABpAG8AbgBzAC4AVgBFAEUAUgBHAF8AMQA1AF8ANwBfADEAXwAxAF8AXwAxAF8ARQBtAGkAcwBzAGkAbwBuAHMARgByAG8AbQBQAHUAcgBjAGgAYQBzAGUAZABTAGUAcgB2AGkAYwBlAHMAXwBTAG8AdQByAGMAZQAiACwAIgBTAGMAbwBwAGUAMwBfAEUAcQB1AGEAdABpAG8AbgBzAC4AVgBFAEUAUgBHAF8AMQA1AF8ANwBfADEAXwAxAF8AXwAxAF8ARQBtAGkAcwBzAGkAbwBuAHMARgByAG8AbQBQAHUAcgBjAGgAYQBzAGUAZABTAGUAcgB2AGkAYwBlAHMAXwBOAEkAUgBSAGUAZgBlAHIAZQBuAGMAZQAiACwAIgBTAGMAbwBwAGUAMwBfAEUAcQB1AGEAdABpAG8AbgBzAC4AVgBFAEUAUgBHAF8AMQA1AF8ANwBfADEAXwAxAF8AXwAxAF8ARQBtAGkAcwBzAGkAbwBuAHMARgByAG8AbQBQAHUAcgBjAGgAYQBzAGUAZABTAGUAcgB2AGkAYwBlAHMAXwBMAGEAdABlAHgARQBxAHUAYQB0AGkAbwBuACIALAAiAFMAYwBvAHAAZQAzAF8ARQBxAHUAYQB0AGkAbwBuAHMALgBWAEUARQBSAEcAXwAxADUAXwA3AF8AMQBfADEAXwBfADEAXwBFAG0AaQBzAHMAaQBvAG4AcwBGAHIAbwBtAFAAdQByAGMAaABhAHMAZQBkAFMAZQByAHYAaQBjAGUAcwBfAEEAcgBnAHUAbQBlAG4AdABzACIALAAiAFMAYwBvAHAAZQAzAF8ARQBxAHUAYQB0AGkAbwBuAHMALgBWAEUARQBSAEcAXwAxADUAXwA4AF8AMQBfADEAXwBfADEAXwBFAG0AaQBzAHMAaQBvAG4AcwBGAHIAbwBtAFAAdQByAGMAaABhAHMAZQBkAFAAYQBjAGsAYQBnAGkAbgBnACIALAAiAFMAYwBvAHAAZQAzAF8ARQBxAHUAYQB0AGkAbwBuAHMALgBWAEUARQBSAEcAXwAxADUAXwA4AF8AMQBfADEAXwBfADEAXwBFAG0AaQBzAHMAaQBvAG4AcwBGAHIAbwBtAFAAdQByAGMAaABhAHMAZQBkAFAAYQBjAGsAYQBnAGkAbgBnAF8AVABpAHQAbABlACIALAAiAFMAYwBvAHAAZQAzAF8ARQBxAHUAYQB0AGkAbwBuAHMALgBWAEUARQBSAEcAXwAxADUAXwA4AF8AMQBfADEAXwBfADEAXwBFAG0AaQBzAHMAaQBvAG4AcwBGAHIAbwBtAFAAdQByAGMAaABhAHMAZQBkAFAAYQBjAGsAYQBnAGkAbgBnAF8AVgBhAHIAaQBhAGIAbABlACIALAAiAFMAYwBvAHAAZQAzAF8ARQBxAHUAYQB0AGkAbwBuAHMALgBWAEUARQBSAEcAXwAxADUAXwA4AF8AMQBfADEAXwBfADEAXwBFAG0AaQBzAHMAaQBvAG4AcwBGAHIAbwBtAFAAdQByAGMAaABhAHMAZQBkAFAAYQBjAGsAYQBnAGkAbgBnAF8AVQBuAGkAdAAiACwAIgBTAGMAbwBwAGUAMwBfAEUAcQB1AGEAdABpAG8AbgBzAC4AVgBFAEUAUgBHAF8AMQA1AF8AOABfADEAXwAxAF8AXwAxAF8ARQBtAGkAcwBzAGkAbwBuAHMARgByAG8AbQBQAHUAcgBjAGgAYQBzAGUAZABQAGEAYwBrAGEAZwBpAG4AZwBfAFMAbwB1AHIAYwBlACIALAAiAFMAYwBvAHAAZQAzAF8ARQBxAHUAYQB0AGkAbwBuAHMALgBWAEUARQBSAEcAXwAxADUAXwA4AF8AMQBfADEAXwBfADEAXwBFAG0AaQBzAHMAaQBvAG4AcwBGAHIAbwBtAFAAdQByAGMAaABhAHMAZQBkAFAAYQBjAGsAYQBnAGkAbgBnAF8ATgBJAFIAUgBlAGYAZQByAGUAbgBjAGUAIgAsACIAUwBjAG8AcABlADMAXwBFAHEAdQBhAHQAaQBvAG4AcwAuAFYARQBFAFIARwBfADEANQBfADgAXwAxAF8AMQBfAF8AMQBfAEUAbQBpAHMAcwBpAG8AbgBzAEYAcgBvAG0AUAB1AHIAYwBoAGEAcwBlAGQAUABhAGMAawBhAGcAaQBuAGcAXwBMAGEAdABlAHgARQBxAHUAYQB0AGkAbwBuACIALAAiAFMAYwBvAHAAZQAzAF8ARQBxAHUAYQB0AGkAbwBuAHMALgBWAEUARQBSAEcAXwAxADUAXwA4AF8AMQBfADEAXwBfADEAXwBFAG0AaQBzAHMAaQBvAG4AcwBGAHIAbwBtAFAAdQByAGMAaABhAHMAZQBkAFAAYQBjAGsAYQBnAGkAbgBnAF8AQQByAGcAdQBtAGUAbgB0AHMAIgAsACIAUwBjAG8AcABlADMAXwBFAHEAdQBhAHQAaQBvAG4AcwAuAFYARQBFAFIARwBfADEANQBfADgAXwAxAF8AMQBfAF8AMQBfAEUAbQBpAHMAcwBpAG8AbgBzAEYAcgBvAG0AUAB1AHIAYwBoAGEAcwBlAGQAUABhAGMAawBhAGcAaQBuAGcAXwBWAGEAcgBpAGEAdABpAG8AbgAiACwAIgBTAGMAbwBwAGUAMwBfAEUAcQB1AGEAdABpAG8AbgBzAC4AVgBFAEUAUgBHAF8AMQA1AF8AOQBfADEAXwAxAF8AXwAxAF8ARQBtAGkAcwBzAGkAbwBuAHMARgByAG8AbQBQAHUAcgBjAGgAYQBzAGUAZABHAHIAbwB3AE0AZQBkAGkAYQAiACwAIgBTAGMAbwBwAGUAMwBfAEUAcQB1AGEAdABpAG8AbgBzAC4AVgBFAEUAUgBHAF8AMQA1AF8AOQBfADEAXwAxAF8AXwAxAF8ARQBtAGkAcwBzAGkAbwBuAHMARgByAG8AbQBQAHUAcgBjAGgAYQBzAGUAZABHAHIAbwB3AE0AZQBkAGkAYQBfAFQAaQB0AGwAZQAiACwAIgBTAGMAbwBwAGUAMwBfAEUAcQB1AGEAdABpAG8AbgBzAC4AVgBFAEUAUgBHAF8AMQA1AF8AOQBfADEAXwAxAF8AXwAxAF8ARQBtAGkAcwBzAGkAbwBuAHMARgByAG8AbQBQAHUAcgBjAGgAYQBzAGUAZABHAHIAbwB3AE0AZQBkAGkAYQBfAFYAYQByAGkAYQBiAGwAZQAiACwAIgBTAGMAbwBwAGUAMwBfAEUAcQB1AGEAdABpAG8AbgBzAC4AVgBFAEUAUgBHAF8AMQA1AF8AOQBfADEAXwAxAF8AXwAxAF8ARQBtAGkAcwBzAGkAbwBuAHMARgByAG8AbQBQAHUAcgBjAGgAYQBzAGUAZABHAHIAbwB3AE0AZQBkAGkAYQBfAFUAbgBpAHQAIgAsACIAUwBjAG8AcABlADMAXwBFAHEAdQBhAHQAaQBvAG4AcwAuAFYARQBFAFIARwBfADEANQBfADkAXwAxAF8AMQBfAF8AMQBfAEUAbQBpAHMAcwBpAG8AbgBzAEYAcgBvAG0AUAB1AHIAYwBoAGEAcwBlAGQARwByAG8AdwBNAGUAZABpAGEAXwBTAG8AdQByAGMAZQAiACwAIgBTAGMAbwBwAGUAMwBfAEUAcQB1AGEAdABpAG8AbgBzAC4AVgBFAEUAUgBHAF8AMQA1AF8AOQBfADEAXwAxAF8AXwAxAF8ARQBtAGkAcwBzAGkAbwBuAHMARgByAG8AbQBQAHUAcgBjAGgAYQBzAGUAZABHAHIAbwB3AE0AZQBkAGkAYQBfAE4ASQBSAFIAZQBmAGUAcgBlAG4AYwBlACIALAAiAFMAYwBvAHAAZQAzAF8ARQBxAHUAYQB0AGkAbwBuAHMALgBWAEUARQBSAEcAXwAxADUAXwA5AF8AMQBfADEAXwBfADEAXwBFAG0AaQBzAHMAaQBvAG4AcwBGAHIAbwBtAFAAdQByAGMAaABhAHMAZQBkAEcAcgBvAHcATQBlAGQAaQBhAF8ATABhAHQAZQB4AEUAcQB1AGEAdABpAG8AbgAiACwAIgBTAGMAbwBwAGUAMwBfAEUAcQB1AGEAdABpAG8AbgBzAC4AVgBFAEUAUgBHAF8AMQA1AF8AOQBfADEAXwAxAF8AXwAxAF8ARQBtAGkAcwBzAGkAbwBuAHMARgByAG8AbQBQAHUAcgBjAGgAYQBzAGUAZABHAHIAbwB3AE0AZQBkAGkAYQBfAEEAcgBnAHUAbQBlAG4AdABzACIALAAiAFMAYwBvAHAAZQAzAF8ARQBxAHUAYQB0AGkAbwBuAHMALgBWAEUARQBSAEcAXwAxADUAXwAxADAAXwAxAF8AMQBfAF8AMQBfAE8AdABoAGUAcgBQAHUAcgBjAGgAYQBzAGUAZABHAG8AbwBkAHMAQQBuAGQAUwBlAHIAdgBpAGMAZQBzACIALAAiAFMAYwBvAHAAZQAzAF8ARQBxAHUAYQB0AGkAbwBuAHMALgBWAEUARQBSAEcAXwAxADUAXwAxADAAXwAxAF8AMQBfAF8AMQBfAE8AdABoAGUAcgBQAHUAcgBjAGgAYQBzAGUAZABHAG8AbwBkAHMAQQBuAGQAUwBlAHIAdgBpAGMAZQBzAF8AVABpAHQAbABlACIALAAiAFMAYwBvAHAAZQAzAF8ARQBxAHUAYQB0AGkAbwBuAHMALgBWAEUARQBSAEcAXwAxADUAXwAxADAAXwAxAF8AMQBfAF8AMQBfAE8AdABoAGUAcgBQAHUAcgBjAGgAYQBzAGUAZABHAG8AbwBkAHMAQQBuAGQAUwBlAHIAdgBpAGMAZQBzAF8AVgBhAHIAaQBhAGIAbABlACIALAAiAFMAYwBvAHAAZQAzAF8ARQBxAHUAYQB0AGkAbwBuAHMALgBWAEUARQBSAEcAXwAxADUAXwAxADAAXwAxAF8AMQBfAF8AMQBfAE8AdABoAGUAcgBQAHUAcgBjAGgAYQBzAGUAZABHAG8AbwBkAHMAQQBuAGQAUwBlAHIAdgBpAGMAZQBzAF8AVQBuAGkAdAAiACwAIgBTAGMAbwBwAGUAMwBfAEUAcQB1AGEAdABpAG8AbgBzAC4AVgBFAEUAUgBHAF8AMQA1AF8AMQAwAF8AMQBfADEAXwBfADEAXwBPAHQAaABlAHIAUAB1AHIAYwBoAGEAcwBlAGQARwBvAG8AZABzAEEAbgBkAFMAZQByAHYAaQBjAGUAcwBfAFMAbwB1AHIAYwBlACIALAAiAFMAYwBvAHAAZQAzAF8ARQBxAHUAYQB0AGkAbwBuAHMALgBWAEUARQBSAEcAXwAxADUAXwAxADAAXwAxAF8AMQBfAF8AMQBfAE8AdABoAGUAcgBQAHUAcgBjAGgAYQBzAGUAZABHAG8AbwBkAHMAQQBuAGQAUwBlAHIAdgBpAGMAZQBzAF8ATgBJAFIAUgBlAGYAZQByAGUAbgBjAGUAIgAsACIAUwBjAG8AcABlADMAXwBFAHEAdQBhAHQAaQBvAG4AcwAuAFYARQBFAFIARwBfADEANQBfADEAMABfADEAXwAxAF8AXwAxAF8ATwB0AGgAZQByAFAAdQByAGMAaABhAHMAZQBkAEcAbwBvAGQAcwBBAG4AZABTAGUAcgB2AGkAYwBlAHMAXwBMAGEAdABlAHgARQBxAHUAYQB0AGkAbwBuACIALAAiAFMAYwBvAHAAZQAzAF8ARQBxAHUAYQB0AGkAbwBuAHMALgBWAEUARQBSAEcAXwAxADUAXwAxADAAXwAxAF8AMQBfAF8AMQBfAE8AdABoAGUAcgBQAHUAcgBjAGgAYQBzAGUAZABHAG8AbwBkAHMAQQBuAGQAUwBlAHIAdgBpAGMAZQBzAF8AQQByAGcAdQBtAGUAbgB0AHMAIgAsACIAUwBjAG8AcABlADMAXwBFAHEAdQBhAHQAaQBvAG4AcwAuAFYARQBFAFIARwBfADEANQBfADEAMQBfADEAXwAxAF8AXwAxAF8AVABvAHQAYQBsAFUAcABzAHQAcgBlAGEAbQBFAG0AaQBzAHMAaQBvAG4AcwBGAHIAbwBtAEYAdQBlAGwAIgAsACIAUwBjAG8AcABlADMAXwBFAHEAdQBhAHQAaQBvAG4AcwAuAFYARQBFAFIARwBfADEANQBfADEAMQBfADEAXwAxAF8AXwAxAF8AVABvAHQAYQBsAFUAcABzAHQAcgBlAGEAbQBFAG0AaQBzAHMAaQBvAG4AcwBGAHIAbwBtAEYAdQBlAGwAXwBUAGkAdABsAGUAIgAsACIAUwBjAG8AcABlADMAXwBFAHEAdQBhAHQAaQBvAG4AcwAuAFYARQBFAFIARwBfADEANQBfADEAMQBfADEAXwAxAF8AXwAxAF8AVABvAHQAYQBsAFUAcABzAHQAcgBlAGEAbQBFAG0AaQBzAHMAaQBvAG4AcwBGAHIAbwBtAEYAdQBlAGwAXwBWAGEAcgBpAGEAYgBsAGUAIgAsACIAUwBjAG8AcABlADMAXwBFAHEAdQBhAHQAaQBvAG4AcwAuAFYARQBFAFIARwBfADEANQBfADEAMQBfADEAXwAxAF8AXwAxAF8AVABvAHQAYQBsAFUAcABzAHQAcgBlAGEAbQBFAG0AaQBzAHMAaQBvAG4AcwBGAHIAbwBtAEYAdQBlAGwAXwBVAG4AaQB0ACIALAAiAFMAYwBvAHAAZQAzAF8ARQBxAHUAYQB0AGkAbwBuAHMALgBWAEUARQBSAEcAXwAxADUAXwAxADEAXwAxAF8AMQBfAF8AMQBfAFQAbwB0AGEAbABVAHAAcwB0AHIAZQBhAG0ARQBtAGkAcwBzAGkAbwBuAHMARgByAG8AbQBGAHUAZQBsAF8AUwBvAHUAcgBjAGUAIgAsACIAUwBjAG8AcABlADMAXwBFAHEAdQBhAHQAaQBvAG4AcwAuAFYARQBFAFIARwBfADEANQBfADEAMQBfADEAXwAxAF8AXwAxAF8AVABvAHQAYQBsAFUAcABzAHQAcgBlAGEAbQBFAG0AaQBzAHMAaQBvAG4AcwBGAHIAbwBtAEYAdQBlAGwAXwBOAEkAUgBSAGUAZgBlAHIAZQBuAGMAZQAiACwAIgBTAGMAbwBwAGUAMwBfAEUAcQB1AGEAdABpAG8AbgBzAC4AVgBFAEUAUgBHAF8AMQA1AF8AMQAxAF8AMQBfADEAXwBfADEAXwBUAG8AdABhAGwAVQBwAHMAdAByAGUAYQBtAEUAbQBpAHMAcwBpAG8AbgBzAEYAcgBvAG0ARgB1AGUAbABfAEwAYQB0AGUAeABFAHEAdQBhAHQAaQBvAG4AIgAsACIAUwBjAG8AcABlADMAXwBFAHEAdQBhAHQAaQBvAG4AcwAuAFYARQBFAFIARwBfADEANQBfADEAMQBfADEAXwAxAF8AXwAxAF8AVABvAHQAYQBsAFUAcABzAHQAcgBlAGEAbQBFAG0AaQBzAHMAaQBvAG4AcwBGAHIAbwBtAEYAdQBlAGwAXwBBAHIAZwB1AG0AZQBuAHQAcwAiACwAIgBTAGMAbwBwAGUAMwBfAEUAcQB1AGEAdABpAG8AbgBzAC4AVgBFAEUAUgBHAF8AMQA1AF8AMQAxAF8AMQBfADEAXwBfADIAXwBVAHAAcwB0AHIAZQBhAG0AVAByAGEAbgBzAHAAbwByAHQARgB1AGUAbABFAG0AaQBzAHMAaQBvAG4AcwAiACwAIgBTAGMAbwBwAGUAMwBfAEUAcQB1AGEAdABpAG8AbgBzAC4AVgBFAEUAUgBHAF8AMQA1AF8AMQAxAF8AMQBfADEAXwBfADIAXwBVAHAAcwB0AHIAZQBhAG0AVAByAGEAbgBzAHAAbwByAHQARgB1AGUAbABFAG0AaQBzAHMAaQBvAG4AcwBfAFQAaQB0AGwAZQAiACwAIgBTAGMAbwBwAGUAMwBfAEUAcQB1AGEAdABpAG8AbgBzAC4AVgBFAEUAUgBHAF8AMQA1AF8AMQAxAF8AMQBfADEAXwBfADIAXwBVAHAAcwB0AHIAZQBhAG0AVAByAGEAbgBzAHAAbwByAHQARgB1AGUAbABFAG0AaQBzAHMAaQBvAG4AcwBfAFYAYQByAGkAYQBiAGwAZQAiACwAIgBTAGMAbwBwAGUAMwBfAEUAcQB1AGEAdABpAG8AbgBzAC4AVgBFAEUAUgBHAF8AMQA1AF8AMQAxAF8AMQBfADEAXwBfADIAXwBVAHAAcwB0AHIAZQBhAG0AVAByAGEAbgBzAHAAbwByAHQARgB1AGUAbABFAG0AaQBzAHMAaQBvAG4AcwBfAFUAbgBpAHQAIgAsACIAUwBjAG8AcABlADMAXwBFAHEAdQBhAHQAaQBvAG4AcwAuAFYARQBFAFIARwBfADEANQBfADEAMQBfADEAXwAxAF8AXwAyAF8AVQBwAHMAdAByAGUAYQBtAFQAcgBhAG4AcwBwAG8AcgB0AEYAdQBlAGwARQBtAGkAcwBzAGkAbwBuAHMAXwBTAG8AdQByAGMAZQAiACwAIgBTAGMAbwBwAGUAMwBfAEUAcQB1AGEAdABpAG8AbgBzAC4AVgBFAEUAUgBHAF8AMQA1AF8AMQAxAF8AMQBfADEAXwBfADIAXwBVAHAAcwB0AHIAZQBhAG0AVAByAGEAbgBzAHAAbwByAHQARgB1AGUAbABFAG0AaQBzAHMAaQBvAG4AcwBfAE4ASQBSAFIAZQBmAGUAcgBlAG4AYwBlACIALAAiAFMAYwBvAHAAZQAzAF8ARQBxAHUAYQB0AGkAbwBuAHMALgBWAEUARQBSAEcAXwAxADUAXwAxADEAXwAxAF8AMQBfAF8AMgBfAFUAcABzAHQAcgBlAGEAbQBUAHIAYQBuAHMAcABvAHIAdABGAHUAZQBsAEUAbQBpAHMAcwBpAG8AbgBzAF8ATABhAHQAZQB4AEUAcQB1AGEAdABpAG8AbgAiACwAIgBTAGMAbwBwAGUAMwBfAEUAcQB1AGEAdABpAG8AbgBzAC4AVgBFAEUAUgBHAF8AMQA1AF8AMQAxAF8AMQBfADEAXwBfADIAXwBVAHAAcwB0AHIAZQBhAG0AVAByAGEAbgBzAHAAbwByAHQARgB1AGUAbABFAG0AaQBzAHMAaQBvAG4AcwBfAEEAcgBnAHUAbQBlAG4AdABzACIALAAiAFMAYwBvAHAAZQAzAF8ARQBxAHUAYQB0AGkAbwBuAHMALgBWAEUARQBSAEcAXwAxADUAXwAxADEAXwAxAF8AMQBfAF8AMwBfAFUAcABzAHQAcgBlAGEAbQBTAHQAYQB0AGkAbwBuAGEAcgB5AEYAdQBlAGwARQBtAGkAcwBzAGkAbwBuAHMAIgAsACIAUwBjAG8AcABlADMAXwBFAHEAdQBhAHQAaQBvAG4AcwAuAFYARQBFAFIARwBfADEANQBfADEAMQBfADEAXwAxAF8AXwAzAF8AVQBwAHMAdAByAGUAYQBtAFMAdABhAHQAaQBvAG4AYQByAHkARgB1AGUAbABFAG0AaQBzAHMAaQBvAG4AcwBfAFQAaQB0AGwAZQAiACwAIgBTAGMAbwBwAGUAMwBfAEUAcQB1AGEAdABpAG8AbgBzAC4AVgBFAEUAUgBHAF8AMQA1AF8AMQAxAF8AMQBfADEAXwBfADMAXwBVAHAAcwB0AHIAZQBhAG0AUwB0AGEAdABpAG8AbgBhAHIAeQBGAHUAZQBsAEUAbQBpAHMAcwBpAG8AbgBzAF8AVgBhAHIAaQBhAGIAbABlACIALAAiAFMAYwBvAHAAZQAzAF8ARQBxAHUAYQB0AGkAbwBuAHMALgBWAEUARQBSAEcAXwAxADUAXwAxADEAXwAxAF8AMQBfAF8AMwBfAFUAcABzAHQAcgBlAGEAbQBTAHQAYQB0AGkAbwBuAGEAcgB5AEYAdQBlAGwARQBtAGkAcwBzAGkAbwBuAHMAXwBVAG4AaQB0ACIALAAiAFMAYwBvAHAAZQAzAF8ARQBxAHUAYQB0AGkAbwBuAHMALgBWAEUARQBSAEcAXwAxADUAXwAxADEAXwAxAF8AMQBfAF8AMwBfAFUAcABzAHQAcgBlAGEAbQBTAHQAYQB0AGkAbwBuAGEAcgB5AEYAdQBlAGwARQBtAGkAcwBzAGkAbwBuAHMAXwBTAG8AdQByAGMAZQAiACwAIgBTAGMAbwBwAGUAMwBfAEUAcQB1AGEAdABpAG8AbgBzAC4AVgBFAEUAUgBHAF8AMQA1AF8AMQAxAF8AMQBfADEAXwBfADMAXwBVAHAAcwB0AHIAZQBhAG0AUwB0AGEAdABpAG8AbgBhAHIAeQBGAHUAZQBsAEUAbQBpAHMAcwBpAG8AbgBzAF8ATgBJAFIAUgBlAGYAZQByAGUAbgBjAGUAIgAsACIAUwBjAG8AcABlADMAXwBFAHEAdQBhAHQAaQBvAG4AcwAuAFYARQBFAFIARwBfADEANQBfADEAMQBfADEAXwAxAF8AXwAzAF8AVQBwAHMAdAByAGUAYQBtAFMAdABhAHQAaQBvAG4AYQByAHkARgB1AGUAbABFAG0AaQBzAHMAaQBvAG4AcwBfAEwAYQB0AGUAeABFAHEAdQBhAHQAaQBvAG4AIgAsACIAUwBjAG8AcABlADMAXwBFAHEAdQBhAHQAaQBvAG4AcwAuAFYARQBFAFIARwBfADEANQBfADEAMQBfADEAXwAxAF8AXwAzAF8AVQBwAHMAdAByAGUAYQBtAFMAdABhAHQAaQBvAG4AYQByAHkARgB1AGUAbABFAG0AaQBzAHMAaQBvAG4AcwBfAEEAcgBnAHUAbQBlAG4AdABz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WAGEAcgBpAGEAdABpAG8Abg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wAYQB0AGUAeABFAHEAdQBhAHQAaQBvAG4AVgBhAHIAaQBhAHQAaQBvAG4AIgAsACIAUwBjAG8AcABlADMAXwBFAHEAdQBhAHQAaQBvAG4AcwAuAFYARQBFAFIARwBfADEANQBfADEAMgBfADEAXwAyAF8AXwAxAF8AVQBwAHMAdAByAGUAYQBtAFAAdQByAGMAaABhAHMAZQBkAEUAbABlAGMAdAByAGkAYwBpAHQAeQBNAGEAcgBrAGUAdABCAGEAcwBlAGQAXwBBAHIAZwB1AG0AZQBuAHQAcwAiACwAIgBTAGMAbwBwAGUAMwBfAEUAcQB1AGEAdABpAG8AbgBzAC4AVgBFAEUAUgBHAF8AMQA1AF8AMQAyAF8AMQBfADIAXwBfADEAXwBVAHAAcwB0AHIAZQBhAG0AUAB1AHIAYwBoAGEAcwBlAGQARQBsAGUAYwB0AHIAaQBjAGkAdAB5AE0AYQByAGsAZQB0AEIAYQBzAGUAZABfAFYAYQByAGkAYQB0AGkAbwBu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MwBfADEAXwAzAF8AXwAxAF8ARQBtAGkAcwBzAGkAbwBuAHMARgByAG8AbQBTAG8AbABpAGQAVwBhAHMAdABlAFQAcgBlAGEAdABtAGUAbgB0AEYAYQBjAGkAbABpAHQAeQAiACwAIgBTAGMAbwBwAGUAMwBfAEUAcQB1AGEAdABpAG8AbgBzAC4AVgBFAEUAUgBHAF8AMQA1AF8AMQAzAF8AMQBfADMAXwBfADEAXwBFAG0AaQBzAHMAaQBvAG4AcwBGAHIAbwBtAFMAbwBsAGkAZABXAGEAcwB0AGUAVAByAGUAYQB0AG0AZQBuAHQARgBhAGMAaQBsAGkAdAB5AF8AVABpAHQAbABlACIALAAiAFMAYwBvAHAAZQAzAF8ARQBxAHUAYQB0AGkAbwBuAHMALgBWAEUARQBSAEcAXwAxADUAXwAxADMAXwAxAF8AMwBfAF8AMQBfAEUAbQBpAHMAcwBpAG8AbgBzAEYAcgBvAG0AUwBvAGwAaQBkAFcAYQBzAHQAZQBUAHIAZQBhAHQAbQBlAG4AdABGAGEAYwBpAGwAaQB0AHkAXwBWAGEAcgBpAGEAYgBsAGUAIgAsACIAUwBjAG8AcABlADMAXwBFAHEAdQBhAHQAaQBvAG4AcwAuAFYARQBFAFIARwBfADEANQBfADEAMwBfADEAXwAzAF8AXwAxAF8ARQBtAGkAcwBzAGkAbwBuAHMARgByAG8AbQBTAG8AbABpAGQAVwBhAHMAdABlAFQAcgBlAGEAdABtAGUAbgB0AEYAYQBjAGkAbABpAHQAeQBfAFUAbgBpAHQAIgAsACIAUwBjAG8AcABlADMAXwBFAHEAdQBhAHQAaQBvAG4AcwAuAFYARQBFAFIARwBfADEANQBfADEAMwBfADEAXwAzAF8AXwAxAF8ARQBtAGkAcwBzAGkAbwBuAHMARgByAG8AbQBTAG8AbABpAGQAVwBhAHMAdABlAFQAcgBlAGEAdABtAGUAbgB0AEYAYQBjAGkAbABpAHQAeQBfAFMAbwB1AHIAYwBlACIALAAiAFMAYwBvAHAAZQAzAF8ARQBxAHUAYQB0AGkAbwBuAHMALgBWAEUARQBSAEcAXwAxADUAXwAxADMAXwAxAF8AMwBfAF8AMQBfAEUAbQBpAHMAcwBpAG8AbgBzAEYAcgBvAG0AUwBvAGwAaQBkAFcAYQBzAHQAZQBUAHIAZQBhAHQAbQBlAG4AdABGAGEAYwBpAGwAaQB0AHkAXwBOAEkAUgBSAGUAZgBlAHIAZQBuAGMAZQAiACwAIgBTAGMAbwBwAGUAMwBfAEUAcQB1AGEAdABpAG8AbgBzAC4AVgBFAEUAUgBHAF8AMQA1AF8AMQAzAF8AMQBfADMAXwBfADEAXwBFAG0AaQBzAHMAaQBvAG4AcwBGAHIAbwBtAFMAbwBsAGkAZABXAGEAcwB0AGUAVAByAGUAYQB0AG0AZQBuAHQARgBhAGMAaQBsAGkAdAB5AF8ATABhAHQAZQB4AEUAcQB1AGEAdABpAG8AbgAiACwAIgBTAGMAbwBwAGUAMwBfAEUAcQB1AGEAdABpAG8AbgBzAC4AVgBFAEUAUgBHAF8AMQA1AF8AMQAzAF8AMQBfADMAXwBfADEAXwBFAG0AaQBzAHMAaQBvAG4AcwBGAHIAbwBtAFMAbwBsAGkAZABXAGEAcwB0AGUAVAByAGUAYQB0AG0AZQBuAHQARgBhAGMAaQBsAGkAdAB5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XAGEAcwB0AGUAUwBvAGwAaQBkAF8ASQBuAHAAdQB0AEYAdQBuAGMAdABpAG8AbgBzAC4AVwBhAHMAdABlAFMAbwBsAGkAZABfAEkAbgBwAHUAdABGAHUAbgBjAHQAaQBvAG4AcwBfAFMAdQBtAFcAYQBzAHQAZQBUAHIAZQBhAHQAbQBlAG4AdAAiACwAIgBXAGEAcwB0AGUAUwBvAGwAaQBkAF8AUwBvAHUAcgBjAGUARABhAHQAYQAuAFcAYQBzAHQAZQBfAEUAbQBpAHMAcwBpAG8AbgBGAGEAYwB0AG8AcgBzAEYAbwByAFcAYQBzAHQAZQBUAHIAZQBhAHQAbQBlAG4AdABfAFQAaQB0AGwAZQAiACwAIgBXAGEAcwB0AGUAUwBvAGwAaQBkAF8AUwBvAHUAcgBjAGUARABhAHQAYQAuAFcAYQBzAHQAZQBfAEUAbQBpAHMAcwBpAG8AbgBGAGEAYwB0AG8AcgBzAEYAbwByAFcAYQBzAHQAZQBUAHIAZQBhAHQAbQBlAG4AdABfAFYAYQByAGkAYQBiAGwAZQAiACwAIgBXAGEAcwB0AGUAUwBvAGwAaQBkAF8AUwBvAHUAcgBjAGUARABhAHQAYQAuAFcAYQBzAHQAZQBfAEUAbQBpAHMAcwBpAG8AbgBGAGEAYwB0AG8AcgBzAEYAbwByAFcAYQBzAHQAZQBUAHIAZQBhAHQAbQBlAG4AdABfAFUAbgBpAHQAIgAsACIAVwBhAHMAdABlAFMAbwBsAGkAZABfAFMAbwB1AHIAYwBlAEQAYQB0AGEALgBXAGEAcwB0AGUAXwBFAG0AaQBzAHMAaQBvAG4ARgBhAGMAdABvAHIAcwBGAG8AcgBXAGEAcwB0AGUAVAByAGUAYQB0AG0AZQBuAHQAXwBTAG8AdQByAGMAZQAiACwAIgBXAGEAcwB0AGUAUwBvAGwAaQBkAF8AUwBvAHUAcgBjAGUARABhAHQAYQAuAFcAYQBzAHQAZQBfAEUAbQBpAHMAcwBpAG8AbgBGAGEAYwB0AG8AcgBzAEYAbwByAFcAYQBzAHQAZQBUAHIAZQBhAHQAbQBlAG4AdABfAEQAYQB0AGEAIgAsACIAVwBhAHMAdABlAFMAbwBsAGkAZABfAFMAbwB1AHIAYwBlAEQAYQB0AGEALgBXAGEAcwB0AGUAXwBFAG0AaQBzAHMAaQBvAG4ARgBhAGMAdABvAHIAcwBGAG8AcgBXAGEAcwB0AGUAVAByAGUAYQB0AG0AZQBuAHQAXwBWAGEAcgBpAGEAdABpAG8AbgAiACwAIgBXAGEAcwB0AGUAUwBvAGwAaQBkAF8AUwBvAHUAcgBjAGUARABhAHQAYQAuAFcAYQBzAHQAZQBfAFcAYQBzAHQAZQBWAG8AbAB1AG0AZQBUAG8ATQBhAHMAcwBDAG8AbgB2AGUAcgBzAGkAbwBuAF8AVABpAHQAbABlACIALAAiAFcAYQBzAHQAZQBTAG8AbABpAGQAXwBTAG8AdQByAGMAZQBEAGEAdABhAC4AVwBhAHMAdABlAF8AVwBhAHMAdABlAFYAbwBsAHUAbQBlAFQAbwBNAGEAcwBzAEMAbwBuAHYAZQByAHMAaQBvAG4AXwBWAGEAcgBpAGEAYgBsAGUAIgAsACIAVwBhAHMAdABlAFMAbwBsAGkAZABfAFMAbwB1AHIAYwBlAEQAYQB0AGEALgBXAGEAcwB0AGUAXwBXAGEAcwB0AGUAVgBvAGwAdQBtAGUAVABvAE0AYQBzAHMAQwBvAG4AdgBlAHIAcwBpAG8AbgBfAFUAbgBpAHQAIgAsACIAVwBhAHMAdABlAFMAbwBsAGkAZABfAFMAbwB1AHIAYwBlAEQAYQB0AGEALgBXAGEAcwB0AGUAXwBXAGEAcwB0AGUAVgBvAGwAdQBtAGUAVABvAE0AYQBzAHMAQwBvAG4AdgBlAHIAcwBpAG8AbgBfAFMAbwB1AHIAYwBlACIALAAiAFcAYQBzAHQAZQBTAG8AbABpAGQAXwBTAG8AdQByAGMAZQBEAGEAdABhAC4AVwBhAHMAdABlAF8AVwBhAHMAdABlAFYAbwBsAHUAbQBlAFQAbwBNAGEAcwBzAEMAbwBuAHYAZQByAHMAaQBvAG4AXwBEAGEAdABhACIALAAiAFcAYQBzAHQAZQBTAG8AbABpAGQAXwBTAG8AdQByAGMAZQBEAGEAdABhAC4AVwBhAHMAdABlAF8AVwBhAHMAdABlAFYAbwBsAHUAbQBlAFQAbwBNAGEAcwBzAEMAbwBuAHYAZQByAHMAaQBvAG4AXwBWAGEAcgBpAGEAdABpAG8AbgAiACwAIgBXAGEAcwB0AGUAUwBvAGwAaQBkAF8ARQBxAHUAYQB0AGkAbwBuAHMALgBWAEUARQBSAEcAXwAxADAAXwAxAF8AMQBfADEAXwBfADEAXwBFAG0AaQBzAHMAaQBvAG4AcwBGAHIAbwBtAFcAYQBzAHQAZQBNAGEAbgBhAGcAZQBtAGUAbgB0ACIALAAiAFcAYQBzAHQAZQBTAG8AbABpAGQAXwBFAHEAdQBhAHQAaQBvAG4AcwAuAFYARQBFAFIARwBfADEAMABfADEAXwAxAF8AMQBfAF8AMQBfAEUAbQBpAHMAcwBpAG8AbgBzAEYAcgBvAG0AVwBhAHMAdABlAE0AYQBuAGEAZwBlAG0AZQBuAHQAXwBUAGkAdABsAGUAIgAsACIAVwBhAHMAdABlAFMAbwBsAGkAZABfAEUAcQB1AGEAdABpAG8AbgBzAC4AVgBFAEUAUgBHAF8AMQAwAF8AMQBfADEAXwAxAF8AXwAxAF8ARQBtAGkAcwBzAGkAbwBuAHMARgByAG8AbQBXAGEAcwB0AGUATQBhAG4AYQBnAGUAbQBlAG4AdABfAFYAYQByAGkAYQBiAGwAZQAiACwAIgBXAGEAcwB0AGUAUwBvAGwAaQBkAF8ARQBxAHUAYQB0AGkAbwBuAHMALgBWAEUARQBSAEcAXwAxADAAXwAxAF8AMQBfADEAXwBfADEAXwBFAG0AaQBzAHMAaQBvAG4AcwBGAHIAbwBtAFcAYQBzAHQAZQBNAGEAbgBhAGcAZQBtAGUAbgB0AF8AVQBuAGkAdAAiACwAIgBXAGEAcwB0AGUAUwBvAGwAaQBkAF8ARQBxAHUAYQB0AGkAbwBuAHMALgBWAEUARQBSAEcAXwAxADAAXwAxAF8AMQBfADEAXwBfADEAXwBFAG0AaQBzAHMAaQBvAG4AcwBGAHIAbwBtAFcAYQBzAHQAZQBNAGEAbgBhAGcAZQBtAGUAbgB0AF8AUwBvAHUAcgBjAGUAIgAsACIAVwBhAHMAdABlAFMAbwBsAGkAZABfAEUAcQB1AGEAdABpAG8AbgBzAC4AVgBFAEUAUgBHAF8AMQAwAF8AMQBfADEAXwAxAF8AXwAxAF8ARQBtAGkAcwBzAGkAbwBuAHMARgByAG8AbQBXAGEAcwB0AGUATQBhAG4AYQBnAGUAbQBlAG4AdABfAE4ASQBSAFIAZQBmAGUAcgBlAG4AYwBlACIALAAiAFcAYQBzAHQAZQBTAG8AbABpAGQAXwBFAHEAdQBhAHQAaQBvAG4AcwAuAFYARQBFAFIARwBfADEAMABfADEAXwAxAF8AMQBfAF8AMQBfAEUAbQBpAHMAcwBpAG8AbgBzAEYAcgBvAG0AVwBhAHMAdABlAE0AYQBuAGEAZwBlAG0AZQBuAHQAXwBMAGEAdABlAHgARQBxAHUAYQB0AGkAbwBuACIALAAiAFcAYQBzAHQAZQBTAG8AbABpAGQAXwBFAHEAdQBhAHQAaQBvAG4AcwAuAFYARQBFAFIARwBfADEAMABfADEAXwAxAF8AMQBfAF8AMQBfAEUAbQBpAHMAcwBpAG8AbgBzAEYAcgBvAG0AVwBhAHMAdABlAE0AYQBuAGEAZwBlAG0AZQBuAHQAXwBBAHIAZwB1AG0AZQBuAHQAcwAiACwAIgBXAGEAcwB0AGUAUwBvAGwAaQBkAF8ARQBxAHUAYQB0AGkAbwBuAHMALgBWAEUARQBSAEcAXwAxADAAXwAxAF8AMQBfADEAXwBfADEAXwBFAG0AaQBzAHMAaQBvAG4AcwBGAHIAbwBtAFcAYQBzAHQAZQBNAGEAbgBhAGcAZQBtAGUAbgB0AF8AVgBhAHIAaQBhAHQAaQBvAG4AIgAsACIAVwBhAHMAdABlAFMAbwBsAGkAZABfAEUAcQB1AGEAdABpAG8AbgBzAC4AVgBFAEUAUgBHAF8AMQAwAF8AMQBfADEAXwAxAF8AXwAyAF8ATQBhAHMAcwBPAGYAVwBhAHMAdABlAEYAcgBvAG0AVgBvAGwAdQBtAGUAIgAsACIAVwBhAHMAdABlAFMAbwBsAGkAZABfAEUAcQB1AGEAdABpAG8AbgBzAC4AVgBFAEUAUgBHAF8AMQAwAF8AMQBfADEAXwAxAF8AXwAyAF8ATQBhAHMAcwBPAGYAVwBhAHMAdABlAEYAcgBvAG0AVgBvAGwAdQBtAGUAXwBUAGkAdABsAGUAIgAsACIAVwBhAHMAdABlAFMAbwBsAGkAZABfAEUAcQB1AGEAdABpAG8AbgBzAC4AVgBFAEUAUgBHAF8AMQAwAF8AMQBfADEAXwAxAF8AXwAyAF8ATQBhAHMAcwBPAGYAVwBhAHMAdABlAEYAcgBvAG0AVgBvAGwAdQBtAGUAXwBWAGEAcgBpAGEAYgBsAGUAIgAsACIAVwBhAHMAdABlAFMAbwBsAGkAZABfAEUAcQB1AGEAdABpAG8AbgBzAC4AVgBFAEUAUgBHAF8AMQAwAF8AMQBfADEAXwAxAF8AXwAyAF8ATQBhAHMAcwBPAGYAVwBhAHMAdABlAEYAcgBvAG0AVgBvAGwAdQBtAGUAXwBVAG4AaQB0ACIALAAiAFcAYQBzAHQAZQBTAG8AbABpAGQAXwBFAHEAdQBhAHQAaQBvAG4AcwAuAFYARQBFAFIARwBfADEAMABfADEAXwAxAF8AMQBfAF8AMgBfAE0AYQBzAHMATwBmAFcAYQBzAHQAZQBGAHIAbwBtAFYAbwBsAHUAbQBlAF8AUwBvAHUAcgBjAGUAIgAsACIAVwBhAHMAdABlAFMAbwBsAGkAZABfAEUAcQB1AGEAdABpAG8AbgBzAC4AVgBFAEUAUgBHAF8AMQAwAF8AMQBfADEAXwAxAF8AXwAyAF8ATQBhAHMAcwBPAGYAVwBhAHMAdABlAEYAcgBvAG0AVgBvAGwAdQBtAGUAXwBOAEkAUgBSAGUAZgBlAHIAZQBuAGMAZQAiACwAIgBXAGEAcwB0AGUAUwBvAGwAaQBkAF8ARQBxAHUAYQB0AGkAbwBuAHMALgBWAEUARQBSAEcAXwAxADAAXwAxAF8AMQBfADEAXwBfADIAXwBNAGEAcwBzAE8AZgBXAGEAcwB0AGUARgByAG8AbQBWAG8AbAB1AG0AZQBfAEwAYQB0AGUAeABFAHEAdQBhAHQAaQBvAG4AIgAsACIAVwBhAHMAdABlAFMAbwBsAGkAZABfAEUAcQB1AGEAdABpAG8AbgBzAC4AVgBFAEUAUgBHAF8AMQAwAF8AMQBfADEAXwAxAF8AXwAyAF8ATQBhAHMAcwBPAGYAVwBhAHMAdABlAEYAcgBvAG0AVgBvAGwAdQBt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135</vt:i4>
      </vt:variant>
    </vt:vector>
  </HeadingPairs>
  <TitlesOfParts>
    <vt:vector size="170"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2026-08-11T01:23:51Z</dcterms:modified>
</cp:coreProperties>
</file>